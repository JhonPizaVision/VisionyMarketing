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2.xml" ContentType="application/vnd.openxmlformats-officedocument.themeOverrid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https://listos-my.sharepoint.com/personal/diego_guerrero_visionymarketing_com_co/Documents/Desktop/Diego Guerrero/NESTLÉ/PURINA/Marzo/"/>
    </mc:Choice>
  </mc:AlternateContent>
  <xr:revisionPtr revIDLastSave="1" documentId="13_ncr:1_{41A0B812-CA5B-450A-AB74-38B202867860}" xr6:coauthVersionLast="47" xr6:coauthVersionMax="47" xr10:uidLastSave="{8CAE0AF3-C3E6-47B2-8B31-D6012D355731}"/>
  <bookViews>
    <workbookView minimized="1" xWindow="4410" yWindow="4410" windowWidth="11790" windowHeight="7785" tabRatio="863" activeTab="5" xr2:uid="{22547094-DDA4-4673-ADB1-0AED661F9EB6}"/>
  </bookViews>
  <sheets>
    <sheet name="INFORME" sheetId="4" r:id="rId1"/>
    <sheet name="PUNTAJES" sheetId="5" r:id="rId2"/>
    <sheet name="Panel" sheetId="1" r:id="rId3"/>
    <sheet name="DATA INFORME" sheetId="13" r:id="rId4"/>
    <sheet name="Export" sheetId="2" state="hidden" r:id="rId5"/>
    <sheet name="ENCUESTA" sheetId="8" r:id="rId6"/>
  </sheets>
  <externalReferences>
    <externalReference r:id="rId7"/>
  </externalReferences>
  <definedNames>
    <definedName name="_xlnm._FilterDatabase" localSheetId="5" hidden="1">ENCUESTA!$A$1:$H$31</definedName>
    <definedName name="_xlnm._FilterDatabase" localSheetId="2" hidden="1">Panel!$K$4:$K$4</definedName>
    <definedName name="DatosExternos_1" localSheetId="3" hidden="1">'DATA INFORME'!$A$1:$AD$5</definedName>
    <definedName name="DatosExternos_2" localSheetId="1" hidden="1">PUNTAJES!$A$1:$L$67</definedName>
    <definedName name="SegmentaciónDeDatos_CANAL">#N/A</definedName>
    <definedName name="SegmentaciónDeDatos_CIUDAD">#N/A</definedName>
    <definedName name="SegmentaciónDeDatos_NOMBRE_COMERCIAL">#N/A</definedName>
  </definedNames>
  <calcPr calcId="191028"/>
  <pivotCaches>
    <pivotCache cacheId="32" r:id="rId8"/>
    <pivotCache cacheId="33" r:id="rId9"/>
  </pivotCaches>
  <extLst>
    <ext xmlns:x14="http://schemas.microsoft.com/office/spreadsheetml/2009/9/main" uri="{BBE1A952-AA13-448e-AADC-164F8A28A991}">
      <x14:slicerCaches>
        <x14:slicerCache r:id="rId10"/>
        <x14:slicerCache r:id="rId11"/>
        <x14:slicerCache r:id="rId12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" i="5" l="1"/>
  <c r="N2" i="5" s="1"/>
  <c r="M3" i="5"/>
  <c r="O3" i="5" s="1"/>
  <c r="M4" i="5"/>
  <c r="M5" i="5"/>
  <c r="N5" i="5" s="1"/>
  <c r="M6" i="5"/>
  <c r="N6" i="5" s="1"/>
  <c r="M7" i="5"/>
  <c r="M8" i="5"/>
  <c r="N8" i="5" s="1"/>
  <c r="M9" i="5"/>
  <c r="N9" i="5" s="1"/>
  <c r="M10" i="5"/>
  <c r="O10" i="5" s="1"/>
  <c r="M11" i="5"/>
  <c r="N11" i="5" s="1"/>
  <c r="M12" i="5"/>
  <c r="M13" i="5"/>
  <c r="N13" i="5" s="1"/>
  <c r="M14" i="5"/>
  <c r="N14" i="5" s="1"/>
  <c r="M15" i="5"/>
  <c r="M16" i="5"/>
  <c r="N16" i="5" s="1"/>
  <c r="M17" i="5"/>
  <c r="N17" i="5" s="1"/>
  <c r="M18" i="5"/>
  <c r="N18" i="5" s="1"/>
  <c r="M19" i="5"/>
  <c r="O19" i="5" s="1"/>
  <c r="M20" i="5"/>
  <c r="M21" i="5"/>
  <c r="O21" i="5" s="1"/>
  <c r="M22" i="5"/>
  <c r="N22" i="5" s="1"/>
  <c r="M23" i="5"/>
  <c r="M24" i="5"/>
  <c r="O24" i="5" s="1"/>
  <c r="M25" i="5"/>
  <c r="N25" i="5" s="1"/>
  <c r="M26" i="5"/>
  <c r="O26" i="5" s="1"/>
  <c r="M27" i="5"/>
  <c r="N27" i="5" s="1"/>
  <c r="M28" i="5"/>
  <c r="M29" i="5"/>
  <c r="N29" i="5" s="1"/>
  <c r="M30" i="5"/>
  <c r="O30" i="5" s="1"/>
  <c r="M31" i="5"/>
  <c r="M32" i="5"/>
  <c r="N32" i="5" s="1"/>
  <c r="M33" i="5"/>
  <c r="N33" i="5" s="1"/>
  <c r="M34" i="5"/>
  <c r="N34" i="5" s="1"/>
  <c r="M35" i="5"/>
  <c r="N35" i="5" s="1"/>
  <c r="M36" i="5"/>
  <c r="M37" i="5"/>
  <c r="N37" i="5" s="1"/>
  <c r="M38" i="5"/>
  <c r="N38" i="5" s="1"/>
  <c r="M39" i="5"/>
  <c r="M40" i="5"/>
  <c r="N40" i="5" s="1"/>
  <c r="M41" i="5"/>
  <c r="N41" i="5" s="1"/>
  <c r="M42" i="5"/>
  <c r="N42" i="5" s="1"/>
  <c r="M43" i="5"/>
  <c r="O43" i="5" s="1"/>
  <c r="M44" i="5"/>
  <c r="M45" i="5"/>
  <c r="N45" i="5" s="1"/>
  <c r="M46" i="5"/>
  <c r="N46" i="5" s="1"/>
  <c r="M47" i="5"/>
  <c r="M48" i="5"/>
  <c r="N48" i="5" s="1"/>
  <c r="M49" i="5"/>
  <c r="N49" i="5" s="1"/>
  <c r="M50" i="5"/>
  <c r="N50" i="5" s="1"/>
  <c r="M51" i="5"/>
  <c r="N51" i="5" s="1"/>
  <c r="M52" i="5"/>
  <c r="M53" i="5"/>
  <c r="N53" i="5" s="1"/>
  <c r="M54" i="5"/>
  <c r="N54" i="5" s="1"/>
  <c r="M55" i="5"/>
  <c r="N55" i="5" s="1"/>
  <c r="M56" i="5"/>
  <c r="N56" i="5" s="1"/>
  <c r="M57" i="5"/>
  <c r="N57" i="5" s="1"/>
  <c r="M58" i="5"/>
  <c r="O58" i="5" s="1"/>
  <c r="M59" i="5"/>
  <c r="N59" i="5" s="1"/>
  <c r="M60" i="5"/>
  <c r="M61" i="5"/>
  <c r="O61" i="5" s="1"/>
  <c r="M62" i="5"/>
  <c r="N62" i="5" s="1"/>
  <c r="M63" i="5"/>
  <c r="M64" i="5"/>
  <c r="N64" i="5" s="1"/>
  <c r="M65" i="5"/>
  <c r="N65" i="5" s="1"/>
  <c r="M66" i="5"/>
  <c r="N66" i="5" s="1"/>
  <c r="M67" i="5"/>
  <c r="O67" i="5" s="1"/>
  <c r="N4" i="5"/>
  <c r="N7" i="5"/>
  <c r="N12" i="5"/>
  <c r="N15" i="5"/>
  <c r="N20" i="5"/>
  <c r="N23" i="5"/>
  <c r="N28" i="5"/>
  <c r="N31" i="5"/>
  <c r="N36" i="5"/>
  <c r="N39" i="5"/>
  <c r="N44" i="5"/>
  <c r="N47" i="5"/>
  <c r="N52" i="5"/>
  <c r="N60" i="5"/>
  <c r="N63" i="5"/>
  <c r="O4" i="5"/>
  <c r="O7" i="5"/>
  <c r="O12" i="5"/>
  <c r="O15" i="5"/>
  <c r="O20" i="5"/>
  <c r="O22" i="5"/>
  <c r="O23" i="5"/>
  <c r="O28" i="5"/>
  <c r="O31" i="5"/>
  <c r="O36" i="5"/>
  <c r="O39" i="5"/>
  <c r="O44" i="5"/>
  <c r="O46" i="5"/>
  <c r="Q46" i="5" s="1"/>
  <c r="O47" i="5"/>
  <c r="O52" i="5"/>
  <c r="O54" i="5"/>
  <c r="O55" i="5"/>
  <c r="O60" i="5"/>
  <c r="O62" i="5"/>
  <c r="Q62" i="5" s="1"/>
  <c r="O63" i="5"/>
  <c r="P2" i="5"/>
  <c r="P3" i="5"/>
  <c r="P4" i="5"/>
  <c r="P5" i="5"/>
  <c r="P6" i="5"/>
  <c r="P7" i="5"/>
  <c r="P8" i="5"/>
  <c r="P9" i="5"/>
  <c r="P10" i="5"/>
  <c r="P11" i="5"/>
  <c r="P12" i="5"/>
  <c r="P13" i="5"/>
  <c r="P14" i="5"/>
  <c r="P15" i="5"/>
  <c r="P16" i="5"/>
  <c r="P17" i="5"/>
  <c r="P18" i="5"/>
  <c r="P19" i="5"/>
  <c r="P20" i="5"/>
  <c r="Q20" i="5" s="1"/>
  <c r="P21" i="5"/>
  <c r="P22" i="5"/>
  <c r="P23" i="5"/>
  <c r="P24" i="5"/>
  <c r="P25" i="5"/>
  <c r="P26" i="5"/>
  <c r="P27" i="5"/>
  <c r="P28" i="5"/>
  <c r="P29" i="5"/>
  <c r="P30" i="5"/>
  <c r="P31" i="5"/>
  <c r="Q31" i="5" s="1"/>
  <c r="P32" i="5"/>
  <c r="P33" i="5"/>
  <c r="P34" i="5"/>
  <c r="P35" i="5"/>
  <c r="P36" i="5"/>
  <c r="P37" i="5"/>
  <c r="P38" i="5"/>
  <c r="P39" i="5"/>
  <c r="P40" i="5"/>
  <c r="P41" i="5"/>
  <c r="Q41" i="5" s="1"/>
  <c r="P42" i="5"/>
  <c r="P43" i="5"/>
  <c r="Q43" i="5" s="1"/>
  <c r="P44" i="5"/>
  <c r="Q44" i="5" s="1"/>
  <c r="P45" i="5"/>
  <c r="P46" i="5"/>
  <c r="P47" i="5"/>
  <c r="P48" i="5"/>
  <c r="P49" i="5"/>
  <c r="P50" i="5"/>
  <c r="P51" i="5"/>
  <c r="P52" i="5"/>
  <c r="P53" i="5"/>
  <c r="P54" i="5"/>
  <c r="P55" i="5"/>
  <c r="P56" i="5"/>
  <c r="P57" i="5"/>
  <c r="P58" i="5"/>
  <c r="P59" i="5"/>
  <c r="P60" i="5"/>
  <c r="P61" i="5"/>
  <c r="P62" i="5"/>
  <c r="P63" i="5"/>
  <c r="Q63" i="5" s="1"/>
  <c r="P64" i="5"/>
  <c r="Q64" i="5" s="1"/>
  <c r="P65" i="5"/>
  <c r="Q65" i="5" s="1"/>
  <c r="P66" i="5"/>
  <c r="Q66" i="5" s="1"/>
  <c r="P67" i="5"/>
  <c r="Q67" i="5" s="1"/>
  <c r="Q22" i="5"/>
  <c r="H3" i="1"/>
  <c r="H2" i="1"/>
  <c r="H4" i="1"/>
  <c r="H5" i="1"/>
  <c r="G2" i="1"/>
  <c r="I5" i="1"/>
  <c r="G5" i="1"/>
  <c r="I4" i="1"/>
  <c r="G4" i="1"/>
  <c r="I3" i="1"/>
  <c r="G3" i="1"/>
  <c r="P20" i="2"/>
  <c r="P41" i="2"/>
  <c r="I2" i="1"/>
  <c r="Q48" i="5" l="1"/>
  <c r="O38" i="5"/>
  <c r="Q38" i="5" s="1"/>
  <c r="O16" i="5"/>
  <c r="Q47" i="5"/>
  <c r="O34" i="5"/>
  <c r="Q34" i="5" s="1"/>
  <c r="O48" i="5"/>
  <c r="O64" i="5"/>
  <c r="O32" i="5"/>
  <c r="Q12" i="5"/>
  <c r="O8" i="5"/>
  <c r="Q8" i="5" s="1"/>
  <c r="O40" i="5"/>
  <c r="Q54" i="5"/>
  <c r="N19" i="5"/>
  <c r="Q36" i="5"/>
  <c r="O53" i="5"/>
  <c r="Q53" i="5" s="1"/>
  <c r="Q7" i="5"/>
  <c r="O37" i="5"/>
  <c r="Q37" i="5" s="1"/>
  <c r="O35" i="5"/>
  <c r="Q4" i="5"/>
  <c r="Q24" i="5"/>
  <c r="Q30" i="5"/>
  <c r="Q39" i="5"/>
  <c r="Q23" i="5"/>
  <c r="Q16" i="5"/>
  <c r="Q32" i="5"/>
  <c r="N30" i="5"/>
  <c r="Q40" i="5"/>
  <c r="Q28" i="5"/>
  <c r="Q58" i="5"/>
  <c r="Q26" i="5"/>
  <c r="Q10" i="5"/>
  <c r="O42" i="5"/>
  <c r="Q42" i="5" s="1"/>
  <c r="O18" i="5"/>
  <c r="Q18" i="5" s="1"/>
  <c r="O6" i="5"/>
  <c r="Q6" i="5" s="1"/>
  <c r="O66" i="5"/>
  <c r="Q55" i="5"/>
  <c r="Q15" i="5"/>
  <c r="O51" i="5"/>
  <c r="Q51" i="5" s="1"/>
  <c r="O5" i="5"/>
  <c r="N58" i="5"/>
  <c r="N26" i="5"/>
  <c r="N10" i="5"/>
  <c r="O50" i="5"/>
  <c r="Q50" i="5" s="1"/>
  <c r="O14" i="5"/>
  <c r="Q14" i="5" s="1"/>
  <c r="O2" i="5"/>
  <c r="Q2" i="5" s="1"/>
  <c r="N67" i="5"/>
  <c r="N21" i="5"/>
  <c r="N3" i="5"/>
  <c r="Q52" i="5"/>
  <c r="N24" i="5"/>
  <c r="Q35" i="5"/>
  <c r="Q19" i="5"/>
  <c r="O56" i="5"/>
  <c r="Q56" i="5" s="1"/>
  <c r="Q5" i="5"/>
  <c r="O59" i="5"/>
  <c r="Q59" i="5" s="1"/>
  <c r="O13" i="5"/>
  <c r="Q13" i="5" s="1"/>
  <c r="N61" i="5"/>
  <c r="N43" i="5"/>
  <c r="Q61" i="5"/>
  <c r="Q3" i="5"/>
  <c r="O29" i="5"/>
  <c r="Q29" i="5" s="1"/>
  <c r="O11" i="5"/>
  <c r="Q11" i="5" s="1"/>
  <c r="O45" i="5"/>
  <c r="Q45" i="5" s="1"/>
  <c r="O27" i="5"/>
  <c r="Q27" i="5" s="1"/>
  <c r="Q21" i="5"/>
  <c r="Q60" i="5"/>
  <c r="O65" i="5"/>
  <c r="O57" i="5"/>
  <c r="Q57" i="5" s="1"/>
  <c r="O49" i="5"/>
  <c r="Q49" i="5" s="1"/>
  <c r="O41" i="5"/>
  <c r="O33" i="5"/>
  <c r="Q33" i="5" s="1"/>
  <c r="O25" i="5"/>
  <c r="Q25" i="5" s="1"/>
  <c r="O17" i="5"/>
  <c r="Q17" i="5" s="1"/>
  <c r="O9" i="5"/>
  <c r="Q9" i="5" s="1"/>
  <c r="K6" i="8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1A08B57-9BD7-45FA-BC28-1AD79606CF19}" keepAlive="1" name="Consulta - PUNTAJE" description="Conexión a la consulta 'PUNTAJE' en el libro." type="5" refreshedVersion="8" background="1" saveData="1">
    <dbPr connection="Provider=Microsoft.Mashup.OleDb.1;Data Source=$Workbook$;Location=PUNTAJE;Extended Properties=&quot;&quot;" command="SELECT * FROM [PUNTAJE]"/>
  </connection>
  <connection id="2" xr16:uid="{913DD7F0-B11E-4D90-8927-865E5C66D680}" keepAlive="1" name="Consulta - Tabla2" description="Conexión a la consulta 'Tabla2' en el libro." type="5" refreshedVersion="8" background="1" saveData="1">
    <dbPr connection="Provider=Microsoft.Mashup.OleDb.1;Data Source=$Workbook$;Location=Tabla2;Extended Properties=&quot;&quot;" command="SELECT * FROM [Tabla2]"/>
  </connection>
</connections>
</file>

<file path=xl/sharedStrings.xml><?xml version="1.0" encoding="utf-8"?>
<sst xmlns="http://schemas.openxmlformats.org/spreadsheetml/2006/main" count="2507" uniqueCount="173">
  <si>
    <t>EJECUCION DEL PLAN</t>
  </si>
  <si>
    <t>CIUDAD</t>
  </si>
  <si>
    <t>#PDV Obj.</t>
  </si>
  <si>
    <t>#PDV Eje.</t>
  </si>
  <si>
    <t>.% Ejecucion</t>
  </si>
  <si>
    <t>% Efectividad.</t>
  </si>
  <si>
    <t>CALI</t>
  </si>
  <si>
    <t>BOGOTA</t>
  </si>
  <si>
    <t>Total general</t>
  </si>
  <si>
    <t>MYSTERY POR CLUSTER</t>
  </si>
  <si>
    <t>Suma de % MYSTERY</t>
  </si>
  <si>
    <t>Etiquetas de columna</t>
  </si>
  <si>
    <t>CLUSTER</t>
  </si>
  <si>
    <t>MODERNO</t>
  </si>
  <si>
    <t>% MYSTERY</t>
  </si>
  <si>
    <t>HORARIO</t>
  </si>
  <si>
    <t>ACTIVIDADES DEL MES</t>
  </si>
  <si>
    <t>EJECUCION DEL PDV</t>
  </si>
  <si>
    <t>MYSTERY POR CLUSTER - CIUDAD</t>
  </si>
  <si>
    <t>MYSTERY POR PDV</t>
  </si>
  <si>
    <t>CANAL</t>
  </si>
  <si>
    <t>NOMBRE COMERCIAL</t>
  </si>
  <si>
    <t>ACTIVIDAD</t>
  </si>
  <si>
    <t>CADENA</t>
  </si>
  <si>
    <t>CODIGO PDV</t>
  </si>
  <si>
    <t>PREGUNTA</t>
  </si>
  <si>
    <t>FECHA VISITA</t>
  </si>
  <si>
    <t>CODIGO RUTA</t>
  </si>
  <si>
    <t>USUARIO</t>
  </si>
  <si>
    <t>MYSTERY EFECTIVO</t>
  </si>
  <si>
    <t>TOTAL PUNTAJE</t>
  </si>
  <si>
    <t>RTA CORRECTA</t>
  </si>
  <si>
    <t>PUNTAJE OBTENIDO</t>
  </si>
  <si>
    <t>NESTLE PURINA</t>
  </si>
  <si>
    <t>NO</t>
  </si>
  <si>
    <t>SI</t>
  </si>
  <si>
    <t/>
  </si>
  <si>
    <t>EL UNIFORME Y ZAPATOS SE ENCUENTRAN LIMPIOS Y EN BUEN ESTADO</t>
  </si>
  <si>
    <t>CUENTA CON PANTALON DEL UNIFORME SEGÚN EL CARGO (NEGRO / ROJO / TURQUESA / JEAN)</t>
  </si>
  <si>
    <t>CUENTA CON CALZADO DE ACUERDO AL UNIFORME</t>
  </si>
  <si>
    <t>USA ACCESORIOS QUE NO CUMPLE CON EL CODIGO DE VESTIMENTA</t>
  </si>
  <si>
    <t>TIENE UÑAS LLAMATIVAS Y/O LARGAS QUE NO CUMPLE CON EL CODIGO DE VESTIMENTA</t>
  </si>
  <si>
    <t>TIENE TATUAJES O PIERCINGS VISIBLES QUE NO CUMPLE CON EL CODIGO DE VESTIMENTA</t>
  </si>
  <si>
    <t>SU CABELLO LUCE LIMPIO, ORGANIZADO O RECOGIDO</t>
  </si>
  <si>
    <t>PRESENTA EXCESO DE MAQUILLAJE QUE NO CUMPLE CON EL CODIGO DE VESTIMENTA</t>
  </si>
  <si>
    <t>¿CUMPLE HORARIO DE ENTRADA O SALIDA DE LA TIENDA?</t>
  </si>
  <si>
    <t>VUM</t>
  </si>
  <si>
    <t>NOMBRE PDV</t>
  </si>
  <si>
    <t>Objetivo Mystery</t>
  </si>
  <si>
    <t>#PDV Objetivos</t>
  </si>
  <si>
    <t>#PDV Ejecutados</t>
  </si>
  <si>
    <t># Visitas</t>
  </si>
  <si>
    <t>Mystery Ejecutado</t>
  </si>
  <si>
    <t>ESPECIALIZADO</t>
  </si>
  <si>
    <t>BARRANQUILLA</t>
  </si>
  <si>
    <t>MEDELLIN</t>
  </si>
  <si>
    <t>TRADICIONAL</t>
  </si>
  <si>
    <t>REGIONAL</t>
  </si>
  <si>
    <t>SUBCADENA</t>
  </si>
  <si>
    <t>ZONA</t>
  </si>
  <si>
    <t>RV</t>
  </si>
  <si>
    <t>CODIGO EAN</t>
  </si>
  <si>
    <t>TIPO PUNTO VENTA</t>
  </si>
  <si>
    <t>CONSECUTIVO ENCUESTA</t>
  </si>
  <si>
    <t>NOMBRE ENCUESTA</t>
  </si>
  <si>
    <t>RESPUESTA</t>
  </si>
  <si>
    <t>CODIGO FOTO</t>
  </si>
  <si>
    <t>OBSERVACION</t>
  </si>
  <si>
    <t>FECHA INICIO VISITA</t>
  </si>
  <si>
    <t>FECHA CREACIÓN RESPUESTA</t>
  </si>
  <si>
    <t>CLIENTE</t>
  </si>
  <si>
    <t>CODIGO EXHIBICION</t>
  </si>
  <si>
    <t>NOMBRE EXHIBICION</t>
  </si>
  <si>
    <t>NOMBRE USUARIO</t>
  </si>
  <si>
    <t xml:space="preserve">NOMBRE SUPERVISOR </t>
  </si>
  <si>
    <t>USUARIO SUPERVISOR</t>
  </si>
  <si>
    <t>Mercadeo</t>
  </si>
  <si>
    <t>PRODUCTIVIDAD</t>
  </si>
  <si>
    <t>CAMILO MONTAÑO RESTREPO</t>
  </si>
  <si>
    <t>camilo.montano</t>
  </si>
  <si>
    <t>PESO</t>
  </si>
  <si>
    <t>N/A</t>
  </si>
  <si>
    <t>CANAL  MODERNO, CANAL ESPECIALIZADO</t>
  </si>
  <si>
    <t>PRESENTACIÓN PERSONAL</t>
  </si>
  <si>
    <t>ZOOMARPETS</t>
  </si>
  <si>
    <t>Cluster</t>
  </si>
  <si>
    <t>Peso Cluster</t>
  </si>
  <si>
    <t>TIPO</t>
  </si>
  <si>
    <t>UNICA</t>
  </si>
  <si>
    <t>ZAPATOCA CARVAJAL</t>
  </si>
  <si>
    <t>SUPERETE</t>
  </si>
  <si>
    <t>SUPERETES</t>
  </si>
  <si>
    <t>Novedad</t>
  </si>
  <si>
    <t>No se encontro dentro de los horarios visitados</t>
  </si>
  <si>
    <t>CUENTA CON CAMISA DEL UNIFORME Y LOGOS SEGÚN EL CARGO (NEGRA / GRIS / ROJA / TURQUESA) (ES PERMITIDO USAR DEBAJO DE LA CAMISA BUSO MANGA LARGA NEGRO)</t>
  </si>
  <si>
    <t>POSEE ALGUNA PRENDA ENCIMA DEL UNIFORME NO AUTORIZADA POR LA MARCA (SOLO PERMITIDO CHALECO DE SODIMAC Y EASY)</t>
  </si>
  <si>
    <t>EL LINEAL SE ENCUENTRA LIMPIO Y ORGANIZADO</t>
  </si>
  <si>
    <t>LOS PRODUCTOS TIENEN EL PRECIO Y ESTAN ACORDE O CORRESPONDIENTE A CADA REFERENCIA</t>
  </si>
  <si>
    <t>LOS PRODUCTOS ESTAN SURTIDOS DE ACUERDO A PEPS O FIFO (REVISAR TANTO PRODUCTO SECO COMO HUMEDO)</t>
  </si>
  <si>
    <t>CONOCE LOS INFALTABLES DEL PUNTO DE VENTA Y CUENTA CON EL MATERIAL DE APOYO (AYUDAVENTAS INFALTABLES)</t>
  </si>
  <si>
    <t>CONOCE Y TIENE SURTIDO DE ACUERDO A LA ESTRATEGIA DE EXHIBICIÓN (ETAPAS DE VIDA - SEGMENTACIÓN DE MARCAS)</t>
  </si>
  <si>
    <t>CUAL ES LA ESTRATEGIA DE EXHIBICIÓN PARA LAS MARCAS MAINSTRAIN (ALPO Y GATSY) DE PURINA Y PORQUE?</t>
  </si>
  <si>
    <t>CONOCE EL % DE PARTICIPACIÓN QUE TIENE EN EL PUNTO DE VENTA E INFORMA CUAL ES ESE %</t>
  </si>
  <si>
    <t>QUE CANAL VA A AUDITAR</t>
  </si>
  <si>
    <t>M. EN LA CADENA OLIMPICA CONOCE LA ACTIVIDAD DE MULTIPLEPRICING</t>
  </si>
  <si>
    <t>M. CAT CHOW X 1,3KG A 3 KG CUENTA CON EL AMARRE DE DISPENSADORES DE CROQUETAS</t>
  </si>
  <si>
    <t>M. HAY MATERIAL POP IMPLEMENTADO DE LA ACTIVIDAD "HOY GANAS MAÑANA TAMBIEN"</t>
  </si>
  <si>
    <t>M. EXPLICA DE MANERA CORRECTA LA FORMA DE INSCRIPCIÓN PARA PARTICIPAR EN "HOY GANAS MAÑANA TAMBIEN"</t>
  </si>
  <si>
    <t>M. EXPLICA LA DINAMICA DE PARTICIPACIÓN Y LOS PREMIOS QUE PUEDEN GANAR EN LA ACTIVIDAD "HOY GANAS MAÑANA TAMBIEN"</t>
  </si>
  <si>
    <t>E. CUENTA CON LA EXHIBICIÓN DE LA ACTIVIDAD CAMAS PRO PLAN GATOS</t>
  </si>
  <si>
    <t>E. ESTA IMPLEMENTADO LOS STICKER DE LA REDUCCIÓN DE PRECIOS EXCELLENT (NO APLICA CUANDO SE INFORMA QUE EL PDV NO HA HECHO LA REDUCCIÓN DE PRECIOS)</t>
  </si>
  <si>
    <t>E. ESTA IMPLEMENTADA LA ACTIVIDAD DEL MES DEL GATO, MATERIAL POP Y AMARRE DE OBSEQUIOS (POUCHES Y PORTACROQUETAS) (NO APLICA SI SE INFORMA QUE NO HA LLEGADO EL MATERIAL PARA LA IMPLEMENTACIÓN).</t>
  </si>
  <si>
    <t>T. ESTA IMPLEMENTADA LA NUEVA ESTRATEGIA DE BAJA DE PRECIOS
(SI EL MERCADERISTA INFORMA QUE EL PDV NO LO PERMITE IMPLEMENTAR QUEDARIA COMO N/A)</t>
  </si>
  <si>
    <t>SE PRESENTA ALGUNA NOVEDAD?</t>
  </si>
  <si>
    <t>DESCRIBA LA NOVEDAD</t>
  </si>
  <si>
    <t>ABIERTA</t>
  </si>
  <si>
    <t>COSTA</t>
  </si>
  <si>
    <t>65453</t>
  </si>
  <si>
    <t>DISTRIBUCIONES MILENA</t>
  </si>
  <si>
    <t>0</t>
  </si>
  <si>
    <t>1</t>
  </si>
  <si>
    <t>AUDITORIA - MERCADEO PURINA MARZO 2025</t>
  </si>
  <si>
    <t>17/03/2025 07:12:24</t>
  </si>
  <si>
    <t>17/03/2025 07:54:07</t>
  </si>
  <si>
    <t xml:space="preserve">User 4 </t>
  </si>
  <si>
    <t>NestleP.4</t>
  </si>
  <si>
    <t>17/03/2025 07:54:14</t>
  </si>
  <si>
    <t>17/03/2025 07:54:17</t>
  </si>
  <si>
    <t>17/03/2025 07:54:21</t>
  </si>
  <si>
    <t>17/03/2025 07:54:27</t>
  </si>
  <si>
    <t>17/03/2025 07:54:32</t>
  </si>
  <si>
    <t>17/03/2025 07:54:35</t>
  </si>
  <si>
    <t>17/03/2025 07:54:38</t>
  </si>
  <si>
    <t>17/03/2025 07:54:45</t>
  </si>
  <si>
    <t>17/03/2025 07:54:51</t>
  </si>
  <si>
    <t>17/03/2025 07:54:57</t>
  </si>
  <si>
    <t>17/03/2025 07:55:06</t>
  </si>
  <si>
    <t>17/03/2025 07:55:12</t>
  </si>
  <si>
    <t>17/03/2025 07:55:16</t>
  </si>
  <si>
    <t>17/03/2025 07:55:19</t>
  </si>
  <si>
    <t>17/03/2025 07:55:24</t>
  </si>
  <si>
    <t>17/03/2025 07:55:41</t>
  </si>
  <si>
    <t>17/03/2025 07:55:49</t>
  </si>
  <si>
    <t xml:space="preserve"> CANAL TRADICIONAL</t>
  </si>
  <si>
    <t>17/03/2025 07:55:55</t>
  </si>
  <si>
    <t>17/03/2025 07:56:01</t>
  </si>
  <si>
    <t>17/03/2025 07:56:04</t>
  </si>
  <si>
    <t>ANTIOQUIA</t>
  </si>
  <si>
    <t>161719</t>
  </si>
  <si>
    <t>SUPERMERCADO MAXIFRUVER PREMIUM</t>
  </si>
  <si>
    <t>19/03/2025 09:28:46</t>
  </si>
  <si>
    <t>19/03/2025 12:51:49</t>
  </si>
  <si>
    <t xml:space="preserve">User 10 </t>
  </si>
  <si>
    <t>NestleP.10</t>
  </si>
  <si>
    <t>El vídeo se me movió un poco y se ve mucho la otra marca, pero a la chica de le hizo mistery y auditoría de purina, se le hizo compra porque su asesoría fue muy buena. Nos manifiesta que tiene muchos agotados, que ya los reporto y por el tema de agotados está perdiendo participación en el PDV de nuestra marca purina.</t>
  </si>
  <si>
    <t>PACIFICO</t>
  </si>
  <si>
    <t>66552</t>
  </si>
  <si>
    <t>LA CASA DE LOS TENDEROS</t>
  </si>
  <si>
    <t>21/03/2025 16:18:52</t>
  </si>
  <si>
    <t>21/03/2025 16:28:29</t>
  </si>
  <si>
    <t xml:space="preserve">User 7 </t>
  </si>
  <si>
    <t>NestleP.7</t>
  </si>
  <si>
    <t>OLIMPICA</t>
  </si>
  <si>
    <t>12108</t>
  </si>
  <si>
    <t>OLIMPICA STO 053 PORTAL DEL PRADO</t>
  </si>
  <si>
    <t>SAP992693</t>
  </si>
  <si>
    <t>25/03/2025 17:29:18</t>
  </si>
  <si>
    <t>25/03/2025 17:29:57</t>
  </si>
  <si>
    <t xml:space="preserve">No se encuentra en pdv </t>
  </si>
  <si>
    <t>CANAL TRADICIONAL</t>
  </si>
  <si>
    <t>Auditoria Eje.</t>
  </si>
  <si>
    <t>Obj Auditoria</t>
  </si>
  <si>
    <t>CAMBIO DE HORARIO DE 10 AM A 7PM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</si>
</sst>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$&quot;\ * #,##0.00_-;\-&quot;$&quot;\ * #,##0.00_-;_-&quot;$&quot;\ * &quot;-&quot;??_-;_-@_-"/>
  </numFmts>
  <fonts count="1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9"/>
      <color indexed="9"/>
      <name val="Aptos"/>
      <family val="2"/>
    </font>
    <font>
      <sz val="9"/>
      <color theme="1"/>
      <name val="Aptos"/>
      <family val="2"/>
    </font>
    <font>
      <b/>
      <sz val="11"/>
      <color theme="1"/>
      <name val="Aptos Narrow"/>
      <family val="2"/>
      <scheme val="minor"/>
    </font>
    <font>
      <sz val="16"/>
      <color theme="1"/>
      <name val="Franklin Gothic Demi"/>
      <family val="2"/>
    </font>
    <font>
      <sz val="11"/>
      <name val="Aptos Narrow"/>
      <family val="2"/>
      <scheme val="minor"/>
    </font>
    <font>
      <sz val="10"/>
      <name val="Century Gothic"/>
      <family val="2"/>
    </font>
    <font>
      <b/>
      <sz val="11"/>
      <color theme="0"/>
      <name val="Aptos Narrow"/>
      <family val="2"/>
      <scheme val="minor"/>
    </font>
    <font>
      <b/>
      <sz val="11"/>
      <name val="Aptos Narrow"/>
      <family val="2"/>
      <scheme val="minor"/>
    </font>
    <font>
      <sz val="9"/>
      <name val="Aptos"/>
      <family val="2"/>
    </font>
    <font>
      <sz val="9"/>
      <name val="Calibri"/>
      <family val="2"/>
    </font>
    <font>
      <sz val="9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theme="6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5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8" borderId="2" xfId="1" applyFont="1" applyFill="1" applyBorder="1" applyAlignment="1">
      <alignment horizontal="center" vertical="center"/>
    </xf>
    <xf numFmtId="0" fontId="5" fillId="9" borderId="2" xfId="1" applyFont="1" applyFill="1" applyBorder="1" applyAlignment="1">
      <alignment horizontal="center" vertical="center" wrapText="1"/>
    </xf>
    <xf numFmtId="0" fontId="5" fillId="9" borderId="2" xfId="1" applyFont="1" applyFill="1" applyBorder="1" applyAlignment="1">
      <alignment horizontal="center" vertical="center"/>
    </xf>
    <xf numFmtId="0" fontId="0" fillId="10" borderId="0" xfId="0" applyFill="1"/>
    <xf numFmtId="0" fontId="8" fillId="0" borderId="0" xfId="0" applyFont="1"/>
    <xf numFmtId="0" fontId="8" fillId="0" borderId="0" xfId="0" applyFont="1" applyAlignment="1">
      <alignment horizontal="left" vertical="center"/>
    </xf>
    <xf numFmtId="9" fontId="9" fillId="6" borderId="0" xfId="0" applyNumberFormat="1" applyFont="1" applyFill="1" applyAlignment="1">
      <alignment horizontal="center" vertical="center"/>
    </xf>
    <xf numFmtId="0" fontId="0" fillId="0" borderId="0" xfId="0" applyAlignment="1">
      <alignment vertical="center"/>
    </xf>
    <xf numFmtId="9" fontId="9" fillId="7" borderId="0" xfId="0" applyNumberFormat="1" applyFont="1" applyFill="1" applyAlignment="1">
      <alignment horizontal="center" vertical="center"/>
    </xf>
    <xf numFmtId="0" fontId="0" fillId="0" borderId="0" xfId="0" applyAlignment="1">
      <alignment horizontal="left" wrapText="1"/>
    </xf>
    <xf numFmtId="0" fontId="9" fillId="0" borderId="0" xfId="0" applyFont="1"/>
    <xf numFmtId="9" fontId="9" fillId="3" borderId="0" xfId="0" applyNumberFormat="1" applyFont="1" applyFill="1" applyAlignment="1">
      <alignment horizontal="center" vertical="center"/>
    </xf>
    <xf numFmtId="0" fontId="7" fillId="0" borderId="0" xfId="0" pivotButton="1" applyFont="1"/>
    <xf numFmtId="9" fontId="9" fillId="11" borderId="0" xfId="0" applyNumberFormat="1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7" fillId="0" borderId="0" xfId="0" applyFont="1" applyAlignment="1">
      <alignment horizontal="left"/>
    </xf>
    <xf numFmtId="0" fontId="0" fillId="5" borderId="0" xfId="0" applyFill="1" applyAlignment="1">
      <alignment horizontal="center" vertical="center" wrapText="1"/>
    </xf>
    <xf numFmtId="0" fontId="7" fillId="0" borderId="0" xfId="0" pivotButton="1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5" fillId="9" borderId="3" xfId="1" applyFont="1" applyFill="1" applyBorder="1" applyAlignment="1">
      <alignment horizontal="center" vertical="center" wrapText="1"/>
    </xf>
    <xf numFmtId="0" fontId="0" fillId="0" borderId="1" xfId="0" applyBorder="1"/>
    <xf numFmtId="1" fontId="9" fillId="0" borderId="1" xfId="0" applyNumberFormat="1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center"/>
    </xf>
    <xf numFmtId="0" fontId="6" fillId="0" borderId="1" xfId="1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0" fontId="5" fillId="8" borderId="2" xfId="1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9" fillId="6" borderId="1" xfId="0" applyFont="1" applyFill="1" applyBorder="1" applyAlignment="1">
      <alignment horizontal="left" vertical="center"/>
    </xf>
    <xf numFmtId="1" fontId="12" fillId="15" borderId="1" xfId="0" applyNumberFormat="1" applyFont="1" applyFill="1" applyBorder="1" applyAlignment="1">
      <alignment horizontal="center"/>
    </xf>
    <xf numFmtId="0" fontId="5" fillId="8" borderId="1" xfId="1" applyFont="1" applyFill="1" applyBorder="1" applyAlignment="1">
      <alignment horizontal="center" vertical="center"/>
    </xf>
    <xf numFmtId="14" fontId="0" fillId="0" borderId="1" xfId="0" applyNumberFormat="1" applyBorder="1"/>
    <xf numFmtId="9" fontId="9" fillId="0" borderId="0" xfId="0" applyNumberFormat="1" applyFont="1" applyAlignment="1">
      <alignment horizontal="center" vertical="center"/>
    </xf>
    <xf numFmtId="0" fontId="9" fillId="1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9" fillId="0" borderId="0" xfId="0" applyFont="1" applyAlignment="1">
      <alignment horizontal="left" vertical="center"/>
    </xf>
    <xf numFmtId="1" fontId="11" fillId="13" borderId="1" xfId="0" applyNumberFormat="1" applyFont="1" applyFill="1" applyBorder="1" applyAlignment="1">
      <alignment horizontal="center"/>
    </xf>
    <xf numFmtId="0" fontId="11" fillId="13" borderId="0" xfId="0" applyFont="1" applyFill="1" applyAlignment="1">
      <alignment horizontal="center"/>
    </xf>
    <xf numFmtId="9" fontId="9" fillId="0" borderId="1" xfId="3" applyFont="1" applyBorder="1" applyAlignment="1">
      <alignment horizontal="center" vertical="center"/>
    </xf>
    <xf numFmtId="44" fontId="9" fillId="0" borderId="0" xfId="2" applyFont="1" applyBorder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9" fontId="12" fillId="15" borderId="4" xfId="3" applyFont="1" applyFill="1" applyBorder="1" applyAlignment="1">
      <alignment horizontal="center"/>
    </xf>
    <xf numFmtId="9" fontId="12" fillId="0" borderId="0" xfId="3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15" fillId="0" borderId="1" xfId="0" applyFont="1" applyBorder="1" applyAlignment="1">
      <alignment horizontal="right"/>
    </xf>
    <xf numFmtId="0" fontId="0" fillId="0" borderId="0" xfId="0" applyAlignment="1">
      <alignment horizontal="right"/>
    </xf>
    <xf numFmtId="0" fontId="5" fillId="8" borderId="1" xfId="1" applyFont="1" applyFill="1" applyBorder="1" applyAlignment="1">
      <alignment horizontal="left" vertical="center" wrapText="1"/>
    </xf>
    <xf numFmtId="0" fontId="13" fillId="0" borderId="1" xfId="1" applyFont="1" applyBorder="1" applyAlignment="1">
      <alignment horizontal="center"/>
    </xf>
    <xf numFmtId="0" fontId="14" fillId="12" borderId="1" xfId="1" applyFont="1" applyFill="1" applyBorder="1" applyAlignment="1">
      <alignment horizontal="left" vertical="center"/>
    </xf>
    <xf numFmtId="0" fontId="0" fillId="0" borderId="6" xfId="0" applyBorder="1"/>
    <xf numFmtId="0" fontId="0" fillId="0" borderId="3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right"/>
    </xf>
    <xf numFmtId="0" fontId="0" fillId="0" borderId="7" xfId="0" applyBorder="1"/>
    <xf numFmtId="0" fontId="0" fillId="0" borderId="2" xfId="0" applyBorder="1"/>
    <xf numFmtId="14" fontId="0" fillId="0" borderId="2" xfId="0" applyNumberFormat="1" applyBorder="1"/>
    <xf numFmtId="0" fontId="0" fillId="0" borderId="8" xfId="0" applyBorder="1"/>
    <xf numFmtId="0" fontId="5" fillId="16" borderId="1" xfId="1" applyFont="1" applyFill="1" applyBorder="1" applyAlignment="1">
      <alignment horizontal="center" vertical="center"/>
    </xf>
    <xf numFmtId="0" fontId="16" fillId="0" borderId="1" xfId="0" applyFont="1" applyBorder="1"/>
    <xf numFmtId="0" fontId="11" fillId="14" borderId="1" xfId="0" applyFont="1" applyFill="1" applyBorder="1"/>
    <xf numFmtId="0" fontId="9" fillId="17" borderId="1" xfId="0" applyFont="1" applyFill="1" applyBorder="1" applyAlignment="1">
      <alignment horizontal="left" vertical="center"/>
    </xf>
    <xf numFmtId="14" fontId="0" fillId="0" borderId="0" xfId="0" applyNumberFormat="1" applyAlignment="1">
      <alignment horizontal="right"/>
    </xf>
    <xf numFmtId="0" fontId="0" fillId="0" borderId="5" xfId="0" applyBorder="1"/>
    <xf numFmtId="0" fontId="0" fillId="0" borderId="9" xfId="0" applyBorder="1"/>
    <xf numFmtId="0" fontId="0" fillId="0" borderId="4" xfId="0" applyBorder="1"/>
    <xf numFmtId="0" fontId="0" fillId="0" borderId="4" xfId="0" applyBorder="1" applyAlignment="1">
      <alignment horizontal="center"/>
    </xf>
    <xf numFmtId="14" fontId="0" fillId="0" borderId="4" xfId="0" applyNumberFormat="1" applyBorder="1"/>
    <xf numFmtId="0" fontId="0" fillId="0" borderId="4" xfId="0" applyBorder="1" applyAlignment="1">
      <alignment horizontal="right"/>
    </xf>
    <xf numFmtId="0" fontId="0" fillId="0" borderId="0" xfId="0" pivotButton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5" fillId="0" borderId="2" xfId="0" applyFont="1" applyBorder="1" applyAlignment="1">
      <alignment horizontal="center"/>
    </xf>
    <xf numFmtId="0" fontId="15" fillId="12" borderId="2" xfId="0" applyFont="1" applyFill="1" applyBorder="1"/>
    <xf numFmtId="0" fontId="15" fillId="0" borderId="2" xfId="0" applyFont="1" applyBorder="1" applyAlignment="1">
      <alignment horizontal="right"/>
    </xf>
    <xf numFmtId="0" fontId="16" fillId="0" borderId="2" xfId="0" applyFont="1" applyBorder="1"/>
    <xf numFmtId="0" fontId="0" fillId="0" borderId="1" xfId="0" applyBorder="1" applyAlignment="1">
      <alignment wrapText="1"/>
    </xf>
    <xf numFmtId="0" fontId="9" fillId="6" borderId="0" xfId="0" applyFont="1" applyFill="1" applyAlignment="1">
      <alignment horizontal="center" vertical="center"/>
    </xf>
  </cellXfs>
  <cellStyles count="4">
    <cellStyle name="Moneda" xfId="2" builtinId="4"/>
    <cellStyle name="Normal" xfId="0" builtinId="0"/>
    <cellStyle name="Normal 2" xfId="1" xr:uid="{4295055E-378D-4CC5-B2A4-84281D75DBBF}"/>
    <cellStyle name="Porcentaje" xfId="3" builtinId="5"/>
  </cellStyles>
  <dxfs count="18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auto="1"/>
        <name val="Calibri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family val="2"/>
        <scheme val="none"/>
      </font>
      <alignment horizontal="left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indexed="9"/>
        <name val="Aptos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numFmt numFmtId="19" formatCode="d/mm/yyyy"/>
      <alignment horizontal="right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right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center"/>
    </dxf>
    <dxf>
      <alignment horizontal="center"/>
    </dxf>
    <dxf>
      <alignment vertical="center"/>
    </dxf>
    <dxf>
      <alignment vertical="center"/>
    </dxf>
    <dxf>
      <font>
        <color auto="1"/>
      </font>
      <fill>
        <patternFill patternType="solid">
          <fgColor indexed="64"/>
          <bgColor theme="5" tint="0.79998168889431442"/>
        </patternFill>
      </fill>
    </dxf>
    <dxf>
      <alignment vertical="center"/>
    </dxf>
    <dxf>
      <alignment vertical="center"/>
    </dxf>
    <dxf>
      <alignment horizontal="general"/>
    </dxf>
    <dxf>
      <alignment horizontal="general"/>
    </dxf>
    <dxf>
      <fill>
        <patternFill patternType="solid">
          <bgColor theme="0" tint="-4.9989318521683403E-2"/>
        </patternFill>
      </fill>
    </dxf>
    <dxf>
      <font>
        <color auto="1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horizontal="center"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 patternType="solid">
          <bgColor rgb="FFFFC000"/>
        </patternFill>
      </fill>
    </dxf>
    <dxf>
      <font>
        <color auto="1"/>
      </font>
    </dxf>
    <dxf>
      <fill>
        <patternFill patternType="solid">
          <bgColor theme="0" tint="-4.9989318521683403E-2"/>
        </patternFill>
      </fill>
    </dxf>
    <dxf>
      <alignment horizontal="center"/>
    </dxf>
    <dxf>
      <alignment horizontal="center"/>
    </dxf>
    <dxf>
      <alignment vertical="center"/>
    </dxf>
    <dxf>
      <alignment vertical="center"/>
    </dxf>
    <dxf>
      <numFmt numFmtId="13" formatCode="0%"/>
    </dxf>
    <dxf>
      <alignment horizontal="center"/>
    </dxf>
    <dxf>
      <alignment horizontal="center"/>
    </dxf>
    <dxf>
      <alignment vertical="center"/>
    </dxf>
    <dxf>
      <alignment vertical="center"/>
    </dxf>
    <dxf>
      <font>
        <b/>
      </font>
    </dxf>
    <dxf>
      <font>
        <b/>
      </font>
    </dxf>
    <dxf>
      <font>
        <b/>
      </font>
    </dxf>
    <dxf>
      <fill>
        <patternFill>
          <fgColor theme="6" tint="0.79998168889431442"/>
        </patternFill>
      </fill>
    </dxf>
    <dxf>
      <font>
        <color auto="1"/>
      </font>
    </dxf>
    <dxf>
      <font>
        <color auto="1"/>
      </font>
    </dxf>
    <dxf>
      <font>
        <color auto="1"/>
      </font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alignment horizontal="center"/>
    </dxf>
    <dxf>
      <alignment horizontal="center"/>
    </dxf>
    <dxf>
      <alignment vertical="center"/>
    </dxf>
    <dxf>
      <alignment vertical="center"/>
    </dxf>
    <dxf>
      <fill>
        <patternFill patternType="solid">
          <fgColor indexed="64"/>
          <bgColor rgb="FF00B050"/>
        </patternFill>
      </fill>
      <alignment horizontal="center" vertical="center"/>
    </dxf>
    <dxf>
      <numFmt numFmtId="13" formatCode="0%"/>
    </dxf>
    <dxf>
      <fill>
        <patternFill>
          <bgColor rgb="FF00B050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9"/>
        </patternFill>
      </fill>
    </dxf>
    <dxf>
      <alignment horizontal="center"/>
    </dxf>
    <dxf>
      <alignment horizontal="center"/>
    </dxf>
    <dxf>
      <alignment vertical="center"/>
    </dxf>
    <dxf>
      <alignment vertical="center"/>
    </dxf>
    <dxf>
      <numFmt numFmtId="13" formatCode="0%"/>
    </dxf>
    <dxf>
      <numFmt numFmtId="13" formatCode="0%"/>
    </dxf>
    <dxf>
      <fill>
        <patternFill>
          <bgColor theme="5" tint="0.79998168889431442"/>
        </patternFill>
      </fill>
    </dxf>
    <dxf>
      <fill>
        <patternFill patternType="solid">
          <bgColor rgb="FFFFC000"/>
        </patternFill>
      </fill>
    </dxf>
    <dxf>
      <font>
        <color auto="1"/>
      </font>
    </dxf>
    <dxf>
      <fill>
        <patternFill patternType="solid">
          <bgColor theme="0" tint="-4.9989318521683403E-2"/>
        </patternFill>
      </fill>
    </dxf>
    <dxf>
      <alignment horizontal="center"/>
    </dxf>
    <dxf>
      <alignment horizontal="center"/>
    </dxf>
    <dxf>
      <alignment vertical="center"/>
    </dxf>
    <dxf>
      <alignment vertical="center"/>
    </dxf>
    <dxf>
      <numFmt numFmtId="13" formatCode="0%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>
          <bgColor theme="5" tint="0.79998168889431442"/>
        </patternFill>
      </fill>
    </dxf>
    <dxf>
      <fill>
        <patternFill patternType="solid">
          <bgColor rgb="FFFFC000"/>
        </patternFill>
      </fill>
    </dxf>
    <dxf>
      <font>
        <color auto="1"/>
      </font>
    </dxf>
    <dxf>
      <fill>
        <patternFill patternType="solid">
          <bgColor theme="0" tint="-4.9989318521683403E-2"/>
        </patternFill>
      </fill>
    </dxf>
    <dxf>
      <alignment horizontal="center"/>
    </dxf>
    <dxf>
      <alignment vertical="center"/>
    </dxf>
    <dxf>
      <numFmt numFmtId="13" formatCode="0%"/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</dxfs>
  <tableStyles count="1" defaultTableStyle="TableStyleMedium2" defaultPivotStyle="PivotStyleLight16">
    <tableStyle name="Estilo de tabla dinámica 1" table="0" count="2" xr9:uid="{7CD1BCAD-EE2E-4FCA-9197-79EEB80D72C9}">
      <tableStyleElement type="headerRow" dxfId="187"/>
      <tableStyleElement type="totalRow" dxfId="186"/>
    </tableStyle>
  </tableStyles>
  <colors>
    <mruColors>
      <color rgb="FFFFF1C5"/>
      <color rgb="FF9966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4.xml"/><Relationship Id="rId7" Type="http://schemas.openxmlformats.org/officeDocument/2006/relationships/externalLink" Target="externalLinks/externalLink1.xml"/><Relationship Id="rId12" Type="http://schemas.microsoft.com/office/2007/relationships/slicerCache" Target="slicerCaches/slicerCache3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07/relationships/slicerCache" Target="slicerCaches/slicerCache2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microsoft.com/office/2007/relationships/slicerCache" Target="slicerCaches/slicerCache1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lrMapOvr bg1="lt1" tx1="dk1" bg2="lt2" tx2="dk2" accent1="accent1" accent2="accent2" accent3="accent3" accent4="accent4" accent5="accent5" accent6="accent6" hlink="hlink" folHlink="folHlink"/>
  <c:pivotSource>
    <c:name>[Informe Auditoria Purina -Marzo 2025.xlsx]INFORME!TablaDinámica11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Resultados por cluster por Canal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tx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bg1">
                <a:lumMod val="95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F0F0F0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tx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bg1">
                <a:lumMod val="95000"/>
              </a:schemeClr>
            </a:solidFill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0F9ED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F0F0F0"/>
            </a:solidFill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>
                <a:lumMod val="95000"/>
              </a:sysClr>
            </a:solidFill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INFORME!$E$14:$E$15</c:f>
              <c:strCache>
                <c:ptCount val="1"/>
                <c:pt idx="0">
                  <c:v>TRADICIONAL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INFORME!$D$16:$D$20</c:f>
              <c:strCache>
                <c:ptCount val="4"/>
                <c:pt idx="0">
                  <c:v>ACTIVIDADES DEL MES</c:v>
                </c:pt>
                <c:pt idx="1">
                  <c:v>EJECUCION DEL PDV</c:v>
                </c:pt>
                <c:pt idx="2">
                  <c:v>HORARIO</c:v>
                </c:pt>
                <c:pt idx="3">
                  <c:v>PRESENTACIÓN PERSONAL</c:v>
                </c:pt>
              </c:strCache>
            </c:strRef>
          </c:cat>
          <c:val>
            <c:numRef>
              <c:f>INFORME!$E$16:$E$20</c:f>
              <c:numCache>
                <c:formatCode>0%</c:formatCode>
                <c:ptCount val="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0.96666666666666667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DA-4BC2-9FB8-4879E930A98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050912800"/>
        <c:axId val="2050913280"/>
      </c:barChart>
      <c:catAx>
        <c:axId val="2050912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050913280"/>
        <c:crosses val="autoZero"/>
        <c:auto val="1"/>
        <c:lblAlgn val="ctr"/>
        <c:lblOffset val="100"/>
        <c:noMultiLvlLbl val="0"/>
      </c:catAx>
      <c:valAx>
        <c:axId val="2050913280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2050912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lrMapOvr bg1="lt1" tx1="dk1" bg2="lt2" tx2="dk2" accent1="accent1" accent2="accent2" accent3="accent3" accent4="accent4" accent5="accent5" accent6="accent6" hlink="hlink" folHlink="folHlink"/>
  <c:pivotSource>
    <c:name>[Informe Auditoria Purina -Marzo 2025.xlsx]INFORME!TablaDinámica12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Resultados por cluster por Ciudad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tx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bg1">
                <a:lumMod val="95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F0F0F0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tx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bg1">
                <a:lumMod val="95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F0F0F0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3.2461557336823162E-2"/>
          <c:y val="0.20365704474085566"/>
          <c:w val="0.85598194782575221"/>
          <c:h val="0.6178922445585580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INFORME!$E$27:$E$28</c:f>
              <c:strCache>
                <c:ptCount val="1"/>
                <c:pt idx="0">
                  <c:v>MEDELLIN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solidFill>
                <a:srgbClr val="F0F0F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INFORME!$D$29:$D$33</c:f>
              <c:strCache>
                <c:ptCount val="4"/>
                <c:pt idx="0">
                  <c:v>HORARIO</c:v>
                </c:pt>
                <c:pt idx="1">
                  <c:v>PRESENTACIÓN PERSONAL</c:v>
                </c:pt>
                <c:pt idx="2">
                  <c:v>EJECUCION DEL PDV</c:v>
                </c:pt>
                <c:pt idx="3">
                  <c:v>ACTIVIDADES DEL MES</c:v>
                </c:pt>
              </c:strCache>
            </c:strRef>
          </c:cat>
          <c:val>
            <c:numRef>
              <c:f>INFORME!$E$29:$E$33</c:f>
              <c:numCache>
                <c:formatCode>0%</c:formatCode>
                <c:ptCount val="4"/>
                <c:pt idx="0">
                  <c:v>1</c:v>
                </c:pt>
                <c:pt idx="1">
                  <c:v>0.9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DA-4BC2-9FB8-4879E930A982}"/>
            </c:ext>
          </c:extLst>
        </c:ser>
        <c:ser>
          <c:idx val="1"/>
          <c:order val="1"/>
          <c:tx>
            <c:strRef>
              <c:f>INFORME!$F$27:$F$28</c:f>
              <c:strCache>
                <c:ptCount val="1"/>
                <c:pt idx="0">
                  <c:v>BARRANQUILLA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INFORME!$D$29:$D$33</c:f>
              <c:strCache>
                <c:ptCount val="4"/>
                <c:pt idx="0">
                  <c:v>HORARIO</c:v>
                </c:pt>
                <c:pt idx="1">
                  <c:v>PRESENTACIÓN PERSONAL</c:v>
                </c:pt>
                <c:pt idx="2">
                  <c:v>EJECUCION DEL PDV</c:v>
                </c:pt>
                <c:pt idx="3">
                  <c:v>ACTIVIDADES DEL MES</c:v>
                </c:pt>
              </c:strCache>
            </c:strRef>
          </c:cat>
          <c:val>
            <c:numRef>
              <c:f>INFORME!$F$29:$F$33</c:f>
              <c:numCache>
                <c:formatCode>0%</c:formatCode>
                <c:ptCount val="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146-4216-800D-1DE0B599D7E0}"/>
            </c:ext>
          </c:extLst>
        </c:ser>
        <c:ser>
          <c:idx val="2"/>
          <c:order val="2"/>
          <c:tx>
            <c:strRef>
              <c:f>INFORME!$G$27:$G$28</c:f>
              <c:strCache>
                <c:ptCount val="1"/>
                <c:pt idx="0">
                  <c:v>CALI</c:v>
                </c:pt>
              </c:strCache>
            </c:strRef>
          </c:tx>
          <c:spPr>
            <a:solidFill>
              <a:schemeClr val="accent4">
                <a:tint val="6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INFORME!$D$29:$D$33</c:f>
              <c:strCache>
                <c:ptCount val="4"/>
                <c:pt idx="0">
                  <c:v>HORARIO</c:v>
                </c:pt>
                <c:pt idx="1">
                  <c:v>PRESENTACIÓN PERSONAL</c:v>
                </c:pt>
                <c:pt idx="2">
                  <c:v>EJECUCION DEL PDV</c:v>
                </c:pt>
                <c:pt idx="3">
                  <c:v>ACTIVIDADES DEL MES</c:v>
                </c:pt>
              </c:strCache>
            </c:strRef>
          </c:cat>
          <c:val>
            <c:numRef>
              <c:f>INFORME!$G$29:$G$33</c:f>
              <c:numCache>
                <c:formatCode>0%</c:formatCode>
                <c:ptCount val="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146-4216-800D-1DE0B599D7E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050912800"/>
        <c:axId val="2050913280"/>
      </c:barChart>
      <c:catAx>
        <c:axId val="2050912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050913280"/>
        <c:crosses val="autoZero"/>
        <c:auto val="1"/>
        <c:lblAlgn val="ctr"/>
        <c:lblOffset val="100"/>
        <c:noMultiLvlLbl val="0"/>
      </c:catAx>
      <c:valAx>
        <c:axId val="2050913280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2050912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2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1</xdr:row>
      <xdr:rowOff>67233</xdr:rowOff>
    </xdr:from>
    <xdr:to>
      <xdr:col>13</xdr:col>
      <xdr:colOff>0</xdr:colOff>
      <xdr:row>5</xdr:row>
      <xdr:rowOff>97116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43DFF3F2-6C69-9AFA-48CE-BBA38DD9A512}"/>
            </a:ext>
          </a:extLst>
        </xdr:cNvPr>
        <xdr:cNvSpPr txBox="1"/>
      </xdr:nvSpPr>
      <xdr:spPr>
        <a:xfrm>
          <a:off x="2017060" y="253998"/>
          <a:ext cx="2495176" cy="77694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800" b="1"/>
            <a:t>NESTLE F&amp;B</a:t>
          </a:r>
        </a:p>
        <a:p>
          <a:r>
            <a:rPr lang="es-CO" sz="1100"/>
            <a:t>INFORME MYSTERY SHOPPER </a:t>
          </a:r>
        </a:p>
        <a:p>
          <a:endParaRPr lang="es-CO" sz="200"/>
        </a:p>
        <a:p>
          <a:r>
            <a:rPr lang="es-CO" sz="1000" i="1"/>
            <a:t>24</a:t>
          </a:r>
          <a:r>
            <a:rPr lang="es-CO" sz="1000" i="1" baseline="0"/>
            <a:t> Agosto al 4 Septiembre </a:t>
          </a:r>
          <a:endParaRPr lang="es-CO" sz="1000" i="1"/>
        </a:p>
      </xdr:txBody>
    </xdr:sp>
    <xdr:clientData/>
  </xdr:twoCellAnchor>
  <xdr:twoCellAnchor>
    <xdr:from>
      <xdr:col>13</xdr:col>
      <xdr:colOff>0</xdr:colOff>
      <xdr:row>1</xdr:row>
      <xdr:rowOff>7468</xdr:rowOff>
    </xdr:from>
    <xdr:to>
      <xdr:col>13</xdr:col>
      <xdr:colOff>0</xdr:colOff>
      <xdr:row>5</xdr:row>
      <xdr:rowOff>179292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8BA0075D-6610-9B93-DF97-FDD9D0641296}"/>
            </a:ext>
          </a:extLst>
        </xdr:cNvPr>
        <xdr:cNvSpPr/>
      </xdr:nvSpPr>
      <xdr:spPr>
        <a:xfrm>
          <a:off x="1837765" y="194233"/>
          <a:ext cx="52294" cy="918883"/>
        </a:xfrm>
        <a:prstGeom prst="rect">
          <a:avLst/>
        </a:prstGeom>
        <a:solidFill>
          <a:srgbClr val="996633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 editAs="oneCell">
    <xdr:from>
      <xdr:col>0</xdr:col>
      <xdr:colOff>97517</xdr:colOff>
      <xdr:row>1</xdr:row>
      <xdr:rowOff>15875</xdr:rowOff>
    </xdr:from>
    <xdr:to>
      <xdr:col>1</xdr:col>
      <xdr:colOff>141</xdr:colOff>
      <xdr:row>3</xdr:row>
      <xdr:rowOff>64827</xdr:rowOff>
    </xdr:to>
    <xdr:pic>
      <xdr:nvPicPr>
        <xdr:cNvPr id="5" name="Imagen 4" descr="Icono&#10;&#10;Descripción generada automáticamente">
          <a:extLst>
            <a:ext uri="{FF2B5EF4-FFF2-40B4-BE49-F238E27FC236}">
              <a16:creationId xmlns:a16="http://schemas.microsoft.com/office/drawing/2014/main" id="{9EF84222-501B-4BB1-BA5F-4C2951FE0F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517" y="206375"/>
          <a:ext cx="2560659" cy="499802"/>
        </a:xfrm>
        <a:prstGeom prst="rect">
          <a:avLst/>
        </a:prstGeom>
      </xdr:spPr>
    </xdr:pic>
    <xdr:clientData/>
  </xdr:twoCellAnchor>
  <xdr:twoCellAnchor>
    <xdr:from>
      <xdr:col>8</xdr:col>
      <xdr:colOff>440190</xdr:colOff>
      <xdr:row>9</xdr:row>
      <xdr:rowOff>122162</xdr:rowOff>
    </xdr:from>
    <xdr:to>
      <xdr:col>15</xdr:col>
      <xdr:colOff>85726</xdr:colOff>
      <xdr:row>19</xdr:row>
      <xdr:rowOff>35229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6DC84FFA-91C2-A047-EC7F-E35F34A602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254000</xdr:colOff>
      <xdr:row>5</xdr:row>
      <xdr:rowOff>1059</xdr:rowOff>
    </xdr:from>
    <xdr:to>
      <xdr:col>0</xdr:col>
      <xdr:colOff>2397125</xdr:colOff>
      <xdr:row>12</xdr:row>
      <xdr:rowOff>97971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9" name="CIUDAD">
              <a:extLst>
                <a:ext uri="{FF2B5EF4-FFF2-40B4-BE49-F238E27FC236}">
                  <a16:creationId xmlns:a16="http://schemas.microsoft.com/office/drawing/2014/main" id="{99DA9371-904D-B9CC-FEA2-A327FC85F7C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IUDAD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50825" y="982436"/>
              <a:ext cx="2146300" cy="94887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185056</xdr:colOff>
      <xdr:row>20</xdr:row>
      <xdr:rowOff>166008</xdr:rowOff>
    </xdr:from>
    <xdr:to>
      <xdr:col>0</xdr:col>
      <xdr:colOff>2372631</xdr:colOff>
      <xdr:row>29</xdr:row>
      <xdr:rowOff>9526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0" name="NOMBRE COMERCIAL">
              <a:extLst>
                <a:ext uri="{FF2B5EF4-FFF2-40B4-BE49-F238E27FC236}">
                  <a16:creationId xmlns:a16="http://schemas.microsoft.com/office/drawing/2014/main" id="{F50E9D89-339A-DBE7-56A8-7DFF3F5D911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NOMBRE COMERCIAL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5056" y="4057651"/>
              <a:ext cx="2184400" cy="142602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195792</xdr:colOff>
      <xdr:row>13</xdr:row>
      <xdr:rowOff>12701</xdr:rowOff>
    </xdr:from>
    <xdr:to>
      <xdr:col>0</xdr:col>
      <xdr:colOff>2364317</xdr:colOff>
      <xdr:row>20</xdr:row>
      <xdr:rowOff>48683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1" name="CANAL">
              <a:extLst>
                <a:ext uri="{FF2B5EF4-FFF2-40B4-BE49-F238E27FC236}">
                  <a16:creationId xmlns:a16="http://schemas.microsoft.com/office/drawing/2014/main" id="{21B1F4BE-FFA0-8C57-5C13-DF2D003A25A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NAL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8967" y="2613026"/>
              <a:ext cx="2165350" cy="112818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8</xdr:col>
      <xdr:colOff>476249</xdr:colOff>
      <xdr:row>21</xdr:row>
      <xdr:rowOff>107496</xdr:rowOff>
    </xdr:from>
    <xdr:to>
      <xdr:col>15</xdr:col>
      <xdr:colOff>67580</xdr:colOff>
      <xdr:row>33</xdr:row>
      <xdr:rowOff>74806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CDCED173-A93D-4192-FE60-24A713D147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ngie.gomez\Downloads\Validacion%20Purina%20-%2024%20Marzo%20Paula.xlsx" TargetMode="External"/><Relationship Id="rId1" Type="http://schemas.openxmlformats.org/officeDocument/2006/relationships/externalLinkPath" Target="file:///C:\Users\angie.gomez\Downloads\Validacion%20Purina%20-%2024%20Marzo%20Paul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URINA"/>
    </sheetNames>
    <sheetDataSet>
      <sheetData sheetId="0">
        <row r="1">
          <cell r="I1" t="str">
            <v>RTA 2</v>
          </cell>
          <cell r="J1" t="str">
            <v>VALIDACION</v>
          </cell>
        </row>
        <row r="2">
          <cell r="I2" t="str">
            <v>SI</v>
          </cell>
          <cell r="J2" t="str">
            <v>26388644¿CUMPLE HORARIO DE ENTRADA O SALIDA DE LA TIENDA?</v>
          </cell>
        </row>
        <row r="3">
          <cell r="I3" t="str">
            <v>CANAL MODERNO</v>
          </cell>
          <cell r="J3" t="str">
            <v>26388644QUE CANAL VA A REALIZAR</v>
          </cell>
        </row>
        <row r="4">
          <cell r="I4" t="str">
            <v>NO</v>
          </cell>
          <cell r="J4" t="str">
            <v>26388644OFRECIO ALGUN PRODUCTO DEL PORTAFOLIO PURINA DE PRODUCTOS HUMEDOS, SNACK U OTROS COMUNICANDO LOS BENEFICIOS DEL PRODUCTO</v>
          </cell>
        </row>
        <row r="5">
          <cell r="I5" t="str">
            <v>SI</v>
          </cell>
          <cell r="J5" t="str">
            <v>26388644OFRECIO ALGUN PRODUCTO DEL PORTAFOLIO PURINA DE PRODUCTOS SECOS COMUNICANDO LOS BENEFICIOS DEL PRODUCTO</v>
          </cell>
        </row>
        <row r="6">
          <cell r="I6" t="str">
            <v>SI</v>
          </cell>
          <cell r="J6" t="str">
            <v>26388644SE PRODUCE ABORDO PROACTIVO (ANTES DE LOS 3 MIN)</v>
          </cell>
        </row>
        <row r="7">
          <cell r="I7" t="str">
            <v>NO</v>
          </cell>
          <cell r="J7" t="str">
            <v>26388644USA ACCESORIOS QUE NO CUMPLE CON EL CODIGO DE VESTIMENTA</v>
          </cell>
        </row>
        <row r="8">
          <cell r="I8" t="str">
            <v>NO</v>
          </cell>
          <cell r="J8" t="str">
            <v>26388644TIENE UÑAS LLAMATIVAS Y/O LARGAS QUE NO CUMPLE CON EL CODIGO DE VESTIMENTA</v>
          </cell>
        </row>
        <row r="9">
          <cell r="I9" t="str">
            <v>NO</v>
          </cell>
          <cell r="J9" t="str">
            <v>26388644TIENE TATUAJES O PIERCINGS VISIBLES QUE NO CUMPLE CON EL CODIGO DE VESTIMENTA</v>
          </cell>
        </row>
        <row r="10">
          <cell r="I10" t="str">
            <v>NO</v>
          </cell>
          <cell r="J10" t="str">
            <v>26388644PRESENTA EXCESO DE MAQUILLAJE QUE NO CUMPLE CON EL CODIGO DE VESTIMENTA</v>
          </cell>
        </row>
        <row r="11">
          <cell r="I11" t="str">
            <v>SI</v>
          </cell>
          <cell r="J11" t="str">
            <v>26388644SU CABELLO LUCE LIMPIO, ORGANIZADO O RECOGIDO</v>
          </cell>
        </row>
        <row r="12">
          <cell r="I12" t="str">
            <v>SI</v>
          </cell>
          <cell r="J12" t="str">
            <v>26388644EL UNIFORME Y ZAPATOS SE ENCUENTRAN LIMPIOS Y EN BUEN ESTADO</v>
          </cell>
        </row>
        <row r="13">
          <cell r="I13" t="str">
            <v>NO</v>
          </cell>
          <cell r="J13" t="str">
            <v>26388644POSEE ALGUNA PRENDA ENCIMA DEL UNIFORME NO AUTORIZADA POR LA MARCA (SOLO PERMITIDO CHALECO DE SODIMAC Y EASY)</v>
          </cell>
        </row>
        <row r="14">
          <cell r="I14" t="str">
            <v>SI</v>
          </cell>
          <cell r="J14" t="str">
            <v>26388644CUENTA CON CALZADO DE ACUERDO AL UNIFORME</v>
          </cell>
        </row>
        <row r="15">
          <cell r="I15" t="str">
            <v>SI</v>
          </cell>
          <cell r="J15" t="str">
            <v>26388644CUENTA CON CAMISA DEL UNIFORME Y LOGOS SEGÚN EL CARGO (NEGRA / GRIS / ROJA / TURQUESA) (PERMITIDO USAR DEBAJO DE CAMISA BUSO MANGA LARGA NEGRO)</v>
          </cell>
        </row>
        <row r="16">
          <cell r="I16" t="str">
            <v>SI</v>
          </cell>
          <cell r="J16" t="str">
            <v>26388644CUENTA CON PANTALON DEL UNIFORME SEGUN EL CARGO (NEGRO / ROJO / TURQUESA / JEAN)</v>
          </cell>
        </row>
        <row r="17">
          <cell r="I17" t="str">
            <v>NO</v>
          </cell>
          <cell r="J17" t="str">
            <v>26388644M. OFRECE PURINA ONE: (APLICA SOLO EN CANAL MODERNO, CADENAS, SI EL PRODUCTO ESTA EN EL PDV)</v>
          </cell>
        </row>
        <row r="18">
          <cell r="I18" t="str">
            <v>NO</v>
          </cell>
          <cell r="J18" t="str">
            <v>26388644M. MENCIONA QUE LOS RESULTADOS DE PURINA ONE SON VISIBLES EN 28 DIAS?</v>
          </cell>
        </row>
        <row r="19">
          <cell r="I19" t="str">
            <v>NO</v>
          </cell>
          <cell r="J19" t="str">
            <v>26388644M. MENCIONA QUE TIENE CARNE DE VERDAD COMO INGREDIENTE NO.1 E INGREDIENTES NATURALES Y FUNCIONALES?</v>
          </cell>
        </row>
        <row r="20">
          <cell r="I20" t="str">
            <v>NO</v>
          </cell>
          <cell r="J20" t="str">
            <v>26388644M. MENCIONA QUE PURINA ONE CUENTA CON ALIMENTO HUMEDO Y MENCIONA LAS 3 VARIADADES  ( SUPER FOODS, SUPER NUTRIENTES Y MULTI PROTEINAS);PERRO Y GATO</v>
          </cell>
        </row>
        <row r="21">
          <cell r="I21" t="str">
            <v>SI</v>
          </cell>
          <cell r="J21" t="str">
            <v>26388644CONSIDERO QUE INDEPENDIENTEMENTE DEL SPEECH, LA LABOR DE VENTA ES BUENA</v>
          </cell>
        </row>
        <row r="22">
          <cell r="I22" t="str">
            <v>SI</v>
          </cell>
          <cell r="J22" t="str">
            <v>26388644SE ENCUENTRA LIMPIA EL AREA DE DEMOSTRACION</v>
          </cell>
        </row>
        <row r="23">
          <cell r="I23" t="str">
            <v>SI</v>
          </cell>
          <cell r="J23" t="str">
            <v>26388644RESUELVE LA OBJECION SATISFACTORIAMENTE</v>
          </cell>
        </row>
        <row r="24">
          <cell r="I24" t="str">
            <v>NO TENIA DINERO</v>
          </cell>
          <cell r="J24" t="str">
            <v>26388644DE QUE TIPO ES LA OBJECION</v>
          </cell>
        </row>
        <row r="25">
          <cell r="I25" t="str">
            <v>SI</v>
          </cell>
          <cell r="J25" t="str">
            <v>26388644SE PRESENTARON OBJECIONES</v>
          </cell>
        </row>
        <row r="26">
          <cell r="I26" t="str">
            <v>SI</v>
          </cell>
          <cell r="J26" t="str">
            <v>26388644M. EL ASESOR EXPLICA CON CLARIDAD LA DINAMICA DE PARTICIPACIÓN</v>
          </cell>
        </row>
        <row r="27">
          <cell r="I27" t="str">
            <v>SI</v>
          </cell>
          <cell r="J27" t="str">
            <v>26388644M. EL ASESOR COMUNICA SOBRE LA ACTIVIDAD "HOY GANAS MAÑANA TAMBIEN"</v>
          </cell>
        </row>
        <row r="28">
          <cell r="I28" t="str">
            <v>SI</v>
          </cell>
          <cell r="J28" t="str">
            <v>26388644M. AL PRESENTAR OBJECIÓN "PRECIO MUY COSTOSO", EL ASESOR OFRECE LOS PRODUCTOS EN ORDEN DE SEGMENTACIÓN: P: PURINA ONE - DOG CHOW - ALPO G: PURINA ONE - CAT CHOW - FELIX - GATSY ( "DICE AHORA ES MAS SABROSO")</v>
          </cell>
        </row>
        <row r="29">
          <cell r="I29" t="str">
            <v>SI</v>
          </cell>
          <cell r="J29" t="str">
            <v>26388644M. MANEJA LA OBJECION DE ALTO PRECIO, COMUNICANDO LA BAJA DE PRECIOS DE LAS MARCAS O LAS OFERTAS DISPONIBLES EN EL PUNTO DE VENTA.</v>
          </cell>
        </row>
        <row r="30">
          <cell r="I30" t="str">
            <v>NO</v>
          </cell>
          <cell r="J30" t="str">
            <v>26388644REALIZA CIERRE  CON FRASES " DESEA LLEVARLO" ,"CUANTOS DESEARIA LLEVAR" ," LE GUSTARIA ADQUIRIRLO" , " CUANTAS UNIDADES DESEA LLEVAR" , " LE GUSTARIA LLEVARLO EN PRESENTACIÓN HUMEDA O SECA"</v>
          </cell>
        </row>
        <row r="31">
          <cell r="I31" t="str">
            <v>NO</v>
          </cell>
          <cell r="J31" t="str">
            <v>26400581PRESENTA ALGUNA NOVEDAD?</v>
          </cell>
        </row>
        <row r="32">
          <cell r="I32" t="str">
            <v>NO</v>
          </cell>
          <cell r="J32" t="str">
            <v>26400581¿CUMPLE HORARIO DE ENTRADA O SALIDA DE LA TIENDA?</v>
          </cell>
        </row>
        <row r="33">
          <cell r="I33" t="str">
            <v>NO</v>
          </cell>
          <cell r="J33" t="str">
            <v>26400532CONSIDERO QUE INDEPENDIENTEMENTE DEL SPEECH, LA LABOR DE VENTA ES BUENA</v>
          </cell>
        </row>
        <row r="34">
          <cell r="I34" t="str">
            <v>NO APLICA</v>
          </cell>
          <cell r="J34" t="str">
            <v>26400532REALIZA CIERRE  CON FRASES " DESEA LLEVARLO" ,"CUANTOS DESEARIA LLEVAR" ," LE GUSTARIA ADQUIRIRLO" , " CUANTAS UNIDADES DESEA LLEVAR" , " LE GUSTARIA LLEVARLO EN PRESENTACIÓN HUMEDA O SECA"</v>
          </cell>
        </row>
        <row r="35">
          <cell r="I35" t="str">
            <v>NO</v>
          </cell>
          <cell r="J35" t="str">
            <v>26400532SE ENCUENTRA LIMPIA EL AREA DE DEMOSTRACION</v>
          </cell>
        </row>
        <row r="36">
          <cell r="I36" t="str">
            <v>NO</v>
          </cell>
          <cell r="J36" t="str">
            <v>26400532SE PRESENTARON OBJECIONES</v>
          </cell>
        </row>
        <row r="37">
          <cell r="I37" t="str">
            <v>NO</v>
          </cell>
          <cell r="J37" t="str">
            <v>26400532EN CANAL E., EL ASESOR EXPLICA CON CLARIDAD LA ACTIVIDAD DE "GANA AL INSTANTE" (A PARTIR DEL 17 DE MARZO)</v>
          </cell>
        </row>
        <row r="38">
          <cell r="I38" t="str">
            <v>NO</v>
          </cell>
          <cell r="J38" t="str">
            <v>26400532EN CANAL E., EL ASESOR COMUNICA PROACTIVAMENTE LA ACTIVIDAD DE "GANA AL INSTANTE" (A PARTIR DEL 17 DE MARZO)</v>
          </cell>
        </row>
        <row r="39">
          <cell r="I39" t="str">
            <v>NO</v>
          </cell>
          <cell r="J39" t="str">
            <v>26400532EN CANAL E., EL ASESOR OFRECE PRODUCTO HUMEDO Y COMUNICA LA DINAMICA DE MULTIPRICE (POR LA COMPRA DE MAS CANTIDADES TIENE DESCUENTO).</v>
          </cell>
        </row>
        <row r="40">
          <cell r="I40" t="str">
            <v>NO</v>
          </cell>
          <cell r="J40" t="str">
            <v>26400532EN CANAL E.  EL ASESOR COMUNICA LOS BENEFICIOS O CARACTERISTICAS DEL PRODUCTO EXCELLENT E INFORMA QUE EL PRODUCTO CAMBIO DE IMAGEN PERO CONTINUA CON LA MISMA FORMULA?</v>
          </cell>
        </row>
        <row r="41">
          <cell r="I41" t="str">
            <v>SI</v>
          </cell>
          <cell r="J41" t="str">
            <v>26400532EN CANAL E.  EL ASESOR COMUNICA QUE LA MARCA EXCELLENT ESTA DENTRO DE LA CATEGORIA SUPERPREMIUM PERO A UN COSTO MAS ACCESIBLE.</v>
          </cell>
        </row>
        <row r="42">
          <cell r="I42" t="str">
            <v>SI</v>
          </cell>
          <cell r="J42" t="str">
            <v>26400532EN CANAL E. DESPUES DE OBJECION DE PRECIO, EL ASESOR OFRECIO LA MARCA EXCELLENT?</v>
          </cell>
        </row>
        <row r="43">
          <cell r="I43" t="str">
            <v>NO</v>
          </cell>
          <cell r="J43" t="str">
            <v>26400532EN CANAL E. LO PRIMERO QUE OFRECE EL ASESOR ES LA MARCA PRO PLAN?</v>
          </cell>
        </row>
        <row r="44">
          <cell r="I44" t="str">
            <v>CANAL ESPECIALIZADO</v>
          </cell>
          <cell r="J44" t="str">
            <v>26400532QUE CANAL VA A REALIZAR</v>
          </cell>
        </row>
        <row r="45">
          <cell r="I45" t="str">
            <v>NO</v>
          </cell>
          <cell r="J45" t="str">
            <v>26400532OFRECIO ALGUN PRODUCTO DEL PORTAFOLIO PURINA DE PRODUCTOS HUMEDOS, SNACK U OTROS COMUNICANDO LOS BENEFICIOS DEL PRODUCTO</v>
          </cell>
        </row>
        <row r="46">
          <cell r="I46" t="str">
            <v>NINGUNO</v>
          </cell>
          <cell r="J46" t="str">
            <v>26400532OFRECIO ALGUN PRODUCTO DEL PORTAFOLIO PURINA DE PRODUCTOS SECOS COMUNICANDO LOS BENEFICIOS DEL PRODUCTO</v>
          </cell>
        </row>
        <row r="47">
          <cell r="I47" t="str">
            <v>NO</v>
          </cell>
          <cell r="J47" t="str">
            <v>26400532SE PRODUCE ABORDO PROACTIVO (ANTES DE LOS 3 MIN)</v>
          </cell>
        </row>
        <row r="48">
          <cell r="I48" t="str">
            <v>NO</v>
          </cell>
          <cell r="J48" t="str">
            <v>26400532USA ACCESORIOS QUE NO CUMPLE CON EL CODIGO DE VESTIMENTA</v>
          </cell>
        </row>
        <row r="49">
          <cell r="I49" t="str">
            <v>NO</v>
          </cell>
          <cell r="J49" t="str">
            <v>26400532TIENE UÑAS LLAMATIVAS Y/O LARGAS QUE NO CUMPLE CON EL CODIGO DE VESTIMENTA</v>
          </cell>
        </row>
        <row r="50">
          <cell r="I50" t="str">
            <v>NO</v>
          </cell>
          <cell r="J50" t="str">
            <v>26400532TIENE TATUAJES O PIERCINGS VISIBLES QUE NO CUMPLE CON EL CODIGO DE VESTIMENTA</v>
          </cell>
        </row>
        <row r="51">
          <cell r="I51" t="str">
            <v>NO</v>
          </cell>
          <cell r="J51" t="str">
            <v>26400532PRESENTA EXCESO DE MAQUILLAJE QUE NO CUMPLE CON EL CODIGO DE VESTIMENTA</v>
          </cell>
        </row>
        <row r="52">
          <cell r="I52" t="str">
            <v>SI</v>
          </cell>
          <cell r="J52" t="str">
            <v>26400532SU CABELLO LUCE LIMPIO, ORGANIZADO O RECOGIDO</v>
          </cell>
        </row>
        <row r="53">
          <cell r="I53" t="str">
            <v>SI</v>
          </cell>
          <cell r="J53" t="str">
            <v>26400532EL UNIFORME Y ZAPATOS SE ENCUENTRAN LIMPIOS Y EN BUEN ESTADO</v>
          </cell>
        </row>
        <row r="54">
          <cell r="I54" t="str">
            <v>NO</v>
          </cell>
          <cell r="J54" t="str">
            <v>26400532POSEE ALGUNA PRENDA ENCIMA DEL UNIFORME NO AUTORIZADA POR LA MARCA (SOLO PERMITIDO CHALECO DE SODIMAC Y EASY)</v>
          </cell>
        </row>
        <row r="55">
          <cell r="I55" t="str">
            <v>NO</v>
          </cell>
          <cell r="J55" t="str">
            <v>26400532CUENTA CON CALZADO DE ACUERDO AL UNIFORME</v>
          </cell>
        </row>
        <row r="56">
          <cell r="I56" t="str">
            <v>NO</v>
          </cell>
          <cell r="J56" t="str">
            <v>26400532CUENTA CON CAMISA DEL UNIFORME Y LOGOS SEGÚN EL CARGO (NEGRA / GRIS / ROJA / TURQUESA) (PERMITIDO USAR DEBAJO DE CAMISA BUSO MANGA LARGA NEGRO)</v>
          </cell>
        </row>
        <row r="57">
          <cell r="I57" t="str">
            <v>NO</v>
          </cell>
          <cell r="J57" t="str">
            <v>26400532CUENTA CON PANTALON DEL UNIFORME SEGUN EL CARGO (NEGRO / ROJO / TURQUESA / JEAN)</v>
          </cell>
        </row>
        <row r="58">
          <cell r="I58" t="str">
            <v>SI</v>
          </cell>
          <cell r="J58" t="str">
            <v>26400532¿CUMPLE HORARIO DE ENTRADA O SALIDA DE LA TIENDA?</v>
          </cell>
        </row>
        <row r="59">
          <cell r="I59" t="str">
            <v>SI</v>
          </cell>
          <cell r="J59" t="str">
            <v>26419994SE PRESENTARON OBJECIONES</v>
          </cell>
        </row>
        <row r="60">
          <cell r="I60" t="str">
            <v>NO</v>
          </cell>
          <cell r="J60" t="str">
            <v>26419994EN CANAL E., EL ASESOR EXPLICA CON CLARIDAD LA ACTIVIDAD DE "GANA AL INSTANTE" (A PARTIR DEL 17 DE MARZO)</v>
          </cell>
        </row>
        <row r="61">
          <cell r="I61" t="str">
            <v>NO</v>
          </cell>
          <cell r="J61" t="str">
            <v>26419994EN CANAL E., EL ASESOR COMUNICA PROACTIVAMENTE LA ACTIVIDAD DE "GANA AL INSTANTE" (A PARTIR DEL 17 DE MARZO)</v>
          </cell>
        </row>
        <row r="62">
          <cell r="I62" t="str">
            <v>NO</v>
          </cell>
          <cell r="J62" t="str">
            <v>26419994EN CANAL E., EL ASESOR OFRECE PRODUCTO HUMEDO Y COMUNICA LA DINAMICA DE MULTIPRICE (POR LA COMPRA DE MAS CANTIDADES TIENE DESCUENTO).</v>
          </cell>
        </row>
        <row r="63">
          <cell r="I63" t="str">
            <v>SI</v>
          </cell>
          <cell r="J63" t="str">
            <v>26419994EN CANAL E.  EL ASESOR COMUNICA LOS BENEFICIOS O CARACTERISTICAS DEL PRODUCTO EXCELLENT E INFORMA QUE EL PRODUCTO CAMBIO DE IMAGEN PERO CONTINUA CON LA MISMA FORMULA?</v>
          </cell>
        </row>
        <row r="64">
          <cell r="I64" t="str">
            <v>SI</v>
          </cell>
          <cell r="J64" t="str">
            <v>26419994EN CANAL E.  EL ASESOR COMUNICA QUE LA MARCA EXCELLENT ESTA DENTRO DE LA CATEGORIA SUPERPREMIUM PERO A UN COSTO MAS ACCESIBLE.</v>
          </cell>
        </row>
        <row r="65">
          <cell r="I65" t="str">
            <v>SI</v>
          </cell>
          <cell r="J65" t="str">
            <v>26419994EN CANAL E. DESPUES DE OBJECION DE PRECIO, EL ASESOR OFRECIO LA MARCA EXCELLENT?</v>
          </cell>
        </row>
        <row r="66">
          <cell r="I66" t="str">
            <v>NO</v>
          </cell>
          <cell r="J66" t="str">
            <v>26419994EN CANAL E. LO PRIMERO QUE OFRECE EL ASESOR ES LA MARCA PRO PLAN?</v>
          </cell>
        </row>
        <row r="67">
          <cell r="I67" t="str">
            <v>CANAL ESPECIALIZADO</v>
          </cell>
          <cell r="J67" t="str">
            <v>26419994QUE CANAL VA A REALIZAR</v>
          </cell>
        </row>
        <row r="68">
          <cell r="I68" t="str">
            <v>SI</v>
          </cell>
          <cell r="J68" t="str">
            <v>26419994OFRECIO ALGUN PRODUCTO DEL PORTAFOLIO PURINA DE PRODUCTOS HUMEDOS, SNACK U OTROS COMUNICANDO LOS BENEFICIOS DEL PRODUCTO</v>
          </cell>
        </row>
        <row r="69">
          <cell r="I69" t="str">
            <v xml:space="preserve">PROPLAN </v>
          </cell>
          <cell r="J69" t="str">
            <v>26419994OFRECIO ALGUN PRODUCTO DEL PORTAFOLIO PURINA DE PRODUCTOS SECOS COMUNICANDO LOS BENEFICIOS DEL PRODUCTO</v>
          </cell>
        </row>
        <row r="70">
          <cell r="I70" t="str">
            <v>NO</v>
          </cell>
          <cell r="J70" t="str">
            <v>26419994SE PRODUCE ABORDO PROACTIVO (ANTES DE LOS 3 MIN)</v>
          </cell>
        </row>
        <row r="71">
          <cell r="I71" t="str">
            <v>NO</v>
          </cell>
          <cell r="J71" t="str">
            <v>26419994USA ACCESORIOS QUE NO CUMPLE CON EL CODIGO DE VESTIMENTA</v>
          </cell>
        </row>
        <row r="72">
          <cell r="I72" t="str">
            <v>NO</v>
          </cell>
          <cell r="J72" t="str">
            <v>26419994TIENE UÑAS LLAMATIVAS Y/O LARGAS QUE NO CUMPLE CON EL CODIGO DE VESTIMENTA</v>
          </cell>
        </row>
        <row r="73">
          <cell r="I73" t="str">
            <v>NO</v>
          </cell>
          <cell r="J73" t="str">
            <v>26419994TIENE TATUAJES O PIERCINGS VISIBLES QUE NO CUMPLE CON EL CODIGO DE VESTIMENTA</v>
          </cell>
        </row>
        <row r="74">
          <cell r="I74" t="str">
            <v>NO</v>
          </cell>
          <cell r="J74" t="str">
            <v>26419994PRESENTA EXCESO DE MAQUILLAJE QUE NO CUMPLE CON EL CODIGO DE VESTIMENTA</v>
          </cell>
        </row>
        <row r="75">
          <cell r="I75" t="str">
            <v>SI</v>
          </cell>
          <cell r="J75" t="str">
            <v>26419994SU CABELLO LUCE LIMPIO, ORGANIZADO O RECOGIDO</v>
          </cell>
        </row>
        <row r="76">
          <cell r="I76" t="str">
            <v>SI</v>
          </cell>
          <cell r="J76" t="str">
            <v>26419994RESUELVE LA OBJECION SATISFACTORIAMENTE</v>
          </cell>
        </row>
        <row r="77">
          <cell r="I77" t="str">
            <v>SI</v>
          </cell>
          <cell r="J77" t="str">
            <v>26419994SE ENCUENTRA LIMPIA EL AREA DE DEMOSTRACION</v>
          </cell>
        </row>
        <row r="78">
          <cell r="I78" t="str">
            <v>NO</v>
          </cell>
          <cell r="J78" t="str">
            <v>26419994REALIZA CIERRE  CON FRASES " DESEA LLEVARLO" ,"CUANTOS DESEARIA LLEVAR" ," LE GUSTARIA ADQUIRIRLO" , " CUANTAS UNIDADES DESEA LLEVAR" , " LE GUSTARIA LLEVARLO EN PRESENTACIÓN HUMEDA O SECA"</v>
          </cell>
        </row>
        <row r="79">
          <cell r="I79" t="str">
            <v>SI</v>
          </cell>
          <cell r="J79" t="str">
            <v>26419994CONSIDERO QUE INDEPENDIENTEMENTE DEL SPEECH, LA LABOR DE VENTA ES BUENA</v>
          </cell>
        </row>
        <row r="80">
          <cell r="I80" t="str">
            <v>SI</v>
          </cell>
          <cell r="J80" t="str">
            <v>26419994EL UNIFORME Y ZAPATOS SE ENCUENTRAN LIMPIOS Y EN BUEN ESTADO</v>
          </cell>
        </row>
        <row r="81">
          <cell r="I81" t="str">
            <v xml:space="preserve">Se realiza la visita dos veces y la primera no se encuentra nadie y me atiende un asesor de agrocampo . </v>
          </cell>
          <cell r="J81" t="str">
            <v>26419994CUAL ES LA NOVEDAD</v>
          </cell>
        </row>
        <row r="82">
          <cell r="I82" t="str">
            <v>SI</v>
          </cell>
          <cell r="J82" t="str">
            <v>26419994PRESENTA ALGUNA NOVEDAD?</v>
          </cell>
        </row>
        <row r="83">
          <cell r="I83" t="str">
            <v>SI</v>
          </cell>
          <cell r="J83" t="str">
            <v>26419994POSEE ALGUNA PRENDA ENCIMA DEL UNIFORME NO AUTORIZADA POR LA MARCA (SOLO PERMITIDO CHALECO DE SODIMAC Y EASY)</v>
          </cell>
        </row>
        <row r="84">
          <cell r="I84" t="str">
            <v>SI</v>
          </cell>
          <cell r="J84" t="str">
            <v>26419994CUENTA CON CAMISA DEL UNIFORME Y LOGOS SEGÚN EL CARGO (NEGRA / GRIS / ROJA / TURQUESA) (PERMITIDO USAR DEBAJO DE CAMISA BUSO MANGA LARGA NEGRO)</v>
          </cell>
        </row>
        <row r="85">
          <cell r="I85" t="str">
            <v>SI</v>
          </cell>
          <cell r="J85" t="str">
            <v>26419994CUENTA CON PANTALON DEL UNIFORME SEGUN EL CARGO (NEGRO / ROJO / TURQUESA / JEAN)</v>
          </cell>
        </row>
        <row r="86">
          <cell r="I86" t="str">
            <v>SI</v>
          </cell>
          <cell r="J86" t="str">
            <v>26419994¿CUMPLE HORARIO DE ENTRADA O SALIDA DE LA TIENDA?</v>
          </cell>
        </row>
        <row r="87">
          <cell r="I87" t="str">
            <v>SI</v>
          </cell>
          <cell r="J87" t="str">
            <v>26419994CUENTA CON CALZADO DE ACUERDO AL UNIFORME</v>
          </cell>
        </row>
        <row r="88">
          <cell r="I88" t="str">
            <v>No se logra entender</v>
          </cell>
          <cell r="J88" t="str">
            <v>26420000CUAL ES LA NOVEDAD</v>
          </cell>
        </row>
        <row r="89">
          <cell r="I89" t="str">
            <v>SI</v>
          </cell>
          <cell r="J89" t="str">
            <v>26420000PRESENTA ALGUNA NOVEDAD?</v>
          </cell>
        </row>
        <row r="90">
          <cell r="I90" t="str">
            <v>NO</v>
          </cell>
          <cell r="J90" t="str">
            <v>26420000¿CUMPLE HORARIO DE ENTRADA O SALIDA DE LA TIENDA?</v>
          </cell>
        </row>
        <row r="91">
          <cell r="I91" t="str">
            <v>NO</v>
          </cell>
          <cell r="J91" t="str">
            <v>26419998PRESENTA ALGUNA NOVEDAD?</v>
          </cell>
        </row>
        <row r="92">
          <cell r="I92" t="str">
            <v>SI</v>
          </cell>
          <cell r="J92" t="str">
            <v>26419998CONSIDERO QUE INDEPENDIENTEMENTE DEL SPEECH, LA LABOR DE VENTA ES BUENA</v>
          </cell>
        </row>
        <row r="93">
          <cell r="I93" t="str">
            <v>NO</v>
          </cell>
          <cell r="J93" t="str">
            <v>26419998REALIZA CIERRE  CON FRASES " DESEA LLEVARLO" ,"CUANTOS DESEARIA LLEVAR" ," LE GUSTARIA ADQUIRIRLO" , " CUANTAS UNIDADES DESEA LLEVAR" , " LE GUSTARIA LLEVARLO EN PRESENTACIÓN HUMEDA O SECA"</v>
          </cell>
        </row>
        <row r="94">
          <cell r="I94" t="str">
            <v>SI</v>
          </cell>
          <cell r="J94" t="str">
            <v>26419998SE ENCUENTRA LIMPIA EL AREA DE DEMOSTRACION</v>
          </cell>
        </row>
        <row r="95">
          <cell r="I95" t="str">
            <v xml:space="preserve">NINGUNO </v>
          </cell>
          <cell r="J95" t="str">
            <v>26419998RESUELVE LA OBJECION SATISFACTORIAMENTE</v>
          </cell>
        </row>
        <row r="96">
          <cell r="I96" t="str">
            <v>NO</v>
          </cell>
          <cell r="J96" t="str">
            <v>26419998SE PRESENTARON OBJECIONES</v>
          </cell>
        </row>
        <row r="97">
          <cell r="I97" t="str">
            <v>NO</v>
          </cell>
          <cell r="J97" t="str">
            <v>26419998EN CANAL E., EL ASESOR EXPLICA CON CLARIDAD LA ACTIVIDAD DE "GANA AL INSTANTE" (A PARTIR DEL 17 DE MARZO)</v>
          </cell>
        </row>
        <row r="98">
          <cell r="I98" t="str">
            <v>NO</v>
          </cell>
          <cell r="J98" t="str">
            <v>26419998EN CANAL E., EL ASESOR COMUNICA PROACTIVAMENTE LA ACTIVIDAD DE "GANA AL INSTANTE" (A PARTIR DEL 17 DE MARZO)</v>
          </cell>
        </row>
        <row r="99">
          <cell r="I99" t="str">
            <v>NO</v>
          </cell>
          <cell r="J99" t="str">
            <v>26419998EN CANAL E., EL ASESOR OFRECE PRODUCTO HUMEDO Y COMUNICA LA DINAMICA DE MULTIPRICE (POR LA COMPRA DE MAS CANTIDADES TIENE DESCUENTO).</v>
          </cell>
        </row>
        <row r="100">
          <cell r="I100" t="str">
            <v>SI</v>
          </cell>
          <cell r="J100" t="str">
            <v>26419998EN CANAL E.  EL ASESOR COMUNICA LOS BENEFICIOS O CARACTERISTICAS DEL PRODUCTO EXCELLENT E INFORMA QUE EL PRODUCTO CAMBIO DE IMAGEN PERO CONTINUA CON LA MISMA FORMULA?</v>
          </cell>
        </row>
        <row r="101">
          <cell r="I101" t="str">
            <v>SI</v>
          </cell>
          <cell r="J101" t="str">
            <v>26419998EN CANAL E.  EL ASESOR COMUNICA QUE LA MARCA EXCELLENT ESTA DENTRO DE LA CATEGORIA SUPERPREMIUM PERO A UN COSTO MAS ACCESIBLE.</v>
          </cell>
        </row>
        <row r="102">
          <cell r="I102" t="str">
            <v>SI</v>
          </cell>
          <cell r="J102" t="str">
            <v>26419998EN CANAL E. DESPUES DE OBJECION DE PRECIO, EL ASESOR OFRECIO LA MARCA EXCELLENT?</v>
          </cell>
        </row>
        <row r="103">
          <cell r="I103" t="str">
            <v>SI</v>
          </cell>
          <cell r="J103" t="str">
            <v>26404720¿CUMPLE HORARIO DE ENTRADA O SALIDA DE LA TIENDA?</v>
          </cell>
        </row>
        <row r="104">
          <cell r="I104" t="str">
            <v>SI</v>
          </cell>
          <cell r="J104" t="str">
            <v>26404720CUENTA CON PANTALON DEL UNIFORME SEGUN EL CARGO (NEGRO / ROJO / TURQUESA / JEAN)</v>
          </cell>
        </row>
        <row r="105">
          <cell r="I105" t="str">
            <v>SI</v>
          </cell>
          <cell r="J105" t="str">
            <v>26404720CUENTA CON CAMISA DEL UNIFORME Y LOGOS SEGÚN EL CARGO (NEGRA / GRIS / ROJA / TURQUESA) (PERMITIDO USAR DEBAJO DE CAMISA BUSO MANGA LARGA NEGRO)</v>
          </cell>
        </row>
        <row r="106">
          <cell r="I106" t="str">
            <v>NO</v>
          </cell>
          <cell r="J106" t="str">
            <v>26404720POSEE ALGUNA PRENDA ENCIMA DEL UNIFORME NO AUTORIZADA POR LA MARCA (SOLO PERMITIDO CHALECO DE SODIMAC Y EASY)</v>
          </cell>
        </row>
        <row r="107">
          <cell r="I107" t="str">
            <v>SI</v>
          </cell>
          <cell r="J107" t="str">
            <v>26404720EN CANAL E., EL ASESOR OFRECE PRODUCTO HUMEDO Y COMUNICA LA DINAMICA DE MULTIPRICE (POR LA COMPRA DE MAS CANTIDADES TIENE DESCUENTO).</v>
          </cell>
        </row>
        <row r="108">
          <cell r="I108" t="str">
            <v>SI</v>
          </cell>
          <cell r="J108" t="str">
            <v>26404720EN CANAL E.  EL ASESOR COMUNICA LOS BENEFICIOS O CARACTERISTICAS DEL PRODUCTO EXCELLENT E INFORMA QUE EL PRODUCTO CAMBIO DE IMAGEN PERO CONTINUA CON LA MISMA FORMULA?</v>
          </cell>
        </row>
        <row r="109">
          <cell r="I109" t="str">
            <v>NO</v>
          </cell>
          <cell r="J109" t="str">
            <v>26404720EN CANAL E.  EL ASESOR COMUNICA QUE LA MARCA EXCELLENT ESTA DENTRO DE LA CATEGORIA SUPERPREMIUM PERO A UN COSTO MAS ACCESIBLE.</v>
          </cell>
        </row>
        <row r="110">
          <cell r="I110" t="str">
            <v>SI</v>
          </cell>
          <cell r="J110" t="str">
            <v>26404720EN CANAL E. DESPUES DE OBJECION DE PRECIO, EL ASESOR OFRECIO LA MARCA EXCELLENT?</v>
          </cell>
        </row>
        <row r="111">
          <cell r="I111" t="str">
            <v>SI</v>
          </cell>
          <cell r="J111" t="str">
            <v>26404720EN CANAL E. LO PRIMERO QUE OFRECE EL ASESOR ES LA MARCA PRO PLAN?</v>
          </cell>
        </row>
        <row r="112">
          <cell r="I112" t="str">
            <v>CANAL ESPECIALIZADO</v>
          </cell>
          <cell r="J112" t="str">
            <v>26404720QUE CANAL VA A REALIZAR</v>
          </cell>
        </row>
        <row r="113">
          <cell r="I113" t="str">
            <v>SI</v>
          </cell>
          <cell r="J113" t="str">
            <v>26404720OFRECIO ALGUN PRODUCTO DEL PORTAFOLIO PURINA DE PRODUCTOS HUMEDOS, SNACK U OTROS COMUNICANDO LOS BENEFICIOS DEL PRODUCTO</v>
          </cell>
        </row>
        <row r="114">
          <cell r="I114" t="str">
            <v xml:space="preserve">NINGUNO </v>
          </cell>
          <cell r="J114" t="str">
            <v>26404720OFRECIO ALGUN PRODUCTO DEL PORTAFOLIO PURINA DE PRODUCTOS SECOS COMUNICANDO LOS BENEFICIOS DEL PRODUCTO</v>
          </cell>
        </row>
        <row r="115">
          <cell r="I115" t="str">
            <v>SI</v>
          </cell>
          <cell r="J115" t="str">
            <v>26404720SE PRODUCE ABORDO PROACTIVO (ANTES DE LOS 3 MIN)</v>
          </cell>
        </row>
        <row r="116">
          <cell r="I116" t="str">
            <v>SI</v>
          </cell>
          <cell r="J116" t="str">
            <v>26404720USA ACCESORIOS QUE NO CUMPLE CON EL CODIGO DE VESTIMENTA</v>
          </cell>
        </row>
        <row r="117">
          <cell r="I117" t="str">
            <v>NO</v>
          </cell>
          <cell r="J117" t="str">
            <v>26404720TIENE UÑAS LLAMATIVAS Y/O LARGAS QUE NO CUMPLE CON EL CODIGO DE VESTIMENTA</v>
          </cell>
        </row>
        <row r="118">
          <cell r="I118" t="str">
            <v>NO</v>
          </cell>
          <cell r="J118" t="str">
            <v>26404720TIENE TATUAJES O PIERCINGS VISIBLES QUE NO CUMPLE CON EL CODIGO DE VESTIMENTA</v>
          </cell>
        </row>
        <row r="119">
          <cell r="I119" t="str">
            <v>NO</v>
          </cell>
          <cell r="J119" t="str">
            <v>26404720PRESENTA EXCESO DE MAQUILLAJE QUE NO CUMPLE CON EL CODIGO DE VESTIMENTA</v>
          </cell>
        </row>
        <row r="120">
          <cell r="I120" t="str">
            <v>SI</v>
          </cell>
          <cell r="J120" t="str">
            <v>26404720SU CABELLO LUCE LIMPIO, ORGANIZADO O RECOGIDO</v>
          </cell>
        </row>
        <row r="121">
          <cell r="I121" t="str">
            <v>SI</v>
          </cell>
          <cell r="J121" t="str">
            <v>26404720EL UNIFORME Y ZAPATOS SE ENCUENTRAN LIMPIOS Y EN BUEN ESTADO</v>
          </cell>
        </row>
        <row r="122">
          <cell r="I122" t="str">
            <v>SI</v>
          </cell>
          <cell r="J122" t="str">
            <v>26404720CUENTA CON CALZADO DE ACUERDO AL UNIFORME</v>
          </cell>
        </row>
        <row r="123">
          <cell r="I123" t="str">
            <v>NO</v>
          </cell>
          <cell r="J123" t="str">
            <v>26404720EN CANAL E., EL ASESOR COMUNICA PROACTIVAMENTE LA ACTIVIDAD DE "GANA AL INSTANTE" (A PARTIR DEL 17 DE MARZO)</v>
          </cell>
        </row>
        <row r="124">
          <cell r="I124" t="str">
            <v>SI</v>
          </cell>
          <cell r="J124" t="str">
            <v>26404720EN CANAL E., EL ASESOR EXPLICA CON CLARIDAD LA ACTIVIDAD DE "GANA AL INSTANTE" (A PARTIR DEL 17 DE MARZO)</v>
          </cell>
        </row>
        <row r="125">
          <cell r="I125" t="str">
            <v>SI</v>
          </cell>
          <cell r="J125" t="str">
            <v>26404720SE PRESENTARON OBJECIONES</v>
          </cell>
        </row>
        <row r="126">
          <cell r="I126" t="str">
            <v>NO TENIA DINERO</v>
          </cell>
          <cell r="J126" t="str">
            <v>26404720DE QUE TIPO ES LA OBJECION</v>
          </cell>
        </row>
        <row r="127">
          <cell r="I127" t="str">
            <v>SI</v>
          </cell>
          <cell r="J127" t="str">
            <v>26419998EN CANAL E. LO PRIMERO QUE OFRECE EL ASESOR ES LA MARCA PRO PLAN?</v>
          </cell>
        </row>
        <row r="128">
          <cell r="I128" t="str">
            <v xml:space="preserve"> CANAL ESPECIALIZADO</v>
          </cell>
          <cell r="J128" t="str">
            <v>26419998QUE CANAL VA A REALIZAR</v>
          </cell>
        </row>
        <row r="129">
          <cell r="I129" t="str">
            <v>SI</v>
          </cell>
          <cell r="J129" t="str">
            <v>26419998OFRECIO ALGUN PRODUCTO DEL PORTAFOLIO PURINA DE PRODUCTOS HUMEDOS, SNACK U OTROS COMUNICANDO LOS BENEFICIOS DEL PRODUCTO</v>
          </cell>
        </row>
        <row r="130">
          <cell r="I130" t="str">
            <v>SI</v>
          </cell>
          <cell r="J130" t="str">
            <v>26419998OFRECIO ALGUN PRODUCTO DEL PORTAFOLIO PURINA DE PRODUCTOS SECOS COMUNICANDO LOS BENEFICIOS DEL PRODUCTO</v>
          </cell>
        </row>
        <row r="131">
          <cell r="I131" t="str">
            <v>NO</v>
          </cell>
          <cell r="J131" t="str">
            <v>26419998SE PRODUCE ABORDO PROACTIVO (ANTES DE LOS 3 MIN)</v>
          </cell>
        </row>
        <row r="132">
          <cell r="I132" t="str">
            <v>NO</v>
          </cell>
          <cell r="J132" t="str">
            <v>26419998USA ACCESORIOS QUE NO CUMPLE CON EL CODIGO DE VESTIMENTA</v>
          </cell>
        </row>
        <row r="133">
          <cell r="I133" t="str">
            <v>NO</v>
          </cell>
          <cell r="J133" t="str">
            <v>26419998TIENE UÑAS LLAMATIVAS Y/O LARGAS QUE NO CUMPLE CON EL CODIGO DE VESTIMENTA</v>
          </cell>
        </row>
        <row r="134">
          <cell r="I134" t="str">
            <v>NO</v>
          </cell>
          <cell r="J134" t="str">
            <v>26419998TIENE TATUAJES O PIERCINGS VISIBLES QUE NO CUMPLE CON EL CODIGO DE VESTIMENTA</v>
          </cell>
        </row>
        <row r="135">
          <cell r="I135" t="str">
            <v>NO</v>
          </cell>
          <cell r="J135" t="str">
            <v>26419998PRESENTA EXCESO DE MAQUILLAJE QUE NO CUMPLE CON EL CODIGO DE VESTIMENTA</v>
          </cell>
        </row>
        <row r="136">
          <cell r="I136" t="str">
            <v>SI</v>
          </cell>
          <cell r="J136" t="str">
            <v>26419998EL UNIFORME Y ZAPATOS SE ENCUENTRAN LIMPIOS Y EN BUEN ESTADO</v>
          </cell>
        </row>
        <row r="137">
          <cell r="I137" t="str">
            <v>NO</v>
          </cell>
          <cell r="J137" t="str">
            <v>26419998POSEE ALGUNA PRENDA ENCIMA DEL UNIFORME NO AUTORIZADA POR LA MARCA (SOLO PERMITIDO CHALECO DE SODIMAC Y EASY)</v>
          </cell>
        </row>
        <row r="138">
          <cell r="I138" t="str">
            <v>SI</v>
          </cell>
          <cell r="J138" t="str">
            <v>26419998CUENTA CON CALZADO DE ACUERDO AL UNIFORME</v>
          </cell>
        </row>
        <row r="139">
          <cell r="I139" t="str">
            <v>SI</v>
          </cell>
          <cell r="J139" t="str">
            <v>26419998CUENTA CON CAMISA DEL UNIFORME Y LOGOS SEGÚN EL CARGO (NEGRA / GRIS / ROJA / TURQUESA) (PERMITIDO USAR DEBAJO DE CAMISA BUSO MANGA LARGA NEGRO)</v>
          </cell>
        </row>
        <row r="140">
          <cell r="I140" t="str">
            <v>SI</v>
          </cell>
          <cell r="J140" t="str">
            <v>26419998CUENTA CON PANTALON DEL UNIFORME SEGUN EL CARGO (NEGRO / ROJO / TURQUESA / JEAN)</v>
          </cell>
        </row>
        <row r="141">
          <cell r="I141" t="str">
            <v>SI</v>
          </cell>
          <cell r="J141" t="str">
            <v>26419998¿CUMPLE HORARIO DE ENTRADA O SALIDA DE LA TIENDA?</v>
          </cell>
        </row>
        <row r="142">
          <cell r="I142" t="str">
            <v>SI</v>
          </cell>
          <cell r="J142" t="str">
            <v>26419998SU CABELLO LUCE LIMPIO, ORGANIZADO O RECOGIDO</v>
          </cell>
        </row>
        <row r="143">
          <cell r="I143" t="str">
            <v>NO</v>
          </cell>
          <cell r="J143" t="str">
            <v>26404720PRESENTA ALGUNA NOVEDAD?</v>
          </cell>
        </row>
        <row r="144">
          <cell r="I144" t="str">
            <v>SI</v>
          </cell>
          <cell r="J144" t="str">
            <v>26404720CONSIDERO QUE INDEPENDIENTEMENTE DEL SPEECH, LA LABOR DE VENTA ES BUENA</v>
          </cell>
        </row>
        <row r="145">
          <cell r="I145" t="str">
            <v>NO</v>
          </cell>
          <cell r="J145" t="str">
            <v>26404720REALIZA CIERRE  CON FRASES " DESEA LLEVARLO" ,"CUANTOS DESEARIA LLEVAR" ," LE GUSTARIA ADQUIRIRLO" , " CUANTAS UNIDADES DESEA LLEVAR" , " LE GUSTARIA LLEVARLO EN PRESENTACIÓN HUMEDA O SECA"</v>
          </cell>
        </row>
        <row r="146">
          <cell r="I146" t="str">
            <v>SI</v>
          </cell>
          <cell r="J146" t="str">
            <v>26404720SE ENCUENTRA LIMPIA EL AREA DE DEMOSTRACION</v>
          </cell>
        </row>
        <row r="147">
          <cell r="I147" t="str">
            <v>NO</v>
          </cell>
          <cell r="J147" t="str">
            <v>26404720RESUELVE LA OBJECION SATISFACTORIAMENTE</v>
          </cell>
        </row>
        <row r="148">
          <cell r="I148" t="str">
            <v>No se encontró personal de purina, estuve en tienda desde antes de las 9 am y me retiro cerca de las 11 am.</v>
          </cell>
          <cell r="J148" t="str">
            <v>26409010CUAL ES LA NOVEDAD</v>
          </cell>
        </row>
        <row r="149">
          <cell r="I149" t="str">
            <v>SI</v>
          </cell>
          <cell r="J149" t="str">
            <v>26409010PRESENTA ALGUNA NOVEDAD?</v>
          </cell>
        </row>
        <row r="150">
          <cell r="I150" t="str">
            <v>SI</v>
          </cell>
          <cell r="J150" t="str">
            <v>26409010¿CUMPLE HORARIO DE ENTRADA O SALIDA DE LA TIENDA?</v>
          </cell>
        </row>
        <row r="151">
          <cell r="I151" t="str">
            <v>NO</v>
          </cell>
          <cell r="J151" t="str">
            <v>26424986EN CANAL E.  EL ASESOR COMUNICA QUE LA MARCA EXCELLENT ESTA DENTRO DE LA CATEGORIA SUPERPREMIUM PERO A UN COSTO MAS ACCESIBLE.</v>
          </cell>
        </row>
        <row r="152">
          <cell r="I152" t="str">
            <v>SI</v>
          </cell>
          <cell r="J152" t="str">
            <v>26424986EN CANAL E. DESPUES DE OBJECION DE PRECIO, EL ASESOR OFRECIO LA MARCA EXCELLENT?</v>
          </cell>
        </row>
        <row r="153">
          <cell r="I153" t="str">
            <v>SI</v>
          </cell>
          <cell r="J153" t="str">
            <v>26424986EN CANAL E. LO PRIMERO QUE OFRECE EL ASESOR ES LA MARCA PRO PLAN?</v>
          </cell>
        </row>
        <row r="154">
          <cell r="I154" t="str">
            <v>CANAL ESPECIALIZADO</v>
          </cell>
          <cell r="J154" t="str">
            <v>26424986QUE CANAL VA A REALIZAR</v>
          </cell>
        </row>
        <row r="155">
          <cell r="I155" t="str">
            <v>NO</v>
          </cell>
          <cell r="J155" t="str">
            <v>26424986OFRECIO ALGUN PRODUCTO DEL PORTAFOLIO PURINA DE PRODUCTOS HUMEDOS, SNACK U OTROS COMUNICANDO LOS BENEFICIOS DEL PRODUCTO</v>
          </cell>
        </row>
        <row r="156">
          <cell r="I156" t="str">
            <v>PROPLAN</v>
          </cell>
          <cell r="J156" t="str">
            <v>26424986OFRECIO ALGUN PRODUCTO DEL PORTAFOLIO PURINA DE PRODUCTOS SECOS COMUNICANDO LOS BENEFICIOS DEL PRODUCTO</v>
          </cell>
        </row>
        <row r="157">
          <cell r="I157" t="str">
            <v>SI</v>
          </cell>
          <cell r="J157" t="str">
            <v>26424986SE PRODUCE ABORDO PROACTIVO (ANTES DE LOS 3 MIN)</v>
          </cell>
        </row>
        <row r="158">
          <cell r="I158" t="str">
            <v>NO</v>
          </cell>
          <cell r="J158" t="str">
            <v>26424986USA ACCESORIOS QUE NO CUMPLE CON EL CODIGO DE VESTIMENTA</v>
          </cell>
        </row>
        <row r="159">
          <cell r="I159" t="str">
            <v>NO</v>
          </cell>
          <cell r="J159" t="str">
            <v>26424986TIENE UÑAS LLAMATIVAS Y/O LARGAS QUE NO CUMPLE CON EL CODIGO DE VESTIMENTA</v>
          </cell>
        </row>
        <row r="160">
          <cell r="I160" t="str">
            <v>NO</v>
          </cell>
          <cell r="J160" t="str">
            <v>26424986TIENE TATUAJES O PIERCINGS VISIBLES QUE NO CUMPLE CON EL CODIGO DE VESTIMENTA</v>
          </cell>
        </row>
        <row r="161">
          <cell r="I161" t="str">
            <v>SI</v>
          </cell>
          <cell r="J161" t="str">
            <v>26424986PRESENTA EXCESO DE MAQUILLAJE QUE NO CUMPLE CON EL CODIGO DE VESTIMENTA</v>
          </cell>
        </row>
        <row r="162">
          <cell r="I162" t="str">
            <v>SI</v>
          </cell>
          <cell r="J162" t="str">
            <v>26424986SU CABELLO LUCE LIMPIO, ORGANIZADO O RECOGIDO</v>
          </cell>
        </row>
        <row r="163">
          <cell r="I163" t="str">
            <v>SI</v>
          </cell>
          <cell r="J163" t="str">
            <v>26424986EL UNIFORME Y ZAPATOS SE ENCUENTRAN LIMPIOS Y EN BUEN ESTADO</v>
          </cell>
        </row>
        <row r="164">
          <cell r="I164" t="str">
            <v>NO</v>
          </cell>
          <cell r="J164" t="str">
            <v>26424986POSEE ALGUNA PRENDA ENCIMA DEL UNIFORME NO AUTORIZADA POR LA MARCA (SOLO PERMITIDO CHALECO DE SODIMAC Y EASY)</v>
          </cell>
        </row>
        <row r="165">
          <cell r="I165" t="str">
            <v>SI</v>
          </cell>
          <cell r="J165" t="str">
            <v>26424986CUENTA CON CALZADO DE ACUERDO AL UNIFORME</v>
          </cell>
        </row>
        <row r="166">
          <cell r="I166" t="str">
            <v>SI</v>
          </cell>
          <cell r="J166" t="str">
            <v>26424986CUENTA CON CAMISA DEL UNIFORME Y LOGOS SEGÚN EL CARGO (NEGRA / GRIS / ROJA / TURQUESA) (PERMITIDO USAR DEBAJO DE CAMISA BUSO MANGA LARGA NEGRO)</v>
          </cell>
        </row>
        <row r="167">
          <cell r="I167" t="str">
            <v>SI</v>
          </cell>
          <cell r="J167" t="str">
            <v>26424986EN CANAL E.  EL ASESOR COMUNICA LOS BENEFICIOS O CARACTERISTICAS DEL PRODUCTO EXCELLENT E INFORMA QUE EL PRODUCTO CAMBIO DE IMAGEN PERO CONTINUA CON LA MISMA FORMULA?</v>
          </cell>
        </row>
        <row r="168">
          <cell r="I168" t="str">
            <v>SI</v>
          </cell>
          <cell r="J168" t="str">
            <v>26424986CUENTA CON PANTALON DEL UNIFORME SEGUN EL CARGO (NEGRO / ROJO / TURQUESA / JEAN)</v>
          </cell>
        </row>
        <row r="169">
          <cell r="I169" t="str">
            <v>NO</v>
          </cell>
          <cell r="J169" t="str">
            <v>26424986EN CANAL E., EL ASESOR OFRECE PRODUCTO HUMEDO Y COMUNICA LA DINAMICA DE MULTIPRICE (POR LA COMPRA DE MAS CANTIDADES TIENE DESCUENTO).</v>
          </cell>
        </row>
        <row r="170">
          <cell r="I170" t="str">
            <v>SI</v>
          </cell>
          <cell r="J170" t="str">
            <v>26424986EN CANAL E., EL ASESOR EXPLICA CON CLARIDAD LA ACTIVIDAD DE "GANA AL INSTANTE" (A PARTIR DEL 17 DE MARZO)</v>
          </cell>
        </row>
        <row r="171">
          <cell r="I171" t="str">
            <v>NO</v>
          </cell>
          <cell r="J171" t="str">
            <v>26424986PRESENTA ALGUNA NOVEDAD?</v>
          </cell>
        </row>
        <row r="172">
          <cell r="I172" t="str">
            <v>NO</v>
          </cell>
          <cell r="J172" t="str">
            <v>26424986CONSIDERO QUE INDEPENDIENTEMENTE DEL SPEECH, LA LABOR DE VENTA ES BUENA</v>
          </cell>
        </row>
        <row r="173">
          <cell r="I173" t="str">
            <v>NO</v>
          </cell>
          <cell r="J173" t="str">
            <v>26424986REALIZA CIERRE  CON FRASES " DESEA LLEVARLO" ,"CUANTOS DESEARIA LLEVAR" ," LE GUSTARIA ADQUIRIRLO" , " CUANTAS UNIDADES DESEA LLEVAR" , " LE GUSTARIA LLEVARLO EN PRESENTACIÓN HUMEDA O SECA"</v>
          </cell>
        </row>
        <row r="174">
          <cell r="I174" t="str">
            <v>SI</v>
          </cell>
          <cell r="J174" t="str">
            <v>26424986SE ENCUENTRA LIMPIA EL AREA DE DEMOSTRACION</v>
          </cell>
        </row>
        <row r="175">
          <cell r="I175" t="str">
            <v xml:space="preserve">NINGUNO </v>
          </cell>
          <cell r="J175" t="str">
            <v>26424986RESUELVE LA OBJECION SATISFACTORIAMENTE</v>
          </cell>
        </row>
        <row r="176">
          <cell r="I176" t="str">
            <v>NO</v>
          </cell>
          <cell r="J176" t="str">
            <v>26424986SE PRESENTARON OBJECIONES</v>
          </cell>
        </row>
        <row r="177">
          <cell r="I177" t="str">
            <v>NO</v>
          </cell>
          <cell r="J177" t="str">
            <v>26424986EN CANAL E., EL ASESOR COMUNICA PROACTIVAMENTE LA ACTIVIDAD DE "GANA AL INSTANTE" (A PARTIR DEL 17 DE MARZO)</v>
          </cell>
        </row>
        <row r="178">
          <cell r="I178" t="str">
            <v>SI</v>
          </cell>
          <cell r="J178" t="str">
            <v>26424986¿CUMPLE HORARIO DE ENTRADA O SALIDA DE LA TIENDA?</v>
          </cell>
        </row>
        <row r="179">
          <cell r="I179" t="str">
            <v>SI</v>
          </cell>
          <cell r="J179" t="str">
            <v>26424985PRESENTA ALGUNA NOVEDAD?</v>
          </cell>
        </row>
        <row r="180">
          <cell r="I180" t="str">
            <v>SI</v>
          </cell>
          <cell r="J180" t="str">
            <v>26424985CONSIDERO QUE INDEPENDIENTEMENTE DEL SPEECH, LA LABOR DE VENTA ES BUENA</v>
          </cell>
        </row>
        <row r="181">
          <cell r="I181" t="str">
            <v>NO</v>
          </cell>
          <cell r="J181" t="str">
            <v>26424985EL UNIFORME Y ZAPATOS SE ENCUENTRAN LIMPIOS Y EN BUEN ESTADO</v>
          </cell>
        </row>
        <row r="182">
          <cell r="I182" t="str">
            <v>NO</v>
          </cell>
          <cell r="J182" t="str">
            <v>26424985POSEE ALGUNA PRENDA ENCIMA DEL UNIFORME NO AUTORIZADA POR LA MARCA (SOLO PERMITIDO CHALECO DE SODIMAC Y EASY)</v>
          </cell>
        </row>
        <row r="183">
          <cell r="I183" t="str">
            <v>SI</v>
          </cell>
          <cell r="J183" t="str">
            <v>26424985CUENTA CON CALZADO DE ACUERDO AL UNIFORME</v>
          </cell>
        </row>
        <row r="184">
          <cell r="I184" t="str">
            <v>SI</v>
          </cell>
          <cell r="J184" t="str">
            <v>26424985CUENTA CON CAMISA DEL UNIFORME Y LOGOS SEGÚN EL CARGO (NEGRA / GRIS / ROJA / TURQUESA) (PERMITIDO USAR DEBAJO DE CAMISA BUSO MANGA LARGA NEGRO)</v>
          </cell>
        </row>
        <row r="185">
          <cell r="I185" t="str">
            <v>SI</v>
          </cell>
          <cell r="J185" t="str">
            <v>26424985CUENTA CON PANTALON DEL UNIFORME SEGUN EL CARGO (NEGRO / ROJO / TURQUESA / JEAN)</v>
          </cell>
        </row>
        <row r="186">
          <cell r="I186" t="str">
            <v>SI</v>
          </cell>
          <cell r="J186" t="str">
            <v>26424985¿CUMPLE HORARIO DE ENTRADA O SALIDA DE LA TIENDA?</v>
          </cell>
        </row>
        <row r="187">
          <cell r="I187" t="str">
            <v>SI</v>
          </cell>
          <cell r="J187" t="str">
            <v>26424985SU CABELLO LUCE LIMPIO, ORGANIZADO O RECOGIDO</v>
          </cell>
        </row>
        <row r="188">
          <cell r="I188" t="str">
            <v>NO</v>
          </cell>
          <cell r="J188" t="str">
            <v>26424985PRESENTA EXCESO DE MAQUILLAJE QUE NO CUMPLE CON EL CODIGO DE VESTIMENTA</v>
          </cell>
        </row>
        <row r="189">
          <cell r="I189" t="str">
            <v>SI</v>
          </cell>
          <cell r="J189" t="str">
            <v>26424985TIENE TATUAJES O PIERCINGS VISIBLES QUE NO CUMPLE CON EL CODIGO DE VESTIMENTA</v>
          </cell>
        </row>
        <row r="190">
          <cell r="I190" t="str">
            <v>NO</v>
          </cell>
          <cell r="J190" t="str">
            <v>26424985TIENE UÑAS LLAMATIVAS Y/O LARGAS QUE NO CUMPLE CON EL CODIGO DE VESTIMENTA</v>
          </cell>
        </row>
        <row r="191">
          <cell r="I191" t="str">
            <v>SI</v>
          </cell>
          <cell r="J191" t="str">
            <v>26424985REALIZA CIERRE  CON FRASES " DESEA LLEVARLO" ,"CUANTOS DESEARIA LLEVAR" ," LE GUSTARIA ADQUIRIRLO" , " CUANTAS UNIDADES DESEA LLEVAR" , " LE GUSTARIA LLEVARLO EN PRESENTACIÓN HUMEDA O SECA"</v>
          </cell>
        </row>
        <row r="192">
          <cell r="I192" t="str">
            <v>SI</v>
          </cell>
          <cell r="J192" t="str">
            <v>26424985SE ENCUENTRA LIMPIA EL AREA DE DEMOSTRACION</v>
          </cell>
        </row>
        <row r="193">
          <cell r="I193" t="str">
            <v>SI</v>
          </cell>
          <cell r="J193" t="str">
            <v>26424985RESUELVE LA OBJECION SATISFACTORIAMENTE</v>
          </cell>
        </row>
        <row r="194">
          <cell r="I194" t="str">
            <v xml:space="preserve">NO TENIA DINERO </v>
          </cell>
          <cell r="J194" t="str">
            <v>26424985DE QUE TIPO ES LA OBJECION</v>
          </cell>
        </row>
        <row r="195">
          <cell r="I195" t="str">
            <v>SI</v>
          </cell>
          <cell r="J195" t="str">
            <v>26424985SE PRESENTARON OBJECIONES</v>
          </cell>
        </row>
        <row r="196">
          <cell r="I196" t="str">
            <v>NO</v>
          </cell>
          <cell r="J196" t="str">
            <v>26424985EN CANAL E., EL ASESOR EXPLICA CON CLARIDAD LA ACTIVIDAD DE "GANA AL INSTANTE" (A PARTIR DEL 17 DE MARZO)</v>
          </cell>
        </row>
        <row r="197">
          <cell r="I197" t="str">
            <v>NO</v>
          </cell>
          <cell r="J197" t="str">
            <v>26424985EN CANAL E., EL ASESOR COMUNICA PROACTIVAMENTE LA ACTIVIDAD DE "GANA AL INSTANTE" (A PARTIR DEL 17 DE MARZO)</v>
          </cell>
        </row>
        <row r="198">
          <cell r="I198" t="str">
            <v>SI</v>
          </cell>
          <cell r="J198" t="str">
            <v>26424985EN CANAL E., EL ASESOR OFRECE PRODUCTO HUMEDO Y COMUNICA LA DINAMICA DE MULTIPRICE (POR LA COMPRA DE MAS CANTIDADES TIENE DESCUENTO).</v>
          </cell>
        </row>
        <row r="199">
          <cell r="I199" t="str">
            <v>NO APLICA</v>
          </cell>
          <cell r="J199" t="str">
            <v>26424985EN CANAL E.  EL ASESOR COMUNICA LOS BENEFICIOS O CARACTERISTICAS DEL PRODUCTO EXCELLENT E INFORMA QUE EL PRODUCTO CAMBIO DE IMAGEN PERO CONTINUA CON LA MISMA FORMULA?</v>
          </cell>
        </row>
        <row r="200">
          <cell r="I200" t="str">
            <v>SI</v>
          </cell>
          <cell r="J200" t="str">
            <v>26424985EN CANAL E. DESPUES DE OBJECION DE PRECIO, EL ASESOR OFRECIO LA MARCA EXCELLENT?</v>
          </cell>
        </row>
        <row r="201">
          <cell r="I201" t="str">
            <v>SI</v>
          </cell>
          <cell r="J201" t="str">
            <v>26424985EN CANAL E. LO PRIMERO QUE OFRECE EL ASESOR ES LA MARCA PRO PLAN?</v>
          </cell>
        </row>
        <row r="202">
          <cell r="I202" t="str">
            <v>CANAL ESPECIALIZADO</v>
          </cell>
          <cell r="J202" t="str">
            <v>26424985QUE CANAL VA A REALIZAR</v>
          </cell>
        </row>
        <row r="203">
          <cell r="I203" t="str">
            <v>SI</v>
          </cell>
          <cell r="J203" t="str">
            <v>26424985OFRECIO ALGUN PRODUCTO DEL PORTAFOLIO PURINA DE PRODUCTOS HUMEDOS, SNACK U OTROS COMUNICANDO LOS BENEFICIOS DEL PRODUCTO</v>
          </cell>
        </row>
        <row r="204">
          <cell r="I204" t="str">
            <v>PROPLAN</v>
          </cell>
          <cell r="J204" t="str">
            <v>26424985OFRECIO ALGUN PRODUCTO DEL PORTAFOLIO PURINA DE PRODUCTOS SECOS COMUNICANDO LOS BENEFICIOS DEL PRODUCTO</v>
          </cell>
        </row>
        <row r="205">
          <cell r="I205" t="str">
            <v>SI</v>
          </cell>
          <cell r="J205" t="str">
            <v>26424985SE PRODUCE ABORDO PROACTIVO (ANTES DE LOS 3 MIN)</v>
          </cell>
        </row>
        <row r="206">
          <cell r="I206" t="str">
            <v>SI</v>
          </cell>
          <cell r="J206" t="str">
            <v>26424985USA ACCESORIOS QUE NO CUMPLE CON EL CODIGO DE VESTIMENTA</v>
          </cell>
        </row>
        <row r="207">
          <cell r="I207" t="str">
            <v>SI</v>
          </cell>
          <cell r="J207" t="str">
            <v>26424985EN CANAL E.  EL ASESOR COMUNICA QUE LA MARCA EXCELLENT ESTA DENTRO DE LA CATEGORIA SUPERPREMIUM PERO A UN COSTO MAS ACCESIBLE.</v>
          </cell>
        </row>
        <row r="208">
          <cell r="I208" t="str">
            <v>NO</v>
          </cell>
          <cell r="J208" t="str">
            <v>26415788TIENE TATUAJES O PIERCINGS VISIBLES QUE NO CUMPLE CON EL CODIGO DE VESTIMENTA</v>
          </cell>
        </row>
        <row r="209">
          <cell r="I209" t="str">
            <v>NO</v>
          </cell>
          <cell r="J209" t="str">
            <v>26415788PRESENTA EXCESO DE MAQUILLAJE QUE NO CUMPLE CON EL CODIGO DE VESTIMENTA</v>
          </cell>
        </row>
        <row r="210">
          <cell r="I210" t="str">
            <v>SI</v>
          </cell>
          <cell r="J210" t="str">
            <v>26415788SU CABELLO LUCE LIMPIO, ORGANIZADO O RECOGIDO</v>
          </cell>
        </row>
        <row r="211">
          <cell r="I211" t="str">
            <v>SI</v>
          </cell>
          <cell r="J211" t="str">
            <v>26415788EL UNIFORME Y ZAPATOS SE ENCUENTRAN LIMPIOS Y EN BUEN ESTADO</v>
          </cell>
        </row>
        <row r="212">
          <cell r="I212" t="str">
            <v>NO</v>
          </cell>
          <cell r="J212" t="str">
            <v>26415788POSEE ALGUNA PRENDA ENCIMA DEL UNIFORME NO AUTORIZADA POR LA MARCA (SOLO PERMITIDO CHALECO DE SODIMAC Y EASY)</v>
          </cell>
        </row>
        <row r="213">
          <cell r="I213" t="str">
            <v>SI</v>
          </cell>
          <cell r="J213" t="str">
            <v>26415788CUENTA CON CALZADO DE ACUERDO AL UNIFORME</v>
          </cell>
        </row>
        <row r="214">
          <cell r="I214" t="str">
            <v>SI</v>
          </cell>
          <cell r="J214" t="str">
            <v>26415788CUENTA CON CAMISA DEL UNIFORME Y LOGOS SEGÚN EL CARGO (NEGRA / GRIS / ROJA / TURQUESA) (PERMITIDO USAR DEBAJO DE CAMISA BUSO MANGA LARGA NEGRO)</v>
          </cell>
        </row>
        <row r="215">
          <cell r="I215" t="str">
            <v>SI</v>
          </cell>
          <cell r="J215" t="str">
            <v>26415788CUENTA CON PANTALON DEL UNIFORME SEGUN EL CARGO (NEGRO / ROJO / TURQUESA / JEAN)</v>
          </cell>
        </row>
        <row r="216">
          <cell r="I216" t="str">
            <v>SI</v>
          </cell>
          <cell r="J216" t="str">
            <v>26415788¿CUMPLE HORARIO DE ENTRADA O SALIDA DE LA TIENDA?</v>
          </cell>
        </row>
        <row r="217">
          <cell r="I217" t="str">
            <v>NO</v>
          </cell>
          <cell r="J217" t="str">
            <v>26415788TIENE UÑAS LLAMATIVAS Y/O LARGAS QUE NO CUMPLE CON EL CODIGO DE VESTIMENTA</v>
          </cell>
        </row>
        <row r="218">
          <cell r="I218" t="str">
            <v>NO</v>
          </cell>
          <cell r="J218" t="str">
            <v>26415788USA ACCESORIOS QUE NO CUMPLE CON EL CODIGO DE VESTIMENTA</v>
          </cell>
        </row>
        <row r="219">
          <cell r="I219" t="str">
            <v>SI</v>
          </cell>
          <cell r="J219" t="str">
            <v>26415788SE PRODUCE ABORDO PROACTIVO (ANTES DE LOS 3 MIN)</v>
          </cell>
        </row>
        <row r="220">
          <cell r="I220" t="str">
            <v xml:space="preserve">PURINA ONE </v>
          </cell>
          <cell r="J220" t="str">
            <v>26415788OFRECIO ALGUN PRODUCTO DEL PORTAFOLIO PURINA DE PRODUCTOS SECOS COMUNICANDO LOS BENEFICIOS DEL PRODUCTO</v>
          </cell>
        </row>
        <row r="221">
          <cell r="I221" t="str">
            <v>NO</v>
          </cell>
          <cell r="J221" t="str">
            <v>26415788PRESENTA ALGUNA NOVEDAD?</v>
          </cell>
        </row>
        <row r="222">
          <cell r="I222" t="str">
            <v>SI</v>
          </cell>
          <cell r="J222" t="str">
            <v>26415788CONSIDERO QUE INDEPENDIENTEMENTE DEL SPEECH, LA LABOR DE VENTA ES BUENA</v>
          </cell>
        </row>
        <row r="223">
          <cell r="I223" t="str">
            <v>SI</v>
          </cell>
          <cell r="J223" t="str">
            <v>26415788REALIZA CIERRE  CON FRASES " DESEA LLEVARLO" ,"CUANTOS DESEARIA LLEVAR" ," LE GUSTARIA ADQUIRIRLO" , " CUANTAS UNIDADES DESEA LLEVAR" , " LE GUSTARIA LLEVARLO EN PRESENTACIÓN HUMEDA O SECA"</v>
          </cell>
        </row>
        <row r="224">
          <cell r="I224" t="str">
            <v>SI</v>
          </cell>
          <cell r="J224" t="str">
            <v>26415788SE ENCUENTRA LIMPIA EL AREA DE DEMOSTRACION</v>
          </cell>
        </row>
        <row r="225">
          <cell r="I225" t="str">
            <v>SI</v>
          </cell>
          <cell r="J225" t="str">
            <v>26415788RESUELVE LA OBJECION SATISFACTORIAMENTE</v>
          </cell>
        </row>
        <row r="226">
          <cell r="I226" t="str">
            <v>NO</v>
          </cell>
          <cell r="J226" t="str">
            <v>26415788SE PRESENTARON OBJECIONES</v>
          </cell>
        </row>
        <row r="227">
          <cell r="I227" t="str">
            <v>SI</v>
          </cell>
          <cell r="J227" t="str">
            <v>26415788M. EL ASESOR EXPLICA CON CLARIDAD LA DINAMICA DE PARTICIPACIÓN</v>
          </cell>
        </row>
        <row r="228">
          <cell r="I228" t="str">
            <v>NO</v>
          </cell>
          <cell r="J228" t="str">
            <v>26415788M. AL PRESENTAR OBJECIÓN "PRECIO MUY COSTOSO", EL ASESOR OFRECE LOS PRODUCTOS EN ORDEN DE SEGMENTACIÓN: P: PURINA ONE - DOG CHOW - ALPO G: PURINA ONE - CAT CHOW - FELIX - GATSY ( "DICE AHORA ES MAS SABROSO")</v>
          </cell>
        </row>
        <row r="229">
          <cell r="I229" t="str">
            <v>SI</v>
          </cell>
          <cell r="J229" t="str">
            <v>26415788M. MANEJA LA OBJECION DE ALTO PRECIO, COMUNICANDO LA BAJA DE PRECIOS DE LAS MARCAS O LAS OFERTAS DISPONIBLES EN EL PUNTO DE VENTA.</v>
          </cell>
        </row>
        <row r="230">
          <cell r="I230" t="str">
            <v>SI</v>
          </cell>
          <cell r="J230" t="str">
            <v>26415788M. MENCIONA QUE PURINA ONE CUENTA CON ALIMENTO HUMEDO Y MENCIONA LAS 3 VARIADADES  ( SUPER FOODS, SUPER NUTRIENTES Y MULTI PROTEINAS);PERRO Y GATO</v>
          </cell>
        </row>
        <row r="231">
          <cell r="I231" t="str">
            <v>SI</v>
          </cell>
          <cell r="J231" t="str">
            <v>26415788M. MENCIONA QUE TIENE CARNE DE VERDAD COMO INGREDIENTE NO.1 E INGREDIENTES NATURALES Y FUNCIONALES?</v>
          </cell>
        </row>
        <row r="232">
          <cell r="I232" t="str">
            <v>SI</v>
          </cell>
          <cell r="J232" t="str">
            <v>26415788M. MENCIONA QUE LOS RESULTADOS DE PURINA ONE SON VISIBLES EN 28 DIAS?</v>
          </cell>
        </row>
        <row r="233">
          <cell r="I233" t="str">
            <v>SI</v>
          </cell>
          <cell r="J233" t="str">
            <v>26415788M. OFRECE PURINA ONE: (APLICA SOLO EN CANAL MODERNO, CADENAS, SI EL PRODUCTO ESTA EN EL PDV)</v>
          </cell>
        </row>
        <row r="234">
          <cell r="I234" t="str">
            <v xml:space="preserve">CANAL MODERNO </v>
          </cell>
          <cell r="J234" t="str">
            <v>26415788QUE CANAL VA A REALIZAR</v>
          </cell>
        </row>
        <row r="235">
          <cell r="I235" t="str">
            <v>SI</v>
          </cell>
          <cell r="J235" t="str">
            <v>26415788OFRECIO ALGUN PRODUCTO DEL PORTAFOLIO PURINA DE PRODUCTOS HUMEDOS, SNACK U OTROS COMUNICANDO LOS BENEFICIOS DEL PRODUCTO</v>
          </cell>
        </row>
        <row r="236">
          <cell r="I236" t="str">
            <v>SI</v>
          </cell>
          <cell r="J236" t="str">
            <v>26415788M. EL ASESOR COMUNICA SOBRE LA ACTIVIDAD "HOY GANAS MAÑANA TAMBIEN"</v>
          </cell>
        </row>
        <row r="237">
          <cell r="I237" t="str">
            <v>no se encuentra asesor en pdv</v>
          </cell>
          <cell r="J237" t="str">
            <v>26429011CUAL ES LA NOVEDAD</v>
          </cell>
        </row>
        <row r="238">
          <cell r="I238" t="str">
            <v>SI</v>
          </cell>
          <cell r="J238" t="str">
            <v>26429011PRESENTA ALGUNA NOVEDAD?</v>
          </cell>
        </row>
        <row r="239">
          <cell r="I239" t="str">
            <v>NO</v>
          </cell>
          <cell r="J239" t="str">
            <v>26429011¿CUMPLE HORARIO DE ENTRADA O SALIDA DE LA TIENDA?</v>
          </cell>
        </row>
        <row r="240">
          <cell r="I240" t="str">
            <v>NO</v>
          </cell>
          <cell r="J240" t="str">
            <v>26439536PRESENTA EXCESO DE MAQUILLAJE QUE NO CUMPLE CON EL CODIGO DE VESTIMENTA</v>
          </cell>
        </row>
        <row r="241">
          <cell r="I241" t="str">
            <v>SI</v>
          </cell>
          <cell r="J241" t="str">
            <v>26439536SU CABELLO LUCE LIMPIO, ORGANIZADO O RECOGIDO</v>
          </cell>
        </row>
        <row r="242">
          <cell r="I242" t="str">
            <v>SI</v>
          </cell>
          <cell r="J242" t="str">
            <v>26439536EL UNIFORME Y ZAPATOS SE ENCUENTRAN LIMPIOS Y EN BUEN ESTADO</v>
          </cell>
        </row>
        <row r="243">
          <cell r="I243" t="str">
            <v>NO</v>
          </cell>
          <cell r="J243" t="str">
            <v>26439536POSEE ALGUNA PRENDA ENCIMA DEL UNIFORME NO AUTORIZADA POR LA MARCA (SOLO PERMITIDO CHALECO DE SODIMAC Y EASY)</v>
          </cell>
        </row>
        <row r="244">
          <cell r="I244" t="str">
            <v>SI</v>
          </cell>
          <cell r="J244" t="str">
            <v>26439536CUENTA CON CALZADO DE ACUERDO AL UNIFORME</v>
          </cell>
        </row>
        <row r="245">
          <cell r="I245" t="str">
            <v>SI</v>
          </cell>
          <cell r="J245" t="str">
            <v>26439536CUENTA CON CAMISA DEL UNIFORME Y LOGOS SEGÚN EL CARGO (NEGRA / GRIS / ROJA / TURQUESA) (PERMITIDO USAR DEBAJO DE CAMISA BUSO MANGA LARGA NEGRO)</v>
          </cell>
        </row>
        <row r="246">
          <cell r="I246" t="str">
            <v>SI</v>
          </cell>
          <cell r="J246" t="str">
            <v>26439536CUENTA CON PANTALON DEL UNIFORME SEGUN EL CARGO (NEGRO / ROJO / TURQUESA / JEAN)</v>
          </cell>
        </row>
        <row r="247">
          <cell r="I247" t="str">
            <v>SI</v>
          </cell>
          <cell r="J247" t="str">
            <v>26439536¿CUMPLE HORARIO DE ENTRADA O SALIDA DE LA TIENDA?</v>
          </cell>
        </row>
        <row r="248">
          <cell r="I248" t="str">
            <v>SI</v>
          </cell>
          <cell r="J248" t="str">
            <v>26439536TIENE TATUAJES O PIERCINGS VISIBLES QUE NO CUMPLE CON EL CODIGO DE VESTIMENTA</v>
          </cell>
        </row>
        <row r="249">
          <cell r="I249" t="str">
            <v>NO</v>
          </cell>
          <cell r="J249" t="str">
            <v>26439536TIENE UÑAS LLAMATIVAS Y/O LARGAS QUE NO CUMPLE CON EL CODIGO DE VESTIMENTA</v>
          </cell>
        </row>
        <row r="250">
          <cell r="I250" t="str">
            <v>SI</v>
          </cell>
          <cell r="J250" t="str">
            <v>26439536SE PRODUCE ABORDO PROACTIVO (ANTES DE LOS 3 MIN)</v>
          </cell>
        </row>
        <row r="251">
          <cell r="I251" t="str">
            <v>NO</v>
          </cell>
          <cell r="J251" t="str">
            <v>26439536PRESENTA ALGUNA NOVEDAD?</v>
          </cell>
        </row>
        <row r="252">
          <cell r="I252" t="str">
            <v>SI</v>
          </cell>
          <cell r="J252" t="str">
            <v>26439536CONSIDERO QUE INDEPENDIENTEMENTE DEL SPEECH, LA LABOR DE VENTA ES BUENA</v>
          </cell>
        </row>
        <row r="253">
          <cell r="I253" t="str">
            <v>NO</v>
          </cell>
          <cell r="J253" t="str">
            <v>26439536REALIZA CIERRE  CON FRASES " DESEA LLEVARLO" ,"CUANTOS DESEARIA LLEVAR" ," LE GUSTARIA ADQUIRIRLO" , " CUANTAS UNIDADES DESEA LLEVAR" , " LE GUSTARIA LLEVARLO EN PRESENTACIÓN HUMEDA O SECA"</v>
          </cell>
        </row>
        <row r="254">
          <cell r="I254" t="str">
            <v>SI</v>
          </cell>
          <cell r="J254" t="str">
            <v>26439536SE ENCUENTRA LIMPIA EL AREA DE DEMOSTRACION</v>
          </cell>
        </row>
        <row r="255">
          <cell r="I255" t="str">
            <v>NO</v>
          </cell>
          <cell r="J255" t="str">
            <v>26439536SE PRESENTARON OBJECIONES</v>
          </cell>
        </row>
        <row r="256">
          <cell r="I256" t="str">
            <v>NO</v>
          </cell>
          <cell r="J256" t="str">
            <v>26439536M. EL ASESOR EXPLICA CON CLARIDAD LA DINAMICA DE PARTICIPACIÓN</v>
          </cell>
        </row>
        <row r="257">
          <cell r="I257" t="str">
            <v>NO</v>
          </cell>
          <cell r="J257" t="str">
            <v>26439536M. EL ASESOR COMUNICA SOBRE LA ACTIVIDAD "HOY GANAS MAÑANA TAMBIEN"</v>
          </cell>
        </row>
        <row r="258">
          <cell r="I258" t="str">
            <v>NO</v>
          </cell>
          <cell r="J258" t="str">
            <v>26439536M. AL PRESENTAR OBJECIÓN "PRECIO MUY COSTOSO", EL ASESOR OFRECE LOS PRODUCTOS EN ORDEN DE SEGMENTACIÓN: P: PURINA ONE - DOG CHOW - ALPO G: PURINA ONE - CAT CHOW - FELIX - GATSY ( "DICE AHORA ES MAS SABROSO")</v>
          </cell>
        </row>
        <row r="259">
          <cell r="I259" t="str">
            <v>SI</v>
          </cell>
          <cell r="J259" t="str">
            <v>26439536M. MANEJA LA OBJECION DE ALTO PRECIO, COMUNICANDO LA BAJA DE PRECIOS DE LAS MARCAS O LAS OFERTAS DISPONIBLES EN EL PUNTO DE VENTA.</v>
          </cell>
        </row>
        <row r="260">
          <cell r="I260" t="str">
            <v>NO APLICA</v>
          </cell>
          <cell r="J260" t="str">
            <v>26439536M. MENCIONA QUE PURINA ONE CUENTA CON ALIMENTO HUMEDO Y MENCIONA LAS 3 VARIADADES  ( SUPER FOODS, SUPER NUTRIENTES Y MULTI PROTEINAS);PERRO Y GATO</v>
          </cell>
        </row>
        <row r="261">
          <cell r="I261" t="str">
            <v>SI</v>
          </cell>
          <cell r="J261" t="str">
            <v>26439536M. MENCIONA QUE TIENE CARNE DE VERDAD COMO INGREDIENTE NO.1 E INGREDIENTES NATURALES Y FUNCIONALES?</v>
          </cell>
        </row>
        <row r="262">
          <cell r="I262" t="str">
            <v>SI</v>
          </cell>
          <cell r="J262" t="str">
            <v>26439536M. MENCIONA QUE LOS RESULTADOS DE PURINA ONE SON VISIBLES EN 28 DIAS?</v>
          </cell>
        </row>
        <row r="263">
          <cell r="I263" t="str">
            <v>SI</v>
          </cell>
          <cell r="J263" t="str">
            <v>26439536M. OFRECE PURINA ONE: (APLICA SOLO EN CANAL MODERNO, CADENAS, SI EL PRODUCTO ESTA EN EL PDV)</v>
          </cell>
        </row>
        <row r="264">
          <cell r="I264" t="str">
            <v xml:space="preserve">CANAL MODERNO </v>
          </cell>
          <cell r="J264" t="str">
            <v>26439536QUE CANAL VA A REALIZAR</v>
          </cell>
        </row>
        <row r="265">
          <cell r="I265" t="str">
            <v xml:space="preserve">NINGUNO </v>
          </cell>
          <cell r="J265" t="str">
            <v>26439536OFRECIO ALGUN PRODUCTO DEL PORTAFOLIO PURINA DE PRODUCTOS HUMEDOS, SNACK U OTROS COMUNICANDO LOS BENEFICIOS DEL PRODUCTO</v>
          </cell>
        </row>
        <row r="266">
          <cell r="I266" t="str">
            <v xml:space="preserve">PURINA ONE </v>
          </cell>
          <cell r="J266" t="str">
            <v>26439536OFRECIO ALGUN PRODUCTO DEL PORTAFOLIO PURINA DE PRODUCTOS SECOS COMUNICANDO LOS BENEFICIOS DEL PRODUCTO</v>
          </cell>
        </row>
        <row r="267">
          <cell r="I267" t="str">
            <v>NO</v>
          </cell>
          <cell r="J267" t="str">
            <v>26439536USA ACCESORIOS QUE NO CUMPLE CON EL CODIGO DE VESTIMENTA</v>
          </cell>
        </row>
        <row r="268">
          <cell r="I268"/>
          <cell r="J268" t="str">
            <v>26442456CUAL ES LA NOVEDAD</v>
          </cell>
        </row>
        <row r="269">
          <cell r="I269" t="str">
            <v>SI</v>
          </cell>
          <cell r="J269" t="str">
            <v>26442456PRESENTA ALGUNA NOVEDAD?</v>
          </cell>
        </row>
        <row r="270">
          <cell r="I270" t="str">
            <v>SI</v>
          </cell>
          <cell r="J270" t="str">
            <v>26442456CONSIDERO QUE INDEPENDIENTEMENTE DEL SPEECH, LA LABOR DE VENTA ES BUENA</v>
          </cell>
        </row>
        <row r="271">
          <cell r="I271" t="str">
            <v>SI</v>
          </cell>
          <cell r="J271" t="str">
            <v>26442456REALIZA CIERRE  CON FRASES " DESEA LLEVARLO" ,"CUANTOS DESEARIA LLEVAR" ," LE GUSTARIA ADQUIRIRLO" , " CUANTAS UNIDADES DESEA LLEVAR" , " LE GUSTARIA LLEVARLO EN PRESENTACIÓN HUMEDA O SECA"</v>
          </cell>
        </row>
        <row r="272">
          <cell r="I272" t="str">
            <v>SI</v>
          </cell>
          <cell r="J272" t="str">
            <v>26442456SE ENCUENTRA LIMPIA EL AREA DE DEMOSTRACION</v>
          </cell>
        </row>
        <row r="273">
          <cell r="I273" t="str">
            <v>NO</v>
          </cell>
          <cell r="J273" t="str">
            <v>26442456SE PRESENTARON OBJECIONES</v>
          </cell>
        </row>
        <row r="274">
          <cell r="I274" t="str">
            <v>NO</v>
          </cell>
          <cell r="J274" t="str">
            <v>26442456EN CANAL E., EL ASESOR EXPLICA CON CLARIDAD LA ACTIVIDAD DE "GANA AL INSTANTE" (A PARTIR DEL 17 DE MARZO)</v>
          </cell>
        </row>
        <row r="275">
          <cell r="I275" t="str">
            <v>NO</v>
          </cell>
          <cell r="J275" t="str">
            <v>26442456EN CANAL E., EL ASESOR COMUNICA PROACTIVAMENTE LA ACTIVIDAD DE "GANA AL INSTANTE" (A PARTIR DEL 17 DE MARZO)</v>
          </cell>
        </row>
        <row r="276">
          <cell r="I276" t="str">
            <v>NO</v>
          </cell>
          <cell r="J276" t="str">
            <v>26442456EN CANAL E., EL ASESOR OFRECE PRODUCTO HUMEDO Y COMUNICA LA DINAMICA DE MULTIPRICE (POR LA COMPRA DE MAS CANTIDADES TIENE DESCUENTO).</v>
          </cell>
        </row>
        <row r="277">
          <cell r="I277" t="str">
            <v>NO</v>
          </cell>
          <cell r="J277" t="str">
            <v>26442456EN CANAL E.  EL ASESOR COMUNICA LOS BENEFICIOS O CARACTERISTICAS DEL PRODUCTO EXCELLENT E INFORMA QUE EL PRODUCTO CAMBIO DE IMAGEN PERO CONTINUA CON LA MISMA FORMULA?</v>
          </cell>
        </row>
        <row r="278">
          <cell r="I278" t="str">
            <v>SI</v>
          </cell>
          <cell r="J278" t="str">
            <v>26442456EN CANAL E.  EL ASESOR COMUNICA QUE LA MARCA EXCELLENT ESTA DENTRO DE LA CATEGORIA SUPERPREMIUM PERO A UN COSTO MAS ACCESIBLE.</v>
          </cell>
        </row>
        <row r="279">
          <cell r="I279" t="str">
            <v>NO</v>
          </cell>
          <cell r="J279" t="str">
            <v>26442456EN CANAL E. DESPUES DE OBJECION DE PRECIO, EL ASESOR OFRECIO LA MARCA EXCELLENT?</v>
          </cell>
        </row>
        <row r="280">
          <cell r="I280" t="str">
            <v>SI</v>
          </cell>
          <cell r="J280" t="str">
            <v>26442456EN CANAL E. LO PRIMERO QUE OFRECE EL ASESOR ES LA MARCA PRO PLAN?</v>
          </cell>
        </row>
        <row r="281">
          <cell r="I281" t="str">
            <v>CANAL ESPECIALIZADO</v>
          </cell>
          <cell r="J281" t="str">
            <v>26442456QUE CANAL VA A REALIZAR</v>
          </cell>
        </row>
        <row r="282">
          <cell r="I282" t="str">
            <v>NO</v>
          </cell>
          <cell r="J282" t="str">
            <v>26440153¿CUMPLE HORARIO DE ENTRADA O SALIDA DE LA TIENDA?</v>
          </cell>
        </row>
        <row r="283">
          <cell r="I283" t="str">
            <v>NO</v>
          </cell>
          <cell r="J283" t="str">
            <v>26440153PRESENTA ALGUNA NOVEDAD?</v>
          </cell>
        </row>
        <row r="284">
          <cell r="I284" t="str">
            <v>Activador se retraso de ruta en punto de venta anterior estaba colocando los precios</v>
          </cell>
          <cell r="J284" t="str">
            <v>26440153CUAL ES LA NOVEDAD</v>
          </cell>
        </row>
        <row r="285">
          <cell r="I285" t="str">
            <v>NO</v>
          </cell>
          <cell r="J285" t="str">
            <v>26440851¿CUMPLE HORARIO DE ENTRADA O SALIDA DE LA TIENDA?</v>
          </cell>
        </row>
        <row r="286">
          <cell r="I286" t="str">
            <v>PROPLAN</v>
          </cell>
          <cell r="J286" t="str">
            <v>26442456OFRECIO ALGUN PRODUCTO DEL PORTAFOLIO PURINA DE PRODUCTOS HUMEDOS, SNACK U OTROS COMUNICANDO LOS BENEFICIOS DEL PRODUCTO</v>
          </cell>
        </row>
        <row r="287">
          <cell r="I287" t="str">
            <v xml:space="preserve">PROPLAN HUMEDO </v>
          </cell>
          <cell r="J287" t="str">
            <v>26442456OFRECIO ALGUN PRODUCTO DEL PORTAFOLIO PURINA DE PRODUCTOS SECOS COMUNICANDO LOS BENEFICIOS DEL PRODUCTO</v>
          </cell>
        </row>
        <row r="288">
          <cell r="I288" t="str">
            <v>SI</v>
          </cell>
          <cell r="J288" t="str">
            <v>26442456SE PRODUCE ABORDO PROACTIVO (ANTES DE LOS 3 MIN)</v>
          </cell>
        </row>
        <row r="289">
          <cell r="I289" t="str">
            <v>NO</v>
          </cell>
          <cell r="J289" t="str">
            <v>26442456USA ACCESORIOS QUE NO CUMPLE CON EL CODIGO DE VESTIMENTA</v>
          </cell>
        </row>
        <row r="290">
          <cell r="I290" t="str">
            <v>SI</v>
          </cell>
          <cell r="J290" t="str">
            <v>26442456TIENE UÑAS LLAMATIVAS Y/O LARGAS QUE NO CUMPLE CON EL CODIGO DE VESTIMENTA</v>
          </cell>
        </row>
        <row r="291">
          <cell r="I291" t="str">
            <v>SI</v>
          </cell>
          <cell r="J291" t="str">
            <v>26442456TIENE TATUAJES O PIERCINGS VISIBLES QUE NO CUMPLE CON EL CODIGO DE VESTIMENTA</v>
          </cell>
        </row>
        <row r="292">
          <cell r="I292" t="str">
            <v>NO APLICA</v>
          </cell>
          <cell r="J292" t="str">
            <v>26442456PRESENTA EXCESO DE MAQUILLAJE QUE NO CUMPLE CON EL CODIGO DE VESTIMENTA</v>
          </cell>
        </row>
        <row r="293">
          <cell r="I293" t="str">
            <v>SI</v>
          </cell>
          <cell r="J293" t="str">
            <v>26442456EL UNIFORME Y ZAPATOS SE ENCUENTRAN LIMPIOS Y EN BUEN ESTADO</v>
          </cell>
        </row>
        <row r="294">
          <cell r="I294" t="str">
            <v>NO</v>
          </cell>
          <cell r="J294" t="str">
            <v>26442456POSEE ALGUNA PRENDA ENCIMA DEL UNIFORME NO AUTORIZADA POR LA MARCA (SOLO PERMITIDO CHALECO DE SODIMAC Y EASY)</v>
          </cell>
        </row>
        <row r="295">
          <cell r="I295" t="str">
            <v>SI</v>
          </cell>
          <cell r="J295" t="str">
            <v>26442456CUENTA CON CALZADO DE ACUERDO AL UNIFORME</v>
          </cell>
        </row>
        <row r="296">
          <cell r="I296" t="str">
            <v>SI</v>
          </cell>
          <cell r="J296" t="str">
            <v>26442456CUENTA CON CAMISA DEL UNIFORME Y LOGOS SEGÚN EL CARGO (NEGRA / GRIS / ROJA / TURQUESA) (PERMITIDO USAR DEBAJO DE CAMISA BUSO MANGA LARGA NEGRO)</v>
          </cell>
        </row>
        <row r="297">
          <cell r="I297" t="str">
            <v>SI</v>
          </cell>
          <cell r="J297" t="str">
            <v>26442456CUENTA CON PANTALON DEL UNIFORME SEGUN EL CARGO (NEGRO / ROJO / TURQUESA / JEAN)</v>
          </cell>
        </row>
        <row r="298">
          <cell r="I298" t="str">
            <v>SI</v>
          </cell>
          <cell r="J298" t="str">
            <v>26442456¿CUMPLE HORARIO DE ENTRADA O SALIDA DE LA TIENDA?</v>
          </cell>
        </row>
        <row r="299">
          <cell r="I299" t="str">
            <v xml:space="preserve">Se espera por 45 mn, no se encuentra asesor </v>
          </cell>
          <cell r="J299" t="str">
            <v>26440851CUAL ES LA NOVEDAD</v>
          </cell>
        </row>
        <row r="300">
          <cell r="I300" t="str">
            <v>SI</v>
          </cell>
          <cell r="J300" t="str">
            <v>26440851PRESENTA ALGUNA NOVEDAD?</v>
          </cell>
        </row>
        <row r="301">
          <cell r="I301" t="str">
            <v>SI</v>
          </cell>
          <cell r="J301" t="str">
            <v>26442456SU CABELLO LUCE LIMPIO, ORGANIZADO O RECOGIDO</v>
          </cell>
        </row>
        <row r="302">
          <cell r="I302" t="str">
            <v>SI</v>
          </cell>
          <cell r="J302" t="str">
            <v>26444245SU CABELLO LUCE LIMPIO, ORGANIZADO O RECOGIDO</v>
          </cell>
        </row>
        <row r="303">
          <cell r="I303" t="str">
            <v>SI</v>
          </cell>
          <cell r="J303" t="str">
            <v>26444245EL UNIFORME Y ZAPATOS SE ENCUENTRAN LIMPIOS Y EN BUEN ESTADO</v>
          </cell>
        </row>
        <row r="304">
          <cell r="I304" t="str">
            <v>NO</v>
          </cell>
          <cell r="J304" t="str">
            <v>26444245POSEE ALGUNA PRENDA ENCIMA DEL UNIFORME NO AUTORIZADA POR LA MARCA (SOLO PERMITIDO CHALECO DE SODIMAC Y EASY)</v>
          </cell>
        </row>
        <row r="305">
          <cell r="I305" t="str">
            <v>SI</v>
          </cell>
          <cell r="J305" t="str">
            <v>26444245CUENTA CON CALZADO DE ACUERDO AL UNIFORME</v>
          </cell>
        </row>
        <row r="306">
          <cell r="I306" t="str">
            <v>SI</v>
          </cell>
          <cell r="J306" t="str">
            <v>26444245CUENTA CON CAMISA DEL UNIFORME Y LOGOS SEGÚN EL CARGO (NEGRA / GRIS / ROJA / TURQUESA) (PERMITIDO USAR DEBAJO DE CAMISA BUSO MANGA LARGA NEGRO)</v>
          </cell>
        </row>
        <row r="307">
          <cell r="I307" t="str">
            <v>SI</v>
          </cell>
          <cell r="J307" t="str">
            <v>26444245CUENTA CON PANTALON DEL UNIFORME SEGUN EL CARGO (NEGRO / ROJO / TURQUESA / JEAN)</v>
          </cell>
        </row>
        <row r="308">
          <cell r="I308" t="str">
            <v>SI</v>
          </cell>
          <cell r="J308" t="str">
            <v>26444245¿CUMPLE HORARIO DE ENTRADA O SALIDA DE LA TIENDA?</v>
          </cell>
        </row>
        <row r="309">
          <cell r="I309" t="str">
            <v>NO</v>
          </cell>
          <cell r="J309" t="str">
            <v>26444245PRESENTA EXCESO DE MAQUILLAJE QUE NO CUMPLE CON EL CODIGO DE VESTIMENTA</v>
          </cell>
        </row>
        <row r="310">
          <cell r="I310" t="str">
            <v>NO</v>
          </cell>
          <cell r="J310" t="str">
            <v>26444245TIENE TATUAJES O PIERCINGS VISIBLES QUE NO CUMPLE CON EL CODIGO DE VESTIMENTA</v>
          </cell>
        </row>
        <row r="311">
          <cell r="I311" t="str">
            <v>NO</v>
          </cell>
          <cell r="J311" t="str">
            <v>26444245USA ACCESORIOS QUE NO CUMPLE CON EL CODIGO DE VESTIMENTA</v>
          </cell>
        </row>
        <row r="312">
          <cell r="I312" t="str">
            <v>NO</v>
          </cell>
          <cell r="J312" t="str">
            <v>26444245REALIZA CIERRE  CON FRASES " DESEA LLEVARLO" ,"CUANTOS DESEARIA LLEVAR" ," LE GUSTARIA ADQUIRIRLO" , " CUANTAS UNIDADES DESEA LLEVAR" , " LE GUSTARIA LLEVARLO EN PRESENTACIÓN HUMEDA O SECA"</v>
          </cell>
        </row>
        <row r="313">
          <cell r="I313" t="str">
            <v>SI</v>
          </cell>
          <cell r="J313" t="str">
            <v>26444245SE ENCUENTRA LIMPIA EL AREA DE DEMOSTRACION</v>
          </cell>
        </row>
        <row r="314">
          <cell r="I314" t="str">
            <v>SI</v>
          </cell>
          <cell r="J314" t="str">
            <v>26444245RESUELVE LA OBJECION SATISFACTORIAMENTE</v>
          </cell>
        </row>
        <row r="315">
          <cell r="I315" t="str">
            <v>NO TIENE INTERES HACIA EL PRODUCTO</v>
          </cell>
          <cell r="J315" t="str">
            <v>26444245DE QUE TIPO ES LA OBJECION</v>
          </cell>
        </row>
        <row r="316">
          <cell r="I316" t="str">
            <v>SI</v>
          </cell>
          <cell r="J316" t="str">
            <v>26444245SE PRESENTARON OBJECIONES</v>
          </cell>
        </row>
        <row r="317">
          <cell r="I317" t="str">
            <v>NO</v>
          </cell>
          <cell r="J317" t="str">
            <v>26444245EN CANAL E., EL ASESOR EXPLICA CON CLARIDAD LA ACTIVIDAD DE "GANA AL INSTANTE" (A PARTIR DEL 17 DE MARZO)</v>
          </cell>
        </row>
        <row r="318">
          <cell r="I318" t="str">
            <v>NO</v>
          </cell>
          <cell r="J318" t="str">
            <v>26444245EN CANAL E., EL ASESOR COMUNICA PROACTIVAMENTE LA ACTIVIDAD DE "GANA AL INSTANTE" (A PARTIR DEL 17 DE MARZO)</v>
          </cell>
        </row>
        <row r="319">
          <cell r="I319" t="str">
            <v>NO</v>
          </cell>
          <cell r="J319" t="str">
            <v>26444245EN CANAL E., EL ASESOR OFRECE PRODUCTO HUMEDO Y COMUNICA LA DINAMICA DE MULTIPRICE (POR LA COMPRA DE MAS CANTIDADES TIENE DESCUENTO).</v>
          </cell>
        </row>
        <row r="320">
          <cell r="I320" t="str">
            <v>NO</v>
          </cell>
          <cell r="J320" t="str">
            <v>26444245EN CANAL E.  EL ASESOR COMUNICA LOS BENEFICIOS O CARACTERISTICAS DEL PRODUCTO EXCELLENT E INFORMA QUE EL PRODUCTO CAMBIO DE IMAGEN PERO CONTINUA CON LA MISMA FORMULA?</v>
          </cell>
        </row>
        <row r="321">
          <cell r="I321" t="str">
            <v>SI</v>
          </cell>
          <cell r="J321" t="str">
            <v>26444245EN CANAL E.  EL ASESOR COMUNICA QUE LA MARCA EXCELLENT ESTA DENTRO DE LA CATEGORIA SUPERPREMIUM PERO A UN COSTO MAS ACCESIBLE.</v>
          </cell>
        </row>
        <row r="322">
          <cell r="I322" t="str">
            <v>SI</v>
          </cell>
          <cell r="J322" t="str">
            <v>26444245EN CANAL E. DESPUES DE OBJECION DE PRECIO, EL ASESOR OFRECIO LA MARCA EXCELLENT?</v>
          </cell>
        </row>
        <row r="323">
          <cell r="I323" t="str">
            <v>SI</v>
          </cell>
          <cell r="J323" t="str">
            <v>26444245EN CANAL E. LO PRIMERO QUE OFRECE EL ASESOR ES LA MARCA PRO PLAN?</v>
          </cell>
        </row>
        <row r="324">
          <cell r="I324" t="str">
            <v>CANAL ESPECIALIZADO</v>
          </cell>
          <cell r="J324" t="str">
            <v>26444245QUE CANAL VA A REALIZAR</v>
          </cell>
        </row>
        <row r="325">
          <cell r="I325" t="str">
            <v xml:space="preserve">NINGUNO </v>
          </cell>
          <cell r="J325" t="str">
            <v>26444245OFRECIO ALGUN PRODUCTO DEL PORTAFOLIO PURINA DE PRODUCTOS HUMEDOS, SNACK U OTROS COMUNICANDO LOS BENEFICIOS DEL PRODUCTO</v>
          </cell>
        </row>
        <row r="326">
          <cell r="I326" t="str">
            <v xml:space="preserve">PROPLAN HUMEDO </v>
          </cell>
          <cell r="J326" t="str">
            <v>26444245OFRECIO ALGUN PRODUCTO DEL PORTAFOLIO PURINA DE PRODUCTOS SECOS COMUNICANDO LOS BENEFICIOS DEL PRODUCTO</v>
          </cell>
        </row>
        <row r="327">
          <cell r="I327" t="str">
            <v>SI</v>
          </cell>
          <cell r="J327" t="str">
            <v>26444245SE PRODUCE ABORDO PROACTIVO (ANTES DE LOS 3 MIN)</v>
          </cell>
        </row>
        <row r="328">
          <cell r="I328" t="str">
            <v>SI</v>
          </cell>
          <cell r="J328" t="str">
            <v>26444245TIENE UÑAS LLAMATIVAS Y/O LARGAS QUE NO CUMPLE CON EL CODIGO DE VESTIMENTA</v>
          </cell>
        </row>
        <row r="329">
          <cell r="I329" t="str">
            <v>NO</v>
          </cell>
          <cell r="J329" t="str">
            <v>26444245CONSIDERO QUE INDEPENDIENTEMENTE DEL SPEECH, LA LABOR DE VENTA ES BUENA</v>
          </cell>
        </row>
        <row r="330">
          <cell r="I330" t="str">
            <v>NO</v>
          </cell>
          <cell r="J330" t="str">
            <v>26444245PRESENTA ALGUNA NOVEDAD?</v>
          </cell>
        </row>
        <row r="331">
          <cell r="I331" t="str">
            <v>SI</v>
          </cell>
          <cell r="J331" t="str">
            <v>26407885¿CUMPLE HORARIO DE ENTRADA O SALIDA DE LA TIENDA?</v>
          </cell>
        </row>
        <row r="332">
          <cell r="I332" t="str">
            <v>SI</v>
          </cell>
          <cell r="J332" t="str">
            <v>26407885CUENTA CON PANTALON DEL UNIFORME SEGÚN EL CARGO (NEGRO / ROJO / TURQUESA / JEAN)</v>
          </cell>
        </row>
        <row r="333">
          <cell r="I333" t="str">
            <v>SI</v>
          </cell>
          <cell r="J333" t="str">
            <v>26407885CUENTA CON CAMISA DEL UNIFORME Y LOGOS SEGÚN EL CARGO (NEGRA / GRIS / ROJA / TURQUESA) (ES PERMITIDO USAR DEBAJO DE LA CAMISA BUSO MANGA LARGA NEGRO)</v>
          </cell>
        </row>
        <row r="334">
          <cell r="I334" t="str">
            <v>SI</v>
          </cell>
          <cell r="J334" t="str">
            <v>26407885CUENTA CON CALZADO DE ACUERDO AL UNIFORME</v>
          </cell>
        </row>
        <row r="335">
          <cell r="I335" t="str">
            <v>NO</v>
          </cell>
          <cell r="J335" t="str">
            <v>26407885POSEE ALGUNA PRENDA ENCIMA DEL UNIFORME NO AUTORIZADA POR LA MARCA (SOLO PERMITIDO CHALECO DE SODIMAC Y EASY)</v>
          </cell>
        </row>
        <row r="336">
          <cell r="I336" t="str">
            <v>SI</v>
          </cell>
          <cell r="J336" t="str">
            <v>26407885EL UNIFORME Y ZAPATOS SE ENCUENTRAN LIMPIOS Y EN BUEN ESTADO</v>
          </cell>
        </row>
        <row r="337">
          <cell r="I337" t="str">
            <v>SI</v>
          </cell>
          <cell r="J337" t="str">
            <v>26407885SU CABELLO LUCE LIMPIO, ORGANIZADO O RECOGIDO</v>
          </cell>
        </row>
        <row r="338">
          <cell r="I338" t="str">
            <v>SI</v>
          </cell>
          <cell r="J338" t="str">
            <v>26407885PRESENTA EXCESO DE MAQUILLAJE QUE NO CUMPLE CON EL CODIGO DE VESTIMENTA</v>
          </cell>
        </row>
        <row r="339">
          <cell r="I339" t="str">
            <v>SI</v>
          </cell>
          <cell r="J339" t="str">
            <v>26407885TIENE TATUAJES O PIERCINGS VISIBLES QUE NO CUMPLE CON EL CODIGO DE VESTIMENTA</v>
          </cell>
        </row>
        <row r="340">
          <cell r="I340" t="str">
            <v>NO</v>
          </cell>
          <cell r="J340" t="str">
            <v>26407885TIENE UÑAS LLAMATIVAS Y/O LARGAS QUE NO CUMPLE CON EL CODIGO DE VESTIMENTA</v>
          </cell>
        </row>
        <row r="341">
          <cell r="I341" t="str">
            <v>NO</v>
          </cell>
          <cell r="J341" t="str">
            <v>26407885USA ACCESORIOS QUE NO CUMPLE CON EL CODIGO DE VESTIMENTA</v>
          </cell>
        </row>
        <row r="342">
          <cell r="I342" t="str">
            <v>SI</v>
          </cell>
          <cell r="J342" t="str">
            <v>26407885EL LINEAL SE ENCUENTRA LIMPIO Y ORGANIZADO</v>
          </cell>
        </row>
        <row r="343">
          <cell r="I343" t="str">
            <v>SI</v>
          </cell>
          <cell r="J343" t="str">
            <v>26407885LOS PRODUCTOS TIENEN EL PRECIO Y ESTAN ACORDE O CORRESPONDIENTE A CADA REFERENCIA</v>
          </cell>
        </row>
        <row r="344">
          <cell r="I344" t="str">
            <v>SI</v>
          </cell>
          <cell r="J344" t="str">
            <v>26407885LOS PRODUCTOS ESTAN SURTIDOS DE ACUERDO A PEPS O FIFO (REVISAR TANTO PRODUCTO SECO COMO HUMEDO)</v>
          </cell>
        </row>
        <row r="345">
          <cell r="I345" t="str">
            <v>SI</v>
          </cell>
          <cell r="J345" t="str">
            <v>26407885CONOCE LOS INFALTABLES DEL PUNTO DE VENTA Y CUENTA CON EL MATERIAL DE APOYO (AYUDAVENTAS INFALTABLES)</v>
          </cell>
        </row>
        <row r="346">
          <cell r="I346" t="str">
            <v>SI</v>
          </cell>
          <cell r="J346" t="str">
            <v>26407885CONOCE Y TIENE SURTIDO DE ACUERDO A LA ESTRATEGIA DE EXHIBICIÓN (ETAPAS DE VIDA - SEGMENTACIÓN DE MARCAS)</v>
          </cell>
        </row>
        <row r="347">
          <cell r="I347" t="str">
            <v>SI</v>
          </cell>
          <cell r="J347" t="str">
            <v>26407885CUAL ES LA ESTRATEGIA DE EXHIBICIÓN PARA LAS MARCAS MAINSTRAIN (ALPO Y GATSY) DE PURINA Y PORQUE?</v>
          </cell>
        </row>
        <row r="348">
          <cell r="I348" t="str">
            <v>SI</v>
          </cell>
          <cell r="J348" t="str">
            <v>26407885CONOCE EL % DE PARTICIPACIÓN QUE TIENE EN EL PUNTO DE VENTA E INFORMA CUAL ES ESE %</v>
          </cell>
        </row>
        <row r="349">
          <cell r="I349" t="str">
            <v>CANAL TRADICIONAL</v>
          </cell>
          <cell r="J349" t="str">
            <v>26407885QUE CANAL VA A AUDITAR</v>
          </cell>
        </row>
        <row r="350">
          <cell r="I350" t="str">
            <v>SI</v>
          </cell>
          <cell r="J350" t="str">
            <v>26407885T. ESTA IMPLEMENTADA LA NUEVA ESTRATEGIA DE BAJA DE PRECIOS
(SI EL MERCADERISTA INFORMA QUE EL PDV NO LO PERMITE IMPLEMENTAR QUEDARIA COMO N/A)</v>
          </cell>
        </row>
        <row r="351">
          <cell r="I351" t="str">
            <v>NO</v>
          </cell>
          <cell r="J351" t="str">
            <v>26407885SE PRESENTA ALGUNA NOVEDAD?</v>
          </cell>
        </row>
        <row r="352">
          <cell r="I352" t="str">
            <v>SI</v>
          </cell>
          <cell r="J352" t="str">
            <v>26426261¿CUMPLE HORARIO DE ENTRADA O SALIDA DE LA TIENDA?</v>
          </cell>
        </row>
        <row r="353">
          <cell r="I353" t="str">
            <v>SI</v>
          </cell>
          <cell r="J353" t="str">
            <v>26426261CUENTA CON PANTALON DEL UNIFORME SEGÚN EL CARGO (NEGRO / ROJO / TURQUESA / JEAN)</v>
          </cell>
        </row>
        <row r="354">
          <cell r="I354" t="str">
            <v>SI</v>
          </cell>
          <cell r="J354" t="str">
            <v>26426261CUENTA CON CAMISA DEL UNIFORME Y LOGOS SEGÚN EL CARGO (NEGRA / GRIS / ROJA / TURQUESA) (ES PERMITIDO USAR DEBAJO DE LA CAMISA BUSO MANGA LARGA NEGRO)</v>
          </cell>
        </row>
        <row r="355">
          <cell r="I355" t="str">
            <v>NO</v>
          </cell>
          <cell r="J355" t="str">
            <v>26426261CUENTA CON CALZADO DE ACUERDO AL UNIFORME</v>
          </cell>
        </row>
        <row r="356">
          <cell r="I356" t="str">
            <v>SI</v>
          </cell>
          <cell r="J356" t="str">
            <v>26426261POSEE ALGUNA PRENDA ENCIMA DEL UNIFORME NO AUTORIZADA POR LA MARCA (SOLO PERMITIDO CHALECO DE SODIMAC Y EASY)</v>
          </cell>
        </row>
        <row r="357">
          <cell r="I357" t="str">
            <v>SI</v>
          </cell>
          <cell r="J357" t="str">
            <v>26426261EL UNIFORME Y ZAPATOS SE ENCUENTRAN LIMPIOS Y EN BUEN ESTADO</v>
          </cell>
        </row>
        <row r="358">
          <cell r="I358" t="str">
            <v>SI</v>
          </cell>
          <cell r="J358" t="str">
            <v>26426261SU CABELLO LUCE LIMPIO, ORGANIZADO O RECOGIDO</v>
          </cell>
        </row>
        <row r="359">
          <cell r="I359" t="str">
            <v>NO APLICA</v>
          </cell>
          <cell r="J359" t="str">
            <v>26426261PRESENTA EXCESO DE MAQUILLAJE QUE NO CUMPLE CON EL CODIGO DE VESTIMENTA</v>
          </cell>
        </row>
        <row r="360">
          <cell r="I360" t="str">
            <v>SI</v>
          </cell>
          <cell r="J360" t="str">
            <v>26426261TIENE TATUAJES O PIERCINGS VISIBLES QUE NO CUMPLE CON EL CODIGO DE VESTIMENTA</v>
          </cell>
        </row>
        <row r="361">
          <cell r="I361" t="str">
            <v>SI</v>
          </cell>
          <cell r="J361" t="str">
            <v>26426261TIENE UÑAS LLAMATIVAS Y/O LARGAS QUE NO CUMPLE CON EL CODIGO DE VESTIMENTA</v>
          </cell>
        </row>
        <row r="362">
          <cell r="I362" t="str">
            <v>NO</v>
          </cell>
          <cell r="J362" t="str">
            <v>26426261USA ACCESORIOS QUE NO CUMPLE CON EL CODIGO DE VESTIMENTA</v>
          </cell>
        </row>
        <row r="363">
          <cell r="I363" t="str">
            <v>SI</v>
          </cell>
          <cell r="J363" t="str">
            <v>26426261EL LINEAL SE ENCUENTRA LIMPIO Y ORGANIZADO</v>
          </cell>
        </row>
        <row r="364">
          <cell r="I364" t="str">
            <v>SI</v>
          </cell>
          <cell r="J364" t="str">
            <v>26426261LOS PRODUCTOS TIENEN EL PRECIO Y ESTAN ACORDE O CORRESPONDIENTE A CADA REFERENCIA</v>
          </cell>
        </row>
        <row r="365">
          <cell r="I365" t="str">
            <v>NO</v>
          </cell>
          <cell r="J365" t="str">
            <v>26426261LOS PRODUCTOS ESTAN SURTIDOS DE ACUERDO A PEPS O FIFO (REVISAR TANTO PRODUCTO SECO COMO HUMEDO)</v>
          </cell>
        </row>
        <row r="366">
          <cell r="I366" t="str">
            <v>SI</v>
          </cell>
          <cell r="J366" t="str">
            <v>26426261CONOCE LOS INFALTABLES DEL PUNTO DE VENTA Y CUENTA CON EL MATERIAL DE APOYO (AYUDAVENTAS INFALTABLES)</v>
          </cell>
        </row>
        <row r="367">
          <cell r="I367" t="str">
            <v>SI</v>
          </cell>
          <cell r="J367" t="str">
            <v>26426261CONOCE Y TIENE SURTIDO DE ACUERDO A LA ESTRATEGIA DE EXHIBICIÓN (ETAPAS DE VIDA - SEGMENTACIÓN DE MARCAS)</v>
          </cell>
        </row>
        <row r="368">
          <cell r="I368" t="str">
            <v>SI</v>
          </cell>
          <cell r="J368" t="str">
            <v>26426261CUAL ES LA ESTRATEGIA DE EXHIBICIÓN PARA LAS MARCAS MAINSTRAIN (ALPO Y GATSY) DE PURINA Y PORQUE?</v>
          </cell>
        </row>
        <row r="369">
          <cell r="I369" t="str">
            <v>SI</v>
          </cell>
          <cell r="J369" t="str">
            <v>26426261CONOCE EL % DE PARTICIPACIÓN QUE TIENE EN EL PUNTO DE VENTA E INFORMA CUAL ES ESE %</v>
          </cell>
        </row>
        <row r="370">
          <cell r="I370" t="str">
            <v>CANAL TRADICIONAL</v>
          </cell>
          <cell r="J370" t="str">
            <v>26426261QUE CANAL VA A AUDITAR</v>
          </cell>
        </row>
        <row r="371">
          <cell r="I371" t="str">
            <v>SI</v>
          </cell>
          <cell r="J371" t="str">
            <v>26426261T. ESTA IMPLEMENTADA LA NUEVA ESTRATEGIA DE BAJA DE PRECIOS
(SI EL MERCADERISTA INFORMA QUE EL PDV NO LO PERMITE IMPLEMENTAR QUEDARIA COMO N/A)</v>
          </cell>
        </row>
        <row r="372">
          <cell r="I372" t="str">
            <v>SI</v>
          </cell>
          <cell r="J372" t="str">
            <v>26426261SE PRESENTA ALGUNA NOVEDAD?</v>
          </cell>
        </row>
        <row r="373">
          <cell r="I373" t="str">
            <v>El vídeo se me movió un poco y se ve mucho la otra marca, pero a la chica de le hizo mistery y auditoría de purina, se le hizo compra porque su asesoría fue muy buena. Nos manifiesta que tiene muchos agotados, que ya los reporto y por el tema de agotados está perdiendo participación en el PDV de nuestra marca purina.</v>
          </cell>
          <cell r="J373" t="str">
            <v>26426261DESCRIBA LA NOVEDAD</v>
          </cell>
        </row>
        <row r="374">
          <cell r="I374" t="str">
            <v>NO</v>
          </cell>
          <cell r="J374" t="str">
            <v>26440178¿CUMPLE HORARIO DE ENTRADA O SALIDA DE LA TIENDA?</v>
          </cell>
        </row>
        <row r="375">
          <cell r="I375" t="str">
            <v>SI</v>
          </cell>
          <cell r="J375" t="str">
            <v>26440178CUENTA CON PANTALON DEL UNIFORME SEGÚN EL CARGO (NEGRO / ROJO / TURQUESA / JEAN)</v>
          </cell>
        </row>
        <row r="376">
          <cell r="I376" t="str">
            <v>SI</v>
          </cell>
          <cell r="J376" t="str">
            <v>26440178CUENTA CON CAMISA DEL UNIFORME Y LOGOS SEGÚN EL CARGO (NEGRA / GRIS / ROJA / TURQUESA) (ES PERMITIDO USAR DEBAJO DE LA CAMISA BUSO MANGA LARGA NEGRO)</v>
          </cell>
        </row>
        <row r="377">
          <cell r="I377" t="str">
            <v>SI</v>
          </cell>
          <cell r="J377" t="str">
            <v>26440178CUENTA CON CALZADO DE ACUERDO AL UNIFORME</v>
          </cell>
        </row>
        <row r="378">
          <cell r="I378" t="str">
            <v>NO</v>
          </cell>
          <cell r="J378" t="str">
            <v>26440178POSEE ALGUNA PRENDA ENCIMA DEL UNIFORME NO AUTORIZADA POR LA MARCA (SOLO PERMITIDO CHALECO DE SODIMAC Y EASY)</v>
          </cell>
        </row>
        <row r="379">
          <cell r="I379" t="str">
            <v>SI</v>
          </cell>
          <cell r="J379" t="str">
            <v>26440178EL UNIFORME Y ZAPATOS SE ENCUENTRAN LIMPIOS Y EN BUEN ESTADO</v>
          </cell>
        </row>
        <row r="380">
          <cell r="I380" t="str">
            <v>SI</v>
          </cell>
          <cell r="J380" t="str">
            <v>26440178SU CABELLO LUCE LIMPIO, ORGANIZADO O RECOGIDO</v>
          </cell>
        </row>
        <row r="381">
          <cell r="I381" t="str">
            <v>NO APLICA</v>
          </cell>
          <cell r="J381" t="str">
            <v>26440178PRESENTA EXCESO DE MAQUILLAJE QUE NO CUMPLE CON EL CODIGO DE VESTIMENTA</v>
          </cell>
        </row>
        <row r="382">
          <cell r="I382" t="str">
            <v>SI</v>
          </cell>
          <cell r="J382" t="str">
            <v>26440178TIENE TATUAJES O PIERCINGS VISIBLES QUE NO CUMPLE CON EL CODIGO DE VESTIMENTA</v>
          </cell>
        </row>
        <row r="383">
          <cell r="I383" t="str">
            <v>NO APLICA</v>
          </cell>
          <cell r="J383" t="str">
            <v>26440178TIENE UÑAS LLAMATIVAS Y/O LARGAS QUE NO CUMPLE CON EL CODIGO DE VESTIMENTA</v>
          </cell>
        </row>
        <row r="384">
          <cell r="I384" t="str">
            <v>NO</v>
          </cell>
          <cell r="J384" t="str">
            <v>26440178USA ACCESORIOS QUE NO CUMPLE CON EL CODIGO DE VESTIMENTA</v>
          </cell>
        </row>
        <row r="385">
          <cell r="I385" t="str">
            <v>SI</v>
          </cell>
          <cell r="J385" t="str">
            <v>26440178EL LINEAL SE ENCUENTRA LIMPIO Y ORGANIZADO</v>
          </cell>
        </row>
        <row r="386">
          <cell r="I386" t="str">
            <v>SI</v>
          </cell>
          <cell r="J386" t="str">
            <v>26440178LOS PRODUCTOS TIENEN EL PRECIO Y ESTAN ACORDE O CORRESPONDIENTE A CADA REFERENCIA</v>
          </cell>
        </row>
        <row r="387">
          <cell r="I387" t="str">
            <v>SI</v>
          </cell>
          <cell r="J387" t="str">
            <v>26440178LOS PRODUCTOS ESTAN SURTIDOS DE ACUERDO A PEPS O FIFO (REVISAR TANTO PRODUCTO SECO COMO HUMEDO)</v>
          </cell>
        </row>
        <row r="388">
          <cell r="I388" t="str">
            <v>NO</v>
          </cell>
          <cell r="J388" t="str">
            <v>26440178CONOCE LOS INFALTABLES DEL PUNTO DE VENTA Y CUENTA CON EL MATERIAL DE APOYO (AYUDAVENTAS INFALTABLES)</v>
          </cell>
        </row>
        <row r="389">
          <cell r="I389" t="str">
            <v>SI</v>
          </cell>
          <cell r="J389" t="str">
            <v>26440178CONOCE Y TIENE SURTIDO DE ACUERDO A LA ESTRATEGIA DE EXHIBICIÓN (ETAPAS DE VIDA - SEGMENTACIÓN DE MARCAS)</v>
          </cell>
        </row>
        <row r="390">
          <cell r="I390" t="str">
            <v>SI</v>
          </cell>
          <cell r="J390" t="str">
            <v>26440178CUAL ES LA ESTRATEGIA DE EXHIBICIÓN PARA LAS MARCAS MAINSTRAIN (ALPO Y GATSY) DE PURINA Y PORQUE?</v>
          </cell>
        </row>
        <row r="391">
          <cell r="I391" t="str">
            <v>SI</v>
          </cell>
          <cell r="J391" t="str">
            <v>26440178CONOCE EL % DE PARTICIPACIÓN QUE TIENE EN EL PUNTO DE VENTA E INFORMA CUAL ES ESE %</v>
          </cell>
        </row>
        <row r="392">
          <cell r="I392" t="str">
            <v xml:space="preserve"> CANAL TRADICIONAL</v>
          </cell>
          <cell r="J392" t="str">
            <v>26440178QUE CANAL VA A AUDITAR</v>
          </cell>
        </row>
        <row r="393">
          <cell r="I393" t="str">
            <v>N/A</v>
          </cell>
          <cell r="J393" t="str">
            <v>26440178T. ESTA IMPLEMENTADA LA NUEVA ESTRATEGIA DE BAJA DE PRECIOS
(SI EL MERCADERISTA INFORMA QUE EL PDV NO LO PERMITE IMPLEMENTAR QUEDARIA COMO N/A)</v>
          </cell>
        </row>
        <row r="394">
          <cell r="I394" t="str">
            <v>NO</v>
          </cell>
          <cell r="J394" t="str">
            <v>26440178SE PRESENTA ALGUNA NOVEDAD?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gie Loren Gomez Romero" refreshedDate="45749.531360763889" createdVersion="8" refreshedVersion="8" minRefreshableVersion="3" recordCount="4" xr:uid="{CF551015-06BD-4229-9B56-77016B602580}">
  <cacheSource type="worksheet">
    <worksheetSource name="Tabla1"/>
  </cacheSource>
  <cacheFields count="11">
    <cacheField name="CANAL" numFmtId="0">
      <sharedItems/>
    </cacheField>
    <cacheField name="CIUDAD" numFmtId="0">
      <sharedItems containsBlank="1" count="14">
        <s v="BARRANQUILLA"/>
        <s v="CALI"/>
        <s v="MEDELLIN"/>
        <s v="BOGOTA" u="1"/>
        <m u="1"/>
        <s v="ITAGUI" u="1"/>
        <s v="ENVIGADO" u="1"/>
        <s v="PALMIRA" u="1"/>
        <s v="PEREIRA" u="1"/>
        <s v="BUCARAMANGA" u="1"/>
        <s v="BELLO" u="1"/>
        <s v="CARTAGENA" u="1"/>
        <s v="SOACHA" u="1"/>
        <s v="CHIA" u="1"/>
      </sharedItems>
    </cacheField>
    <cacheField name="VUM" numFmtId="0">
      <sharedItems containsSemiMixedTypes="0" containsString="0" containsNumber="1" containsInteger="1" minValue="12108" maxValue="161719"/>
    </cacheField>
    <cacheField name="NOMBRE PDV" numFmtId="0">
      <sharedItems/>
    </cacheField>
    <cacheField name="Objetivo Mystery" numFmtId="0">
      <sharedItems containsSemiMixedTypes="0" containsString="0" containsNumber="1" containsInteger="1" minValue="1" maxValue="1"/>
    </cacheField>
    <cacheField name="#PDV Objetivos" numFmtId="0">
      <sharedItems containsSemiMixedTypes="0" containsString="0" containsNumber="1" containsInteger="1" minValue="1" maxValue="1"/>
    </cacheField>
    <cacheField name="#PDV Ejecutados" numFmtId="0">
      <sharedItems containsSemiMixedTypes="0" containsString="0" containsNumber="1" containsInteger="1" minValue="1" maxValue="1"/>
    </cacheField>
    <cacheField name="# Visitas" numFmtId="0">
      <sharedItems containsSemiMixedTypes="0" containsString="0" containsNumber="1" containsInteger="1" minValue="1" maxValue="1"/>
    </cacheField>
    <cacheField name="Mystery Ejecutado" numFmtId="0">
      <sharedItems containsSemiMixedTypes="0" containsString="0" containsNumber="1" containsInteger="1" minValue="0" maxValue="1"/>
    </cacheField>
    <cacheField name="% Ejecucion" numFmtId="0" formula="'#PDV Ejecutados'/'#PDV Objetivos'" databaseField="0"/>
    <cacheField name="% Efectividad" numFmtId="0" formula="'Mystery Ejecutado'/'Objetivo Mystery'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gie Loren Gomez Romero" refreshedDate="45749.531361458336" createdVersion="8" refreshedVersion="8" minRefreshableVersion="3" recordCount="66" xr:uid="{7B4CA992-DBAA-4F8F-9F03-3093EDE609F3}">
  <cacheSource type="worksheet">
    <worksheetSource name="PUNTAJE"/>
  </cacheSource>
  <cacheFields count="18">
    <cacheField name="ACTIVIDAD" numFmtId="0">
      <sharedItems/>
    </cacheField>
    <cacheField name="CIUDAD" numFmtId="0">
      <sharedItems count="3">
        <s v="BARRANQUILLA"/>
        <s v="MEDELLIN"/>
        <s v="CALI"/>
      </sharedItems>
    </cacheField>
    <cacheField name="CANAL" numFmtId="0">
      <sharedItems count="2">
        <s v="TRADICIONAL"/>
        <s v="MODERNO"/>
      </sharedItems>
    </cacheField>
    <cacheField name="CADENA" numFmtId="0">
      <sharedItems/>
    </cacheField>
    <cacheField name="CODIGO PDV" numFmtId="0">
      <sharedItems containsSemiMixedTypes="0" containsString="0" containsNumber="1" containsInteger="1" minValue="12108" maxValue="161719"/>
    </cacheField>
    <cacheField name="NOMBRE COMERCIAL" numFmtId="0">
      <sharedItems count="4">
        <s v="DISTRIBUCIONES MILENA"/>
        <s v="SUPERMERCADO MAXIFRUVER PREMIUM"/>
        <s v="LA CASA DE LOS TENDEROS"/>
        <s v="OLIMPICA STO 053 PORTAL DEL PRADO"/>
      </sharedItems>
    </cacheField>
    <cacheField name="PREGUNTA" numFmtId="0">
      <sharedItems/>
    </cacheField>
    <cacheField name="NOMBRE ENCUESTA" numFmtId="0">
      <sharedItems/>
    </cacheField>
    <cacheField name="RESPUESTA" numFmtId="0">
      <sharedItems longText="1"/>
    </cacheField>
    <cacheField name="FECHA VISITA" numFmtId="14">
      <sharedItems containsSemiMixedTypes="0" containsNonDate="0" containsDate="1" containsString="0" minDate="2025-03-15T00:00:00" maxDate="2025-03-22T00:00:00"/>
    </cacheField>
    <cacheField name="CODIGO RUTA" numFmtId="0">
      <sharedItems containsSemiMixedTypes="0" containsString="0" containsNumber="1" containsInteger="1" minValue="26407885" maxValue="26451570"/>
    </cacheField>
    <cacheField name="USUARIO" numFmtId="0">
      <sharedItems/>
    </cacheField>
    <cacheField name="MYSTERY EFECTIVO" numFmtId="0">
      <sharedItems count="2">
        <s v="SI"/>
        <s v="NO"/>
      </sharedItems>
    </cacheField>
    <cacheField name="CLUSTER" numFmtId="0">
      <sharedItems count="5">
        <s v="HORARIO"/>
        <s v="PRESENTACIÓN PERSONAL"/>
        <s v="EJECUCION DEL PDV"/>
        <s v="N/A"/>
        <s v="ACTIVIDADES DEL MES"/>
      </sharedItems>
    </cacheField>
    <cacheField name="TOTAL PUNTAJE" numFmtId="0">
      <sharedItems containsSemiMixedTypes="0" containsString="0" containsNumber="1" minValue="0" maxValue="40"/>
    </cacheField>
    <cacheField name="RTA CORRECTA" numFmtId="0">
      <sharedItems containsMixedTypes="1" containsNumber="1" containsInteger="1" minValue="0" maxValue="0"/>
    </cacheField>
    <cacheField name="PUNTAJE OBTENIDO" numFmtId="0">
      <sharedItems containsSemiMixedTypes="0" containsString="0" containsNumber="1" minValue="0" maxValue="40"/>
    </cacheField>
    <cacheField name="% MYSTERY" numFmtId="0" formula="'PUNTAJE OBTENIDO'/'TOTAL PUNTAJE'" databaseField="0"/>
  </cacheFields>
  <extLst>
    <ext xmlns:x14="http://schemas.microsoft.com/office/spreadsheetml/2009/9/main" uri="{725AE2AE-9491-48be-B2B4-4EB974FC3084}">
      <x14:pivotCacheDefinition pivotCacheId="333866438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s v="MODERNO"/>
    <x v="0"/>
    <n v="12108"/>
    <s v="OLIMPICA STO 053 PORTAL DEL PRADO"/>
    <n v="1"/>
    <n v="1"/>
    <n v="1"/>
    <n v="1"/>
    <n v="0"/>
  </r>
  <r>
    <s v="TRADICIONAL"/>
    <x v="0"/>
    <n v="65453"/>
    <s v="DISTRIBUCIONES MILENA"/>
    <n v="1"/>
    <n v="1"/>
    <n v="1"/>
    <n v="1"/>
    <n v="1"/>
  </r>
  <r>
    <s v="TRADICIONAL"/>
    <x v="1"/>
    <n v="66552"/>
    <s v="LA CASA DE LOS TENDEROS"/>
    <n v="1"/>
    <n v="1"/>
    <n v="1"/>
    <n v="1"/>
    <n v="1"/>
  </r>
  <r>
    <s v="TRADICIONAL"/>
    <x v="2"/>
    <n v="161719"/>
    <s v="SUPERMERCADO MAXIFRUVER PREMIUM"/>
    <n v="1"/>
    <n v="1"/>
    <n v="1"/>
    <n v="1"/>
    <n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">
  <r>
    <s v="NESTLE PURINA"/>
    <x v="0"/>
    <x v="0"/>
    <s v="SUPERETE"/>
    <n v="65453"/>
    <x v="0"/>
    <s v="¿CUMPLE HORARIO DE ENTRADA O SALIDA DE LA TIENDA?"/>
    <s v="AUDITORIA - MERCADEO PURINA MARZO 2025"/>
    <s v="SI"/>
    <d v="2025-03-17T00:00:00"/>
    <n v="26407885"/>
    <s v="NestleP.4"/>
    <x v="0"/>
    <x v="0"/>
    <n v="20"/>
    <s v="SI"/>
    <n v="20"/>
  </r>
  <r>
    <s v="NESTLE PURINA"/>
    <x v="0"/>
    <x v="0"/>
    <s v="SUPERETE"/>
    <n v="65453"/>
    <x v="0"/>
    <s v="CUENTA CON PANTALON DEL UNIFORME SEGÚN EL CARGO (NEGRO / ROJO / TURQUESA / JEAN)"/>
    <s v="AUDITORIA - MERCADEO PURINA MARZO 2025"/>
    <s v="SI"/>
    <d v="2025-03-17T00:00:00"/>
    <n v="26407885"/>
    <s v="NestleP.4"/>
    <x v="0"/>
    <x v="1"/>
    <n v="1"/>
    <s v="SI"/>
    <n v="1"/>
  </r>
  <r>
    <s v="NESTLE PURINA"/>
    <x v="0"/>
    <x v="0"/>
    <s v="SUPERETE"/>
    <n v="65453"/>
    <x v="0"/>
    <s v="CUENTA CON CAMISA DEL UNIFORME Y LOGOS SEGÚN EL CARGO (NEGRA / GRIS / ROJA / TURQUESA) (ES PERMITIDO USAR DEBAJO DE LA CAMISA BUSO MANGA LARGA NEGRO)"/>
    <s v="AUDITORIA - MERCADEO PURINA MARZO 2025"/>
    <s v="SI"/>
    <d v="2025-03-17T00:00:00"/>
    <n v="26407885"/>
    <s v="NestleP.4"/>
    <x v="0"/>
    <x v="1"/>
    <n v="1"/>
    <s v="SI"/>
    <n v="1"/>
  </r>
  <r>
    <s v="NESTLE PURINA"/>
    <x v="0"/>
    <x v="0"/>
    <s v="SUPERETE"/>
    <n v="65453"/>
    <x v="0"/>
    <s v="CUENTA CON CALZADO DE ACUERDO AL UNIFORME"/>
    <s v="AUDITORIA - MERCADEO PURINA MARZO 2025"/>
    <s v="SI"/>
    <d v="2025-03-17T00:00:00"/>
    <n v="26407885"/>
    <s v="NestleP.4"/>
    <x v="0"/>
    <x v="1"/>
    <n v="1"/>
    <s v="SI"/>
    <n v="1"/>
  </r>
  <r>
    <s v="NESTLE PURINA"/>
    <x v="0"/>
    <x v="0"/>
    <s v="SUPERETE"/>
    <n v="65453"/>
    <x v="0"/>
    <s v="POSEE ALGUNA PRENDA ENCIMA DEL UNIFORME NO AUTORIZADA POR LA MARCA (SOLO PERMITIDO CHALECO DE SODIMAC Y EASY)"/>
    <s v="AUDITORIA - MERCADEO PURINA MARZO 2025"/>
    <s v="NO"/>
    <d v="2025-03-17T00:00:00"/>
    <n v="26407885"/>
    <s v="NestleP.4"/>
    <x v="0"/>
    <x v="1"/>
    <n v="1"/>
    <s v="NO"/>
    <n v="1"/>
  </r>
  <r>
    <s v="NESTLE PURINA"/>
    <x v="0"/>
    <x v="0"/>
    <s v="SUPERETE"/>
    <n v="65453"/>
    <x v="0"/>
    <s v="EL UNIFORME Y ZAPATOS SE ENCUENTRAN LIMPIOS Y EN BUEN ESTADO"/>
    <s v="AUDITORIA - MERCADEO PURINA MARZO 2025"/>
    <s v="SI"/>
    <d v="2025-03-17T00:00:00"/>
    <n v="26407885"/>
    <s v="NestleP.4"/>
    <x v="0"/>
    <x v="1"/>
    <n v="1"/>
    <s v="SI"/>
    <n v="1"/>
  </r>
  <r>
    <s v="NESTLE PURINA"/>
    <x v="0"/>
    <x v="0"/>
    <s v="SUPERETE"/>
    <n v="65453"/>
    <x v="0"/>
    <s v="SU CABELLO LUCE LIMPIO, ORGANIZADO O RECOGIDO"/>
    <s v="AUDITORIA - MERCADEO PURINA MARZO 2025"/>
    <s v="SI"/>
    <d v="2025-03-17T00:00:00"/>
    <n v="26407885"/>
    <s v="NestleP.4"/>
    <x v="0"/>
    <x v="1"/>
    <n v="1"/>
    <s v="SI"/>
    <n v="1"/>
  </r>
  <r>
    <s v="NESTLE PURINA"/>
    <x v="0"/>
    <x v="0"/>
    <s v="SUPERETE"/>
    <n v="65453"/>
    <x v="0"/>
    <s v="PRESENTA EXCESO DE MAQUILLAJE QUE NO CUMPLE CON EL CODIGO DE VESTIMENTA"/>
    <s v="AUDITORIA - MERCADEO PURINA MARZO 2025"/>
    <s v="NO"/>
    <d v="2025-03-17T00:00:00"/>
    <n v="26407885"/>
    <s v="NestleP.4"/>
    <x v="0"/>
    <x v="1"/>
    <n v="1"/>
    <s v="NO"/>
    <n v="1"/>
  </r>
  <r>
    <s v="NESTLE PURINA"/>
    <x v="0"/>
    <x v="0"/>
    <s v="SUPERETE"/>
    <n v="65453"/>
    <x v="0"/>
    <s v="TIENE TATUAJES O PIERCINGS VISIBLES QUE NO CUMPLE CON EL CODIGO DE VESTIMENTA"/>
    <s v="AUDITORIA - MERCADEO PURINA MARZO 2025"/>
    <s v="NO"/>
    <d v="2025-03-17T00:00:00"/>
    <n v="26407885"/>
    <s v="NestleP.4"/>
    <x v="0"/>
    <x v="1"/>
    <n v="1"/>
    <s v="NO"/>
    <n v="1"/>
  </r>
  <r>
    <s v="NESTLE PURINA"/>
    <x v="0"/>
    <x v="0"/>
    <s v="SUPERETE"/>
    <n v="65453"/>
    <x v="0"/>
    <s v="TIENE UÑAS LLAMATIVAS Y/O LARGAS QUE NO CUMPLE CON EL CODIGO DE VESTIMENTA"/>
    <s v="AUDITORIA - MERCADEO PURINA MARZO 2025"/>
    <s v="NO"/>
    <d v="2025-03-17T00:00:00"/>
    <n v="26407885"/>
    <s v="NestleP.4"/>
    <x v="0"/>
    <x v="1"/>
    <n v="1"/>
    <s v="NO"/>
    <n v="1"/>
  </r>
  <r>
    <s v="NESTLE PURINA"/>
    <x v="0"/>
    <x v="0"/>
    <s v="SUPERETE"/>
    <n v="65453"/>
    <x v="0"/>
    <s v="USA ACCESORIOS QUE NO CUMPLE CON EL CODIGO DE VESTIMENTA"/>
    <s v="AUDITORIA - MERCADEO PURINA MARZO 2025"/>
    <s v="NO"/>
    <d v="2025-03-17T00:00:00"/>
    <n v="26407885"/>
    <s v="NestleP.4"/>
    <x v="0"/>
    <x v="1"/>
    <n v="1"/>
    <s v="NO"/>
    <n v="1"/>
  </r>
  <r>
    <s v="NESTLE PURINA"/>
    <x v="0"/>
    <x v="0"/>
    <s v="SUPERETE"/>
    <n v="65453"/>
    <x v="0"/>
    <s v="EL LINEAL SE ENCUENTRA LIMPIO Y ORGANIZADO"/>
    <s v="AUDITORIA - MERCADEO PURINA MARZO 2025"/>
    <s v="SI"/>
    <d v="2025-03-17T00:00:00"/>
    <n v="26407885"/>
    <s v="NestleP.4"/>
    <x v="0"/>
    <x v="2"/>
    <n v="4.2"/>
    <s v="SI"/>
    <n v="4.2"/>
  </r>
  <r>
    <s v="NESTLE PURINA"/>
    <x v="0"/>
    <x v="0"/>
    <s v="SUPERETE"/>
    <n v="65453"/>
    <x v="0"/>
    <s v="LOS PRODUCTOS TIENEN EL PRECIO Y ESTAN ACORDE O CORRESPONDIENTE A CADA REFERENCIA"/>
    <s v="AUDITORIA - MERCADEO PURINA MARZO 2025"/>
    <s v="SI"/>
    <d v="2025-03-17T00:00:00"/>
    <n v="26407885"/>
    <s v="NestleP.4"/>
    <x v="0"/>
    <x v="2"/>
    <n v="4.3"/>
    <s v="SI"/>
    <n v="4.3"/>
  </r>
  <r>
    <s v="NESTLE PURINA"/>
    <x v="0"/>
    <x v="0"/>
    <s v="SUPERETE"/>
    <n v="65453"/>
    <x v="0"/>
    <s v="LOS PRODUCTOS ESTAN SURTIDOS DE ACUERDO A PEPS O FIFO (REVISAR TANTO PRODUCTO SECO COMO HUMEDO)"/>
    <s v="AUDITORIA - MERCADEO PURINA MARZO 2025"/>
    <s v="SI"/>
    <d v="2025-03-17T00:00:00"/>
    <n v="26407885"/>
    <s v="NestleP.4"/>
    <x v="0"/>
    <x v="2"/>
    <n v="4.3"/>
    <s v="SI"/>
    <n v="4.3"/>
  </r>
  <r>
    <s v="NESTLE PURINA"/>
    <x v="0"/>
    <x v="0"/>
    <s v="SUPERETE"/>
    <n v="65453"/>
    <x v="0"/>
    <s v="CONOCE LOS INFALTABLES DEL PUNTO DE VENTA Y CUENTA CON EL MATERIAL DE APOYO (AYUDAVENTAS INFALTABLES)"/>
    <s v="AUDITORIA - MERCADEO PURINA MARZO 2025"/>
    <s v="SI"/>
    <d v="2025-03-17T00:00:00"/>
    <n v="26407885"/>
    <s v="NestleP.4"/>
    <x v="0"/>
    <x v="2"/>
    <n v="4.3"/>
    <s v="SI"/>
    <n v="4.3"/>
  </r>
  <r>
    <s v="NESTLE PURINA"/>
    <x v="0"/>
    <x v="0"/>
    <s v="SUPERETE"/>
    <n v="65453"/>
    <x v="0"/>
    <s v="CONOCE Y TIENE SURTIDO DE ACUERDO A LA ESTRATEGIA DE EXHIBICIÓN (ETAPAS DE VIDA - SEGMENTACIÓN DE MARCAS)"/>
    <s v="AUDITORIA - MERCADEO PURINA MARZO 2025"/>
    <s v="SI"/>
    <d v="2025-03-17T00:00:00"/>
    <n v="26407885"/>
    <s v="NestleP.4"/>
    <x v="0"/>
    <x v="2"/>
    <n v="4.3"/>
    <s v="SI"/>
    <n v="4.3"/>
  </r>
  <r>
    <s v="NESTLE PURINA"/>
    <x v="0"/>
    <x v="0"/>
    <s v="SUPERETE"/>
    <n v="65453"/>
    <x v="0"/>
    <s v="CUAL ES LA ESTRATEGIA DE EXHIBICIÓN PARA LAS MARCAS MAINSTRAIN (ALPO Y GATSY) DE PURINA Y PORQUE?"/>
    <s v="AUDITORIA - MERCADEO PURINA MARZO 2025"/>
    <s v="SI"/>
    <d v="2025-03-17T00:00:00"/>
    <n v="26407885"/>
    <s v="NestleP.4"/>
    <x v="0"/>
    <x v="2"/>
    <n v="4.3"/>
    <s v="SI"/>
    <n v="4.3"/>
  </r>
  <r>
    <s v="NESTLE PURINA"/>
    <x v="0"/>
    <x v="0"/>
    <s v="SUPERETE"/>
    <n v="65453"/>
    <x v="0"/>
    <s v="CONOCE EL % DE PARTICIPACIÓN QUE TIENE EN EL PUNTO DE VENTA E INFORMA CUAL ES ESE %"/>
    <s v="AUDITORIA - MERCADEO PURINA MARZO 2025"/>
    <s v="SI"/>
    <d v="2025-03-17T00:00:00"/>
    <n v="26407885"/>
    <s v="NestleP.4"/>
    <x v="0"/>
    <x v="2"/>
    <n v="4.3"/>
    <s v="SI"/>
    <n v="4.3"/>
  </r>
  <r>
    <s v="NESTLE PURINA"/>
    <x v="0"/>
    <x v="0"/>
    <s v="SUPERETE"/>
    <n v="65453"/>
    <x v="0"/>
    <s v="QUE CANAL VA A AUDITAR"/>
    <s v="AUDITORIA - MERCADEO PURINA MARZO 2025"/>
    <s v="CANAL TRADICIONAL"/>
    <d v="2025-03-17T00:00:00"/>
    <n v="26407885"/>
    <s v="NestleP.4"/>
    <x v="0"/>
    <x v="3"/>
    <n v="0"/>
    <s v="CANAL  MODERNO, CANAL ESPECIALIZADO"/>
    <n v="0"/>
  </r>
  <r>
    <s v="NESTLE PURINA"/>
    <x v="0"/>
    <x v="0"/>
    <s v="SUPERETE"/>
    <n v="65453"/>
    <x v="0"/>
    <s v="T. ESTA IMPLEMENTADA LA NUEVA ESTRATEGIA DE BAJA DE PRECIOS_x000a_(SI EL MERCADERISTA INFORMA QUE EL PDV NO LO PERMITE IMPLEMENTAR QUEDARIA COMO N/A)"/>
    <s v="AUDITORIA - MERCADEO PURINA MARZO 2025"/>
    <s v="SI"/>
    <d v="2025-03-17T00:00:00"/>
    <n v="26407885"/>
    <s v="NestleP.4"/>
    <x v="0"/>
    <x v="4"/>
    <n v="40"/>
    <s v="SI"/>
    <n v="40"/>
  </r>
  <r>
    <s v="NESTLE PURINA"/>
    <x v="0"/>
    <x v="0"/>
    <s v="SUPERETE"/>
    <n v="65453"/>
    <x v="0"/>
    <s v="SE PRESENTA ALGUNA NOVEDAD?"/>
    <s v="AUDITORIA - MERCADEO PURINA MARZO 2025"/>
    <s v="NO"/>
    <d v="2025-03-17T00:00:00"/>
    <n v="26407885"/>
    <s v="NestleP.4"/>
    <x v="0"/>
    <x v="3"/>
    <n v="0"/>
    <n v="0"/>
    <n v="0"/>
  </r>
  <r>
    <s v="NESTLE PURINA"/>
    <x v="1"/>
    <x v="0"/>
    <s v="SUPERETE"/>
    <n v="161719"/>
    <x v="1"/>
    <s v="¿CUMPLE HORARIO DE ENTRADA O SALIDA DE LA TIENDA?"/>
    <s v="AUDITORIA - MERCADEO PURINA MARZO 2025"/>
    <s v="SI"/>
    <d v="2025-03-19T00:00:00"/>
    <n v="26426261"/>
    <s v="NestleP.10"/>
    <x v="0"/>
    <x v="0"/>
    <n v="20"/>
    <s v="SI"/>
    <n v="20"/>
  </r>
  <r>
    <s v="NESTLE PURINA"/>
    <x v="1"/>
    <x v="0"/>
    <s v="SUPERETE"/>
    <n v="161719"/>
    <x v="1"/>
    <s v="CUENTA CON PANTALON DEL UNIFORME SEGÚN EL CARGO (NEGRO / ROJO / TURQUESA / JEAN)"/>
    <s v="AUDITORIA - MERCADEO PURINA MARZO 2025"/>
    <s v="SI"/>
    <d v="2025-03-19T00:00:00"/>
    <n v="26426261"/>
    <s v="NestleP.10"/>
    <x v="0"/>
    <x v="1"/>
    <n v="1"/>
    <s v="SI"/>
    <n v="1"/>
  </r>
  <r>
    <s v="NESTLE PURINA"/>
    <x v="1"/>
    <x v="0"/>
    <s v="SUPERETE"/>
    <n v="161719"/>
    <x v="1"/>
    <s v="CUENTA CON CAMISA DEL UNIFORME Y LOGOS SEGÚN EL CARGO (NEGRA / GRIS / ROJA / TURQUESA) (ES PERMITIDO USAR DEBAJO DE LA CAMISA BUSO MANGA LARGA NEGRO)"/>
    <s v="AUDITORIA - MERCADEO PURINA MARZO 2025"/>
    <s v="SI"/>
    <d v="2025-03-19T00:00:00"/>
    <n v="26426261"/>
    <s v="NestleP.10"/>
    <x v="0"/>
    <x v="1"/>
    <n v="1"/>
    <s v="SI"/>
    <n v="1"/>
  </r>
  <r>
    <s v="NESTLE PURINA"/>
    <x v="1"/>
    <x v="0"/>
    <s v="SUPERETE"/>
    <n v="161719"/>
    <x v="1"/>
    <s v="CUENTA CON CALZADO DE ACUERDO AL UNIFORME"/>
    <s v="AUDITORIA - MERCADEO PURINA MARZO 2025"/>
    <s v="SI"/>
    <d v="2025-03-19T00:00:00"/>
    <n v="26426261"/>
    <s v="NestleP.10"/>
    <x v="0"/>
    <x v="1"/>
    <n v="1"/>
    <s v="SI"/>
    <n v="1"/>
  </r>
  <r>
    <s v="NESTLE PURINA"/>
    <x v="1"/>
    <x v="0"/>
    <s v="SUPERETE"/>
    <n v="161719"/>
    <x v="1"/>
    <s v="POSEE ALGUNA PRENDA ENCIMA DEL UNIFORME NO AUTORIZADA POR LA MARCA (SOLO PERMITIDO CHALECO DE SODIMAC Y EASY)"/>
    <s v="AUDITORIA - MERCADEO PURINA MARZO 2025"/>
    <s v="NO"/>
    <d v="2025-03-19T00:00:00"/>
    <n v="26426261"/>
    <s v="NestleP.10"/>
    <x v="0"/>
    <x v="1"/>
    <n v="1"/>
    <s v="NO"/>
    <n v="1"/>
  </r>
  <r>
    <s v="NESTLE PURINA"/>
    <x v="1"/>
    <x v="0"/>
    <s v="SUPERETE"/>
    <n v="161719"/>
    <x v="1"/>
    <s v="EL UNIFORME Y ZAPATOS SE ENCUENTRAN LIMPIOS Y EN BUEN ESTADO"/>
    <s v="AUDITORIA - MERCADEO PURINA MARZO 2025"/>
    <s v="SI"/>
    <d v="2025-03-19T00:00:00"/>
    <n v="26426261"/>
    <s v="NestleP.10"/>
    <x v="0"/>
    <x v="1"/>
    <n v="1"/>
    <s v="SI"/>
    <n v="1"/>
  </r>
  <r>
    <s v="NESTLE PURINA"/>
    <x v="1"/>
    <x v="0"/>
    <s v="SUPERETE"/>
    <n v="161719"/>
    <x v="1"/>
    <s v="SU CABELLO LUCE LIMPIO, ORGANIZADO O RECOGIDO"/>
    <s v="AUDITORIA - MERCADEO PURINA MARZO 2025"/>
    <s v="SI"/>
    <d v="2025-03-19T00:00:00"/>
    <n v="26426261"/>
    <s v="NestleP.10"/>
    <x v="0"/>
    <x v="1"/>
    <n v="1"/>
    <s v="SI"/>
    <n v="1"/>
  </r>
  <r>
    <s v="NESTLE PURINA"/>
    <x v="1"/>
    <x v="0"/>
    <s v="SUPERETE"/>
    <n v="161719"/>
    <x v="1"/>
    <s v="PRESENTA EXCESO DE MAQUILLAJE QUE NO CUMPLE CON EL CODIGO DE VESTIMENTA"/>
    <s v="AUDITORIA - MERCADEO PURINA MARZO 2025"/>
    <s v="NO"/>
    <d v="2025-03-19T00:00:00"/>
    <n v="26426261"/>
    <s v="NestleP.10"/>
    <x v="0"/>
    <x v="1"/>
    <n v="1"/>
    <s v="NO"/>
    <n v="1"/>
  </r>
  <r>
    <s v="NESTLE PURINA"/>
    <x v="1"/>
    <x v="0"/>
    <s v="SUPERETE"/>
    <n v="161719"/>
    <x v="1"/>
    <s v="TIENE TATUAJES O PIERCINGS VISIBLES QUE NO CUMPLE CON EL CODIGO DE VESTIMENTA"/>
    <s v="AUDITORIA - MERCADEO PURINA MARZO 2025"/>
    <s v="SI"/>
    <d v="2025-03-19T00:00:00"/>
    <n v="26426261"/>
    <s v="NestleP.10"/>
    <x v="0"/>
    <x v="1"/>
    <n v="1"/>
    <s v="NO"/>
    <n v="0"/>
  </r>
  <r>
    <s v="NESTLE PURINA"/>
    <x v="1"/>
    <x v="0"/>
    <s v="SUPERETE"/>
    <n v="161719"/>
    <x v="1"/>
    <s v="TIENE UÑAS LLAMATIVAS Y/O LARGAS QUE NO CUMPLE CON EL CODIGO DE VESTIMENTA"/>
    <s v="AUDITORIA - MERCADEO PURINA MARZO 2025"/>
    <s v="NO"/>
    <d v="2025-03-19T00:00:00"/>
    <n v="26426261"/>
    <s v="NestleP.10"/>
    <x v="0"/>
    <x v="1"/>
    <n v="1"/>
    <s v="NO"/>
    <n v="1"/>
  </r>
  <r>
    <s v="NESTLE PURINA"/>
    <x v="1"/>
    <x v="0"/>
    <s v="SUPERETE"/>
    <n v="161719"/>
    <x v="1"/>
    <s v="USA ACCESORIOS QUE NO CUMPLE CON EL CODIGO DE VESTIMENTA"/>
    <s v="AUDITORIA - MERCADEO PURINA MARZO 2025"/>
    <s v="NO"/>
    <d v="2025-03-19T00:00:00"/>
    <n v="26426261"/>
    <s v="NestleP.10"/>
    <x v="0"/>
    <x v="1"/>
    <n v="1"/>
    <s v="NO"/>
    <n v="1"/>
  </r>
  <r>
    <s v="NESTLE PURINA"/>
    <x v="1"/>
    <x v="0"/>
    <s v="SUPERETE"/>
    <n v="161719"/>
    <x v="1"/>
    <s v="EL LINEAL SE ENCUENTRA LIMPIO Y ORGANIZADO"/>
    <s v="AUDITORIA - MERCADEO PURINA MARZO 2025"/>
    <s v="SI"/>
    <d v="2025-03-19T00:00:00"/>
    <n v="26426261"/>
    <s v="NestleP.10"/>
    <x v="0"/>
    <x v="2"/>
    <n v="4.2"/>
    <s v="SI"/>
    <n v="4.2"/>
  </r>
  <r>
    <s v="NESTLE PURINA"/>
    <x v="1"/>
    <x v="0"/>
    <s v="SUPERETE"/>
    <n v="161719"/>
    <x v="1"/>
    <s v="LOS PRODUCTOS TIENEN EL PRECIO Y ESTAN ACORDE O CORRESPONDIENTE A CADA REFERENCIA"/>
    <s v="AUDITORIA - MERCADEO PURINA MARZO 2025"/>
    <s v="SI"/>
    <d v="2025-03-19T00:00:00"/>
    <n v="26426261"/>
    <s v="NestleP.10"/>
    <x v="0"/>
    <x v="2"/>
    <n v="4.3"/>
    <s v="SI"/>
    <n v="4.3"/>
  </r>
  <r>
    <s v="NESTLE PURINA"/>
    <x v="1"/>
    <x v="0"/>
    <s v="SUPERETE"/>
    <n v="161719"/>
    <x v="1"/>
    <s v="LOS PRODUCTOS ESTAN SURTIDOS DE ACUERDO A PEPS O FIFO (REVISAR TANTO PRODUCTO SECO COMO HUMEDO)"/>
    <s v="AUDITORIA - MERCADEO PURINA MARZO 2025"/>
    <s v="SI"/>
    <d v="2025-03-19T00:00:00"/>
    <n v="26426261"/>
    <s v="NestleP.10"/>
    <x v="0"/>
    <x v="2"/>
    <n v="4.3"/>
    <s v="SI"/>
    <n v="4.3"/>
  </r>
  <r>
    <s v="NESTLE PURINA"/>
    <x v="1"/>
    <x v="0"/>
    <s v="SUPERETE"/>
    <n v="161719"/>
    <x v="1"/>
    <s v="CONOCE LOS INFALTABLES DEL PUNTO DE VENTA Y CUENTA CON EL MATERIAL DE APOYO (AYUDAVENTAS INFALTABLES)"/>
    <s v="AUDITORIA - MERCADEO PURINA MARZO 2025"/>
    <s v="SI"/>
    <d v="2025-03-19T00:00:00"/>
    <n v="26426261"/>
    <s v="NestleP.10"/>
    <x v="0"/>
    <x v="2"/>
    <n v="4.3"/>
    <s v="SI"/>
    <n v="4.3"/>
  </r>
  <r>
    <s v="NESTLE PURINA"/>
    <x v="1"/>
    <x v="0"/>
    <s v="SUPERETE"/>
    <n v="161719"/>
    <x v="1"/>
    <s v="CONOCE Y TIENE SURTIDO DE ACUERDO A LA ESTRATEGIA DE EXHIBICIÓN (ETAPAS DE VIDA - SEGMENTACIÓN DE MARCAS)"/>
    <s v="AUDITORIA - MERCADEO PURINA MARZO 2025"/>
    <s v="SI"/>
    <d v="2025-03-19T00:00:00"/>
    <n v="26426261"/>
    <s v="NestleP.10"/>
    <x v="0"/>
    <x v="2"/>
    <n v="4.3"/>
    <s v="SI"/>
    <n v="4.3"/>
  </r>
  <r>
    <s v="NESTLE PURINA"/>
    <x v="1"/>
    <x v="0"/>
    <s v="SUPERETE"/>
    <n v="161719"/>
    <x v="1"/>
    <s v="CUAL ES LA ESTRATEGIA DE EXHIBICIÓN PARA LAS MARCAS MAINSTRAIN (ALPO Y GATSY) DE PURINA Y PORQUE?"/>
    <s v="AUDITORIA - MERCADEO PURINA MARZO 2025"/>
    <s v="SI"/>
    <d v="2025-03-19T00:00:00"/>
    <n v="26426261"/>
    <s v="NestleP.10"/>
    <x v="0"/>
    <x v="2"/>
    <n v="4.3"/>
    <s v="SI"/>
    <n v="4.3"/>
  </r>
  <r>
    <s v="NESTLE PURINA"/>
    <x v="1"/>
    <x v="0"/>
    <s v="SUPERETE"/>
    <n v="161719"/>
    <x v="1"/>
    <s v="CONOCE EL % DE PARTICIPACIÓN QUE TIENE EN EL PUNTO DE VENTA E INFORMA CUAL ES ESE %"/>
    <s v="AUDITORIA - MERCADEO PURINA MARZO 2025"/>
    <s v="SI"/>
    <d v="2025-03-19T00:00:00"/>
    <n v="26426261"/>
    <s v="NestleP.10"/>
    <x v="0"/>
    <x v="2"/>
    <n v="4.3"/>
    <s v="SI"/>
    <n v="4.3"/>
  </r>
  <r>
    <s v="NESTLE PURINA"/>
    <x v="1"/>
    <x v="0"/>
    <s v="SUPERETE"/>
    <n v="161719"/>
    <x v="1"/>
    <s v="QUE CANAL VA A AUDITAR"/>
    <s v="AUDITORIA - MERCADEO PURINA MARZO 2025"/>
    <s v="CANAL TRADICIONAL"/>
    <d v="2025-03-19T00:00:00"/>
    <n v="26426261"/>
    <s v="NestleP.10"/>
    <x v="0"/>
    <x v="3"/>
    <n v="0"/>
    <s v="CANAL  MODERNO, CANAL ESPECIALIZADO"/>
    <n v="0"/>
  </r>
  <r>
    <s v="NESTLE PURINA"/>
    <x v="1"/>
    <x v="0"/>
    <s v="SUPERETE"/>
    <n v="161719"/>
    <x v="1"/>
    <s v="T. ESTA IMPLEMENTADA LA NUEVA ESTRATEGIA DE BAJA DE PRECIOS_x000a_(SI EL MERCADERISTA INFORMA QUE EL PDV NO LO PERMITE IMPLEMENTAR QUEDARIA COMO N/A)"/>
    <s v="AUDITORIA - MERCADEO PURINA MARZO 2025"/>
    <s v="SI"/>
    <d v="2025-03-19T00:00:00"/>
    <n v="26426261"/>
    <s v="NestleP.10"/>
    <x v="0"/>
    <x v="4"/>
    <n v="40"/>
    <s v="SI"/>
    <n v="40"/>
  </r>
  <r>
    <s v="NESTLE PURINA"/>
    <x v="1"/>
    <x v="0"/>
    <s v="SUPERETE"/>
    <n v="161719"/>
    <x v="1"/>
    <s v="SE PRESENTA ALGUNA NOVEDAD?"/>
    <s v="AUDITORIA - MERCADEO PURINA MARZO 2025"/>
    <s v="SI"/>
    <d v="2025-03-19T00:00:00"/>
    <n v="26426261"/>
    <s v="NestleP.10"/>
    <x v="0"/>
    <x v="3"/>
    <n v="0"/>
    <n v="0"/>
    <n v="0"/>
  </r>
  <r>
    <s v="NESTLE PURINA"/>
    <x v="1"/>
    <x v="0"/>
    <s v="SUPERETE"/>
    <n v="161719"/>
    <x v="1"/>
    <s v="DESCRIBA LA NOVEDAD"/>
    <s v="AUDITORIA - MERCADEO PURINA MARZO 2025"/>
    <s v="El vídeo se me movió un poco y se ve mucho la otra marca, pero a la chica de le hizo mistery y auditoría de purina, se le hizo compra porque su asesoría fue muy buena. Nos manifiesta que tiene muchos agotados, que ya los reporto y por el tema de agotados está perdiendo participación en el PDV de nuestra marca purina."/>
    <d v="2025-03-19T00:00:00"/>
    <n v="26426261"/>
    <s v="NestleP.10"/>
    <x v="0"/>
    <x v="3"/>
    <n v="0"/>
    <n v="0"/>
    <n v="0"/>
  </r>
  <r>
    <s v="NESTLE PURINA"/>
    <x v="2"/>
    <x v="0"/>
    <s v="SUPERETE"/>
    <n v="66552"/>
    <x v="2"/>
    <s v="¿CUMPLE HORARIO DE ENTRADA O SALIDA DE LA TIENDA?"/>
    <s v="AUDITORIA - MERCADEO PURINA MARZO 2025"/>
    <s v="SI"/>
    <d v="2025-03-21T00:00:00"/>
    <n v="26440178"/>
    <s v="NestleP.7"/>
    <x v="0"/>
    <x v="0"/>
    <n v="20"/>
    <s v="SI"/>
    <n v="20"/>
  </r>
  <r>
    <s v="NESTLE PURINA"/>
    <x v="2"/>
    <x v="0"/>
    <s v="SUPERETE"/>
    <n v="66552"/>
    <x v="2"/>
    <s v="CUENTA CON PANTALON DEL UNIFORME SEGÚN EL CARGO (NEGRO / ROJO / TURQUESA / JEAN)"/>
    <s v="AUDITORIA - MERCADEO PURINA MARZO 2025"/>
    <s v="SI"/>
    <d v="2025-03-21T00:00:00"/>
    <n v="26440178"/>
    <s v="NestleP.7"/>
    <x v="0"/>
    <x v="1"/>
    <n v="1"/>
    <s v="SI"/>
    <n v="1"/>
  </r>
  <r>
    <s v="NESTLE PURINA"/>
    <x v="2"/>
    <x v="0"/>
    <s v="SUPERETE"/>
    <n v="66552"/>
    <x v="2"/>
    <s v="CUENTA CON CAMISA DEL UNIFORME Y LOGOS SEGÚN EL CARGO (NEGRA / GRIS / ROJA / TURQUESA) (ES PERMITIDO USAR DEBAJO DE LA CAMISA BUSO MANGA LARGA NEGRO)"/>
    <s v="AUDITORIA - MERCADEO PURINA MARZO 2025"/>
    <s v="SI"/>
    <d v="2025-03-21T00:00:00"/>
    <n v="26440178"/>
    <s v="NestleP.7"/>
    <x v="0"/>
    <x v="1"/>
    <n v="1"/>
    <s v="SI"/>
    <n v="1"/>
  </r>
  <r>
    <s v="NESTLE PURINA"/>
    <x v="2"/>
    <x v="0"/>
    <s v="SUPERETE"/>
    <n v="66552"/>
    <x v="2"/>
    <s v="CUENTA CON CALZADO DE ACUERDO AL UNIFORME"/>
    <s v="AUDITORIA - MERCADEO PURINA MARZO 2025"/>
    <s v="SI"/>
    <d v="2025-03-21T00:00:00"/>
    <n v="26440178"/>
    <s v="NestleP.7"/>
    <x v="0"/>
    <x v="1"/>
    <n v="1"/>
    <s v="SI"/>
    <n v="1"/>
  </r>
  <r>
    <s v="NESTLE PURINA"/>
    <x v="2"/>
    <x v="0"/>
    <s v="SUPERETE"/>
    <n v="66552"/>
    <x v="2"/>
    <s v="POSEE ALGUNA PRENDA ENCIMA DEL UNIFORME NO AUTORIZADA POR LA MARCA (SOLO PERMITIDO CHALECO DE SODIMAC Y EASY)"/>
    <s v="AUDITORIA - MERCADEO PURINA MARZO 2025"/>
    <s v="NO"/>
    <d v="2025-03-21T00:00:00"/>
    <n v="26440178"/>
    <s v="NestleP.7"/>
    <x v="0"/>
    <x v="1"/>
    <n v="1"/>
    <s v="NO"/>
    <n v="1"/>
  </r>
  <r>
    <s v="NESTLE PURINA"/>
    <x v="2"/>
    <x v="0"/>
    <s v="SUPERETE"/>
    <n v="66552"/>
    <x v="2"/>
    <s v="EL UNIFORME Y ZAPATOS SE ENCUENTRAN LIMPIOS Y EN BUEN ESTADO"/>
    <s v="AUDITORIA - MERCADEO PURINA MARZO 2025"/>
    <s v="SI"/>
    <d v="2025-03-21T00:00:00"/>
    <n v="26440178"/>
    <s v="NestleP.7"/>
    <x v="0"/>
    <x v="1"/>
    <n v="1"/>
    <s v="SI"/>
    <n v="1"/>
  </r>
  <r>
    <s v="NESTLE PURINA"/>
    <x v="2"/>
    <x v="0"/>
    <s v="SUPERETE"/>
    <n v="66552"/>
    <x v="2"/>
    <s v="SU CABELLO LUCE LIMPIO, ORGANIZADO O RECOGIDO"/>
    <s v="AUDITORIA - MERCADEO PURINA MARZO 2025"/>
    <s v="SI"/>
    <d v="2025-03-21T00:00:00"/>
    <n v="26440178"/>
    <s v="NestleP.7"/>
    <x v="0"/>
    <x v="1"/>
    <n v="1"/>
    <s v="SI"/>
    <n v="1"/>
  </r>
  <r>
    <s v="NESTLE PURINA"/>
    <x v="2"/>
    <x v="0"/>
    <s v="SUPERETE"/>
    <n v="66552"/>
    <x v="2"/>
    <s v="PRESENTA EXCESO DE MAQUILLAJE QUE NO CUMPLE CON EL CODIGO DE VESTIMENTA"/>
    <s v="AUDITORIA - MERCADEO PURINA MARZO 2025"/>
    <s v="NO"/>
    <d v="2025-03-21T00:00:00"/>
    <n v="26440178"/>
    <s v="NestleP.7"/>
    <x v="0"/>
    <x v="1"/>
    <n v="1"/>
    <s v="NO"/>
    <n v="1"/>
  </r>
  <r>
    <s v="NESTLE PURINA"/>
    <x v="2"/>
    <x v="0"/>
    <s v="SUPERETE"/>
    <n v="66552"/>
    <x v="2"/>
    <s v="TIENE TATUAJES O PIERCINGS VISIBLES QUE NO CUMPLE CON EL CODIGO DE VESTIMENTA"/>
    <s v="AUDITORIA - MERCADEO PURINA MARZO 2025"/>
    <s v="NO"/>
    <d v="2025-03-21T00:00:00"/>
    <n v="26440178"/>
    <s v="NestleP.7"/>
    <x v="0"/>
    <x v="1"/>
    <n v="1"/>
    <s v="NO"/>
    <n v="1"/>
  </r>
  <r>
    <s v="NESTLE PURINA"/>
    <x v="2"/>
    <x v="0"/>
    <s v="SUPERETE"/>
    <n v="66552"/>
    <x v="2"/>
    <s v="TIENE UÑAS LLAMATIVAS Y/O LARGAS QUE NO CUMPLE CON EL CODIGO DE VESTIMENTA"/>
    <s v="AUDITORIA - MERCADEO PURINA MARZO 2025"/>
    <s v="NO"/>
    <d v="2025-03-21T00:00:00"/>
    <n v="26440178"/>
    <s v="NestleP.7"/>
    <x v="0"/>
    <x v="1"/>
    <n v="1"/>
    <s v="NO"/>
    <n v="1"/>
  </r>
  <r>
    <s v="NESTLE PURINA"/>
    <x v="2"/>
    <x v="0"/>
    <s v="SUPERETE"/>
    <n v="66552"/>
    <x v="2"/>
    <s v="USA ACCESORIOS QUE NO CUMPLE CON EL CODIGO DE VESTIMENTA"/>
    <s v="AUDITORIA - MERCADEO PURINA MARZO 2025"/>
    <s v="NO"/>
    <d v="2025-03-21T00:00:00"/>
    <n v="26440178"/>
    <s v="NestleP.7"/>
    <x v="0"/>
    <x v="1"/>
    <n v="1"/>
    <s v="NO"/>
    <n v="1"/>
  </r>
  <r>
    <s v="NESTLE PURINA"/>
    <x v="2"/>
    <x v="0"/>
    <s v="SUPERETE"/>
    <n v="66552"/>
    <x v="2"/>
    <s v="EL LINEAL SE ENCUENTRA LIMPIO Y ORGANIZADO"/>
    <s v="AUDITORIA - MERCADEO PURINA MARZO 2025"/>
    <s v="SI"/>
    <d v="2025-03-21T00:00:00"/>
    <n v="26440178"/>
    <s v="NestleP.7"/>
    <x v="0"/>
    <x v="2"/>
    <n v="4.2"/>
    <s v="SI"/>
    <n v="4.2"/>
  </r>
  <r>
    <s v="NESTLE PURINA"/>
    <x v="2"/>
    <x v="0"/>
    <s v="SUPERETE"/>
    <n v="66552"/>
    <x v="2"/>
    <s v="LOS PRODUCTOS TIENEN EL PRECIO Y ESTAN ACORDE O CORRESPONDIENTE A CADA REFERENCIA"/>
    <s v="AUDITORIA - MERCADEO PURINA MARZO 2025"/>
    <s v="SI"/>
    <d v="2025-03-21T00:00:00"/>
    <n v="26440178"/>
    <s v="NestleP.7"/>
    <x v="0"/>
    <x v="2"/>
    <n v="4.3"/>
    <s v="SI"/>
    <n v="4.3"/>
  </r>
  <r>
    <s v="NESTLE PURINA"/>
    <x v="2"/>
    <x v="0"/>
    <s v="SUPERETE"/>
    <n v="66552"/>
    <x v="2"/>
    <s v="LOS PRODUCTOS ESTAN SURTIDOS DE ACUERDO A PEPS O FIFO (REVISAR TANTO PRODUCTO SECO COMO HUMEDO)"/>
    <s v="AUDITORIA - MERCADEO PURINA MARZO 2025"/>
    <s v="SI"/>
    <d v="2025-03-21T00:00:00"/>
    <n v="26440178"/>
    <s v="NestleP.7"/>
    <x v="0"/>
    <x v="2"/>
    <n v="4.3"/>
    <s v="SI"/>
    <n v="4.3"/>
  </r>
  <r>
    <s v="NESTLE PURINA"/>
    <x v="2"/>
    <x v="0"/>
    <s v="SUPERETE"/>
    <n v="66552"/>
    <x v="2"/>
    <s v="CONOCE LOS INFALTABLES DEL PUNTO DE VENTA Y CUENTA CON EL MATERIAL DE APOYO (AYUDAVENTAS INFALTABLES)"/>
    <s v="AUDITORIA - MERCADEO PURINA MARZO 2025"/>
    <s v="SI"/>
    <d v="2025-03-21T00:00:00"/>
    <n v="26440178"/>
    <s v="NestleP.7"/>
    <x v="0"/>
    <x v="2"/>
    <n v="4.3"/>
    <s v="SI"/>
    <n v="4.3"/>
  </r>
  <r>
    <s v="NESTLE PURINA"/>
    <x v="2"/>
    <x v="0"/>
    <s v="SUPERETE"/>
    <n v="66552"/>
    <x v="2"/>
    <s v="CONOCE Y TIENE SURTIDO DE ACUERDO A LA ESTRATEGIA DE EXHIBICIÓN (ETAPAS DE VIDA - SEGMENTACIÓN DE MARCAS)"/>
    <s v="AUDITORIA - MERCADEO PURINA MARZO 2025"/>
    <s v="SI"/>
    <d v="2025-03-21T00:00:00"/>
    <n v="26440178"/>
    <s v="NestleP.7"/>
    <x v="0"/>
    <x v="2"/>
    <n v="4.3"/>
    <s v="SI"/>
    <n v="4.3"/>
  </r>
  <r>
    <s v="NESTLE PURINA"/>
    <x v="2"/>
    <x v="0"/>
    <s v="SUPERETE"/>
    <n v="66552"/>
    <x v="2"/>
    <s v="CUAL ES LA ESTRATEGIA DE EXHIBICIÓN PARA LAS MARCAS MAINSTRAIN (ALPO Y GATSY) DE PURINA Y PORQUE?"/>
    <s v="AUDITORIA - MERCADEO PURINA MARZO 2025"/>
    <s v="SI"/>
    <d v="2025-03-21T00:00:00"/>
    <n v="26440178"/>
    <s v="NestleP.7"/>
    <x v="0"/>
    <x v="2"/>
    <n v="4.3"/>
    <s v="SI"/>
    <n v="4.3"/>
  </r>
  <r>
    <s v="NESTLE PURINA"/>
    <x v="2"/>
    <x v="0"/>
    <s v="SUPERETE"/>
    <n v="66552"/>
    <x v="2"/>
    <s v="CONOCE EL % DE PARTICIPACIÓN QUE TIENE EN EL PUNTO DE VENTA E INFORMA CUAL ES ESE %"/>
    <s v="AUDITORIA - MERCADEO PURINA MARZO 2025"/>
    <s v="SI"/>
    <d v="2025-03-21T00:00:00"/>
    <n v="26440178"/>
    <s v="NestleP.7"/>
    <x v="0"/>
    <x v="2"/>
    <n v="4.3"/>
    <s v="SI"/>
    <n v="4.3"/>
  </r>
  <r>
    <s v="NESTLE PURINA"/>
    <x v="2"/>
    <x v="0"/>
    <s v="SUPERETE"/>
    <n v="66552"/>
    <x v="2"/>
    <s v="QUE CANAL VA A AUDITAR"/>
    <s v="AUDITORIA - MERCADEO PURINA MARZO 2025"/>
    <s v=" CANAL TRADICIONAL"/>
    <d v="2025-03-21T00:00:00"/>
    <n v="26440178"/>
    <s v="NestleP.7"/>
    <x v="0"/>
    <x v="3"/>
    <n v="0"/>
    <s v="CANAL  MODERNO, CANAL ESPECIALIZADO"/>
    <n v="0"/>
  </r>
  <r>
    <s v="NESTLE PURINA"/>
    <x v="2"/>
    <x v="0"/>
    <s v="SUPERETE"/>
    <n v="66552"/>
    <x v="2"/>
    <s v="SE PRESENTA ALGUNA NOVEDAD?"/>
    <s v="AUDITORIA - MERCADEO PURINA MARZO 2025"/>
    <s v="NO"/>
    <d v="2025-03-21T00:00:00"/>
    <n v="26440178"/>
    <s v="NestleP.7"/>
    <x v="0"/>
    <x v="3"/>
    <n v="0"/>
    <n v="0"/>
    <n v="0"/>
  </r>
  <r>
    <s v="NESTLE PURINA"/>
    <x v="0"/>
    <x v="1"/>
    <s v="OLIMPICA"/>
    <n v="12108"/>
    <x v="3"/>
    <s v="¿CUMPLE HORARIO DE ENTRADA O SALIDA DE LA TIENDA?"/>
    <s v="AUDITORIA - MERCADEO PURINA MARZO 2025"/>
    <s v="NO"/>
    <d v="2025-03-15T00:00:00"/>
    <n v="26451570"/>
    <s v="NestleP.4"/>
    <x v="1"/>
    <x v="3"/>
    <n v="0"/>
    <s v="SI"/>
    <n v="0"/>
  </r>
  <r>
    <s v="NESTLE PURINA"/>
    <x v="0"/>
    <x v="1"/>
    <s v="OLIMPICA"/>
    <n v="12108"/>
    <x v="3"/>
    <s v="SE PRESENTA ALGUNA NOVEDAD?"/>
    <s v="AUDITORIA - MERCADEO PURINA MARZO 2025"/>
    <s v="SI"/>
    <d v="2025-03-15T00:00:00"/>
    <n v="26451570"/>
    <s v="NestleP.4"/>
    <x v="1"/>
    <x v="3"/>
    <n v="0"/>
    <n v="0"/>
    <n v="0"/>
  </r>
  <r>
    <s v="NESTLE PURINA"/>
    <x v="0"/>
    <x v="1"/>
    <s v="OLIMPICA"/>
    <n v="12108"/>
    <x v="3"/>
    <s v="DESCRIBA LA NOVEDAD"/>
    <s v="AUDITORIA - MERCADEO PURINA MARZO 2025"/>
    <s v="No se encuentra en pdv "/>
    <d v="2025-03-15T00:00:00"/>
    <n v="26451570"/>
    <s v="NestleP.4"/>
    <x v="1"/>
    <x v="3"/>
    <n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1EB34B-5090-436E-B761-DA6324DE579D}" name="TablaDinámica14" cacheId="33" applyNumberFormats="0" applyBorderFormats="0" applyFontFormats="0" applyPatternFormats="0" applyAlignmentFormats="0" applyWidthHeightFormats="1" dataCaption="Valores" grandTotalCaption="% MYSTERY" errorCaption="N/A" showError="1" updatedVersion="8" minRefreshableVersion="3" itemPrintTitles="1" createdVersion="8" indent="0" compact="0" compactData="0" multipleFieldFilters="0">
  <location ref="D40:K45" firstHeaderRow="1" firstDataRow="2" firstDataCol="3" rowPageCount="1" colPageCount="1"/>
  <pivotFields count="18"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">
        <item x="1"/>
        <item x="0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5">
        <item x="0"/>
        <item x="1"/>
        <item x="2"/>
        <item x="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multipleItemSelectionAllowed="1" showAll="0">
      <items count="3">
        <item h="1" x="1"/>
        <item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>
      <items count="6">
        <item x="0"/>
        <item x="1"/>
        <item x="2"/>
        <item h="1" x="3"/>
        <item x="4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1"/>
    <field x="2"/>
    <field x="5"/>
  </rowFields>
  <rowItems count="4">
    <i>
      <x/>
      <x/>
      <x v="1"/>
    </i>
    <i>
      <x v="1"/>
      <x/>
      <x/>
    </i>
    <i>
      <x v="2"/>
      <x/>
      <x v="2"/>
    </i>
    <i t="grand">
      <x/>
    </i>
  </rowItems>
  <colFields count="1">
    <field x="13"/>
  </colFields>
  <colItems count="5">
    <i>
      <x/>
    </i>
    <i>
      <x v="1"/>
    </i>
    <i>
      <x v="2"/>
    </i>
    <i>
      <x v="4"/>
    </i>
    <i t="grand">
      <x/>
    </i>
  </colItems>
  <pageFields count="1">
    <pageField fld="12" hier="-1"/>
  </pageFields>
  <dataFields count="1">
    <dataField name="Suma de % MYSTERY" fld="17" baseField="0" baseItem="0" numFmtId="9"/>
  </dataFields>
  <formats count="37">
    <format dxfId="129">
      <pivotArea outline="0" collapsedLevelsAreSubtotals="1" fieldPosition="0"/>
    </format>
    <format dxfId="128">
      <pivotArea outline="0" collapsedLevelsAreSubtotals="1" fieldPosition="0"/>
    </format>
    <format dxfId="127">
      <pivotArea dataOnly="0" labelOnly="1" grandCol="1" outline="0" fieldPosition="0"/>
    </format>
    <format dxfId="126">
      <pivotArea outline="0" collapsedLevelsAreSubtotals="1" fieldPosition="0"/>
    </format>
    <format dxfId="125">
      <pivotArea dataOnly="0" labelOnly="1" grandCol="1" outline="0" fieldPosition="0"/>
    </format>
    <format dxfId="124">
      <pivotArea grandRow="1" outline="0" collapsedLevelsAreSubtotals="1" fieldPosition="0"/>
    </format>
    <format dxfId="123">
      <pivotArea grandRow="1" outline="0" collapsedLevelsAreSubtotals="1" fieldPosition="0"/>
    </format>
    <format dxfId="122">
      <pivotArea dataOnly="0" labelOnly="1" grandCol="1" outline="0" fieldPosition="0"/>
    </format>
    <format dxfId="121">
      <pivotArea field="1" type="button" dataOnly="0" labelOnly="1" outline="0" axis="axisRow" fieldPosition="0"/>
    </format>
    <format dxfId="120">
      <pivotArea field="5" type="button" dataOnly="0" labelOnly="1" outline="0" axis="axisRow" fieldPosition="2"/>
    </format>
    <format dxfId="119">
      <pivotArea dataOnly="0" labelOnly="1" outline="0" fieldPosition="0">
        <references count="1">
          <reference field="13" count="0"/>
        </references>
      </pivotArea>
    </format>
    <format dxfId="118">
      <pivotArea dataOnly="0" labelOnly="1" grandCol="1" outline="0" fieldPosition="0"/>
    </format>
    <format dxfId="117">
      <pivotArea field="1" type="button" dataOnly="0" labelOnly="1" outline="0" axis="axisRow" fieldPosition="0"/>
    </format>
    <format dxfId="116">
      <pivotArea field="5" type="button" dataOnly="0" labelOnly="1" outline="0" axis="axisRow" fieldPosition="2"/>
    </format>
    <format dxfId="115">
      <pivotArea dataOnly="0" labelOnly="1" outline="0" fieldPosition="0">
        <references count="1">
          <reference field="13" count="0"/>
        </references>
      </pivotArea>
    </format>
    <format dxfId="114">
      <pivotArea dataOnly="0" labelOnly="1" grandCol="1" outline="0" fieldPosition="0"/>
    </format>
    <format dxfId="113">
      <pivotArea field="2" type="button" dataOnly="0" labelOnly="1" outline="0" axis="axisRow" fieldPosition="1"/>
    </format>
    <format dxfId="112">
      <pivotArea field="1" type="button" dataOnly="0" labelOnly="1" outline="0" axis="axisRow" fieldPosition="0"/>
    </format>
    <format dxfId="111">
      <pivotArea field="2" type="button" dataOnly="0" labelOnly="1" outline="0" axis="axisRow" fieldPosition="1"/>
    </format>
    <format dxfId="110">
      <pivotArea field="5" type="button" dataOnly="0" labelOnly="1" outline="0" axis="axisRow" fieldPosition="2"/>
    </format>
    <format dxfId="109">
      <pivotArea dataOnly="0" labelOnly="1" outline="0" fieldPosition="0">
        <references count="1">
          <reference field="13" count="0"/>
        </references>
      </pivotArea>
    </format>
    <format dxfId="108">
      <pivotArea dataOnly="0" labelOnly="1" grandCol="1" outline="0" fieldPosition="0"/>
    </format>
    <format dxfId="107">
      <pivotArea field="1" type="button" dataOnly="0" labelOnly="1" outline="0" axis="axisRow" fieldPosition="0"/>
    </format>
    <format dxfId="106">
      <pivotArea field="2" type="button" dataOnly="0" labelOnly="1" outline="0" axis="axisRow" fieldPosition="1"/>
    </format>
    <format dxfId="105">
      <pivotArea field="5" type="button" dataOnly="0" labelOnly="1" outline="0" axis="axisRow" fieldPosition="2"/>
    </format>
    <format dxfId="104">
      <pivotArea dataOnly="0" labelOnly="1" outline="0" fieldPosition="0">
        <references count="1">
          <reference field="13" count="0"/>
        </references>
      </pivotArea>
    </format>
    <format dxfId="103">
      <pivotArea field="13" grandRow="1" outline="0" axis="axisCol" fieldPosition="0">
        <references count="1">
          <reference field="13" count="0" selected="0"/>
        </references>
      </pivotArea>
    </format>
    <format dxfId="102">
      <pivotArea field="13" grandRow="1" outline="0" axis="axisCol" fieldPosition="0">
        <references count="1">
          <reference field="13" count="0" selected="0"/>
        </references>
      </pivotArea>
    </format>
    <format dxfId="101">
      <pivotArea dataOnly="0" labelOnly="1" outline="0" fieldPosition="0">
        <references count="1">
          <reference field="1" count="1">
            <x v="0"/>
          </reference>
        </references>
      </pivotArea>
    </format>
    <format dxfId="100">
      <pivotArea dataOnly="0" labelOnly="1" grandRow="1" outline="0" fieldPosition="0"/>
    </format>
    <format dxfId="99">
      <pivotArea dataOnly="0" labelOnly="1" outline="0" fieldPosition="0">
        <references count="1">
          <reference field="1" count="1">
            <x v="0"/>
          </reference>
        </references>
      </pivotArea>
    </format>
    <format dxfId="98">
      <pivotArea dataOnly="0" labelOnly="1" grandRow="1" outline="0" fieldPosition="0"/>
    </format>
    <format dxfId="97">
      <pivotArea grandRow="1" grandCol="1" outline="0" collapsedLevelsAreSubtotals="1" fieldPosition="0"/>
    </format>
    <format dxfId="96">
      <pivotArea outline="0" fieldPosition="0">
        <references count="1">
          <reference field="13" count="2" selected="0">
            <x v="0"/>
            <x v="1"/>
          </reference>
        </references>
      </pivotArea>
    </format>
    <format dxfId="95">
      <pivotArea dataOnly="0" labelOnly="1" outline="0" fieldPosition="0">
        <references count="1">
          <reference field="12" count="0"/>
        </references>
      </pivotArea>
    </format>
    <format dxfId="94">
      <pivotArea outline="0" fieldPosition="0">
        <references count="1">
          <reference field="13" count="2" selected="0">
            <x v="0"/>
            <x v="1"/>
          </reference>
        </references>
      </pivotArea>
    </format>
    <format dxfId="93">
      <pivotArea dataOnly="0" labelOnly="1" outline="0" fieldPosition="0">
        <references count="1">
          <reference field="12" count="0"/>
        </references>
      </pivotArea>
    </format>
  </formats>
  <pivotTableStyleInfo name="Estilo de tabla dinámica 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>
        <x14:conditionalFormats count="6">
          <x14:conditionalFormat priority="13" id="{CDBCCC9F-9EDA-4D80-8BED-778D536A49DD}">
            <x14:pivotAreas count="1">
              <pivotArea type="data" outline="0" collapsedLevelsAreSubtotals="1" fieldPosition="0">
                <references count="2">
                  <reference field="4294967294" count="1" selected="0">
                    <x v="0"/>
                  </reference>
                  <reference field="13" count="1" selected="0">
                    <x v="0"/>
                  </reference>
                </references>
              </pivotArea>
            </x14:pivotAreas>
          </x14:conditionalFormat>
          <x14:conditionalFormat priority="12" id="{3DEB9BAA-88F2-4F85-BC7C-9A379E1ECBEA}">
            <x14:pivotAreas count="1">
              <pivotArea type="data" outline="0" collapsedLevelsAreSubtotals="1" fieldPosition="0">
                <references count="2">
                  <reference field="4294967294" count="1" selected="0">
                    <x v="0"/>
                  </reference>
                  <reference field="13" count="1" selected="0">
                    <x v="1"/>
                  </reference>
                </references>
              </pivotArea>
            </x14:pivotAreas>
          </x14:conditionalFormat>
          <x14:conditionalFormat priority="11" id="{0BFDFA54-E28D-4083-8A0C-0F38165539CC}">
            <x14:pivotAreas count="1">
              <pivotArea type="data" outline="0" collapsedLevelsAreSubtotals="1" fieldPosition="0">
                <references count="2">
                  <reference field="4294967294" count="1" selected="0">
                    <x v="0"/>
                  </reference>
                  <reference field="13" count="1" selected="0">
                    <x v="2"/>
                  </reference>
                </references>
              </pivotArea>
            </x14:pivotAreas>
          </x14:conditionalFormat>
          <x14:conditionalFormat priority="10" id="{CC4B7715-A71F-413F-BCF5-D27D5DE2DB4E}">
            <x14:pivotAreas count="1">
              <pivotArea type="data" outline="0" collapsedLevelsAreSubtotals="1" fieldPosition="0">
                <references count="2">
                  <reference field="4294967294" count="1" selected="0">
                    <x v="0"/>
                  </reference>
                  <reference field="13" count="1" selected="0">
                    <x v="3"/>
                  </reference>
                </references>
              </pivotArea>
            </x14:pivotAreas>
          </x14:conditionalFormat>
          <x14:conditionalFormat priority="9" id="{F547BB12-354B-4F96-A8DF-A5AB8706DFB1}">
            <x14:pivotAreas count="1">
              <pivotArea type="data" outline="0" collapsedLevelsAreSubtotals="1" fieldPosition="0">
                <references count="2">
                  <reference field="4294967294" count="1" selected="0">
                    <x v="0"/>
                  </reference>
                  <reference field="13" count="1" selected="0">
                    <x v="4"/>
                  </reference>
                </references>
              </pivotArea>
            </x14:pivotAreas>
          </x14:conditionalFormat>
          <x14:conditionalFormat priority="1" id="{433F49AE-2085-4B17-B731-844B2BF5CF76}">
            <x14:pivotAreas count="1">
              <pivotArea type="data" grandCol="1" outline="0" collapsedLevelsAreSubtotals="1" fieldPosition="0">
                <references count="1">
                  <reference field="4294967294" count="1" selected="0">
                    <x v="0"/>
                  </reference>
                </references>
              </pivotArea>
            </x14:pivotAreas>
          </x14:conditionalFormat>
        </x14:conditionalFormats>
      </x14:pivotTableDefinition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C480BA-2D05-4BE0-8BEA-795F3E018008}" name="TablaDinámica9" cacheId="32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rowHeaderCaption="CIUDAD">
  <location ref="D4:J8" firstHeaderRow="0" firstDataRow="1" firstDataCol="1"/>
  <pivotFields count="11">
    <pivotField showAll="0"/>
    <pivotField axis="axisRow" showAll="0" sortType="descending">
      <items count="15">
        <item x="0"/>
        <item m="1" x="3"/>
        <item x="1"/>
        <item m="1" x="11"/>
        <item m="1" x="13"/>
        <item m="1" x="6"/>
        <item x="2"/>
        <item m="1" x="12"/>
        <item m="1" x="10"/>
        <item m="1" x="7"/>
        <item m="1" x="8"/>
        <item m="1" x="9"/>
        <item m="1" x="5"/>
        <item m="1" x="4"/>
        <item t="default"/>
      </items>
      <autoSortScope>
        <pivotArea dataOnly="0" outline="0" fieldPosition="0">
          <references count="1">
            <reference field="4294967294" count="1" selected="0">
              <x v="5"/>
            </reference>
          </references>
        </pivotArea>
      </autoSortScope>
    </pivotField>
    <pivotField showAll="0"/>
    <pivotField showAll="0"/>
    <pivotField dataField="1" showAll="0"/>
    <pivotField dataField="1" showAll="0"/>
    <pivotField dataField="1" showAll="0"/>
    <pivotField showAll="0"/>
    <pivotField dataField="1" showAll="0"/>
    <pivotField dataField="1" dragToRow="0" dragToCol="0" dragToPage="0" showAll="0" defaultSubtotal="0"/>
    <pivotField dataField="1" dragToRow="0" dragToCol="0" dragToPage="0" showAll="0" defaultSubtotal="0"/>
  </pivotFields>
  <rowFields count="1">
    <field x="1"/>
  </rowFields>
  <rowItems count="4">
    <i>
      <x v="6"/>
    </i>
    <i>
      <x v="2"/>
    </i>
    <i>
      <x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#PDV Obj." fld="5" baseField="0" baseItem="0"/>
    <dataField name="#PDV Eje." fld="6" baseField="0" baseItem="0"/>
    <dataField name=".% Ejecucion" fld="9" baseField="0" baseItem="0" numFmtId="9"/>
    <dataField name="Obj Auditoria" fld="4" baseField="0" baseItem="0"/>
    <dataField name="Auditoria Eje." fld="8" baseField="0" baseItem="0"/>
    <dataField name="% Efectividad." fld="10" baseField="0" baseItem="0" numFmtId="9"/>
  </dataFields>
  <formats count="27">
    <format dxfId="156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55">
      <pivotArea outline="0" collapsedLevelsAreSubtotals="1" fieldPosition="0"/>
    </format>
    <format dxfId="154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53">
      <pivotArea outline="0" collapsedLevelsAreSubtotals="1" fieldPosition="0"/>
    </format>
    <format dxfId="152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51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150">
      <pivotArea field="1" grandRow="1" outline="0" collapsedLevelsAreSubtotals="1" axis="axisRow" fieldPosition="0">
        <references count="1">
          <reference field="4294967294" count="1" selected="0">
            <x v="2"/>
          </reference>
        </references>
      </pivotArea>
    </format>
    <format dxfId="149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148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147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146">
      <pivotArea outline="0" collapsedLevelsAreSubtotals="1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145">
      <pivotArea dataOnly="0" labelOnly="1" outline="0" fieldPosition="0">
        <references count="1">
          <reference field="4294967294" count="3">
            <x v="3"/>
            <x v="4"/>
            <x v="5"/>
          </reference>
        </references>
      </pivotArea>
    </format>
    <format dxfId="144">
      <pivotArea outline="0" collapsedLevelsAreSubtotals="1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143">
      <pivotArea dataOnly="0" labelOnly="1" outline="0" fieldPosition="0">
        <references count="1">
          <reference field="4294967294" count="3">
            <x v="3"/>
            <x v="4"/>
            <x v="5"/>
          </reference>
        </references>
      </pivotArea>
    </format>
    <format dxfId="142">
      <pivotArea field="1" grandRow="1" outline="0" collapsedLevelsAreSubtotals="1" axis="axisRow" fieldPosition="0">
        <references count="1">
          <reference field="4294967294" count="2" selected="0">
            <x v="0"/>
            <x v="1"/>
          </reference>
        </references>
      </pivotArea>
    </format>
    <format dxfId="141">
      <pivotArea field="1" grandRow="1" outline="0" collapsedLevelsAreSubtotals="1" axis="axisRow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140">
      <pivotArea field="1" grandRow="1" outline="0" collapsedLevelsAreSubtotals="1" axis="axisRow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139">
      <pivotArea field="1" grandRow="1" outline="0" collapsedLevelsAreSubtotals="1" axis="axisRow" fieldPosition="0">
        <references count="1">
          <reference field="4294967294" count="2" selected="0">
            <x v="0"/>
            <x v="1"/>
          </reference>
        </references>
      </pivotArea>
    </format>
    <format dxfId="138">
      <pivotArea field="1" grandRow="1" outline="0" collapsedLevelsAreSubtotals="1" axis="axisRow" fieldPosition="0">
        <references count="1">
          <reference field="4294967294" count="1" selected="0">
            <x v="2"/>
          </reference>
        </references>
      </pivotArea>
    </format>
    <format dxfId="137">
      <pivotArea field="1" grandRow="1" outline="0" collapsedLevelsAreSubtotals="1" axis="axisRow" fieldPosition="0">
        <references count="1">
          <reference field="4294967294" count="1" selected="0">
            <x v="5"/>
          </reference>
        </references>
      </pivotArea>
    </format>
    <format dxfId="136">
      <pivotArea field="1" type="button" dataOnly="0" labelOnly="1" outline="0" axis="axisRow" fieldPosition="0"/>
    </format>
    <format dxfId="135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34">
      <pivotArea dataOnly="0" labelOnly="1" grandRow="1" outline="0" fieldPosition="0"/>
    </format>
    <format dxfId="133">
      <pivotArea outline="0" collapsedLevelsAreSubtotals="1" fieldPosition="0">
        <references count="1">
          <reference field="4294967294" count="4" selected="0">
            <x v="0"/>
            <x v="1"/>
            <x v="2"/>
            <x v="3"/>
          </reference>
        </references>
      </pivotArea>
    </format>
    <format dxfId="132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131">
      <pivotArea outline="0" collapsedLevelsAreSubtotals="1" fieldPosition="0">
        <references count="1">
          <reference field="4294967294" count="4" selected="0">
            <x v="0"/>
            <x v="1"/>
            <x v="2"/>
            <x v="3"/>
          </reference>
        </references>
      </pivotArea>
    </format>
    <format dxfId="130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pivotTableStyleInfo name="Estilo de tabla dinámica 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6E3945-8534-4C3F-84DB-E199E1A30E99}" name="TablaDinámica12" cacheId="33" applyNumberFormats="0" applyBorderFormats="0" applyFontFormats="0" applyPatternFormats="0" applyAlignmentFormats="0" applyWidthHeightFormats="1" dataCaption="Valores" grandTotalCaption="% MYSTERY" errorCaption="N/A" showError="1" updatedVersion="8" minRefreshableVersion="3" itemPrintTitles="1" createdVersion="8" indent="0" outline="1" outlineData="1" multipleFieldFilters="0" chartFormat="1" rowHeaderCaption="CLUSTER">
  <location ref="D27:H33" firstHeaderRow="1" firstDataRow="2" firstDataCol="1" rowPageCount="1" colPageCount="1"/>
  <pivotFields count="18">
    <pivotField showAll="0"/>
    <pivotField axis="axisCol" showAll="0">
      <items count="4">
        <item x="1"/>
        <item x="0"/>
        <item x="2"/>
        <item t="default"/>
      </items>
    </pivotField>
    <pivotField showAll="0">
      <items count="3">
        <item x="1"/>
        <item x="0"/>
        <item t="default"/>
      </items>
    </pivotField>
    <pivotField showAll="0"/>
    <pivotField showAll="0"/>
    <pivotField showAll="0">
      <items count="5">
        <item x="0"/>
        <item x="2"/>
        <item x="3"/>
        <item x="1"/>
        <item t="default"/>
      </items>
    </pivotField>
    <pivotField showAll="0"/>
    <pivotField showAll="0"/>
    <pivotField showAll="0"/>
    <pivotField numFmtId="14" showAll="0"/>
    <pivotField showAll="0"/>
    <pivotField showAll="0"/>
    <pivotField axis="axisPage" multipleItemSelectionAllowed="1" showAll="0">
      <items count="3">
        <item h="1" x="1"/>
        <item x="0"/>
        <item t="default"/>
      </items>
    </pivotField>
    <pivotField axis="axisRow" showAll="0">
      <items count="6">
        <item x="0"/>
        <item x="1"/>
        <item x="2"/>
        <item h="1" x="3"/>
        <item x="4"/>
        <item t="default"/>
      </items>
    </pivotField>
    <pivotField showAll="0"/>
    <pivotField showAll="0"/>
    <pivotField showAll="0"/>
    <pivotField dataField="1" dragToRow="0" dragToCol="0" dragToPage="0" showAll="0" defaultSubtotal="0"/>
  </pivotFields>
  <rowFields count="1">
    <field x="13"/>
  </rowFields>
  <rowItems count="5">
    <i>
      <x/>
    </i>
    <i>
      <x v="1"/>
    </i>
    <i>
      <x v="2"/>
    </i>
    <i>
      <x v="4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pageFields count="1">
    <pageField fld="12" hier="-1"/>
  </pageFields>
  <dataFields count="1">
    <dataField name="Suma de % MYSTERY" fld="17" baseField="0" baseItem="0" numFmtId="9"/>
  </dataFields>
  <formats count="10">
    <format dxfId="166">
      <pivotArea outline="0" collapsedLevelsAreSubtotals="1" fieldPosition="0"/>
    </format>
    <format dxfId="165">
      <pivotArea outline="0" collapsedLevelsAreSubtotals="1" fieldPosition="0"/>
    </format>
    <format dxfId="164">
      <pivotArea dataOnly="0" labelOnly="1" grandCol="1" outline="0" fieldPosition="0"/>
    </format>
    <format dxfId="163">
      <pivotArea outline="0" collapsedLevelsAreSubtotals="1" fieldPosition="0"/>
    </format>
    <format dxfId="162">
      <pivotArea dataOnly="0" labelOnly="1" grandCol="1" outline="0" fieldPosition="0"/>
    </format>
    <format dxfId="161">
      <pivotArea grandRow="1" outline="0" collapsedLevelsAreSubtotals="1" fieldPosition="0"/>
    </format>
    <format dxfId="160">
      <pivotArea grandRow="1" outline="0" collapsedLevelsAreSubtotals="1" fieldPosition="0"/>
    </format>
    <format dxfId="159">
      <pivotArea dataOnly="0" labelOnly="1" grandCol="1" outline="0" fieldPosition="0"/>
    </format>
    <format dxfId="158">
      <pivotArea grandRow="1" grandCol="1" outline="0" collapsedLevelsAreSubtotals="1" fieldPosition="0"/>
    </format>
    <format dxfId="157">
      <pivotArea grandRow="1" grandCol="1" outline="0" collapsedLevelsAreSubtotals="1" fieldPosition="0"/>
    </format>
  </formats>
  <chartFormats count="4"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TableStyleInfo name="Estilo de tabla dinámica 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>
        <x14:conditionalFormats count="4">
          <x14:conditionalFormat priority="76" id="{578A6BBE-0746-49B8-A379-5CA92DEB79AA}">
            <x14:pivotAreas count="1">
              <pivotArea type="data" grandCol="1" outline="0" collapsedLevelsAreSubtotals="1" fieldPosition="0">
                <references count="1">
                  <reference field="4294967294" count="1" selected="0">
                    <x v="0"/>
                  </reference>
                </references>
              </pivotArea>
            </x14:pivotAreas>
          </x14:conditionalFormat>
          <x14:conditionalFormat priority="14" id="{26ABD943-D808-433F-A745-7747CF7C57DE}">
            <x14:pivotAreas count="1">
              <pivotArea type="data" outline="0" collapsedLevelsAreSubtotals="1" fieldPosition="0">
                <references count="2">
                  <reference field="4294967294" count="1" selected="0">
                    <x v="0"/>
                  </reference>
                  <reference field="1" count="1" selected="0">
                    <x v="1"/>
                  </reference>
                </references>
              </pivotArea>
            </x14:pivotAreas>
          </x14:conditionalFormat>
          <x14:conditionalFormat priority="6" id="{C7402A76-E4C6-46CF-8F62-625F79AAFDFD}">
            <x14:pivotAreas count="1">
              <pivotArea type="data" outline="0" collapsedLevelsAreSubtotals="1" fieldPosition="0">
                <references count="2">
                  <reference field="4294967294" count="1" selected="0">
                    <x v="0"/>
                  </reference>
                  <reference field="1" count="1" selected="0">
                    <x v="0"/>
                  </reference>
                </references>
              </pivotArea>
            </x14:pivotAreas>
          </x14:conditionalFormat>
          <x14:conditionalFormat priority="3" id="{1AD2B4FC-B775-4E19-AD60-75AD5A31B824}">
            <x14:pivotAreas count="1">
              <pivotArea type="data" outline="0" collapsedLevelsAreSubtotals="1" fieldPosition="0">
                <references count="2">
                  <reference field="4294967294" count="1" selected="0">
                    <x v="0"/>
                  </reference>
                  <reference field="1" count="1" selected="0">
                    <x v="2"/>
                  </reference>
                </references>
              </pivotArea>
            </x14:pivotAreas>
          </x14:conditionalFormat>
        </x14:conditionalFormats>
      </x14:pivotTableDefinition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BC1FE8-A602-442E-822D-72E4743A3052}" name="TablaDinámica11" cacheId="33" applyNumberFormats="0" applyBorderFormats="0" applyFontFormats="0" applyPatternFormats="0" applyAlignmentFormats="0" applyWidthHeightFormats="1" dataCaption="Valores" grandTotalCaption="% MYSTERY" errorCaption="0" showError="1" updatedVersion="8" minRefreshableVersion="3" itemPrintTitles="1" createdVersion="8" indent="0" outline="1" outlineData="1" multipleFieldFilters="0" chartFormat="1" rowHeaderCaption="CLUSTER">
  <location ref="D14:F20" firstHeaderRow="1" firstDataRow="2" firstDataCol="1" rowPageCount="1" colPageCount="1"/>
  <pivotFields count="18">
    <pivotField showAll="0"/>
    <pivotField showAll="0">
      <items count="4">
        <item x="0"/>
        <item x="2"/>
        <item x="1"/>
        <item t="default"/>
      </items>
    </pivotField>
    <pivotField axis="axisCol" showAll="0">
      <items count="3">
        <item x="0"/>
        <item x="1"/>
        <item t="default"/>
      </items>
    </pivotField>
    <pivotField showAll="0"/>
    <pivotField showAll="0"/>
    <pivotField showAll="0">
      <items count="5">
        <item x="0"/>
        <item x="2"/>
        <item x="3"/>
        <item x="1"/>
        <item t="default"/>
      </items>
    </pivotField>
    <pivotField showAll="0"/>
    <pivotField showAll="0"/>
    <pivotField showAll="0"/>
    <pivotField numFmtId="14" showAll="0"/>
    <pivotField showAll="0"/>
    <pivotField showAll="0"/>
    <pivotField axis="axisPage" multipleItemSelectionAllowed="1" showAll="0">
      <items count="3">
        <item h="1" x="1"/>
        <item x="0"/>
        <item t="default"/>
      </items>
    </pivotField>
    <pivotField axis="axisRow" showAll="0" sortType="descending">
      <items count="6">
        <item x="0"/>
        <item x="1"/>
        <item x="2"/>
        <item h="1" x="3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dragToRow="0" dragToCol="0" dragToPage="0" showAll="0" defaultSubtotal="0"/>
  </pivotFields>
  <rowFields count="1">
    <field x="13"/>
  </rowFields>
  <rowItems count="5">
    <i>
      <x v="4"/>
    </i>
    <i>
      <x v="2"/>
    </i>
    <i>
      <x/>
    </i>
    <i>
      <x v="1"/>
    </i>
    <i t="grand">
      <x/>
    </i>
  </rowItems>
  <colFields count="1">
    <field x="2"/>
  </colFields>
  <colItems count="2">
    <i>
      <x/>
    </i>
    <i t="grand">
      <x/>
    </i>
  </colItems>
  <pageFields count="1">
    <pageField fld="12" hier="-1"/>
  </pageFields>
  <dataFields count="1">
    <dataField name="Suma de % MYSTERY" fld="17" baseField="0" baseItem="0" numFmtId="9"/>
  </dataFields>
  <formats count="19">
    <format dxfId="185">
      <pivotArea outline="0" collapsedLevelsAreSubtotals="1" fieldPosition="0"/>
    </format>
    <format dxfId="184">
      <pivotArea dataOnly="0" labelOnly="1" grandCol="1" outline="0" fieldPosition="0"/>
    </format>
    <format dxfId="183">
      <pivotArea dataOnly="0" labelOnly="1" grandCol="1" outline="0" fieldPosition="0"/>
    </format>
    <format dxfId="182">
      <pivotArea grandRow="1" outline="0" collapsedLevelsAreSubtotals="1" fieldPosition="0"/>
    </format>
    <format dxfId="181">
      <pivotArea grandRow="1" outline="0" collapsedLevelsAreSubtotals="1" fieldPosition="0"/>
    </format>
    <format dxfId="180">
      <pivotArea dataOnly="0" labelOnly="1" grandCol="1" outline="0" fieldPosition="0"/>
    </format>
    <format dxfId="179">
      <pivotArea grandRow="1" grandCol="1" outline="0" collapsedLevelsAreSubtotals="1" fieldPosition="0"/>
    </format>
    <format dxfId="178">
      <pivotArea outline="0" collapsedLevelsAreSubtotals="1" fieldPosition="0"/>
    </format>
    <format dxfId="177">
      <pivotArea dataOnly="0" labelOnly="1" outline="0" fieldPosition="0">
        <references count="1">
          <reference field="12" count="0"/>
        </references>
      </pivotArea>
    </format>
    <format dxfId="176">
      <pivotArea field="2" type="button" dataOnly="0" labelOnly="1" outline="0" axis="axisCol" fieldPosition="0"/>
    </format>
    <format dxfId="175">
      <pivotArea type="topRight" dataOnly="0" labelOnly="1" outline="0" fieldPosition="0"/>
    </format>
    <format dxfId="174">
      <pivotArea dataOnly="0" labelOnly="1" fieldPosition="0">
        <references count="1">
          <reference field="2" count="1">
            <x v="0"/>
          </reference>
        </references>
      </pivotArea>
    </format>
    <format dxfId="173">
      <pivotArea dataOnly="0" labelOnly="1" grandCol="1" outline="0" fieldPosition="0"/>
    </format>
    <format dxfId="172">
      <pivotArea outline="0" collapsedLevelsAreSubtotals="1" fieldPosition="0"/>
    </format>
    <format dxfId="171">
      <pivotArea dataOnly="0" labelOnly="1" outline="0" fieldPosition="0">
        <references count="1">
          <reference field="12" count="0"/>
        </references>
      </pivotArea>
    </format>
    <format dxfId="170">
      <pivotArea field="2" type="button" dataOnly="0" labelOnly="1" outline="0" axis="axisCol" fieldPosition="0"/>
    </format>
    <format dxfId="169">
      <pivotArea type="topRight" dataOnly="0" labelOnly="1" outline="0" fieldPosition="0"/>
    </format>
    <format dxfId="168">
      <pivotArea dataOnly="0" labelOnly="1" fieldPosition="0">
        <references count="1">
          <reference field="2" count="1">
            <x v="0"/>
          </reference>
        </references>
      </pivotArea>
    </format>
    <format dxfId="167">
      <pivotArea dataOnly="0" labelOnly="1" grandCol="1" outline="0" fieldPosition="0"/>
    </format>
  </formats>
  <chartFormats count="2"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</chartFormats>
  <pivotTableStyleInfo name="Estilo de tabla dinámica 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>
        <x14:conditionalFormats count="3">
          <x14:conditionalFormat priority="79" id="{A7410DC0-EE9E-4584-A866-672877DBC4E6}">
            <x14:pivotAreas count="1">
              <pivotArea type="data" grandCol="1" outline="0" collapsedLevelsAreSubtotals="1" fieldPosition="0">
                <references count="1">
                  <reference field="4294967294" count="1" selected="0">
                    <x v="0"/>
                  </reference>
                </references>
              </pivotArea>
            </x14:pivotAreas>
          </x14:conditionalFormat>
          <x14:conditionalFormat priority="5" id="{A2FC4BC8-54F6-4316-912A-5F451867018A}">
            <x14:pivotAreas count="1">
              <pivotArea type="data" outline="0" collapsedLevelsAreSubtotals="1" fieldPosition="0">
                <references count="2">
                  <reference field="4294967294" count="1" selected="0">
                    <x v="0"/>
                  </reference>
                  <reference field="2" count="1" selected="0">
                    <x v="0"/>
                  </reference>
                </references>
              </pivotArea>
            </x14:pivotAreas>
          </x14:conditionalFormat>
          <x14:conditionalFormat priority="4" id="{091DA854-1AA8-4B8D-9503-224A186F810A}">
            <x14:pivotAreas count="1">
              <pivotArea type="data" outline="0" collapsedLevelsAreSubtotals="1" fieldPosition="0">
                <references count="2">
                  <reference field="4294967294" count="1" selected="0">
                    <x v="0"/>
                  </reference>
                  <reference field="2" count="1" selected="0">
                    <x v="1"/>
                  </reference>
                </references>
              </pivotArea>
            </x14:pivotAreas>
          </x14:conditionalFormat>
        </x14:conditionalFormats>
      </x14:pivotTableDefinition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1" xr16:uid="{9DB4F956-7AF4-44A9-A593-E9328908B329}" autoFormatId="16" applyNumberFormats="0" applyBorderFormats="0" applyFontFormats="0" applyPatternFormats="0" applyAlignmentFormats="0" applyWidthHeightFormats="0">
  <queryTableRefresh nextId="19" unboundColumnsRight="5">
    <queryTableFields count="17">
      <queryTableField id="1" name="ACTIVIDAD" tableColumnId="1"/>
      <queryTableField id="2" name="CIUDAD" tableColumnId="2"/>
      <queryTableField id="12" name="CANAL" tableColumnId="12"/>
      <queryTableField id="3" name="CADENA" tableColumnId="3"/>
      <queryTableField id="4" name="CODIGO PDV" tableColumnId="4"/>
      <queryTableField id="5" name="NOMBRE COMERCIAL" tableColumnId="5"/>
      <queryTableField id="6" name="PREGUNTA" tableColumnId="6"/>
      <queryTableField id="7" name="NOMBRE ENCUESTA" tableColumnId="7"/>
      <queryTableField id="8" name="RESPUESTA" tableColumnId="8"/>
      <queryTableField id="9" name="FECHA VISITA" tableColumnId="9"/>
      <queryTableField id="10" name="CODIGO RUTA" tableColumnId="10"/>
      <queryTableField id="11" name="USUARIO" tableColumnId="11"/>
      <queryTableField id="14" dataBound="0" tableColumnId="13"/>
      <queryTableField id="15" dataBound="0" tableColumnId="14"/>
      <queryTableField id="16" dataBound="0" tableColumnId="15"/>
      <queryTableField id="17" dataBound="0" tableColumnId="16"/>
      <queryTableField id="18" dataBound="0" tableColumnId="1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" xr16:uid="{1B0E5600-DC39-452D-A83D-45025EDC858B}" autoFormatId="16" applyNumberFormats="0" applyBorderFormats="0" applyFontFormats="0" applyPatternFormats="0" applyAlignmentFormats="0" applyWidthHeightFormats="0">
  <queryTableRefresh nextId="36">
    <queryTableFields count="30">
      <queryTableField id="1" name="ACTIVIDAD" tableColumnId="1"/>
      <queryTableField id="2" name="CIUDAD" tableColumnId="2"/>
      <queryTableField id="3" name="CADENA" tableColumnId="3"/>
      <queryTableField id="4" name="CODIGO PDV" tableColumnId="4"/>
      <queryTableField id="5" name="NOMBRE COMERCIAL" tableColumnId="5"/>
      <queryTableField id="6" name="FECHA VISITA" tableColumnId="6"/>
      <queryTableField id="7" name="CODIGO RUTA" tableColumnId="7"/>
      <queryTableField id="8" name="USUARIO" tableColumnId="8"/>
      <queryTableField id="9" name="¿CUMPLE HORARIO DE ENTRADA O SALIDA DE LA TIENDA?" tableColumnId="9"/>
      <queryTableField id="10" name="CUENTA CON PANTALON DEL UNIFORME SEGÚN EL CARGO (NEGRO / ROJO / TURQUESA / JEAN)" tableColumnId="10"/>
      <queryTableField id="11" name="CUENTA CON CAMISA DEL UNIFORME Y LOGOS SEGÚN EL CARGO (NEGRA / GRIS / ROJA / TURQUESA) (Es permitido usar debajo de la camisa buso manga larga Negro)" tableColumnId="11"/>
      <queryTableField id="12" name="CUENTA CON CALZADO DE ACUERDO AL UNIFORME" tableColumnId="12"/>
      <queryTableField id="13" name="POSEE ALGUNA PRENDA ENCIMA DEL UNIFORME NO AUTORIZADA POR LA MARCA (Solo permitido chaleco de Sodimac y Easy)" tableColumnId="13"/>
      <queryTableField id="14" name="EL UNIFORME Y ZAPATOS SE ENCUENTRAN LIMPIOS Y EN BUEN ESTADO" tableColumnId="14"/>
      <queryTableField id="15" name="SU CABELLO LUCE LIMPIO, ORGANIZADO O RECOGIDO" tableColumnId="15"/>
      <queryTableField id="16" name="PRESENTA EXCESO DE MAQUILLAJE QUE NO CUMPLE CON EL CODIGO DE VESTIMENTA" tableColumnId="16"/>
      <queryTableField id="17" name="TIENE TATUAJES O PIERCINGS VISIBLES QUE NO CUMPLE CON EL CODIGO DE VESTIMENTA" tableColumnId="17"/>
      <queryTableField id="18" name="TIENE UÑAS LLAMATIVAS Y/O LARGAS QUE NO CUMPLE CON EL CODIGO DE VESTIMENTA" tableColumnId="18"/>
      <queryTableField id="19" name="USA ACCESORIOS QUE NO CUMPLE CON EL CODIGO DE VESTIMENTA" tableColumnId="19"/>
      <queryTableField id="20" name="El lineal se encuentra limpio y organizado" tableColumnId="20"/>
      <queryTableField id="21" name="Los productos tienen el precio y estan acorde o correspondiente a cada referencia" tableColumnId="21"/>
      <queryTableField id="22" name="Los productos estan surtidos de acuerdo a PEPS o FIFO (revisar tanto producto seco como humedo)" tableColumnId="22"/>
      <queryTableField id="23" name="Conoce los infaltables del Punto de venta y cuenta con el material de apoyo (ayudaventas infaltables)" tableColumnId="23"/>
      <queryTableField id="24" name="Conoce y Tiene surtido de acuerdo a la estrategia de exhibición (Etapas de vida - Segmentación de marcas)" tableColumnId="24"/>
      <queryTableField id="25" name="Cual es la estrategia de exhibición para las marcas Mainstrain (Alpo y Gatsy) de Purina y porque?" tableColumnId="25"/>
      <queryTableField id="26" name="Conoce el % de participación que tiene en el punto de venta e informa cual es ese %" tableColumnId="26"/>
      <queryTableField id="27" name="Que canal va a auditar" tableColumnId="27"/>
      <queryTableField id="33" name="T. ESTA IMPLEMENTADA LA NUEVA ESTRATEGIA DE BAJA DE PRECIOS_x000a_(SI EL MERCADERISTA INFORMA QUE EL PDV NO LO PERMITE IMPLEMENTAR QUEDARIA COMO N/A)" tableColumnId="28"/>
      <queryTableField id="34" name="SE PRESENTA ALGUNA NOVEDAD?" tableColumnId="29"/>
      <queryTableField id="35" name="DESCRIBA LA NOVEDAD" tableColumnId="30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IUDAD" xr10:uid="{120D9671-221F-4492-8CE5-D6FBAC33FDB9}" sourceName="CIUDAD">
  <pivotTables>
    <pivotTable tabId="4" name="TablaDinámica11"/>
    <pivotTable tabId="4" name="TablaDinámica12"/>
    <pivotTable tabId="4" name="TablaDinámica14"/>
  </pivotTables>
  <data>
    <tabular pivotCacheId="333866438">
      <items count="3">
        <i x="0" s="1"/>
        <i x="2" s="1"/>
        <i x="1" s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NOMBRE_COMERCIAL" xr10:uid="{B44763D8-97E2-4FF2-BF49-5A2C3A57FF54}" sourceName="NOMBRE COMERCIAL">
  <pivotTables>
    <pivotTable tabId="4" name="TablaDinámica11"/>
    <pivotTable tabId="4" name="TablaDinámica12"/>
    <pivotTable tabId="4" name="TablaDinámica14"/>
  </pivotTables>
  <data>
    <tabular pivotCacheId="333866438">
      <items count="4">
        <i x="0" s="1"/>
        <i x="2" s="1"/>
        <i x="1" s="1"/>
        <i x="3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ANAL" xr10:uid="{161FC0A5-88EE-42C6-8EF8-DE6BC20BA2A2}" sourceName="CANAL">
  <pivotTables>
    <pivotTable tabId="4" name="TablaDinámica11"/>
    <pivotTable tabId="4" name="TablaDinámica12"/>
    <pivotTable tabId="4" name="TablaDinámica14"/>
  </pivotTables>
  <data>
    <tabular pivotCacheId="333866438">
      <items count="2">
        <i x="0" s="1"/>
        <i x="1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IUDAD" xr10:uid="{15D7A5B9-999F-403C-A90B-E5BB31E9BCF9}" cache="SegmentaciónDeDatos_CIUDAD" caption="CIUDAD" style="SlicerStyleOther1" rowHeight="251883"/>
  <slicer name="NOMBRE COMERCIAL" xr10:uid="{6085962D-64C6-49BC-8B99-624C8A6924CE}" cache="SegmentaciónDeDatos_NOMBRE_COMERCIAL" caption="NOMBRE COMERCIAL" style="SlicerStyleOther1" rowHeight="251883"/>
  <slicer name="CANAL" xr10:uid="{10B371A4-24F7-4826-99FE-E6BAFA670F01}" cache="SegmentaciónDeDatos_CANAL" caption="CANAL" style="SlicerStyleOther1" rowHeight="251883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C3252E0-1CC0-4042-94C2-1615CD6CF27F}" name="PUNTAJE" displayName="PUNTAJE" ref="A1:Q67" tableType="queryTable" totalsRowShown="0">
  <autoFilter ref="A1:Q67" xr:uid="{DC3252E0-1CC0-4042-94C2-1615CD6CF27F}"/>
  <tableColumns count="17">
    <tableColumn id="1" xr3:uid="{201C1F97-7BFE-421F-8311-85EFC67046A3}" uniqueName="1" name="ACTIVIDAD" queryTableFieldId="1" dataDxfId="92"/>
    <tableColumn id="2" xr3:uid="{401EF5E6-E09A-4B0C-A23F-853907DB2421}" uniqueName="2" name="CIUDAD" queryTableFieldId="2" dataDxfId="91"/>
    <tableColumn id="12" xr3:uid="{47B3A409-9CE1-4D26-875E-44C812F53754}" uniqueName="12" name="CANAL" queryTableFieldId="12" dataDxfId="90"/>
    <tableColumn id="3" xr3:uid="{23EBD0A8-7C9E-4D8E-AC23-C1B9EE474A02}" uniqueName="3" name="CADENA" queryTableFieldId="3" dataDxfId="89"/>
    <tableColumn id="4" xr3:uid="{4A312452-E791-414F-BE1D-8BE5806B4357}" uniqueName="4" name="CODIGO PDV" queryTableFieldId="4" dataDxfId="88"/>
    <tableColumn id="5" xr3:uid="{2AF68E46-7829-4F5A-B941-9C7D1AA3C41C}" uniqueName="5" name="NOMBRE COMERCIAL" queryTableFieldId="5" dataDxfId="87"/>
    <tableColumn id="6" xr3:uid="{8D72D91B-1AFB-4B85-8D88-557D975E0EFB}" uniqueName="6" name="PREGUNTA" queryTableFieldId="6" dataDxfId="86"/>
    <tableColumn id="7" xr3:uid="{96266FF1-CA36-4FDD-9EE6-09F280747EF1}" uniqueName="7" name="NOMBRE ENCUESTA" queryTableFieldId="7" dataDxfId="85"/>
    <tableColumn id="8" xr3:uid="{ADF114ED-627B-4C13-A19B-3ACE65551768}" uniqueName="8" name="RESPUESTA" queryTableFieldId="8" dataDxfId="84"/>
    <tableColumn id="9" xr3:uid="{59114511-DB0A-438B-9218-DCA14B8716DA}" uniqueName="9" name="FECHA VISITA" queryTableFieldId="9" dataDxfId="83"/>
    <tableColumn id="10" xr3:uid="{BAB19C7A-129D-44BC-B1E6-E56CCDFB1DA2}" uniqueName="10" name="CODIGO RUTA" queryTableFieldId="10"/>
    <tableColumn id="11" xr3:uid="{7130609B-B2B2-4E61-8BD8-28E6B33D423E}" uniqueName="11" name="USUARIO" queryTableFieldId="11" dataDxfId="82"/>
    <tableColumn id="13" xr3:uid="{E8CEEE01-6F4D-4C94-B108-ABFE3D74A10B}" uniqueName="13" name="MYSTERY EFECTIVO" queryTableFieldId="14" dataDxfId="81">
      <calculatedColumnFormula>_xlfn.XLOOKUP(PUNTAJE[[#This Row],[CODIGO RUTA]],'DATA INFORME'!G:G,'DATA INFORME'!I:I)</calculatedColumnFormula>
    </tableColumn>
    <tableColumn id="14" xr3:uid="{66CB6E9E-B29F-4D8F-AACF-F5210A1B7598}" uniqueName="14" name="CLUSTER" queryTableFieldId="15" dataDxfId="80">
      <calculatedColumnFormula>IF(PUNTAJE[[#This Row],[MYSTERY EFECTIVO]]="SI",(_xlfn.XLOOKUP(PUNTAJE[[#This Row],[PREGUNTA]],ENCUESTA!G:G,ENCUESTA!E:E)),"N/A")</calculatedColumnFormula>
    </tableColumn>
    <tableColumn id="15" xr3:uid="{BE11AEAF-32DD-4C67-8CA6-38A877BBB457}" uniqueName="15" name="TOTAL PUNTAJE" queryTableFieldId="16" dataDxfId="79">
      <calculatedColumnFormula>IF(PUNTAJE[[#This Row],[MYSTERY EFECTIVO]]="SI",(IF(PUNTAJE[[#This Row],[CANAL]]="TRADICIONAL",_xlfn.XLOOKUP(PUNTAJE[[#This Row],[PREGUNTA]],ENCUESTA!G:G,ENCUESTA!A:A),IF(PUNTAJE[[#This Row],[CANAL]]="ESPECIALIZADO",_xlfn.XLOOKUP(PUNTAJE[[#This Row],[PREGUNTA]],ENCUESTA!G:G,ENCUESTA!B:B),IF(PUNTAJE[[#This Row],[CANAL]]="MODERNO",_xlfn.XLOOKUP(PUNTAJE[[#This Row],[PREGUNTA]],ENCUESTA!G:G,ENCUESTA!C:C))))),0)</calculatedColumnFormula>
    </tableColumn>
    <tableColumn id="16" xr3:uid="{E0A39455-D2A8-48BB-8F2D-F27B7F3FA030}" uniqueName="16" name="RTA CORRECTA" queryTableFieldId="17" dataDxfId="78">
      <calculatedColumnFormula>_xlfn.XLOOKUP(PUNTAJE[[#This Row],[PREGUNTA]],ENCUESTA!G:G,ENCUESTA!H:H)</calculatedColumnFormula>
    </tableColumn>
    <tableColumn id="17" xr3:uid="{AF0353DC-1369-4B49-8F0E-28013A36058C}" uniqueName="17" name="PUNTAJE OBTENIDO" queryTableFieldId="18" dataDxfId="77">
      <calculatedColumnFormula>IF(PUNTAJE[[#This Row],[RESPUESTA]]=PUNTAJE[[#This Row],[RTA CORRECTA]],PUNTAJE[[#This Row],[TOTAL PUNTAJE]],0)</calculatedColumnFormula>
    </tableColumn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06AE8C8-5477-4852-991F-0FB4F9396ED6}" name="Tabla1" displayName="Tabla1" ref="A1:I5" totalsRowShown="0" headerRowDxfId="76" dataDxfId="74" headerRowBorderDxfId="75" tableBorderDxfId="73" totalsRowBorderDxfId="72" headerRowCellStyle="Normal 2" dataCellStyle="Normal 2">
  <autoFilter ref="A1:I5" xr:uid="{A06AE8C8-5477-4852-991F-0FB4F9396ED6}"/>
  <tableColumns count="9">
    <tableColumn id="3" xr3:uid="{CEEFCC7D-2B45-4409-9FEE-36A6008A09E3}" name="CANAL" dataDxfId="71" dataCellStyle="Normal 2"/>
    <tableColumn id="1" xr3:uid="{D5DD6073-7452-4C56-A046-CF25B19FCB4F}" name="CIUDAD" dataDxfId="70" dataCellStyle="Normal 2"/>
    <tableColumn id="2" xr3:uid="{304FB0E8-7EB9-4B2E-BDF0-6B1E9D3DF639}" name="VUM" dataDxfId="69"/>
    <tableColumn id="4" xr3:uid="{5FFEE965-7C33-4146-8749-C7E79BD9F083}" name="NOMBRE PDV" dataDxfId="68" dataCellStyle="Normal 2"/>
    <tableColumn id="9" xr3:uid="{56DA6644-1938-47DF-9205-928EAD17CD86}" name="Objetivo Mystery" dataDxfId="67" dataCellStyle="Normal 2"/>
    <tableColumn id="6" xr3:uid="{8587C1B8-25E9-47DF-96EC-0DE9EA854031}" name="#PDV Objetivos" dataDxfId="66"/>
    <tableColumn id="7" xr3:uid="{254582AE-0341-4027-9F60-A63C456EE6EE}" name="#PDV Ejecutados" dataDxfId="65">
      <calculatedColumnFormula>IF((COUNTIFS(Export!I:I,Tabla1[[#This Row],[VUM]]))&gt;0,1,0)</calculatedColumnFormula>
    </tableColumn>
    <tableColumn id="11" xr3:uid="{EA4A24E0-6A56-4A45-8F19-78AD6DCA277C}" name="# Visitas" dataDxfId="64" dataCellStyle="Normal 2">
      <calculatedColumnFormula>IF((COUNTIFS(Export!I:I,Tabla1[[#This Row],[VUM]]))&gt;0,1,0)</calculatedColumnFormula>
    </tableColumn>
    <tableColumn id="12" xr3:uid="{F623D095-7356-4242-BFFB-11B8E769EF0F}" name="Mystery Ejecutado" dataDxfId="63" dataCellStyle="Normal 2">
      <calculatedColumnFormula>IF((_xlfn.XLOOKUP(Tabla1[[#This Row],[VUM]],'DATA INFORME'!D:D,'DATA INFORME'!I:I))="SI",1,0)</calculatedColumnFormula>
    </tableColumn>
  </tableColumns>
  <tableStyleInfo name="TableStyleLight1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1364778-94CA-4D69-A3E9-62C88D91666B}" name="Tabla2_1" displayName="Tabla2_1" ref="A1:AD5" tableType="queryTable" totalsRowShown="0">
  <autoFilter ref="A1:AD5" xr:uid="{A1364778-94CA-4D69-A3E9-62C88D91666B}"/>
  <tableColumns count="30">
    <tableColumn id="1" xr3:uid="{B1799DE8-F133-4CB8-97AC-A97EEB84CE9C}" uniqueName="1" name="ACTIVIDAD" queryTableFieldId="1" dataDxfId="62"/>
    <tableColumn id="2" xr3:uid="{19502EFB-D26F-4C80-8331-B9265B69FE77}" uniqueName="2" name="CIUDAD" queryTableFieldId="2" dataDxfId="61"/>
    <tableColumn id="3" xr3:uid="{41EF99DE-69E4-4228-A422-DC64705356BB}" uniqueName="3" name="CADENA" queryTableFieldId="3" dataDxfId="60"/>
    <tableColumn id="4" xr3:uid="{B1E843E9-2570-4BD8-BDE0-2F0E378F1056}" uniqueName="4" name="CODIGO PDV" queryTableFieldId="4"/>
    <tableColumn id="5" xr3:uid="{79A24F33-5932-47D8-817F-C676A90F7D11}" uniqueName="5" name="NOMBRE COMERCIAL" queryTableFieldId="5" dataDxfId="59"/>
    <tableColumn id="6" xr3:uid="{0FA3BB3E-408B-4FA3-970A-64F808843D92}" uniqueName="6" name="FECHA VISITA" queryTableFieldId="6" dataDxfId="58"/>
    <tableColumn id="7" xr3:uid="{6809C943-ABA9-41D5-8C59-850C0C3DC495}" uniqueName="7" name="CODIGO RUTA" queryTableFieldId="7"/>
    <tableColumn id="8" xr3:uid="{64352B0F-A59F-416B-98CB-25976069522E}" uniqueName="8" name="USUARIO" queryTableFieldId="8" dataDxfId="57"/>
    <tableColumn id="9" xr3:uid="{D5D6C99E-FD41-479F-89F7-E77B4088B691}" uniqueName="9" name="¿CUMPLE HORARIO DE ENTRADA O SALIDA DE LA TIENDA?" queryTableFieldId="9" dataDxfId="56"/>
    <tableColumn id="10" xr3:uid="{E0112AE8-5AA3-4EB2-9B8A-B752697C1CDD}" uniqueName="10" name="CUENTA CON PANTALON DEL UNIFORME SEGÚN EL CARGO (NEGRO / ROJO / TURQUESA / JEAN)" queryTableFieldId="10" dataDxfId="55"/>
    <tableColumn id="11" xr3:uid="{F68ECA7B-89F5-4D9C-AE2F-A5E8AC82AE95}" uniqueName="11" name="CUENTA CON CAMISA DEL UNIFORME Y LOGOS SEGÚN EL CARGO (NEGRA / GRIS / ROJA / TURQUESA) (ES PERMITIDO USAR DEBAJO DE LA CAMISA BUSO MANGA LARGA NEGRO)" queryTableFieldId="11" dataDxfId="54"/>
    <tableColumn id="12" xr3:uid="{BA8760FA-6BDD-4DCE-9447-A07945E21E92}" uniqueName="12" name="CUENTA CON CALZADO DE ACUERDO AL UNIFORME" queryTableFieldId="12" dataDxfId="53"/>
    <tableColumn id="13" xr3:uid="{06619640-5E55-4CFF-BCC3-6A70909E2F29}" uniqueName="13" name="POSEE ALGUNA PRENDA ENCIMA DEL UNIFORME NO AUTORIZADA POR LA MARCA (SOLO PERMITIDO CHALECO DE SODIMAC Y EASY)" queryTableFieldId="13" dataDxfId="52"/>
    <tableColumn id="14" xr3:uid="{4AFEB182-50B3-4026-8AEE-BD613E44056E}" uniqueName="14" name="EL UNIFORME Y ZAPATOS SE ENCUENTRAN LIMPIOS Y EN BUEN ESTADO" queryTableFieldId="14" dataDxfId="51"/>
    <tableColumn id="15" xr3:uid="{5006C9FE-2707-4768-A938-34BB6288CC84}" uniqueName="15" name="SU CABELLO LUCE LIMPIO, ORGANIZADO O RECOGIDO" queryTableFieldId="15" dataDxfId="50"/>
    <tableColumn id="16" xr3:uid="{FECEC7A2-BBE3-44DF-900B-F3895CED9C5A}" uniqueName="16" name="PRESENTA EXCESO DE MAQUILLAJE QUE NO CUMPLE CON EL CODIGO DE VESTIMENTA" queryTableFieldId="16" dataDxfId="49"/>
    <tableColumn id="17" xr3:uid="{52B1BBBC-C378-404C-B076-56AE125C9A80}" uniqueName="17" name="TIENE TATUAJES O PIERCINGS VISIBLES QUE NO CUMPLE CON EL CODIGO DE VESTIMENTA" queryTableFieldId="17" dataDxfId="48"/>
    <tableColumn id="18" xr3:uid="{1F2857B9-70ED-4C67-B00C-2B998706E7B5}" uniqueName="18" name="TIENE UÑAS LLAMATIVAS Y/O LARGAS QUE NO CUMPLE CON EL CODIGO DE VESTIMENTA" queryTableFieldId="18" dataDxfId="47"/>
    <tableColumn id="19" xr3:uid="{CC78951A-EBE0-49C6-A60F-0A38B0D35D03}" uniqueName="19" name="USA ACCESORIOS QUE NO CUMPLE CON EL CODIGO DE VESTIMENTA" queryTableFieldId="19" dataDxfId="46"/>
    <tableColumn id="20" xr3:uid="{DD47E72E-E322-4C01-8809-3515C6A24C9B}" uniqueName="20" name="EL LINEAL SE ENCUENTRA LIMPIO Y ORGANIZADO" queryTableFieldId="20" dataDxfId="45"/>
    <tableColumn id="21" xr3:uid="{FD2D61B1-044E-41BC-A7DB-3F562816E751}" uniqueName="21" name="LOS PRODUCTOS TIENEN EL PRECIO Y ESTAN ACORDE O CORRESPONDIENTE A CADA REFERENCIA" queryTableFieldId="21" dataDxfId="44"/>
    <tableColumn id="22" xr3:uid="{B9DD1A02-D0B5-4A5E-AFE9-8BDEA85B24DC}" uniqueName="22" name="LOS PRODUCTOS ESTAN SURTIDOS DE ACUERDO A PEPS O FIFO (REVISAR TANTO PRODUCTO SECO COMO HUMEDO)" queryTableFieldId="22" dataDxfId="43"/>
    <tableColumn id="23" xr3:uid="{EBF521EF-0F97-4D13-970B-20813233FE1B}" uniqueName="23" name="CONOCE LOS INFALTABLES DEL PUNTO DE VENTA Y CUENTA CON EL MATERIAL DE APOYO (AYUDAVENTAS INFALTABLES)" queryTableFieldId="23" dataDxfId="42"/>
    <tableColumn id="24" xr3:uid="{9AECBB82-6244-483C-B778-942212DF93C1}" uniqueName="24" name="CONOCE Y TIENE SURTIDO DE ACUERDO A LA ESTRATEGIA DE EXHIBICIÓN (ETAPAS DE VIDA - SEGMENTACIÓN DE MARCAS)" queryTableFieldId="24" dataDxfId="41"/>
    <tableColumn id="25" xr3:uid="{FDEC999E-A51A-41F2-8EDD-6CDD16A100A9}" uniqueName="25" name="CUAL ES LA ESTRATEGIA DE EXHIBICIÓN PARA LAS MARCAS MAINSTRAIN (ALPO Y GATSY) DE PURINA Y PORQUE?" queryTableFieldId="25" dataDxfId="40"/>
    <tableColumn id="26" xr3:uid="{8AE356E8-9D25-47C2-8482-57E736560D39}" uniqueName="26" name="CONOCE EL % DE PARTICIPACIÓN QUE TIENE EN EL PUNTO DE VENTA E INFORMA CUAL ES ESE %" queryTableFieldId="26" dataDxfId="39"/>
    <tableColumn id="27" xr3:uid="{CB13BE8B-279B-42B9-AA9B-EC25782B1EAA}" uniqueName="27" name="QUE CANAL VA A AUDITAR" queryTableFieldId="27" dataDxfId="38"/>
    <tableColumn id="28" xr3:uid="{ABE740E9-224B-4611-B5AB-500479091FF8}" uniqueName="28" name="T. ESTA IMPLEMENTADA LA NUEVA ESTRATEGIA DE BAJA DE PRECIOS_x000a_(SI EL MERCADERISTA INFORMA QUE EL PDV NO LO PERMITE IMPLEMENTAR QUEDARIA COMO N/A)" queryTableFieldId="33" dataDxfId="37"/>
    <tableColumn id="29" xr3:uid="{45696E11-A30E-4D46-AFFE-00C6417A4919}" uniqueName="29" name="SE PRESENTA ALGUNA NOVEDAD?" queryTableFieldId="34" dataDxfId="36"/>
    <tableColumn id="30" xr3:uid="{2C3F5894-C1B5-4889-8729-7E2375179923}" uniqueName="30" name="DESCRIBA LA NOVEDAD" queryTableFieldId="35" dataDxfId="35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F097FD5-2AE4-4313-BF77-CBF36E66D478}" name="Tabla2" displayName="Tabla2" ref="A1:AC67" totalsRowShown="0" headerRowDxfId="34" headerRowBorderDxfId="33" tableBorderDxfId="32" totalsRowBorderDxfId="31">
  <autoFilter ref="A1:AC67" xr:uid="{DF097FD5-2AE4-4313-BF77-CBF36E66D478}"/>
  <sortState xmlns:xlrd2="http://schemas.microsoft.com/office/spreadsheetml/2017/richdata2" ref="A2:AC3">
    <sortCondition ref="V2:V3"/>
    <sortCondition descending="1" ref="O2:O3"/>
  </sortState>
  <tableColumns count="29">
    <tableColumn id="1" xr3:uid="{EEAB5D40-1395-44AC-989B-7BEBDB594890}" name="ACTIVIDAD" dataDxfId="30"/>
    <tableColumn id="2" xr3:uid="{7135FC02-E21A-4459-956C-B095998917BA}" name="REGIONAL" dataDxfId="29"/>
    <tableColumn id="3" xr3:uid="{A676BE8F-9D25-4608-AFA9-335EE953599F}" name="CIUDAD" dataDxfId="28"/>
    <tableColumn id="4" xr3:uid="{8C438510-9FA2-4A67-81E2-F5A249D8C2D8}" name="CANAL" dataDxfId="27"/>
    <tableColumn id="5" xr3:uid="{55468C83-E61B-4AC3-8AB6-7842CA8A8685}" name="CADENA" dataDxfId="26"/>
    <tableColumn id="6" xr3:uid="{319677CB-3518-4692-9804-576A90B637C6}" name="SUBCADENA" dataDxfId="25"/>
    <tableColumn id="7" xr3:uid="{280B06EB-BEEB-41FF-BD4D-C86267C96B51}" name="ZONA" dataDxfId="24"/>
    <tableColumn id="8" xr3:uid="{38318117-E4E5-4BBD-BCB8-A0CF5740AD2E}" name="RV" dataDxfId="23"/>
    <tableColumn id="9" xr3:uid="{AE249958-DA07-4D5E-8893-DA47B2F89DBB}" name="CODIGO PDV" dataDxfId="22"/>
    <tableColumn id="10" xr3:uid="{5063BA25-7363-4804-9209-6EF1C7FD9552}" name="NOMBRE COMERCIAL" dataDxfId="21"/>
    <tableColumn id="11" xr3:uid="{1CA31434-5FCA-4588-9EF7-31A85DF89C42}" name="CODIGO EAN" dataDxfId="20"/>
    <tableColumn id="12" xr3:uid="{F4C77DD5-927D-43C6-A19F-C551C82B3D0D}" name="TIPO PUNTO VENTA" dataDxfId="19"/>
    <tableColumn id="13" xr3:uid="{EF48160A-97DF-4C9A-9BBF-2ECC73BF528F}" name="CONSECUTIVO ENCUESTA" dataDxfId="18"/>
    <tableColumn id="14" xr3:uid="{6FA0BAC5-63D5-4D95-B588-F0B164135E47}" name="NOMBRE ENCUESTA" dataDxfId="17"/>
    <tableColumn id="15" xr3:uid="{7C6BC3DB-B9BC-4C72-ADB7-0BB7A62378BB}" name="PREGUNTA" dataDxfId="16"/>
    <tableColumn id="16" xr3:uid="{AB325775-AFD1-4793-A618-BF02FE3029AE}" name="RESPUESTA" dataDxfId="15"/>
    <tableColumn id="17" xr3:uid="{85D12482-E7F3-4879-B4F0-D80F64421259}" name="CODIGO FOTO" dataDxfId="14"/>
    <tableColumn id="18" xr3:uid="{01036A0B-7510-4B37-96FC-1C395DEDC179}" name="OBSERVACION" dataDxfId="13"/>
    <tableColumn id="19" xr3:uid="{2F24E07E-80CB-4EA2-9555-9AEB9E02C9EF}" name="FECHA VISITA" dataDxfId="12"/>
    <tableColumn id="20" xr3:uid="{DC9D56CE-D3BF-4EEF-90B5-C3152AB2A8A8}" name="FECHA INICIO VISITA" dataDxfId="11"/>
    <tableColumn id="21" xr3:uid="{8DDE28A9-EDD9-412B-B7A2-DF2644A996E9}" name="FECHA CREACIÓN RESPUESTA" dataDxfId="10"/>
    <tableColumn id="22" xr3:uid="{3A74E72D-F4BF-4E54-8634-EEEC35A8C032}" name="CODIGO RUTA" dataDxfId="9"/>
    <tableColumn id="23" xr3:uid="{0ADFC93D-A4B4-4C17-8A6B-A6D563B99FCD}" name="CLIENTE" dataDxfId="8"/>
    <tableColumn id="24" xr3:uid="{6908F565-FB85-4368-B2F7-297DF2BEFBCD}" name="CODIGO EXHIBICION" dataDxfId="7"/>
    <tableColumn id="25" xr3:uid="{AA5CE162-90D2-43B1-96A0-970F0C412A96}" name="NOMBRE EXHIBICION" dataDxfId="6"/>
    <tableColumn id="26" xr3:uid="{D2023860-446B-430D-8595-9C2C1438BED3}" name="NOMBRE USUARIO" dataDxfId="5"/>
    <tableColumn id="27" xr3:uid="{F11E0B94-0622-411D-9CA7-B259829B8A9F}" name="USUARIO" dataDxfId="4"/>
    <tableColumn id="28" xr3:uid="{E1B013E5-0581-4476-9D6C-3AFBAC21C681}" name="NOMBRE SUPERVISOR " dataDxfId="3"/>
    <tableColumn id="29" xr3:uid="{B64E6504-C110-44E6-B203-6C06A1F0FFB1}" name="USUARIO SUPERVISOR" dataDxfId="2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microsoft.com/office/2007/relationships/slicer" Target="../slicers/slicer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FCE70-CB0C-4295-95CE-F28AA71E4DBA}">
  <sheetPr codeName="Hoja1"/>
  <dimension ref="B1:U60"/>
  <sheetViews>
    <sheetView showGridLines="0" zoomScale="85" zoomScaleNormal="85" workbookViewId="0">
      <selection activeCell="H13" sqref="H13"/>
    </sheetView>
  </sheetViews>
  <sheetFormatPr baseColWidth="10" defaultColWidth="11.42578125" defaultRowHeight="15" x14ac:dyDescent="0.25"/>
  <cols>
    <col min="1" max="1" width="38.140625" customWidth="1"/>
    <col min="2" max="2" width="1.85546875" style="11" customWidth="1"/>
    <col min="3" max="3" width="8.5703125" customWidth="1"/>
    <col min="4" max="4" width="26.7109375" customWidth="1"/>
    <col min="5" max="5" width="14.7109375" style="4" hidden="1" customWidth="1"/>
    <col min="6" max="6" width="17.85546875" style="4" customWidth="1"/>
    <col min="7" max="8" width="14.7109375" style="4" customWidth="1"/>
    <col min="9" max="10" width="13.7109375" customWidth="1"/>
    <col min="11" max="11" width="10.85546875" customWidth="1"/>
    <col min="12" max="12" width="13.140625" customWidth="1"/>
    <col min="13" max="13" width="18.42578125" customWidth="1"/>
    <col min="14" max="14" width="11.85546875" customWidth="1"/>
  </cols>
  <sheetData>
    <row r="1" spans="4:10" ht="23.45" customHeight="1" x14ac:dyDescent="0.25"/>
    <row r="3" spans="4:10" ht="21" x14ac:dyDescent="0.35">
      <c r="D3" s="12" t="s">
        <v>0</v>
      </c>
      <c r="I3" s="4"/>
      <c r="J3" s="4"/>
    </row>
    <row r="4" spans="4:10" x14ac:dyDescent="0.25">
      <c r="D4" s="20" t="s">
        <v>1</v>
      </c>
      <c r="E4" s="22" t="s">
        <v>2</v>
      </c>
      <c r="F4" s="22" t="s">
        <v>3</v>
      </c>
      <c r="G4" s="23" t="s">
        <v>4</v>
      </c>
      <c r="H4" s="22" t="s">
        <v>171</v>
      </c>
      <c r="I4" s="22" t="s">
        <v>170</v>
      </c>
      <c r="J4" s="23" t="s">
        <v>5</v>
      </c>
    </row>
    <row r="5" spans="4:10" x14ac:dyDescent="0.25">
      <c r="D5" s="3" t="s">
        <v>55</v>
      </c>
      <c r="E5" s="4">
        <v>1</v>
      </c>
      <c r="F5" s="4">
        <v>1</v>
      </c>
      <c r="G5" s="5">
        <v>1</v>
      </c>
      <c r="H5" s="4">
        <v>1</v>
      </c>
      <c r="I5" s="4">
        <v>1</v>
      </c>
      <c r="J5" s="5">
        <v>1</v>
      </c>
    </row>
    <row r="6" spans="4:10" x14ac:dyDescent="0.25">
      <c r="D6" s="3" t="s">
        <v>6</v>
      </c>
      <c r="E6" s="4">
        <v>1</v>
      </c>
      <c r="F6" s="4">
        <v>1</v>
      </c>
      <c r="G6" s="5">
        <v>1</v>
      </c>
      <c r="H6" s="4">
        <v>1</v>
      </c>
      <c r="I6" s="4">
        <v>1</v>
      </c>
      <c r="J6" s="5">
        <v>1</v>
      </c>
    </row>
    <row r="7" spans="4:10" x14ac:dyDescent="0.25">
      <c r="D7" s="3" t="s">
        <v>54</v>
      </c>
      <c r="E7" s="4">
        <v>2</v>
      </c>
      <c r="F7" s="4">
        <v>2</v>
      </c>
      <c r="G7" s="5">
        <v>1</v>
      </c>
      <c r="H7" s="4">
        <v>2</v>
      </c>
      <c r="I7" s="4">
        <v>1</v>
      </c>
      <c r="J7" s="5">
        <v>0.5</v>
      </c>
    </row>
    <row r="8" spans="4:10" x14ac:dyDescent="0.25">
      <c r="D8" s="24" t="s">
        <v>8</v>
      </c>
      <c r="E8" s="84">
        <v>4</v>
      </c>
      <c r="F8" s="84">
        <v>4</v>
      </c>
      <c r="G8" s="19">
        <v>1</v>
      </c>
      <c r="H8" s="84">
        <v>4</v>
      </c>
      <c r="I8" s="84">
        <v>3</v>
      </c>
      <c r="J8" s="21">
        <v>0.75</v>
      </c>
    </row>
    <row r="12" spans="4:10" x14ac:dyDescent="0.25">
      <c r="D12" s="2" t="s">
        <v>29</v>
      </c>
      <c r="E12" s="4" t="s">
        <v>35</v>
      </c>
    </row>
    <row r="13" spans="4:10" ht="21" x14ac:dyDescent="0.35">
      <c r="D13" s="12" t="s">
        <v>9</v>
      </c>
    </row>
    <row r="14" spans="4:10" hidden="1" x14ac:dyDescent="0.25">
      <c r="D14" s="2" t="s">
        <v>10</v>
      </c>
      <c r="E14" s="77" t="s">
        <v>11</v>
      </c>
    </row>
    <row r="15" spans="4:10" x14ac:dyDescent="0.25">
      <c r="D15" s="2" t="s">
        <v>12</v>
      </c>
      <c r="E15" s="4" t="s">
        <v>56</v>
      </c>
      <c r="F15" s="6" t="s">
        <v>14</v>
      </c>
    </row>
    <row r="16" spans="4:10" x14ac:dyDescent="0.25">
      <c r="D16" s="3" t="s">
        <v>16</v>
      </c>
      <c r="E16" s="5">
        <v>1</v>
      </c>
      <c r="F16" s="5">
        <v>1</v>
      </c>
    </row>
    <row r="17" spans="4:14" x14ac:dyDescent="0.25">
      <c r="D17" s="3" t="s">
        <v>17</v>
      </c>
      <c r="E17" s="5">
        <v>1</v>
      </c>
      <c r="F17" s="5">
        <v>1</v>
      </c>
    </row>
    <row r="18" spans="4:14" x14ac:dyDescent="0.25">
      <c r="D18" s="3" t="s">
        <v>15</v>
      </c>
      <c r="E18" s="5">
        <v>1</v>
      </c>
      <c r="F18" s="5">
        <v>1</v>
      </c>
    </row>
    <row r="19" spans="4:14" x14ac:dyDescent="0.25">
      <c r="D19" s="3" t="s">
        <v>83</v>
      </c>
      <c r="E19" s="5">
        <v>0.96666666666666667</v>
      </c>
      <c r="F19" s="5">
        <v>0.96666666666666667</v>
      </c>
    </row>
    <row r="20" spans="4:14" x14ac:dyDescent="0.25">
      <c r="D20" s="3" t="s">
        <v>14</v>
      </c>
      <c r="E20" s="14">
        <v>0.99615384615384617</v>
      </c>
      <c r="F20" s="16">
        <v>0.99615384615384617</v>
      </c>
    </row>
    <row r="25" spans="4:14" x14ac:dyDescent="0.25">
      <c r="D25" s="2" t="s">
        <v>29</v>
      </c>
      <c r="E25" t="s">
        <v>35</v>
      </c>
      <c r="F25" s="78"/>
    </row>
    <row r="26" spans="4:14" ht="21" x14ac:dyDescent="0.25">
      <c r="D26" s="13" t="s">
        <v>18</v>
      </c>
    </row>
    <row r="27" spans="4:14" hidden="1" x14ac:dyDescent="0.25">
      <c r="D27" s="2" t="s">
        <v>10</v>
      </c>
      <c r="E27" s="2" t="s">
        <v>11</v>
      </c>
      <c r="F27"/>
      <c r="G27"/>
      <c r="H27"/>
    </row>
    <row r="28" spans="4:14" x14ac:dyDescent="0.25">
      <c r="D28" s="2" t="s">
        <v>12</v>
      </c>
      <c r="E28" t="s">
        <v>55</v>
      </c>
      <c r="F28" t="s">
        <v>54</v>
      </c>
      <c r="G28" t="s">
        <v>6</v>
      </c>
      <c r="H28" s="6" t="s">
        <v>14</v>
      </c>
    </row>
    <row r="29" spans="4:14" x14ac:dyDescent="0.25">
      <c r="D29" s="3" t="s">
        <v>15</v>
      </c>
      <c r="E29" s="5">
        <v>1</v>
      </c>
      <c r="F29" s="5">
        <v>1</v>
      </c>
      <c r="G29" s="5">
        <v>1</v>
      </c>
      <c r="H29" s="5">
        <v>1</v>
      </c>
    </row>
    <row r="30" spans="4:14" x14ac:dyDescent="0.25">
      <c r="D30" s="3" t="s">
        <v>83</v>
      </c>
      <c r="E30" s="5">
        <v>0.9</v>
      </c>
      <c r="F30" s="5">
        <v>1</v>
      </c>
      <c r="G30" s="5">
        <v>1</v>
      </c>
      <c r="H30" s="5">
        <v>0.96666666666666667</v>
      </c>
    </row>
    <row r="31" spans="4:14" x14ac:dyDescent="0.25">
      <c r="D31" s="3" t="s">
        <v>17</v>
      </c>
      <c r="E31" s="5">
        <v>1</v>
      </c>
      <c r="F31" s="5">
        <v>1</v>
      </c>
      <c r="G31" s="5">
        <v>1</v>
      </c>
      <c r="H31" s="5">
        <v>1</v>
      </c>
      <c r="N31" s="3"/>
    </row>
    <row r="32" spans="4:14" x14ac:dyDescent="0.25">
      <c r="D32" s="3" t="s">
        <v>16</v>
      </c>
      <c r="E32" s="5">
        <v>1</v>
      </c>
      <c r="F32" s="5">
        <v>1</v>
      </c>
      <c r="G32" s="5" t="s">
        <v>81</v>
      </c>
      <c r="H32" s="5">
        <v>1</v>
      </c>
    </row>
    <row r="33" spans="4:11" x14ac:dyDescent="0.25">
      <c r="D33" s="3" t="s">
        <v>14</v>
      </c>
      <c r="E33" s="14">
        <v>0.99</v>
      </c>
      <c r="F33" s="14">
        <v>1</v>
      </c>
      <c r="G33" s="14">
        <v>1</v>
      </c>
      <c r="H33" s="16">
        <v>0.99615384615384617</v>
      </c>
    </row>
    <row r="37" spans="4:11" x14ac:dyDescent="0.25">
      <c r="D37" s="3"/>
      <c r="E37" s="14"/>
      <c r="F37" s="41"/>
    </row>
    <row r="38" spans="4:11" x14ac:dyDescent="0.25">
      <c r="D38" s="2" t="s">
        <v>29</v>
      </c>
      <c r="E38" s="4" t="s">
        <v>35</v>
      </c>
      <c r="F38" s="41"/>
    </row>
    <row r="39" spans="4:11" ht="21" x14ac:dyDescent="0.35">
      <c r="D39" s="12" t="s">
        <v>19</v>
      </c>
    </row>
    <row r="40" spans="4:11" hidden="1" x14ac:dyDescent="0.25">
      <c r="D40" s="2" t="s">
        <v>10</v>
      </c>
      <c r="E40"/>
      <c r="F40"/>
      <c r="G40" s="2" t="s">
        <v>12</v>
      </c>
      <c r="H40"/>
    </row>
    <row r="41" spans="4:11" ht="30" x14ac:dyDescent="0.25">
      <c r="D41" s="26" t="s">
        <v>1</v>
      </c>
      <c r="E41" s="26" t="s">
        <v>20</v>
      </c>
      <c r="F41" s="26" t="s">
        <v>21</v>
      </c>
      <c r="G41" s="27" t="s">
        <v>15</v>
      </c>
      <c r="H41" s="27" t="s">
        <v>83</v>
      </c>
      <c r="I41" s="27" t="s">
        <v>17</v>
      </c>
      <c r="J41" s="27" t="s">
        <v>16</v>
      </c>
      <c r="K41" s="25" t="s">
        <v>14</v>
      </c>
    </row>
    <row r="42" spans="4:11" x14ac:dyDescent="0.25">
      <c r="D42" s="15" t="s">
        <v>55</v>
      </c>
      <c r="E42" t="s">
        <v>56</v>
      </c>
      <c r="F42" t="s">
        <v>149</v>
      </c>
      <c r="G42" s="5">
        <v>1</v>
      </c>
      <c r="H42" s="5">
        <v>0.9</v>
      </c>
      <c r="I42" s="5">
        <v>1</v>
      </c>
      <c r="J42" s="5">
        <v>1</v>
      </c>
      <c r="K42" s="5">
        <v>0.99</v>
      </c>
    </row>
    <row r="43" spans="4:11" x14ac:dyDescent="0.25">
      <c r="D43" t="s">
        <v>54</v>
      </c>
      <c r="E43" t="s">
        <v>56</v>
      </c>
      <c r="F43" t="s">
        <v>118</v>
      </c>
      <c r="G43" s="5">
        <v>1</v>
      </c>
      <c r="H43" s="5">
        <v>1</v>
      </c>
      <c r="I43" s="5">
        <v>1</v>
      </c>
      <c r="J43" s="5">
        <v>1</v>
      </c>
      <c r="K43" s="5">
        <v>1</v>
      </c>
    </row>
    <row r="44" spans="4:11" x14ac:dyDescent="0.25">
      <c r="D44" t="s">
        <v>6</v>
      </c>
      <c r="E44" t="s">
        <v>56</v>
      </c>
      <c r="F44" t="s">
        <v>157</v>
      </c>
      <c r="G44" s="5">
        <v>1</v>
      </c>
      <c r="H44" s="5">
        <v>1</v>
      </c>
      <c r="I44" s="5">
        <v>1</v>
      </c>
      <c r="J44" s="5" t="s">
        <v>81</v>
      </c>
      <c r="K44" s="5">
        <v>1</v>
      </c>
    </row>
    <row r="45" spans="4:11" x14ac:dyDescent="0.25">
      <c r="D45" s="15" t="s">
        <v>14</v>
      </c>
      <c r="E45" s="15"/>
      <c r="F45" s="15"/>
      <c r="G45" s="14">
        <v>1</v>
      </c>
      <c r="H45" s="14">
        <v>0.96666666666666667</v>
      </c>
      <c r="I45" s="14">
        <v>1</v>
      </c>
      <c r="J45" s="14">
        <v>1</v>
      </c>
      <c r="K45" s="16">
        <v>0.99615384615384617</v>
      </c>
    </row>
    <row r="60" spans="21:21" x14ac:dyDescent="0.25">
      <c r="U60" s="5"/>
    </row>
  </sheetData>
  <pageMargins left="0.7" right="0.7" top="0.75" bottom="0.75" header="0.3" footer="0.3"/>
  <drawing r:id="rId5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iconSet" priority="79" id="{A7410DC0-EE9E-4584-A866-672877DBC4E6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F16:F20</xm:sqref>
        </x14:conditionalFormatting>
        <x14:conditionalFormatting xmlns:xm="http://schemas.microsoft.com/office/excel/2006/main" pivot="1">
          <x14:cfRule type="iconSet" priority="76" id="{578A6BBE-0746-49B8-A379-5CA92DEB79AA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H29:H33</xm:sqref>
        </x14:conditionalFormatting>
        <x14:conditionalFormatting xmlns:xm="http://schemas.microsoft.com/office/excel/2006/main">
          <x14:cfRule type="iconSet" priority="67" id="{1E271CF6-3828-4F00-8A64-93CE6C10607A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U60</xm:sqref>
        </x14:conditionalFormatting>
        <x14:conditionalFormatting xmlns:xm="http://schemas.microsoft.com/office/excel/2006/main" pivot="1">
          <x14:cfRule type="iconSet" priority="14" id="{26ABD943-D808-433F-A745-7747CF7C57DE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F29:F33</xm:sqref>
        </x14:conditionalFormatting>
        <x14:conditionalFormatting xmlns:xm="http://schemas.microsoft.com/office/excel/2006/main" pivot="1">
          <x14:cfRule type="iconSet" priority="13" id="{CDBCCC9F-9EDA-4D80-8BED-778D536A49DD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G42:G45</xm:sqref>
        </x14:conditionalFormatting>
        <x14:conditionalFormatting xmlns:xm="http://schemas.microsoft.com/office/excel/2006/main" pivot="1">
          <x14:cfRule type="iconSet" priority="12" id="{3DEB9BAA-88F2-4F85-BC7C-9A379E1ECBEA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H42:H45</xm:sqref>
        </x14:conditionalFormatting>
        <x14:conditionalFormatting xmlns:xm="http://schemas.microsoft.com/office/excel/2006/main" pivot="1">
          <x14:cfRule type="iconSet" priority="11" id="{0BFDFA54-E28D-4083-8A0C-0F38165539CC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I42:I45</xm:sqref>
        </x14:conditionalFormatting>
        <x14:conditionalFormatting xmlns:xm="http://schemas.microsoft.com/office/excel/2006/main" pivot="1">
          <x14:cfRule type="iconSet" priority="10" id="{CC4B7715-A71F-413F-BCF5-D27D5DE2DB4E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</x14:conditionalFormatting>
        <x14:conditionalFormatting xmlns:xm="http://schemas.microsoft.com/office/excel/2006/main" pivot="1">
          <x14:cfRule type="iconSet" priority="9" id="{F547BB12-354B-4F96-A8DF-A5AB8706DFB1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J42:J45</xm:sqref>
        </x14:conditionalFormatting>
        <x14:conditionalFormatting xmlns:xm="http://schemas.microsoft.com/office/excel/2006/main" pivot="1">
          <x14:cfRule type="iconSet" priority="6" id="{C7402A76-E4C6-46CF-8F62-625F79AAFDFD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E29:E33</xm:sqref>
        </x14:conditionalFormatting>
        <x14:conditionalFormatting xmlns:xm="http://schemas.microsoft.com/office/excel/2006/main" pivot="1">
          <x14:cfRule type="iconSet" priority="5" id="{A2FC4BC8-54F6-4316-912A-5F451867018A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E16:E20</xm:sqref>
        </x14:conditionalFormatting>
        <x14:conditionalFormatting xmlns:xm="http://schemas.microsoft.com/office/excel/2006/main" pivot="1">
          <x14:cfRule type="iconSet" priority="4" id="{091DA854-1AA8-4B8D-9503-224A186F810A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</x14:conditionalFormatting>
        <x14:conditionalFormatting xmlns:xm="http://schemas.microsoft.com/office/excel/2006/main" pivot="1">
          <x14:cfRule type="iconSet" priority="3" id="{1AD2B4FC-B775-4E19-AD60-75AD5A31B824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G29:G33</xm:sqref>
        </x14:conditionalFormatting>
        <x14:conditionalFormatting xmlns:xm="http://schemas.microsoft.com/office/excel/2006/main" pivot="1">
          <x14:cfRule type="iconSet" priority="1" id="{433F49AE-2085-4B17-B731-844B2BF5CF76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K42:K45</xm:sqref>
        </x14:conditionalFormatting>
      </x14:conditionalFormattings>
    </ext>
    <ext xmlns:x14="http://schemas.microsoft.com/office/spreadsheetml/2009/9/main" uri="{A8765BA9-456A-4dab-B4F3-ACF838C121DE}">
      <x14:slicerList>
        <x14:slicer r:id="rId6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1F0BD-742A-41AE-BD3F-AF74EF63A4DA}">
  <sheetPr codeName="Hoja2"/>
  <dimension ref="A1:Q67"/>
  <sheetViews>
    <sheetView showGridLines="0" zoomScale="60" zoomScaleNormal="60" workbookViewId="0"/>
  </sheetViews>
  <sheetFormatPr baseColWidth="10" defaultColWidth="11.42578125" defaultRowHeight="15" outlineLevelCol="1" x14ac:dyDescent="0.25"/>
  <cols>
    <col min="1" max="1" width="20.28515625" bestFit="1" customWidth="1"/>
    <col min="2" max="2" width="19.42578125" bestFit="1" customWidth="1"/>
    <col min="3" max="3" width="17.140625" bestFit="1" customWidth="1"/>
    <col min="4" max="4" width="17.140625" style="54" bestFit="1" customWidth="1"/>
    <col min="5" max="5" width="18.7109375" bestFit="1" customWidth="1"/>
    <col min="6" max="6" width="49.28515625" bestFit="1" customWidth="1"/>
    <col min="7" max="7" width="81.140625" bestFit="1" customWidth="1"/>
    <col min="8" max="8" width="53.7109375" bestFit="1" customWidth="1"/>
    <col min="9" max="9" width="81.140625" style="54" bestFit="1" customWidth="1"/>
    <col min="10" max="10" width="20.42578125" bestFit="1" customWidth="1"/>
    <col min="11" max="11" width="24.140625" style="36" bestFit="1" customWidth="1"/>
    <col min="12" max="12" width="21.140625" style="36" bestFit="1" customWidth="1"/>
    <col min="13" max="13" width="36.28515625" bestFit="1" customWidth="1"/>
    <col min="14" max="14" width="33" bestFit="1" customWidth="1"/>
    <col min="15" max="15" width="31.28515625" style="36" bestFit="1" customWidth="1"/>
    <col min="16" max="16" width="50.85546875" style="36" hidden="1" customWidth="1" outlineLevel="1"/>
    <col min="17" max="17" width="36.5703125" style="36" bestFit="1" customWidth="1" collapsed="1"/>
  </cols>
  <sheetData>
    <row r="1" spans="1:17" x14ac:dyDescent="0.25">
      <c r="A1" t="s">
        <v>22</v>
      </c>
      <c r="B1" t="s">
        <v>1</v>
      </c>
      <c r="C1" t="s">
        <v>20</v>
      </c>
      <c r="D1" t="s">
        <v>23</v>
      </c>
      <c r="E1" s="54" t="s">
        <v>24</v>
      </c>
      <c r="F1" t="s">
        <v>21</v>
      </c>
      <c r="G1" t="s">
        <v>25</v>
      </c>
      <c r="H1" t="s">
        <v>64</v>
      </c>
      <c r="I1" t="s">
        <v>65</v>
      </c>
      <c r="J1" s="54" t="s">
        <v>26</v>
      </c>
      <c r="K1" t="s">
        <v>27</v>
      </c>
      <c r="L1" s="36" t="s">
        <v>28</v>
      </c>
      <c r="M1" s="43" t="s">
        <v>29</v>
      </c>
      <c r="N1" t="s">
        <v>12</v>
      </c>
      <c r="O1" s="36" t="s">
        <v>30</v>
      </c>
      <c r="P1" s="42" t="s">
        <v>31</v>
      </c>
      <c r="Q1" s="36" t="s">
        <v>32</v>
      </c>
    </row>
    <row r="2" spans="1:17" x14ac:dyDescent="0.25">
      <c r="A2" t="s">
        <v>33</v>
      </c>
      <c r="B2" t="s">
        <v>54</v>
      </c>
      <c r="C2" t="s">
        <v>56</v>
      </c>
      <c r="D2" t="s">
        <v>90</v>
      </c>
      <c r="E2" s="54">
        <v>65453</v>
      </c>
      <c r="F2" t="s">
        <v>118</v>
      </c>
      <c r="G2" t="s">
        <v>45</v>
      </c>
      <c r="H2" t="s">
        <v>121</v>
      </c>
      <c r="I2" t="s">
        <v>35</v>
      </c>
      <c r="J2" s="70">
        <v>45733</v>
      </c>
      <c r="K2">
        <v>26407885</v>
      </c>
      <c r="L2" s="36" t="s">
        <v>125</v>
      </c>
      <c r="M2" t="str">
        <f>_xlfn.XLOOKUP(PUNTAJE[[#This Row],[CODIGO RUTA]],'DATA INFORME'!G:G,'DATA INFORME'!I:I)</f>
        <v>SI</v>
      </c>
      <c r="N2" t="str">
        <f>IF(PUNTAJE[[#This Row],[MYSTERY EFECTIVO]]="SI",(_xlfn.XLOOKUP(PUNTAJE[[#This Row],[PREGUNTA]],ENCUESTA!G:G,ENCUESTA!E:E)),"N/A")</f>
        <v>HORARIO</v>
      </c>
      <c r="O2" s="36">
        <f>IF(PUNTAJE[[#This Row],[MYSTERY EFECTIVO]]="SI",(IF(PUNTAJE[[#This Row],[CANAL]]="TRADICIONAL",_xlfn.XLOOKUP(PUNTAJE[[#This Row],[PREGUNTA]],ENCUESTA!G:G,ENCUESTA!A:A),IF(PUNTAJE[[#This Row],[CANAL]]="ESPECIALIZADO",_xlfn.XLOOKUP(PUNTAJE[[#This Row],[PREGUNTA]],ENCUESTA!G:G,ENCUESTA!B:B),IF(PUNTAJE[[#This Row],[CANAL]]="MODERNO",_xlfn.XLOOKUP(PUNTAJE[[#This Row],[PREGUNTA]],ENCUESTA!G:G,ENCUESTA!C:C))))),0)</f>
        <v>20</v>
      </c>
      <c r="P2" s="36" t="str">
        <f>_xlfn.XLOOKUP(PUNTAJE[[#This Row],[PREGUNTA]],ENCUESTA!G:G,ENCUESTA!H:H)</f>
        <v>SI</v>
      </c>
      <c r="Q2" s="36">
        <f>IF(PUNTAJE[[#This Row],[RESPUESTA]]=PUNTAJE[[#This Row],[RTA CORRECTA]],PUNTAJE[[#This Row],[TOTAL PUNTAJE]],0)</f>
        <v>20</v>
      </c>
    </row>
    <row r="3" spans="1:17" x14ac:dyDescent="0.25">
      <c r="A3" t="s">
        <v>33</v>
      </c>
      <c r="B3" t="s">
        <v>54</v>
      </c>
      <c r="C3" t="s">
        <v>56</v>
      </c>
      <c r="D3" t="s">
        <v>90</v>
      </c>
      <c r="E3" s="54">
        <v>65453</v>
      </c>
      <c r="F3" t="s">
        <v>118</v>
      </c>
      <c r="G3" t="s">
        <v>38</v>
      </c>
      <c r="H3" t="s">
        <v>121</v>
      </c>
      <c r="I3" t="s">
        <v>35</v>
      </c>
      <c r="J3" s="70">
        <v>45733</v>
      </c>
      <c r="K3">
        <v>26407885</v>
      </c>
      <c r="L3" s="36" t="s">
        <v>125</v>
      </c>
      <c r="M3" t="str">
        <f>_xlfn.XLOOKUP(PUNTAJE[[#This Row],[CODIGO RUTA]],'DATA INFORME'!G:G,'DATA INFORME'!I:I)</f>
        <v>SI</v>
      </c>
      <c r="N3" t="str">
        <f>IF(PUNTAJE[[#This Row],[MYSTERY EFECTIVO]]="SI",(_xlfn.XLOOKUP(PUNTAJE[[#This Row],[PREGUNTA]],ENCUESTA!G:G,ENCUESTA!E:E)),"N/A")</f>
        <v>PRESENTACIÓN PERSONAL</v>
      </c>
      <c r="O3" s="36">
        <f>IF(PUNTAJE[[#This Row],[MYSTERY EFECTIVO]]="SI",(IF(PUNTAJE[[#This Row],[CANAL]]="TRADICIONAL",_xlfn.XLOOKUP(PUNTAJE[[#This Row],[PREGUNTA]],ENCUESTA!G:G,ENCUESTA!A:A),IF(PUNTAJE[[#This Row],[CANAL]]="ESPECIALIZADO",_xlfn.XLOOKUP(PUNTAJE[[#This Row],[PREGUNTA]],ENCUESTA!G:G,ENCUESTA!B:B),IF(PUNTAJE[[#This Row],[CANAL]]="MODERNO",_xlfn.XLOOKUP(PUNTAJE[[#This Row],[PREGUNTA]],ENCUESTA!G:G,ENCUESTA!C:C))))),0)</f>
        <v>1</v>
      </c>
      <c r="P3" s="36" t="str">
        <f>_xlfn.XLOOKUP(PUNTAJE[[#This Row],[PREGUNTA]],ENCUESTA!G:G,ENCUESTA!H:H)</f>
        <v>SI</v>
      </c>
      <c r="Q3" s="36">
        <f>IF(PUNTAJE[[#This Row],[RESPUESTA]]=PUNTAJE[[#This Row],[RTA CORRECTA]],PUNTAJE[[#This Row],[TOTAL PUNTAJE]],0)</f>
        <v>1</v>
      </c>
    </row>
    <row r="4" spans="1:17" x14ac:dyDescent="0.25">
      <c r="A4" t="s">
        <v>33</v>
      </c>
      <c r="B4" t="s">
        <v>54</v>
      </c>
      <c r="C4" t="s">
        <v>56</v>
      </c>
      <c r="D4" t="s">
        <v>90</v>
      </c>
      <c r="E4" s="54">
        <v>65453</v>
      </c>
      <c r="F4" t="s">
        <v>118</v>
      </c>
      <c r="G4" t="s">
        <v>94</v>
      </c>
      <c r="H4" t="s">
        <v>121</v>
      </c>
      <c r="I4" t="s">
        <v>35</v>
      </c>
      <c r="J4" s="70">
        <v>45733</v>
      </c>
      <c r="K4">
        <v>26407885</v>
      </c>
      <c r="L4" s="36" t="s">
        <v>125</v>
      </c>
      <c r="M4" t="str">
        <f>_xlfn.XLOOKUP(PUNTAJE[[#This Row],[CODIGO RUTA]],'DATA INFORME'!G:G,'DATA INFORME'!I:I)</f>
        <v>SI</v>
      </c>
      <c r="N4" t="str">
        <f>IF(PUNTAJE[[#This Row],[MYSTERY EFECTIVO]]="SI",(_xlfn.XLOOKUP(PUNTAJE[[#This Row],[PREGUNTA]],ENCUESTA!G:G,ENCUESTA!E:E)),"N/A")</f>
        <v>PRESENTACIÓN PERSONAL</v>
      </c>
      <c r="O4" s="36">
        <f>IF(PUNTAJE[[#This Row],[MYSTERY EFECTIVO]]="SI",(IF(PUNTAJE[[#This Row],[CANAL]]="TRADICIONAL",_xlfn.XLOOKUP(PUNTAJE[[#This Row],[PREGUNTA]],ENCUESTA!G:G,ENCUESTA!A:A),IF(PUNTAJE[[#This Row],[CANAL]]="ESPECIALIZADO",_xlfn.XLOOKUP(PUNTAJE[[#This Row],[PREGUNTA]],ENCUESTA!G:G,ENCUESTA!B:B),IF(PUNTAJE[[#This Row],[CANAL]]="MODERNO",_xlfn.XLOOKUP(PUNTAJE[[#This Row],[PREGUNTA]],ENCUESTA!G:G,ENCUESTA!C:C))))),0)</f>
        <v>1</v>
      </c>
      <c r="P4" s="36" t="str">
        <f>_xlfn.XLOOKUP(PUNTAJE[[#This Row],[PREGUNTA]],ENCUESTA!G:G,ENCUESTA!H:H)</f>
        <v>SI</v>
      </c>
      <c r="Q4" s="36">
        <f>IF(PUNTAJE[[#This Row],[RESPUESTA]]=PUNTAJE[[#This Row],[RTA CORRECTA]],PUNTAJE[[#This Row],[TOTAL PUNTAJE]],0)</f>
        <v>1</v>
      </c>
    </row>
    <row r="5" spans="1:17" x14ac:dyDescent="0.25">
      <c r="A5" t="s">
        <v>33</v>
      </c>
      <c r="B5" t="s">
        <v>54</v>
      </c>
      <c r="C5" t="s">
        <v>56</v>
      </c>
      <c r="D5" t="s">
        <v>90</v>
      </c>
      <c r="E5" s="54">
        <v>65453</v>
      </c>
      <c r="F5" t="s">
        <v>118</v>
      </c>
      <c r="G5" t="s">
        <v>39</v>
      </c>
      <c r="H5" t="s">
        <v>121</v>
      </c>
      <c r="I5" t="s">
        <v>35</v>
      </c>
      <c r="J5" s="70">
        <v>45733</v>
      </c>
      <c r="K5">
        <v>26407885</v>
      </c>
      <c r="L5" s="36" t="s">
        <v>125</v>
      </c>
      <c r="M5" t="str">
        <f>_xlfn.XLOOKUP(PUNTAJE[[#This Row],[CODIGO RUTA]],'DATA INFORME'!G:G,'DATA INFORME'!I:I)</f>
        <v>SI</v>
      </c>
      <c r="N5" t="str">
        <f>IF(PUNTAJE[[#This Row],[MYSTERY EFECTIVO]]="SI",(_xlfn.XLOOKUP(PUNTAJE[[#This Row],[PREGUNTA]],ENCUESTA!G:G,ENCUESTA!E:E)),"N/A")</f>
        <v>PRESENTACIÓN PERSONAL</v>
      </c>
      <c r="O5" s="36">
        <f>IF(PUNTAJE[[#This Row],[MYSTERY EFECTIVO]]="SI",(IF(PUNTAJE[[#This Row],[CANAL]]="TRADICIONAL",_xlfn.XLOOKUP(PUNTAJE[[#This Row],[PREGUNTA]],ENCUESTA!G:G,ENCUESTA!A:A),IF(PUNTAJE[[#This Row],[CANAL]]="ESPECIALIZADO",_xlfn.XLOOKUP(PUNTAJE[[#This Row],[PREGUNTA]],ENCUESTA!G:G,ENCUESTA!B:B),IF(PUNTAJE[[#This Row],[CANAL]]="MODERNO",_xlfn.XLOOKUP(PUNTAJE[[#This Row],[PREGUNTA]],ENCUESTA!G:G,ENCUESTA!C:C))))),0)</f>
        <v>1</v>
      </c>
      <c r="P5" s="36" t="str">
        <f>_xlfn.XLOOKUP(PUNTAJE[[#This Row],[PREGUNTA]],ENCUESTA!G:G,ENCUESTA!H:H)</f>
        <v>SI</v>
      </c>
      <c r="Q5" s="36">
        <f>IF(PUNTAJE[[#This Row],[RESPUESTA]]=PUNTAJE[[#This Row],[RTA CORRECTA]],PUNTAJE[[#This Row],[TOTAL PUNTAJE]],0)</f>
        <v>1</v>
      </c>
    </row>
    <row r="6" spans="1:17" x14ac:dyDescent="0.25">
      <c r="A6" t="s">
        <v>33</v>
      </c>
      <c r="B6" t="s">
        <v>54</v>
      </c>
      <c r="C6" t="s">
        <v>56</v>
      </c>
      <c r="D6" t="s">
        <v>90</v>
      </c>
      <c r="E6" s="54">
        <v>65453</v>
      </c>
      <c r="F6" t="s">
        <v>118</v>
      </c>
      <c r="G6" t="s">
        <v>95</v>
      </c>
      <c r="H6" t="s">
        <v>121</v>
      </c>
      <c r="I6" t="s">
        <v>34</v>
      </c>
      <c r="J6" s="70">
        <v>45733</v>
      </c>
      <c r="K6">
        <v>26407885</v>
      </c>
      <c r="L6" s="36" t="s">
        <v>125</v>
      </c>
      <c r="M6" t="str">
        <f>_xlfn.XLOOKUP(PUNTAJE[[#This Row],[CODIGO RUTA]],'DATA INFORME'!G:G,'DATA INFORME'!I:I)</f>
        <v>SI</v>
      </c>
      <c r="N6" t="str">
        <f>IF(PUNTAJE[[#This Row],[MYSTERY EFECTIVO]]="SI",(_xlfn.XLOOKUP(PUNTAJE[[#This Row],[PREGUNTA]],ENCUESTA!G:G,ENCUESTA!E:E)),"N/A")</f>
        <v>PRESENTACIÓN PERSONAL</v>
      </c>
      <c r="O6" s="36">
        <f>IF(PUNTAJE[[#This Row],[MYSTERY EFECTIVO]]="SI",(IF(PUNTAJE[[#This Row],[CANAL]]="TRADICIONAL",_xlfn.XLOOKUP(PUNTAJE[[#This Row],[PREGUNTA]],ENCUESTA!G:G,ENCUESTA!A:A),IF(PUNTAJE[[#This Row],[CANAL]]="ESPECIALIZADO",_xlfn.XLOOKUP(PUNTAJE[[#This Row],[PREGUNTA]],ENCUESTA!G:G,ENCUESTA!B:B),IF(PUNTAJE[[#This Row],[CANAL]]="MODERNO",_xlfn.XLOOKUP(PUNTAJE[[#This Row],[PREGUNTA]],ENCUESTA!G:G,ENCUESTA!C:C))))),0)</f>
        <v>1</v>
      </c>
      <c r="P6" s="36" t="str">
        <f>_xlfn.XLOOKUP(PUNTAJE[[#This Row],[PREGUNTA]],ENCUESTA!G:G,ENCUESTA!H:H)</f>
        <v>NO</v>
      </c>
      <c r="Q6" s="36">
        <f>IF(PUNTAJE[[#This Row],[RESPUESTA]]=PUNTAJE[[#This Row],[RTA CORRECTA]],PUNTAJE[[#This Row],[TOTAL PUNTAJE]],0)</f>
        <v>1</v>
      </c>
    </row>
    <row r="7" spans="1:17" x14ac:dyDescent="0.25">
      <c r="A7" t="s">
        <v>33</v>
      </c>
      <c r="B7" t="s">
        <v>54</v>
      </c>
      <c r="C7" t="s">
        <v>56</v>
      </c>
      <c r="D7" t="s">
        <v>90</v>
      </c>
      <c r="E7" s="54">
        <v>65453</v>
      </c>
      <c r="F7" t="s">
        <v>118</v>
      </c>
      <c r="G7" t="s">
        <v>37</v>
      </c>
      <c r="H7" t="s">
        <v>121</v>
      </c>
      <c r="I7" t="s">
        <v>35</v>
      </c>
      <c r="J7" s="70">
        <v>45733</v>
      </c>
      <c r="K7">
        <v>26407885</v>
      </c>
      <c r="L7" s="36" t="s">
        <v>125</v>
      </c>
      <c r="M7" t="str">
        <f>_xlfn.XLOOKUP(PUNTAJE[[#This Row],[CODIGO RUTA]],'DATA INFORME'!G:G,'DATA INFORME'!I:I)</f>
        <v>SI</v>
      </c>
      <c r="N7" t="str">
        <f>IF(PUNTAJE[[#This Row],[MYSTERY EFECTIVO]]="SI",(_xlfn.XLOOKUP(PUNTAJE[[#This Row],[PREGUNTA]],ENCUESTA!G:G,ENCUESTA!E:E)),"N/A")</f>
        <v>PRESENTACIÓN PERSONAL</v>
      </c>
      <c r="O7" s="36">
        <f>IF(PUNTAJE[[#This Row],[MYSTERY EFECTIVO]]="SI",(IF(PUNTAJE[[#This Row],[CANAL]]="TRADICIONAL",_xlfn.XLOOKUP(PUNTAJE[[#This Row],[PREGUNTA]],ENCUESTA!G:G,ENCUESTA!A:A),IF(PUNTAJE[[#This Row],[CANAL]]="ESPECIALIZADO",_xlfn.XLOOKUP(PUNTAJE[[#This Row],[PREGUNTA]],ENCUESTA!G:G,ENCUESTA!B:B),IF(PUNTAJE[[#This Row],[CANAL]]="MODERNO",_xlfn.XLOOKUP(PUNTAJE[[#This Row],[PREGUNTA]],ENCUESTA!G:G,ENCUESTA!C:C))))),0)</f>
        <v>1</v>
      </c>
      <c r="P7" s="36" t="str">
        <f>_xlfn.XLOOKUP(PUNTAJE[[#This Row],[PREGUNTA]],ENCUESTA!G:G,ENCUESTA!H:H)</f>
        <v>SI</v>
      </c>
      <c r="Q7" s="36">
        <f>IF(PUNTAJE[[#This Row],[RESPUESTA]]=PUNTAJE[[#This Row],[RTA CORRECTA]],PUNTAJE[[#This Row],[TOTAL PUNTAJE]],0)</f>
        <v>1</v>
      </c>
    </row>
    <row r="8" spans="1:17" x14ac:dyDescent="0.25">
      <c r="A8" t="s">
        <v>33</v>
      </c>
      <c r="B8" t="s">
        <v>54</v>
      </c>
      <c r="C8" t="s">
        <v>56</v>
      </c>
      <c r="D8" t="s">
        <v>90</v>
      </c>
      <c r="E8" s="54">
        <v>65453</v>
      </c>
      <c r="F8" t="s">
        <v>118</v>
      </c>
      <c r="G8" t="s">
        <v>43</v>
      </c>
      <c r="H8" t="s">
        <v>121</v>
      </c>
      <c r="I8" t="s">
        <v>35</v>
      </c>
      <c r="J8" s="70">
        <v>45733</v>
      </c>
      <c r="K8">
        <v>26407885</v>
      </c>
      <c r="L8" s="36" t="s">
        <v>125</v>
      </c>
      <c r="M8" t="str">
        <f>_xlfn.XLOOKUP(PUNTAJE[[#This Row],[CODIGO RUTA]],'DATA INFORME'!G:G,'DATA INFORME'!I:I)</f>
        <v>SI</v>
      </c>
      <c r="N8" t="str">
        <f>IF(PUNTAJE[[#This Row],[MYSTERY EFECTIVO]]="SI",(_xlfn.XLOOKUP(PUNTAJE[[#This Row],[PREGUNTA]],ENCUESTA!G:G,ENCUESTA!E:E)),"N/A")</f>
        <v>PRESENTACIÓN PERSONAL</v>
      </c>
      <c r="O8" s="36">
        <f>IF(PUNTAJE[[#This Row],[MYSTERY EFECTIVO]]="SI",(IF(PUNTAJE[[#This Row],[CANAL]]="TRADICIONAL",_xlfn.XLOOKUP(PUNTAJE[[#This Row],[PREGUNTA]],ENCUESTA!G:G,ENCUESTA!A:A),IF(PUNTAJE[[#This Row],[CANAL]]="ESPECIALIZADO",_xlfn.XLOOKUP(PUNTAJE[[#This Row],[PREGUNTA]],ENCUESTA!G:G,ENCUESTA!B:B),IF(PUNTAJE[[#This Row],[CANAL]]="MODERNO",_xlfn.XLOOKUP(PUNTAJE[[#This Row],[PREGUNTA]],ENCUESTA!G:G,ENCUESTA!C:C))))),0)</f>
        <v>1</v>
      </c>
      <c r="P8" s="36" t="str">
        <f>_xlfn.XLOOKUP(PUNTAJE[[#This Row],[PREGUNTA]],ENCUESTA!G:G,ENCUESTA!H:H)</f>
        <v>SI</v>
      </c>
      <c r="Q8" s="36">
        <f>IF(PUNTAJE[[#This Row],[RESPUESTA]]=PUNTAJE[[#This Row],[RTA CORRECTA]],PUNTAJE[[#This Row],[TOTAL PUNTAJE]],0)</f>
        <v>1</v>
      </c>
    </row>
    <row r="9" spans="1:17" x14ac:dyDescent="0.25">
      <c r="A9" t="s">
        <v>33</v>
      </c>
      <c r="B9" t="s">
        <v>54</v>
      </c>
      <c r="C9" t="s">
        <v>56</v>
      </c>
      <c r="D9" t="s">
        <v>90</v>
      </c>
      <c r="E9" s="54">
        <v>65453</v>
      </c>
      <c r="F9" t="s">
        <v>118</v>
      </c>
      <c r="G9" t="s">
        <v>44</v>
      </c>
      <c r="H9" t="s">
        <v>121</v>
      </c>
      <c r="I9" t="s">
        <v>34</v>
      </c>
      <c r="J9" s="70">
        <v>45733</v>
      </c>
      <c r="K9">
        <v>26407885</v>
      </c>
      <c r="L9" s="36" t="s">
        <v>125</v>
      </c>
      <c r="M9" t="str">
        <f>_xlfn.XLOOKUP(PUNTAJE[[#This Row],[CODIGO RUTA]],'DATA INFORME'!G:G,'DATA INFORME'!I:I)</f>
        <v>SI</v>
      </c>
      <c r="N9" t="str">
        <f>IF(PUNTAJE[[#This Row],[MYSTERY EFECTIVO]]="SI",(_xlfn.XLOOKUP(PUNTAJE[[#This Row],[PREGUNTA]],ENCUESTA!G:G,ENCUESTA!E:E)),"N/A")</f>
        <v>PRESENTACIÓN PERSONAL</v>
      </c>
      <c r="O9" s="36">
        <f>IF(PUNTAJE[[#This Row],[MYSTERY EFECTIVO]]="SI",(IF(PUNTAJE[[#This Row],[CANAL]]="TRADICIONAL",_xlfn.XLOOKUP(PUNTAJE[[#This Row],[PREGUNTA]],ENCUESTA!G:G,ENCUESTA!A:A),IF(PUNTAJE[[#This Row],[CANAL]]="ESPECIALIZADO",_xlfn.XLOOKUP(PUNTAJE[[#This Row],[PREGUNTA]],ENCUESTA!G:G,ENCUESTA!B:B),IF(PUNTAJE[[#This Row],[CANAL]]="MODERNO",_xlfn.XLOOKUP(PUNTAJE[[#This Row],[PREGUNTA]],ENCUESTA!G:G,ENCUESTA!C:C))))),0)</f>
        <v>1</v>
      </c>
      <c r="P9" s="36" t="str">
        <f>_xlfn.XLOOKUP(PUNTAJE[[#This Row],[PREGUNTA]],ENCUESTA!G:G,ENCUESTA!H:H)</f>
        <v>NO</v>
      </c>
      <c r="Q9" s="36">
        <f>IF(PUNTAJE[[#This Row],[RESPUESTA]]=PUNTAJE[[#This Row],[RTA CORRECTA]],PUNTAJE[[#This Row],[TOTAL PUNTAJE]],0)</f>
        <v>1</v>
      </c>
    </row>
    <row r="10" spans="1:17" x14ac:dyDescent="0.25">
      <c r="A10" t="s">
        <v>33</v>
      </c>
      <c r="B10" t="s">
        <v>54</v>
      </c>
      <c r="C10" t="s">
        <v>56</v>
      </c>
      <c r="D10" t="s">
        <v>90</v>
      </c>
      <c r="E10" s="54">
        <v>65453</v>
      </c>
      <c r="F10" t="s">
        <v>118</v>
      </c>
      <c r="G10" t="s">
        <v>42</v>
      </c>
      <c r="H10" t="s">
        <v>121</v>
      </c>
      <c r="I10" t="s">
        <v>34</v>
      </c>
      <c r="J10" s="70">
        <v>45733</v>
      </c>
      <c r="K10">
        <v>26407885</v>
      </c>
      <c r="L10" s="36" t="s">
        <v>125</v>
      </c>
      <c r="M10" t="str">
        <f>_xlfn.XLOOKUP(PUNTAJE[[#This Row],[CODIGO RUTA]],'DATA INFORME'!G:G,'DATA INFORME'!I:I)</f>
        <v>SI</v>
      </c>
      <c r="N10" t="str">
        <f>IF(PUNTAJE[[#This Row],[MYSTERY EFECTIVO]]="SI",(_xlfn.XLOOKUP(PUNTAJE[[#This Row],[PREGUNTA]],ENCUESTA!G:G,ENCUESTA!E:E)),"N/A")</f>
        <v>PRESENTACIÓN PERSONAL</v>
      </c>
      <c r="O10" s="36">
        <f>IF(PUNTAJE[[#This Row],[MYSTERY EFECTIVO]]="SI",(IF(PUNTAJE[[#This Row],[CANAL]]="TRADICIONAL",_xlfn.XLOOKUP(PUNTAJE[[#This Row],[PREGUNTA]],ENCUESTA!G:G,ENCUESTA!A:A),IF(PUNTAJE[[#This Row],[CANAL]]="ESPECIALIZADO",_xlfn.XLOOKUP(PUNTAJE[[#This Row],[PREGUNTA]],ENCUESTA!G:G,ENCUESTA!B:B),IF(PUNTAJE[[#This Row],[CANAL]]="MODERNO",_xlfn.XLOOKUP(PUNTAJE[[#This Row],[PREGUNTA]],ENCUESTA!G:G,ENCUESTA!C:C))))),0)</f>
        <v>1</v>
      </c>
      <c r="P10" s="36" t="str">
        <f>_xlfn.XLOOKUP(PUNTAJE[[#This Row],[PREGUNTA]],ENCUESTA!G:G,ENCUESTA!H:H)</f>
        <v>NO</v>
      </c>
      <c r="Q10" s="36">
        <f>IF(PUNTAJE[[#This Row],[RESPUESTA]]=PUNTAJE[[#This Row],[RTA CORRECTA]],PUNTAJE[[#This Row],[TOTAL PUNTAJE]],0)</f>
        <v>1</v>
      </c>
    </row>
    <row r="11" spans="1:17" x14ac:dyDescent="0.25">
      <c r="A11" t="s">
        <v>33</v>
      </c>
      <c r="B11" t="s">
        <v>54</v>
      </c>
      <c r="C11" t="s">
        <v>56</v>
      </c>
      <c r="D11" t="s">
        <v>90</v>
      </c>
      <c r="E11" s="54">
        <v>65453</v>
      </c>
      <c r="F11" t="s">
        <v>118</v>
      </c>
      <c r="G11" t="s">
        <v>41</v>
      </c>
      <c r="H11" t="s">
        <v>121</v>
      </c>
      <c r="I11" t="s">
        <v>34</v>
      </c>
      <c r="J11" s="70">
        <v>45733</v>
      </c>
      <c r="K11">
        <v>26407885</v>
      </c>
      <c r="L11" s="36" t="s">
        <v>125</v>
      </c>
      <c r="M11" t="str">
        <f>_xlfn.XLOOKUP(PUNTAJE[[#This Row],[CODIGO RUTA]],'DATA INFORME'!G:G,'DATA INFORME'!I:I)</f>
        <v>SI</v>
      </c>
      <c r="N11" t="str">
        <f>IF(PUNTAJE[[#This Row],[MYSTERY EFECTIVO]]="SI",(_xlfn.XLOOKUP(PUNTAJE[[#This Row],[PREGUNTA]],ENCUESTA!G:G,ENCUESTA!E:E)),"N/A")</f>
        <v>PRESENTACIÓN PERSONAL</v>
      </c>
      <c r="O11" s="36">
        <f>IF(PUNTAJE[[#This Row],[MYSTERY EFECTIVO]]="SI",(IF(PUNTAJE[[#This Row],[CANAL]]="TRADICIONAL",_xlfn.XLOOKUP(PUNTAJE[[#This Row],[PREGUNTA]],ENCUESTA!G:G,ENCUESTA!A:A),IF(PUNTAJE[[#This Row],[CANAL]]="ESPECIALIZADO",_xlfn.XLOOKUP(PUNTAJE[[#This Row],[PREGUNTA]],ENCUESTA!G:G,ENCUESTA!B:B),IF(PUNTAJE[[#This Row],[CANAL]]="MODERNO",_xlfn.XLOOKUP(PUNTAJE[[#This Row],[PREGUNTA]],ENCUESTA!G:G,ENCUESTA!C:C))))),0)</f>
        <v>1</v>
      </c>
      <c r="P11" s="36" t="str">
        <f>_xlfn.XLOOKUP(PUNTAJE[[#This Row],[PREGUNTA]],ENCUESTA!G:G,ENCUESTA!H:H)</f>
        <v>NO</v>
      </c>
      <c r="Q11" s="36">
        <f>IF(PUNTAJE[[#This Row],[RESPUESTA]]=PUNTAJE[[#This Row],[RTA CORRECTA]],PUNTAJE[[#This Row],[TOTAL PUNTAJE]],0)</f>
        <v>1</v>
      </c>
    </row>
    <row r="12" spans="1:17" x14ac:dyDescent="0.25">
      <c r="A12" t="s">
        <v>33</v>
      </c>
      <c r="B12" t="s">
        <v>54</v>
      </c>
      <c r="C12" t="s">
        <v>56</v>
      </c>
      <c r="D12" t="s">
        <v>90</v>
      </c>
      <c r="E12" s="54">
        <v>65453</v>
      </c>
      <c r="F12" t="s">
        <v>118</v>
      </c>
      <c r="G12" t="s">
        <v>40</v>
      </c>
      <c r="H12" t="s">
        <v>121</v>
      </c>
      <c r="I12" t="s">
        <v>34</v>
      </c>
      <c r="J12" s="70">
        <v>45733</v>
      </c>
      <c r="K12">
        <v>26407885</v>
      </c>
      <c r="L12" s="36" t="s">
        <v>125</v>
      </c>
      <c r="M12" t="str">
        <f>_xlfn.XLOOKUP(PUNTAJE[[#This Row],[CODIGO RUTA]],'DATA INFORME'!G:G,'DATA INFORME'!I:I)</f>
        <v>SI</v>
      </c>
      <c r="N12" t="str">
        <f>IF(PUNTAJE[[#This Row],[MYSTERY EFECTIVO]]="SI",(_xlfn.XLOOKUP(PUNTAJE[[#This Row],[PREGUNTA]],ENCUESTA!G:G,ENCUESTA!E:E)),"N/A")</f>
        <v>PRESENTACIÓN PERSONAL</v>
      </c>
      <c r="O12" s="36">
        <f>IF(PUNTAJE[[#This Row],[MYSTERY EFECTIVO]]="SI",(IF(PUNTAJE[[#This Row],[CANAL]]="TRADICIONAL",_xlfn.XLOOKUP(PUNTAJE[[#This Row],[PREGUNTA]],ENCUESTA!G:G,ENCUESTA!A:A),IF(PUNTAJE[[#This Row],[CANAL]]="ESPECIALIZADO",_xlfn.XLOOKUP(PUNTAJE[[#This Row],[PREGUNTA]],ENCUESTA!G:G,ENCUESTA!B:B),IF(PUNTAJE[[#This Row],[CANAL]]="MODERNO",_xlfn.XLOOKUP(PUNTAJE[[#This Row],[PREGUNTA]],ENCUESTA!G:G,ENCUESTA!C:C))))),0)</f>
        <v>1</v>
      </c>
      <c r="P12" s="36" t="str">
        <f>_xlfn.XLOOKUP(PUNTAJE[[#This Row],[PREGUNTA]],ENCUESTA!G:G,ENCUESTA!H:H)</f>
        <v>NO</v>
      </c>
      <c r="Q12" s="36">
        <f>IF(PUNTAJE[[#This Row],[RESPUESTA]]=PUNTAJE[[#This Row],[RTA CORRECTA]],PUNTAJE[[#This Row],[TOTAL PUNTAJE]],0)</f>
        <v>1</v>
      </c>
    </row>
    <row r="13" spans="1:17" x14ac:dyDescent="0.25">
      <c r="A13" t="s">
        <v>33</v>
      </c>
      <c r="B13" t="s">
        <v>54</v>
      </c>
      <c r="C13" t="s">
        <v>56</v>
      </c>
      <c r="D13" t="s">
        <v>90</v>
      </c>
      <c r="E13" s="54">
        <v>65453</v>
      </c>
      <c r="F13" t="s">
        <v>118</v>
      </c>
      <c r="G13" t="s">
        <v>96</v>
      </c>
      <c r="H13" t="s">
        <v>121</v>
      </c>
      <c r="I13" t="s">
        <v>35</v>
      </c>
      <c r="J13" s="70">
        <v>45733</v>
      </c>
      <c r="K13">
        <v>26407885</v>
      </c>
      <c r="L13" s="36" t="s">
        <v>125</v>
      </c>
      <c r="M13" t="str">
        <f>_xlfn.XLOOKUP(PUNTAJE[[#This Row],[CODIGO RUTA]],'DATA INFORME'!G:G,'DATA INFORME'!I:I)</f>
        <v>SI</v>
      </c>
      <c r="N13" t="str">
        <f>IF(PUNTAJE[[#This Row],[MYSTERY EFECTIVO]]="SI",(_xlfn.XLOOKUP(PUNTAJE[[#This Row],[PREGUNTA]],ENCUESTA!G:G,ENCUESTA!E:E)),"N/A")</f>
        <v>EJECUCION DEL PDV</v>
      </c>
      <c r="O13" s="36">
        <f>IF(PUNTAJE[[#This Row],[MYSTERY EFECTIVO]]="SI",(IF(PUNTAJE[[#This Row],[CANAL]]="TRADICIONAL",_xlfn.XLOOKUP(PUNTAJE[[#This Row],[PREGUNTA]],ENCUESTA!G:G,ENCUESTA!A:A),IF(PUNTAJE[[#This Row],[CANAL]]="ESPECIALIZADO",_xlfn.XLOOKUP(PUNTAJE[[#This Row],[PREGUNTA]],ENCUESTA!G:G,ENCUESTA!B:B),IF(PUNTAJE[[#This Row],[CANAL]]="MODERNO",_xlfn.XLOOKUP(PUNTAJE[[#This Row],[PREGUNTA]],ENCUESTA!G:G,ENCUESTA!C:C))))),0)</f>
        <v>4.2</v>
      </c>
      <c r="P13" s="36" t="str">
        <f>_xlfn.XLOOKUP(PUNTAJE[[#This Row],[PREGUNTA]],ENCUESTA!G:G,ENCUESTA!H:H)</f>
        <v>SI</v>
      </c>
      <c r="Q13" s="36">
        <f>IF(PUNTAJE[[#This Row],[RESPUESTA]]=PUNTAJE[[#This Row],[RTA CORRECTA]],PUNTAJE[[#This Row],[TOTAL PUNTAJE]],0)</f>
        <v>4.2</v>
      </c>
    </row>
    <row r="14" spans="1:17" x14ac:dyDescent="0.25">
      <c r="A14" t="s">
        <v>33</v>
      </c>
      <c r="B14" t="s">
        <v>54</v>
      </c>
      <c r="C14" t="s">
        <v>56</v>
      </c>
      <c r="D14" t="s">
        <v>90</v>
      </c>
      <c r="E14" s="54">
        <v>65453</v>
      </c>
      <c r="F14" t="s">
        <v>118</v>
      </c>
      <c r="G14" t="s">
        <v>97</v>
      </c>
      <c r="H14" t="s">
        <v>121</v>
      </c>
      <c r="I14" t="s">
        <v>35</v>
      </c>
      <c r="J14" s="70">
        <v>45733</v>
      </c>
      <c r="K14">
        <v>26407885</v>
      </c>
      <c r="L14" s="36" t="s">
        <v>125</v>
      </c>
      <c r="M14" t="str">
        <f>_xlfn.XLOOKUP(PUNTAJE[[#This Row],[CODIGO RUTA]],'DATA INFORME'!G:G,'DATA INFORME'!I:I)</f>
        <v>SI</v>
      </c>
      <c r="N14" t="str">
        <f>IF(PUNTAJE[[#This Row],[MYSTERY EFECTIVO]]="SI",(_xlfn.XLOOKUP(PUNTAJE[[#This Row],[PREGUNTA]],ENCUESTA!G:G,ENCUESTA!E:E)),"N/A")</f>
        <v>EJECUCION DEL PDV</v>
      </c>
      <c r="O14" s="36">
        <f>IF(PUNTAJE[[#This Row],[MYSTERY EFECTIVO]]="SI",(IF(PUNTAJE[[#This Row],[CANAL]]="TRADICIONAL",_xlfn.XLOOKUP(PUNTAJE[[#This Row],[PREGUNTA]],ENCUESTA!G:G,ENCUESTA!A:A),IF(PUNTAJE[[#This Row],[CANAL]]="ESPECIALIZADO",_xlfn.XLOOKUP(PUNTAJE[[#This Row],[PREGUNTA]],ENCUESTA!G:G,ENCUESTA!B:B),IF(PUNTAJE[[#This Row],[CANAL]]="MODERNO",_xlfn.XLOOKUP(PUNTAJE[[#This Row],[PREGUNTA]],ENCUESTA!G:G,ENCUESTA!C:C))))),0)</f>
        <v>4.3</v>
      </c>
      <c r="P14" s="36" t="str">
        <f>_xlfn.XLOOKUP(PUNTAJE[[#This Row],[PREGUNTA]],ENCUESTA!G:G,ENCUESTA!H:H)</f>
        <v>SI</v>
      </c>
      <c r="Q14" s="36">
        <f>IF(PUNTAJE[[#This Row],[RESPUESTA]]=PUNTAJE[[#This Row],[RTA CORRECTA]],PUNTAJE[[#This Row],[TOTAL PUNTAJE]],0)</f>
        <v>4.3</v>
      </c>
    </row>
    <row r="15" spans="1:17" x14ac:dyDescent="0.25">
      <c r="A15" t="s">
        <v>33</v>
      </c>
      <c r="B15" t="s">
        <v>54</v>
      </c>
      <c r="C15" t="s">
        <v>56</v>
      </c>
      <c r="D15" t="s">
        <v>90</v>
      </c>
      <c r="E15" s="54">
        <v>65453</v>
      </c>
      <c r="F15" t="s">
        <v>118</v>
      </c>
      <c r="G15" t="s">
        <v>98</v>
      </c>
      <c r="H15" t="s">
        <v>121</v>
      </c>
      <c r="I15" t="s">
        <v>35</v>
      </c>
      <c r="J15" s="70">
        <v>45733</v>
      </c>
      <c r="K15">
        <v>26407885</v>
      </c>
      <c r="L15" s="36" t="s">
        <v>125</v>
      </c>
      <c r="M15" t="str">
        <f>_xlfn.XLOOKUP(PUNTAJE[[#This Row],[CODIGO RUTA]],'DATA INFORME'!G:G,'DATA INFORME'!I:I)</f>
        <v>SI</v>
      </c>
      <c r="N15" t="str">
        <f>IF(PUNTAJE[[#This Row],[MYSTERY EFECTIVO]]="SI",(_xlfn.XLOOKUP(PUNTAJE[[#This Row],[PREGUNTA]],ENCUESTA!G:G,ENCUESTA!E:E)),"N/A")</f>
        <v>EJECUCION DEL PDV</v>
      </c>
      <c r="O15" s="36">
        <f>IF(PUNTAJE[[#This Row],[MYSTERY EFECTIVO]]="SI",(IF(PUNTAJE[[#This Row],[CANAL]]="TRADICIONAL",_xlfn.XLOOKUP(PUNTAJE[[#This Row],[PREGUNTA]],ENCUESTA!G:G,ENCUESTA!A:A),IF(PUNTAJE[[#This Row],[CANAL]]="ESPECIALIZADO",_xlfn.XLOOKUP(PUNTAJE[[#This Row],[PREGUNTA]],ENCUESTA!G:G,ENCUESTA!B:B),IF(PUNTAJE[[#This Row],[CANAL]]="MODERNO",_xlfn.XLOOKUP(PUNTAJE[[#This Row],[PREGUNTA]],ENCUESTA!G:G,ENCUESTA!C:C))))),0)</f>
        <v>4.3</v>
      </c>
      <c r="P15" s="36" t="str">
        <f>_xlfn.XLOOKUP(PUNTAJE[[#This Row],[PREGUNTA]],ENCUESTA!G:G,ENCUESTA!H:H)</f>
        <v>SI</v>
      </c>
      <c r="Q15" s="36">
        <f>IF(PUNTAJE[[#This Row],[RESPUESTA]]=PUNTAJE[[#This Row],[RTA CORRECTA]],PUNTAJE[[#This Row],[TOTAL PUNTAJE]],0)</f>
        <v>4.3</v>
      </c>
    </row>
    <row r="16" spans="1:17" x14ac:dyDescent="0.25">
      <c r="A16" t="s">
        <v>33</v>
      </c>
      <c r="B16" t="s">
        <v>54</v>
      </c>
      <c r="C16" t="s">
        <v>56</v>
      </c>
      <c r="D16" t="s">
        <v>90</v>
      </c>
      <c r="E16" s="54">
        <v>65453</v>
      </c>
      <c r="F16" t="s">
        <v>118</v>
      </c>
      <c r="G16" t="s">
        <v>99</v>
      </c>
      <c r="H16" t="s">
        <v>121</v>
      </c>
      <c r="I16" t="s">
        <v>35</v>
      </c>
      <c r="J16" s="70">
        <v>45733</v>
      </c>
      <c r="K16">
        <v>26407885</v>
      </c>
      <c r="L16" s="36" t="s">
        <v>125</v>
      </c>
      <c r="M16" t="str">
        <f>_xlfn.XLOOKUP(PUNTAJE[[#This Row],[CODIGO RUTA]],'DATA INFORME'!G:G,'DATA INFORME'!I:I)</f>
        <v>SI</v>
      </c>
      <c r="N16" t="str">
        <f>IF(PUNTAJE[[#This Row],[MYSTERY EFECTIVO]]="SI",(_xlfn.XLOOKUP(PUNTAJE[[#This Row],[PREGUNTA]],ENCUESTA!G:G,ENCUESTA!E:E)),"N/A")</f>
        <v>EJECUCION DEL PDV</v>
      </c>
      <c r="O16" s="36">
        <f>IF(PUNTAJE[[#This Row],[MYSTERY EFECTIVO]]="SI",(IF(PUNTAJE[[#This Row],[CANAL]]="TRADICIONAL",_xlfn.XLOOKUP(PUNTAJE[[#This Row],[PREGUNTA]],ENCUESTA!G:G,ENCUESTA!A:A),IF(PUNTAJE[[#This Row],[CANAL]]="ESPECIALIZADO",_xlfn.XLOOKUP(PUNTAJE[[#This Row],[PREGUNTA]],ENCUESTA!G:G,ENCUESTA!B:B),IF(PUNTAJE[[#This Row],[CANAL]]="MODERNO",_xlfn.XLOOKUP(PUNTAJE[[#This Row],[PREGUNTA]],ENCUESTA!G:G,ENCUESTA!C:C))))),0)</f>
        <v>4.3</v>
      </c>
      <c r="P16" s="36" t="str">
        <f>_xlfn.XLOOKUP(PUNTAJE[[#This Row],[PREGUNTA]],ENCUESTA!G:G,ENCUESTA!H:H)</f>
        <v>SI</v>
      </c>
      <c r="Q16" s="36">
        <f>IF(PUNTAJE[[#This Row],[RESPUESTA]]=PUNTAJE[[#This Row],[RTA CORRECTA]],PUNTAJE[[#This Row],[TOTAL PUNTAJE]],0)</f>
        <v>4.3</v>
      </c>
    </row>
    <row r="17" spans="1:17" x14ac:dyDescent="0.25">
      <c r="A17" t="s">
        <v>33</v>
      </c>
      <c r="B17" t="s">
        <v>54</v>
      </c>
      <c r="C17" t="s">
        <v>56</v>
      </c>
      <c r="D17" t="s">
        <v>90</v>
      </c>
      <c r="E17" s="54">
        <v>65453</v>
      </c>
      <c r="F17" t="s">
        <v>118</v>
      </c>
      <c r="G17" t="s">
        <v>100</v>
      </c>
      <c r="H17" t="s">
        <v>121</v>
      </c>
      <c r="I17" t="s">
        <v>35</v>
      </c>
      <c r="J17" s="70">
        <v>45733</v>
      </c>
      <c r="K17">
        <v>26407885</v>
      </c>
      <c r="L17" s="36" t="s">
        <v>125</v>
      </c>
      <c r="M17" t="str">
        <f>_xlfn.XLOOKUP(PUNTAJE[[#This Row],[CODIGO RUTA]],'DATA INFORME'!G:G,'DATA INFORME'!I:I)</f>
        <v>SI</v>
      </c>
      <c r="N17" t="str">
        <f>IF(PUNTAJE[[#This Row],[MYSTERY EFECTIVO]]="SI",(_xlfn.XLOOKUP(PUNTAJE[[#This Row],[PREGUNTA]],ENCUESTA!G:G,ENCUESTA!E:E)),"N/A")</f>
        <v>EJECUCION DEL PDV</v>
      </c>
      <c r="O17" s="36">
        <f>IF(PUNTAJE[[#This Row],[MYSTERY EFECTIVO]]="SI",(IF(PUNTAJE[[#This Row],[CANAL]]="TRADICIONAL",_xlfn.XLOOKUP(PUNTAJE[[#This Row],[PREGUNTA]],ENCUESTA!G:G,ENCUESTA!A:A),IF(PUNTAJE[[#This Row],[CANAL]]="ESPECIALIZADO",_xlfn.XLOOKUP(PUNTAJE[[#This Row],[PREGUNTA]],ENCUESTA!G:G,ENCUESTA!B:B),IF(PUNTAJE[[#This Row],[CANAL]]="MODERNO",_xlfn.XLOOKUP(PUNTAJE[[#This Row],[PREGUNTA]],ENCUESTA!G:G,ENCUESTA!C:C))))),0)</f>
        <v>4.3</v>
      </c>
      <c r="P17" s="36" t="str">
        <f>_xlfn.XLOOKUP(PUNTAJE[[#This Row],[PREGUNTA]],ENCUESTA!G:G,ENCUESTA!H:H)</f>
        <v>SI</v>
      </c>
      <c r="Q17" s="36">
        <f>IF(PUNTAJE[[#This Row],[RESPUESTA]]=PUNTAJE[[#This Row],[RTA CORRECTA]],PUNTAJE[[#This Row],[TOTAL PUNTAJE]],0)</f>
        <v>4.3</v>
      </c>
    </row>
    <row r="18" spans="1:17" x14ac:dyDescent="0.25">
      <c r="A18" t="s">
        <v>33</v>
      </c>
      <c r="B18" t="s">
        <v>54</v>
      </c>
      <c r="C18" t="s">
        <v>56</v>
      </c>
      <c r="D18" t="s">
        <v>90</v>
      </c>
      <c r="E18" s="54">
        <v>65453</v>
      </c>
      <c r="F18" t="s">
        <v>118</v>
      </c>
      <c r="G18" t="s">
        <v>101</v>
      </c>
      <c r="H18" t="s">
        <v>121</v>
      </c>
      <c r="I18" t="s">
        <v>35</v>
      </c>
      <c r="J18" s="70">
        <v>45733</v>
      </c>
      <c r="K18">
        <v>26407885</v>
      </c>
      <c r="L18" s="36" t="s">
        <v>125</v>
      </c>
      <c r="M18" t="str">
        <f>_xlfn.XLOOKUP(PUNTAJE[[#This Row],[CODIGO RUTA]],'DATA INFORME'!G:G,'DATA INFORME'!I:I)</f>
        <v>SI</v>
      </c>
      <c r="N18" t="str">
        <f>IF(PUNTAJE[[#This Row],[MYSTERY EFECTIVO]]="SI",(_xlfn.XLOOKUP(PUNTAJE[[#This Row],[PREGUNTA]],ENCUESTA!G:G,ENCUESTA!E:E)),"N/A")</f>
        <v>EJECUCION DEL PDV</v>
      </c>
      <c r="O18" s="36">
        <f>IF(PUNTAJE[[#This Row],[MYSTERY EFECTIVO]]="SI",(IF(PUNTAJE[[#This Row],[CANAL]]="TRADICIONAL",_xlfn.XLOOKUP(PUNTAJE[[#This Row],[PREGUNTA]],ENCUESTA!G:G,ENCUESTA!A:A),IF(PUNTAJE[[#This Row],[CANAL]]="ESPECIALIZADO",_xlfn.XLOOKUP(PUNTAJE[[#This Row],[PREGUNTA]],ENCUESTA!G:G,ENCUESTA!B:B),IF(PUNTAJE[[#This Row],[CANAL]]="MODERNO",_xlfn.XLOOKUP(PUNTAJE[[#This Row],[PREGUNTA]],ENCUESTA!G:G,ENCUESTA!C:C))))),0)</f>
        <v>4.3</v>
      </c>
      <c r="P18" s="36" t="str">
        <f>_xlfn.XLOOKUP(PUNTAJE[[#This Row],[PREGUNTA]],ENCUESTA!G:G,ENCUESTA!H:H)</f>
        <v>SI</v>
      </c>
      <c r="Q18" s="36">
        <f>IF(PUNTAJE[[#This Row],[RESPUESTA]]=PUNTAJE[[#This Row],[RTA CORRECTA]],PUNTAJE[[#This Row],[TOTAL PUNTAJE]],0)</f>
        <v>4.3</v>
      </c>
    </row>
    <row r="19" spans="1:17" x14ac:dyDescent="0.25">
      <c r="A19" t="s">
        <v>33</v>
      </c>
      <c r="B19" t="s">
        <v>54</v>
      </c>
      <c r="C19" t="s">
        <v>56</v>
      </c>
      <c r="D19" t="s">
        <v>90</v>
      </c>
      <c r="E19" s="54">
        <v>65453</v>
      </c>
      <c r="F19" t="s">
        <v>118</v>
      </c>
      <c r="G19" t="s">
        <v>102</v>
      </c>
      <c r="H19" t="s">
        <v>121</v>
      </c>
      <c r="I19" t="s">
        <v>35</v>
      </c>
      <c r="J19" s="70">
        <v>45733</v>
      </c>
      <c r="K19">
        <v>26407885</v>
      </c>
      <c r="L19" s="36" t="s">
        <v>125</v>
      </c>
      <c r="M19" t="str">
        <f>_xlfn.XLOOKUP(PUNTAJE[[#This Row],[CODIGO RUTA]],'DATA INFORME'!G:G,'DATA INFORME'!I:I)</f>
        <v>SI</v>
      </c>
      <c r="N19" t="str">
        <f>IF(PUNTAJE[[#This Row],[MYSTERY EFECTIVO]]="SI",(_xlfn.XLOOKUP(PUNTAJE[[#This Row],[PREGUNTA]],ENCUESTA!G:G,ENCUESTA!E:E)),"N/A")</f>
        <v>EJECUCION DEL PDV</v>
      </c>
      <c r="O19" s="36">
        <f>IF(PUNTAJE[[#This Row],[MYSTERY EFECTIVO]]="SI",(IF(PUNTAJE[[#This Row],[CANAL]]="TRADICIONAL",_xlfn.XLOOKUP(PUNTAJE[[#This Row],[PREGUNTA]],ENCUESTA!G:G,ENCUESTA!A:A),IF(PUNTAJE[[#This Row],[CANAL]]="ESPECIALIZADO",_xlfn.XLOOKUP(PUNTAJE[[#This Row],[PREGUNTA]],ENCUESTA!G:G,ENCUESTA!B:B),IF(PUNTAJE[[#This Row],[CANAL]]="MODERNO",_xlfn.XLOOKUP(PUNTAJE[[#This Row],[PREGUNTA]],ENCUESTA!G:G,ENCUESTA!C:C))))),0)</f>
        <v>4.3</v>
      </c>
      <c r="P19" s="36" t="str">
        <f>_xlfn.XLOOKUP(PUNTAJE[[#This Row],[PREGUNTA]],ENCUESTA!G:G,ENCUESTA!H:H)</f>
        <v>SI</v>
      </c>
      <c r="Q19" s="36">
        <f>IF(PUNTAJE[[#This Row],[RESPUESTA]]=PUNTAJE[[#This Row],[RTA CORRECTA]],PUNTAJE[[#This Row],[TOTAL PUNTAJE]],0)</f>
        <v>4.3</v>
      </c>
    </row>
    <row r="20" spans="1:17" x14ac:dyDescent="0.25">
      <c r="A20" t="s">
        <v>33</v>
      </c>
      <c r="B20" t="s">
        <v>54</v>
      </c>
      <c r="C20" t="s">
        <v>56</v>
      </c>
      <c r="D20" t="s">
        <v>90</v>
      </c>
      <c r="E20" s="54">
        <v>65453</v>
      </c>
      <c r="F20" t="s">
        <v>118</v>
      </c>
      <c r="G20" t="s">
        <v>103</v>
      </c>
      <c r="H20" t="s">
        <v>121</v>
      </c>
      <c r="I20" t="s">
        <v>169</v>
      </c>
      <c r="J20" s="70">
        <v>45733</v>
      </c>
      <c r="K20">
        <v>26407885</v>
      </c>
      <c r="L20" s="36" t="s">
        <v>125</v>
      </c>
      <c r="M20" t="str">
        <f>_xlfn.XLOOKUP(PUNTAJE[[#This Row],[CODIGO RUTA]],'DATA INFORME'!G:G,'DATA INFORME'!I:I)</f>
        <v>SI</v>
      </c>
      <c r="N20" t="str">
        <f>IF(PUNTAJE[[#This Row],[MYSTERY EFECTIVO]]="SI",(_xlfn.XLOOKUP(PUNTAJE[[#This Row],[PREGUNTA]],ENCUESTA!G:G,ENCUESTA!E:E)),"N/A")</f>
        <v>N/A</v>
      </c>
      <c r="O20" s="36">
        <f>IF(PUNTAJE[[#This Row],[MYSTERY EFECTIVO]]="SI",(IF(PUNTAJE[[#This Row],[CANAL]]="TRADICIONAL",_xlfn.XLOOKUP(PUNTAJE[[#This Row],[PREGUNTA]],ENCUESTA!G:G,ENCUESTA!A:A),IF(PUNTAJE[[#This Row],[CANAL]]="ESPECIALIZADO",_xlfn.XLOOKUP(PUNTAJE[[#This Row],[PREGUNTA]],ENCUESTA!G:G,ENCUESTA!B:B),IF(PUNTAJE[[#This Row],[CANAL]]="MODERNO",_xlfn.XLOOKUP(PUNTAJE[[#This Row],[PREGUNTA]],ENCUESTA!G:G,ENCUESTA!C:C))))),0)</f>
        <v>0</v>
      </c>
      <c r="P20" s="36" t="str">
        <f>_xlfn.XLOOKUP(PUNTAJE[[#This Row],[PREGUNTA]],ENCUESTA!G:G,ENCUESTA!H:H)</f>
        <v>CANAL  MODERNO, CANAL ESPECIALIZADO</v>
      </c>
      <c r="Q20" s="36">
        <f>IF(PUNTAJE[[#This Row],[RESPUESTA]]=PUNTAJE[[#This Row],[RTA CORRECTA]],PUNTAJE[[#This Row],[TOTAL PUNTAJE]],0)</f>
        <v>0</v>
      </c>
    </row>
    <row r="21" spans="1:17" x14ac:dyDescent="0.25">
      <c r="A21" t="s">
        <v>33</v>
      </c>
      <c r="B21" t="s">
        <v>54</v>
      </c>
      <c r="C21" t="s">
        <v>56</v>
      </c>
      <c r="D21" t="s">
        <v>90</v>
      </c>
      <c r="E21" s="54">
        <v>65453</v>
      </c>
      <c r="F21" t="s">
        <v>118</v>
      </c>
      <c r="G21" t="s">
        <v>112</v>
      </c>
      <c r="H21" t="s">
        <v>121</v>
      </c>
      <c r="I21" t="s">
        <v>35</v>
      </c>
      <c r="J21" s="70">
        <v>45733</v>
      </c>
      <c r="K21">
        <v>26407885</v>
      </c>
      <c r="L21" s="36" t="s">
        <v>125</v>
      </c>
      <c r="M21" t="str">
        <f>_xlfn.XLOOKUP(PUNTAJE[[#This Row],[CODIGO RUTA]],'DATA INFORME'!G:G,'DATA INFORME'!I:I)</f>
        <v>SI</v>
      </c>
      <c r="N21" t="str">
        <f>IF(PUNTAJE[[#This Row],[MYSTERY EFECTIVO]]="SI",(_xlfn.XLOOKUP(PUNTAJE[[#This Row],[PREGUNTA]],ENCUESTA!G:G,ENCUESTA!E:E)),"N/A")</f>
        <v>ACTIVIDADES DEL MES</v>
      </c>
      <c r="O21" s="36">
        <f>IF(PUNTAJE[[#This Row],[MYSTERY EFECTIVO]]="SI",(IF(PUNTAJE[[#This Row],[CANAL]]="TRADICIONAL",_xlfn.XLOOKUP(PUNTAJE[[#This Row],[PREGUNTA]],ENCUESTA!G:G,ENCUESTA!A:A),IF(PUNTAJE[[#This Row],[CANAL]]="ESPECIALIZADO",_xlfn.XLOOKUP(PUNTAJE[[#This Row],[PREGUNTA]],ENCUESTA!G:G,ENCUESTA!B:B),IF(PUNTAJE[[#This Row],[CANAL]]="MODERNO",_xlfn.XLOOKUP(PUNTAJE[[#This Row],[PREGUNTA]],ENCUESTA!G:G,ENCUESTA!C:C))))),0)</f>
        <v>40</v>
      </c>
      <c r="P21" s="36" t="str">
        <f>_xlfn.XLOOKUP(PUNTAJE[[#This Row],[PREGUNTA]],ENCUESTA!G:G,ENCUESTA!H:H)</f>
        <v>SI</v>
      </c>
      <c r="Q21" s="36">
        <f>IF(PUNTAJE[[#This Row],[RESPUESTA]]=PUNTAJE[[#This Row],[RTA CORRECTA]],PUNTAJE[[#This Row],[TOTAL PUNTAJE]],0)</f>
        <v>40</v>
      </c>
    </row>
    <row r="22" spans="1:17" x14ac:dyDescent="0.25">
      <c r="A22" t="s">
        <v>33</v>
      </c>
      <c r="B22" t="s">
        <v>54</v>
      </c>
      <c r="C22" t="s">
        <v>56</v>
      </c>
      <c r="D22" t="s">
        <v>90</v>
      </c>
      <c r="E22" s="54">
        <v>65453</v>
      </c>
      <c r="F22" t="s">
        <v>118</v>
      </c>
      <c r="G22" t="s">
        <v>113</v>
      </c>
      <c r="H22" t="s">
        <v>121</v>
      </c>
      <c r="I22" t="s">
        <v>34</v>
      </c>
      <c r="J22" s="70">
        <v>45733</v>
      </c>
      <c r="K22">
        <v>26407885</v>
      </c>
      <c r="L22" s="36" t="s">
        <v>125</v>
      </c>
      <c r="M22" t="str">
        <f>_xlfn.XLOOKUP(PUNTAJE[[#This Row],[CODIGO RUTA]],'DATA INFORME'!G:G,'DATA INFORME'!I:I)</f>
        <v>SI</v>
      </c>
      <c r="N22" t="str">
        <f>IF(PUNTAJE[[#This Row],[MYSTERY EFECTIVO]]="SI",(_xlfn.XLOOKUP(PUNTAJE[[#This Row],[PREGUNTA]],ENCUESTA!G:G,ENCUESTA!E:E)),"N/A")</f>
        <v>N/A</v>
      </c>
      <c r="O22" s="36">
        <f>IF(PUNTAJE[[#This Row],[MYSTERY EFECTIVO]]="SI",(IF(PUNTAJE[[#This Row],[CANAL]]="TRADICIONAL",_xlfn.XLOOKUP(PUNTAJE[[#This Row],[PREGUNTA]],ENCUESTA!G:G,ENCUESTA!A:A),IF(PUNTAJE[[#This Row],[CANAL]]="ESPECIALIZADO",_xlfn.XLOOKUP(PUNTAJE[[#This Row],[PREGUNTA]],ENCUESTA!G:G,ENCUESTA!B:B),IF(PUNTAJE[[#This Row],[CANAL]]="MODERNO",_xlfn.XLOOKUP(PUNTAJE[[#This Row],[PREGUNTA]],ENCUESTA!G:G,ENCUESTA!C:C))))),0)</f>
        <v>0</v>
      </c>
      <c r="P22" s="36">
        <f>_xlfn.XLOOKUP(PUNTAJE[[#This Row],[PREGUNTA]],ENCUESTA!G:G,ENCUESTA!H:H)</f>
        <v>0</v>
      </c>
      <c r="Q22" s="36">
        <f>IF(PUNTAJE[[#This Row],[RESPUESTA]]=PUNTAJE[[#This Row],[RTA CORRECTA]],PUNTAJE[[#This Row],[TOTAL PUNTAJE]],0)</f>
        <v>0</v>
      </c>
    </row>
    <row r="23" spans="1:17" x14ac:dyDescent="0.25">
      <c r="A23" t="s">
        <v>33</v>
      </c>
      <c r="B23" t="s">
        <v>55</v>
      </c>
      <c r="C23" t="s">
        <v>56</v>
      </c>
      <c r="D23" t="s">
        <v>90</v>
      </c>
      <c r="E23" s="54">
        <v>161719</v>
      </c>
      <c r="F23" t="s">
        <v>149</v>
      </c>
      <c r="G23" t="s">
        <v>45</v>
      </c>
      <c r="H23" t="s">
        <v>121</v>
      </c>
      <c r="I23" t="s">
        <v>35</v>
      </c>
      <c r="J23" s="70">
        <v>45735</v>
      </c>
      <c r="K23">
        <v>26426261</v>
      </c>
      <c r="L23" s="36" t="s">
        <v>153</v>
      </c>
      <c r="M23" t="str">
        <f>_xlfn.XLOOKUP(PUNTAJE[[#This Row],[CODIGO RUTA]],'DATA INFORME'!G:G,'DATA INFORME'!I:I)</f>
        <v>SI</v>
      </c>
      <c r="N23" t="str">
        <f>IF(PUNTAJE[[#This Row],[MYSTERY EFECTIVO]]="SI",(_xlfn.XLOOKUP(PUNTAJE[[#This Row],[PREGUNTA]],ENCUESTA!G:G,ENCUESTA!E:E)),"N/A")</f>
        <v>HORARIO</v>
      </c>
      <c r="O23" s="36">
        <f>IF(PUNTAJE[[#This Row],[MYSTERY EFECTIVO]]="SI",(IF(PUNTAJE[[#This Row],[CANAL]]="TRADICIONAL",_xlfn.XLOOKUP(PUNTAJE[[#This Row],[PREGUNTA]],ENCUESTA!G:G,ENCUESTA!A:A),IF(PUNTAJE[[#This Row],[CANAL]]="ESPECIALIZADO",_xlfn.XLOOKUP(PUNTAJE[[#This Row],[PREGUNTA]],ENCUESTA!G:G,ENCUESTA!B:B),IF(PUNTAJE[[#This Row],[CANAL]]="MODERNO",_xlfn.XLOOKUP(PUNTAJE[[#This Row],[PREGUNTA]],ENCUESTA!G:G,ENCUESTA!C:C))))),0)</f>
        <v>20</v>
      </c>
      <c r="P23" s="36" t="str">
        <f>_xlfn.XLOOKUP(PUNTAJE[[#This Row],[PREGUNTA]],ENCUESTA!G:G,ENCUESTA!H:H)</f>
        <v>SI</v>
      </c>
      <c r="Q23" s="36">
        <f>IF(PUNTAJE[[#This Row],[RESPUESTA]]=PUNTAJE[[#This Row],[RTA CORRECTA]],PUNTAJE[[#This Row],[TOTAL PUNTAJE]],0)</f>
        <v>20</v>
      </c>
    </row>
    <row r="24" spans="1:17" x14ac:dyDescent="0.25">
      <c r="A24" t="s">
        <v>33</v>
      </c>
      <c r="B24" t="s">
        <v>55</v>
      </c>
      <c r="C24" t="s">
        <v>56</v>
      </c>
      <c r="D24" t="s">
        <v>90</v>
      </c>
      <c r="E24" s="54">
        <v>161719</v>
      </c>
      <c r="F24" t="s">
        <v>149</v>
      </c>
      <c r="G24" t="s">
        <v>38</v>
      </c>
      <c r="H24" t="s">
        <v>121</v>
      </c>
      <c r="I24" t="s">
        <v>35</v>
      </c>
      <c r="J24" s="70">
        <v>45735</v>
      </c>
      <c r="K24">
        <v>26426261</v>
      </c>
      <c r="L24" s="36" t="s">
        <v>153</v>
      </c>
      <c r="M24" t="str">
        <f>_xlfn.XLOOKUP(PUNTAJE[[#This Row],[CODIGO RUTA]],'DATA INFORME'!G:G,'DATA INFORME'!I:I)</f>
        <v>SI</v>
      </c>
      <c r="N24" t="str">
        <f>IF(PUNTAJE[[#This Row],[MYSTERY EFECTIVO]]="SI",(_xlfn.XLOOKUP(PUNTAJE[[#This Row],[PREGUNTA]],ENCUESTA!G:G,ENCUESTA!E:E)),"N/A")</f>
        <v>PRESENTACIÓN PERSONAL</v>
      </c>
      <c r="O24" s="36">
        <f>IF(PUNTAJE[[#This Row],[MYSTERY EFECTIVO]]="SI",(IF(PUNTAJE[[#This Row],[CANAL]]="TRADICIONAL",_xlfn.XLOOKUP(PUNTAJE[[#This Row],[PREGUNTA]],ENCUESTA!G:G,ENCUESTA!A:A),IF(PUNTAJE[[#This Row],[CANAL]]="ESPECIALIZADO",_xlfn.XLOOKUP(PUNTAJE[[#This Row],[PREGUNTA]],ENCUESTA!G:G,ENCUESTA!B:B),IF(PUNTAJE[[#This Row],[CANAL]]="MODERNO",_xlfn.XLOOKUP(PUNTAJE[[#This Row],[PREGUNTA]],ENCUESTA!G:G,ENCUESTA!C:C))))),0)</f>
        <v>1</v>
      </c>
      <c r="P24" s="36" t="str">
        <f>_xlfn.XLOOKUP(PUNTAJE[[#This Row],[PREGUNTA]],ENCUESTA!G:G,ENCUESTA!H:H)</f>
        <v>SI</v>
      </c>
      <c r="Q24" s="36">
        <f>IF(PUNTAJE[[#This Row],[RESPUESTA]]=PUNTAJE[[#This Row],[RTA CORRECTA]],PUNTAJE[[#This Row],[TOTAL PUNTAJE]],0)</f>
        <v>1</v>
      </c>
    </row>
    <row r="25" spans="1:17" x14ac:dyDescent="0.25">
      <c r="A25" t="s">
        <v>33</v>
      </c>
      <c r="B25" t="s">
        <v>55</v>
      </c>
      <c r="C25" t="s">
        <v>56</v>
      </c>
      <c r="D25" t="s">
        <v>90</v>
      </c>
      <c r="E25" s="54">
        <v>161719</v>
      </c>
      <c r="F25" t="s">
        <v>149</v>
      </c>
      <c r="G25" t="s">
        <v>94</v>
      </c>
      <c r="H25" t="s">
        <v>121</v>
      </c>
      <c r="I25" t="s">
        <v>35</v>
      </c>
      <c r="J25" s="70">
        <v>45735</v>
      </c>
      <c r="K25">
        <v>26426261</v>
      </c>
      <c r="L25" s="36" t="s">
        <v>153</v>
      </c>
      <c r="M25" t="str">
        <f>_xlfn.XLOOKUP(PUNTAJE[[#This Row],[CODIGO RUTA]],'DATA INFORME'!G:G,'DATA INFORME'!I:I)</f>
        <v>SI</v>
      </c>
      <c r="N25" t="str">
        <f>IF(PUNTAJE[[#This Row],[MYSTERY EFECTIVO]]="SI",(_xlfn.XLOOKUP(PUNTAJE[[#This Row],[PREGUNTA]],ENCUESTA!G:G,ENCUESTA!E:E)),"N/A")</f>
        <v>PRESENTACIÓN PERSONAL</v>
      </c>
      <c r="O25" s="36">
        <f>IF(PUNTAJE[[#This Row],[MYSTERY EFECTIVO]]="SI",(IF(PUNTAJE[[#This Row],[CANAL]]="TRADICIONAL",_xlfn.XLOOKUP(PUNTAJE[[#This Row],[PREGUNTA]],ENCUESTA!G:G,ENCUESTA!A:A),IF(PUNTAJE[[#This Row],[CANAL]]="ESPECIALIZADO",_xlfn.XLOOKUP(PUNTAJE[[#This Row],[PREGUNTA]],ENCUESTA!G:G,ENCUESTA!B:B),IF(PUNTAJE[[#This Row],[CANAL]]="MODERNO",_xlfn.XLOOKUP(PUNTAJE[[#This Row],[PREGUNTA]],ENCUESTA!G:G,ENCUESTA!C:C))))),0)</f>
        <v>1</v>
      </c>
      <c r="P25" s="36" t="str">
        <f>_xlfn.XLOOKUP(PUNTAJE[[#This Row],[PREGUNTA]],ENCUESTA!G:G,ENCUESTA!H:H)</f>
        <v>SI</v>
      </c>
      <c r="Q25" s="36">
        <f>IF(PUNTAJE[[#This Row],[RESPUESTA]]=PUNTAJE[[#This Row],[RTA CORRECTA]],PUNTAJE[[#This Row],[TOTAL PUNTAJE]],0)</f>
        <v>1</v>
      </c>
    </row>
    <row r="26" spans="1:17" x14ac:dyDescent="0.25">
      <c r="A26" t="s">
        <v>33</v>
      </c>
      <c r="B26" t="s">
        <v>55</v>
      </c>
      <c r="C26" t="s">
        <v>56</v>
      </c>
      <c r="D26" t="s">
        <v>90</v>
      </c>
      <c r="E26" s="54">
        <v>161719</v>
      </c>
      <c r="F26" t="s">
        <v>149</v>
      </c>
      <c r="G26" t="s">
        <v>39</v>
      </c>
      <c r="H26" t="s">
        <v>121</v>
      </c>
      <c r="I26" t="s">
        <v>35</v>
      </c>
      <c r="J26" s="70">
        <v>45735</v>
      </c>
      <c r="K26">
        <v>26426261</v>
      </c>
      <c r="L26" s="36" t="s">
        <v>153</v>
      </c>
      <c r="M26" t="str">
        <f>_xlfn.XLOOKUP(PUNTAJE[[#This Row],[CODIGO RUTA]],'DATA INFORME'!G:G,'DATA INFORME'!I:I)</f>
        <v>SI</v>
      </c>
      <c r="N26" t="str">
        <f>IF(PUNTAJE[[#This Row],[MYSTERY EFECTIVO]]="SI",(_xlfn.XLOOKUP(PUNTAJE[[#This Row],[PREGUNTA]],ENCUESTA!G:G,ENCUESTA!E:E)),"N/A")</f>
        <v>PRESENTACIÓN PERSONAL</v>
      </c>
      <c r="O26" s="36">
        <f>IF(PUNTAJE[[#This Row],[MYSTERY EFECTIVO]]="SI",(IF(PUNTAJE[[#This Row],[CANAL]]="TRADICIONAL",_xlfn.XLOOKUP(PUNTAJE[[#This Row],[PREGUNTA]],ENCUESTA!G:G,ENCUESTA!A:A),IF(PUNTAJE[[#This Row],[CANAL]]="ESPECIALIZADO",_xlfn.XLOOKUP(PUNTAJE[[#This Row],[PREGUNTA]],ENCUESTA!G:G,ENCUESTA!B:B),IF(PUNTAJE[[#This Row],[CANAL]]="MODERNO",_xlfn.XLOOKUP(PUNTAJE[[#This Row],[PREGUNTA]],ENCUESTA!G:G,ENCUESTA!C:C))))),0)</f>
        <v>1</v>
      </c>
      <c r="P26" s="36" t="str">
        <f>_xlfn.XLOOKUP(PUNTAJE[[#This Row],[PREGUNTA]],ENCUESTA!G:G,ENCUESTA!H:H)</f>
        <v>SI</v>
      </c>
      <c r="Q26" s="36">
        <f>IF(PUNTAJE[[#This Row],[RESPUESTA]]=PUNTAJE[[#This Row],[RTA CORRECTA]],PUNTAJE[[#This Row],[TOTAL PUNTAJE]],0)</f>
        <v>1</v>
      </c>
    </row>
    <row r="27" spans="1:17" x14ac:dyDescent="0.25">
      <c r="A27" t="s">
        <v>33</v>
      </c>
      <c r="B27" t="s">
        <v>55</v>
      </c>
      <c r="C27" t="s">
        <v>56</v>
      </c>
      <c r="D27" t="s">
        <v>90</v>
      </c>
      <c r="E27" s="54">
        <v>161719</v>
      </c>
      <c r="F27" t="s">
        <v>149</v>
      </c>
      <c r="G27" t="s">
        <v>95</v>
      </c>
      <c r="H27" t="s">
        <v>121</v>
      </c>
      <c r="I27" t="s">
        <v>34</v>
      </c>
      <c r="J27" s="70">
        <v>45735</v>
      </c>
      <c r="K27">
        <v>26426261</v>
      </c>
      <c r="L27" s="36" t="s">
        <v>153</v>
      </c>
      <c r="M27" t="str">
        <f>_xlfn.XLOOKUP(PUNTAJE[[#This Row],[CODIGO RUTA]],'DATA INFORME'!G:G,'DATA INFORME'!I:I)</f>
        <v>SI</v>
      </c>
      <c r="N27" t="str">
        <f>IF(PUNTAJE[[#This Row],[MYSTERY EFECTIVO]]="SI",(_xlfn.XLOOKUP(PUNTAJE[[#This Row],[PREGUNTA]],ENCUESTA!G:G,ENCUESTA!E:E)),"N/A")</f>
        <v>PRESENTACIÓN PERSONAL</v>
      </c>
      <c r="O27" s="36">
        <f>IF(PUNTAJE[[#This Row],[MYSTERY EFECTIVO]]="SI",(IF(PUNTAJE[[#This Row],[CANAL]]="TRADICIONAL",_xlfn.XLOOKUP(PUNTAJE[[#This Row],[PREGUNTA]],ENCUESTA!G:G,ENCUESTA!A:A),IF(PUNTAJE[[#This Row],[CANAL]]="ESPECIALIZADO",_xlfn.XLOOKUP(PUNTAJE[[#This Row],[PREGUNTA]],ENCUESTA!G:G,ENCUESTA!B:B),IF(PUNTAJE[[#This Row],[CANAL]]="MODERNO",_xlfn.XLOOKUP(PUNTAJE[[#This Row],[PREGUNTA]],ENCUESTA!G:G,ENCUESTA!C:C))))),0)</f>
        <v>1</v>
      </c>
      <c r="P27" s="36" t="str">
        <f>_xlfn.XLOOKUP(PUNTAJE[[#This Row],[PREGUNTA]],ENCUESTA!G:G,ENCUESTA!H:H)</f>
        <v>NO</v>
      </c>
      <c r="Q27" s="36">
        <f>IF(PUNTAJE[[#This Row],[RESPUESTA]]=PUNTAJE[[#This Row],[RTA CORRECTA]],PUNTAJE[[#This Row],[TOTAL PUNTAJE]],0)</f>
        <v>1</v>
      </c>
    </row>
    <row r="28" spans="1:17" x14ac:dyDescent="0.25">
      <c r="A28" t="s">
        <v>33</v>
      </c>
      <c r="B28" t="s">
        <v>55</v>
      </c>
      <c r="C28" t="s">
        <v>56</v>
      </c>
      <c r="D28" t="s">
        <v>90</v>
      </c>
      <c r="E28" s="54">
        <v>161719</v>
      </c>
      <c r="F28" t="s">
        <v>149</v>
      </c>
      <c r="G28" t="s">
        <v>37</v>
      </c>
      <c r="H28" t="s">
        <v>121</v>
      </c>
      <c r="I28" t="s">
        <v>35</v>
      </c>
      <c r="J28" s="70">
        <v>45735</v>
      </c>
      <c r="K28">
        <v>26426261</v>
      </c>
      <c r="L28" s="36" t="s">
        <v>153</v>
      </c>
      <c r="M28" t="str">
        <f>_xlfn.XLOOKUP(PUNTAJE[[#This Row],[CODIGO RUTA]],'DATA INFORME'!G:G,'DATA INFORME'!I:I)</f>
        <v>SI</v>
      </c>
      <c r="N28" t="str">
        <f>IF(PUNTAJE[[#This Row],[MYSTERY EFECTIVO]]="SI",(_xlfn.XLOOKUP(PUNTAJE[[#This Row],[PREGUNTA]],ENCUESTA!G:G,ENCUESTA!E:E)),"N/A")</f>
        <v>PRESENTACIÓN PERSONAL</v>
      </c>
      <c r="O28" s="36">
        <f>IF(PUNTAJE[[#This Row],[MYSTERY EFECTIVO]]="SI",(IF(PUNTAJE[[#This Row],[CANAL]]="TRADICIONAL",_xlfn.XLOOKUP(PUNTAJE[[#This Row],[PREGUNTA]],ENCUESTA!G:G,ENCUESTA!A:A),IF(PUNTAJE[[#This Row],[CANAL]]="ESPECIALIZADO",_xlfn.XLOOKUP(PUNTAJE[[#This Row],[PREGUNTA]],ENCUESTA!G:G,ENCUESTA!B:B),IF(PUNTAJE[[#This Row],[CANAL]]="MODERNO",_xlfn.XLOOKUP(PUNTAJE[[#This Row],[PREGUNTA]],ENCUESTA!G:G,ENCUESTA!C:C))))),0)</f>
        <v>1</v>
      </c>
      <c r="P28" s="36" t="str">
        <f>_xlfn.XLOOKUP(PUNTAJE[[#This Row],[PREGUNTA]],ENCUESTA!G:G,ENCUESTA!H:H)</f>
        <v>SI</v>
      </c>
      <c r="Q28" s="36">
        <f>IF(PUNTAJE[[#This Row],[RESPUESTA]]=PUNTAJE[[#This Row],[RTA CORRECTA]],PUNTAJE[[#This Row],[TOTAL PUNTAJE]],0)</f>
        <v>1</v>
      </c>
    </row>
    <row r="29" spans="1:17" x14ac:dyDescent="0.25">
      <c r="A29" t="s">
        <v>33</v>
      </c>
      <c r="B29" t="s">
        <v>55</v>
      </c>
      <c r="C29" t="s">
        <v>56</v>
      </c>
      <c r="D29" t="s">
        <v>90</v>
      </c>
      <c r="E29" s="54">
        <v>161719</v>
      </c>
      <c r="F29" t="s">
        <v>149</v>
      </c>
      <c r="G29" t="s">
        <v>43</v>
      </c>
      <c r="H29" t="s">
        <v>121</v>
      </c>
      <c r="I29" t="s">
        <v>35</v>
      </c>
      <c r="J29" s="70">
        <v>45735</v>
      </c>
      <c r="K29">
        <v>26426261</v>
      </c>
      <c r="L29" s="36" t="s">
        <v>153</v>
      </c>
      <c r="M29" t="str">
        <f>_xlfn.XLOOKUP(PUNTAJE[[#This Row],[CODIGO RUTA]],'DATA INFORME'!G:G,'DATA INFORME'!I:I)</f>
        <v>SI</v>
      </c>
      <c r="N29" t="str">
        <f>IF(PUNTAJE[[#This Row],[MYSTERY EFECTIVO]]="SI",(_xlfn.XLOOKUP(PUNTAJE[[#This Row],[PREGUNTA]],ENCUESTA!G:G,ENCUESTA!E:E)),"N/A")</f>
        <v>PRESENTACIÓN PERSONAL</v>
      </c>
      <c r="O29" s="36">
        <f>IF(PUNTAJE[[#This Row],[MYSTERY EFECTIVO]]="SI",(IF(PUNTAJE[[#This Row],[CANAL]]="TRADICIONAL",_xlfn.XLOOKUP(PUNTAJE[[#This Row],[PREGUNTA]],ENCUESTA!G:G,ENCUESTA!A:A),IF(PUNTAJE[[#This Row],[CANAL]]="ESPECIALIZADO",_xlfn.XLOOKUP(PUNTAJE[[#This Row],[PREGUNTA]],ENCUESTA!G:G,ENCUESTA!B:B),IF(PUNTAJE[[#This Row],[CANAL]]="MODERNO",_xlfn.XLOOKUP(PUNTAJE[[#This Row],[PREGUNTA]],ENCUESTA!G:G,ENCUESTA!C:C))))),0)</f>
        <v>1</v>
      </c>
      <c r="P29" s="36" t="str">
        <f>_xlfn.XLOOKUP(PUNTAJE[[#This Row],[PREGUNTA]],ENCUESTA!G:G,ENCUESTA!H:H)</f>
        <v>SI</v>
      </c>
      <c r="Q29" s="36">
        <f>IF(PUNTAJE[[#This Row],[RESPUESTA]]=PUNTAJE[[#This Row],[RTA CORRECTA]],PUNTAJE[[#This Row],[TOTAL PUNTAJE]],0)</f>
        <v>1</v>
      </c>
    </row>
    <row r="30" spans="1:17" x14ac:dyDescent="0.25">
      <c r="A30" t="s">
        <v>33</v>
      </c>
      <c r="B30" t="s">
        <v>55</v>
      </c>
      <c r="C30" t="s">
        <v>56</v>
      </c>
      <c r="D30" t="s">
        <v>90</v>
      </c>
      <c r="E30" s="54">
        <v>161719</v>
      </c>
      <c r="F30" t="s">
        <v>149</v>
      </c>
      <c r="G30" t="s">
        <v>44</v>
      </c>
      <c r="H30" t="s">
        <v>121</v>
      </c>
      <c r="I30" t="s">
        <v>34</v>
      </c>
      <c r="J30" s="70">
        <v>45735</v>
      </c>
      <c r="K30">
        <v>26426261</v>
      </c>
      <c r="L30" s="36" t="s">
        <v>153</v>
      </c>
      <c r="M30" t="str">
        <f>_xlfn.XLOOKUP(PUNTAJE[[#This Row],[CODIGO RUTA]],'DATA INFORME'!G:G,'DATA INFORME'!I:I)</f>
        <v>SI</v>
      </c>
      <c r="N30" t="str">
        <f>IF(PUNTAJE[[#This Row],[MYSTERY EFECTIVO]]="SI",(_xlfn.XLOOKUP(PUNTAJE[[#This Row],[PREGUNTA]],ENCUESTA!G:G,ENCUESTA!E:E)),"N/A")</f>
        <v>PRESENTACIÓN PERSONAL</v>
      </c>
      <c r="O30" s="36">
        <f>IF(PUNTAJE[[#This Row],[MYSTERY EFECTIVO]]="SI",(IF(PUNTAJE[[#This Row],[CANAL]]="TRADICIONAL",_xlfn.XLOOKUP(PUNTAJE[[#This Row],[PREGUNTA]],ENCUESTA!G:G,ENCUESTA!A:A),IF(PUNTAJE[[#This Row],[CANAL]]="ESPECIALIZADO",_xlfn.XLOOKUP(PUNTAJE[[#This Row],[PREGUNTA]],ENCUESTA!G:G,ENCUESTA!B:B),IF(PUNTAJE[[#This Row],[CANAL]]="MODERNO",_xlfn.XLOOKUP(PUNTAJE[[#This Row],[PREGUNTA]],ENCUESTA!G:G,ENCUESTA!C:C))))),0)</f>
        <v>1</v>
      </c>
      <c r="P30" s="36" t="str">
        <f>_xlfn.XLOOKUP(PUNTAJE[[#This Row],[PREGUNTA]],ENCUESTA!G:G,ENCUESTA!H:H)</f>
        <v>NO</v>
      </c>
      <c r="Q30" s="36">
        <f>IF(PUNTAJE[[#This Row],[RESPUESTA]]=PUNTAJE[[#This Row],[RTA CORRECTA]],PUNTAJE[[#This Row],[TOTAL PUNTAJE]],0)</f>
        <v>1</v>
      </c>
    </row>
    <row r="31" spans="1:17" x14ac:dyDescent="0.25">
      <c r="A31" t="s">
        <v>33</v>
      </c>
      <c r="B31" t="s">
        <v>55</v>
      </c>
      <c r="C31" t="s">
        <v>56</v>
      </c>
      <c r="D31" t="s">
        <v>90</v>
      </c>
      <c r="E31" s="54">
        <v>161719</v>
      </c>
      <c r="F31" t="s">
        <v>149</v>
      </c>
      <c r="G31" t="s">
        <v>42</v>
      </c>
      <c r="H31" t="s">
        <v>121</v>
      </c>
      <c r="I31" t="s">
        <v>35</v>
      </c>
      <c r="J31" s="70">
        <v>45735</v>
      </c>
      <c r="K31">
        <v>26426261</v>
      </c>
      <c r="L31" s="36" t="s">
        <v>153</v>
      </c>
      <c r="M31" t="str">
        <f>_xlfn.XLOOKUP(PUNTAJE[[#This Row],[CODIGO RUTA]],'DATA INFORME'!G:G,'DATA INFORME'!I:I)</f>
        <v>SI</v>
      </c>
      <c r="N31" t="str">
        <f>IF(PUNTAJE[[#This Row],[MYSTERY EFECTIVO]]="SI",(_xlfn.XLOOKUP(PUNTAJE[[#This Row],[PREGUNTA]],ENCUESTA!G:G,ENCUESTA!E:E)),"N/A")</f>
        <v>PRESENTACIÓN PERSONAL</v>
      </c>
      <c r="O31" s="36">
        <f>IF(PUNTAJE[[#This Row],[MYSTERY EFECTIVO]]="SI",(IF(PUNTAJE[[#This Row],[CANAL]]="TRADICIONAL",_xlfn.XLOOKUP(PUNTAJE[[#This Row],[PREGUNTA]],ENCUESTA!G:G,ENCUESTA!A:A),IF(PUNTAJE[[#This Row],[CANAL]]="ESPECIALIZADO",_xlfn.XLOOKUP(PUNTAJE[[#This Row],[PREGUNTA]],ENCUESTA!G:G,ENCUESTA!B:B),IF(PUNTAJE[[#This Row],[CANAL]]="MODERNO",_xlfn.XLOOKUP(PUNTAJE[[#This Row],[PREGUNTA]],ENCUESTA!G:G,ENCUESTA!C:C))))),0)</f>
        <v>1</v>
      </c>
      <c r="P31" s="36" t="str">
        <f>_xlfn.XLOOKUP(PUNTAJE[[#This Row],[PREGUNTA]],ENCUESTA!G:G,ENCUESTA!H:H)</f>
        <v>NO</v>
      </c>
      <c r="Q31" s="36">
        <f>IF(PUNTAJE[[#This Row],[RESPUESTA]]=PUNTAJE[[#This Row],[RTA CORRECTA]],PUNTAJE[[#This Row],[TOTAL PUNTAJE]],0)</f>
        <v>0</v>
      </c>
    </row>
    <row r="32" spans="1:17" x14ac:dyDescent="0.25">
      <c r="A32" t="s">
        <v>33</v>
      </c>
      <c r="B32" t="s">
        <v>55</v>
      </c>
      <c r="C32" t="s">
        <v>56</v>
      </c>
      <c r="D32" t="s">
        <v>90</v>
      </c>
      <c r="E32" s="54">
        <v>161719</v>
      </c>
      <c r="F32" t="s">
        <v>149</v>
      </c>
      <c r="G32" t="s">
        <v>41</v>
      </c>
      <c r="H32" t="s">
        <v>121</v>
      </c>
      <c r="I32" t="s">
        <v>34</v>
      </c>
      <c r="J32" s="70">
        <v>45735</v>
      </c>
      <c r="K32">
        <v>26426261</v>
      </c>
      <c r="L32" s="36" t="s">
        <v>153</v>
      </c>
      <c r="M32" t="str">
        <f>_xlfn.XLOOKUP(PUNTAJE[[#This Row],[CODIGO RUTA]],'DATA INFORME'!G:G,'DATA INFORME'!I:I)</f>
        <v>SI</v>
      </c>
      <c r="N32" t="str">
        <f>IF(PUNTAJE[[#This Row],[MYSTERY EFECTIVO]]="SI",(_xlfn.XLOOKUP(PUNTAJE[[#This Row],[PREGUNTA]],ENCUESTA!G:G,ENCUESTA!E:E)),"N/A")</f>
        <v>PRESENTACIÓN PERSONAL</v>
      </c>
      <c r="O32" s="36">
        <f>IF(PUNTAJE[[#This Row],[MYSTERY EFECTIVO]]="SI",(IF(PUNTAJE[[#This Row],[CANAL]]="TRADICIONAL",_xlfn.XLOOKUP(PUNTAJE[[#This Row],[PREGUNTA]],ENCUESTA!G:G,ENCUESTA!A:A),IF(PUNTAJE[[#This Row],[CANAL]]="ESPECIALIZADO",_xlfn.XLOOKUP(PUNTAJE[[#This Row],[PREGUNTA]],ENCUESTA!G:G,ENCUESTA!B:B),IF(PUNTAJE[[#This Row],[CANAL]]="MODERNO",_xlfn.XLOOKUP(PUNTAJE[[#This Row],[PREGUNTA]],ENCUESTA!G:G,ENCUESTA!C:C))))),0)</f>
        <v>1</v>
      </c>
      <c r="P32" s="36" t="str">
        <f>_xlfn.XLOOKUP(PUNTAJE[[#This Row],[PREGUNTA]],ENCUESTA!G:G,ENCUESTA!H:H)</f>
        <v>NO</v>
      </c>
      <c r="Q32" s="36">
        <f>IF(PUNTAJE[[#This Row],[RESPUESTA]]=PUNTAJE[[#This Row],[RTA CORRECTA]],PUNTAJE[[#This Row],[TOTAL PUNTAJE]],0)</f>
        <v>1</v>
      </c>
    </row>
    <row r="33" spans="1:17" x14ac:dyDescent="0.25">
      <c r="A33" t="s">
        <v>33</v>
      </c>
      <c r="B33" t="s">
        <v>55</v>
      </c>
      <c r="C33" t="s">
        <v>56</v>
      </c>
      <c r="D33" t="s">
        <v>90</v>
      </c>
      <c r="E33" s="54">
        <v>161719</v>
      </c>
      <c r="F33" t="s">
        <v>149</v>
      </c>
      <c r="G33" t="s">
        <v>40</v>
      </c>
      <c r="H33" t="s">
        <v>121</v>
      </c>
      <c r="I33" t="s">
        <v>34</v>
      </c>
      <c r="J33" s="70">
        <v>45735</v>
      </c>
      <c r="K33">
        <v>26426261</v>
      </c>
      <c r="L33" s="36" t="s">
        <v>153</v>
      </c>
      <c r="M33" t="str">
        <f>_xlfn.XLOOKUP(PUNTAJE[[#This Row],[CODIGO RUTA]],'DATA INFORME'!G:G,'DATA INFORME'!I:I)</f>
        <v>SI</v>
      </c>
      <c r="N33" t="str">
        <f>IF(PUNTAJE[[#This Row],[MYSTERY EFECTIVO]]="SI",(_xlfn.XLOOKUP(PUNTAJE[[#This Row],[PREGUNTA]],ENCUESTA!G:G,ENCUESTA!E:E)),"N/A")</f>
        <v>PRESENTACIÓN PERSONAL</v>
      </c>
      <c r="O33" s="36">
        <f>IF(PUNTAJE[[#This Row],[MYSTERY EFECTIVO]]="SI",(IF(PUNTAJE[[#This Row],[CANAL]]="TRADICIONAL",_xlfn.XLOOKUP(PUNTAJE[[#This Row],[PREGUNTA]],ENCUESTA!G:G,ENCUESTA!A:A),IF(PUNTAJE[[#This Row],[CANAL]]="ESPECIALIZADO",_xlfn.XLOOKUP(PUNTAJE[[#This Row],[PREGUNTA]],ENCUESTA!G:G,ENCUESTA!B:B),IF(PUNTAJE[[#This Row],[CANAL]]="MODERNO",_xlfn.XLOOKUP(PUNTAJE[[#This Row],[PREGUNTA]],ENCUESTA!G:G,ENCUESTA!C:C))))),0)</f>
        <v>1</v>
      </c>
      <c r="P33" s="36" t="str">
        <f>_xlfn.XLOOKUP(PUNTAJE[[#This Row],[PREGUNTA]],ENCUESTA!G:G,ENCUESTA!H:H)</f>
        <v>NO</v>
      </c>
      <c r="Q33" s="36">
        <f>IF(PUNTAJE[[#This Row],[RESPUESTA]]=PUNTAJE[[#This Row],[RTA CORRECTA]],PUNTAJE[[#This Row],[TOTAL PUNTAJE]],0)</f>
        <v>1</v>
      </c>
    </row>
    <row r="34" spans="1:17" x14ac:dyDescent="0.25">
      <c r="A34" t="s">
        <v>33</v>
      </c>
      <c r="B34" t="s">
        <v>55</v>
      </c>
      <c r="C34" t="s">
        <v>56</v>
      </c>
      <c r="D34" t="s">
        <v>90</v>
      </c>
      <c r="E34" s="54">
        <v>161719</v>
      </c>
      <c r="F34" t="s">
        <v>149</v>
      </c>
      <c r="G34" t="s">
        <v>96</v>
      </c>
      <c r="H34" t="s">
        <v>121</v>
      </c>
      <c r="I34" t="s">
        <v>35</v>
      </c>
      <c r="J34" s="70">
        <v>45735</v>
      </c>
      <c r="K34">
        <v>26426261</v>
      </c>
      <c r="L34" s="36" t="s">
        <v>153</v>
      </c>
      <c r="M34" t="str">
        <f>_xlfn.XLOOKUP(PUNTAJE[[#This Row],[CODIGO RUTA]],'DATA INFORME'!G:G,'DATA INFORME'!I:I)</f>
        <v>SI</v>
      </c>
      <c r="N34" t="str">
        <f>IF(PUNTAJE[[#This Row],[MYSTERY EFECTIVO]]="SI",(_xlfn.XLOOKUP(PUNTAJE[[#This Row],[PREGUNTA]],ENCUESTA!G:G,ENCUESTA!E:E)),"N/A")</f>
        <v>EJECUCION DEL PDV</v>
      </c>
      <c r="O34" s="36">
        <f>IF(PUNTAJE[[#This Row],[MYSTERY EFECTIVO]]="SI",(IF(PUNTAJE[[#This Row],[CANAL]]="TRADICIONAL",_xlfn.XLOOKUP(PUNTAJE[[#This Row],[PREGUNTA]],ENCUESTA!G:G,ENCUESTA!A:A),IF(PUNTAJE[[#This Row],[CANAL]]="ESPECIALIZADO",_xlfn.XLOOKUP(PUNTAJE[[#This Row],[PREGUNTA]],ENCUESTA!G:G,ENCUESTA!B:B),IF(PUNTAJE[[#This Row],[CANAL]]="MODERNO",_xlfn.XLOOKUP(PUNTAJE[[#This Row],[PREGUNTA]],ENCUESTA!G:G,ENCUESTA!C:C))))),0)</f>
        <v>4.2</v>
      </c>
      <c r="P34" s="36" t="str">
        <f>_xlfn.XLOOKUP(PUNTAJE[[#This Row],[PREGUNTA]],ENCUESTA!G:G,ENCUESTA!H:H)</f>
        <v>SI</v>
      </c>
      <c r="Q34" s="36">
        <f>IF(PUNTAJE[[#This Row],[RESPUESTA]]=PUNTAJE[[#This Row],[RTA CORRECTA]],PUNTAJE[[#This Row],[TOTAL PUNTAJE]],0)</f>
        <v>4.2</v>
      </c>
    </row>
    <row r="35" spans="1:17" x14ac:dyDescent="0.25">
      <c r="A35" t="s">
        <v>33</v>
      </c>
      <c r="B35" t="s">
        <v>55</v>
      </c>
      <c r="C35" t="s">
        <v>56</v>
      </c>
      <c r="D35" t="s">
        <v>90</v>
      </c>
      <c r="E35" s="54">
        <v>161719</v>
      </c>
      <c r="F35" t="s">
        <v>149</v>
      </c>
      <c r="G35" t="s">
        <v>97</v>
      </c>
      <c r="H35" t="s">
        <v>121</v>
      </c>
      <c r="I35" t="s">
        <v>35</v>
      </c>
      <c r="J35" s="70">
        <v>45735</v>
      </c>
      <c r="K35">
        <v>26426261</v>
      </c>
      <c r="L35" s="36" t="s">
        <v>153</v>
      </c>
      <c r="M35" t="str">
        <f>_xlfn.XLOOKUP(PUNTAJE[[#This Row],[CODIGO RUTA]],'DATA INFORME'!G:G,'DATA INFORME'!I:I)</f>
        <v>SI</v>
      </c>
      <c r="N35" t="str">
        <f>IF(PUNTAJE[[#This Row],[MYSTERY EFECTIVO]]="SI",(_xlfn.XLOOKUP(PUNTAJE[[#This Row],[PREGUNTA]],ENCUESTA!G:G,ENCUESTA!E:E)),"N/A")</f>
        <v>EJECUCION DEL PDV</v>
      </c>
      <c r="O35" s="36">
        <f>IF(PUNTAJE[[#This Row],[MYSTERY EFECTIVO]]="SI",(IF(PUNTAJE[[#This Row],[CANAL]]="TRADICIONAL",_xlfn.XLOOKUP(PUNTAJE[[#This Row],[PREGUNTA]],ENCUESTA!G:G,ENCUESTA!A:A),IF(PUNTAJE[[#This Row],[CANAL]]="ESPECIALIZADO",_xlfn.XLOOKUP(PUNTAJE[[#This Row],[PREGUNTA]],ENCUESTA!G:G,ENCUESTA!B:B),IF(PUNTAJE[[#This Row],[CANAL]]="MODERNO",_xlfn.XLOOKUP(PUNTAJE[[#This Row],[PREGUNTA]],ENCUESTA!G:G,ENCUESTA!C:C))))),0)</f>
        <v>4.3</v>
      </c>
      <c r="P35" s="36" t="str">
        <f>_xlfn.XLOOKUP(PUNTAJE[[#This Row],[PREGUNTA]],ENCUESTA!G:G,ENCUESTA!H:H)</f>
        <v>SI</v>
      </c>
      <c r="Q35" s="36">
        <f>IF(PUNTAJE[[#This Row],[RESPUESTA]]=PUNTAJE[[#This Row],[RTA CORRECTA]],PUNTAJE[[#This Row],[TOTAL PUNTAJE]],0)</f>
        <v>4.3</v>
      </c>
    </row>
    <row r="36" spans="1:17" x14ac:dyDescent="0.25">
      <c r="A36" t="s">
        <v>33</v>
      </c>
      <c r="B36" t="s">
        <v>55</v>
      </c>
      <c r="C36" t="s">
        <v>56</v>
      </c>
      <c r="D36" t="s">
        <v>90</v>
      </c>
      <c r="E36" s="54">
        <v>161719</v>
      </c>
      <c r="F36" t="s">
        <v>149</v>
      </c>
      <c r="G36" t="s">
        <v>98</v>
      </c>
      <c r="H36" t="s">
        <v>121</v>
      </c>
      <c r="I36" t="s">
        <v>35</v>
      </c>
      <c r="J36" s="70">
        <v>45735</v>
      </c>
      <c r="K36">
        <v>26426261</v>
      </c>
      <c r="L36" s="36" t="s">
        <v>153</v>
      </c>
      <c r="M36" t="str">
        <f>_xlfn.XLOOKUP(PUNTAJE[[#This Row],[CODIGO RUTA]],'DATA INFORME'!G:G,'DATA INFORME'!I:I)</f>
        <v>SI</v>
      </c>
      <c r="N36" t="str">
        <f>IF(PUNTAJE[[#This Row],[MYSTERY EFECTIVO]]="SI",(_xlfn.XLOOKUP(PUNTAJE[[#This Row],[PREGUNTA]],ENCUESTA!G:G,ENCUESTA!E:E)),"N/A")</f>
        <v>EJECUCION DEL PDV</v>
      </c>
      <c r="O36" s="36">
        <f>IF(PUNTAJE[[#This Row],[MYSTERY EFECTIVO]]="SI",(IF(PUNTAJE[[#This Row],[CANAL]]="TRADICIONAL",_xlfn.XLOOKUP(PUNTAJE[[#This Row],[PREGUNTA]],ENCUESTA!G:G,ENCUESTA!A:A),IF(PUNTAJE[[#This Row],[CANAL]]="ESPECIALIZADO",_xlfn.XLOOKUP(PUNTAJE[[#This Row],[PREGUNTA]],ENCUESTA!G:G,ENCUESTA!B:B),IF(PUNTAJE[[#This Row],[CANAL]]="MODERNO",_xlfn.XLOOKUP(PUNTAJE[[#This Row],[PREGUNTA]],ENCUESTA!G:G,ENCUESTA!C:C))))),0)</f>
        <v>4.3</v>
      </c>
      <c r="P36" s="36" t="str">
        <f>_xlfn.XLOOKUP(PUNTAJE[[#This Row],[PREGUNTA]],ENCUESTA!G:G,ENCUESTA!H:H)</f>
        <v>SI</v>
      </c>
      <c r="Q36" s="36">
        <f>IF(PUNTAJE[[#This Row],[RESPUESTA]]=PUNTAJE[[#This Row],[RTA CORRECTA]],PUNTAJE[[#This Row],[TOTAL PUNTAJE]],0)</f>
        <v>4.3</v>
      </c>
    </row>
    <row r="37" spans="1:17" x14ac:dyDescent="0.25">
      <c r="A37" t="s">
        <v>33</v>
      </c>
      <c r="B37" t="s">
        <v>55</v>
      </c>
      <c r="C37" t="s">
        <v>56</v>
      </c>
      <c r="D37" t="s">
        <v>90</v>
      </c>
      <c r="E37" s="54">
        <v>161719</v>
      </c>
      <c r="F37" t="s">
        <v>149</v>
      </c>
      <c r="G37" t="s">
        <v>99</v>
      </c>
      <c r="H37" t="s">
        <v>121</v>
      </c>
      <c r="I37" t="s">
        <v>35</v>
      </c>
      <c r="J37" s="70">
        <v>45735</v>
      </c>
      <c r="K37">
        <v>26426261</v>
      </c>
      <c r="L37" s="36" t="s">
        <v>153</v>
      </c>
      <c r="M37" t="str">
        <f>_xlfn.XLOOKUP(PUNTAJE[[#This Row],[CODIGO RUTA]],'DATA INFORME'!G:G,'DATA INFORME'!I:I)</f>
        <v>SI</v>
      </c>
      <c r="N37" t="str">
        <f>IF(PUNTAJE[[#This Row],[MYSTERY EFECTIVO]]="SI",(_xlfn.XLOOKUP(PUNTAJE[[#This Row],[PREGUNTA]],ENCUESTA!G:G,ENCUESTA!E:E)),"N/A")</f>
        <v>EJECUCION DEL PDV</v>
      </c>
      <c r="O37" s="36">
        <f>IF(PUNTAJE[[#This Row],[MYSTERY EFECTIVO]]="SI",(IF(PUNTAJE[[#This Row],[CANAL]]="TRADICIONAL",_xlfn.XLOOKUP(PUNTAJE[[#This Row],[PREGUNTA]],ENCUESTA!G:G,ENCUESTA!A:A),IF(PUNTAJE[[#This Row],[CANAL]]="ESPECIALIZADO",_xlfn.XLOOKUP(PUNTAJE[[#This Row],[PREGUNTA]],ENCUESTA!G:G,ENCUESTA!B:B),IF(PUNTAJE[[#This Row],[CANAL]]="MODERNO",_xlfn.XLOOKUP(PUNTAJE[[#This Row],[PREGUNTA]],ENCUESTA!G:G,ENCUESTA!C:C))))),0)</f>
        <v>4.3</v>
      </c>
      <c r="P37" s="36" t="str">
        <f>_xlfn.XLOOKUP(PUNTAJE[[#This Row],[PREGUNTA]],ENCUESTA!G:G,ENCUESTA!H:H)</f>
        <v>SI</v>
      </c>
      <c r="Q37" s="36">
        <f>IF(PUNTAJE[[#This Row],[RESPUESTA]]=PUNTAJE[[#This Row],[RTA CORRECTA]],PUNTAJE[[#This Row],[TOTAL PUNTAJE]],0)</f>
        <v>4.3</v>
      </c>
    </row>
    <row r="38" spans="1:17" x14ac:dyDescent="0.25">
      <c r="A38" t="s">
        <v>33</v>
      </c>
      <c r="B38" t="s">
        <v>55</v>
      </c>
      <c r="C38" t="s">
        <v>56</v>
      </c>
      <c r="D38" t="s">
        <v>90</v>
      </c>
      <c r="E38" s="54">
        <v>161719</v>
      </c>
      <c r="F38" t="s">
        <v>149</v>
      </c>
      <c r="G38" t="s">
        <v>100</v>
      </c>
      <c r="H38" t="s">
        <v>121</v>
      </c>
      <c r="I38" t="s">
        <v>35</v>
      </c>
      <c r="J38" s="70">
        <v>45735</v>
      </c>
      <c r="K38">
        <v>26426261</v>
      </c>
      <c r="L38" s="36" t="s">
        <v>153</v>
      </c>
      <c r="M38" t="str">
        <f>_xlfn.XLOOKUP(PUNTAJE[[#This Row],[CODIGO RUTA]],'DATA INFORME'!G:G,'DATA INFORME'!I:I)</f>
        <v>SI</v>
      </c>
      <c r="N38" t="str">
        <f>IF(PUNTAJE[[#This Row],[MYSTERY EFECTIVO]]="SI",(_xlfn.XLOOKUP(PUNTAJE[[#This Row],[PREGUNTA]],ENCUESTA!G:G,ENCUESTA!E:E)),"N/A")</f>
        <v>EJECUCION DEL PDV</v>
      </c>
      <c r="O38" s="36">
        <f>IF(PUNTAJE[[#This Row],[MYSTERY EFECTIVO]]="SI",(IF(PUNTAJE[[#This Row],[CANAL]]="TRADICIONAL",_xlfn.XLOOKUP(PUNTAJE[[#This Row],[PREGUNTA]],ENCUESTA!G:G,ENCUESTA!A:A),IF(PUNTAJE[[#This Row],[CANAL]]="ESPECIALIZADO",_xlfn.XLOOKUP(PUNTAJE[[#This Row],[PREGUNTA]],ENCUESTA!G:G,ENCUESTA!B:B),IF(PUNTAJE[[#This Row],[CANAL]]="MODERNO",_xlfn.XLOOKUP(PUNTAJE[[#This Row],[PREGUNTA]],ENCUESTA!G:G,ENCUESTA!C:C))))),0)</f>
        <v>4.3</v>
      </c>
      <c r="P38" s="36" t="str">
        <f>_xlfn.XLOOKUP(PUNTAJE[[#This Row],[PREGUNTA]],ENCUESTA!G:G,ENCUESTA!H:H)</f>
        <v>SI</v>
      </c>
      <c r="Q38" s="36">
        <f>IF(PUNTAJE[[#This Row],[RESPUESTA]]=PUNTAJE[[#This Row],[RTA CORRECTA]],PUNTAJE[[#This Row],[TOTAL PUNTAJE]],0)</f>
        <v>4.3</v>
      </c>
    </row>
    <row r="39" spans="1:17" x14ac:dyDescent="0.25">
      <c r="A39" t="s">
        <v>33</v>
      </c>
      <c r="B39" t="s">
        <v>55</v>
      </c>
      <c r="C39" t="s">
        <v>56</v>
      </c>
      <c r="D39" t="s">
        <v>90</v>
      </c>
      <c r="E39" s="54">
        <v>161719</v>
      </c>
      <c r="F39" t="s">
        <v>149</v>
      </c>
      <c r="G39" t="s">
        <v>101</v>
      </c>
      <c r="H39" t="s">
        <v>121</v>
      </c>
      <c r="I39" t="s">
        <v>35</v>
      </c>
      <c r="J39" s="70">
        <v>45735</v>
      </c>
      <c r="K39">
        <v>26426261</v>
      </c>
      <c r="L39" s="36" t="s">
        <v>153</v>
      </c>
      <c r="M39" t="str">
        <f>_xlfn.XLOOKUP(PUNTAJE[[#This Row],[CODIGO RUTA]],'DATA INFORME'!G:G,'DATA INFORME'!I:I)</f>
        <v>SI</v>
      </c>
      <c r="N39" t="str">
        <f>IF(PUNTAJE[[#This Row],[MYSTERY EFECTIVO]]="SI",(_xlfn.XLOOKUP(PUNTAJE[[#This Row],[PREGUNTA]],ENCUESTA!G:G,ENCUESTA!E:E)),"N/A")</f>
        <v>EJECUCION DEL PDV</v>
      </c>
      <c r="O39" s="36">
        <f>IF(PUNTAJE[[#This Row],[MYSTERY EFECTIVO]]="SI",(IF(PUNTAJE[[#This Row],[CANAL]]="TRADICIONAL",_xlfn.XLOOKUP(PUNTAJE[[#This Row],[PREGUNTA]],ENCUESTA!G:G,ENCUESTA!A:A),IF(PUNTAJE[[#This Row],[CANAL]]="ESPECIALIZADO",_xlfn.XLOOKUP(PUNTAJE[[#This Row],[PREGUNTA]],ENCUESTA!G:G,ENCUESTA!B:B),IF(PUNTAJE[[#This Row],[CANAL]]="MODERNO",_xlfn.XLOOKUP(PUNTAJE[[#This Row],[PREGUNTA]],ENCUESTA!G:G,ENCUESTA!C:C))))),0)</f>
        <v>4.3</v>
      </c>
      <c r="P39" s="36" t="str">
        <f>_xlfn.XLOOKUP(PUNTAJE[[#This Row],[PREGUNTA]],ENCUESTA!G:G,ENCUESTA!H:H)</f>
        <v>SI</v>
      </c>
      <c r="Q39" s="36">
        <f>IF(PUNTAJE[[#This Row],[RESPUESTA]]=PUNTAJE[[#This Row],[RTA CORRECTA]],PUNTAJE[[#This Row],[TOTAL PUNTAJE]],0)</f>
        <v>4.3</v>
      </c>
    </row>
    <row r="40" spans="1:17" x14ac:dyDescent="0.25">
      <c r="A40" t="s">
        <v>33</v>
      </c>
      <c r="B40" t="s">
        <v>55</v>
      </c>
      <c r="C40" t="s">
        <v>56</v>
      </c>
      <c r="D40" t="s">
        <v>90</v>
      </c>
      <c r="E40" s="54">
        <v>161719</v>
      </c>
      <c r="F40" t="s">
        <v>149</v>
      </c>
      <c r="G40" t="s">
        <v>102</v>
      </c>
      <c r="H40" t="s">
        <v>121</v>
      </c>
      <c r="I40" t="s">
        <v>35</v>
      </c>
      <c r="J40" s="70">
        <v>45735</v>
      </c>
      <c r="K40">
        <v>26426261</v>
      </c>
      <c r="L40" s="36" t="s">
        <v>153</v>
      </c>
      <c r="M40" t="str">
        <f>_xlfn.XLOOKUP(PUNTAJE[[#This Row],[CODIGO RUTA]],'DATA INFORME'!G:G,'DATA INFORME'!I:I)</f>
        <v>SI</v>
      </c>
      <c r="N40" t="str">
        <f>IF(PUNTAJE[[#This Row],[MYSTERY EFECTIVO]]="SI",(_xlfn.XLOOKUP(PUNTAJE[[#This Row],[PREGUNTA]],ENCUESTA!G:G,ENCUESTA!E:E)),"N/A")</f>
        <v>EJECUCION DEL PDV</v>
      </c>
      <c r="O40" s="36">
        <f>IF(PUNTAJE[[#This Row],[MYSTERY EFECTIVO]]="SI",(IF(PUNTAJE[[#This Row],[CANAL]]="TRADICIONAL",_xlfn.XLOOKUP(PUNTAJE[[#This Row],[PREGUNTA]],ENCUESTA!G:G,ENCUESTA!A:A),IF(PUNTAJE[[#This Row],[CANAL]]="ESPECIALIZADO",_xlfn.XLOOKUP(PUNTAJE[[#This Row],[PREGUNTA]],ENCUESTA!G:G,ENCUESTA!B:B),IF(PUNTAJE[[#This Row],[CANAL]]="MODERNO",_xlfn.XLOOKUP(PUNTAJE[[#This Row],[PREGUNTA]],ENCUESTA!G:G,ENCUESTA!C:C))))),0)</f>
        <v>4.3</v>
      </c>
      <c r="P40" s="36" t="str">
        <f>_xlfn.XLOOKUP(PUNTAJE[[#This Row],[PREGUNTA]],ENCUESTA!G:G,ENCUESTA!H:H)</f>
        <v>SI</v>
      </c>
      <c r="Q40" s="36">
        <f>IF(PUNTAJE[[#This Row],[RESPUESTA]]=PUNTAJE[[#This Row],[RTA CORRECTA]],PUNTAJE[[#This Row],[TOTAL PUNTAJE]],0)</f>
        <v>4.3</v>
      </c>
    </row>
    <row r="41" spans="1:17" x14ac:dyDescent="0.25">
      <c r="A41" t="s">
        <v>33</v>
      </c>
      <c r="B41" t="s">
        <v>55</v>
      </c>
      <c r="C41" t="s">
        <v>56</v>
      </c>
      <c r="D41" t="s">
        <v>90</v>
      </c>
      <c r="E41" s="54">
        <v>161719</v>
      </c>
      <c r="F41" t="s">
        <v>149</v>
      </c>
      <c r="G41" t="s">
        <v>103</v>
      </c>
      <c r="H41" t="s">
        <v>121</v>
      </c>
      <c r="I41" t="s">
        <v>169</v>
      </c>
      <c r="J41" s="70">
        <v>45735</v>
      </c>
      <c r="K41">
        <v>26426261</v>
      </c>
      <c r="L41" s="36" t="s">
        <v>153</v>
      </c>
      <c r="M41" t="str">
        <f>_xlfn.XLOOKUP(PUNTAJE[[#This Row],[CODIGO RUTA]],'DATA INFORME'!G:G,'DATA INFORME'!I:I)</f>
        <v>SI</v>
      </c>
      <c r="N41" t="str">
        <f>IF(PUNTAJE[[#This Row],[MYSTERY EFECTIVO]]="SI",(_xlfn.XLOOKUP(PUNTAJE[[#This Row],[PREGUNTA]],ENCUESTA!G:G,ENCUESTA!E:E)),"N/A")</f>
        <v>N/A</v>
      </c>
      <c r="O41" s="36">
        <f>IF(PUNTAJE[[#This Row],[MYSTERY EFECTIVO]]="SI",(IF(PUNTAJE[[#This Row],[CANAL]]="TRADICIONAL",_xlfn.XLOOKUP(PUNTAJE[[#This Row],[PREGUNTA]],ENCUESTA!G:G,ENCUESTA!A:A),IF(PUNTAJE[[#This Row],[CANAL]]="ESPECIALIZADO",_xlfn.XLOOKUP(PUNTAJE[[#This Row],[PREGUNTA]],ENCUESTA!G:G,ENCUESTA!B:B),IF(PUNTAJE[[#This Row],[CANAL]]="MODERNO",_xlfn.XLOOKUP(PUNTAJE[[#This Row],[PREGUNTA]],ENCUESTA!G:G,ENCUESTA!C:C))))),0)</f>
        <v>0</v>
      </c>
      <c r="P41" s="36" t="str">
        <f>_xlfn.XLOOKUP(PUNTAJE[[#This Row],[PREGUNTA]],ENCUESTA!G:G,ENCUESTA!H:H)</f>
        <v>CANAL  MODERNO, CANAL ESPECIALIZADO</v>
      </c>
      <c r="Q41" s="36">
        <f>IF(PUNTAJE[[#This Row],[RESPUESTA]]=PUNTAJE[[#This Row],[RTA CORRECTA]],PUNTAJE[[#This Row],[TOTAL PUNTAJE]],0)</f>
        <v>0</v>
      </c>
    </row>
    <row r="42" spans="1:17" x14ac:dyDescent="0.25">
      <c r="A42" t="s">
        <v>33</v>
      </c>
      <c r="B42" t="s">
        <v>55</v>
      </c>
      <c r="C42" t="s">
        <v>56</v>
      </c>
      <c r="D42" t="s">
        <v>90</v>
      </c>
      <c r="E42" s="54">
        <v>161719</v>
      </c>
      <c r="F42" t="s">
        <v>149</v>
      </c>
      <c r="G42" t="s">
        <v>112</v>
      </c>
      <c r="H42" t="s">
        <v>121</v>
      </c>
      <c r="I42" t="s">
        <v>35</v>
      </c>
      <c r="J42" s="70">
        <v>45735</v>
      </c>
      <c r="K42">
        <v>26426261</v>
      </c>
      <c r="L42" s="36" t="s">
        <v>153</v>
      </c>
      <c r="M42" t="str">
        <f>_xlfn.XLOOKUP(PUNTAJE[[#This Row],[CODIGO RUTA]],'DATA INFORME'!G:G,'DATA INFORME'!I:I)</f>
        <v>SI</v>
      </c>
      <c r="N42" t="str">
        <f>IF(PUNTAJE[[#This Row],[MYSTERY EFECTIVO]]="SI",(_xlfn.XLOOKUP(PUNTAJE[[#This Row],[PREGUNTA]],ENCUESTA!G:G,ENCUESTA!E:E)),"N/A")</f>
        <v>ACTIVIDADES DEL MES</v>
      </c>
      <c r="O42" s="36">
        <f>IF(PUNTAJE[[#This Row],[MYSTERY EFECTIVO]]="SI",(IF(PUNTAJE[[#This Row],[CANAL]]="TRADICIONAL",_xlfn.XLOOKUP(PUNTAJE[[#This Row],[PREGUNTA]],ENCUESTA!G:G,ENCUESTA!A:A),IF(PUNTAJE[[#This Row],[CANAL]]="ESPECIALIZADO",_xlfn.XLOOKUP(PUNTAJE[[#This Row],[PREGUNTA]],ENCUESTA!G:G,ENCUESTA!B:B),IF(PUNTAJE[[#This Row],[CANAL]]="MODERNO",_xlfn.XLOOKUP(PUNTAJE[[#This Row],[PREGUNTA]],ENCUESTA!G:G,ENCUESTA!C:C))))),0)</f>
        <v>40</v>
      </c>
      <c r="P42" s="36" t="str">
        <f>_xlfn.XLOOKUP(PUNTAJE[[#This Row],[PREGUNTA]],ENCUESTA!G:G,ENCUESTA!H:H)</f>
        <v>SI</v>
      </c>
      <c r="Q42" s="36">
        <f>IF(PUNTAJE[[#This Row],[RESPUESTA]]=PUNTAJE[[#This Row],[RTA CORRECTA]],PUNTAJE[[#This Row],[TOTAL PUNTAJE]],0)</f>
        <v>40</v>
      </c>
    </row>
    <row r="43" spans="1:17" x14ac:dyDescent="0.25">
      <c r="A43" t="s">
        <v>33</v>
      </c>
      <c r="B43" t="s">
        <v>55</v>
      </c>
      <c r="C43" t="s">
        <v>56</v>
      </c>
      <c r="D43" t="s">
        <v>90</v>
      </c>
      <c r="E43" s="54">
        <v>161719</v>
      </c>
      <c r="F43" t="s">
        <v>149</v>
      </c>
      <c r="G43" t="s">
        <v>113</v>
      </c>
      <c r="H43" t="s">
        <v>121</v>
      </c>
      <c r="I43" t="s">
        <v>35</v>
      </c>
      <c r="J43" s="70">
        <v>45735</v>
      </c>
      <c r="K43">
        <v>26426261</v>
      </c>
      <c r="L43" s="36" t="s">
        <v>153</v>
      </c>
      <c r="M43" t="str">
        <f>_xlfn.XLOOKUP(PUNTAJE[[#This Row],[CODIGO RUTA]],'DATA INFORME'!G:G,'DATA INFORME'!I:I)</f>
        <v>SI</v>
      </c>
      <c r="N43" t="str">
        <f>IF(PUNTAJE[[#This Row],[MYSTERY EFECTIVO]]="SI",(_xlfn.XLOOKUP(PUNTAJE[[#This Row],[PREGUNTA]],ENCUESTA!G:G,ENCUESTA!E:E)),"N/A")</f>
        <v>N/A</v>
      </c>
      <c r="O43" s="36">
        <f>IF(PUNTAJE[[#This Row],[MYSTERY EFECTIVO]]="SI",(IF(PUNTAJE[[#This Row],[CANAL]]="TRADICIONAL",_xlfn.XLOOKUP(PUNTAJE[[#This Row],[PREGUNTA]],ENCUESTA!G:G,ENCUESTA!A:A),IF(PUNTAJE[[#This Row],[CANAL]]="ESPECIALIZADO",_xlfn.XLOOKUP(PUNTAJE[[#This Row],[PREGUNTA]],ENCUESTA!G:G,ENCUESTA!B:B),IF(PUNTAJE[[#This Row],[CANAL]]="MODERNO",_xlfn.XLOOKUP(PUNTAJE[[#This Row],[PREGUNTA]],ENCUESTA!G:G,ENCUESTA!C:C))))),0)</f>
        <v>0</v>
      </c>
      <c r="P43" s="36">
        <f>_xlfn.XLOOKUP(PUNTAJE[[#This Row],[PREGUNTA]],ENCUESTA!G:G,ENCUESTA!H:H)</f>
        <v>0</v>
      </c>
      <c r="Q43" s="36">
        <f>IF(PUNTAJE[[#This Row],[RESPUESTA]]=PUNTAJE[[#This Row],[RTA CORRECTA]],PUNTAJE[[#This Row],[TOTAL PUNTAJE]],0)</f>
        <v>0</v>
      </c>
    </row>
    <row r="44" spans="1:17" x14ac:dyDescent="0.25">
      <c r="A44" t="s">
        <v>33</v>
      </c>
      <c r="B44" t="s">
        <v>55</v>
      </c>
      <c r="C44" t="s">
        <v>56</v>
      </c>
      <c r="D44" t="s">
        <v>90</v>
      </c>
      <c r="E44" s="54">
        <v>161719</v>
      </c>
      <c r="F44" t="s">
        <v>149</v>
      </c>
      <c r="G44" t="s">
        <v>114</v>
      </c>
      <c r="H44" t="s">
        <v>121</v>
      </c>
      <c r="I44" t="s">
        <v>154</v>
      </c>
      <c r="J44" s="70">
        <v>45735</v>
      </c>
      <c r="K44">
        <v>26426261</v>
      </c>
      <c r="L44" s="36" t="s">
        <v>153</v>
      </c>
      <c r="M44" t="str">
        <f>_xlfn.XLOOKUP(PUNTAJE[[#This Row],[CODIGO RUTA]],'DATA INFORME'!G:G,'DATA INFORME'!I:I)</f>
        <v>SI</v>
      </c>
      <c r="N44" t="str">
        <f>IF(PUNTAJE[[#This Row],[MYSTERY EFECTIVO]]="SI",(_xlfn.XLOOKUP(PUNTAJE[[#This Row],[PREGUNTA]],ENCUESTA!G:G,ENCUESTA!E:E)),"N/A")</f>
        <v>N/A</v>
      </c>
      <c r="O44" s="36">
        <f>IF(PUNTAJE[[#This Row],[MYSTERY EFECTIVO]]="SI",(IF(PUNTAJE[[#This Row],[CANAL]]="TRADICIONAL",_xlfn.XLOOKUP(PUNTAJE[[#This Row],[PREGUNTA]],ENCUESTA!G:G,ENCUESTA!A:A),IF(PUNTAJE[[#This Row],[CANAL]]="ESPECIALIZADO",_xlfn.XLOOKUP(PUNTAJE[[#This Row],[PREGUNTA]],ENCUESTA!G:G,ENCUESTA!B:B),IF(PUNTAJE[[#This Row],[CANAL]]="MODERNO",_xlfn.XLOOKUP(PUNTAJE[[#This Row],[PREGUNTA]],ENCUESTA!G:G,ENCUESTA!C:C))))),0)</f>
        <v>0</v>
      </c>
      <c r="P44" s="36">
        <f>_xlfn.XLOOKUP(PUNTAJE[[#This Row],[PREGUNTA]],ENCUESTA!G:G,ENCUESTA!H:H)</f>
        <v>0</v>
      </c>
      <c r="Q44" s="36">
        <f>IF(PUNTAJE[[#This Row],[RESPUESTA]]=PUNTAJE[[#This Row],[RTA CORRECTA]],PUNTAJE[[#This Row],[TOTAL PUNTAJE]],0)</f>
        <v>0</v>
      </c>
    </row>
    <row r="45" spans="1:17" x14ac:dyDescent="0.25">
      <c r="A45" t="s">
        <v>33</v>
      </c>
      <c r="B45" t="s">
        <v>6</v>
      </c>
      <c r="C45" t="s">
        <v>56</v>
      </c>
      <c r="D45" t="s">
        <v>90</v>
      </c>
      <c r="E45" s="54">
        <v>66552</v>
      </c>
      <c r="F45" t="s">
        <v>157</v>
      </c>
      <c r="G45" t="s">
        <v>45</v>
      </c>
      <c r="H45" t="s">
        <v>121</v>
      </c>
      <c r="I45" t="s">
        <v>35</v>
      </c>
      <c r="J45" s="70">
        <v>45737</v>
      </c>
      <c r="K45">
        <v>26440178</v>
      </c>
      <c r="L45" s="36" t="s">
        <v>161</v>
      </c>
      <c r="M45" t="str">
        <f>_xlfn.XLOOKUP(PUNTAJE[[#This Row],[CODIGO RUTA]],'DATA INFORME'!G:G,'DATA INFORME'!I:I)</f>
        <v>SI</v>
      </c>
      <c r="N45" t="str">
        <f>IF(PUNTAJE[[#This Row],[MYSTERY EFECTIVO]]="SI",(_xlfn.XLOOKUP(PUNTAJE[[#This Row],[PREGUNTA]],ENCUESTA!G:G,ENCUESTA!E:E)),"N/A")</f>
        <v>HORARIO</v>
      </c>
      <c r="O45" s="36">
        <f>IF(PUNTAJE[[#This Row],[MYSTERY EFECTIVO]]="SI",(IF(PUNTAJE[[#This Row],[CANAL]]="TRADICIONAL",_xlfn.XLOOKUP(PUNTAJE[[#This Row],[PREGUNTA]],ENCUESTA!G:G,ENCUESTA!A:A),IF(PUNTAJE[[#This Row],[CANAL]]="ESPECIALIZADO",_xlfn.XLOOKUP(PUNTAJE[[#This Row],[PREGUNTA]],ENCUESTA!G:G,ENCUESTA!B:B),IF(PUNTAJE[[#This Row],[CANAL]]="MODERNO",_xlfn.XLOOKUP(PUNTAJE[[#This Row],[PREGUNTA]],ENCUESTA!G:G,ENCUESTA!C:C))))),0)</f>
        <v>20</v>
      </c>
      <c r="P45" s="36" t="str">
        <f>_xlfn.XLOOKUP(PUNTAJE[[#This Row],[PREGUNTA]],ENCUESTA!G:G,ENCUESTA!H:H)</f>
        <v>SI</v>
      </c>
      <c r="Q45" s="36">
        <f>IF(PUNTAJE[[#This Row],[RESPUESTA]]=PUNTAJE[[#This Row],[RTA CORRECTA]],PUNTAJE[[#This Row],[TOTAL PUNTAJE]],0)</f>
        <v>20</v>
      </c>
    </row>
    <row r="46" spans="1:17" x14ac:dyDescent="0.25">
      <c r="A46" t="s">
        <v>33</v>
      </c>
      <c r="B46" t="s">
        <v>6</v>
      </c>
      <c r="C46" t="s">
        <v>56</v>
      </c>
      <c r="D46" t="s">
        <v>90</v>
      </c>
      <c r="E46" s="54">
        <v>66552</v>
      </c>
      <c r="F46" t="s">
        <v>157</v>
      </c>
      <c r="G46" t="s">
        <v>38</v>
      </c>
      <c r="H46" t="s">
        <v>121</v>
      </c>
      <c r="I46" t="s">
        <v>35</v>
      </c>
      <c r="J46" s="70">
        <v>45737</v>
      </c>
      <c r="K46">
        <v>26440178</v>
      </c>
      <c r="L46" s="36" t="s">
        <v>161</v>
      </c>
      <c r="M46" t="str">
        <f>_xlfn.XLOOKUP(PUNTAJE[[#This Row],[CODIGO RUTA]],'DATA INFORME'!G:G,'DATA INFORME'!I:I)</f>
        <v>SI</v>
      </c>
      <c r="N46" t="str">
        <f>IF(PUNTAJE[[#This Row],[MYSTERY EFECTIVO]]="SI",(_xlfn.XLOOKUP(PUNTAJE[[#This Row],[PREGUNTA]],ENCUESTA!G:G,ENCUESTA!E:E)),"N/A")</f>
        <v>PRESENTACIÓN PERSONAL</v>
      </c>
      <c r="O46" s="36">
        <f>IF(PUNTAJE[[#This Row],[MYSTERY EFECTIVO]]="SI",(IF(PUNTAJE[[#This Row],[CANAL]]="TRADICIONAL",_xlfn.XLOOKUP(PUNTAJE[[#This Row],[PREGUNTA]],ENCUESTA!G:G,ENCUESTA!A:A),IF(PUNTAJE[[#This Row],[CANAL]]="ESPECIALIZADO",_xlfn.XLOOKUP(PUNTAJE[[#This Row],[PREGUNTA]],ENCUESTA!G:G,ENCUESTA!B:B),IF(PUNTAJE[[#This Row],[CANAL]]="MODERNO",_xlfn.XLOOKUP(PUNTAJE[[#This Row],[PREGUNTA]],ENCUESTA!G:G,ENCUESTA!C:C))))),0)</f>
        <v>1</v>
      </c>
      <c r="P46" s="36" t="str">
        <f>_xlfn.XLOOKUP(PUNTAJE[[#This Row],[PREGUNTA]],ENCUESTA!G:G,ENCUESTA!H:H)</f>
        <v>SI</v>
      </c>
      <c r="Q46" s="36">
        <f>IF(PUNTAJE[[#This Row],[RESPUESTA]]=PUNTAJE[[#This Row],[RTA CORRECTA]],PUNTAJE[[#This Row],[TOTAL PUNTAJE]],0)</f>
        <v>1</v>
      </c>
    </row>
    <row r="47" spans="1:17" x14ac:dyDescent="0.25">
      <c r="A47" t="s">
        <v>33</v>
      </c>
      <c r="B47" t="s">
        <v>6</v>
      </c>
      <c r="C47" t="s">
        <v>56</v>
      </c>
      <c r="D47" t="s">
        <v>90</v>
      </c>
      <c r="E47" s="54">
        <v>66552</v>
      </c>
      <c r="F47" t="s">
        <v>157</v>
      </c>
      <c r="G47" t="s">
        <v>94</v>
      </c>
      <c r="H47" t="s">
        <v>121</v>
      </c>
      <c r="I47" t="s">
        <v>35</v>
      </c>
      <c r="J47" s="70">
        <v>45737</v>
      </c>
      <c r="K47">
        <v>26440178</v>
      </c>
      <c r="L47" s="36" t="s">
        <v>161</v>
      </c>
      <c r="M47" t="str">
        <f>_xlfn.XLOOKUP(PUNTAJE[[#This Row],[CODIGO RUTA]],'DATA INFORME'!G:G,'DATA INFORME'!I:I)</f>
        <v>SI</v>
      </c>
      <c r="N47" t="str">
        <f>IF(PUNTAJE[[#This Row],[MYSTERY EFECTIVO]]="SI",(_xlfn.XLOOKUP(PUNTAJE[[#This Row],[PREGUNTA]],ENCUESTA!G:G,ENCUESTA!E:E)),"N/A")</f>
        <v>PRESENTACIÓN PERSONAL</v>
      </c>
      <c r="O47" s="36">
        <f>IF(PUNTAJE[[#This Row],[MYSTERY EFECTIVO]]="SI",(IF(PUNTAJE[[#This Row],[CANAL]]="TRADICIONAL",_xlfn.XLOOKUP(PUNTAJE[[#This Row],[PREGUNTA]],ENCUESTA!G:G,ENCUESTA!A:A),IF(PUNTAJE[[#This Row],[CANAL]]="ESPECIALIZADO",_xlfn.XLOOKUP(PUNTAJE[[#This Row],[PREGUNTA]],ENCUESTA!G:G,ENCUESTA!B:B),IF(PUNTAJE[[#This Row],[CANAL]]="MODERNO",_xlfn.XLOOKUP(PUNTAJE[[#This Row],[PREGUNTA]],ENCUESTA!G:G,ENCUESTA!C:C))))),0)</f>
        <v>1</v>
      </c>
      <c r="P47" s="36" t="str">
        <f>_xlfn.XLOOKUP(PUNTAJE[[#This Row],[PREGUNTA]],ENCUESTA!G:G,ENCUESTA!H:H)</f>
        <v>SI</v>
      </c>
      <c r="Q47" s="36">
        <f>IF(PUNTAJE[[#This Row],[RESPUESTA]]=PUNTAJE[[#This Row],[RTA CORRECTA]],PUNTAJE[[#This Row],[TOTAL PUNTAJE]],0)</f>
        <v>1</v>
      </c>
    </row>
    <row r="48" spans="1:17" x14ac:dyDescent="0.25">
      <c r="A48" t="s">
        <v>33</v>
      </c>
      <c r="B48" t="s">
        <v>6</v>
      </c>
      <c r="C48" t="s">
        <v>56</v>
      </c>
      <c r="D48" t="s">
        <v>90</v>
      </c>
      <c r="E48" s="54">
        <v>66552</v>
      </c>
      <c r="F48" t="s">
        <v>157</v>
      </c>
      <c r="G48" t="s">
        <v>39</v>
      </c>
      <c r="H48" t="s">
        <v>121</v>
      </c>
      <c r="I48" t="s">
        <v>35</v>
      </c>
      <c r="J48" s="70">
        <v>45737</v>
      </c>
      <c r="K48">
        <v>26440178</v>
      </c>
      <c r="L48" s="36" t="s">
        <v>161</v>
      </c>
      <c r="M48" t="str">
        <f>_xlfn.XLOOKUP(PUNTAJE[[#This Row],[CODIGO RUTA]],'DATA INFORME'!G:G,'DATA INFORME'!I:I)</f>
        <v>SI</v>
      </c>
      <c r="N48" t="str">
        <f>IF(PUNTAJE[[#This Row],[MYSTERY EFECTIVO]]="SI",(_xlfn.XLOOKUP(PUNTAJE[[#This Row],[PREGUNTA]],ENCUESTA!G:G,ENCUESTA!E:E)),"N/A")</f>
        <v>PRESENTACIÓN PERSONAL</v>
      </c>
      <c r="O48" s="36">
        <f>IF(PUNTAJE[[#This Row],[MYSTERY EFECTIVO]]="SI",(IF(PUNTAJE[[#This Row],[CANAL]]="TRADICIONAL",_xlfn.XLOOKUP(PUNTAJE[[#This Row],[PREGUNTA]],ENCUESTA!G:G,ENCUESTA!A:A),IF(PUNTAJE[[#This Row],[CANAL]]="ESPECIALIZADO",_xlfn.XLOOKUP(PUNTAJE[[#This Row],[PREGUNTA]],ENCUESTA!G:G,ENCUESTA!B:B),IF(PUNTAJE[[#This Row],[CANAL]]="MODERNO",_xlfn.XLOOKUP(PUNTAJE[[#This Row],[PREGUNTA]],ENCUESTA!G:G,ENCUESTA!C:C))))),0)</f>
        <v>1</v>
      </c>
      <c r="P48" s="36" t="str">
        <f>_xlfn.XLOOKUP(PUNTAJE[[#This Row],[PREGUNTA]],ENCUESTA!G:G,ENCUESTA!H:H)</f>
        <v>SI</v>
      </c>
      <c r="Q48" s="36">
        <f>IF(PUNTAJE[[#This Row],[RESPUESTA]]=PUNTAJE[[#This Row],[RTA CORRECTA]],PUNTAJE[[#This Row],[TOTAL PUNTAJE]],0)</f>
        <v>1</v>
      </c>
    </row>
    <row r="49" spans="1:17" x14ac:dyDescent="0.25">
      <c r="A49" t="s">
        <v>33</v>
      </c>
      <c r="B49" t="s">
        <v>6</v>
      </c>
      <c r="C49" t="s">
        <v>56</v>
      </c>
      <c r="D49" t="s">
        <v>90</v>
      </c>
      <c r="E49" s="54">
        <v>66552</v>
      </c>
      <c r="F49" t="s">
        <v>157</v>
      </c>
      <c r="G49" t="s">
        <v>95</v>
      </c>
      <c r="H49" t="s">
        <v>121</v>
      </c>
      <c r="I49" t="s">
        <v>34</v>
      </c>
      <c r="J49" s="70">
        <v>45737</v>
      </c>
      <c r="K49">
        <v>26440178</v>
      </c>
      <c r="L49" s="36" t="s">
        <v>161</v>
      </c>
      <c r="M49" t="str">
        <f>_xlfn.XLOOKUP(PUNTAJE[[#This Row],[CODIGO RUTA]],'DATA INFORME'!G:G,'DATA INFORME'!I:I)</f>
        <v>SI</v>
      </c>
      <c r="N49" t="str">
        <f>IF(PUNTAJE[[#This Row],[MYSTERY EFECTIVO]]="SI",(_xlfn.XLOOKUP(PUNTAJE[[#This Row],[PREGUNTA]],ENCUESTA!G:G,ENCUESTA!E:E)),"N/A")</f>
        <v>PRESENTACIÓN PERSONAL</v>
      </c>
      <c r="O49" s="36">
        <f>IF(PUNTAJE[[#This Row],[MYSTERY EFECTIVO]]="SI",(IF(PUNTAJE[[#This Row],[CANAL]]="TRADICIONAL",_xlfn.XLOOKUP(PUNTAJE[[#This Row],[PREGUNTA]],ENCUESTA!G:G,ENCUESTA!A:A),IF(PUNTAJE[[#This Row],[CANAL]]="ESPECIALIZADO",_xlfn.XLOOKUP(PUNTAJE[[#This Row],[PREGUNTA]],ENCUESTA!G:G,ENCUESTA!B:B),IF(PUNTAJE[[#This Row],[CANAL]]="MODERNO",_xlfn.XLOOKUP(PUNTAJE[[#This Row],[PREGUNTA]],ENCUESTA!G:G,ENCUESTA!C:C))))),0)</f>
        <v>1</v>
      </c>
      <c r="P49" s="36" t="str">
        <f>_xlfn.XLOOKUP(PUNTAJE[[#This Row],[PREGUNTA]],ENCUESTA!G:G,ENCUESTA!H:H)</f>
        <v>NO</v>
      </c>
      <c r="Q49" s="36">
        <f>IF(PUNTAJE[[#This Row],[RESPUESTA]]=PUNTAJE[[#This Row],[RTA CORRECTA]],PUNTAJE[[#This Row],[TOTAL PUNTAJE]],0)</f>
        <v>1</v>
      </c>
    </row>
    <row r="50" spans="1:17" x14ac:dyDescent="0.25">
      <c r="A50" t="s">
        <v>33</v>
      </c>
      <c r="B50" t="s">
        <v>6</v>
      </c>
      <c r="C50" t="s">
        <v>56</v>
      </c>
      <c r="D50" t="s">
        <v>90</v>
      </c>
      <c r="E50" s="54">
        <v>66552</v>
      </c>
      <c r="F50" t="s">
        <v>157</v>
      </c>
      <c r="G50" t="s">
        <v>37</v>
      </c>
      <c r="H50" t="s">
        <v>121</v>
      </c>
      <c r="I50" t="s">
        <v>35</v>
      </c>
      <c r="J50" s="70">
        <v>45737</v>
      </c>
      <c r="K50">
        <v>26440178</v>
      </c>
      <c r="L50" s="36" t="s">
        <v>161</v>
      </c>
      <c r="M50" t="str">
        <f>_xlfn.XLOOKUP(PUNTAJE[[#This Row],[CODIGO RUTA]],'DATA INFORME'!G:G,'DATA INFORME'!I:I)</f>
        <v>SI</v>
      </c>
      <c r="N50" t="str">
        <f>IF(PUNTAJE[[#This Row],[MYSTERY EFECTIVO]]="SI",(_xlfn.XLOOKUP(PUNTAJE[[#This Row],[PREGUNTA]],ENCUESTA!G:G,ENCUESTA!E:E)),"N/A")</f>
        <v>PRESENTACIÓN PERSONAL</v>
      </c>
      <c r="O50" s="36">
        <f>IF(PUNTAJE[[#This Row],[MYSTERY EFECTIVO]]="SI",(IF(PUNTAJE[[#This Row],[CANAL]]="TRADICIONAL",_xlfn.XLOOKUP(PUNTAJE[[#This Row],[PREGUNTA]],ENCUESTA!G:G,ENCUESTA!A:A),IF(PUNTAJE[[#This Row],[CANAL]]="ESPECIALIZADO",_xlfn.XLOOKUP(PUNTAJE[[#This Row],[PREGUNTA]],ENCUESTA!G:G,ENCUESTA!B:B),IF(PUNTAJE[[#This Row],[CANAL]]="MODERNO",_xlfn.XLOOKUP(PUNTAJE[[#This Row],[PREGUNTA]],ENCUESTA!G:G,ENCUESTA!C:C))))),0)</f>
        <v>1</v>
      </c>
      <c r="P50" s="36" t="str">
        <f>_xlfn.XLOOKUP(PUNTAJE[[#This Row],[PREGUNTA]],ENCUESTA!G:G,ENCUESTA!H:H)</f>
        <v>SI</v>
      </c>
      <c r="Q50" s="36">
        <f>IF(PUNTAJE[[#This Row],[RESPUESTA]]=PUNTAJE[[#This Row],[RTA CORRECTA]],PUNTAJE[[#This Row],[TOTAL PUNTAJE]],0)</f>
        <v>1</v>
      </c>
    </row>
    <row r="51" spans="1:17" x14ac:dyDescent="0.25">
      <c r="A51" t="s">
        <v>33</v>
      </c>
      <c r="B51" t="s">
        <v>6</v>
      </c>
      <c r="C51" t="s">
        <v>56</v>
      </c>
      <c r="D51" t="s">
        <v>90</v>
      </c>
      <c r="E51" s="54">
        <v>66552</v>
      </c>
      <c r="F51" t="s">
        <v>157</v>
      </c>
      <c r="G51" t="s">
        <v>43</v>
      </c>
      <c r="H51" t="s">
        <v>121</v>
      </c>
      <c r="I51" t="s">
        <v>35</v>
      </c>
      <c r="J51" s="70">
        <v>45737</v>
      </c>
      <c r="K51">
        <v>26440178</v>
      </c>
      <c r="L51" s="36" t="s">
        <v>161</v>
      </c>
      <c r="M51" t="str">
        <f>_xlfn.XLOOKUP(PUNTAJE[[#This Row],[CODIGO RUTA]],'DATA INFORME'!G:G,'DATA INFORME'!I:I)</f>
        <v>SI</v>
      </c>
      <c r="N51" t="str">
        <f>IF(PUNTAJE[[#This Row],[MYSTERY EFECTIVO]]="SI",(_xlfn.XLOOKUP(PUNTAJE[[#This Row],[PREGUNTA]],ENCUESTA!G:G,ENCUESTA!E:E)),"N/A")</f>
        <v>PRESENTACIÓN PERSONAL</v>
      </c>
      <c r="O51" s="36">
        <f>IF(PUNTAJE[[#This Row],[MYSTERY EFECTIVO]]="SI",(IF(PUNTAJE[[#This Row],[CANAL]]="TRADICIONAL",_xlfn.XLOOKUP(PUNTAJE[[#This Row],[PREGUNTA]],ENCUESTA!G:G,ENCUESTA!A:A),IF(PUNTAJE[[#This Row],[CANAL]]="ESPECIALIZADO",_xlfn.XLOOKUP(PUNTAJE[[#This Row],[PREGUNTA]],ENCUESTA!G:G,ENCUESTA!B:B),IF(PUNTAJE[[#This Row],[CANAL]]="MODERNO",_xlfn.XLOOKUP(PUNTAJE[[#This Row],[PREGUNTA]],ENCUESTA!G:G,ENCUESTA!C:C))))),0)</f>
        <v>1</v>
      </c>
      <c r="P51" s="36" t="str">
        <f>_xlfn.XLOOKUP(PUNTAJE[[#This Row],[PREGUNTA]],ENCUESTA!G:G,ENCUESTA!H:H)</f>
        <v>SI</v>
      </c>
      <c r="Q51" s="36">
        <f>IF(PUNTAJE[[#This Row],[RESPUESTA]]=PUNTAJE[[#This Row],[RTA CORRECTA]],PUNTAJE[[#This Row],[TOTAL PUNTAJE]],0)</f>
        <v>1</v>
      </c>
    </row>
    <row r="52" spans="1:17" x14ac:dyDescent="0.25">
      <c r="A52" t="s">
        <v>33</v>
      </c>
      <c r="B52" t="s">
        <v>6</v>
      </c>
      <c r="C52" t="s">
        <v>56</v>
      </c>
      <c r="D52" t="s">
        <v>90</v>
      </c>
      <c r="E52" s="54">
        <v>66552</v>
      </c>
      <c r="F52" t="s">
        <v>157</v>
      </c>
      <c r="G52" t="s">
        <v>44</v>
      </c>
      <c r="H52" t="s">
        <v>121</v>
      </c>
      <c r="I52" t="s">
        <v>34</v>
      </c>
      <c r="J52" s="70">
        <v>45737</v>
      </c>
      <c r="K52">
        <v>26440178</v>
      </c>
      <c r="L52" s="36" t="s">
        <v>161</v>
      </c>
      <c r="M52" t="str">
        <f>_xlfn.XLOOKUP(PUNTAJE[[#This Row],[CODIGO RUTA]],'DATA INFORME'!G:G,'DATA INFORME'!I:I)</f>
        <v>SI</v>
      </c>
      <c r="N52" t="str">
        <f>IF(PUNTAJE[[#This Row],[MYSTERY EFECTIVO]]="SI",(_xlfn.XLOOKUP(PUNTAJE[[#This Row],[PREGUNTA]],ENCUESTA!G:G,ENCUESTA!E:E)),"N/A")</f>
        <v>PRESENTACIÓN PERSONAL</v>
      </c>
      <c r="O52" s="36">
        <f>IF(PUNTAJE[[#This Row],[MYSTERY EFECTIVO]]="SI",(IF(PUNTAJE[[#This Row],[CANAL]]="TRADICIONAL",_xlfn.XLOOKUP(PUNTAJE[[#This Row],[PREGUNTA]],ENCUESTA!G:G,ENCUESTA!A:A),IF(PUNTAJE[[#This Row],[CANAL]]="ESPECIALIZADO",_xlfn.XLOOKUP(PUNTAJE[[#This Row],[PREGUNTA]],ENCUESTA!G:G,ENCUESTA!B:B),IF(PUNTAJE[[#This Row],[CANAL]]="MODERNO",_xlfn.XLOOKUP(PUNTAJE[[#This Row],[PREGUNTA]],ENCUESTA!G:G,ENCUESTA!C:C))))),0)</f>
        <v>1</v>
      </c>
      <c r="P52" s="36" t="str">
        <f>_xlfn.XLOOKUP(PUNTAJE[[#This Row],[PREGUNTA]],ENCUESTA!G:G,ENCUESTA!H:H)</f>
        <v>NO</v>
      </c>
      <c r="Q52" s="36">
        <f>IF(PUNTAJE[[#This Row],[RESPUESTA]]=PUNTAJE[[#This Row],[RTA CORRECTA]],PUNTAJE[[#This Row],[TOTAL PUNTAJE]],0)</f>
        <v>1</v>
      </c>
    </row>
    <row r="53" spans="1:17" x14ac:dyDescent="0.25">
      <c r="A53" t="s">
        <v>33</v>
      </c>
      <c r="B53" t="s">
        <v>6</v>
      </c>
      <c r="C53" t="s">
        <v>56</v>
      </c>
      <c r="D53" t="s">
        <v>90</v>
      </c>
      <c r="E53" s="54">
        <v>66552</v>
      </c>
      <c r="F53" t="s">
        <v>157</v>
      </c>
      <c r="G53" t="s">
        <v>42</v>
      </c>
      <c r="H53" t="s">
        <v>121</v>
      </c>
      <c r="I53" t="s">
        <v>34</v>
      </c>
      <c r="J53" s="70">
        <v>45737</v>
      </c>
      <c r="K53">
        <v>26440178</v>
      </c>
      <c r="L53" s="36" t="s">
        <v>161</v>
      </c>
      <c r="M53" t="str">
        <f>_xlfn.XLOOKUP(PUNTAJE[[#This Row],[CODIGO RUTA]],'DATA INFORME'!G:G,'DATA INFORME'!I:I)</f>
        <v>SI</v>
      </c>
      <c r="N53" t="str">
        <f>IF(PUNTAJE[[#This Row],[MYSTERY EFECTIVO]]="SI",(_xlfn.XLOOKUP(PUNTAJE[[#This Row],[PREGUNTA]],ENCUESTA!G:G,ENCUESTA!E:E)),"N/A")</f>
        <v>PRESENTACIÓN PERSONAL</v>
      </c>
      <c r="O53" s="36">
        <f>IF(PUNTAJE[[#This Row],[MYSTERY EFECTIVO]]="SI",(IF(PUNTAJE[[#This Row],[CANAL]]="TRADICIONAL",_xlfn.XLOOKUP(PUNTAJE[[#This Row],[PREGUNTA]],ENCUESTA!G:G,ENCUESTA!A:A),IF(PUNTAJE[[#This Row],[CANAL]]="ESPECIALIZADO",_xlfn.XLOOKUP(PUNTAJE[[#This Row],[PREGUNTA]],ENCUESTA!G:G,ENCUESTA!B:B),IF(PUNTAJE[[#This Row],[CANAL]]="MODERNO",_xlfn.XLOOKUP(PUNTAJE[[#This Row],[PREGUNTA]],ENCUESTA!G:G,ENCUESTA!C:C))))),0)</f>
        <v>1</v>
      </c>
      <c r="P53" s="36" t="str">
        <f>_xlfn.XLOOKUP(PUNTAJE[[#This Row],[PREGUNTA]],ENCUESTA!G:G,ENCUESTA!H:H)</f>
        <v>NO</v>
      </c>
      <c r="Q53" s="36">
        <f>IF(PUNTAJE[[#This Row],[RESPUESTA]]=PUNTAJE[[#This Row],[RTA CORRECTA]],PUNTAJE[[#This Row],[TOTAL PUNTAJE]],0)</f>
        <v>1</v>
      </c>
    </row>
    <row r="54" spans="1:17" x14ac:dyDescent="0.25">
      <c r="A54" t="s">
        <v>33</v>
      </c>
      <c r="B54" t="s">
        <v>6</v>
      </c>
      <c r="C54" t="s">
        <v>56</v>
      </c>
      <c r="D54" t="s">
        <v>90</v>
      </c>
      <c r="E54" s="54">
        <v>66552</v>
      </c>
      <c r="F54" t="s">
        <v>157</v>
      </c>
      <c r="G54" t="s">
        <v>41</v>
      </c>
      <c r="H54" t="s">
        <v>121</v>
      </c>
      <c r="I54" t="s">
        <v>34</v>
      </c>
      <c r="J54" s="70">
        <v>45737</v>
      </c>
      <c r="K54">
        <v>26440178</v>
      </c>
      <c r="L54" s="36" t="s">
        <v>161</v>
      </c>
      <c r="M54" t="str">
        <f>_xlfn.XLOOKUP(PUNTAJE[[#This Row],[CODIGO RUTA]],'DATA INFORME'!G:G,'DATA INFORME'!I:I)</f>
        <v>SI</v>
      </c>
      <c r="N54" t="str">
        <f>IF(PUNTAJE[[#This Row],[MYSTERY EFECTIVO]]="SI",(_xlfn.XLOOKUP(PUNTAJE[[#This Row],[PREGUNTA]],ENCUESTA!G:G,ENCUESTA!E:E)),"N/A")</f>
        <v>PRESENTACIÓN PERSONAL</v>
      </c>
      <c r="O54" s="36">
        <f>IF(PUNTAJE[[#This Row],[MYSTERY EFECTIVO]]="SI",(IF(PUNTAJE[[#This Row],[CANAL]]="TRADICIONAL",_xlfn.XLOOKUP(PUNTAJE[[#This Row],[PREGUNTA]],ENCUESTA!G:G,ENCUESTA!A:A),IF(PUNTAJE[[#This Row],[CANAL]]="ESPECIALIZADO",_xlfn.XLOOKUP(PUNTAJE[[#This Row],[PREGUNTA]],ENCUESTA!G:G,ENCUESTA!B:B),IF(PUNTAJE[[#This Row],[CANAL]]="MODERNO",_xlfn.XLOOKUP(PUNTAJE[[#This Row],[PREGUNTA]],ENCUESTA!G:G,ENCUESTA!C:C))))),0)</f>
        <v>1</v>
      </c>
      <c r="P54" s="36" t="str">
        <f>_xlfn.XLOOKUP(PUNTAJE[[#This Row],[PREGUNTA]],ENCUESTA!G:G,ENCUESTA!H:H)</f>
        <v>NO</v>
      </c>
      <c r="Q54" s="36">
        <f>IF(PUNTAJE[[#This Row],[RESPUESTA]]=PUNTAJE[[#This Row],[RTA CORRECTA]],PUNTAJE[[#This Row],[TOTAL PUNTAJE]],0)</f>
        <v>1</v>
      </c>
    </row>
    <row r="55" spans="1:17" x14ac:dyDescent="0.25">
      <c r="A55" t="s">
        <v>33</v>
      </c>
      <c r="B55" t="s">
        <v>6</v>
      </c>
      <c r="C55" t="s">
        <v>56</v>
      </c>
      <c r="D55" t="s">
        <v>90</v>
      </c>
      <c r="E55" s="54">
        <v>66552</v>
      </c>
      <c r="F55" t="s">
        <v>157</v>
      </c>
      <c r="G55" t="s">
        <v>40</v>
      </c>
      <c r="H55" t="s">
        <v>121</v>
      </c>
      <c r="I55" t="s">
        <v>34</v>
      </c>
      <c r="J55" s="70">
        <v>45737</v>
      </c>
      <c r="K55">
        <v>26440178</v>
      </c>
      <c r="L55" s="36" t="s">
        <v>161</v>
      </c>
      <c r="M55" t="str">
        <f>_xlfn.XLOOKUP(PUNTAJE[[#This Row],[CODIGO RUTA]],'DATA INFORME'!G:G,'DATA INFORME'!I:I)</f>
        <v>SI</v>
      </c>
      <c r="N55" t="str">
        <f>IF(PUNTAJE[[#This Row],[MYSTERY EFECTIVO]]="SI",(_xlfn.XLOOKUP(PUNTAJE[[#This Row],[PREGUNTA]],ENCUESTA!G:G,ENCUESTA!E:E)),"N/A")</f>
        <v>PRESENTACIÓN PERSONAL</v>
      </c>
      <c r="O55" s="36">
        <f>IF(PUNTAJE[[#This Row],[MYSTERY EFECTIVO]]="SI",(IF(PUNTAJE[[#This Row],[CANAL]]="TRADICIONAL",_xlfn.XLOOKUP(PUNTAJE[[#This Row],[PREGUNTA]],ENCUESTA!G:G,ENCUESTA!A:A),IF(PUNTAJE[[#This Row],[CANAL]]="ESPECIALIZADO",_xlfn.XLOOKUP(PUNTAJE[[#This Row],[PREGUNTA]],ENCUESTA!G:G,ENCUESTA!B:B),IF(PUNTAJE[[#This Row],[CANAL]]="MODERNO",_xlfn.XLOOKUP(PUNTAJE[[#This Row],[PREGUNTA]],ENCUESTA!G:G,ENCUESTA!C:C))))),0)</f>
        <v>1</v>
      </c>
      <c r="P55" s="36" t="str">
        <f>_xlfn.XLOOKUP(PUNTAJE[[#This Row],[PREGUNTA]],ENCUESTA!G:G,ENCUESTA!H:H)</f>
        <v>NO</v>
      </c>
      <c r="Q55" s="36">
        <f>IF(PUNTAJE[[#This Row],[RESPUESTA]]=PUNTAJE[[#This Row],[RTA CORRECTA]],PUNTAJE[[#This Row],[TOTAL PUNTAJE]],0)</f>
        <v>1</v>
      </c>
    </row>
    <row r="56" spans="1:17" x14ac:dyDescent="0.25">
      <c r="A56" t="s">
        <v>33</v>
      </c>
      <c r="B56" t="s">
        <v>6</v>
      </c>
      <c r="C56" t="s">
        <v>56</v>
      </c>
      <c r="D56" t="s">
        <v>90</v>
      </c>
      <c r="E56" s="54">
        <v>66552</v>
      </c>
      <c r="F56" t="s">
        <v>157</v>
      </c>
      <c r="G56" t="s">
        <v>96</v>
      </c>
      <c r="H56" t="s">
        <v>121</v>
      </c>
      <c r="I56" t="s">
        <v>35</v>
      </c>
      <c r="J56" s="70">
        <v>45737</v>
      </c>
      <c r="K56">
        <v>26440178</v>
      </c>
      <c r="L56" s="36" t="s">
        <v>161</v>
      </c>
      <c r="M56" t="str">
        <f>_xlfn.XLOOKUP(PUNTAJE[[#This Row],[CODIGO RUTA]],'DATA INFORME'!G:G,'DATA INFORME'!I:I)</f>
        <v>SI</v>
      </c>
      <c r="N56" t="str">
        <f>IF(PUNTAJE[[#This Row],[MYSTERY EFECTIVO]]="SI",(_xlfn.XLOOKUP(PUNTAJE[[#This Row],[PREGUNTA]],ENCUESTA!G:G,ENCUESTA!E:E)),"N/A")</f>
        <v>EJECUCION DEL PDV</v>
      </c>
      <c r="O56" s="36">
        <f>IF(PUNTAJE[[#This Row],[MYSTERY EFECTIVO]]="SI",(IF(PUNTAJE[[#This Row],[CANAL]]="TRADICIONAL",_xlfn.XLOOKUP(PUNTAJE[[#This Row],[PREGUNTA]],ENCUESTA!G:G,ENCUESTA!A:A),IF(PUNTAJE[[#This Row],[CANAL]]="ESPECIALIZADO",_xlfn.XLOOKUP(PUNTAJE[[#This Row],[PREGUNTA]],ENCUESTA!G:G,ENCUESTA!B:B),IF(PUNTAJE[[#This Row],[CANAL]]="MODERNO",_xlfn.XLOOKUP(PUNTAJE[[#This Row],[PREGUNTA]],ENCUESTA!G:G,ENCUESTA!C:C))))),0)</f>
        <v>4.2</v>
      </c>
      <c r="P56" s="36" t="str">
        <f>_xlfn.XLOOKUP(PUNTAJE[[#This Row],[PREGUNTA]],ENCUESTA!G:G,ENCUESTA!H:H)</f>
        <v>SI</v>
      </c>
      <c r="Q56" s="36">
        <f>IF(PUNTAJE[[#This Row],[RESPUESTA]]=PUNTAJE[[#This Row],[RTA CORRECTA]],PUNTAJE[[#This Row],[TOTAL PUNTAJE]],0)</f>
        <v>4.2</v>
      </c>
    </row>
    <row r="57" spans="1:17" x14ac:dyDescent="0.25">
      <c r="A57" t="s">
        <v>33</v>
      </c>
      <c r="B57" t="s">
        <v>6</v>
      </c>
      <c r="C57" t="s">
        <v>56</v>
      </c>
      <c r="D57" t="s">
        <v>90</v>
      </c>
      <c r="E57" s="54">
        <v>66552</v>
      </c>
      <c r="F57" t="s">
        <v>157</v>
      </c>
      <c r="G57" t="s">
        <v>97</v>
      </c>
      <c r="H57" t="s">
        <v>121</v>
      </c>
      <c r="I57" t="s">
        <v>35</v>
      </c>
      <c r="J57" s="70">
        <v>45737</v>
      </c>
      <c r="K57">
        <v>26440178</v>
      </c>
      <c r="L57" s="36" t="s">
        <v>161</v>
      </c>
      <c r="M57" t="str">
        <f>_xlfn.XLOOKUP(PUNTAJE[[#This Row],[CODIGO RUTA]],'DATA INFORME'!G:G,'DATA INFORME'!I:I)</f>
        <v>SI</v>
      </c>
      <c r="N57" t="str">
        <f>IF(PUNTAJE[[#This Row],[MYSTERY EFECTIVO]]="SI",(_xlfn.XLOOKUP(PUNTAJE[[#This Row],[PREGUNTA]],ENCUESTA!G:G,ENCUESTA!E:E)),"N/A")</f>
        <v>EJECUCION DEL PDV</v>
      </c>
      <c r="O57" s="36">
        <f>IF(PUNTAJE[[#This Row],[MYSTERY EFECTIVO]]="SI",(IF(PUNTAJE[[#This Row],[CANAL]]="TRADICIONAL",_xlfn.XLOOKUP(PUNTAJE[[#This Row],[PREGUNTA]],ENCUESTA!G:G,ENCUESTA!A:A),IF(PUNTAJE[[#This Row],[CANAL]]="ESPECIALIZADO",_xlfn.XLOOKUP(PUNTAJE[[#This Row],[PREGUNTA]],ENCUESTA!G:G,ENCUESTA!B:B),IF(PUNTAJE[[#This Row],[CANAL]]="MODERNO",_xlfn.XLOOKUP(PUNTAJE[[#This Row],[PREGUNTA]],ENCUESTA!G:G,ENCUESTA!C:C))))),0)</f>
        <v>4.3</v>
      </c>
      <c r="P57" s="36" t="str">
        <f>_xlfn.XLOOKUP(PUNTAJE[[#This Row],[PREGUNTA]],ENCUESTA!G:G,ENCUESTA!H:H)</f>
        <v>SI</v>
      </c>
      <c r="Q57" s="36">
        <f>IF(PUNTAJE[[#This Row],[RESPUESTA]]=PUNTAJE[[#This Row],[RTA CORRECTA]],PUNTAJE[[#This Row],[TOTAL PUNTAJE]],0)</f>
        <v>4.3</v>
      </c>
    </row>
    <row r="58" spans="1:17" x14ac:dyDescent="0.25">
      <c r="A58" t="s">
        <v>33</v>
      </c>
      <c r="B58" t="s">
        <v>6</v>
      </c>
      <c r="C58" t="s">
        <v>56</v>
      </c>
      <c r="D58" t="s">
        <v>90</v>
      </c>
      <c r="E58" s="54">
        <v>66552</v>
      </c>
      <c r="F58" t="s">
        <v>157</v>
      </c>
      <c r="G58" t="s">
        <v>98</v>
      </c>
      <c r="H58" t="s">
        <v>121</v>
      </c>
      <c r="I58" t="s">
        <v>35</v>
      </c>
      <c r="J58" s="70">
        <v>45737</v>
      </c>
      <c r="K58">
        <v>26440178</v>
      </c>
      <c r="L58" s="36" t="s">
        <v>161</v>
      </c>
      <c r="M58" t="str">
        <f>_xlfn.XLOOKUP(PUNTAJE[[#This Row],[CODIGO RUTA]],'DATA INFORME'!G:G,'DATA INFORME'!I:I)</f>
        <v>SI</v>
      </c>
      <c r="N58" t="str">
        <f>IF(PUNTAJE[[#This Row],[MYSTERY EFECTIVO]]="SI",(_xlfn.XLOOKUP(PUNTAJE[[#This Row],[PREGUNTA]],ENCUESTA!G:G,ENCUESTA!E:E)),"N/A")</f>
        <v>EJECUCION DEL PDV</v>
      </c>
      <c r="O58" s="36">
        <f>IF(PUNTAJE[[#This Row],[MYSTERY EFECTIVO]]="SI",(IF(PUNTAJE[[#This Row],[CANAL]]="TRADICIONAL",_xlfn.XLOOKUP(PUNTAJE[[#This Row],[PREGUNTA]],ENCUESTA!G:G,ENCUESTA!A:A),IF(PUNTAJE[[#This Row],[CANAL]]="ESPECIALIZADO",_xlfn.XLOOKUP(PUNTAJE[[#This Row],[PREGUNTA]],ENCUESTA!G:G,ENCUESTA!B:B),IF(PUNTAJE[[#This Row],[CANAL]]="MODERNO",_xlfn.XLOOKUP(PUNTAJE[[#This Row],[PREGUNTA]],ENCUESTA!G:G,ENCUESTA!C:C))))),0)</f>
        <v>4.3</v>
      </c>
      <c r="P58" s="36" t="str">
        <f>_xlfn.XLOOKUP(PUNTAJE[[#This Row],[PREGUNTA]],ENCUESTA!G:G,ENCUESTA!H:H)</f>
        <v>SI</v>
      </c>
      <c r="Q58" s="36">
        <f>IF(PUNTAJE[[#This Row],[RESPUESTA]]=PUNTAJE[[#This Row],[RTA CORRECTA]],PUNTAJE[[#This Row],[TOTAL PUNTAJE]],0)</f>
        <v>4.3</v>
      </c>
    </row>
    <row r="59" spans="1:17" x14ac:dyDescent="0.25">
      <c r="A59" t="s">
        <v>33</v>
      </c>
      <c r="B59" t="s">
        <v>6</v>
      </c>
      <c r="C59" t="s">
        <v>56</v>
      </c>
      <c r="D59" t="s">
        <v>90</v>
      </c>
      <c r="E59" s="54">
        <v>66552</v>
      </c>
      <c r="F59" t="s">
        <v>157</v>
      </c>
      <c r="G59" t="s">
        <v>99</v>
      </c>
      <c r="H59" t="s">
        <v>121</v>
      </c>
      <c r="I59" t="s">
        <v>35</v>
      </c>
      <c r="J59" s="70">
        <v>45737</v>
      </c>
      <c r="K59">
        <v>26440178</v>
      </c>
      <c r="L59" s="36" t="s">
        <v>161</v>
      </c>
      <c r="M59" t="str">
        <f>_xlfn.XLOOKUP(PUNTAJE[[#This Row],[CODIGO RUTA]],'DATA INFORME'!G:G,'DATA INFORME'!I:I)</f>
        <v>SI</v>
      </c>
      <c r="N59" t="str">
        <f>IF(PUNTAJE[[#This Row],[MYSTERY EFECTIVO]]="SI",(_xlfn.XLOOKUP(PUNTAJE[[#This Row],[PREGUNTA]],ENCUESTA!G:G,ENCUESTA!E:E)),"N/A")</f>
        <v>EJECUCION DEL PDV</v>
      </c>
      <c r="O59" s="36">
        <f>IF(PUNTAJE[[#This Row],[MYSTERY EFECTIVO]]="SI",(IF(PUNTAJE[[#This Row],[CANAL]]="TRADICIONAL",_xlfn.XLOOKUP(PUNTAJE[[#This Row],[PREGUNTA]],ENCUESTA!G:G,ENCUESTA!A:A),IF(PUNTAJE[[#This Row],[CANAL]]="ESPECIALIZADO",_xlfn.XLOOKUP(PUNTAJE[[#This Row],[PREGUNTA]],ENCUESTA!G:G,ENCUESTA!B:B),IF(PUNTAJE[[#This Row],[CANAL]]="MODERNO",_xlfn.XLOOKUP(PUNTAJE[[#This Row],[PREGUNTA]],ENCUESTA!G:G,ENCUESTA!C:C))))),0)</f>
        <v>4.3</v>
      </c>
      <c r="P59" s="36" t="str">
        <f>_xlfn.XLOOKUP(PUNTAJE[[#This Row],[PREGUNTA]],ENCUESTA!G:G,ENCUESTA!H:H)</f>
        <v>SI</v>
      </c>
      <c r="Q59" s="36">
        <f>IF(PUNTAJE[[#This Row],[RESPUESTA]]=PUNTAJE[[#This Row],[RTA CORRECTA]],PUNTAJE[[#This Row],[TOTAL PUNTAJE]],0)</f>
        <v>4.3</v>
      </c>
    </row>
    <row r="60" spans="1:17" x14ac:dyDescent="0.25">
      <c r="A60" t="s">
        <v>33</v>
      </c>
      <c r="B60" t="s">
        <v>6</v>
      </c>
      <c r="C60" t="s">
        <v>56</v>
      </c>
      <c r="D60" t="s">
        <v>90</v>
      </c>
      <c r="E60" s="54">
        <v>66552</v>
      </c>
      <c r="F60" t="s">
        <v>157</v>
      </c>
      <c r="G60" t="s">
        <v>100</v>
      </c>
      <c r="H60" t="s">
        <v>121</v>
      </c>
      <c r="I60" t="s">
        <v>35</v>
      </c>
      <c r="J60" s="70">
        <v>45737</v>
      </c>
      <c r="K60">
        <v>26440178</v>
      </c>
      <c r="L60" s="36" t="s">
        <v>161</v>
      </c>
      <c r="M60" t="str">
        <f>_xlfn.XLOOKUP(PUNTAJE[[#This Row],[CODIGO RUTA]],'DATA INFORME'!G:G,'DATA INFORME'!I:I)</f>
        <v>SI</v>
      </c>
      <c r="N60" t="str">
        <f>IF(PUNTAJE[[#This Row],[MYSTERY EFECTIVO]]="SI",(_xlfn.XLOOKUP(PUNTAJE[[#This Row],[PREGUNTA]],ENCUESTA!G:G,ENCUESTA!E:E)),"N/A")</f>
        <v>EJECUCION DEL PDV</v>
      </c>
      <c r="O60" s="36">
        <f>IF(PUNTAJE[[#This Row],[MYSTERY EFECTIVO]]="SI",(IF(PUNTAJE[[#This Row],[CANAL]]="TRADICIONAL",_xlfn.XLOOKUP(PUNTAJE[[#This Row],[PREGUNTA]],ENCUESTA!G:G,ENCUESTA!A:A),IF(PUNTAJE[[#This Row],[CANAL]]="ESPECIALIZADO",_xlfn.XLOOKUP(PUNTAJE[[#This Row],[PREGUNTA]],ENCUESTA!G:G,ENCUESTA!B:B),IF(PUNTAJE[[#This Row],[CANAL]]="MODERNO",_xlfn.XLOOKUP(PUNTAJE[[#This Row],[PREGUNTA]],ENCUESTA!G:G,ENCUESTA!C:C))))),0)</f>
        <v>4.3</v>
      </c>
      <c r="P60" s="36" t="str">
        <f>_xlfn.XLOOKUP(PUNTAJE[[#This Row],[PREGUNTA]],ENCUESTA!G:G,ENCUESTA!H:H)</f>
        <v>SI</v>
      </c>
      <c r="Q60" s="36">
        <f>IF(PUNTAJE[[#This Row],[RESPUESTA]]=PUNTAJE[[#This Row],[RTA CORRECTA]],PUNTAJE[[#This Row],[TOTAL PUNTAJE]],0)</f>
        <v>4.3</v>
      </c>
    </row>
    <row r="61" spans="1:17" x14ac:dyDescent="0.25">
      <c r="A61" t="s">
        <v>33</v>
      </c>
      <c r="B61" t="s">
        <v>6</v>
      </c>
      <c r="C61" t="s">
        <v>56</v>
      </c>
      <c r="D61" t="s">
        <v>90</v>
      </c>
      <c r="E61" s="54">
        <v>66552</v>
      </c>
      <c r="F61" t="s">
        <v>157</v>
      </c>
      <c r="G61" t="s">
        <v>101</v>
      </c>
      <c r="H61" t="s">
        <v>121</v>
      </c>
      <c r="I61" t="s">
        <v>35</v>
      </c>
      <c r="J61" s="70">
        <v>45737</v>
      </c>
      <c r="K61">
        <v>26440178</v>
      </c>
      <c r="L61" s="36" t="s">
        <v>161</v>
      </c>
      <c r="M61" t="str">
        <f>_xlfn.XLOOKUP(PUNTAJE[[#This Row],[CODIGO RUTA]],'DATA INFORME'!G:G,'DATA INFORME'!I:I)</f>
        <v>SI</v>
      </c>
      <c r="N61" t="str">
        <f>IF(PUNTAJE[[#This Row],[MYSTERY EFECTIVO]]="SI",(_xlfn.XLOOKUP(PUNTAJE[[#This Row],[PREGUNTA]],ENCUESTA!G:G,ENCUESTA!E:E)),"N/A")</f>
        <v>EJECUCION DEL PDV</v>
      </c>
      <c r="O61" s="36">
        <f>IF(PUNTAJE[[#This Row],[MYSTERY EFECTIVO]]="SI",(IF(PUNTAJE[[#This Row],[CANAL]]="TRADICIONAL",_xlfn.XLOOKUP(PUNTAJE[[#This Row],[PREGUNTA]],ENCUESTA!G:G,ENCUESTA!A:A),IF(PUNTAJE[[#This Row],[CANAL]]="ESPECIALIZADO",_xlfn.XLOOKUP(PUNTAJE[[#This Row],[PREGUNTA]],ENCUESTA!G:G,ENCUESTA!B:B),IF(PUNTAJE[[#This Row],[CANAL]]="MODERNO",_xlfn.XLOOKUP(PUNTAJE[[#This Row],[PREGUNTA]],ENCUESTA!G:G,ENCUESTA!C:C))))),0)</f>
        <v>4.3</v>
      </c>
      <c r="P61" s="36" t="str">
        <f>_xlfn.XLOOKUP(PUNTAJE[[#This Row],[PREGUNTA]],ENCUESTA!G:G,ENCUESTA!H:H)</f>
        <v>SI</v>
      </c>
      <c r="Q61" s="36">
        <f>IF(PUNTAJE[[#This Row],[RESPUESTA]]=PUNTAJE[[#This Row],[RTA CORRECTA]],PUNTAJE[[#This Row],[TOTAL PUNTAJE]],0)</f>
        <v>4.3</v>
      </c>
    </row>
    <row r="62" spans="1:17" x14ac:dyDescent="0.25">
      <c r="A62" t="s">
        <v>33</v>
      </c>
      <c r="B62" t="s">
        <v>6</v>
      </c>
      <c r="C62" t="s">
        <v>56</v>
      </c>
      <c r="D62" t="s">
        <v>90</v>
      </c>
      <c r="E62" s="54">
        <v>66552</v>
      </c>
      <c r="F62" t="s">
        <v>157</v>
      </c>
      <c r="G62" t="s">
        <v>102</v>
      </c>
      <c r="H62" t="s">
        <v>121</v>
      </c>
      <c r="I62" t="s">
        <v>35</v>
      </c>
      <c r="J62" s="70">
        <v>45737</v>
      </c>
      <c r="K62">
        <v>26440178</v>
      </c>
      <c r="L62" s="36" t="s">
        <v>161</v>
      </c>
      <c r="M62" t="str">
        <f>_xlfn.XLOOKUP(PUNTAJE[[#This Row],[CODIGO RUTA]],'DATA INFORME'!G:G,'DATA INFORME'!I:I)</f>
        <v>SI</v>
      </c>
      <c r="N62" t="str">
        <f>IF(PUNTAJE[[#This Row],[MYSTERY EFECTIVO]]="SI",(_xlfn.XLOOKUP(PUNTAJE[[#This Row],[PREGUNTA]],ENCUESTA!G:G,ENCUESTA!E:E)),"N/A")</f>
        <v>EJECUCION DEL PDV</v>
      </c>
      <c r="O62" s="36">
        <f>IF(PUNTAJE[[#This Row],[MYSTERY EFECTIVO]]="SI",(IF(PUNTAJE[[#This Row],[CANAL]]="TRADICIONAL",_xlfn.XLOOKUP(PUNTAJE[[#This Row],[PREGUNTA]],ENCUESTA!G:G,ENCUESTA!A:A),IF(PUNTAJE[[#This Row],[CANAL]]="ESPECIALIZADO",_xlfn.XLOOKUP(PUNTAJE[[#This Row],[PREGUNTA]],ENCUESTA!G:G,ENCUESTA!B:B),IF(PUNTAJE[[#This Row],[CANAL]]="MODERNO",_xlfn.XLOOKUP(PUNTAJE[[#This Row],[PREGUNTA]],ENCUESTA!G:G,ENCUESTA!C:C))))),0)</f>
        <v>4.3</v>
      </c>
      <c r="P62" s="36" t="str">
        <f>_xlfn.XLOOKUP(PUNTAJE[[#This Row],[PREGUNTA]],ENCUESTA!G:G,ENCUESTA!H:H)</f>
        <v>SI</v>
      </c>
      <c r="Q62" s="36">
        <f>IF(PUNTAJE[[#This Row],[RESPUESTA]]=PUNTAJE[[#This Row],[RTA CORRECTA]],PUNTAJE[[#This Row],[TOTAL PUNTAJE]],0)</f>
        <v>4.3</v>
      </c>
    </row>
    <row r="63" spans="1:17" x14ac:dyDescent="0.25">
      <c r="A63" t="s">
        <v>33</v>
      </c>
      <c r="B63" t="s">
        <v>6</v>
      </c>
      <c r="C63" t="s">
        <v>56</v>
      </c>
      <c r="D63" t="s">
        <v>90</v>
      </c>
      <c r="E63" s="54">
        <v>66552</v>
      </c>
      <c r="F63" t="s">
        <v>157</v>
      </c>
      <c r="G63" t="s">
        <v>103</v>
      </c>
      <c r="H63" t="s">
        <v>121</v>
      </c>
      <c r="I63" t="s">
        <v>143</v>
      </c>
      <c r="J63" s="70">
        <v>45737</v>
      </c>
      <c r="K63">
        <v>26440178</v>
      </c>
      <c r="L63" s="36" t="s">
        <v>161</v>
      </c>
      <c r="M63" t="str">
        <f>_xlfn.XLOOKUP(PUNTAJE[[#This Row],[CODIGO RUTA]],'DATA INFORME'!G:G,'DATA INFORME'!I:I)</f>
        <v>SI</v>
      </c>
      <c r="N63" t="str">
        <f>IF(PUNTAJE[[#This Row],[MYSTERY EFECTIVO]]="SI",(_xlfn.XLOOKUP(PUNTAJE[[#This Row],[PREGUNTA]],ENCUESTA!G:G,ENCUESTA!E:E)),"N/A")</f>
        <v>N/A</v>
      </c>
      <c r="O63" s="36">
        <f>IF(PUNTAJE[[#This Row],[MYSTERY EFECTIVO]]="SI",(IF(PUNTAJE[[#This Row],[CANAL]]="TRADICIONAL",_xlfn.XLOOKUP(PUNTAJE[[#This Row],[PREGUNTA]],ENCUESTA!G:G,ENCUESTA!A:A),IF(PUNTAJE[[#This Row],[CANAL]]="ESPECIALIZADO",_xlfn.XLOOKUP(PUNTAJE[[#This Row],[PREGUNTA]],ENCUESTA!G:G,ENCUESTA!B:B),IF(PUNTAJE[[#This Row],[CANAL]]="MODERNO",_xlfn.XLOOKUP(PUNTAJE[[#This Row],[PREGUNTA]],ENCUESTA!G:G,ENCUESTA!C:C))))),0)</f>
        <v>0</v>
      </c>
      <c r="P63" s="36" t="str">
        <f>_xlfn.XLOOKUP(PUNTAJE[[#This Row],[PREGUNTA]],ENCUESTA!G:G,ENCUESTA!H:H)</f>
        <v>CANAL  MODERNO, CANAL ESPECIALIZADO</v>
      </c>
      <c r="Q63" s="36">
        <f>IF(PUNTAJE[[#This Row],[RESPUESTA]]=PUNTAJE[[#This Row],[RTA CORRECTA]],PUNTAJE[[#This Row],[TOTAL PUNTAJE]],0)</f>
        <v>0</v>
      </c>
    </row>
    <row r="64" spans="1:17" x14ac:dyDescent="0.25">
      <c r="A64" t="s">
        <v>33</v>
      </c>
      <c r="B64" t="s">
        <v>6</v>
      </c>
      <c r="C64" t="s">
        <v>56</v>
      </c>
      <c r="D64" t="s">
        <v>90</v>
      </c>
      <c r="E64" s="54">
        <v>66552</v>
      </c>
      <c r="F64" t="s">
        <v>157</v>
      </c>
      <c r="G64" t="s">
        <v>113</v>
      </c>
      <c r="H64" t="s">
        <v>121</v>
      </c>
      <c r="I64" t="s">
        <v>34</v>
      </c>
      <c r="J64" s="70">
        <v>45737</v>
      </c>
      <c r="K64">
        <v>26440178</v>
      </c>
      <c r="L64" s="36" t="s">
        <v>161</v>
      </c>
      <c r="M64" t="str">
        <f>_xlfn.XLOOKUP(PUNTAJE[[#This Row],[CODIGO RUTA]],'DATA INFORME'!G:G,'DATA INFORME'!I:I)</f>
        <v>SI</v>
      </c>
      <c r="N64" t="str">
        <f>IF(PUNTAJE[[#This Row],[MYSTERY EFECTIVO]]="SI",(_xlfn.XLOOKUP(PUNTAJE[[#This Row],[PREGUNTA]],ENCUESTA!G:G,ENCUESTA!E:E)),"N/A")</f>
        <v>N/A</v>
      </c>
      <c r="O64" s="36">
        <f>IF(PUNTAJE[[#This Row],[MYSTERY EFECTIVO]]="SI",(IF(PUNTAJE[[#This Row],[CANAL]]="TRADICIONAL",_xlfn.XLOOKUP(PUNTAJE[[#This Row],[PREGUNTA]],ENCUESTA!G:G,ENCUESTA!A:A),IF(PUNTAJE[[#This Row],[CANAL]]="ESPECIALIZADO",_xlfn.XLOOKUP(PUNTAJE[[#This Row],[PREGUNTA]],ENCUESTA!G:G,ENCUESTA!B:B),IF(PUNTAJE[[#This Row],[CANAL]]="MODERNO",_xlfn.XLOOKUP(PUNTAJE[[#This Row],[PREGUNTA]],ENCUESTA!G:G,ENCUESTA!C:C))))),0)</f>
        <v>0</v>
      </c>
      <c r="P64" s="36">
        <f>_xlfn.XLOOKUP(PUNTAJE[[#This Row],[PREGUNTA]],ENCUESTA!G:G,ENCUESTA!H:H)</f>
        <v>0</v>
      </c>
      <c r="Q64" s="36">
        <f>IF(PUNTAJE[[#This Row],[RESPUESTA]]=PUNTAJE[[#This Row],[RTA CORRECTA]],PUNTAJE[[#This Row],[TOTAL PUNTAJE]],0)</f>
        <v>0</v>
      </c>
    </row>
    <row r="65" spans="1:17" x14ac:dyDescent="0.25">
      <c r="A65" t="s">
        <v>33</v>
      </c>
      <c r="B65" t="s">
        <v>54</v>
      </c>
      <c r="C65" t="s">
        <v>13</v>
      </c>
      <c r="D65" t="s">
        <v>162</v>
      </c>
      <c r="E65" s="54">
        <v>12108</v>
      </c>
      <c r="F65" t="s">
        <v>164</v>
      </c>
      <c r="G65" t="s">
        <v>45</v>
      </c>
      <c r="H65" t="s">
        <v>121</v>
      </c>
      <c r="I65" t="s">
        <v>34</v>
      </c>
      <c r="J65" s="70">
        <v>45731</v>
      </c>
      <c r="K65">
        <v>26451570</v>
      </c>
      <c r="L65" s="36" t="s">
        <v>125</v>
      </c>
      <c r="M65" t="str">
        <f>_xlfn.XLOOKUP(PUNTAJE[[#This Row],[CODIGO RUTA]],'DATA INFORME'!G:G,'DATA INFORME'!I:I)</f>
        <v>NO</v>
      </c>
      <c r="N65" t="str">
        <f>IF(PUNTAJE[[#This Row],[MYSTERY EFECTIVO]]="SI",(_xlfn.XLOOKUP(PUNTAJE[[#This Row],[PREGUNTA]],ENCUESTA!G:G,ENCUESTA!E:E)),"N/A")</f>
        <v>N/A</v>
      </c>
      <c r="O65" s="36">
        <f>IF(PUNTAJE[[#This Row],[MYSTERY EFECTIVO]]="SI",(IF(PUNTAJE[[#This Row],[CANAL]]="TRADICIONAL",_xlfn.XLOOKUP(PUNTAJE[[#This Row],[PREGUNTA]],ENCUESTA!G:G,ENCUESTA!A:A),IF(PUNTAJE[[#This Row],[CANAL]]="ESPECIALIZADO",_xlfn.XLOOKUP(PUNTAJE[[#This Row],[PREGUNTA]],ENCUESTA!G:G,ENCUESTA!B:B),IF(PUNTAJE[[#This Row],[CANAL]]="MODERNO",_xlfn.XLOOKUP(PUNTAJE[[#This Row],[PREGUNTA]],ENCUESTA!G:G,ENCUESTA!C:C))))),0)</f>
        <v>0</v>
      </c>
      <c r="P65" s="36" t="str">
        <f>_xlfn.XLOOKUP(PUNTAJE[[#This Row],[PREGUNTA]],ENCUESTA!G:G,ENCUESTA!H:H)</f>
        <v>SI</v>
      </c>
      <c r="Q65" s="36">
        <f>IF(PUNTAJE[[#This Row],[RESPUESTA]]=PUNTAJE[[#This Row],[RTA CORRECTA]],PUNTAJE[[#This Row],[TOTAL PUNTAJE]],0)</f>
        <v>0</v>
      </c>
    </row>
    <row r="66" spans="1:17" x14ac:dyDescent="0.25">
      <c r="A66" t="s">
        <v>33</v>
      </c>
      <c r="B66" t="s">
        <v>54</v>
      </c>
      <c r="C66" t="s">
        <v>13</v>
      </c>
      <c r="D66" t="s">
        <v>162</v>
      </c>
      <c r="E66" s="54">
        <v>12108</v>
      </c>
      <c r="F66" t="s">
        <v>164</v>
      </c>
      <c r="G66" t="s">
        <v>113</v>
      </c>
      <c r="H66" t="s">
        <v>121</v>
      </c>
      <c r="I66" t="s">
        <v>35</v>
      </c>
      <c r="J66" s="70">
        <v>45731</v>
      </c>
      <c r="K66">
        <v>26451570</v>
      </c>
      <c r="L66" s="36" t="s">
        <v>125</v>
      </c>
      <c r="M66" t="str">
        <f>_xlfn.XLOOKUP(PUNTAJE[[#This Row],[CODIGO RUTA]],'DATA INFORME'!G:G,'DATA INFORME'!I:I)</f>
        <v>NO</v>
      </c>
      <c r="N66" t="str">
        <f>IF(PUNTAJE[[#This Row],[MYSTERY EFECTIVO]]="SI",(_xlfn.XLOOKUP(PUNTAJE[[#This Row],[PREGUNTA]],ENCUESTA!G:G,ENCUESTA!E:E)),"N/A")</f>
        <v>N/A</v>
      </c>
      <c r="O66" s="36">
        <f>IF(PUNTAJE[[#This Row],[MYSTERY EFECTIVO]]="SI",(IF(PUNTAJE[[#This Row],[CANAL]]="TRADICIONAL",_xlfn.XLOOKUP(PUNTAJE[[#This Row],[PREGUNTA]],ENCUESTA!G:G,ENCUESTA!A:A),IF(PUNTAJE[[#This Row],[CANAL]]="ESPECIALIZADO",_xlfn.XLOOKUP(PUNTAJE[[#This Row],[PREGUNTA]],ENCUESTA!G:G,ENCUESTA!B:B),IF(PUNTAJE[[#This Row],[CANAL]]="MODERNO",_xlfn.XLOOKUP(PUNTAJE[[#This Row],[PREGUNTA]],ENCUESTA!G:G,ENCUESTA!C:C))))),0)</f>
        <v>0</v>
      </c>
      <c r="P66" s="36">
        <f>_xlfn.XLOOKUP(PUNTAJE[[#This Row],[PREGUNTA]],ENCUESTA!G:G,ENCUESTA!H:H)</f>
        <v>0</v>
      </c>
      <c r="Q66" s="36">
        <f>IF(PUNTAJE[[#This Row],[RESPUESTA]]=PUNTAJE[[#This Row],[RTA CORRECTA]],PUNTAJE[[#This Row],[TOTAL PUNTAJE]],0)</f>
        <v>0</v>
      </c>
    </row>
    <row r="67" spans="1:17" x14ac:dyDescent="0.25">
      <c r="A67" t="s">
        <v>33</v>
      </c>
      <c r="B67" t="s">
        <v>54</v>
      </c>
      <c r="C67" t="s">
        <v>13</v>
      </c>
      <c r="D67" t="s">
        <v>162</v>
      </c>
      <c r="E67" s="54">
        <v>12108</v>
      </c>
      <c r="F67" t="s">
        <v>164</v>
      </c>
      <c r="G67" t="s">
        <v>114</v>
      </c>
      <c r="H67" t="s">
        <v>121</v>
      </c>
      <c r="I67" t="s">
        <v>168</v>
      </c>
      <c r="J67" s="70">
        <v>45731</v>
      </c>
      <c r="K67">
        <v>26451570</v>
      </c>
      <c r="L67" s="36" t="s">
        <v>125</v>
      </c>
      <c r="M67" t="str">
        <f>_xlfn.XLOOKUP(PUNTAJE[[#This Row],[CODIGO RUTA]],'DATA INFORME'!G:G,'DATA INFORME'!I:I)</f>
        <v>NO</v>
      </c>
      <c r="N67" t="str">
        <f>IF(PUNTAJE[[#This Row],[MYSTERY EFECTIVO]]="SI",(_xlfn.XLOOKUP(PUNTAJE[[#This Row],[PREGUNTA]],ENCUESTA!G:G,ENCUESTA!E:E)),"N/A")</f>
        <v>N/A</v>
      </c>
      <c r="O67" s="36">
        <f>IF(PUNTAJE[[#This Row],[MYSTERY EFECTIVO]]="SI",(IF(PUNTAJE[[#This Row],[CANAL]]="TRADICIONAL",_xlfn.XLOOKUP(PUNTAJE[[#This Row],[PREGUNTA]],ENCUESTA!G:G,ENCUESTA!A:A),IF(PUNTAJE[[#This Row],[CANAL]]="ESPECIALIZADO",_xlfn.XLOOKUP(PUNTAJE[[#This Row],[PREGUNTA]],ENCUESTA!G:G,ENCUESTA!B:B),IF(PUNTAJE[[#This Row],[CANAL]]="MODERNO",_xlfn.XLOOKUP(PUNTAJE[[#This Row],[PREGUNTA]],ENCUESTA!G:G,ENCUESTA!C:C))))),0)</f>
        <v>0</v>
      </c>
      <c r="P67" s="36">
        <f>_xlfn.XLOOKUP(PUNTAJE[[#This Row],[PREGUNTA]],ENCUESTA!G:G,ENCUESTA!H:H)</f>
        <v>0</v>
      </c>
      <c r="Q67" s="36">
        <f>IF(PUNTAJE[[#This Row],[RESPUESTA]]=PUNTAJE[[#This Row],[RTA CORRECTA]],PUNTAJE[[#This Row],[TOTAL PUNTAJE]],0)</f>
        <v>0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4178B-F304-431E-B383-B38CC465224C}">
  <sheetPr codeName="Hoja3"/>
  <dimension ref="A1:J12"/>
  <sheetViews>
    <sheetView showGridLines="0" zoomScaleNormal="100" workbookViewId="0">
      <selection activeCell="A9" sqref="A9:E10"/>
    </sheetView>
  </sheetViews>
  <sheetFormatPr baseColWidth="10" defaultColWidth="11.42578125" defaultRowHeight="15" x14ac:dyDescent="0.25"/>
  <cols>
    <col min="1" max="1" width="14.28515625" bestFit="1" customWidth="1"/>
    <col min="2" max="2" width="16.28515625" customWidth="1"/>
    <col min="3" max="3" width="8.85546875" hidden="1" customWidth="1"/>
    <col min="4" max="4" width="36.140625" style="17" bestFit="1" customWidth="1"/>
    <col min="5" max="5" width="42" customWidth="1"/>
    <col min="6" max="7" width="10.85546875" customWidth="1"/>
    <col min="8" max="8" width="11.140625" customWidth="1"/>
    <col min="12" max="12" width="10.85546875" customWidth="1"/>
  </cols>
  <sheetData>
    <row r="1" spans="1:10" ht="24" x14ac:dyDescent="0.25">
      <c r="A1" s="8" t="s">
        <v>20</v>
      </c>
      <c r="B1" s="8" t="s">
        <v>1</v>
      </c>
      <c r="C1" s="8" t="s">
        <v>46</v>
      </c>
      <c r="D1" s="35" t="s">
        <v>47</v>
      </c>
      <c r="E1" s="9" t="s">
        <v>48</v>
      </c>
      <c r="F1" s="9" t="s">
        <v>49</v>
      </c>
      <c r="G1" s="9" t="s">
        <v>50</v>
      </c>
      <c r="H1" s="10" t="s">
        <v>51</v>
      </c>
      <c r="I1" s="28" t="s">
        <v>52</v>
      </c>
    </row>
    <row r="2" spans="1:10" s="7" customFormat="1" x14ac:dyDescent="0.25">
      <c r="A2" t="s">
        <v>13</v>
      </c>
      <c r="B2" t="s">
        <v>54</v>
      </c>
      <c r="C2">
        <v>12108</v>
      </c>
      <c r="D2" t="s">
        <v>164</v>
      </c>
      <c r="E2" s="33">
        <v>1</v>
      </c>
      <c r="F2" s="34">
        <v>1</v>
      </c>
      <c r="G2" s="34">
        <f>IF((COUNTIFS(Export!I:I,Tabla1[[#This Row],[VUM]]))&gt;0,1,0)</f>
        <v>1</v>
      </c>
      <c r="H2" s="34">
        <f>IF((COUNTIFS(Export!I:I,Tabla1[[#This Row],[VUM]]))&gt;0,1,0)</f>
        <v>1</v>
      </c>
      <c r="I2" s="34">
        <f>IF((_xlfn.XLOOKUP(Tabla1[[#This Row],[VUM]],'DATA INFORME'!D:D,'DATA INFORME'!I:I))="SI",1,0)</f>
        <v>0</v>
      </c>
    </row>
    <row r="3" spans="1:10" s="7" customFormat="1" x14ac:dyDescent="0.25">
      <c r="A3" t="s">
        <v>56</v>
      </c>
      <c r="B3" t="s">
        <v>54</v>
      </c>
      <c r="C3">
        <v>65453</v>
      </c>
      <c r="D3" t="s">
        <v>118</v>
      </c>
      <c r="E3" s="33">
        <v>1</v>
      </c>
      <c r="F3" s="34">
        <v>1</v>
      </c>
      <c r="G3" s="34">
        <f>IF((COUNTIFS(Export!I:I,Tabla1[[#This Row],[VUM]]))&gt;0,1,0)</f>
        <v>1</v>
      </c>
      <c r="H3" s="34">
        <f>IF((COUNTIFS(Export!I:I,Tabla1[[#This Row],[VUM]]))&gt;0,1,0)</f>
        <v>1</v>
      </c>
      <c r="I3" s="34">
        <f>IF((_xlfn.XLOOKUP(Tabla1[[#This Row],[VUM]],'DATA INFORME'!D:D,'DATA INFORME'!I:I))="SI",1,0)</f>
        <v>1</v>
      </c>
    </row>
    <row r="4" spans="1:10" x14ac:dyDescent="0.25">
      <c r="A4" t="s">
        <v>56</v>
      </c>
      <c r="B4" t="s">
        <v>6</v>
      </c>
      <c r="C4">
        <v>66552</v>
      </c>
      <c r="D4" t="s">
        <v>157</v>
      </c>
      <c r="E4" s="33">
        <v>1</v>
      </c>
      <c r="F4" s="34">
        <v>1</v>
      </c>
      <c r="G4" s="34">
        <f>IF((COUNTIFS(Export!I:I,Tabla1[[#This Row],[VUM]]))&gt;0,1,0)</f>
        <v>1</v>
      </c>
      <c r="H4" s="34">
        <f>IF((COUNTIFS(Export!I:I,Tabla1[[#This Row],[VUM]]))&gt;0,1,0)</f>
        <v>1</v>
      </c>
      <c r="I4" s="34">
        <f>IF((_xlfn.XLOOKUP(Tabla1[[#This Row],[VUM]],'DATA INFORME'!D:D,'DATA INFORME'!I:I))="SI",1,0)</f>
        <v>1</v>
      </c>
      <c r="J4" s="7"/>
    </row>
    <row r="5" spans="1:10" x14ac:dyDescent="0.25">
      <c r="A5" t="s">
        <v>56</v>
      </c>
      <c r="B5" t="s">
        <v>55</v>
      </c>
      <c r="C5">
        <v>161719</v>
      </c>
      <c r="D5" t="s">
        <v>149</v>
      </c>
      <c r="E5" s="33">
        <v>1</v>
      </c>
      <c r="F5" s="34">
        <v>1</v>
      </c>
      <c r="G5" s="34">
        <f>IF((COUNTIFS(Export!I:I,Tabla1[[#This Row],[VUM]]))&gt;0,1,0)</f>
        <v>1</v>
      </c>
      <c r="H5" s="34">
        <f>IF((COUNTIFS(Export!I:I,Tabla1[[#This Row],[VUM]]))&gt;0,1,0)</f>
        <v>1</v>
      </c>
      <c r="I5" s="34">
        <f>IF((_xlfn.XLOOKUP(Tabla1[[#This Row],[VUM]],'DATA INFORME'!D:D,'DATA INFORME'!I:I))="SI",1,0)</f>
        <v>1</v>
      </c>
    </row>
    <row r="9" spans="1:10" x14ac:dyDescent="0.25">
      <c r="A9" s="39" t="s">
        <v>20</v>
      </c>
      <c r="B9" s="39" t="s">
        <v>1</v>
      </c>
      <c r="C9" s="39" t="s">
        <v>46</v>
      </c>
      <c r="D9" s="55" t="s">
        <v>47</v>
      </c>
      <c r="E9" s="66" t="s">
        <v>92</v>
      </c>
    </row>
    <row r="10" spans="1:10" x14ac:dyDescent="0.25">
      <c r="A10" s="29" t="s">
        <v>13</v>
      </c>
      <c r="B10" s="29" t="s">
        <v>54</v>
      </c>
      <c r="C10" s="29">
        <v>12108</v>
      </c>
      <c r="D10" s="29" t="s">
        <v>164</v>
      </c>
      <c r="E10" s="29" t="s">
        <v>172</v>
      </c>
    </row>
    <row r="11" spans="1:10" hidden="1" x14ac:dyDescent="0.25">
      <c r="A11" s="79" t="s">
        <v>53</v>
      </c>
      <c r="B11" s="80" t="s">
        <v>6</v>
      </c>
      <c r="C11" s="81">
        <v>424775</v>
      </c>
      <c r="D11" s="82" t="s">
        <v>84</v>
      </c>
      <c r="E11" s="63"/>
    </row>
    <row r="12" spans="1:10" hidden="1" x14ac:dyDescent="0.25">
      <c r="A12" s="56" t="s">
        <v>13</v>
      </c>
      <c r="B12" s="57" t="s">
        <v>7</v>
      </c>
      <c r="C12" s="53">
        <v>141269</v>
      </c>
      <c r="D12" s="67" t="s">
        <v>89</v>
      </c>
      <c r="E12" s="29" t="s">
        <v>93</v>
      </c>
    </row>
  </sheetData>
  <conditionalFormatting sqref="D1">
    <cfRule type="duplicateValues" dxfId="1" priority="30"/>
  </conditionalFormatting>
  <conditionalFormatting sqref="D9">
    <cfRule type="duplicateValues" dxfId="0" priority="1"/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50340-F397-4E3E-B8AE-49EB0D826938}">
  <dimension ref="A1:AD5"/>
  <sheetViews>
    <sheetView workbookViewId="0">
      <selection activeCell="E7" sqref="E7"/>
    </sheetView>
  </sheetViews>
  <sheetFormatPr baseColWidth="10" defaultRowHeight="15" x14ac:dyDescent="0.25"/>
  <cols>
    <col min="1" max="1" width="14.5703125" bestFit="1" customWidth="1"/>
    <col min="2" max="2" width="14.42578125" bestFit="1" customWidth="1"/>
    <col min="3" max="3" width="11.140625" bestFit="1" customWidth="1"/>
    <col min="4" max="4" width="15.28515625" bestFit="1" customWidth="1"/>
    <col min="5" max="5" width="36.28515625" bestFit="1" customWidth="1"/>
    <col min="6" max="6" width="15.5703125" bestFit="1" customWidth="1"/>
    <col min="7" max="7" width="16.28515625" bestFit="1" customWidth="1"/>
    <col min="8" max="8" width="11.5703125" bestFit="1" customWidth="1"/>
    <col min="9" max="9" width="56.5703125" bestFit="1" customWidth="1"/>
    <col min="10" max="11" width="81.140625" bestFit="1" customWidth="1"/>
    <col min="12" max="12" width="50.85546875" bestFit="1" customWidth="1"/>
    <col min="13" max="13" width="81.140625" bestFit="1" customWidth="1"/>
    <col min="14" max="14" width="68.5703125" bestFit="1" customWidth="1"/>
    <col min="15" max="15" width="53.28515625" bestFit="1" customWidth="1"/>
    <col min="16" max="18" width="81.140625" bestFit="1" customWidth="1"/>
    <col min="19" max="19" width="66.7109375" bestFit="1" customWidth="1"/>
    <col min="20" max="20" width="48.5703125" bestFit="1" customWidth="1"/>
    <col min="21" max="26" width="81.140625" bestFit="1" customWidth="1"/>
    <col min="27" max="27" width="26.7109375" bestFit="1" customWidth="1"/>
    <col min="28" max="28" width="81.140625" bestFit="1" customWidth="1"/>
    <col min="29" max="29" width="34.5703125" bestFit="1" customWidth="1"/>
    <col min="30" max="30" width="81.140625" bestFit="1" customWidth="1"/>
    <col min="31" max="31" width="64.85546875" bestFit="1" customWidth="1"/>
    <col min="32" max="32" width="78.42578125" bestFit="1" customWidth="1"/>
    <col min="33" max="33" width="79.5703125" bestFit="1" customWidth="1"/>
    <col min="34" max="35" width="80.7109375" bestFit="1" customWidth="1"/>
  </cols>
  <sheetData>
    <row r="1" spans="1:30" x14ac:dyDescent="0.25">
      <c r="A1" t="s">
        <v>22</v>
      </c>
      <c r="B1" t="s">
        <v>1</v>
      </c>
      <c r="C1" t="s">
        <v>23</v>
      </c>
      <c r="D1" t="s">
        <v>24</v>
      </c>
      <c r="E1" t="s">
        <v>21</v>
      </c>
      <c r="F1" t="s">
        <v>26</v>
      </c>
      <c r="G1" t="s">
        <v>27</v>
      </c>
      <c r="H1" t="s">
        <v>28</v>
      </c>
      <c r="I1" t="s">
        <v>45</v>
      </c>
      <c r="J1" t="s">
        <v>38</v>
      </c>
      <c r="K1" t="s">
        <v>94</v>
      </c>
      <c r="L1" t="s">
        <v>39</v>
      </c>
      <c r="M1" t="s">
        <v>95</v>
      </c>
      <c r="N1" t="s">
        <v>37</v>
      </c>
      <c r="O1" t="s">
        <v>43</v>
      </c>
      <c r="P1" t="s">
        <v>44</v>
      </c>
      <c r="Q1" t="s">
        <v>42</v>
      </c>
      <c r="R1" t="s">
        <v>41</v>
      </c>
      <c r="S1" t="s">
        <v>40</v>
      </c>
      <c r="T1" t="s">
        <v>96</v>
      </c>
      <c r="U1" t="s">
        <v>97</v>
      </c>
      <c r="V1" t="s">
        <v>98</v>
      </c>
      <c r="W1" t="s">
        <v>99</v>
      </c>
      <c r="X1" t="s">
        <v>100</v>
      </c>
      <c r="Y1" t="s">
        <v>101</v>
      </c>
      <c r="Z1" t="s">
        <v>102</v>
      </c>
      <c r="AA1" t="s">
        <v>103</v>
      </c>
      <c r="AB1" t="s">
        <v>112</v>
      </c>
      <c r="AC1" t="s">
        <v>113</v>
      </c>
      <c r="AD1" t="s">
        <v>114</v>
      </c>
    </row>
    <row r="2" spans="1:30" x14ac:dyDescent="0.25">
      <c r="A2" t="s">
        <v>33</v>
      </c>
      <c r="B2" t="s">
        <v>54</v>
      </c>
      <c r="C2" t="s">
        <v>162</v>
      </c>
      <c r="D2">
        <v>12108</v>
      </c>
      <c r="E2" t="s">
        <v>164</v>
      </c>
      <c r="F2" s="1">
        <v>45731</v>
      </c>
      <c r="G2">
        <v>26451570</v>
      </c>
      <c r="H2" t="s">
        <v>125</v>
      </c>
      <c r="I2" t="s">
        <v>34</v>
      </c>
      <c r="AC2" t="s">
        <v>35</v>
      </c>
      <c r="AD2" t="s">
        <v>168</v>
      </c>
    </row>
    <row r="3" spans="1:30" x14ac:dyDescent="0.25">
      <c r="A3" t="s">
        <v>33</v>
      </c>
      <c r="B3" t="s">
        <v>54</v>
      </c>
      <c r="C3" t="s">
        <v>90</v>
      </c>
      <c r="D3">
        <v>65453</v>
      </c>
      <c r="E3" t="s">
        <v>118</v>
      </c>
      <c r="F3" s="1">
        <v>45733</v>
      </c>
      <c r="G3">
        <v>26407885</v>
      </c>
      <c r="H3" t="s">
        <v>125</v>
      </c>
      <c r="I3" t="s">
        <v>35</v>
      </c>
      <c r="J3" t="s">
        <v>35</v>
      </c>
      <c r="K3" t="s">
        <v>35</v>
      </c>
      <c r="L3" t="s">
        <v>35</v>
      </c>
      <c r="M3" t="s">
        <v>34</v>
      </c>
      <c r="N3" t="s">
        <v>35</v>
      </c>
      <c r="O3" t="s">
        <v>35</v>
      </c>
      <c r="P3" t="s">
        <v>34</v>
      </c>
      <c r="Q3" t="s">
        <v>34</v>
      </c>
      <c r="R3" t="s">
        <v>34</v>
      </c>
      <c r="S3" t="s">
        <v>34</v>
      </c>
      <c r="T3" t="s">
        <v>35</v>
      </c>
      <c r="U3" t="s">
        <v>35</v>
      </c>
      <c r="V3" t="s">
        <v>35</v>
      </c>
      <c r="W3" t="s">
        <v>35</v>
      </c>
      <c r="X3" t="s">
        <v>35</v>
      </c>
      <c r="Y3" t="s">
        <v>35</v>
      </c>
      <c r="Z3" t="s">
        <v>35</v>
      </c>
      <c r="AA3" t="s">
        <v>169</v>
      </c>
      <c r="AB3" t="s">
        <v>35</v>
      </c>
      <c r="AC3" t="s">
        <v>34</v>
      </c>
    </row>
    <row r="4" spans="1:30" x14ac:dyDescent="0.25">
      <c r="A4" t="s">
        <v>33</v>
      </c>
      <c r="B4" t="s">
        <v>6</v>
      </c>
      <c r="C4" t="s">
        <v>90</v>
      </c>
      <c r="D4">
        <v>66552</v>
      </c>
      <c r="E4" t="s">
        <v>157</v>
      </c>
      <c r="F4" s="1">
        <v>45737</v>
      </c>
      <c r="G4">
        <v>26440178</v>
      </c>
      <c r="H4" t="s">
        <v>161</v>
      </c>
      <c r="I4" t="s">
        <v>35</v>
      </c>
      <c r="J4" t="s">
        <v>35</v>
      </c>
      <c r="K4" t="s">
        <v>35</v>
      </c>
      <c r="L4" t="s">
        <v>35</v>
      </c>
      <c r="M4" t="s">
        <v>34</v>
      </c>
      <c r="N4" t="s">
        <v>35</v>
      </c>
      <c r="O4" t="s">
        <v>35</v>
      </c>
      <c r="P4" t="s">
        <v>34</v>
      </c>
      <c r="Q4" t="s">
        <v>34</v>
      </c>
      <c r="R4" t="s">
        <v>34</v>
      </c>
      <c r="S4" t="s">
        <v>34</v>
      </c>
      <c r="T4" t="s">
        <v>35</v>
      </c>
      <c r="U4" t="s">
        <v>35</v>
      </c>
      <c r="V4" t="s">
        <v>35</v>
      </c>
      <c r="W4" t="s">
        <v>35</v>
      </c>
      <c r="X4" t="s">
        <v>35</v>
      </c>
      <c r="Y4" t="s">
        <v>35</v>
      </c>
      <c r="Z4" t="s">
        <v>35</v>
      </c>
      <c r="AA4" t="s">
        <v>143</v>
      </c>
      <c r="AC4" t="s">
        <v>34</v>
      </c>
    </row>
    <row r="5" spans="1:30" x14ac:dyDescent="0.25">
      <c r="A5" t="s">
        <v>33</v>
      </c>
      <c r="B5" t="s">
        <v>55</v>
      </c>
      <c r="C5" t="s">
        <v>90</v>
      </c>
      <c r="D5">
        <v>161719</v>
      </c>
      <c r="E5" t="s">
        <v>149</v>
      </c>
      <c r="F5" s="1">
        <v>45735</v>
      </c>
      <c r="G5">
        <v>26426261</v>
      </c>
      <c r="H5" t="s">
        <v>153</v>
      </c>
      <c r="I5" t="s">
        <v>35</v>
      </c>
      <c r="J5" t="s">
        <v>35</v>
      </c>
      <c r="K5" t="s">
        <v>35</v>
      </c>
      <c r="L5" t="s">
        <v>35</v>
      </c>
      <c r="M5" t="s">
        <v>34</v>
      </c>
      <c r="N5" t="s">
        <v>35</v>
      </c>
      <c r="O5" t="s">
        <v>35</v>
      </c>
      <c r="P5" t="s">
        <v>34</v>
      </c>
      <c r="Q5" t="s">
        <v>35</v>
      </c>
      <c r="R5" t="s">
        <v>34</v>
      </c>
      <c r="S5" t="s">
        <v>34</v>
      </c>
      <c r="T5" t="s">
        <v>35</v>
      </c>
      <c r="U5" t="s">
        <v>35</v>
      </c>
      <c r="V5" t="s">
        <v>35</v>
      </c>
      <c r="W5" t="s">
        <v>35</v>
      </c>
      <c r="X5" t="s">
        <v>35</v>
      </c>
      <c r="Y5" t="s">
        <v>35</v>
      </c>
      <c r="Z5" t="s">
        <v>35</v>
      </c>
      <c r="AA5" t="s">
        <v>169</v>
      </c>
      <c r="AB5" t="s">
        <v>35</v>
      </c>
      <c r="AC5" t="s">
        <v>35</v>
      </c>
      <c r="AD5" t="s">
        <v>154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724B1-EB2D-4C25-9AAD-4F1C0994C034}">
  <sheetPr codeName="Hoja5"/>
  <dimension ref="A1:AC67"/>
  <sheetViews>
    <sheetView showGridLines="0" zoomScaleNormal="100" workbookViewId="0">
      <selection activeCell="J1" sqref="J1"/>
    </sheetView>
  </sheetViews>
  <sheetFormatPr baseColWidth="10" defaultColWidth="11.42578125" defaultRowHeight="15" x14ac:dyDescent="0.25"/>
  <cols>
    <col min="1" max="1" width="11.85546875" customWidth="1"/>
    <col min="2" max="2" width="11.42578125" customWidth="1"/>
    <col min="6" max="6" width="13.140625" customWidth="1"/>
    <col min="9" max="9" width="13.5703125" customWidth="1"/>
    <col min="10" max="10" width="20.42578125" customWidth="1"/>
    <col min="11" max="11" width="13.42578125" customWidth="1"/>
    <col min="12" max="12" width="18.5703125" customWidth="1"/>
    <col min="13" max="13" width="24.42578125" customWidth="1"/>
    <col min="14" max="14" width="23.5703125" customWidth="1"/>
    <col min="15" max="15" width="60.7109375" customWidth="1"/>
    <col min="16" max="16" width="12.5703125" customWidth="1"/>
    <col min="17" max="17" width="14.5703125" customWidth="1"/>
    <col min="18" max="18" width="15" customWidth="1"/>
    <col min="19" max="19" width="14.140625" style="1" customWidth="1"/>
    <col min="20" max="20" width="19.85546875" customWidth="1"/>
    <col min="21" max="21" width="27.85546875" customWidth="1"/>
    <col min="22" max="22" width="14.5703125" customWidth="1"/>
    <col min="24" max="24" width="20" customWidth="1"/>
    <col min="25" max="25" width="9.5703125" customWidth="1"/>
    <col min="26" max="26" width="18.140625" customWidth="1"/>
    <col min="28" max="28" width="21.5703125" customWidth="1"/>
    <col min="29" max="29" width="21.85546875" customWidth="1"/>
    <col min="32" max="32" width="11.42578125" customWidth="1"/>
    <col min="33" max="33" width="16.5703125" bestFit="1" customWidth="1"/>
    <col min="34" max="35" width="48.85546875" bestFit="1" customWidth="1"/>
    <col min="36" max="36" width="22.7109375" bestFit="1" customWidth="1"/>
    <col min="37" max="37" width="16.7109375" bestFit="1" customWidth="1"/>
    <col min="46" max="46" width="11.42578125" customWidth="1"/>
  </cols>
  <sheetData>
    <row r="1" spans="1:29" x14ac:dyDescent="0.25">
      <c r="A1" s="58" t="s">
        <v>22</v>
      </c>
      <c r="B1" s="63" t="s">
        <v>57</v>
      </c>
      <c r="C1" s="63" t="s">
        <v>1</v>
      </c>
      <c r="D1" s="63" t="s">
        <v>20</v>
      </c>
      <c r="E1" s="63" t="s">
        <v>23</v>
      </c>
      <c r="F1" s="63" t="s">
        <v>58</v>
      </c>
      <c r="G1" s="63" t="s">
        <v>59</v>
      </c>
      <c r="H1" s="63" t="s">
        <v>60</v>
      </c>
      <c r="I1" s="63" t="s">
        <v>24</v>
      </c>
      <c r="J1" s="63" t="s">
        <v>21</v>
      </c>
      <c r="K1" s="63" t="s">
        <v>61</v>
      </c>
      <c r="L1" s="63" t="s">
        <v>62</v>
      </c>
      <c r="M1" s="63" t="s">
        <v>63</v>
      </c>
      <c r="N1" s="63" t="s">
        <v>64</v>
      </c>
      <c r="O1" s="63" t="s">
        <v>25</v>
      </c>
      <c r="P1" s="63" t="s">
        <v>65</v>
      </c>
      <c r="Q1" s="63" t="s">
        <v>66</v>
      </c>
      <c r="R1" s="63" t="s">
        <v>67</v>
      </c>
      <c r="S1" s="64" t="s">
        <v>26</v>
      </c>
      <c r="T1" s="63" t="s">
        <v>68</v>
      </c>
      <c r="U1" s="63" t="s">
        <v>69</v>
      </c>
      <c r="V1" s="63" t="s">
        <v>27</v>
      </c>
      <c r="W1" s="63" t="s">
        <v>70</v>
      </c>
      <c r="X1" s="63" t="s">
        <v>71</v>
      </c>
      <c r="Y1" s="63" t="s">
        <v>72</v>
      </c>
      <c r="Z1" s="63" t="s">
        <v>73</v>
      </c>
      <c r="AA1" s="63" t="s">
        <v>28</v>
      </c>
      <c r="AB1" s="63" t="s">
        <v>74</v>
      </c>
      <c r="AC1" s="59" t="s">
        <v>75</v>
      </c>
    </row>
    <row r="2" spans="1:29" x14ac:dyDescent="0.25">
      <c r="A2" s="62" t="s">
        <v>33</v>
      </c>
      <c r="B2" s="29" t="s">
        <v>116</v>
      </c>
      <c r="C2" s="29" t="s">
        <v>54</v>
      </c>
      <c r="D2" s="29" t="s">
        <v>56</v>
      </c>
      <c r="E2" s="29" t="s">
        <v>90</v>
      </c>
      <c r="F2" s="29" t="s">
        <v>91</v>
      </c>
      <c r="G2" s="29" t="s">
        <v>54</v>
      </c>
      <c r="H2" s="29" t="s">
        <v>36</v>
      </c>
      <c r="I2" s="29" t="s">
        <v>117</v>
      </c>
      <c r="J2" s="29" t="s">
        <v>118</v>
      </c>
      <c r="K2" s="29" t="s">
        <v>119</v>
      </c>
      <c r="L2" s="29" t="s">
        <v>76</v>
      </c>
      <c r="M2" s="60" t="s">
        <v>120</v>
      </c>
      <c r="N2" s="29" t="s">
        <v>121</v>
      </c>
      <c r="O2" s="29" t="s">
        <v>45</v>
      </c>
      <c r="P2" s="29" t="s">
        <v>35</v>
      </c>
      <c r="Q2" s="29"/>
      <c r="R2" s="29"/>
      <c r="S2" s="40">
        <v>45733</v>
      </c>
      <c r="T2" s="40" t="s">
        <v>122</v>
      </c>
      <c r="U2" s="40" t="s">
        <v>123</v>
      </c>
      <c r="V2" s="61">
        <v>26407885</v>
      </c>
      <c r="W2" s="29" t="s">
        <v>77</v>
      </c>
      <c r="X2" s="29"/>
      <c r="Y2" s="29"/>
      <c r="Z2" s="29" t="s">
        <v>124</v>
      </c>
      <c r="AA2" s="29" t="s">
        <v>125</v>
      </c>
      <c r="AB2" s="29" t="s">
        <v>78</v>
      </c>
      <c r="AC2" s="65" t="s">
        <v>79</v>
      </c>
    </row>
    <row r="3" spans="1:29" x14ac:dyDescent="0.25">
      <c r="A3" s="62" t="s">
        <v>33</v>
      </c>
      <c r="B3" s="29" t="s">
        <v>116</v>
      </c>
      <c r="C3" s="29" t="s">
        <v>54</v>
      </c>
      <c r="D3" s="29" t="s">
        <v>56</v>
      </c>
      <c r="E3" s="29" t="s">
        <v>90</v>
      </c>
      <c r="F3" s="29" t="s">
        <v>91</v>
      </c>
      <c r="G3" s="29" t="s">
        <v>54</v>
      </c>
      <c r="H3" s="29" t="s">
        <v>36</v>
      </c>
      <c r="I3" s="29" t="s">
        <v>117</v>
      </c>
      <c r="J3" s="29" t="s">
        <v>118</v>
      </c>
      <c r="K3" s="29" t="s">
        <v>119</v>
      </c>
      <c r="L3" s="29" t="s">
        <v>76</v>
      </c>
      <c r="M3" s="60" t="s">
        <v>120</v>
      </c>
      <c r="N3" s="29" t="s">
        <v>121</v>
      </c>
      <c r="O3" s="29" t="s">
        <v>38</v>
      </c>
      <c r="P3" s="29" t="s">
        <v>35</v>
      </c>
      <c r="Q3" s="29"/>
      <c r="R3" s="29"/>
      <c r="S3" s="40">
        <v>45733</v>
      </c>
      <c r="T3" s="40" t="s">
        <v>122</v>
      </c>
      <c r="U3" s="40" t="s">
        <v>126</v>
      </c>
      <c r="V3" s="61">
        <v>26407885</v>
      </c>
      <c r="W3" s="29" t="s">
        <v>77</v>
      </c>
      <c r="X3" s="29"/>
      <c r="Y3" s="29"/>
      <c r="Z3" s="29" t="s">
        <v>124</v>
      </c>
      <c r="AA3" s="29" t="s">
        <v>125</v>
      </c>
      <c r="AB3" s="29" t="s">
        <v>78</v>
      </c>
      <c r="AC3" s="65" t="s">
        <v>79</v>
      </c>
    </row>
    <row r="4" spans="1:29" x14ac:dyDescent="0.25">
      <c r="A4" s="62" t="s">
        <v>33</v>
      </c>
      <c r="B4" s="29" t="s">
        <v>116</v>
      </c>
      <c r="C4" s="29" t="s">
        <v>54</v>
      </c>
      <c r="D4" s="29" t="s">
        <v>56</v>
      </c>
      <c r="E4" s="29" t="s">
        <v>90</v>
      </c>
      <c r="F4" s="29" t="s">
        <v>91</v>
      </c>
      <c r="G4" s="29" t="s">
        <v>54</v>
      </c>
      <c r="H4" s="29" t="s">
        <v>36</v>
      </c>
      <c r="I4" s="29" t="s">
        <v>117</v>
      </c>
      <c r="J4" s="29" t="s">
        <v>118</v>
      </c>
      <c r="K4" s="29" t="s">
        <v>119</v>
      </c>
      <c r="L4" s="29" t="s">
        <v>76</v>
      </c>
      <c r="M4" s="60" t="s">
        <v>120</v>
      </c>
      <c r="N4" s="29" t="s">
        <v>121</v>
      </c>
      <c r="O4" s="29" t="s">
        <v>94</v>
      </c>
      <c r="P4" s="29" t="s">
        <v>35</v>
      </c>
      <c r="Q4" s="29"/>
      <c r="R4" s="29"/>
      <c r="S4" s="40">
        <v>45733</v>
      </c>
      <c r="T4" s="40" t="s">
        <v>122</v>
      </c>
      <c r="U4" s="40" t="s">
        <v>127</v>
      </c>
      <c r="V4" s="61">
        <v>26407885</v>
      </c>
      <c r="W4" s="29" t="s">
        <v>77</v>
      </c>
      <c r="X4" s="29"/>
      <c r="Y4" s="29"/>
      <c r="Z4" s="29" t="s">
        <v>124</v>
      </c>
      <c r="AA4" s="29" t="s">
        <v>125</v>
      </c>
      <c r="AB4" s="29" t="s">
        <v>78</v>
      </c>
      <c r="AC4" s="65" t="s">
        <v>79</v>
      </c>
    </row>
    <row r="5" spans="1:29" x14ac:dyDescent="0.25">
      <c r="A5" s="62" t="s">
        <v>33</v>
      </c>
      <c r="B5" s="29" t="s">
        <v>116</v>
      </c>
      <c r="C5" s="29" t="s">
        <v>54</v>
      </c>
      <c r="D5" s="29" t="s">
        <v>56</v>
      </c>
      <c r="E5" s="29" t="s">
        <v>90</v>
      </c>
      <c r="F5" s="29" t="s">
        <v>91</v>
      </c>
      <c r="G5" s="29" t="s">
        <v>54</v>
      </c>
      <c r="H5" s="29" t="s">
        <v>36</v>
      </c>
      <c r="I5" s="29" t="s">
        <v>117</v>
      </c>
      <c r="J5" s="29" t="s">
        <v>118</v>
      </c>
      <c r="K5" s="29" t="s">
        <v>119</v>
      </c>
      <c r="L5" s="29" t="s">
        <v>76</v>
      </c>
      <c r="M5" s="60" t="s">
        <v>120</v>
      </c>
      <c r="N5" s="29" t="s">
        <v>121</v>
      </c>
      <c r="O5" s="29" t="s">
        <v>39</v>
      </c>
      <c r="P5" s="29" t="s">
        <v>35</v>
      </c>
      <c r="Q5" s="29"/>
      <c r="R5" s="29"/>
      <c r="S5" s="40">
        <v>45733</v>
      </c>
      <c r="T5" s="40" t="s">
        <v>122</v>
      </c>
      <c r="U5" s="40" t="s">
        <v>128</v>
      </c>
      <c r="V5" s="61">
        <v>26407885</v>
      </c>
      <c r="W5" s="29" t="s">
        <v>77</v>
      </c>
      <c r="X5" s="29"/>
      <c r="Y5" s="29"/>
      <c r="Z5" s="29" t="s">
        <v>124</v>
      </c>
      <c r="AA5" s="29" t="s">
        <v>125</v>
      </c>
      <c r="AB5" s="29" t="s">
        <v>78</v>
      </c>
      <c r="AC5" s="65" t="s">
        <v>79</v>
      </c>
    </row>
    <row r="6" spans="1:29" x14ac:dyDescent="0.25">
      <c r="A6" s="62" t="s">
        <v>33</v>
      </c>
      <c r="B6" s="29" t="s">
        <v>116</v>
      </c>
      <c r="C6" s="29" t="s">
        <v>54</v>
      </c>
      <c r="D6" s="29" t="s">
        <v>56</v>
      </c>
      <c r="E6" s="29" t="s">
        <v>90</v>
      </c>
      <c r="F6" s="29" t="s">
        <v>91</v>
      </c>
      <c r="G6" s="29" t="s">
        <v>54</v>
      </c>
      <c r="H6" s="29" t="s">
        <v>36</v>
      </c>
      <c r="I6" s="29" t="s">
        <v>117</v>
      </c>
      <c r="J6" s="29" t="s">
        <v>118</v>
      </c>
      <c r="K6" s="29" t="s">
        <v>119</v>
      </c>
      <c r="L6" s="29" t="s">
        <v>76</v>
      </c>
      <c r="M6" s="60" t="s">
        <v>120</v>
      </c>
      <c r="N6" s="29" t="s">
        <v>121</v>
      </c>
      <c r="O6" s="29" t="s">
        <v>95</v>
      </c>
      <c r="P6" s="29" t="s">
        <v>34</v>
      </c>
      <c r="Q6" s="29"/>
      <c r="R6" s="29"/>
      <c r="S6" s="40">
        <v>45733</v>
      </c>
      <c r="T6" s="40" t="s">
        <v>122</v>
      </c>
      <c r="U6" s="40" t="s">
        <v>129</v>
      </c>
      <c r="V6" s="61">
        <v>26407885</v>
      </c>
      <c r="W6" s="29" t="s">
        <v>77</v>
      </c>
      <c r="X6" s="29"/>
      <c r="Y6" s="29"/>
      <c r="Z6" s="29" t="s">
        <v>124</v>
      </c>
      <c r="AA6" s="29" t="s">
        <v>125</v>
      </c>
      <c r="AB6" s="29" t="s">
        <v>78</v>
      </c>
      <c r="AC6" s="65" t="s">
        <v>79</v>
      </c>
    </row>
    <row r="7" spans="1:29" x14ac:dyDescent="0.25">
      <c r="A7" s="62" t="s">
        <v>33</v>
      </c>
      <c r="B7" s="29" t="s">
        <v>116</v>
      </c>
      <c r="C7" s="29" t="s">
        <v>54</v>
      </c>
      <c r="D7" s="29" t="s">
        <v>56</v>
      </c>
      <c r="E7" s="29" t="s">
        <v>90</v>
      </c>
      <c r="F7" s="29" t="s">
        <v>91</v>
      </c>
      <c r="G7" s="29" t="s">
        <v>54</v>
      </c>
      <c r="H7" s="29" t="s">
        <v>36</v>
      </c>
      <c r="I7" s="29" t="s">
        <v>117</v>
      </c>
      <c r="J7" s="29" t="s">
        <v>118</v>
      </c>
      <c r="K7" s="29" t="s">
        <v>119</v>
      </c>
      <c r="L7" s="29" t="s">
        <v>76</v>
      </c>
      <c r="M7" s="60" t="s">
        <v>120</v>
      </c>
      <c r="N7" s="29" t="s">
        <v>121</v>
      </c>
      <c r="O7" s="29" t="s">
        <v>37</v>
      </c>
      <c r="P7" s="29" t="s">
        <v>35</v>
      </c>
      <c r="Q7" s="29"/>
      <c r="R7" s="29"/>
      <c r="S7" s="40">
        <v>45733</v>
      </c>
      <c r="T7" s="40" t="s">
        <v>122</v>
      </c>
      <c r="U7" s="40" t="s">
        <v>130</v>
      </c>
      <c r="V7" s="61">
        <v>26407885</v>
      </c>
      <c r="W7" s="29" t="s">
        <v>77</v>
      </c>
      <c r="X7" s="29"/>
      <c r="Y7" s="29"/>
      <c r="Z7" s="29" t="s">
        <v>124</v>
      </c>
      <c r="AA7" s="29" t="s">
        <v>125</v>
      </c>
      <c r="AB7" s="29" t="s">
        <v>78</v>
      </c>
      <c r="AC7" s="65" t="s">
        <v>79</v>
      </c>
    </row>
    <row r="8" spans="1:29" x14ac:dyDescent="0.25">
      <c r="A8" s="62" t="s">
        <v>33</v>
      </c>
      <c r="B8" s="29" t="s">
        <v>116</v>
      </c>
      <c r="C8" s="29" t="s">
        <v>54</v>
      </c>
      <c r="D8" s="29" t="s">
        <v>56</v>
      </c>
      <c r="E8" s="29" t="s">
        <v>90</v>
      </c>
      <c r="F8" s="29" t="s">
        <v>91</v>
      </c>
      <c r="G8" s="29" t="s">
        <v>54</v>
      </c>
      <c r="H8" s="29" t="s">
        <v>36</v>
      </c>
      <c r="I8" s="29" t="s">
        <v>117</v>
      </c>
      <c r="J8" s="29" t="s">
        <v>118</v>
      </c>
      <c r="K8" s="29" t="s">
        <v>119</v>
      </c>
      <c r="L8" s="29" t="s">
        <v>76</v>
      </c>
      <c r="M8" s="60" t="s">
        <v>120</v>
      </c>
      <c r="N8" s="29" t="s">
        <v>121</v>
      </c>
      <c r="O8" s="29" t="s">
        <v>43</v>
      </c>
      <c r="P8" s="29" t="s">
        <v>35</v>
      </c>
      <c r="Q8" s="29"/>
      <c r="R8" s="29"/>
      <c r="S8" s="40">
        <v>45733</v>
      </c>
      <c r="T8" s="40" t="s">
        <v>122</v>
      </c>
      <c r="U8" s="40" t="s">
        <v>131</v>
      </c>
      <c r="V8" s="61">
        <v>26407885</v>
      </c>
      <c r="W8" s="29" t="s">
        <v>77</v>
      </c>
      <c r="X8" s="29"/>
      <c r="Y8" s="29"/>
      <c r="Z8" s="29" t="s">
        <v>124</v>
      </c>
      <c r="AA8" s="29" t="s">
        <v>125</v>
      </c>
      <c r="AB8" s="29" t="s">
        <v>78</v>
      </c>
      <c r="AC8" s="65" t="s">
        <v>79</v>
      </c>
    </row>
    <row r="9" spans="1:29" x14ac:dyDescent="0.25">
      <c r="A9" s="62" t="s">
        <v>33</v>
      </c>
      <c r="B9" s="29" t="s">
        <v>116</v>
      </c>
      <c r="C9" s="29" t="s">
        <v>54</v>
      </c>
      <c r="D9" s="29" t="s">
        <v>56</v>
      </c>
      <c r="E9" s="29" t="s">
        <v>90</v>
      </c>
      <c r="F9" s="29" t="s">
        <v>91</v>
      </c>
      <c r="G9" s="29" t="s">
        <v>54</v>
      </c>
      <c r="H9" s="29" t="s">
        <v>36</v>
      </c>
      <c r="I9" s="29" t="s">
        <v>117</v>
      </c>
      <c r="J9" s="29" t="s">
        <v>118</v>
      </c>
      <c r="K9" s="29" t="s">
        <v>119</v>
      </c>
      <c r="L9" s="29" t="s">
        <v>76</v>
      </c>
      <c r="M9" s="60" t="s">
        <v>120</v>
      </c>
      <c r="N9" s="29" t="s">
        <v>121</v>
      </c>
      <c r="O9" s="29" t="s">
        <v>44</v>
      </c>
      <c r="P9" s="29" t="s">
        <v>34</v>
      </c>
      <c r="Q9" s="29"/>
      <c r="R9" s="29"/>
      <c r="S9" s="40">
        <v>45733</v>
      </c>
      <c r="T9" s="40" t="s">
        <v>122</v>
      </c>
      <c r="U9" s="40" t="s">
        <v>132</v>
      </c>
      <c r="V9" s="61">
        <v>26407885</v>
      </c>
      <c r="W9" s="29" t="s">
        <v>77</v>
      </c>
      <c r="X9" s="29"/>
      <c r="Y9" s="29"/>
      <c r="Z9" s="29" t="s">
        <v>124</v>
      </c>
      <c r="AA9" s="29" t="s">
        <v>125</v>
      </c>
      <c r="AB9" s="29" t="s">
        <v>78</v>
      </c>
      <c r="AC9" s="65" t="s">
        <v>79</v>
      </c>
    </row>
    <row r="10" spans="1:29" x14ac:dyDescent="0.25">
      <c r="A10" s="62" t="s">
        <v>33</v>
      </c>
      <c r="B10" s="29" t="s">
        <v>116</v>
      </c>
      <c r="C10" s="29" t="s">
        <v>54</v>
      </c>
      <c r="D10" s="29" t="s">
        <v>56</v>
      </c>
      <c r="E10" s="29" t="s">
        <v>90</v>
      </c>
      <c r="F10" s="29" t="s">
        <v>91</v>
      </c>
      <c r="G10" s="29" t="s">
        <v>54</v>
      </c>
      <c r="H10" s="29" t="s">
        <v>36</v>
      </c>
      <c r="I10" s="29" t="s">
        <v>117</v>
      </c>
      <c r="J10" s="29" t="s">
        <v>118</v>
      </c>
      <c r="K10" s="29" t="s">
        <v>119</v>
      </c>
      <c r="L10" s="29" t="s">
        <v>76</v>
      </c>
      <c r="M10" s="60" t="s">
        <v>120</v>
      </c>
      <c r="N10" s="29" t="s">
        <v>121</v>
      </c>
      <c r="O10" s="29" t="s">
        <v>42</v>
      </c>
      <c r="P10" s="29" t="s">
        <v>34</v>
      </c>
      <c r="Q10" s="29"/>
      <c r="R10" s="29"/>
      <c r="S10" s="40">
        <v>45733</v>
      </c>
      <c r="T10" s="40" t="s">
        <v>122</v>
      </c>
      <c r="U10" s="40" t="s">
        <v>133</v>
      </c>
      <c r="V10" s="61">
        <v>26407885</v>
      </c>
      <c r="W10" s="29" t="s">
        <v>77</v>
      </c>
      <c r="X10" s="29"/>
      <c r="Y10" s="29"/>
      <c r="Z10" s="29" t="s">
        <v>124</v>
      </c>
      <c r="AA10" s="29" t="s">
        <v>125</v>
      </c>
      <c r="AB10" s="29" t="s">
        <v>78</v>
      </c>
      <c r="AC10" s="65" t="s">
        <v>79</v>
      </c>
    </row>
    <row r="11" spans="1:29" x14ac:dyDescent="0.25">
      <c r="A11" s="62" t="s">
        <v>33</v>
      </c>
      <c r="B11" s="29" t="s">
        <v>116</v>
      </c>
      <c r="C11" s="29" t="s">
        <v>54</v>
      </c>
      <c r="D11" s="29" t="s">
        <v>56</v>
      </c>
      <c r="E11" s="29" t="s">
        <v>90</v>
      </c>
      <c r="F11" s="29" t="s">
        <v>91</v>
      </c>
      <c r="G11" s="29" t="s">
        <v>54</v>
      </c>
      <c r="H11" s="29" t="s">
        <v>36</v>
      </c>
      <c r="I11" s="29" t="s">
        <v>117</v>
      </c>
      <c r="J11" s="29" t="s">
        <v>118</v>
      </c>
      <c r="K11" s="29" t="s">
        <v>119</v>
      </c>
      <c r="L11" s="29" t="s">
        <v>76</v>
      </c>
      <c r="M11" s="60" t="s">
        <v>120</v>
      </c>
      <c r="N11" s="29" t="s">
        <v>121</v>
      </c>
      <c r="O11" s="29" t="s">
        <v>41</v>
      </c>
      <c r="P11" s="29" t="s">
        <v>34</v>
      </c>
      <c r="Q11" s="29"/>
      <c r="R11" s="29"/>
      <c r="S11" s="40">
        <v>45733</v>
      </c>
      <c r="T11" s="40" t="s">
        <v>122</v>
      </c>
      <c r="U11" s="40" t="s">
        <v>134</v>
      </c>
      <c r="V11" s="61">
        <v>26407885</v>
      </c>
      <c r="W11" s="29" t="s">
        <v>77</v>
      </c>
      <c r="X11" s="29"/>
      <c r="Y11" s="29"/>
      <c r="Z11" s="29" t="s">
        <v>124</v>
      </c>
      <c r="AA11" s="29" t="s">
        <v>125</v>
      </c>
      <c r="AB11" s="29" t="s">
        <v>78</v>
      </c>
      <c r="AC11" s="65" t="s">
        <v>79</v>
      </c>
    </row>
    <row r="12" spans="1:29" x14ac:dyDescent="0.25">
      <c r="A12" s="62" t="s">
        <v>33</v>
      </c>
      <c r="B12" s="29" t="s">
        <v>116</v>
      </c>
      <c r="C12" s="29" t="s">
        <v>54</v>
      </c>
      <c r="D12" s="29" t="s">
        <v>56</v>
      </c>
      <c r="E12" s="29" t="s">
        <v>90</v>
      </c>
      <c r="F12" s="29" t="s">
        <v>91</v>
      </c>
      <c r="G12" s="29" t="s">
        <v>54</v>
      </c>
      <c r="H12" s="29" t="s">
        <v>36</v>
      </c>
      <c r="I12" s="29" t="s">
        <v>117</v>
      </c>
      <c r="J12" s="29" t="s">
        <v>118</v>
      </c>
      <c r="K12" s="29" t="s">
        <v>119</v>
      </c>
      <c r="L12" s="29" t="s">
        <v>76</v>
      </c>
      <c r="M12" s="60" t="s">
        <v>120</v>
      </c>
      <c r="N12" s="29" t="s">
        <v>121</v>
      </c>
      <c r="O12" s="29" t="s">
        <v>40</v>
      </c>
      <c r="P12" s="29" t="s">
        <v>34</v>
      </c>
      <c r="Q12" s="29"/>
      <c r="R12" s="29"/>
      <c r="S12" s="40">
        <v>45733</v>
      </c>
      <c r="T12" s="40" t="s">
        <v>122</v>
      </c>
      <c r="U12" s="40" t="s">
        <v>135</v>
      </c>
      <c r="V12" s="61">
        <v>26407885</v>
      </c>
      <c r="W12" s="29" t="s">
        <v>77</v>
      </c>
      <c r="X12" s="29"/>
      <c r="Y12" s="29"/>
      <c r="Z12" s="29" t="s">
        <v>124</v>
      </c>
      <c r="AA12" s="29" t="s">
        <v>125</v>
      </c>
      <c r="AB12" s="29" t="s">
        <v>78</v>
      </c>
      <c r="AC12" s="65" t="s">
        <v>79</v>
      </c>
    </row>
    <row r="13" spans="1:29" x14ac:dyDescent="0.25">
      <c r="A13" s="62" t="s">
        <v>33</v>
      </c>
      <c r="B13" s="29" t="s">
        <v>116</v>
      </c>
      <c r="C13" s="29" t="s">
        <v>54</v>
      </c>
      <c r="D13" s="29" t="s">
        <v>56</v>
      </c>
      <c r="E13" s="29" t="s">
        <v>90</v>
      </c>
      <c r="F13" s="29" t="s">
        <v>91</v>
      </c>
      <c r="G13" s="29" t="s">
        <v>54</v>
      </c>
      <c r="H13" s="29" t="s">
        <v>36</v>
      </c>
      <c r="I13" s="29" t="s">
        <v>117</v>
      </c>
      <c r="J13" s="29" t="s">
        <v>118</v>
      </c>
      <c r="K13" s="29" t="s">
        <v>119</v>
      </c>
      <c r="L13" s="29" t="s">
        <v>76</v>
      </c>
      <c r="M13" s="60" t="s">
        <v>120</v>
      </c>
      <c r="N13" s="29" t="s">
        <v>121</v>
      </c>
      <c r="O13" s="29" t="s">
        <v>96</v>
      </c>
      <c r="P13" s="29" t="s">
        <v>35</v>
      </c>
      <c r="Q13" s="29"/>
      <c r="R13" s="29"/>
      <c r="S13" s="40">
        <v>45733</v>
      </c>
      <c r="T13" s="40" t="s">
        <v>122</v>
      </c>
      <c r="U13" s="40" t="s">
        <v>136</v>
      </c>
      <c r="V13" s="61">
        <v>26407885</v>
      </c>
      <c r="W13" s="29" t="s">
        <v>77</v>
      </c>
      <c r="X13" s="29"/>
      <c r="Y13" s="29"/>
      <c r="Z13" s="29" t="s">
        <v>124</v>
      </c>
      <c r="AA13" s="29" t="s">
        <v>125</v>
      </c>
      <c r="AB13" s="29" t="s">
        <v>78</v>
      </c>
      <c r="AC13" s="65" t="s">
        <v>79</v>
      </c>
    </row>
    <row r="14" spans="1:29" x14ac:dyDescent="0.25">
      <c r="A14" s="62" t="s">
        <v>33</v>
      </c>
      <c r="B14" s="29" t="s">
        <v>116</v>
      </c>
      <c r="C14" s="29" t="s">
        <v>54</v>
      </c>
      <c r="D14" s="29" t="s">
        <v>56</v>
      </c>
      <c r="E14" s="29" t="s">
        <v>90</v>
      </c>
      <c r="F14" s="29" t="s">
        <v>91</v>
      </c>
      <c r="G14" s="29" t="s">
        <v>54</v>
      </c>
      <c r="H14" s="29" t="s">
        <v>36</v>
      </c>
      <c r="I14" s="29" t="s">
        <v>117</v>
      </c>
      <c r="J14" s="29" t="s">
        <v>118</v>
      </c>
      <c r="K14" s="29" t="s">
        <v>119</v>
      </c>
      <c r="L14" s="29" t="s">
        <v>76</v>
      </c>
      <c r="M14" s="60" t="s">
        <v>120</v>
      </c>
      <c r="N14" s="29" t="s">
        <v>121</v>
      </c>
      <c r="O14" s="29" t="s">
        <v>97</v>
      </c>
      <c r="P14" s="29" t="s">
        <v>35</v>
      </c>
      <c r="Q14" s="29"/>
      <c r="R14" s="29"/>
      <c r="S14" s="40">
        <v>45733</v>
      </c>
      <c r="T14" s="40" t="s">
        <v>122</v>
      </c>
      <c r="U14" s="40" t="s">
        <v>137</v>
      </c>
      <c r="V14" s="61">
        <v>26407885</v>
      </c>
      <c r="W14" s="29" t="s">
        <v>77</v>
      </c>
      <c r="X14" s="29"/>
      <c r="Y14" s="29"/>
      <c r="Z14" s="29" t="s">
        <v>124</v>
      </c>
      <c r="AA14" s="29" t="s">
        <v>125</v>
      </c>
      <c r="AB14" s="29" t="s">
        <v>78</v>
      </c>
      <c r="AC14" s="65" t="s">
        <v>79</v>
      </c>
    </row>
    <row r="15" spans="1:29" x14ac:dyDescent="0.25">
      <c r="A15" s="62" t="s">
        <v>33</v>
      </c>
      <c r="B15" s="29" t="s">
        <v>116</v>
      </c>
      <c r="C15" s="29" t="s">
        <v>54</v>
      </c>
      <c r="D15" s="29" t="s">
        <v>56</v>
      </c>
      <c r="E15" s="29" t="s">
        <v>90</v>
      </c>
      <c r="F15" s="29" t="s">
        <v>91</v>
      </c>
      <c r="G15" s="29" t="s">
        <v>54</v>
      </c>
      <c r="H15" s="29" t="s">
        <v>36</v>
      </c>
      <c r="I15" s="29" t="s">
        <v>117</v>
      </c>
      <c r="J15" s="29" t="s">
        <v>118</v>
      </c>
      <c r="K15" s="29" t="s">
        <v>119</v>
      </c>
      <c r="L15" s="29" t="s">
        <v>76</v>
      </c>
      <c r="M15" s="60" t="s">
        <v>120</v>
      </c>
      <c r="N15" s="29" t="s">
        <v>121</v>
      </c>
      <c r="O15" s="29" t="s">
        <v>98</v>
      </c>
      <c r="P15" s="29" t="s">
        <v>35</v>
      </c>
      <c r="Q15" s="29"/>
      <c r="R15" s="29"/>
      <c r="S15" s="40">
        <v>45733</v>
      </c>
      <c r="T15" s="40" t="s">
        <v>122</v>
      </c>
      <c r="U15" s="40" t="s">
        <v>138</v>
      </c>
      <c r="V15" s="61">
        <v>26407885</v>
      </c>
      <c r="W15" s="29" t="s">
        <v>77</v>
      </c>
      <c r="X15" s="29"/>
      <c r="Y15" s="29"/>
      <c r="Z15" s="29" t="s">
        <v>124</v>
      </c>
      <c r="AA15" s="29" t="s">
        <v>125</v>
      </c>
      <c r="AB15" s="29" t="s">
        <v>78</v>
      </c>
      <c r="AC15" s="65" t="s">
        <v>79</v>
      </c>
    </row>
    <row r="16" spans="1:29" x14ac:dyDescent="0.25">
      <c r="A16" s="62" t="s">
        <v>33</v>
      </c>
      <c r="B16" s="29" t="s">
        <v>116</v>
      </c>
      <c r="C16" s="29" t="s">
        <v>54</v>
      </c>
      <c r="D16" s="29" t="s">
        <v>56</v>
      </c>
      <c r="E16" s="29" t="s">
        <v>90</v>
      </c>
      <c r="F16" s="29" t="s">
        <v>91</v>
      </c>
      <c r="G16" s="29" t="s">
        <v>54</v>
      </c>
      <c r="H16" s="29" t="s">
        <v>36</v>
      </c>
      <c r="I16" s="29" t="s">
        <v>117</v>
      </c>
      <c r="J16" s="29" t="s">
        <v>118</v>
      </c>
      <c r="K16" s="29" t="s">
        <v>119</v>
      </c>
      <c r="L16" s="29" t="s">
        <v>76</v>
      </c>
      <c r="M16" s="60" t="s">
        <v>120</v>
      </c>
      <c r="N16" s="29" t="s">
        <v>121</v>
      </c>
      <c r="O16" s="29" t="s">
        <v>99</v>
      </c>
      <c r="P16" s="29" t="s">
        <v>35</v>
      </c>
      <c r="Q16" s="29"/>
      <c r="R16" s="29"/>
      <c r="S16" s="40">
        <v>45733</v>
      </c>
      <c r="T16" s="40" t="s">
        <v>122</v>
      </c>
      <c r="U16" s="40" t="s">
        <v>139</v>
      </c>
      <c r="V16" s="61">
        <v>26407885</v>
      </c>
      <c r="W16" s="29" t="s">
        <v>77</v>
      </c>
      <c r="X16" s="29"/>
      <c r="Y16" s="29"/>
      <c r="Z16" s="29" t="s">
        <v>124</v>
      </c>
      <c r="AA16" s="29" t="s">
        <v>125</v>
      </c>
      <c r="AB16" s="29" t="s">
        <v>78</v>
      </c>
      <c r="AC16" s="65" t="s">
        <v>79</v>
      </c>
    </row>
    <row r="17" spans="1:29" x14ac:dyDescent="0.25">
      <c r="A17" s="62" t="s">
        <v>33</v>
      </c>
      <c r="B17" s="29" t="s">
        <v>116</v>
      </c>
      <c r="C17" s="29" t="s">
        <v>54</v>
      </c>
      <c r="D17" s="29" t="s">
        <v>56</v>
      </c>
      <c r="E17" s="29" t="s">
        <v>90</v>
      </c>
      <c r="F17" s="29" t="s">
        <v>91</v>
      </c>
      <c r="G17" s="29" t="s">
        <v>54</v>
      </c>
      <c r="H17" s="29" t="s">
        <v>36</v>
      </c>
      <c r="I17" s="29" t="s">
        <v>117</v>
      </c>
      <c r="J17" s="29" t="s">
        <v>118</v>
      </c>
      <c r="K17" s="29" t="s">
        <v>119</v>
      </c>
      <c r="L17" s="29" t="s">
        <v>76</v>
      </c>
      <c r="M17" s="60" t="s">
        <v>120</v>
      </c>
      <c r="N17" s="29" t="s">
        <v>121</v>
      </c>
      <c r="O17" s="29" t="s">
        <v>100</v>
      </c>
      <c r="P17" s="29" t="s">
        <v>35</v>
      </c>
      <c r="Q17" s="29"/>
      <c r="R17" s="29"/>
      <c r="S17" s="40">
        <v>45733</v>
      </c>
      <c r="T17" s="40" t="s">
        <v>122</v>
      </c>
      <c r="U17" s="40" t="s">
        <v>140</v>
      </c>
      <c r="V17" s="61">
        <v>26407885</v>
      </c>
      <c r="W17" s="29" t="s">
        <v>77</v>
      </c>
      <c r="X17" s="29"/>
      <c r="Y17" s="29"/>
      <c r="Z17" s="29" t="s">
        <v>124</v>
      </c>
      <c r="AA17" s="29" t="s">
        <v>125</v>
      </c>
      <c r="AB17" s="29" t="s">
        <v>78</v>
      </c>
      <c r="AC17" s="65" t="s">
        <v>79</v>
      </c>
    </row>
    <row r="18" spans="1:29" x14ac:dyDescent="0.25">
      <c r="A18" s="62" t="s">
        <v>33</v>
      </c>
      <c r="B18" s="29" t="s">
        <v>116</v>
      </c>
      <c r="C18" s="29" t="s">
        <v>54</v>
      </c>
      <c r="D18" s="29" t="s">
        <v>56</v>
      </c>
      <c r="E18" s="29" t="s">
        <v>90</v>
      </c>
      <c r="F18" s="29" t="s">
        <v>91</v>
      </c>
      <c r="G18" s="29" t="s">
        <v>54</v>
      </c>
      <c r="H18" s="29" t="s">
        <v>36</v>
      </c>
      <c r="I18" s="29" t="s">
        <v>117</v>
      </c>
      <c r="J18" s="29" t="s">
        <v>118</v>
      </c>
      <c r="K18" s="29" t="s">
        <v>119</v>
      </c>
      <c r="L18" s="29" t="s">
        <v>76</v>
      </c>
      <c r="M18" s="60" t="s">
        <v>120</v>
      </c>
      <c r="N18" s="29" t="s">
        <v>121</v>
      </c>
      <c r="O18" s="29" t="s">
        <v>101</v>
      </c>
      <c r="P18" s="29" t="s">
        <v>35</v>
      </c>
      <c r="Q18" s="29"/>
      <c r="R18" s="29"/>
      <c r="S18" s="40">
        <v>45733</v>
      </c>
      <c r="T18" s="40" t="s">
        <v>122</v>
      </c>
      <c r="U18" s="40" t="s">
        <v>141</v>
      </c>
      <c r="V18" s="61">
        <v>26407885</v>
      </c>
      <c r="W18" s="29" t="s">
        <v>77</v>
      </c>
      <c r="X18" s="29"/>
      <c r="Y18" s="29"/>
      <c r="Z18" s="29" t="s">
        <v>124</v>
      </c>
      <c r="AA18" s="29" t="s">
        <v>125</v>
      </c>
      <c r="AB18" s="29" t="s">
        <v>78</v>
      </c>
      <c r="AC18" s="65" t="s">
        <v>79</v>
      </c>
    </row>
    <row r="19" spans="1:29" x14ac:dyDescent="0.25">
      <c r="A19" s="62" t="s">
        <v>33</v>
      </c>
      <c r="B19" s="29" t="s">
        <v>116</v>
      </c>
      <c r="C19" s="29" t="s">
        <v>54</v>
      </c>
      <c r="D19" s="29" t="s">
        <v>56</v>
      </c>
      <c r="E19" s="29" t="s">
        <v>90</v>
      </c>
      <c r="F19" s="29" t="s">
        <v>91</v>
      </c>
      <c r="G19" s="29" t="s">
        <v>54</v>
      </c>
      <c r="H19" s="29" t="s">
        <v>36</v>
      </c>
      <c r="I19" s="29" t="s">
        <v>117</v>
      </c>
      <c r="J19" s="29" t="s">
        <v>118</v>
      </c>
      <c r="K19" s="29" t="s">
        <v>119</v>
      </c>
      <c r="L19" s="29" t="s">
        <v>76</v>
      </c>
      <c r="M19" s="60" t="s">
        <v>120</v>
      </c>
      <c r="N19" s="29" t="s">
        <v>121</v>
      </c>
      <c r="O19" s="29" t="s">
        <v>102</v>
      </c>
      <c r="P19" s="29" t="s">
        <v>35</v>
      </c>
      <c r="Q19" s="29"/>
      <c r="R19" s="29"/>
      <c r="S19" s="40">
        <v>45733</v>
      </c>
      <c r="T19" s="40" t="s">
        <v>122</v>
      </c>
      <c r="U19" s="40" t="s">
        <v>142</v>
      </c>
      <c r="V19" s="61">
        <v>26407885</v>
      </c>
      <c r="W19" s="29" t="s">
        <v>77</v>
      </c>
      <c r="X19" s="29"/>
      <c r="Y19" s="29"/>
      <c r="Z19" s="29" t="s">
        <v>124</v>
      </c>
      <c r="AA19" s="29" t="s">
        <v>125</v>
      </c>
      <c r="AB19" s="29" t="s">
        <v>78</v>
      </c>
      <c r="AC19" s="65" t="s">
        <v>79</v>
      </c>
    </row>
    <row r="20" spans="1:29" x14ac:dyDescent="0.25">
      <c r="A20" s="62" t="s">
        <v>33</v>
      </c>
      <c r="B20" s="29" t="s">
        <v>116</v>
      </c>
      <c r="C20" s="29" t="s">
        <v>54</v>
      </c>
      <c r="D20" s="29" t="s">
        <v>56</v>
      </c>
      <c r="E20" s="29" t="s">
        <v>90</v>
      </c>
      <c r="F20" s="29" t="s">
        <v>91</v>
      </c>
      <c r="G20" s="29" t="s">
        <v>54</v>
      </c>
      <c r="H20" s="29" t="s">
        <v>36</v>
      </c>
      <c r="I20" s="29" t="s">
        <v>117</v>
      </c>
      <c r="J20" s="29" t="s">
        <v>118</v>
      </c>
      <c r="K20" s="29" t="s">
        <v>119</v>
      </c>
      <c r="L20" s="29" t="s">
        <v>76</v>
      </c>
      <c r="M20" s="60" t="s">
        <v>120</v>
      </c>
      <c r="N20" s="29" t="s">
        <v>121</v>
      </c>
      <c r="O20" s="29" t="s">
        <v>103</v>
      </c>
      <c r="P20" s="29" t="str">
        <f>_xlfn.XLOOKUP((Tabla2[[#This Row],[CODIGO RUTA]]&amp;Tabla2[[#This Row],[PREGUNTA]]),[1]PURINA!$J:$J,[1]PURINA!$I:$I)</f>
        <v>CANAL TRADICIONAL</v>
      </c>
      <c r="Q20" s="29"/>
      <c r="R20" s="29"/>
      <c r="S20" s="40">
        <v>45733</v>
      </c>
      <c r="T20" s="40" t="s">
        <v>122</v>
      </c>
      <c r="U20" s="40" t="s">
        <v>144</v>
      </c>
      <c r="V20" s="61">
        <v>26407885</v>
      </c>
      <c r="W20" s="29" t="s">
        <v>77</v>
      </c>
      <c r="X20" s="29"/>
      <c r="Y20" s="29"/>
      <c r="Z20" s="29" t="s">
        <v>124</v>
      </c>
      <c r="AA20" s="29" t="s">
        <v>125</v>
      </c>
      <c r="AB20" s="29" t="s">
        <v>78</v>
      </c>
      <c r="AC20" s="65" t="s">
        <v>79</v>
      </c>
    </row>
    <row r="21" spans="1:29" x14ac:dyDescent="0.25">
      <c r="A21" s="62" t="s">
        <v>33</v>
      </c>
      <c r="B21" s="29" t="s">
        <v>116</v>
      </c>
      <c r="C21" s="29" t="s">
        <v>54</v>
      </c>
      <c r="D21" s="29" t="s">
        <v>56</v>
      </c>
      <c r="E21" s="29" t="s">
        <v>90</v>
      </c>
      <c r="F21" s="29" t="s">
        <v>91</v>
      </c>
      <c r="G21" s="29" t="s">
        <v>54</v>
      </c>
      <c r="H21" s="29" t="s">
        <v>36</v>
      </c>
      <c r="I21" s="29" t="s">
        <v>117</v>
      </c>
      <c r="J21" s="29" t="s">
        <v>118</v>
      </c>
      <c r="K21" s="29" t="s">
        <v>119</v>
      </c>
      <c r="L21" s="29" t="s">
        <v>76</v>
      </c>
      <c r="M21" s="60" t="s">
        <v>120</v>
      </c>
      <c r="N21" s="29" t="s">
        <v>121</v>
      </c>
      <c r="O21" s="29" t="s">
        <v>112</v>
      </c>
      <c r="P21" s="29" t="s">
        <v>35</v>
      </c>
      <c r="Q21" s="29"/>
      <c r="R21" s="29"/>
      <c r="S21" s="40">
        <v>45733</v>
      </c>
      <c r="T21" s="40" t="s">
        <v>122</v>
      </c>
      <c r="U21" s="40" t="s">
        <v>145</v>
      </c>
      <c r="V21" s="61">
        <v>26407885</v>
      </c>
      <c r="W21" s="29" t="s">
        <v>77</v>
      </c>
      <c r="X21" s="29"/>
      <c r="Y21" s="29"/>
      <c r="Z21" s="29" t="s">
        <v>124</v>
      </c>
      <c r="AA21" s="29" t="s">
        <v>125</v>
      </c>
      <c r="AB21" s="29" t="s">
        <v>78</v>
      </c>
      <c r="AC21" s="65" t="s">
        <v>79</v>
      </c>
    </row>
    <row r="22" spans="1:29" x14ac:dyDescent="0.25">
      <c r="A22" s="62" t="s">
        <v>33</v>
      </c>
      <c r="B22" s="29" t="s">
        <v>116</v>
      </c>
      <c r="C22" s="29" t="s">
        <v>54</v>
      </c>
      <c r="D22" s="29" t="s">
        <v>56</v>
      </c>
      <c r="E22" s="29" t="s">
        <v>90</v>
      </c>
      <c r="F22" s="29" t="s">
        <v>91</v>
      </c>
      <c r="G22" s="29" t="s">
        <v>54</v>
      </c>
      <c r="H22" s="29" t="s">
        <v>36</v>
      </c>
      <c r="I22" s="29" t="s">
        <v>117</v>
      </c>
      <c r="J22" s="29" t="s">
        <v>118</v>
      </c>
      <c r="K22" s="29" t="s">
        <v>119</v>
      </c>
      <c r="L22" s="29" t="s">
        <v>76</v>
      </c>
      <c r="M22" s="60" t="s">
        <v>120</v>
      </c>
      <c r="N22" s="29" t="s">
        <v>121</v>
      </c>
      <c r="O22" s="29" t="s">
        <v>113</v>
      </c>
      <c r="P22" s="29" t="s">
        <v>34</v>
      </c>
      <c r="Q22" s="29"/>
      <c r="R22" s="29"/>
      <c r="S22" s="40">
        <v>45733</v>
      </c>
      <c r="T22" s="40" t="s">
        <v>122</v>
      </c>
      <c r="U22" s="40" t="s">
        <v>146</v>
      </c>
      <c r="V22" s="61">
        <v>26407885</v>
      </c>
      <c r="W22" s="29" t="s">
        <v>77</v>
      </c>
      <c r="X22" s="29"/>
      <c r="Y22" s="29"/>
      <c r="Z22" s="29" t="s">
        <v>124</v>
      </c>
      <c r="AA22" s="29" t="s">
        <v>125</v>
      </c>
      <c r="AB22" s="29" t="s">
        <v>78</v>
      </c>
      <c r="AC22" s="65" t="s">
        <v>79</v>
      </c>
    </row>
    <row r="23" spans="1:29" x14ac:dyDescent="0.25">
      <c r="A23" s="62" t="s">
        <v>33</v>
      </c>
      <c r="B23" s="29" t="s">
        <v>147</v>
      </c>
      <c r="C23" s="29" t="s">
        <v>55</v>
      </c>
      <c r="D23" s="29" t="s">
        <v>56</v>
      </c>
      <c r="E23" s="29" t="s">
        <v>90</v>
      </c>
      <c r="F23" s="29" t="s">
        <v>91</v>
      </c>
      <c r="G23" s="29" t="s">
        <v>55</v>
      </c>
      <c r="H23" s="29" t="s">
        <v>36</v>
      </c>
      <c r="I23" s="29" t="s">
        <v>148</v>
      </c>
      <c r="J23" s="29" t="s">
        <v>149</v>
      </c>
      <c r="K23" s="29" t="s">
        <v>119</v>
      </c>
      <c r="L23" s="29" t="s">
        <v>76</v>
      </c>
      <c r="M23" s="60" t="s">
        <v>120</v>
      </c>
      <c r="N23" s="29" t="s">
        <v>121</v>
      </c>
      <c r="O23" s="29" t="s">
        <v>45</v>
      </c>
      <c r="P23" s="29" t="s">
        <v>35</v>
      </c>
      <c r="Q23" s="29"/>
      <c r="R23" s="29"/>
      <c r="S23" s="40">
        <v>45735</v>
      </c>
      <c r="T23" s="40" t="s">
        <v>150</v>
      </c>
      <c r="U23" s="40" t="s">
        <v>151</v>
      </c>
      <c r="V23" s="61">
        <v>26426261</v>
      </c>
      <c r="W23" s="29" t="s">
        <v>77</v>
      </c>
      <c r="X23" s="29"/>
      <c r="Y23" s="29"/>
      <c r="Z23" s="29" t="s">
        <v>152</v>
      </c>
      <c r="AA23" s="29" t="s">
        <v>153</v>
      </c>
      <c r="AB23" s="29" t="s">
        <v>78</v>
      </c>
      <c r="AC23" s="65" t="s">
        <v>79</v>
      </c>
    </row>
    <row r="24" spans="1:29" x14ac:dyDescent="0.25">
      <c r="A24" s="62" t="s">
        <v>33</v>
      </c>
      <c r="B24" s="29" t="s">
        <v>147</v>
      </c>
      <c r="C24" s="29" t="s">
        <v>55</v>
      </c>
      <c r="D24" s="29" t="s">
        <v>56</v>
      </c>
      <c r="E24" s="29" t="s">
        <v>90</v>
      </c>
      <c r="F24" s="29" t="s">
        <v>91</v>
      </c>
      <c r="G24" s="29" t="s">
        <v>55</v>
      </c>
      <c r="H24" s="29" t="s">
        <v>36</v>
      </c>
      <c r="I24" s="29" t="s">
        <v>148</v>
      </c>
      <c r="J24" s="29" t="s">
        <v>149</v>
      </c>
      <c r="K24" s="29" t="s">
        <v>119</v>
      </c>
      <c r="L24" s="29" t="s">
        <v>76</v>
      </c>
      <c r="M24" s="60" t="s">
        <v>120</v>
      </c>
      <c r="N24" s="29" t="s">
        <v>121</v>
      </c>
      <c r="O24" s="29" t="s">
        <v>38</v>
      </c>
      <c r="P24" s="29" t="s">
        <v>35</v>
      </c>
      <c r="Q24" s="29"/>
      <c r="R24" s="29"/>
      <c r="S24" s="40">
        <v>45735</v>
      </c>
      <c r="T24" s="40" t="s">
        <v>150</v>
      </c>
      <c r="U24" s="40" t="s">
        <v>151</v>
      </c>
      <c r="V24" s="61">
        <v>26426261</v>
      </c>
      <c r="W24" s="29" t="s">
        <v>77</v>
      </c>
      <c r="X24" s="29"/>
      <c r="Y24" s="29"/>
      <c r="Z24" s="29" t="s">
        <v>152</v>
      </c>
      <c r="AA24" s="29" t="s">
        <v>153</v>
      </c>
      <c r="AB24" s="29" t="s">
        <v>78</v>
      </c>
      <c r="AC24" s="65" t="s">
        <v>79</v>
      </c>
    </row>
    <row r="25" spans="1:29" x14ac:dyDescent="0.25">
      <c r="A25" s="62" t="s">
        <v>33</v>
      </c>
      <c r="B25" s="29" t="s">
        <v>147</v>
      </c>
      <c r="C25" s="29" t="s">
        <v>55</v>
      </c>
      <c r="D25" s="29" t="s">
        <v>56</v>
      </c>
      <c r="E25" s="29" t="s">
        <v>90</v>
      </c>
      <c r="F25" s="29" t="s">
        <v>91</v>
      </c>
      <c r="G25" s="29" t="s">
        <v>55</v>
      </c>
      <c r="H25" s="29" t="s">
        <v>36</v>
      </c>
      <c r="I25" s="29" t="s">
        <v>148</v>
      </c>
      <c r="J25" s="29" t="s">
        <v>149</v>
      </c>
      <c r="K25" s="29" t="s">
        <v>119</v>
      </c>
      <c r="L25" s="29" t="s">
        <v>76</v>
      </c>
      <c r="M25" s="60" t="s">
        <v>120</v>
      </c>
      <c r="N25" s="29" t="s">
        <v>121</v>
      </c>
      <c r="O25" s="29" t="s">
        <v>94</v>
      </c>
      <c r="P25" s="29" t="s">
        <v>35</v>
      </c>
      <c r="Q25" s="29"/>
      <c r="R25" s="29"/>
      <c r="S25" s="40">
        <v>45735</v>
      </c>
      <c r="T25" s="40" t="s">
        <v>150</v>
      </c>
      <c r="U25" s="40" t="s">
        <v>151</v>
      </c>
      <c r="V25" s="61">
        <v>26426261</v>
      </c>
      <c r="W25" s="29" t="s">
        <v>77</v>
      </c>
      <c r="X25" s="29"/>
      <c r="Y25" s="29"/>
      <c r="Z25" s="29" t="s">
        <v>152</v>
      </c>
      <c r="AA25" s="29" t="s">
        <v>153</v>
      </c>
      <c r="AB25" s="29" t="s">
        <v>78</v>
      </c>
      <c r="AC25" s="65" t="s">
        <v>79</v>
      </c>
    </row>
    <row r="26" spans="1:29" x14ac:dyDescent="0.25">
      <c r="A26" s="62" t="s">
        <v>33</v>
      </c>
      <c r="B26" s="29" t="s">
        <v>147</v>
      </c>
      <c r="C26" s="29" t="s">
        <v>55</v>
      </c>
      <c r="D26" s="29" t="s">
        <v>56</v>
      </c>
      <c r="E26" s="29" t="s">
        <v>90</v>
      </c>
      <c r="F26" s="29" t="s">
        <v>91</v>
      </c>
      <c r="G26" s="29" t="s">
        <v>55</v>
      </c>
      <c r="H26" s="29" t="s">
        <v>36</v>
      </c>
      <c r="I26" s="29" t="s">
        <v>148</v>
      </c>
      <c r="J26" s="29" t="s">
        <v>149</v>
      </c>
      <c r="K26" s="29" t="s">
        <v>119</v>
      </c>
      <c r="L26" s="29" t="s">
        <v>76</v>
      </c>
      <c r="M26" s="60" t="s">
        <v>120</v>
      </c>
      <c r="N26" s="29" t="s">
        <v>121</v>
      </c>
      <c r="O26" s="29" t="s">
        <v>39</v>
      </c>
      <c r="P26" s="29" t="s">
        <v>35</v>
      </c>
      <c r="Q26" s="29"/>
      <c r="R26" s="29"/>
      <c r="S26" s="40">
        <v>45735</v>
      </c>
      <c r="T26" s="40" t="s">
        <v>150</v>
      </c>
      <c r="U26" s="40" t="s">
        <v>151</v>
      </c>
      <c r="V26" s="61">
        <v>26426261</v>
      </c>
      <c r="W26" s="29" t="s">
        <v>77</v>
      </c>
      <c r="X26" s="29"/>
      <c r="Y26" s="29"/>
      <c r="Z26" s="29" t="s">
        <v>152</v>
      </c>
      <c r="AA26" s="29" t="s">
        <v>153</v>
      </c>
      <c r="AB26" s="29" t="s">
        <v>78</v>
      </c>
      <c r="AC26" s="65" t="s">
        <v>79</v>
      </c>
    </row>
    <row r="27" spans="1:29" x14ac:dyDescent="0.25">
      <c r="A27" s="62" t="s">
        <v>33</v>
      </c>
      <c r="B27" s="29" t="s">
        <v>147</v>
      </c>
      <c r="C27" s="29" t="s">
        <v>55</v>
      </c>
      <c r="D27" s="29" t="s">
        <v>56</v>
      </c>
      <c r="E27" s="29" t="s">
        <v>90</v>
      </c>
      <c r="F27" s="29" t="s">
        <v>91</v>
      </c>
      <c r="G27" s="29" t="s">
        <v>55</v>
      </c>
      <c r="H27" s="29" t="s">
        <v>36</v>
      </c>
      <c r="I27" s="29" t="s">
        <v>148</v>
      </c>
      <c r="J27" s="29" t="s">
        <v>149</v>
      </c>
      <c r="K27" s="29" t="s">
        <v>119</v>
      </c>
      <c r="L27" s="29" t="s">
        <v>76</v>
      </c>
      <c r="M27" s="60" t="s">
        <v>120</v>
      </c>
      <c r="N27" s="29" t="s">
        <v>121</v>
      </c>
      <c r="O27" s="29" t="s">
        <v>95</v>
      </c>
      <c r="P27" s="29" t="s">
        <v>34</v>
      </c>
      <c r="Q27" s="29"/>
      <c r="R27" s="29"/>
      <c r="S27" s="40">
        <v>45735</v>
      </c>
      <c r="T27" s="40" t="s">
        <v>150</v>
      </c>
      <c r="U27" s="40" t="s">
        <v>151</v>
      </c>
      <c r="V27" s="61">
        <v>26426261</v>
      </c>
      <c r="W27" s="29" t="s">
        <v>77</v>
      </c>
      <c r="X27" s="29"/>
      <c r="Y27" s="29"/>
      <c r="Z27" s="29" t="s">
        <v>152</v>
      </c>
      <c r="AA27" s="29" t="s">
        <v>153</v>
      </c>
      <c r="AB27" s="29" t="s">
        <v>78</v>
      </c>
      <c r="AC27" s="65" t="s">
        <v>79</v>
      </c>
    </row>
    <row r="28" spans="1:29" x14ac:dyDescent="0.25">
      <c r="A28" s="62" t="s">
        <v>33</v>
      </c>
      <c r="B28" s="29" t="s">
        <v>147</v>
      </c>
      <c r="C28" s="29" t="s">
        <v>55</v>
      </c>
      <c r="D28" s="29" t="s">
        <v>56</v>
      </c>
      <c r="E28" s="29" t="s">
        <v>90</v>
      </c>
      <c r="F28" s="29" t="s">
        <v>91</v>
      </c>
      <c r="G28" s="29" t="s">
        <v>55</v>
      </c>
      <c r="H28" s="29" t="s">
        <v>36</v>
      </c>
      <c r="I28" s="29" t="s">
        <v>148</v>
      </c>
      <c r="J28" s="29" t="s">
        <v>149</v>
      </c>
      <c r="K28" s="29" t="s">
        <v>119</v>
      </c>
      <c r="L28" s="29" t="s">
        <v>76</v>
      </c>
      <c r="M28" s="60" t="s">
        <v>120</v>
      </c>
      <c r="N28" s="29" t="s">
        <v>121</v>
      </c>
      <c r="O28" s="29" t="s">
        <v>37</v>
      </c>
      <c r="P28" s="29" t="s">
        <v>35</v>
      </c>
      <c r="Q28" s="29"/>
      <c r="R28" s="29"/>
      <c r="S28" s="40">
        <v>45735</v>
      </c>
      <c r="T28" s="40" t="s">
        <v>150</v>
      </c>
      <c r="U28" s="40" t="s">
        <v>151</v>
      </c>
      <c r="V28" s="61">
        <v>26426261</v>
      </c>
      <c r="W28" s="29" t="s">
        <v>77</v>
      </c>
      <c r="X28" s="29"/>
      <c r="Y28" s="29"/>
      <c r="Z28" s="29" t="s">
        <v>152</v>
      </c>
      <c r="AA28" s="29" t="s">
        <v>153</v>
      </c>
      <c r="AB28" s="29" t="s">
        <v>78</v>
      </c>
      <c r="AC28" s="65" t="s">
        <v>79</v>
      </c>
    </row>
    <row r="29" spans="1:29" x14ac:dyDescent="0.25">
      <c r="A29" s="62" t="s">
        <v>33</v>
      </c>
      <c r="B29" s="29" t="s">
        <v>147</v>
      </c>
      <c r="C29" s="29" t="s">
        <v>55</v>
      </c>
      <c r="D29" s="29" t="s">
        <v>56</v>
      </c>
      <c r="E29" s="29" t="s">
        <v>90</v>
      </c>
      <c r="F29" s="29" t="s">
        <v>91</v>
      </c>
      <c r="G29" s="29" t="s">
        <v>55</v>
      </c>
      <c r="H29" s="29" t="s">
        <v>36</v>
      </c>
      <c r="I29" s="29" t="s">
        <v>148</v>
      </c>
      <c r="J29" s="29" t="s">
        <v>149</v>
      </c>
      <c r="K29" s="29" t="s">
        <v>119</v>
      </c>
      <c r="L29" s="29" t="s">
        <v>76</v>
      </c>
      <c r="M29" s="60" t="s">
        <v>120</v>
      </c>
      <c r="N29" s="29" t="s">
        <v>121</v>
      </c>
      <c r="O29" s="29" t="s">
        <v>43</v>
      </c>
      <c r="P29" s="29" t="s">
        <v>35</v>
      </c>
      <c r="Q29" s="29"/>
      <c r="R29" s="29"/>
      <c r="S29" s="40">
        <v>45735</v>
      </c>
      <c r="T29" s="40" t="s">
        <v>150</v>
      </c>
      <c r="U29" s="40" t="s">
        <v>151</v>
      </c>
      <c r="V29" s="61">
        <v>26426261</v>
      </c>
      <c r="W29" s="29" t="s">
        <v>77</v>
      </c>
      <c r="X29" s="29"/>
      <c r="Y29" s="29"/>
      <c r="Z29" s="29" t="s">
        <v>152</v>
      </c>
      <c r="AA29" s="29" t="s">
        <v>153</v>
      </c>
      <c r="AB29" s="29" t="s">
        <v>78</v>
      </c>
      <c r="AC29" s="65" t="s">
        <v>79</v>
      </c>
    </row>
    <row r="30" spans="1:29" x14ac:dyDescent="0.25">
      <c r="A30" s="62" t="s">
        <v>33</v>
      </c>
      <c r="B30" s="29" t="s">
        <v>147</v>
      </c>
      <c r="C30" s="29" t="s">
        <v>55</v>
      </c>
      <c r="D30" s="29" t="s">
        <v>56</v>
      </c>
      <c r="E30" s="29" t="s">
        <v>90</v>
      </c>
      <c r="F30" s="29" t="s">
        <v>91</v>
      </c>
      <c r="G30" s="29" t="s">
        <v>55</v>
      </c>
      <c r="H30" s="29" t="s">
        <v>36</v>
      </c>
      <c r="I30" s="29" t="s">
        <v>148</v>
      </c>
      <c r="J30" s="29" t="s">
        <v>149</v>
      </c>
      <c r="K30" s="29" t="s">
        <v>119</v>
      </c>
      <c r="L30" s="29" t="s">
        <v>76</v>
      </c>
      <c r="M30" s="60" t="s">
        <v>120</v>
      </c>
      <c r="N30" s="29" t="s">
        <v>121</v>
      </c>
      <c r="O30" s="29" t="s">
        <v>44</v>
      </c>
      <c r="P30" s="29" t="s">
        <v>34</v>
      </c>
      <c r="Q30" s="29"/>
      <c r="R30" s="29"/>
      <c r="S30" s="40">
        <v>45735</v>
      </c>
      <c r="T30" s="40" t="s">
        <v>150</v>
      </c>
      <c r="U30" s="40" t="s">
        <v>151</v>
      </c>
      <c r="V30" s="61">
        <v>26426261</v>
      </c>
      <c r="W30" s="29" t="s">
        <v>77</v>
      </c>
      <c r="X30" s="29"/>
      <c r="Y30" s="29"/>
      <c r="Z30" s="29" t="s">
        <v>152</v>
      </c>
      <c r="AA30" s="29" t="s">
        <v>153</v>
      </c>
      <c r="AB30" s="29" t="s">
        <v>78</v>
      </c>
      <c r="AC30" s="65" t="s">
        <v>79</v>
      </c>
    </row>
    <row r="31" spans="1:29" x14ac:dyDescent="0.25">
      <c r="A31" s="62" t="s">
        <v>33</v>
      </c>
      <c r="B31" s="29" t="s">
        <v>147</v>
      </c>
      <c r="C31" s="29" t="s">
        <v>55</v>
      </c>
      <c r="D31" s="29" t="s">
        <v>56</v>
      </c>
      <c r="E31" s="29" t="s">
        <v>90</v>
      </c>
      <c r="F31" s="29" t="s">
        <v>91</v>
      </c>
      <c r="G31" s="29" t="s">
        <v>55</v>
      </c>
      <c r="H31" s="29" t="s">
        <v>36</v>
      </c>
      <c r="I31" s="29" t="s">
        <v>148</v>
      </c>
      <c r="J31" s="29" t="s">
        <v>149</v>
      </c>
      <c r="K31" s="29" t="s">
        <v>119</v>
      </c>
      <c r="L31" s="29" t="s">
        <v>76</v>
      </c>
      <c r="M31" s="60" t="s">
        <v>120</v>
      </c>
      <c r="N31" s="29" t="s">
        <v>121</v>
      </c>
      <c r="O31" s="29" t="s">
        <v>42</v>
      </c>
      <c r="P31" s="29" t="s">
        <v>35</v>
      </c>
      <c r="Q31" s="29"/>
      <c r="R31" s="29"/>
      <c r="S31" s="40">
        <v>45735</v>
      </c>
      <c r="T31" s="40" t="s">
        <v>150</v>
      </c>
      <c r="U31" s="40" t="s">
        <v>151</v>
      </c>
      <c r="V31" s="61">
        <v>26426261</v>
      </c>
      <c r="W31" s="29" t="s">
        <v>77</v>
      </c>
      <c r="X31" s="29"/>
      <c r="Y31" s="29"/>
      <c r="Z31" s="29" t="s">
        <v>152</v>
      </c>
      <c r="AA31" s="29" t="s">
        <v>153</v>
      </c>
      <c r="AB31" s="29" t="s">
        <v>78</v>
      </c>
      <c r="AC31" s="65" t="s">
        <v>79</v>
      </c>
    </row>
    <row r="32" spans="1:29" x14ac:dyDescent="0.25">
      <c r="A32" s="62" t="s">
        <v>33</v>
      </c>
      <c r="B32" s="29" t="s">
        <v>147</v>
      </c>
      <c r="C32" s="29" t="s">
        <v>55</v>
      </c>
      <c r="D32" s="29" t="s">
        <v>56</v>
      </c>
      <c r="E32" s="29" t="s">
        <v>90</v>
      </c>
      <c r="F32" s="29" t="s">
        <v>91</v>
      </c>
      <c r="G32" s="29" t="s">
        <v>55</v>
      </c>
      <c r="H32" s="29" t="s">
        <v>36</v>
      </c>
      <c r="I32" s="29" t="s">
        <v>148</v>
      </c>
      <c r="J32" s="29" t="s">
        <v>149</v>
      </c>
      <c r="K32" s="29" t="s">
        <v>119</v>
      </c>
      <c r="L32" s="29" t="s">
        <v>76</v>
      </c>
      <c r="M32" s="60" t="s">
        <v>120</v>
      </c>
      <c r="N32" s="29" t="s">
        <v>121</v>
      </c>
      <c r="O32" s="29" t="s">
        <v>41</v>
      </c>
      <c r="P32" s="29" t="s">
        <v>34</v>
      </c>
      <c r="Q32" s="29"/>
      <c r="R32" s="29"/>
      <c r="S32" s="40">
        <v>45735</v>
      </c>
      <c r="T32" s="40" t="s">
        <v>150</v>
      </c>
      <c r="U32" s="40" t="s">
        <v>151</v>
      </c>
      <c r="V32" s="61">
        <v>26426261</v>
      </c>
      <c r="W32" s="29" t="s">
        <v>77</v>
      </c>
      <c r="X32" s="29"/>
      <c r="Y32" s="29"/>
      <c r="Z32" s="29" t="s">
        <v>152</v>
      </c>
      <c r="AA32" s="29" t="s">
        <v>153</v>
      </c>
      <c r="AB32" s="29" t="s">
        <v>78</v>
      </c>
      <c r="AC32" s="65" t="s">
        <v>79</v>
      </c>
    </row>
    <row r="33" spans="1:29" x14ac:dyDescent="0.25">
      <c r="A33" s="62" t="s">
        <v>33</v>
      </c>
      <c r="B33" s="29" t="s">
        <v>147</v>
      </c>
      <c r="C33" s="29" t="s">
        <v>55</v>
      </c>
      <c r="D33" s="29" t="s">
        <v>56</v>
      </c>
      <c r="E33" s="29" t="s">
        <v>90</v>
      </c>
      <c r="F33" s="29" t="s">
        <v>91</v>
      </c>
      <c r="G33" s="29" t="s">
        <v>55</v>
      </c>
      <c r="H33" s="29" t="s">
        <v>36</v>
      </c>
      <c r="I33" s="29" t="s">
        <v>148</v>
      </c>
      <c r="J33" s="29" t="s">
        <v>149</v>
      </c>
      <c r="K33" s="29" t="s">
        <v>119</v>
      </c>
      <c r="L33" s="29" t="s">
        <v>76</v>
      </c>
      <c r="M33" s="60" t="s">
        <v>120</v>
      </c>
      <c r="N33" s="29" t="s">
        <v>121</v>
      </c>
      <c r="O33" s="29" t="s">
        <v>40</v>
      </c>
      <c r="P33" s="29" t="s">
        <v>34</v>
      </c>
      <c r="Q33" s="29"/>
      <c r="R33" s="29"/>
      <c r="S33" s="40">
        <v>45735</v>
      </c>
      <c r="T33" s="40" t="s">
        <v>150</v>
      </c>
      <c r="U33" s="40" t="s">
        <v>151</v>
      </c>
      <c r="V33" s="61">
        <v>26426261</v>
      </c>
      <c r="W33" s="29" t="s">
        <v>77</v>
      </c>
      <c r="X33" s="29"/>
      <c r="Y33" s="29"/>
      <c r="Z33" s="29" t="s">
        <v>152</v>
      </c>
      <c r="AA33" s="29" t="s">
        <v>153</v>
      </c>
      <c r="AB33" s="29" t="s">
        <v>78</v>
      </c>
      <c r="AC33" s="65" t="s">
        <v>79</v>
      </c>
    </row>
    <row r="34" spans="1:29" x14ac:dyDescent="0.25">
      <c r="A34" s="62" t="s">
        <v>33</v>
      </c>
      <c r="B34" s="29" t="s">
        <v>147</v>
      </c>
      <c r="C34" s="29" t="s">
        <v>55</v>
      </c>
      <c r="D34" s="29" t="s">
        <v>56</v>
      </c>
      <c r="E34" s="29" t="s">
        <v>90</v>
      </c>
      <c r="F34" s="29" t="s">
        <v>91</v>
      </c>
      <c r="G34" s="29" t="s">
        <v>55</v>
      </c>
      <c r="H34" s="29" t="s">
        <v>36</v>
      </c>
      <c r="I34" s="29" t="s">
        <v>148</v>
      </c>
      <c r="J34" s="29" t="s">
        <v>149</v>
      </c>
      <c r="K34" s="29" t="s">
        <v>119</v>
      </c>
      <c r="L34" s="29" t="s">
        <v>76</v>
      </c>
      <c r="M34" s="60" t="s">
        <v>120</v>
      </c>
      <c r="N34" s="29" t="s">
        <v>121</v>
      </c>
      <c r="O34" s="29" t="s">
        <v>96</v>
      </c>
      <c r="P34" s="29" t="s">
        <v>35</v>
      </c>
      <c r="Q34" s="29"/>
      <c r="R34" s="29"/>
      <c r="S34" s="40">
        <v>45735</v>
      </c>
      <c r="T34" s="40" t="s">
        <v>150</v>
      </c>
      <c r="U34" s="40" t="s">
        <v>151</v>
      </c>
      <c r="V34" s="61">
        <v>26426261</v>
      </c>
      <c r="W34" s="29" t="s">
        <v>77</v>
      </c>
      <c r="X34" s="29"/>
      <c r="Y34" s="29"/>
      <c r="Z34" s="29" t="s">
        <v>152</v>
      </c>
      <c r="AA34" s="29" t="s">
        <v>153</v>
      </c>
      <c r="AB34" s="29" t="s">
        <v>78</v>
      </c>
      <c r="AC34" s="65" t="s">
        <v>79</v>
      </c>
    </row>
    <row r="35" spans="1:29" x14ac:dyDescent="0.25">
      <c r="A35" s="62" t="s">
        <v>33</v>
      </c>
      <c r="B35" s="29" t="s">
        <v>147</v>
      </c>
      <c r="C35" s="29" t="s">
        <v>55</v>
      </c>
      <c r="D35" s="29" t="s">
        <v>56</v>
      </c>
      <c r="E35" s="29" t="s">
        <v>90</v>
      </c>
      <c r="F35" s="29" t="s">
        <v>91</v>
      </c>
      <c r="G35" s="29" t="s">
        <v>55</v>
      </c>
      <c r="H35" s="29" t="s">
        <v>36</v>
      </c>
      <c r="I35" s="29" t="s">
        <v>148</v>
      </c>
      <c r="J35" s="29" t="s">
        <v>149</v>
      </c>
      <c r="K35" s="29" t="s">
        <v>119</v>
      </c>
      <c r="L35" s="29" t="s">
        <v>76</v>
      </c>
      <c r="M35" s="60" t="s">
        <v>120</v>
      </c>
      <c r="N35" s="29" t="s">
        <v>121</v>
      </c>
      <c r="O35" s="29" t="s">
        <v>97</v>
      </c>
      <c r="P35" s="29" t="s">
        <v>35</v>
      </c>
      <c r="Q35" s="29"/>
      <c r="R35" s="29"/>
      <c r="S35" s="40">
        <v>45735</v>
      </c>
      <c r="T35" s="40" t="s">
        <v>150</v>
      </c>
      <c r="U35" s="40" t="s">
        <v>151</v>
      </c>
      <c r="V35" s="61">
        <v>26426261</v>
      </c>
      <c r="W35" s="29" t="s">
        <v>77</v>
      </c>
      <c r="X35" s="29"/>
      <c r="Y35" s="29"/>
      <c r="Z35" s="29" t="s">
        <v>152</v>
      </c>
      <c r="AA35" s="29" t="s">
        <v>153</v>
      </c>
      <c r="AB35" s="29" t="s">
        <v>78</v>
      </c>
      <c r="AC35" s="65" t="s">
        <v>79</v>
      </c>
    </row>
    <row r="36" spans="1:29" x14ac:dyDescent="0.25">
      <c r="A36" s="62" t="s">
        <v>33</v>
      </c>
      <c r="B36" s="29" t="s">
        <v>147</v>
      </c>
      <c r="C36" s="29" t="s">
        <v>55</v>
      </c>
      <c r="D36" s="29" t="s">
        <v>56</v>
      </c>
      <c r="E36" s="29" t="s">
        <v>90</v>
      </c>
      <c r="F36" s="29" t="s">
        <v>91</v>
      </c>
      <c r="G36" s="29" t="s">
        <v>55</v>
      </c>
      <c r="H36" s="29" t="s">
        <v>36</v>
      </c>
      <c r="I36" s="29" t="s">
        <v>148</v>
      </c>
      <c r="J36" s="29" t="s">
        <v>149</v>
      </c>
      <c r="K36" s="29" t="s">
        <v>119</v>
      </c>
      <c r="L36" s="29" t="s">
        <v>76</v>
      </c>
      <c r="M36" s="60" t="s">
        <v>120</v>
      </c>
      <c r="N36" s="29" t="s">
        <v>121</v>
      </c>
      <c r="O36" s="29" t="s">
        <v>98</v>
      </c>
      <c r="P36" s="29" t="s">
        <v>35</v>
      </c>
      <c r="Q36" s="29"/>
      <c r="R36" s="29"/>
      <c r="S36" s="40">
        <v>45735</v>
      </c>
      <c r="T36" s="40" t="s">
        <v>150</v>
      </c>
      <c r="U36" s="40" t="s">
        <v>151</v>
      </c>
      <c r="V36" s="61">
        <v>26426261</v>
      </c>
      <c r="W36" s="29" t="s">
        <v>77</v>
      </c>
      <c r="X36" s="29"/>
      <c r="Y36" s="29"/>
      <c r="Z36" s="29" t="s">
        <v>152</v>
      </c>
      <c r="AA36" s="29" t="s">
        <v>153</v>
      </c>
      <c r="AB36" s="29" t="s">
        <v>78</v>
      </c>
      <c r="AC36" s="65" t="s">
        <v>79</v>
      </c>
    </row>
    <row r="37" spans="1:29" x14ac:dyDescent="0.25">
      <c r="A37" s="62" t="s">
        <v>33</v>
      </c>
      <c r="B37" s="29" t="s">
        <v>147</v>
      </c>
      <c r="C37" s="29" t="s">
        <v>55</v>
      </c>
      <c r="D37" s="29" t="s">
        <v>56</v>
      </c>
      <c r="E37" s="29" t="s">
        <v>90</v>
      </c>
      <c r="F37" s="29" t="s">
        <v>91</v>
      </c>
      <c r="G37" s="29" t="s">
        <v>55</v>
      </c>
      <c r="H37" s="29" t="s">
        <v>36</v>
      </c>
      <c r="I37" s="29" t="s">
        <v>148</v>
      </c>
      <c r="J37" s="29" t="s">
        <v>149</v>
      </c>
      <c r="K37" s="29" t="s">
        <v>119</v>
      </c>
      <c r="L37" s="29" t="s">
        <v>76</v>
      </c>
      <c r="M37" s="60" t="s">
        <v>120</v>
      </c>
      <c r="N37" s="29" t="s">
        <v>121</v>
      </c>
      <c r="O37" s="29" t="s">
        <v>99</v>
      </c>
      <c r="P37" s="29" t="s">
        <v>35</v>
      </c>
      <c r="Q37" s="29"/>
      <c r="R37" s="29"/>
      <c r="S37" s="40">
        <v>45735</v>
      </c>
      <c r="T37" s="40" t="s">
        <v>150</v>
      </c>
      <c r="U37" s="40" t="s">
        <v>151</v>
      </c>
      <c r="V37" s="61">
        <v>26426261</v>
      </c>
      <c r="W37" s="29" t="s">
        <v>77</v>
      </c>
      <c r="X37" s="29"/>
      <c r="Y37" s="29"/>
      <c r="Z37" s="29" t="s">
        <v>152</v>
      </c>
      <c r="AA37" s="29" t="s">
        <v>153</v>
      </c>
      <c r="AB37" s="29" t="s">
        <v>78</v>
      </c>
      <c r="AC37" s="65" t="s">
        <v>79</v>
      </c>
    </row>
    <row r="38" spans="1:29" x14ac:dyDescent="0.25">
      <c r="A38" s="62" t="s">
        <v>33</v>
      </c>
      <c r="B38" s="29" t="s">
        <v>147</v>
      </c>
      <c r="C38" s="29" t="s">
        <v>55</v>
      </c>
      <c r="D38" s="29" t="s">
        <v>56</v>
      </c>
      <c r="E38" s="29" t="s">
        <v>90</v>
      </c>
      <c r="F38" s="29" t="s">
        <v>91</v>
      </c>
      <c r="G38" s="29" t="s">
        <v>55</v>
      </c>
      <c r="H38" s="29" t="s">
        <v>36</v>
      </c>
      <c r="I38" s="29" t="s">
        <v>148</v>
      </c>
      <c r="J38" s="29" t="s">
        <v>149</v>
      </c>
      <c r="K38" s="29" t="s">
        <v>119</v>
      </c>
      <c r="L38" s="29" t="s">
        <v>76</v>
      </c>
      <c r="M38" s="60" t="s">
        <v>120</v>
      </c>
      <c r="N38" s="29" t="s">
        <v>121</v>
      </c>
      <c r="O38" s="29" t="s">
        <v>100</v>
      </c>
      <c r="P38" s="29" t="s">
        <v>35</v>
      </c>
      <c r="Q38" s="29"/>
      <c r="R38" s="29"/>
      <c r="S38" s="40">
        <v>45735</v>
      </c>
      <c r="T38" s="40" t="s">
        <v>150</v>
      </c>
      <c r="U38" s="40" t="s">
        <v>151</v>
      </c>
      <c r="V38" s="61">
        <v>26426261</v>
      </c>
      <c r="W38" s="29" t="s">
        <v>77</v>
      </c>
      <c r="X38" s="29"/>
      <c r="Y38" s="29"/>
      <c r="Z38" s="29" t="s">
        <v>152</v>
      </c>
      <c r="AA38" s="29" t="s">
        <v>153</v>
      </c>
      <c r="AB38" s="29" t="s">
        <v>78</v>
      </c>
      <c r="AC38" s="65" t="s">
        <v>79</v>
      </c>
    </row>
    <row r="39" spans="1:29" x14ac:dyDescent="0.25">
      <c r="A39" s="62" t="s">
        <v>33</v>
      </c>
      <c r="B39" s="29" t="s">
        <v>147</v>
      </c>
      <c r="C39" s="29" t="s">
        <v>55</v>
      </c>
      <c r="D39" s="29" t="s">
        <v>56</v>
      </c>
      <c r="E39" s="29" t="s">
        <v>90</v>
      </c>
      <c r="F39" s="29" t="s">
        <v>91</v>
      </c>
      <c r="G39" s="29" t="s">
        <v>55</v>
      </c>
      <c r="H39" s="29" t="s">
        <v>36</v>
      </c>
      <c r="I39" s="29" t="s">
        <v>148</v>
      </c>
      <c r="J39" s="29" t="s">
        <v>149</v>
      </c>
      <c r="K39" s="29" t="s">
        <v>119</v>
      </c>
      <c r="L39" s="29" t="s">
        <v>76</v>
      </c>
      <c r="M39" s="60" t="s">
        <v>120</v>
      </c>
      <c r="N39" s="29" t="s">
        <v>121</v>
      </c>
      <c r="O39" s="29" t="s">
        <v>101</v>
      </c>
      <c r="P39" s="29" t="s">
        <v>35</v>
      </c>
      <c r="Q39" s="29"/>
      <c r="R39" s="29"/>
      <c r="S39" s="40">
        <v>45735</v>
      </c>
      <c r="T39" s="40" t="s">
        <v>150</v>
      </c>
      <c r="U39" s="40" t="s">
        <v>151</v>
      </c>
      <c r="V39" s="61">
        <v>26426261</v>
      </c>
      <c r="W39" s="29" t="s">
        <v>77</v>
      </c>
      <c r="X39" s="29"/>
      <c r="Y39" s="29"/>
      <c r="Z39" s="29" t="s">
        <v>152</v>
      </c>
      <c r="AA39" s="29" t="s">
        <v>153</v>
      </c>
      <c r="AB39" s="29" t="s">
        <v>78</v>
      </c>
      <c r="AC39" s="65" t="s">
        <v>79</v>
      </c>
    </row>
    <row r="40" spans="1:29" x14ac:dyDescent="0.25">
      <c r="A40" s="62" t="s">
        <v>33</v>
      </c>
      <c r="B40" s="29" t="s">
        <v>147</v>
      </c>
      <c r="C40" s="29" t="s">
        <v>55</v>
      </c>
      <c r="D40" s="29" t="s">
        <v>56</v>
      </c>
      <c r="E40" s="29" t="s">
        <v>90</v>
      </c>
      <c r="F40" s="29" t="s">
        <v>91</v>
      </c>
      <c r="G40" s="29" t="s">
        <v>55</v>
      </c>
      <c r="H40" s="29" t="s">
        <v>36</v>
      </c>
      <c r="I40" s="29" t="s">
        <v>148</v>
      </c>
      <c r="J40" s="29" t="s">
        <v>149</v>
      </c>
      <c r="K40" s="29" t="s">
        <v>119</v>
      </c>
      <c r="L40" s="29" t="s">
        <v>76</v>
      </c>
      <c r="M40" s="60" t="s">
        <v>120</v>
      </c>
      <c r="N40" s="29" t="s">
        <v>121</v>
      </c>
      <c r="O40" s="29" t="s">
        <v>102</v>
      </c>
      <c r="P40" s="29" t="s">
        <v>35</v>
      </c>
      <c r="Q40" s="29"/>
      <c r="R40" s="29"/>
      <c r="S40" s="40">
        <v>45735</v>
      </c>
      <c r="T40" s="40" t="s">
        <v>150</v>
      </c>
      <c r="U40" s="40" t="s">
        <v>151</v>
      </c>
      <c r="V40" s="61">
        <v>26426261</v>
      </c>
      <c r="W40" s="29" t="s">
        <v>77</v>
      </c>
      <c r="X40" s="29"/>
      <c r="Y40" s="29"/>
      <c r="Z40" s="29" t="s">
        <v>152</v>
      </c>
      <c r="AA40" s="29" t="s">
        <v>153</v>
      </c>
      <c r="AB40" s="29" t="s">
        <v>78</v>
      </c>
      <c r="AC40" s="65" t="s">
        <v>79</v>
      </c>
    </row>
    <row r="41" spans="1:29" x14ac:dyDescent="0.25">
      <c r="A41" s="62" t="s">
        <v>33</v>
      </c>
      <c r="B41" s="29" t="s">
        <v>147</v>
      </c>
      <c r="C41" s="29" t="s">
        <v>55</v>
      </c>
      <c r="D41" s="29" t="s">
        <v>56</v>
      </c>
      <c r="E41" s="29" t="s">
        <v>90</v>
      </c>
      <c r="F41" s="29" t="s">
        <v>91</v>
      </c>
      <c r="G41" s="29" t="s">
        <v>55</v>
      </c>
      <c r="H41" s="29" t="s">
        <v>36</v>
      </c>
      <c r="I41" s="29" t="s">
        <v>148</v>
      </c>
      <c r="J41" s="29" t="s">
        <v>149</v>
      </c>
      <c r="K41" s="29" t="s">
        <v>119</v>
      </c>
      <c r="L41" s="29" t="s">
        <v>76</v>
      </c>
      <c r="M41" s="60" t="s">
        <v>120</v>
      </c>
      <c r="N41" s="29" t="s">
        <v>121</v>
      </c>
      <c r="O41" s="29" t="s">
        <v>103</v>
      </c>
      <c r="P41" s="29" t="str">
        <f>_xlfn.XLOOKUP((Tabla2[[#This Row],[CODIGO RUTA]]&amp;Tabla2[[#This Row],[PREGUNTA]]),[1]PURINA!$J:$J,[1]PURINA!$I:$I)</f>
        <v>CANAL TRADICIONAL</v>
      </c>
      <c r="Q41" s="29"/>
      <c r="R41" s="29"/>
      <c r="S41" s="40">
        <v>45735</v>
      </c>
      <c r="T41" s="40" t="s">
        <v>150</v>
      </c>
      <c r="U41" s="40" t="s">
        <v>151</v>
      </c>
      <c r="V41" s="61">
        <v>26426261</v>
      </c>
      <c r="W41" s="29" t="s">
        <v>77</v>
      </c>
      <c r="X41" s="29"/>
      <c r="Y41" s="29"/>
      <c r="Z41" s="29" t="s">
        <v>152</v>
      </c>
      <c r="AA41" s="29" t="s">
        <v>153</v>
      </c>
      <c r="AB41" s="29" t="s">
        <v>78</v>
      </c>
      <c r="AC41" s="65" t="s">
        <v>79</v>
      </c>
    </row>
    <row r="42" spans="1:29" x14ac:dyDescent="0.25">
      <c r="A42" s="62" t="s">
        <v>33</v>
      </c>
      <c r="B42" s="29" t="s">
        <v>147</v>
      </c>
      <c r="C42" s="29" t="s">
        <v>55</v>
      </c>
      <c r="D42" s="29" t="s">
        <v>56</v>
      </c>
      <c r="E42" s="29" t="s">
        <v>90</v>
      </c>
      <c r="F42" s="29" t="s">
        <v>91</v>
      </c>
      <c r="G42" s="29" t="s">
        <v>55</v>
      </c>
      <c r="H42" s="29" t="s">
        <v>36</v>
      </c>
      <c r="I42" s="29" t="s">
        <v>148</v>
      </c>
      <c r="J42" s="29" t="s">
        <v>149</v>
      </c>
      <c r="K42" s="29" t="s">
        <v>119</v>
      </c>
      <c r="L42" s="29" t="s">
        <v>76</v>
      </c>
      <c r="M42" s="60" t="s">
        <v>120</v>
      </c>
      <c r="N42" s="29" t="s">
        <v>121</v>
      </c>
      <c r="O42" s="29" t="s">
        <v>112</v>
      </c>
      <c r="P42" s="29" t="s">
        <v>35</v>
      </c>
      <c r="Q42" s="29"/>
      <c r="R42" s="29"/>
      <c r="S42" s="40">
        <v>45735</v>
      </c>
      <c r="T42" s="40" t="s">
        <v>150</v>
      </c>
      <c r="U42" s="40" t="s">
        <v>151</v>
      </c>
      <c r="V42" s="61">
        <v>26426261</v>
      </c>
      <c r="W42" s="29" t="s">
        <v>77</v>
      </c>
      <c r="X42" s="29"/>
      <c r="Y42" s="29"/>
      <c r="Z42" s="29" t="s">
        <v>152</v>
      </c>
      <c r="AA42" s="29" t="s">
        <v>153</v>
      </c>
      <c r="AB42" s="29" t="s">
        <v>78</v>
      </c>
      <c r="AC42" s="65" t="s">
        <v>79</v>
      </c>
    </row>
    <row r="43" spans="1:29" x14ac:dyDescent="0.25">
      <c r="A43" s="62" t="s">
        <v>33</v>
      </c>
      <c r="B43" s="29" t="s">
        <v>147</v>
      </c>
      <c r="C43" s="29" t="s">
        <v>55</v>
      </c>
      <c r="D43" s="29" t="s">
        <v>56</v>
      </c>
      <c r="E43" s="29" t="s">
        <v>90</v>
      </c>
      <c r="F43" s="29" t="s">
        <v>91</v>
      </c>
      <c r="G43" s="29" t="s">
        <v>55</v>
      </c>
      <c r="H43" s="29" t="s">
        <v>36</v>
      </c>
      <c r="I43" s="29" t="s">
        <v>148</v>
      </c>
      <c r="J43" s="29" t="s">
        <v>149</v>
      </c>
      <c r="K43" s="29" t="s">
        <v>119</v>
      </c>
      <c r="L43" s="29" t="s">
        <v>76</v>
      </c>
      <c r="M43" s="60" t="s">
        <v>120</v>
      </c>
      <c r="N43" s="29" t="s">
        <v>121</v>
      </c>
      <c r="O43" s="29" t="s">
        <v>113</v>
      </c>
      <c r="P43" s="29" t="s">
        <v>35</v>
      </c>
      <c r="Q43" s="29"/>
      <c r="R43" s="29"/>
      <c r="S43" s="40">
        <v>45735</v>
      </c>
      <c r="T43" s="40" t="s">
        <v>150</v>
      </c>
      <c r="U43" s="40" t="s">
        <v>151</v>
      </c>
      <c r="V43" s="61">
        <v>26426261</v>
      </c>
      <c r="W43" s="29" t="s">
        <v>77</v>
      </c>
      <c r="X43" s="29"/>
      <c r="Y43" s="29"/>
      <c r="Z43" s="29" t="s">
        <v>152</v>
      </c>
      <c r="AA43" s="29" t="s">
        <v>153</v>
      </c>
      <c r="AB43" s="29" t="s">
        <v>78</v>
      </c>
      <c r="AC43" s="65" t="s">
        <v>79</v>
      </c>
    </row>
    <row r="44" spans="1:29" x14ac:dyDescent="0.25">
      <c r="A44" s="62" t="s">
        <v>33</v>
      </c>
      <c r="B44" s="29" t="s">
        <v>147</v>
      </c>
      <c r="C44" s="29" t="s">
        <v>55</v>
      </c>
      <c r="D44" s="29" t="s">
        <v>56</v>
      </c>
      <c r="E44" s="29" t="s">
        <v>90</v>
      </c>
      <c r="F44" s="29" t="s">
        <v>91</v>
      </c>
      <c r="G44" s="29" t="s">
        <v>55</v>
      </c>
      <c r="H44" s="29" t="s">
        <v>36</v>
      </c>
      <c r="I44" s="29" t="s">
        <v>148</v>
      </c>
      <c r="J44" s="29" t="s">
        <v>149</v>
      </c>
      <c r="K44" s="29" t="s">
        <v>119</v>
      </c>
      <c r="L44" s="29" t="s">
        <v>76</v>
      </c>
      <c r="M44" s="60" t="s">
        <v>120</v>
      </c>
      <c r="N44" s="29" t="s">
        <v>121</v>
      </c>
      <c r="O44" s="29" t="s">
        <v>114</v>
      </c>
      <c r="P44" s="29" t="s">
        <v>154</v>
      </c>
      <c r="Q44" s="29"/>
      <c r="R44" s="29"/>
      <c r="S44" s="40">
        <v>45735</v>
      </c>
      <c r="T44" s="40" t="s">
        <v>150</v>
      </c>
      <c r="U44" s="40" t="s">
        <v>151</v>
      </c>
      <c r="V44" s="61">
        <v>26426261</v>
      </c>
      <c r="W44" s="29" t="s">
        <v>77</v>
      </c>
      <c r="X44" s="29"/>
      <c r="Y44" s="29"/>
      <c r="Z44" s="29" t="s">
        <v>152</v>
      </c>
      <c r="AA44" s="29" t="s">
        <v>153</v>
      </c>
      <c r="AB44" s="29" t="s">
        <v>78</v>
      </c>
      <c r="AC44" s="65" t="s">
        <v>79</v>
      </c>
    </row>
    <row r="45" spans="1:29" x14ac:dyDescent="0.25">
      <c r="A45" s="62" t="s">
        <v>33</v>
      </c>
      <c r="B45" s="29" t="s">
        <v>155</v>
      </c>
      <c r="C45" s="29" t="s">
        <v>6</v>
      </c>
      <c r="D45" s="29" t="s">
        <v>56</v>
      </c>
      <c r="E45" s="29" t="s">
        <v>90</v>
      </c>
      <c r="F45" s="29" t="s">
        <v>91</v>
      </c>
      <c r="G45" s="29" t="s">
        <v>6</v>
      </c>
      <c r="H45" s="29" t="s">
        <v>36</v>
      </c>
      <c r="I45" s="29" t="s">
        <v>156</v>
      </c>
      <c r="J45" s="29" t="s">
        <v>157</v>
      </c>
      <c r="K45" s="29" t="s">
        <v>119</v>
      </c>
      <c r="L45" s="29" t="s">
        <v>76</v>
      </c>
      <c r="M45" s="60" t="s">
        <v>120</v>
      </c>
      <c r="N45" s="29" t="s">
        <v>121</v>
      </c>
      <c r="O45" s="29" t="s">
        <v>45</v>
      </c>
      <c r="P45" s="29" t="s">
        <v>35</v>
      </c>
      <c r="Q45" s="29"/>
      <c r="R45" s="29"/>
      <c r="S45" s="40">
        <v>45737</v>
      </c>
      <c r="T45" s="40" t="s">
        <v>158</v>
      </c>
      <c r="U45" s="40" t="s">
        <v>159</v>
      </c>
      <c r="V45" s="61">
        <v>26440178</v>
      </c>
      <c r="W45" s="29" t="s">
        <v>77</v>
      </c>
      <c r="X45" s="29"/>
      <c r="Y45" s="29"/>
      <c r="Z45" s="29" t="s">
        <v>160</v>
      </c>
      <c r="AA45" s="29" t="s">
        <v>161</v>
      </c>
      <c r="AB45" s="29" t="s">
        <v>78</v>
      </c>
      <c r="AC45" s="65" t="s">
        <v>79</v>
      </c>
    </row>
    <row r="46" spans="1:29" x14ac:dyDescent="0.25">
      <c r="A46" s="62" t="s">
        <v>33</v>
      </c>
      <c r="B46" s="29" t="s">
        <v>155</v>
      </c>
      <c r="C46" s="29" t="s">
        <v>6</v>
      </c>
      <c r="D46" s="29" t="s">
        <v>56</v>
      </c>
      <c r="E46" s="29" t="s">
        <v>90</v>
      </c>
      <c r="F46" s="29" t="s">
        <v>91</v>
      </c>
      <c r="G46" s="29" t="s">
        <v>6</v>
      </c>
      <c r="H46" s="29" t="s">
        <v>36</v>
      </c>
      <c r="I46" s="29" t="s">
        <v>156</v>
      </c>
      <c r="J46" s="29" t="s">
        <v>157</v>
      </c>
      <c r="K46" s="29" t="s">
        <v>119</v>
      </c>
      <c r="L46" s="29" t="s">
        <v>76</v>
      </c>
      <c r="M46" s="60" t="s">
        <v>120</v>
      </c>
      <c r="N46" s="29" t="s">
        <v>121</v>
      </c>
      <c r="O46" s="29" t="s">
        <v>38</v>
      </c>
      <c r="P46" s="29" t="s">
        <v>35</v>
      </c>
      <c r="Q46" s="29"/>
      <c r="R46" s="29"/>
      <c r="S46" s="40">
        <v>45737</v>
      </c>
      <c r="T46" s="40" t="s">
        <v>158</v>
      </c>
      <c r="U46" s="40" t="s">
        <v>159</v>
      </c>
      <c r="V46" s="61">
        <v>26440178</v>
      </c>
      <c r="W46" s="29" t="s">
        <v>77</v>
      </c>
      <c r="X46" s="29"/>
      <c r="Y46" s="29"/>
      <c r="Z46" s="29" t="s">
        <v>160</v>
      </c>
      <c r="AA46" s="29" t="s">
        <v>161</v>
      </c>
      <c r="AB46" s="29" t="s">
        <v>78</v>
      </c>
      <c r="AC46" s="65" t="s">
        <v>79</v>
      </c>
    </row>
    <row r="47" spans="1:29" x14ac:dyDescent="0.25">
      <c r="A47" s="62" t="s">
        <v>33</v>
      </c>
      <c r="B47" s="29" t="s">
        <v>155</v>
      </c>
      <c r="C47" s="29" t="s">
        <v>6</v>
      </c>
      <c r="D47" s="29" t="s">
        <v>56</v>
      </c>
      <c r="E47" s="29" t="s">
        <v>90</v>
      </c>
      <c r="F47" s="29" t="s">
        <v>91</v>
      </c>
      <c r="G47" s="29" t="s">
        <v>6</v>
      </c>
      <c r="H47" s="29" t="s">
        <v>36</v>
      </c>
      <c r="I47" s="29" t="s">
        <v>156</v>
      </c>
      <c r="J47" s="29" t="s">
        <v>157</v>
      </c>
      <c r="K47" s="29" t="s">
        <v>119</v>
      </c>
      <c r="L47" s="29" t="s">
        <v>76</v>
      </c>
      <c r="M47" s="60" t="s">
        <v>120</v>
      </c>
      <c r="N47" s="29" t="s">
        <v>121</v>
      </c>
      <c r="O47" s="29" t="s">
        <v>94</v>
      </c>
      <c r="P47" s="29" t="s">
        <v>35</v>
      </c>
      <c r="Q47" s="29"/>
      <c r="R47" s="29"/>
      <c r="S47" s="40">
        <v>45737</v>
      </c>
      <c r="T47" s="40" t="s">
        <v>158</v>
      </c>
      <c r="U47" s="40" t="s">
        <v>159</v>
      </c>
      <c r="V47" s="61">
        <v>26440178</v>
      </c>
      <c r="W47" s="29" t="s">
        <v>77</v>
      </c>
      <c r="X47" s="29"/>
      <c r="Y47" s="29"/>
      <c r="Z47" s="29" t="s">
        <v>160</v>
      </c>
      <c r="AA47" s="29" t="s">
        <v>161</v>
      </c>
      <c r="AB47" s="29" t="s">
        <v>78</v>
      </c>
      <c r="AC47" s="65" t="s">
        <v>79</v>
      </c>
    </row>
    <row r="48" spans="1:29" x14ac:dyDescent="0.25">
      <c r="A48" s="62" t="s">
        <v>33</v>
      </c>
      <c r="B48" s="29" t="s">
        <v>155</v>
      </c>
      <c r="C48" s="29" t="s">
        <v>6</v>
      </c>
      <c r="D48" s="29" t="s">
        <v>56</v>
      </c>
      <c r="E48" s="29" t="s">
        <v>90</v>
      </c>
      <c r="F48" s="29" t="s">
        <v>91</v>
      </c>
      <c r="G48" s="29" t="s">
        <v>6</v>
      </c>
      <c r="H48" s="29" t="s">
        <v>36</v>
      </c>
      <c r="I48" s="29" t="s">
        <v>156</v>
      </c>
      <c r="J48" s="29" t="s">
        <v>157</v>
      </c>
      <c r="K48" s="29" t="s">
        <v>119</v>
      </c>
      <c r="L48" s="29" t="s">
        <v>76</v>
      </c>
      <c r="M48" s="60" t="s">
        <v>120</v>
      </c>
      <c r="N48" s="29" t="s">
        <v>121</v>
      </c>
      <c r="O48" s="29" t="s">
        <v>39</v>
      </c>
      <c r="P48" s="29" t="s">
        <v>35</v>
      </c>
      <c r="Q48" s="29"/>
      <c r="R48" s="29"/>
      <c r="S48" s="40">
        <v>45737</v>
      </c>
      <c r="T48" s="40" t="s">
        <v>158</v>
      </c>
      <c r="U48" s="40" t="s">
        <v>159</v>
      </c>
      <c r="V48" s="61">
        <v>26440178</v>
      </c>
      <c r="W48" s="29" t="s">
        <v>77</v>
      </c>
      <c r="X48" s="29"/>
      <c r="Y48" s="29"/>
      <c r="Z48" s="29" t="s">
        <v>160</v>
      </c>
      <c r="AA48" s="29" t="s">
        <v>161</v>
      </c>
      <c r="AB48" s="29" t="s">
        <v>78</v>
      </c>
      <c r="AC48" s="65" t="s">
        <v>79</v>
      </c>
    </row>
    <row r="49" spans="1:29" x14ac:dyDescent="0.25">
      <c r="A49" s="62" t="s">
        <v>33</v>
      </c>
      <c r="B49" s="29" t="s">
        <v>155</v>
      </c>
      <c r="C49" s="29" t="s">
        <v>6</v>
      </c>
      <c r="D49" s="29" t="s">
        <v>56</v>
      </c>
      <c r="E49" s="29" t="s">
        <v>90</v>
      </c>
      <c r="F49" s="29" t="s">
        <v>91</v>
      </c>
      <c r="G49" s="29" t="s">
        <v>6</v>
      </c>
      <c r="H49" s="29" t="s">
        <v>36</v>
      </c>
      <c r="I49" s="29" t="s">
        <v>156</v>
      </c>
      <c r="J49" s="29" t="s">
        <v>157</v>
      </c>
      <c r="K49" s="29" t="s">
        <v>119</v>
      </c>
      <c r="L49" s="29" t="s">
        <v>76</v>
      </c>
      <c r="M49" s="60" t="s">
        <v>120</v>
      </c>
      <c r="N49" s="29" t="s">
        <v>121</v>
      </c>
      <c r="O49" s="29" t="s">
        <v>95</v>
      </c>
      <c r="P49" s="29" t="s">
        <v>34</v>
      </c>
      <c r="Q49" s="29"/>
      <c r="R49" s="29"/>
      <c r="S49" s="40">
        <v>45737</v>
      </c>
      <c r="T49" s="40" t="s">
        <v>158</v>
      </c>
      <c r="U49" s="40" t="s">
        <v>159</v>
      </c>
      <c r="V49" s="61">
        <v>26440178</v>
      </c>
      <c r="W49" s="29" t="s">
        <v>77</v>
      </c>
      <c r="X49" s="29"/>
      <c r="Y49" s="29"/>
      <c r="Z49" s="29" t="s">
        <v>160</v>
      </c>
      <c r="AA49" s="29" t="s">
        <v>161</v>
      </c>
      <c r="AB49" s="29" t="s">
        <v>78</v>
      </c>
      <c r="AC49" s="65" t="s">
        <v>79</v>
      </c>
    </row>
    <row r="50" spans="1:29" x14ac:dyDescent="0.25">
      <c r="A50" s="62" t="s">
        <v>33</v>
      </c>
      <c r="B50" s="29" t="s">
        <v>155</v>
      </c>
      <c r="C50" s="29" t="s">
        <v>6</v>
      </c>
      <c r="D50" s="29" t="s">
        <v>56</v>
      </c>
      <c r="E50" s="29" t="s">
        <v>90</v>
      </c>
      <c r="F50" s="29" t="s">
        <v>91</v>
      </c>
      <c r="G50" s="29" t="s">
        <v>6</v>
      </c>
      <c r="H50" s="29" t="s">
        <v>36</v>
      </c>
      <c r="I50" s="29" t="s">
        <v>156</v>
      </c>
      <c r="J50" s="29" t="s">
        <v>157</v>
      </c>
      <c r="K50" s="29" t="s">
        <v>119</v>
      </c>
      <c r="L50" s="29" t="s">
        <v>76</v>
      </c>
      <c r="M50" s="60" t="s">
        <v>120</v>
      </c>
      <c r="N50" s="29" t="s">
        <v>121</v>
      </c>
      <c r="O50" s="29" t="s">
        <v>37</v>
      </c>
      <c r="P50" s="29" t="s">
        <v>35</v>
      </c>
      <c r="Q50" s="29"/>
      <c r="R50" s="29"/>
      <c r="S50" s="40">
        <v>45737</v>
      </c>
      <c r="T50" s="40" t="s">
        <v>158</v>
      </c>
      <c r="U50" s="40" t="s">
        <v>159</v>
      </c>
      <c r="V50" s="61">
        <v>26440178</v>
      </c>
      <c r="W50" s="29" t="s">
        <v>77</v>
      </c>
      <c r="X50" s="29"/>
      <c r="Y50" s="29"/>
      <c r="Z50" s="29" t="s">
        <v>160</v>
      </c>
      <c r="AA50" s="29" t="s">
        <v>161</v>
      </c>
      <c r="AB50" s="29" t="s">
        <v>78</v>
      </c>
      <c r="AC50" s="65" t="s">
        <v>79</v>
      </c>
    </row>
    <row r="51" spans="1:29" x14ac:dyDescent="0.25">
      <c r="A51" s="62" t="s">
        <v>33</v>
      </c>
      <c r="B51" s="29" t="s">
        <v>155</v>
      </c>
      <c r="C51" s="29" t="s">
        <v>6</v>
      </c>
      <c r="D51" s="29" t="s">
        <v>56</v>
      </c>
      <c r="E51" s="29" t="s">
        <v>90</v>
      </c>
      <c r="F51" s="29" t="s">
        <v>91</v>
      </c>
      <c r="G51" s="29" t="s">
        <v>6</v>
      </c>
      <c r="H51" s="29" t="s">
        <v>36</v>
      </c>
      <c r="I51" s="29" t="s">
        <v>156</v>
      </c>
      <c r="J51" s="29" t="s">
        <v>157</v>
      </c>
      <c r="K51" s="29" t="s">
        <v>119</v>
      </c>
      <c r="L51" s="29" t="s">
        <v>76</v>
      </c>
      <c r="M51" s="60" t="s">
        <v>120</v>
      </c>
      <c r="N51" s="29" t="s">
        <v>121</v>
      </c>
      <c r="O51" s="29" t="s">
        <v>43</v>
      </c>
      <c r="P51" s="29" t="s">
        <v>35</v>
      </c>
      <c r="Q51" s="29"/>
      <c r="R51" s="29"/>
      <c r="S51" s="40">
        <v>45737</v>
      </c>
      <c r="T51" s="40" t="s">
        <v>158</v>
      </c>
      <c r="U51" s="40" t="s">
        <v>159</v>
      </c>
      <c r="V51" s="61">
        <v>26440178</v>
      </c>
      <c r="W51" s="29" t="s">
        <v>77</v>
      </c>
      <c r="X51" s="29"/>
      <c r="Y51" s="29"/>
      <c r="Z51" s="29" t="s">
        <v>160</v>
      </c>
      <c r="AA51" s="29" t="s">
        <v>161</v>
      </c>
      <c r="AB51" s="29" t="s">
        <v>78</v>
      </c>
      <c r="AC51" s="65" t="s">
        <v>79</v>
      </c>
    </row>
    <row r="52" spans="1:29" x14ac:dyDescent="0.25">
      <c r="A52" s="62" t="s">
        <v>33</v>
      </c>
      <c r="B52" s="29" t="s">
        <v>155</v>
      </c>
      <c r="C52" s="29" t="s">
        <v>6</v>
      </c>
      <c r="D52" s="29" t="s">
        <v>56</v>
      </c>
      <c r="E52" s="29" t="s">
        <v>90</v>
      </c>
      <c r="F52" s="29" t="s">
        <v>91</v>
      </c>
      <c r="G52" s="29" t="s">
        <v>6</v>
      </c>
      <c r="H52" s="29" t="s">
        <v>36</v>
      </c>
      <c r="I52" s="29" t="s">
        <v>156</v>
      </c>
      <c r="J52" s="29" t="s">
        <v>157</v>
      </c>
      <c r="K52" s="29" t="s">
        <v>119</v>
      </c>
      <c r="L52" s="29" t="s">
        <v>76</v>
      </c>
      <c r="M52" s="60" t="s">
        <v>120</v>
      </c>
      <c r="N52" s="29" t="s">
        <v>121</v>
      </c>
      <c r="O52" s="29" t="s">
        <v>44</v>
      </c>
      <c r="P52" s="29" t="s">
        <v>34</v>
      </c>
      <c r="Q52" s="29"/>
      <c r="R52" s="29"/>
      <c r="S52" s="40">
        <v>45737</v>
      </c>
      <c r="T52" s="40" t="s">
        <v>158</v>
      </c>
      <c r="U52" s="40" t="s">
        <v>159</v>
      </c>
      <c r="V52" s="61">
        <v>26440178</v>
      </c>
      <c r="W52" s="29" t="s">
        <v>77</v>
      </c>
      <c r="X52" s="29"/>
      <c r="Y52" s="29"/>
      <c r="Z52" s="29" t="s">
        <v>160</v>
      </c>
      <c r="AA52" s="29" t="s">
        <v>161</v>
      </c>
      <c r="AB52" s="29" t="s">
        <v>78</v>
      </c>
      <c r="AC52" s="65" t="s">
        <v>79</v>
      </c>
    </row>
    <row r="53" spans="1:29" x14ac:dyDescent="0.25">
      <c r="A53" s="62" t="s">
        <v>33</v>
      </c>
      <c r="B53" s="29" t="s">
        <v>155</v>
      </c>
      <c r="C53" s="29" t="s">
        <v>6</v>
      </c>
      <c r="D53" s="29" t="s">
        <v>56</v>
      </c>
      <c r="E53" s="29" t="s">
        <v>90</v>
      </c>
      <c r="F53" s="29" t="s">
        <v>91</v>
      </c>
      <c r="G53" s="29" t="s">
        <v>6</v>
      </c>
      <c r="H53" s="29" t="s">
        <v>36</v>
      </c>
      <c r="I53" s="29" t="s">
        <v>156</v>
      </c>
      <c r="J53" s="29" t="s">
        <v>157</v>
      </c>
      <c r="K53" s="29" t="s">
        <v>119</v>
      </c>
      <c r="L53" s="29" t="s">
        <v>76</v>
      </c>
      <c r="M53" s="60" t="s">
        <v>120</v>
      </c>
      <c r="N53" s="29" t="s">
        <v>121</v>
      </c>
      <c r="O53" s="29" t="s">
        <v>42</v>
      </c>
      <c r="P53" s="29" t="s">
        <v>34</v>
      </c>
      <c r="Q53" s="29"/>
      <c r="R53" s="29"/>
      <c r="S53" s="40">
        <v>45737</v>
      </c>
      <c r="T53" s="40" t="s">
        <v>158</v>
      </c>
      <c r="U53" s="40" t="s">
        <v>159</v>
      </c>
      <c r="V53" s="61">
        <v>26440178</v>
      </c>
      <c r="W53" s="29" t="s">
        <v>77</v>
      </c>
      <c r="X53" s="29"/>
      <c r="Y53" s="29"/>
      <c r="Z53" s="29" t="s">
        <v>160</v>
      </c>
      <c r="AA53" s="29" t="s">
        <v>161</v>
      </c>
      <c r="AB53" s="29" t="s">
        <v>78</v>
      </c>
      <c r="AC53" s="65" t="s">
        <v>79</v>
      </c>
    </row>
    <row r="54" spans="1:29" x14ac:dyDescent="0.25">
      <c r="A54" s="62" t="s">
        <v>33</v>
      </c>
      <c r="B54" s="29" t="s">
        <v>155</v>
      </c>
      <c r="C54" s="29" t="s">
        <v>6</v>
      </c>
      <c r="D54" s="29" t="s">
        <v>56</v>
      </c>
      <c r="E54" s="29" t="s">
        <v>90</v>
      </c>
      <c r="F54" s="29" t="s">
        <v>91</v>
      </c>
      <c r="G54" s="29" t="s">
        <v>6</v>
      </c>
      <c r="H54" s="29" t="s">
        <v>36</v>
      </c>
      <c r="I54" s="29" t="s">
        <v>156</v>
      </c>
      <c r="J54" s="29" t="s">
        <v>157</v>
      </c>
      <c r="K54" s="29" t="s">
        <v>119</v>
      </c>
      <c r="L54" s="29" t="s">
        <v>76</v>
      </c>
      <c r="M54" s="60" t="s">
        <v>120</v>
      </c>
      <c r="N54" s="29" t="s">
        <v>121</v>
      </c>
      <c r="O54" s="29" t="s">
        <v>41</v>
      </c>
      <c r="P54" s="29" t="s">
        <v>34</v>
      </c>
      <c r="Q54" s="29"/>
      <c r="R54" s="29"/>
      <c r="S54" s="40">
        <v>45737</v>
      </c>
      <c r="T54" s="40" t="s">
        <v>158</v>
      </c>
      <c r="U54" s="40" t="s">
        <v>159</v>
      </c>
      <c r="V54" s="61">
        <v>26440178</v>
      </c>
      <c r="W54" s="29" t="s">
        <v>77</v>
      </c>
      <c r="X54" s="29"/>
      <c r="Y54" s="29"/>
      <c r="Z54" s="29" t="s">
        <v>160</v>
      </c>
      <c r="AA54" s="29" t="s">
        <v>161</v>
      </c>
      <c r="AB54" s="29" t="s">
        <v>78</v>
      </c>
      <c r="AC54" s="65" t="s">
        <v>79</v>
      </c>
    </row>
    <row r="55" spans="1:29" x14ac:dyDescent="0.25">
      <c r="A55" s="62" t="s">
        <v>33</v>
      </c>
      <c r="B55" s="29" t="s">
        <v>155</v>
      </c>
      <c r="C55" s="29" t="s">
        <v>6</v>
      </c>
      <c r="D55" s="29" t="s">
        <v>56</v>
      </c>
      <c r="E55" s="29" t="s">
        <v>90</v>
      </c>
      <c r="F55" s="29" t="s">
        <v>91</v>
      </c>
      <c r="G55" s="29" t="s">
        <v>6</v>
      </c>
      <c r="H55" s="29" t="s">
        <v>36</v>
      </c>
      <c r="I55" s="29" t="s">
        <v>156</v>
      </c>
      <c r="J55" s="29" t="s">
        <v>157</v>
      </c>
      <c r="K55" s="29" t="s">
        <v>119</v>
      </c>
      <c r="L55" s="29" t="s">
        <v>76</v>
      </c>
      <c r="M55" s="60" t="s">
        <v>120</v>
      </c>
      <c r="N55" s="29" t="s">
        <v>121</v>
      </c>
      <c r="O55" s="29" t="s">
        <v>40</v>
      </c>
      <c r="P55" s="29" t="s">
        <v>34</v>
      </c>
      <c r="Q55" s="29"/>
      <c r="R55" s="29"/>
      <c r="S55" s="40">
        <v>45737</v>
      </c>
      <c r="T55" s="40" t="s">
        <v>158</v>
      </c>
      <c r="U55" s="40" t="s">
        <v>159</v>
      </c>
      <c r="V55" s="61">
        <v>26440178</v>
      </c>
      <c r="W55" s="29" t="s">
        <v>77</v>
      </c>
      <c r="X55" s="29"/>
      <c r="Y55" s="29"/>
      <c r="Z55" s="29" t="s">
        <v>160</v>
      </c>
      <c r="AA55" s="29" t="s">
        <v>161</v>
      </c>
      <c r="AB55" s="29" t="s">
        <v>78</v>
      </c>
      <c r="AC55" s="65" t="s">
        <v>79</v>
      </c>
    </row>
    <row r="56" spans="1:29" x14ac:dyDescent="0.25">
      <c r="A56" s="62" t="s">
        <v>33</v>
      </c>
      <c r="B56" s="29" t="s">
        <v>155</v>
      </c>
      <c r="C56" s="29" t="s">
        <v>6</v>
      </c>
      <c r="D56" s="29" t="s">
        <v>56</v>
      </c>
      <c r="E56" s="29" t="s">
        <v>90</v>
      </c>
      <c r="F56" s="29" t="s">
        <v>91</v>
      </c>
      <c r="G56" s="29" t="s">
        <v>6</v>
      </c>
      <c r="H56" s="29" t="s">
        <v>36</v>
      </c>
      <c r="I56" s="29" t="s">
        <v>156</v>
      </c>
      <c r="J56" s="29" t="s">
        <v>157</v>
      </c>
      <c r="K56" s="29" t="s">
        <v>119</v>
      </c>
      <c r="L56" s="29" t="s">
        <v>76</v>
      </c>
      <c r="M56" s="60" t="s">
        <v>120</v>
      </c>
      <c r="N56" s="29" t="s">
        <v>121</v>
      </c>
      <c r="O56" s="29" t="s">
        <v>96</v>
      </c>
      <c r="P56" s="29" t="s">
        <v>35</v>
      </c>
      <c r="Q56" s="29"/>
      <c r="R56" s="29"/>
      <c r="S56" s="40">
        <v>45737</v>
      </c>
      <c r="T56" s="40" t="s">
        <v>158</v>
      </c>
      <c r="U56" s="40" t="s">
        <v>159</v>
      </c>
      <c r="V56" s="61">
        <v>26440178</v>
      </c>
      <c r="W56" s="29" t="s">
        <v>77</v>
      </c>
      <c r="X56" s="29"/>
      <c r="Y56" s="29"/>
      <c r="Z56" s="29" t="s">
        <v>160</v>
      </c>
      <c r="AA56" s="29" t="s">
        <v>161</v>
      </c>
      <c r="AB56" s="29" t="s">
        <v>78</v>
      </c>
      <c r="AC56" s="65" t="s">
        <v>79</v>
      </c>
    </row>
    <row r="57" spans="1:29" x14ac:dyDescent="0.25">
      <c r="A57" s="62" t="s">
        <v>33</v>
      </c>
      <c r="B57" s="29" t="s">
        <v>155</v>
      </c>
      <c r="C57" s="29" t="s">
        <v>6</v>
      </c>
      <c r="D57" s="29" t="s">
        <v>56</v>
      </c>
      <c r="E57" s="29" t="s">
        <v>90</v>
      </c>
      <c r="F57" s="29" t="s">
        <v>91</v>
      </c>
      <c r="G57" s="29" t="s">
        <v>6</v>
      </c>
      <c r="H57" s="29" t="s">
        <v>36</v>
      </c>
      <c r="I57" s="29" t="s">
        <v>156</v>
      </c>
      <c r="J57" s="29" t="s">
        <v>157</v>
      </c>
      <c r="K57" s="29" t="s">
        <v>119</v>
      </c>
      <c r="L57" s="29" t="s">
        <v>76</v>
      </c>
      <c r="M57" s="60" t="s">
        <v>120</v>
      </c>
      <c r="N57" s="29" t="s">
        <v>121</v>
      </c>
      <c r="O57" s="29" t="s">
        <v>97</v>
      </c>
      <c r="P57" s="29" t="s">
        <v>35</v>
      </c>
      <c r="Q57" s="29"/>
      <c r="R57" s="29"/>
      <c r="S57" s="40">
        <v>45737</v>
      </c>
      <c r="T57" s="40" t="s">
        <v>158</v>
      </c>
      <c r="U57" s="40" t="s">
        <v>159</v>
      </c>
      <c r="V57" s="61">
        <v>26440178</v>
      </c>
      <c r="W57" s="29" t="s">
        <v>77</v>
      </c>
      <c r="X57" s="29"/>
      <c r="Y57" s="29"/>
      <c r="Z57" s="29" t="s">
        <v>160</v>
      </c>
      <c r="AA57" s="29" t="s">
        <v>161</v>
      </c>
      <c r="AB57" s="29" t="s">
        <v>78</v>
      </c>
      <c r="AC57" s="65" t="s">
        <v>79</v>
      </c>
    </row>
    <row r="58" spans="1:29" x14ac:dyDescent="0.25">
      <c r="A58" s="62" t="s">
        <v>33</v>
      </c>
      <c r="B58" s="29" t="s">
        <v>155</v>
      </c>
      <c r="C58" s="29" t="s">
        <v>6</v>
      </c>
      <c r="D58" s="29" t="s">
        <v>56</v>
      </c>
      <c r="E58" s="29" t="s">
        <v>90</v>
      </c>
      <c r="F58" s="29" t="s">
        <v>91</v>
      </c>
      <c r="G58" s="29" t="s">
        <v>6</v>
      </c>
      <c r="H58" s="29" t="s">
        <v>36</v>
      </c>
      <c r="I58" s="29" t="s">
        <v>156</v>
      </c>
      <c r="J58" s="29" t="s">
        <v>157</v>
      </c>
      <c r="K58" s="29" t="s">
        <v>119</v>
      </c>
      <c r="L58" s="29" t="s">
        <v>76</v>
      </c>
      <c r="M58" s="60" t="s">
        <v>120</v>
      </c>
      <c r="N58" s="29" t="s">
        <v>121</v>
      </c>
      <c r="O58" s="29" t="s">
        <v>98</v>
      </c>
      <c r="P58" s="29" t="s">
        <v>35</v>
      </c>
      <c r="Q58" s="29"/>
      <c r="R58" s="29"/>
      <c r="S58" s="40">
        <v>45737</v>
      </c>
      <c r="T58" s="40" t="s">
        <v>158</v>
      </c>
      <c r="U58" s="40" t="s">
        <v>159</v>
      </c>
      <c r="V58" s="61">
        <v>26440178</v>
      </c>
      <c r="W58" s="29" t="s">
        <v>77</v>
      </c>
      <c r="X58" s="29"/>
      <c r="Y58" s="29"/>
      <c r="Z58" s="29" t="s">
        <v>160</v>
      </c>
      <c r="AA58" s="29" t="s">
        <v>161</v>
      </c>
      <c r="AB58" s="29" t="s">
        <v>78</v>
      </c>
      <c r="AC58" s="65" t="s">
        <v>79</v>
      </c>
    </row>
    <row r="59" spans="1:29" x14ac:dyDescent="0.25">
      <c r="A59" s="62" t="s">
        <v>33</v>
      </c>
      <c r="B59" s="29" t="s">
        <v>155</v>
      </c>
      <c r="C59" s="29" t="s">
        <v>6</v>
      </c>
      <c r="D59" s="29" t="s">
        <v>56</v>
      </c>
      <c r="E59" s="29" t="s">
        <v>90</v>
      </c>
      <c r="F59" s="29" t="s">
        <v>91</v>
      </c>
      <c r="G59" s="29" t="s">
        <v>6</v>
      </c>
      <c r="H59" s="29" t="s">
        <v>36</v>
      </c>
      <c r="I59" s="29" t="s">
        <v>156</v>
      </c>
      <c r="J59" s="29" t="s">
        <v>157</v>
      </c>
      <c r="K59" s="29" t="s">
        <v>119</v>
      </c>
      <c r="L59" s="29" t="s">
        <v>76</v>
      </c>
      <c r="M59" s="60" t="s">
        <v>120</v>
      </c>
      <c r="N59" s="29" t="s">
        <v>121</v>
      </c>
      <c r="O59" s="29" t="s">
        <v>99</v>
      </c>
      <c r="P59" s="29" t="s">
        <v>35</v>
      </c>
      <c r="Q59" s="29"/>
      <c r="R59" s="29"/>
      <c r="S59" s="40">
        <v>45737</v>
      </c>
      <c r="T59" s="40" t="s">
        <v>158</v>
      </c>
      <c r="U59" s="40" t="s">
        <v>159</v>
      </c>
      <c r="V59" s="61">
        <v>26440178</v>
      </c>
      <c r="W59" s="29" t="s">
        <v>77</v>
      </c>
      <c r="X59" s="29"/>
      <c r="Y59" s="29"/>
      <c r="Z59" s="29" t="s">
        <v>160</v>
      </c>
      <c r="AA59" s="29" t="s">
        <v>161</v>
      </c>
      <c r="AB59" s="29" t="s">
        <v>78</v>
      </c>
      <c r="AC59" s="65" t="s">
        <v>79</v>
      </c>
    </row>
    <row r="60" spans="1:29" x14ac:dyDescent="0.25">
      <c r="A60" s="62" t="s">
        <v>33</v>
      </c>
      <c r="B60" s="29" t="s">
        <v>155</v>
      </c>
      <c r="C60" s="29" t="s">
        <v>6</v>
      </c>
      <c r="D60" s="29" t="s">
        <v>56</v>
      </c>
      <c r="E60" s="29" t="s">
        <v>90</v>
      </c>
      <c r="F60" s="29" t="s">
        <v>91</v>
      </c>
      <c r="G60" s="29" t="s">
        <v>6</v>
      </c>
      <c r="H60" s="29" t="s">
        <v>36</v>
      </c>
      <c r="I60" s="29" t="s">
        <v>156</v>
      </c>
      <c r="J60" s="29" t="s">
        <v>157</v>
      </c>
      <c r="K60" s="29" t="s">
        <v>119</v>
      </c>
      <c r="L60" s="29" t="s">
        <v>76</v>
      </c>
      <c r="M60" s="60" t="s">
        <v>120</v>
      </c>
      <c r="N60" s="29" t="s">
        <v>121</v>
      </c>
      <c r="O60" s="29" t="s">
        <v>100</v>
      </c>
      <c r="P60" s="29" t="s">
        <v>35</v>
      </c>
      <c r="Q60" s="29"/>
      <c r="R60" s="29"/>
      <c r="S60" s="40">
        <v>45737</v>
      </c>
      <c r="T60" s="40" t="s">
        <v>158</v>
      </c>
      <c r="U60" s="40" t="s">
        <v>159</v>
      </c>
      <c r="V60" s="61">
        <v>26440178</v>
      </c>
      <c r="W60" s="29" t="s">
        <v>77</v>
      </c>
      <c r="X60" s="29"/>
      <c r="Y60" s="29"/>
      <c r="Z60" s="29" t="s">
        <v>160</v>
      </c>
      <c r="AA60" s="29" t="s">
        <v>161</v>
      </c>
      <c r="AB60" s="29" t="s">
        <v>78</v>
      </c>
      <c r="AC60" s="65" t="s">
        <v>79</v>
      </c>
    </row>
    <row r="61" spans="1:29" x14ac:dyDescent="0.25">
      <c r="A61" s="62" t="s">
        <v>33</v>
      </c>
      <c r="B61" s="29" t="s">
        <v>155</v>
      </c>
      <c r="C61" s="29" t="s">
        <v>6</v>
      </c>
      <c r="D61" s="29" t="s">
        <v>56</v>
      </c>
      <c r="E61" s="29" t="s">
        <v>90</v>
      </c>
      <c r="F61" s="29" t="s">
        <v>91</v>
      </c>
      <c r="G61" s="29" t="s">
        <v>6</v>
      </c>
      <c r="H61" s="29" t="s">
        <v>36</v>
      </c>
      <c r="I61" s="29" t="s">
        <v>156</v>
      </c>
      <c r="J61" s="29" t="s">
        <v>157</v>
      </c>
      <c r="K61" s="29" t="s">
        <v>119</v>
      </c>
      <c r="L61" s="29" t="s">
        <v>76</v>
      </c>
      <c r="M61" s="60" t="s">
        <v>120</v>
      </c>
      <c r="N61" s="29" t="s">
        <v>121</v>
      </c>
      <c r="O61" s="29" t="s">
        <v>101</v>
      </c>
      <c r="P61" s="29" t="s">
        <v>35</v>
      </c>
      <c r="Q61" s="29"/>
      <c r="R61" s="29"/>
      <c r="S61" s="40">
        <v>45737</v>
      </c>
      <c r="T61" s="40" t="s">
        <v>158</v>
      </c>
      <c r="U61" s="40" t="s">
        <v>159</v>
      </c>
      <c r="V61" s="61">
        <v>26440178</v>
      </c>
      <c r="W61" s="29" t="s">
        <v>77</v>
      </c>
      <c r="X61" s="29"/>
      <c r="Y61" s="29"/>
      <c r="Z61" s="29" t="s">
        <v>160</v>
      </c>
      <c r="AA61" s="29" t="s">
        <v>161</v>
      </c>
      <c r="AB61" s="29" t="s">
        <v>78</v>
      </c>
      <c r="AC61" s="65" t="s">
        <v>79</v>
      </c>
    </row>
    <row r="62" spans="1:29" x14ac:dyDescent="0.25">
      <c r="A62" s="62" t="s">
        <v>33</v>
      </c>
      <c r="B62" s="29" t="s">
        <v>155</v>
      </c>
      <c r="C62" s="29" t="s">
        <v>6</v>
      </c>
      <c r="D62" s="29" t="s">
        <v>56</v>
      </c>
      <c r="E62" s="29" t="s">
        <v>90</v>
      </c>
      <c r="F62" s="29" t="s">
        <v>91</v>
      </c>
      <c r="G62" s="29" t="s">
        <v>6</v>
      </c>
      <c r="H62" s="29" t="s">
        <v>36</v>
      </c>
      <c r="I62" s="29" t="s">
        <v>156</v>
      </c>
      <c r="J62" s="29" t="s">
        <v>157</v>
      </c>
      <c r="K62" s="29" t="s">
        <v>119</v>
      </c>
      <c r="L62" s="29" t="s">
        <v>76</v>
      </c>
      <c r="M62" s="60" t="s">
        <v>120</v>
      </c>
      <c r="N62" s="29" t="s">
        <v>121</v>
      </c>
      <c r="O62" s="29" t="s">
        <v>102</v>
      </c>
      <c r="P62" s="29" t="s">
        <v>35</v>
      </c>
      <c r="Q62" s="29"/>
      <c r="R62" s="29"/>
      <c r="S62" s="40">
        <v>45737</v>
      </c>
      <c r="T62" s="40" t="s">
        <v>158</v>
      </c>
      <c r="U62" s="40" t="s">
        <v>159</v>
      </c>
      <c r="V62" s="61">
        <v>26440178</v>
      </c>
      <c r="W62" s="29" t="s">
        <v>77</v>
      </c>
      <c r="X62" s="29"/>
      <c r="Y62" s="29"/>
      <c r="Z62" s="29" t="s">
        <v>160</v>
      </c>
      <c r="AA62" s="29" t="s">
        <v>161</v>
      </c>
      <c r="AB62" s="29" t="s">
        <v>78</v>
      </c>
      <c r="AC62" s="65" t="s">
        <v>79</v>
      </c>
    </row>
    <row r="63" spans="1:29" x14ac:dyDescent="0.25">
      <c r="A63" s="62" t="s">
        <v>33</v>
      </c>
      <c r="B63" s="29" t="s">
        <v>155</v>
      </c>
      <c r="C63" s="29" t="s">
        <v>6</v>
      </c>
      <c r="D63" s="29" t="s">
        <v>56</v>
      </c>
      <c r="E63" s="29" t="s">
        <v>90</v>
      </c>
      <c r="F63" s="29" t="s">
        <v>91</v>
      </c>
      <c r="G63" s="29" t="s">
        <v>6</v>
      </c>
      <c r="H63" s="29" t="s">
        <v>36</v>
      </c>
      <c r="I63" s="29" t="s">
        <v>156</v>
      </c>
      <c r="J63" s="29" t="s">
        <v>157</v>
      </c>
      <c r="K63" s="29" t="s">
        <v>119</v>
      </c>
      <c r="L63" s="29" t="s">
        <v>76</v>
      </c>
      <c r="M63" s="60" t="s">
        <v>120</v>
      </c>
      <c r="N63" s="29" t="s">
        <v>121</v>
      </c>
      <c r="O63" s="29" t="s">
        <v>103</v>
      </c>
      <c r="P63" s="29" t="s">
        <v>143</v>
      </c>
      <c r="Q63" s="29"/>
      <c r="R63" s="29"/>
      <c r="S63" s="40">
        <v>45737</v>
      </c>
      <c r="T63" s="40" t="s">
        <v>158</v>
      </c>
      <c r="U63" s="40" t="s">
        <v>159</v>
      </c>
      <c r="V63" s="61">
        <v>26440178</v>
      </c>
      <c r="W63" s="29" t="s">
        <v>77</v>
      </c>
      <c r="X63" s="29"/>
      <c r="Y63" s="29"/>
      <c r="Z63" s="29" t="s">
        <v>160</v>
      </c>
      <c r="AA63" s="29" t="s">
        <v>161</v>
      </c>
      <c r="AB63" s="29" t="s">
        <v>78</v>
      </c>
      <c r="AC63" s="65" t="s">
        <v>79</v>
      </c>
    </row>
    <row r="64" spans="1:29" x14ac:dyDescent="0.25">
      <c r="A64" s="71" t="s">
        <v>33</v>
      </c>
      <c r="B64" s="73" t="s">
        <v>155</v>
      </c>
      <c r="C64" s="73" t="s">
        <v>6</v>
      </c>
      <c r="D64" s="73" t="s">
        <v>56</v>
      </c>
      <c r="E64" s="73" t="s">
        <v>90</v>
      </c>
      <c r="F64" s="73" t="s">
        <v>91</v>
      </c>
      <c r="G64" s="73" t="s">
        <v>6</v>
      </c>
      <c r="H64" s="73" t="s">
        <v>36</v>
      </c>
      <c r="I64" s="73" t="s">
        <v>156</v>
      </c>
      <c r="J64" s="73" t="s">
        <v>157</v>
      </c>
      <c r="K64" s="73" t="s">
        <v>119</v>
      </c>
      <c r="L64" s="73" t="s">
        <v>76</v>
      </c>
      <c r="M64" s="74" t="s">
        <v>120</v>
      </c>
      <c r="N64" s="73" t="s">
        <v>121</v>
      </c>
      <c r="O64" s="73" t="s">
        <v>113</v>
      </c>
      <c r="P64" s="29" t="s">
        <v>34</v>
      </c>
      <c r="Q64" s="29"/>
      <c r="R64" s="29"/>
      <c r="S64" s="40">
        <v>45737</v>
      </c>
      <c r="T64" s="75" t="s">
        <v>158</v>
      </c>
      <c r="U64" s="75" t="s">
        <v>159</v>
      </c>
      <c r="V64" s="76">
        <v>26440178</v>
      </c>
      <c r="W64" s="73" t="s">
        <v>77</v>
      </c>
      <c r="X64" s="73"/>
      <c r="Y64" s="73"/>
      <c r="Z64" s="73" t="s">
        <v>160</v>
      </c>
      <c r="AA64" s="73" t="s">
        <v>161</v>
      </c>
      <c r="AB64" s="73" t="s">
        <v>78</v>
      </c>
      <c r="AC64" s="72" t="s">
        <v>79</v>
      </c>
    </row>
    <row r="65" spans="1:29" x14ac:dyDescent="0.25">
      <c r="A65" s="62" t="s">
        <v>33</v>
      </c>
      <c r="B65" s="29" t="s">
        <v>116</v>
      </c>
      <c r="C65" s="29" t="s">
        <v>54</v>
      </c>
      <c r="D65" s="29" t="s">
        <v>13</v>
      </c>
      <c r="E65" s="29" t="s">
        <v>162</v>
      </c>
      <c r="F65" s="29" t="s">
        <v>162</v>
      </c>
      <c r="G65" s="29" t="s">
        <v>54</v>
      </c>
      <c r="H65" s="29" t="s">
        <v>36</v>
      </c>
      <c r="I65" s="29" t="s">
        <v>163</v>
      </c>
      <c r="J65" s="29" t="s">
        <v>164</v>
      </c>
      <c r="K65" s="29" t="s">
        <v>165</v>
      </c>
      <c r="L65" s="29" t="s">
        <v>76</v>
      </c>
      <c r="M65" s="60" t="s">
        <v>120</v>
      </c>
      <c r="N65" s="29" t="s">
        <v>121</v>
      </c>
      <c r="O65" s="29" t="s">
        <v>45</v>
      </c>
      <c r="P65" s="29" t="s">
        <v>34</v>
      </c>
      <c r="Q65" s="29"/>
      <c r="R65" s="29"/>
      <c r="S65" s="40">
        <v>45731</v>
      </c>
      <c r="T65" s="40" t="s">
        <v>166</v>
      </c>
      <c r="U65" s="40" t="s">
        <v>167</v>
      </c>
      <c r="V65" s="61">
        <v>26451570</v>
      </c>
      <c r="W65" s="29" t="s">
        <v>77</v>
      </c>
      <c r="X65" s="29"/>
      <c r="Y65" s="29"/>
      <c r="Z65" s="73" t="s">
        <v>124</v>
      </c>
      <c r="AA65" s="73" t="s">
        <v>125</v>
      </c>
      <c r="AB65" s="73" t="s">
        <v>78</v>
      </c>
      <c r="AC65" s="72" t="s">
        <v>79</v>
      </c>
    </row>
    <row r="66" spans="1:29" x14ac:dyDescent="0.25">
      <c r="A66" s="62" t="s">
        <v>33</v>
      </c>
      <c r="B66" s="29" t="s">
        <v>116</v>
      </c>
      <c r="C66" s="29" t="s">
        <v>54</v>
      </c>
      <c r="D66" s="29" t="s">
        <v>13</v>
      </c>
      <c r="E66" s="29" t="s">
        <v>162</v>
      </c>
      <c r="F66" s="29" t="s">
        <v>162</v>
      </c>
      <c r="G66" s="29" t="s">
        <v>54</v>
      </c>
      <c r="H66" s="29" t="s">
        <v>36</v>
      </c>
      <c r="I66" s="29" t="s">
        <v>163</v>
      </c>
      <c r="J66" s="29" t="s">
        <v>164</v>
      </c>
      <c r="K66" s="29" t="s">
        <v>165</v>
      </c>
      <c r="L66" s="29" t="s">
        <v>76</v>
      </c>
      <c r="M66" s="60" t="s">
        <v>120</v>
      </c>
      <c r="N66" s="29" t="s">
        <v>121</v>
      </c>
      <c r="O66" s="29" t="s">
        <v>113</v>
      </c>
      <c r="P66" s="29" t="s">
        <v>35</v>
      </c>
      <c r="Q66" s="29"/>
      <c r="R66" s="29"/>
      <c r="S66" s="40">
        <v>45731</v>
      </c>
      <c r="T66" s="40" t="s">
        <v>166</v>
      </c>
      <c r="U66" s="40" t="s">
        <v>167</v>
      </c>
      <c r="V66" s="61">
        <v>26451570</v>
      </c>
      <c r="W66" s="29" t="s">
        <v>77</v>
      </c>
      <c r="X66" s="29"/>
      <c r="Y66" s="29"/>
      <c r="Z66" s="73" t="s">
        <v>124</v>
      </c>
      <c r="AA66" s="73" t="s">
        <v>125</v>
      </c>
      <c r="AB66" s="73" t="s">
        <v>78</v>
      </c>
      <c r="AC66" s="72" t="s">
        <v>79</v>
      </c>
    </row>
    <row r="67" spans="1:29" x14ac:dyDescent="0.25">
      <c r="A67" s="71" t="s">
        <v>33</v>
      </c>
      <c r="B67" s="73" t="s">
        <v>116</v>
      </c>
      <c r="C67" s="73" t="s">
        <v>54</v>
      </c>
      <c r="D67" s="73" t="s">
        <v>13</v>
      </c>
      <c r="E67" s="73" t="s">
        <v>162</v>
      </c>
      <c r="F67" s="73" t="s">
        <v>162</v>
      </c>
      <c r="G67" s="73" t="s">
        <v>54</v>
      </c>
      <c r="H67" s="73" t="s">
        <v>36</v>
      </c>
      <c r="I67" s="73" t="s">
        <v>163</v>
      </c>
      <c r="J67" s="73" t="s">
        <v>164</v>
      </c>
      <c r="K67" s="73" t="s">
        <v>165</v>
      </c>
      <c r="L67" s="73" t="s">
        <v>76</v>
      </c>
      <c r="M67" s="74" t="s">
        <v>120</v>
      </c>
      <c r="N67" s="73" t="s">
        <v>121</v>
      </c>
      <c r="O67" s="73" t="s">
        <v>114</v>
      </c>
      <c r="P67" s="73" t="s">
        <v>168</v>
      </c>
      <c r="Q67" s="29"/>
      <c r="R67" s="73"/>
      <c r="S67" s="40">
        <v>45731</v>
      </c>
      <c r="T67" s="75" t="s">
        <v>166</v>
      </c>
      <c r="U67" s="75" t="s">
        <v>167</v>
      </c>
      <c r="V67" s="76">
        <v>26451570</v>
      </c>
      <c r="W67" s="73" t="s">
        <v>77</v>
      </c>
      <c r="X67" s="73"/>
      <c r="Y67" s="73"/>
      <c r="Z67" s="73" t="s">
        <v>124</v>
      </c>
      <c r="AA67" s="73" t="s">
        <v>125</v>
      </c>
      <c r="AB67" s="73" t="s">
        <v>78</v>
      </c>
      <c r="AC67" s="72" t="s">
        <v>79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05E33-EDDE-4B1B-A585-84A321E83FE9}">
  <sheetPr codeName="Hoja6"/>
  <dimension ref="A1:L31"/>
  <sheetViews>
    <sheetView showGridLines="0" tabSelected="1" topLeftCell="E1" zoomScale="70" zoomScaleNormal="70" workbookViewId="0">
      <selection activeCell="K1" sqref="K1:L6"/>
    </sheetView>
  </sheetViews>
  <sheetFormatPr baseColWidth="10" defaultColWidth="11.42578125" defaultRowHeight="15" x14ac:dyDescent="0.25"/>
  <cols>
    <col min="1" max="1" width="24" bestFit="1" customWidth="1"/>
    <col min="2" max="2" width="27.140625" bestFit="1" customWidth="1"/>
    <col min="3" max="3" width="20.140625" bestFit="1" customWidth="1"/>
    <col min="4" max="4" width="15.5703125" customWidth="1"/>
    <col min="5" max="5" width="34.28515625" customWidth="1"/>
    <col min="6" max="6" width="7.85546875" bestFit="1" customWidth="1"/>
    <col min="7" max="7" width="93.140625" customWidth="1"/>
    <col min="8" max="8" width="40.5703125" customWidth="1"/>
    <col min="11" max="11" width="15.5703125" style="36" customWidth="1"/>
    <col min="12" max="12" width="24.28515625" customWidth="1"/>
  </cols>
  <sheetData>
    <row r="1" spans="1:12" x14ac:dyDescent="0.25">
      <c r="A1" s="38" t="s">
        <v>56</v>
      </c>
      <c r="B1" s="38" t="s">
        <v>53</v>
      </c>
      <c r="C1" s="38" t="s">
        <v>13</v>
      </c>
      <c r="D1" s="38" t="s">
        <v>80</v>
      </c>
      <c r="E1" s="68" t="s">
        <v>12</v>
      </c>
      <c r="F1" s="68" t="s">
        <v>87</v>
      </c>
      <c r="G1" s="68" t="s">
        <v>25</v>
      </c>
      <c r="H1" s="68" t="s">
        <v>31</v>
      </c>
      <c r="I1" s="18"/>
      <c r="K1" s="45" t="s">
        <v>86</v>
      </c>
      <c r="L1" s="46" t="s">
        <v>85</v>
      </c>
    </row>
    <row r="2" spans="1:12" x14ac:dyDescent="0.25">
      <c r="A2" s="30">
        <v>20</v>
      </c>
      <c r="B2" s="30">
        <v>20</v>
      </c>
      <c r="C2" s="30">
        <v>20</v>
      </c>
      <c r="D2" s="30">
        <v>20</v>
      </c>
      <c r="E2" s="31" t="s">
        <v>15</v>
      </c>
      <c r="F2" s="29" t="s">
        <v>88</v>
      </c>
      <c r="G2" s="29" t="s">
        <v>45</v>
      </c>
      <c r="H2" s="31" t="s">
        <v>35</v>
      </c>
      <c r="K2" s="47">
        <v>0.1</v>
      </c>
      <c r="L2" s="31" t="s">
        <v>83</v>
      </c>
    </row>
    <row r="3" spans="1:12" x14ac:dyDescent="0.25">
      <c r="A3" s="31">
        <v>1</v>
      </c>
      <c r="B3" s="31">
        <v>1</v>
      </c>
      <c r="C3" s="31">
        <v>1</v>
      </c>
      <c r="D3" s="30">
        <v>10</v>
      </c>
      <c r="E3" s="31" t="s">
        <v>83</v>
      </c>
      <c r="F3" s="29" t="s">
        <v>88</v>
      </c>
      <c r="G3" s="29" t="s">
        <v>38</v>
      </c>
      <c r="H3" s="31" t="s">
        <v>35</v>
      </c>
      <c r="K3" s="47">
        <v>0.2</v>
      </c>
      <c r="L3" s="31" t="s">
        <v>15</v>
      </c>
    </row>
    <row r="4" spans="1:12" x14ac:dyDescent="0.25">
      <c r="A4" s="31">
        <v>1</v>
      </c>
      <c r="B4" s="31">
        <v>1</v>
      </c>
      <c r="C4" s="31">
        <v>1</v>
      </c>
      <c r="D4" s="30">
        <v>10</v>
      </c>
      <c r="E4" s="31" t="s">
        <v>83</v>
      </c>
      <c r="F4" s="29" t="s">
        <v>88</v>
      </c>
      <c r="G4" s="29" t="s">
        <v>94</v>
      </c>
      <c r="H4" s="31" t="s">
        <v>35</v>
      </c>
      <c r="K4" s="47">
        <v>0.3</v>
      </c>
      <c r="L4" s="31" t="s">
        <v>17</v>
      </c>
    </row>
    <row r="5" spans="1:12" x14ac:dyDescent="0.25">
      <c r="A5" s="31">
        <v>1</v>
      </c>
      <c r="B5" s="31">
        <v>1</v>
      </c>
      <c r="C5" s="31">
        <v>1</v>
      </c>
      <c r="D5" s="30">
        <v>10</v>
      </c>
      <c r="E5" s="31" t="s">
        <v>83</v>
      </c>
      <c r="F5" s="29" t="s">
        <v>88</v>
      </c>
      <c r="G5" s="29" t="s">
        <v>39</v>
      </c>
      <c r="H5" s="31" t="s">
        <v>35</v>
      </c>
      <c r="K5" s="47">
        <v>0.4</v>
      </c>
      <c r="L5" s="31" t="s">
        <v>16</v>
      </c>
    </row>
    <row r="6" spans="1:12" x14ac:dyDescent="0.25">
      <c r="A6" s="31">
        <v>1</v>
      </c>
      <c r="B6" s="31">
        <v>1</v>
      </c>
      <c r="C6" s="31">
        <v>1</v>
      </c>
      <c r="D6" s="30">
        <v>10</v>
      </c>
      <c r="E6" s="31" t="s">
        <v>83</v>
      </c>
      <c r="F6" s="29" t="s">
        <v>88</v>
      </c>
      <c r="G6" s="29" t="s">
        <v>95</v>
      </c>
      <c r="H6" s="31" t="s">
        <v>34</v>
      </c>
      <c r="K6" s="50">
        <f>SUM(K1:K5)</f>
        <v>1</v>
      </c>
      <c r="L6" s="46" t="s">
        <v>8</v>
      </c>
    </row>
    <row r="7" spans="1:12" x14ac:dyDescent="0.25">
      <c r="A7" s="31">
        <v>1</v>
      </c>
      <c r="B7" s="31">
        <v>1</v>
      </c>
      <c r="C7" s="31">
        <v>1</v>
      </c>
      <c r="D7" s="30">
        <v>10</v>
      </c>
      <c r="E7" s="31" t="s">
        <v>83</v>
      </c>
      <c r="F7" s="29" t="s">
        <v>88</v>
      </c>
      <c r="G7" s="29" t="s">
        <v>37</v>
      </c>
      <c r="H7" s="32" t="s">
        <v>35</v>
      </c>
      <c r="K7" s="51"/>
      <c r="L7" s="52"/>
    </row>
    <row r="8" spans="1:12" x14ac:dyDescent="0.25">
      <c r="A8" s="31">
        <v>1</v>
      </c>
      <c r="B8" s="31">
        <v>1</v>
      </c>
      <c r="C8" s="31">
        <v>1</v>
      </c>
      <c r="D8" s="30">
        <v>10</v>
      </c>
      <c r="E8" s="31" t="s">
        <v>83</v>
      </c>
      <c r="F8" s="29" t="s">
        <v>88</v>
      </c>
      <c r="G8" s="29" t="s">
        <v>43</v>
      </c>
      <c r="H8" s="32" t="s">
        <v>35</v>
      </c>
      <c r="K8" s="48"/>
      <c r="L8" s="44"/>
    </row>
    <row r="9" spans="1:12" x14ac:dyDescent="0.25">
      <c r="A9" s="31">
        <v>1</v>
      </c>
      <c r="B9" s="31">
        <v>1</v>
      </c>
      <c r="C9" s="31">
        <v>1</v>
      </c>
      <c r="D9" s="30">
        <v>10</v>
      </c>
      <c r="E9" s="31" t="s">
        <v>83</v>
      </c>
      <c r="F9" s="29" t="s">
        <v>88</v>
      </c>
      <c r="G9" s="29" t="s">
        <v>44</v>
      </c>
      <c r="H9" s="32" t="s">
        <v>34</v>
      </c>
      <c r="K9" s="49"/>
      <c r="L9" s="44"/>
    </row>
    <row r="10" spans="1:12" x14ac:dyDescent="0.25">
      <c r="A10" s="31">
        <v>1</v>
      </c>
      <c r="B10" s="31">
        <v>1</v>
      </c>
      <c r="C10" s="31">
        <v>1</v>
      </c>
      <c r="D10" s="30">
        <v>10</v>
      </c>
      <c r="E10" s="31" t="s">
        <v>83</v>
      </c>
      <c r="F10" s="29" t="s">
        <v>88</v>
      </c>
      <c r="G10" s="29" t="s">
        <v>42</v>
      </c>
      <c r="H10" s="32" t="s">
        <v>34</v>
      </c>
      <c r="K10" s="49"/>
      <c r="L10" s="44"/>
    </row>
    <row r="11" spans="1:12" x14ac:dyDescent="0.25">
      <c r="A11" s="31">
        <v>1</v>
      </c>
      <c r="B11" s="31">
        <v>1</v>
      </c>
      <c r="C11" s="31">
        <v>1</v>
      </c>
      <c r="D11" s="30">
        <v>10</v>
      </c>
      <c r="E11" s="31" t="s">
        <v>83</v>
      </c>
      <c r="F11" s="29" t="s">
        <v>88</v>
      </c>
      <c r="G11" s="29" t="s">
        <v>41</v>
      </c>
      <c r="H11" s="32" t="s">
        <v>34</v>
      </c>
      <c r="K11" s="49"/>
      <c r="L11" s="44"/>
    </row>
    <row r="12" spans="1:12" x14ac:dyDescent="0.25">
      <c r="A12" s="31">
        <v>1</v>
      </c>
      <c r="B12" s="31">
        <v>1</v>
      </c>
      <c r="C12" s="31">
        <v>1</v>
      </c>
      <c r="D12" s="30">
        <v>10</v>
      </c>
      <c r="E12" s="31" t="s">
        <v>83</v>
      </c>
      <c r="F12" s="29" t="s">
        <v>88</v>
      </c>
      <c r="G12" s="29" t="s">
        <v>40</v>
      </c>
      <c r="H12" s="32" t="s">
        <v>34</v>
      </c>
      <c r="K12" s="49"/>
      <c r="L12" s="44"/>
    </row>
    <row r="13" spans="1:12" x14ac:dyDescent="0.25">
      <c r="A13" s="31">
        <v>4.2</v>
      </c>
      <c r="B13" s="31">
        <v>4.2</v>
      </c>
      <c r="C13" s="31">
        <v>4.2</v>
      </c>
      <c r="D13" s="30">
        <v>30</v>
      </c>
      <c r="E13" s="31" t="s">
        <v>17</v>
      </c>
      <c r="F13" s="29" t="s">
        <v>88</v>
      </c>
      <c r="G13" s="29" t="s">
        <v>96</v>
      </c>
      <c r="H13" s="32" t="s">
        <v>35</v>
      </c>
      <c r="K13" s="49"/>
      <c r="L13" s="44"/>
    </row>
    <row r="14" spans="1:12" x14ac:dyDescent="0.25">
      <c r="A14" s="31">
        <v>4.3</v>
      </c>
      <c r="B14" s="31">
        <v>4.3</v>
      </c>
      <c r="C14" s="31">
        <v>4.3</v>
      </c>
      <c r="D14" s="30">
        <v>30</v>
      </c>
      <c r="E14" s="31" t="s">
        <v>17</v>
      </c>
      <c r="F14" s="29" t="s">
        <v>88</v>
      </c>
      <c r="G14" s="29" t="s">
        <v>97</v>
      </c>
      <c r="H14" s="32" t="s">
        <v>35</v>
      </c>
      <c r="K14" s="49"/>
      <c r="L14" s="44"/>
    </row>
    <row r="15" spans="1:12" x14ac:dyDescent="0.25">
      <c r="A15" s="31">
        <v>4.3</v>
      </c>
      <c r="B15" s="31">
        <v>4.3</v>
      </c>
      <c r="C15" s="31">
        <v>4.3</v>
      </c>
      <c r="D15" s="30">
        <v>30</v>
      </c>
      <c r="E15" s="31" t="s">
        <v>17</v>
      </c>
      <c r="F15" s="29" t="s">
        <v>88</v>
      </c>
      <c r="G15" s="29" t="s">
        <v>98</v>
      </c>
      <c r="H15" s="32" t="s">
        <v>35</v>
      </c>
      <c r="K15" s="49"/>
      <c r="L15" s="44"/>
    </row>
    <row r="16" spans="1:12" x14ac:dyDescent="0.25">
      <c r="A16" s="31">
        <v>4.3</v>
      </c>
      <c r="B16" s="31">
        <v>4.3</v>
      </c>
      <c r="C16" s="31">
        <v>4.3</v>
      </c>
      <c r="D16" s="30">
        <v>30</v>
      </c>
      <c r="E16" s="31" t="s">
        <v>17</v>
      </c>
      <c r="F16" s="29" t="s">
        <v>88</v>
      </c>
      <c r="G16" s="29" t="s">
        <v>99</v>
      </c>
      <c r="H16" s="32" t="s">
        <v>35</v>
      </c>
      <c r="K16" s="49"/>
      <c r="L16" s="44"/>
    </row>
    <row r="17" spans="1:12" x14ac:dyDescent="0.25">
      <c r="A17" s="31">
        <v>4.3</v>
      </c>
      <c r="B17" s="31">
        <v>4.3</v>
      </c>
      <c r="C17" s="31">
        <v>4.3</v>
      </c>
      <c r="D17" s="30">
        <v>30</v>
      </c>
      <c r="E17" s="31" t="s">
        <v>17</v>
      </c>
      <c r="F17" s="29" t="s">
        <v>88</v>
      </c>
      <c r="G17" s="29" t="s">
        <v>100</v>
      </c>
      <c r="H17" s="32" t="s">
        <v>35</v>
      </c>
      <c r="K17" s="49"/>
      <c r="L17" s="44"/>
    </row>
    <row r="18" spans="1:12" x14ac:dyDescent="0.25">
      <c r="A18" s="31">
        <v>4.3</v>
      </c>
      <c r="B18" s="31">
        <v>4.3</v>
      </c>
      <c r="C18" s="31">
        <v>4.3</v>
      </c>
      <c r="D18" s="30">
        <v>30</v>
      </c>
      <c r="E18" s="31" t="s">
        <v>17</v>
      </c>
      <c r="F18" s="29" t="s">
        <v>88</v>
      </c>
      <c r="G18" s="29" t="s">
        <v>101</v>
      </c>
      <c r="H18" s="32" t="s">
        <v>35</v>
      </c>
      <c r="K18" s="49"/>
      <c r="L18" s="44"/>
    </row>
    <row r="19" spans="1:12" x14ac:dyDescent="0.25">
      <c r="A19" s="31">
        <v>4.3</v>
      </c>
      <c r="B19" s="31">
        <v>4.3</v>
      </c>
      <c r="C19" s="31">
        <v>4.3</v>
      </c>
      <c r="D19" s="30">
        <v>30</v>
      </c>
      <c r="E19" s="31" t="s">
        <v>17</v>
      </c>
      <c r="F19" s="29" t="s">
        <v>88</v>
      </c>
      <c r="G19" s="29" t="s">
        <v>102</v>
      </c>
      <c r="H19" s="32" t="s">
        <v>35</v>
      </c>
      <c r="K19" s="49"/>
      <c r="L19" s="44"/>
    </row>
    <row r="20" spans="1:12" x14ac:dyDescent="0.25">
      <c r="A20" s="37">
        <v>0</v>
      </c>
      <c r="B20" s="31">
        <v>0</v>
      </c>
      <c r="C20" s="31">
        <v>0</v>
      </c>
      <c r="D20" s="30">
        <v>0</v>
      </c>
      <c r="E20" s="31" t="s">
        <v>81</v>
      </c>
      <c r="F20" s="29" t="s">
        <v>88</v>
      </c>
      <c r="G20" s="29" t="s">
        <v>103</v>
      </c>
      <c r="H20" s="32" t="s">
        <v>82</v>
      </c>
      <c r="K20" s="49"/>
      <c r="L20" s="44"/>
    </row>
    <row r="21" spans="1:12" x14ac:dyDescent="0.25">
      <c r="A21" s="37">
        <v>0</v>
      </c>
      <c r="B21" s="31">
        <v>0</v>
      </c>
      <c r="C21" s="69">
        <v>8</v>
      </c>
      <c r="D21" s="30">
        <v>40</v>
      </c>
      <c r="E21" s="31" t="s">
        <v>16</v>
      </c>
      <c r="F21" s="29" t="s">
        <v>88</v>
      </c>
      <c r="G21" s="29" t="s">
        <v>104</v>
      </c>
      <c r="H21" s="32" t="s">
        <v>35</v>
      </c>
      <c r="K21" s="49"/>
      <c r="L21" s="44"/>
    </row>
    <row r="22" spans="1:12" x14ac:dyDescent="0.25">
      <c r="A22" s="37">
        <v>0</v>
      </c>
      <c r="B22" s="31">
        <v>0</v>
      </c>
      <c r="C22" s="69">
        <v>8</v>
      </c>
      <c r="D22" s="30">
        <v>40</v>
      </c>
      <c r="E22" s="31" t="s">
        <v>16</v>
      </c>
      <c r="F22" s="29" t="s">
        <v>88</v>
      </c>
      <c r="G22" s="29" t="s">
        <v>105</v>
      </c>
      <c r="H22" s="32" t="s">
        <v>35</v>
      </c>
      <c r="K22" s="49"/>
      <c r="L22" s="44"/>
    </row>
    <row r="23" spans="1:12" x14ac:dyDescent="0.25">
      <c r="A23" s="37">
        <v>0</v>
      </c>
      <c r="B23" s="31">
        <v>0</v>
      </c>
      <c r="C23" s="69">
        <v>8</v>
      </c>
      <c r="D23" s="30">
        <v>40</v>
      </c>
      <c r="E23" s="31" t="s">
        <v>16</v>
      </c>
      <c r="F23" s="29" t="s">
        <v>88</v>
      </c>
      <c r="G23" s="29" t="s">
        <v>106</v>
      </c>
      <c r="H23" s="32" t="s">
        <v>35</v>
      </c>
      <c r="K23" s="49"/>
      <c r="L23" s="44"/>
    </row>
    <row r="24" spans="1:12" x14ac:dyDescent="0.25">
      <c r="A24" s="37">
        <v>0</v>
      </c>
      <c r="B24" s="31">
        <v>0</v>
      </c>
      <c r="C24" s="69">
        <v>8</v>
      </c>
      <c r="D24" s="30">
        <v>40</v>
      </c>
      <c r="E24" s="31" t="s">
        <v>16</v>
      </c>
      <c r="F24" s="29" t="s">
        <v>88</v>
      </c>
      <c r="G24" s="29" t="s">
        <v>107</v>
      </c>
      <c r="H24" s="32" t="s">
        <v>35</v>
      </c>
      <c r="K24" s="49"/>
      <c r="L24" s="44"/>
    </row>
    <row r="25" spans="1:12" x14ac:dyDescent="0.25">
      <c r="A25" s="37">
        <v>0</v>
      </c>
      <c r="B25" s="31">
        <v>0</v>
      </c>
      <c r="C25" s="69">
        <v>8</v>
      </c>
      <c r="D25" s="30">
        <v>40</v>
      </c>
      <c r="E25" s="31" t="s">
        <v>16</v>
      </c>
      <c r="F25" s="29" t="s">
        <v>88</v>
      </c>
      <c r="G25" s="29" t="s">
        <v>108</v>
      </c>
      <c r="H25" s="32" t="s">
        <v>35</v>
      </c>
      <c r="K25" s="49"/>
      <c r="L25" s="44"/>
    </row>
    <row r="26" spans="1:12" x14ac:dyDescent="0.25">
      <c r="A26" s="37">
        <v>0</v>
      </c>
      <c r="B26" s="69">
        <v>13.4</v>
      </c>
      <c r="C26" s="31">
        <v>0</v>
      </c>
      <c r="D26" s="30">
        <v>40</v>
      </c>
      <c r="E26" s="31" t="s">
        <v>16</v>
      </c>
      <c r="F26" s="29" t="s">
        <v>88</v>
      </c>
      <c r="G26" s="29" t="s">
        <v>109</v>
      </c>
      <c r="H26" s="32" t="s">
        <v>35</v>
      </c>
      <c r="K26" s="49"/>
      <c r="L26" s="44"/>
    </row>
    <row r="27" spans="1:12" x14ac:dyDescent="0.25">
      <c r="A27" s="31">
        <v>0</v>
      </c>
      <c r="B27" s="69">
        <v>13.3</v>
      </c>
      <c r="C27" s="31">
        <v>0</v>
      </c>
      <c r="D27" s="30">
        <v>40</v>
      </c>
      <c r="E27" s="31" t="s">
        <v>16</v>
      </c>
      <c r="F27" s="29" t="s">
        <v>88</v>
      </c>
      <c r="G27" s="29" t="s">
        <v>110</v>
      </c>
      <c r="H27" s="32" t="s">
        <v>35</v>
      </c>
      <c r="K27" s="49"/>
      <c r="L27" s="44"/>
    </row>
    <row r="28" spans="1:12" x14ac:dyDescent="0.25">
      <c r="A28" s="37">
        <v>0</v>
      </c>
      <c r="B28" s="69">
        <v>13.3</v>
      </c>
      <c r="C28" s="31">
        <v>0</v>
      </c>
      <c r="D28" s="30">
        <v>40</v>
      </c>
      <c r="E28" s="31" t="s">
        <v>16</v>
      </c>
      <c r="F28" s="29" t="s">
        <v>88</v>
      </c>
      <c r="G28" s="29" t="s">
        <v>111</v>
      </c>
      <c r="H28" s="32" t="s">
        <v>35</v>
      </c>
      <c r="K28" s="49"/>
      <c r="L28" s="44"/>
    </row>
    <row r="29" spans="1:12" ht="30" x14ac:dyDescent="0.25">
      <c r="A29" s="69">
        <v>40</v>
      </c>
      <c r="B29" s="31">
        <v>0</v>
      </c>
      <c r="C29" s="31">
        <v>0</v>
      </c>
      <c r="D29" s="30">
        <v>40</v>
      </c>
      <c r="E29" s="31" t="s">
        <v>16</v>
      </c>
      <c r="F29" s="29" t="s">
        <v>88</v>
      </c>
      <c r="G29" s="83" t="s">
        <v>112</v>
      </c>
      <c r="H29" s="32" t="s">
        <v>35</v>
      </c>
      <c r="K29" s="49"/>
      <c r="L29" s="44"/>
    </row>
    <row r="30" spans="1:12" x14ac:dyDescent="0.25">
      <c r="A30" s="29">
        <v>0</v>
      </c>
      <c r="B30" s="29">
        <v>0</v>
      </c>
      <c r="C30" s="29">
        <v>0</v>
      </c>
      <c r="D30" s="29">
        <v>0</v>
      </c>
      <c r="E30" s="31" t="s">
        <v>81</v>
      </c>
      <c r="F30" s="29" t="s">
        <v>88</v>
      </c>
      <c r="G30" s="29" t="s">
        <v>113</v>
      </c>
      <c r="H30" s="29"/>
    </row>
    <row r="31" spans="1:12" x14ac:dyDescent="0.25">
      <c r="A31" s="29">
        <v>0</v>
      </c>
      <c r="B31" s="29">
        <v>0</v>
      </c>
      <c r="C31" s="29">
        <v>0</v>
      </c>
      <c r="D31" s="29">
        <v>0</v>
      </c>
      <c r="E31" s="31" t="s">
        <v>81</v>
      </c>
      <c r="F31" s="29" t="s">
        <v>115</v>
      </c>
      <c r="G31" s="29" t="s">
        <v>114</v>
      </c>
      <c r="H31" s="29"/>
    </row>
  </sheetData>
  <autoFilter ref="A1:H31" xr:uid="{0D205E33-EDDE-4B1B-A585-84A321E83FE9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39B8D18AB98464181D1E85108248829" ma:contentTypeVersion="17" ma:contentTypeDescription="Crear nuevo documento." ma:contentTypeScope="" ma:versionID="b9cea1c05ae2262eed0cd5c2b2009515">
  <xsd:schema xmlns:xsd="http://www.w3.org/2001/XMLSchema" xmlns:xs="http://www.w3.org/2001/XMLSchema" xmlns:p="http://schemas.microsoft.com/office/2006/metadata/properties" xmlns:ns2="932c55c3-b5e0-4673-a25e-773070737706" xmlns:ns3="1828f71f-f3a5-414e-8b06-277e7a91b4d5" targetNamespace="http://schemas.microsoft.com/office/2006/metadata/properties" ma:root="true" ma:fieldsID="e080551d790acb6b42469279dd31adeb" ns2:_="" ns3:_="">
    <xsd:import namespace="932c55c3-b5e0-4673-a25e-773070737706"/>
    <xsd:import namespace="1828f71f-f3a5-414e-8b06-277e7a91b4d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2c55c3-b5e0-4673-a25e-77307073770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n" ma:readOnly="false" ma:fieldId="{5cf76f15-5ced-4ddc-b409-7134ff3c332f}" ma:taxonomyMulti="true" ma:sspId="afb041b7-8286-4f54-8f47-108c3616246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28f71f-f3a5-414e-8b06-277e7a91b4d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6f7eabd3-d49c-4116-8f8a-f44327f7309c}" ma:internalName="TaxCatchAll" ma:showField="CatchAllData" ma:web="1828f71f-f3a5-414e-8b06-277e7a91b4d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��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32c55c3-b5e0-4673-a25e-773070737706">
      <Terms xmlns="http://schemas.microsoft.com/office/infopath/2007/PartnerControls"/>
    </lcf76f155ced4ddcb4097134ff3c332f>
    <TaxCatchAll xmlns="1828f71f-f3a5-414e-8b06-277e7a91b4d5" xsi:nil="true"/>
  </documentManagement>
</p:properties>
</file>

<file path=customXml/itemProps1.xml><?xml version="1.0" encoding="utf-8"?>
<ds:datastoreItem xmlns:ds="http://schemas.openxmlformats.org/officeDocument/2006/customXml" ds:itemID="{7D2D48BE-66B5-4C57-B65D-2A7804E01D03}"/>
</file>

<file path=customXml/itemProps2.xml><?xml version="1.0" encoding="utf-8"?>
<ds:datastoreItem xmlns:ds="http://schemas.openxmlformats.org/officeDocument/2006/customXml" ds:itemID="{C7FF7801-3054-4CCF-A9EE-106F9F9A2BB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A97DFE0-2812-4F8D-BEA5-EADA0185B0EC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9021CB17-80F6-4B1D-9C82-0C36B1D4B169}">
  <ds:schemaRefs>
    <ds:schemaRef ds:uri="http://schemas.microsoft.com/office/2006/metadata/properties"/>
    <ds:schemaRef ds:uri="http://schemas.microsoft.com/office/infopath/2007/PartnerControls"/>
    <ds:schemaRef ds:uri="e523bf45-09fb-4f9b-aa49-e403c0417b1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INFORME</vt:lpstr>
      <vt:lpstr>PUNTAJES</vt:lpstr>
      <vt:lpstr>Panel</vt:lpstr>
      <vt:lpstr>DATA INFORME</vt:lpstr>
      <vt:lpstr>Export</vt:lpstr>
      <vt:lpstr>ENCUESTA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Angie Lorena Gomez Romero</dc:creator>
  <cp:keywords/>
  <dc:description/>
  <cp:lastModifiedBy>Diego Raul Guerrero Anaya</cp:lastModifiedBy>
  <cp:revision/>
  <dcterms:created xsi:type="dcterms:W3CDTF">2024-08-27T21:29:06Z</dcterms:created>
  <dcterms:modified xsi:type="dcterms:W3CDTF">2025-07-02T16:48:38Z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0x010100239B8D18AB98464181D1E85108248829</vt:lpwstr>
  </property>
  <property fmtid="{D5CDD505-2E9C-101B-9397-08002B2CF9AE}" pid="3" name="MSIP_Label_b64e5b13-2d98-4ce3-adad-008bcee42cb2_Enabled">
    <vt:lpwstr>true</vt:lpwstr>
  </property>
  <property fmtid="{D5CDD505-2E9C-101B-9397-08002B2CF9AE}" pid="4" name="MSIP_Label_b64e5b13-2d98-4ce3-adad-008bcee42cb2_SetDate">
    <vt:lpwstr>2025-07-02T16:48:38Z</vt:lpwstr>
  </property>
  <property fmtid="{D5CDD505-2E9C-101B-9397-08002B2CF9AE}" pid="5" name="MSIP_Label_b64e5b13-2d98-4ce3-adad-008bcee42cb2_Method">
    <vt:lpwstr>Standard</vt:lpwstr>
  </property>
  <property fmtid="{D5CDD505-2E9C-101B-9397-08002B2CF9AE}" pid="6" name="MSIP_Label_b64e5b13-2d98-4ce3-adad-008bcee42cb2_Name">
    <vt:lpwstr>Información Confidencial</vt:lpwstr>
  </property>
  <property fmtid="{D5CDD505-2E9C-101B-9397-08002B2CF9AE}" pid="7" name="MSIP_Label_b64e5b13-2d98-4ce3-adad-008bcee42cb2_SiteId">
    <vt:lpwstr>d2bc208e-4fff-4078-b5ac-f69a6a266ff3</vt:lpwstr>
  </property>
  <property fmtid="{D5CDD505-2E9C-101B-9397-08002B2CF9AE}" pid="8" name="MSIP_Label_b64e5b13-2d98-4ce3-adad-008bcee42cb2_ActionId">
    <vt:lpwstr>704b51f0-eb6a-4ef9-834f-be68317172c1</vt:lpwstr>
  </property>
  <property fmtid="{D5CDD505-2E9C-101B-9397-08002B2CF9AE}" pid="9" name="MSIP_Label_b64e5b13-2d98-4ce3-adad-008bcee42cb2_ContentBits">
    <vt:lpwstr>0</vt:lpwstr>
  </property>
  <property fmtid="{D5CDD505-2E9C-101B-9397-08002B2CF9AE}" pid="10" name="MSIP_Label_b64e5b13-2d98-4ce3-adad-008bcee42cb2_Tag">
    <vt:lpwstr>10, 3, 0, 1</vt:lpwstr>
  </property>
</Properties>
</file>