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DICIEMBRE/Informe/"/>
    </mc:Choice>
  </mc:AlternateContent>
  <xr:revisionPtr revIDLastSave="1879" documentId="8_{AEDEEC47-FF89-4AE5-ABD7-66D1B1D358E3}" xr6:coauthVersionLast="47" xr6:coauthVersionMax="47" xr10:uidLastSave="{75C6C9C9-19FD-4A11-9D41-9E3774B462CD}"/>
  <bookViews>
    <workbookView xWindow="-110" yWindow="-110" windowWidth="19420" windowHeight="1150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ENCUESTA!$A$1:$H$36</definedName>
    <definedName name="_xlnm._FilterDatabase" localSheetId="3" hidden="1">Panel!#REF!</definedName>
    <definedName name="_xlnm._FilterDatabase" localSheetId="1" hidden="1">Videos!$A$1:$C$6</definedName>
    <definedName name="DatosExternos_1" localSheetId="4" hidden="1">'DATA INFORME'!$A$1:$AR$12</definedName>
    <definedName name="DatosExternos_2" localSheetId="2" hidden="1">PUNTAJES!$A$1:$K$239</definedName>
    <definedName name="SegmentaciónDeDatos_CIUDAD">#N/A</definedName>
    <definedName name="SegmentaciónDeDatos_NOMBRE_COMERCIAL">#N/A</definedName>
  </definedNames>
  <calcPr calcId="191028"/>
  <pivotCaches>
    <pivotCache cacheId="14" r:id="rId8"/>
    <pivotCache cacheId="3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N7" i="5" s="1"/>
  <c r="L8" i="5"/>
  <c r="N8" i="5" s="1"/>
  <c r="L9" i="5"/>
  <c r="N9" i="5" s="1"/>
  <c r="L10" i="5"/>
  <c r="N10" i="5" s="1"/>
  <c r="L11" i="5"/>
  <c r="N11" i="5" s="1"/>
  <c r="L12" i="5"/>
  <c r="N12" i="5" s="1"/>
  <c r="L13" i="5"/>
  <c r="N13" i="5" s="1"/>
  <c r="L14" i="5"/>
  <c r="N14" i="5" s="1"/>
  <c r="P14" i="5" s="1"/>
  <c r="L15" i="5"/>
  <c r="N15" i="5" s="1"/>
  <c r="L16" i="5"/>
  <c r="L17" i="5"/>
  <c r="L18" i="5"/>
  <c r="L19" i="5"/>
  <c r="L20" i="5"/>
  <c r="L21" i="5"/>
  <c r="L22" i="5"/>
  <c r="N22" i="5" s="1"/>
  <c r="L23" i="5"/>
  <c r="N23" i="5" s="1"/>
  <c r="L24" i="5"/>
  <c r="N24" i="5" s="1"/>
  <c r="L25" i="5"/>
  <c r="N25" i="5" s="1"/>
  <c r="L26" i="5"/>
  <c r="N26" i="5" s="1"/>
  <c r="L27" i="5"/>
  <c r="N27" i="5" s="1"/>
  <c r="L28" i="5"/>
  <c r="N28" i="5" s="1"/>
  <c r="L29" i="5"/>
  <c r="N29" i="5" s="1"/>
  <c r="L30" i="5"/>
  <c r="L31" i="5"/>
  <c r="L32" i="5"/>
  <c r="L33" i="5"/>
  <c r="L34" i="5"/>
  <c r="L35" i="5"/>
  <c r="L36" i="5"/>
  <c r="N36" i="5" s="1"/>
  <c r="L37" i="5"/>
  <c r="L38" i="5"/>
  <c r="L39" i="5"/>
  <c r="L40" i="5"/>
  <c r="N40" i="5" s="1"/>
  <c r="L41" i="5"/>
  <c r="N41" i="5" s="1"/>
  <c r="L42" i="5"/>
  <c r="N42" i="5" s="1"/>
  <c r="L43" i="5"/>
  <c r="N43" i="5" s="1"/>
  <c r="L44" i="5"/>
  <c r="L45" i="5"/>
  <c r="L46" i="5"/>
  <c r="L47" i="5"/>
  <c r="L48" i="5"/>
  <c r="L49" i="5"/>
  <c r="L50" i="5"/>
  <c r="N50" i="5" s="1"/>
  <c r="L51" i="5"/>
  <c r="M51" i="5" s="1"/>
  <c r="L52" i="5"/>
  <c r="M52" i="5" s="1"/>
  <c r="L53" i="5"/>
  <c r="M53" i="5" s="1"/>
  <c r="L54" i="5"/>
  <c r="M54" i="5" s="1"/>
  <c r="L55" i="5"/>
  <c r="N55" i="5" s="1"/>
  <c r="L56" i="5"/>
  <c r="N56" i="5" s="1"/>
  <c r="P56" i="5" s="1"/>
  <c r="L57" i="5"/>
  <c r="N57" i="5" s="1"/>
  <c r="L58" i="5"/>
  <c r="L59" i="5"/>
  <c r="L60" i="5"/>
  <c r="L61" i="5"/>
  <c r="L62" i="5"/>
  <c r="N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N70" i="5" s="1"/>
  <c r="P70" i="5" s="1"/>
  <c r="L71" i="5"/>
  <c r="N71" i="5" s="1"/>
  <c r="L72" i="5"/>
  <c r="L73" i="5"/>
  <c r="L74" i="5"/>
  <c r="L75" i="5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L84" i="5"/>
  <c r="M84" i="5" s="1"/>
  <c r="L85" i="5"/>
  <c r="M85" i="5" s="1"/>
  <c r="L86" i="5"/>
  <c r="L87" i="5"/>
  <c r="L88" i="5"/>
  <c r="L89" i="5"/>
  <c r="L90" i="5"/>
  <c r="L91" i="5"/>
  <c r="L92" i="5"/>
  <c r="N92" i="5" s="1"/>
  <c r="L93" i="5"/>
  <c r="M93" i="5" s="1"/>
  <c r="L94" i="5"/>
  <c r="M94" i="5" s="1"/>
  <c r="L95" i="5"/>
  <c r="M95" i="5" s="1"/>
  <c r="L96" i="5"/>
  <c r="M96" i="5" s="1"/>
  <c r="L97" i="5"/>
  <c r="L98" i="5"/>
  <c r="M98" i="5" s="1"/>
  <c r="L99" i="5"/>
  <c r="N99" i="5" s="1"/>
  <c r="L100" i="5"/>
  <c r="L101" i="5"/>
  <c r="L102" i="5"/>
  <c r="L103" i="5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L112" i="5"/>
  <c r="N112" i="5" s="1"/>
  <c r="P112" i="5" s="1"/>
  <c r="L113" i="5"/>
  <c r="N113" i="5" s="1"/>
  <c r="L114" i="5"/>
  <c r="L115" i="5"/>
  <c r="L116" i="5"/>
  <c r="L117" i="5"/>
  <c r="L118" i="5"/>
  <c r="L119" i="5"/>
  <c r="M119" i="5" s="1"/>
  <c r="L120" i="5"/>
  <c r="N120" i="5" s="1"/>
  <c r="L121" i="5"/>
  <c r="N121" i="5" s="1"/>
  <c r="L122" i="5"/>
  <c r="N122" i="5" s="1"/>
  <c r="L123" i="5"/>
  <c r="M123" i="5" s="1"/>
  <c r="L124" i="5"/>
  <c r="M124" i="5" s="1"/>
  <c r="L125" i="5"/>
  <c r="M125" i="5" s="1"/>
  <c r="L126" i="5"/>
  <c r="N126" i="5" s="1"/>
  <c r="P126" i="5" s="1"/>
  <c r="L127" i="5"/>
  <c r="N127" i="5" s="1"/>
  <c r="L128" i="5"/>
  <c r="L129" i="5"/>
  <c r="L130" i="5"/>
  <c r="L131" i="5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L140" i="5"/>
  <c r="N140" i="5" s="1"/>
  <c r="P140" i="5" s="1"/>
  <c r="L141" i="5"/>
  <c r="N141" i="5" s="1"/>
  <c r="L142" i="5"/>
  <c r="L143" i="5"/>
  <c r="L144" i="5"/>
  <c r="L145" i="5"/>
  <c r="L146" i="5"/>
  <c r="N146" i="5" s="1"/>
  <c r="L147" i="5"/>
  <c r="N147" i="5" s="1"/>
  <c r="L148" i="5"/>
  <c r="M148" i="5" s="1"/>
  <c r="L149" i="5"/>
  <c r="M149" i="5" s="1"/>
  <c r="L150" i="5"/>
  <c r="M150" i="5" s="1"/>
  <c r="L151" i="5"/>
  <c r="M151" i="5" s="1"/>
  <c r="L152" i="5"/>
  <c r="M152" i="5" s="1"/>
  <c r="L153" i="5"/>
  <c r="L154" i="5"/>
  <c r="N154" i="5" s="1"/>
  <c r="P154" i="5" s="1"/>
  <c r="L155" i="5"/>
  <c r="N155" i="5" s="1"/>
  <c r="L156" i="5"/>
  <c r="L157" i="5"/>
  <c r="L158" i="5"/>
  <c r="L159" i="5"/>
  <c r="L160" i="5"/>
  <c r="L161" i="5"/>
  <c r="N161" i="5" s="1"/>
  <c r="L162" i="5"/>
  <c r="N162" i="5" s="1"/>
  <c r="L163" i="5"/>
  <c r="N163" i="5" s="1"/>
  <c r="L164" i="5"/>
  <c r="N164" i="5" s="1"/>
  <c r="L165" i="5"/>
  <c r="M165" i="5" s="1"/>
  <c r="L166" i="5"/>
  <c r="M166" i="5" s="1"/>
  <c r="L167" i="5"/>
  <c r="L168" i="5"/>
  <c r="N168" i="5" s="1"/>
  <c r="P168" i="5" s="1"/>
  <c r="L169" i="5"/>
  <c r="N169" i="5" s="1"/>
  <c r="L170" i="5"/>
  <c r="L171" i="5"/>
  <c r="L172" i="5"/>
  <c r="L173" i="5"/>
  <c r="L174" i="5"/>
  <c r="M174" i="5" s="1"/>
  <c r="L175" i="5"/>
  <c r="M175" i="5" s="1"/>
  <c r="L176" i="5"/>
  <c r="M176" i="5" s="1"/>
  <c r="L177" i="5"/>
  <c r="N177" i="5" s="1"/>
  <c r="L178" i="5"/>
  <c r="M178" i="5" s="1"/>
  <c r="L179" i="5"/>
  <c r="M179" i="5" s="1"/>
  <c r="L180" i="5"/>
  <c r="M180" i="5" s="1"/>
  <c r="L181" i="5"/>
  <c r="L182" i="5"/>
  <c r="N182" i="5" s="1"/>
  <c r="L183" i="5"/>
  <c r="N183" i="5" s="1"/>
  <c r="L184" i="5"/>
  <c r="L185" i="5"/>
  <c r="L186" i="5"/>
  <c r="L187" i="5"/>
  <c r="L188" i="5"/>
  <c r="L189" i="5"/>
  <c r="L190" i="5"/>
  <c r="L191" i="5"/>
  <c r="M191" i="5" s="1"/>
  <c r="L192" i="5"/>
  <c r="M192" i="5" s="1"/>
  <c r="L193" i="5"/>
  <c r="N193" i="5" s="1"/>
  <c r="L194" i="5"/>
  <c r="N194" i="5" s="1"/>
  <c r="L195" i="5"/>
  <c r="L196" i="5"/>
  <c r="N196" i="5" s="1"/>
  <c r="P196" i="5" s="1"/>
  <c r="L197" i="5"/>
  <c r="N197" i="5" s="1"/>
  <c r="L198" i="5"/>
  <c r="L199" i="5"/>
  <c r="L200" i="5"/>
  <c r="L201" i="5"/>
  <c r="L202" i="5"/>
  <c r="L203" i="5"/>
  <c r="M203" i="5" s="1"/>
  <c r="L204" i="5"/>
  <c r="M204" i="5" s="1"/>
  <c r="L205" i="5"/>
  <c r="M205" i="5" s="1"/>
  <c r="L206" i="5"/>
  <c r="M206" i="5" s="1"/>
  <c r="L207" i="5"/>
  <c r="M207" i="5" s="1"/>
  <c r="L208" i="5"/>
  <c r="M208" i="5" s="1"/>
  <c r="L209" i="5"/>
  <c r="L210" i="5"/>
  <c r="N210" i="5" s="1"/>
  <c r="P210" i="5" s="1"/>
  <c r="L211" i="5"/>
  <c r="N211" i="5" s="1"/>
  <c r="P211" i="5" s="1"/>
  <c r="L212" i="5"/>
  <c r="L213" i="5"/>
  <c r="L214" i="5"/>
  <c r="L215" i="5"/>
  <c r="L216" i="5"/>
  <c r="L217" i="5"/>
  <c r="L218" i="5"/>
  <c r="M218" i="5" s="1"/>
  <c r="L219" i="5"/>
  <c r="L220" i="5"/>
  <c r="N220" i="5" s="1"/>
  <c r="L221" i="5"/>
  <c r="M221" i="5" s="1"/>
  <c r="L222" i="5"/>
  <c r="M222" i="5" s="1"/>
  <c r="L223" i="5"/>
  <c r="M223" i="5" s="1"/>
  <c r="L224" i="5"/>
  <c r="N224" i="5" s="1"/>
  <c r="P224" i="5" s="1"/>
  <c r="L225" i="5"/>
  <c r="N225" i="5" s="1"/>
  <c r="P225" i="5" s="1"/>
  <c r="L226" i="5"/>
  <c r="L227" i="5"/>
  <c r="L228" i="5"/>
  <c r="L229" i="5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L238" i="5"/>
  <c r="N238" i="5" s="1"/>
  <c r="L239" i="5"/>
  <c r="N239" i="5" s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8" i="5"/>
  <c r="M59" i="5"/>
  <c r="M60" i="5"/>
  <c r="M61" i="5"/>
  <c r="M62" i="5"/>
  <c r="M72" i="5"/>
  <c r="M73" i="5"/>
  <c r="M74" i="5"/>
  <c r="M75" i="5"/>
  <c r="M86" i="5"/>
  <c r="M87" i="5"/>
  <c r="M88" i="5"/>
  <c r="M89" i="5"/>
  <c r="M90" i="5"/>
  <c r="M91" i="5"/>
  <c r="M92" i="5"/>
  <c r="M100" i="5"/>
  <c r="M101" i="5"/>
  <c r="M102" i="5"/>
  <c r="M103" i="5"/>
  <c r="M114" i="5"/>
  <c r="M115" i="5"/>
  <c r="M116" i="5"/>
  <c r="M117" i="5"/>
  <c r="M118" i="5"/>
  <c r="M128" i="5"/>
  <c r="M129" i="5"/>
  <c r="M130" i="5"/>
  <c r="M131" i="5"/>
  <c r="M142" i="5"/>
  <c r="M143" i="5"/>
  <c r="M144" i="5"/>
  <c r="M145" i="5"/>
  <c r="M146" i="5"/>
  <c r="M156" i="5"/>
  <c r="M157" i="5"/>
  <c r="M158" i="5"/>
  <c r="M159" i="5"/>
  <c r="M160" i="5"/>
  <c r="M161" i="5"/>
  <c r="M163" i="5"/>
  <c r="M170" i="5"/>
  <c r="M171" i="5"/>
  <c r="M172" i="5"/>
  <c r="M173" i="5"/>
  <c r="M184" i="5"/>
  <c r="M185" i="5"/>
  <c r="M186" i="5"/>
  <c r="M187" i="5"/>
  <c r="M188" i="5"/>
  <c r="M189" i="5"/>
  <c r="M190" i="5"/>
  <c r="M198" i="5"/>
  <c r="M199" i="5"/>
  <c r="M200" i="5"/>
  <c r="M201" i="5"/>
  <c r="M202" i="5"/>
  <c r="M212" i="5"/>
  <c r="M213" i="5"/>
  <c r="M214" i="5"/>
  <c r="M215" i="5"/>
  <c r="M216" i="5"/>
  <c r="M217" i="5"/>
  <c r="M219" i="5"/>
  <c r="M220" i="5"/>
  <c r="M226" i="5"/>
  <c r="M227" i="5"/>
  <c r="M228" i="5"/>
  <c r="M229" i="5"/>
  <c r="N2" i="5"/>
  <c r="N3" i="5"/>
  <c r="N4" i="5"/>
  <c r="N5" i="5"/>
  <c r="N6" i="5"/>
  <c r="N16" i="5"/>
  <c r="N17" i="5"/>
  <c r="N18" i="5"/>
  <c r="N19" i="5"/>
  <c r="N20" i="5"/>
  <c r="N21" i="5"/>
  <c r="N30" i="5"/>
  <c r="N31" i="5"/>
  <c r="N32" i="5"/>
  <c r="N33" i="5"/>
  <c r="N34" i="5"/>
  <c r="N35" i="5"/>
  <c r="N37" i="5"/>
  <c r="N38" i="5"/>
  <c r="N39" i="5"/>
  <c r="N44" i="5"/>
  <c r="N45" i="5"/>
  <c r="N46" i="5"/>
  <c r="N47" i="5"/>
  <c r="N48" i="5"/>
  <c r="N49" i="5"/>
  <c r="N58" i="5"/>
  <c r="N59" i="5"/>
  <c r="N60" i="5"/>
  <c r="N61" i="5"/>
  <c r="N72" i="5"/>
  <c r="N73" i="5"/>
  <c r="N74" i="5"/>
  <c r="N75" i="5"/>
  <c r="N76" i="5"/>
  <c r="N77" i="5"/>
  <c r="N86" i="5"/>
  <c r="N87" i="5"/>
  <c r="N88" i="5"/>
  <c r="N89" i="5"/>
  <c r="N90" i="5"/>
  <c r="N91" i="5"/>
  <c r="N93" i="5"/>
  <c r="N94" i="5"/>
  <c r="N100" i="5"/>
  <c r="N101" i="5"/>
  <c r="N102" i="5"/>
  <c r="N103" i="5"/>
  <c r="N104" i="5"/>
  <c r="N105" i="5"/>
  <c r="N106" i="5"/>
  <c r="N107" i="5"/>
  <c r="N108" i="5"/>
  <c r="N109" i="5"/>
  <c r="N110" i="5"/>
  <c r="N114" i="5"/>
  <c r="N115" i="5"/>
  <c r="N116" i="5"/>
  <c r="N117" i="5"/>
  <c r="N118" i="5"/>
  <c r="N119" i="5"/>
  <c r="N123" i="5"/>
  <c r="N128" i="5"/>
  <c r="N129" i="5"/>
  <c r="N130" i="5"/>
  <c r="N131" i="5"/>
  <c r="N142" i="5"/>
  <c r="N143" i="5"/>
  <c r="N144" i="5"/>
  <c r="N145" i="5"/>
  <c r="N156" i="5"/>
  <c r="N157" i="5"/>
  <c r="N158" i="5"/>
  <c r="N159" i="5"/>
  <c r="N160" i="5"/>
  <c r="N170" i="5"/>
  <c r="N171" i="5"/>
  <c r="N172" i="5"/>
  <c r="N173" i="5"/>
  <c r="N174" i="5"/>
  <c r="N175" i="5"/>
  <c r="N176" i="5"/>
  <c r="N184" i="5"/>
  <c r="N185" i="5"/>
  <c r="N186" i="5"/>
  <c r="N187" i="5"/>
  <c r="N188" i="5"/>
  <c r="N189" i="5"/>
  <c r="N190" i="5"/>
  <c r="N191" i="5"/>
  <c r="N192" i="5"/>
  <c r="N198" i="5"/>
  <c r="N199" i="5"/>
  <c r="N200" i="5"/>
  <c r="N201" i="5"/>
  <c r="P201" i="5" s="1"/>
  <c r="N202" i="5"/>
  <c r="P202" i="5" s="1"/>
  <c r="N203" i="5"/>
  <c r="N207" i="5"/>
  <c r="N212" i="5"/>
  <c r="N213" i="5"/>
  <c r="N214" i="5"/>
  <c r="N215" i="5"/>
  <c r="N216" i="5"/>
  <c r="P216" i="5" s="1"/>
  <c r="N217" i="5"/>
  <c r="N218" i="5"/>
  <c r="N219" i="5"/>
  <c r="P219" i="5" s="1"/>
  <c r="N226" i="5"/>
  <c r="N227" i="5"/>
  <c r="N228" i="5"/>
  <c r="N229" i="5"/>
  <c r="O2" i="5"/>
  <c r="O3" i="5"/>
  <c r="O4" i="5"/>
  <c r="O5" i="5"/>
  <c r="O6" i="5"/>
  <c r="O7" i="5"/>
  <c r="O8" i="5"/>
  <c r="O9" i="5"/>
  <c r="O10" i="5"/>
  <c r="O11" i="5"/>
  <c r="O12" i="5"/>
  <c r="P12" i="5" s="1"/>
  <c r="O13" i="5"/>
  <c r="P13" i="5" s="1"/>
  <c r="O14" i="5"/>
  <c r="O15" i="5"/>
  <c r="O16" i="5"/>
  <c r="P16" i="5" s="1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P30" i="5" s="1"/>
  <c r="O31" i="5"/>
  <c r="P31" i="5" s="1"/>
  <c r="O32" i="5"/>
  <c r="O33" i="5"/>
  <c r="O34" i="5"/>
  <c r="O35" i="5"/>
  <c r="O36" i="5"/>
  <c r="P36" i="5" s="1"/>
  <c r="O37" i="5"/>
  <c r="O38" i="5"/>
  <c r="P38" i="5" s="1"/>
  <c r="O39" i="5"/>
  <c r="O40" i="5"/>
  <c r="O41" i="5"/>
  <c r="P41" i="5" s="1"/>
  <c r="O42" i="5"/>
  <c r="P42" i="5" s="1"/>
  <c r="O43" i="5"/>
  <c r="P43" i="5" s="1"/>
  <c r="O44" i="5"/>
  <c r="P44" i="5" s="1"/>
  <c r="O45" i="5"/>
  <c r="P45" i="5" s="1"/>
  <c r="O46" i="5"/>
  <c r="O47" i="5"/>
  <c r="P47" i="5" s="1"/>
  <c r="O48" i="5"/>
  <c r="O49" i="5"/>
  <c r="O50" i="5"/>
  <c r="O51" i="5"/>
  <c r="O52" i="5"/>
  <c r="O53" i="5"/>
  <c r="O54" i="5"/>
  <c r="O55" i="5"/>
  <c r="O56" i="5"/>
  <c r="O57" i="5"/>
  <c r="O58" i="5"/>
  <c r="P58" i="5" s="1"/>
  <c r="O59" i="5"/>
  <c r="P59" i="5" s="1"/>
  <c r="O60" i="5"/>
  <c r="O61" i="5"/>
  <c r="O62" i="5"/>
  <c r="O63" i="5"/>
  <c r="O64" i="5"/>
  <c r="P64" i="5" s="1"/>
  <c r="O65" i="5"/>
  <c r="P65" i="5" s="1"/>
  <c r="O66" i="5"/>
  <c r="P66" i="5" s="1"/>
  <c r="O67" i="5"/>
  <c r="O68" i="5"/>
  <c r="O69" i="5"/>
  <c r="O70" i="5"/>
  <c r="O71" i="5"/>
  <c r="O72" i="5"/>
  <c r="P72" i="5" s="1"/>
  <c r="O73" i="5"/>
  <c r="O74" i="5"/>
  <c r="P74" i="5" s="1"/>
  <c r="O75" i="5"/>
  <c r="O76" i="5"/>
  <c r="O77" i="5"/>
  <c r="O78" i="5"/>
  <c r="O79" i="5"/>
  <c r="O80" i="5"/>
  <c r="O81" i="5"/>
  <c r="O82" i="5"/>
  <c r="O83" i="5"/>
  <c r="O84" i="5"/>
  <c r="O85" i="5"/>
  <c r="O86" i="5"/>
  <c r="P86" i="5" s="1"/>
  <c r="O87" i="5"/>
  <c r="P87" i="5" s="1"/>
  <c r="O88" i="5"/>
  <c r="O89" i="5"/>
  <c r="O90" i="5"/>
  <c r="O91" i="5"/>
  <c r="O92" i="5"/>
  <c r="O93" i="5"/>
  <c r="P93" i="5" s="1"/>
  <c r="O94" i="5"/>
  <c r="O95" i="5"/>
  <c r="O96" i="5"/>
  <c r="O97" i="5"/>
  <c r="O98" i="5"/>
  <c r="O99" i="5"/>
  <c r="P99" i="5" s="1"/>
  <c r="O100" i="5"/>
  <c r="P100" i="5" s="1"/>
  <c r="O101" i="5"/>
  <c r="P101" i="5" s="1"/>
  <c r="O102" i="5"/>
  <c r="P102" i="5" s="1"/>
  <c r="O103" i="5"/>
  <c r="O104" i="5"/>
  <c r="O105" i="5"/>
  <c r="O106" i="5"/>
  <c r="O107" i="5"/>
  <c r="O108" i="5"/>
  <c r="O109" i="5"/>
  <c r="O110" i="5"/>
  <c r="O111" i="5"/>
  <c r="O112" i="5"/>
  <c r="O113" i="5"/>
  <c r="O114" i="5"/>
  <c r="P114" i="5" s="1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P129" i="5" s="1"/>
  <c r="O130" i="5"/>
  <c r="O131" i="5"/>
  <c r="P131" i="5" s="1"/>
  <c r="O132" i="5"/>
  <c r="O133" i="5"/>
  <c r="O134" i="5"/>
  <c r="O135" i="5"/>
  <c r="O136" i="5"/>
  <c r="O137" i="5"/>
  <c r="P137" i="5" s="1"/>
  <c r="O138" i="5"/>
  <c r="O139" i="5"/>
  <c r="O140" i="5"/>
  <c r="O141" i="5"/>
  <c r="O142" i="5"/>
  <c r="O143" i="5"/>
  <c r="P143" i="5" s="1"/>
  <c r="O144" i="5"/>
  <c r="P144" i="5" s="1"/>
  <c r="O145" i="5"/>
  <c r="P145" i="5" s="1"/>
  <c r="O146" i="5"/>
  <c r="P146" i="5" s="1"/>
  <c r="O147" i="5"/>
  <c r="P147" i="5" s="1"/>
  <c r="O148" i="5"/>
  <c r="O149" i="5"/>
  <c r="O150" i="5"/>
  <c r="O151" i="5"/>
  <c r="O152" i="5"/>
  <c r="O153" i="5"/>
  <c r="O154" i="5"/>
  <c r="O155" i="5"/>
  <c r="O156" i="5"/>
  <c r="P156" i="5" s="1"/>
  <c r="O157" i="5"/>
  <c r="P157" i="5" s="1"/>
  <c r="O158" i="5"/>
  <c r="P158" i="5" s="1"/>
  <c r="O159" i="5"/>
  <c r="O160" i="5"/>
  <c r="O161" i="5"/>
  <c r="O162" i="5"/>
  <c r="O163" i="5"/>
  <c r="O164" i="5"/>
  <c r="O165" i="5"/>
  <c r="O166" i="5"/>
  <c r="O167" i="5"/>
  <c r="O168" i="5"/>
  <c r="O169" i="5"/>
  <c r="O170" i="5"/>
  <c r="P170" i="5" s="1"/>
  <c r="O171" i="5"/>
  <c r="P171" i="5" s="1"/>
  <c r="O172" i="5"/>
  <c r="P172" i="5" s="1"/>
  <c r="O173" i="5"/>
  <c r="O174" i="5"/>
  <c r="O175" i="5"/>
  <c r="O176" i="5"/>
  <c r="P176" i="5" s="1"/>
  <c r="O177" i="5"/>
  <c r="P177" i="5" s="1"/>
  <c r="O178" i="5"/>
  <c r="O179" i="5"/>
  <c r="O180" i="5"/>
  <c r="O181" i="5"/>
  <c r="O182" i="5"/>
  <c r="O183" i="5"/>
  <c r="O184" i="5"/>
  <c r="P184" i="5" s="1"/>
  <c r="O185" i="5"/>
  <c r="P185" i="5" s="1"/>
  <c r="O186" i="5"/>
  <c r="P186" i="5" s="1"/>
  <c r="O187" i="5"/>
  <c r="O188" i="5"/>
  <c r="O189" i="5"/>
  <c r="O190" i="5"/>
  <c r="P190" i="5" s="1"/>
  <c r="O191" i="5"/>
  <c r="O192" i="5"/>
  <c r="P192" i="5" s="1"/>
  <c r="O193" i="5"/>
  <c r="O194" i="5"/>
  <c r="O195" i="5"/>
  <c r="P195" i="5" s="1"/>
  <c r="O196" i="5"/>
  <c r="O197" i="5"/>
  <c r="P197" i="5" s="1"/>
  <c r="O198" i="5"/>
  <c r="P198" i="5" s="1"/>
  <c r="O199" i="5"/>
  <c r="O200" i="5"/>
  <c r="P200" i="5" s="1"/>
  <c r="O201" i="5"/>
  <c r="O202" i="5"/>
  <c r="O203" i="5"/>
  <c r="O204" i="5"/>
  <c r="O205" i="5"/>
  <c r="O206" i="5"/>
  <c r="O207" i="5"/>
  <c r="O208" i="5"/>
  <c r="O209" i="5"/>
  <c r="O210" i="5"/>
  <c r="O211" i="5"/>
  <c r="O212" i="5"/>
  <c r="P212" i="5" s="1"/>
  <c r="O213" i="5"/>
  <c r="P213" i="5" s="1"/>
  <c r="O214" i="5"/>
  <c r="O215" i="5"/>
  <c r="P215" i="5" s="1"/>
  <c r="O216" i="5"/>
  <c r="O217" i="5"/>
  <c r="P217" i="5" s="1"/>
  <c r="O218" i="5"/>
  <c r="O219" i="5"/>
  <c r="O220" i="5"/>
  <c r="O221" i="5"/>
  <c r="O222" i="5"/>
  <c r="O223" i="5"/>
  <c r="O224" i="5"/>
  <c r="O225" i="5"/>
  <c r="O226" i="5"/>
  <c r="P226" i="5" s="1"/>
  <c r="O227" i="5"/>
  <c r="P227" i="5" s="1"/>
  <c r="O228" i="5"/>
  <c r="P228" i="5" s="1"/>
  <c r="O229" i="5"/>
  <c r="P229" i="5" s="1"/>
  <c r="O230" i="5"/>
  <c r="P230" i="5" s="1"/>
  <c r="O231" i="5"/>
  <c r="P231" i="5" s="1"/>
  <c r="O232" i="5"/>
  <c r="P232" i="5" s="1"/>
  <c r="O233" i="5"/>
  <c r="P233" i="5" s="1"/>
  <c r="O234" i="5"/>
  <c r="O235" i="5"/>
  <c r="O236" i="5"/>
  <c r="O237" i="5"/>
  <c r="O238" i="5"/>
  <c r="O239" i="5"/>
  <c r="P239" i="5" s="1"/>
  <c r="P2" i="5"/>
  <c r="P3" i="5"/>
  <c r="P4" i="5"/>
  <c r="P6" i="5"/>
  <c r="P173" i="5"/>
  <c r="P207" i="5"/>
  <c r="P220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G2" i="1"/>
  <c r="H2" i="1"/>
  <c r="I2" i="1"/>
  <c r="G12" i="1"/>
  <c r="H12" i="1"/>
  <c r="I12" i="1"/>
  <c r="H107" i="2"/>
  <c r="H10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" i="2"/>
  <c r="B32" i="8"/>
  <c r="B31" i="8"/>
  <c r="B30" i="8"/>
  <c r="B29" i="8"/>
  <c r="B28" i="8"/>
  <c r="C24" i="8"/>
  <c r="C25" i="8"/>
  <c r="C26" i="8"/>
  <c r="C27" i="8"/>
  <c r="C23" i="8"/>
  <c r="E24" i="8"/>
  <c r="E25" i="8"/>
  <c r="E26" i="8"/>
  <c r="E27" i="8"/>
  <c r="E28" i="8"/>
  <c r="E29" i="8"/>
  <c r="E30" i="8"/>
  <c r="E31" i="8"/>
  <c r="E32" i="8"/>
  <c r="E33" i="8"/>
  <c r="E34" i="8"/>
  <c r="E23" i="8"/>
  <c r="G10" i="1"/>
  <c r="G11" i="1"/>
  <c r="H10" i="1"/>
  <c r="H11" i="1"/>
  <c r="I10" i="1"/>
  <c r="I11" i="1"/>
  <c r="G8" i="1"/>
  <c r="G9" i="1"/>
  <c r="H8" i="1"/>
  <c r="H9" i="1"/>
  <c r="I8" i="1"/>
  <c r="I9" i="1"/>
  <c r="P183" i="5" l="1"/>
  <c r="P169" i="5"/>
  <c r="P155" i="5"/>
  <c r="P141" i="5"/>
  <c r="P127" i="5"/>
  <c r="P113" i="5"/>
  <c r="P71" i="5"/>
  <c r="P57" i="5"/>
  <c r="P29" i="5"/>
  <c r="P15" i="5"/>
  <c r="P218" i="5"/>
  <c r="P28" i="5"/>
  <c r="M164" i="5"/>
  <c r="P214" i="5"/>
  <c r="P130" i="5"/>
  <c r="P116" i="5"/>
  <c r="P88" i="5"/>
  <c r="P60" i="5"/>
  <c r="P5" i="5"/>
  <c r="M162" i="5"/>
  <c r="P17" i="5"/>
  <c r="P199" i="5"/>
  <c r="P115" i="5"/>
  <c r="N124" i="5"/>
  <c r="P124" i="5" s="1"/>
  <c r="M122" i="5"/>
  <c r="N208" i="5"/>
  <c r="P208" i="5" s="1"/>
  <c r="P189" i="5"/>
  <c r="P159" i="5"/>
  <c r="M121" i="5"/>
  <c r="P7" i="5"/>
  <c r="P73" i="5"/>
  <c r="P128" i="5"/>
  <c r="P188" i="5"/>
  <c r="N78" i="5"/>
  <c r="M120" i="5"/>
  <c r="N206" i="5"/>
  <c r="P206" i="5" s="1"/>
  <c r="P187" i="5"/>
  <c r="N222" i="5"/>
  <c r="P222" i="5" s="1"/>
  <c r="N205" i="5"/>
  <c r="P205" i="5" s="1"/>
  <c r="M147" i="5"/>
  <c r="N221" i="5"/>
  <c r="P221" i="5" s="1"/>
  <c r="N204" i="5"/>
  <c r="P204" i="5" s="1"/>
  <c r="P75" i="5"/>
  <c r="P203" i="5"/>
  <c r="M83" i="5"/>
  <c r="N83" i="5"/>
  <c r="P83" i="5" s="1"/>
  <c r="N125" i="5"/>
  <c r="M195" i="5"/>
  <c r="N195" i="5"/>
  <c r="M153" i="5"/>
  <c r="N153" i="5"/>
  <c r="M139" i="5"/>
  <c r="N139" i="5"/>
  <c r="P139" i="5" s="1"/>
  <c r="P142" i="5"/>
  <c r="M237" i="5"/>
  <c r="N237" i="5"/>
  <c r="P237" i="5" s="1"/>
  <c r="M167" i="5"/>
  <c r="N167" i="5"/>
  <c r="M111" i="5"/>
  <c r="N111" i="5"/>
  <c r="N223" i="5"/>
  <c r="M209" i="5"/>
  <c r="N209" i="5"/>
  <c r="P209" i="5" s="1"/>
  <c r="M181" i="5"/>
  <c r="N181" i="5"/>
  <c r="P181" i="5" s="1"/>
  <c r="M97" i="5"/>
  <c r="N97" i="5"/>
  <c r="P97" i="5" s="1"/>
  <c r="P223" i="5"/>
  <c r="P167" i="5"/>
  <c r="N235" i="5"/>
  <c r="P194" i="5"/>
  <c r="N52" i="5"/>
  <c r="P123" i="5"/>
  <c r="P67" i="5"/>
  <c r="P11" i="5"/>
  <c r="N233" i="5"/>
  <c r="N151" i="5"/>
  <c r="P151" i="5" s="1"/>
  <c r="N135" i="5"/>
  <c r="P135" i="5" s="1"/>
  <c r="P178" i="5"/>
  <c r="N150" i="5"/>
  <c r="P150" i="5" s="1"/>
  <c r="N134" i="5"/>
  <c r="P134" i="5" s="1"/>
  <c r="M177" i="5"/>
  <c r="P191" i="5"/>
  <c r="P107" i="5"/>
  <c r="P37" i="5"/>
  <c r="N138" i="5"/>
  <c r="P138" i="5" s="1"/>
  <c r="P111" i="5"/>
  <c r="N137" i="5"/>
  <c r="N53" i="5"/>
  <c r="P110" i="5"/>
  <c r="P82" i="5"/>
  <c r="P26" i="5"/>
  <c r="N234" i="5"/>
  <c r="P234" i="5" s="1"/>
  <c r="N152" i="5"/>
  <c r="P152" i="5" s="1"/>
  <c r="N136" i="5"/>
  <c r="P136" i="5" s="1"/>
  <c r="P39" i="5"/>
  <c r="N68" i="5"/>
  <c r="P68" i="5" s="1"/>
  <c r="N51" i="5"/>
  <c r="P51" i="5" s="1"/>
  <c r="P108" i="5"/>
  <c r="P24" i="5"/>
  <c r="N232" i="5"/>
  <c r="N166" i="5"/>
  <c r="P32" i="5"/>
  <c r="P163" i="5"/>
  <c r="P121" i="5"/>
  <c r="P23" i="5"/>
  <c r="P9" i="5"/>
  <c r="N231" i="5"/>
  <c r="N165" i="5"/>
  <c r="P165" i="5" s="1"/>
  <c r="N149" i="5"/>
  <c r="P149" i="5" s="1"/>
  <c r="N133" i="5"/>
  <c r="P133" i="5" s="1"/>
  <c r="N66" i="5"/>
  <c r="P162" i="5"/>
  <c r="P120" i="5"/>
  <c r="P106" i="5"/>
  <c r="P92" i="5"/>
  <c r="P78" i="5"/>
  <c r="P22" i="5"/>
  <c r="N230" i="5"/>
  <c r="N180" i="5"/>
  <c r="P180" i="5" s="1"/>
  <c r="N148" i="5"/>
  <c r="P148" i="5" s="1"/>
  <c r="N132" i="5"/>
  <c r="N82" i="5"/>
  <c r="N65" i="5"/>
  <c r="M194" i="5"/>
  <c r="N54" i="5"/>
  <c r="P125" i="5"/>
  <c r="P54" i="5"/>
  <c r="P122" i="5"/>
  <c r="P52" i="5"/>
  <c r="P175" i="5"/>
  <c r="P161" i="5"/>
  <c r="P119" i="5"/>
  <c r="P105" i="5"/>
  <c r="P91" i="5"/>
  <c r="P77" i="5"/>
  <c r="P49" i="5"/>
  <c r="P35" i="5"/>
  <c r="P21" i="5"/>
  <c r="N179" i="5"/>
  <c r="P179" i="5" s="1"/>
  <c r="N81" i="5"/>
  <c r="P81" i="5" s="1"/>
  <c r="N64" i="5"/>
  <c r="P46" i="5"/>
  <c r="M193" i="5"/>
  <c r="N236" i="5"/>
  <c r="P236" i="5" s="1"/>
  <c r="P18" i="5"/>
  <c r="P193" i="5"/>
  <c r="P109" i="5"/>
  <c r="P25" i="5"/>
  <c r="P164" i="5"/>
  <c r="P10" i="5"/>
  <c r="P174" i="5"/>
  <c r="P160" i="5"/>
  <c r="P132" i="5"/>
  <c r="P118" i="5"/>
  <c r="P104" i="5"/>
  <c r="P90" i="5"/>
  <c r="P76" i="5"/>
  <c r="P62" i="5"/>
  <c r="P48" i="5"/>
  <c r="P34" i="5"/>
  <c r="P20" i="5"/>
  <c r="N178" i="5"/>
  <c r="N96" i="5"/>
  <c r="P96" i="5" s="1"/>
  <c r="N80" i="5"/>
  <c r="P80" i="5" s="1"/>
  <c r="N63" i="5"/>
  <c r="P153" i="5"/>
  <c r="P166" i="5"/>
  <c r="P40" i="5"/>
  <c r="P235" i="5"/>
  <c r="P53" i="5"/>
  <c r="P94" i="5"/>
  <c r="N67" i="5"/>
  <c r="P117" i="5"/>
  <c r="P103" i="5"/>
  <c r="P89" i="5"/>
  <c r="P61" i="5"/>
  <c r="P33" i="5"/>
  <c r="P19" i="5"/>
  <c r="N95" i="5"/>
  <c r="P95" i="5" s="1"/>
  <c r="N79" i="5"/>
  <c r="P79" i="5" s="1"/>
  <c r="P27" i="5"/>
  <c r="P50" i="5"/>
  <c r="P55" i="5"/>
  <c r="M56" i="5"/>
  <c r="M70" i="5"/>
  <c r="M99" i="5"/>
  <c r="P8" i="5"/>
  <c r="M50" i="5"/>
  <c r="M169" i="5"/>
  <c r="M155" i="5"/>
  <c r="M141" i="5"/>
  <c r="M127" i="5"/>
  <c r="M113" i="5"/>
  <c r="M55" i="5"/>
  <c r="P63" i="5"/>
  <c r="M168" i="5"/>
  <c r="M154" i="5"/>
  <c r="M140" i="5"/>
  <c r="M126" i="5"/>
  <c r="M112" i="5"/>
  <c r="M57" i="5"/>
  <c r="M239" i="5"/>
  <c r="M225" i="5"/>
  <c r="M211" i="5"/>
  <c r="M197" i="5"/>
  <c r="M183" i="5"/>
  <c r="N85" i="5"/>
  <c r="P85" i="5" s="1"/>
  <c r="M238" i="5"/>
  <c r="M224" i="5"/>
  <c r="M210" i="5"/>
  <c r="M196" i="5"/>
  <c r="M182" i="5"/>
  <c r="P238" i="5"/>
  <c r="P182" i="5"/>
  <c r="N98" i="5"/>
  <c r="P98" i="5" s="1"/>
  <c r="N84" i="5"/>
  <c r="P84" i="5" s="1"/>
  <c r="N69" i="5"/>
  <c r="P69" i="5" s="1"/>
  <c r="M71" i="5"/>
  <c r="A2" i="1"/>
  <c r="A12" i="1"/>
  <c r="E20" i="1"/>
  <c r="A10" i="1" l="1"/>
  <c r="A11" i="1"/>
  <c r="A8" i="1"/>
  <c r="A9" i="1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E21" i="8"/>
  <c r="E20" i="8"/>
  <c r="E19" i="8"/>
  <c r="E18" i="8"/>
  <c r="E17" i="8"/>
  <c r="E16" i="8"/>
  <c r="E15" i="8"/>
  <c r="E14" i="8"/>
  <c r="A3" i="1" l="1"/>
  <c r="A6" i="1"/>
  <c r="A7" i="1"/>
  <c r="A5" i="1"/>
  <c r="A4" i="1"/>
  <c r="G7" i="1"/>
  <c r="H7" i="1"/>
  <c r="I7" i="1"/>
  <c r="E13" i="8"/>
  <c r="E12" i="8"/>
  <c r="E11" i="8"/>
  <c r="E10" i="8"/>
  <c r="E9" i="8"/>
  <c r="E8" i="8"/>
  <c r="E7" i="8"/>
  <c r="E6" i="8"/>
  <c r="E5" i="8"/>
  <c r="E4" i="8"/>
  <c r="G6" i="1" l="1"/>
  <c r="H6" i="1"/>
  <c r="I6" i="1"/>
  <c r="H5" i="1"/>
  <c r="H4" i="1"/>
  <c r="H3" i="1"/>
  <c r="G3" i="1"/>
  <c r="I5" i="1"/>
  <c r="I4" i="1"/>
  <c r="G4" i="1"/>
  <c r="I3" i="1" l="1"/>
  <c r="G5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<sst xmlns="http://schemas.openxmlformats.org/spreadsheetml/2006/main" count="8850" uniqueCount="291">
  <si>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</si>
  <si>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</si>
  <si>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</si>
  <si>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</si>
  <si>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</si>
  <si>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</si>
  <si>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</si>
  <si>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</si>
  <si>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</si>
  <si>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</si>
  <si>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</si>
  <si>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</si>
  <si>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</si>
  <si>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</si>
  <si>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</si>
  <si>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</si>
  <si>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</si>
  <si>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</si>
  <si>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</si>
  <si>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</si>
  <si>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</si>
  <si>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</si>
  <si>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</si>
  <si>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</si>
  <si>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</si>
  <si>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</si>
  <si>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</si>
  <si>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</si>
  <si>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</si>
  <si>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</si>
  <si>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</si>
  <si>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</si>
  <si>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</si>
  <si>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</si>
  <si>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</si>
  <si>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</si>
  <si>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</si>
  <si>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</si>
  <si>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</si>
  <si>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</si>
  <si>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</si>
  <si>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</si>
  <si>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</si>
  <si>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</si>
  <si>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</si>
  <si>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</si>
  <si>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</si>
  <si>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</si>
  <si>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</si>
  <si>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</si>
  <si>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</si>
  <si>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</si>
  <si>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</si>
  <si>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</si>
  <si>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</si>
  <si>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</si>
  <si>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</si>
  <si>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</si>
  <si>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</si>
  <si>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</si>
  <si>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</si>
  <si>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</si>
  <si>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</si>
  <si>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</si>
  <si>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</si>
  <si>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</si>
  <si>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</si>
  <si>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</si>
  <si>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</si>
  <si>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</si>
  <si>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</si>
  <si>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</si>
  <si>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</si>
  <si>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</si>
  <si>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</si>
  <si>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</si>
  <si>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</si>
  <si>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</si>
  <si>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</si>
  <si>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</si>
  <si>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</si>
  <si>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</si>
  <si>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</si>
  <si>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</si>
  <si>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</si>
  <si>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</si>
  <si>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</si>
  <si>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</si>
  <si>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</si>
  <si>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</si>
  <si>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</si>
  <si>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</si>
  <si>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</si>
  <si>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</si>
  <si>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</si>
  <si>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</si>
  <si>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</si>
  <si>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</si>
  <si>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</si>
  <si>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</si>
  <si>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</si>
  <si>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</si>
  <si>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</si>
  <si>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</si>
  <si>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</si>
  <si>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</si>
  <si>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</si>
  <si>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</si>
  <si>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</si>
  <si>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</si>
  <si>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</si>
  <si>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>PACIFICO</t>
  </si>
  <si>
    <t>CALI</t>
  </si>
  <si>
    <t xml:space="preserve">User 7 </t>
  </si>
  <si>
    <t>NestleP.7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</si>
  <si>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</si>
  <si>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</si>
  <si>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</si>
  <si>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</si>
  <si>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</si>
  <si>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JUMBO</t>
  </si>
  <si>
    <t>JUMBO TITAN</t>
  </si>
  <si>
    <t>COSTA</t>
  </si>
  <si>
    <t>OLIMPICA</t>
  </si>
  <si>
    <t>STO 039 CHIQUINQUIRA</t>
  </si>
  <si>
    <t xml:space="preserve">User 5 </t>
  </si>
  <si>
    <t>NestleP.5</t>
  </si>
  <si>
    <t>CE - SE ENCUENTRA EL MATERIAL POP DE FELIX NUEVAS REFERENCIAS " APLICA DONDE ESTA CODIFICADO"</t>
  </si>
  <si>
    <t xml:space="preserve">User 2 </t>
  </si>
  <si>
    <t>NestleP.2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</si>
  <si>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</si>
  <si>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</si>
  <si>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CARTAGENA</t>
  </si>
  <si>
    <t>CE - SE ENCUENTRA LA REFERENCIA PRO PLAN WET DE SALMON Y/URINARIO</t>
  </si>
  <si>
    <t>CE - EL PDV MANEJA CATEGORIA DE SNACKS? (EN EL VIDEO DEBE QUEDAR LA VISUAL DE LAS MARCAS DE PURINA PRESENTES EN EL PDV)</t>
  </si>
  <si>
    <t>42612</t>
  </si>
  <si>
    <t>42612-ALKOSTO AVENIDA 68</t>
  </si>
  <si>
    <t>CT - CONOCE EL PRECIO DE LA PAQUETERIA (DOG CHOW 350G / 475G; CAT CHOW 200G? (Si el mercaderista informa que el PDV no lo permite implementar quedaria como N/A)</t>
  </si>
  <si>
    <t>ANTIOQUIA</t>
  </si>
  <si>
    <t>MEDELLIN</t>
  </si>
  <si>
    <t>Mercadeo</t>
  </si>
  <si>
    <t xml:space="preserve">User 11 </t>
  </si>
  <si>
    <t>NestleP.11</t>
  </si>
  <si>
    <t>CARULLA</t>
  </si>
  <si>
    <t>338 CARULLA OVIEDO</t>
  </si>
  <si>
    <t>CARULLA OVIEDO</t>
  </si>
  <si>
    <t>BARRANQUILLA</t>
  </si>
  <si>
    <t>EL LINEAL SE ENCUENTRA LIMPIO Y ORGANIZADO (EVIDENCIA POLVO O TIERRA EN EL PRODUCTO Y/O LINEAL)</t>
  </si>
  <si>
    <t>LOS PRODUCTOS TIENEN EL PRECIO Y ESTAN ACORDE O CORRESPONDIENTE A CADA REFERENCIA (REVISAR LA FECHA DE IMPRESIÓN DEL PRECIO)</t>
  </si>
  <si>
    <t>CUAL ES LA ESTRATEGIA DE EXHIBICIÓN PARA LAS MARCAS MAINSTRAIN (ALPO Y GATSY) DE PURINA Y PORQUE?</t>
  </si>
  <si>
    <t>CM - TIENE ACTIVIDADES DE PLAN PEGA EN EL PDV?</t>
  </si>
  <si>
    <t>CM - DESCRIBA CUALES ACTIVIDADES DE PLAN PEGA TIENE EL PDV</t>
  </si>
  <si>
    <t>CM - TIENE CODIFICADAS LAS DOS NUEVAS REFERENCIAS FELIZ MULTIPROTEINA Y CUENTA CON EL POP CORRESPONDIENTE?</t>
  </si>
  <si>
    <t>CT - CONOCE LAS INNOVACIONES  ALTA PROTEINA?</t>
  </si>
  <si>
    <t>447964</t>
  </si>
  <si>
    <t>447964-MAKRO BARRANQUILLA</t>
  </si>
  <si>
    <t>GESTION AUDITORIA - DICIEMBRE 2025</t>
  </si>
  <si>
    <t>13/12/2025 09:19:46</t>
  </si>
  <si>
    <t>13/12/2025 09:19:50</t>
  </si>
  <si>
    <t>13/12/2025 12:14:10</t>
  </si>
  <si>
    <t>29572594</t>
  </si>
  <si>
    <t>13/12/2025 12:14:17</t>
  </si>
  <si>
    <t>13/12/2025 12:14:56</t>
  </si>
  <si>
    <t>13/12/2025 12:14:59</t>
  </si>
  <si>
    <t>13/12/2025 12:15:01</t>
  </si>
  <si>
    <t>13/12/2025 12:15:09</t>
  </si>
  <si>
    <t>13/12/2025 12:15:12</t>
  </si>
  <si>
    <t>13/12/2025 12:15:14</t>
  </si>
  <si>
    <t>13/12/2025 12:15:40</t>
  </si>
  <si>
    <t>13/12/2025 12:15:46</t>
  </si>
  <si>
    <t>13/12/2025 12:15:48</t>
  </si>
  <si>
    <t>13/12/2025 12:15:50</t>
  </si>
  <si>
    <t>13/12/2025 12:15:55</t>
  </si>
  <si>
    <t>13/12/2025 12:15:58</t>
  </si>
  <si>
    <t>13/12/2025 12:29:02</t>
  </si>
  <si>
    <t>13/12/2025 12:29:36</t>
  </si>
  <si>
    <t>13/12/2025 12:29:46</t>
  </si>
  <si>
    <t>13/12/2025 12:30:00</t>
  </si>
  <si>
    <t>13/12/2025 12:30:05</t>
  </si>
  <si>
    <t>13/12/2025 12:30:12</t>
  </si>
  <si>
    <t>13/12/2025 12:30:16</t>
  </si>
  <si>
    <t>13/12/2025 12:30:27</t>
  </si>
  <si>
    <t>13/12/2025 12:30:54</t>
  </si>
  <si>
    <t>13/12/2025 12:31:37</t>
  </si>
  <si>
    <t>13/12/2025 12:32:01</t>
  </si>
  <si>
    <t>13/12/2025 12:32:05</t>
  </si>
  <si>
    <t>AGRO/PSHOP/VET</t>
  </si>
  <si>
    <t>PET SHOP KA</t>
  </si>
  <si>
    <t>424775</t>
  </si>
  <si>
    <t>ZOOMARPETS</t>
  </si>
  <si>
    <t>12/12/2025 00:00:00</t>
  </si>
  <si>
    <t>14/12/2025 22:27:10</t>
  </si>
  <si>
    <t>14/12/2025 22:31:06</t>
  </si>
  <si>
    <t>29574458</t>
  </si>
  <si>
    <t>556280</t>
  </si>
  <si>
    <t>556280-DINASTIA PLAZA DE FLORES</t>
  </si>
  <si>
    <t>16/12/2025 00:00:00</t>
  </si>
  <si>
    <t>16/12/2025 18:40:58</t>
  </si>
  <si>
    <t>16/12/2025 18:42:07</t>
  </si>
  <si>
    <t>29583575</t>
  </si>
  <si>
    <t>Luego de esperar 43 minutos la persona no llego al pdv, se pregunta en el registro de la tienda e indican que no se ha presentado el dia de hoy.</t>
  </si>
  <si>
    <t>355912</t>
  </si>
  <si>
    <t>355912-MERCADOS ALCOSTO ALMENDROS</t>
  </si>
  <si>
    <t>18/12/2025 00:00:00</t>
  </si>
  <si>
    <t>19/12/2025 08:40:39</t>
  </si>
  <si>
    <t>19/12/2025 09:10:57</t>
  </si>
  <si>
    <t>29602428</t>
  </si>
  <si>
    <t xml:space="preserve">El pdv no cuenta con precios ya que tenía agotados, la persona estaba surtiendo y apenas estaba colocando precios </t>
  </si>
  <si>
    <t>19/12/2025 00:00:00</t>
  </si>
  <si>
    <t>19/12/2025 08:57:05</t>
  </si>
  <si>
    <t>19/12/2025 08:59:53</t>
  </si>
  <si>
    <t>29602530</t>
  </si>
  <si>
    <t xml:space="preserve">User 1 </t>
  </si>
  <si>
    <t>NestleP.1</t>
  </si>
  <si>
    <t>355519</t>
  </si>
  <si>
    <t>355519 - MY TIENDA FATIMA</t>
  </si>
  <si>
    <t>19/12/2025 19:56:45</t>
  </si>
  <si>
    <t>19/12/2025 20:05:12</t>
  </si>
  <si>
    <t>29606660</t>
  </si>
  <si>
    <t>152267</t>
  </si>
  <si>
    <t>152267 - AUTOSERVICIO METROWILFO</t>
  </si>
  <si>
    <t>20/12/2025 08:35:21</t>
  </si>
  <si>
    <t>20/12/2025 08:36:06</t>
  </si>
  <si>
    <t>29615126</t>
  </si>
  <si>
    <t xml:space="preserve">Se espera mas de 40 minutos pero no se encuentra personal de purina </t>
  </si>
  <si>
    <t>355954</t>
  </si>
  <si>
    <t>355954-MUNDO MASCOTAS FERIAS</t>
  </si>
  <si>
    <t>20/12/2025 08:38:32</t>
  </si>
  <si>
    <t>20/12/2025 08:40:45</t>
  </si>
  <si>
    <t>29615127</t>
  </si>
  <si>
    <t>424831</t>
  </si>
  <si>
    <t>424831 - MUNDO MASCOTAS CRESPO</t>
  </si>
  <si>
    <t>22/12/2025 00:00:00</t>
  </si>
  <si>
    <t>22/12/2025 09:10:36</t>
  </si>
  <si>
    <t>22/12/2025 09:14:24</t>
  </si>
  <si>
    <t>29620543</t>
  </si>
  <si>
    <t>El pdv no maneja precios de los productos  en pdv</t>
  </si>
  <si>
    <t>111523</t>
  </si>
  <si>
    <t>111523 - AUTOSERVICIO CRESPO</t>
  </si>
  <si>
    <t>22/12/2025 10:19:02</t>
  </si>
  <si>
    <t>22/12/2025 10:23:04</t>
  </si>
  <si>
    <t>29620816</t>
  </si>
  <si>
    <t xml:space="preserve">El pdv presenta unos productos húmedos próximo a vencer el 1 de enero 2026 , ya están reportados </t>
  </si>
  <si>
    <t>NO SE LOGRA REALIZAR LA AUDITORIA, SE ESPERA POR 40 MINUTOS Y EL IMPULSADOR NO SE ENCUENTRA EN EL PDV</t>
  </si>
  <si>
    <t>NO SE LOGRA REALIZAR LA AUDITORIA, SE ESPERA POR 45 MINUTOS APROXIMADAMENTE Y SE PREGUNTA AL ENCARGADO Y MANIFIESTA QUE EL IMPULSADOR NO SE PRESENTÓ AL PDV</t>
  </si>
  <si>
    <t>https://drive.google.com/file/d/1hY_us7N2XYZJKM2QhplbDvK7qkk-qbSu/view?usp=drive_link</t>
  </si>
  <si>
    <t>https://drive.google.com/file/d/1UIKrfKBE2WuFs5WEfD3zqMUQpB-D07aX/view?usp=drive_link</t>
  </si>
  <si>
    <t>https://drive.google.com/file/d/1UpFjZ73fc2AnF8wYKE9gm7iYLlAf3LjD/view?usp=drive_link</t>
  </si>
  <si>
    <t>https://drive.google.com/file/d/19q5vcvn0akOBUqHUIlF59xEEpaZ-MMIF/view?usp=drive_link</t>
  </si>
  <si>
    <t>https://drive.google.com/file/d/1gZuwxf9w5HZ55b4045baT2JISAfnlx05/view?usp=drive_link</t>
  </si>
  <si>
    <t>https://drive.google.com/file/d/1yrHmLfKlLoMfjOvv2Cmx3kF0PSr0qmH8/view?usp=drive_link</t>
  </si>
  <si>
    <t>https://drive.google.com/file/d/1UeR3xv2iCInRAG0_9zm7abEg711-30K4/view?usp=drive_link</t>
  </si>
  <si>
    <t>https://drive.google.com/file/d/1_cmuElcUINvCjilNHTEsuuNoyeX5pcWw/view?usp=drive_link</t>
  </si>
  <si>
    <t>https://drive.google.com/file/d/1R81TOnRG-Zml3h4jHse_tSxSrSJTz9zz/view?usp=drive_link</t>
  </si>
  <si>
    <t>https://drive.google.com/file/d/1fHbxUV0MmUU0NAQbg_jB9W6yOO1e_KLD/view?usp=drive_link</t>
  </si>
  <si>
    <t>https://drive.google.com/file/d/1OWGjUzGWnXXHK-x6fzF5F7Kt7H2HKClX/view?usp=drive_link</t>
  </si>
  <si>
    <t>https://drive.google.com/file/d/1oOkwxQpw9YwYOoL_nswO8kCgNttLDwCu/view?usp=drive_link</t>
  </si>
  <si>
    <t>INFORME AUDITORIA          DICIEMBRE</t>
  </si>
  <si>
    <t>EJE CAFETERO</t>
  </si>
  <si>
    <t>PEREIRA</t>
  </si>
  <si>
    <t>CENTRO EJE</t>
  </si>
  <si>
    <t>435253</t>
  </si>
  <si>
    <t>435253-MERCAYA DE LA 13</t>
  </si>
  <si>
    <t>27/12/2025 11:07:09</t>
  </si>
  <si>
    <t>27/12/2025 11:07:19</t>
  </si>
  <si>
    <t>27/12/2025 11:18:34</t>
  </si>
  <si>
    <t>29672686</t>
  </si>
  <si>
    <t>27/12/2025 11:20:03</t>
  </si>
  <si>
    <t>27/12/2025 11:20:05</t>
  </si>
  <si>
    <t>27/12/2025 11:20:09</t>
  </si>
  <si>
    <t>27/12/2025 11:20:13</t>
  </si>
  <si>
    <t>27/12/2025 11:20:18</t>
  </si>
  <si>
    <t>27/12/2025 11:20:21</t>
  </si>
  <si>
    <t>27/12/2025 11:20:23</t>
  </si>
  <si>
    <t>27/12/2025 11:20:25</t>
  </si>
  <si>
    <t>27/12/2025 11:20:26</t>
  </si>
  <si>
    <t>27/12/2025 11:20:29</t>
  </si>
  <si>
    <t>27/12/2025 11:20:32</t>
  </si>
  <si>
    <t>27/12/2025 11:25:06</t>
  </si>
  <si>
    <t>27/12/2025 11:25:17</t>
  </si>
  <si>
    <t>27/12/2025 11:25:35</t>
  </si>
  <si>
    <t>27/12/2025 11:25:52</t>
  </si>
  <si>
    <t>27/12/2025 11:26:07</t>
  </si>
  <si>
    <t>27/12/2025 11:26:38</t>
  </si>
  <si>
    <t>27/12/2025 11:27:07</t>
  </si>
  <si>
    <t>27/12/2025 11:27:23</t>
  </si>
  <si>
    <t>27/12/2025 11:27:31</t>
  </si>
  <si>
    <t>27/12/2025 11:27:52</t>
  </si>
  <si>
    <t>27/12/2025 11:28:26</t>
  </si>
  <si>
    <t>27/12/2025 11:28:28</t>
  </si>
  <si>
    <t>https://drive.google.com/file/d/1ruVL9eicUt73s0YHaprk74ek7a5I5uiJ/view?usp=drive_link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</si>
</sst>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9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17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/>
    <xf numFmtId="0" fontId="17" fillId="0" borderId="1" xfId="1" applyFont="1" applyBorder="1" applyAlignment="1">
      <alignment horizontal="left" vertical="center"/>
    </xf>
    <xf numFmtId="14" fontId="0" fillId="0" borderId="9" xfId="0" applyNumberFormat="1" applyBorder="1"/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 applyAlignment="1"/>
    <xf numFmtId="14" fontId="0" fillId="0" borderId="9" xfId="0" applyNumberFormat="1" applyFill="1" applyBorder="1" applyAlignment="1"/>
    <xf numFmtId="0" fontId="0" fillId="0" borderId="0" xfId="0" applyNumberFormat="1" applyFill="1"/>
    <xf numFmtId="22" fontId="0" fillId="0" borderId="0" xfId="0" applyNumberFormat="1" applyFill="1"/>
    <xf numFmtId="0" fontId="0" fillId="0" borderId="0" xfId="0" applyNumberFormat="1"/>
    <xf numFmtId="0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4" fontId="0" fillId="0" borderId="0" xfId="0" applyNumberFormat="1" applyFont="1" applyFill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9" fillId="6" borderId="0" xfId="0" applyNumberFormat="1" applyFont="1" applyFill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747"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746"/>
      <tableStyleElement type="totalRow" dxfId="745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Diciembre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0.875</c:v>
                </c:pt>
                <c:pt idx="2">
                  <c:v>0.9375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0.9375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B-4D23-97D1-BA8AE6339CBE}"/>
            </c:ext>
          </c:extLst>
        </c:ser>
        <c:ser>
          <c:idx val="2"/>
          <c:order val="2"/>
          <c:tx>
            <c:strRef>
              <c:f>INFORME!$G$16:$G$17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INFORME!$G$18:$G$22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0.95833333333333337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8B-4D23-97D1-BA8AE6339C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Diciembre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0.9285714285714286</c:v>
                </c:pt>
                <c:pt idx="2">
                  <c:v>0.875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E6-4113-A500-316ABFF3E9B8}"/>
            </c:ext>
          </c:extLst>
        </c:ser>
        <c:ser>
          <c:idx val="2"/>
          <c:order val="2"/>
          <c:tx>
            <c:strRef>
              <c:f>INFORME!$G$26:$G$27</c:f>
              <c:strCache>
                <c:ptCount val="1"/>
                <c:pt idx="0">
                  <c:v>CARTAGENA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INFORME!$G$28:$G$32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E6-4113-A500-316ABFF3E9B8}"/>
            </c:ext>
          </c:extLst>
        </c:ser>
        <c:ser>
          <c:idx val="3"/>
          <c:order val="3"/>
          <c:tx>
            <c:strRef>
              <c:f>INFORME!$H$26:$H$27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INFORME!$H$28:$H$32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0.875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6-4113-A500-316ABFF3E9B8}"/>
            </c:ext>
          </c:extLst>
        </c:ser>
        <c:ser>
          <c:idx val="4"/>
          <c:order val="4"/>
          <c:tx>
            <c:strRef>
              <c:f>INFORME!$I$26:$I$27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INFORME!$I$28:$I$32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E6-4113-A500-316ABFF3E9B8}"/>
            </c:ext>
          </c:extLst>
        </c:ser>
        <c:ser>
          <c:idx val="5"/>
          <c:order val="5"/>
          <c:tx>
            <c:strRef>
              <c:f>INFORME!$J$26:$J$27</c:f>
              <c:strCache>
                <c:ptCount val="1"/>
                <c:pt idx="0">
                  <c:v>PEREIRA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ACTIVIDADES DEL MES</c:v>
                </c:pt>
                <c:pt idx="2">
                  <c:v>EJECUCIÓN DEL PDV</c:v>
                </c:pt>
                <c:pt idx="3">
                  <c:v>HORARIO</c:v>
                </c:pt>
              </c:strCache>
            </c:strRef>
          </c:cat>
          <c:val>
            <c:numRef>
              <c:f>INFORME!$J$28:$J$32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E6-4113-A500-316ABFF3E9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72495</xdr:rowOff>
    </xdr:from>
    <xdr:to>
      <xdr:col>0</xdr:col>
      <xdr:colOff>2301875</xdr:colOff>
      <xdr:row>18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154782</xdr:colOff>
      <xdr:row>19</xdr:row>
      <xdr:rowOff>55368</xdr:rowOff>
    </xdr:from>
    <xdr:to>
      <xdr:col>0</xdr:col>
      <xdr:colOff>2298945</xdr:colOff>
      <xdr:row>36</xdr:row>
      <xdr:rowOff>115093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2" y="3603431"/>
              <a:ext cx="2144163" cy="3052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027.444840162039" createdVersion="8" refreshedVersion="8" minRefreshableVersion="3" recordCount="11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ARRANQUILLA"/>
        <s v="BOGOTA"/>
        <s v="CALI"/>
        <s v="CARTAGENA"/>
        <s v="MEDELLIN"/>
        <s v="PEREIRA"/>
        <s v="ENVIGADO" u="1"/>
        <m u="1"/>
        <s v="ARMENIA (QUINDIO)" u="1"/>
        <s v="CHIA" u="1"/>
        <s v="BUCARAMANGA" u="1"/>
        <s v="ITAGUI" u="1"/>
        <s v="PALMIRA" u="1"/>
        <s v="BELLO" u="1"/>
        <s v="SOACHA" u="1"/>
      </sharedItems>
    </cacheField>
    <cacheField name="CODIGO PDV" numFmtId="0">
      <sharedItems containsSemiMixedTypes="0" containsString="0" containsNumber="1" containsInteger="1" minValue="42612" maxValue="556280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027.472671412041" createdVersion="8" refreshedVersion="8" minRefreshableVersion="3" recordCount="238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2">
        <s v="BARRANQUILLA"/>
        <s v="BOGOTA"/>
        <s v="CARTAGENA"/>
        <s v="MEDELLIN"/>
        <s v="PEREIRA"/>
        <s v="CALI"/>
        <s v="ENVIGADO" u="1"/>
        <s v="CHIA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MODERNO"/>
        <s v="ESPECIALIZADO"/>
        <s v="TRADICIONAL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42612" maxValue="556280"/>
    </cacheField>
    <cacheField name="NOMBRE COMERCIAL" numFmtId="0">
      <sharedItems containsBlank="1" count="144">
        <s v="447964-MAKRO BARRANQUILLA"/>
        <s v="355954-MUNDO MASCOTAS FERIAS"/>
        <s v="424831 - MUNDO MASCOTAS CRESPO"/>
        <s v="355519 - MY TIENDA FATIMA"/>
        <s v="152267 - AUTOSERVICIO METROWILFO"/>
        <s v="111523 - AUTOSERVICIO CRESPO"/>
        <s v="435253-MERCAYA DE LA 13"/>
        <s v="ZOOMARPETS"/>
        <s v="556280-DINASTIA PLAZA DE FLORES"/>
        <s v="355912-MERCADOS ALCOSTO ALMENDROS"/>
        <s v="42612-ALKOSTO AVENIDA 68"/>
        <s v="106585-SUPERMERCADOS GALERIAS PLAZA S.A.S." u="1"/>
        <s v="105398-HOMECENTER SAN JUAN" u="1"/>
        <s v="436935-AUTOSERVICIO EL CAMPANAZO" u="1"/>
        <s v="99639-SUPERMERCADO MERKOPOLIS" u="1"/>
        <s v="365463-MEGAPLAZA VILLA MARIA" u="1"/>
        <s v="426071-MASCOCLINICA" u="1"/>
        <s v="410244-AUTOSERVICIO CHAMPION" u="1"/>
        <s v="453160-DIVERPOOL MULTIPLAZA" u="1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555193-SUPERMERCADO EL POLEO" u="1"/>
        <s v="150269-CEBA 73" u="1"/>
        <s v="185063-TIENDA QUINTA DE OESTE" u="1"/>
        <s v="424866-GRANERO PAUL" u="1"/>
        <s v="127057-AHORRAMAX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29572594" maxValue="29672686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NO"/>
        <n v="0" u="1"/>
      </sharedItems>
    </cacheField>
    <cacheField name="CLUSTER" numFmtId="0">
      <sharedItems containsMixedTypes="1" containsNumber="1" containsInteger="1" minValue="0" maxValue="0" count="6">
        <s v="N/A"/>
        <s v="EJECUCIÓN DEL PDV"/>
        <s v="ACTIVIDADES DEL MES"/>
        <s v="HORARIO"/>
        <s v="PRESENTACIÓN PERSONAL"/>
        <n v="0" u="1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MODERNO"/>
    <x v="0"/>
    <n v="447964"/>
    <s v="447964-MAKRO BARRANQUILLA"/>
    <n v="1"/>
    <n v="1"/>
    <n v="1"/>
    <n v="1"/>
    <n v="1"/>
  </r>
  <r>
    <s v="MODERNO"/>
    <x v="1"/>
    <n v="42612"/>
    <s v="42612-ALKOSTO AVENIDA 68"/>
    <n v="1"/>
    <n v="1"/>
    <n v="1"/>
    <n v="1"/>
    <n v="1"/>
  </r>
  <r>
    <s v="TRADICIONAL"/>
    <x v="1"/>
    <n v="152267"/>
    <s v="152267 - AUTOSERVICIO METROWILFO"/>
    <n v="1"/>
    <n v="1"/>
    <n v="1"/>
    <n v="1"/>
    <n v="0"/>
  </r>
  <r>
    <s v="TRADICIONAL"/>
    <x v="1"/>
    <n v="355912"/>
    <s v="355912-MERCADOS ALCOSTO ALMENDROS"/>
    <n v="1"/>
    <n v="1"/>
    <n v="1"/>
    <n v="1"/>
    <n v="1"/>
  </r>
  <r>
    <s v="ESPECIALIZADO"/>
    <x v="1"/>
    <n v="355954"/>
    <s v="355954-MUNDO MASCOTAS FERIAS"/>
    <n v="1"/>
    <n v="1"/>
    <n v="1"/>
    <n v="1"/>
    <n v="1"/>
  </r>
  <r>
    <s v="ESPECIALIZADO"/>
    <x v="2"/>
    <n v="424775"/>
    <s v="ZOOMARPETS"/>
    <n v="1"/>
    <n v="1"/>
    <n v="1"/>
    <n v="1"/>
    <n v="1"/>
  </r>
  <r>
    <s v="TRADICIONAL"/>
    <x v="3"/>
    <n v="111523"/>
    <s v="111523 - AUTOSERVICIO CRESPO"/>
    <n v="1"/>
    <n v="1"/>
    <n v="1"/>
    <n v="1"/>
    <n v="1"/>
  </r>
  <r>
    <s v="ESPECIALIZADO"/>
    <x v="3"/>
    <n v="424831"/>
    <s v="424831 - MUNDO MASCOTAS CRESPO"/>
    <n v="1"/>
    <n v="1"/>
    <n v="1"/>
    <n v="1"/>
    <n v="1"/>
  </r>
  <r>
    <s v="TRADICIONAL"/>
    <x v="4"/>
    <n v="355519"/>
    <s v="355519 - MY TIENDA FATIMA"/>
    <n v="1"/>
    <n v="1"/>
    <n v="1"/>
    <n v="1"/>
    <n v="1"/>
  </r>
  <r>
    <s v="TRADICIONAL"/>
    <x v="4"/>
    <n v="556280"/>
    <s v="556280-DINASTIA PLAZA DE FLORES"/>
    <n v="1"/>
    <n v="1"/>
    <n v="1"/>
    <n v="1"/>
    <n v="0"/>
  </r>
  <r>
    <s v="TRADICIONAL"/>
    <x v="5"/>
    <n v="435253"/>
    <s v="435253-MERCAYA DE LA 13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NESTLE PURINA"/>
    <x v="0"/>
    <x v="0"/>
    <s v="OLIMPICA"/>
    <n v="447964"/>
    <x v="0"/>
    <s v="SE LOGRA REALIZAR LA AUDITORIA?"/>
    <s v="SI"/>
    <m/>
    <n v="29572594"/>
    <s v="NestleP.5"/>
    <x v="0"/>
    <x v="0"/>
    <n v="0"/>
    <n v="0"/>
    <n v="0"/>
    <n v="0"/>
    <m/>
  </r>
  <r>
    <s v="NESTLE PURINA"/>
    <x v="1"/>
    <x v="1"/>
    <s v="JUMBO"/>
    <n v="355954"/>
    <x v="1"/>
    <s v="CUAL ES LA ESTRATEGIA DE EXHIBICIÓN PARA LAS MARCAS MAINSTRAIN (ALPO Y GATSY) DE PURINA Y PORQUE?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CONOCE EL % DE PARTICIPACIÓN QUE TIENE EN EL PUNTO DE VENTA E INFORMA CUAL ES ESE % (REALIZAR EL EJERCICIO DE CONTAR LAS CARAS PARA VALIDAR SI ES CORRECTO)"/>
    <s v="NO"/>
    <m/>
    <n v="29615127"/>
    <s v="NestleP.1"/>
    <x v="0"/>
    <x v="1"/>
    <n v="3.75"/>
    <s v="SI"/>
    <n v="0"/>
    <n v="0"/>
    <m/>
  </r>
  <r>
    <s v="NESTLE PURINA"/>
    <x v="1"/>
    <x v="1"/>
    <s v="JUMBO"/>
    <n v="355954"/>
    <x v="1"/>
    <s v="MANEJA MARCA DE PERROS, GATOS O AMBOS, Y HAY PRESENCIA DE LA COMPETENCIA? (EN EL VIDEO DEBE QUEDAR LA VISUAL DE LAS MARCAS DE LA COMPETENCIA PRESENTES EN EL PDV)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SELECCIONE EL CANAL DEL PDV AUDITADO?"/>
    <s v="ESPECIALIZADO"/>
    <m/>
    <n v="29615127"/>
    <s v="NestleP.1"/>
    <x v="0"/>
    <x v="0"/>
    <n v="0"/>
    <n v="0"/>
    <n v="0"/>
    <n v="0"/>
    <m/>
  </r>
  <r>
    <s v="NESTLE PURINA"/>
    <x v="1"/>
    <x v="1"/>
    <s v="JUMBO"/>
    <n v="355954"/>
    <x v="1"/>
    <s v="CE - SE ENCUENTRA EL MATERIAL POP DE FELIX NUEVAS REFERENCIAS &quot; APLICA DONDE ESTA CODIFICADO&quot;"/>
    <s v="SI"/>
    <m/>
    <n v="29615127"/>
    <s v="NestleP.1"/>
    <x v="0"/>
    <x v="2"/>
    <n v="8"/>
    <s v="SI"/>
    <n v="8"/>
    <n v="0"/>
    <m/>
  </r>
  <r>
    <s v="NESTLE PURINA"/>
    <x v="1"/>
    <x v="1"/>
    <s v="JUMBO"/>
    <n v="355954"/>
    <x v="1"/>
    <s v="CE - SE ENCUENTRA EN EL LINEAL LAS REFERENCIAS 1,5 EN PU Y ADU DE LA MARCA EXCELLENT?"/>
    <s v="SI"/>
    <m/>
    <n v="29615127"/>
    <s v="NestleP.1"/>
    <x v="0"/>
    <x v="2"/>
    <n v="8"/>
    <s v="SI"/>
    <n v="8"/>
    <n v="0"/>
    <m/>
  </r>
  <r>
    <s v="NESTLE PURINA"/>
    <x v="1"/>
    <x v="1"/>
    <s v="JUMBO"/>
    <n v="355954"/>
    <x v="1"/>
    <s v="CE - SE ENCUENTRA LA NUEVA REFERENCIA DE EXCELLENT ESTIRILIZADO DE 1K?"/>
    <s v="SI"/>
    <m/>
    <n v="29615127"/>
    <s v="NestleP.1"/>
    <x v="0"/>
    <x v="2"/>
    <n v="8"/>
    <s v="SI"/>
    <n v="8"/>
    <n v="0"/>
    <m/>
  </r>
  <r>
    <s v="NESTLE PURINA"/>
    <x v="1"/>
    <x v="1"/>
    <s v="JUMBO"/>
    <n v="355954"/>
    <x v="1"/>
    <s v="CE - SE ENCUENTRA LA REFERENCIA PRO PLAN WET DE SALMON Y/URINARIO"/>
    <s v="SI"/>
    <m/>
    <n v="29615127"/>
    <s v="NestleP.1"/>
    <x v="0"/>
    <x v="2"/>
    <n v="8"/>
    <s v="SI"/>
    <n v="8"/>
    <n v="0"/>
    <m/>
  </r>
  <r>
    <s v="NESTLE PURINA"/>
    <x v="1"/>
    <x v="1"/>
    <s v="JUMBO"/>
    <n v="355954"/>
    <x v="1"/>
    <s v="CE - EL PDV MANEJA CATEGORIA DE SNACKS? (EN EL VIDEO DEBE QUEDAR LA VISUAL DE LAS MARCAS DE PURINA PRESENTES EN EL PDV)"/>
    <s v="SI"/>
    <m/>
    <n v="29615127"/>
    <s v="NestleP.1"/>
    <x v="0"/>
    <x v="2"/>
    <n v="8"/>
    <s v="SI"/>
    <n v="8"/>
    <n v="0"/>
    <m/>
  </r>
  <r>
    <s v="NESTLE PURINA"/>
    <x v="1"/>
    <x v="1"/>
    <s v="JUMBO"/>
    <n v="355954"/>
    <x v="1"/>
    <s v="DESEA AÑADIR ALGUNA OBSERVACION / NOVEDAD CON LA AUDITORIA REALIZADA?"/>
    <s v="NO"/>
    <m/>
    <n v="29615127"/>
    <s v="NestleP.1"/>
    <x v="0"/>
    <x v="0"/>
    <n v="0"/>
    <n v="0"/>
    <n v="0"/>
    <n v="0"/>
    <m/>
  </r>
  <r>
    <s v="NESTLE PURINA"/>
    <x v="2"/>
    <x v="1"/>
    <s v="OLIMPICA"/>
    <n v="424831"/>
    <x v="2"/>
    <s v="SE LOGRA REALIZAR LA AUDITORIA?"/>
    <s v="SI"/>
    <m/>
    <n v="29620543"/>
    <s v="NestleP.5"/>
    <x v="0"/>
    <x v="0"/>
    <n v="0"/>
    <n v="0"/>
    <n v="0"/>
    <n v="0"/>
    <m/>
  </r>
  <r>
    <s v="NESTLE PURINA"/>
    <x v="2"/>
    <x v="1"/>
    <s v="OLIMPICA"/>
    <n v="424831"/>
    <x v="2"/>
    <s v="¿CUMPLE HORARIO DE ENTRADA O SALIDA DE LA TIENDA?"/>
    <s v="SI"/>
    <m/>
    <n v="29620543"/>
    <s v="NestleP.5"/>
    <x v="0"/>
    <x v="3"/>
    <n v="20"/>
    <s v="SI"/>
    <n v="20"/>
    <n v="0"/>
    <m/>
  </r>
  <r>
    <s v="NESTLE PURINA"/>
    <x v="2"/>
    <x v="1"/>
    <s v="OLIMPICA"/>
    <n v="424831"/>
    <x v="2"/>
    <s v="CUENTA CON PANTALON DEL UNIFORME SEGÚN EL CARGO (NEGRO / ROJO / TURQUESA / JEAN)"/>
    <s v="SI"/>
    <m/>
    <n v="29620543"/>
    <s v="NestleP.5"/>
    <x v="0"/>
    <x v="4"/>
    <n v="1"/>
    <s v="SI"/>
    <n v="1"/>
    <n v="0"/>
    <m/>
  </r>
  <r>
    <s v="NESTLE PURINA"/>
    <x v="2"/>
    <x v="1"/>
    <s v="OLIMPICA"/>
    <n v="424831"/>
    <x v="2"/>
    <s v="CUENTA CON CAMISA DEL UNIFORME Y LOGOS SEGÚN EL CARGO (NEGRA / GRIS / ROJA / TURQUESA) (ES PERMITIDO USAR DEBAJO DE LA CAMISA BUSO MANGA LARGA NEGRO)"/>
    <s v="SI"/>
    <m/>
    <n v="29620543"/>
    <s v="NestleP.5"/>
    <x v="0"/>
    <x v="4"/>
    <n v="1"/>
    <s v="SI"/>
    <n v="1"/>
    <n v="0"/>
    <m/>
  </r>
  <r>
    <s v="NESTLE PURINA"/>
    <x v="2"/>
    <x v="1"/>
    <s v="OLIMPICA"/>
    <n v="424831"/>
    <x v="2"/>
    <s v="CUENTA CON CALZADO DE ACUERDO AL UNIFORME"/>
    <s v="SI"/>
    <m/>
    <n v="29620543"/>
    <s v="NestleP.5"/>
    <x v="0"/>
    <x v="4"/>
    <n v="1"/>
    <s v="SI"/>
    <n v="1"/>
    <n v="0"/>
    <m/>
  </r>
  <r>
    <s v="NESTLE PURINA"/>
    <x v="2"/>
    <x v="1"/>
    <s v="OLIMPICA"/>
    <n v="424831"/>
    <x v="2"/>
    <s v="POSEE ALGUNA PRENDA ENCIMA DEL UNIFORME NO AUTORIZADA POR LA MARCA (UNICAMENTE ESTA PERMITIDO CHALECO DE SODIMAC Y EASY)"/>
    <s v="NO"/>
    <m/>
    <n v="29620543"/>
    <s v="NestleP.5"/>
    <x v="0"/>
    <x v="4"/>
    <n v="1"/>
    <s v="NO"/>
    <n v="1"/>
    <n v="0"/>
    <m/>
  </r>
  <r>
    <s v="NESTLE PURINA"/>
    <x v="2"/>
    <x v="1"/>
    <s v="OLIMPICA"/>
    <n v="424831"/>
    <x v="2"/>
    <s v="EL UNIFORME Y ZAPATOS SE ENCUENTRAN LIMPIOS Y EN BUEN ESTADO"/>
    <s v="SI"/>
    <m/>
    <n v="29620543"/>
    <s v="NestleP.5"/>
    <x v="0"/>
    <x v="4"/>
    <n v="1"/>
    <s v="SI"/>
    <n v="1"/>
    <n v="0"/>
    <m/>
  </r>
  <r>
    <s v="NESTLE PURINA"/>
    <x v="2"/>
    <x v="1"/>
    <s v="OLIMPICA"/>
    <n v="424831"/>
    <x v="2"/>
    <s v="SU CABELLO LUCE LIMPIO, ORGANIZADO O RECOGIDO"/>
    <s v="SI"/>
    <m/>
    <n v="29620543"/>
    <s v="NestleP.5"/>
    <x v="0"/>
    <x v="4"/>
    <n v="1"/>
    <s v="SI"/>
    <n v="1"/>
    <n v="0"/>
    <m/>
  </r>
  <r>
    <s v="NESTLE PURINA"/>
    <x v="2"/>
    <x v="1"/>
    <s v="OLIMPICA"/>
    <n v="424831"/>
    <x v="2"/>
    <s v="PRESENTA EXCESO DE MAQUILLAJE QUE NO CUMPLE CON EL CODIGO DE VESTIMENTA"/>
    <s v="NO"/>
    <m/>
    <n v="29620543"/>
    <s v="NestleP.5"/>
    <x v="0"/>
    <x v="4"/>
    <n v="1"/>
    <s v="NO"/>
    <n v="1"/>
    <n v="0"/>
    <m/>
  </r>
  <r>
    <s v="NESTLE PURINA"/>
    <x v="2"/>
    <x v="1"/>
    <s v="OLIMPICA"/>
    <n v="424831"/>
    <x v="2"/>
    <s v="TIENE TATUAJES O PIERCINGS VISIBLES QUE NO CUMPLE CON EL CODIGO DE VESTIMENTA"/>
    <s v="NO"/>
    <m/>
    <n v="29620543"/>
    <s v="NestleP.5"/>
    <x v="0"/>
    <x v="4"/>
    <n v="1"/>
    <s v="NO"/>
    <n v="1"/>
    <n v="0"/>
    <m/>
  </r>
  <r>
    <s v="NESTLE PURINA"/>
    <x v="2"/>
    <x v="1"/>
    <s v="OLIMPICA"/>
    <n v="424831"/>
    <x v="2"/>
    <s v="TIENE UÑAS LLAMATIVAS Y/O LARGAS QUE NO CUMPLE CON EL CODIGO DE VESTIMENTA"/>
    <s v="NO"/>
    <m/>
    <n v="29620543"/>
    <s v="NestleP.5"/>
    <x v="0"/>
    <x v="4"/>
    <n v="1"/>
    <s v="NO"/>
    <n v="1"/>
    <n v="0"/>
    <m/>
  </r>
  <r>
    <s v="NESTLE PURINA"/>
    <x v="2"/>
    <x v="1"/>
    <s v="OLIMPICA"/>
    <n v="424831"/>
    <x v="2"/>
    <s v="USA ACCESORIOS QUE NO CUMPLE CON EL CODIGO DE VESTIMENTA"/>
    <s v="NO"/>
    <m/>
    <n v="29620543"/>
    <s v="NestleP.5"/>
    <x v="0"/>
    <x v="4"/>
    <n v="1"/>
    <s v="NO"/>
    <n v="1"/>
    <n v="0"/>
    <m/>
  </r>
  <r>
    <s v="NESTLE PURINA"/>
    <x v="2"/>
    <x v="1"/>
    <s v="OLIMPICA"/>
    <n v="424831"/>
    <x v="2"/>
    <s v="EL LINEAL SE ENCUENTRA LIMPIO Y ORGANIZADO (EVIDENCIA POLVO O TIERRA EN EL PRODUCTO Y/O LINEAL)"/>
    <s v="SI"/>
    <m/>
    <n v="29620543"/>
    <s v="NestleP.5"/>
    <x v="0"/>
    <x v="1"/>
    <n v="3.75"/>
    <s v="SI"/>
    <n v="3.75"/>
    <n v="0"/>
    <m/>
  </r>
  <r>
    <s v="NESTLE PURINA"/>
    <x v="2"/>
    <x v="1"/>
    <s v="OLIMPICA"/>
    <n v="424831"/>
    <x v="2"/>
    <s v="LOS PRODUCTOS TIENEN EL PRECIO Y ESTAN ACORDE O CORRESPONDIENTE A CADA REFERENCIA (REVISAR LA FECHA DE IMPRESIÓN DEL PRECIO)"/>
    <s v="SI"/>
    <m/>
    <n v="29620543"/>
    <s v="NestleP.5"/>
    <x v="0"/>
    <x v="1"/>
    <n v="3.75"/>
    <s v="SI"/>
    <n v="3.75"/>
    <n v="0"/>
    <m/>
  </r>
  <r>
    <s v="NESTLE PURINA"/>
    <x v="2"/>
    <x v="1"/>
    <s v="OLIMPICA"/>
    <n v="424831"/>
    <x v="2"/>
    <s v="LOS PRODUCTOS ESTAN SURTIDOS DE ACUERDO A PEPS O FIFO (REVISAR TANTO PRODUCTO SECO COMO HUMEDO)"/>
    <s v="SI"/>
    <m/>
    <n v="29620543"/>
    <s v="NestleP.5"/>
    <x v="0"/>
    <x v="1"/>
    <n v="3.75"/>
    <s v="SI"/>
    <n v="3.75"/>
    <n v="0"/>
    <m/>
  </r>
  <r>
    <s v="NESTLE PURINA"/>
    <x v="1"/>
    <x v="1"/>
    <s v="JUMBO"/>
    <n v="355954"/>
    <x v="1"/>
    <s v="CONOCE Y TIENE SURTIDO DE ACUERDO A LA ESTRATEGIA DE EXHIBICIÓN (ETAPAS DE VIDA - SEGMENTACIÓN DE MARCAS)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CONOCE LOS INFALTABLES DEL PUNTO DE VENTA Y CUENTA CON EL MATERIAL DE APOYO (AYUDAVENTAS INFALTABLES)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LOS PRODUCTOS ESTAN SURTIDOS DE ACUERDO A PEPS O FIFO (REVISAR TANTO PRODUCTO SECO COMO HUMEDO)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LOS PRODUCTOS TIENEN EL PRECIO Y ESTAN ACORDE O CORRESPONDIENTE A CADA REFERENCIA (REVISAR LA FECHA DE IMPRESIÓN DEL PRECIO)"/>
    <s v="SI"/>
    <m/>
    <n v="29615127"/>
    <s v="NestleP.1"/>
    <x v="0"/>
    <x v="1"/>
    <n v="3.75"/>
    <s v="SI"/>
    <n v="3.75"/>
    <n v="0"/>
    <m/>
  </r>
  <r>
    <s v="NESTLE PURINA"/>
    <x v="3"/>
    <x v="2"/>
    <s v="CARULLA"/>
    <n v="355519"/>
    <x v="3"/>
    <s v="LOS PRODUCTOS ESTAN SURTIDOS DE ACUERDO A PEPS O FIFO (REVISAR TANTO PRODUCTO SECO COMO HUMEDO)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CONOCE LOS INFALTABLES DEL PUNTO DE VENTA Y CUENTA CON EL MATERIAL DE APOYO (AYUDAVENTAS INFALTABLES)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CONOCE Y TIENE SURTIDO DE ACUERDO A LA ESTRATEGIA DE EXHIBICIÓN (ETAPAS DE VIDA - SEGMENTACIÓN DE MARCAS)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CUAL ES LA ESTRATEGIA DE EXHIBICIÓN PARA LAS MARCAS MAINSTRAIN (ALPO Y GATSY) DE PURINA Y PORQUE?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CONOCE EL % DE PARTICIPACIÓN QUE TIENE EN EL PUNTO DE VENTA E INFORMA CUAL ES ESE % (REALIZAR EL EJERCICIO DE CONTAR LAS CARAS PARA VALIDAR SI ES CORRECTO)"/>
    <s v="NO"/>
    <m/>
    <n v="29606660"/>
    <s v="NestleP.11"/>
    <x v="0"/>
    <x v="1"/>
    <n v="3.75"/>
    <s v="SI"/>
    <n v="0"/>
    <n v="0"/>
    <m/>
  </r>
  <r>
    <s v="NESTLE PURINA"/>
    <x v="3"/>
    <x v="2"/>
    <s v="CARULLA"/>
    <n v="355519"/>
    <x v="3"/>
    <s v="MANEJA MARCA DE PERROS, GATOS O AMBOS, Y HAY PRESENCIA DE LA COMPETENCIA? (EN EL VIDEO DEBE QUEDAR LA VISUAL DE LAS MARCAS DE LA COMPETENCIA PRESENTES EN EL PDV)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SELECCIONE EL CANAL DEL PDV AUDITADO?"/>
    <s v="TRADICIONAL"/>
    <m/>
    <n v="29606660"/>
    <s v="NestleP.11"/>
    <x v="0"/>
    <x v="0"/>
    <n v="0"/>
    <n v="0"/>
    <n v="0"/>
    <n v="0"/>
    <m/>
  </r>
  <r>
    <s v="NESTLE PURINA"/>
    <x v="3"/>
    <x v="2"/>
    <s v="CARULLA"/>
    <n v="355519"/>
    <x v="3"/>
    <s v="CT - CONOCE EL PRECIO DE LA PAQUETERIA (DOG CHOW 350G / 475G; CAT CHOW 200G? (Si el mercaderista informa que el PDV no lo permite implementar quedaria como N/A)"/>
    <s v="SI"/>
    <m/>
    <n v="29606660"/>
    <s v="NestleP.11"/>
    <x v="0"/>
    <x v="2"/>
    <n v="20"/>
    <s v="SI"/>
    <n v="20"/>
    <n v="0"/>
    <m/>
  </r>
  <r>
    <s v="NESTLE PURINA"/>
    <x v="3"/>
    <x v="2"/>
    <s v="CARULLA"/>
    <n v="355519"/>
    <x v="3"/>
    <s v="CT - CONOCE LAS INNOVACIONES  ALTA PROTEINA?"/>
    <s v="SI"/>
    <m/>
    <n v="29606660"/>
    <s v="NestleP.11"/>
    <x v="0"/>
    <x v="2"/>
    <n v="20"/>
    <s v="SI"/>
    <n v="20"/>
    <n v="0"/>
    <m/>
  </r>
  <r>
    <s v="NESTLE PURINA"/>
    <x v="3"/>
    <x v="2"/>
    <s v="CARULLA"/>
    <n v="355519"/>
    <x v="3"/>
    <s v="DESEA AÑADIR ALGUNA OBSERVACION / NOVEDAD CON LA AUDITORIA REALIZADA?"/>
    <s v="NO"/>
    <m/>
    <n v="29606660"/>
    <s v="NestleP.11"/>
    <x v="0"/>
    <x v="0"/>
    <n v="0"/>
    <n v="0"/>
    <n v="0"/>
    <n v="0"/>
    <m/>
  </r>
  <r>
    <s v="NESTLE PURINA"/>
    <x v="1"/>
    <x v="2"/>
    <s v="JUMBO"/>
    <n v="152267"/>
    <x v="4"/>
    <s v="SE LOGRA REALIZAR LA AUDITORIA?"/>
    <s v="NO"/>
    <m/>
    <n v="29615126"/>
    <s v="NestleP.1"/>
    <x v="1"/>
    <x v="0"/>
    <n v="0"/>
    <n v="0"/>
    <n v="0"/>
    <n v="0"/>
    <m/>
  </r>
  <r>
    <s v="NESTLE PURINA"/>
    <x v="1"/>
    <x v="2"/>
    <s v="JUMBO"/>
    <n v="152267"/>
    <x v="4"/>
    <s v="DESEA AÑADIR ALGUNA OBSERVACION / NOVEDAD CON LA AUDITORIA REALIZADA?"/>
    <s v="SI"/>
    <m/>
    <n v="29615126"/>
    <s v="NestleP.1"/>
    <x v="1"/>
    <x v="0"/>
    <n v="0"/>
    <n v="0"/>
    <n v="0"/>
    <n v="0"/>
    <m/>
  </r>
  <r>
    <s v="NESTLE PURINA"/>
    <x v="2"/>
    <x v="1"/>
    <s v="OLIMPICA"/>
    <n v="424831"/>
    <x v="2"/>
    <s v="CONOCE LOS INFALTABLES DEL PUNTO DE VENTA Y CUENTA CON EL MATERIAL DE APOYO (AYUDAVENTAS INFALTABLES)"/>
    <s v="SI"/>
    <m/>
    <n v="29620543"/>
    <s v="NestleP.5"/>
    <x v="0"/>
    <x v="1"/>
    <n v="3.75"/>
    <s v="SI"/>
    <n v="3.75"/>
    <n v="0"/>
    <m/>
  </r>
  <r>
    <s v="NESTLE PURINA"/>
    <x v="1"/>
    <x v="2"/>
    <s v="JUMBO"/>
    <n v="152267"/>
    <x v="4"/>
    <s v="INDIQUE OBSERVACIÓN/NOVEDAD"/>
    <s v="Se espera mas de 40 minutos pero no se encuentra personal de purina "/>
    <m/>
    <n v="29615126"/>
    <s v="NestleP.1"/>
    <x v="1"/>
    <x v="0"/>
    <n v="0"/>
    <n v="0"/>
    <n v="0"/>
    <n v="0"/>
    <m/>
  </r>
  <r>
    <s v="NESTLE PURINA"/>
    <x v="1"/>
    <x v="1"/>
    <s v="JUMBO"/>
    <n v="355954"/>
    <x v="1"/>
    <s v="¿CUMPLE HORARIO DE ENTRADA O SALIDA DE LA TIENDA?"/>
    <s v="SI"/>
    <m/>
    <n v="29615127"/>
    <s v="NestleP.1"/>
    <x v="0"/>
    <x v="3"/>
    <n v="20"/>
    <s v="SI"/>
    <n v="20"/>
    <n v="0"/>
    <m/>
  </r>
  <r>
    <s v="NESTLE PURINA"/>
    <x v="1"/>
    <x v="1"/>
    <s v="JUMBO"/>
    <n v="355954"/>
    <x v="1"/>
    <s v="CUENTA CON PANTALON DEL UNIFORME SEGÚN EL CARGO (NEGRO / ROJO / TURQUESA / JEAN)"/>
    <s v="SI"/>
    <m/>
    <n v="29615127"/>
    <s v="NestleP.1"/>
    <x v="0"/>
    <x v="4"/>
    <n v="1"/>
    <s v="SI"/>
    <n v="1"/>
    <n v="0"/>
    <m/>
  </r>
  <r>
    <s v="NESTLE PURINA"/>
    <x v="1"/>
    <x v="1"/>
    <s v="JUMBO"/>
    <n v="355954"/>
    <x v="1"/>
    <s v="CUENTA CON CAMISA DEL UNIFORME Y LOGOS SEGÚN EL CARGO (NEGRA / GRIS / ROJA / TURQUESA) (ES PERMITIDO USAR DEBAJO DE LA CAMISA BUSO MANGA LARGA NEGRO)"/>
    <s v="SI"/>
    <m/>
    <n v="29615127"/>
    <s v="NestleP.1"/>
    <x v="0"/>
    <x v="4"/>
    <n v="1"/>
    <s v="SI"/>
    <n v="1"/>
    <n v="0"/>
    <m/>
  </r>
  <r>
    <s v="NESTLE PURINA"/>
    <x v="1"/>
    <x v="1"/>
    <s v="JUMBO"/>
    <n v="355954"/>
    <x v="1"/>
    <s v="CUENTA CON CALZADO DE ACUERDO AL UNIFORME"/>
    <s v="SI"/>
    <m/>
    <n v="29615127"/>
    <s v="NestleP.1"/>
    <x v="0"/>
    <x v="4"/>
    <n v="1"/>
    <s v="SI"/>
    <n v="1"/>
    <n v="0"/>
    <m/>
  </r>
  <r>
    <s v="NESTLE PURINA"/>
    <x v="1"/>
    <x v="1"/>
    <s v="JUMBO"/>
    <n v="355954"/>
    <x v="1"/>
    <s v="POSEE ALGUNA PRENDA ENCIMA DEL UNIFORME NO AUTORIZADA POR LA MARCA (UNICAMENTE ESTA PERMITIDO CHALECO DE SODIMAC Y EASY)"/>
    <s v="NO"/>
    <m/>
    <n v="29615127"/>
    <s v="NestleP.1"/>
    <x v="0"/>
    <x v="4"/>
    <n v="1"/>
    <s v="NO"/>
    <n v="1"/>
    <n v="0"/>
    <m/>
  </r>
  <r>
    <s v="NESTLE PURINA"/>
    <x v="1"/>
    <x v="1"/>
    <s v="JUMBO"/>
    <n v="355954"/>
    <x v="1"/>
    <s v="EL UNIFORME Y ZAPATOS SE ENCUENTRAN LIMPIOS Y EN BUEN ESTADO"/>
    <s v="SI"/>
    <m/>
    <n v="29615127"/>
    <s v="NestleP.1"/>
    <x v="0"/>
    <x v="4"/>
    <n v="1"/>
    <s v="SI"/>
    <n v="1"/>
    <n v="0"/>
    <m/>
  </r>
  <r>
    <s v="NESTLE PURINA"/>
    <x v="1"/>
    <x v="1"/>
    <s v="JUMBO"/>
    <n v="355954"/>
    <x v="1"/>
    <s v="SU CABELLO LUCE LIMPIO, ORGANIZADO O RECOGIDO"/>
    <s v="SI"/>
    <m/>
    <n v="29615127"/>
    <s v="NestleP.1"/>
    <x v="0"/>
    <x v="4"/>
    <n v="1"/>
    <s v="SI"/>
    <n v="1"/>
    <n v="0"/>
    <m/>
  </r>
  <r>
    <s v="NESTLE PURINA"/>
    <x v="1"/>
    <x v="1"/>
    <s v="JUMBO"/>
    <n v="355954"/>
    <x v="1"/>
    <s v="PRESENTA EXCESO DE MAQUILLAJE QUE NO CUMPLE CON EL CODIGO DE VESTIMENTA"/>
    <s v="NO"/>
    <m/>
    <n v="29615127"/>
    <s v="NestleP.1"/>
    <x v="0"/>
    <x v="4"/>
    <n v="1"/>
    <s v="NO"/>
    <n v="1"/>
    <n v="0"/>
    <m/>
  </r>
  <r>
    <s v="NESTLE PURINA"/>
    <x v="1"/>
    <x v="1"/>
    <s v="JUMBO"/>
    <n v="355954"/>
    <x v="1"/>
    <s v="TIENE TATUAJES O PIERCINGS VISIBLES QUE NO CUMPLE CON EL CODIGO DE VESTIMENTA"/>
    <s v="NO"/>
    <m/>
    <n v="29615127"/>
    <s v="NestleP.1"/>
    <x v="0"/>
    <x v="4"/>
    <n v="1"/>
    <s v="NO"/>
    <n v="1"/>
    <n v="0"/>
    <m/>
  </r>
  <r>
    <s v="NESTLE PURINA"/>
    <x v="1"/>
    <x v="1"/>
    <s v="JUMBO"/>
    <n v="355954"/>
    <x v="1"/>
    <s v="TIENE UÑAS LLAMATIVAS Y/O LARGAS QUE NO CUMPLE CON EL CODIGO DE VESTIMENTA"/>
    <s v="NO"/>
    <m/>
    <n v="29615127"/>
    <s v="NestleP.1"/>
    <x v="0"/>
    <x v="4"/>
    <n v="1"/>
    <s v="NO"/>
    <n v="1"/>
    <n v="0"/>
    <m/>
  </r>
  <r>
    <s v="NESTLE PURINA"/>
    <x v="1"/>
    <x v="1"/>
    <s v="JUMBO"/>
    <n v="355954"/>
    <x v="1"/>
    <s v="USA ACCESORIOS QUE NO CUMPLE CON EL CODIGO DE VESTIMENTA"/>
    <s v="NO"/>
    <m/>
    <n v="29615127"/>
    <s v="NestleP.1"/>
    <x v="0"/>
    <x v="4"/>
    <n v="1"/>
    <s v="NO"/>
    <n v="1"/>
    <n v="0"/>
    <m/>
  </r>
  <r>
    <s v="NESTLE PURINA"/>
    <x v="1"/>
    <x v="1"/>
    <s v="JUMBO"/>
    <n v="355954"/>
    <x v="1"/>
    <s v="EL LINEAL SE ENCUENTRA LIMPIO Y ORGANIZADO (EVIDENCIA POLVO O TIERRA EN EL PRODUCTO Y/O LINEAL)"/>
    <s v="SI"/>
    <m/>
    <n v="29615127"/>
    <s v="NestleP.1"/>
    <x v="0"/>
    <x v="1"/>
    <n v="3.75"/>
    <s v="SI"/>
    <n v="3.75"/>
    <n v="0"/>
    <m/>
  </r>
  <r>
    <s v="NESTLE PURINA"/>
    <x v="1"/>
    <x v="1"/>
    <s v="JUMBO"/>
    <n v="355954"/>
    <x v="1"/>
    <s v="SE LOGRA REALIZAR LA AUDITORIA?"/>
    <s v="SI"/>
    <m/>
    <n v="29615127"/>
    <s v="NestleP.1"/>
    <x v="0"/>
    <x v="0"/>
    <n v="0"/>
    <n v="0"/>
    <n v="0"/>
    <n v="0"/>
    <m/>
  </r>
  <r>
    <s v="NESTLE PURINA"/>
    <x v="2"/>
    <x v="1"/>
    <s v="OLIMPICA"/>
    <n v="424831"/>
    <x v="2"/>
    <s v="CONOCE Y TIENE SURTIDO DE ACUERDO A LA ESTRATEGIA DE EXHIBICIÓN (ETAPAS DE VIDA - SEGMENTACIÓN DE MARCAS)"/>
    <s v="SI"/>
    <m/>
    <n v="29620543"/>
    <s v="NestleP.5"/>
    <x v="0"/>
    <x v="1"/>
    <n v="3.75"/>
    <s v="SI"/>
    <n v="3.75"/>
    <n v="0"/>
    <m/>
  </r>
  <r>
    <s v="NESTLE PURINA"/>
    <x v="2"/>
    <x v="1"/>
    <s v="OLIMPICA"/>
    <n v="424831"/>
    <x v="2"/>
    <s v="CUAL ES LA ESTRATEGIA DE EXHIBICIÓN PARA LAS MARCAS MAINSTRAIN (ALPO Y GATSY) DE PURINA Y PORQUE?"/>
    <s v="SI"/>
    <m/>
    <n v="29620543"/>
    <s v="NestleP.5"/>
    <x v="0"/>
    <x v="1"/>
    <n v="3.75"/>
    <s v="SI"/>
    <n v="3.75"/>
    <n v="0"/>
    <m/>
  </r>
  <r>
    <s v="NESTLE PURINA"/>
    <x v="2"/>
    <x v="1"/>
    <s v="OLIMPICA"/>
    <n v="424831"/>
    <x v="2"/>
    <s v="CONOCE EL % DE PARTICIPACIÓN QUE TIENE EN EL PUNTO DE VENTA E INFORMA CUAL ES ESE % (REALIZAR EL EJERCICIO DE CONTAR LAS CARAS PARA VALIDAR SI ES CORRECTO)"/>
    <s v="SI"/>
    <m/>
    <n v="29620543"/>
    <s v="NestleP.5"/>
    <x v="0"/>
    <x v="1"/>
    <n v="3.75"/>
    <s v="SI"/>
    <n v="3.75"/>
    <n v="0"/>
    <m/>
  </r>
  <r>
    <s v="NESTLE PURINA"/>
    <x v="2"/>
    <x v="2"/>
    <s v="OLIMPICA"/>
    <n v="111523"/>
    <x v="5"/>
    <s v="CT - CONOCE EL PRECIO DE LA PAQUETERIA (DOG CHOW 350G / 475G; CAT CHOW 200G? (Si el mercaderista informa que el PDV no lo permite implementar quedaria como N/A)"/>
    <s v="SI"/>
    <m/>
    <n v="29620816"/>
    <s v="NestleP.5"/>
    <x v="0"/>
    <x v="2"/>
    <n v="20"/>
    <s v="SI"/>
    <n v="20"/>
    <n v="0"/>
    <m/>
  </r>
  <r>
    <s v="NESTLE PURINA"/>
    <x v="2"/>
    <x v="2"/>
    <s v="OLIMPICA"/>
    <n v="111523"/>
    <x v="5"/>
    <s v="CT - CONOCE LAS INNOVACIONES  ALTA PROTEINA?"/>
    <s v="SI"/>
    <m/>
    <n v="29620816"/>
    <s v="NestleP.5"/>
    <x v="0"/>
    <x v="2"/>
    <n v="20"/>
    <s v="SI"/>
    <n v="20"/>
    <n v="0"/>
    <m/>
  </r>
  <r>
    <s v="NESTLE PURINA"/>
    <x v="2"/>
    <x v="2"/>
    <s v="OLIMPICA"/>
    <n v="111523"/>
    <x v="5"/>
    <s v="DESEA AÑADIR ALGUNA OBSERVACION / NOVEDAD CON LA AUDITORIA REALIZADA?"/>
    <s v="SI"/>
    <m/>
    <n v="29620816"/>
    <s v="NestleP.5"/>
    <x v="0"/>
    <x v="0"/>
    <n v="0"/>
    <n v="0"/>
    <n v="0"/>
    <n v="0"/>
    <m/>
  </r>
  <r>
    <s v="NESTLE PURINA"/>
    <x v="2"/>
    <x v="2"/>
    <s v="OLIMPICA"/>
    <n v="111523"/>
    <x v="5"/>
    <s v="INDIQUE OBSERVACIÓN/NOVEDAD"/>
    <s v="El pdv presenta unos productos húmedos próximo a vencer el 1 de enero 2026 , ya están reportados "/>
    <m/>
    <n v="29620816"/>
    <s v="NestleP.5"/>
    <x v="0"/>
    <x v="0"/>
    <n v="0"/>
    <n v="0"/>
    <n v="0"/>
    <n v="0"/>
    <m/>
  </r>
  <r>
    <s v="NESTLE PURINA"/>
    <x v="4"/>
    <x v="2"/>
    <s v="JUMBO"/>
    <n v="435253"/>
    <x v="6"/>
    <s v="SE LOGRA REALIZAR LA AUDITORIA?"/>
    <s v="SI"/>
    <m/>
    <n v="29672686"/>
    <s v="NestleP.1"/>
    <x v="0"/>
    <x v="0"/>
    <n v="0"/>
    <n v="0"/>
    <n v="0"/>
    <n v="0"/>
    <m/>
  </r>
  <r>
    <s v="NESTLE PURINA"/>
    <x v="4"/>
    <x v="2"/>
    <s v="JUMBO"/>
    <n v="435253"/>
    <x v="6"/>
    <s v="¿CUMPLE HORARIO DE ENTRADA O SALIDA DE LA TIENDA?"/>
    <s v="SI"/>
    <m/>
    <n v="29672686"/>
    <s v="NestleP.1"/>
    <x v="0"/>
    <x v="3"/>
    <n v="20"/>
    <s v="SI"/>
    <n v="20"/>
    <n v="0"/>
    <m/>
  </r>
  <r>
    <s v="NESTLE PURINA"/>
    <x v="4"/>
    <x v="2"/>
    <s v="JUMBO"/>
    <n v="435253"/>
    <x v="6"/>
    <s v="CUENTA CON PANTALON DEL UNIFORME SEGÚN EL CARGO (NEGRO / ROJO / TURQUESA / JEAN)"/>
    <s v="SI"/>
    <m/>
    <n v="29672686"/>
    <s v="NestleP.1"/>
    <x v="0"/>
    <x v="4"/>
    <n v="1"/>
    <s v="SI"/>
    <n v="1"/>
    <n v="0"/>
    <m/>
  </r>
  <r>
    <s v="NESTLE PURINA"/>
    <x v="4"/>
    <x v="2"/>
    <s v="JUMBO"/>
    <n v="435253"/>
    <x v="6"/>
    <s v="CUENTA CON CAMISA DEL UNIFORME Y LOGOS SEGÚN EL CARGO (NEGRA / GRIS / ROJA / TURQUESA) (ES PERMITIDO USAR DEBAJO DE LA CAMISA BUSO MANGA LARGA NEGRO)"/>
    <s v="SI"/>
    <m/>
    <n v="29672686"/>
    <s v="NestleP.1"/>
    <x v="0"/>
    <x v="4"/>
    <n v="1"/>
    <s v="SI"/>
    <n v="1"/>
    <n v="0"/>
    <m/>
  </r>
  <r>
    <s v="NESTLE PURINA"/>
    <x v="4"/>
    <x v="2"/>
    <s v="JUMBO"/>
    <n v="435253"/>
    <x v="6"/>
    <s v="CUENTA CON CALZADO DE ACUERDO AL UNIFORME"/>
    <s v="SI"/>
    <m/>
    <n v="29672686"/>
    <s v="NestleP.1"/>
    <x v="0"/>
    <x v="4"/>
    <n v="1"/>
    <s v="SI"/>
    <n v="1"/>
    <n v="0"/>
    <m/>
  </r>
  <r>
    <s v="NESTLE PURINA"/>
    <x v="4"/>
    <x v="2"/>
    <s v="JUMBO"/>
    <n v="435253"/>
    <x v="6"/>
    <s v="POSEE ALGUNA PRENDA ENCIMA DEL UNIFORME NO AUTORIZADA POR LA MARCA (UNICAMENTE ESTA PERMITIDO CHALECO DE SODIMAC Y EASY)"/>
    <s v="NO"/>
    <m/>
    <n v="29672686"/>
    <s v="NestleP.1"/>
    <x v="0"/>
    <x v="4"/>
    <n v="1"/>
    <s v="NO"/>
    <n v="1"/>
    <n v="0"/>
    <m/>
  </r>
  <r>
    <s v="NESTLE PURINA"/>
    <x v="4"/>
    <x v="2"/>
    <s v="JUMBO"/>
    <n v="435253"/>
    <x v="6"/>
    <s v="EL UNIFORME Y ZAPATOS SE ENCUENTRAN LIMPIOS Y EN BUEN ESTADO"/>
    <s v="SI"/>
    <m/>
    <n v="29672686"/>
    <s v="NestleP.1"/>
    <x v="0"/>
    <x v="4"/>
    <n v="1"/>
    <s v="SI"/>
    <n v="1"/>
    <n v="0"/>
    <m/>
  </r>
  <r>
    <s v="NESTLE PURINA"/>
    <x v="4"/>
    <x v="2"/>
    <s v="JUMBO"/>
    <n v="435253"/>
    <x v="6"/>
    <s v="SU CABELLO LUCE LIMPIO, ORGANIZADO O RECOGIDO"/>
    <s v="SI"/>
    <m/>
    <n v="29672686"/>
    <s v="NestleP.1"/>
    <x v="0"/>
    <x v="4"/>
    <n v="1"/>
    <s v="SI"/>
    <n v="1"/>
    <n v="0"/>
    <m/>
  </r>
  <r>
    <s v="NESTLE PURINA"/>
    <x v="2"/>
    <x v="2"/>
    <s v="OLIMPICA"/>
    <n v="111523"/>
    <x v="5"/>
    <s v="SELECCIONE EL CANAL DEL PDV AUDITADO?"/>
    <s v="TRADICIONAL"/>
    <m/>
    <n v="29620816"/>
    <s v="NestleP.5"/>
    <x v="0"/>
    <x v="0"/>
    <n v="0"/>
    <n v="0"/>
    <n v="0"/>
    <n v="0"/>
    <m/>
  </r>
  <r>
    <s v="NESTLE PURINA"/>
    <x v="4"/>
    <x v="2"/>
    <s v="JUMBO"/>
    <n v="435253"/>
    <x v="6"/>
    <s v="PRESENTA EXCESO DE MAQUILLAJE QUE NO CUMPLE CON EL CODIGO DE VESTIMENTA"/>
    <s v="NO"/>
    <m/>
    <n v="29672686"/>
    <s v="NestleP.1"/>
    <x v="0"/>
    <x v="4"/>
    <n v="1"/>
    <s v="NO"/>
    <n v="1"/>
    <n v="0"/>
    <m/>
  </r>
  <r>
    <s v="NESTLE PURINA"/>
    <x v="4"/>
    <x v="2"/>
    <s v="JUMBO"/>
    <n v="435253"/>
    <x v="6"/>
    <s v="TIENE UÑAS LLAMATIVAS Y/O LARGAS QUE NO CUMPLE CON EL CODIGO DE VESTIMENTA"/>
    <s v="NO"/>
    <m/>
    <n v="29672686"/>
    <s v="NestleP.1"/>
    <x v="0"/>
    <x v="4"/>
    <n v="1"/>
    <s v="NO"/>
    <n v="1"/>
    <n v="0"/>
    <m/>
  </r>
  <r>
    <s v="NESTLE PURINA"/>
    <x v="4"/>
    <x v="2"/>
    <s v="JUMBO"/>
    <n v="435253"/>
    <x v="6"/>
    <s v="USA ACCESORIOS QUE NO CUMPLE CON EL CODIGO DE VESTIMENTA"/>
    <s v="NO"/>
    <m/>
    <n v="29672686"/>
    <s v="NestleP.1"/>
    <x v="0"/>
    <x v="4"/>
    <n v="1"/>
    <s v="NO"/>
    <n v="1"/>
    <n v="0"/>
    <m/>
  </r>
  <r>
    <s v="NESTLE PURINA"/>
    <x v="4"/>
    <x v="2"/>
    <s v="JUMBO"/>
    <n v="435253"/>
    <x v="6"/>
    <s v="EL LINEAL SE ENCUENTRA LIMPIO Y ORGANIZADO (EVIDENCIA POLVO O TIERRA EN EL PRODUCTO Y/O LINEAL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LOS PRODUCTOS TIENEN EL PRECIO Y ESTAN ACORDE O CORRESPONDIENTE A CADA REFERENCIA (REVISAR LA FECHA DE IMPRESIÓN DEL PRECIO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LOS PRODUCTOS ESTAN SURTIDOS DE ACUERDO A PEPS O FIFO (REVISAR TANTO PRODUCTO SECO COMO HUMEDO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CONOCE LOS INFALTABLES DEL PUNTO DE VENTA Y CUENTA CON EL MATERIAL DE APOYO (AYUDAVENTAS INFALTABLES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CONOCE Y TIENE SURTIDO DE ACUERDO A LA ESTRATEGIA DE EXHIBICIÓN (ETAPAS DE VIDA - SEGMENTACIÓN DE MARCAS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CUAL ES LA ESTRATEGIA DE EXHIBICIÓN PARA LAS MARCAS MAINSTRAIN (ALPO Y GATSY) DE PURINA Y PORQUE?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CONOCE EL % DE PARTICIPACIÓN QUE TIENE EN EL PUNTO DE VENTA E INFORMA CUAL ES ESE % (REALIZAR EL EJERCICIO DE CONTAR LAS CARAS PARA VALIDAR SI ES CORRECTO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MANEJA MARCA DE PERROS, GATOS O AMBOS, Y HAY PRESENCIA DE LA COMPETENCIA? (EN EL VIDEO DEBE QUEDAR LA VISUAL DE LAS MARCAS DE LA COMPETENCIA PRESENTES EN EL PDV)"/>
    <s v="SI"/>
    <m/>
    <n v="29672686"/>
    <s v="NestleP.1"/>
    <x v="0"/>
    <x v="1"/>
    <n v="3.75"/>
    <s v="SI"/>
    <n v="3.75"/>
    <n v="0"/>
    <m/>
  </r>
  <r>
    <s v="NESTLE PURINA"/>
    <x v="4"/>
    <x v="2"/>
    <s v="JUMBO"/>
    <n v="435253"/>
    <x v="6"/>
    <s v="SELECCIONE EL CANAL DEL PDV AUDITADO?"/>
    <s v="TRADICIONAL"/>
    <m/>
    <n v="29672686"/>
    <s v="NestleP.1"/>
    <x v="0"/>
    <x v="0"/>
    <n v="0"/>
    <n v="0"/>
    <n v="0"/>
    <n v="0"/>
    <m/>
  </r>
  <r>
    <s v="NESTLE PURINA"/>
    <x v="4"/>
    <x v="2"/>
    <s v="JUMBO"/>
    <n v="435253"/>
    <x v="6"/>
    <s v="CT - CONOCE EL PRECIO DE LA PAQUETERIA (DOG CHOW 350G / 475G; CAT CHOW 200G? (Si el mercaderista informa que el PDV no lo permite implementar quedaria como N/A)"/>
    <s v="SI"/>
    <m/>
    <n v="29672686"/>
    <s v="NestleP.1"/>
    <x v="0"/>
    <x v="2"/>
    <n v="20"/>
    <s v="SI"/>
    <n v="20"/>
    <n v="0"/>
    <m/>
  </r>
  <r>
    <s v="NESTLE PURINA"/>
    <x v="4"/>
    <x v="2"/>
    <s v="JUMBO"/>
    <n v="435253"/>
    <x v="6"/>
    <s v="TIENE TATUAJES O PIERCINGS VISIBLES QUE NO CUMPLE CON EL CODIGO DE VESTIMENTA"/>
    <s v="NO"/>
    <m/>
    <n v="29672686"/>
    <s v="NestleP.1"/>
    <x v="0"/>
    <x v="4"/>
    <n v="1"/>
    <s v="NO"/>
    <n v="1"/>
    <n v="0"/>
    <m/>
  </r>
  <r>
    <s v="NESTLE PURINA"/>
    <x v="3"/>
    <x v="2"/>
    <s v="CARULLA"/>
    <n v="355519"/>
    <x v="3"/>
    <s v="LOS PRODUCTOS TIENEN EL PRECIO Y ESTAN ACORDE O CORRESPONDIENTE A CADA REFERENCIA (REVISAR LA FECHA DE IMPRESIÓN DEL PRECIO)"/>
    <s v="SI"/>
    <m/>
    <n v="29606660"/>
    <s v="NestleP.11"/>
    <x v="0"/>
    <x v="1"/>
    <n v="3.75"/>
    <s v="SI"/>
    <n v="3.75"/>
    <n v="0"/>
    <m/>
  </r>
  <r>
    <s v="NESTLE PURINA"/>
    <x v="2"/>
    <x v="2"/>
    <s v="OLIMPICA"/>
    <n v="111523"/>
    <x v="5"/>
    <s v="MANEJA MARCA DE PERROS, GATOS O AMBOS, Y HAY PRESENCIA DE LA COMPETENCIA? (EN EL VIDEO DEBE QUEDAR LA VISUAL DE LAS MARCAS DE LA COMPETENCIA PRESENTES EN EL PDV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CUAL ES LA ESTRATEGIA DE EXHIBICIÓN PARA LAS MARCAS MAINSTRAIN (ALPO Y GATSY) DE PURINA Y PORQUE?"/>
    <s v="SI"/>
    <m/>
    <n v="29620816"/>
    <s v="NestleP.5"/>
    <x v="0"/>
    <x v="1"/>
    <n v="3.75"/>
    <s v="SI"/>
    <n v="3.75"/>
    <n v="0"/>
    <m/>
  </r>
  <r>
    <s v="NESTLE PURINA"/>
    <x v="2"/>
    <x v="1"/>
    <s v="OLIMPICA"/>
    <n v="424831"/>
    <x v="2"/>
    <s v="MANEJA MARCA DE PERROS, GATOS O AMBOS, Y HAY PRESENCIA DE LA COMPETENCIA? (EN EL VIDEO DEBE QUEDAR LA VISUAL DE LAS MARCAS DE LA COMPETENCIA PRESENTES EN EL PDV)"/>
    <s v="SI"/>
    <m/>
    <n v="29620543"/>
    <s v="NestleP.5"/>
    <x v="0"/>
    <x v="1"/>
    <n v="3.75"/>
    <s v="SI"/>
    <n v="3.75"/>
    <n v="0"/>
    <m/>
  </r>
  <r>
    <s v="NESTLE PURINA"/>
    <x v="2"/>
    <x v="1"/>
    <s v="OLIMPICA"/>
    <n v="424831"/>
    <x v="2"/>
    <s v="SELECCIONE EL CANAL DEL PDV AUDITADO?"/>
    <s v="ESPECIALIZADO"/>
    <m/>
    <n v="29620543"/>
    <s v="NestleP.5"/>
    <x v="0"/>
    <x v="0"/>
    <n v="0"/>
    <n v="0"/>
    <n v="0"/>
    <n v="0"/>
    <m/>
  </r>
  <r>
    <s v="NESTLE PURINA"/>
    <x v="2"/>
    <x v="1"/>
    <s v="OLIMPICA"/>
    <n v="424831"/>
    <x v="2"/>
    <s v="CE - SE ENCUENTRA EL MATERIAL POP DE FELIX NUEVAS REFERENCIAS &quot; APLICA DONDE ESTA CODIFICADO&quot;"/>
    <s v="SI"/>
    <m/>
    <n v="29620543"/>
    <s v="NestleP.5"/>
    <x v="0"/>
    <x v="2"/>
    <n v="8"/>
    <s v="SI"/>
    <n v="8"/>
    <n v="0"/>
    <m/>
  </r>
  <r>
    <s v="NESTLE PURINA"/>
    <x v="2"/>
    <x v="1"/>
    <s v="OLIMPICA"/>
    <n v="424831"/>
    <x v="2"/>
    <s v="CE - SE ENCUENTRA EN EL LINEAL LAS REFERENCIAS 1,5 EN PU Y ADU DE LA MARCA EXCELLENT?"/>
    <s v="SI"/>
    <m/>
    <n v="29620543"/>
    <s v="NestleP.5"/>
    <x v="0"/>
    <x v="2"/>
    <n v="8"/>
    <s v="SI"/>
    <n v="8"/>
    <n v="0"/>
    <m/>
  </r>
  <r>
    <s v="NESTLE PURINA"/>
    <x v="2"/>
    <x v="1"/>
    <s v="OLIMPICA"/>
    <n v="424831"/>
    <x v="2"/>
    <s v="CE - SE ENCUENTRA LA NUEVA REFERENCIA DE EXCELLENT ESTIRILIZADO DE 1K?"/>
    <s v="SI"/>
    <m/>
    <n v="29620543"/>
    <s v="NestleP.5"/>
    <x v="0"/>
    <x v="2"/>
    <n v="8"/>
    <s v="SI"/>
    <n v="8"/>
    <n v="0"/>
    <m/>
  </r>
  <r>
    <s v="NESTLE PURINA"/>
    <x v="2"/>
    <x v="1"/>
    <s v="OLIMPICA"/>
    <n v="424831"/>
    <x v="2"/>
    <s v="CE - SE ENCUENTRA LA REFERENCIA PRO PLAN WET DE SALMON Y/URINARIO"/>
    <s v="SI"/>
    <m/>
    <n v="29620543"/>
    <s v="NestleP.5"/>
    <x v="0"/>
    <x v="2"/>
    <n v="8"/>
    <s v="SI"/>
    <n v="8"/>
    <n v="0"/>
    <m/>
  </r>
  <r>
    <s v="NESTLE PURINA"/>
    <x v="2"/>
    <x v="1"/>
    <s v="OLIMPICA"/>
    <n v="424831"/>
    <x v="2"/>
    <s v="CE - EL PDV MANEJA CATEGORIA DE SNACKS? (EN EL VIDEO DEBE QUEDAR LA VISUAL DE LAS MARCAS DE PURINA PRESENTES EN EL PDV)"/>
    <s v="SI"/>
    <m/>
    <n v="29620543"/>
    <s v="NestleP.5"/>
    <x v="0"/>
    <x v="2"/>
    <n v="8"/>
    <s v="SI"/>
    <n v="8"/>
    <n v="0"/>
    <m/>
  </r>
  <r>
    <s v="NESTLE PURINA"/>
    <x v="2"/>
    <x v="1"/>
    <s v="OLIMPICA"/>
    <n v="424831"/>
    <x v="2"/>
    <s v="DESEA AÑADIR ALGUNA OBSERVACION / NOVEDAD CON LA AUDITORIA REALIZADA?"/>
    <s v="SI"/>
    <m/>
    <n v="29620543"/>
    <s v="NestleP.5"/>
    <x v="0"/>
    <x v="0"/>
    <n v="0"/>
    <n v="0"/>
    <n v="0"/>
    <n v="0"/>
    <m/>
  </r>
  <r>
    <s v="NESTLE PURINA"/>
    <x v="2"/>
    <x v="1"/>
    <s v="OLIMPICA"/>
    <n v="424831"/>
    <x v="2"/>
    <s v="INDIQUE OBSERVACIÓN/NOVEDAD"/>
    <s v="El pdv no maneja precios de los productos  en pdv"/>
    <m/>
    <n v="29620543"/>
    <s v="NestleP.5"/>
    <x v="0"/>
    <x v="0"/>
    <n v="0"/>
    <n v="0"/>
    <n v="0"/>
    <n v="0"/>
    <m/>
  </r>
  <r>
    <s v="NESTLE PURINA"/>
    <x v="2"/>
    <x v="2"/>
    <s v="OLIMPICA"/>
    <n v="111523"/>
    <x v="5"/>
    <s v="SE LOGRA REALIZAR LA AUDITORIA?"/>
    <s v="SI"/>
    <m/>
    <n v="29620816"/>
    <s v="NestleP.5"/>
    <x v="0"/>
    <x v="0"/>
    <n v="0"/>
    <n v="0"/>
    <n v="0"/>
    <n v="0"/>
    <m/>
  </r>
  <r>
    <s v="NESTLE PURINA"/>
    <x v="2"/>
    <x v="2"/>
    <s v="OLIMPICA"/>
    <n v="111523"/>
    <x v="5"/>
    <s v="¿CUMPLE HORARIO DE ENTRADA O SALIDA DE LA TIENDA?"/>
    <s v="SI"/>
    <m/>
    <n v="29620816"/>
    <s v="NestleP.5"/>
    <x v="0"/>
    <x v="3"/>
    <n v="20"/>
    <s v="SI"/>
    <n v="20"/>
    <n v="0"/>
    <m/>
  </r>
  <r>
    <s v="NESTLE PURINA"/>
    <x v="2"/>
    <x v="2"/>
    <s v="OLIMPICA"/>
    <n v="111523"/>
    <x v="5"/>
    <s v="CUENTA CON PANTALON DEL UNIFORME SEGÚN EL CARGO (NEGRO / ROJO / TURQUESA / JEAN)"/>
    <s v="SI"/>
    <m/>
    <n v="29620816"/>
    <s v="NestleP.5"/>
    <x v="0"/>
    <x v="4"/>
    <n v="1"/>
    <s v="SI"/>
    <n v="1"/>
    <n v="0"/>
    <m/>
  </r>
  <r>
    <s v="NESTLE PURINA"/>
    <x v="2"/>
    <x v="2"/>
    <s v="OLIMPICA"/>
    <n v="111523"/>
    <x v="5"/>
    <s v="CONOCE EL % DE PARTICIPACIÓN QUE TIENE EN EL PUNTO DE VENTA E INFORMA CUAL ES ESE % (REALIZAR EL EJERCICIO DE CONTAR LAS CARAS PARA VALIDAR SI ES CORRECTO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CUENTA CON CAMISA DEL UNIFORME Y LOGOS SEGÚN EL CARGO (NEGRA / GRIS / ROJA / TURQUESA) (ES PERMITIDO USAR DEBAJO DE LA CAMISA BUSO MANGA LARGA NEGRO)"/>
    <s v="SI"/>
    <m/>
    <n v="29620816"/>
    <s v="NestleP.5"/>
    <x v="0"/>
    <x v="4"/>
    <n v="1"/>
    <s v="SI"/>
    <n v="1"/>
    <n v="0"/>
    <m/>
  </r>
  <r>
    <s v="NESTLE PURINA"/>
    <x v="2"/>
    <x v="2"/>
    <s v="OLIMPICA"/>
    <n v="111523"/>
    <x v="5"/>
    <s v="POSEE ALGUNA PRENDA ENCIMA DEL UNIFORME NO AUTORIZADA POR LA MARCA (UNICAMENTE ESTA PERMITIDO CHALECO DE SODIMAC Y EASY)"/>
    <s v="NO"/>
    <m/>
    <n v="29620816"/>
    <s v="NestleP.5"/>
    <x v="0"/>
    <x v="4"/>
    <n v="1"/>
    <s v="NO"/>
    <n v="1"/>
    <n v="0"/>
    <m/>
  </r>
  <r>
    <s v="NESTLE PURINA"/>
    <x v="2"/>
    <x v="2"/>
    <s v="OLIMPICA"/>
    <n v="111523"/>
    <x v="5"/>
    <s v="EL UNIFORME Y ZAPATOS SE ENCUENTRAN LIMPIOS Y EN BUEN ESTADO"/>
    <s v="SI"/>
    <m/>
    <n v="29620816"/>
    <s v="NestleP.5"/>
    <x v="0"/>
    <x v="4"/>
    <n v="1"/>
    <s v="SI"/>
    <n v="1"/>
    <n v="0"/>
    <m/>
  </r>
  <r>
    <s v="NESTLE PURINA"/>
    <x v="2"/>
    <x v="2"/>
    <s v="OLIMPICA"/>
    <n v="111523"/>
    <x v="5"/>
    <s v="SU CABELLO LUCE LIMPIO, ORGANIZADO O RECOGIDO"/>
    <s v="SI"/>
    <m/>
    <n v="29620816"/>
    <s v="NestleP.5"/>
    <x v="0"/>
    <x v="4"/>
    <n v="1"/>
    <s v="SI"/>
    <n v="1"/>
    <n v="0"/>
    <m/>
  </r>
  <r>
    <s v="NESTLE PURINA"/>
    <x v="2"/>
    <x v="2"/>
    <s v="OLIMPICA"/>
    <n v="111523"/>
    <x v="5"/>
    <s v="PRESENTA EXCESO DE MAQUILLAJE QUE NO CUMPLE CON EL CODIGO DE VESTIMENTA"/>
    <s v="NO"/>
    <m/>
    <n v="29620816"/>
    <s v="NestleP.5"/>
    <x v="0"/>
    <x v="4"/>
    <n v="1"/>
    <s v="NO"/>
    <n v="1"/>
    <n v="0"/>
    <m/>
  </r>
  <r>
    <s v="NESTLE PURINA"/>
    <x v="2"/>
    <x v="2"/>
    <s v="OLIMPICA"/>
    <n v="111523"/>
    <x v="5"/>
    <s v="TIENE TATUAJES O PIERCINGS VISIBLES QUE NO CUMPLE CON EL CODIGO DE VESTIMENTA"/>
    <s v="NO"/>
    <m/>
    <n v="29620816"/>
    <s v="NestleP.5"/>
    <x v="0"/>
    <x v="4"/>
    <n v="1"/>
    <s v="NO"/>
    <n v="1"/>
    <n v="0"/>
    <m/>
  </r>
  <r>
    <s v="NESTLE PURINA"/>
    <x v="2"/>
    <x v="2"/>
    <s v="OLIMPICA"/>
    <n v="111523"/>
    <x v="5"/>
    <s v="TIENE UÑAS LLAMATIVAS Y/O LARGAS QUE NO CUMPLE CON EL CODIGO DE VESTIMENTA"/>
    <s v="NO"/>
    <m/>
    <n v="29620816"/>
    <s v="NestleP.5"/>
    <x v="0"/>
    <x v="4"/>
    <n v="1"/>
    <s v="NO"/>
    <n v="1"/>
    <n v="0"/>
    <m/>
  </r>
  <r>
    <s v="NESTLE PURINA"/>
    <x v="2"/>
    <x v="2"/>
    <s v="OLIMPICA"/>
    <n v="111523"/>
    <x v="5"/>
    <s v="USA ACCESORIOS QUE NO CUMPLE CON EL CODIGO DE VESTIMENTA"/>
    <s v="NO"/>
    <m/>
    <n v="29620816"/>
    <s v="NestleP.5"/>
    <x v="0"/>
    <x v="4"/>
    <n v="1"/>
    <s v="NO"/>
    <n v="1"/>
    <n v="0"/>
    <m/>
  </r>
  <r>
    <s v="NESTLE PURINA"/>
    <x v="2"/>
    <x v="2"/>
    <s v="OLIMPICA"/>
    <n v="111523"/>
    <x v="5"/>
    <s v="EL LINEAL SE ENCUENTRA LIMPIO Y ORGANIZADO (EVIDENCIA POLVO O TIERRA EN EL PRODUCTO Y/O LINEAL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LOS PRODUCTOS TIENEN EL PRECIO Y ESTAN ACORDE O CORRESPONDIENTE A CADA REFERENCIA (REVISAR LA FECHA DE IMPRESIÓN DEL PRECIO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LOS PRODUCTOS ESTAN SURTIDOS DE ACUERDO A PEPS O FIFO (REVISAR TANTO PRODUCTO SECO COMO HUMEDO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CONOCE LOS INFALTABLES DEL PUNTO DE VENTA Y CUENTA CON EL MATERIAL DE APOYO (AYUDAVENTAS INFALTABLES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CONOCE Y TIENE SURTIDO DE ACUERDO A LA ESTRATEGIA DE EXHIBICIÓN (ETAPAS DE VIDA - SEGMENTACIÓN DE MARCAS)"/>
    <s v="SI"/>
    <m/>
    <n v="29620816"/>
    <s v="NestleP.5"/>
    <x v="0"/>
    <x v="1"/>
    <n v="3.75"/>
    <s v="SI"/>
    <n v="3.75"/>
    <n v="0"/>
    <m/>
  </r>
  <r>
    <s v="NESTLE PURINA"/>
    <x v="2"/>
    <x v="2"/>
    <s v="OLIMPICA"/>
    <n v="111523"/>
    <x v="5"/>
    <s v="CUENTA CON CALZADO DE ACUERDO AL UNIFORME"/>
    <s v="SI"/>
    <m/>
    <n v="29620816"/>
    <s v="NestleP.5"/>
    <x v="0"/>
    <x v="4"/>
    <n v="1"/>
    <s v="SI"/>
    <n v="1"/>
    <n v="0"/>
    <m/>
  </r>
  <r>
    <s v="NESTLE PURINA"/>
    <x v="3"/>
    <x v="2"/>
    <s v="CARULLA"/>
    <n v="355519"/>
    <x v="3"/>
    <s v="EL LINEAL SE ENCUENTRA LIMPIO Y ORGANIZADO (EVIDENCIA POLVO O TIERRA EN EL PRODUCTO Y/O LINEAL)"/>
    <s v="SI"/>
    <m/>
    <n v="29606660"/>
    <s v="NestleP.11"/>
    <x v="0"/>
    <x v="1"/>
    <n v="3.75"/>
    <s v="SI"/>
    <n v="3.75"/>
    <n v="0"/>
    <m/>
  </r>
  <r>
    <s v="NESTLE PURINA"/>
    <x v="3"/>
    <x v="2"/>
    <s v="CARULLA"/>
    <n v="355519"/>
    <x v="3"/>
    <s v="USA ACCESORIOS QUE NO CUMPLE CON EL CODIGO DE VESTIMENTA"/>
    <s v="NO"/>
    <m/>
    <n v="29606660"/>
    <s v="NestleP.11"/>
    <x v="0"/>
    <x v="4"/>
    <n v="1"/>
    <s v="NO"/>
    <n v="1"/>
    <n v="0"/>
    <m/>
  </r>
  <r>
    <s v="NESTLE PURINA"/>
    <x v="3"/>
    <x v="2"/>
    <s v="CARULLA"/>
    <n v="355519"/>
    <x v="3"/>
    <s v="TIENE UÑAS LLAMATIVAS Y/O LARGAS QUE NO CUMPLE CON EL CODIGO DE VESTIMENTA"/>
    <s v="NO"/>
    <m/>
    <n v="29606660"/>
    <s v="NestleP.11"/>
    <x v="0"/>
    <x v="4"/>
    <n v="1"/>
    <s v="NO"/>
    <n v="1"/>
    <n v="0"/>
    <m/>
  </r>
  <r>
    <s v="NESTLE PURINA"/>
    <x v="5"/>
    <x v="1"/>
    <s v="AGRO/PSHOP/VET"/>
    <n v="424775"/>
    <x v="7"/>
    <s v="POSEE ALGUNA PRENDA ENCIMA DEL UNIFORME NO AUTORIZADA POR LA MARCA (UNICAMENTE ESTA PERMITIDO CHALECO DE SODIMAC Y EASY)"/>
    <s v="NO"/>
    <m/>
    <n v="29574458"/>
    <s v="NestleP.7"/>
    <x v="0"/>
    <x v="4"/>
    <n v="1"/>
    <s v="NO"/>
    <n v="1"/>
    <n v="0"/>
    <m/>
  </r>
  <r>
    <s v="NESTLE PURINA"/>
    <x v="5"/>
    <x v="1"/>
    <s v="AGRO/PSHOP/VET"/>
    <n v="424775"/>
    <x v="7"/>
    <s v="EL UNIFORME Y ZAPATOS SE ENCUENTRAN LIMPIOS Y EN BUEN ESTADO"/>
    <s v="SI"/>
    <m/>
    <n v="29574458"/>
    <s v="NestleP.7"/>
    <x v="0"/>
    <x v="4"/>
    <n v="1"/>
    <s v="SI"/>
    <n v="1"/>
    <n v="0"/>
    <m/>
  </r>
  <r>
    <s v="NESTLE PURINA"/>
    <x v="5"/>
    <x v="1"/>
    <s v="AGRO/PSHOP/VET"/>
    <n v="424775"/>
    <x v="7"/>
    <s v="SU CABELLO LUCE LIMPIO, ORGANIZADO O RECOGIDO"/>
    <s v="SI"/>
    <m/>
    <n v="29574458"/>
    <s v="NestleP.7"/>
    <x v="0"/>
    <x v="4"/>
    <n v="1"/>
    <s v="SI"/>
    <n v="1"/>
    <n v="0"/>
    <m/>
  </r>
  <r>
    <s v="NESTLE PURINA"/>
    <x v="5"/>
    <x v="1"/>
    <s v="AGRO/PSHOP/VET"/>
    <n v="424775"/>
    <x v="7"/>
    <s v="PRESENTA EXCESO DE MAQUILLAJE QUE NO CUMPLE CON EL CODIGO DE VESTIMENTA"/>
    <s v="NO"/>
    <m/>
    <n v="29574458"/>
    <s v="NestleP.7"/>
    <x v="0"/>
    <x v="4"/>
    <n v="1"/>
    <s v="NO"/>
    <n v="1"/>
    <n v="0"/>
    <m/>
  </r>
  <r>
    <s v="NESTLE PURINA"/>
    <x v="5"/>
    <x v="1"/>
    <s v="AGRO/PSHOP/VET"/>
    <n v="424775"/>
    <x v="7"/>
    <s v="TIENE TATUAJES O PIERCINGS VISIBLES QUE NO CUMPLE CON EL CODIGO DE VESTIMENTA"/>
    <s v="NO"/>
    <m/>
    <n v="29574458"/>
    <s v="NestleP.7"/>
    <x v="0"/>
    <x v="4"/>
    <n v="1"/>
    <s v="NO"/>
    <n v="1"/>
    <n v="0"/>
    <m/>
  </r>
  <r>
    <s v="NESTLE PURINA"/>
    <x v="5"/>
    <x v="1"/>
    <s v="AGRO/PSHOP/VET"/>
    <n v="424775"/>
    <x v="7"/>
    <s v="TIENE UÑAS LLAMATIVAS Y/O LARGAS QUE NO CUMPLE CON EL CODIGO DE VESTIMENTA"/>
    <s v="NO"/>
    <m/>
    <n v="29574458"/>
    <s v="NestleP.7"/>
    <x v="0"/>
    <x v="4"/>
    <n v="1"/>
    <s v="NO"/>
    <n v="1"/>
    <n v="0"/>
    <m/>
  </r>
  <r>
    <s v="NESTLE PURINA"/>
    <x v="5"/>
    <x v="1"/>
    <s v="AGRO/PSHOP/VET"/>
    <n v="424775"/>
    <x v="7"/>
    <s v="USA ACCESORIOS QUE NO CUMPLE CON EL CODIGO DE VESTIMENTA"/>
    <s v="NO"/>
    <m/>
    <n v="29574458"/>
    <s v="NestleP.7"/>
    <x v="0"/>
    <x v="4"/>
    <n v="1"/>
    <s v="NO"/>
    <n v="1"/>
    <n v="0"/>
    <m/>
  </r>
  <r>
    <s v="NESTLE PURINA"/>
    <x v="5"/>
    <x v="1"/>
    <s v="AGRO/PSHOP/VET"/>
    <n v="424775"/>
    <x v="7"/>
    <s v="EL LINEAL SE ENCUENTRA LIMPIO Y ORGANIZADO (EVIDENCIA POLVO O TIERRA EN EL PRODUCTO Y/O LINEAL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LOS PRODUCTOS TIENEN EL PRECIO Y ESTAN ACORDE O CORRESPONDIENTE A CADA REFERENCIA (REVISAR LA FECHA DE IMPRESIÓN DEL PRECIO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LOS PRODUCTOS ESTAN SURTIDOS DE ACUERDO A PEPS O FIFO (REVISAR TANTO PRODUCTO SECO COMO HUMEDO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CONOCE LOS INFALTABLES DEL PUNTO DE VENTA Y CUENTA CON EL MATERIAL DE APOYO (AYUDAVENTAS INFALTABLES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CONOCE Y TIENE SURTIDO DE ACUERDO A LA ESTRATEGIA DE EXHIBICIÓN (ETAPAS DE VIDA - SEGMENTACIÓN DE MARCAS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CUENTA CON CALZADO DE ACUERDO AL UNIFORME"/>
    <s v="SI"/>
    <m/>
    <n v="29574458"/>
    <s v="NestleP.7"/>
    <x v="0"/>
    <x v="4"/>
    <n v="1"/>
    <s v="SI"/>
    <n v="1"/>
    <n v="0"/>
    <m/>
  </r>
  <r>
    <s v="NESTLE PURINA"/>
    <x v="5"/>
    <x v="1"/>
    <s v="AGRO/PSHOP/VET"/>
    <n v="424775"/>
    <x v="7"/>
    <s v="CUAL ES LA ESTRATEGIA DE EXHIBICIÓN PARA LAS MARCAS MAINSTRAIN (ALPO Y GATSY) DE PURINA Y PORQUE?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MANEJA MARCA DE PERROS, GATOS O AMBOS, Y HAY PRESENCIA DE LA COMPETENCIA? (EN EL VIDEO DEBE QUEDAR LA VISUAL DE LAS MARCAS DE LA COMPETENCIA PRESENTES EN EL PDV)"/>
    <s v="SI"/>
    <m/>
    <n v="29574458"/>
    <s v="NestleP.7"/>
    <x v="0"/>
    <x v="1"/>
    <n v="3.75"/>
    <s v="SI"/>
    <n v="3.75"/>
    <n v="0"/>
    <m/>
  </r>
  <r>
    <s v="NESTLE PURINA"/>
    <x v="5"/>
    <x v="1"/>
    <s v="AGRO/PSHOP/VET"/>
    <n v="424775"/>
    <x v="7"/>
    <s v="SELECCIONE EL CANAL DEL PDV AUDITADO?"/>
    <s v="ESPECIALIZADO"/>
    <m/>
    <n v="29574458"/>
    <s v="NestleP.7"/>
    <x v="0"/>
    <x v="0"/>
    <n v="0"/>
    <n v="0"/>
    <n v="0"/>
    <n v="0"/>
    <m/>
  </r>
  <r>
    <s v="NESTLE PURINA"/>
    <x v="5"/>
    <x v="1"/>
    <s v="AGRO/PSHOP/VET"/>
    <n v="424775"/>
    <x v="7"/>
    <s v="CE - SE ENCUENTRA EL MATERIAL POP DE FELIX NUEVAS REFERENCIAS &quot; APLICA DONDE ESTA CODIFICADO&quot;"/>
    <s v="SI"/>
    <m/>
    <n v="29574458"/>
    <s v="NestleP.7"/>
    <x v="0"/>
    <x v="2"/>
    <n v="8"/>
    <s v="SI"/>
    <n v="8"/>
    <n v="0"/>
    <m/>
  </r>
  <r>
    <s v="NESTLE PURINA"/>
    <x v="5"/>
    <x v="1"/>
    <s v="AGRO/PSHOP/VET"/>
    <n v="424775"/>
    <x v="7"/>
    <s v="CE - SE ENCUENTRA EN EL LINEAL LAS REFERENCIAS 1,5 EN PU Y ADU DE LA MARCA EXCELLENT?"/>
    <s v="SI"/>
    <m/>
    <n v="29574458"/>
    <s v="NestleP.7"/>
    <x v="0"/>
    <x v="2"/>
    <n v="8"/>
    <s v="SI"/>
    <n v="8"/>
    <n v="0"/>
    <m/>
  </r>
  <r>
    <s v="NESTLE PURINA"/>
    <x v="5"/>
    <x v="1"/>
    <s v="AGRO/PSHOP/VET"/>
    <n v="424775"/>
    <x v="7"/>
    <s v="CE - SE ENCUENTRA LA NUEVA REFERENCIA DE EXCELLENT ESTIRILIZADO DE 1K?"/>
    <s v="SI"/>
    <m/>
    <n v="29574458"/>
    <s v="NestleP.7"/>
    <x v="0"/>
    <x v="2"/>
    <n v="8"/>
    <s v="SI"/>
    <n v="8"/>
    <n v="0"/>
    <m/>
  </r>
  <r>
    <s v="NESTLE PURINA"/>
    <x v="5"/>
    <x v="1"/>
    <s v="AGRO/PSHOP/VET"/>
    <n v="424775"/>
    <x v="7"/>
    <s v="CE - SE ENCUENTRA LA REFERENCIA PRO PLAN WET DE SALMON Y/URINARIO"/>
    <s v="SI"/>
    <m/>
    <n v="29574458"/>
    <s v="NestleP.7"/>
    <x v="0"/>
    <x v="2"/>
    <n v="8"/>
    <s v="SI"/>
    <n v="8"/>
    <n v="0"/>
    <m/>
  </r>
  <r>
    <s v="NESTLE PURINA"/>
    <x v="5"/>
    <x v="1"/>
    <s v="AGRO/PSHOP/VET"/>
    <n v="424775"/>
    <x v="7"/>
    <s v="CE - EL PDV MANEJA CATEGORIA DE SNACKS? (EN EL VIDEO DEBE QUEDAR LA VISUAL DE LAS MARCAS DE PURINA PRESENTES EN EL PDV)"/>
    <s v="SI"/>
    <m/>
    <n v="29574458"/>
    <s v="NestleP.7"/>
    <x v="0"/>
    <x v="2"/>
    <n v="8"/>
    <s v="SI"/>
    <n v="8"/>
    <n v="0"/>
    <m/>
  </r>
  <r>
    <s v="NESTLE PURINA"/>
    <x v="5"/>
    <x v="1"/>
    <s v="AGRO/PSHOP/VET"/>
    <n v="424775"/>
    <x v="7"/>
    <s v="DESEA AÑADIR ALGUNA OBSERVACION / NOVEDAD CON LA AUDITORIA REALIZADA?"/>
    <s v="NO"/>
    <m/>
    <n v="29574458"/>
    <s v="NestleP.7"/>
    <x v="0"/>
    <x v="0"/>
    <n v="0"/>
    <n v="0"/>
    <n v="0"/>
    <n v="0"/>
    <m/>
  </r>
  <r>
    <s v="NESTLE PURINA"/>
    <x v="3"/>
    <x v="2"/>
    <s v="CARULLA"/>
    <n v="556280"/>
    <x v="8"/>
    <s v="SE LOGRA REALIZAR LA AUDITORIA?"/>
    <s v="NO"/>
    <m/>
    <n v="29583575"/>
    <s v="NestleP.11"/>
    <x v="1"/>
    <x v="0"/>
    <n v="0"/>
    <n v="0"/>
    <n v="0"/>
    <n v="0"/>
    <m/>
  </r>
  <r>
    <s v="NESTLE PURINA"/>
    <x v="3"/>
    <x v="2"/>
    <s v="CARULLA"/>
    <n v="556280"/>
    <x v="8"/>
    <s v="DESEA AÑADIR ALGUNA OBSERVACION / NOVEDAD CON LA AUDITORIA REALIZADA?"/>
    <s v="SI"/>
    <m/>
    <n v="29583575"/>
    <s v="NestleP.11"/>
    <x v="1"/>
    <x v="0"/>
    <n v="0"/>
    <n v="0"/>
    <n v="0"/>
    <n v="0"/>
    <m/>
  </r>
  <r>
    <s v="NESTLE PURINA"/>
    <x v="3"/>
    <x v="2"/>
    <s v="CARULLA"/>
    <n v="556280"/>
    <x v="8"/>
    <s v="INDIQUE OBSERVACIÓN/NOVEDAD"/>
    <s v="Luego de esperar 43 minutos la persona no llego al pdv, se pregunta en el registro de la tienda e indican que no se ha presentado el dia de hoy."/>
    <m/>
    <n v="29583575"/>
    <s v="NestleP.11"/>
    <x v="1"/>
    <x v="0"/>
    <n v="0"/>
    <n v="0"/>
    <n v="0"/>
    <n v="0"/>
    <m/>
  </r>
  <r>
    <s v="NESTLE PURINA"/>
    <x v="1"/>
    <x v="2"/>
    <s v="JUMBO"/>
    <n v="355912"/>
    <x v="9"/>
    <s v="SE LOGRA REALIZAR LA AUDITORIA?"/>
    <s v="SI"/>
    <m/>
    <n v="29602428"/>
    <s v="NestleP.2"/>
    <x v="0"/>
    <x v="0"/>
    <n v="0"/>
    <n v="0"/>
    <n v="0"/>
    <n v="0"/>
    <m/>
  </r>
  <r>
    <s v="NESTLE PURINA"/>
    <x v="5"/>
    <x v="1"/>
    <s v="AGRO/PSHOP/VET"/>
    <n v="424775"/>
    <x v="7"/>
    <s v="CONOCE EL % DE PARTICIPACIÓN QUE TIENE EN EL PUNTO DE VENTA E INFORMA CUAL ES ESE % (REALIZAR EL EJERCICIO DE CONTAR LAS CARAS PARA VALIDAR SI ES CORRECTO)"/>
    <s v="SI"/>
    <m/>
    <n v="29574458"/>
    <s v="NestleP.7"/>
    <x v="0"/>
    <x v="1"/>
    <n v="3.75"/>
    <s v="SI"/>
    <n v="3.75"/>
    <n v="0"/>
    <m/>
  </r>
  <r>
    <s v="NESTLE PURINA"/>
    <x v="1"/>
    <x v="2"/>
    <s v="JUMBO"/>
    <n v="355912"/>
    <x v="9"/>
    <s v="¿CUMPLE HORARIO DE ENTRADA O SALIDA DE LA TIENDA?"/>
    <s v="SI"/>
    <m/>
    <n v="29602428"/>
    <s v="NestleP.2"/>
    <x v="0"/>
    <x v="3"/>
    <n v="20"/>
    <s v="SI"/>
    <n v="20"/>
    <n v="0"/>
    <m/>
  </r>
  <r>
    <s v="NESTLE PURINA"/>
    <x v="5"/>
    <x v="1"/>
    <s v="AGRO/PSHOP/VET"/>
    <n v="424775"/>
    <x v="7"/>
    <s v="CUENTA CON CAMISA DEL UNIFORME Y LOGOS SEGÚN EL CARGO (NEGRA / GRIS / ROJA / TURQUESA) (ES PERMITIDO USAR DEBAJO DE LA CAMISA BUSO MANGA LARGA NEGRO)"/>
    <s v="SI"/>
    <m/>
    <n v="29574458"/>
    <s v="NestleP.7"/>
    <x v="0"/>
    <x v="4"/>
    <n v="1"/>
    <s v="SI"/>
    <n v="1"/>
    <n v="0"/>
    <m/>
  </r>
  <r>
    <s v="NESTLE PURINA"/>
    <x v="5"/>
    <x v="1"/>
    <s v="AGRO/PSHOP/VET"/>
    <n v="424775"/>
    <x v="7"/>
    <s v="¿CUMPLE HORARIO DE ENTRADA O SALIDA DE LA TIENDA?"/>
    <s v="SI"/>
    <m/>
    <n v="29574458"/>
    <s v="NestleP.7"/>
    <x v="0"/>
    <x v="3"/>
    <n v="20"/>
    <s v="SI"/>
    <n v="20"/>
    <n v="0"/>
    <m/>
  </r>
  <r>
    <s v="NESTLE PURINA"/>
    <x v="0"/>
    <x v="0"/>
    <s v="OLIMPICA"/>
    <n v="447964"/>
    <x v="0"/>
    <s v="¿CUMPLE HORARIO DE ENTRADA O SALIDA DE LA TIENDA?"/>
    <s v="SI"/>
    <m/>
    <n v="29572594"/>
    <s v="NestleP.5"/>
    <x v="0"/>
    <x v="3"/>
    <n v="20"/>
    <s v="SI"/>
    <n v="20"/>
    <n v="0"/>
    <m/>
  </r>
  <r>
    <s v="NESTLE PURINA"/>
    <x v="0"/>
    <x v="0"/>
    <s v="OLIMPICA"/>
    <n v="447964"/>
    <x v="0"/>
    <s v="CUENTA CON PANTALON DEL UNIFORME SEGÚN EL CARGO (NEGRO / ROJO / TURQUESA / JEAN)"/>
    <s v="SI"/>
    <m/>
    <n v="29572594"/>
    <s v="NestleP.5"/>
    <x v="0"/>
    <x v="4"/>
    <n v="1"/>
    <s v="SI"/>
    <n v="1"/>
    <n v="0"/>
    <m/>
  </r>
  <r>
    <s v="NESTLE PURINA"/>
    <x v="0"/>
    <x v="0"/>
    <s v="OLIMPICA"/>
    <n v="447964"/>
    <x v="0"/>
    <s v="CUENTA CON CAMISA DEL UNIFORME Y LOGOS SEGÚN EL CARGO (NEGRA / GRIS / ROJA / TURQUESA) (ES PERMITIDO USAR DEBAJO DE LA CAMISA BUSO MANGA LARGA NEGRO)"/>
    <s v="SI"/>
    <m/>
    <n v="29572594"/>
    <s v="NestleP.5"/>
    <x v="0"/>
    <x v="4"/>
    <n v="1"/>
    <s v="SI"/>
    <n v="1"/>
    <n v="0"/>
    <m/>
  </r>
  <r>
    <s v="NESTLE PURINA"/>
    <x v="0"/>
    <x v="0"/>
    <s v="OLIMPICA"/>
    <n v="447964"/>
    <x v="0"/>
    <s v="CUENTA CON CALZADO DE ACUERDO AL UNIFORME"/>
    <s v="SI"/>
    <m/>
    <n v="29572594"/>
    <s v="NestleP.5"/>
    <x v="0"/>
    <x v="4"/>
    <n v="1"/>
    <s v="SI"/>
    <n v="1"/>
    <n v="0"/>
    <m/>
  </r>
  <r>
    <s v="NESTLE PURINA"/>
    <x v="0"/>
    <x v="0"/>
    <s v="OLIMPICA"/>
    <n v="447964"/>
    <x v="0"/>
    <s v="POSEE ALGUNA PRENDA ENCIMA DEL UNIFORME NO AUTORIZADA POR LA MARCA (UNICAMENTE ESTA PERMITIDO CHALECO DE SODIMAC Y EASY)"/>
    <s v="NO"/>
    <m/>
    <n v="29572594"/>
    <s v="NestleP.5"/>
    <x v="0"/>
    <x v="4"/>
    <n v="1"/>
    <s v="NO"/>
    <n v="1"/>
    <n v="0"/>
    <m/>
  </r>
  <r>
    <s v="NESTLE PURINA"/>
    <x v="0"/>
    <x v="0"/>
    <s v="OLIMPICA"/>
    <n v="447964"/>
    <x v="0"/>
    <s v="EL UNIFORME Y ZAPATOS SE ENCUENTRAN LIMPIOS Y EN BUEN ESTADO"/>
    <s v="SI"/>
    <m/>
    <n v="29572594"/>
    <s v="NestleP.5"/>
    <x v="0"/>
    <x v="4"/>
    <n v="1"/>
    <s v="SI"/>
    <n v="1"/>
    <n v="0"/>
    <m/>
  </r>
  <r>
    <s v="NESTLE PURINA"/>
    <x v="0"/>
    <x v="0"/>
    <s v="OLIMPICA"/>
    <n v="447964"/>
    <x v="0"/>
    <s v="SU CABELLO LUCE LIMPIO, ORGANIZADO O RECOGIDO"/>
    <s v="SI"/>
    <m/>
    <n v="29572594"/>
    <s v="NestleP.5"/>
    <x v="0"/>
    <x v="4"/>
    <n v="1"/>
    <s v="SI"/>
    <n v="1"/>
    <n v="0"/>
    <m/>
  </r>
  <r>
    <s v="NESTLE PURINA"/>
    <x v="0"/>
    <x v="0"/>
    <s v="OLIMPICA"/>
    <n v="447964"/>
    <x v="0"/>
    <s v="PRESENTA EXCESO DE MAQUILLAJE QUE NO CUMPLE CON EL CODIGO DE VESTIMENTA"/>
    <s v="NO"/>
    <m/>
    <n v="29572594"/>
    <s v="NestleP.5"/>
    <x v="0"/>
    <x v="4"/>
    <n v="1"/>
    <s v="NO"/>
    <n v="1"/>
    <n v="0"/>
    <m/>
  </r>
  <r>
    <s v="NESTLE PURINA"/>
    <x v="0"/>
    <x v="0"/>
    <s v="OLIMPICA"/>
    <n v="447964"/>
    <x v="0"/>
    <s v="TIENE TATUAJES O PIERCINGS VISIBLES QUE NO CUMPLE CON EL CODIGO DE VESTIMENTA"/>
    <s v="NO"/>
    <m/>
    <n v="29572594"/>
    <s v="NestleP.5"/>
    <x v="0"/>
    <x v="4"/>
    <n v="1"/>
    <s v="NO"/>
    <n v="1"/>
    <n v="0"/>
    <m/>
  </r>
  <r>
    <s v="NESTLE PURINA"/>
    <x v="0"/>
    <x v="0"/>
    <s v="OLIMPICA"/>
    <n v="447964"/>
    <x v="0"/>
    <s v="TIENE UÑAS LLAMATIVAS Y/O LARGAS QUE NO CUMPLE CON EL CODIGO DE VESTIMENTA"/>
    <s v="NO"/>
    <m/>
    <n v="29572594"/>
    <s v="NestleP.5"/>
    <x v="0"/>
    <x v="4"/>
    <n v="1"/>
    <s v="NO"/>
    <n v="1"/>
    <n v="0"/>
    <m/>
  </r>
  <r>
    <s v="NESTLE PURINA"/>
    <x v="0"/>
    <x v="0"/>
    <s v="OLIMPICA"/>
    <n v="447964"/>
    <x v="0"/>
    <s v="USA ACCESORIOS QUE NO CUMPLE CON EL CODIGO DE VESTIMENTA"/>
    <s v="NO"/>
    <m/>
    <n v="29572594"/>
    <s v="NestleP.5"/>
    <x v="0"/>
    <x v="4"/>
    <n v="1"/>
    <s v="NO"/>
    <n v="1"/>
    <n v="0"/>
    <m/>
  </r>
  <r>
    <s v="NESTLE PURINA"/>
    <x v="0"/>
    <x v="0"/>
    <s v="OLIMPICA"/>
    <n v="447964"/>
    <x v="0"/>
    <s v="EL LINEAL SE ENCUENTRA LIMPIO Y ORGANIZADO (EVIDENCIA POLVO O TIERRA EN EL PRODUCTO Y/O LINEAL)"/>
    <s v="SI"/>
    <m/>
    <n v="29572594"/>
    <s v="NestleP.5"/>
    <x v="0"/>
    <x v="1"/>
    <n v="3.75"/>
    <s v="SI"/>
    <n v="3.75"/>
    <n v="0"/>
    <m/>
  </r>
  <r>
    <s v="NESTLE PURINA"/>
    <x v="5"/>
    <x v="1"/>
    <s v="AGRO/PSHOP/VET"/>
    <n v="424775"/>
    <x v="7"/>
    <s v="CUENTA CON PANTALON DEL UNIFORME SEGÚN EL CARGO (NEGRO / ROJO / TURQUESA / JEAN)"/>
    <s v="SI"/>
    <m/>
    <n v="29574458"/>
    <s v="NestleP.7"/>
    <x v="0"/>
    <x v="4"/>
    <n v="1"/>
    <s v="SI"/>
    <n v="1"/>
    <n v="0"/>
    <m/>
  </r>
  <r>
    <s v="NESTLE PURINA"/>
    <x v="0"/>
    <x v="0"/>
    <s v="OLIMPICA"/>
    <n v="447964"/>
    <x v="0"/>
    <s v="LOS PRODUCTOS TIENEN EL PRECIO Y ESTAN ACORDE O CORRESPONDIENTE A CADA REFERENCIA (REVISAR LA FECHA DE IMPRESIÓN DEL PRECIO)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CONOCE LOS INFALTABLES DEL PUNTO DE VENTA Y CUENTA CON EL MATERIAL DE APOYO (AYUDAVENTAS INFALTABLES)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CONOCE Y TIENE SURTIDO DE ACUERDO A LA ESTRATEGIA DE EXHIBICIÓN (ETAPAS DE VIDA - SEGMENTACIÓN DE MARCAS)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CUAL ES LA ESTRATEGIA DE EXHIBICIÓN PARA LAS MARCAS MAINSTRAIN (ALPO Y GATSY) DE PURINA Y PORQUE?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CONOCE EL % DE PARTICIPACIÓN QUE TIENE EN EL PUNTO DE VENTA E INFORMA CUAL ES ESE % (REALIZAR EL EJERCICIO DE CONTAR LAS CARAS PARA VALIDAR SI ES CORRECTO)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MANEJA MARCA DE PERROS, GATOS O AMBOS, Y HAY PRESENCIA DE LA COMPETENCIA? (EN EL VIDEO DEBE QUEDAR LA VISUAL DE LAS MARCAS DE LA COMPETENCIA PRESENTES EN EL PDV)"/>
    <s v="SI"/>
    <m/>
    <n v="29572594"/>
    <s v="NestleP.5"/>
    <x v="0"/>
    <x v="1"/>
    <n v="3.75"/>
    <s v="SI"/>
    <n v="3.75"/>
    <n v="0"/>
    <m/>
  </r>
  <r>
    <s v="NESTLE PURINA"/>
    <x v="0"/>
    <x v="0"/>
    <s v="OLIMPICA"/>
    <n v="447964"/>
    <x v="0"/>
    <s v="SELECCIONE EL CANAL DEL PDV AUDITADO?"/>
    <s v="MODERNO"/>
    <m/>
    <n v="29572594"/>
    <s v="NestleP.5"/>
    <x v="0"/>
    <x v="0"/>
    <n v="0"/>
    <n v="0"/>
    <n v="0"/>
    <n v="0"/>
    <m/>
  </r>
  <r>
    <s v="NESTLE PURINA"/>
    <x v="0"/>
    <x v="0"/>
    <s v="OLIMPICA"/>
    <n v="447964"/>
    <x v="0"/>
    <s v="CM - TIENE IMPLEMENTADO EL MATERIAL POP CORRECPONDIENTE A LAS PROMOCIONES QUE APLICAN EN EL PDV?"/>
    <s v="SI"/>
    <m/>
    <n v="29572594"/>
    <s v="NestleP.5"/>
    <x v="0"/>
    <x v="2"/>
    <n v="8"/>
    <s v="SI"/>
    <n v="8"/>
    <n v="0"/>
    <m/>
  </r>
  <r>
    <s v="NESTLE PURINA"/>
    <x v="0"/>
    <x v="0"/>
    <s v="OLIMPICA"/>
    <n v="447964"/>
    <x v="0"/>
    <s v="CM - TIENE ACTIVIDADES DE PLAN PEGA EN EL PDV?"/>
    <s v="SI"/>
    <m/>
    <n v="29572594"/>
    <s v="NestleP.5"/>
    <x v="0"/>
    <x v="2"/>
    <n v="8"/>
    <s v="SI"/>
    <n v="8"/>
    <n v="0"/>
    <m/>
  </r>
  <r>
    <s v="NESTLE PURINA"/>
    <x v="0"/>
    <x v="0"/>
    <s v="OLIMPICA"/>
    <n v="447964"/>
    <x v="0"/>
    <s v="CM - TIENE CODIFICADAS LAS DOS NUEVAS REFERENCIAS FELIZ MULTIPROTEINA Y CUENTA CON EL POP CORRESPONDIENTE?"/>
    <s v="SI"/>
    <m/>
    <n v="29572594"/>
    <s v="NestleP.5"/>
    <x v="0"/>
    <x v="2"/>
    <n v="8"/>
    <s v="SI"/>
    <n v="8"/>
    <n v="0"/>
    <m/>
  </r>
  <r>
    <s v="NESTLE PURINA"/>
    <x v="0"/>
    <x v="0"/>
    <s v="OLIMPICA"/>
    <n v="447964"/>
    <x v="0"/>
    <s v="CM - TIENE IMPLEMENTADAS LAS EXHIBICIONES NEGOCIADAS EN EL PDV?"/>
    <s v="SI"/>
    <m/>
    <n v="29572594"/>
    <s v="NestleP.5"/>
    <x v="0"/>
    <x v="2"/>
    <n v="8"/>
    <s v="SI"/>
    <n v="8"/>
    <n v="0"/>
    <m/>
  </r>
  <r>
    <s v="NESTLE PURINA"/>
    <x v="0"/>
    <x v="0"/>
    <s v="OLIMPICA"/>
    <n v="447964"/>
    <x v="0"/>
    <s v="DESEA AÑADIR ALGUNA OBSERVACION / NOVEDAD CON LA AUDITORIA REALIZADA?"/>
    <s v="NO"/>
    <m/>
    <n v="29572594"/>
    <s v="NestleP.5"/>
    <x v="0"/>
    <x v="0"/>
    <n v="0"/>
    <n v="0"/>
    <n v="0"/>
    <n v="0"/>
    <m/>
  </r>
  <r>
    <s v="NESTLE PURINA"/>
    <x v="5"/>
    <x v="1"/>
    <s v="AGRO/PSHOP/VET"/>
    <n v="424775"/>
    <x v="7"/>
    <s v="SE LOGRA REALIZAR LA AUDITORIA?"/>
    <s v="SI"/>
    <m/>
    <n v="29574458"/>
    <s v="NestleP.7"/>
    <x v="0"/>
    <x v="0"/>
    <n v="0"/>
    <n v="0"/>
    <n v="0"/>
    <n v="0"/>
    <m/>
  </r>
  <r>
    <s v="NESTLE PURINA"/>
    <x v="0"/>
    <x v="0"/>
    <s v="OLIMPICA"/>
    <n v="447964"/>
    <x v="0"/>
    <s v="LOS PRODUCTOS ESTAN SURTIDOS DE ACUERDO A PEPS O FIFO (REVISAR TANTO PRODUCTO SECO COMO HUMEDO)"/>
    <s v="SI"/>
    <m/>
    <n v="29572594"/>
    <s v="NestleP.5"/>
    <x v="0"/>
    <x v="1"/>
    <n v="3.75"/>
    <s v="SI"/>
    <n v="3.75"/>
    <n v="0"/>
    <m/>
  </r>
  <r>
    <s v="NESTLE PURINA"/>
    <x v="4"/>
    <x v="2"/>
    <s v="JUMBO"/>
    <n v="435253"/>
    <x v="6"/>
    <s v="CT - CONOCE LAS INNOVACIONES  ALTA PROTEINA?"/>
    <s v="SI"/>
    <m/>
    <n v="29672686"/>
    <s v="NestleP.1"/>
    <x v="0"/>
    <x v="2"/>
    <n v="20"/>
    <s v="SI"/>
    <n v="20"/>
    <n v="0"/>
    <m/>
  </r>
  <r>
    <s v="NESTLE PURINA"/>
    <x v="1"/>
    <x v="2"/>
    <s v="JUMBO"/>
    <n v="355912"/>
    <x v="9"/>
    <s v="CUENTA CON PANTALON DEL UNIFORME SEGÚN EL CARGO (NEGRO / ROJO / TURQUESA / JEAN)"/>
    <s v="SI"/>
    <m/>
    <n v="29602428"/>
    <s v="NestleP.2"/>
    <x v="0"/>
    <x v="4"/>
    <n v="1"/>
    <s v="SI"/>
    <n v="1"/>
    <n v="0"/>
    <m/>
  </r>
  <r>
    <s v="NESTLE PURINA"/>
    <x v="1"/>
    <x v="2"/>
    <s v="JUMBO"/>
    <n v="355912"/>
    <x v="9"/>
    <s v="CUENTA CON CALZADO DE ACUERDO AL UNIFORME"/>
    <s v="SI"/>
    <m/>
    <n v="29602428"/>
    <s v="NestleP.2"/>
    <x v="0"/>
    <x v="4"/>
    <n v="1"/>
    <s v="SI"/>
    <n v="1"/>
    <n v="0"/>
    <m/>
  </r>
  <r>
    <s v="NESTLE PURINA"/>
    <x v="1"/>
    <x v="0"/>
    <s v="JUMBO"/>
    <n v="42612"/>
    <x v="10"/>
    <s v="TIENE UÑAS LLAMATIVAS Y/O LARGAS QUE NO CUMPLE CON EL CODIGO DE VESTIMENTA"/>
    <s v="NO"/>
    <m/>
    <n v="29602530"/>
    <s v="NestleP.1"/>
    <x v="0"/>
    <x v="4"/>
    <n v="1"/>
    <s v="NO"/>
    <n v="1"/>
    <n v="0"/>
    <m/>
  </r>
  <r>
    <s v="NESTLE PURINA"/>
    <x v="1"/>
    <x v="0"/>
    <s v="JUMBO"/>
    <n v="42612"/>
    <x v="10"/>
    <s v="USA ACCESORIOS QUE NO CUMPLE CON EL CODIGO DE VESTIMENTA"/>
    <s v="NO"/>
    <m/>
    <n v="29602530"/>
    <s v="NestleP.1"/>
    <x v="0"/>
    <x v="4"/>
    <n v="1"/>
    <s v="NO"/>
    <n v="1"/>
    <n v="0"/>
    <m/>
  </r>
  <r>
    <s v="NESTLE PURINA"/>
    <x v="1"/>
    <x v="0"/>
    <s v="JUMBO"/>
    <n v="42612"/>
    <x v="10"/>
    <s v="EL LINEAL SE ENCUENTRA LIMPIO Y ORGANIZADO (EVIDENCIA POLVO O TIERRA EN EL PRODUCTO Y/O LINEAL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LOS PRODUCTOS TIENEN EL PRECIO Y ESTAN ACORDE O CORRESPONDIENTE A CADA REFERENCIA (REVISAR LA FECHA DE IMPRESIÓN DEL PRECIO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LOS PRODUCTOS ESTAN SURTIDOS DE ACUERDO A PEPS O FIFO (REVISAR TANTO PRODUCTO SECO COMO HUMEDO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CONOCE LOS INFALTABLES DEL PUNTO DE VENTA Y CUENTA CON EL MATERIAL DE APOYO (AYUDAVENTAS INFALTABLES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CONOCE Y TIENE SURTIDO DE ACUERDO A LA ESTRATEGIA DE EXHIBICIÓN (ETAPAS DE VIDA - SEGMENTACIÓN DE MARCAS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CUAL ES LA ESTRATEGIA DE EXHIBICIÓN PARA LAS MARCAS MAINSTRAIN (ALPO Y GATSY) DE PURINA Y PORQUE?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CONOCE EL % DE PARTICIPACIÓN QUE TIENE EN EL PUNTO DE VENTA E INFORMA CUAL ES ESE % (REALIZAR EL EJERCICIO DE CONTAR LAS CARAS PARA VALIDAR SI ES CORRECTO)"/>
    <s v="NO"/>
    <m/>
    <n v="29602530"/>
    <s v="NestleP.1"/>
    <x v="0"/>
    <x v="1"/>
    <n v="3.75"/>
    <s v="SI"/>
    <n v="0"/>
    <n v="0"/>
    <m/>
  </r>
  <r>
    <s v="NESTLE PURINA"/>
    <x v="1"/>
    <x v="0"/>
    <s v="JUMBO"/>
    <n v="42612"/>
    <x v="10"/>
    <s v="MANEJA MARCA DE PERROS, GATOS O AMBOS, Y HAY PRESENCIA DE LA COMPETENCIA? (EN EL VIDEO DEBE QUEDAR LA VISUAL DE LAS MARCAS DE LA COMPETENCIA PRESENTES EN EL PDV)"/>
    <s v="SI"/>
    <m/>
    <n v="29602530"/>
    <s v="NestleP.1"/>
    <x v="0"/>
    <x v="1"/>
    <n v="3.75"/>
    <s v="SI"/>
    <n v="3.75"/>
    <n v="0"/>
    <m/>
  </r>
  <r>
    <s v="NESTLE PURINA"/>
    <x v="1"/>
    <x v="0"/>
    <s v="JUMBO"/>
    <n v="42612"/>
    <x v="10"/>
    <s v="SELECCIONE EL CANAL DEL PDV AUDITADO?"/>
    <s v="MODERNO"/>
    <m/>
    <n v="29602530"/>
    <s v="NestleP.1"/>
    <x v="0"/>
    <x v="0"/>
    <n v="0"/>
    <n v="0"/>
    <n v="0"/>
    <n v="0"/>
    <m/>
  </r>
  <r>
    <s v="NESTLE PURINA"/>
    <x v="1"/>
    <x v="0"/>
    <s v="JUMBO"/>
    <n v="42612"/>
    <x v="10"/>
    <s v="CM - TIENE IMPLEMENTADO EL MATERIAL POP CORRECPONDIENTE A LAS PROMOCIONES QUE APLICAN EN EL PDV?"/>
    <s v="SI"/>
    <m/>
    <n v="29602530"/>
    <s v="NestleP.1"/>
    <x v="0"/>
    <x v="2"/>
    <n v="8"/>
    <s v="SI"/>
    <n v="8"/>
    <n v="0"/>
    <m/>
  </r>
  <r>
    <s v="NESTLE PURINA"/>
    <x v="1"/>
    <x v="0"/>
    <s v="JUMBO"/>
    <n v="42612"/>
    <x v="10"/>
    <s v="TIENE TATUAJES O PIERCINGS VISIBLES QUE NO CUMPLE CON EL CODIGO DE VESTIMENTA"/>
    <s v="NO"/>
    <m/>
    <n v="29602530"/>
    <s v="NestleP.1"/>
    <x v="0"/>
    <x v="4"/>
    <n v="1"/>
    <s v="NO"/>
    <n v="1"/>
    <n v="0"/>
    <m/>
  </r>
  <r>
    <s v="NESTLE PURINA"/>
    <x v="1"/>
    <x v="0"/>
    <s v="JUMBO"/>
    <n v="42612"/>
    <x v="10"/>
    <s v="CM - TIENE ACTIVIDADES DE PLAN PEGA EN EL PDV?"/>
    <s v="NO"/>
    <m/>
    <n v="29602530"/>
    <s v="NestleP.1"/>
    <x v="0"/>
    <x v="2"/>
    <n v="8"/>
    <s v="SI"/>
    <n v="0"/>
    <n v="0"/>
    <m/>
  </r>
  <r>
    <s v="NESTLE PURINA"/>
    <x v="1"/>
    <x v="0"/>
    <s v="JUMBO"/>
    <n v="42612"/>
    <x v="10"/>
    <s v="CM - TIENE IMPLEMENTADAS LAS EXHIBICIONES NEGOCIADAS EN EL PDV?"/>
    <s v="SI"/>
    <m/>
    <n v="29602530"/>
    <s v="NestleP.1"/>
    <x v="0"/>
    <x v="2"/>
    <n v="8"/>
    <s v="SI"/>
    <n v="8"/>
    <n v="0"/>
    <m/>
  </r>
  <r>
    <s v="NESTLE PURINA"/>
    <x v="1"/>
    <x v="0"/>
    <s v="JUMBO"/>
    <n v="42612"/>
    <x v="10"/>
    <s v="DESEA AÑADIR ALGUNA OBSERVACION / NOVEDAD CON LA AUDITORIA REALIZADA?"/>
    <s v="NO"/>
    <m/>
    <n v="29602530"/>
    <s v="NestleP.1"/>
    <x v="0"/>
    <x v="0"/>
    <n v="0"/>
    <n v="0"/>
    <n v="0"/>
    <n v="0"/>
    <m/>
  </r>
  <r>
    <s v="NESTLE PURINA"/>
    <x v="3"/>
    <x v="2"/>
    <s v="CARULLA"/>
    <n v="355519"/>
    <x v="3"/>
    <s v="SE LOGRA REALIZAR LA AUDITORIA?"/>
    <s v="SI"/>
    <m/>
    <n v="29606660"/>
    <s v="NestleP.11"/>
    <x v="0"/>
    <x v="0"/>
    <n v="0"/>
    <n v="0"/>
    <n v="0"/>
    <n v="0"/>
    <m/>
  </r>
  <r>
    <s v="NESTLE PURINA"/>
    <x v="3"/>
    <x v="2"/>
    <s v="CARULLA"/>
    <n v="355519"/>
    <x v="3"/>
    <s v="¿CUMPLE HORARIO DE ENTRADA O SALIDA DE LA TIENDA?"/>
    <s v="SI"/>
    <m/>
    <n v="29606660"/>
    <s v="NestleP.11"/>
    <x v="0"/>
    <x v="3"/>
    <n v="20"/>
    <s v="SI"/>
    <n v="20"/>
    <n v="0"/>
    <m/>
  </r>
  <r>
    <s v="NESTLE PURINA"/>
    <x v="3"/>
    <x v="2"/>
    <s v="CARULLA"/>
    <n v="355519"/>
    <x v="3"/>
    <s v="CUENTA CON PANTALON DEL UNIFORME SEGÚN EL CARGO (NEGRO / ROJO / TURQUESA / JEAN)"/>
    <s v="SI"/>
    <m/>
    <n v="29606660"/>
    <s v="NestleP.11"/>
    <x v="0"/>
    <x v="4"/>
    <n v="1"/>
    <s v="SI"/>
    <n v="1"/>
    <n v="0"/>
    <m/>
  </r>
  <r>
    <s v="NESTLE PURINA"/>
    <x v="3"/>
    <x v="2"/>
    <s v="CARULLA"/>
    <n v="355519"/>
    <x v="3"/>
    <s v="CUENTA CON CAMISA DEL UNIFORME Y LOGOS SEGÚN EL CARGO (NEGRA / GRIS / ROJA / TURQUESA) (ES PERMITIDO USAR DEBAJO DE LA CAMISA BUSO MANGA LARGA NEGRO)"/>
    <s v="SI"/>
    <m/>
    <n v="29606660"/>
    <s v="NestleP.11"/>
    <x v="0"/>
    <x v="4"/>
    <n v="1"/>
    <s v="SI"/>
    <n v="1"/>
    <n v="0"/>
    <m/>
  </r>
  <r>
    <s v="NESTLE PURINA"/>
    <x v="3"/>
    <x v="2"/>
    <s v="CARULLA"/>
    <n v="355519"/>
    <x v="3"/>
    <s v="CUENTA CON CALZADO DE ACUERDO AL UNIFORME"/>
    <s v="SI"/>
    <m/>
    <n v="29606660"/>
    <s v="NestleP.11"/>
    <x v="0"/>
    <x v="4"/>
    <n v="1"/>
    <s v="SI"/>
    <n v="1"/>
    <n v="0"/>
    <m/>
  </r>
  <r>
    <s v="NESTLE PURINA"/>
    <x v="3"/>
    <x v="2"/>
    <s v="CARULLA"/>
    <n v="355519"/>
    <x v="3"/>
    <s v="POSEE ALGUNA PRENDA ENCIMA DEL UNIFORME NO AUTORIZADA POR LA MARCA (UNICAMENTE ESTA PERMITIDO CHALECO DE SODIMAC Y EASY)"/>
    <s v="NO"/>
    <m/>
    <n v="29606660"/>
    <s v="NestleP.11"/>
    <x v="0"/>
    <x v="4"/>
    <n v="1"/>
    <s v="NO"/>
    <n v="1"/>
    <n v="0"/>
    <m/>
  </r>
  <r>
    <s v="NESTLE PURINA"/>
    <x v="3"/>
    <x v="2"/>
    <s v="CARULLA"/>
    <n v="355519"/>
    <x v="3"/>
    <s v="EL UNIFORME Y ZAPATOS SE ENCUENTRAN LIMPIOS Y EN BUEN ESTADO"/>
    <s v="SI"/>
    <m/>
    <n v="29606660"/>
    <s v="NestleP.11"/>
    <x v="0"/>
    <x v="4"/>
    <n v="1"/>
    <s v="SI"/>
    <n v="1"/>
    <n v="0"/>
    <m/>
  </r>
  <r>
    <s v="NESTLE PURINA"/>
    <x v="3"/>
    <x v="2"/>
    <s v="CARULLA"/>
    <n v="355519"/>
    <x v="3"/>
    <s v="SU CABELLO LUCE LIMPIO, ORGANIZADO O RECOGIDO"/>
    <s v="SI"/>
    <m/>
    <n v="29606660"/>
    <s v="NestleP.11"/>
    <x v="0"/>
    <x v="4"/>
    <n v="1"/>
    <s v="SI"/>
    <n v="1"/>
    <n v="0"/>
    <m/>
  </r>
  <r>
    <s v="NESTLE PURINA"/>
    <x v="3"/>
    <x v="2"/>
    <s v="CARULLA"/>
    <n v="355519"/>
    <x v="3"/>
    <s v="PRESENTA EXCESO DE MAQUILLAJE QUE NO CUMPLE CON EL CODIGO DE VESTIMENTA"/>
    <s v="NO"/>
    <m/>
    <n v="29606660"/>
    <s v="NestleP.11"/>
    <x v="0"/>
    <x v="4"/>
    <n v="1"/>
    <s v="NO"/>
    <n v="1"/>
    <n v="0"/>
    <m/>
  </r>
  <r>
    <s v="NESTLE PURINA"/>
    <x v="3"/>
    <x v="2"/>
    <s v="CARULLA"/>
    <n v="355519"/>
    <x v="3"/>
    <s v="TIENE TATUAJES O PIERCINGS VISIBLES QUE NO CUMPLE CON EL CODIGO DE VESTIMENTA"/>
    <s v="NO"/>
    <m/>
    <n v="29606660"/>
    <s v="NestleP.11"/>
    <x v="0"/>
    <x v="4"/>
    <n v="1"/>
    <s v="NO"/>
    <n v="1"/>
    <n v="0"/>
    <m/>
  </r>
  <r>
    <s v="NESTLE PURINA"/>
    <x v="1"/>
    <x v="0"/>
    <s v="JUMBO"/>
    <n v="42612"/>
    <x v="10"/>
    <s v="CM - TIENE CODIFICADAS LAS DOS NUEVAS REFERENCIAS FELIZ MULTIPROTEINA Y CUENTA CON EL POP CORRESPONDIENTE?"/>
    <s v="SI"/>
    <m/>
    <n v="29602530"/>
    <s v="NestleP.1"/>
    <x v="0"/>
    <x v="2"/>
    <n v="8"/>
    <s v="SI"/>
    <n v="8"/>
    <n v="0"/>
    <m/>
  </r>
  <r>
    <s v="NESTLE PURINA"/>
    <x v="1"/>
    <x v="2"/>
    <s v="JUMBO"/>
    <n v="355912"/>
    <x v="9"/>
    <s v="CUENTA CON CAMISA DEL UNIFORME Y LOGOS SEGÚN EL CARGO (NEGRA / GRIS / ROJA / TURQUESA) (ES PERMITIDO USAR DEBAJO DE LA CAMISA BUSO MANGA LARGA NEGRO)"/>
    <s v="SI"/>
    <m/>
    <n v="29602428"/>
    <s v="NestleP.2"/>
    <x v="0"/>
    <x v="4"/>
    <n v="1"/>
    <s v="SI"/>
    <n v="1"/>
    <n v="0"/>
    <m/>
  </r>
  <r>
    <s v="NESTLE PURINA"/>
    <x v="1"/>
    <x v="0"/>
    <s v="JUMBO"/>
    <n v="42612"/>
    <x v="10"/>
    <s v="PRESENTA EXCESO DE MAQUILLAJE QUE NO CUMPLE CON EL CODIGO DE VESTIMENTA"/>
    <s v="NO"/>
    <m/>
    <n v="29602530"/>
    <s v="NestleP.1"/>
    <x v="0"/>
    <x v="4"/>
    <n v="1"/>
    <s v="NO"/>
    <n v="1"/>
    <n v="0"/>
    <m/>
  </r>
  <r>
    <s v="NESTLE PURINA"/>
    <x v="1"/>
    <x v="0"/>
    <s v="JUMBO"/>
    <n v="42612"/>
    <x v="10"/>
    <s v="EL UNIFORME Y ZAPATOS SE ENCUENTRAN LIMPIOS Y EN BUEN ESTADO"/>
    <s v="SI"/>
    <m/>
    <n v="29602530"/>
    <s v="NestleP.1"/>
    <x v="0"/>
    <x v="4"/>
    <n v="1"/>
    <s v="SI"/>
    <n v="1"/>
    <n v="0"/>
    <m/>
  </r>
  <r>
    <s v="NESTLE PURINA"/>
    <x v="1"/>
    <x v="2"/>
    <s v="JUMBO"/>
    <n v="355912"/>
    <x v="9"/>
    <s v="POSEE ALGUNA PRENDA ENCIMA DEL UNIFORME NO AUTORIZADA POR LA MARCA (UNICAMENTE ESTA PERMITIDO CHALECO DE SODIMAC Y EASY)"/>
    <s v="NO"/>
    <m/>
    <n v="29602428"/>
    <s v="NestleP.2"/>
    <x v="0"/>
    <x v="4"/>
    <n v="1"/>
    <s v="NO"/>
    <n v="1"/>
    <n v="0"/>
    <m/>
  </r>
  <r>
    <s v="NESTLE PURINA"/>
    <x v="1"/>
    <x v="2"/>
    <s v="JUMBO"/>
    <n v="355912"/>
    <x v="9"/>
    <s v="EL UNIFORME Y ZAPATOS SE ENCUENTRAN LIMPIOS Y EN BUEN ESTADO"/>
    <s v="SI"/>
    <m/>
    <n v="29602428"/>
    <s v="NestleP.2"/>
    <x v="0"/>
    <x v="4"/>
    <n v="1"/>
    <s v="SI"/>
    <n v="1"/>
    <n v="0"/>
    <m/>
  </r>
  <r>
    <s v="NESTLE PURINA"/>
    <x v="1"/>
    <x v="2"/>
    <s v="JUMBO"/>
    <n v="355912"/>
    <x v="9"/>
    <s v="SU CABELLO LUCE LIMPIO, ORGANIZADO O RECOGIDO"/>
    <s v="SI"/>
    <m/>
    <n v="29602428"/>
    <s v="NestleP.2"/>
    <x v="0"/>
    <x v="4"/>
    <n v="1"/>
    <s v="SI"/>
    <n v="1"/>
    <n v="0"/>
    <m/>
  </r>
  <r>
    <s v="NESTLE PURINA"/>
    <x v="1"/>
    <x v="2"/>
    <s v="JUMBO"/>
    <n v="355912"/>
    <x v="9"/>
    <s v="PRESENTA EXCESO DE MAQUILLAJE QUE NO CUMPLE CON EL CODIGO DE VESTIMENTA"/>
    <s v="NO"/>
    <m/>
    <n v="29602428"/>
    <s v="NestleP.2"/>
    <x v="0"/>
    <x v="4"/>
    <n v="1"/>
    <s v="NO"/>
    <n v="1"/>
    <n v="0"/>
    <m/>
  </r>
  <r>
    <s v="NESTLE PURINA"/>
    <x v="1"/>
    <x v="2"/>
    <s v="JUMBO"/>
    <n v="355912"/>
    <x v="9"/>
    <s v="TIENE TATUAJES O PIERCINGS VISIBLES QUE NO CUMPLE CON EL CODIGO DE VESTIMENTA"/>
    <s v="NO"/>
    <m/>
    <n v="29602428"/>
    <s v="NestleP.2"/>
    <x v="0"/>
    <x v="4"/>
    <n v="1"/>
    <s v="NO"/>
    <n v="1"/>
    <n v="0"/>
    <m/>
  </r>
  <r>
    <s v="NESTLE PURINA"/>
    <x v="1"/>
    <x v="2"/>
    <s v="JUMBO"/>
    <n v="355912"/>
    <x v="9"/>
    <s v="TIENE UÑAS LLAMATIVAS Y/O LARGAS QUE NO CUMPLE CON EL CODIGO DE VESTIMENTA"/>
    <s v="NO"/>
    <m/>
    <n v="29602428"/>
    <s v="NestleP.2"/>
    <x v="0"/>
    <x v="4"/>
    <n v="1"/>
    <s v="NO"/>
    <n v="1"/>
    <n v="0"/>
    <m/>
  </r>
  <r>
    <s v="NESTLE PURINA"/>
    <x v="1"/>
    <x v="2"/>
    <s v="JUMBO"/>
    <n v="355912"/>
    <x v="9"/>
    <s v="USA ACCESORIOS QUE NO CUMPLE CON EL CODIGO DE VESTIMENTA"/>
    <s v="NO"/>
    <m/>
    <n v="29602428"/>
    <s v="NestleP.2"/>
    <x v="0"/>
    <x v="4"/>
    <n v="1"/>
    <s v="NO"/>
    <n v="1"/>
    <n v="0"/>
    <m/>
  </r>
  <r>
    <s v="NESTLE PURINA"/>
    <x v="1"/>
    <x v="2"/>
    <s v="JUMBO"/>
    <n v="355912"/>
    <x v="9"/>
    <s v="EL LINEAL SE ENCUENTRA LIMPIO Y ORGANIZADO (EVIDENCIA POLVO O TIERRA EN EL PRODUCTO Y/O LINEAL)"/>
    <s v="SI"/>
    <m/>
    <n v="29602428"/>
    <s v="NestleP.2"/>
    <x v="0"/>
    <x v="1"/>
    <n v="3.75"/>
    <s v="SI"/>
    <n v="3.75"/>
    <n v="0"/>
    <m/>
  </r>
  <r>
    <s v="NESTLE PURINA"/>
    <x v="1"/>
    <x v="2"/>
    <s v="JUMBO"/>
    <n v="355912"/>
    <x v="9"/>
    <s v="LOS PRODUCTOS TIENEN EL PRECIO Y ESTAN ACORDE O CORRESPONDIENTE A CADA REFERENCIA (REVISAR LA FECHA DE IMPRESIÓN DEL PRECIO)"/>
    <s v="NO"/>
    <m/>
    <n v="29602428"/>
    <s v="NestleP.2"/>
    <x v="0"/>
    <x v="1"/>
    <n v="3.75"/>
    <s v="SI"/>
    <n v="0"/>
    <n v="0"/>
    <m/>
  </r>
  <r>
    <s v="NESTLE PURINA"/>
    <x v="1"/>
    <x v="2"/>
    <s v="JUMBO"/>
    <n v="355912"/>
    <x v="9"/>
    <s v="LOS PRODUCTOS ESTAN SURTIDOS DE ACUERDO A PEPS O FIFO (REVISAR TANTO PRODUCTO SECO COMO HUMEDO)"/>
    <s v="SI"/>
    <m/>
    <n v="29602428"/>
    <s v="NestleP.2"/>
    <x v="0"/>
    <x v="1"/>
    <n v="3.75"/>
    <s v="SI"/>
    <n v="3.75"/>
    <n v="0"/>
    <m/>
  </r>
  <r>
    <s v="NESTLE PURINA"/>
    <x v="1"/>
    <x v="2"/>
    <s v="JUMBO"/>
    <n v="355912"/>
    <x v="9"/>
    <s v="CONOCE LOS INFALTABLES DEL PUNTO DE VENTA Y CUENTA CON EL MATERIAL DE APOYO (AYUDAVENTAS INFALTABLES)"/>
    <s v="SI"/>
    <m/>
    <n v="29602428"/>
    <s v="NestleP.2"/>
    <x v="0"/>
    <x v="1"/>
    <n v="3.75"/>
    <s v="SI"/>
    <n v="3.75"/>
    <n v="0"/>
    <m/>
  </r>
  <r>
    <s v="NESTLE PURINA"/>
    <x v="1"/>
    <x v="2"/>
    <s v="JUMBO"/>
    <n v="355912"/>
    <x v="9"/>
    <s v="CONOCE Y TIENE SURTIDO DE ACUERDO A LA ESTRATEGIA DE EXHIBICIÓN (ETAPAS DE VIDA - SEGMENTACIÓN DE MARCAS)"/>
    <s v="SI"/>
    <m/>
    <n v="29602428"/>
    <s v="NestleP.2"/>
    <x v="0"/>
    <x v="1"/>
    <n v="3.75"/>
    <s v="SI"/>
    <n v="3.75"/>
    <n v="0"/>
    <m/>
  </r>
  <r>
    <s v="NESTLE PURINA"/>
    <x v="1"/>
    <x v="0"/>
    <s v="JUMBO"/>
    <n v="42612"/>
    <x v="10"/>
    <s v="SU CABELLO LUCE LIMPIO, ORGANIZADO O RECOGIDO"/>
    <s v="SI"/>
    <m/>
    <n v="29602530"/>
    <s v="NestleP.1"/>
    <x v="0"/>
    <x v="4"/>
    <n v="1"/>
    <s v="SI"/>
    <n v="1"/>
    <n v="0"/>
    <m/>
  </r>
  <r>
    <s v="NESTLE PURINA"/>
    <x v="1"/>
    <x v="2"/>
    <s v="JUMBO"/>
    <n v="355912"/>
    <x v="9"/>
    <s v="CUAL ES LA ESTRATEGIA DE EXHIBICIÓN PARA LAS MARCAS MAINSTRAIN (ALPO Y GATSY) DE PURINA Y PORQUE?"/>
    <s v="SI"/>
    <m/>
    <n v="29602428"/>
    <s v="NestleP.2"/>
    <x v="0"/>
    <x v="1"/>
    <n v="3.75"/>
    <s v="SI"/>
    <n v="3.75"/>
    <n v="0"/>
    <m/>
  </r>
  <r>
    <s v="NESTLE PURINA"/>
    <x v="1"/>
    <x v="2"/>
    <s v="JUMBO"/>
    <n v="355912"/>
    <x v="9"/>
    <s v="MANEJA MARCA DE PERROS, GATOS O AMBOS, Y HAY PRESENCIA DE LA COMPETENCIA? (EN EL VIDEO DEBE QUEDAR LA VISUAL DE LAS MARCAS DE LA COMPETENCIA PRESENTES EN EL PDV)"/>
    <s v="SI"/>
    <m/>
    <n v="29602428"/>
    <s v="NestleP.2"/>
    <x v="0"/>
    <x v="1"/>
    <n v="3.75"/>
    <s v="SI"/>
    <n v="3.75"/>
    <n v="0"/>
    <m/>
  </r>
  <r>
    <s v="NESTLE PURINA"/>
    <x v="1"/>
    <x v="2"/>
    <s v="JUMBO"/>
    <n v="355912"/>
    <x v="9"/>
    <s v="SELECCIONE EL CANAL DEL PDV AUDITADO?"/>
    <s v="TRADICIONAL"/>
    <m/>
    <n v="29602428"/>
    <s v="NestleP.2"/>
    <x v="0"/>
    <x v="0"/>
    <n v="0"/>
    <n v="0"/>
    <n v="0"/>
    <n v="0"/>
    <m/>
  </r>
  <r>
    <s v="NESTLE PURINA"/>
    <x v="1"/>
    <x v="2"/>
    <s v="JUMBO"/>
    <n v="355912"/>
    <x v="9"/>
    <s v="CT - CONOCE EL PRECIO DE LA PAQUETERIA (DOG CHOW 350G / 475G; CAT CHOW 200G? (Si el mercaderista informa que el PDV no lo permite implementar quedaria como N/A)"/>
    <s v="SI"/>
    <m/>
    <n v="29602428"/>
    <s v="NestleP.2"/>
    <x v="0"/>
    <x v="2"/>
    <n v="20"/>
    <s v="SI"/>
    <n v="20"/>
    <n v="0"/>
    <m/>
  </r>
  <r>
    <s v="NESTLE PURINA"/>
    <x v="1"/>
    <x v="2"/>
    <s v="JUMBO"/>
    <n v="355912"/>
    <x v="9"/>
    <s v="CT - CONOCE LAS INNOVACIONES  ALTA PROTEINA?"/>
    <s v="SI"/>
    <m/>
    <n v="29602428"/>
    <s v="NestleP.2"/>
    <x v="0"/>
    <x v="2"/>
    <n v="20"/>
    <s v="SI"/>
    <n v="20"/>
    <n v="0"/>
    <m/>
  </r>
  <r>
    <s v="NESTLE PURINA"/>
    <x v="1"/>
    <x v="2"/>
    <s v="JUMBO"/>
    <n v="355912"/>
    <x v="9"/>
    <s v="DESEA AÑADIR ALGUNA OBSERVACION / NOVEDAD CON LA AUDITORIA REALIZADA?"/>
    <s v="SI"/>
    <m/>
    <n v="29602428"/>
    <s v="NestleP.2"/>
    <x v="0"/>
    <x v="0"/>
    <n v="0"/>
    <n v="0"/>
    <n v="0"/>
    <n v="0"/>
    <m/>
  </r>
  <r>
    <s v="NESTLE PURINA"/>
    <x v="1"/>
    <x v="2"/>
    <s v="JUMBO"/>
    <n v="355912"/>
    <x v="9"/>
    <s v="INDIQUE OBSERVACIÓN/NOVEDAD"/>
    <s v="El pdv no cuenta con precios ya que tenía agotados, la persona estaba surtiendo y apenas estaba colocando precios "/>
    <m/>
    <n v="29602428"/>
    <s v="NestleP.2"/>
    <x v="0"/>
    <x v="0"/>
    <n v="0"/>
    <n v="0"/>
    <n v="0"/>
    <n v="0"/>
    <m/>
  </r>
  <r>
    <s v="NESTLE PURINA"/>
    <x v="1"/>
    <x v="0"/>
    <s v="JUMBO"/>
    <n v="42612"/>
    <x v="10"/>
    <s v="SE LOGRA REALIZAR LA AUDITORIA?"/>
    <s v="SI"/>
    <m/>
    <n v="29602530"/>
    <s v="NestleP.1"/>
    <x v="0"/>
    <x v="0"/>
    <n v="0"/>
    <n v="0"/>
    <n v="0"/>
    <n v="0"/>
    <m/>
  </r>
  <r>
    <s v="NESTLE PURINA"/>
    <x v="1"/>
    <x v="0"/>
    <s v="JUMBO"/>
    <n v="42612"/>
    <x v="10"/>
    <s v="¿CUMPLE HORARIO DE ENTRADA O SALIDA DE LA TIENDA?"/>
    <s v="NO"/>
    <m/>
    <n v="29602530"/>
    <s v="NestleP.1"/>
    <x v="0"/>
    <x v="3"/>
    <n v="20"/>
    <s v="SI"/>
    <n v="0"/>
    <n v="0"/>
    <m/>
  </r>
  <r>
    <s v="NESTLE PURINA"/>
    <x v="1"/>
    <x v="0"/>
    <s v="JUMBO"/>
    <n v="42612"/>
    <x v="10"/>
    <s v="CUENTA CON PANTALON DEL UNIFORME SEGÚN EL CARGO (NEGRO / ROJO / TURQUESA / JEAN)"/>
    <s v="SI"/>
    <m/>
    <n v="29602530"/>
    <s v="NestleP.1"/>
    <x v="0"/>
    <x v="4"/>
    <n v="1"/>
    <s v="SI"/>
    <n v="1"/>
    <n v="0"/>
    <m/>
  </r>
  <r>
    <s v="NESTLE PURINA"/>
    <x v="1"/>
    <x v="0"/>
    <s v="JUMBO"/>
    <n v="42612"/>
    <x v="10"/>
    <s v="CUENTA CON CAMISA DEL UNIFORME Y LOGOS SEGÚN EL CARGO (NEGRA / GRIS / ROJA / TURQUESA) (ES PERMITIDO USAR DEBAJO DE LA CAMISA BUSO MANGA LARGA NEGRO)"/>
    <s v="SI"/>
    <m/>
    <n v="29602530"/>
    <s v="NestleP.1"/>
    <x v="0"/>
    <x v="4"/>
    <n v="1"/>
    <s v="SI"/>
    <n v="1"/>
    <n v="0"/>
    <m/>
  </r>
  <r>
    <s v="NESTLE PURINA"/>
    <x v="1"/>
    <x v="0"/>
    <s v="JUMBO"/>
    <n v="42612"/>
    <x v="10"/>
    <s v="CUENTA CON CALZADO DE ACUERDO AL UNIFORME"/>
    <s v="SI"/>
    <m/>
    <n v="29602530"/>
    <s v="NestleP.1"/>
    <x v="0"/>
    <x v="4"/>
    <n v="1"/>
    <s v="SI"/>
    <n v="1"/>
    <n v="0"/>
    <m/>
  </r>
  <r>
    <s v="NESTLE PURINA"/>
    <x v="1"/>
    <x v="0"/>
    <s v="JUMBO"/>
    <n v="42612"/>
    <x v="10"/>
    <s v="POSEE ALGUNA PRENDA ENCIMA DEL UNIFORME NO AUTORIZADA POR LA MARCA (UNICAMENTE ESTA PERMITIDO CHALECO DE SODIMAC Y EASY)"/>
    <s v="NO"/>
    <m/>
    <n v="29602530"/>
    <s v="NestleP.1"/>
    <x v="0"/>
    <x v="4"/>
    <n v="1"/>
    <s v="NO"/>
    <n v="1"/>
    <n v="0"/>
    <m/>
  </r>
  <r>
    <s v="NESTLE PURINA"/>
    <x v="1"/>
    <x v="2"/>
    <s v="JUMBO"/>
    <n v="355912"/>
    <x v="9"/>
    <s v="CONOCE EL % DE PARTICIPACIÓN QUE TIENE EN EL PUNTO DE VENTA E INFORMA CUAL ES ESE % (REALIZAR EL EJERCICIO DE CONTAR LAS CARAS PARA VALIDAR SI ES CORRECTO)"/>
    <s v="SI"/>
    <m/>
    <n v="29602428"/>
    <s v="NestleP.2"/>
    <x v="0"/>
    <x v="1"/>
    <n v="3.75"/>
    <s v="SI"/>
    <n v="3.75"/>
    <n v="0"/>
    <m/>
  </r>
  <r>
    <s v="NESTLE PURINA"/>
    <x v="4"/>
    <x v="2"/>
    <s v="JUMBO"/>
    <n v="435253"/>
    <x v="6"/>
    <s v="DESEA AÑADIR ALGUNA OBSERVACION / NOVEDAD CON LA AUDITORIA REALIZADA?"/>
    <s v="NO"/>
    <m/>
    <n v="29672686"/>
    <s v="NestleP.1"/>
    <x v="0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38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H22" firstHeaderRow="1" firstDataRow="2" firstDataCol="1"/>
  <pivotFields count="19">
    <pivotField showAll="0"/>
    <pivotField showAll="0">
      <items count="13">
        <item m="1" x="8"/>
        <item x="0"/>
        <item x="1"/>
        <item m="1" x="9"/>
        <item x="5"/>
        <item x="2"/>
        <item m="1" x="7"/>
        <item m="1" x="6"/>
        <item m="1" x="11"/>
        <item x="3"/>
        <item x="4"/>
        <item m="1" x="10"/>
        <item t="default"/>
      </items>
    </pivotField>
    <pivotField axis="axisCol" showAll="0">
      <items count="5">
        <item h="1" m="1" x="3"/>
        <item x="0"/>
        <item x="2"/>
        <item x="1"/>
        <item t="default"/>
      </items>
    </pivotField>
    <pivotField showAll="0"/>
    <pivotField showAll="0"/>
    <pivotField showAll="0">
      <items count="145">
        <item m="1" x="56"/>
        <item m="1" x="48"/>
        <item m="1" x="12"/>
        <item m="1" x="11"/>
        <item m="1" x="23"/>
        <item x="5"/>
        <item m="1" x="68"/>
        <item m="1" x="61"/>
        <item m="1" x="121"/>
        <item m="1" x="120"/>
        <item m="1" x="54"/>
        <item m="1" x="58"/>
        <item m="1" x="55"/>
        <item m="1" x="111"/>
        <item m="1" x="73"/>
        <item m="1" x="65"/>
        <item m="1" x="62"/>
        <item m="1" x="67"/>
        <item m="1" x="41"/>
        <item m="1" x="34"/>
        <item m="1" x="24"/>
        <item m="1" x="71"/>
        <item m="1" x="31"/>
        <item x="4"/>
        <item m="1" x="40"/>
        <item m="1" x="32"/>
        <item m="1" x="78"/>
        <item m="1" x="77"/>
        <item m="1" x="22"/>
        <item m="1" x="28"/>
        <item m="1" x="20"/>
        <item m="1" x="43"/>
        <item m="1" x="119"/>
        <item m="1" x="42"/>
        <item m="1" x="38"/>
        <item x="3"/>
        <item x="9"/>
        <item x="1"/>
        <item m="1" x="45"/>
        <item m="1" x="21"/>
        <item m="1" x="15"/>
        <item m="1" x="49"/>
        <item m="1" x="27"/>
        <item m="1" x="17"/>
        <item m="1" x="70"/>
        <item m="1" x="118"/>
        <item m="1" x="44"/>
        <item m="1" x="114"/>
        <item m="1" x="110"/>
        <item x="2"/>
        <item m="1" x="33"/>
        <item m="1" x="122"/>
        <item m="1" x="123"/>
        <item m="1" x="116"/>
        <item m="1" x="115"/>
        <item m="1" x="16"/>
        <item x="10"/>
        <item m="1" x="59"/>
        <item m="1" x="39"/>
        <item m="1" x="74"/>
        <item m="1" x="57"/>
        <item m="1" x="109"/>
        <item x="6"/>
        <item m="1" x="13"/>
        <item m="1" x="37"/>
        <item m="1" x="108"/>
        <item m="1" x="19"/>
        <item m="1" x="124"/>
        <item x="0"/>
        <item m="1" x="46"/>
        <item m="1" x="18"/>
        <item m="1" x="51"/>
        <item m="1" x="72"/>
        <item m="1" x="53"/>
        <item m="1" x="30"/>
        <item m="1" x="35"/>
        <item x="8"/>
        <item m="1" x="69"/>
        <item m="1" x="25"/>
        <item m="1" x="14"/>
        <item m="1" x="86"/>
        <item m="1" x="103"/>
        <item m="1" x="101"/>
        <item m="1" x="131"/>
        <item m="1" x="125"/>
        <item m="1" x="128"/>
        <item m="1" x="127"/>
        <item m="1" x="106"/>
        <item m="1" x="137"/>
        <item m="1" x="36"/>
        <item m="1" x="107"/>
        <item m="1" x="126"/>
        <item m="1" x="85"/>
        <item m="1" x="47"/>
        <item m="1" x="97"/>
        <item m="1" x="26"/>
        <item m="1" x="133"/>
        <item m="1" x="117"/>
        <item m="1" x="105"/>
        <item m="1" x="60"/>
        <item m="1" x="80"/>
        <item m="1" x="135"/>
        <item m="1" x="93"/>
        <item m="1" x="63"/>
        <item m="1" x="91"/>
        <item m="1" x="79"/>
        <item m="1" x="81"/>
        <item m="1" x="142"/>
        <item m="1" x="87"/>
        <item m="1" x="94"/>
        <item m="1" x="66"/>
        <item m="1" x="139"/>
        <item m="1" x="75"/>
        <item m="1" x="82"/>
        <item m="1" x="64"/>
        <item m="1" x="138"/>
        <item m="1" x="83"/>
        <item m="1" x="136"/>
        <item m="1" x="113"/>
        <item m="1" x="29"/>
        <item m="1" x="140"/>
        <item m="1" x="99"/>
        <item m="1" x="50"/>
        <item m="1" x="95"/>
        <item m="1" x="102"/>
        <item m="1" x="84"/>
        <item m="1" x="143"/>
        <item m="1" x="141"/>
        <item m="1" x="98"/>
        <item m="1" x="92"/>
        <item m="1" x="76"/>
        <item m="1" x="88"/>
        <item m="1" x="96"/>
        <item m="1" x="89"/>
        <item m="1" x="100"/>
        <item m="1" x="90"/>
        <item m="1" x="134"/>
        <item m="1" x="129"/>
        <item m="1" x="132"/>
        <item m="1" x="130"/>
        <item m="1" x="112"/>
        <item m="1" x="52"/>
        <item x="7"/>
        <item m="1" x="104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5"/>
    </i>
    <i>
      <x v="4"/>
    </i>
    <i>
      <x v="2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a de % MYSTERY" fld="18" baseField="0" baseItem="0" numFmtId="9"/>
  </dataFields>
  <formats count="17">
    <format dxfId="661">
      <pivotArea outline="0" collapsedLevelsAreSubtotals="1" fieldPosition="0"/>
    </format>
    <format dxfId="660">
      <pivotArea dataOnly="0" labelOnly="1" grandCol="1" outline="0" fieldPosition="0"/>
    </format>
    <format dxfId="659">
      <pivotArea dataOnly="0" labelOnly="1" grandCol="1" outline="0" fieldPosition="0"/>
    </format>
    <format dxfId="658">
      <pivotArea grandRow="1" outline="0" collapsedLevelsAreSubtotals="1" fieldPosition="0"/>
    </format>
    <format dxfId="657">
      <pivotArea grandRow="1" outline="0" collapsedLevelsAreSubtotals="1" fieldPosition="0"/>
    </format>
    <format dxfId="656">
      <pivotArea dataOnly="0" labelOnly="1" grandCol="1" outline="0" fieldPosition="0"/>
    </format>
    <format dxfId="655">
      <pivotArea grandRow="1" grandCol="1" outline="0" collapsedLevelsAreSubtotals="1" fieldPosition="0"/>
    </format>
    <format dxfId="654">
      <pivotArea outline="0" collapsedLevelsAreSubtotals="1" fieldPosition="0"/>
    </format>
    <format dxfId="653">
      <pivotArea field="2" type="button" dataOnly="0" labelOnly="1" outline="0" axis="axisCol" fieldPosition="0"/>
    </format>
    <format dxfId="652">
      <pivotArea type="topRight" dataOnly="0" labelOnly="1" outline="0" fieldPosition="0"/>
    </format>
    <format dxfId="651">
      <pivotArea dataOnly="0" labelOnly="1" fieldPosition="0">
        <references count="1">
          <reference field="2" count="0"/>
        </references>
      </pivotArea>
    </format>
    <format dxfId="650">
      <pivotArea dataOnly="0" labelOnly="1" grandCol="1" outline="0" fieldPosition="0"/>
    </format>
    <format dxfId="649">
      <pivotArea outline="0" collapsedLevelsAreSubtotals="1" fieldPosition="0"/>
    </format>
    <format dxfId="648">
      <pivotArea field="2" type="button" dataOnly="0" labelOnly="1" outline="0" axis="axisCol" fieldPosition="0"/>
    </format>
    <format dxfId="647">
      <pivotArea type="topRight" dataOnly="0" labelOnly="1" outline="0" fieldPosition="0"/>
    </format>
    <format dxfId="646">
      <pivotArea dataOnly="0" labelOnly="1" fieldPosition="0">
        <references count="1">
          <reference field="2" count="0"/>
        </references>
      </pivotArea>
    </format>
    <format dxfId="645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4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2" selected="0">
                    <x v="2"/>
                    <x v="3"/>
                  </reference>
                </references>
              </pivotArea>
            </x14:pivotAreas>
          </x14:conditionalFormat>
          <x14:conditionalFormat priority="17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7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1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11" firstHeaderRow="0" firstDataRow="1" firstDataCol="1"/>
  <pivotFields count="11">
    <pivotField showAll="0"/>
    <pivotField axis="axisRow" showAll="0" sortType="descending">
      <items count="16">
        <item x="0"/>
        <item x="1"/>
        <item x="2"/>
        <item x="3"/>
        <item m="1" x="9"/>
        <item m="1" x="6"/>
        <item x="4"/>
        <item m="1" x="14"/>
        <item m="1" x="13"/>
        <item m="1" x="12"/>
        <item x="5"/>
        <item m="1" x="10"/>
        <item m="1" x="11"/>
        <item m="1" x="7"/>
        <item m="1" x="8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">
    <i>
      <x v="10"/>
    </i>
    <i>
      <x v="3"/>
    </i>
    <i>
      <x/>
    </i>
    <i>
      <x v="2"/>
    </i>
    <i>
      <x v="1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6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4">
      <pivotArea outline="0" collapsedLevelsAreSubtotals="1" fieldPosition="0"/>
    </format>
    <format dxfId="6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2">
      <pivotArea outline="0" collapsedLevelsAreSubtotals="1" fieldPosition="0"/>
    </format>
    <format dxfId="6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9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67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75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74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73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72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71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670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9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8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667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66">
      <pivotArea field="1" type="button" dataOnly="0" labelOnly="1" outline="0" axis="axisRow" fieldPosition="0"/>
    </format>
    <format dxfId="6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4">
      <pivotArea dataOnly="0" labelOnly="1" grandRow="1" outline="0" fieldPosition="0"/>
    </format>
    <format dxfId="66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662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38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52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5"/>
        <item x="2"/>
        <item m="1" x="6"/>
        <item x="3"/>
        <item x="0"/>
        <item m="1" x="11"/>
        <item m="1" x="10"/>
        <item m="1" x="9"/>
        <item m="1" x="7"/>
        <item m="1"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44">
        <item m="1" x="131"/>
        <item m="1" x="137"/>
        <item m="1" x="133"/>
        <item m="1" x="135"/>
        <item m="1" x="81"/>
        <item m="1" x="142"/>
        <item m="1" x="66"/>
        <item m="1" x="139"/>
        <item m="1" x="64"/>
        <item m="1" x="138"/>
        <item m="1" x="136"/>
        <item m="1" x="140"/>
        <item m="1" x="143"/>
        <item m="1" x="141"/>
        <item m="1" x="134"/>
        <item m="1" x="129"/>
        <item m="1" x="132"/>
        <item m="1" x="130"/>
        <item m="1" x="112"/>
        <item m="1" x="63"/>
        <item m="1" x="128"/>
        <item m="1" x="126"/>
        <item m="1" x="127"/>
        <item m="1" x="125"/>
        <item m="1" x="29"/>
        <item m="1" x="117"/>
        <item m="1" x="118"/>
        <item m="1" x="119"/>
        <item m="1" x="120"/>
        <item m="1" x="121"/>
        <item m="1" x="122"/>
        <item m="1" x="123"/>
        <item m="1" x="124"/>
        <item m="1" x="113"/>
        <item m="1" x="105"/>
        <item m="1" x="106"/>
        <item m="1" x="107"/>
        <item m="1" x="108"/>
        <item m="1" x="109"/>
        <item m="1" x="114"/>
        <item m="1" x="110"/>
        <item m="1" x="115"/>
        <item m="1" x="116"/>
        <item m="1" x="111"/>
        <item m="1" x="99"/>
        <item m="1" x="102"/>
        <item m="1" x="101"/>
        <item m="1" x="100"/>
        <item m="1" x="104"/>
        <item m="1" x="103"/>
        <item x="7"/>
        <item m="1" x="89"/>
        <item m="1" x="88"/>
        <item m="1" x="86"/>
        <item m="1" x="47"/>
        <item m="1" x="92"/>
        <item m="1" x="93"/>
        <item m="1" x="87"/>
        <item m="1" x="85"/>
        <item m="1" x="98"/>
        <item m="1" x="90"/>
        <item m="1" x="91"/>
        <item m="1" x="94"/>
        <item m="1" x="97"/>
        <item m="1" x="95"/>
        <item m="1" x="50"/>
        <item m="1" x="96"/>
        <item m="1" x="82"/>
        <item m="1" x="60"/>
        <item m="1" x="83"/>
        <item m="1" x="80"/>
        <item m="1" x="84"/>
        <item m="1" x="75"/>
        <item m="1" x="76"/>
        <item m="1" x="78"/>
        <item m="1" x="77"/>
        <item m="1" x="79"/>
        <item m="1" x="71"/>
        <item m="1" x="65"/>
        <item m="1" x="68"/>
        <item m="1" x="70"/>
        <item m="1" x="73"/>
        <item m="1" x="72"/>
        <item m="1" x="74"/>
        <item m="1" x="69"/>
        <item m="1" x="67"/>
        <item m="1" x="61"/>
        <item m="1" x="58"/>
        <item m="1" x="59"/>
        <item m="1" x="62"/>
        <item m="1" x="55"/>
        <item m="1" x="51"/>
        <item m="1" x="53"/>
        <item m="1" x="52"/>
        <item m="1" x="57"/>
        <item m="1" x="56"/>
        <item m="1" x="5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8"/>
        <item m="1" x="49"/>
        <item m="1" x="30"/>
        <item m="1" x="31"/>
        <item m="1" x="32"/>
        <item m="1" x="33"/>
        <item m="1" x="17"/>
        <item m="1" x="34"/>
        <item m="1" x="13"/>
        <item x="0"/>
        <item m="1" x="3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9"/>
        <item m="1" x="11"/>
        <item m="1" x="18"/>
        <item x="10"/>
        <item m="1" x="16"/>
        <item m="1" x="14"/>
        <item m="1" x="12"/>
        <item m="1" x="15"/>
        <item x="1"/>
        <item x="4"/>
        <item x="3"/>
        <item x="2"/>
        <item x="5"/>
        <item x="8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2"/>
        <item x="1"/>
        <item x="3"/>
        <item h="1"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10">
    <i>
      <x/>
      <x v="1"/>
      <x v="132"/>
    </i>
    <i r="1">
      <x v="2"/>
      <x v="129"/>
    </i>
    <i r="1">
      <x v="3"/>
      <x v="137"/>
    </i>
    <i>
      <x v="1"/>
      <x v="3"/>
      <x v="50"/>
    </i>
    <i>
      <x v="2"/>
      <x v="2"/>
      <x v="141"/>
    </i>
    <i r="1">
      <x v="3"/>
      <x v="140"/>
    </i>
    <i>
      <x v="4"/>
      <x v="2"/>
      <x v="139"/>
    </i>
    <i>
      <x v="5"/>
      <x v="1"/>
      <x v="117"/>
    </i>
    <i>
      <x v="11"/>
      <x v="2"/>
      <x v="143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2">
    <format dxfId="727">
      <pivotArea outline="0" collapsedLevelsAreSubtotals="1" fieldPosition="0"/>
    </format>
    <format dxfId="726">
      <pivotArea outline="0" collapsedLevelsAreSubtotals="1" fieldPosition="0"/>
    </format>
    <format dxfId="725">
      <pivotArea dataOnly="0" labelOnly="1" grandCol="1" outline="0" fieldPosition="0"/>
    </format>
    <format dxfId="724">
      <pivotArea outline="0" collapsedLevelsAreSubtotals="1" fieldPosition="0"/>
    </format>
    <format dxfId="723">
      <pivotArea dataOnly="0" labelOnly="1" grandCol="1" outline="0" fieldPosition="0"/>
    </format>
    <format dxfId="722">
      <pivotArea grandRow="1" outline="0" collapsedLevelsAreSubtotals="1" fieldPosition="0"/>
    </format>
    <format dxfId="721">
      <pivotArea grandRow="1" outline="0" collapsedLevelsAreSubtotals="1" fieldPosition="0"/>
    </format>
    <format dxfId="720">
      <pivotArea dataOnly="0" labelOnly="1" grandCol="1" outline="0" fieldPosition="0"/>
    </format>
    <format dxfId="719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718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717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71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715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714">
      <pivotArea field="1" type="button" dataOnly="0" labelOnly="1" outline="0" axis="axisRow" fieldPosition="0"/>
    </format>
    <format dxfId="713">
      <pivotArea field="5" type="button" dataOnly="0" labelOnly="1" outline="0" axis="axisRow" fieldPosition="2"/>
    </format>
    <format dxfId="712">
      <pivotArea dataOnly="0" labelOnly="1" outline="0" fieldPosition="0">
        <references count="1">
          <reference field="12" count="0"/>
        </references>
      </pivotArea>
    </format>
    <format dxfId="711">
      <pivotArea dataOnly="0" labelOnly="1" grandCol="1" outline="0" fieldPosition="0"/>
    </format>
    <format dxfId="710">
      <pivotArea field="1" type="button" dataOnly="0" labelOnly="1" outline="0" axis="axisRow" fieldPosition="0"/>
    </format>
    <format dxfId="709">
      <pivotArea field="5" type="button" dataOnly="0" labelOnly="1" outline="0" axis="axisRow" fieldPosition="2"/>
    </format>
    <format dxfId="708">
      <pivotArea dataOnly="0" labelOnly="1" outline="0" fieldPosition="0">
        <references count="1">
          <reference field="12" count="0"/>
        </references>
      </pivotArea>
    </format>
    <format dxfId="707">
      <pivotArea dataOnly="0" labelOnly="1" grandCol="1" outline="0" fieldPosition="0"/>
    </format>
    <format dxfId="706">
      <pivotArea field="2" type="button" dataOnly="0" labelOnly="1" outline="0" axis="axisRow" fieldPosition="1"/>
    </format>
    <format dxfId="705">
      <pivotArea field="1" type="button" dataOnly="0" labelOnly="1" outline="0" axis="axisRow" fieldPosition="0"/>
    </format>
    <format dxfId="704">
      <pivotArea field="2" type="button" dataOnly="0" labelOnly="1" outline="0" axis="axisRow" fieldPosition="1"/>
    </format>
    <format dxfId="703">
      <pivotArea field="5" type="button" dataOnly="0" labelOnly="1" outline="0" axis="axisRow" fieldPosition="2"/>
    </format>
    <format dxfId="702">
      <pivotArea dataOnly="0" labelOnly="1" outline="0" fieldPosition="0">
        <references count="1">
          <reference field="12" count="0"/>
        </references>
      </pivotArea>
    </format>
    <format dxfId="701">
      <pivotArea dataOnly="0" labelOnly="1" grandCol="1" outline="0" fieldPosition="0"/>
    </format>
    <format dxfId="700">
      <pivotArea field="1" type="button" dataOnly="0" labelOnly="1" outline="0" axis="axisRow" fieldPosition="0"/>
    </format>
    <format dxfId="699">
      <pivotArea field="2" type="button" dataOnly="0" labelOnly="1" outline="0" axis="axisRow" fieldPosition="1"/>
    </format>
    <format dxfId="698">
      <pivotArea field="5" type="button" dataOnly="0" labelOnly="1" outline="0" axis="axisRow" fieldPosition="2"/>
    </format>
    <format dxfId="697">
      <pivotArea dataOnly="0" labelOnly="1" outline="0" fieldPosition="0">
        <references count="1">
          <reference field="12" count="0"/>
        </references>
      </pivotArea>
    </format>
    <format dxfId="696">
      <pivotArea field="12" grandRow="1" outline="0" axis="axisCol" fieldPosition="0">
        <references count="1">
          <reference field="12" count="0" selected="0"/>
        </references>
      </pivotArea>
    </format>
    <format dxfId="695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694">
      <pivotArea dataOnly="0" labelOnly="1" grandRow="1" outline="0" fieldPosition="0"/>
    </format>
    <format dxfId="693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692">
      <pivotArea dataOnly="0" labelOnly="1" grandRow="1" outline="0" fieldPosition="0"/>
    </format>
    <format dxfId="691">
      <pivotArea field="11" type="button" dataOnly="0" labelOnly="1" outline="0" axis="axisPage" fieldPosition="0"/>
    </format>
    <format dxfId="690">
      <pivotArea field="12" grandRow="1" outline="0" axis="axisCol" fieldPosition="0">
        <references count="1">
          <reference field="12" count="0" selected="0"/>
        </references>
      </pivotArea>
    </format>
    <format dxfId="689">
      <pivotArea field="12" grandRow="1" outline="0" axis="axisCol" fieldPosition="0">
        <references count="1">
          <reference field="12" count="0" selected="0"/>
        </references>
      </pivotArea>
    </format>
    <format dxfId="688">
      <pivotArea field="12" grandRow="1" outline="0" axis="axisCol" fieldPosition="0">
        <references count="1">
          <reference field="12" count="0" selected="0"/>
        </references>
      </pivotArea>
    </format>
    <format dxfId="687">
      <pivotArea grandRow="1" grandCol="1" outline="0" collapsedLevelsAreSubtotals="1" fieldPosition="0"/>
    </format>
    <format dxfId="686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3">
          <x14:conditionalFormat priority="6" id="{038D42E0-8A84-4FEF-BEB1-D905C252E0DE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0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  <x14:conditionalFormat priority="3" id="{CC4E51BC-809F-4D8F-BA13-971E2EC587CF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1"/>
                    <x v="2"/>
                    <x v="4"/>
                    <x v="5"/>
                  </reference>
                  <reference field="2" count="3" selected="0">
                    <x v="1"/>
                    <x v="2"/>
                    <x v="3"/>
                  </reference>
                  <reference field="5" count="8" selected="0">
                    <x v="50"/>
                    <x v="117"/>
                    <x v="129"/>
                    <x v="132"/>
                    <x v="137"/>
                    <x v="139"/>
                    <x v="140"/>
                    <x v="14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38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K32" firstHeaderRow="1" firstDataRow="2" firstDataCol="1"/>
  <pivotFields count="19">
    <pivotField showAll="0"/>
    <pivotField axis="axisCol" showAll="0">
      <items count="13">
        <item x="1"/>
        <item x="5"/>
        <item x="2"/>
        <item m="1" x="6"/>
        <item x="3"/>
        <item x="0"/>
        <item m="1" x="11"/>
        <item m="1" x="10"/>
        <item m="1" x="9"/>
        <item m="1" x="7"/>
        <item m="1" x="8"/>
        <item x="4"/>
        <item t="default"/>
      </items>
    </pivotField>
    <pivotField showAll="0"/>
    <pivotField showAll="0"/>
    <pivotField showAll="0"/>
    <pivotField showAll="0">
      <items count="145">
        <item m="1" x="56"/>
        <item m="1" x="48"/>
        <item m="1" x="12"/>
        <item m="1" x="11"/>
        <item m="1" x="23"/>
        <item x="5"/>
        <item m="1" x="68"/>
        <item m="1" x="61"/>
        <item m="1" x="121"/>
        <item m="1" x="120"/>
        <item m="1" x="54"/>
        <item m="1" x="58"/>
        <item m="1" x="55"/>
        <item m="1" x="111"/>
        <item m="1" x="73"/>
        <item m="1" x="65"/>
        <item m="1" x="62"/>
        <item m="1" x="67"/>
        <item m="1" x="41"/>
        <item m="1" x="34"/>
        <item m="1" x="24"/>
        <item m="1" x="71"/>
        <item m="1" x="31"/>
        <item x="4"/>
        <item m="1" x="40"/>
        <item m="1" x="32"/>
        <item m="1" x="78"/>
        <item m="1" x="77"/>
        <item m="1" x="22"/>
        <item m="1" x="28"/>
        <item m="1" x="20"/>
        <item m="1" x="43"/>
        <item m="1" x="119"/>
        <item m="1" x="42"/>
        <item m="1" x="38"/>
        <item x="3"/>
        <item x="9"/>
        <item x="1"/>
        <item m="1" x="45"/>
        <item m="1" x="21"/>
        <item m="1" x="15"/>
        <item m="1" x="49"/>
        <item m="1" x="27"/>
        <item m="1" x="17"/>
        <item m="1" x="70"/>
        <item m="1" x="118"/>
        <item m="1" x="44"/>
        <item m="1" x="114"/>
        <item m="1" x="110"/>
        <item x="2"/>
        <item m="1" x="33"/>
        <item m="1" x="122"/>
        <item m="1" x="123"/>
        <item m="1" x="116"/>
        <item m="1" x="115"/>
        <item m="1" x="16"/>
        <item x="10"/>
        <item m="1" x="59"/>
        <item m="1" x="39"/>
        <item m="1" x="74"/>
        <item m="1" x="57"/>
        <item m="1" x="109"/>
        <item x="6"/>
        <item m="1" x="13"/>
        <item m="1" x="37"/>
        <item m="1" x="108"/>
        <item m="1" x="19"/>
        <item m="1" x="124"/>
        <item x="0"/>
        <item m="1" x="46"/>
        <item m="1" x="18"/>
        <item m="1" x="51"/>
        <item m="1" x="72"/>
        <item m="1" x="53"/>
        <item m="1" x="30"/>
        <item m="1" x="35"/>
        <item x="8"/>
        <item m="1" x="69"/>
        <item m="1" x="25"/>
        <item m="1" x="14"/>
        <item m="1" x="86"/>
        <item m="1" x="103"/>
        <item m="1" x="101"/>
        <item m="1" x="131"/>
        <item m="1" x="125"/>
        <item m="1" x="128"/>
        <item m="1" x="127"/>
        <item m="1" x="106"/>
        <item m="1" x="137"/>
        <item m="1" x="36"/>
        <item m="1" x="107"/>
        <item m="1" x="126"/>
        <item m="1" x="85"/>
        <item m="1" x="47"/>
        <item m="1" x="97"/>
        <item m="1" x="26"/>
        <item m="1" x="133"/>
        <item m="1" x="117"/>
        <item m="1" x="105"/>
        <item m="1" x="60"/>
        <item m="1" x="80"/>
        <item m="1" x="135"/>
        <item m="1" x="93"/>
        <item m="1" x="63"/>
        <item m="1" x="91"/>
        <item m="1" x="79"/>
        <item m="1" x="81"/>
        <item m="1" x="142"/>
        <item m="1" x="87"/>
        <item m="1" x="94"/>
        <item m="1" x="66"/>
        <item m="1" x="139"/>
        <item m="1" x="75"/>
        <item m="1" x="82"/>
        <item m="1" x="64"/>
        <item m="1" x="138"/>
        <item m="1" x="83"/>
        <item m="1" x="136"/>
        <item m="1" x="113"/>
        <item m="1" x="29"/>
        <item m="1" x="140"/>
        <item m="1" x="99"/>
        <item m="1" x="50"/>
        <item m="1" x="95"/>
        <item m="1" x="102"/>
        <item m="1" x="84"/>
        <item m="1" x="143"/>
        <item m="1" x="141"/>
        <item m="1" x="98"/>
        <item m="1" x="92"/>
        <item m="1" x="76"/>
        <item m="1" x="88"/>
        <item m="1" x="96"/>
        <item m="1" x="89"/>
        <item m="1" x="100"/>
        <item m="1" x="90"/>
        <item m="1" x="134"/>
        <item m="1" x="129"/>
        <item m="1" x="132"/>
        <item m="1" x="130"/>
        <item m="1" x="112"/>
        <item m="1" x="52"/>
        <item x="7"/>
        <item m="1" x="104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5"/>
    </i>
    <i>
      <x v="4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4"/>
    </i>
    <i>
      <x v="5"/>
    </i>
    <i>
      <x v="11"/>
    </i>
    <i t="grand">
      <x/>
    </i>
  </colItems>
  <dataFields count="1">
    <dataField name="Suma de % MYSTERY" fld="18" baseField="0" baseItem="0" numFmtId="9"/>
  </dataFields>
  <formats count="17">
    <format dxfId="744">
      <pivotArea outline="0" collapsedLevelsAreSubtotals="1" fieldPosition="0"/>
    </format>
    <format dxfId="743">
      <pivotArea dataOnly="0" labelOnly="1" grandCol="1" outline="0" fieldPosition="0"/>
    </format>
    <format dxfId="742">
      <pivotArea dataOnly="0" labelOnly="1" grandCol="1" outline="0" fieldPosition="0"/>
    </format>
    <format dxfId="741">
      <pivotArea grandRow="1" outline="0" collapsedLevelsAreSubtotals="1" fieldPosition="0"/>
    </format>
    <format dxfId="740">
      <pivotArea grandRow="1" outline="0" collapsedLevelsAreSubtotals="1" fieldPosition="0"/>
    </format>
    <format dxfId="739">
      <pivotArea dataOnly="0" labelOnly="1" grandCol="1" outline="0" fieldPosition="0"/>
    </format>
    <format dxfId="738">
      <pivotArea grandRow="1" grandCol="1" outline="0" collapsedLevelsAreSubtotals="1" fieldPosition="0"/>
    </format>
    <format dxfId="737">
      <pivotArea outline="0" collapsedLevelsAreSubtotals="1" fieldPosition="0"/>
    </format>
    <format dxfId="736">
      <pivotArea field="1" type="button" dataOnly="0" labelOnly="1" outline="0" axis="axisCol" fieldPosition="0"/>
    </format>
    <format dxfId="735">
      <pivotArea type="topRight" dataOnly="0" labelOnly="1" outline="0" fieldPosition="0"/>
    </format>
    <format dxfId="734">
      <pivotArea dataOnly="0" labelOnly="1" fieldPosition="0">
        <references count="1">
          <reference field="1" count="0"/>
        </references>
      </pivotArea>
    </format>
    <format dxfId="733">
      <pivotArea dataOnly="0" labelOnly="1" grandCol="1" outline="0" fieldPosition="0"/>
    </format>
    <format dxfId="732">
      <pivotArea outline="0" collapsedLevelsAreSubtotals="1" fieldPosition="0"/>
    </format>
    <format dxfId="731">
      <pivotArea field="1" type="button" dataOnly="0" labelOnly="1" outline="0" axis="axisCol" fieldPosition="0"/>
    </format>
    <format dxfId="730">
      <pivotArea type="topRight" dataOnly="0" labelOnly="1" outline="0" fieldPosition="0"/>
    </format>
    <format dxfId="729">
      <pivotArea dataOnly="0" labelOnly="1" fieldPosition="0">
        <references count="1">
          <reference field="1" count="0"/>
        </references>
      </pivotArea>
    </format>
    <format dxfId="728">
      <pivotArea dataOnly="0" labelOnly="1" grandCol="1" outline="0" fieldPosition="0"/>
    </format>
  </format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5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14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15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6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4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7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2" id="{C5BC4589-334D-49C5-AD2B-43ECB2263BB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1" id="{347E788A-5860-4605-A21F-0E523D13A54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256">
    <queryTableFields count="44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224" name="EL LINEAL SE ENCUENTRA LIMPIO Y ORGANIZADO (EVIDENCIA POLVO O TIERRA EN EL PRODUCTO Y/O LINEAL)" tableColumnId="23"/>
      <queryTableField id="225" name="LOS PRODUCTOS TIENEN EL PRECIO Y ESTAN ACORDE O CORRESPONDIENTE A CADA REFERENCIA (REVISAR LA FECHA DE IMPRESIÓN DEL PRECIO)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226" name="CUAL ES LA ESTRATEGIA DE EXHIBICIÓN PARA LAS MARCAS MAINSTRAIN (ALPO Y GATSY) DE PURINA Y PORQUE?" tableColumnId="28"/>
      <queryTableField id="208" name="CONOCE EL % DE PARTICIPACIÓN QUE TIENE EN EL PUNTO DE VENTA E INFORMA CUAL ES ESE % (REALIZAR EL EJERCICIO DE CONTAR LAS CARAS PARA VALIDAR SI ES CORRECTO)" tableColumnId="29"/>
      <queryTableField id="209" name="MANEJA MARCA DE PERROS, GATOS O AMBOS, Y HAY PRESENCIA DE LA COMPETENCIA? (EN EL VIDEO DEBE QUEDAR LA VISUAL DE LAS MARCAS DE LA COMPETENCIA PRESENTES EN EL PDV)" tableColumnId="31"/>
      <queryTableField id="171" name="SELECCIONE EL CANAL DEL PDV AUDITADO?" tableColumnId="30"/>
      <queryTableField id="220" name="CM - TIENE IMPLEMENTADO EL MATERIAL POP CORRECPONDIENTE A LAS PROMOCIONES QUE APLICAN EN EL PDV?" tableColumnId="39"/>
      <queryTableField id="227" name="CM - TIENE ACTIVIDADES DE PLAN PEGA EN EL PDV?" tableColumnId="41"/>
      <queryTableField id="228" name="CM - TIENE CODIFICADAS LAS DOS NUEVAS REFERENCIAS FELIZ MULTIPROTEINA Y CUENTA CON EL POP CORRESPONDIENTE?" tableColumnId="42"/>
      <queryTableField id="221" name="CM - TIENE IMPLEMENTADAS LAS EXHIBICIONES NEGOCIADAS EN EL PDV?" tableColumnId="40"/>
      <queryTableField id="174" name="DESEA AÑADIR ALGUNA OBSERVACION / NOVEDAD CON LA AUDITORIA REALIZADA?" tableColumnId="33"/>
      <queryTableField id="200" name="CE - SE ENCUENTRA EL MATERIAL POP DE FELIX NUEVAS REFERENCIAS &quot; APLICA DONDE ESTA CODIFICADO&quot;" tableColumnId="36"/>
      <queryTableField id="201" name="CE - SE ENCUENTRA EN EL LINEAL LAS REFERENCIAS 1,5 EN PU Y ADU DE LA MARCA EXCELLENT?" tableColumnId="37"/>
      <queryTableField id="202" name="CE - SE ENCUENTRA LA NUEVA REFERENCIA DE EXCELLENT ESTIRILIZADO DE 1K?" tableColumnId="38"/>
      <queryTableField id="210" name="CE - SE ENCUENTRA LA REFERENCIA PRO PLAN WET DE SALMON Y/URINARIO" tableColumnId="32"/>
      <queryTableField id="211" name="CE - EL PDV MANEJA CATEGORIA DE SNACKS? (EN EL VIDEO DEBE QUEDAR LA VISUAL DE LAS MARCAS DE PURINA PRESENTES EN EL PDV)" tableColumnId="34"/>
      <queryTableField id="229" name="INDIQUE OBSERVACIÓN/NOVEDAD" tableColumnId="43"/>
      <queryTableField id="219" name="CT - CONOCE EL PRECIO DE LA PAQUETERIA (DOG CHOW 350G / 475G; CAT CHOW 200G? (Si el mercaderista informa que el PDV no lo permite implementar quedaria como N/A)" tableColumnId="35"/>
      <queryTableField id="230" name="CT - CONOCE LAS INNOVACIONES  ALTA PROTEINA?" tableColumnId="4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2">
        <i x="0" s="1"/>
        <i x="1" s="1"/>
        <i x="5" s="1"/>
        <i x="2" s="1"/>
        <i x="3" s="1"/>
        <i x="4" s="1"/>
        <i x="8" s="1" nd="1"/>
        <i x="9" s="1" nd="1"/>
        <i x="7" s="1" nd="1"/>
        <i x="6" s="1" nd="1"/>
        <i x="11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44">
        <i x="5" s="1"/>
        <i x="3" s="1"/>
        <i x="9" s="1"/>
        <i x="1" s="1"/>
        <i x="2" s="1"/>
        <i x="10" s="1"/>
        <i x="6" s="1"/>
        <i x="0" s="1"/>
        <i x="7" s="1"/>
        <i x="56" s="1" nd="1"/>
        <i x="48" s="1" nd="1"/>
        <i x="12" s="1" nd="1"/>
        <i x="11" s="1" nd="1"/>
        <i x="23" s="1" nd="1"/>
        <i x="68" s="1" nd="1"/>
        <i x="61" s="1" nd="1"/>
        <i x="121" s="1" nd="1"/>
        <i x="120" s="1" nd="1"/>
        <i x="54" s="1" nd="1"/>
        <i x="58" s="1" nd="1"/>
        <i x="55" s="1" nd="1"/>
        <i x="111" s="1" nd="1"/>
        <i x="73" s="1" nd="1"/>
        <i x="65" s="1" nd="1"/>
        <i x="62" s="1" nd="1"/>
        <i x="67" s="1" nd="1"/>
        <i x="41" s="1" nd="1"/>
        <i x="34" s="1" nd="1"/>
        <i x="24" s="1" nd="1"/>
        <i x="71" s="1" nd="1"/>
        <i x="31" s="1" nd="1"/>
        <i x="4" s="1" nd="1"/>
        <i x="40" s="1" nd="1"/>
        <i x="32" s="1" nd="1"/>
        <i x="78" s="1" nd="1"/>
        <i x="77" s="1" nd="1"/>
        <i x="22" s="1" nd="1"/>
        <i x="28" s="1" nd="1"/>
        <i x="20" s="1" nd="1"/>
        <i x="43" s="1" nd="1"/>
        <i x="119" s="1" nd="1"/>
        <i x="42" s="1" nd="1"/>
        <i x="38" s="1" nd="1"/>
        <i x="45" s="1" nd="1"/>
        <i x="21" s="1" nd="1"/>
        <i x="15" s="1" nd="1"/>
        <i x="49" s="1" nd="1"/>
        <i x="27" s="1" nd="1"/>
        <i x="17" s="1" nd="1"/>
        <i x="70" s="1" nd="1"/>
        <i x="118" s="1" nd="1"/>
        <i x="44" s="1" nd="1"/>
        <i x="114" s="1" nd="1"/>
        <i x="110" s="1" nd="1"/>
        <i x="33" s="1" nd="1"/>
        <i x="122" s="1" nd="1"/>
        <i x="123" s="1" nd="1"/>
        <i x="116" s="1" nd="1"/>
        <i x="115" s="1" nd="1"/>
        <i x="16" s="1" nd="1"/>
        <i x="59" s="1" nd="1"/>
        <i x="39" s="1" nd="1"/>
        <i x="74" s="1" nd="1"/>
        <i x="57" s="1" nd="1"/>
        <i x="109" s="1" nd="1"/>
        <i x="13" s="1" nd="1"/>
        <i x="37" s="1" nd="1"/>
        <i x="108" s="1" nd="1"/>
        <i x="19" s="1" nd="1"/>
        <i x="124" s="1" nd="1"/>
        <i x="46" s="1" nd="1"/>
        <i x="18" s="1" nd="1"/>
        <i x="51" s="1" nd="1"/>
        <i x="72" s="1" nd="1"/>
        <i x="53" s="1" nd="1"/>
        <i x="30" s="1" nd="1"/>
        <i x="35" s="1" nd="1"/>
        <i x="8" s="1" nd="1"/>
        <i x="69" s="1" nd="1"/>
        <i x="25" s="1" nd="1"/>
        <i x="14" s="1" nd="1"/>
        <i x="86" s="1" nd="1"/>
        <i x="103" s="1" nd="1"/>
        <i x="101" s="1" nd="1"/>
        <i x="131" s="1" nd="1"/>
        <i x="125" s="1" nd="1"/>
        <i x="128" s="1" nd="1"/>
        <i x="127" s="1" nd="1"/>
        <i x="106" s="1" nd="1"/>
        <i x="137" s="1" nd="1"/>
        <i x="36" s="1" nd="1"/>
        <i x="107" s="1" nd="1"/>
        <i x="126" s="1" nd="1"/>
        <i x="85" s="1" nd="1"/>
        <i x="47" s="1" nd="1"/>
        <i x="97" s="1" nd="1"/>
        <i x="26" s="1" nd="1"/>
        <i x="133" s="1" nd="1"/>
        <i x="117" s="1" nd="1"/>
        <i x="105" s="1" nd="1"/>
        <i x="60" s="1" nd="1"/>
        <i x="80" s="1" nd="1"/>
        <i x="135" s="1" nd="1"/>
        <i x="93" s="1" nd="1"/>
        <i x="63" s="1" nd="1"/>
        <i x="91" s="1" nd="1"/>
        <i x="79" s="1" nd="1"/>
        <i x="81" s="1" nd="1"/>
        <i x="142" s="1" nd="1"/>
        <i x="87" s="1" nd="1"/>
        <i x="94" s="1" nd="1"/>
        <i x="66" s="1" nd="1"/>
        <i x="139" s="1" nd="1"/>
        <i x="75" s="1" nd="1"/>
        <i x="82" s="1" nd="1"/>
        <i x="64" s="1" nd="1"/>
        <i x="138" s="1" nd="1"/>
        <i x="83" s="1" nd="1"/>
        <i x="136" s="1" nd="1"/>
        <i x="113" s="1" nd="1"/>
        <i x="29" s="1" nd="1"/>
        <i x="140" s="1" nd="1"/>
        <i x="99" s="1" nd="1"/>
        <i x="50" s="1" nd="1"/>
        <i x="95" s="1" nd="1"/>
        <i x="102" s="1" nd="1"/>
        <i x="84" s="1" nd="1"/>
        <i x="143" s="1" nd="1"/>
        <i x="141" s="1" nd="1"/>
        <i x="98" s="1" nd="1"/>
        <i x="92" s="1" nd="1"/>
        <i x="76" s="1" nd="1"/>
        <i x="88" s="1" nd="1"/>
        <i x="96" s="1" nd="1"/>
        <i x="89" s="1" nd="1"/>
        <i x="100" s="1" nd="1"/>
        <i x="90" s="1" nd="1"/>
        <i x="134" s="1" nd="1"/>
        <i x="129" s="1" nd="1"/>
        <i x="132" s="1" nd="1"/>
        <i x="130" s="1" nd="1"/>
        <i x="112" s="1" nd="1"/>
        <i x="52" s="1" nd="1"/>
        <i x="10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239" tableType="queryTable" totalsRowShown="0" dataDxfId="644">
  <autoFilter ref="A1:R239" xr:uid="{97FBBA3F-C205-4AFF-A76D-34CFCE9A6BBA}"/>
  <sortState xmlns:xlrd2="http://schemas.microsoft.com/office/spreadsheetml/2017/richdata2" ref="A2:R239">
    <sortCondition ref="I1:I239"/>
  </sortState>
  <tableColumns count="18">
    <tableColumn id="1" xr3:uid="{F8980204-6799-4FD6-9D3F-ACBAADC7880C}" uniqueName="1" name="ACTIVIDAD" queryTableFieldId="1" dataDxfId="554"/>
    <tableColumn id="2" xr3:uid="{1473C919-5D8D-427F-BA10-68EF03B2B653}" uniqueName="2" name="CIUDAD" queryTableFieldId="2" dataDxfId="553"/>
    <tableColumn id="18" xr3:uid="{20FCDFA3-8687-4CA1-9A5B-AEA6FCAD9592}" uniqueName="18" name="CANAL" queryTableFieldId="24" dataDxfId="552"/>
    <tableColumn id="3" xr3:uid="{271FB548-EFFC-45F2-8177-856C35C071DC}" uniqueName="3" name="CADENA" queryTableFieldId="3" dataDxfId="551"/>
    <tableColumn id="4" xr3:uid="{F71A0A19-15B2-4D1D-905C-70CEC9D6AF47}" uniqueName="4" name="CODIGO PDV" queryTableFieldId="4" dataDxfId="550"/>
    <tableColumn id="5" xr3:uid="{E4FEADCA-E2DE-4789-9C78-5F8FB6496823}" uniqueName="5" name="NOMBRE COMERCIAL" queryTableFieldId="5" dataDxfId="549"/>
    <tableColumn id="6" xr3:uid="{5C99D03B-478A-40A2-B3AE-437E7D31990C}" uniqueName="6" name="PREGUNTA" queryTableFieldId="6" dataDxfId="548"/>
    <tableColumn id="7" xr3:uid="{A5EA4B65-C844-4AE4-AE87-CD2AEFA3E4BD}" uniqueName="7" name="RTA" queryTableFieldId="7" dataDxfId="547"/>
    <tableColumn id="8" xr3:uid="{8D71EA04-388B-4C72-AD67-882BB5218CAB}" uniqueName="8" name="FECHA VISITA" queryTableFieldId="8" dataDxfId="546"/>
    <tableColumn id="9" xr3:uid="{11007230-BF6F-4DA6-9C0C-28D77621834B}" uniqueName="9" name="CODIGO RUTA" queryTableFieldId="9" dataDxfId="545"/>
    <tableColumn id="10" xr3:uid="{CF07A078-D8EF-4D63-9B89-6F593201E2E4}" uniqueName="10" name="USUARIO" queryTableFieldId="10" dataDxfId="544"/>
    <tableColumn id="13" xr3:uid="{F212FAAC-215E-43D0-BC9D-3AA543F277F7}" uniqueName="13" name="MYSTERY EFECTIVO" queryTableFieldId="17" dataDxfId="543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542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541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540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539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538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53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12" totalsRowShown="0" headerRowDxfId="643" dataDxfId="641" headerRowBorderDxfId="642" tableBorderDxfId="640" totalsRowBorderDxfId="639" headerRowCellStyle="Normal 2" dataCellStyle="Normal 2">
  <autoFilter ref="A1:I12" xr:uid="{A06AE8C8-5477-4852-991F-0FB4F9396ED6}"/>
  <tableColumns count="9">
    <tableColumn id="3" xr3:uid="{CEEFCC7D-2B45-4409-9FEE-36A6008A09E3}" name="CANAL" dataDxfId="638" dataCellStyle="Normal 2"/>
    <tableColumn id="1" xr3:uid="{D5DD6073-7452-4C56-A046-CF25B19FCB4F}" name="CIUDAD" dataDxfId="637" dataCellStyle="Normal 2"/>
    <tableColumn id="2" xr3:uid="{304FB0E8-7EB9-4B2E-BDF0-6B1E9D3DF639}" name="CODIGO PDV" dataDxfId="636"/>
    <tableColumn id="4" xr3:uid="{5FFEE965-7C33-4146-8749-C7E79BD9F083}" name="NOMBRE COMERCIAL" dataDxfId="635" dataCellStyle="Normal 2"/>
    <tableColumn id="9" xr3:uid="{56DA6644-1938-47DF-9205-928EAD17CD86}" name="Objetivo Mystery" dataDxfId="634" dataCellStyle="Normal 2"/>
    <tableColumn id="6" xr3:uid="{8587C1B8-25E9-47DF-96EC-0DE9EA854031}" name="#PDV Objetivos" dataDxfId="633"/>
    <tableColumn id="7" xr3:uid="{254582AE-0341-4027-9F60-A63C456EE6EE}" name="#PDV Ejecutados" dataDxfId="632">
      <calculatedColumnFormula>IF(COUNTIFS(Export!I:I,Tabla1[[#This Row],[CODIGO PDV]])&gt;0,1,0)</calculatedColumnFormula>
    </tableColumn>
    <tableColumn id="11" xr3:uid="{EA4A24E0-6A56-4A45-8F19-78AD6DCA277C}" name="# Visitas" dataDxfId="631" dataCellStyle="Normal 2">
      <calculatedColumnFormula>COUNTIFS('DATA INFORME'!D:D,Tabla1[[#This Row],[CODIGO PDV]])</calculatedColumnFormula>
    </tableColumn>
    <tableColumn id="12" xr3:uid="{F623D095-7356-4242-BFFB-11B8E769EF0F}" name="Mystery Ejecutado" dataDxfId="630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R12" tableType="queryTable" totalsRowShown="0" dataDxfId="629">
  <autoFilter ref="A1:AR12" xr:uid="{0562BD29-73FE-4027-BA12-621401EE7163}"/>
  <tableColumns count="44">
    <tableColumn id="1" xr3:uid="{5E36F5EC-EFE4-416F-AE2A-0A34DABD1BE1}" uniqueName="1" name="ACTIVIDAD" queryTableFieldId="1" dataDxfId="598"/>
    <tableColumn id="2" xr3:uid="{2D91E598-A31D-4125-8581-3FD329B9D8A6}" uniqueName="2" name="CIUDAD" queryTableFieldId="2" dataDxfId="597"/>
    <tableColumn id="3" xr3:uid="{BE955660-67C1-4BC9-A7B2-76050F0F9717}" uniqueName="3" name="CADENA" queryTableFieldId="3" dataDxfId="596"/>
    <tableColumn id="4" xr3:uid="{584B1D0E-A845-487E-B24D-3F46D830A3DD}" uniqueName="4" name="CODIGO PDV" queryTableFieldId="4" dataDxfId="595"/>
    <tableColumn id="5" xr3:uid="{5C21200B-0203-45FF-8479-0CBCF5834786}" uniqueName="5" name="NOMBRE COMERCIAL" queryTableFieldId="5" dataDxfId="594"/>
    <tableColumn id="6" xr3:uid="{AF5E9C40-1A6C-47AF-818E-E6BCE6E6B906}" uniqueName="6" name="CONSECUTIVO ENCUESTA" queryTableFieldId="6" dataDxfId="593"/>
    <tableColumn id="7" xr3:uid="{3C3C5756-6C5B-4F83-A4BA-7370A5D3B586}" uniqueName="7" name="NOMBRE ENCUESTA" queryTableFieldId="7" dataDxfId="592"/>
    <tableColumn id="10" xr3:uid="{592470FD-FBDE-42A0-A47E-06AE15D2BD4D}" uniqueName="10" name="FECHA VISITA" queryTableFieldId="10" dataDxfId="591"/>
    <tableColumn id="11" xr3:uid="{2A1045B2-E0F3-426E-AF7C-91A0AAEEA606}" uniqueName="11" name="CODIGO RUTA" queryTableFieldId="11" dataDxfId="590"/>
    <tableColumn id="12" xr3:uid="{7575ACE8-4DCC-44B4-BD89-97F5F6978813}" uniqueName="12" name="USUARIO" queryTableFieldId="12" dataDxfId="589"/>
    <tableColumn id="8" xr3:uid="{1799BF2D-5DA9-4392-984F-66DA565D17B1}" uniqueName="8" name="SE LOGRA REALIZAR LA AUDITORIA?" queryTableFieldId="153" dataDxfId="588"/>
    <tableColumn id="9" xr3:uid="{36AC2E6B-F783-41F9-A395-AD816E6B1B6B}" uniqueName="9" name="¿CUMPLE HORARIO DE ENTRADA O SALIDA DE LA TIENDA?" queryTableFieldId="154" dataDxfId="587"/>
    <tableColumn id="13" xr3:uid="{C51AF687-3DBE-4078-B41B-510ABFCE0684}" uniqueName="13" name="CUENTA CON PANTALON DEL UNIFORME SEGÚN EL CARGO (NEGRO / ROJO / TURQUESA / JEAN)" queryTableFieldId="155" dataDxfId="586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585"/>
    <tableColumn id="16" xr3:uid="{D2371F42-BC07-4548-B6B4-80B991018D4D}" uniqueName="16" name="CUENTA CON CALZADO DE ACUERDO AL UNIFORME" queryTableFieldId="54" dataDxfId="584"/>
    <tableColumn id="15" xr3:uid="{9BB8CF8A-778E-4204-AC89-28DFE270E157}" uniqueName="15" name="POSEE ALGUNA PRENDA ENCIMA DEL UNIFORME NO AUTORIZADA POR LA MARCA (UNICAMENTE ESTA PERMITIDO CHALECO DE SODIMAC Y EASY)" queryTableFieldId="157" dataDxfId="583"/>
    <tableColumn id="17" xr3:uid="{F5E30CB3-007B-4336-B1FC-B61B58699F7A}" uniqueName="17" name="EL UNIFORME Y ZAPATOS SE ENCUENTRAN LIMPIOS Y EN BUEN ESTADO" queryTableFieldId="158" dataDxfId="582"/>
    <tableColumn id="18" xr3:uid="{3D3D39A7-BDA7-4332-84A1-F6CA631ED8B1}" uniqueName="18" name="SU CABELLO LUCE LIMPIO, ORGANIZADO O RECOGIDO" queryTableFieldId="159" dataDxfId="581"/>
    <tableColumn id="19" xr3:uid="{10DB44B2-E41E-4EF2-8742-4966C6A2BC32}" uniqueName="19" name="PRESENTA EXCESO DE MAQUILLAJE QUE NO CUMPLE CON EL CODIGO DE VESTIMENTA" queryTableFieldId="160" dataDxfId="580"/>
    <tableColumn id="20" xr3:uid="{6AAEAE78-D4F5-4752-93C8-5B7CAB0DD784}" uniqueName="20" name="TIENE TATUAJES O PIERCINGS VISIBLES QUE NO CUMPLE CON EL CODIGO DE VESTIMENTA" queryTableFieldId="161" dataDxfId="579"/>
    <tableColumn id="21" xr3:uid="{296B1AC1-D069-4B4E-93B0-CF0ED2A976DD}" uniqueName="21" name="TIENE UÑAS LLAMATIVAS Y/O LARGAS QUE NO CUMPLE CON EL CODIGO DE VESTIMENTA" queryTableFieldId="162" dataDxfId="578"/>
    <tableColumn id="22" xr3:uid="{437C56A5-8D82-4008-AE1E-7ABA17C881D7}" uniqueName="22" name="USA ACCESORIOS QUE NO CUMPLE CON EL CODIGO DE VESTIMENTA" queryTableFieldId="163" dataDxfId="577"/>
    <tableColumn id="23" xr3:uid="{A36C4C98-3812-47CA-915B-31EEEB045E56}" uniqueName="23" name="EL LINEAL SE ENCUENTRA LIMPIO Y ORGANIZADO (EVIDENCIA POLVO O TIERRA EN EL PRODUCTO Y/O LINEAL)" queryTableFieldId="224" dataDxfId="576"/>
    <tableColumn id="24" xr3:uid="{EAE759F8-422F-46A9-B534-E52C16DAC6AD}" uniqueName="24" name="LOS PRODUCTOS TIENEN EL PRECIO Y ESTAN ACORDE O CORRESPONDIENTE A CADA REFERENCIA (REVISAR LA FECHA DE IMPRESIÓN DEL PRECIO)" queryTableFieldId="225" dataDxfId="575"/>
    <tableColumn id="25" xr3:uid="{B4B5D1D5-56F2-4B7A-BCBA-13AA0E0264D8}" uniqueName="25" name="LOS PRODUCTOS ESTAN SURTIDOS DE ACUERDO A PEPS O FIFO (REVISAR TANTO PRODUCTO SECO COMO HUMEDO)" queryTableFieldId="166" dataDxfId="574"/>
    <tableColumn id="26" xr3:uid="{0AA072D5-5A98-4885-9864-1784A7BF8B3A}" uniqueName="26" name="CONOCE LOS INFALTABLES DEL PUNTO DE VENTA Y CUENTA CON EL MATERIAL DE APOYO (AYUDAVENTAS INFALTABLES)" queryTableFieldId="167" dataDxfId="573"/>
    <tableColumn id="27" xr3:uid="{DF850D57-800D-4F55-98EB-C0D5AE4AEFEC}" uniqueName="27" name="CONOCE Y TIENE SURTIDO DE ACUERDO A LA ESTRATEGIA DE EXHIBICIÓN (ETAPAS DE VIDA - SEGMENTACIÓN DE MARCAS)" queryTableFieldId="168" dataDxfId="572"/>
    <tableColumn id="28" xr3:uid="{8DA12864-D26C-48C2-8F18-E06BE7277C8F}" uniqueName="28" name="CUAL ES LA ESTRATEGIA DE EXHIBICIÓN PARA LAS MARCAS MAINSTRAIN (ALPO Y GATSY) DE PURINA Y PORQUE?" queryTableFieldId="226" dataDxfId="571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570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569"/>
    <tableColumn id="30" xr3:uid="{0933B4A0-AFA3-4603-BC08-EC388F0134D0}" uniqueName="30" name="SELECCIONE EL CANAL DEL PDV AUDITADO?" queryTableFieldId="171" dataDxfId="568"/>
    <tableColumn id="39" xr3:uid="{750534FE-52EA-421D-B83A-C69222099F95}" uniqueName="39" name="CM - TIENE IMPLEMENTADO EL MATERIAL POP CORRECPONDIENTE A LAS PROMOCIONES QUE APLICAN EN EL PDV?" queryTableFieldId="220" dataDxfId="567"/>
    <tableColumn id="41" xr3:uid="{E1EF638B-9489-4B3A-8871-1F5C49D30DA6}" uniqueName="41" name="CM - TIENE ACTIVIDADES DE PLAN PEGA EN EL PDV?" queryTableFieldId="227" dataDxfId="566"/>
    <tableColumn id="42" xr3:uid="{C7D518D3-BDD4-4610-B1EA-EFDE057B6F9D}" uniqueName="42" name="CM - TIENE CODIFICADAS LAS DOS NUEVAS REFERENCIAS FELIZ MULTIPROTEINA Y CUENTA CON EL POP CORRESPONDIENTE?" queryTableFieldId="228" dataDxfId="565"/>
    <tableColumn id="40" xr3:uid="{4F483632-B13F-473F-B007-EA54F6ED1EEB}" uniqueName="40" name="CM - TIENE IMPLEMENTADAS LAS EXHIBICIONES NEGOCIADAS EN EL PDV?" queryTableFieldId="221" dataDxfId="564"/>
    <tableColumn id="33" xr3:uid="{5353CB55-2C8E-4597-ACE2-53C8819B4ACE}" uniqueName="33" name="DESEA AÑADIR ALGUNA OBSERVACION / NOVEDAD CON LA AUDITORIA REALIZADA?" queryTableFieldId="174" dataDxfId="563"/>
    <tableColumn id="36" xr3:uid="{368A5BC3-193A-4258-93E7-EB1AD55171E9}" uniqueName="36" name="CE - SE ENCUENTRA EL MATERIAL POP DE FELIX NUEVAS REFERENCIAS &quot; APLICA DONDE ESTA CODIFICADO&quot;" queryTableFieldId="200" dataDxfId="562"/>
    <tableColumn id="37" xr3:uid="{61A06B6B-AA33-4755-BD3E-00F6CDEDB352}" uniqueName="37" name="CE - SE ENCUENTRA EN EL LINEAL LAS REFERENCIAS 1,5 EN PU Y ADU DE LA MARCA EXCELLENT?" queryTableFieldId="201" dataDxfId="561"/>
    <tableColumn id="38" xr3:uid="{63C8E9EC-BA92-40DE-B9E8-288868A9072E}" uniqueName="38" name="CE - SE ENCUENTRA LA NUEVA REFERENCIA DE EXCELLENT ESTIRILIZADO DE 1K?" queryTableFieldId="202" dataDxfId="560"/>
    <tableColumn id="32" xr3:uid="{DBD72A82-3C9A-4787-ACED-417C2BFA306D}" uniqueName="32" name="CE - SE ENCUENTRA LA REFERENCIA PRO PLAN WET DE SALMON Y/URINARIO" queryTableFieldId="210" dataDxfId="559"/>
    <tableColumn id="34" xr3:uid="{4E196498-FECC-401B-A004-AF6BFDB20FC1}" uniqueName="34" name="CE - EL PDV MANEJA CATEGORIA DE SNACKS? (EN EL VIDEO DEBE QUEDAR LA VISUAL DE LAS MARCAS DE PURINA PRESENTES EN EL PDV)" queryTableFieldId="211" dataDxfId="558"/>
    <tableColumn id="43" xr3:uid="{06914258-B368-4E26-907B-BE15721EA9BD}" uniqueName="43" name="INDIQUE OBSERVACIÓN/NOVEDAD" queryTableFieldId="229" dataDxfId="557"/>
    <tableColumn id="35" xr3:uid="{E73D3FF1-7E50-4CEC-A196-42A91F1C0441}" uniqueName="35" name="CT - CONOCE EL PRECIO DE LA PAQUETERIA (DOG CHOW 350G / 475G; CAT CHOW 200G? (Si el mercaderista informa que el PDV no lo permite implementar quedaria como N/A)" queryTableFieldId="219" dataDxfId="556"/>
    <tableColumn id="44" xr3:uid="{DD19BC70-F934-455F-978F-0591EF17C1EB}" uniqueName="44" name="CT - CONOCE LAS INNOVACIONES  ALTA PROTEINA?" queryTableFieldId="230" dataDxfId="5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239" totalsRowShown="0" dataDxfId="628">
  <autoFilter ref="A1:AC239" xr:uid="{DF097FD5-2AE4-4313-BF77-CBF36E66D478}"/>
  <tableColumns count="29">
    <tableColumn id="1" xr3:uid="{EEAB5D40-1395-44AC-989B-7BEBDB594890}" name="ACTIVIDAD" dataDxfId="627"/>
    <tableColumn id="2" xr3:uid="{7135FC02-E21A-4459-956C-B095998917BA}" name="REGIONAL" dataDxfId="626"/>
    <tableColumn id="3" xr3:uid="{A676BE8F-9D25-4608-AFA9-335EE953599F}" name="CIUDAD" dataDxfId="625"/>
    <tableColumn id="4" xr3:uid="{8C438510-9FA2-4A67-81E2-F5A249D8C2D8}" name="CANAL" dataDxfId="624"/>
    <tableColumn id="5" xr3:uid="{55468C83-E61B-4AC3-8AB6-7842CA8A8685}" name="CADENA" dataDxfId="623"/>
    <tableColumn id="6" xr3:uid="{319677CB-3518-4692-9804-576A90B637C6}" name="SUBCADENA" dataDxfId="622"/>
    <tableColumn id="7" xr3:uid="{280B06EB-BEEB-41FF-BD4D-C86267C96B51}" name="ZONA" dataDxfId="621"/>
    <tableColumn id="8" xr3:uid="{38318117-E4E5-4BBD-BCB8-A0CF5740AD2E}" name="RV" dataDxfId="620">
      <calculatedColumnFormula>VALUE(Tabla2[[#This Row],[CODIGO PDV]])</calculatedColumnFormula>
    </tableColumn>
    <tableColumn id="9" xr3:uid="{AE249958-DA07-4D5E-8893-DA47B2F89DBB}" name="CODIGO PDV" dataDxfId="619"/>
    <tableColumn id="10" xr3:uid="{5063BA25-7363-4804-9209-6EF1C7FD9552}" name="NOMBRE COMERCIAL" dataDxfId="618"/>
    <tableColumn id="11" xr3:uid="{1CA31434-5FCA-4588-9EF7-31A85DF89C42}" name="CODIGO EAN" dataDxfId="617"/>
    <tableColumn id="12" xr3:uid="{F4C77DD5-927D-43C6-A19F-C551C82B3D0D}" name="TIPO PUNTO VENTA" dataDxfId="616"/>
    <tableColumn id="13" xr3:uid="{EF48160A-97DF-4C9A-9BBF-2ECC73BF528F}" name="CONSECUTIVO ENCUESTA" dataDxfId="615"/>
    <tableColumn id="14" xr3:uid="{6FA0BAC5-63D5-4D95-B588-F0B164135E47}" name="NOMBRE ENCUESTA" dataDxfId="614"/>
    <tableColumn id="15" xr3:uid="{7C6BC3DB-B9BC-4C72-ADB7-0BB7A62378BB}" name="PREGUNTA" dataDxfId="613"/>
    <tableColumn id="16" xr3:uid="{AB325775-AFD1-4793-A618-BF02FE3029AE}" name="RESPUESTA" dataDxfId="612"/>
    <tableColumn id="17" xr3:uid="{85D12482-E7F3-4879-B4F0-D80F64421259}" name="CODIGO FOTO" dataDxfId="611"/>
    <tableColumn id="18" xr3:uid="{01036A0B-7510-4B37-96FC-1C395DEDC179}" name="OBSERVACION" dataDxfId="610"/>
    <tableColumn id="19" xr3:uid="{2F24E07E-80CB-4EA2-9555-9AEB9E02C9EF}" name="FECHA VISITA" dataDxfId="609"/>
    <tableColumn id="20" xr3:uid="{DC9D56CE-D3BF-4EEF-90B5-C3152AB2A8A8}" name="FECHA INICIO VISITA" dataDxfId="608"/>
    <tableColumn id="21" xr3:uid="{8DDE28A9-EDD9-412B-B7A2-DF2644A996E9}" name="FECHA CREACIÓN RESPUESTA" dataDxfId="607"/>
    <tableColumn id="22" xr3:uid="{3A74E72D-F4BF-4E54-8634-EEEC35A8C032}" name="CODIGO RUTA" dataDxfId="606"/>
    <tableColumn id="23" xr3:uid="{0ADFC93D-A4B4-4C17-8A6B-A6D563B99FCD}" name="CLIENTE" dataDxfId="605"/>
    <tableColumn id="24" xr3:uid="{6908F565-FB85-4368-B2F7-297DF2BEFBCD}" name="CODIGO EXHIBICION" dataDxfId="604"/>
    <tableColumn id="25" xr3:uid="{AA5CE162-90D2-43B1-96A0-970F0C412A96}" name="NOMBRE EXHIBICION" dataDxfId="603"/>
    <tableColumn id="26" xr3:uid="{D2023860-446B-430D-8595-9C2C1438BED3}" name="NOMBRE USUARIO" dataDxfId="602"/>
    <tableColumn id="27" xr3:uid="{F11E0B94-0622-411D-9CA7-B259829B8A9F}" name="USUARIO" dataDxfId="601"/>
    <tableColumn id="28" xr3:uid="{E1B013E5-0581-4476-9D6C-3AFBAC21C681}" name="NOMBRE SUPERVISOR " dataDxfId="600"/>
    <tableColumn id="29" xr3:uid="{B64E6504-C110-44E6-B203-6C06A1F0FFB1}" name="USUARIO SUPERVISOR" dataDxfId="599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9q5vcvn0akOBUqHUIlF59xEEpaZ-MMIF/view?usp=drive_link" TargetMode="External"/><Relationship Id="rId13" Type="http://schemas.openxmlformats.org/officeDocument/2006/relationships/hyperlink" Target="https://drive.google.com/file/d/1OWGjUzGWnXXHK-x6fzF5F7Kt7H2HKClX/view?usp=drive_link" TargetMode="External"/><Relationship Id="rId18" Type="http://schemas.openxmlformats.org/officeDocument/2006/relationships/hyperlink" Target="https://drive.google.com/file/d/1oOkwxQpw9YwYOoL_nswO8kCgNttLDwCu/view?usp=drive_link" TargetMode="External"/><Relationship Id="rId3" Type="http://schemas.openxmlformats.org/officeDocument/2006/relationships/hyperlink" Target="https://drive.google.com/file/d/1i-EhC7gWFDq6t17o8tZgNN00YeSuEEjt/view?usp=drive_link" TargetMode="External"/><Relationship Id="rId7" Type="http://schemas.openxmlformats.org/officeDocument/2006/relationships/hyperlink" Target="https://drive.google.com/file/d/1UIKrfKBE2WuFs5WEfD3zqMUQpB-D07aX/view?usp=drive_link" TargetMode="External"/><Relationship Id="rId12" Type="http://schemas.openxmlformats.org/officeDocument/2006/relationships/hyperlink" Target="https://drive.google.com/file/d/1fHbxUV0MmUU0NAQbg_jB9W6yOO1e_KLD/view?usp=drive_link" TargetMode="External"/><Relationship Id="rId17" Type="http://schemas.openxmlformats.org/officeDocument/2006/relationships/hyperlink" Target="https://drive.google.com/file/d/1ruVL9eicUt73s0YHaprk74ek7a5I5uiJ/view?usp=drive_link" TargetMode="External"/><Relationship Id="rId2" Type="http://schemas.openxmlformats.org/officeDocument/2006/relationships/hyperlink" Target="https://drive.google.com/file/d/19OJZWYs6MM66MQoayrtCJ11k_8l2e8tL/view?usp=drive_link" TargetMode="External"/><Relationship Id="rId16" Type="http://schemas.openxmlformats.org/officeDocument/2006/relationships/hyperlink" Target="https://drive.google.com/file/d/1hY_us7N2XYZJKM2QhplbDvK7qkk-qbSu/view?usp=drive_link" TargetMode="External"/><Relationship Id="rId1" Type="http://schemas.openxmlformats.org/officeDocument/2006/relationships/hyperlink" Target="https://drive.google.com/file/d/10t_yH0ROg7i8Mc4TojaEcVU1S8hhkxjD/view?usp=drive_link" TargetMode="External"/><Relationship Id="rId6" Type="http://schemas.openxmlformats.org/officeDocument/2006/relationships/hyperlink" Target="https://drive.google.com/file/d/1xxDmxhKH_SqtZaABnIN4wqk9BsIXuAKV/view?usp=drive_link" TargetMode="External"/><Relationship Id="rId11" Type="http://schemas.openxmlformats.org/officeDocument/2006/relationships/hyperlink" Target="https://drive.google.com/file/d/1_cmuElcUINvCjilNHTEsuuNoyeX5pcWw/view?usp=drive_link" TargetMode="External"/><Relationship Id="rId5" Type="http://schemas.openxmlformats.org/officeDocument/2006/relationships/hyperlink" Target="https://drive.google.com/file/d/13R7OqzE4i4N-h6ULSWvUdLG2x23aLifX/view?usp=drive_link" TargetMode="External"/><Relationship Id="rId15" Type="http://schemas.openxmlformats.org/officeDocument/2006/relationships/hyperlink" Target="https://drive.google.com/file/d/1gZuwxf9w5HZ55b4045baT2JISAfnlx05/view?usp=drive_link" TargetMode="External"/><Relationship Id="rId10" Type="http://schemas.openxmlformats.org/officeDocument/2006/relationships/hyperlink" Target="https://drive.google.com/file/d/1R81TOnRG-Zml3h4jHse_tSxSrSJTz9zz/view?usp=drive_link" TargetMode="External"/><Relationship Id="rId4" Type="http://schemas.openxmlformats.org/officeDocument/2006/relationships/hyperlink" Target="https://drive.google.com/file/d/1JGLyWrDAjLXygPnVmm6PgFYUk1ALW_Fg/view?usp=drive_link" TargetMode="External"/><Relationship Id="rId9" Type="http://schemas.openxmlformats.org/officeDocument/2006/relationships/hyperlink" Target="https://drive.google.com/file/d/1UeR3xv2iCInRAG0_9zm7abEg711-30K4/view?usp=drive_link" TargetMode="External"/><Relationship Id="rId14" Type="http://schemas.openxmlformats.org/officeDocument/2006/relationships/hyperlink" Target="https://drive.google.com/file/d/1UpFjZ73fc2AnF8wYKE9gm7iYLlAf3LjD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80" zoomScaleNormal="80" workbookViewId="0">
      <selection activeCell="G1" sqref="G1"/>
    </sheetView>
  </sheetViews>
  <sheetFormatPr baseColWidth="10" defaultColWidth="11.453125" defaultRowHeight="14.5" x14ac:dyDescent="0.35"/>
  <cols>
    <col min="1" max="1" width="38.1796875" customWidth="1"/>
    <col min="2" max="2" width="1.81640625" style="47" customWidth="1"/>
    <col min="3" max="3" width="8.54296875" customWidth="1"/>
    <col min="4" max="4" width="28.7265625" customWidth="1"/>
    <col min="5" max="5" width="18.54296875" customWidth="1"/>
    <col min="6" max="6" width="18.6328125" customWidth="1"/>
    <col min="7" max="7" width="13.7265625" customWidth="1"/>
    <col min="8" max="8" width="12.26953125" customWidth="1"/>
    <col min="9" max="9" width="13.26953125" customWidth="1"/>
    <col min="10" max="10" width="12.1796875" customWidth="1"/>
    <col min="11" max="11" width="16.81640625" customWidth="1"/>
    <col min="12" max="12" width="16.453125" customWidth="1"/>
    <col min="13" max="13" width="18.453125" customWidth="1"/>
    <col min="14" max="14" width="11.81640625" customWidth="1"/>
  </cols>
  <sheetData>
    <row r="1" spans="1:10" ht="23.5" customHeight="1" x14ac:dyDescent="0.35">
      <c r="A1" s="83" t="s">
        <v>257</v>
      </c>
    </row>
    <row r="2" spans="1:10" x14ac:dyDescent="0.35">
      <c r="A2" s="84"/>
    </row>
    <row r="3" spans="1:10" ht="20" x14ac:dyDescent="0.4">
      <c r="A3" s="84"/>
      <c r="D3" s="6" t="s">
        <v>0</v>
      </c>
      <c r="E3" s="3"/>
      <c r="F3" s="3"/>
      <c r="G3" s="3"/>
      <c r="H3" s="3"/>
      <c r="I3" s="3"/>
      <c r="J3" s="3"/>
    </row>
    <row r="4" spans="1:10" x14ac:dyDescent="0.3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35">
      <c r="D5" s="2" t="s">
        <v>259</v>
      </c>
      <c r="E5" s="96">
        <v>1</v>
      </c>
      <c r="F5" s="96">
        <v>1</v>
      </c>
      <c r="G5" s="4">
        <v>1</v>
      </c>
      <c r="H5" s="96">
        <v>1</v>
      </c>
      <c r="I5" s="96">
        <v>1</v>
      </c>
      <c r="J5" s="4">
        <v>1</v>
      </c>
    </row>
    <row r="6" spans="1:10" x14ac:dyDescent="0.35">
      <c r="D6" s="2" t="s">
        <v>132</v>
      </c>
      <c r="E6" s="96">
        <v>2</v>
      </c>
      <c r="F6" s="96">
        <v>2</v>
      </c>
      <c r="G6" s="4">
        <v>1</v>
      </c>
      <c r="H6" s="96">
        <v>2</v>
      </c>
      <c r="I6" s="96">
        <v>2</v>
      </c>
      <c r="J6" s="4">
        <v>1</v>
      </c>
    </row>
    <row r="7" spans="1:10" x14ac:dyDescent="0.35">
      <c r="D7" s="2" t="s">
        <v>146</v>
      </c>
      <c r="E7" s="96">
        <v>1</v>
      </c>
      <c r="F7" s="96">
        <v>1</v>
      </c>
      <c r="G7" s="4">
        <v>1</v>
      </c>
      <c r="H7" s="96">
        <v>1</v>
      </c>
      <c r="I7" s="96">
        <v>1</v>
      </c>
      <c r="J7" s="4">
        <v>1</v>
      </c>
    </row>
    <row r="8" spans="1:10" x14ac:dyDescent="0.35">
      <c r="D8" s="2" t="s">
        <v>112</v>
      </c>
      <c r="E8" s="96">
        <v>1</v>
      </c>
      <c r="F8" s="96">
        <v>1</v>
      </c>
      <c r="G8" s="4">
        <v>1</v>
      </c>
      <c r="H8" s="96">
        <v>1</v>
      </c>
      <c r="I8" s="96">
        <v>1</v>
      </c>
      <c r="J8" s="4">
        <v>1</v>
      </c>
    </row>
    <row r="9" spans="1:10" x14ac:dyDescent="0.35">
      <c r="D9" s="2" t="s">
        <v>8</v>
      </c>
      <c r="E9" s="96">
        <v>4</v>
      </c>
      <c r="F9" s="96">
        <v>4</v>
      </c>
      <c r="G9" s="4">
        <v>1</v>
      </c>
      <c r="H9" s="96">
        <v>4</v>
      </c>
      <c r="I9" s="96">
        <v>3</v>
      </c>
      <c r="J9" s="4">
        <v>0.75</v>
      </c>
    </row>
    <row r="10" spans="1:10" x14ac:dyDescent="0.35">
      <c r="D10" s="2" t="s">
        <v>139</v>
      </c>
      <c r="E10" s="96">
        <v>2</v>
      </c>
      <c r="F10" s="96">
        <v>2</v>
      </c>
      <c r="G10" s="4">
        <v>1</v>
      </c>
      <c r="H10" s="96">
        <v>2</v>
      </c>
      <c r="I10" s="96">
        <v>1</v>
      </c>
      <c r="J10" s="4">
        <v>0.5</v>
      </c>
    </row>
    <row r="11" spans="1:10" x14ac:dyDescent="0.35">
      <c r="D11" s="16" t="s">
        <v>9</v>
      </c>
      <c r="E11" s="97">
        <v>11</v>
      </c>
      <c r="F11" s="97">
        <v>11</v>
      </c>
      <c r="G11" s="12">
        <v>1</v>
      </c>
      <c r="H11" s="97">
        <v>11</v>
      </c>
      <c r="I11" s="97">
        <v>9</v>
      </c>
      <c r="J11" s="73">
        <v>0.81818181818181823</v>
      </c>
    </row>
    <row r="15" spans="1:10" ht="20" x14ac:dyDescent="0.4">
      <c r="D15" s="6" t="s">
        <v>10</v>
      </c>
      <c r="E15" s="3"/>
      <c r="F15" s="3"/>
    </row>
    <row r="16" spans="1:10" hidden="1" x14ac:dyDescent="0.35">
      <c r="D16" s="1" t="s">
        <v>11</v>
      </c>
      <c r="E16" s="25" t="s">
        <v>12</v>
      </c>
      <c r="F16" s="3"/>
      <c r="G16" s="3"/>
      <c r="H16" s="3"/>
    </row>
    <row r="17" spans="4:11" x14ac:dyDescent="0.35">
      <c r="D17" s="1" t="s">
        <v>13</v>
      </c>
      <c r="E17" s="3" t="s">
        <v>15</v>
      </c>
      <c r="F17" s="3" t="s">
        <v>43</v>
      </c>
      <c r="G17" s="3" t="s">
        <v>14</v>
      </c>
      <c r="H17" s="5" t="s">
        <v>16</v>
      </c>
    </row>
    <row r="18" spans="4:11" x14ac:dyDescent="0.35">
      <c r="D18" s="2" t="s">
        <v>104</v>
      </c>
      <c r="E18" s="4">
        <v>1</v>
      </c>
      <c r="F18" s="4">
        <v>1</v>
      </c>
      <c r="G18" s="4">
        <v>1</v>
      </c>
      <c r="H18" s="4">
        <v>1</v>
      </c>
    </row>
    <row r="19" spans="4:11" x14ac:dyDescent="0.35">
      <c r="D19" s="2" t="s">
        <v>106</v>
      </c>
      <c r="E19" s="4">
        <v>0.875</v>
      </c>
      <c r="F19" s="4">
        <v>1</v>
      </c>
      <c r="G19" s="4">
        <v>1</v>
      </c>
      <c r="H19" s="4">
        <v>0.97674418604651159</v>
      </c>
    </row>
    <row r="20" spans="4:11" x14ac:dyDescent="0.35">
      <c r="D20" s="2" t="s">
        <v>107</v>
      </c>
      <c r="E20" s="4">
        <v>0.9375</v>
      </c>
      <c r="F20" s="4">
        <v>0.9375</v>
      </c>
      <c r="G20" s="4">
        <v>0.95833333333333337</v>
      </c>
      <c r="H20" s="4">
        <v>0.94444444444444442</v>
      </c>
    </row>
    <row r="21" spans="4:11" x14ac:dyDescent="0.35">
      <c r="D21" s="2" t="s">
        <v>17</v>
      </c>
      <c r="E21" s="4">
        <v>0.5</v>
      </c>
      <c r="F21" s="4">
        <v>1</v>
      </c>
      <c r="G21" s="4">
        <v>1</v>
      </c>
      <c r="H21" s="4">
        <v>0.88888888888888884</v>
      </c>
    </row>
    <row r="22" spans="4:11" x14ac:dyDescent="0.35">
      <c r="D22" s="2" t="s">
        <v>16</v>
      </c>
      <c r="E22" s="8">
        <v>0.82744565217391308</v>
      </c>
      <c r="F22" s="8">
        <v>0.98124999999999996</v>
      </c>
      <c r="G22" s="8">
        <v>0.98750000000000004</v>
      </c>
      <c r="H22" s="10">
        <v>0.95135746606334837</v>
      </c>
    </row>
    <row r="25" spans="4:11" ht="20" x14ac:dyDescent="0.35">
      <c r="D25" s="7" t="s">
        <v>18</v>
      </c>
      <c r="E25" s="3"/>
      <c r="F25" s="3"/>
      <c r="G25" s="3"/>
      <c r="H25" s="3"/>
    </row>
    <row r="26" spans="4:11" hidden="1" x14ac:dyDescent="0.35">
      <c r="D26" s="1" t="s">
        <v>11</v>
      </c>
      <c r="E26" s="25" t="s">
        <v>12</v>
      </c>
      <c r="F26" s="3"/>
      <c r="G26" s="3"/>
      <c r="H26" s="3"/>
      <c r="I26" s="3"/>
      <c r="J26" s="3"/>
      <c r="K26" s="3"/>
    </row>
    <row r="27" spans="4:11" x14ac:dyDescent="0.35">
      <c r="D27" s="1" t="s">
        <v>13</v>
      </c>
      <c r="E27" s="3" t="s">
        <v>8</v>
      </c>
      <c r="F27" s="3" t="s">
        <v>112</v>
      </c>
      <c r="G27" s="3" t="s">
        <v>132</v>
      </c>
      <c r="H27" s="3" t="s">
        <v>139</v>
      </c>
      <c r="I27" s="3" t="s">
        <v>146</v>
      </c>
      <c r="J27" s="3" t="s">
        <v>259</v>
      </c>
      <c r="K27" s="5" t="s">
        <v>16</v>
      </c>
    </row>
    <row r="28" spans="4:11" x14ac:dyDescent="0.35">
      <c r="D28" s="2" t="s">
        <v>104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</row>
    <row r="29" spans="4:11" x14ac:dyDescent="0.35">
      <c r="D29" s="2" t="s">
        <v>106</v>
      </c>
      <c r="E29" s="4">
        <v>0.9285714285714286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0.97674418604651159</v>
      </c>
    </row>
    <row r="30" spans="4:11" x14ac:dyDescent="0.35">
      <c r="D30" s="2" t="s">
        <v>107</v>
      </c>
      <c r="E30" s="4">
        <v>0.875</v>
      </c>
      <c r="F30" s="4">
        <v>1</v>
      </c>
      <c r="G30" s="4">
        <v>1</v>
      </c>
      <c r="H30" s="4">
        <v>0.875</v>
      </c>
      <c r="I30" s="4">
        <v>1</v>
      </c>
      <c r="J30" s="4">
        <v>1</v>
      </c>
      <c r="K30" s="4">
        <v>0.94444444444444442</v>
      </c>
    </row>
    <row r="31" spans="4:11" x14ac:dyDescent="0.35">
      <c r="D31" s="2" t="s">
        <v>17</v>
      </c>
      <c r="E31" s="4">
        <v>0.66666666666666663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0.88888888888888884</v>
      </c>
    </row>
    <row r="32" spans="4:11" x14ac:dyDescent="0.35">
      <c r="D32" s="2" t="s">
        <v>16</v>
      </c>
      <c r="E32" s="8">
        <v>0.86558219178082196</v>
      </c>
      <c r="F32" s="8">
        <v>1</v>
      </c>
      <c r="G32" s="8">
        <v>1</v>
      </c>
      <c r="H32" s="8">
        <v>0.96250000000000002</v>
      </c>
      <c r="I32" s="8">
        <v>1</v>
      </c>
      <c r="J32" s="8">
        <v>1</v>
      </c>
      <c r="K32" s="10">
        <v>0.95135746606334837</v>
      </c>
    </row>
    <row r="37" spans="4:11" x14ac:dyDescent="0.35">
      <c r="E37" s="3"/>
      <c r="F37" s="3"/>
      <c r="G37" s="3"/>
      <c r="H37" s="3"/>
    </row>
    <row r="38" spans="4:11" x14ac:dyDescent="0.35">
      <c r="F38" s="3"/>
      <c r="G38" s="3"/>
      <c r="H38" s="3"/>
    </row>
    <row r="39" spans="4:11" hidden="1" x14ac:dyDescent="0.35">
      <c r="D39" s="13" t="s">
        <v>19</v>
      </c>
      <c r="E39" t="s">
        <v>115</v>
      </c>
    </row>
    <row r="40" spans="4:11" ht="20" x14ac:dyDescent="0.4">
      <c r="D40" s="6" t="s">
        <v>21</v>
      </c>
    </row>
    <row r="41" spans="4:11" hidden="1" x14ac:dyDescent="0.35">
      <c r="D41" s="1" t="s">
        <v>11</v>
      </c>
      <c r="G41" s="1" t="s">
        <v>13</v>
      </c>
    </row>
    <row r="42" spans="4:11" ht="43.5" x14ac:dyDescent="0.35">
      <c r="D42" s="18" t="s">
        <v>1</v>
      </c>
      <c r="E42" s="18" t="s">
        <v>22</v>
      </c>
      <c r="F42" s="18" t="s">
        <v>23</v>
      </c>
      <c r="G42" s="32" t="s">
        <v>106</v>
      </c>
      <c r="H42" s="32" t="s">
        <v>107</v>
      </c>
      <c r="I42" s="32" t="s">
        <v>17</v>
      </c>
      <c r="J42" s="32" t="s">
        <v>104</v>
      </c>
      <c r="K42" s="17" t="s">
        <v>16</v>
      </c>
    </row>
    <row r="43" spans="4:11" x14ac:dyDescent="0.35">
      <c r="D43" s="9" t="s">
        <v>8</v>
      </c>
      <c r="E43" t="s">
        <v>15</v>
      </c>
      <c r="F43" t="s">
        <v>136</v>
      </c>
      <c r="G43" s="4">
        <v>0.75</v>
      </c>
      <c r="H43" s="4">
        <v>0.875</v>
      </c>
      <c r="I43" s="4">
        <v>0</v>
      </c>
      <c r="J43" s="4">
        <v>1</v>
      </c>
      <c r="K43" s="4">
        <v>0.65489130434782605</v>
      </c>
    </row>
    <row r="44" spans="4:11" x14ac:dyDescent="0.35">
      <c r="D44" s="9" t="s">
        <v>8</v>
      </c>
      <c r="E44" t="s">
        <v>43</v>
      </c>
      <c r="F44" t="s">
        <v>202</v>
      </c>
      <c r="G44" s="4">
        <v>1</v>
      </c>
      <c r="H44" s="4">
        <v>0.875</v>
      </c>
      <c r="I44" s="4">
        <v>1</v>
      </c>
      <c r="J44" s="4">
        <v>1</v>
      </c>
      <c r="K44" s="4">
        <v>0.96250000000000002</v>
      </c>
    </row>
    <row r="45" spans="4:11" x14ac:dyDescent="0.35">
      <c r="D45" s="9" t="s">
        <v>8</v>
      </c>
      <c r="E45" t="s">
        <v>14</v>
      </c>
      <c r="F45" t="s">
        <v>226</v>
      </c>
      <c r="G45" s="4">
        <v>1</v>
      </c>
      <c r="H45" s="4">
        <v>0.875</v>
      </c>
      <c r="I45" s="4">
        <v>1</v>
      </c>
      <c r="J45" s="4">
        <v>1</v>
      </c>
      <c r="K45" s="4">
        <v>0.96250000000000002</v>
      </c>
    </row>
    <row r="46" spans="4:11" x14ac:dyDescent="0.35">
      <c r="D46" t="s">
        <v>112</v>
      </c>
      <c r="E46" t="s">
        <v>14</v>
      </c>
      <c r="F46" t="s">
        <v>189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</row>
    <row r="47" spans="4:11" x14ac:dyDescent="0.35">
      <c r="D47" t="s">
        <v>132</v>
      </c>
      <c r="E47" t="s">
        <v>43</v>
      </c>
      <c r="F47" t="s">
        <v>238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</row>
    <row r="48" spans="4:11" x14ac:dyDescent="0.35">
      <c r="D48" t="s">
        <v>132</v>
      </c>
      <c r="E48" t="s">
        <v>14</v>
      </c>
      <c r="F48" t="s">
        <v>231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</row>
    <row r="49" spans="4:11" x14ac:dyDescent="0.35">
      <c r="D49" s="9" t="s">
        <v>139</v>
      </c>
      <c r="E49" t="s">
        <v>43</v>
      </c>
      <c r="F49" t="s">
        <v>215</v>
      </c>
      <c r="G49" s="4">
        <v>1</v>
      </c>
      <c r="H49" s="4">
        <v>0.875</v>
      </c>
      <c r="I49" s="4">
        <v>1</v>
      </c>
      <c r="J49" s="4">
        <v>1</v>
      </c>
      <c r="K49" s="4">
        <v>0.96250000000000002</v>
      </c>
    </row>
    <row r="50" spans="4:11" x14ac:dyDescent="0.35">
      <c r="D50" t="s">
        <v>146</v>
      </c>
      <c r="E50" t="s">
        <v>15</v>
      </c>
      <c r="F50" t="s">
        <v>155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</row>
    <row r="51" spans="4:11" x14ac:dyDescent="0.35">
      <c r="D51" t="s">
        <v>259</v>
      </c>
      <c r="E51" t="s">
        <v>43</v>
      </c>
      <c r="F51" t="s">
        <v>262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</row>
    <row r="52" spans="4:11" x14ac:dyDescent="0.35">
      <c r="D52" s="9" t="s">
        <v>16</v>
      </c>
      <c r="E52" s="9"/>
      <c r="F52" s="9"/>
      <c r="G52" s="8">
        <v>0.97674418604651159</v>
      </c>
      <c r="H52" s="8">
        <v>0.94444444444444442</v>
      </c>
      <c r="I52" s="8">
        <v>0.88888888888888884</v>
      </c>
      <c r="J52" s="8">
        <v>1</v>
      </c>
      <c r="K52" s="10">
        <v>0.95135746606334837</v>
      </c>
    </row>
    <row r="73" spans="21:21" x14ac:dyDescent="0.3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7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H18:H22</xm:sqref>
        </x14:conditionalFormatting>
        <x14:conditionalFormatting xmlns:xm="http://schemas.microsoft.com/office/excel/2006/main" pivot="1">
          <x14:cfRule type="iconSet" priority="94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K28:K32</xm:sqref>
        </x14:conditionalFormatting>
        <x14:conditionalFormatting xmlns:xm="http://schemas.microsoft.com/office/excel/2006/main" pivot="1">
          <x14:cfRule type="iconSet" priority="87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5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7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6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5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H28:H32</xm:sqref>
        </x14:conditionalFormatting>
        <x14:conditionalFormatting xmlns:xm="http://schemas.microsoft.com/office/excel/2006/main" pivot="1">
          <x14:cfRule type="iconSet" priority="14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I28:I32</xm:sqref>
        </x14:conditionalFormatting>
        <x14:conditionalFormatting xmlns:xm="http://schemas.microsoft.com/office/excel/2006/main" pivot="1">
          <x14:cfRule type="iconSet" priority="10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6" id="{038D42E0-8A84-4FEF-BEB1-D905C252E0D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K52</xm:sqref>
        </x14:conditionalFormatting>
        <x14:conditionalFormatting xmlns:xm="http://schemas.microsoft.com/office/excel/2006/main" pivot="1">
          <x14:cfRule type="iconSet" priority="5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4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F18:G22</xm:sqref>
        </x14:conditionalFormatting>
        <x14:conditionalFormatting xmlns:xm="http://schemas.microsoft.com/office/excel/2006/main" pivot="1">
          <x14:cfRule type="iconSet" priority="3" id="{CC4E51BC-809F-4D8F-BA13-971E2EC587C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K43:K50</xm:sqref>
        </x14:conditionalFormatting>
        <x14:conditionalFormatting xmlns:xm="http://schemas.microsoft.com/office/excel/2006/main" pivot="1">
          <x14:cfRule type="iconSet" priority="2" id="{C5BC4589-334D-49C5-AD2B-43ECB2263BB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1" id="{347E788A-5860-4605-A21F-0E523D13A5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J28:J32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G12"/>
  <sheetViews>
    <sheetView showGridLines="0" workbookViewId="0">
      <selection activeCell="F16" sqref="F16"/>
    </sheetView>
  </sheetViews>
  <sheetFormatPr baseColWidth="10" defaultRowHeight="14.5" x14ac:dyDescent="0.35"/>
  <cols>
    <col min="1" max="1" width="14.26953125" customWidth="1"/>
    <col min="2" max="2" width="43.453125" bestFit="1" customWidth="1"/>
    <col min="3" max="7" width="19.453125" customWidth="1"/>
  </cols>
  <sheetData>
    <row r="1" spans="1:7" x14ac:dyDescent="0.35">
      <c r="A1" s="70" t="s">
        <v>1</v>
      </c>
      <c r="B1" s="70" t="s">
        <v>23</v>
      </c>
      <c r="C1" s="71" t="s">
        <v>80</v>
      </c>
      <c r="D1" s="71" t="s">
        <v>81</v>
      </c>
      <c r="E1" s="71" t="s">
        <v>82</v>
      </c>
      <c r="F1" s="72" t="s">
        <v>85</v>
      </c>
      <c r="G1" s="72" t="s">
        <v>86</v>
      </c>
    </row>
    <row r="2" spans="1:7" x14ac:dyDescent="0.35">
      <c r="A2" s="41" t="s">
        <v>146</v>
      </c>
      <c r="B2" s="42" t="s">
        <v>155</v>
      </c>
      <c r="C2" s="43" t="s">
        <v>245</v>
      </c>
      <c r="D2" s="19" t="s">
        <v>83</v>
      </c>
      <c r="E2" s="19" t="s">
        <v>83</v>
      </c>
      <c r="F2" s="19" t="s">
        <v>83</v>
      </c>
      <c r="G2" s="19" t="s">
        <v>83</v>
      </c>
    </row>
    <row r="3" spans="1:7" x14ac:dyDescent="0.35">
      <c r="A3" s="41" t="s">
        <v>8</v>
      </c>
      <c r="B3" s="42" t="s">
        <v>136</v>
      </c>
      <c r="C3" s="43" t="s">
        <v>246</v>
      </c>
      <c r="D3" s="19" t="s">
        <v>83</v>
      </c>
      <c r="E3" s="19" t="s">
        <v>83</v>
      </c>
      <c r="F3" s="19" t="s">
        <v>83</v>
      </c>
      <c r="G3" s="19" t="s">
        <v>83</v>
      </c>
    </row>
    <row r="4" spans="1:7" x14ac:dyDescent="0.35">
      <c r="A4" s="41" t="s">
        <v>8</v>
      </c>
      <c r="B4" s="42" t="s">
        <v>220</v>
      </c>
      <c r="C4" s="43" t="s">
        <v>247</v>
      </c>
      <c r="D4" s="19" t="s">
        <v>83</v>
      </c>
      <c r="E4" s="19" t="s">
        <v>83</v>
      </c>
      <c r="F4" s="19" t="s">
        <v>83</v>
      </c>
      <c r="G4" s="19" t="s">
        <v>83</v>
      </c>
    </row>
    <row r="5" spans="1:7" x14ac:dyDescent="0.35">
      <c r="A5" s="41" t="s">
        <v>8</v>
      </c>
      <c r="B5" s="42" t="s">
        <v>202</v>
      </c>
      <c r="C5" s="43" t="s">
        <v>248</v>
      </c>
      <c r="D5" s="43" t="s">
        <v>250</v>
      </c>
      <c r="E5" s="19" t="s">
        <v>83</v>
      </c>
      <c r="F5" s="19" t="s">
        <v>83</v>
      </c>
      <c r="G5" s="19" t="s">
        <v>83</v>
      </c>
    </row>
    <row r="6" spans="1:7" x14ac:dyDescent="0.35">
      <c r="A6" s="41" t="s">
        <v>8</v>
      </c>
      <c r="B6" s="42" t="s">
        <v>226</v>
      </c>
      <c r="C6" s="43" t="s">
        <v>249</v>
      </c>
      <c r="D6" s="19" t="s">
        <v>83</v>
      </c>
      <c r="E6" s="19" t="s">
        <v>83</v>
      </c>
      <c r="F6" s="19" t="s">
        <v>83</v>
      </c>
      <c r="G6" s="19" t="s">
        <v>83</v>
      </c>
    </row>
    <row r="7" spans="1:7" x14ac:dyDescent="0.35">
      <c r="A7" s="41" t="s">
        <v>112</v>
      </c>
      <c r="B7" s="42" t="s">
        <v>189</v>
      </c>
      <c r="C7" s="43" t="s">
        <v>251</v>
      </c>
      <c r="D7" s="19" t="s">
        <v>83</v>
      </c>
      <c r="E7" s="19" t="s">
        <v>83</v>
      </c>
      <c r="F7" s="19" t="s">
        <v>83</v>
      </c>
      <c r="G7" s="19" t="s">
        <v>83</v>
      </c>
    </row>
    <row r="8" spans="1:7" x14ac:dyDescent="0.35">
      <c r="A8" s="41" t="s">
        <v>132</v>
      </c>
      <c r="B8" s="42" t="s">
        <v>238</v>
      </c>
      <c r="C8" s="43" t="s">
        <v>253</v>
      </c>
      <c r="D8" s="43" t="s">
        <v>83</v>
      </c>
      <c r="E8" s="19" t="s">
        <v>83</v>
      </c>
      <c r="F8" s="19" t="s">
        <v>83</v>
      </c>
      <c r="G8" s="19" t="s">
        <v>83</v>
      </c>
    </row>
    <row r="9" spans="1:7" x14ac:dyDescent="0.35">
      <c r="A9" s="41" t="s">
        <v>132</v>
      </c>
      <c r="B9" s="42" t="s">
        <v>231</v>
      </c>
      <c r="C9" s="43" t="s">
        <v>252</v>
      </c>
      <c r="D9" s="43" t="s">
        <v>83</v>
      </c>
      <c r="E9" s="19" t="s">
        <v>83</v>
      </c>
      <c r="F9" s="19" t="s">
        <v>83</v>
      </c>
      <c r="G9" s="19" t="s">
        <v>83</v>
      </c>
    </row>
    <row r="10" spans="1:7" x14ac:dyDescent="0.35">
      <c r="A10" s="41" t="s">
        <v>139</v>
      </c>
      <c r="B10" s="42" t="s">
        <v>215</v>
      </c>
      <c r="C10" s="43" t="s">
        <v>254</v>
      </c>
      <c r="D10" s="43" t="s">
        <v>83</v>
      </c>
      <c r="E10" s="19" t="s">
        <v>83</v>
      </c>
      <c r="F10" s="19" t="s">
        <v>83</v>
      </c>
      <c r="G10" s="19" t="s">
        <v>83</v>
      </c>
    </row>
    <row r="11" spans="1:7" x14ac:dyDescent="0.35">
      <c r="A11" s="41" t="s">
        <v>139</v>
      </c>
      <c r="B11" s="42" t="s">
        <v>195</v>
      </c>
      <c r="C11" s="43" t="s">
        <v>255</v>
      </c>
      <c r="D11" s="43" t="s">
        <v>256</v>
      </c>
      <c r="E11" s="19" t="s">
        <v>83</v>
      </c>
      <c r="F11" s="19" t="s">
        <v>83</v>
      </c>
      <c r="G11" s="19" t="s">
        <v>83</v>
      </c>
    </row>
    <row r="12" spans="1:7" x14ac:dyDescent="0.35">
      <c r="A12" s="41" t="s">
        <v>259</v>
      </c>
      <c r="B12" s="42" t="s">
        <v>262</v>
      </c>
      <c r="C12" s="43" t="s">
        <v>290</v>
      </c>
      <c r="D12" s="43" t="s">
        <v>83</v>
      </c>
      <c r="E12" s="19" t="s">
        <v>83</v>
      </c>
      <c r="F12" s="19" t="s">
        <v>83</v>
      </c>
      <c r="G12" s="19" t="s">
        <v>83</v>
      </c>
    </row>
  </sheetData>
  <autoFilter ref="A1:C6" xr:uid="{31D98C9D-50A1-466F-A4CF-A3BF379C3F7F}"/>
  <hyperlinks>
    <hyperlink ref="C13" r:id="rId1" display="https://drive.google.com/file/d/10t_yH0ROg7i8Mc4TojaEcVU1S8hhkxjD/view?usp=drive_link" xr:uid="{335F0C9A-6C42-4FE6-B72C-15C1DF4D0EBE}"/>
    <hyperlink ref="C14" r:id="rId2" display="https://drive.google.com/file/d/19OJZWYs6MM66MQoayrtCJ11k_8l2e8tL/view?usp=drive_link" xr:uid="{CE887CD0-82ED-47FC-A100-EB6C12937B10}"/>
    <hyperlink ref="C15" r:id="rId3" display="https://drive.google.com/file/d/1i-EhC7gWFDq6t17o8tZgNN00YeSuEEjt/view?usp=drive_link" xr:uid="{EF80C185-EF15-4A5B-A8B2-07ED456C9D6A}"/>
    <hyperlink ref="D13" r:id="rId4" display="https://drive.google.com/file/d/1JGLyWrDAjLXygPnVmm6PgFYUk1ALW_Fg/view?usp=drive_link" xr:uid="{9206985D-BC2A-4D26-ACC9-C81C45008E11}"/>
    <hyperlink ref="D14" r:id="rId5" display="https://drive.google.com/file/d/13R7OqzE4i4N-h6ULSWvUdLG2x23aLifX/view?usp=drive_link" xr:uid="{1A2A193D-CF82-4160-B6A3-78DE16C47F7F}"/>
    <hyperlink ref="D7" r:id="rId6" display="https://drive.google.com/file/d/1xxDmxhKH_SqtZaABnIN4wqk9BsIXuAKV/view?usp=drive_link" xr:uid="{23A2E8AF-0EBE-4231-AE34-2108ADD0776F}"/>
    <hyperlink ref="C3" r:id="rId7" xr:uid="{36F89BA5-1114-4D14-A52C-CF5FD873C54B}"/>
    <hyperlink ref="C5" r:id="rId8" xr:uid="{6C00EF08-8CCD-4C16-94CD-F0ECBABE9A04}"/>
    <hyperlink ref="C7" r:id="rId9" xr:uid="{C4BAD734-8165-420F-AFB2-ABBFAAB1BD1B}"/>
    <hyperlink ref="C8" r:id="rId10" xr:uid="{7D9BAACD-0F2A-4651-A1F7-EFEA4C3BAFE4}"/>
    <hyperlink ref="C9" r:id="rId11" xr:uid="{3B9F3DE0-BC0B-4419-98F2-AE70CFFB8035}"/>
    <hyperlink ref="C10" r:id="rId12" xr:uid="{3891388F-49FE-4F84-B3AE-07F350E87508}"/>
    <hyperlink ref="C11" r:id="rId13" xr:uid="{09875964-C9EA-4976-B163-FA0C62B98324}"/>
    <hyperlink ref="C4" r:id="rId14" xr:uid="{D6E305B7-4245-446B-8A2B-EF37B72373E0}"/>
    <hyperlink ref="C6" r:id="rId15" xr:uid="{CFDD63D9-3BF1-463B-9171-F23A05A3487B}"/>
    <hyperlink ref="C2" r:id="rId16" xr:uid="{526C45AA-345D-4883-818A-F62AACC0D712}"/>
    <hyperlink ref="C12" r:id="rId17" xr:uid="{55CAE4DB-6D13-4713-8DD1-8DA861EAC140}"/>
    <hyperlink ref="D11" r:id="rId18" xr:uid="{3D83725E-9EA7-4D6B-B0B2-E4F097884B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427"/>
  <sheetViews>
    <sheetView showGridLines="0" zoomScale="80" zoomScaleNormal="80" workbookViewId="0"/>
  </sheetViews>
  <sheetFormatPr baseColWidth="10" defaultColWidth="11.453125" defaultRowHeight="14.5" x14ac:dyDescent="0.35"/>
  <cols>
    <col min="1" max="3" width="14.08984375" bestFit="1" customWidth="1"/>
    <col min="4" max="4" width="16.54296875" bestFit="1" customWidth="1"/>
    <col min="5" max="5" width="14.90625" bestFit="1" customWidth="1"/>
    <col min="6" max="6" width="37.36328125" bestFit="1" customWidth="1"/>
    <col min="7" max="8" width="80.7265625" bestFit="1" customWidth="1"/>
    <col min="9" max="9" width="15.453125" bestFit="1" customWidth="1"/>
    <col min="10" max="10" width="15.81640625" bestFit="1" customWidth="1"/>
    <col min="11" max="11" width="11.7265625" bestFit="1" customWidth="1"/>
    <col min="12" max="12" width="20.36328125" bestFit="1" customWidth="1"/>
    <col min="13" max="13" width="23.81640625" bestFit="1" customWidth="1"/>
    <col min="14" max="14" width="16.90625" bestFit="1" customWidth="1"/>
    <col min="15" max="15" width="16.54296875" bestFit="1" customWidth="1"/>
    <col min="16" max="16" width="20.81640625" bestFit="1" customWidth="1"/>
    <col min="17" max="17" width="12.453125" hidden="1" customWidth="1"/>
    <col min="18" max="18" width="12.453125" bestFit="1" customWidth="1" collapsed="1"/>
    <col min="19" max="19" width="12.453125" bestFit="1" customWidth="1"/>
    <col min="22" max="23" width="0" hidden="1" customWidth="1"/>
  </cols>
  <sheetData>
    <row r="1" spans="1:21" x14ac:dyDescent="0.3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35">
      <c r="A2" s="93" t="s">
        <v>109</v>
      </c>
      <c r="B2" s="93" t="s">
        <v>146</v>
      </c>
      <c r="C2" s="90" t="s">
        <v>15</v>
      </c>
      <c r="D2" s="93" t="s">
        <v>123</v>
      </c>
      <c r="E2" s="94">
        <v>447964</v>
      </c>
      <c r="F2" s="93" t="s">
        <v>155</v>
      </c>
      <c r="G2" s="93" t="s">
        <v>87</v>
      </c>
      <c r="H2" s="93" t="s">
        <v>20</v>
      </c>
      <c r="I2" s="95"/>
      <c r="J2" s="94">
        <v>29572594</v>
      </c>
      <c r="K2" s="93" t="s">
        <v>126</v>
      </c>
      <c r="L2" s="93" t="str">
        <f>_xlfn.XLOOKUP(Tabla2__2[[#This Row],[CODIGO RUTA]],'DATA INFORME'!I:I,'DATA INFORME'!K:K)</f>
        <v>SI</v>
      </c>
      <c r="M2" s="93" t="str">
        <f>IF(Tabla2__2[[#This Row],[MYSTERY EFECTIVO]]="SI",_xlfn.XLOOKUP(Tabla2__2[[#This Row],[PREGUNTA]],ENCUESTA!G:G,ENCUESTA!D:D),"N/A")</f>
        <v>N/A</v>
      </c>
      <c r="N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93">
        <f>_xlfn.XLOOKUP(Tabla2__2[[#This Row],[PREGUNTA]],ENCUESTA!G:G,ENCUESTA!H:H)</f>
        <v>0</v>
      </c>
      <c r="P2" s="93">
        <f>IF(Tabla2__2[[#This Row],[RTA]]=Tabla2__2[[#This Row],[RTA CORRECTA]],Tabla2__2[[#This Row],[TOTAL PUNTAJE]],0)</f>
        <v>0</v>
      </c>
      <c r="Q2" s="93">
        <f>IF(OR(H2="Dog Chow húmedo",H2="Cat Chow húmedo",H2="Fancy Feast",H2="Felix",H2="Proplan húmedo",H2="One húmedo",H2="Snack Abrazzos",H2="Snak Dentalife",H2="Arenilla Tidy Cat"),N2,0)</f>
        <v>0</v>
      </c>
      <c r="R2" s="93"/>
    </row>
    <row r="3" spans="1:21" x14ac:dyDescent="0.35">
      <c r="A3" s="93" t="s">
        <v>109</v>
      </c>
      <c r="B3" s="93" t="s">
        <v>8</v>
      </c>
      <c r="C3" s="90" t="s">
        <v>14</v>
      </c>
      <c r="D3" s="93" t="s">
        <v>120</v>
      </c>
      <c r="E3" s="94">
        <v>355954</v>
      </c>
      <c r="F3" s="93" t="s">
        <v>226</v>
      </c>
      <c r="G3" s="93" t="s">
        <v>149</v>
      </c>
      <c r="H3" s="93" t="s">
        <v>20</v>
      </c>
      <c r="I3" s="95"/>
      <c r="J3" s="94">
        <v>29615127</v>
      </c>
      <c r="K3" s="93" t="s">
        <v>213</v>
      </c>
      <c r="L3" s="93" t="str">
        <f>_xlfn.XLOOKUP(Tabla2__2[[#This Row],[CODIGO RUTA]],'DATA INFORME'!I:I,'DATA INFORME'!K:K)</f>
        <v>SI</v>
      </c>
      <c r="M3" s="93" t="str">
        <f>IF(Tabla2__2[[#This Row],[MYSTERY EFECTIVO]]="SI",_xlfn.XLOOKUP(Tabla2__2[[#This Row],[PREGUNTA]],ENCUESTA!G:G,ENCUESTA!D:D),"N/A")</f>
        <v>EJECUCIÓN DEL PDV</v>
      </c>
      <c r="N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" s="93" t="str">
        <f>_xlfn.XLOOKUP(Tabla2__2[[#This Row],[PREGUNTA]],ENCUESTA!G:G,ENCUESTA!H:H)</f>
        <v>SI</v>
      </c>
      <c r="P3" s="93">
        <f>IF(Tabla2__2[[#This Row],[RTA]]=Tabla2__2[[#This Row],[RTA CORRECTA]],Tabla2__2[[#This Row],[TOTAL PUNTAJE]],0)</f>
        <v>3.75</v>
      </c>
      <c r="Q3" s="93">
        <f>IF(OR(H3="Dog Chow húmedo",H3="Cat Chow húmedo",H3="Fancy Feast",H3="Felix",H3="Proplan húmedo",H3="One húmedo",H3="Snack Abrazzos",H3="Snak Dentalife",H3="Arenilla Tidy Cat"),N3,0)</f>
        <v>0</v>
      </c>
      <c r="R3" s="93"/>
    </row>
    <row r="4" spans="1:21" x14ac:dyDescent="0.35">
      <c r="A4" s="93" t="s">
        <v>109</v>
      </c>
      <c r="B4" s="93" t="s">
        <v>8</v>
      </c>
      <c r="C4" s="90" t="s">
        <v>14</v>
      </c>
      <c r="D4" s="93" t="s">
        <v>120</v>
      </c>
      <c r="E4" s="94">
        <v>355954</v>
      </c>
      <c r="F4" s="93" t="s">
        <v>226</v>
      </c>
      <c r="G4" s="93" t="s">
        <v>130</v>
      </c>
      <c r="H4" s="93" t="s">
        <v>108</v>
      </c>
      <c r="I4" s="95"/>
      <c r="J4" s="94">
        <v>29615127</v>
      </c>
      <c r="K4" s="93" t="s">
        <v>213</v>
      </c>
      <c r="L4" s="93" t="str">
        <f>_xlfn.XLOOKUP(Tabla2__2[[#This Row],[CODIGO RUTA]],'DATA INFORME'!I:I,'DATA INFORME'!K:K)</f>
        <v>SI</v>
      </c>
      <c r="M4" s="93" t="str">
        <f>IF(Tabla2__2[[#This Row],[MYSTERY EFECTIVO]]="SI",_xlfn.XLOOKUP(Tabla2__2[[#This Row],[PREGUNTA]],ENCUESTA!G:G,ENCUESTA!D:D),"N/A")</f>
        <v>EJECUCIÓN DEL PDV</v>
      </c>
      <c r="N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" s="93" t="str">
        <f>_xlfn.XLOOKUP(Tabla2__2[[#This Row],[PREGUNTA]],ENCUESTA!G:G,ENCUESTA!H:H)</f>
        <v>SI</v>
      </c>
      <c r="P4" s="93">
        <f>IF(Tabla2__2[[#This Row],[RTA]]=Tabla2__2[[#This Row],[RTA CORRECTA]],Tabla2__2[[#This Row],[TOTAL PUNTAJE]],0)</f>
        <v>0</v>
      </c>
      <c r="Q4" s="93">
        <f>IF(OR(H4="Dog Chow húmedo",H4="Cat Chow húmedo",H4="Fancy Feast",H4="Felix",H4="Proplan húmedo",H4="One húmedo",H4="Snack Abrazzos",H4="Snak Dentalife",H4="Arenilla Tidy Cat"),N4,0)</f>
        <v>0</v>
      </c>
      <c r="R4" s="93"/>
    </row>
    <row r="5" spans="1:21" x14ac:dyDescent="0.35">
      <c r="A5" s="93" t="s">
        <v>109</v>
      </c>
      <c r="B5" s="93" t="s">
        <v>8</v>
      </c>
      <c r="C5" s="90" t="s">
        <v>14</v>
      </c>
      <c r="D5" s="93" t="s">
        <v>120</v>
      </c>
      <c r="E5" s="94">
        <v>355954</v>
      </c>
      <c r="F5" s="93" t="s">
        <v>226</v>
      </c>
      <c r="G5" s="93" t="s">
        <v>131</v>
      </c>
      <c r="H5" s="93" t="s">
        <v>20</v>
      </c>
      <c r="I5" s="95"/>
      <c r="J5" s="94">
        <v>29615127</v>
      </c>
      <c r="K5" s="93" t="s">
        <v>213</v>
      </c>
      <c r="L5" s="93" t="str">
        <f>_xlfn.XLOOKUP(Tabla2__2[[#This Row],[CODIGO RUTA]],'DATA INFORME'!I:I,'DATA INFORME'!K:K)</f>
        <v>SI</v>
      </c>
      <c r="M5" s="93" t="str">
        <f>IF(Tabla2__2[[#This Row],[MYSTERY EFECTIVO]]="SI",_xlfn.XLOOKUP(Tabla2__2[[#This Row],[PREGUNTA]],ENCUESTA!G:G,ENCUESTA!D:D),"N/A")</f>
        <v>EJECUCIÓN DEL PDV</v>
      </c>
      <c r="N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" s="93" t="str">
        <f>_xlfn.XLOOKUP(Tabla2__2[[#This Row],[PREGUNTA]],ENCUESTA!G:G,ENCUESTA!H:H)</f>
        <v>SI</v>
      </c>
      <c r="P5" s="93">
        <f>IF(Tabla2__2[[#This Row],[RTA]]=Tabla2__2[[#This Row],[RTA CORRECTA]],Tabla2__2[[#This Row],[TOTAL PUNTAJE]],0)</f>
        <v>3.75</v>
      </c>
      <c r="Q5" s="93">
        <f>IF(OR(H5="Dog Chow húmedo",H5="Cat Chow húmedo",H5="Fancy Feast",H5="Felix",H5="Proplan húmedo",H5="One húmedo",H5="Snack Abrazzos",H5="Snak Dentalife",H5="Arenilla Tidy Cat"),N5,0)</f>
        <v>0</v>
      </c>
      <c r="R5" s="93"/>
    </row>
    <row r="6" spans="1:21" x14ac:dyDescent="0.35">
      <c r="A6" s="93" t="s">
        <v>109</v>
      </c>
      <c r="B6" s="93" t="s">
        <v>8</v>
      </c>
      <c r="C6" s="90" t="s">
        <v>14</v>
      </c>
      <c r="D6" s="93" t="s">
        <v>120</v>
      </c>
      <c r="E6" s="94">
        <v>355954</v>
      </c>
      <c r="F6" s="93" t="s">
        <v>226</v>
      </c>
      <c r="G6" s="93" t="s">
        <v>101</v>
      </c>
      <c r="H6" s="93" t="s">
        <v>14</v>
      </c>
      <c r="I6" s="95"/>
      <c r="J6" s="94">
        <v>29615127</v>
      </c>
      <c r="K6" s="93" t="s">
        <v>213</v>
      </c>
      <c r="L6" s="93" t="str">
        <f>_xlfn.XLOOKUP(Tabla2__2[[#This Row],[CODIGO RUTA]],'DATA INFORME'!I:I,'DATA INFORME'!K:K)</f>
        <v>SI</v>
      </c>
      <c r="M6" s="93" t="str">
        <f>IF(Tabla2__2[[#This Row],[MYSTERY EFECTIVO]]="SI",_xlfn.XLOOKUP(Tabla2__2[[#This Row],[PREGUNTA]],ENCUESTA!G:G,ENCUESTA!D:D),"N/A")</f>
        <v>N/A</v>
      </c>
      <c r="N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" s="93">
        <f>_xlfn.XLOOKUP(Tabla2__2[[#This Row],[PREGUNTA]],ENCUESTA!G:G,ENCUESTA!H:H)</f>
        <v>0</v>
      </c>
      <c r="P6" s="93">
        <f>IF(Tabla2__2[[#This Row],[RTA]]=Tabla2__2[[#This Row],[RTA CORRECTA]],Tabla2__2[[#This Row],[TOTAL PUNTAJE]],0)</f>
        <v>0</v>
      </c>
      <c r="Q6" s="93">
        <f>IF(OR(H6="Dog Chow húmedo",H6="Cat Chow húmedo",H6="Fancy Feast",H6="Felix",H6="Proplan húmedo",H6="One húmedo",H6="Snack Abrazzos",H6="Snak Dentalife",H6="Arenilla Tidy Cat"),N6,0)</f>
        <v>0</v>
      </c>
      <c r="R6" s="93"/>
    </row>
    <row r="7" spans="1:21" x14ac:dyDescent="0.35">
      <c r="A7" s="93" t="s">
        <v>109</v>
      </c>
      <c r="B7" s="93" t="s">
        <v>8</v>
      </c>
      <c r="C7" s="90" t="s">
        <v>14</v>
      </c>
      <c r="D7" s="93" t="s">
        <v>120</v>
      </c>
      <c r="E7" s="94">
        <v>355954</v>
      </c>
      <c r="F7" s="93" t="s">
        <v>226</v>
      </c>
      <c r="G7" s="93" t="s">
        <v>127</v>
      </c>
      <c r="H7" s="93" t="s">
        <v>20</v>
      </c>
      <c r="I7" s="95"/>
      <c r="J7" s="94">
        <v>29615127</v>
      </c>
      <c r="K7" s="93" t="s">
        <v>213</v>
      </c>
      <c r="L7" s="93" t="str">
        <f>_xlfn.XLOOKUP(Tabla2__2[[#This Row],[CODIGO RUTA]],'DATA INFORME'!I:I,'DATA INFORME'!K:K)</f>
        <v>SI</v>
      </c>
      <c r="M7" s="93" t="str">
        <f>IF(Tabla2__2[[#This Row],[MYSTERY EFECTIVO]]="SI",_xlfn.XLOOKUP(Tabla2__2[[#This Row],[PREGUNTA]],ENCUESTA!G:G,ENCUESTA!D:D),"N/A")</f>
        <v>ACTIVIDADES DEL MES</v>
      </c>
      <c r="N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7" s="93" t="str">
        <f>_xlfn.XLOOKUP(Tabla2__2[[#This Row],[PREGUNTA]],ENCUESTA!G:G,ENCUESTA!H:H)</f>
        <v>SI</v>
      </c>
      <c r="P7" s="93">
        <f>IF(Tabla2__2[[#This Row],[RTA]]=Tabla2__2[[#This Row],[RTA CORRECTA]],Tabla2__2[[#This Row],[TOTAL PUNTAJE]],0)</f>
        <v>8</v>
      </c>
      <c r="Q7" s="93">
        <f>IF(OR(H7="Dog Chow húmedo",H7="Cat Chow húmedo",H7="Fancy Feast",H7="Felix",H7="Proplan húmedo",H7="One húmedo",H7="Snack Abrazzos",H7="Snak Dentalife",H7="Arenilla Tidy Cat"),N7,0)</f>
        <v>0</v>
      </c>
      <c r="R7" s="93"/>
    </row>
    <row r="8" spans="1:21" x14ac:dyDescent="0.35">
      <c r="A8" s="93" t="s">
        <v>109</v>
      </c>
      <c r="B8" s="93" t="s">
        <v>8</v>
      </c>
      <c r="C8" s="90" t="s">
        <v>14</v>
      </c>
      <c r="D8" s="93" t="s">
        <v>120</v>
      </c>
      <c r="E8" s="94">
        <v>355954</v>
      </c>
      <c r="F8" s="93" t="s">
        <v>226</v>
      </c>
      <c r="G8" s="93" t="s">
        <v>118</v>
      </c>
      <c r="H8" s="93" t="s">
        <v>20</v>
      </c>
      <c r="I8" s="95"/>
      <c r="J8" s="94">
        <v>29615127</v>
      </c>
      <c r="K8" s="93" t="s">
        <v>213</v>
      </c>
      <c r="L8" s="93" t="str">
        <f>_xlfn.XLOOKUP(Tabla2__2[[#This Row],[CODIGO RUTA]],'DATA INFORME'!I:I,'DATA INFORME'!K:K)</f>
        <v>SI</v>
      </c>
      <c r="M8" s="93" t="str">
        <f>IF(Tabla2__2[[#This Row],[MYSTERY EFECTIVO]]="SI",_xlfn.XLOOKUP(Tabla2__2[[#This Row],[PREGUNTA]],ENCUESTA!G:G,ENCUESTA!D:D),"N/A")</f>
        <v>ACTIVIDADES DEL MES</v>
      </c>
      <c r="N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" s="93" t="str">
        <f>_xlfn.XLOOKUP(Tabla2__2[[#This Row],[PREGUNTA]],ENCUESTA!G:G,ENCUESTA!H:H)</f>
        <v>SI</v>
      </c>
      <c r="P8" s="93">
        <f>IF(Tabla2__2[[#This Row],[RTA]]=Tabla2__2[[#This Row],[RTA CORRECTA]],Tabla2__2[[#This Row],[TOTAL PUNTAJE]],0)</f>
        <v>8</v>
      </c>
      <c r="Q8" s="93">
        <f>IF(OR(H8="Dog Chow húmedo",H8="Cat Chow húmedo",H8="Fancy Feast",H8="Felix",H8="Proplan húmedo",H8="One húmedo",H8="Snack Abrazzos",H8="Snak Dentalife",H8="Arenilla Tidy Cat"),N8,0)</f>
        <v>0</v>
      </c>
      <c r="R8" s="93"/>
    </row>
    <row r="9" spans="1:21" x14ac:dyDescent="0.35">
      <c r="A9" s="93" t="s">
        <v>109</v>
      </c>
      <c r="B9" s="93" t="s">
        <v>8</v>
      </c>
      <c r="C9" s="90" t="s">
        <v>14</v>
      </c>
      <c r="D9" s="93" t="s">
        <v>120</v>
      </c>
      <c r="E9" s="94">
        <v>355954</v>
      </c>
      <c r="F9" s="93" t="s">
        <v>226</v>
      </c>
      <c r="G9" s="93" t="s">
        <v>119</v>
      </c>
      <c r="H9" s="93" t="s">
        <v>20</v>
      </c>
      <c r="I9" s="95"/>
      <c r="J9" s="94">
        <v>29615127</v>
      </c>
      <c r="K9" s="93" t="s">
        <v>213</v>
      </c>
      <c r="L9" s="93" t="str">
        <f>_xlfn.XLOOKUP(Tabla2__2[[#This Row],[CODIGO RUTA]],'DATA INFORME'!I:I,'DATA INFORME'!K:K)</f>
        <v>SI</v>
      </c>
      <c r="M9" s="93" t="str">
        <f>IF(Tabla2__2[[#This Row],[MYSTERY EFECTIVO]]="SI",_xlfn.XLOOKUP(Tabla2__2[[#This Row],[PREGUNTA]],ENCUESTA!G:G,ENCUESTA!D:D),"N/A")</f>
        <v>ACTIVIDADES DEL MES</v>
      </c>
      <c r="N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" s="93" t="str">
        <f>_xlfn.XLOOKUP(Tabla2__2[[#This Row],[PREGUNTA]],ENCUESTA!G:G,ENCUESTA!H:H)</f>
        <v>SI</v>
      </c>
      <c r="P9" s="93">
        <f>IF(Tabla2__2[[#This Row],[RTA]]=Tabla2__2[[#This Row],[RTA CORRECTA]],Tabla2__2[[#This Row],[TOTAL PUNTAJE]],0)</f>
        <v>8</v>
      </c>
      <c r="Q9" s="93">
        <f>IF(OR(H9="Dog Chow húmedo",H9="Cat Chow húmedo",H9="Fancy Feast",H9="Felix",H9="Proplan húmedo",H9="One húmedo",H9="Snack Abrazzos",H9="Snak Dentalife",H9="Arenilla Tidy Cat"),N9,0)</f>
        <v>0</v>
      </c>
      <c r="R9" s="93"/>
    </row>
    <row r="10" spans="1:21" x14ac:dyDescent="0.35">
      <c r="A10" s="93" t="s">
        <v>109</v>
      </c>
      <c r="B10" s="93" t="s">
        <v>8</v>
      </c>
      <c r="C10" s="90" t="s">
        <v>14</v>
      </c>
      <c r="D10" s="93" t="s">
        <v>120</v>
      </c>
      <c r="E10" s="94">
        <v>355954</v>
      </c>
      <c r="F10" s="93" t="s">
        <v>226</v>
      </c>
      <c r="G10" s="93" t="s">
        <v>133</v>
      </c>
      <c r="H10" s="93" t="s">
        <v>20</v>
      </c>
      <c r="I10" s="95"/>
      <c r="J10" s="94">
        <v>29615127</v>
      </c>
      <c r="K10" s="93" t="s">
        <v>213</v>
      </c>
      <c r="L10" s="93" t="str">
        <f>_xlfn.XLOOKUP(Tabla2__2[[#This Row],[CODIGO RUTA]],'DATA INFORME'!I:I,'DATA INFORME'!K:K)</f>
        <v>SI</v>
      </c>
      <c r="M10" s="93" t="str">
        <f>IF(Tabla2__2[[#This Row],[MYSTERY EFECTIVO]]="SI",_xlfn.XLOOKUP(Tabla2__2[[#This Row],[PREGUNTA]],ENCUESTA!G:G,ENCUESTA!D:D),"N/A")</f>
        <v>ACTIVIDADES DEL MES</v>
      </c>
      <c r="N1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0" s="93" t="str">
        <f>_xlfn.XLOOKUP(Tabla2__2[[#This Row],[PREGUNTA]],ENCUESTA!G:G,ENCUESTA!H:H)</f>
        <v>SI</v>
      </c>
      <c r="P10" s="93">
        <f>IF(Tabla2__2[[#This Row],[RTA]]=Tabla2__2[[#This Row],[RTA CORRECTA]],Tabla2__2[[#This Row],[TOTAL PUNTAJE]],0)</f>
        <v>8</v>
      </c>
      <c r="Q10" s="93">
        <f>IF(OR(H10="Dog Chow húmedo",H10="Cat Chow húmedo",H10="Fancy Feast",H10="Felix",H10="Proplan húmedo",H10="One húmedo",H10="Snack Abrazzos",H10="Snak Dentalife",H10="Arenilla Tidy Cat"),N10,0)</f>
        <v>0</v>
      </c>
      <c r="R10" s="93"/>
    </row>
    <row r="11" spans="1:21" x14ac:dyDescent="0.35">
      <c r="A11" s="93" t="s">
        <v>109</v>
      </c>
      <c r="B11" s="93" t="s">
        <v>8</v>
      </c>
      <c r="C11" s="90" t="s">
        <v>14</v>
      </c>
      <c r="D11" s="93" t="s">
        <v>120</v>
      </c>
      <c r="E11" s="94">
        <v>355954</v>
      </c>
      <c r="F11" s="93" t="s">
        <v>226</v>
      </c>
      <c r="G11" s="93" t="s">
        <v>134</v>
      </c>
      <c r="H11" s="93" t="s">
        <v>20</v>
      </c>
      <c r="I11" s="95"/>
      <c r="J11" s="94">
        <v>29615127</v>
      </c>
      <c r="K11" s="93" t="s">
        <v>213</v>
      </c>
      <c r="L11" s="93" t="str">
        <f>_xlfn.XLOOKUP(Tabla2__2[[#This Row],[CODIGO RUTA]],'DATA INFORME'!I:I,'DATA INFORME'!K:K)</f>
        <v>SI</v>
      </c>
      <c r="M11" s="93" t="str">
        <f>IF(Tabla2__2[[#This Row],[MYSTERY EFECTIVO]]="SI",_xlfn.XLOOKUP(Tabla2__2[[#This Row],[PREGUNTA]],ENCUESTA!G:G,ENCUESTA!D:D),"N/A")</f>
        <v>ACTIVIDADES DEL MES</v>
      </c>
      <c r="N1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1" s="93" t="str">
        <f>_xlfn.XLOOKUP(Tabla2__2[[#This Row],[PREGUNTA]],ENCUESTA!G:G,ENCUESTA!H:H)</f>
        <v>SI</v>
      </c>
      <c r="P11" s="93">
        <f>IF(Tabla2__2[[#This Row],[RTA]]=Tabla2__2[[#This Row],[RTA CORRECTA]],Tabla2__2[[#This Row],[TOTAL PUNTAJE]],0)</f>
        <v>8</v>
      </c>
      <c r="Q11" s="93">
        <f>IF(OR(H11="Dog Chow húmedo",H11="Cat Chow húmedo",H11="Fancy Feast",H11="Felix",H11="Proplan húmedo",H11="One húmedo",H11="Snack Abrazzos",H11="Snak Dentalife",H11="Arenilla Tidy Cat"),N11,0)</f>
        <v>0</v>
      </c>
      <c r="R11" s="93"/>
    </row>
    <row r="12" spans="1:21" x14ac:dyDescent="0.35">
      <c r="A12" s="93" t="s">
        <v>109</v>
      </c>
      <c r="B12" s="93" t="s">
        <v>8</v>
      </c>
      <c r="C12" s="90" t="s">
        <v>14</v>
      </c>
      <c r="D12" s="93" t="s">
        <v>120</v>
      </c>
      <c r="E12" s="94">
        <v>355954</v>
      </c>
      <c r="F12" s="93" t="s">
        <v>226</v>
      </c>
      <c r="G12" s="93" t="s">
        <v>102</v>
      </c>
      <c r="H12" s="93" t="s">
        <v>108</v>
      </c>
      <c r="I12" s="95"/>
      <c r="J12" s="94">
        <v>29615127</v>
      </c>
      <c r="K12" s="93" t="s">
        <v>213</v>
      </c>
      <c r="L12" s="93" t="str">
        <f>_xlfn.XLOOKUP(Tabla2__2[[#This Row],[CODIGO RUTA]],'DATA INFORME'!I:I,'DATA INFORME'!K:K)</f>
        <v>SI</v>
      </c>
      <c r="M12" s="93" t="str">
        <f>IF(Tabla2__2[[#This Row],[MYSTERY EFECTIVO]]="SI",_xlfn.XLOOKUP(Tabla2__2[[#This Row],[PREGUNTA]],ENCUESTA!G:G,ENCUESTA!D:D),"N/A")</f>
        <v>N/A</v>
      </c>
      <c r="N1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" s="93">
        <f>_xlfn.XLOOKUP(Tabla2__2[[#This Row],[PREGUNTA]],ENCUESTA!G:G,ENCUESTA!H:H)</f>
        <v>0</v>
      </c>
      <c r="P12" s="93">
        <f>IF(Tabla2__2[[#This Row],[RTA]]=Tabla2__2[[#This Row],[RTA CORRECTA]],Tabla2__2[[#This Row],[TOTAL PUNTAJE]],0)</f>
        <v>0</v>
      </c>
      <c r="Q12" s="93">
        <f>IF(OR(H12="Dog Chow húmedo",H12="Cat Chow húmedo",H12="Fancy Feast",H12="Felix",H12="Proplan húmedo",H12="One húmedo",H12="Snack Abrazzos",H12="Snak Dentalife",H12="Arenilla Tidy Cat"),N12,0)</f>
        <v>0</v>
      </c>
      <c r="R12" s="93"/>
    </row>
    <row r="13" spans="1:21" x14ac:dyDescent="0.35">
      <c r="A13" s="93" t="s">
        <v>109</v>
      </c>
      <c r="B13" s="93" t="s">
        <v>132</v>
      </c>
      <c r="C13" s="90" t="s">
        <v>14</v>
      </c>
      <c r="D13" s="93" t="s">
        <v>123</v>
      </c>
      <c r="E13" s="94">
        <v>424831</v>
      </c>
      <c r="F13" s="93" t="s">
        <v>231</v>
      </c>
      <c r="G13" s="93" t="s">
        <v>87</v>
      </c>
      <c r="H13" s="93" t="s">
        <v>20</v>
      </c>
      <c r="I13" s="95"/>
      <c r="J13" s="94">
        <v>29620543</v>
      </c>
      <c r="K13" s="93" t="s">
        <v>126</v>
      </c>
      <c r="L13" s="93" t="str">
        <f>_xlfn.XLOOKUP(Tabla2__2[[#This Row],[CODIGO RUTA]],'DATA INFORME'!I:I,'DATA INFORME'!K:K)</f>
        <v>SI</v>
      </c>
      <c r="M13" s="93" t="str">
        <f>IF(Tabla2__2[[#This Row],[MYSTERY EFECTIVO]]="SI",_xlfn.XLOOKUP(Tabla2__2[[#This Row],[PREGUNTA]],ENCUESTA!G:G,ENCUESTA!D:D),"N/A")</f>
        <v>N/A</v>
      </c>
      <c r="N1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93">
        <f>_xlfn.XLOOKUP(Tabla2__2[[#This Row],[PREGUNTA]],ENCUESTA!G:G,ENCUESTA!H:H)</f>
        <v>0</v>
      </c>
      <c r="P13" s="93">
        <f>IF(Tabla2__2[[#This Row],[RTA]]=Tabla2__2[[#This Row],[RTA CORRECTA]],Tabla2__2[[#This Row],[TOTAL PUNTAJE]],0)</f>
        <v>0</v>
      </c>
      <c r="Q13" s="93">
        <f>IF(OR(H13="Dog Chow húmedo",H13="Cat Chow húmedo",H13="Fancy Feast",H13="Felix",H13="Proplan húmedo",H13="One húmedo",H13="Snack Abrazzos",H13="Snak Dentalife",H13="Arenilla Tidy Cat"),N13,0)</f>
        <v>0</v>
      </c>
      <c r="R13" s="93"/>
    </row>
    <row r="14" spans="1:21" x14ac:dyDescent="0.35">
      <c r="A14" s="93" t="s">
        <v>109</v>
      </c>
      <c r="B14" s="93" t="s">
        <v>132</v>
      </c>
      <c r="C14" s="90" t="s">
        <v>14</v>
      </c>
      <c r="D14" s="93" t="s">
        <v>123</v>
      </c>
      <c r="E14" s="94">
        <v>424831</v>
      </c>
      <c r="F14" s="93" t="s">
        <v>231</v>
      </c>
      <c r="G14" s="93" t="s">
        <v>88</v>
      </c>
      <c r="H14" s="93" t="s">
        <v>20</v>
      </c>
      <c r="I14" s="95"/>
      <c r="J14" s="94">
        <v>29620543</v>
      </c>
      <c r="K14" s="93" t="s">
        <v>126</v>
      </c>
      <c r="L14" s="93" t="str">
        <f>_xlfn.XLOOKUP(Tabla2__2[[#This Row],[CODIGO RUTA]],'DATA INFORME'!I:I,'DATA INFORME'!K:K)</f>
        <v>SI</v>
      </c>
      <c r="M14" s="93" t="str">
        <f>IF(Tabla2__2[[#This Row],[MYSTERY EFECTIVO]]="SI",_xlfn.XLOOKUP(Tabla2__2[[#This Row],[PREGUNTA]],ENCUESTA!G:G,ENCUESTA!D:D),"N/A")</f>
        <v>HORARIO</v>
      </c>
      <c r="N1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" s="93" t="str">
        <f>_xlfn.XLOOKUP(Tabla2__2[[#This Row],[PREGUNTA]],ENCUESTA!G:G,ENCUESTA!H:H)</f>
        <v>SI</v>
      </c>
      <c r="P14" s="93">
        <f>IF(Tabla2__2[[#This Row],[RTA]]=Tabla2__2[[#This Row],[RTA CORRECTA]],Tabla2__2[[#This Row],[TOTAL PUNTAJE]],0)</f>
        <v>20</v>
      </c>
      <c r="Q14" s="93">
        <f>IF(OR(H14="Dog Chow húmedo",H14="Cat Chow húmedo",H14="Fancy Feast",H14="Felix",H14="Proplan húmedo",H14="One húmedo",H14="Snack Abrazzos",H14="Snak Dentalife",H14="Arenilla Tidy Cat"),N14,0)</f>
        <v>0</v>
      </c>
      <c r="R14" s="93"/>
    </row>
    <row r="15" spans="1:21" x14ac:dyDescent="0.35">
      <c r="A15" s="93" t="s">
        <v>109</v>
      </c>
      <c r="B15" s="93" t="s">
        <v>132</v>
      </c>
      <c r="C15" s="90" t="s">
        <v>14</v>
      </c>
      <c r="D15" s="93" t="s">
        <v>123</v>
      </c>
      <c r="E15" s="94">
        <v>424831</v>
      </c>
      <c r="F15" s="93" t="s">
        <v>231</v>
      </c>
      <c r="G15" s="93" t="s">
        <v>89</v>
      </c>
      <c r="H15" s="93" t="s">
        <v>20</v>
      </c>
      <c r="I15" s="95"/>
      <c r="J15" s="94">
        <v>29620543</v>
      </c>
      <c r="K15" s="93" t="s">
        <v>126</v>
      </c>
      <c r="L15" s="93" t="str">
        <f>_xlfn.XLOOKUP(Tabla2__2[[#This Row],[CODIGO RUTA]],'DATA INFORME'!I:I,'DATA INFORME'!K:K)</f>
        <v>SI</v>
      </c>
      <c r="M15" s="93" t="str">
        <f>IF(Tabla2__2[[#This Row],[MYSTERY EFECTIVO]]="SI",_xlfn.XLOOKUP(Tabla2__2[[#This Row],[PREGUNTA]],ENCUESTA!G:G,ENCUESTA!D:D),"N/A")</f>
        <v>PRESENTACIÓN PERSONAL</v>
      </c>
      <c r="N1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" s="93" t="str">
        <f>_xlfn.XLOOKUP(Tabla2__2[[#This Row],[PREGUNTA]],ENCUESTA!G:G,ENCUESTA!H:H)</f>
        <v>SI</v>
      </c>
      <c r="P15" s="93">
        <f>IF(Tabla2__2[[#This Row],[RTA]]=Tabla2__2[[#This Row],[RTA CORRECTA]],Tabla2__2[[#This Row],[TOTAL PUNTAJE]],0)</f>
        <v>1</v>
      </c>
      <c r="Q15" s="93">
        <f>IF(OR(H15="Dog Chow húmedo",H15="Cat Chow húmedo",H15="Fancy Feast",H15="Felix",H15="Proplan húmedo",H15="One húmedo",H15="Snack Abrazzos",H15="Snak Dentalife",H15="Arenilla Tidy Cat"),N15,0)</f>
        <v>0</v>
      </c>
      <c r="R15" s="93"/>
    </row>
    <row r="16" spans="1:21" x14ac:dyDescent="0.35">
      <c r="A16" s="93" t="s">
        <v>109</v>
      </c>
      <c r="B16" s="93" t="s">
        <v>132</v>
      </c>
      <c r="C16" s="90" t="s">
        <v>14</v>
      </c>
      <c r="D16" s="93" t="s">
        <v>123</v>
      </c>
      <c r="E16" s="94">
        <v>424831</v>
      </c>
      <c r="F16" s="93" t="s">
        <v>231</v>
      </c>
      <c r="G16" s="93" t="s">
        <v>90</v>
      </c>
      <c r="H16" s="93" t="s">
        <v>20</v>
      </c>
      <c r="I16" s="95"/>
      <c r="J16" s="94">
        <v>29620543</v>
      </c>
      <c r="K16" s="93" t="s">
        <v>126</v>
      </c>
      <c r="L16" s="93" t="str">
        <f>_xlfn.XLOOKUP(Tabla2__2[[#This Row],[CODIGO RUTA]],'DATA INFORME'!I:I,'DATA INFORME'!K:K)</f>
        <v>SI</v>
      </c>
      <c r="M16" s="93" t="str">
        <f>IF(Tabla2__2[[#This Row],[MYSTERY EFECTIVO]]="SI",_xlfn.XLOOKUP(Tabla2__2[[#This Row],[PREGUNTA]],ENCUESTA!G:G,ENCUESTA!D:D),"N/A")</f>
        <v>PRESENTACIÓN PERSONAL</v>
      </c>
      <c r="N1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" s="93" t="str">
        <f>_xlfn.XLOOKUP(Tabla2__2[[#This Row],[PREGUNTA]],ENCUESTA!G:G,ENCUESTA!H:H)</f>
        <v>SI</v>
      </c>
      <c r="P16" s="93">
        <f>IF(Tabla2__2[[#This Row],[RTA]]=Tabla2__2[[#This Row],[RTA CORRECTA]],Tabla2__2[[#This Row],[TOTAL PUNTAJE]],0)</f>
        <v>1</v>
      </c>
      <c r="Q16" s="93">
        <f>IF(OR(H16="Dog Chow húmedo",H16="Cat Chow húmedo",H16="Fancy Feast",H16="Felix",H16="Proplan húmedo",H16="One húmedo",H16="Snack Abrazzos",H16="Snak Dentalife",H16="Arenilla Tidy Cat"),N16,0)</f>
        <v>0</v>
      </c>
      <c r="R16" s="93"/>
    </row>
    <row r="17" spans="1:18" x14ac:dyDescent="0.35">
      <c r="A17" s="93" t="s">
        <v>109</v>
      </c>
      <c r="B17" s="93" t="s">
        <v>132</v>
      </c>
      <c r="C17" s="90" t="s">
        <v>14</v>
      </c>
      <c r="D17" s="93" t="s">
        <v>123</v>
      </c>
      <c r="E17" s="94">
        <v>424831</v>
      </c>
      <c r="F17" s="93" t="s">
        <v>231</v>
      </c>
      <c r="G17" s="93" t="s">
        <v>35</v>
      </c>
      <c r="H17" s="93" t="s">
        <v>20</v>
      </c>
      <c r="I17" s="95"/>
      <c r="J17" s="94">
        <v>29620543</v>
      </c>
      <c r="K17" s="93" t="s">
        <v>126</v>
      </c>
      <c r="L17" s="93" t="str">
        <f>_xlfn.XLOOKUP(Tabla2__2[[#This Row],[CODIGO RUTA]],'DATA INFORME'!I:I,'DATA INFORME'!K:K)</f>
        <v>SI</v>
      </c>
      <c r="M17" s="93" t="str">
        <f>IF(Tabla2__2[[#This Row],[MYSTERY EFECTIVO]]="SI",_xlfn.XLOOKUP(Tabla2__2[[#This Row],[PREGUNTA]],ENCUESTA!G:G,ENCUESTA!D:D),"N/A")</f>
        <v>PRESENTACIÓN PERSONAL</v>
      </c>
      <c r="N1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" s="93" t="str">
        <f>_xlfn.XLOOKUP(Tabla2__2[[#This Row],[PREGUNTA]],ENCUESTA!G:G,ENCUESTA!H:H)</f>
        <v>SI</v>
      </c>
      <c r="P17" s="93">
        <f>IF(Tabla2__2[[#This Row],[RTA]]=Tabla2__2[[#This Row],[RTA CORRECTA]],Tabla2__2[[#This Row],[TOTAL PUNTAJE]],0)</f>
        <v>1</v>
      </c>
      <c r="Q17" s="93">
        <f>IF(OR(H17="Dog Chow húmedo",H17="Cat Chow húmedo",H17="Fancy Feast",H17="Felix",H17="Proplan húmedo",H17="One húmedo",H17="Snack Abrazzos",H17="Snak Dentalife",H17="Arenilla Tidy Cat"),N17,0)</f>
        <v>0</v>
      </c>
      <c r="R17" s="93"/>
    </row>
    <row r="18" spans="1:18" x14ac:dyDescent="0.35">
      <c r="A18" s="93" t="s">
        <v>109</v>
      </c>
      <c r="B18" s="93" t="s">
        <v>132</v>
      </c>
      <c r="C18" s="90" t="s">
        <v>14</v>
      </c>
      <c r="D18" s="93" t="s">
        <v>123</v>
      </c>
      <c r="E18" s="94">
        <v>424831</v>
      </c>
      <c r="F18" s="93" t="s">
        <v>231</v>
      </c>
      <c r="G18" s="93" t="s">
        <v>91</v>
      </c>
      <c r="H18" s="93" t="s">
        <v>108</v>
      </c>
      <c r="I18" s="95"/>
      <c r="J18" s="94">
        <v>29620543</v>
      </c>
      <c r="K18" s="93" t="s">
        <v>126</v>
      </c>
      <c r="L18" s="93" t="str">
        <f>_xlfn.XLOOKUP(Tabla2__2[[#This Row],[CODIGO RUTA]],'DATA INFORME'!I:I,'DATA INFORME'!K:K)</f>
        <v>SI</v>
      </c>
      <c r="M18" s="93" t="str">
        <f>IF(Tabla2__2[[#This Row],[MYSTERY EFECTIVO]]="SI",_xlfn.XLOOKUP(Tabla2__2[[#This Row],[PREGUNTA]],ENCUESTA!G:G,ENCUESTA!D:D),"N/A")</f>
        <v>PRESENTACIÓN PERSONAL</v>
      </c>
      <c r="N1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" s="93" t="str">
        <f>_xlfn.XLOOKUP(Tabla2__2[[#This Row],[PREGUNTA]],ENCUESTA!G:G,ENCUESTA!H:H)</f>
        <v>NO</v>
      </c>
      <c r="P18" s="93">
        <f>IF(Tabla2__2[[#This Row],[RTA]]=Tabla2__2[[#This Row],[RTA CORRECTA]],Tabla2__2[[#This Row],[TOTAL PUNTAJE]],0)</f>
        <v>1</v>
      </c>
      <c r="Q18" s="93">
        <f>IF(OR(H18="Dog Chow húmedo",H18="Cat Chow húmedo",H18="Fancy Feast",H18="Felix",H18="Proplan húmedo",H18="One húmedo",H18="Snack Abrazzos",H18="Snak Dentalife",H18="Arenilla Tidy Cat"),N18,0)</f>
        <v>0</v>
      </c>
      <c r="R18" s="93"/>
    </row>
    <row r="19" spans="1:18" x14ac:dyDescent="0.35">
      <c r="A19" s="93" t="s">
        <v>109</v>
      </c>
      <c r="B19" s="93" t="s">
        <v>132</v>
      </c>
      <c r="C19" s="90" t="s">
        <v>14</v>
      </c>
      <c r="D19" s="93" t="s">
        <v>123</v>
      </c>
      <c r="E19" s="94">
        <v>424831</v>
      </c>
      <c r="F19" s="93" t="s">
        <v>231</v>
      </c>
      <c r="G19" s="93" t="s">
        <v>92</v>
      </c>
      <c r="H19" s="93" t="s">
        <v>20</v>
      </c>
      <c r="I19" s="95"/>
      <c r="J19" s="94">
        <v>29620543</v>
      </c>
      <c r="K19" s="93" t="s">
        <v>126</v>
      </c>
      <c r="L19" s="93" t="str">
        <f>_xlfn.XLOOKUP(Tabla2__2[[#This Row],[CODIGO RUTA]],'DATA INFORME'!I:I,'DATA INFORME'!K:K)</f>
        <v>SI</v>
      </c>
      <c r="M19" s="93" t="str">
        <f>IF(Tabla2__2[[#This Row],[MYSTERY EFECTIVO]]="SI",_xlfn.XLOOKUP(Tabla2__2[[#This Row],[PREGUNTA]],ENCUESTA!G:G,ENCUESTA!D:D),"N/A")</f>
        <v>PRESENTACIÓN PERSONAL</v>
      </c>
      <c r="N1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" s="93" t="str">
        <f>_xlfn.XLOOKUP(Tabla2__2[[#This Row],[PREGUNTA]],ENCUESTA!G:G,ENCUESTA!H:H)</f>
        <v>SI</v>
      </c>
      <c r="P19" s="93">
        <f>IF(Tabla2__2[[#This Row],[RTA]]=Tabla2__2[[#This Row],[RTA CORRECTA]],Tabla2__2[[#This Row],[TOTAL PUNTAJE]],0)</f>
        <v>1</v>
      </c>
      <c r="Q19" s="93">
        <f>IF(OR(H19="Dog Chow húmedo",H19="Cat Chow húmedo",H19="Fancy Feast",H19="Felix",H19="Proplan húmedo",H19="One húmedo",H19="Snack Abrazzos",H19="Snak Dentalife",H19="Arenilla Tidy Cat"),N19,0)</f>
        <v>0</v>
      </c>
      <c r="R19" s="93"/>
    </row>
    <row r="20" spans="1:18" x14ac:dyDescent="0.35">
      <c r="A20" s="93" t="s">
        <v>109</v>
      </c>
      <c r="B20" s="93" t="s">
        <v>132</v>
      </c>
      <c r="C20" s="90" t="s">
        <v>14</v>
      </c>
      <c r="D20" s="93" t="s">
        <v>123</v>
      </c>
      <c r="E20" s="94">
        <v>424831</v>
      </c>
      <c r="F20" s="93" t="s">
        <v>231</v>
      </c>
      <c r="G20" s="93" t="s">
        <v>93</v>
      </c>
      <c r="H20" s="93" t="s">
        <v>20</v>
      </c>
      <c r="I20" s="95"/>
      <c r="J20" s="94">
        <v>29620543</v>
      </c>
      <c r="K20" s="93" t="s">
        <v>126</v>
      </c>
      <c r="L20" s="93" t="str">
        <f>_xlfn.XLOOKUP(Tabla2__2[[#This Row],[CODIGO RUTA]],'DATA INFORME'!I:I,'DATA INFORME'!K:K)</f>
        <v>SI</v>
      </c>
      <c r="M20" s="93" t="str">
        <f>IF(Tabla2__2[[#This Row],[MYSTERY EFECTIVO]]="SI",_xlfn.XLOOKUP(Tabla2__2[[#This Row],[PREGUNTA]],ENCUESTA!G:G,ENCUESTA!D:D),"N/A")</f>
        <v>PRESENTACIÓN PERSONAL</v>
      </c>
      <c r="N2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" s="93" t="str">
        <f>_xlfn.XLOOKUP(Tabla2__2[[#This Row],[PREGUNTA]],ENCUESTA!G:G,ENCUESTA!H:H)</f>
        <v>SI</v>
      </c>
      <c r="P20" s="93">
        <f>IF(Tabla2__2[[#This Row],[RTA]]=Tabla2__2[[#This Row],[RTA CORRECTA]],Tabla2__2[[#This Row],[TOTAL PUNTAJE]],0)</f>
        <v>1</v>
      </c>
      <c r="Q20" s="93">
        <f>IF(OR(H20="Dog Chow húmedo",H20="Cat Chow húmedo",H20="Fancy Feast",H20="Felix",H20="Proplan húmedo",H20="One húmedo",H20="Snack Abrazzos",H20="Snak Dentalife",H20="Arenilla Tidy Cat"),N20,0)</f>
        <v>0</v>
      </c>
      <c r="R20" s="93"/>
    </row>
    <row r="21" spans="1:18" x14ac:dyDescent="0.35">
      <c r="A21" s="93" t="s">
        <v>109</v>
      </c>
      <c r="B21" s="93" t="s">
        <v>132</v>
      </c>
      <c r="C21" s="90" t="s">
        <v>14</v>
      </c>
      <c r="D21" s="93" t="s">
        <v>123</v>
      </c>
      <c r="E21" s="94">
        <v>424831</v>
      </c>
      <c r="F21" s="93" t="s">
        <v>231</v>
      </c>
      <c r="G21" s="93" t="s">
        <v>94</v>
      </c>
      <c r="H21" s="93" t="s">
        <v>108</v>
      </c>
      <c r="I21" s="95"/>
      <c r="J21" s="94">
        <v>29620543</v>
      </c>
      <c r="K21" s="93" t="s">
        <v>126</v>
      </c>
      <c r="L21" s="93" t="str">
        <f>_xlfn.XLOOKUP(Tabla2__2[[#This Row],[CODIGO RUTA]],'DATA INFORME'!I:I,'DATA INFORME'!K:K)</f>
        <v>SI</v>
      </c>
      <c r="M21" s="93" t="str">
        <f>IF(Tabla2__2[[#This Row],[MYSTERY EFECTIVO]]="SI",_xlfn.XLOOKUP(Tabla2__2[[#This Row],[PREGUNTA]],ENCUESTA!G:G,ENCUESTA!D:D),"N/A")</f>
        <v>PRESENTACIÓN PERSONAL</v>
      </c>
      <c r="N2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" s="93" t="str">
        <f>_xlfn.XLOOKUP(Tabla2__2[[#This Row],[PREGUNTA]],ENCUESTA!G:G,ENCUESTA!H:H)</f>
        <v>NO</v>
      </c>
      <c r="P21" s="93">
        <f>IF(Tabla2__2[[#This Row],[RTA]]=Tabla2__2[[#This Row],[RTA CORRECTA]],Tabla2__2[[#This Row],[TOTAL PUNTAJE]],0)</f>
        <v>1</v>
      </c>
      <c r="Q21" s="93">
        <f>IF(OR(H21="Dog Chow húmedo",H21="Cat Chow húmedo",H21="Fancy Feast",H21="Felix",H21="Proplan húmedo",H21="One húmedo",H21="Snack Abrazzos",H21="Snak Dentalife",H21="Arenilla Tidy Cat"),N21,0)</f>
        <v>0</v>
      </c>
      <c r="R21" s="93"/>
    </row>
    <row r="22" spans="1:18" x14ac:dyDescent="0.35">
      <c r="A22" s="93" t="s">
        <v>109</v>
      </c>
      <c r="B22" s="93" t="s">
        <v>132</v>
      </c>
      <c r="C22" s="90" t="s">
        <v>14</v>
      </c>
      <c r="D22" s="93" t="s">
        <v>123</v>
      </c>
      <c r="E22" s="94">
        <v>424831</v>
      </c>
      <c r="F22" s="93" t="s">
        <v>231</v>
      </c>
      <c r="G22" s="93" t="s">
        <v>95</v>
      </c>
      <c r="H22" s="93" t="s">
        <v>108</v>
      </c>
      <c r="I22" s="95"/>
      <c r="J22" s="94">
        <v>29620543</v>
      </c>
      <c r="K22" s="93" t="s">
        <v>126</v>
      </c>
      <c r="L22" s="93" t="str">
        <f>_xlfn.XLOOKUP(Tabla2__2[[#This Row],[CODIGO RUTA]],'DATA INFORME'!I:I,'DATA INFORME'!K:K)</f>
        <v>SI</v>
      </c>
      <c r="M22" s="93" t="str">
        <f>IF(Tabla2__2[[#This Row],[MYSTERY EFECTIVO]]="SI",_xlfn.XLOOKUP(Tabla2__2[[#This Row],[PREGUNTA]],ENCUESTA!G:G,ENCUESTA!D:D),"N/A")</f>
        <v>PRESENTACIÓN PERSONAL</v>
      </c>
      <c r="N2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" s="93" t="str">
        <f>_xlfn.XLOOKUP(Tabla2__2[[#This Row],[PREGUNTA]],ENCUESTA!G:G,ENCUESTA!H:H)</f>
        <v>NO</v>
      </c>
      <c r="P22" s="93">
        <f>IF(Tabla2__2[[#This Row],[RTA]]=Tabla2__2[[#This Row],[RTA CORRECTA]],Tabla2__2[[#This Row],[TOTAL PUNTAJE]],0)</f>
        <v>1</v>
      </c>
      <c r="Q22" s="93">
        <f>IF(OR(H22="Dog Chow húmedo",H22="Cat Chow húmedo",H22="Fancy Feast",H22="Felix",H22="Proplan húmedo",H22="One húmedo",H22="Snack Abrazzos",H22="Snak Dentalife",H22="Arenilla Tidy Cat"),N22,0)</f>
        <v>0</v>
      </c>
      <c r="R22" s="93"/>
    </row>
    <row r="23" spans="1:18" x14ac:dyDescent="0.35">
      <c r="A23" s="93" t="s">
        <v>109</v>
      </c>
      <c r="B23" s="93" t="s">
        <v>132</v>
      </c>
      <c r="C23" s="90" t="s">
        <v>14</v>
      </c>
      <c r="D23" s="93" t="s">
        <v>123</v>
      </c>
      <c r="E23" s="94">
        <v>424831</v>
      </c>
      <c r="F23" s="93" t="s">
        <v>231</v>
      </c>
      <c r="G23" s="93" t="s">
        <v>96</v>
      </c>
      <c r="H23" s="93" t="s">
        <v>108</v>
      </c>
      <c r="I23" s="95"/>
      <c r="J23" s="94">
        <v>29620543</v>
      </c>
      <c r="K23" s="93" t="s">
        <v>126</v>
      </c>
      <c r="L23" s="93" t="str">
        <f>_xlfn.XLOOKUP(Tabla2__2[[#This Row],[CODIGO RUTA]],'DATA INFORME'!I:I,'DATA INFORME'!K:K)</f>
        <v>SI</v>
      </c>
      <c r="M23" s="93" t="str">
        <f>IF(Tabla2__2[[#This Row],[MYSTERY EFECTIVO]]="SI",_xlfn.XLOOKUP(Tabla2__2[[#This Row],[PREGUNTA]],ENCUESTA!G:G,ENCUESTA!D:D),"N/A")</f>
        <v>PRESENTACIÓN PERSONAL</v>
      </c>
      <c r="N2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" s="93" t="str">
        <f>_xlfn.XLOOKUP(Tabla2__2[[#This Row],[PREGUNTA]],ENCUESTA!G:G,ENCUESTA!H:H)</f>
        <v>NO</v>
      </c>
      <c r="P23" s="93">
        <f>IF(Tabla2__2[[#This Row],[RTA]]=Tabla2__2[[#This Row],[RTA CORRECTA]],Tabla2__2[[#This Row],[TOTAL PUNTAJE]],0)</f>
        <v>1</v>
      </c>
      <c r="Q23" s="93">
        <f>IF(OR(H23="Dog Chow húmedo",H23="Cat Chow húmedo",H23="Fancy Feast",H23="Felix",H23="Proplan húmedo",H23="One húmedo",H23="Snack Abrazzos",H23="Snak Dentalife",H23="Arenilla Tidy Cat"),N23,0)</f>
        <v>0</v>
      </c>
      <c r="R23" s="93"/>
    </row>
    <row r="24" spans="1:18" x14ac:dyDescent="0.35">
      <c r="A24" s="93" t="s">
        <v>109</v>
      </c>
      <c r="B24" s="93" t="s">
        <v>132</v>
      </c>
      <c r="C24" s="90" t="s">
        <v>14</v>
      </c>
      <c r="D24" s="93" t="s">
        <v>123</v>
      </c>
      <c r="E24" s="94">
        <v>424831</v>
      </c>
      <c r="F24" s="93" t="s">
        <v>231</v>
      </c>
      <c r="G24" s="93" t="s">
        <v>97</v>
      </c>
      <c r="H24" s="93" t="s">
        <v>108</v>
      </c>
      <c r="I24" s="95"/>
      <c r="J24" s="94">
        <v>29620543</v>
      </c>
      <c r="K24" s="93" t="s">
        <v>126</v>
      </c>
      <c r="L24" s="93" t="str">
        <f>_xlfn.XLOOKUP(Tabla2__2[[#This Row],[CODIGO RUTA]],'DATA INFORME'!I:I,'DATA INFORME'!K:K)</f>
        <v>SI</v>
      </c>
      <c r="M24" s="93" t="str">
        <f>IF(Tabla2__2[[#This Row],[MYSTERY EFECTIVO]]="SI",_xlfn.XLOOKUP(Tabla2__2[[#This Row],[PREGUNTA]],ENCUESTA!G:G,ENCUESTA!D:D),"N/A")</f>
        <v>PRESENTACIÓN PERSONAL</v>
      </c>
      <c r="N2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4" s="93" t="str">
        <f>_xlfn.XLOOKUP(Tabla2__2[[#This Row],[PREGUNTA]],ENCUESTA!G:G,ENCUESTA!H:H)</f>
        <v>NO</v>
      </c>
      <c r="P24" s="93">
        <f>IF(Tabla2__2[[#This Row],[RTA]]=Tabla2__2[[#This Row],[RTA CORRECTA]],Tabla2__2[[#This Row],[TOTAL PUNTAJE]],0)</f>
        <v>1</v>
      </c>
      <c r="Q24" s="93">
        <f>IF(OR(H24="Dog Chow húmedo",H24="Cat Chow húmedo",H24="Fancy Feast",H24="Felix",H24="Proplan húmedo",H24="One húmedo",H24="Snack Abrazzos",H24="Snak Dentalife",H24="Arenilla Tidy Cat"),N24,0)</f>
        <v>0</v>
      </c>
      <c r="R24" s="93"/>
    </row>
    <row r="25" spans="1:18" x14ac:dyDescent="0.35">
      <c r="A25" s="93" t="s">
        <v>109</v>
      </c>
      <c r="B25" s="93" t="s">
        <v>132</v>
      </c>
      <c r="C25" s="90" t="s">
        <v>14</v>
      </c>
      <c r="D25" s="93" t="s">
        <v>123</v>
      </c>
      <c r="E25" s="94">
        <v>424831</v>
      </c>
      <c r="F25" s="93" t="s">
        <v>231</v>
      </c>
      <c r="G25" s="93" t="s">
        <v>147</v>
      </c>
      <c r="H25" s="93" t="s">
        <v>20</v>
      </c>
      <c r="I25" s="95"/>
      <c r="J25" s="94">
        <v>29620543</v>
      </c>
      <c r="K25" s="93" t="s">
        <v>126</v>
      </c>
      <c r="L25" s="93" t="str">
        <f>_xlfn.XLOOKUP(Tabla2__2[[#This Row],[CODIGO RUTA]],'DATA INFORME'!I:I,'DATA INFORME'!K:K)</f>
        <v>SI</v>
      </c>
      <c r="M25" s="93" t="str">
        <f>IF(Tabla2__2[[#This Row],[MYSTERY EFECTIVO]]="SI",_xlfn.XLOOKUP(Tabla2__2[[#This Row],[PREGUNTA]],ENCUESTA!G:G,ENCUESTA!D:D),"N/A")</f>
        <v>EJECUCIÓN DEL PDV</v>
      </c>
      <c r="N2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5" s="93" t="str">
        <f>_xlfn.XLOOKUP(Tabla2__2[[#This Row],[PREGUNTA]],ENCUESTA!G:G,ENCUESTA!H:H)</f>
        <v>SI</v>
      </c>
      <c r="P25" s="93">
        <f>IF(Tabla2__2[[#This Row],[RTA]]=Tabla2__2[[#This Row],[RTA CORRECTA]],Tabla2__2[[#This Row],[TOTAL PUNTAJE]],0)</f>
        <v>3.75</v>
      </c>
      <c r="Q25" s="93">
        <f>IF(OR(H25="Dog Chow húmedo",H25="Cat Chow húmedo",H25="Fancy Feast",H25="Felix",H25="Proplan húmedo",H25="One húmedo",H25="Snack Abrazzos",H25="Snak Dentalife",H25="Arenilla Tidy Cat"),N25,0)</f>
        <v>0</v>
      </c>
      <c r="R25" s="93"/>
    </row>
    <row r="26" spans="1:18" x14ac:dyDescent="0.35">
      <c r="A26" s="93" t="s">
        <v>109</v>
      </c>
      <c r="B26" s="93" t="s">
        <v>132</v>
      </c>
      <c r="C26" s="90" t="s">
        <v>14</v>
      </c>
      <c r="D26" s="93" t="s">
        <v>123</v>
      </c>
      <c r="E26" s="94">
        <v>424831</v>
      </c>
      <c r="F26" s="93" t="s">
        <v>231</v>
      </c>
      <c r="G26" s="93" t="s">
        <v>148</v>
      </c>
      <c r="H26" s="93" t="s">
        <v>20</v>
      </c>
      <c r="I26" s="95"/>
      <c r="J26" s="94">
        <v>29620543</v>
      </c>
      <c r="K26" s="93" t="s">
        <v>126</v>
      </c>
      <c r="L26" s="93" t="str">
        <f>_xlfn.XLOOKUP(Tabla2__2[[#This Row],[CODIGO RUTA]],'DATA INFORME'!I:I,'DATA INFORME'!K:K)</f>
        <v>SI</v>
      </c>
      <c r="M26" s="93" t="str">
        <f>IF(Tabla2__2[[#This Row],[MYSTERY EFECTIVO]]="SI",_xlfn.XLOOKUP(Tabla2__2[[#This Row],[PREGUNTA]],ENCUESTA!G:G,ENCUESTA!D:D),"N/A")</f>
        <v>EJECUCIÓN DEL PDV</v>
      </c>
      <c r="N2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6" s="93" t="str">
        <f>_xlfn.XLOOKUP(Tabla2__2[[#This Row],[PREGUNTA]],ENCUESTA!G:G,ENCUESTA!H:H)</f>
        <v>SI</v>
      </c>
      <c r="P26" s="93">
        <f>IF(Tabla2__2[[#This Row],[RTA]]=Tabla2__2[[#This Row],[RTA CORRECTA]],Tabla2__2[[#This Row],[TOTAL PUNTAJE]],0)</f>
        <v>3.75</v>
      </c>
      <c r="Q26" s="93">
        <f>IF(OR(H26="Dog Chow húmedo",H26="Cat Chow húmedo",H26="Fancy Feast",H26="Felix",H26="Proplan húmedo",H26="One húmedo",H26="Snack Abrazzos",H26="Snak Dentalife",H26="Arenilla Tidy Cat"),N26,0)</f>
        <v>0</v>
      </c>
      <c r="R26" s="93"/>
    </row>
    <row r="27" spans="1:18" x14ac:dyDescent="0.35">
      <c r="A27" s="93" t="s">
        <v>109</v>
      </c>
      <c r="B27" s="93" t="s">
        <v>132</v>
      </c>
      <c r="C27" s="90" t="s">
        <v>14</v>
      </c>
      <c r="D27" s="93" t="s">
        <v>123</v>
      </c>
      <c r="E27" s="94">
        <v>424831</v>
      </c>
      <c r="F27" s="93" t="s">
        <v>231</v>
      </c>
      <c r="G27" s="93" t="s">
        <v>98</v>
      </c>
      <c r="H27" s="93" t="s">
        <v>20</v>
      </c>
      <c r="I27" s="95"/>
      <c r="J27" s="94">
        <v>29620543</v>
      </c>
      <c r="K27" s="93" t="s">
        <v>126</v>
      </c>
      <c r="L27" s="93" t="str">
        <f>_xlfn.XLOOKUP(Tabla2__2[[#This Row],[CODIGO RUTA]],'DATA INFORME'!I:I,'DATA INFORME'!K:K)</f>
        <v>SI</v>
      </c>
      <c r="M27" s="93" t="str">
        <f>IF(Tabla2__2[[#This Row],[MYSTERY EFECTIVO]]="SI",_xlfn.XLOOKUP(Tabla2__2[[#This Row],[PREGUNTA]],ENCUESTA!G:G,ENCUESTA!D:D),"N/A")</f>
        <v>EJECUCIÓN DEL PDV</v>
      </c>
      <c r="N2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7" s="93" t="str">
        <f>_xlfn.XLOOKUP(Tabla2__2[[#This Row],[PREGUNTA]],ENCUESTA!G:G,ENCUESTA!H:H)</f>
        <v>SI</v>
      </c>
      <c r="P27" s="93">
        <f>IF(Tabla2__2[[#This Row],[RTA]]=Tabla2__2[[#This Row],[RTA CORRECTA]],Tabla2__2[[#This Row],[TOTAL PUNTAJE]],0)</f>
        <v>3.75</v>
      </c>
      <c r="Q27" s="93">
        <f>IF(OR(H27="Dog Chow húmedo",H27="Cat Chow húmedo",H27="Fancy Feast",H27="Felix",H27="Proplan húmedo",H27="One húmedo",H27="Snack Abrazzos",H27="Snak Dentalife",H27="Arenilla Tidy Cat"),N27,0)</f>
        <v>0</v>
      </c>
      <c r="R27" s="93"/>
    </row>
    <row r="28" spans="1:18" x14ac:dyDescent="0.35">
      <c r="A28" s="93" t="s">
        <v>109</v>
      </c>
      <c r="B28" s="93" t="s">
        <v>8</v>
      </c>
      <c r="C28" s="90" t="s">
        <v>14</v>
      </c>
      <c r="D28" s="93" t="s">
        <v>120</v>
      </c>
      <c r="E28" s="94">
        <v>355954</v>
      </c>
      <c r="F28" s="93" t="s">
        <v>226</v>
      </c>
      <c r="G28" s="93" t="s">
        <v>100</v>
      </c>
      <c r="H28" s="93" t="s">
        <v>20</v>
      </c>
      <c r="I28" s="95"/>
      <c r="J28" s="94">
        <v>29615127</v>
      </c>
      <c r="K28" s="93" t="s">
        <v>213</v>
      </c>
      <c r="L28" s="93" t="str">
        <f>_xlfn.XLOOKUP(Tabla2__2[[#This Row],[CODIGO RUTA]],'DATA INFORME'!I:I,'DATA INFORME'!K:K)</f>
        <v>SI</v>
      </c>
      <c r="M28" s="93" t="str">
        <f>IF(Tabla2__2[[#This Row],[MYSTERY EFECTIVO]]="SI",_xlfn.XLOOKUP(Tabla2__2[[#This Row],[PREGUNTA]],ENCUESTA!G:G,ENCUESTA!D:D),"N/A")</f>
        <v>EJECUCIÓN DEL PDV</v>
      </c>
      <c r="N2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8" s="93" t="str">
        <f>_xlfn.XLOOKUP(Tabla2__2[[#This Row],[PREGUNTA]],ENCUESTA!G:G,ENCUESTA!H:H)</f>
        <v>SI</v>
      </c>
      <c r="P28" s="93">
        <f>IF(Tabla2__2[[#This Row],[RTA]]=Tabla2__2[[#This Row],[RTA CORRECTA]],Tabla2__2[[#This Row],[TOTAL PUNTAJE]],0)</f>
        <v>3.75</v>
      </c>
      <c r="Q28" s="93">
        <f>IF(OR(H28="Dog Chow húmedo",H28="Cat Chow húmedo",H28="Fancy Feast",H28="Felix",H28="Proplan húmedo",H28="One húmedo",H28="Snack Abrazzos",H28="Snak Dentalife",H28="Arenilla Tidy Cat"),N28,0)</f>
        <v>0</v>
      </c>
      <c r="R28" s="93"/>
    </row>
    <row r="29" spans="1:18" x14ac:dyDescent="0.35">
      <c r="A29" s="93" t="s">
        <v>109</v>
      </c>
      <c r="B29" s="93" t="s">
        <v>8</v>
      </c>
      <c r="C29" s="90" t="s">
        <v>14</v>
      </c>
      <c r="D29" s="93" t="s">
        <v>120</v>
      </c>
      <c r="E29" s="94">
        <v>355954</v>
      </c>
      <c r="F29" s="93" t="s">
        <v>226</v>
      </c>
      <c r="G29" s="93" t="s">
        <v>99</v>
      </c>
      <c r="H29" s="93" t="s">
        <v>20</v>
      </c>
      <c r="I29" s="95"/>
      <c r="J29" s="94">
        <v>29615127</v>
      </c>
      <c r="K29" s="93" t="s">
        <v>213</v>
      </c>
      <c r="L29" s="93" t="str">
        <f>_xlfn.XLOOKUP(Tabla2__2[[#This Row],[CODIGO RUTA]],'DATA INFORME'!I:I,'DATA INFORME'!K:K)</f>
        <v>SI</v>
      </c>
      <c r="M29" s="93" t="str">
        <f>IF(Tabla2__2[[#This Row],[MYSTERY EFECTIVO]]="SI",_xlfn.XLOOKUP(Tabla2__2[[#This Row],[PREGUNTA]],ENCUESTA!G:G,ENCUESTA!D:D),"N/A")</f>
        <v>EJECUCIÓN DEL PDV</v>
      </c>
      <c r="N2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9" s="93" t="str">
        <f>_xlfn.XLOOKUP(Tabla2__2[[#This Row],[PREGUNTA]],ENCUESTA!G:G,ENCUESTA!H:H)</f>
        <v>SI</v>
      </c>
      <c r="P29" s="93">
        <f>IF(Tabla2__2[[#This Row],[RTA]]=Tabla2__2[[#This Row],[RTA CORRECTA]],Tabla2__2[[#This Row],[TOTAL PUNTAJE]],0)</f>
        <v>3.75</v>
      </c>
      <c r="Q29" s="93">
        <f>IF(OR(H29="Dog Chow húmedo",H29="Cat Chow húmedo",H29="Fancy Feast",H29="Felix",H29="Proplan húmedo",H29="One húmedo",H29="Snack Abrazzos",H29="Snak Dentalife",H29="Arenilla Tidy Cat"),N29,0)</f>
        <v>0</v>
      </c>
      <c r="R29" s="93"/>
    </row>
    <row r="30" spans="1:18" x14ac:dyDescent="0.35">
      <c r="A30" s="93" t="s">
        <v>109</v>
      </c>
      <c r="B30" s="93" t="s">
        <v>8</v>
      </c>
      <c r="C30" s="90" t="s">
        <v>14</v>
      </c>
      <c r="D30" s="93" t="s">
        <v>120</v>
      </c>
      <c r="E30" s="94">
        <v>355954</v>
      </c>
      <c r="F30" s="93" t="s">
        <v>226</v>
      </c>
      <c r="G30" s="93" t="s">
        <v>98</v>
      </c>
      <c r="H30" s="93" t="s">
        <v>20</v>
      </c>
      <c r="I30" s="95"/>
      <c r="J30" s="94">
        <v>29615127</v>
      </c>
      <c r="K30" s="93" t="s">
        <v>213</v>
      </c>
      <c r="L30" s="93" t="str">
        <f>_xlfn.XLOOKUP(Tabla2__2[[#This Row],[CODIGO RUTA]],'DATA INFORME'!I:I,'DATA INFORME'!K:K)</f>
        <v>SI</v>
      </c>
      <c r="M30" s="93" t="str">
        <f>IF(Tabla2__2[[#This Row],[MYSTERY EFECTIVO]]="SI",_xlfn.XLOOKUP(Tabla2__2[[#This Row],[PREGUNTA]],ENCUESTA!G:G,ENCUESTA!D:D),"N/A")</f>
        <v>EJECUCIÓN DEL PDV</v>
      </c>
      <c r="N3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0" s="93" t="str">
        <f>_xlfn.XLOOKUP(Tabla2__2[[#This Row],[PREGUNTA]],ENCUESTA!G:G,ENCUESTA!H:H)</f>
        <v>SI</v>
      </c>
      <c r="P30" s="93">
        <f>IF(Tabla2__2[[#This Row],[RTA]]=Tabla2__2[[#This Row],[RTA CORRECTA]],Tabla2__2[[#This Row],[TOTAL PUNTAJE]],0)</f>
        <v>3.75</v>
      </c>
      <c r="Q30" s="93">
        <f>IF(OR(H30="Dog Chow húmedo",H30="Cat Chow húmedo",H30="Fancy Feast",H30="Felix",H30="Proplan húmedo",H30="One húmedo",H30="Snack Abrazzos",H30="Snak Dentalife",H30="Arenilla Tidy Cat"),N30,0)</f>
        <v>0</v>
      </c>
      <c r="R30" s="93"/>
    </row>
    <row r="31" spans="1:18" x14ac:dyDescent="0.35">
      <c r="A31" s="93" t="s">
        <v>109</v>
      </c>
      <c r="B31" s="93" t="s">
        <v>8</v>
      </c>
      <c r="C31" s="90" t="s">
        <v>14</v>
      </c>
      <c r="D31" s="93" t="s">
        <v>120</v>
      </c>
      <c r="E31" s="94">
        <v>355954</v>
      </c>
      <c r="F31" s="93" t="s">
        <v>226</v>
      </c>
      <c r="G31" s="93" t="s">
        <v>148</v>
      </c>
      <c r="H31" s="93" t="s">
        <v>20</v>
      </c>
      <c r="I31" s="95"/>
      <c r="J31" s="94">
        <v>29615127</v>
      </c>
      <c r="K31" s="93" t="s">
        <v>213</v>
      </c>
      <c r="L31" s="93" t="str">
        <f>_xlfn.XLOOKUP(Tabla2__2[[#This Row],[CODIGO RUTA]],'DATA INFORME'!I:I,'DATA INFORME'!K:K)</f>
        <v>SI</v>
      </c>
      <c r="M31" s="93" t="str">
        <f>IF(Tabla2__2[[#This Row],[MYSTERY EFECTIVO]]="SI",_xlfn.XLOOKUP(Tabla2__2[[#This Row],[PREGUNTA]],ENCUESTA!G:G,ENCUESTA!D:D),"N/A")</f>
        <v>EJECUCIÓN DEL PDV</v>
      </c>
      <c r="N3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1" s="93" t="str">
        <f>_xlfn.XLOOKUP(Tabla2__2[[#This Row],[PREGUNTA]],ENCUESTA!G:G,ENCUESTA!H:H)</f>
        <v>SI</v>
      </c>
      <c r="P31" s="93">
        <f>IF(Tabla2__2[[#This Row],[RTA]]=Tabla2__2[[#This Row],[RTA CORRECTA]],Tabla2__2[[#This Row],[TOTAL PUNTAJE]],0)</f>
        <v>3.75</v>
      </c>
      <c r="Q31" s="93">
        <f>IF(OR(H31="Dog Chow húmedo",H31="Cat Chow húmedo",H31="Fancy Feast",H31="Felix",H31="Proplan húmedo",H31="One húmedo",H31="Snack Abrazzos",H31="Snak Dentalife",H31="Arenilla Tidy Cat"),N31,0)</f>
        <v>0</v>
      </c>
      <c r="R31" s="93"/>
    </row>
    <row r="32" spans="1:18" x14ac:dyDescent="0.35">
      <c r="A32" s="93" t="s">
        <v>109</v>
      </c>
      <c r="B32" s="93" t="s">
        <v>139</v>
      </c>
      <c r="C32" s="90" t="s">
        <v>43</v>
      </c>
      <c r="D32" s="93" t="s">
        <v>143</v>
      </c>
      <c r="E32" s="94">
        <v>355519</v>
      </c>
      <c r="F32" s="93" t="s">
        <v>215</v>
      </c>
      <c r="G32" s="93" t="s">
        <v>98</v>
      </c>
      <c r="H32" s="93" t="s">
        <v>20</v>
      </c>
      <c r="I32" s="95"/>
      <c r="J32" s="94">
        <v>29606660</v>
      </c>
      <c r="K32" s="93" t="s">
        <v>142</v>
      </c>
      <c r="L32" s="93" t="str">
        <f>_xlfn.XLOOKUP(Tabla2__2[[#This Row],[CODIGO RUTA]],'DATA INFORME'!I:I,'DATA INFORME'!K:K)</f>
        <v>SI</v>
      </c>
      <c r="M32" s="93" t="str">
        <f>IF(Tabla2__2[[#This Row],[MYSTERY EFECTIVO]]="SI",_xlfn.XLOOKUP(Tabla2__2[[#This Row],[PREGUNTA]],ENCUESTA!G:G,ENCUESTA!D:D),"N/A")</f>
        <v>EJECUCIÓN DEL PDV</v>
      </c>
      <c r="N3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2" s="93" t="str">
        <f>_xlfn.XLOOKUP(Tabla2__2[[#This Row],[PREGUNTA]],ENCUESTA!G:G,ENCUESTA!H:H)</f>
        <v>SI</v>
      </c>
      <c r="P32" s="93">
        <f>IF(Tabla2__2[[#This Row],[RTA]]=Tabla2__2[[#This Row],[RTA CORRECTA]],Tabla2__2[[#This Row],[TOTAL PUNTAJE]],0)</f>
        <v>3.75</v>
      </c>
      <c r="Q32" s="93">
        <f>IF(OR(H32="Dog Chow húmedo",H32="Cat Chow húmedo",H32="Fancy Feast",H32="Felix",H32="Proplan húmedo",H32="One húmedo",H32="Snack Abrazzos",H32="Snak Dentalife",H32="Arenilla Tidy Cat"),N32,0)</f>
        <v>0</v>
      </c>
      <c r="R32" s="93"/>
    </row>
    <row r="33" spans="1:18" x14ac:dyDescent="0.35">
      <c r="A33" s="93" t="s">
        <v>109</v>
      </c>
      <c r="B33" s="93" t="s">
        <v>139</v>
      </c>
      <c r="C33" s="90" t="s">
        <v>43</v>
      </c>
      <c r="D33" s="93" t="s">
        <v>143</v>
      </c>
      <c r="E33" s="94">
        <v>355519</v>
      </c>
      <c r="F33" s="93" t="s">
        <v>215</v>
      </c>
      <c r="G33" s="93" t="s">
        <v>99</v>
      </c>
      <c r="H33" s="93" t="s">
        <v>20</v>
      </c>
      <c r="I33" s="95"/>
      <c r="J33" s="94">
        <v>29606660</v>
      </c>
      <c r="K33" s="93" t="s">
        <v>142</v>
      </c>
      <c r="L33" s="93" t="str">
        <f>_xlfn.XLOOKUP(Tabla2__2[[#This Row],[CODIGO RUTA]],'DATA INFORME'!I:I,'DATA INFORME'!K:K)</f>
        <v>SI</v>
      </c>
      <c r="M33" s="93" t="str">
        <f>IF(Tabla2__2[[#This Row],[MYSTERY EFECTIVO]]="SI",_xlfn.XLOOKUP(Tabla2__2[[#This Row],[PREGUNTA]],ENCUESTA!G:G,ENCUESTA!D:D),"N/A")</f>
        <v>EJECUCIÓN DEL PDV</v>
      </c>
      <c r="N3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3" s="93" t="str">
        <f>_xlfn.XLOOKUP(Tabla2__2[[#This Row],[PREGUNTA]],ENCUESTA!G:G,ENCUESTA!H:H)</f>
        <v>SI</v>
      </c>
      <c r="P33" s="93">
        <f>IF(Tabla2__2[[#This Row],[RTA]]=Tabla2__2[[#This Row],[RTA CORRECTA]],Tabla2__2[[#This Row],[TOTAL PUNTAJE]],0)</f>
        <v>3.75</v>
      </c>
      <c r="Q33" s="93">
        <f>IF(OR(H33="Dog Chow húmedo",H33="Cat Chow húmedo",H33="Fancy Feast",H33="Felix",H33="Proplan húmedo",H33="One húmedo",H33="Snack Abrazzos",H33="Snak Dentalife",H33="Arenilla Tidy Cat"),N33,0)</f>
        <v>0</v>
      </c>
      <c r="R33" s="93"/>
    </row>
    <row r="34" spans="1:18" x14ac:dyDescent="0.35">
      <c r="A34" s="93" t="s">
        <v>109</v>
      </c>
      <c r="B34" s="93" t="s">
        <v>139</v>
      </c>
      <c r="C34" s="90" t="s">
        <v>43</v>
      </c>
      <c r="D34" s="93" t="s">
        <v>143</v>
      </c>
      <c r="E34" s="94">
        <v>355519</v>
      </c>
      <c r="F34" s="93" t="s">
        <v>215</v>
      </c>
      <c r="G34" s="93" t="s">
        <v>100</v>
      </c>
      <c r="H34" s="93" t="s">
        <v>20</v>
      </c>
      <c r="I34" s="95"/>
      <c r="J34" s="94">
        <v>29606660</v>
      </c>
      <c r="K34" s="93" t="s">
        <v>142</v>
      </c>
      <c r="L34" s="93" t="str">
        <f>_xlfn.XLOOKUP(Tabla2__2[[#This Row],[CODIGO RUTA]],'DATA INFORME'!I:I,'DATA INFORME'!K:K)</f>
        <v>SI</v>
      </c>
      <c r="M34" s="93" t="str">
        <f>IF(Tabla2__2[[#This Row],[MYSTERY EFECTIVO]]="SI",_xlfn.XLOOKUP(Tabla2__2[[#This Row],[PREGUNTA]],ENCUESTA!G:G,ENCUESTA!D:D),"N/A")</f>
        <v>EJECUCIÓN DEL PDV</v>
      </c>
      <c r="N3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4" s="93" t="str">
        <f>_xlfn.XLOOKUP(Tabla2__2[[#This Row],[PREGUNTA]],ENCUESTA!G:G,ENCUESTA!H:H)</f>
        <v>SI</v>
      </c>
      <c r="P34" s="93">
        <f>IF(Tabla2__2[[#This Row],[RTA]]=Tabla2__2[[#This Row],[RTA CORRECTA]],Tabla2__2[[#This Row],[TOTAL PUNTAJE]],0)</f>
        <v>3.75</v>
      </c>
      <c r="Q34" s="93">
        <f>IF(OR(H34="Dog Chow húmedo",H34="Cat Chow húmedo",H34="Fancy Feast",H34="Felix",H34="Proplan húmedo",H34="One húmedo",H34="Snack Abrazzos",H34="Snak Dentalife",H34="Arenilla Tidy Cat"),N34,0)</f>
        <v>0</v>
      </c>
      <c r="R34" s="93"/>
    </row>
    <row r="35" spans="1:18" x14ac:dyDescent="0.35">
      <c r="A35" s="93" t="s">
        <v>109</v>
      </c>
      <c r="B35" s="93" t="s">
        <v>139</v>
      </c>
      <c r="C35" s="90" t="s">
        <v>43</v>
      </c>
      <c r="D35" s="93" t="s">
        <v>143</v>
      </c>
      <c r="E35" s="94">
        <v>355519</v>
      </c>
      <c r="F35" s="93" t="s">
        <v>215</v>
      </c>
      <c r="G35" s="93" t="s">
        <v>149</v>
      </c>
      <c r="H35" s="93" t="s">
        <v>20</v>
      </c>
      <c r="I35" s="95"/>
      <c r="J35" s="94">
        <v>29606660</v>
      </c>
      <c r="K35" s="93" t="s">
        <v>142</v>
      </c>
      <c r="L35" s="93" t="str">
        <f>_xlfn.XLOOKUP(Tabla2__2[[#This Row],[CODIGO RUTA]],'DATA INFORME'!I:I,'DATA INFORME'!K:K)</f>
        <v>SI</v>
      </c>
      <c r="M35" s="93" t="str">
        <f>IF(Tabla2__2[[#This Row],[MYSTERY EFECTIVO]]="SI",_xlfn.XLOOKUP(Tabla2__2[[#This Row],[PREGUNTA]],ENCUESTA!G:G,ENCUESTA!D:D),"N/A")</f>
        <v>EJECUCIÓN DEL PDV</v>
      </c>
      <c r="N3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5" s="93" t="str">
        <f>_xlfn.XLOOKUP(Tabla2__2[[#This Row],[PREGUNTA]],ENCUESTA!G:G,ENCUESTA!H:H)</f>
        <v>SI</v>
      </c>
      <c r="P35" s="93">
        <f>IF(Tabla2__2[[#This Row],[RTA]]=Tabla2__2[[#This Row],[RTA CORRECTA]],Tabla2__2[[#This Row],[TOTAL PUNTAJE]],0)</f>
        <v>3.75</v>
      </c>
      <c r="Q35" s="93">
        <f>IF(OR(H35="Dog Chow húmedo",H35="Cat Chow húmedo",H35="Fancy Feast",H35="Felix",H35="Proplan húmedo",H35="One húmedo",H35="Snack Abrazzos",H35="Snak Dentalife",H35="Arenilla Tidy Cat"),N35,0)</f>
        <v>0</v>
      </c>
      <c r="R35" s="93"/>
    </row>
    <row r="36" spans="1:18" x14ac:dyDescent="0.35">
      <c r="A36" s="93" t="s">
        <v>109</v>
      </c>
      <c r="B36" s="93" t="s">
        <v>139</v>
      </c>
      <c r="C36" s="90" t="s">
        <v>43</v>
      </c>
      <c r="D36" s="93" t="s">
        <v>143</v>
      </c>
      <c r="E36" s="94">
        <v>355519</v>
      </c>
      <c r="F36" s="93" t="s">
        <v>215</v>
      </c>
      <c r="G36" s="93" t="s">
        <v>130</v>
      </c>
      <c r="H36" s="93" t="s">
        <v>108</v>
      </c>
      <c r="I36" s="95"/>
      <c r="J36" s="94">
        <v>29606660</v>
      </c>
      <c r="K36" s="93" t="s">
        <v>142</v>
      </c>
      <c r="L36" s="93" t="str">
        <f>_xlfn.XLOOKUP(Tabla2__2[[#This Row],[CODIGO RUTA]],'DATA INFORME'!I:I,'DATA INFORME'!K:K)</f>
        <v>SI</v>
      </c>
      <c r="M36" s="93" t="str">
        <f>IF(Tabla2__2[[#This Row],[MYSTERY EFECTIVO]]="SI",_xlfn.XLOOKUP(Tabla2__2[[#This Row],[PREGUNTA]],ENCUESTA!G:G,ENCUESTA!D:D),"N/A")</f>
        <v>EJECUCIÓN DEL PDV</v>
      </c>
      <c r="N3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6" s="93" t="str">
        <f>_xlfn.XLOOKUP(Tabla2__2[[#This Row],[PREGUNTA]],ENCUESTA!G:G,ENCUESTA!H:H)</f>
        <v>SI</v>
      </c>
      <c r="P36" s="93">
        <f>IF(Tabla2__2[[#This Row],[RTA]]=Tabla2__2[[#This Row],[RTA CORRECTA]],Tabla2__2[[#This Row],[TOTAL PUNTAJE]],0)</f>
        <v>0</v>
      </c>
      <c r="Q36" s="93">
        <f>IF(OR(H36="Dog Chow húmedo",H36="Cat Chow húmedo",H36="Fancy Feast",H36="Felix",H36="Proplan húmedo",H36="One húmedo",H36="Snack Abrazzos",H36="Snak Dentalife",H36="Arenilla Tidy Cat"),N36,0)</f>
        <v>0</v>
      </c>
      <c r="R36" s="93"/>
    </row>
    <row r="37" spans="1:18" x14ac:dyDescent="0.35">
      <c r="A37" s="93" t="s">
        <v>109</v>
      </c>
      <c r="B37" s="93" t="s">
        <v>139</v>
      </c>
      <c r="C37" s="90" t="s">
        <v>43</v>
      </c>
      <c r="D37" s="93" t="s">
        <v>143</v>
      </c>
      <c r="E37" s="94">
        <v>355519</v>
      </c>
      <c r="F37" s="93" t="s">
        <v>215</v>
      </c>
      <c r="G37" s="93" t="s">
        <v>131</v>
      </c>
      <c r="H37" s="93" t="s">
        <v>20</v>
      </c>
      <c r="I37" s="95"/>
      <c r="J37" s="94">
        <v>29606660</v>
      </c>
      <c r="K37" s="93" t="s">
        <v>142</v>
      </c>
      <c r="L37" s="93" t="str">
        <f>_xlfn.XLOOKUP(Tabla2__2[[#This Row],[CODIGO RUTA]],'DATA INFORME'!I:I,'DATA INFORME'!K:K)</f>
        <v>SI</v>
      </c>
      <c r="M37" s="93" t="str">
        <f>IF(Tabla2__2[[#This Row],[MYSTERY EFECTIVO]]="SI",_xlfn.XLOOKUP(Tabla2__2[[#This Row],[PREGUNTA]],ENCUESTA!G:G,ENCUESTA!D:D),"N/A")</f>
        <v>EJECUCIÓN DEL PDV</v>
      </c>
      <c r="N3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7" s="93" t="str">
        <f>_xlfn.XLOOKUP(Tabla2__2[[#This Row],[PREGUNTA]],ENCUESTA!G:G,ENCUESTA!H:H)</f>
        <v>SI</v>
      </c>
      <c r="P37" s="93">
        <f>IF(Tabla2__2[[#This Row],[RTA]]=Tabla2__2[[#This Row],[RTA CORRECTA]],Tabla2__2[[#This Row],[TOTAL PUNTAJE]],0)</f>
        <v>3.75</v>
      </c>
      <c r="Q37" s="93">
        <f>IF(OR(H37="Dog Chow húmedo",H37="Cat Chow húmedo",H37="Fancy Feast",H37="Felix",H37="Proplan húmedo",H37="One húmedo",H37="Snack Abrazzos",H37="Snak Dentalife",H37="Arenilla Tidy Cat"),N37,0)</f>
        <v>0</v>
      </c>
      <c r="R37" s="93"/>
    </row>
    <row r="38" spans="1:18" x14ac:dyDescent="0.35">
      <c r="A38" s="93" t="s">
        <v>109</v>
      </c>
      <c r="B38" s="93" t="s">
        <v>139</v>
      </c>
      <c r="C38" s="90" t="s">
        <v>43</v>
      </c>
      <c r="D38" s="93" t="s">
        <v>143</v>
      </c>
      <c r="E38" s="94">
        <v>355519</v>
      </c>
      <c r="F38" s="93" t="s">
        <v>215</v>
      </c>
      <c r="G38" s="93" t="s">
        <v>101</v>
      </c>
      <c r="H38" s="93" t="s">
        <v>43</v>
      </c>
      <c r="I38" s="95"/>
      <c r="J38" s="94">
        <v>29606660</v>
      </c>
      <c r="K38" s="93" t="s">
        <v>142</v>
      </c>
      <c r="L38" s="93" t="str">
        <f>_xlfn.XLOOKUP(Tabla2__2[[#This Row],[CODIGO RUTA]],'DATA INFORME'!I:I,'DATA INFORME'!K:K)</f>
        <v>SI</v>
      </c>
      <c r="M38" s="93" t="str">
        <f>IF(Tabla2__2[[#This Row],[MYSTERY EFECTIVO]]="SI",_xlfn.XLOOKUP(Tabla2__2[[#This Row],[PREGUNTA]],ENCUESTA!G:G,ENCUESTA!D:D),"N/A")</f>
        <v>N/A</v>
      </c>
      <c r="N3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93">
        <f>_xlfn.XLOOKUP(Tabla2__2[[#This Row],[PREGUNTA]],ENCUESTA!G:G,ENCUESTA!H:H)</f>
        <v>0</v>
      </c>
      <c r="P38" s="93">
        <f>IF(Tabla2__2[[#This Row],[RTA]]=Tabla2__2[[#This Row],[RTA CORRECTA]],Tabla2__2[[#This Row],[TOTAL PUNTAJE]],0)</f>
        <v>0</v>
      </c>
      <c r="Q38" s="93">
        <f>IF(OR(H38="Dog Chow húmedo",H38="Cat Chow húmedo",H38="Fancy Feast",H38="Felix",H38="Proplan húmedo",H38="One húmedo",H38="Snack Abrazzos",H38="Snak Dentalife",H38="Arenilla Tidy Cat"),N38,0)</f>
        <v>0</v>
      </c>
      <c r="R38" s="93"/>
    </row>
    <row r="39" spans="1:18" x14ac:dyDescent="0.35">
      <c r="A39" s="93" t="s">
        <v>109</v>
      </c>
      <c r="B39" s="93" t="s">
        <v>139</v>
      </c>
      <c r="C39" s="90" t="s">
        <v>43</v>
      </c>
      <c r="D39" s="93" t="s">
        <v>143</v>
      </c>
      <c r="E39" s="94">
        <v>355519</v>
      </c>
      <c r="F39" s="93" t="s">
        <v>215</v>
      </c>
      <c r="G39" s="93" t="s">
        <v>137</v>
      </c>
      <c r="H39" s="93" t="s">
        <v>20</v>
      </c>
      <c r="I39" s="95"/>
      <c r="J39" s="94">
        <v>29606660</v>
      </c>
      <c r="K39" s="93" t="s">
        <v>142</v>
      </c>
      <c r="L39" s="93" t="str">
        <f>_xlfn.XLOOKUP(Tabla2__2[[#This Row],[CODIGO RUTA]],'DATA INFORME'!I:I,'DATA INFORME'!K:K)</f>
        <v>SI</v>
      </c>
      <c r="M39" s="93" t="str">
        <f>IF(Tabla2__2[[#This Row],[MYSTERY EFECTIVO]]="SI",_xlfn.XLOOKUP(Tabla2__2[[#This Row],[PREGUNTA]],ENCUESTA!G:G,ENCUESTA!D:D),"N/A")</f>
        <v>ACTIVIDADES DEL MES</v>
      </c>
      <c r="N3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9" s="93" t="str">
        <f>_xlfn.XLOOKUP(Tabla2__2[[#This Row],[PREGUNTA]],ENCUESTA!G:G,ENCUESTA!H:H)</f>
        <v>SI</v>
      </c>
      <c r="P39" s="93">
        <f>IF(Tabla2__2[[#This Row],[RTA]]=Tabla2__2[[#This Row],[RTA CORRECTA]],Tabla2__2[[#This Row],[TOTAL PUNTAJE]],0)</f>
        <v>20</v>
      </c>
      <c r="Q39" s="93">
        <f>IF(OR(H39="Dog Chow húmedo",H39="Cat Chow húmedo",H39="Fancy Feast",H39="Felix",H39="Proplan húmedo",H39="One húmedo",H39="Snack Abrazzos",H39="Snak Dentalife",H39="Arenilla Tidy Cat"),N39,0)</f>
        <v>0</v>
      </c>
      <c r="R39" s="93"/>
    </row>
    <row r="40" spans="1:18" x14ac:dyDescent="0.35">
      <c r="A40" s="93" t="s">
        <v>109</v>
      </c>
      <c r="B40" s="93" t="s">
        <v>139</v>
      </c>
      <c r="C40" s="90" t="s">
        <v>43</v>
      </c>
      <c r="D40" s="93" t="s">
        <v>143</v>
      </c>
      <c r="E40" s="94">
        <v>355519</v>
      </c>
      <c r="F40" s="93" t="s">
        <v>215</v>
      </c>
      <c r="G40" s="93" t="s">
        <v>153</v>
      </c>
      <c r="H40" s="93" t="s">
        <v>20</v>
      </c>
      <c r="I40" s="95"/>
      <c r="J40" s="94">
        <v>29606660</v>
      </c>
      <c r="K40" s="93" t="s">
        <v>142</v>
      </c>
      <c r="L40" s="93" t="str">
        <f>_xlfn.XLOOKUP(Tabla2__2[[#This Row],[CODIGO RUTA]],'DATA INFORME'!I:I,'DATA INFORME'!K:K)</f>
        <v>SI</v>
      </c>
      <c r="M40" s="93" t="str">
        <f>IF(Tabla2__2[[#This Row],[MYSTERY EFECTIVO]]="SI",_xlfn.XLOOKUP(Tabla2__2[[#This Row],[PREGUNTA]],ENCUESTA!G:G,ENCUESTA!D:D),"N/A")</f>
        <v>ACTIVIDADES DEL MES</v>
      </c>
      <c r="N4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40" s="93" t="str">
        <f>_xlfn.XLOOKUP(Tabla2__2[[#This Row],[PREGUNTA]],ENCUESTA!G:G,ENCUESTA!H:H)</f>
        <v>SI</v>
      </c>
      <c r="P40" s="93">
        <f>IF(Tabla2__2[[#This Row],[RTA]]=Tabla2__2[[#This Row],[RTA CORRECTA]],Tabla2__2[[#This Row],[TOTAL PUNTAJE]],0)</f>
        <v>20</v>
      </c>
      <c r="Q40" s="93">
        <f>IF(OR(H40="Dog Chow húmedo",H40="Cat Chow húmedo",H40="Fancy Feast",H40="Felix",H40="Proplan húmedo",H40="One húmedo",H40="Snack Abrazzos",H40="Snak Dentalife",H40="Arenilla Tidy Cat"),N40,0)</f>
        <v>0</v>
      </c>
      <c r="R40" s="93"/>
    </row>
    <row r="41" spans="1:18" x14ac:dyDescent="0.35">
      <c r="A41" s="93" t="s">
        <v>109</v>
      </c>
      <c r="B41" s="93" t="s">
        <v>139</v>
      </c>
      <c r="C41" s="90" t="s">
        <v>43</v>
      </c>
      <c r="D41" s="93" t="s">
        <v>143</v>
      </c>
      <c r="E41" s="94">
        <v>355519</v>
      </c>
      <c r="F41" s="93" t="s">
        <v>215</v>
      </c>
      <c r="G41" s="93" t="s">
        <v>102</v>
      </c>
      <c r="H41" s="93" t="s">
        <v>108</v>
      </c>
      <c r="I41" s="95"/>
      <c r="J41" s="94">
        <v>29606660</v>
      </c>
      <c r="K41" s="93" t="s">
        <v>142</v>
      </c>
      <c r="L41" s="93" t="str">
        <f>_xlfn.XLOOKUP(Tabla2__2[[#This Row],[CODIGO RUTA]],'DATA INFORME'!I:I,'DATA INFORME'!K:K)</f>
        <v>SI</v>
      </c>
      <c r="M41" s="93" t="str">
        <f>IF(Tabla2__2[[#This Row],[MYSTERY EFECTIVO]]="SI",_xlfn.XLOOKUP(Tabla2__2[[#This Row],[PREGUNTA]],ENCUESTA!G:G,ENCUESTA!D:D),"N/A")</f>
        <v>N/A</v>
      </c>
      <c r="N4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1" s="93">
        <f>_xlfn.XLOOKUP(Tabla2__2[[#This Row],[PREGUNTA]],ENCUESTA!G:G,ENCUESTA!H:H)</f>
        <v>0</v>
      </c>
      <c r="P41" s="93">
        <f>IF(Tabla2__2[[#This Row],[RTA]]=Tabla2__2[[#This Row],[RTA CORRECTA]],Tabla2__2[[#This Row],[TOTAL PUNTAJE]],0)</f>
        <v>0</v>
      </c>
      <c r="Q41" s="93">
        <f>IF(OR(H41="Dog Chow húmedo",H41="Cat Chow húmedo",H41="Fancy Feast",H41="Felix",H41="Proplan húmedo",H41="One húmedo",H41="Snack Abrazzos",H41="Snak Dentalife",H41="Arenilla Tidy Cat"),N41,0)</f>
        <v>0</v>
      </c>
      <c r="R41" s="93"/>
    </row>
    <row r="42" spans="1:18" x14ac:dyDescent="0.35">
      <c r="A42" s="93" t="s">
        <v>109</v>
      </c>
      <c r="B42" s="93" t="s">
        <v>8</v>
      </c>
      <c r="C42" s="90" t="s">
        <v>43</v>
      </c>
      <c r="D42" s="93" t="s">
        <v>120</v>
      </c>
      <c r="E42" s="94">
        <v>152267</v>
      </c>
      <c r="F42" s="93" t="s">
        <v>220</v>
      </c>
      <c r="G42" s="93" t="s">
        <v>87</v>
      </c>
      <c r="H42" s="93" t="s">
        <v>108</v>
      </c>
      <c r="I42" s="95"/>
      <c r="J42" s="94">
        <v>29615126</v>
      </c>
      <c r="K42" s="93" t="s">
        <v>213</v>
      </c>
      <c r="L42" s="93" t="str">
        <f>_xlfn.XLOOKUP(Tabla2__2[[#This Row],[CODIGO RUTA]],'DATA INFORME'!I:I,'DATA INFORME'!K:K)</f>
        <v>NO</v>
      </c>
      <c r="M42" s="93" t="str">
        <f>IF(Tabla2__2[[#This Row],[MYSTERY EFECTIVO]]="SI",_xlfn.XLOOKUP(Tabla2__2[[#This Row],[PREGUNTA]],ENCUESTA!G:G,ENCUESTA!D:D),"N/A")</f>
        <v>N/A</v>
      </c>
      <c r="N4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93">
        <f>_xlfn.XLOOKUP(Tabla2__2[[#This Row],[PREGUNTA]],ENCUESTA!G:G,ENCUESTA!H:H)</f>
        <v>0</v>
      </c>
      <c r="P42" s="93">
        <f>IF(Tabla2__2[[#This Row],[RTA]]=Tabla2__2[[#This Row],[RTA CORRECTA]],Tabla2__2[[#This Row],[TOTAL PUNTAJE]],0)</f>
        <v>0</v>
      </c>
      <c r="Q42" s="93">
        <f>IF(OR(H42="Dog Chow húmedo",H42="Cat Chow húmedo",H42="Fancy Feast",H42="Felix",H42="Proplan húmedo",H42="One húmedo",H42="Snack Abrazzos",H42="Snak Dentalife",H42="Arenilla Tidy Cat"),N42,0)</f>
        <v>0</v>
      </c>
      <c r="R42" s="93"/>
    </row>
    <row r="43" spans="1:18" x14ac:dyDescent="0.35">
      <c r="A43" s="93" t="s">
        <v>109</v>
      </c>
      <c r="B43" s="93" t="s">
        <v>8</v>
      </c>
      <c r="C43" s="90" t="s">
        <v>43</v>
      </c>
      <c r="D43" s="93" t="s">
        <v>120</v>
      </c>
      <c r="E43" s="94">
        <v>152267</v>
      </c>
      <c r="F43" s="93" t="s">
        <v>220</v>
      </c>
      <c r="G43" s="93" t="s">
        <v>102</v>
      </c>
      <c r="H43" s="93" t="s">
        <v>20</v>
      </c>
      <c r="I43" s="95"/>
      <c r="J43" s="94">
        <v>29615126</v>
      </c>
      <c r="K43" s="93" t="s">
        <v>213</v>
      </c>
      <c r="L43" s="93" t="str">
        <f>_xlfn.XLOOKUP(Tabla2__2[[#This Row],[CODIGO RUTA]],'DATA INFORME'!I:I,'DATA INFORME'!K:K)</f>
        <v>NO</v>
      </c>
      <c r="M43" s="93" t="str">
        <f>IF(Tabla2__2[[#This Row],[MYSTERY EFECTIVO]]="SI",_xlfn.XLOOKUP(Tabla2__2[[#This Row],[PREGUNTA]],ENCUESTA!G:G,ENCUESTA!D:D),"N/A")</f>
        <v>N/A</v>
      </c>
      <c r="N4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3" s="93">
        <f>_xlfn.XLOOKUP(Tabla2__2[[#This Row],[PREGUNTA]],ENCUESTA!G:G,ENCUESTA!H:H)</f>
        <v>0</v>
      </c>
      <c r="P43" s="93">
        <f>IF(Tabla2__2[[#This Row],[RTA]]=Tabla2__2[[#This Row],[RTA CORRECTA]],Tabla2__2[[#This Row],[TOTAL PUNTAJE]],0)</f>
        <v>0</v>
      </c>
      <c r="Q43" s="93">
        <f>IF(OR(H43="Dog Chow húmedo",H43="Cat Chow húmedo",H43="Fancy Feast",H43="Felix",H43="Proplan húmedo",H43="One húmedo",H43="Snack Abrazzos",H43="Snak Dentalife",H43="Arenilla Tidy Cat"),N43,0)</f>
        <v>0</v>
      </c>
      <c r="R43" s="93"/>
    </row>
    <row r="44" spans="1:18" x14ac:dyDescent="0.35">
      <c r="A44" s="93" t="s">
        <v>109</v>
      </c>
      <c r="B44" s="93" t="s">
        <v>132</v>
      </c>
      <c r="C44" s="90" t="s">
        <v>14</v>
      </c>
      <c r="D44" s="93" t="s">
        <v>123</v>
      </c>
      <c r="E44" s="94">
        <v>424831</v>
      </c>
      <c r="F44" s="93" t="s">
        <v>231</v>
      </c>
      <c r="G44" s="93" t="s">
        <v>99</v>
      </c>
      <c r="H44" s="93" t="s">
        <v>20</v>
      </c>
      <c r="I44" s="95"/>
      <c r="J44" s="94">
        <v>29620543</v>
      </c>
      <c r="K44" s="93" t="s">
        <v>126</v>
      </c>
      <c r="L44" s="93" t="str">
        <f>_xlfn.XLOOKUP(Tabla2__2[[#This Row],[CODIGO RUTA]],'DATA INFORME'!I:I,'DATA INFORME'!K:K)</f>
        <v>SI</v>
      </c>
      <c r="M44" s="93" t="str">
        <f>IF(Tabla2__2[[#This Row],[MYSTERY EFECTIVO]]="SI",_xlfn.XLOOKUP(Tabla2__2[[#This Row],[PREGUNTA]],ENCUESTA!G:G,ENCUESTA!D:D),"N/A")</f>
        <v>EJECUCIÓN DEL PDV</v>
      </c>
      <c r="N4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4" s="93" t="str">
        <f>_xlfn.XLOOKUP(Tabla2__2[[#This Row],[PREGUNTA]],ENCUESTA!G:G,ENCUESTA!H:H)</f>
        <v>SI</v>
      </c>
      <c r="P44" s="93">
        <f>IF(Tabla2__2[[#This Row],[RTA]]=Tabla2__2[[#This Row],[RTA CORRECTA]],Tabla2__2[[#This Row],[TOTAL PUNTAJE]],0)</f>
        <v>3.75</v>
      </c>
      <c r="Q44" s="93">
        <f>IF(OR(H44="Dog Chow húmedo",H44="Cat Chow húmedo",H44="Fancy Feast",H44="Felix",H44="Proplan húmedo",H44="One húmedo",H44="Snack Abrazzos",H44="Snak Dentalife",H44="Arenilla Tidy Cat"),N44,0)</f>
        <v>0</v>
      </c>
      <c r="R44" s="93"/>
    </row>
    <row r="45" spans="1:18" x14ac:dyDescent="0.35">
      <c r="A45" s="93" t="s">
        <v>109</v>
      </c>
      <c r="B45" s="93" t="s">
        <v>8</v>
      </c>
      <c r="C45" s="90" t="s">
        <v>43</v>
      </c>
      <c r="D45" s="93" t="s">
        <v>120</v>
      </c>
      <c r="E45" s="94">
        <v>152267</v>
      </c>
      <c r="F45" s="93" t="s">
        <v>220</v>
      </c>
      <c r="G45" s="93" t="s">
        <v>103</v>
      </c>
      <c r="H45" s="93" t="s">
        <v>224</v>
      </c>
      <c r="I45" s="95"/>
      <c r="J45" s="94">
        <v>29615126</v>
      </c>
      <c r="K45" s="93" t="s">
        <v>213</v>
      </c>
      <c r="L45" s="93" t="str">
        <f>_xlfn.XLOOKUP(Tabla2__2[[#This Row],[CODIGO RUTA]],'DATA INFORME'!I:I,'DATA INFORME'!K:K)</f>
        <v>NO</v>
      </c>
      <c r="M45" s="93" t="str">
        <f>IF(Tabla2__2[[#This Row],[MYSTERY EFECTIVO]]="SI",_xlfn.XLOOKUP(Tabla2__2[[#This Row],[PREGUNTA]],ENCUESTA!G:G,ENCUESTA!D:D),"N/A")</f>
        <v>N/A</v>
      </c>
      <c r="N4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5" s="93">
        <f>_xlfn.XLOOKUP(Tabla2__2[[#This Row],[PREGUNTA]],ENCUESTA!G:G,ENCUESTA!H:H)</f>
        <v>0</v>
      </c>
      <c r="P45" s="93">
        <f>IF(Tabla2__2[[#This Row],[RTA]]=Tabla2__2[[#This Row],[RTA CORRECTA]],Tabla2__2[[#This Row],[TOTAL PUNTAJE]],0)</f>
        <v>0</v>
      </c>
      <c r="Q45" s="93">
        <f>IF(OR(H45="Dog Chow húmedo",H45="Cat Chow húmedo",H45="Fancy Feast",H45="Felix",H45="Proplan húmedo",H45="One húmedo",H45="Snack Abrazzos",H45="Snak Dentalife",H45="Arenilla Tidy Cat"),N45,0)</f>
        <v>0</v>
      </c>
      <c r="R45" s="93"/>
    </row>
    <row r="46" spans="1:18" x14ac:dyDescent="0.35">
      <c r="A46" s="93" t="s">
        <v>109</v>
      </c>
      <c r="B46" s="93" t="s">
        <v>8</v>
      </c>
      <c r="C46" s="90" t="s">
        <v>14</v>
      </c>
      <c r="D46" s="93" t="s">
        <v>120</v>
      </c>
      <c r="E46" s="94">
        <v>355954</v>
      </c>
      <c r="F46" s="93" t="s">
        <v>226</v>
      </c>
      <c r="G46" s="93" t="s">
        <v>88</v>
      </c>
      <c r="H46" s="93" t="s">
        <v>20</v>
      </c>
      <c r="I46" s="95"/>
      <c r="J46" s="94">
        <v>29615127</v>
      </c>
      <c r="K46" s="93" t="s">
        <v>213</v>
      </c>
      <c r="L46" s="93" t="str">
        <f>_xlfn.XLOOKUP(Tabla2__2[[#This Row],[CODIGO RUTA]],'DATA INFORME'!I:I,'DATA INFORME'!K:K)</f>
        <v>SI</v>
      </c>
      <c r="M46" s="93" t="str">
        <f>IF(Tabla2__2[[#This Row],[MYSTERY EFECTIVO]]="SI",_xlfn.XLOOKUP(Tabla2__2[[#This Row],[PREGUNTA]],ENCUESTA!G:G,ENCUESTA!D:D),"N/A")</f>
        <v>HORARIO</v>
      </c>
      <c r="N4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46" s="93" t="str">
        <f>_xlfn.XLOOKUP(Tabla2__2[[#This Row],[PREGUNTA]],ENCUESTA!G:G,ENCUESTA!H:H)</f>
        <v>SI</v>
      </c>
      <c r="P46" s="93">
        <f>IF(Tabla2__2[[#This Row],[RTA]]=Tabla2__2[[#This Row],[RTA CORRECTA]],Tabla2__2[[#This Row],[TOTAL PUNTAJE]],0)</f>
        <v>20</v>
      </c>
      <c r="Q46" s="93">
        <f>IF(OR(H46="Dog Chow húmedo",H46="Cat Chow húmedo",H46="Fancy Feast",H46="Felix",H46="Proplan húmedo",H46="One húmedo",H46="Snack Abrazzos",H46="Snak Dentalife",H46="Arenilla Tidy Cat"),N46,0)</f>
        <v>0</v>
      </c>
      <c r="R46" s="93"/>
    </row>
    <row r="47" spans="1:18" x14ac:dyDescent="0.35">
      <c r="A47" s="93" t="s">
        <v>109</v>
      </c>
      <c r="B47" s="93" t="s">
        <v>8</v>
      </c>
      <c r="C47" s="90" t="s">
        <v>14</v>
      </c>
      <c r="D47" s="93" t="s">
        <v>120</v>
      </c>
      <c r="E47" s="94">
        <v>355954</v>
      </c>
      <c r="F47" s="93" t="s">
        <v>226</v>
      </c>
      <c r="G47" s="93" t="s">
        <v>89</v>
      </c>
      <c r="H47" s="93" t="s">
        <v>20</v>
      </c>
      <c r="I47" s="95"/>
      <c r="J47" s="94">
        <v>29615127</v>
      </c>
      <c r="K47" s="93" t="s">
        <v>213</v>
      </c>
      <c r="L47" s="93" t="str">
        <f>_xlfn.XLOOKUP(Tabla2__2[[#This Row],[CODIGO RUTA]],'DATA INFORME'!I:I,'DATA INFORME'!K:K)</f>
        <v>SI</v>
      </c>
      <c r="M47" s="93" t="str">
        <f>IF(Tabla2__2[[#This Row],[MYSTERY EFECTIVO]]="SI",_xlfn.XLOOKUP(Tabla2__2[[#This Row],[PREGUNTA]],ENCUESTA!G:G,ENCUESTA!D:D),"N/A")</f>
        <v>PRESENTACIÓN PERSONAL</v>
      </c>
      <c r="N4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7" s="93" t="str">
        <f>_xlfn.XLOOKUP(Tabla2__2[[#This Row],[PREGUNTA]],ENCUESTA!G:G,ENCUESTA!H:H)</f>
        <v>SI</v>
      </c>
      <c r="P47" s="93">
        <f>IF(Tabla2__2[[#This Row],[RTA]]=Tabla2__2[[#This Row],[RTA CORRECTA]],Tabla2__2[[#This Row],[TOTAL PUNTAJE]],0)</f>
        <v>1</v>
      </c>
      <c r="Q47" s="93">
        <f>IF(OR(H47="Dog Chow húmedo",H47="Cat Chow húmedo",H47="Fancy Feast",H47="Felix",H47="Proplan húmedo",H47="One húmedo",H47="Snack Abrazzos",H47="Snak Dentalife",H47="Arenilla Tidy Cat"),N47,0)</f>
        <v>0</v>
      </c>
      <c r="R47" s="93"/>
    </row>
    <row r="48" spans="1:18" x14ac:dyDescent="0.35">
      <c r="A48" s="93" t="s">
        <v>109</v>
      </c>
      <c r="B48" s="93" t="s">
        <v>8</v>
      </c>
      <c r="C48" s="90" t="s">
        <v>14</v>
      </c>
      <c r="D48" s="93" t="s">
        <v>120</v>
      </c>
      <c r="E48" s="94">
        <v>355954</v>
      </c>
      <c r="F48" s="93" t="s">
        <v>226</v>
      </c>
      <c r="G48" s="93" t="s">
        <v>90</v>
      </c>
      <c r="H48" s="93" t="s">
        <v>20</v>
      </c>
      <c r="I48" s="95"/>
      <c r="J48" s="94">
        <v>29615127</v>
      </c>
      <c r="K48" s="93" t="s">
        <v>213</v>
      </c>
      <c r="L48" s="93" t="str">
        <f>_xlfn.XLOOKUP(Tabla2__2[[#This Row],[CODIGO RUTA]],'DATA INFORME'!I:I,'DATA INFORME'!K:K)</f>
        <v>SI</v>
      </c>
      <c r="M48" s="93" t="str">
        <f>IF(Tabla2__2[[#This Row],[MYSTERY EFECTIVO]]="SI",_xlfn.XLOOKUP(Tabla2__2[[#This Row],[PREGUNTA]],ENCUESTA!G:G,ENCUESTA!D:D),"N/A")</f>
        <v>PRESENTACIÓN PERSONAL</v>
      </c>
      <c r="N4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8" s="93" t="str">
        <f>_xlfn.XLOOKUP(Tabla2__2[[#This Row],[PREGUNTA]],ENCUESTA!G:G,ENCUESTA!H:H)</f>
        <v>SI</v>
      </c>
      <c r="P48" s="93">
        <f>IF(Tabla2__2[[#This Row],[RTA]]=Tabla2__2[[#This Row],[RTA CORRECTA]],Tabla2__2[[#This Row],[TOTAL PUNTAJE]],0)</f>
        <v>1</v>
      </c>
      <c r="Q48" s="93">
        <f>IF(OR(H48="Dog Chow húmedo",H48="Cat Chow húmedo",H48="Fancy Feast",H48="Felix",H48="Proplan húmedo",H48="One húmedo",H48="Snack Abrazzos",H48="Snak Dentalife",H48="Arenilla Tidy Cat"),N48,0)</f>
        <v>0</v>
      </c>
      <c r="R48" s="93"/>
    </row>
    <row r="49" spans="1:18" x14ac:dyDescent="0.35">
      <c r="A49" s="93" t="s">
        <v>109</v>
      </c>
      <c r="B49" s="93" t="s">
        <v>8</v>
      </c>
      <c r="C49" s="90" t="s">
        <v>14</v>
      </c>
      <c r="D49" s="93" t="s">
        <v>120</v>
      </c>
      <c r="E49" s="94">
        <v>355954</v>
      </c>
      <c r="F49" s="93" t="s">
        <v>226</v>
      </c>
      <c r="G49" s="93" t="s">
        <v>35</v>
      </c>
      <c r="H49" s="93" t="s">
        <v>20</v>
      </c>
      <c r="I49" s="95"/>
      <c r="J49" s="94">
        <v>29615127</v>
      </c>
      <c r="K49" s="93" t="s">
        <v>213</v>
      </c>
      <c r="L49" s="93" t="str">
        <f>_xlfn.XLOOKUP(Tabla2__2[[#This Row],[CODIGO RUTA]],'DATA INFORME'!I:I,'DATA INFORME'!K:K)</f>
        <v>SI</v>
      </c>
      <c r="M49" s="93" t="str">
        <f>IF(Tabla2__2[[#This Row],[MYSTERY EFECTIVO]]="SI",_xlfn.XLOOKUP(Tabla2__2[[#This Row],[PREGUNTA]],ENCUESTA!G:G,ENCUESTA!D:D),"N/A")</f>
        <v>PRESENTACIÓN PERSONAL</v>
      </c>
      <c r="N4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9" s="93" t="str">
        <f>_xlfn.XLOOKUP(Tabla2__2[[#This Row],[PREGUNTA]],ENCUESTA!G:G,ENCUESTA!H:H)</f>
        <v>SI</v>
      </c>
      <c r="P49" s="93">
        <f>IF(Tabla2__2[[#This Row],[RTA]]=Tabla2__2[[#This Row],[RTA CORRECTA]],Tabla2__2[[#This Row],[TOTAL PUNTAJE]],0)</f>
        <v>1</v>
      </c>
      <c r="Q49" s="93">
        <f>IF(OR(H49="Dog Chow húmedo",H49="Cat Chow húmedo",H49="Fancy Feast",H49="Felix",H49="Proplan húmedo",H49="One húmedo",H49="Snack Abrazzos",H49="Snak Dentalife",H49="Arenilla Tidy Cat"),N49,0)</f>
        <v>0</v>
      </c>
      <c r="R49" s="93"/>
    </row>
    <row r="50" spans="1:18" x14ac:dyDescent="0.35">
      <c r="A50" s="93" t="s">
        <v>109</v>
      </c>
      <c r="B50" s="93" t="s">
        <v>8</v>
      </c>
      <c r="C50" s="90" t="s">
        <v>14</v>
      </c>
      <c r="D50" s="93" t="s">
        <v>120</v>
      </c>
      <c r="E50" s="94">
        <v>355954</v>
      </c>
      <c r="F50" s="93" t="s">
        <v>226</v>
      </c>
      <c r="G50" s="93" t="s">
        <v>91</v>
      </c>
      <c r="H50" s="93" t="s">
        <v>108</v>
      </c>
      <c r="I50" s="95"/>
      <c r="J50" s="94">
        <v>29615127</v>
      </c>
      <c r="K50" s="93" t="s">
        <v>213</v>
      </c>
      <c r="L50" s="93" t="str">
        <f>_xlfn.XLOOKUP(Tabla2__2[[#This Row],[CODIGO RUTA]],'DATA INFORME'!I:I,'DATA INFORME'!K:K)</f>
        <v>SI</v>
      </c>
      <c r="M50" s="93" t="str">
        <f>IF(Tabla2__2[[#This Row],[MYSTERY EFECTIVO]]="SI",_xlfn.XLOOKUP(Tabla2__2[[#This Row],[PREGUNTA]],ENCUESTA!G:G,ENCUESTA!D:D),"N/A")</f>
        <v>PRESENTACIÓN PERSONAL</v>
      </c>
      <c r="N5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0" s="93" t="str">
        <f>_xlfn.XLOOKUP(Tabla2__2[[#This Row],[PREGUNTA]],ENCUESTA!G:G,ENCUESTA!H:H)</f>
        <v>NO</v>
      </c>
      <c r="P50" s="93">
        <f>IF(Tabla2__2[[#This Row],[RTA]]=Tabla2__2[[#This Row],[RTA CORRECTA]],Tabla2__2[[#This Row],[TOTAL PUNTAJE]],0)</f>
        <v>1</v>
      </c>
      <c r="Q50" s="93">
        <f>IF(OR(H50="Dog Chow húmedo",H50="Cat Chow húmedo",H50="Fancy Feast",H50="Felix",H50="Proplan húmedo",H50="One húmedo",H50="Snack Abrazzos",H50="Snak Dentalife",H50="Arenilla Tidy Cat"),N50,0)</f>
        <v>0</v>
      </c>
      <c r="R50" s="93"/>
    </row>
    <row r="51" spans="1:18" x14ac:dyDescent="0.35">
      <c r="A51" s="93" t="s">
        <v>109</v>
      </c>
      <c r="B51" s="93" t="s">
        <v>8</v>
      </c>
      <c r="C51" s="90" t="s">
        <v>14</v>
      </c>
      <c r="D51" s="93" t="s">
        <v>120</v>
      </c>
      <c r="E51" s="94">
        <v>355954</v>
      </c>
      <c r="F51" s="93" t="s">
        <v>226</v>
      </c>
      <c r="G51" s="93" t="s">
        <v>92</v>
      </c>
      <c r="H51" s="93" t="s">
        <v>20</v>
      </c>
      <c r="I51" s="95"/>
      <c r="J51" s="94">
        <v>29615127</v>
      </c>
      <c r="K51" s="93" t="s">
        <v>213</v>
      </c>
      <c r="L51" s="93" t="str">
        <f>_xlfn.XLOOKUP(Tabla2__2[[#This Row],[CODIGO RUTA]],'DATA INFORME'!I:I,'DATA INFORME'!K:K)</f>
        <v>SI</v>
      </c>
      <c r="M51" s="93" t="str">
        <f>IF(Tabla2__2[[#This Row],[MYSTERY EFECTIVO]]="SI",_xlfn.XLOOKUP(Tabla2__2[[#This Row],[PREGUNTA]],ENCUESTA!G:G,ENCUESTA!D:D),"N/A")</f>
        <v>PRESENTACIÓN PERSONAL</v>
      </c>
      <c r="N5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1" s="93" t="str">
        <f>_xlfn.XLOOKUP(Tabla2__2[[#This Row],[PREGUNTA]],ENCUESTA!G:G,ENCUESTA!H:H)</f>
        <v>SI</v>
      </c>
      <c r="P51" s="93">
        <f>IF(Tabla2__2[[#This Row],[RTA]]=Tabla2__2[[#This Row],[RTA CORRECTA]],Tabla2__2[[#This Row],[TOTAL PUNTAJE]],0)</f>
        <v>1</v>
      </c>
      <c r="Q51" s="93">
        <f>IF(OR(H51="Dog Chow húmedo",H51="Cat Chow húmedo",H51="Fancy Feast",H51="Felix",H51="Proplan húmedo",H51="One húmedo",H51="Snack Abrazzos",H51="Snak Dentalife",H51="Arenilla Tidy Cat"),N51,0)</f>
        <v>0</v>
      </c>
      <c r="R51" s="93"/>
    </row>
    <row r="52" spans="1:18" x14ac:dyDescent="0.35">
      <c r="A52" s="93" t="s">
        <v>109</v>
      </c>
      <c r="B52" s="93" t="s">
        <v>8</v>
      </c>
      <c r="C52" s="90" t="s">
        <v>14</v>
      </c>
      <c r="D52" s="93" t="s">
        <v>120</v>
      </c>
      <c r="E52" s="94">
        <v>355954</v>
      </c>
      <c r="F52" s="93" t="s">
        <v>226</v>
      </c>
      <c r="G52" s="93" t="s">
        <v>93</v>
      </c>
      <c r="H52" s="93" t="s">
        <v>20</v>
      </c>
      <c r="I52" s="95"/>
      <c r="J52" s="94">
        <v>29615127</v>
      </c>
      <c r="K52" s="93" t="s">
        <v>213</v>
      </c>
      <c r="L52" s="93" t="str">
        <f>_xlfn.XLOOKUP(Tabla2__2[[#This Row],[CODIGO RUTA]],'DATA INFORME'!I:I,'DATA INFORME'!K:K)</f>
        <v>SI</v>
      </c>
      <c r="M52" s="93" t="str">
        <f>IF(Tabla2__2[[#This Row],[MYSTERY EFECTIVO]]="SI",_xlfn.XLOOKUP(Tabla2__2[[#This Row],[PREGUNTA]],ENCUESTA!G:G,ENCUESTA!D:D),"N/A")</f>
        <v>PRESENTACIÓN PERSONAL</v>
      </c>
      <c r="N5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2" s="93" t="str">
        <f>_xlfn.XLOOKUP(Tabla2__2[[#This Row],[PREGUNTA]],ENCUESTA!G:G,ENCUESTA!H:H)</f>
        <v>SI</v>
      </c>
      <c r="P52" s="93">
        <f>IF(Tabla2__2[[#This Row],[RTA]]=Tabla2__2[[#This Row],[RTA CORRECTA]],Tabla2__2[[#This Row],[TOTAL PUNTAJE]],0)</f>
        <v>1</v>
      </c>
      <c r="Q52" s="93">
        <f>IF(OR(H52="Dog Chow húmedo",H52="Cat Chow húmedo",H52="Fancy Feast",H52="Felix",H52="Proplan húmedo",H52="One húmedo",H52="Snack Abrazzos",H52="Snak Dentalife",H52="Arenilla Tidy Cat"),N52,0)</f>
        <v>0</v>
      </c>
      <c r="R52" s="93"/>
    </row>
    <row r="53" spans="1:18" x14ac:dyDescent="0.35">
      <c r="A53" s="93" t="s">
        <v>109</v>
      </c>
      <c r="B53" s="93" t="s">
        <v>8</v>
      </c>
      <c r="C53" s="90" t="s">
        <v>14</v>
      </c>
      <c r="D53" s="93" t="s">
        <v>120</v>
      </c>
      <c r="E53" s="94">
        <v>355954</v>
      </c>
      <c r="F53" s="93" t="s">
        <v>226</v>
      </c>
      <c r="G53" s="93" t="s">
        <v>94</v>
      </c>
      <c r="H53" s="93" t="s">
        <v>108</v>
      </c>
      <c r="I53" s="95"/>
      <c r="J53" s="94">
        <v>29615127</v>
      </c>
      <c r="K53" s="93" t="s">
        <v>213</v>
      </c>
      <c r="L53" s="93" t="str">
        <f>_xlfn.XLOOKUP(Tabla2__2[[#This Row],[CODIGO RUTA]],'DATA INFORME'!I:I,'DATA INFORME'!K:K)</f>
        <v>SI</v>
      </c>
      <c r="M53" s="93" t="str">
        <f>IF(Tabla2__2[[#This Row],[MYSTERY EFECTIVO]]="SI",_xlfn.XLOOKUP(Tabla2__2[[#This Row],[PREGUNTA]],ENCUESTA!G:G,ENCUESTA!D:D),"N/A")</f>
        <v>PRESENTACIÓN PERSONAL</v>
      </c>
      <c r="N5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3" s="93" t="str">
        <f>_xlfn.XLOOKUP(Tabla2__2[[#This Row],[PREGUNTA]],ENCUESTA!G:G,ENCUESTA!H:H)</f>
        <v>NO</v>
      </c>
      <c r="P53" s="93">
        <f>IF(Tabla2__2[[#This Row],[RTA]]=Tabla2__2[[#This Row],[RTA CORRECTA]],Tabla2__2[[#This Row],[TOTAL PUNTAJE]],0)</f>
        <v>1</v>
      </c>
      <c r="Q53" s="93">
        <f>IF(OR(H53="Dog Chow húmedo",H53="Cat Chow húmedo",H53="Fancy Feast",H53="Felix",H53="Proplan húmedo",H53="One húmedo",H53="Snack Abrazzos",H53="Snak Dentalife",H53="Arenilla Tidy Cat"),N53,0)</f>
        <v>0</v>
      </c>
      <c r="R53" s="93"/>
    </row>
    <row r="54" spans="1:18" x14ac:dyDescent="0.35">
      <c r="A54" s="93" t="s">
        <v>109</v>
      </c>
      <c r="B54" s="93" t="s">
        <v>8</v>
      </c>
      <c r="C54" s="90" t="s">
        <v>14</v>
      </c>
      <c r="D54" s="93" t="s">
        <v>120</v>
      </c>
      <c r="E54" s="94">
        <v>355954</v>
      </c>
      <c r="F54" s="93" t="s">
        <v>226</v>
      </c>
      <c r="G54" s="93" t="s">
        <v>95</v>
      </c>
      <c r="H54" s="93" t="s">
        <v>108</v>
      </c>
      <c r="I54" s="95"/>
      <c r="J54" s="94">
        <v>29615127</v>
      </c>
      <c r="K54" s="93" t="s">
        <v>213</v>
      </c>
      <c r="L54" s="93" t="str">
        <f>_xlfn.XLOOKUP(Tabla2__2[[#This Row],[CODIGO RUTA]],'DATA INFORME'!I:I,'DATA INFORME'!K:K)</f>
        <v>SI</v>
      </c>
      <c r="M54" s="93" t="str">
        <f>IF(Tabla2__2[[#This Row],[MYSTERY EFECTIVO]]="SI",_xlfn.XLOOKUP(Tabla2__2[[#This Row],[PREGUNTA]],ENCUESTA!G:G,ENCUESTA!D:D),"N/A")</f>
        <v>PRESENTACIÓN PERSONAL</v>
      </c>
      <c r="N5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4" s="93" t="str">
        <f>_xlfn.XLOOKUP(Tabla2__2[[#This Row],[PREGUNTA]],ENCUESTA!G:G,ENCUESTA!H:H)</f>
        <v>NO</v>
      </c>
      <c r="P54" s="93">
        <f>IF(Tabla2__2[[#This Row],[RTA]]=Tabla2__2[[#This Row],[RTA CORRECTA]],Tabla2__2[[#This Row],[TOTAL PUNTAJE]],0)</f>
        <v>1</v>
      </c>
      <c r="Q54" s="93">
        <f>IF(OR(H54="Dog Chow húmedo",H54="Cat Chow húmedo",H54="Fancy Feast",H54="Felix",H54="Proplan húmedo",H54="One húmedo",H54="Snack Abrazzos",H54="Snak Dentalife",H54="Arenilla Tidy Cat"),N54,0)</f>
        <v>0</v>
      </c>
      <c r="R54" s="93"/>
    </row>
    <row r="55" spans="1:18" x14ac:dyDescent="0.35">
      <c r="A55" s="93" t="s">
        <v>109</v>
      </c>
      <c r="B55" s="93" t="s">
        <v>8</v>
      </c>
      <c r="C55" s="90" t="s">
        <v>14</v>
      </c>
      <c r="D55" s="93" t="s">
        <v>120</v>
      </c>
      <c r="E55" s="94">
        <v>355954</v>
      </c>
      <c r="F55" s="93" t="s">
        <v>226</v>
      </c>
      <c r="G55" s="93" t="s">
        <v>96</v>
      </c>
      <c r="H55" s="93" t="s">
        <v>108</v>
      </c>
      <c r="I55" s="95"/>
      <c r="J55" s="94">
        <v>29615127</v>
      </c>
      <c r="K55" s="93" t="s">
        <v>213</v>
      </c>
      <c r="L55" s="93" t="str">
        <f>_xlfn.XLOOKUP(Tabla2__2[[#This Row],[CODIGO RUTA]],'DATA INFORME'!I:I,'DATA INFORME'!K:K)</f>
        <v>SI</v>
      </c>
      <c r="M55" s="93" t="str">
        <f>IF(Tabla2__2[[#This Row],[MYSTERY EFECTIVO]]="SI",_xlfn.XLOOKUP(Tabla2__2[[#This Row],[PREGUNTA]],ENCUESTA!G:G,ENCUESTA!D:D),"N/A")</f>
        <v>PRESENTACIÓN PERSONAL</v>
      </c>
      <c r="N5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5" s="93" t="str">
        <f>_xlfn.XLOOKUP(Tabla2__2[[#This Row],[PREGUNTA]],ENCUESTA!G:G,ENCUESTA!H:H)</f>
        <v>NO</v>
      </c>
      <c r="P55" s="93">
        <f>IF(Tabla2__2[[#This Row],[RTA]]=Tabla2__2[[#This Row],[RTA CORRECTA]],Tabla2__2[[#This Row],[TOTAL PUNTAJE]],0)</f>
        <v>1</v>
      </c>
      <c r="Q55" s="93">
        <f>IF(OR(H55="Dog Chow húmedo",H55="Cat Chow húmedo",H55="Fancy Feast",H55="Felix",H55="Proplan húmedo",H55="One húmedo",H55="Snack Abrazzos",H55="Snak Dentalife",H55="Arenilla Tidy Cat"),N55,0)</f>
        <v>0</v>
      </c>
      <c r="R55" s="93"/>
    </row>
    <row r="56" spans="1:18" x14ac:dyDescent="0.35">
      <c r="A56" s="93" t="s">
        <v>109</v>
      </c>
      <c r="B56" s="93" t="s">
        <v>8</v>
      </c>
      <c r="C56" s="90" t="s">
        <v>14</v>
      </c>
      <c r="D56" s="93" t="s">
        <v>120</v>
      </c>
      <c r="E56" s="94">
        <v>355954</v>
      </c>
      <c r="F56" s="93" t="s">
        <v>226</v>
      </c>
      <c r="G56" s="93" t="s">
        <v>97</v>
      </c>
      <c r="H56" s="93" t="s">
        <v>108</v>
      </c>
      <c r="I56" s="95"/>
      <c r="J56" s="94">
        <v>29615127</v>
      </c>
      <c r="K56" s="93" t="s">
        <v>213</v>
      </c>
      <c r="L56" s="93" t="str">
        <f>_xlfn.XLOOKUP(Tabla2__2[[#This Row],[CODIGO RUTA]],'DATA INFORME'!I:I,'DATA INFORME'!K:K)</f>
        <v>SI</v>
      </c>
      <c r="M56" s="93" t="str">
        <f>IF(Tabla2__2[[#This Row],[MYSTERY EFECTIVO]]="SI",_xlfn.XLOOKUP(Tabla2__2[[#This Row],[PREGUNTA]],ENCUESTA!G:G,ENCUESTA!D:D),"N/A")</f>
        <v>PRESENTACIÓN PERSONAL</v>
      </c>
      <c r="N5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6" s="93" t="str">
        <f>_xlfn.XLOOKUP(Tabla2__2[[#This Row],[PREGUNTA]],ENCUESTA!G:G,ENCUESTA!H:H)</f>
        <v>NO</v>
      </c>
      <c r="P56" s="93">
        <f>IF(Tabla2__2[[#This Row],[RTA]]=Tabla2__2[[#This Row],[RTA CORRECTA]],Tabla2__2[[#This Row],[TOTAL PUNTAJE]],0)</f>
        <v>1</v>
      </c>
      <c r="Q56" s="93">
        <f>IF(OR(H56="Dog Chow húmedo",H56="Cat Chow húmedo",H56="Fancy Feast",H56="Felix",H56="Proplan húmedo",H56="One húmedo",H56="Snack Abrazzos",H56="Snak Dentalife",H56="Arenilla Tidy Cat"),N56,0)</f>
        <v>0</v>
      </c>
      <c r="R56" s="93"/>
    </row>
    <row r="57" spans="1:18" x14ac:dyDescent="0.35">
      <c r="A57" s="93" t="s">
        <v>109</v>
      </c>
      <c r="B57" s="93" t="s">
        <v>8</v>
      </c>
      <c r="C57" s="90" t="s">
        <v>14</v>
      </c>
      <c r="D57" s="93" t="s">
        <v>120</v>
      </c>
      <c r="E57" s="94">
        <v>355954</v>
      </c>
      <c r="F57" s="93" t="s">
        <v>226</v>
      </c>
      <c r="G57" s="93" t="s">
        <v>147</v>
      </c>
      <c r="H57" s="93" t="s">
        <v>20</v>
      </c>
      <c r="I57" s="95"/>
      <c r="J57" s="94">
        <v>29615127</v>
      </c>
      <c r="K57" s="93" t="s">
        <v>213</v>
      </c>
      <c r="L57" s="93" t="str">
        <f>_xlfn.XLOOKUP(Tabla2__2[[#This Row],[CODIGO RUTA]],'DATA INFORME'!I:I,'DATA INFORME'!K:K)</f>
        <v>SI</v>
      </c>
      <c r="M57" s="93" t="str">
        <f>IF(Tabla2__2[[#This Row],[MYSTERY EFECTIVO]]="SI",_xlfn.XLOOKUP(Tabla2__2[[#This Row],[PREGUNTA]],ENCUESTA!G:G,ENCUESTA!D:D),"N/A")</f>
        <v>EJECUCIÓN DEL PDV</v>
      </c>
      <c r="N5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7" s="93" t="str">
        <f>_xlfn.XLOOKUP(Tabla2__2[[#This Row],[PREGUNTA]],ENCUESTA!G:G,ENCUESTA!H:H)</f>
        <v>SI</v>
      </c>
      <c r="P57" s="93">
        <f>IF(Tabla2__2[[#This Row],[RTA]]=Tabla2__2[[#This Row],[RTA CORRECTA]],Tabla2__2[[#This Row],[TOTAL PUNTAJE]],0)</f>
        <v>3.75</v>
      </c>
      <c r="Q57" s="93">
        <f>IF(OR(H57="Dog Chow húmedo",H57="Cat Chow húmedo",H57="Fancy Feast",H57="Felix",H57="Proplan húmedo",H57="One húmedo",H57="Snack Abrazzos",H57="Snak Dentalife",H57="Arenilla Tidy Cat"),N57,0)</f>
        <v>0</v>
      </c>
      <c r="R57" s="93"/>
    </row>
    <row r="58" spans="1:18" x14ac:dyDescent="0.35">
      <c r="A58" s="93" t="s">
        <v>109</v>
      </c>
      <c r="B58" s="93" t="s">
        <v>8</v>
      </c>
      <c r="C58" s="90" t="s">
        <v>14</v>
      </c>
      <c r="D58" s="93" t="s">
        <v>120</v>
      </c>
      <c r="E58" s="94">
        <v>355954</v>
      </c>
      <c r="F58" s="93" t="s">
        <v>226</v>
      </c>
      <c r="G58" s="93" t="s">
        <v>87</v>
      </c>
      <c r="H58" s="93" t="s">
        <v>20</v>
      </c>
      <c r="I58" s="95"/>
      <c r="J58" s="94">
        <v>29615127</v>
      </c>
      <c r="K58" s="93" t="s">
        <v>213</v>
      </c>
      <c r="L58" s="93" t="str">
        <f>_xlfn.XLOOKUP(Tabla2__2[[#This Row],[CODIGO RUTA]],'DATA INFORME'!I:I,'DATA INFORME'!K:K)</f>
        <v>SI</v>
      </c>
      <c r="M58" s="93" t="str">
        <f>IF(Tabla2__2[[#This Row],[MYSTERY EFECTIVO]]="SI",_xlfn.XLOOKUP(Tabla2__2[[#This Row],[PREGUNTA]],ENCUESTA!G:G,ENCUESTA!D:D),"N/A")</f>
        <v>N/A</v>
      </c>
      <c r="N5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8" s="93">
        <f>_xlfn.XLOOKUP(Tabla2__2[[#This Row],[PREGUNTA]],ENCUESTA!G:G,ENCUESTA!H:H)</f>
        <v>0</v>
      </c>
      <c r="P58" s="93">
        <f>IF(Tabla2__2[[#This Row],[RTA]]=Tabla2__2[[#This Row],[RTA CORRECTA]],Tabla2__2[[#This Row],[TOTAL PUNTAJE]],0)</f>
        <v>0</v>
      </c>
      <c r="Q58" s="93">
        <f>IF(OR(H58="Dog Chow húmedo",H58="Cat Chow húmedo",H58="Fancy Feast",H58="Felix",H58="Proplan húmedo",H58="One húmedo",H58="Snack Abrazzos",H58="Snak Dentalife",H58="Arenilla Tidy Cat"),N58,0)</f>
        <v>0</v>
      </c>
      <c r="R58" s="93"/>
    </row>
    <row r="59" spans="1:18" x14ac:dyDescent="0.35">
      <c r="A59" s="93" t="s">
        <v>109</v>
      </c>
      <c r="B59" s="93" t="s">
        <v>132</v>
      </c>
      <c r="C59" s="90" t="s">
        <v>14</v>
      </c>
      <c r="D59" s="93" t="s">
        <v>123</v>
      </c>
      <c r="E59" s="94">
        <v>424831</v>
      </c>
      <c r="F59" s="93" t="s">
        <v>231</v>
      </c>
      <c r="G59" s="93" t="s">
        <v>100</v>
      </c>
      <c r="H59" s="93" t="s">
        <v>20</v>
      </c>
      <c r="I59" s="95"/>
      <c r="J59" s="94">
        <v>29620543</v>
      </c>
      <c r="K59" s="93" t="s">
        <v>126</v>
      </c>
      <c r="L59" s="93" t="str">
        <f>_xlfn.XLOOKUP(Tabla2__2[[#This Row],[CODIGO RUTA]],'DATA INFORME'!I:I,'DATA INFORME'!K:K)</f>
        <v>SI</v>
      </c>
      <c r="M59" s="93" t="str">
        <f>IF(Tabla2__2[[#This Row],[MYSTERY EFECTIVO]]="SI",_xlfn.XLOOKUP(Tabla2__2[[#This Row],[PREGUNTA]],ENCUESTA!G:G,ENCUESTA!D:D),"N/A")</f>
        <v>EJECUCIÓN DEL PDV</v>
      </c>
      <c r="N5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9" s="93" t="str">
        <f>_xlfn.XLOOKUP(Tabla2__2[[#This Row],[PREGUNTA]],ENCUESTA!G:G,ENCUESTA!H:H)</f>
        <v>SI</v>
      </c>
      <c r="P59" s="93">
        <f>IF(Tabla2__2[[#This Row],[RTA]]=Tabla2__2[[#This Row],[RTA CORRECTA]],Tabla2__2[[#This Row],[TOTAL PUNTAJE]],0)</f>
        <v>3.75</v>
      </c>
      <c r="Q59" s="93">
        <f>IF(OR(H59="Dog Chow húmedo",H59="Cat Chow húmedo",H59="Fancy Feast",H59="Felix",H59="Proplan húmedo",H59="One húmedo",H59="Snack Abrazzos",H59="Snak Dentalife",H59="Arenilla Tidy Cat"),N59,0)</f>
        <v>0</v>
      </c>
      <c r="R59" s="93"/>
    </row>
    <row r="60" spans="1:18" x14ac:dyDescent="0.35">
      <c r="A60" s="93" t="s">
        <v>109</v>
      </c>
      <c r="B60" s="93" t="s">
        <v>132</v>
      </c>
      <c r="C60" s="90" t="s">
        <v>14</v>
      </c>
      <c r="D60" s="93" t="s">
        <v>123</v>
      </c>
      <c r="E60" s="94">
        <v>424831</v>
      </c>
      <c r="F60" s="93" t="s">
        <v>231</v>
      </c>
      <c r="G60" s="93" t="s">
        <v>149</v>
      </c>
      <c r="H60" s="93" t="s">
        <v>20</v>
      </c>
      <c r="I60" s="95"/>
      <c r="J60" s="94">
        <v>29620543</v>
      </c>
      <c r="K60" s="93" t="s">
        <v>126</v>
      </c>
      <c r="L60" s="93" t="str">
        <f>_xlfn.XLOOKUP(Tabla2__2[[#This Row],[CODIGO RUTA]],'DATA INFORME'!I:I,'DATA INFORME'!K:K)</f>
        <v>SI</v>
      </c>
      <c r="M60" s="93" t="str">
        <f>IF(Tabla2__2[[#This Row],[MYSTERY EFECTIVO]]="SI",_xlfn.XLOOKUP(Tabla2__2[[#This Row],[PREGUNTA]],ENCUESTA!G:G,ENCUESTA!D:D),"N/A")</f>
        <v>EJECUCIÓN DEL PDV</v>
      </c>
      <c r="N6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0" s="93" t="str">
        <f>_xlfn.XLOOKUP(Tabla2__2[[#This Row],[PREGUNTA]],ENCUESTA!G:G,ENCUESTA!H:H)</f>
        <v>SI</v>
      </c>
      <c r="P60" s="93">
        <f>IF(Tabla2__2[[#This Row],[RTA]]=Tabla2__2[[#This Row],[RTA CORRECTA]],Tabla2__2[[#This Row],[TOTAL PUNTAJE]],0)</f>
        <v>3.75</v>
      </c>
      <c r="Q60" s="93">
        <f>IF(OR(H60="Dog Chow húmedo",H60="Cat Chow húmedo",H60="Fancy Feast",H60="Felix",H60="Proplan húmedo",H60="One húmedo",H60="Snack Abrazzos",H60="Snak Dentalife",H60="Arenilla Tidy Cat"),N60,0)</f>
        <v>0</v>
      </c>
      <c r="R60" s="93"/>
    </row>
    <row r="61" spans="1:18" x14ac:dyDescent="0.35">
      <c r="A61" s="93" t="s">
        <v>109</v>
      </c>
      <c r="B61" s="93" t="s">
        <v>132</v>
      </c>
      <c r="C61" s="90" t="s">
        <v>14</v>
      </c>
      <c r="D61" s="93" t="s">
        <v>123</v>
      </c>
      <c r="E61" s="94">
        <v>424831</v>
      </c>
      <c r="F61" s="93" t="s">
        <v>231</v>
      </c>
      <c r="G61" s="93" t="s">
        <v>130</v>
      </c>
      <c r="H61" s="93" t="s">
        <v>20</v>
      </c>
      <c r="I61" s="95"/>
      <c r="J61" s="94">
        <v>29620543</v>
      </c>
      <c r="K61" s="93" t="s">
        <v>126</v>
      </c>
      <c r="L61" s="93" t="str">
        <f>_xlfn.XLOOKUP(Tabla2__2[[#This Row],[CODIGO RUTA]],'DATA INFORME'!I:I,'DATA INFORME'!K:K)</f>
        <v>SI</v>
      </c>
      <c r="M61" s="93" t="str">
        <f>IF(Tabla2__2[[#This Row],[MYSTERY EFECTIVO]]="SI",_xlfn.XLOOKUP(Tabla2__2[[#This Row],[PREGUNTA]],ENCUESTA!G:G,ENCUESTA!D:D),"N/A")</f>
        <v>EJECUCIÓN DEL PDV</v>
      </c>
      <c r="N6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1" s="93" t="str">
        <f>_xlfn.XLOOKUP(Tabla2__2[[#This Row],[PREGUNTA]],ENCUESTA!G:G,ENCUESTA!H:H)</f>
        <v>SI</v>
      </c>
      <c r="P61" s="93">
        <f>IF(Tabla2__2[[#This Row],[RTA]]=Tabla2__2[[#This Row],[RTA CORRECTA]],Tabla2__2[[#This Row],[TOTAL PUNTAJE]],0)</f>
        <v>3.75</v>
      </c>
      <c r="Q61" s="93">
        <f>IF(OR(H61="Dog Chow húmedo",H61="Cat Chow húmedo",H61="Fancy Feast",H61="Felix",H61="Proplan húmedo",H61="One húmedo",H61="Snack Abrazzos",H61="Snak Dentalife",H61="Arenilla Tidy Cat"),N61,0)</f>
        <v>0</v>
      </c>
      <c r="R61" s="93"/>
    </row>
    <row r="62" spans="1:18" x14ac:dyDescent="0.35">
      <c r="A62" s="93" t="s">
        <v>109</v>
      </c>
      <c r="B62" s="93" t="s">
        <v>132</v>
      </c>
      <c r="C62" s="90" t="s">
        <v>43</v>
      </c>
      <c r="D62" s="93" t="s">
        <v>123</v>
      </c>
      <c r="E62" s="94">
        <v>111523</v>
      </c>
      <c r="F62" s="93" t="s">
        <v>238</v>
      </c>
      <c r="G62" s="93" t="s">
        <v>137</v>
      </c>
      <c r="H62" s="93" t="s">
        <v>20</v>
      </c>
      <c r="I62" s="95"/>
      <c r="J62" s="94">
        <v>29620816</v>
      </c>
      <c r="K62" s="93" t="s">
        <v>126</v>
      </c>
      <c r="L62" s="93" t="str">
        <f>_xlfn.XLOOKUP(Tabla2__2[[#This Row],[CODIGO RUTA]],'DATA INFORME'!I:I,'DATA INFORME'!K:K)</f>
        <v>SI</v>
      </c>
      <c r="M62" s="93" t="str">
        <f>IF(Tabla2__2[[#This Row],[MYSTERY EFECTIVO]]="SI",_xlfn.XLOOKUP(Tabla2__2[[#This Row],[PREGUNTA]],ENCUESTA!G:G,ENCUESTA!D:D),"N/A")</f>
        <v>ACTIVIDADES DEL MES</v>
      </c>
      <c r="N6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62" s="93" t="str">
        <f>_xlfn.XLOOKUP(Tabla2__2[[#This Row],[PREGUNTA]],ENCUESTA!G:G,ENCUESTA!H:H)</f>
        <v>SI</v>
      </c>
      <c r="P62" s="93">
        <f>IF(Tabla2__2[[#This Row],[RTA]]=Tabla2__2[[#This Row],[RTA CORRECTA]],Tabla2__2[[#This Row],[TOTAL PUNTAJE]],0)</f>
        <v>20</v>
      </c>
      <c r="Q62" s="93">
        <f>IF(OR(H62="Dog Chow húmedo",H62="Cat Chow húmedo",H62="Fancy Feast",H62="Felix",H62="Proplan húmedo",H62="One húmedo",H62="Snack Abrazzos",H62="Snak Dentalife",H62="Arenilla Tidy Cat"),N62,0)</f>
        <v>0</v>
      </c>
      <c r="R62" s="93"/>
    </row>
    <row r="63" spans="1:18" x14ac:dyDescent="0.35">
      <c r="A63" s="93" t="s">
        <v>109</v>
      </c>
      <c r="B63" s="93" t="s">
        <v>132</v>
      </c>
      <c r="C63" s="90" t="s">
        <v>43</v>
      </c>
      <c r="D63" s="93" t="s">
        <v>123</v>
      </c>
      <c r="E63" s="94">
        <v>111523</v>
      </c>
      <c r="F63" s="93" t="s">
        <v>238</v>
      </c>
      <c r="G63" s="93" t="s">
        <v>153</v>
      </c>
      <c r="H63" s="93" t="s">
        <v>20</v>
      </c>
      <c r="I63" s="95"/>
      <c r="J63" s="94">
        <v>29620816</v>
      </c>
      <c r="K63" s="93" t="s">
        <v>126</v>
      </c>
      <c r="L63" s="93" t="str">
        <f>_xlfn.XLOOKUP(Tabla2__2[[#This Row],[CODIGO RUTA]],'DATA INFORME'!I:I,'DATA INFORME'!K:K)</f>
        <v>SI</v>
      </c>
      <c r="M63" s="93" t="str">
        <f>IF(Tabla2__2[[#This Row],[MYSTERY EFECTIVO]]="SI",_xlfn.XLOOKUP(Tabla2__2[[#This Row],[PREGUNTA]],ENCUESTA!G:G,ENCUESTA!D:D),"N/A")</f>
        <v>ACTIVIDADES DEL MES</v>
      </c>
      <c r="N6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63" s="93" t="str">
        <f>_xlfn.XLOOKUP(Tabla2__2[[#This Row],[PREGUNTA]],ENCUESTA!G:G,ENCUESTA!H:H)</f>
        <v>SI</v>
      </c>
      <c r="P63" s="93">
        <f>IF(Tabla2__2[[#This Row],[RTA]]=Tabla2__2[[#This Row],[RTA CORRECTA]],Tabla2__2[[#This Row],[TOTAL PUNTAJE]],0)</f>
        <v>20</v>
      </c>
      <c r="Q63" s="93">
        <f>IF(OR(H63="Dog Chow húmedo",H63="Cat Chow húmedo",H63="Fancy Feast",H63="Felix",H63="Proplan húmedo",H63="One húmedo",H63="Snack Abrazzos",H63="Snak Dentalife",H63="Arenilla Tidy Cat"),N63,0)</f>
        <v>0</v>
      </c>
      <c r="R63" s="93"/>
    </row>
    <row r="64" spans="1:18" x14ac:dyDescent="0.35">
      <c r="A64" s="93" t="s">
        <v>109</v>
      </c>
      <c r="B64" s="93" t="s">
        <v>132</v>
      </c>
      <c r="C64" s="90" t="s">
        <v>43</v>
      </c>
      <c r="D64" s="93" t="s">
        <v>123</v>
      </c>
      <c r="E64" s="94">
        <v>111523</v>
      </c>
      <c r="F64" s="93" t="s">
        <v>238</v>
      </c>
      <c r="G64" s="93" t="s">
        <v>102</v>
      </c>
      <c r="H64" s="93" t="s">
        <v>20</v>
      </c>
      <c r="I64" s="95"/>
      <c r="J64" s="94">
        <v>29620816</v>
      </c>
      <c r="K64" s="93" t="s">
        <v>126</v>
      </c>
      <c r="L64" s="93" t="str">
        <f>_xlfn.XLOOKUP(Tabla2__2[[#This Row],[CODIGO RUTA]],'DATA INFORME'!I:I,'DATA INFORME'!K:K)</f>
        <v>SI</v>
      </c>
      <c r="M64" s="93" t="str">
        <f>IF(Tabla2__2[[#This Row],[MYSTERY EFECTIVO]]="SI",_xlfn.XLOOKUP(Tabla2__2[[#This Row],[PREGUNTA]],ENCUESTA!G:G,ENCUESTA!D:D),"N/A")</f>
        <v>N/A</v>
      </c>
      <c r="N6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4" s="93">
        <f>_xlfn.XLOOKUP(Tabla2__2[[#This Row],[PREGUNTA]],ENCUESTA!G:G,ENCUESTA!H:H)</f>
        <v>0</v>
      </c>
      <c r="P64" s="93">
        <f>IF(Tabla2__2[[#This Row],[RTA]]=Tabla2__2[[#This Row],[RTA CORRECTA]],Tabla2__2[[#This Row],[TOTAL PUNTAJE]],0)</f>
        <v>0</v>
      </c>
      <c r="Q64" s="93">
        <f>IF(OR(H64="Dog Chow húmedo",H64="Cat Chow húmedo",H64="Fancy Feast",H64="Felix",H64="Proplan húmedo",H64="One húmedo",H64="Snack Abrazzos",H64="Snak Dentalife",H64="Arenilla Tidy Cat"),N64,0)</f>
        <v>0</v>
      </c>
      <c r="R64" s="93"/>
    </row>
    <row r="65" spans="1:18" x14ac:dyDescent="0.35">
      <c r="A65" s="93" t="s">
        <v>109</v>
      </c>
      <c r="B65" s="93" t="s">
        <v>132</v>
      </c>
      <c r="C65" s="90" t="s">
        <v>43</v>
      </c>
      <c r="D65" s="93" t="s">
        <v>123</v>
      </c>
      <c r="E65" s="94">
        <v>111523</v>
      </c>
      <c r="F65" s="93" t="s">
        <v>238</v>
      </c>
      <c r="G65" s="93" t="s">
        <v>103</v>
      </c>
      <c r="H65" s="93" t="s">
        <v>242</v>
      </c>
      <c r="I65" s="95"/>
      <c r="J65" s="94">
        <v>29620816</v>
      </c>
      <c r="K65" s="93" t="s">
        <v>126</v>
      </c>
      <c r="L65" s="93" t="str">
        <f>_xlfn.XLOOKUP(Tabla2__2[[#This Row],[CODIGO RUTA]],'DATA INFORME'!I:I,'DATA INFORME'!K:K)</f>
        <v>SI</v>
      </c>
      <c r="M65" s="93" t="str">
        <f>IF(Tabla2__2[[#This Row],[MYSTERY EFECTIVO]]="SI",_xlfn.XLOOKUP(Tabla2__2[[#This Row],[PREGUNTA]],ENCUESTA!G:G,ENCUESTA!D:D),"N/A")</f>
        <v>N/A</v>
      </c>
      <c r="N6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5" s="93">
        <f>_xlfn.XLOOKUP(Tabla2__2[[#This Row],[PREGUNTA]],ENCUESTA!G:G,ENCUESTA!H:H)</f>
        <v>0</v>
      </c>
      <c r="P65" s="93">
        <f>IF(Tabla2__2[[#This Row],[RTA]]=Tabla2__2[[#This Row],[RTA CORRECTA]],Tabla2__2[[#This Row],[TOTAL PUNTAJE]],0)</f>
        <v>0</v>
      </c>
      <c r="Q65" s="93">
        <f>IF(OR(H65="Dog Chow húmedo",H65="Cat Chow húmedo",H65="Fancy Feast",H65="Felix",H65="Proplan húmedo",H65="One húmedo",H65="Snack Abrazzos",H65="Snak Dentalife",H65="Arenilla Tidy Cat"),N65,0)</f>
        <v>0</v>
      </c>
      <c r="R65" s="93"/>
    </row>
    <row r="66" spans="1:18" x14ac:dyDescent="0.35">
      <c r="A66" s="93" t="s">
        <v>109</v>
      </c>
      <c r="B66" s="93" t="s">
        <v>259</v>
      </c>
      <c r="C66" s="90" t="s">
        <v>43</v>
      </c>
      <c r="D66" s="93" t="s">
        <v>120</v>
      </c>
      <c r="E66" s="94">
        <v>435253</v>
      </c>
      <c r="F66" s="93" t="s">
        <v>262</v>
      </c>
      <c r="G66" s="93" t="s">
        <v>87</v>
      </c>
      <c r="H66" s="93" t="s">
        <v>20</v>
      </c>
      <c r="I66" s="95"/>
      <c r="J66" s="94">
        <v>29672686</v>
      </c>
      <c r="K66" s="93" t="s">
        <v>213</v>
      </c>
      <c r="L66" s="93" t="str">
        <f>_xlfn.XLOOKUP(Tabla2__2[[#This Row],[CODIGO RUTA]],'DATA INFORME'!I:I,'DATA INFORME'!K:K)</f>
        <v>SI</v>
      </c>
      <c r="M66" s="93" t="str">
        <f>IF(Tabla2__2[[#This Row],[MYSTERY EFECTIVO]]="SI",_xlfn.XLOOKUP(Tabla2__2[[#This Row],[PREGUNTA]],ENCUESTA!G:G,ENCUESTA!D:D),"N/A")</f>
        <v>N/A</v>
      </c>
      <c r="N6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6" s="93">
        <f>_xlfn.XLOOKUP(Tabla2__2[[#This Row],[PREGUNTA]],ENCUESTA!G:G,ENCUESTA!H:H)</f>
        <v>0</v>
      </c>
      <c r="P66" s="93">
        <f>IF(Tabla2__2[[#This Row],[RTA]]=Tabla2__2[[#This Row],[RTA CORRECTA]],Tabla2__2[[#This Row],[TOTAL PUNTAJE]],0)</f>
        <v>0</v>
      </c>
      <c r="Q66" s="93">
        <f>IF(OR(H66="Dog Chow húmedo",H66="Cat Chow húmedo",H66="Fancy Feast",H66="Felix",H66="Proplan húmedo",H66="One húmedo",H66="Snack Abrazzos",H66="Snak Dentalife",H66="Arenilla Tidy Cat"),N66,0)</f>
        <v>0</v>
      </c>
      <c r="R66" s="93"/>
    </row>
    <row r="67" spans="1:18" x14ac:dyDescent="0.35">
      <c r="A67" s="93" t="s">
        <v>109</v>
      </c>
      <c r="B67" s="93" t="s">
        <v>259</v>
      </c>
      <c r="C67" s="90" t="s">
        <v>43</v>
      </c>
      <c r="D67" s="93" t="s">
        <v>120</v>
      </c>
      <c r="E67" s="94">
        <v>435253</v>
      </c>
      <c r="F67" s="93" t="s">
        <v>262</v>
      </c>
      <c r="G67" s="93" t="s">
        <v>88</v>
      </c>
      <c r="H67" s="93" t="s">
        <v>20</v>
      </c>
      <c r="I67" s="95"/>
      <c r="J67" s="94">
        <v>29672686</v>
      </c>
      <c r="K67" s="93" t="s">
        <v>213</v>
      </c>
      <c r="L67" s="93" t="str">
        <f>_xlfn.XLOOKUP(Tabla2__2[[#This Row],[CODIGO RUTA]],'DATA INFORME'!I:I,'DATA INFORME'!K:K)</f>
        <v>SI</v>
      </c>
      <c r="M67" s="93" t="str">
        <f>IF(Tabla2__2[[#This Row],[MYSTERY EFECTIVO]]="SI",_xlfn.XLOOKUP(Tabla2__2[[#This Row],[PREGUNTA]],ENCUESTA!G:G,ENCUESTA!D:D),"N/A")</f>
        <v>HORARIO</v>
      </c>
      <c r="N6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67" s="93" t="str">
        <f>_xlfn.XLOOKUP(Tabla2__2[[#This Row],[PREGUNTA]],ENCUESTA!G:G,ENCUESTA!H:H)</f>
        <v>SI</v>
      </c>
      <c r="P67" s="93">
        <f>IF(Tabla2__2[[#This Row],[RTA]]=Tabla2__2[[#This Row],[RTA CORRECTA]],Tabla2__2[[#This Row],[TOTAL PUNTAJE]],0)</f>
        <v>20</v>
      </c>
      <c r="Q67" s="93">
        <f>IF(OR(H67="Dog Chow húmedo",H67="Cat Chow húmedo",H67="Fancy Feast",H67="Felix",H67="Proplan húmedo",H67="One húmedo",H67="Snack Abrazzos",H67="Snak Dentalife",H67="Arenilla Tidy Cat"),N67,0)</f>
        <v>0</v>
      </c>
      <c r="R67" s="93"/>
    </row>
    <row r="68" spans="1:18" x14ac:dyDescent="0.35">
      <c r="A68" s="93" t="s">
        <v>109</v>
      </c>
      <c r="B68" s="93" t="s">
        <v>259</v>
      </c>
      <c r="C68" s="90" t="s">
        <v>43</v>
      </c>
      <c r="D68" s="93" t="s">
        <v>120</v>
      </c>
      <c r="E68" s="94">
        <v>435253</v>
      </c>
      <c r="F68" s="93" t="s">
        <v>262</v>
      </c>
      <c r="G68" s="93" t="s">
        <v>89</v>
      </c>
      <c r="H68" s="93" t="s">
        <v>20</v>
      </c>
      <c r="I68" s="95"/>
      <c r="J68" s="94">
        <v>29672686</v>
      </c>
      <c r="K68" s="93" t="s">
        <v>213</v>
      </c>
      <c r="L68" s="93" t="str">
        <f>_xlfn.XLOOKUP(Tabla2__2[[#This Row],[CODIGO RUTA]],'DATA INFORME'!I:I,'DATA INFORME'!K:K)</f>
        <v>SI</v>
      </c>
      <c r="M68" s="93" t="str">
        <f>IF(Tabla2__2[[#This Row],[MYSTERY EFECTIVO]]="SI",_xlfn.XLOOKUP(Tabla2__2[[#This Row],[PREGUNTA]],ENCUESTA!G:G,ENCUESTA!D:D),"N/A")</f>
        <v>PRESENTACIÓN PERSONAL</v>
      </c>
      <c r="N6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8" s="93" t="str">
        <f>_xlfn.XLOOKUP(Tabla2__2[[#This Row],[PREGUNTA]],ENCUESTA!G:G,ENCUESTA!H:H)</f>
        <v>SI</v>
      </c>
      <c r="P68" s="93">
        <f>IF(Tabla2__2[[#This Row],[RTA]]=Tabla2__2[[#This Row],[RTA CORRECTA]],Tabla2__2[[#This Row],[TOTAL PUNTAJE]],0)</f>
        <v>1</v>
      </c>
      <c r="Q68" s="93">
        <f>IF(OR(H68="Dog Chow húmedo",H68="Cat Chow húmedo",H68="Fancy Feast",H68="Felix",H68="Proplan húmedo",H68="One húmedo",H68="Snack Abrazzos",H68="Snak Dentalife",H68="Arenilla Tidy Cat"),N68,0)</f>
        <v>0</v>
      </c>
      <c r="R68" s="93"/>
    </row>
    <row r="69" spans="1:18" x14ac:dyDescent="0.35">
      <c r="A69" s="93" t="s">
        <v>109</v>
      </c>
      <c r="B69" s="93" t="s">
        <v>259</v>
      </c>
      <c r="C69" s="90" t="s">
        <v>43</v>
      </c>
      <c r="D69" s="93" t="s">
        <v>120</v>
      </c>
      <c r="E69" s="94">
        <v>435253</v>
      </c>
      <c r="F69" s="93" t="s">
        <v>262</v>
      </c>
      <c r="G69" s="93" t="s">
        <v>90</v>
      </c>
      <c r="H69" s="93" t="s">
        <v>20</v>
      </c>
      <c r="I69" s="95"/>
      <c r="J69" s="94">
        <v>29672686</v>
      </c>
      <c r="K69" s="93" t="s">
        <v>213</v>
      </c>
      <c r="L69" s="93" t="str">
        <f>_xlfn.XLOOKUP(Tabla2__2[[#This Row],[CODIGO RUTA]],'DATA INFORME'!I:I,'DATA INFORME'!K:K)</f>
        <v>SI</v>
      </c>
      <c r="M69" s="93" t="str">
        <f>IF(Tabla2__2[[#This Row],[MYSTERY EFECTIVO]]="SI",_xlfn.XLOOKUP(Tabla2__2[[#This Row],[PREGUNTA]],ENCUESTA!G:G,ENCUESTA!D:D),"N/A")</f>
        <v>PRESENTACIÓN PERSONAL</v>
      </c>
      <c r="N6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9" s="93" t="str">
        <f>_xlfn.XLOOKUP(Tabla2__2[[#This Row],[PREGUNTA]],ENCUESTA!G:G,ENCUESTA!H:H)</f>
        <v>SI</v>
      </c>
      <c r="P69" s="93">
        <f>IF(Tabla2__2[[#This Row],[RTA]]=Tabla2__2[[#This Row],[RTA CORRECTA]],Tabla2__2[[#This Row],[TOTAL PUNTAJE]],0)</f>
        <v>1</v>
      </c>
      <c r="Q69" s="93">
        <f>IF(OR(H69="Dog Chow húmedo",H69="Cat Chow húmedo",H69="Fancy Feast",H69="Felix",H69="Proplan húmedo",H69="One húmedo",H69="Snack Abrazzos",H69="Snak Dentalife",H69="Arenilla Tidy Cat"),N69,0)</f>
        <v>0</v>
      </c>
      <c r="R69" s="93"/>
    </row>
    <row r="70" spans="1:18" x14ac:dyDescent="0.35">
      <c r="A70" s="93" t="s">
        <v>109</v>
      </c>
      <c r="B70" s="93" t="s">
        <v>259</v>
      </c>
      <c r="C70" s="90" t="s">
        <v>43</v>
      </c>
      <c r="D70" s="93" t="s">
        <v>120</v>
      </c>
      <c r="E70" s="94">
        <v>435253</v>
      </c>
      <c r="F70" s="93" t="s">
        <v>262</v>
      </c>
      <c r="G70" s="93" t="s">
        <v>35</v>
      </c>
      <c r="H70" s="93" t="s">
        <v>20</v>
      </c>
      <c r="I70" s="95"/>
      <c r="J70" s="94">
        <v>29672686</v>
      </c>
      <c r="K70" s="93" t="s">
        <v>213</v>
      </c>
      <c r="L70" s="93" t="str">
        <f>_xlfn.XLOOKUP(Tabla2__2[[#This Row],[CODIGO RUTA]],'DATA INFORME'!I:I,'DATA INFORME'!K:K)</f>
        <v>SI</v>
      </c>
      <c r="M70" s="93" t="str">
        <f>IF(Tabla2__2[[#This Row],[MYSTERY EFECTIVO]]="SI",_xlfn.XLOOKUP(Tabla2__2[[#This Row],[PREGUNTA]],ENCUESTA!G:G,ENCUESTA!D:D),"N/A")</f>
        <v>PRESENTACIÓN PERSONAL</v>
      </c>
      <c r="N7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0" s="93" t="str">
        <f>_xlfn.XLOOKUP(Tabla2__2[[#This Row],[PREGUNTA]],ENCUESTA!G:G,ENCUESTA!H:H)</f>
        <v>SI</v>
      </c>
      <c r="P70" s="93">
        <f>IF(Tabla2__2[[#This Row],[RTA]]=Tabla2__2[[#This Row],[RTA CORRECTA]],Tabla2__2[[#This Row],[TOTAL PUNTAJE]],0)</f>
        <v>1</v>
      </c>
      <c r="Q70" s="93">
        <f>IF(OR(H70="Dog Chow húmedo",H70="Cat Chow húmedo",H70="Fancy Feast",H70="Felix",H70="Proplan húmedo",H70="One húmedo",H70="Snack Abrazzos",H70="Snak Dentalife",H70="Arenilla Tidy Cat"),N70,0)</f>
        <v>0</v>
      </c>
      <c r="R70" s="93"/>
    </row>
    <row r="71" spans="1:18" x14ac:dyDescent="0.35">
      <c r="A71" s="93" t="s">
        <v>109</v>
      </c>
      <c r="B71" s="93" t="s">
        <v>259</v>
      </c>
      <c r="C71" s="90" t="s">
        <v>43</v>
      </c>
      <c r="D71" s="93" t="s">
        <v>120</v>
      </c>
      <c r="E71" s="94">
        <v>435253</v>
      </c>
      <c r="F71" s="93" t="s">
        <v>262</v>
      </c>
      <c r="G71" s="93" t="s">
        <v>91</v>
      </c>
      <c r="H71" s="93" t="s">
        <v>108</v>
      </c>
      <c r="I71" s="95"/>
      <c r="J71" s="94">
        <v>29672686</v>
      </c>
      <c r="K71" s="93" t="s">
        <v>213</v>
      </c>
      <c r="L71" s="93" t="str">
        <f>_xlfn.XLOOKUP(Tabla2__2[[#This Row],[CODIGO RUTA]],'DATA INFORME'!I:I,'DATA INFORME'!K:K)</f>
        <v>SI</v>
      </c>
      <c r="M71" s="93" t="str">
        <f>IF(Tabla2__2[[#This Row],[MYSTERY EFECTIVO]]="SI",_xlfn.XLOOKUP(Tabla2__2[[#This Row],[PREGUNTA]],ENCUESTA!G:G,ENCUESTA!D:D),"N/A")</f>
        <v>PRESENTACIÓN PERSONAL</v>
      </c>
      <c r="N7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1" s="93" t="str">
        <f>_xlfn.XLOOKUP(Tabla2__2[[#This Row],[PREGUNTA]],ENCUESTA!G:G,ENCUESTA!H:H)</f>
        <v>NO</v>
      </c>
      <c r="P71" s="93">
        <f>IF(Tabla2__2[[#This Row],[RTA]]=Tabla2__2[[#This Row],[RTA CORRECTA]],Tabla2__2[[#This Row],[TOTAL PUNTAJE]],0)</f>
        <v>1</v>
      </c>
      <c r="Q71" s="93">
        <f>IF(OR(H71="Dog Chow húmedo",H71="Cat Chow húmedo",H71="Fancy Feast",H71="Felix",H71="Proplan húmedo",H71="One húmedo",H71="Snack Abrazzos",H71="Snak Dentalife",H71="Arenilla Tidy Cat"),N71,0)</f>
        <v>0</v>
      </c>
      <c r="R71" s="93"/>
    </row>
    <row r="72" spans="1:18" x14ac:dyDescent="0.35">
      <c r="A72" s="93" t="s">
        <v>109</v>
      </c>
      <c r="B72" s="93" t="s">
        <v>259</v>
      </c>
      <c r="C72" s="90" t="s">
        <v>43</v>
      </c>
      <c r="D72" s="93" t="s">
        <v>120</v>
      </c>
      <c r="E72" s="94">
        <v>435253</v>
      </c>
      <c r="F72" s="93" t="s">
        <v>262</v>
      </c>
      <c r="G72" s="93" t="s">
        <v>92</v>
      </c>
      <c r="H72" s="93" t="s">
        <v>20</v>
      </c>
      <c r="I72" s="95"/>
      <c r="J72" s="94">
        <v>29672686</v>
      </c>
      <c r="K72" s="93" t="s">
        <v>213</v>
      </c>
      <c r="L72" s="93" t="str">
        <f>_xlfn.XLOOKUP(Tabla2__2[[#This Row],[CODIGO RUTA]],'DATA INFORME'!I:I,'DATA INFORME'!K:K)</f>
        <v>SI</v>
      </c>
      <c r="M72" s="93" t="str">
        <f>IF(Tabla2__2[[#This Row],[MYSTERY EFECTIVO]]="SI",_xlfn.XLOOKUP(Tabla2__2[[#This Row],[PREGUNTA]],ENCUESTA!G:G,ENCUESTA!D:D),"N/A")</f>
        <v>PRESENTACIÓN PERSONAL</v>
      </c>
      <c r="N7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2" s="93" t="str">
        <f>_xlfn.XLOOKUP(Tabla2__2[[#This Row],[PREGUNTA]],ENCUESTA!G:G,ENCUESTA!H:H)</f>
        <v>SI</v>
      </c>
      <c r="P72" s="93">
        <f>IF(Tabla2__2[[#This Row],[RTA]]=Tabla2__2[[#This Row],[RTA CORRECTA]],Tabla2__2[[#This Row],[TOTAL PUNTAJE]],0)</f>
        <v>1</v>
      </c>
      <c r="Q72" s="93">
        <f>IF(OR(H72="Dog Chow húmedo",H72="Cat Chow húmedo",H72="Fancy Feast",H72="Felix",H72="Proplan húmedo",H72="One húmedo",H72="Snack Abrazzos",H72="Snak Dentalife",H72="Arenilla Tidy Cat"),N72,0)</f>
        <v>0</v>
      </c>
      <c r="R72" s="93"/>
    </row>
    <row r="73" spans="1:18" x14ac:dyDescent="0.35">
      <c r="A73" s="93" t="s">
        <v>109</v>
      </c>
      <c r="B73" s="93" t="s">
        <v>259</v>
      </c>
      <c r="C73" s="90" t="s">
        <v>43</v>
      </c>
      <c r="D73" s="93" t="s">
        <v>120</v>
      </c>
      <c r="E73" s="94">
        <v>435253</v>
      </c>
      <c r="F73" s="93" t="s">
        <v>262</v>
      </c>
      <c r="G73" s="93" t="s">
        <v>93</v>
      </c>
      <c r="H73" s="93" t="s">
        <v>20</v>
      </c>
      <c r="I73" s="95"/>
      <c r="J73" s="94">
        <v>29672686</v>
      </c>
      <c r="K73" s="93" t="s">
        <v>213</v>
      </c>
      <c r="L73" s="93" t="str">
        <f>_xlfn.XLOOKUP(Tabla2__2[[#This Row],[CODIGO RUTA]],'DATA INFORME'!I:I,'DATA INFORME'!K:K)</f>
        <v>SI</v>
      </c>
      <c r="M73" s="93" t="str">
        <f>IF(Tabla2__2[[#This Row],[MYSTERY EFECTIVO]]="SI",_xlfn.XLOOKUP(Tabla2__2[[#This Row],[PREGUNTA]],ENCUESTA!G:G,ENCUESTA!D:D),"N/A")</f>
        <v>PRESENTACIÓN PERSONAL</v>
      </c>
      <c r="N7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3" s="93" t="str">
        <f>_xlfn.XLOOKUP(Tabla2__2[[#This Row],[PREGUNTA]],ENCUESTA!G:G,ENCUESTA!H:H)</f>
        <v>SI</v>
      </c>
      <c r="P73" s="93">
        <f>IF(Tabla2__2[[#This Row],[RTA]]=Tabla2__2[[#This Row],[RTA CORRECTA]],Tabla2__2[[#This Row],[TOTAL PUNTAJE]],0)</f>
        <v>1</v>
      </c>
      <c r="Q73" s="93">
        <f>IF(OR(H73="Dog Chow húmedo",H73="Cat Chow húmedo",H73="Fancy Feast",H73="Felix",H73="Proplan húmedo",H73="One húmedo",H73="Snack Abrazzos",H73="Snak Dentalife",H73="Arenilla Tidy Cat"),N73,0)</f>
        <v>0</v>
      </c>
      <c r="R73" s="93"/>
    </row>
    <row r="74" spans="1:18" x14ac:dyDescent="0.35">
      <c r="A74" s="93" t="s">
        <v>109</v>
      </c>
      <c r="B74" s="93" t="s">
        <v>132</v>
      </c>
      <c r="C74" s="90" t="s">
        <v>43</v>
      </c>
      <c r="D74" s="93" t="s">
        <v>123</v>
      </c>
      <c r="E74" s="94">
        <v>111523</v>
      </c>
      <c r="F74" s="93" t="s">
        <v>238</v>
      </c>
      <c r="G74" s="93" t="s">
        <v>101</v>
      </c>
      <c r="H74" s="93" t="s">
        <v>43</v>
      </c>
      <c r="I74" s="95"/>
      <c r="J74" s="94">
        <v>29620816</v>
      </c>
      <c r="K74" s="93" t="s">
        <v>126</v>
      </c>
      <c r="L74" s="93" t="str">
        <f>_xlfn.XLOOKUP(Tabla2__2[[#This Row],[CODIGO RUTA]],'DATA INFORME'!I:I,'DATA INFORME'!K:K)</f>
        <v>SI</v>
      </c>
      <c r="M74" s="93" t="str">
        <f>IF(Tabla2__2[[#This Row],[MYSTERY EFECTIVO]]="SI",_xlfn.XLOOKUP(Tabla2__2[[#This Row],[PREGUNTA]],ENCUESTA!G:G,ENCUESTA!D:D),"N/A")</f>
        <v>N/A</v>
      </c>
      <c r="N7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4" s="93">
        <f>_xlfn.XLOOKUP(Tabla2__2[[#This Row],[PREGUNTA]],ENCUESTA!G:G,ENCUESTA!H:H)</f>
        <v>0</v>
      </c>
      <c r="P74" s="93">
        <f>IF(Tabla2__2[[#This Row],[RTA]]=Tabla2__2[[#This Row],[RTA CORRECTA]],Tabla2__2[[#This Row],[TOTAL PUNTAJE]],0)</f>
        <v>0</v>
      </c>
      <c r="Q74" s="93">
        <f>IF(OR(H74="Dog Chow húmedo",H74="Cat Chow húmedo",H74="Fancy Feast",H74="Felix",H74="Proplan húmedo",H74="One húmedo",H74="Snack Abrazzos",H74="Snak Dentalife",H74="Arenilla Tidy Cat"),N74,0)</f>
        <v>0</v>
      </c>
      <c r="R74" s="93"/>
    </row>
    <row r="75" spans="1:18" x14ac:dyDescent="0.35">
      <c r="A75" s="93" t="s">
        <v>109</v>
      </c>
      <c r="B75" s="93" t="s">
        <v>259</v>
      </c>
      <c r="C75" s="90" t="s">
        <v>43</v>
      </c>
      <c r="D75" s="93" t="s">
        <v>120</v>
      </c>
      <c r="E75" s="94">
        <v>435253</v>
      </c>
      <c r="F75" s="93" t="s">
        <v>262</v>
      </c>
      <c r="G75" s="93" t="s">
        <v>94</v>
      </c>
      <c r="H75" s="93" t="s">
        <v>108</v>
      </c>
      <c r="I75" s="95"/>
      <c r="J75" s="94">
        <v>29672686</v>
      </c>
      <c r="K75" s="93" t="s">
        <v>213</v>
      </c>
      <c r="L75" s="93" t="str">
        <f>_xlfn.XLOOKUP(Tabla2__2[[#This Row],[CODIGO RUTA]],'DATA INFORME'!I:I,'DATA INFORME'!K:K)</f>
        <v>SI</v>
      </c>
      <c r="M75" s="93" t="str">
        <f>IF(Tabla2__2[[#This Row],[MYSTERY EFECTIVO]]="SI",_xlfn.XLOOKUP(Tabla2__2[[#This Row],[PREGUNTA]],ENCUESTA!G:G,ENCUESTA!D:D),"N/A")</f>
        <v>PRESENTACIÓN PERSONAL</v>
      </c>
      <c r="N7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5" s="93" t="str">
        <f>_xlfn.XLOOKUP(Tabla2__2[[#This Row],[PREGUNTA]],ENCUESTA!G:G,ENCUESTA!H:H)</f>
        <v>NO</v>
      </c>
      <c r="P75" s="93">
        <f>IF(Tabla2__2[[#This Row],[RTA]]=Tabla2__2[[#This Row],[RTA CORRECTA]],Tabla2__2[[#This Row],[TOTAL PUNTAJE]],0)</f>
        <v>1</v>
      </c>
      <c r="Q75" s="93">
        <f>IF(OR(H75="Dog Chow húmedo",H75="Cat Chow húmedo",H75="Fancy Feast",H75="Felix",H75="Proplan húmedo",H75="One húmedo",H75="Snack Abrazzos",H75="Snak Dentalife",H75="Arenilla Tidy Cat"),N75,0)</f>
        <v>0</v>
      </c>
      <c r="R75" s="93"/>
    </row>
    <row r="76" spans="1:18" x14ac:dyDescent="0.35">
      <c r="A76" s="93" t="s">
        <v>109</v>
      </c>
      <c r="B76" s="93" t="s">
        <v>259</v>
      </c>
      <c r="C76" s="90" t="s">
        <v>43</v>
      </c>
      <c r="D76" s="93" t="s">
        <v>120</v>
      </c>
      <c r="E76" s="94">
        <v>435253</v>
      </c>
      <c r="F76" s="93" t="s">
        <v>262</v>
      </c>
      <c r="G76" s="93" t="s">
        <v>96</v>
      </c>
      <c r="H76" s="93" t="s">
        <v>108</v>
      </c>
      <c r="I76" s="95"/>
      <c r="J76" s="94">
        <v>29672686</v>
      </c>
      <c r="K76" s="93" t="s">
        <v>213</v>
      </c>
      <c r="L76" s="93" t="str">
        <f>_xlfn.XLOOKUP(Tabla2__2[[#This Row],[CODIGO RUTA]],'DATA INFORME'!I:I,'DATA INFORME'!K:K)</f>
        <v>SI</v>
      </c>
      <c r="M76" s="93" t="str">
        <f>IF(Tabla2__2[[#This Row],[MYSTERY EFECTIVO]]="SI",_xlfn.XLOOKUP(Tabla2__2[[#This Row],[PREGUNTA]],ENCUESTA!G:G,ENCUESTA!D:D),"N/A")</f>
        <v>PRESENTACIÓN PERSONAL</v>
      </c>
      <c r="N7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6" s="93" t="str">
        <f>_xlfn.XLOOKUP(Tabla2__2[[#This Row],[PREGUNTA]],ENCUESTA!G:G,ENCUESTA!H:H)</f>
        <v>NO</v>
      </c>
      <c r="P76" s="93">
        <f>IF(Tabla2__2[[#This Row],[RTA]]=Tabla2__2[[#This Row],[RTA CORRECTA]],Tabla2__2[[#This Row],[TOTAL PUNTAJE]],0)</f>
        <v>1</v>
      </c>
      <c r="Q76" s="93">
        <f>IF(OR(H76="Dog Chow húmedo",H76="Cat Chow húmedo",H76="Fancy Feast",H76="Felix",H76="Proplan húmedo",H76="One húmedo",H76="Snack Abrazzos",H76="Snak Dentalife",H76="Arenilla Tidy Cat"),N76,0)</f>
        <v>0</v>
      </c>
      <c r="R76" s="93"/>
    </row>
    <row r="77" spans="1:18" x14ac:dyDescent="0.35">
      <c r="A77" s="93" t="s">
        <v>109</v>
      </c>
      <c r="B77" s="93" t="s">
        <v>259</v>
      </c>
      <c r="C77" s="90" t="s">
        <v>43</v>
      </c>
      <c r="D77" s="93" t="s">
        <v>120</v>
      </c>
      <c r="E77" s="94">
        <v>435253</v>
      </c>
      <c r="F77" s="93" t="s">
        <v>262</v>
      </c>
      <c r="G77" s="93" t="s">
        <v>97</v>
      </c>
      <c r="H77" s="93" t="s">
        <v>108</v>
      </c>
      <c r="I77" s="95"/>
      <c r="J77" s="94">
        <v>29672686</v>
      </c>
      <c r="K77" s="93" t="s">
        <v>213</v>
      </c>
      <c r="L77" s="93" t="str">
        <f>_xlfn.XLOOKUP(Tabla2__2[[#This Row],[CODIGO RUTA]],'DATA INFORME'!I:I,'DATA INFORME'!K:K)</f>
        <v>SI</v>
      </c>
      <c r="M77" s="93" t="str">
        <f>IF(Tabla2__2[[#This Row],[MYSTERY EFECTIVO]]="SI",_xlfn.XLOOKUP(Tabla2__2[[#This Row],[PREGUNTA]],ENCUESTA!G:G,ENCUESTA!D:D),"N/A")</f>
        <v>PRESENTACIÓN PERSONAL</v>
      </c>
      <c r="N7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7" s="93" t="str">
        <f>_xlfn.XLOOKUP(Tabla2__2[[#This Row],[PREGUNTA]],ENCUESTA!G:G,ENCUESTA!H:H)</f>
        <v>NO</v>
      </c>
      <c r="P77" s="93">
        <f>IF(Tabla2__2[[#This Row],[RTA]]=Tabla2__2[[#This Row],[RTA CORRECTA]],Tabla2__2[[#This Row],[TOTAL PUNTAJE]],0)</f>
        <v>1</v>
      </c>
      <c r="Q77" s="93">
        <f>IF(OR(H77="Dog Chow húmedo",H77="Cat Chow húmedo",H77="Fancy Feast",H77="Felix",H77="Proplan húmedo",H77="One húmedo",H77="Snack Abrazzos",H77="Snak Dentalife",H77="Arenilla Tidy Cat"),N77,0)</f>
        <v>0</v>
      </c>
      <c r="R77" s="93"/>
    </row>
    <row r="78" spans="1:18" x14ac:dyDescent="0.35">
      <c r="A78" s="93" t="s">
        <v>109</v>
      </c>
      <c r="B78" s="93" t="s">
        <v>259</v>
      </c>
      <c r="C78" s="90" t="s">
        <v>43</v>
      </c>
      <c r="D78" s="93" t="s">
        <v>120</v>
      </c>
      <c r="E78" s="94">
        <v>435253</v>
      </c>
      <c r="F78" s="93" t="s">
        <v>262</v>
      </c>
      <c r="G78" s="93" t="s">
        <v>147</v>
      </c>
      <c r="H78" s="93" t="s">
        <v>20</v>
      </c>
      <c r="I78" s="95"/>
      <c r="J78" s="94">
        <v>29672686</v>
      </c>
      <c r="K78" s="93" t="s">
        <v>213</v>
      </c>
      <c r="L78" s="93" t="str">
        <f>_xlfn.XLOOKUP(Tabla2__2[[#This Row],[CODIGO RUTA]],'DATA INFORME'!I:I,'DATA INFORME'!K:K)</f>
        <v>SI</v>
      </c>
      <c r="M78" s="93" t="str">
        <f>IF(Tabla2__2[[#This Row],[MYSTERY EFECTIVO]]="SI",_xlfn.XLOOKUP(Tabla2__2[[#This Row],[PREGUNTA]],ENCUESTA!G:G,ENCUESTA!D:D),"N/A")</f>
        <v>EJECUCIÓN DEL PDV</v>
      </c>
      <c r="N7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8" s="93" t="str">
        <f>_xlfn.XLOOKUP(Tabla2__2[[#This Row],[PREGUNTA]],ENCUESTA!G:G,ENCUESTA!H:H)</f>
        <v>SI</v>
      </c>
      <c r="P78" s="93">
        <f>IF(Tabla2__2[[#This Row],[RTA]]=Tabla2__2[[#This Row],[RTA CORRECTA]],Tabla2__2[[#This Row],[TOTAL PUNTAJE]],0)</f>
        <v>3.75</v>
      </c>
      <c r="Q78" s="93">
        <f>IF(OR(H78="Dog Chow húmedo",H78="Cat Chow húmedo",H78="Fancy Feast",H78="Felix",H78="Proplan húmedo",H78="One húmedo",H78="Snack Abrazzos",H78="Snak Dentalife",H78="Arenilla Tidy Cat"),N78,0)</f>
        <v>0</v>
      </c>
      <c r="R78" s="93"/>
    </row>
    <row r="79" spans="1:18" x14ac:dyDescent="0.35">
      <c r="A79" s="93" t="s">
        <v>109</v>
      </c>
      <c r="B79" s="93" t="s">
        <v>259</v>
      </c>
      <c r="C79" s="90" t="s">
        <v>43</v>
      </c>
      <c r="D79" s="93" t="s">
        <v>120</v>
      </c>
      <c r="E79" s="94">
        <v>435253</v>
      </c>
      <c r="F79" s="93" t="s">
        <v>262</v>
      </c>
      <c r="G79" s="93" t="s">
        <v>148</v>
      </c>
      <c r="H79" s="93" t="s">
        <v>20</v>
      </c>
      <c r="I79" s="95"/>
      <c r="J79" s="94">
        <v>29672686</v>
      </c>
      <c r="K79" s="93" t="s">
        <v>213</v>
      </c>
      <c r="L79" s="93" t="str">
        <f>_xlfn.XLOOKUP(Tabla2__2[[#This Row],[CODIGO RUTA]],'DATA INFORME'!I:I,'DATA INFORME'!K:K)</f>
        <v>SI</v>
      </c>
      <c r="M79" s="93" t="str">
        <f>IF(Tabla2__2[[#This Row],[MYSTERY EFECTIVO]]="SI",_xlfn.XLOOKUP(Tabla2__2[[#This Row],[PREGUNTA]],ENCUESTA!G:G,ENCUESTA!D:D),"N/A")</f>
        <v>EJECUCIÓN DEL PDV</v>
      </c>
      <c r="N7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9" s="93" t="str">
        <f>_xlfn.XLOOKUP(Tabla2__2[[#This Row],[PREGUNTA]],ENCUESTA!G:G,ENCUESTA!H:H)</f>
        <v>SI</v>
      </c>
      <c r="P79" s="93">
        <f>IF(Tabla2__2[[#This Row],[RTA]]=Tabla2__2[[#This Row],[RTA CORRECTA]],Tabla2__2[[#This Row],[TOTAL PUNTAJE]],0)</f>
        <v>3.75</v>
      </c>
      <c r="Q79" s="93">
        <f>IF(OR(H79="Dog Chow húmedo",H79="Cat Chow húmedo",H79="Fancy Feast",H79="Felix",H79="Proplan húmedo",H79="One húmedo",H79="Snack Abrazzos",H79="Snak Dentalife",H79="Arenilla Tidy Cat"),N79,0)</f>
        <v>0</v>
      </c>
      <c r="R79" s="93"/>
    </row>
    <row r="80" spans="1:18" x14ac:dyDescent="0.35">
      <c r="A80" s="93" t="s">
        <v>109</v>
      </c>
      <c r="B80" s="93" t="s">
        <v>259</v>
      </c>
      <c r="C80" s="90" t="s">
        <v>43</v>
      </c>
      <c r="D80" s="93" t="s">
        <v>120</v>
      </c>
      <c r="E80" s="94">
        <v>435253</v>
      </c>
      <c r="F80" s="93" t="s">
        <v>262</v>
      </c>
      <c r="G80" s="93" t="s">
        <v>98</v>
      </c>
      <c r="H80" s="93" t="s">
        <v>20</v>
      </c>
      <c r="I80" s="95"/>
      <c r="J80" s="94">
        <v>29672686</v>
      </c>
      <c r="K80" s="93" t="s">
        <v>213</v>
      </c>
      <c r="L80" s="93" t="str">
        <f>_xlfn.XLOOKUP(Tabla2__2[[#This Row],[CODIGO RUTA]],'DATA INFORME'!I:I,'DATA INFORME'!K:K)</f>
        <v>SI</v>
      </c>
      <c r="M80" s="93" t="str">
        <f>IF(Tabla2__2[[#This Row],[MYSTERY EFECTIVO]]="SI",_xlfn.XLOOKUP(Tabla2__2[[#This Row],[PREGUNTA]],ENCUESTA!G:G,ENCUESTA!D:D),"N/A")</f>
        <v>EJECUCIÓN DEL PDV</v>
      </c>
      <c r="N8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0" s="93" t="str">
        <f>_xlfn.XLOOKUP(Tabla2__2[[#This Row],[PREGUNTA]],ENCUESTA!G:G,ENCUESTA!H:H)</f>
        <v>SI</v>
      </c>
      <c r="P80" s="93">
        <f>IF(Tabla2__2[[#This Row],[RTA]]=Tabla2__2[[#This Row],[RTA CORRECTA]],Tabla2__2[[#This Row],[TOTAL PUNTAJE]],0)</f>
        <v>3.75</v>
      </c>
      <c r="Q80" s="93">
        <f>IF(OR(H80="Dog Chow húmedo",H80="Cat Chow húmedo",H80="Fancy Feast",H80="Felix",H80="Proplan húmedo",H80="One húmedo",H80="Snack Abrazzos",H80="Snak Dentalife",H80="Arenilla Tidy Cat"),N80,0)</f>
        <v>0</v>
      </c>
      <c r="R80" s="93"/>
    </row>
    <row r="81" spans="1:18" x14ac:dyDescent="0.35">
      <c r="A81" s="93" t="s">
        <v>109</v>
      </c>
      <c r="B81" s="93" t="s">
        <v>259</v>
      </c>
      <c r="C81" s="90" t="s">
        <v>43</v>
      </c>
      <c r="D81" s="93" t="s">
        <v>120</v>
      </c>
      <c r="E81" s="94">
        <v>435253</v>
      </c>
      <c r="F81" s="93" t="s">
        <v>262</v>
      </c>
      <c r="G81" s="93" t="s">
        <v>99</v>
      </c>
      <c r="H81" s="93" t="s">
        <v>20</v>
      </c>
      <c r="I81" s="95"/>
      <c r="J81" s="94">
        <v>29672686</v>
      </c>
      <c r="K81" s="93" t="s">
        <v>213</v>
      </c>
      <c r="L81" s="93" t="str">
        <f>_xlfn.XLOOKUP(Tabla2__2[[#This Row],[CODIGO RUTA]],'DATA INFORME'!I:I,'DATA INFORME'!K:K)</f>
        <v>SI</v>
      </c>
      <c r="M81" s="93" t="str">
        <f>IF(Tabla2__2[[#This Row],[MYSTERY EFECTIVO]]="SI",_xlfn.XLOOKUP(Tabla2__2[[#This Row],[PREGUNTA]],ENCUESTA!G:G,ENCUESTA!D:D),"N/A")</f>
        <v>EJECUCIÓN DEL PDV</v>
      </c>
      <c r="N8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1" s="93" t="str">
        <f>_xlfn.XLOOKUP(Tabla2__2[[#This Row],[PREGUNTA]],ENCUESTA!G:G,ENCUESTA!H:H)</f>
        <v>SI</v>
      </c>
      <c r="P81" s="93">
        <f>IF(Tabla2__2[[#This Row],[RTA]]=Tabla2__2[[#This Row],[RTA CORRECTA]],Tabla2__2[[#This Row],[TOTAL PUNTAJE]],0)</f>
        <v>3.75</v>
      </c>
      <c r="Q81" s="93">
        <f>IF(OR(H81="Dog Chow húmedo",H81="Cat Chow húmedo",H81="Fancy Feast",H81="Felix",H81="Proplan húmedo",H81="One húmedo",H81="Snack Abrazzos",H81="Snak Dentalife",H81="Arenilla Tidy Cat"),N81,0)</f>
        <v>0</v>
      </c>
      <c r="R81" s="93"/>
    </row>
    <row r="82" spans="1:18" x14ac:dyDescent="0.35">
      <c r="A82" s="93" t="s">
        <v>109</v>
      </c>
      <c r="B82" s="93" t="s">
        <v>259</v>
      </c>
      <c r="C82" s="90" t="s">
        <v>43</v>
      </c>
      <c r="D82" s="93" t="s">
        <v>120</v>
      </c>
      <c r="E82" s="94">
        <v>435253</v>
      </c>
      <c r="F82" s="93" t="s">
        <v>262</v>
      </c>
      <c r="G82" s="93" t="s">
        <v>100</v>
      </c>
      <c r="H82" s="93" t="s">
        <v>20</v>
      </c>
      <c r="I82" s="95"/>
      <c r="J82" s="94">
        <v>29672686</v>
      </c>
      <c r="K82" s="93" t="s">
        <v>213</v>
      </c>
      <c r="L82" s="93" t="str">
        <f>_xlfn.XLOOKUP(Tabla2__2[[#This Row],[CODIGO RUTA]],'DATA INFORME'!I:I,'DATA INFORME'!K:K)</f>
        <v>SI</v>
      </c>
      <c r="M82" s="93" t="str">
        <f>IF(Tabla2__2[[#This Row],[MYSTERY EFECTIVO]]="SI",_xlfn.XLOOKUP(Tabla2__2[[#This Row],[PREGUNTA]],ENCUESTA!G:G,ENCUESTA!D:D),"N/A")</f>
        <v>EJECUCIÓN DEL PDV</v>
      </c>
      <c r="N8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2" s="93" t="str">
        <f>_xlfn.XLOOKUP(Tabla2__2[[#This Row],[PREGUNTA]],ENCUESTA!G:G,ENCUESTA!H:H)</f>
        <v>SI</v>
      </c>
      <c r="P82" s="93">
        <f>IF(Tabla2__2[[#This Row],[RTA]]=Tabla2__2[[#This Row],[RTA CORRECTA]],Tabla2__2[[#This Row],[TOTAL PUNTAJE]],0)</f>
        <v>3.75</v>
      </c>
      <c r="Q82" s="93">
        <f>IF(OR(H82="Dog Chow húmedo",H82="Cat Chow húmedo",H82="Fancy Feast",H82="Felix",H82="Proplan húmedo",H82="One húmedo",H82="Snack Abrazzos",H82="Snak Dentalife",H82="Arenilla Tidy Cat"),N82,0)</f>
        <v>0</v>
      </c>
      <c r="R82" s="93"/>
    </row>
    <row r="83" spans="1:18" x14ac:dyDescent="0.35">
      <c r="A83" s="93" t="s">
        <v>109</v>
      </c>
      <c r="B83" s="93" t="s">
        <v>259</v>
      </c>
      <c r="C83" s="90" t="s">
        <v>43</v>
      </c>
      <c r="D83" s="93" t="s">
        <v>120</v>
      </c>
      <c r="E83" s="94">
        <v>435253</v>
      </c>
      <c r="F83" s="93" t="s">
        <v>262</v>
      </c>
      <c r="G83" s="93" t="s">
        <v>149</v>
      </c>
      <c r="H83" s="93" t="s">
        <v>20</v>
      </c>
      <c r="I83" s="95"/>
      <c r="J83" s="94">
        <v>29672686</v>
      </c>
      <c r="K83" s="93" t="s">
        <v>213</v>
      </c>
      <c r="L83" s="93" t="str">
        <f>_xlfn.XLOOKUP(Tabla2__2[[#This Row],[CODIGO RUTA]],'DATA INFORME'!I:I,'DATA INFORME'!K:K)</f>
        <v>SI</v>
      </c>
      <c r="M83" s="93" t="str">
        <f>IF(Tabla2__2[[#This Row],[MYSTERY EFECTIVO]]="SI",_xlfn.XLOOKUP(Tabla2__2[[#This Row],[PREGUNTA]],ENCUESTA!G:G,ENCUESTA!D:D),"N/A")</f>
        <v>EJECUCIÓN DEL PDV</v>
      </c>
      <c r="N8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3" s="93" t="str">
        <f>_xlfn.XLOOKUP(Tabla2__2[[#This Row],[PREGUNTA]],ENCUESTA!G:G,ENCUESTA!H:H)</f>
        <v>SI</v>
      </c>
      <c r="P83" s="93">
        <f>IF(Tabla2__2[[#This Row],[RTA]]=Tabla2__2[[#This Row],[RTA CORRECTA]],Tabla2__2[[#This Row],[TOTAL PUNTAJE]],0)</f>
        <v>3.75</v>
      </c>
      <c r="Q83" s="93">
        <f>IF(OR(H83="Dog Chow húmedo",H83="Cat Chow húmedo",H83="Fancy Feast",H83="Felix",H83="Proplan húmedo",H83="One húmedo",H83="Snack Abrazzos",H83="Snak Dentalife",H83="Arenilla Tidy Cat"),N83,0)</f>
        <v>0</v>
      </c>
      <c r="R83" s="93"/>
    </row>
    <row r="84" spans="1:18" x14ac:dyDescent="0.35">
      <c r="A84" s="93" t="s">
        <v>109</v>
      </c>
      <c r="B84" s="93" t="s">
        <v>259</v>
      </c>
      <c r="C84" s="90" t="s">
        <v>43</v>
      </c>
      <c r="D84" s="93" t="s">
        <v>120</v>
      </c>
      <c r="E84" s="94">
        <v>435253</v>
      </c>
      <c r="F84" s="93" t="s">
        <v>262</v>
      </c>
      <c r="G84" s="93" t="s">
        <v>130</v>
      </c>
      <c r="H84" s="93" t="s">
        <v>20</v>
      </c>
      <c r="I84" s="95"/>
      <c r="J84" s="94">
        <v>29672686</v>
      </c>
      <c r="K84" s="93" t="s">
        <v>213</v>
      </c>
      <c r="L84" s="93" t="str">
        <f>_xlfn.XLOOKUP(Tabla2__2[[#This Row],[CODIGO RUTA]],'DATA INFORME'!I:I,'DATA INFORME'!K:K)</f>
        <v>SI</v>
      </c>
      <c r="M84" s="93" t="str">
        <f>IF(Tabla2__2[[#This Row],[MYSTERY EFECTIVO]]="SI",_xlfn.XLOOKUP(Tabla2__2[[#This Row],[PREGUNTA]],ENCUESTA!G:G,ENCUESTA!D:D),"N/A")</f>
        <v>EJECUCIÓN DEL PDV</v>
      </c>
      <c r="N8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4" s="93" t="str">
        <f>_xlfn.XLOOKUP(Tabla2__2[[#This Row],[PREGUNTA]],ENCUESTA!G:G,ENCUESTA!H:H)</f>
        <v>SI</v>
      </c>
      <c r="P84" s="93">
        <f>IF(Tabla2__2[[#This Row],[RTA]]=Tabla2__2[[#This Row],[RTA CORRECTA]],Tabla2__2[[#This Row],[TOTAL PUNTAJE]],0)</f>
        <v>3.75</v>
      </c>
      <c r="Q84" s="93">
        <f>IF(OR(H84="Dog Chow húmedo",H84="Cat Chow húmedo",H84="Fancy Feast",H84="Felix",H84="Proplan húmedo",H84="One húmedo",H84="Snack Abrazzos",H84="Snak Dentalife",H84="Arenilla Tidy Cat"),N84,0)</f>
        <v>0</v>
      </c>
      <c r="R84" s="93"/>
    </row>
    <row r="85" spans="1:18" x14ac:dyDescent="0.35">
      <c r="A85" s="93" t="s">
        <v>109</v>
      </c>
      <c r="B85" s="93" t="s">
        <v>259</v>
      </c>
      <c r="C85" s="90" t="s">
        <v>43</v>
      </c>
      <c r="D85" s="93" t="s">
        <v>120</v>
      </c>
      <c r="E85" s="94">
        <v>435253</v>
      </c>
      <c r="F85" s="93" t="s">
        <v>262</v>
      </c>
      <c r="G85" s="93" t="s">
        <v>131</v>
      </c>
      <c r="H85" s="93" t="s">
        <v>20</v>
      </c>
      <c r="I85" s="95"/>
      <c r="J85" s="94">
        <v>29672686</v>
      </c>
      <c r="K85" s="93" t="s">
        <v>213</v>
      </c>
      <c r="L85" s="93" t="str">
        <f>_xlfn.XLOOKUP(Tabla2__2[[#This Row],[CODIGO RUTA]],'DATA INFORME'!I:I,'DATA INFORME'!K:K)</f>
        <v>SI</v>
      </c>
      <c r="M85" s="93" t="str">
        <f>IF(Tabla2__2[[#This Row],[MYSTERY EFECTIVO]]="SI",_xlfn.XLOOKUP(Tabla2__2[[#This Row],[PREGUNTA]],ENCUESTA!G:G,ENCUESTA!D:D),"N/A")</f>
        <v>EJECUCIÓN DEL PDV</v>
      </c>
      <c r="N8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5" s="93" t="str">
        <f>_xlfn.XLOOKUP(Tabla2__2[[#This Row],[PREGUNTA]],ENCUESTA!G:G,ENCUESTA!H:H)</f>
        <v>SI</v>
      </c>
      <c r="P85" s="93">
        <f>IF(Tabla2__2[[#This Row],[RTA]]=Tabla2__2[[#This Row],[RTA CORRECTA]],Tabla2__2[[#This Row],[TOTAL PUNTAJE]],0)</f>
        <v>3.75</v>
      </c>
      <c r="Q85" s="93">
        <f>IF(OR(H85="Dog Chow húmedo",H85="Cat Chow húmedo",H85="Fancy Feast",H85="Felix",H85="Proplan húmedo",H85="One húmedo",H85="Snack Abrazzos",H85="Snak Dentalife",H85="Arenilla Tidy Cat"),N85,0)</f>
        <v>0</v>
      </c>
      <c r="R85" s="93"/>
    </row>
    <row r="86" spans="1:18" x14ac:dyDescent="0.35">
      <c r="A86" s="93" t="s">
        <v>109</v>
      </c>
      <c r="B86" s="93" t="s">
        <v>259</v>
      </c>
      <c r="C86" s="90" t="s">
        <v>43</v>
      </c>
      <c r="D86" s="93" t="s">
        <v>120</v>
      </c>
      <c r="E86" s="94">
        <v>435253</v>
      </c>
      <c r="F86" s="93" t="s">
        <v>262</v>
      </c>
      <c r="G86" s="93" t="s">
        <v>101</v>
      </c>
      <c r="H86" s="93" t="s">
        <v>43</v>
      </c>
      <c r="I86" s="95"/>
      <c r="J86" s="94">
        <v>29672686</v>
      </c>
      <c r="K86" s="93" t="s">
        <v>213</v>
      </c>
      <c r="L86" s="93" t="str">
        <f>_xlfn.XLOOKUP(Tabla2__2[[#This Row],[CODIGO RUTA]],'DATA INFORME'!I:I,'DATA INFORME'!K:K)</f>
        <v>SI</v>
      </c>
      <c r="M86" s="93" t="str">
        <f>IF(Tabla2__2[[#This Row],[MYSTERY EFECTIVO]]="SI",_xlfn.XLOOKUP(Tabla2__2[[#This Row],[PREGUNTA]],ENCUESTA!G:G,ENCUESTA!D:D),"N/A")</f>
        <v>N/A</v>
      </c>
      <c r="N8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6" s="93">
        <f>_xlfn.XLOOKUP(Tabla2__2[[#This Row],[PREGUNTA]],ENCUESTA!G:G,ENCUESTA!H:H)</f>
        <v>0</v>
      </c>
      <c r="P86" s="93">
        <f>IF(Tabla2__2[[#This Row],[RTA]]=Tabla2__2[[#This Row],[RTA CORRECTA]],Tabla2__2[[#This Row],[TOTAL PUNTAJE]],0)</f>
        <v>0</v>
      </c>
      <c r="Q86" s="93">
        <f>IF(OR(H86="Dog Chow húmedo",H86="Cat Chow húmedo",H86="Fancy Feast",H86="Felix",H86="Proplan húmedo",H86="One húmedo",H86="Snack Abrazzos",H86="Snak Dentalife",H86="Arenilla Tidy Cat"),N86,0)</f>
        <v>0</v>
      </c>
      <c r="R86" s="93"/>
    </row>
    <row r="87" spans="1:18" x14ac:dyDescent="0.35">
      <c r="A87" s="93" t="s">
        <v>109</v>
      </c>
      <c r="B87" s="93" t="s">
        <v>259</v>
      </c>
      <c r="C87" s="90" t="s">
        <v>43</v>
      </c>
      <c r="D87" s="93" t="s">
        <v>120</v>
      </c>
      <c r="E87" s="94">
        <v>435253</v>
      </c>
      <c r="F87" s="93" t="s">
        <v>262</v>
      </c>
      <c r="G87" s="93" t="s">
        <v>137</v>
      </c>
      <c r="H87" s="93" t="s">
        <v>20</v>
      </c>
      <c r="I87" s="95"/>
      <c r="J87" s="94">
        <v>29672686</v>
      </c>
      <c r="K87" s="93" t="s">
        <v>213</v>
      </c>
      <c r="L87" s="93" t="str">
        <f>_xlfn.XLOOKUP(Tabla2__2[[#This Row],[CODIGO RUTA]],'DATA INFORME'!I:I,'DATA INFORME'!K:K)</f>
        <v>SI</v>
      </c>
      <c r="M87" s="93" t="str">
        <f>IF(Tabla2__2[[#This Row],[MYSTERY EFECTIVO]]="SI",_xlfn.XLOOKUP(Tabla2__2[[#This Row],[PREGUNTA]],ENCUESTA!G:G,ENCUESTA!D:D),"N/A")</f>
        <v>ACTIVIDADES DEL MES</v>
      </c>
      <c r="N8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87" s="93" t="str">
        <f>_xlfn.XLOOKUP(Tabla2__2[[#This Row],[PREGUNTA]],ENCUESTA!G:G,ENCUESTA!H:H)</f>
        <v>SI</v>
      </c>
      <c r="P87" s="93">
        <f>IF(Tabla2__2[[#This Row],[RTA]]=Tabla2__2[[#This Row],[RTA CORRECTA]],Tabla2__2[[#This Row],[TOTAL PUNTAJE]],0)</f>
        <v>20</v>
      </c>
      <c r="Q87" s="93">
        <f>IF(OR(H87="Dog Chow húmedo",H87="Cat Chow húmedo",H87="Fancy Feast",H87="Felix",H87="Proplan húmedo",H87="One húmedo",H87="Snack Abrazzos",H87="Snak Dentalife",H87="Arenilla Tidy Cat"),N87,0)</f>
        <v>0</v>
      </c>
      <c r="R87" s="93"/>
    </row>
    <row r="88" spans="1:18" x14ac:dyDescent="0.35">
      <c r="A88" s="93" t="s">
        <v>109</v>
      </c>
      <c r="B88" s="93" t="s">
        <v>259</v>
      </c>
      <c r="C88" s="90" t="s">
        <v>43</v>
      </c>
      <c r="D88" s="93" t="s">
        <v>120</v>
      </c>
      <c r="E88" s="94">
        <v>435253</v>
      </c>
      <c r="F88" s="93" t="s">
        <v>262</v>
      </c>
      <c r="G88" s="93" t="s">
        <v>95</v>
      </c>
      <c r="H88" s="93" t="s">
        <v>108</v>
      </c>
      <c r="I88" s="95"/>
      <c r="J88" s="94">
        <v>29672686</v>
      </c>
      <c r="K88" s="93" t="s">
        <v>213</v>
      </c>
      <c r="L88" s="93" t="str">
        <f>_xlfn.XLOOKUP(Tabla2__2[[#This Row],[CODIGO RUTA]],'DATA INFORME'!I:I,'DATA INFORME'!K:K)</f>
        <v>SI</v>
      </c>
      <c r="M88" s="93" t="str">
        <f>IF(Tabla2__2[[#This Row],[MYSTERY EFECTIVO]]="SI",_xlfn.XLOOKUP(Tabla2__2[[#This Row],[PREGUNTA]],ENCUESTA!G:G,ENCUESTA!D:D),"N/A")</f>
        <v>PRESENTACIÓN PERSONAL</v>
      </c>
      <c r="N8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88" s="93" t="str">
        <f>_xlfn.XLOOKUP(Tabla2__2[[#This Row],[PREGUNTA]],ENCUESTA!G:G,ENCUESTA!H:H)</f>
        <v>NO</v>
      </c>
      <c r="P88" s="93">
        <f>IF(Tabla2__2[[#This Row],[RTA]]=Tabla2__2[[#This Row],[RTA CORRECTA]],Tabla2__2[[#This Row],[TOTAL PUNTAJE]],0)</f>
        <v>1</v>
      </c>
      <c r="Q88" s="93">
        <f>IF(OR(H88="Dog Chow húmedo",H88="Cat Chow húmedo",H88="Fancy Feast",H88="Felix",H88="Proplan húmedo",H88="One húmedo",H88="Snack Abrazzos",H88="Snak Dentalife",H88="Arenilla Tidy Cat"),N88,0)</f>
        <v>0</v>
      </c>
      <c r="R88" s="93"/>
    </row>
    <row r="89" spans="1:18" x14ac:dyDescent="0.35">
      <c r="A89" s="93" t="s">
        <v>109</v>
      </c>
      <c r="B89" s="93" t="s">
        <v>139</v>
      </c>
      <c r="C89" s="90" t="s">
        <v>43</v>
      </c>
      <c r="D89" s="93" t="s">
        <v>143</v>
      </c>
      <c r="E89" s="94">
        <v>355519</v>
      </c>
      <c r="F89" s="93" t="s">
        <v>215</v>
      </c>
      <c r="G89" s="93" t="s">
        <v>148</v>
      </c>
      <c r="H89" s="93" t="s">
        <v>20</v>
      </c>
      <c r="I89" s="95"/>
      <c r="J89" s="94">
        <v>29606660</v>
      </c>
      <c r="K89" s="93" t="s">
        <v>142</v>
      </c>
      <c r="L89" s="93" t="str">
        <f>_xlfn.XLOOKUP(Tabla2__2[[#This Row],[CODIGO RUTA]],'DATA INFORME'!I:I,'DATA INFORME'!K:K)</f>
        <v>SI</v>
      </c>
      <c r="M89" s="93" t="str">
        <f>IF(Tabla2__2[[#This Row],[MYSTERY EFECTIVO]]="SI",_xlfn.XLOOKUP(Tabla2__2[[#This Row],[PREGUNTA]],ENCUESTA!G:G,ENCUESTA!D:D),"N/A")</f>
        <v>EJECUCIÓN DEL PDV</v>
      </c>
      <c r="N8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9" s="93" t="str">
        <f>_xlfn.XLOOKUP(Tabla2__2[[#This Row],[PREGUNTA]],ENCUESTA!G:G,ENCUESTA!H:H)</f>
        <v>SI</v>
      </c>
      <c r="P89" s="93">
        <f>IF(Tabla2__2[[#This Row],[RTA]]=Tabla2__2[[#This Row],[RTA CORRECTA]],Tabla2__2[[#This Row],[TOTAL PUNTAJE]],0)</f>
        <v>3.75</v>
      </c>
      <c r="Q89" s="93">
        <f>IF(OR(H89="Dog Chow húmedo",H89="Cat Chow húmedo",H89="Fancy Feast",H89="Felix",H89="Proplan húmedo",H89="One húmedo",H89="Snack Abrazzos",H89="Snak Dentalife",H89="Arenilla Tidy Cat"),N89,0)</f>
        <v>0</v>
      </c>
      <c r="R89" s="93"/>
    </row>
    <row r="90" spans="1:18" x14ac:dyDescent="0.35">
      <c r="A90" s="93" t="s">
        <v>109</v>
      </c>
      <c r="B90" s="93" t="s">
        <v>132</v>
      </c>
      <c r="C90" s="90" t="s">
        <v>43</v>
      </c>
      <c r="D90" s="93" t="s">
        <v>123</v>
      </c>
      <c r="E90" s="94">
        <v>111523</v>
      </c>
      <c r="F90" s="93" t="s">
        <v>238</v>
      </c>
      <c r="G90" s="93" t="s">
        <v>131</v>
      </c>
      <c r="H90" s="93" t="s">
        <v>20</v>
      </c>
      <c r="I90" s="95"/>
      <c r="J90" s="94">
        <v>29620816</v>
      </c>
      <c r="K90" s="93" t="s">
        <v>126</v>
      </c>
      <c r="L90" s="93" t="str">
        <f>_xlfn.XLOOKUP(Tabla2__2[[#This Row],[CODIGO RUTA]],'DATA INFORME'!I:I,'DATA INFORME'!K:K)</f>
        <v>SI</v>
      </c>
      <c r="M90" s="93" t="str">
        <f>IF(Tabla2__2[[#This Row],[MYSTERY EFECTIVO]]="SI",_xlfn.XLOOKUP(Tabla2__2[[#This Row],[PREGUNTA]],ENCUESTA!G:G,ENCUESTA!D:D),"N/A")</f>
        <v>EJECUCIÓN DEL PDV</v>
      </c>
      <c r="N9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0" s="93" t="str">
        <f>_xlfn.XLOOKUP(Tabla2__2[[#This Row],[PREGUNTA]],ENCUESTA!G:G,ENCUESTA!H:H)</f>
        <v>SI</v>
      </c>
      <c r="P90" s="93">
        <f>IF(Tabla2__2[[#This Row],[RTA]]=Tabla2__2[[#This Row],[RTA CORRECTA]],Tabla2__2[[#This Row],[TOTAL PUNTAJE]],0)</f>
        <v>3.75</v>
      </c>
      <c r="Q90" s="93">
        <f>IF(OR(H90="Dog Chow húmedo",H90="Cat Chow húmedo",H90="Fancy Feast",H90="Felix",H90="Proplan húmedo",H90="One húmedo",H90="Snack Abrazzos",H90="Snak Dentalife",H90="Arenilla Tidy Cat"),N90,0)</f>
        <v>0</v>
      </c>
      <c r="R90" s="93"/>
    </row>
    <row r="91" spans="1:18" x14ac:dyDescent="0.35">
      <c r="A91" s="93" t="s">
        <v>109</v>
      </c>
      <c r="B91" s="93" t="s">
        <v>132</v>
      </c>
      <c r="C91" s="90" t="s">
        <v>43</v>
      </c>
      <c r="D91" s="93" t="s">
        <v>123</v>
      </c>
      <c r="E91" s="94">
        <v>111523</v>
      </c>
      <c r="F91" s="93" t="s">
        <v>238</v>
      </c>
      <c r="G91" s="93" t="s">
        <v>149</v>
      </c>
      <c r="H91" s="93" t="s">
        <v>20</v>
      </c>
      <c r="I91" s="95"/>
      <c r="J91" s="94">
        <v>29620816</v>
      </c>
      <c r="K91" s="93" t="s">
        <v>126</v>
      </c>
      <c r="L91" s="93" t="str">
        <f>_xlfn.XLOOKUP(Tabla2__2[[#This Row],[CODIGO RUTA]],'DATA INFORME'!I:I,'DATA INFORME'!K:K)</f>
        <v>SI</v>
      </c>
      <c r="M91" s="93" t="str">
        <f>IF(Tabla2__2[[#This Row],[MYSTERY EFECTIVO]]="SI",_xlfn.XLOOKUP(Tabla2__2[[#This Row],[PREGUNTA]],ENCUESTA!G:G,ENCUESTA!D:D),"N/A")</f>
        <v>EJECUCIÓN DEL PDV</v>
      </c>
      <c r="N9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1" s="93" t="str">
        <f>_xlfn.XLOOKUP(Tabla2__2[[#This Row],[PREGUNTA]],ENCUESTA!G:G,ENCUESTA!H:H)</f>
        <v>SI</v>
      </c>
      <c r="P91" s="93">
        <f>IF(Tabla2__2[[#This Row],[RTA]]=Tabla2__2[[#This Row],[RTA CORRECTA]],Tabla2__2[[#This Row],[TOTAL PUNTAJE]],0)</f>
        <v>3.75</v>
      </c>
      <c r="Q91" s="93">
        <f>IF(OR(H91="Dog Chow húmedo",H91="Cat Chow húmedo",H91="Fancy Feast",H91="Felix",H91="Proplan húmedo",H91="One húmedo",H91="Snack Abrazzos",H91="Snak Dentalife",H91="Arenilla Tidy Cat"),N91,0)</f>
        <v>0</v>
      </c>
      <c r="R91" s="93"/>
    </row>
    <row r="92" spans="1:18" x14ac:dyDescent="0.35">
      <c r="A92" s="93" t="s">
        <v>109</v>
      </c>
      <c r="B92" s="93" t="s">
        <v>132</v>
      </c>
      <c r="C92" s="90" t="s">
        <v>14</v>
      </c>
      <c r="D92" s="93" t="s">
        <v>123</v>
      </c>
      <c r="E92" s="94">
        <v>424831</v>
      </c>
      <c r="F92" s="93" t="s">
        <v>231</v>
      </c>
      <c r="G92" s="93" t="s">
        <v>131</v>
      </c>
      <c r="H92" s="93" t="s">
        <v>20</v>
      </c>
      <c r="I92" s="95"/>
      <c r="J92" s="94">
        <v>29620543</v>
      </c>
      <c r="K92" s="93" t="s">
        <v>126</v>
      </c>
      <c r="L92" s="93" t="str">
        <f>_xlfn.XLOOKUP(Tabla2__2[[#This Row],[CODIGO RUTA]],'DATA INFORME'!I:I,'DATA INFORME'!K:K)</f>
        <v>SI</v>
      </c>
      <c r="M92" s="93" t="str">
        <f>IF(Tabla2__2[[#This Row],[MYSTERY EFECTIVO]]="SI",_xlfn.XLOOKUP(Tabla2__2[[#This Row],[PREGUNTA]],ENCUESTA!G:G,ENCUESTA!D:D),"N/A")</f>
        <v>EJECUCIÓN DEL PDV</v>
      </c>
      <c r="N9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2" s="93" t="str">
        <f>_xlfn.XLOOKUP(Tabla2__2[[#This Row],[PREGUNTA]],ENCUESTA!G:G,ENCUESTA!H:H)</f>
        <v>SI</v>
      </c>
      <c r="P92" s="93">
        <f>IF(Tabla2__2[[#This Row],[RTA]]=Tabla2__2[[#This Row],[RTA CORRECTA]],Tabla2__2[[#This Row],[TOTAL PUNTAJE]],0)</f>
        <v>3.75</v>
      </c>
      <c r="Q92" s="93">
        <f>IF(OR(H92="Dog Chow húmedo",H92="Cat Chow húmedo",H92="Fancy Feast",H92="Felix",H92="Proplan húmedo",H92="One húmedo",H92="Snack Abrazzos",H92="Snak Dentalife",H92="Arenilla Tidy Cat"),N92,0)</f>
        <v>0</v>
      </c>
      <c r="R92" s="93"/>
    </row>
    <row r="93" spans="1:18" x14ac:dyDescent="0.35">
      <c r="A93" s="93" t="s">
        <v>109</v>
      </c>
      <c r="B93" s="93" t="s">
        <v>132</v>
      </c>
      <c r="C93" s="90" t="s">
        <v>14</v>
      </c>
      <c r="D93" s="93" t="s">
        <v>123</v>
      </c>
      <c r="E93" s="94">
        <v>424831</v>
      </c>
      <c r="F93" s="93" t="s">
        <v>231</v>
      </c>
      <c r="G93" s="93" t="s">
        <v>101</v>
      </c>
      <c r="H93" s="93" t="s">
        <v>14</v>
      </c>
      <c r="I93" s="95"/>
      <c r="J93" s="94">
        <v>29620543</v>
      </c>
      <c r="K93" s="93" t="s">
        <v>126</v>
      </c>
      <c r="L93" s="93" t="str">
        <f>_xlfn.XLOOKUP(Tabla2__2[[#This Row],[CODIGO RUTA]],'DATA INFORME'!I:I,'DATA INFORME'!K:K)</f>
        <v>SI</v>
      </c>
      <c r="M93" s="93" t="str">
        <f>IF(Tabla2__2[[#This Row],[MYSTERY EFECTIVO]]="SI",_xlfn.XLOOKUP(Tabla2__2[[#This Row],[PREGUNTA]],ENCUESTA!G:G,ENCUESTA!D:D),"N/A")</f>
        <v>N/A</v>
      </c>
      <c r="N9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3" s="93">
        <f>_xlfn.XLOOKUP(Tabla2__2[[#This Row],[PREGUNTA]],ENCUESTA!G:G,ENCUESTA!H:H)</f>
        <v>0</v>
      </c>
      <c r="P93" s="93">
        <f>IF(Tabla2__2[[#This Row],[RTA]]=Tabla2__2[[#This Row],[RTA CORRECTA]],Tabla2__2[[#This Row],[TOTAL PUNTAJE]],0)</f>
        <v>0</v>
      </c>
      <c r="Q93" s="93">
        <f>IF(OR(H93="Dog Chow húmedo",H93="Cat Chow húmedo",H93="Fancy Feast",H93="Felix",H93="Proplan húmedo",H93="One húmedo",H93="Snack Abrazzos",H93="Snak Dentalife",H93="Arenilla Tidy Cat"),N93,0)</f>
        <v>0</v>
      </c>
      <c r="R93" s="93"/>
    </row>
    <row r="94" spans="1:18" x14ac:dyDescent="0.35">
      <c r="A94" s="93" t="s">
        <v>109</v>
      </c>
      <c r="B94" s="93" t="s">
        <v>132</v>
      </c>
      <c r="C94" s="90" t="s">
        <v>14</v>
      </c>
      <c r="D94" s="93" t="s">
        <v>123</v>
      </c>
      <c r="E94" s="94">
        <v>424831</v>
      </c>
      <c r="F94" s="93" t="s">
        <v>231</v>
      </c>
      <c r="G94" s="93" t="s">
        <v>127</v>
      </c>
      <c r="H94" s="93" t="s">
        <v>20</v>
      </c>
      <c r="I94" s="95"/>
      <c r="J94" s="94">
        <v>29620543</v>
      </c>
      <c r="K94" s="93" t="s">
        <v>126</v>
      </c>
      <c r="L94" s="93" t="str">
        <f>_xlfn.XLOOKUP(Tabla2__2[[#This Row],[CODIGO RUTA]],'DATA INFORME'!I:I,'DATA INFORME'!K:K)</f>
        <v>SI</v>
      </c>
      <c r="M94" s="93" t="str">
        <f>IF(Tabla2__2[[#This Row],[MYSTERY EFECTIVO]]="SI",_xlfn.XLOOKUP(Tabla2__2[[#This Row],[PREGUNTA]],ENCUESTA!G:G,ENCUESTA!D:D),"N/A")</f>
        <v>ACTIVIDADES DEL MES</v>
      </c>
      <c r="N9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4" s="93" t="str">
        <f>_xlfn.XLOOKUP(Tabla2__2[[#This Row],[PREGUNTA]],ENCUESTA!G:G,ENCUESTA!H:H)</f>
        <v>SI</v>
      </c>
      <c r="P94" s="93">
        <f>IF(Tabla2__2[[#This Row],[RTA]]=Tabla2__2[[#This Row],[RTA CORRECTA]],Tabla2__2[[#This Row],[TOTAL PUNTAJE]],0)</f>
        <v>8</v>
      </c>
      <c r="Q94" s="93">
        <f>IF(OR(H94="Dog Chow húmedo",H94="Cat Chow húmedo",H94="Fancy Feast",H94="Felix",H94="Proplan húmedo",H94="One húmedo",H94="Snack Abrazzos",H94="Snak Dentalife",H94="Arenilla Tidy Cat"),N94,0)</f>
        <v>0</v>
      </c>
      <c r="R94" s="93"/>
    </row>
    <row r="95" spans="1:18" x14ac:dyDescent="0.35">
      <c r="A95" s="93" t="s">
        <v>109</v>
      </c>
      <c r="B95" s="93" t="s">
        <v>132</v>
      </c>
      <c r="C95" s="90" t="s">
        <v>14</v>
      </c>
      <c r="D95" s="93" t="s">
        <v>123</v>
      </c>
      <c r="E95" s="94">
        <v>424831</v>
      </c>
      <c r="F95" s="93" t="s">
        <v>231</v>
      </c>
      <c r="G95" s="93" t="s">
        <v>118</v>
      </c>
      <c r="H95" s="93" t="s">
        <v>20</v>
      </c>
      <c r="I95" s="95"/>
      <c r="J95" s="94">
        <v>29620543</v>
      </c>
      <c r="K95" s="93" t="s">
        <v>126</v>
      </c>
      <c r="L95" s="93" t="str">
        <f>_xlfn.XLOOKUP(Tabla2__2[[#This Row],[CODIGO RUTA]],'DATA INFORME'!I:I,'DATA INFORME'!K:K)</f>
        <v>SI</v>
      </c>
      <c r="M95" s="93" t="str">
        <f>IF(Tabla2__2[[#This Row],[MYSTERY EFECTIVO]]="SI",_xlfn.XLOOKUP(Tabla2__2[[#This Row],[PREGUNTA]],ENCUESTA!G:G,ENCUESTA!D:D),"N/A")</f>
        <v>ACTIVIDADES DEL MES</v>
      </c>
      <c r="N9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5" s="93" t="str">
        <f>_xlfn.XLOOKUP(Tabla2__2[[#This Row],[PREGUNTA]],ENCUESTA!G:G,ENCUESTA!H:H)</f>
        <v>SI</v>
      </c>
      <c r="P95" s="93">
        <f>IF(Tabla2__2[[#This Row],[RTA]]=Tabla2__2[[#This Row],[RTA CORRECTA]],Tabla2__2[[#This Row],[TOTAL PUNTAJE]],0)</f>
        <v>8</v>
      </c>
      <c r="Q95" s="93">
        <f>IF(OR(H95="Dog Chow húmedo",H95="Cat Chow húmedo",H95="Fancy Feast",H95="Felix",H95="Proplan húmedo",H95="One húmedo",H95="Snack Abrazzos",H95="Snak Dentalife",H95="Arenilla Tidy Cat"),N95,0)</f>
        <v>0</v>
      </c>
      <c r="R95" s="93"/>
    </row>
    <row r="96" spans="1:18" x14ac:dyDescent="0.35">
      <c r="A96" s="93" t="s">
        <v>109</v>
      </c>
      <c r="B96" s="93" t="s">
        <v>132</v>
      </c>
      <c r="C96" s="90" t="s">
        <v>14</v>
      </c>
      <c r="D96" s="93" t="s">
        <v>123</v>
      </c>
      <c r="E96" s="94">
        <v>424831</v>
      </c>
      <c r="F96" s="93" t="s">
        <v>231</v>
      </c>
      <c r="G96" s="93" t="s">
        <v>119</v>
      </c>
      <c r="H96" s="93" t="s">
        <v>20</v>
      </c>
      <c r="I96" s="95"/>
      <c r="J96" s="94">
        <v>29620543</v>
      </c>
      <c r="K96" s="93" t="s">
        <v>126</v>
      </c>
      <c r="L96" s="93" t="str">
        <f>_xlfn.XLOOKUP(Tabla2__2[[#This Row],[CODIGO RUTA]],'DATA INFORME'!I:I,'DATA INFORME'!K:K)</f>
        <v>SI</v>
      </c>
      <c r="M96" s="93" t="str">
        <f>IF(Tabla2__2[[#This Row],[MYSTERY EFECTIVO]]="SI",_xlfn.XLOOKUP(Tabla2__2[[#This Row],[PREGUNTA]],ENCUESTA!G:G,ENCUESTA!D:D),"N/A")</f>
        <v>ACTIVIDADES DEL MES</v>
      </c>
      <c r="N9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6" s="93" t="str">
        <f>_xlfn.XLOOKUP(Tabla2__2[[#This Row],[PREGUNTA]],ENCUESTA!G:G,ENCUESTA!H:H)</f>
        <v>SI</v>
      </c>
      <c r="P96" s="93">
        <f>IF(Tabla2__2[[#This Row],[RTA]]=Tabla2__2[[#This Row],[RTA CORRECTA]],Tabla2__2[[#This Row],[TOTAL PUNTAJE]],0)</f>
        <v>8</v>
      </c>
      <c r="Q96" s="93">
        <f>IF(OR(H96="Dog Chow húmedo",H96="Cat Chow húmedo",H96="Fancy Feast",H96="Felix",H96="Proplan húmedo",H96="One húmedo",H96="Snack Abrazzos",H96="Snak Dentalife",H96="Arenilla Tidy Cat"),N96,0)</f>
        <v>0</v>
      </c>
      <c r="R96" s="93"/>
    </row>
    <row r="97" spans="1:18" x14ac:dyDescent="0.35">
      <c r="A97" s="93" t="s">
        <v>109</v>
      </c>
      <c r="B97" s="93" t="s">
        <v>132</v>
      </c>
      <c r="C97" s="90" t="s">
        <v>14</v>
      </c>
      <c r="D97" s="93" t="s">
        <v>123</v>
      </c>
      <c r="E97" s="94">
        <v>424831</v>
      </c>
      <c r="F97" s="93" t="s">
        <v>231</v>
      </c>
      <c r="G97" s="93" t="s">
        <v>133</v>
      </c>
      <c r="H97" s="93" t="s">
        <v>20</v>
      </c>
      <c r="I97" s="95"/>
      <c r="J97" s="94">
        <v>29620543</v>
      </c>
      <c r="K97" s="93" t="s">
        <v>126</v>
      </c>
      <c r="L97" s="93" t="str">
        <f>_xlfn.XLOOKUP(Tabla2__2[[#This Row],[CODIGO RUTA]],'DATA INFORME'!I:I,'DATA INFORME'!K:K)</f>
        <v>SI</v>
      </c>
      <c r="M97" s="93" t="str">
        <f>IF(Tabla2__2[[#This Row],[MYSTERY EFECTIVO]]="SI",_xlfn.XLOOKUP(Tabla2__2[[#This Row],[PREGUNTA]],ENCUESTA!G:G,ENCUESTA!D:D),"N/A")</f>
        <v>ACTIVIDADES DEL MES</v>
      </c>
      <c r="N9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7" s="93" t="str">
        <f>_xlfn.XLOOKUP(Tabla2__2[[#This Row],[PREGUNTA]],ENCUESTA!G:G,ENCUESTA!H:H)</f>
        <v>SI</v>
      </c>
      <c r="P97" s="93">
        <f>IF(Tabla2__2[[#This Row],[RTA]]=Tabla2__2[[#This Row],[RTA CORRECTA]],Tabla2__2[[#This Row],[TOTAL PUNTAJE]],0)</f>
        <v>8</v>
      </c>
      <c r="Q97" s="93">
        <f>IF(OR(H97="Dog Chow húmedo",H97="Cat Chow húmedo",H97="Fancy Feast",H97="Felix",H97="Proplan húmedo",H97="One húmedo",H97="Snack Abrazzos",H97="Snak Dentalife",H97="Arenilla Tidy Cat"),N97,0)</f>
        <v>0</v>
      </c>
      <c r="R97" s="93"/>
    </row>
    <row r="98" spans="1:18" x14ac:dyDescent="0.35">
      <c r="A98" s="93" t="s">
        <v>109</v>
      </c>
      <c r="B98" s="93" t="s">
        <v>132</v>
      </c>
      <c r="C98" s="90" t="s">
        <v>14</v>
      </c>
      <c r="D98" s="93" t="s">
        <v>123</v>
      </c>
      <c r="E98" s="94">
        <v>424831</v>
      </c>
      <c r="F98" s="93" t="s">
        <v>231</v>
      </c>
      <c r="G98" s="93" t="s">
        <v>134</v>
      </c>
      <c r="H98" s="93" t="s">
        <v>20</v>
      </c>
      <c r="I98" s="95"/>
      <c r="J98" s="94">
        <v>29620543</v>
      </c>
      <c r="K98" s="93" t="s">
        <v>126</v>
      </c>
      <c r="L98" s="93" t="str">
        <f>_xlfn.XLOOKUP(Tabla2__2[[#This Row],[CODIGO RUTA]],'DATA INFORME'!I:I,'DATA INFORME'!K:K)</f>
        <v>SI</v>
      </c>
      <c r="M98" s="93" t="str">
        <f>IF(Tabla2__2[[#This Row],[MYSTERY EFECTIVO]]="SI",_xlfn.XLOOKUP(Tabla2__2[[#This Row],[PREGUNTA]],ENCUESTA!G:G,ENCUESTA!D:D),"N/A")</f>
        <v>ACTIVIDADES DEL MES</v>
      </c>
      <c r="N9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98" s="93" t="str">
        <f>_xlfn.XLOOKUP(Tabla2__2[[#This Row],[PREGUNTA]],ENCUESTA!G:G,ENCUESTA!H:H)</f>
        <v>SI</v>
      </c>
      <c r="P98" s="93">
        <f>IF(Tabla2__2[[#This Row],[RTA]]=Tabla2__2[[#This Row],[RTA CORRECTA]],Tabla2__2[[#This Row],[TOTAL PUNTAJE]],0)</f>
        <v>8</v>
      </c>
      <c r="Q98" s="93">
        <f>IF(OR(H98="Dog Chow húmedo",H98="Cat Chow húmedo",H98="Fancy Feast",H98="Felix",H98="Proplan húmedo",H98="One húmedo",H98="Snack Abrazzos",H98="Snak Dentalife",H98="Arenilla Tidy Cat"),N98,0)</f>
        <v>0</v>
      </c>
      <c r="R98" s="93"/>
    </row>
    <row r="99" spans="1:18" x14ac:dyDescent="0.35">
      <c r="A99" s="93" t="s">
        <v>109</v>
      </c>
      <c r="B99" s="93" t="s">
        <v>132</v>
      </c>
      <c r="C99" s="90" t="s">
        <v>14</v>
      </c>
      <c r="D99" s="93" t="s">
        <v>123</v>
      </c>
      <c r="E99" s="94">
        <v>424831</v>
      </c>
      <c r="F99" s="93" t="s">
        <v>231</v>
      </c>
      <c r="G99" s="93" t="s">
        <v>102</v>
      </c>
      <c r="H99" s="93" t="s">
        <v>20</v>
      </c>
      <c r="I99" s="95"/>
      <c r="J99" s="94">
        <v>29620543</v>
      </c>
      <c r="K99" s="93" t="s">
        <v>126</v>
      </c>
      <c r="L99" s="93" t="str">
        <f>_xlfn.XLOOKUP(Tabla2__2[[#This Row],[CODIGO RUTA]],'DATA INFORME'!I:I,'DATA INFORME'!K:K)</f>
        <v>SI</v>
      </c>
      <c r="M99" s="93" t="str">
        <f>IF(Tabla2__2[[#This Row],[MYSTERY EFECTIVO]]="SI",_xlfn.XLOOKUP(Tabla2__2[[#This Row],[PREGUNTA]],ENCUESTA!G:G,ENCUESTA!D:D),"N/A")</f>
        <v>N/A</v>
      </c>
      <c r="N9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9" s="93">
        <f>_xlfn.XLOOKUP(Tabla2__2[[#This Row],[PREGUNTA]],ENCUESTA!G:G,ENCUESTA!H:H)</f>
        <v>0</v>
      </c>
      <c r="P99" s="93">
        <f>IF(Tabla2__2[[#This Row],[RTA]]=Tabla2__2[[#This Row],[RTA CORRECTA]],Tabla2__2[[#This Row],[TOTAL PUNTAJE]],0)</f>
        <v>0</v>
      </c>
      <c r="Q99" s="93">
        <f>IF(OR(H99="Dog Chow húmedo",H99="Cat Chow húmedo",H99="Fancy Feast",H99="Felix",H99="Proplan húmedo",H99="One húmedo",H99="Snack Abrazzos",H99="Snak Dentalife",H99="Arenilla Tidy Cat"),N99,0)</f>
        <v>0</v>
      </c>
      <c r="R99" s="93"/>
    </row>
    <row r="100" spans="1:18" x14ac:dyDescent="0.35">
      <c r="A100" s="93" t="s">
        <v>109</v>
      </c>
      <c r="B100" s="93" t="s">
        <v>132</v>
      </c>
      <c r="C100" s="90" t="s">
        <v>14</v>
      </c>
      <c r="D100" s="93" t="s">
        <v>123</v>
      </c>
      <c r="E100" s="94">
        <v>424831</v>
      </c>
      <c r="F100" s="93" t="s">
        <v>231</v>
      </c>
      <c r="G100" s="93" t="s">
        <v>103</v>
      </c>
      <c r="H100" s="93" t="s">
        <v>236</v>
      </c>
      <c r="I100" s="95"/>
      <c r="J100" s="94">
        <v>29620543</v>
      </c>
      <c r="K100" s="93" t="s">
        <v>126</v>
      </c>
      <c r="L100" s="93" t="str">
        <f>_xlfn.XLOOKUP(Tabla2__2[[#This Row],[CODIGO RUTA]],'DATA INFORME'!I:I,'DATA INFORME'!K:K)</f>
        <v>SI</v>
      </c>
      <c r="M100" s="93" t="str">
        <f>IF(Tabla2__2[[#This Row],[MYSTERY EFECTIVO]]="SI",_xlfn.XLOOKUP(Tabla2__2[[#This Row],[PREGUNTA]],ENCUESTA!G:G,ENCUESTA!D:D),"N/A")</f>
        <v>N/A</v>
      </c>
      <c r="N10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0" s="93">
        <f>_xlfn.XLOOKUP(Tabla2__2[[#This Row],[PREGUNTA]],ENCUESTA!G:G,ENCUESTA!H:H)</f>
        <v>0</v>
      </c>
      <c r="P100" s="93">
        <f>IF(Tabla2__2[[#This Row],[RTA]]=Tabla2__2[[#This Row],[RTA CORRECTA]],Tabla2__2[[#This Row],[TOTAL PUNTAJE]],0)</f>
        <v>0</v>
      </c>
      <c r="Q100" s="93">
        <f>IF(OR(H100="Dog Chow húmedo",H100="Cat Chow húmedo",H100="Fancy Feast",H100="Felix",H100="Proplan húmedo",H100="One húmedo",H100="Snack Abrazzos",H100="Snak Dentalife",H100="Arenilla Tidy Cat"),N100,0)</f>
        <v>0</v>
      </c>
      <c r="R100" s="93"/>
    </row>
    <row r="101" spans="1:18" x14ac:dyDescent="0.35">
      <c r="A101" s="93" t="s">
        <v>109</v>
      </c>
      <c r="B101" s="93" t="s">
        <v>132</v>
      </c>
      <c r="C101" s="90" t="s">
        <v>43</v>
      </c>
      <c r="D101" s="93" t="s">
        <v>123</v>
      </c>
      <c r="E101" s="94">
        <v>111523</v>
      </c>
      <c r="F101" s="93" t="s">
        <v>238</v>
      </c>
      <c r="G101" s="93" t="s">
        <v>87</v>
      </c>
      <c r="H101" s="93" t="s">
        <v>20</v>
      </c>
      <c r="I101" s="95"/>
      <c r="J101" s="94">
        <v>29620816</v>
      </c>
      <c r="K101" s="93" t="s">
        <v>126</v>
      </c>
      <c r="L101" s="93" t="str">
        <f>_xlfn.XLOOKUP(Tabla2__2[[#This Row],[CODIGO RUTA]],'DATA INFORME'!I:I,'DATA INFORME'!K:K)</f>
        <v>SI</v>
      </c>
      <c r="M101" s="93" t="str">
        <f>IF(Tabla2__2[[#This Row],[MYSTERY EFECTIVO]]="SI",_xlfn.XLOOKUP(Tabla2__2[[#This Row],[PREGUNTA]],ENCUESTA!G:G,ENCUESTA!D:D),"N/A")</f>
        <v>N/A</v>
      </c>
      <c r="N10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1" s="93">
        <f>_xlfn.XLOOKUP(Tabla2__2[[#This Row],[PREGUNTA]],ENCUESTA!G:G,ENCUESTA!H:H)</f>
        <v>0</v>
      </c>
      <c r="P101" s="93">
        <f>IF(Tabla2__2[[#This Row],[RTA]]=Tabla2__2[[#This Row],[RTA CORRECTA]],Tabla2__2[[#This Row],[TOTAL PUNTAJE]],0)</f>
        <v>0</v>
      </c>
      <c r="Q101" s="93">
        <f>IF(OR(H101="Dog Chow húmedo",H101="Cat Chow húmedo",H101="Fancy Feast",H101="Felix",H101="Proplan húmedo",H101="One húmedo",H101="Snack Abrazzos",H101="Snak Dentalife",H101="Arenilla Tidy Cat"),N101,0)</f>
        <v>0</v>
      </c>
      <c r="R101" s="93"/>
    </row>
    <row r="102" spans="1:18" x14ac:dyDescent="0.35">
      <c r="A102" s="93" t="s">
        <v>109</v>
      </c>
      <c r="B102" s="93" t="s">
        <v>132</v>
      </c>
      <c r="C102" s="90" t="s">
        <v>43</v>
      </c>
      <c r="D102" s="93" t="s">
        <v>123</v>
      </c>
      <c r="E102" s="94">
        <v>111523</v>
      </c>
      <c r="F102" s="93" t="s">
        <v>238</v>
      </c>
      <c r="G102" s="93" t="s">
        <v>88</v>
      </c>
      <c r="H102" s="93" t="s">
        <v>20</v>
      </c>
      <c r="I102" s="95"/>
      <c r="J102" s="94">
        <v>29620816</v>
      </c>
      <c r="K102" s="93" t="s">
        <v>126</v>
      </c>
      <c r="L102" s="93" t="str">
        <f>_xlfn.XLOOKUP(Tabla2__2[[#This Row],[CODIGO RUTA]],'DATA INFORME'!I:I,'DATA INFORME'!K:K)</f>
        <v>SI</v>
      </c>
      <c r="M102" s="93" t="str">
        <f>IF(Tabla2__2[[#This Row],[MYSTERY EFECTIVO]]="SI",_xlfn.XLOOKUP(Tabla2__2[[#This Row],[PREGUNTA]],ENCUESTA!G:G,ENCUESTA!D:D),"N/A")</f>
        <v>HORARIO</v>
      </c>
      <c r="N10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02" s="93" t="str">
        <f>_xlfn.XLOOKUP(Tabla2__2[[#This Row],[PREGUNTA]],ENCUESTA!G:G,ENCUESTA!H:H)</f>
        <v>SI</v>
      </c>
      <c r="P102" s="93">
        <f>IF(Tabla2__2[[#This Row],[RTA]]=Tabla2__2[[#This Row],[RTA CORRECTA]],Tabla2__2[[#This Row],[TOTAL PUNTAJE]],0)</f>
        <v>20</v>
      </c>
      <c r="Q102" s="93">
        <f>IF(OR(H102="Dog Chow húmedo",H102="Cat Chow húmedo",H102="Fancy Feast",H102="Felix",H102="Proplan húmedo",H102="One húmedo",H102="Snack Abrazzos",H102="Snak Dentalife",H102="Arenilla Tidy Cat"),N102,0)</f>
        <v>0</v>
      </c>
      <c r="R102" s="93"/>
    </row>
    <row r="103" spans="1:18" x14ac:dyDescent="0.35">
      <c r="A103" s="93" t="s">
        <v>109</v>
      </c>
      <c r="B103" s="93" t="s">
        <v>132</v>
      </c>
      <c r="C103" s="90" t="s">
        <v>43</v>
      </c>
      <c r="D103" s="93" t="s">
        <v>123</v>
      </c>
      <c r="E103" s="94">
        <v>111523</v>
      </c>
      <c r="F103" s="93" t="s">
        <v>238</v>
      </c>
      <c r="G103" s="93" t="s">
        <v>89</v>
      </c>
      <c r="H103" s="93" t="s">
        <v>20</v>
      </c>
      <c r="I103" s="95"/>
      <c r="J103" s="94">
        <v>29620816</v>
      </c>
      <c r="K103" s="93" t="s">
        <v>126</v>
      </c>
      <c r="L103" s="93" t="str">
        <f>_xlfn.XLOOKUP(Tabla2__2[[#This Row],[CODIGO RUTA]],'DATA INFORME'!I:I,'DATA INFORME'!K:K)</f>
        <v>SI</v>
      </c>
      <c r="M103" s="93" t="str">
        <f>IF(Tabla2__2[[#This Row],[MYSTERY EFECTIVO]]="SI",_xlfn.XLOOKUP(Tabla2__2[[#This Row],[PREGUNTA]],ENCUESTA!G:G,ENCUESTA!D:D),"N/A")</f>
        <v>PRESENTACIÓN PERSONAL</v>
      </c>
      <c r="N10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3" s="93" t="str">
        <f>_xlfn.XLOOKUP(Tabla2__2[[#This Row],[PREGUNTA]],ENCUESTA!G:G,ENCUESTA!H:H)</f>
        <v>SI</v>
      </c>
      <c r="P103" s="93">
        <f>IF(Tabla2__2[[#This Row],[RTA]]=Tabla2__2[[#This Row],[RTA CORRECTA]],Tabla2__2[[#This Row],[TOTAL PUNTAJE]],0)</f>
        <v>1</v>
      </c>
      <c r="Q103" s="93">
        <f>IF(OR(H103="Dog Chow húmedo",H103="Cat Chow húmedo",H103="Fancy Feast",H103="Felix",H103="Proplan húmedo",H103="One húmedo",H103="Snack Abrazzos",H103="Snak Dentalife",H103="Arenilla Tidy Cat"),N103,0)</f>
        <v>0</v>
      </c>
      <c r="R103" s="93"/>
    </row>
    <row r="104" spans="1:18" x14ac:dyDescent="0.35">
      <c r="A104" s="93" t="s">
        <v>109</v>
      </c>
      <c r="B104" s="93" t="s">
        <v>132</v>
      </c>
      <c r="C104" s="90" t="s">
        <v>43</v>
      </c>
      <c r="D104" s="93" t="s">
        <v>123</v>
      </c>
      <c r="E104" s="94">
        <v>111523</v>
      </c>
      <c r="F104" s="93" t="s">
        <v>238</v>
      </c>
      <c r="G104" s="93" t="s">
        <v>130</v>
      </c>
      <c r="H104" s="93" t="s">
        <v>20</v>
      </c>
      <c r="I104" s="95"/>
      <c r="J104" s="94">
        <v>29620816</v>
      </c>
      <c r="K104" s="93" t="s">
        <v>126</v>
      </c>
      <c r="L104" s="93" t="str">
        <f>_xlfn.XLOOKUP(Tabla2__2[[#This Row],[CODIGO RUTA]],'DATA INFORME'!I:I,'DATA INFORME'!K:K)</f>
        <v>SI</v>
      </c>
      <c r="M104" s="93" t="str">
        <f>IF(Tabla2__2[[#This Row],[MYSTERY EFECTIVO]]="SI",_xlfn.XLOOKUP(Tabla2__2[[#This Row],[PREGUNTA]],ENCUESTA!G:G,ENCUESTA!D:D),"N/A")</f>
        <v>EJECUCIÓN DEL PDV</v>
      </c>
      <c r="N10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04" s="93" t="str">
        <f>_xlfn.XLOOKUP(Tabla2__2[[#This Row],[PREGUNTA]],ENCUESTA!G:G,ENCUESTA!H:H)</f>
        <v>SI</v>
      </c>
      <c r="P104" s="93">
        <f>IF(Tabla2__2[[#This Row],[RTA]]=Tabla2__2[[#This Row],[RTA CORRECTA]],Tabla2__2[[#This Row],[TOTAL PUNTAJE]],0)</f>
        <v>3.75</v>
      </c>
      <c r="Q104" s="93">
        <f>IF(OR(H104="Dog Chow húmedo",H104="Cat Chow húmedo",H104="Fancy Feast",H104="Felix",H104="Proplan húmedo",H104="One húmedo",H104="Snack Abrazzos",H104="Snak Dentalife",H104="Arenilla Tidy Cat"),N104,0)</f>
        <v>0</v>
      </c>
      <c r="R104" s="93"/>
    </row>
    <row r="105" spans="1:18" x14ac:dyDescent="0.35">
      <c r="A105" s="93" t="s">
        <v>109</v>
      </c>
      <c r="B105" s="93" t="s">
        <v>132</v>
      </c>
      <c r="C105" s="90" t="s">
        <v>43</v>
      </c>
      <c r="D105" s="93" t="s">
        <v>123</v>
      </c>
      <c r="E105" s="94">
        <v>111523</v>
      </c>
      <c r="F105" s="93" t="s">
        <v>238</v>
      </c>
      <c r="G105" s="93" t="s">
        <v>90</v>
      </c>
      <c r="H105" s="93" t="s">
        <v>20</v>
      </c>
      <c r="I105" s="95"/>
      <c r="J105" s="94">
        <v>29620816</v>
      </c>
      <c r="K105" s="93" t="s">
        <v>126</v>
      </c>
      <c r="L105" s="93" t="str">
        <f>_xlfn.XLOOKUP(Tabla2__2[[#This Row],[CODIGO RUTA]],'DATA INFORME'!I:I,'DATA INFORME'!K:K)</f>
        <v>SI</v>
      </c>
      <c r="M105" s="93" t="str">
        <f>IF(Tabla2__2[[#This Row],[MYSTERY EFECTIVO]]="SI",_xlfn.XLOOKUP(Tabla2__2[[#This Row],[PREGUNTA]],ENCUESTA!G:G,ENCUESTA!D:D),"N/A")</f>
        <v>PRESENTACIÓN PERSONAL</v>
      </c>
      <c r="N10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5" s="93" t="str">
        <f>_xlfn.XLOOKUP(Tabla2__2[[#This Row],[PREGUNTA]],ENCUESTA!G:G,ENCUESTA!H:H)</f>
        <v>SI</v>
      </c>
      <c r="P105" s="93">
        <f>IF(Tabla2__2[[#This Row],[RTA]]=Tabla2__2[[#This Row],[RTA CORRECTA]],Tabla2__2[[#This Row],[TOTAL PUNTAJE]],0)</f>
        <v>1</v>
      </c>
      <c r="Q105" s="93">
        <f>IF(OR(H105="Dog Chow húmedo",H105="Cat Chow húmedo",H105="Fancy Feast",H105="Felix",H105="Proplan húmedo",H105="One húmedo",H105="Snack Abrazzos",H105="Snak Dentalife",H105="Arenilla Tidy Cat"),N105,0)</f>
        <v>0</v>
      </c>
      <c r="R105" s="93"/>
    </row>
    <row r="106" spans="1:18" x14ac:dyDescent="0.35">
      <c r="A106" s="93" t="s">
        <v>109</v>
      </c>
      <c r="B106" s="93" t="s">
        <v>132</v>
      </c>
      <c r="C106" s="90" t="s">
        <v>43</v>
      </c>
      <c r="D106" s="93" t="s">
        <v>123</v>
      </c>
      <c r="E106" s="94">
        <v>111523</v>
      </c>
      <c r="F106" s="93" t="s">
        <v>238</v>
      </c>
      <c r="G106" s="93" t="s">
        <v>91</v>
      </c>
      <c r="H106" s="93" t="s">
        <v>108</v>
      </c>
      <c r="I106" s="95"/>
      <c r="J106" s="94">
        <v>29620816</v>
      </c>
      <c r="K106" s="93" t="s">
        <v>126</v>
      </c>
      <c r="L106" s="93" t="str">
        <f>_xlfn.XLOOKUP(Tabla2__2[[#This Row],[CODIGO RUTA]],'DATA INFORME'!I:I,'DATA INFORME'!K:K)</f>
        <v>SI</v>
      </c>
      <c r="M106" s="93" t="str">
        <f>IF(Tabla2__2[[#This Row],[MYSTERY EFECTIVO]]="SI",_xlfn.XLOOKUP(Tabla2__2[[#This Row],[PREGUNTA]],ENCUESTA!G:G,ENCUESTA!D:D),"N/A")</f>
        <v>PRESENTACIÓN PERSONAL</v>
      </c>
      <c r="N10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6" s="93" t="str">
        <f>_xlfn.XLOOKUP(Tabla2__2[[#This Row],[PREGUNTA]],ENCUESTA!G:G,ENCUESTA!H:H)</f>
        <v>NO</v>
      </c>
      <c r="P106" s="93">
        <f>IF(Tabla2__2[[#This Row],[RTA]]=Tabla2__2[[#This Row],[RTA CORRECTA]],Tabla2__2[[#This Row],[TOTAL PUNTAJE]],0)</f>
        <v>1</v>
      </c>
      <c r="Q106" s="93">
        <f>IF(OR(H106="Dog Chow húmedo",H106="Cat Chow húmedo",H106="Fancy Feast",H106="Felix",H106="Proplan húmedo",H106="One húmedo",H106="Snack Abrazzos",H106="Snak Dentalife",H106="Arenilla Tidy Cat"),N106,0)</f>
        <v>0</v>
      </c>
      <c r="R106" s="93"/>
    </row>
    <row r="107" spans="1:18" x14ac:dyDescent="0.35">
      <c r="A107" s="93" t="s">
        <v>109</v>
      </c>
      <c r="B107" s="93" t="s">
        <v>132</v>
      </c>
      <c r="C107" s="90" t="s">
        <v>43</v>
      </c>
      <c r="D107" s="93" t="s">
        <v>123</v>
      </c>
      <c r="E107" s="94">
        <v>111523</v>
      </c>
      <c r="F107" s="93" t="s">
        <v>238</v>
      </c>
      <c r="G107" s="93" t="s">
        <v>92</v>
      </c>
      <c r="H107" s="93" t="s">
        <v>20</v>
      </c>
      <c r="I107" s="95"/>
      <c r="J107" s="94">
        <v>29620816</v>
      </c>
      <c r="K107" s="93" t="s">
        <v>126</v>
      </c>
      <c r="L107" s="93" t="str">
        <f>_xlfn.XLOOKUP(Tabla2__2[[#This Row],[CODIGO RUTA]],'DATA INFORME'!I:I,'DATA INFORME'!K:K)</f>
        <v>SI</v>
      </c>
      <c r="M107" s="93" t="str">
        <f>IF(Tabla2__2[[#This Row],[MYSTERY EFECTIVO]]="SI",_xlfn.XLOOKUP(Tabla2__2[[#This Row],[PREGUNTA]],ENCUESTA!G:G,ENCUESTA!D:D),"N/A")</f>
        <v>PRESENTACIÓN PERSONAL</v>
      </c>
      <c r="N10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7" s="93" t="str">
        <f>_xlfn.XLOOKUP(Tabla2__2[[#This Row],[PREGUNTA]],ENCUESTA!G:G,ENCUESTA!H:H)</f>
        <v>SI</v>
      </c>
      <c r="P107" s="93">
        <f>IF(Tabla2__2[[#This Row],[RTA]]=Tabla2__2[[#This Row],[RTA CORRECTA]],Tabla2__2[[#This Row],[TOTAL PUNTAJE]],0)</f>
        <v>1</v>
      </c>
      <c r="Q107" s="93">
        <f>IF(OR(H107="Dog Chow húmedo",H107="Cat Chow húmedo",H107="Fancy Feast",H107="Felix",H107="Proplan húmedo",H107="One húmedo",H107="Snack Abrazzos",H107="Snak Dentalife",H107="Arenilla Tidy Cat"),N107,0)</f>
        <v>0</v>
      </c>
      <c r="R107" s="93"/>
    </row>
    <row r="108" spans="1:18" x14ac:dyDescent="0.35">
      <c r="A108" s="93" t="s">
        <v>109</v>
      </c>
      <c r="B108" s="93" t="s">
        <v>132</v>
      </c>
      <c r="C108" s="90" t="s">
        <v>43</v>
      </c>
      <c r="D108" s="93" t="s">
        <v>123</v>
      </c>
      <c r="E108" s="94">
        <v>111523</v>
      </c>
      <c r="F108" s="93" t="s">
        <v>238</v>
      </c>
      <c r="G108" s="93" t="s">
        <v>93</v>
      </c>
      <c r="H108" s="93" t="s">
        <v>20</v>
      </c>
      <c r="I108" s="95"/>
      <c r="J108" s="94">
        <v>29620816</v>
      </c>
      <c r="K108" s="93" t="s">
        <v>126</v>
      </c>
      <c r="L108" s="93" t="str">
        <f>_xlfn.XLOOKUP(Tabla2__2[[#This Row],[CODIGO RUTA]],'DATA INFORME'!I:I,'DATA INFORME'!K:K)</f>
        <v>SI</v>
      </c>
      <c r="M108" s="93" t="str">
        <f>IF(Tabla2__2[[#This Row],[MYSTERY EFECTIVO]]="SI",_xlfn.XLOOKUP(Tabla2__2[[#This Row],[PREGUNTA]],ENCUESTA!G:G,ENCUESTA!D:D),"N/A")</f>
        <v>PRESENTACIÓN PERSONAL</v>
      </c>
      <c r="N10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8" s="93" t="str">
        <f>_xlfn.XLOOKUP(Tabla2__2[[#This Row],[PREGUNTA]],ENCUESTA!G:G,ENCUESTA!H:H)</f>
        <v>SI</v>
      </c>
      <c r="P108" s="93">
        <f>IF(Tabla2__2[[#This Row],[RTA]]=Tabla2__2[[#This Row],[RTA CORRECTA]],Tabla2__2[[#This Row],[TOTAL PUNTAJE]],0)</f>
        <v>1</v>
      </c>
      <c r="Q108" s="93">
        <f>IF(OR(H108="Dog Chow húmedo",H108="Cat Chow húmedo",H108="Fancy Feast",H108="Felix",H108="Proplan húmedo",H108="One húmedo",H108="Snack Abrazzos",H108="Snak Dentalife",H108="Arenilla Tidy Cat"),N108,0)</f>
        <v>0</v>
      </c>
      <c r="R108" s="93"/>
    </row>
    <row r="109" spans="1:18" x14ac:dyDescent="0.35">
      <c r="A109" s="93" t="s">
        <v>109</v>
      </c>
      <c r="B109" s="93" t="s">
        <v>132</v>
      </c>
      <c r="C109" s="90" t="s">
        <v>43</v>
      </c>
      <c r="D109" s="93" t="s">
        <v>123</v>
      </c>
      <c r="E109" s="94">
        <v>111523</v>
      </c>
      <c r="F109" s="93" t="s">
        <v>238</v>
      </c>
      <c r="G109" s="93" t="s">
        <v>94</v>
      </c>
      <c r="H109" s="93" t="s">
        <v>108</v>
      </c>
      <c r="I109" s="95"/>
      <c r="J109" s="94">
        <v>29620816</v>
      </c>
      <c r="K109" s="93" t="s">
        <v>126</v>
      </c>
      <c r="L109" s="93" t="str">
        <f>_xlfn.XLOOKUP(Tabla2__2[[#This Row],[CODIGO RUTA]],'DATA INFORME'!I:I,'DATA INFORME'!K:K)</f>
        <v>SI</v>
      </c>
      <c r="M109" s="93" t="str">
        <f>IF(Tabla2__2[[#This Row],[MYSTERY EFECTIVO]]="SI",_xlfn.XLOOKUP(Tabla2__2[[#This Row],[PREGUNTA]],ENCUESTA!G:G,ENCUESTA!D:D),"N/A")</f>
        <v>PRESENTACIÓN PERSONAL</v>
      </c>
      <c r="N10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9" s="93" t="str">
        <f>_xlfn.XLOOKUP(Tabla2__2[[#This Row],[PREGUNTA]],ENCUESTA!G:G,ENCUESTA!H:H)</f>
        <v>NO</v>
      </c>
      <c r="P109" s="93">
        <f>IF(Tabla2__2[[#This Row],[RTA]]=Tabla2__2[[#This Row],[RTA CORRECTA]],Tabla2__2[[#This Row],[TOTAL PUNTAJE]],0)</f>
        <v>1</v>
      </c>
      <c r="Q109" s="93">
        <f>IF(OR(H109="Dog Chow húmedo",H109="Cat Chow húmedo",H109="Fancy Feast",H109="Felix",H109="Proplan húmedo",H109="One húmedo",H109="Snack Abrazzos",H109="Snak Dentalife",H109="Arenilla Tidy Cat"),N109,0)</f>
        <v>0</v>
      </c>
      <c r="R109" s="93"/>
    </row>
    <row r="110" spans="1:18" x14ac:dyDescent="0.35">
      <c r="A110" s="93" t="s">
        <v>109</v>
      </c>
      <c r="B110" s="93" t="s">
        <v>132</v>
      </c>
      <c r="C110" s="90" t="s">
        <v>43</v>
      </c>
      <c r="D110" s="93" t="s">
        <v>123</v>
      </c>
      <c r="E110" s="94">
        <v>111523</v>
      </c>
      <c r="F110" s="93" t="s">
        <v>238</v>
      </c>
      <c r="G110" s="93" t="s">
        <v>95</v>
      </c>
      <c r="H110" s="93" t="s">
        <v>108</v>
      </c>
      <c r="I110" s="95"/>
      <c r="J110" s="94">
        <v>29620816</v>
      </c>
      <c r="K110" s="93" t="s">
        <v>126</v>
      </c>
      <c r="L110" s="93" t="str">
        <f>_xlfn.XLOOKUP(Tabla2__2[[#This Row],[CODIGO RUTA]],'DATA INFORME'!I:I,'DATA INFORME'!K:K)</f>
        <v>SI</v>
      </c>
      <c r="M110" s="93" t="str">
        <f>IF(Tabla2__2[[#This Row],[MYSTERY EFECTIVO]]="SI",_xlfn.XLOOKUP(Tabla2__2[[#This Row],[PREGUNTA]],ENCUESTA!G:G,ENCUESTA!D:D),"N/A")</f>
        <v>PRESENTACIÓN PERSONAL</v>
      </c>
      <c r="N11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0" s="93" t="str">
        <f>_xlfn.XLOOKUP(Tabla2__2[[#This Row],[PREGUNTA]],ENCUESTA!G:G,ENCUESTA!H:H)</f>
        <v>NO</v>
      </c>
      <c r="P110" s="93">
        <f>IF(Tabla2__2[[#This Row],[RTA]]=Tabla2__2[[#This Row],[RTA CORRECTA]],Tabla2__2[[#This Row],[TOTAL PUNTAJE]],0)</f>
        <v>1</v>
      </c>
      <c r="Q110" s="93">
        <f>IF(OR(H110="Dog Chow húmedo",H110="Cat Chow húmedo",H110="Fancy Feast",H110="Felix",H110="Proplan húmedo",H110="One húmedo",H110="Snack Abrazzos",H110="Snak Dentalife",H110="Arenilla Tidy Cat"),N110,0)</f>
        <v>0</v>
      </c>
      <c r="R110" s="93"/>
    </row>
    <row r="111" spans="1:18" x14ac:dyDescent="0.35">
      <c r="A111" s="93" t="s">
        <v>109</v>
      </c>
      <c r="B111" s="93" t="s">
        <v>132</v>
      </c>
      <c r="C111" s="90" t="s">
        <v>43</v>
      </c>
      <c r="D111" s="93" t="s">
        <v>123</v>
      </c>
      <c r="E111" s="94">
        <v>111523</v>
      </c>
      <c r="F111" s="93" t="s">
        <v>238</v>
      </c>
      <c r="G111" s="93" t="s">
        <v>96</v>
      </c>
      <c r="H111" s="93" t="s">
        <v>108</v>
      </c>
      <c r="I111" s="95"/>
      <c r="J111" s="94">
        <v>29620816</v>
      </c>
      <c r="K111" s="93" t="s">
        <v>126</v>
      </c>
      <c r="L111" s="93" t="str">
        <f>_xlfn.XLOOKUP(Tabla2__2[[#This Row],[CODIGO RUTA]],'DATA INFORME'!I:I,'DATA INFORME'!K:K)</f>
        <v>SI</v>
      </c>
      <c r="M111" s="93" t="str">
        <f>IF(Tabla2__2[[#This Row],[MYSTERY EFECTIVO]]="SI",_xlfn.XLOOKUP(Tabla2__2[[#This Row],[PREGUNTA]],ENCUESTA!G:G,ENCUESTA!D:D),"N/A")</f>
        <v>PRESENTACIÓN PERSONAL</v>
      </c>
      <c r="N11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1" s="93" t="str">
        <f>_xlfn.XLOOKUP(Tabla2__2[[#This Row],[PREGUNTA]],ENCUESTA!G:G,ENCUESTA!H:H)</f>
        <v>NO</v>
      </c>
      <c r="P111" s="93">
        <f>IF(Tabla2__2[[#This Row],[RTA]]=Tabla2__2[[#This Row],[RTA CORRECTA]],Tabla2__2[[#This Row],[TOTAL PUNTAJE]],0)</f>
        <v>1</v>
      </c>
      <c r="Q111" s="93">
        <f>IF(OR(H111="Dog Chow húmedo",H111="Cat Chow húmedo",H111="Fancy Feast",H111="Felix",H111="Proplan húmedo",H111="One húmedo",H111="Snack Abrazzos",H111="Snak Dentalife",H111="Arenilla Tidy Cat"),N111,0)</f>
        <v>0</v>
      </c>
      <c r="R111" s="93"/>
    </row>
    <row r="112" spans="1:18" x14ac:dyDescent="0.35">
      <c r="A112" s="93" t="s">
        <v>109</v>
      </c>
      <c r="B112" s="93" t="s">
        <v>132</v>
      </c>
      <c r="C112" s="90" t="s">
        <v>43</v>
      </c>
      <c r="D112" s="93" t="s">
        <v>123</v>
      </c>
      <c r="E112" s="94">
        <v>111523</v>
      </c>
      <c r="F112" s="93" t="s">
        <v>238</v>
      </c>
      <c r="G112" s="93" t="s">
        <v>97</v>
      </c>
      <c r="H112" s="93" t="s">
        <v>108</v>
      </c>
      <c r="I112" s="95"/>
      <c r="J112" s="94">
        <v>29620816</v>
      </c>
      <c r="K112" s="93" t="s">
        <v>126</v>
      </c>
      <c r="L112" s="93" t="str">
        <f>_xlfn.XLOOKUP(Tabla2__2[[#This Row],[CODIGO RUTA]],'DATA INFORME'!I:I,'DATA INFORME'!K:K)</f>
        <v>SI</v>
      </c>
      <c r="M112" s="93" t="str">
        <f>IF(Tabla2__2[[#This Row],[MYSTERY EFECTIVO]]="SI",_xlfn.XLOOKUP(Tabla2__2[[#This Row],[PREGUNTA]],ENCUESTA!G:G,ENCUESTA!D:D),"N/A")</f>
        <v>PRESENTACIÓN PERSONAL</v>
      </c>
      <c r="N11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2" s="93" t="str">
        <f>_xlfn.XLOOKUP(Tabla2__2[[#This Row],[PREGUNTA]],ENCUESTA!G:G,ENCUESTA!H:H)</f>
        <v>NO</v>
      </c>
      <c r="P112" s="93">
        <f>IF(Tabla2__2[[#This Row],[RTA]]=Tabla2__2[[#This Row],[RTA CORRECTA]],Tabla2__2[[#This Row],[TOTAL PUNTAJE]],0)</f>
        <v>1</v>
      </c>
      <c r="Q112" s="93">
        <f>IF(OR(H112="Dog Chow húmedo",H112="Cat Chow húmedo",H112="Fancy Feast",H112="Felix",H112="Proplan húmedo",H112="One húmedo",H112="Snack Abrazzos",H112="Snak Dentalife",H112="Arenilla Tidy Cat"),N112,0)</f>
        <v>0</v>
      </c>
      <c r="R112" s="93"/>
    </row>
    <row r="113" spans="1:18" x14ac:dyDescent="0.35">
      <c r="A113" s="93" t="s">
        <v>109</v>
      </c>
      <c r="B113" s="93" t="s">
        <v>132</v>
      </c>
      <c r="C113" s="90" t="s">
        <v>43</v>
      </c>
      <c r="D113" s="93" t="s">
        <v>123</v>
      </c>
      <c r="E113" s="94">
        <v>111523</v>
      </c>
      <c r="F113" s="93" t="s">
        <v>238</v>
      </c>
      <c r="G113" s="93" t="s">
        <v>147</v>
      </c>
      <c r="H113" s="93" t="s">
        <v>20</v>
      </c>
      <c r="I113" s="95"/>
      <c r="J113" s="94">
        <v>29620816</v>
      </c>
      <c r="K113" s="93" t="s">
        <v>126</v>
      </c>
      <c r="L113" s="93" t="str">
        <f>_xlfn.XLOOKUP(Tabla2__2[[#This Row],[CODIGO RUTA]],'DATA INFORME'!I:I,'DATA INFORME'!K:K)</f>
        <v>SI</v>
      </c>
      <c r="M113" s="93" t="str">
        <f>IF(Tabla2__2[[#This Row],[MYSTERY EFECTIVO]]="SI",_xlfn.XLOOKUP(Tabla2__2[[#This Row],[PREGUNTA]],ENCUESTA!G:G,ENCUESTA!D:D),"N/A")</f>
        <v>EJECUCIÓN DEL PDV</v>
      </c>
      <c r="N11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3" s="93" t="str">
        <f>_xlfn.XLOOKUP(Tabla2__2[[#This Row],[PREGUNTA]],ENCUESTA!G:G,ENCUESTA!H:H)</f>
        <v>SI</v>
      </c>
      <c r="P113" s="93">
        <f>IF(Tabla2__2[[#This Row],[RTA]]=Tabla2__2[[#This Row],[RTA CORRECTA]],Tabla2__2[[#This Row],[TOTAL PUNTAJE]],0)</f>
        <v>3.75</v>
      </c>
      <c r="Q113" s="93">
        <f>IF(OR(H113="Dog Chow húmedo",H113="Cat Chow húmedo",H113="Fancy Feast",H113="Felix",H113="Proplan húmedo",H113="One húmedo",H113="Snack Abrazzos",H113="Snak Dentalife",H113="Arenilla Tidy Cat"),N113,0)</f>
        <v>0</v>
      </c>
      <c r="R113" s="93"/>
    </row>
    <row r="114" spans="1:18" x14ac:dyDescent="0.35">
      <c r="A114" s="93" t="s">
        <v>109</v>
      </c>
      <c r="B114" s="93" t="s">
        <v>132</v>
      </c>
      <c r="C114" s="90" t="s">
        <v>43</v>
      </c>
      <c r="D114" s="93" t="s">
        <v>123</v>
      </c>
      <c r="E114" s="94">
        <v>111523</v>
      </c>
      <c r="F114" s="93" t="s">
        <v>238</v>
      </c>
      <c r="G114" s="93" t="s">
        <v>148</v>
      </c>
      <c r="H114" s="93" t="s">
        <v>20</v>
      </c>
      <c r="I114" s="95"/>
      <c r="J114" s="94">
        <v>29620816</v>
      </c>
      <c r="K114" s="93" t="s">
        <v>126</v>
      </c>
      <c r="L114" s="93" t="str">
        <f>_xlfn.XLOOKUP(Tabla2__2[[#This Row],[CODIGO RUTA]],'DATA INFORME'!I:I,'DATA INFORME'!K:K)</f>
        <v>SI</v>
      </c>
      <c r="M114" s="93" t="str">
        <f>IF(Tabla2__2[[#This Row],[MYSTERY EFECTIVO]]="SI",_xlfn.XLOOKUP(Tabla2__2[[#This Row],[PREGUNTA]],ENCUESTA!G:G,ENCUESTA!D:D),"N/A")</f>
        <v>EJECUCIÓN DEL PDV</v>
      </c>
      <c r="N11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4" s="93" t="str">
        <f>_xlfn.XLOOKUP(Tabla2__2[[#This Row],[PREGUNTA]],ENCUESTA!G:G,ENCUESTA!H:H)</f>
        <v>SI</v>
      </c>
      <c r="P114" s="93">
        <f>IF(Tabla2__2[[#This Row],[RTA]]=Tabla2__2[[#This Row],[RTA CORRECTA]],Tabla2__2[[#This Row],[TOTAL PUNTAJE]],0)</f>
        <v>3.75</v>
      </c>
      <c r="Q114" s="93">
        <f>IF(OR(H114="Dog Chow húmedo",H114="Cat Chow húmedo",H114="Fancy Feast",H114="Felix",H114="Proplan húmedo",H114="One húmedo",H114="Snack Abrazzos",H114="Snak Dentalife",H114="Arenilla Tidy Cat"),N114,0)</f>
        <v>0</v>
      </c>
      <c r="R114" s="93"/>
    </row>
    <row r="115" spans="1:18" x14ac:dyDescent="0.35">
      <c r="A115" s="93" t="s">
        <v>109</v>
      </c>
      <c r="B115" s="93" t="s">
        <v>132</v>
      </c>
      <c r="C115" s="90" t="s">
        <v>43</v>
      </c>
      <c r="D115" s="93" t="s">
        <v>123</v>
      </c>
      <c r="E115" s="94">
        <v>111523</v>
      </c>
      <c r="F115" s="93" t="s">
        <v>238</v>
      </c>
      <c r="G115" s="93" t="s">
        <v>98</v>
      </c>
      <c r="H115" s="93" t="s">
        <v>20</v>
      </c>
      <c r="I115" s="95"/>
      <c r="J115" s="94">
        <v>29620816</v>
      </c>
      <c r="K115" s="93" t="s">
        <v>126</v>
      </c>
      <c r="L115" s="93" t="str">
        <f>_xlfn.XLOOKUP(Tabla2__2[[#This Row],[CODIGO RUTA]],'DATA INFORME'!I:I,'DATA INFORME'!K:K)</f>
        <v>SI</v>
      </c>
      <c r="M115" s="93" t="str">
        <f>IF(Tabla2__2[[#This Row],[MYSTERY EFECTIVO]]="SI",_xlfn.XLOOKUP(Tabla2__2[[#This Row],[PREGUNTA]],ENCUESTA!G:G,ENCUESTA!D:D),"N/A")</f>
        <v>EJECUCIÓN DEL PDV</v>
      </c>
      <c r="N11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5" s="93" t="str">
        <f>_xlfn.XLOOKUP(Tabla2__2[[#This Row],[PREGUNTA]],ENCUESTA!G:G,ENCUESTA!H:H)</f>
        <v>SI</v>
      </c>
      <c r="P115" s="93">
        <f>IF(Tabla2__2[[#This Row],[RTA]]=Tabla2__2[[#This Row],[RTA CORRECTA]],Tabla2__2[[#This Row],[TOTAL PUNTAJE]],0)</f>
        <v>3.75</v>
      </c>
      <c r="Q115" s="93">
        <f>IF(OR(H115="Dog Chow húmedo",H115="Cat Chow húmedo",H115="Fancy Feast",H115="Felix",H115="Proplan húmedo",H115="One húmedo",H115="Snack Abrazzos",H115="Snak Dentalife",H115="Arenilla Tidy Cat"),N115,0)</f>
        <v>0</v>
      </c>
      <c r="R115" s="93"/>
    </row>
    <row r="116" spans="1:18" x14ac:dyDescent="0.35">
      <c r="A116" s="93" t="s">
        <v>109</v>
      </c>
      <c r="B116" s="93" t="s">
        <v>132</v>
      </c>
      <c r="C116" s="90" t="s">
        <v>43</v>
      </c>
      <c r="D116" s="93" t="s">
        <v>123</v>
      </c>
      <c r="E116" s="94">
        <v>111523</v>
      </c>
      <c r="F116" s="93" t="s">
        <v>238</v>
      </c>
      <c r="G116" s="93" t="s">
        <v>99</v>
      </c>
      <c r="H116" s="93" t="s">
        <v>20</v>
      </c>
      <c r="I116" s="95"/>
      <c r="J116" s="94">
        <v>29620816</v>
      </c>
      <c r="K116" s="93" t="s">
        <v>126</v>
      </c>
      <c r="L116" s="93" t="str">
        <f>_xlfn.XLOOKUP(Tabla2__2[[#This Row],[CODIGO RUTA]],'DATA INFORME'!I:I,'DATA INFORME'!K:K)</f>
        <v>SI</v>
      </c>
      <c r="M116" s="93" t="str">
        <f>IF(Tabla2__2[[#This Row],[MYSTERY EFECTIVO]]="SI",_xlfn.XLOOKUP(Tabla2__2[[#This Row],[PREGUNTA]],ENCUESTA!G:G,ENCUESTA!D:D),"N/A")</f>
        <v>EJECUCIÓN DEL PDV</v>
      </c>
      <c r="N11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6" s="93" t="str">
        <f>_xlfn.XLOOKUP(Tabla2__2[[#This Row],[PREGUNTA]],ENCUESTA!G:G,ENCUESTA!H:H)</f>
        <v>SI</v>
      </c>
      <c r="P116" s="93">
        <f>IF(Tabla2__2[[#This Row],[RTA]]=Tabla2__2[[#This Row],[RTA CORRECTA]],Tabla2__2[[#This Row],[TOTAL PUNTAJE]],0)</f>
        <v>3.75</v>
      </c>
      <c r="Q116" s="93">
        <f>IF(OR(H116="Dog Chow húmedo",H116="Cat Chow húmedo",H116="Fancy Feast",H116="Felix",H116="Proplan húmedo",H116="One húmedo",H116="Snack Abrazzos",H116="Snak Dentalife",H116="Arenilla Tidy Cat"),N116,0)</f>
        <v>0</v>
      </c>
      <c r="R116" s="93"/>
    </row>
    <row r="117" spans="1:18" x14ac:dyDescent="0.35">
      <c r="A117" s="93" t="s">
        <v>109</v>
      </c>
      <c r="B117" s="93" t="s">
        <v>132</v>
      </c>
      <c r="C117" s="90" t="s">
        <v>43</v>
      </c>
      <c r="D117" s="93" t="s">
        <v>123</v>
      </c>
      <c r="E117" s="94">
        <v>111523</v>
      </c>
      <c r="F117" s="93" t="s">
        <v>238</v>
      </c>
      <c r="G117" s="93" t="s">
        <v>100</v>
      </c>
      <c r="H117" s="93" t="s">
        <v>20</v>
      </c>
      <c r="I117" s="95"/>
      <c r="J117" s="94">
        <v>29620816</v>
      </c>
      <c r="K117" s="93" t="s">
        <v>126</v>
      </c>
      <c r="L117" s="93" t="str">
        <f>_xlfn.XLOOKUP(Tabla2__2[[#This Row],[CODIGO RUTA]],'DATA INFORME'!I:I,'DATA INFORME'!K:K)</f>
        <v>SI</v>
      </c>
      <c r="M117" s="93" t="str">
        <f>IF(Tabla2__2[[#This Row],[MYSTERY EFECTIVO]]="SI",_xlfn.XLOOKUP(Tabla2__2[[#This Row],[PREGUNTA]],ENCUESTA!G:G,ENCUESTA!D:D),"N/A")</f>
        <v>EJECUCIÓN DEL PDV</v>
      </c>
      <c r="N11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7" s="93" t="str">
        <f>_xlfn.XLOOKUP(Tabla2__2[[#This Row],[PREGUNTA]],ENCUESTA!G:G,ENCUESTA!H:H)</f>
        <v>SI</v>
      </c>
      <c r="P117" s="93">
        <f>IF(Tabla2__2[[#This Row],[RTA]]=Tabla2__2[[#This Row],[RTA CORRECTA]],Tabla2__2[[#This Row],[TOTAL PUNTAJE]],0)</f>
        <v>3.75</v>
      </c>
      <c r="Q117" s="93">
        <f>IF(OR(H117="Dog Chow húmedo",H117="Cat Chow húmedo",H117="Fancy Feast",H117="Felix",H117="Proplan húmedo",H117="One húmedo",H117="Snack Abrazzos",H117="Snak Dentalife",H117="Arenilla Tidy Cat"),N117,0)</f>
        <v>0</v>
      </c>
      <c r="R117" s="93"/>
    </row>
    <row r="118" spans="1:18" x14ac:dyDescent="0.35">
      <c r="A118" s="93" t="s">
        <v>109</v>
      </c>
      <c r="B118" s="93" t="s">
        <v>132</v>
      </c>
      <c r="C118" s="90" t="s">
        <v>43</v>
      </c>
      <c r="D118" s="93" t="s">
        <v>123</v>
      </c>
      <c r="E118" s="94">
        <v>111523</v>
      </c>
      <c r="F118" s="93" t="s">
        <v>238</v>
      </c>
      <c r="G118" s="93" t="s">
        <v>35</v>
      </c>
      <c r="H118" s="93" t="s">
        <v>20</v>
      </c>
      <c r="I118" s="95"/>
      <c r="J118" s="94">
        <v>29620816</v>
      </c>
      <c r="K118" s="93" t="s">
        <v>126</v>
      </c>
      <c r="L118" s="93" t="str">
        <f>_xlfn.XLOOKUP(Tabla2__2[[#This Row],[CODIGO RUTA]],'DATA INFORME'!I:I,'DATA INFORME'!K:K)</f>
        <v>SI</v>
      </c>
      <c r="M118" s="93" t="str">
        <f>IF(Tabla2__2[[#This Row],[MYSTERY EFECTIVO]]="SI",_xlfn.XLOOKUP(Tabla2__2[[#This Row],[PREGUNTA]],ENCUESTA!G:G,ENCUESTA!D:D),"N/A")</f>
        <v>PRESENTACIÓN PERSONAL</v>
      </c>
      <c r="N11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8" s="93" t="str">
        <f>_xlfn.XLOOKUP(Tabla2__2[[#This Row],[PREGUNTA]],ENCUESTA!G:G,ENCUESTA!H:H)</f>
        <v>SI</v>
      </c>
      <c r="P118" s="93">
        <f>IF(Tabla2__2[[#This Row],[RTA]]=Tabla2__2[[#This Row],[RTA CORRECTA]],Tabla2__2[[#This Row],[TOTAL PUNTAJE]],0)</f>
        <v>1</v>
      </c>
      <c r="Q118" s="93">
        <f>IF(OR(H118="Dog Chow húmedo",H118="Cat Chow húmedo",H118="Fancy Feast",H118="Felix",H118="Proplan húmedo",H118="One húmedo",H118="Snack Abrazzos",H118="Snak Dentalife",H118="Arenilla Tidy Cat"),N118,0)</f>
        <v>0</v>
      </c>
      <c r="R118" s="93"/>
    </row>
    <row r="119" spans="1:18" x14ac:dyDescent="0.35">
      <c r="A119" s="93" t="s">
        <v>109</v>
      </c>
      <c r="B119" s="93" t="s">
        <v>139</v>
      </c>
      <c r="C119" s="90" t="s">
        <v>43</v>
      </c>
      <c r="D119" s="93" t="s">
        <v>143</v>
      </c>
      <c r="E119" s="94">
        <v>355519</v>
      </c>
      <c r="F119" s="93" t="s">
        <v>215</v>
      </c>
      <c r="G119" s="93" t="s">
        <v>147</v>
      </c>
      <c r="H119" s="93" t="s">
        <v>20</v>
      </c>
      <c r="I119" s="95"/>
      <c r="J119" s="94">
        <v>29606660</v>
      </c>
      <c r="K119" s="93" t="s">
        <v>142</v>
      </c>
      <c r="L119" s="93" t="str">
        <f>_xlfn.XLOOKUP(Tabla2__2[[#This Row],[CODIGO RUTA]],'DATA INFORME'!I:I,'DATA INFORME'!K:K)</f>
        <v>SI</v>
      </c>
      <c r="M119" s="93" t="str">
        <f>IF(Tabla2__2[[#This Row],[MYSTERY EFECTIVO]]="SI",_xlfn.XLOOKUP(Tabla2__2[[#This Row],[PREGUNTA]],ENCUESTA!G:G,ENCUESTA!D:D),"N/A")</f>
        <v>EJECUCIÓN DEL PDV</v>
      </c>
      <c r="N11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9" s="93" t="str">
        <f>_xlfn.XLOOKUP(Tabla2__2[[#This Row],[PREGUNTA]],ENCUESTA!G:G,ENCUESTA!H:H)</f>
        <v>SI</v>
      </c>
      <c r="P119" s="93">
        <f>IF(Tabla2__2[[#This Row],[RTA]]=Tabla2__2[[#This Row],[RTA CORRECTA]],Tabla2__2[[#This Row],[TOTAL PUNTAJE]],0)</f>
        <v>3.75</v>
      </c>
      <c r="Q119" s="93">
        <f>IF(OR(H119="Dog Chow húmedo",H119="Cat Chow húmedo",H119="Fancy Feast",H119="Felix",H119="Proplan húmedo",H119="One húmedo",H119="Snack Abrazzos",H119="Snak Dentalife",H119="Arenilla Tidy Cat"),N119,0)</f>
        <v>0</v>
      </c>
      <c r="R119" s="93"/>
    </row>
    <row r="120" spans="1:18" x14ac:dyDescent="0.35">
      <c r="A120" s="93" t="s">
        <v>109</v>
      </c>
      <c r="B120" s="93" t="s">
        <v>139</v>
      </c>
      <c r="C120" s="90" t="s">
        <v>43</v>
      </c>
      <c r="D120" s="93" t="s">
        <v>143</v>
      </c>
      <c r="E120" s="94">
        <v>355519</v>
      </c>
      <c r="F120" s="93" t="s">
        <v>215</v>
      </c>
      <c r="G120" s="93" t="s">
        <v>97</v>
      </c>
      <c r="H120" s="93" t="s">
        <v>108</v>
      </c>
      <c r="I120" s="95"/>
      <c r="J120" s="94">
        <v>29606660</v>
      </c>
      <c r="K120" s="93" t="s">
        <v>142</v>
      </c>
      <c r="L120" s="93" t="str">
        <f>_xlfn.XLOOKUP(Tabla2__2[[#This Row],[CODIGO RUTA]],'DATA INFORME'!I:I,'DATA INFORME'!K:K)</f>
        <v>SI</v>
      </c>
      <c r="M120" s="93" t="str">
        <f>IF(Tabla2__2[[#This Row],[MYSTERY EFECTIVO]]="SI",_xlfn.XLOOKUP(Tabla2__2[[#This Row],[PREGUNTA]],ENCUESTA!G:G,ENCUESTA!D:D),"N/A")</f>
        <v>PRESENTACIÓN PERSONAL</v>
      </c>
      <c r="N12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0" s="93" t="str">
        <f>_xlfn.XLOOKUP(Tabla2__2[[#This Row],[PREGUNTA]],ENCUESTA!G:G,ENCUESTA!H:H)</f>
        <v>NO</v>
      </c>
      <c r="P120" s="93">
        <f>IF(Tabla2__2[[#This Row],[RTA]]=Tabla2__2[[#This Row],[RTA CORRECTA]],Tabla2__2[[#This Row],[TOTAL PUNTAJE]],0)</f>
        <v>1</v>
      </c>
      <c r="Q120" s="93">
        <f>IF(OR(H120="Dog Chow húmedo",H120="Cat Chow húmedo",H120="Fancy Feast",H120="Felix",H120="Proplan húmedo",H120="One húmedo",H120="Snack Abrazzos",H120="Snak Dentalife",H120="Arenilla Tidy Cat"),N120,0)</f>
        <v>0</v>
      </c>
      <c r="R120" s="93"/>
    </row>
    <row r="121" spans="1:18" x14ac:dyDescent="0.35">
      <c r="A121" s="93" t="s">
        <v>109</v>
      </c>
      <c r="B121" s="93" t="s">
        <v>139</v>
      </c>
      <c r="C121" s="90" t="s">
        <v>43</v>
      </c>
      <c r="D121" s="93" t="s">
        <v>143</v>
      </c>
      <c r="E121" s="94">
        <v>355519</v>
      </c>
      <c r="F121" s="93" t="s">
        <v>215</v>
      </c>
      <c r="G121" s="93" t="s">
        <v>96</v>
      </c>
      <c r="H121" s="93" t="s">
        <v>108</v>
      </c>
      <c r="I121" s="95"/>
      <c r="J121" s="94">
        <v>29606660</v>
      </c>
      <c r="K121" s="93" t="s">
        <v>142</v>
      </c>
      <c r="L121" s="93" t="str">
        <f>_xlfn.XLOOKUP(Tabla2__2[[#This Row],[CODIGO RUTA]],'DATA INFORME'!I:I,'DATA INFORME'!K:K)</f>
        <v>SI</v>
      </c>
      <c r="M121" s="93" t="str">
        <f>IF(Tabla2__2[[#This Row],[MYSTERY EFECTIVO]]="SI",_xlfn.XLOOKUP(Tabla2__2[[#This Row],[PREGUNTA]],ENCUESTA!G:G,ENCUESTA!D:D),"N/A")</f>
        <v>PRESENTACIÓN PERSONAL</v>
      </c>
      <c r="N12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1" s="93" t="str">
        <f>_xlfn.XLOOKUP(Tabla2__2[[#This Row],[PREGUNTA]],ENCUESTA!G:G,ENCUESTA!H:H)</f>
        <v>NO</v>
      </c>
      <c r="P121" s="93">
        <f>IF(Tabla2__2[[#This Row],[RTA]]=Tabla2__2[[#This Row],[RTA CORRECTA]],Tabla2__2[[#This Row],[TOTAL PUNTAJE]],0)</f>
        <v>1</v>
      </c>
      <c r="Q121" s="93">
        <f>IF(OR(H121="Dog Chow húmedo",H121="Cat Chow húmedo",H121="Fancy Feast",H121="Felix",H121="Proplan húmedo",H121="One húmedo",H121="Snack Abrazzos",H121="Snak Dentalife",H121="Arenilla Tidy Cat"),N121,0)</f>
        <v>0</v>
      </c>
      <c r="R121" s="93"/>
    </row>
    <row r="122" spans="1:18" x14ac:dyDescent="0.35">
      <c r="A122" s="93" t="s">
        <v>109</v>
      </c>
      <c r="B122" s="93" t="s">
        <v>112</v>
      </c>
      <c r="C122" s="90" t="s">
        <v>14</v>
      </c>
      <c r="D122" s="93" t="s">
        <v>186</v>
      </c>
      <c r="E122" s="94">
        <v>424775</v>
      </c>
      <c r="F122" s="93" t="s">
        <v>189</v>
      </c>
      <c r="G122" s="93" t="s">
        <v>91</v>
      </c>
      <c r="H122" s="93" t="s">
        <v>108</v>
      </c>
      <c r="I122" s="95"/>
      <c r="J122" s="94">
        <v>29574458</v>
      </c>
      <c r="K122" s="93" t="s">
        <v>114</v>
      </c>
      <c r="L122" s="93" t="str">
        <f>_xlfn.XLOOKUP(Tabla2__2[[#This Row],[CODIGO RUTA]],'DATA INFORME'!I:I,'DATA INFORME'!K:K)</f>
        <v>SI</v>
      </c>
      <c r="M122" s="93" t="str">
        <f>IF(Tabla2__2[[#This Row],[MYSTERY EFECTIVO]]="SI",_xlfn.XLOOKUP(Tabla2__2[[#This Row],[PREGUNTA]],ENCUESTA!G:G,ENCUESTA!D:D),"N/A")</f>
        <v>PRESENTACIÓN PERSONAL</v>
      </c>
      <c r="N12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2" s="93" t="str">
        <f>_xlfn.XLOOKUP(Tabla2__2[[#This Row],[PREGUNTA]],ENCUESTA!G:G,ENCUESTA!H:H)</f>
        <v>NO</v>
      </c>
      <c r="P122" s="93">
        <f>IF(Tabla2__2[[#This Row],[RTA]]=Tabla2__2[[#This Row],[RTA CORRECTA]],Tabla2__2[[#This Row],[TOTAL PUNTAJE]],0)</f>
        <v>1</v>
      </c>
      <c r="Q122" s="93">
        <f>IF(OR(H122="Dog Chow húmedo",H122="Cat Chow húmedo",H122="Fancy Feast",H122="Felix",H122="Proplan húmedo",H122="One húmedo",H122="Snack Abrazzos",H122="Snak Dentalife",H122="Arenilla Tidy Cat"),N122,0)</f>
        <v>0</v>
      </c>
      <c r="R122" s="93"/>
    </row>
    <row r="123" spans="1:18" x14ac:dyDescent="0.35">
      <c r="A123" s="93" t="s">
        <v>109</v>
      </c>
      <c r="B123" s="93" t="s">
        <v>112</v>
      </c>
      <c r="C123" s="90" t="s">
        <v>14</v>
      </c>
      <c r="D123" s="93" t="s">
        <v>186</v>
      </c>
      <c r="E123" s="94">
        <v>424775</v>
      </c>
      <c r="F123" s="93" t="s">
        <v>189</v>
      </c>
      <c r="G123" s="93" t="s">
        <v>92</v>
      </c>
      <c r="H123" s="93" t="s">
        <v>20</v>
      </c>
      <c r="I123" s="95"/>
      <c r="J123" s="94">
        <v>29574458</v>
      </c>
      <c r="K123" s="93" t="s">
        <v>114</v>
      </c>
      <c r="L123" s="93" t="str">
        <f>_xlfn.XLOOKUP(Tabla2__2[[#This Row],[CODIGO RUTA]],'DATA INFORME'!I:I,'DATA INFORME'!K:K)</f>
        <v>SI</v>
      </c>
      <c r="M123" s="93" t="str">
        <f>IF(Tabla2__2[[#This Row],[MYSTERY EFECTIVO]]="SI",_xlfn.XLOOKUP(Tabla2__2[[#This Row],[PREGUNTA]],ENCUESTA!G:G,ENCUESTA!D:D),"N/A")</f>
        <v>PRESENTACIÓN PERSONAL</v>
      </c>
      <c r="N12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3" s="93" t="str">
        <f>_xlfn.XLOOKUP(Tabla2__2[[#This Row],[PREGUNTA]],ENCUESTA!G:G,ENCUESTA!H:H)</f>
        <v>SI</v>
      </c>
      <c r="P123" s="93">
        <f>IF(Tabla2__2[[#This Row],[RTA]]=Tabla2__2[[#This Row],[RTA CORRECTA]],Tabla2__2[[#This Row],[TOTAL PUNTAJE]],0)</f>
        <v>1</v>
      </c>
      <c r="Q123" s="93">
        <f>IF(OR(H123="Dog Chow húmedo",H123="Cat Chow húmedo",H123="Fancy Feast",H123="Felix",H123="Proplan húmedo",H123="One húmedo",H123="Snack Abrazzos",H123="Snak Dentalife",H123="Arenilla Tidy Cat"),N123,0)</f>
        <v>0</v>
      </c>
      <c r="R123" s="93"/>
    </row>
    <row r="124" spans="1:18" x14ac:dyDescent="0.35">
      <c r="A124" s="93" t="s">
        <v>109</v>
      </c>
      <c r="B124" s="93" t="s">
        <v>112</v>
      </c>
      <c r="C124" s="90" t="s">
        <v>14</v>
      </c>
      <c r="D124" s="93" t="s">
        <v>186</v>
      </c>
      <c r="E124" s="94">
        <v>424775</v>
      </c>
      <c r="F124" s="93" t="s">
        <v>189</v>
      </c>
      <c r="G124" s="93" t="s">
        <v>93</v>
      </c>
      <c r="H124" s="93" t="s">
        <v>20</v>
      </c>
      <c r="I124" s="95"/>
      <c r="J124" s="94">
        <v>29574458</v>
      </c>
      <c r="K124" s="93" t="s">
        <v>114</v>
      </c>
      <c r="L124" s="93" t="str">
        <f>_xlfn.XLOOKUP(Tabla2__2[[#This Row],[CODIGO RUTA]],'DATA INFORME'!I:I,'DATA INFORME'!K:K)</f>
        <v>SI</v>
      </c>
      <c r="M124" s="93" t="str">
        <f>IF(Tabla2__2[[#This Row],[MYSTERY EFECTIVO]]="SI",_xlfn.XLOOKUP(Tabla2__2[[#This Row],[PREGUNTA]],ENCUESTA!G:G,ENCUESTA!D:D),"N/A")</f>
        <v>PRESENTACIÓN PERSONAL</v>
      </c>
      <c r="N12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4" s="93" t="str">
        <f>_xlfn.XLOOKUP(Tabla2__2[[#This Row],[PREGUNTA]],ENCUESTA!G:G,ENCUESTA!H:H)</f>
        <v>SI</v>
      </c>
      <c r="P124" s="93">
        <f>IF(Tabla2__2[[#This Row],[RTA]]=Tabla2__2[[#This Row],[RTA CORRECTA]],Tabla2__2[[#This Row],[TOTAL PUNTAJE]],0)</f>
        <v>1</v>
      </c>
      <c r="Q124" s="93">
        <f>IF(OR(H124="Dog Chow húmedo",H124="Cat Chow húmedo",H124="Fancy Feast",H124="Felix",H124="Proplan húmedo",H124="One húmedo",H124="Snack Abrazzos",H124="Snak Dentalife",H124="Arenilla Tidy Cat"),N124,0)</f>
        <v>0</v>
      </c>
      <c r="R124" s="93"/>
    </row>
    <row r="125" spans="1:18" x14ac:dyDescent="0.35">
      <c r="A125" s="93" t="s">
        <v>109</v>
      </c>
      <c r="B125" s="93" t="s">
        <v>112</v>
      </c>
      <c r="C125" s="90" t="s">
        <v>14</v>
      </c>
      <c r="D125" s="93" t="s">
        <v>186</v>
      </c>
      <c r="E125" s="94">
        <v>424775</v>
      </c>
      <c r="F125" s="93" t="s">
        <v>189</v>
      </c>
      <c r="G125" s="93" t="s">
        <v>94</v>
      </c>
      <c r="H125" s="93" t="s">
        <v>108</v>
      </c>
      <c r="I125" s="95"/>
      <c r="J125" s="94">
        <v>29574458</v>
      </c>
      <c r="K125" s="93" t="s">
        <v>114</v>
      </c>
      <c r="L125" s="93" t="str">
        <f>_xlfn.XLOOKUP(Tabla2__2[[#This Row],[CODIGO RUTA]],'DATA INFORME'!I:I,'DATA INFORME'!K:K)</f>
        <v>SI</v>
      </c>
      <c r="M125" s="93" t="str">
        <f>IF(Tabla2__2[[#This Row],[MYSTERY EFECTIVO]]="SI",_xlfn.XLOOKUP(Tabla2__2[[#This Row],[PREGUNTA]],ENCUESTA!G:G,ENCUESTA!D:D),"N/A")</f>
        <v>PRESENTACIÓN PERSONAL</v>
      </c>
      <c r="N12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5" s="93" t="str">
        <f>_xlfn.XLOOKUP(Tabla2__2[[#This Row],[PREGUNTA]],ENCUESTA!G:G,ENCUESTA!H:H)</f>
        <v>NO</v>
      </c>
      <c r="P125" s="93">
        <f>IF(Tabla2__2[[#This Row],[RTA]]=Tabla2__2[[#This Row],[RTA CORRECTA]],Tabla2__2[[#This Row],[TOTAL PUNTAJE]],0)</f>
        <v>1</v>
      </c>
      <c r="Q125" s="93">
        <f>IF(OR(H125="Dog Chow húmedo",H125="Cat Chow húmedo",H125="Fancy Feast",H125="Felix",H125="Proplan húmedo",H125="One húmedo",H125="Snack Abrazzos",H125="Snak Dentalife",H125="Arenilla Tidy Cat"),N125,0)</f>
        <v>0</v>
      </c>
      <c r="R125" s="93"/>
    </row>
    <row r="126" spans="1:18" x14ac:dyDescent="0.35">
      <c r="A126" s="93" t="s">
        <v>109</v>
      </c>
      <c r="B126" s="93" t="s">
        <v>112</v>
      </c>
      <c r="C126" s="90" t="s">
        <v>14</v>
      </c>
      <c r="D126" s="93" t="s">
        <v>186</v>
      </c>
      <c r="E126" s="94">
        <v>424775</v>
      </c>
      <c r="F126" s="93" t="s">
        <v>189</v>
      </c>
      <c r="G126" s="93" t="s">
        <v>95</v>
      </c>
      <c r="H126" s="93" t="s">
        <v>108</v>
      </c>
      <c r="I126" s="95"/>
      <c r="J126" s="94">
        <v>29574458</v>
      </c>
      <c r="K126" s="93" t="s">
        <v>114</v>
      </c>
      <c r="L126" s="93" t="str">
        <f>_xlfn.XLOOKUP(Tabla2__2[[#This Row],[CODIGO RUTA]],'DATA INFORME'!I:I,'DATA INFORME'!K:K)</f>
        <v>SI</v>
      </c>
      <c r="M126" s="93" t="str">
        <f>IF(Tabla2__2[[#This Row],[MYSTERY EFECTIVO]]="SI",_xlfn.XLOOKUP(Tabla2__2[[#This Row],[PREGUNTA]],ENCUESTA!G:G,ENCUESTA!D:D),"N/A")</f>
        <v>PRESENTACIÓN PERSONAL</v>
      </c>
      <c r="N12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6" s="93" t="str">
        <f>_xlfn.XLOOKUP(Tabla2__2[[#This Row],[PREGUNTA]],ENCUESTA!G:G,ENCUESTA!H:H)</f>
        <v>NO</v>
      </c>
      <c r="P126" s="93">
        <f>IF(Tabla2__2[[#This Row],[RTA]]=Tabla2__2[[#This Row],[RTA CORRECTA]],Tabla2__2[[#This Row],[TOTAL PUNTAJE]],0)</f>
        <v>1</v>
      </c>
      <c r="Q126" s="93">
        <f>IF(OR(H126="Dog Chow húmedo",H126="Cat Chow húmedo",H126="Fancy Feast",H126="Felix",H126="Proplan húmedo",H126="One húmedo",H126="Snack Abrazzos",H126="Snak Dentalife",H126="Arenilla Tidy Cat"),N126,0)</f>
        <v>0</v>
      </c>
      <c r="R126" s="93"/>
    </row>
    <row r="127" spans="1:18" x14ac:dyDescent="0.35">
      <c r="A127" s="93" t="s">
        <v>109</v>
      </c>
      <c r="B127" s="93" t="s">
        <v>112</v>
      </c>
      <c r="C127" s="90" t="s">
        <v>14</v>
      </c>
      <c r="D127" s="93" t="s">
        <v>186</v>
      </c>
      <c r="E127" s="94">
        <v>424775</v>
      </c>
      <c r="F127" s="93" t="s">
        <v>189</v>
      </c>
      <c r="G127" s="93" t="s">
        <v>96</v>
      </c>
      <c r="H127" s="93" t="s">
        <v>108</v>
      </c>
      <c r="I127" s="95"/>
      <c r="J127" s="94">
        <v>29574458</v>
      </c>
      <c r="K127" s="93" t="s">
        <v>114</v>
      </c>
      <c r="L127" s="93" t="str">
        <f>_xlfn.XLOOKUP(Tabla2__2[[#This Row],[CODIGO RUTA]],'DATA INFORME'!I:I,'DATA INFORME'!K:K)</f>
        <v>SI</v>
      </c>
      <c r="M127" s="93" t="str">
        <f>IF(Tabla2__2[[#This Row],[MYSTERY EFECTIVO]]="SI",_xlfn.XLOOKUP(Tabla2__2[[#This Row],[PREGUNTA]],ENCUESTA!G:G,ENCUESTA!D:D),"N/A")</f>
        <v>PRESENTACIÓN PERSONAL</v>
      </c>
      <c r="N12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7" s="93" t="str">
        <f>_xlfn.XLOOKUP(Tabla2__2[[#This Row],[PREGUNTA]],ENCUESTA!G:G,ENCUESTA!H:H)</f>
        <v>NO</v>
      </c>
      <c r="P127" s="93">
        <f>IF(Tabla2__2[[#This Row],[RTA]]=Tabla2__2[[#This Row],[RTA CORRECTA]],Tabla2__2[[#This Row],[TOTAL PUNTAJE]],0)</f>
        <v>1</v>
      </c>
      <c r="Q127" s="93">
        <f>IF(OR(H127="Dog Chow húmedo",H127="Cat Chow húmedo",H127="Fancy Feast",H127="Felix",H127="Proplan húmedo",H127="One húmedo",H127="Snack Abrazzos",H127="Snak Dentalife",H127="Arenilla Tidy Cat"),N127,0)</f>
        <v>0</v>
      </c>
      <c r="R127" s="93"/>
    </row>
    <row r="128" spans="1:18" x14ac:dyDescent="0.35">
      <c r="A128" s="93" t="s">
        <v>109</v>
      </c>
      <c r="B128" s="93" t="s">
        <v>112</v>
      </c>
      <c r="C128" s="90" t="s">
        <v>14</v>
      </c>
      <c r="D128" s="93" t="s">
        <v>186</v>
      </c>
      <c r="E128" s="94">
        <v>424775</v>
      </c>
      <c r="F128" s="93" t="s">
        <v>189</v>
      </c>
      <c r="G128" s="93" t="s">
        <v>97</v>
      </c>
      <c r="H128" s="93" t="s">
        <v>108</v>
      </c>
      <c r="I128" s="95"/>
      <c r="J128" s="94">
        <v>29574458</v>
      </c>
      <c r="K128" s="93" t="s">
        <v>114</v>
      </c>
      <c r="L128" s="93" t="str">
        <f>_xlfn.XLOOKUP(Tabla2__2[[#This Row],[CODIGO RUTA]],'DATA INFORME'!I:I,'DATA INFORME'!K:K)</f>
        <v>SI</v>
      </c>
      <c r="M128" s="93" t="str">
        <f>IF(Tabla2__2[[#This Row],[MYSTERY EFECTIVO]]="SI",_xlfn.XLOOKUP(Tabla2__2[[#This Row],[PREGUNTA]],ENCUESTA!G:G,ENCUESTA!D:D),"N/A")</f>
        <v>PRESENTACIÓN PERSONAL</v>
      </c>
      <c r="N12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8" s="93" t="str">
        <f>_xlfn.XLOOKUP(Tabla2__2[[#This Row],[PREGUNTA]],ENCUESTA!G:G,ENCUESTA!H:H)</f>
        <v>NO</v>
      </c>
      <c r="P128" s="93">
        <f>IF(Tabla2__2[[#This Row],[RTA]]=Tabla2__2[[#This Row],[RTA CORRECTA]],Tabla2__2[[#This Row],[TOTAL PUNTAJE]],0)</f>
        <v>1</v>
      </c>
      <c r="Q128" s="93">
        <f>IF(OR(H128="Dog Chow húmedo",H128="Cat Chow húmedo",H128="Fancy Feast",H128="Felix",H128="Proplan húmedo",H128="One húmedo",H128="Snack Abrazzos",H128="Snak Dentalife",H128="Arenilla Tidy Cat"),N128,0)</f>
        <v>0</v>
      </c>
      <c r="R128" s="93"/>
    </row>
    <row r="129" spans="1:18" x14ac:dyDescent="0.35">
      <c r="A129" s="93" t="s">
        <v>109</v>
      </c>
      <c r="B129" s="93" t="s">
        <v>112</v>
      </c>
      <c r="C129" s="90" t="s">
        <v>14</v>
      </c>
      <c r="D129" s="93" t="s">
        <v>186</v>
      </c>
      <c r="E129" s="94">
        <v>424775</v>
      </c>
      <c r="F129" s="93" t="s">
        <v>189</v>
      </c>
      <c r="G129" s="93" t="s">
        <v>147</v>
      </c>
      <c r="H129" s="93" t="s">
        <v>20</v>
      </c>
      <c r="I129" s="95"/>
      <c r="J129" s="94">
        <v>29574458</v>
      </c>
      <c r="K129" s="93" t="s">
        <v>114</v>
      </c>
      <c r="L129" s="93" t="str">
        <f>_xlfn.XLOOKUP(Tabla2__2[[#This Row],[CODIGO RUTA]],'DATA INFORME'!I:I,'DATA INFORME'!K:K)</f>
        <v>SI</v>
      </c>
      <c r="M129" s="93" t="str">
        <f>IF(Tabla2__2[[#This Row],[MYSTERY EFECTIVO]]="SI",_xlfn.XLOOKUP(Tabla2__2[[#This Row],[PREGUNTA]],ENCUESTA!G:G,ENCUESTA!D:D),"N/A")</f>
        <v>EJECUCIÓN DEL PDV</v>
      </c>
      <c r="N12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9" s="93" t="str">
        <f>_xlfn.XLOOKUP(Tabla2__2[[#This Row],[PREGUNTA]],ENCUESTA!G:G,ENCUESTA!H:H)</f>
        <v>SI</v>
      </c>
      <c r="P129" s="93">
        <f>IF(Tabla2__2[[#This Row],[RTA]]=Tabla2__2[[#This Row],[RTA CORRECTA]],Tabla2__2[[#This Row],[TOTAL PUNTAJE]],0)</f>
        <v>3.75</v>
      </c>
      <c r="Q129" s="93">
        <f>IF(OR(H129="Dog Chow húmedo",H129="Cat Chow húmedo",H129="Fancy Feast",H129="Felix",H129="Proplan húmedo",H129="One húmedo",H129="Snack Abrazzos",H129="Snak Dentalife",H129="Arenilla Tidy Cat"),N129,0)</f>
        <v>0</v>
      </c>
      <c r="R129" s="93"/>
    </row>
    <row r="130" spans="1:18" x14ac:dyDescent="0.35">
      <c r="A130" s="93" t="s">
        <v>109</v>
      </c>
      <c r="B130" s="93" t="s">
        <v>112</v>
      </c>
      <c r="C130" s="90" t="s">
        <v>14</v>
      </c>
      <c r="D130" s="93" t="s">
        <v>186</v>
      </c>
      <c r="E130" s="94">
        <v>424775</v>
      </c>
      <c r="F130" s="93" t="s">
        <v>189</v>
      </c>
      <c r="G130" s="93" t="s">
        <v>148</v>
      </c>
      <c r="H130" s="93" t="s">
        <v>20</v>
      </c>
      <c r="I130" s="95"/>
      <c r="J130" s="94">
        <v>29574458</v>
      </c>
      <c r="K130" s="93" t="s">
        <v>114</v>
      </c>
      <c r="L130" s="93" t="str">
        <f>_xlfn.XLOOKUP(Tabla2__2[[#This Row],[CODIGO RUTA]],'DATA INFORME'!I:I,'DATA INFORME'!K:K)</f>
        <v>SI</v>
      </c>
      <c r="M130" s="93" t="str">
        <f>IF(Tabla2__2[[#This Row],[MYSTERY EFECTIVO]]="SI",_xlfn.XLOOKUP(Tabla2__2[[#This Row],[PREGUNTA]],ENCUESTA!G:G,ENCUESTA!D:D),"N/A")</f>
        <v>EJECUCIÓN DEL PDV</v>
      </c>
      <c r="N13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0" s="93" t="str">
        <f>_xlfn.XLOOKUP(Tabla2__2[[#This Row],[PREGUNTA]],ENCUESTA!G:G,ENCUESTA!H:H)</f>
        <v>SI</v>
      </c>
      <c r="P130" s="93">
        <f>IF(Tabla2__2[[#This Row],[RTA]]=Tabla2__2[[#This Row],[RTA CORRECTA]],Tabla2__2[[#This Row],[TOTAL PUNTAJE]],0)</f>
        <v>3.75</v>
      </c>
      <c r="Q130" s="93">
        <f>IF(OR(H130="Dog Chow húmedo",H130="Cat Chow húmedo",H130="Fancy Feast",H130="Felix",H130="Proplan húmedo",H130="One húmedo",H130="Snack Abrazzos",H130="Snak Dentalife",H130="Arenilla Tidy Cat"),N130,0)</f>
        <v>0</v>
      </c>
      <c r="R130" s="93"/>
    </row>
    <row r="131" spans="1:18" x14ac:dyDescent="0.35">
      <c r="A131" s="93" t="s">
        <v>109</v>
      </c>
      <c r="B131" s="93" t="s">
        <v>112</v>
      </c>
      <c r="C131" s="90" t="s">
        <v>14</v>
      </c>
      <c r="D131" s="93" t="s">
        <v>186</v>
      </c>
      <c r="E131" s="94">
        <v>424775</v>
      </c>
      <c r="F131" s="93" t="s">
        <v>189</v>
      </c>
      <c r="G131" s="93" t="s">
        <v>98</v>
      </c>
      <c r="H131" s="93" t="s">
        <v>20</v>
      </c>
      <c r="I131" s="95"/>
      <c r="J131" s="94">
        <v>29574458</v>
      </c>
      <c r="K131" s="93" t="s">
        <v>114</v>
      </c>
      <c r="L131" s="93" t="str">
        <f>_xlfn.XLOOKUP(Tabla2__2[[#This Row],[CODIGO RUTA]],'DATA INFORME'!I:I,'DATA INFORME'!K:K)</f>
        <v>SI</v>
      </c>
      <c r="M131" s="93" t="str">
        <f>IF(Tabla2__2[[#This Row],[MYSTERY EFECTIVO]]="SI",_xlfn.XLOOKUP(Tabla2__2[[#This Row],[PREGUNTA]],ENCUESTA!G:G,ENCUESTA!D:D),"N/A")</f>
        <v>EJECUCIÓN DEL PDV</v>
      </c>
      <c r="N13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1" s="93" t="str">
        <f>_xlfn.XLOOKUP(Tabla2__2[[#This Row],[PREGUNTA]],ENCUESTA!G:G,ENCUESTA!H:H)</f>
        <v>SI</v>
      </c>
      <c r="P131" s="93">
        <f>IF(Tabla2__2[[#This Row],[RTA]]=Tabla2__2[[#This Row],[RTA CORRECTA]],Tabla2__2[[#This Row],[TOTAL PUNTAJE]],0)</f>
        <v>3.75</v>
      </c>
      <c r="Q131" s="93">
        <f>IF(OR(H131="Dog Chow húmedo",H131="Cat Chow húmedo",H131="Fancy Feast",H131="Felix",H131="Proplan húmedo",H131="One húmedo",H131="Snack Abrazzos",H131="Snak Dentalife",H131="Arenilla Tidy Cat"),N131,0)</f>
        <v>0</v>
      </c>
      <c r="R131" s="93"/>
    </row>
    <row r="132" spans="1:18" x14ac:dyDescent="0.35">
      <c r="A132" s="93" t="s">
        <v>109</v>
      </c>
      <c r="B132" s="93" t="s">
        <v>112</v>
      </c>
      <c r="C132" s="90" t="s">
        <v>14</v>
      </c>
      <c r="D132" s="93" t="s">
        <v>186</v>
      </c>
      <c r="E132" s="94">
        <v>424775</v>
      </c>
      <c r="F132" s="93" t="s">
        <v>189</v>
      </c>
      <c r="G132" s="93" t="s">
        <v>99</v>
      </c>
      <c r="H132" s="93" t="s">
        <v>20</v>
      </c>
      <c r="I132" s="95"/>
      <c r="J132" s="94">
        <v>29574458</v>
      </c>
      <c r="K132" s="93" t="s">
        <v>114</v>
      </c>
      <c r="L132" s="93" t="str">
        <f>_xlfn.XLOOKUP(Tabla2__2[[#This Row],[CODIGO RUTA]],'DATA INFORME'!I:I,'DATA INFORME'!K:K)</f>
        <v>SI</v>
      </c>
      <c r="M132" s="93" t="str">
        <f>IF(Tabla2__2[[#This Row],[MYSTERY EFECTIVO]]="SI",_xlfn.XLOOKUP(Tabla2__2[[#This Row],[PREGUNTA]],ENCUESTA!G:G,ENCUESTA!D:D),"N/A")</f>
        <v>EJECUCIÓN DEL PDV</v>
      </c>
      <c r="N13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2" s="93" t="str">
        <f>_xlfn.XLOOKUP(Tabla2__2[[#This Row],[PREGUNTA]],ENCUESTA!G:G,ENCUESTA!H:H)</f>
        <v>SI</v>
      </c>
      <c r="P132" s="93">
        <f>IF(Tabla2__2[[#This Row],[RTA]]=Tabla2__2[[#This Row],[RTA CORRECTA]],Tabla2__2[[#This Row],[TOTAL PUNTAJE]],0)</f>
        <v>3.75</v>
      </c>
      <c r="Q132" s="93">
        <f>IF(OR(H132="Dog Chow húmedo",H132="Cat Chow húmedo",H132="Fancy Feast",H132="Felix",H132="Proplan húmedo",H132="One húmedo",H132="Snack Abrazzos",H132="Snak Dentalife",H132="Arenilla Tidy Cat"),N132,0)</f>
        <v>0</v>
      </c>
      <c r="R132" s="93"/>
    </row>
    <row r="133" spans="1:18" x14ac:dyDescent="0.35">
      <c r="A133" s="93" t="s">
        <v>109</v>
      </c>
      <c r="B133" s="93" t="s">
        <v>112</v>
      </c>
      <c r="C133" s="90" t="s">
        <v>14</v>
      </c>
      <c r="D133" s="93" t="s">
        <v>186</v>
      </c>
      <c r="E133" s="94">
        <v>424775</v>
      </c>
      <c r="F133" s="93" t="s">
        <v>189</v>
      </c>
      <c r="G133" s="93" t="s">
        <v>100</v>
      </c>
      <c r="H133" s="93" t="s">
        <v>20</v>
      </c>
      <c r="I133" s="95"/>
      <c r="J133" s="94">
        <v>29574458</v>
      </c>
      <c r="K133" s="93" t="s">
        <v>114</v>
      </c>
      <c r="L133" s="93" t="str">
        <f>_xlfn.XLOOKUP(Tabla2__2[[#This Row],[CODIGO RUTA]],'DATA INFORME'!I:I,'DATA INFORME'!K:K)</f>
        <v>SI</v>
      </c>
      <c r="M133" s="93" t="str">
        <f>IF(Tabla2__2[[#This Row],[MYSTERY EFECTIVO]]="SI",_xlfn.XLOOKUP(Tabla2__2[[#This Row],[PREGUNTA]],ENCUESTA!G:G,ENCUESTA!D:D),"N/A")</f>
        <v>EJECUCIÓN DEL PDV</v>
      </c>
      <c r="N13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3" s="93" t="str">
        <f>_xlfn.XLOOKUP(Tabla2__2[[#This Row],[PREGUNTA]],ENCUESTA!G:G,ENCUESTA!H:H)</f>
        <v>SI</v>
      </c>
      <c r="P133" s="93">
        <f>IF(Tabla2__2[[#This Row],[RTA]]=Tabla2__2[[#This Row],[RTA CORRECTA]],Tabla2__2[[#This Row],[TOTAL PUNTAJE]],0)</f>
        <v>3.75</v>
      </c>
      <c r="Q133" s="93">
        <f>IF(OR(H133="Dog Chow húmedo",H133="Cat Chow húmedo",H133="Fancy Feast",H133="Felix",H133="Proplan húmedo",H133="One húmedo",H133="Snack Abrazzos",H133="Snak Dentalife",H133="Arenilla Tidy Cat"),N133,0)</f>
        <v>0</v>
      </c>
      <c r="R133" s="93"/>
    </row>
    <row r="134" spans="1:18" x14ac:dyDescent="0.35">
      <c r="A134" s="93" t="s">
        <v>109</v>
      </c>
      <c r="B134" s="93" t="s">
        <v>112</v>
      </c>
      <c r="C134" s="90" t="s">
        <v>14</v>
      </c>
      <c r="D134" s="93" t="s">
        <v>186</v>
      </c>
      <c r="E134" s="94">
        <v>424775</v>
      </c>
      <c r="F134" s="93" t="s">
        <v>189</v>
      </c>
      <c r="G134" s="93" t="s">
        <v>35</v>
      </c>
      <c r="H134" s="93" t="s">
        <v>20</v>
      </c>
      <c r="I134" s="95"/>
      <c r="J134" s="94">
        <v>29574458</v>
      </c>
      <c r="K134" s="93" t="s">
        <v>114</v>
      </c>
      <c r="L134" s="93" t="str">
        <f>_xlfn.XLOOKUP(Tabla2__2[[#This Row],[CODIGO RUTA]],'DATA INFORME'!I:I,'DATA INFORME'!K:K)</f>
        <v>SI</v>
      </c>
      <c r="M134" s="93" t="str">
        <f>IF(Tabla2__2[[#This Row],[MYSTERY EFECTIVO]]="SI",_xlfn.XLOOKUP(Tabla2__2[[#This Row],[PREGUNTA]],ENCUESTA!G:G,ENCUESTA!D:D),"N/A")</f>
        <v>PRESENTACIÓN PERSONAL</v>
      </c>
      <c r="N13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4" s="93" t="str">
        <f>_xlfn.XLOOKUP(Tabla2__2[[#This Row],[PREGUNTA]],ENCUESTA!G:G,ENCUESTA!H:H)</f>
        <v>SI</v>
      </c>
      <c r="P134" s="93">
        <f>IF(Tabla2__2[[#This Row],[RTA]]=Tabla2__2[[#This Row],[RTA CORRECTA]],Tabla2__2[[#This Row],[TOTAL PUNTAJE]],0)</f>
        <v>1</v>
      </c>
      <c r="Q134" s="93">
        <f>IF(OR(H134="Dog Chow húmedo",H134="Cat Chow húmedo",H134="Fancy Feast",H134="Felix",H134="Proplan húmedo",H134="One húmedo",H134="Snack Abrazzos",H134="Snak Dentalife",H134="Arenilla Tidy Cat"),N134,0)</f>
        <v>0</v>
      </c>
      <c r="R134" s="93"/>
    </row>
    <row r="135" spans="1:18" x14ac:dyDescent="0.35">
      <c r="A135" s="93" t="s">
        <v>109</v>
      </c>
      <c r="B135" s="93" t="s">
        <v>112</v>
      </c>
      <c r="C135" s="90" t="s">
        <v>14</v>
      </c>
      <c r="D135" s="93" t="s">
        <v>186</v>
      </c>
      <c r="E135" s="94">
        <v>424775</v>
      </c>
      <c r="F135" s="93" t="s">
        <v>189</v>
      </c>
      <c r="G135" s="93" t="s">
        <v>149</v>
      </c>
      <c r="H135" s="93" t="s">
        <v>20</v>
      </c>
      <c r="I135" s="95"/>
      <c r="J135" s="94">
        <v>29574458</v>
      </c>
      <c r="K135" s="93" t="s">
        <v>114</v>
      </c>
      <c r="L135" s="93" t="str">
        <f>_xlfn.XLOOKUP(Tabla2__2[[#This Row],[CODIGO RUTA]],'DATA INFORME'!I:I,'DATA INFORME'!K:K)</f>
        <v>SI</v>
      </c>
      <c r="M135" s="93" t="str">
        <f>IF(Tabla2__2[[#This Row],[MYSTERY EFECTIVO]]="SI",_xlfn.XLOOKUP(Tabla2__2[[#This Row],[PREGUNTA]],ENCUESTA!G:G,ENCUESTA!D:D),"N/A")</f>
        <v>EJECUCIÓN DEL PDV</v>
      </c>
      <c r="N13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5" s="93" t="str">
        <f>_xlfn.XLOOKUP(Tabla2__2[[#This Row],[PREGUNTA]],ENCUESTA!G:G,ENCUESTA!H:H)</f>
        <v>SI</v>
      </c>
      <c r="P135" s="93">
        <f>IF(Tabla2__2[[#This Row],[RTA]]=Tabla2__2[[#This Row],[RTA CORRECTA]],Tabla2__2[[#This Row],[TOTAL PUNTAJE]],0)</f>
        <v>3.75</v>
      </c>
      <c r="Q135" s="93">
        <f>IF(OR(H135="Dog Chow húmedo",H135="Cat Chow húmedo",H135="Fancy Feast",H135="Felix",H135="Proplan húmedo",H135="One húmedo",H135="Snack Abrazzos",H135="Snak Dentalife",H135="Arenilla Tidy Cat"),N135,0)</f>
        <v>0</v>
      </c>
      <c r="R135" s="93"/>
    </row>
    <row r="136" spans="1:18" x14ac:dyDescent="0.35">
      <c r="A136" s="93" t="s">
        <v>109</v>
      </c>
      <c r="B136" s="93" t="s">
        <v>112</v>
      </c>
      <c r="C136" s="90" t="s">
        <v>14</v>
      </c>
      <c r="D136" s="93" t="s">
        <v>186</v>
      </c>
      <c r="E136" s="94">
        <v>424775</v>
      </c>
      <c r="F136" s="93" t="s">
        <v>189</v>
      </c>
      <c r="G136" s="93" t="s">
        <v>131</v>
      </c>
      <c r="H136" s="93" t="s">
        <v>20</v>
      </c>
      <c r="I136" s="95"/>
      <c r="J136" s="94">
        <v>29574458</v>
      </c>
      <c r="K136" s="93" t="s">
        <v>114</v>
      </c>
      <c r="L136" s="93" t="str">
        <f>_xlfn.XLOOKUP(Tabla2__2[[#This Row],[CODIGO RUTA]],'DATA INFORME'!I:I,'DATA INFORME'!K:K)</f>
        <v>SI</v>
      </c>
      <c r="M136" s="93" t="str">
        <f>IF(Tabla2__2[[#This Row],[MYSTERY EFECTIVO]]="SI",_xlfn.XLOOKUP(Tabla2__2[[#This Row],[PREGUNTA]],ENCUESTA!G:G,ENCUESTA!D:D),"N/A")</f>
        <v>EJECUCIÓN DEL PDV</v>
      </c>
      <c r="N13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6" s="93" t="str">
        <f>_xlfn.XLOOKUP(Tabla2__2[[#This Row],[PREGUNTA]],ENCUESTA!G:G,ENCUESTA!H:H)</f>
        <v>SI</v>
      </c>
      <c r="P136" s="93">
        <f>IF(Tabla2__2[[#This Row],[RTA]]=Tabla2__2[[#This Row],[RTA CORRECTA]],Tabla2__2[[#This Row],[TOTAL PUNTAJE]],0)</f>
        <v>3.75</v>
      </c>
      <c r="Q136" s="93">
        <f>IF(OR(H136="Dog Chow húmedo",H136="Cat Chow húmedo",H136="Fancy Feast",H136="Felix",H136="Proplan húmedo",H136="One húmedo",H136="Snack Abrazzos",H136="Snak Dentalife",H136="Arenilla Tidy Cat"),N136,0)</f>
        <v>0</v>
      </c>
      <c r="R136" s="93"/>
    </row>
    <row r="137" spans="1:18" x14ac:dyDescent="0.35">
      <c r="A137" s="93" t="s">
        <v>109</v>
      </c>
      <c r="B137" s="93" t="s">
        <v>112</v>
      </c>
      <c r="C137" s="90" t="s">
        <v>14</v>
      </c>
      <c r="D137" s="93" t="s">
        <v>186</v>
      </c>
      <c r="E137" s="94">
        <v>424775</v>
      </c>
      <c r="F137" s="93" t="s">
        <v>189</v>
      </c>
      <c r="G137" s="93" t="s">
        <v>101</v>
      </c>
      <c r="H137" s="93" t="s">
        <v>14</v>
      </c>
      <c r="I137" s="95"/>
      <c r="J137" s="94">
        <v>29574458</v>
      </c>
      <c r="K137" s="93" t="s">
        <v>114</v>
      </c>
      <c r="L137" s="93" t="str">
        <f>_xlfn.XLOOKUP(Tabla2__2[[#This Row],[CODIGO RUTA]],'DATA INFORME'!I:I,'DATA INFORME'!K:K)</f>
        <v>SI</v>
      </c>
      <c r="M137" s="93" t="str">
        <f>IF(Tabla2__2[[#This Row],[MYSTERY EFECTIVO]]="SI",_xlfn.XLOOKUP(Tabla2__2[[#This Row],[PREGUNTA]],ENCUESTA!G:G,ENCUESTA!D:D),"N/A")</f>
        <v>N/A</v>
      </c>
      <c r="N13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7" s="93">
        <f>_xlfn.XLOOKUP(Tabla2__2[[#This Row],[PREGUNTA]],ENCUESTA!G:G,ENCUESTA!H:H)</f>
        <v>0</v>
      </c>
      <c r="P137" s="93">
        <f>IF(Tabla2__2[[#This Row],[RTA]]=Tabla2__2[[#This Row],[RTA CORRECTA]],Tabla2__2[[#This Row],[TOTAL PUNTAJE]],0)</f>
        <v>0</v>
      </c>
      <c r="Q137" s="93">
        <f>IF(OR(H137="Dog Chow húmedo",H137="Cat Chow húmedo",H137="Fancy Feast",H137="Felix",H137="Proplan húmedo",H137="One húmedo",H137="Snack Abrazzos",H137="Snak Dentalife",H137="Arenilla Tidy Cat"),N137,0)</f>
        <v>0</v>
      </c>
      <c r="R137" s="93"/>
    </row>
    <row r="138" spans="1:18" x14ac:dyDescent="0.35">
      <c r="A138" s="93" t="s">
        <v>109</v>
      </c>
      <c r="B138" s="93" t="s">
        <v>112</v>
      </c>
      <c r="C138" s="90" t="s">
        <v>14</v>
      </c>
      <c r="D138" s="93" t="s">
        <v>186</v>
      </c>
      <c r="E138" s="94">
        <v>424775</v>
      </c>
      <c r="F138" s="93" t="s">
        <v>189</v>
      </c>
      <c r="G138" s="93" t="s">
        <v>127</v>
      </c>
      <c r="H138" s="93" t="s">
        <v>20</v>
      </c>
      <c r="I138" s="95"/>
      <c r="J138" s="94">
        <v>29574458</v>
      </c>
      <c r="K138" s="93" t="s">
        <v>114</v>
      </c>
      <c r="L138" s="93" t="str">
        <f>_xlfn.XLOOKUP(Tabla2__2[[#This Row],[CODIGO RUTA]],'DATA INFORME'!I:I,'DATA INFORME'!K:K)</f>
        <v>SI</v>
      </c>
      <c r="M138" s="93" t="str">
        <f>IF(Tabla2__2[[#This Row],[MYSTERY EFECTIVO]]="SI",_xlfn.XLOOKUP(Tabla2__2[[#This Row],[PREGUNTA]],ENCUESTA!G:G,ENCUESTA!D:D),"N/A")</f>
        <v>ACTIVIDADES DEL MES</v>
      </c>
      <c r="N13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8" s="93" t="str">
        <f>_xlfn.XLOOKUP(Tabla2__2[[#This Row],[PREGUNTA]],ENCUESTA!G:G,ENCUESTA!H:H)</f>
        <v>SI</v>
      </c>
      <c r="P138" s="93">
        <f>IF(Tabla2__2[[#This Row],[RTA]]=Tabla2__2[[#This Row],[RTA CORRECTA]],Tabla2__2[[#This Row],[TOTAL PUNTAJE]],0)</f>
        <v>8</v>
      </c>
      <c r="Q138" s="93">
        <f>IF(OR(H138="Dog Chow húmedo",H138="Cat Chow húmedo",H138="Fancy Feast",H138="Felix",H138="Proplan húmedo",H138="One húmedo",H138="Snack Abrazzos",H138="Snak Dentalife",H138="Arenilla Tidy Cat"),N138,0)</f>
        <v>0</v>
      </c>
      <c r="R138" s="93"/>
    </row>
    <row r="139" spans="1:18" x14ac:dyDescent="0.35">
      <c r="A139" s="93" t="s">
        <v>109</v>
      </c>
      <c r="B139" s="93" t="s">
        <v>112</v>
      </c>
      <c r="C139" s="90" t="s">
        <v>14</v>
      </c>
      <c r="D139" s="93" t="s">
        <v>186</v>
      </c>
      <c r="E139" s="94">
        <v>424775</v>
      </c>
      <c r="F139" s="93" t="s">
        <v>189</v>
      </c>
      <c r="G139" s="93" t="s">
        <v>118</v>
      </c>
      <c r="H139" s="93" t="s">
        <v>20</v>
      </c>
      <c r="I139" s="95"/>
      <c r="J139" s="94">
        <v>29574458</v>
      </c>
      <c r="K139" s="93" t="s">
        <v>114</v>
      </c>
      <c r="L139" s="93" t="str">
        <f>_xlfn.XLOOKUP(Tabla2__2[[#This Row],[CODIGO RUTA]],'DATA INFORME'!I:I,'DATA INFORME'!K:K)</f>
        <v>SI</v>
      </c>
      <c r="M139" s="93" t="str">
        <f>IF(Tabla2__2[[#This Row],[MYSTERY EFECTIVO]]="SI",_xlfn.XLOOKUP(Tabla2__2[[#This Row],[PREGUNTA]],ENCUESTA!G:G,ENCUESTA!D:D),"N/A")</f>
        <v>ACTIVIDADES DEL MES</v>
      </c>
      <c r="N13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9" s="93" t="str">
        <f>_xlfn.XLOOKUP(Tabla2__2[[#This Row],[PREGUNTA]],ENCUESTA!G:G,ENCUESTA!H:H)</f>
        <v>SI</v>
      </c>
      <c r="P139" s="93">
        <f>IF(Tabla2__2[[#This Row],[RTA]]=Tabla2__2[[#This Row],[RTA CORRECTA]],Tabla2__2[[#This Row],[TOTAL PUNTAJE]],0)</f>
        <v>8</v>
      </c>
      <c r="Q139" s="93">
        <f>IF(OR(H139="Dog Chow húmedo",H139="Cat Chow húmedo",H139="Fancy Feast",H139="Felix",H139="Proplan húmedo",H139="One húmedo",H139="Snack Abrazzos",H139="Snak Dentalife",H139="Arenilla Tidy Cat"),N139,0)</f>
        <v>0</v>
      </c>
      <c r="R139" s="93"/>
    </row>
    <row r="140" spans="1:18" x14ac:dyDescent="0.35">
      <c r="A140" s="93" t="s">
        <v>109</v>
      </c>
      <c r="B140" s="93" t="s">
        <v>112</v>
      </c>
      <c r="C140" s="90" t="s">
        <v>14</v>
      </c>
      <c r="D140" s="93" t="s">
        <v>186</v>
      </c>
      <c r="E140" s="94">
        <v>424775</v>
      </c>
      <c r="F140" s="93" t="s">
        <v>189</v>
      </c>
      <c r="G140" s="93" t="s">
        <v>119</v>
      </c>
      <c r="H140" s="93" t="s">
        <v>20</v>
      </c>
      <c r="I140" s="95"/>
      <c r="J140" s="94">
        <v>29574458</v>
      </c>
      <c r="K140" s="93" t="s">
        <v>114</v>
      </c>
      <c r="L140" s="93" t="str">
        <f>_xlfn.XLOOKUP(Tabla2__2[[#This Row],[CODIGO RUTA]],'DATA INFORME'!I:I,'DATA INFORME'!K:K)</f>
        <v>SI</v>
      </c>
      <c r="M140" s="93" t="str">
        <f>IF(Tabla2__2[[#This Row],[MYSTERY EFECTIVO]]="SI",_xlfn.XLOOKUP(Tabla2__2[[#This Row],[PREGUNTA]],ENCUESTA!G:G,ENCUESTA!D:D),"N/A")</f>
        <v>ACTIVIDADES DEL MES</v>
      </c>
      <c r="N14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40" s="93" t="str">
        <f>_xlfn.XLOOKUP(Tabla2__2[[#This Row],[PREGUNTA]],ENCUESTA!G:G,ENCUESTA!H:H)</f>
        <v>SI</v>
      </c>
      <c r="P140" s="93">
        <f>IF(Tabla2__2[[#This Row],[RTA]]=Tabla2__2[[#This Row],[RTA CORRECTA]],Tabla2__2[[#This Row],[TOTAL PUNTAJE]],0)</f>
        <v>8</v>
      </c>
      <c r="Q140" s="93">
        <f>IF(OR(H140="Dog Chow húmedo",H140="Cat Chow húmedo",H140="Fancy Feast",H140="Felix",H140="Proplan húmedo",H140="One húmedo",H140="Snack Abrazzos",H140="Snak Dentalife",H140="Arenilla Tidy Cat"),N140,0)</f>
        <v>0</v>
      </c>
      <c r="R140" s="93"/>
    </row>
    <row r="141" spans="1:18" x14ac:dyDescent="0.35">
      <c r="A141" s="93" t="s">
        <v>109</v>
      </c>
      <c r="B141" s="93" t="s">
        <v>112</v>
      </c>
      <c r="C141" s="90" t="s">
        <v>14</v>
      </c>
      <c r="D141" s="93" t="s">
        <v>186</v>
      </c>
      <c r="E141" s="94">
        <v>424775</v>
      </c>
      <c r="F141" s="93" t="s">
        <v>189</v>
      </c>
      <c r="G141" s="93" t="s">
        <v>133</v>
      </c>
      <c r="H141" s="93" t="s">
        <v>20</v>
      </c>
      <c r="I141" s="95"/>
      <c r="J141" s="94">
        <v>29574458</v>
      </c>
      <c r="K141" s="93" t="s">
        <v>114</v>
      </c>
      <c r="L141" s="93" t="str">
        <f>_xlfn.XLOOKUP(Tabla2__2[[#This Row],[CODIGO RUTA]],'DATA INFORME'!I:I,'DATA INFORME'!K:K)</f>
        <v>SI</v>
      </c>
      <c r="M141" s="93" t="str">
        <f>IF(Tabla2__2[[#This Row],[MYSTERY EFECTIVO]]="SI",_xlfn.XLOOKUP(Tabla2__2[[#This Row],[PREGUNTA]],ENCUESTA!G:G,ENCUESTA!D:D),"N/A")</f>
        <v>ACTIVIDADES DEL MES</v>
      </c>
      <c r="N14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41" s="93" t="str">
        <f>_xlfn.XLOOKUP(Tabla2__2[[#This Row],[PREGUNTA]],ENCUESTA!G:G,ENCUESTA!H:H)</f>
        <v>SI</v>
      </c>
      <c r="P141" s="93">
        <f>IF(Tabla2__2[[#This Row],[RTA]]=Tabla2__2[[#This Row],[RTA CORRECTA]],Tabla2__2[[#This Row],[TOTAL PUNTAJE]],0)</f>
        <v>8</v>
      </c>
      <c r="Q141" s="93">
        <f>IF(OR(H141="Dog Chow húmedo",H141="Cat Chow húmedo",H141="Fancy Feast",H141="Felix",H141="Proplan húmedo",H141="One húmedo",H141="Snack Abrazzos",H141="Snak Dentalife",H141="Arenilla Tidy Cat"),N141,0)</f>
        <v>0</v>
      </c>
      <c r="R141" s="93"/>
    </row>
    <row r="142" spans="1:18" x14ac:dyDescent="0.35">
      <c r="A142" s="93" t="s">
        <v>109</v>
      </c>
      <c r="B142" s="93" t="s">
        <v>112</v>
      </c>
      <c r="C142" s="90" t="s">
        <v>14</v>
      </c>
      <c r="D142" s="93" t="s">
        <v>186</v>
      </c>
      <c r="E142" s="94">
        <v>424775</v>
      </c>
      <c r="F142" s="93" t="s">
        <v>189</v>
      </c>
      <c r="G142" s="93" t="s">
        <v>134</v>
      </c>
      <c r="H142" s="93" t="s">
        <v>20</v>
      </c>
      <c r="I142" s="95"/>
      <c r="J142" s="94">
        <v>29574458</v>
      </c>
      <c r="K142" s="93" t="s">
        <v>114</v>
      </c>
      <c r="L142" s="93" t="str">
        <f>_xlfn.XLOOKUP(Tabla2__2[[#This Row],[CODIGO RUTA]],'DATA INFORME'!I:I,'DATA INFORME'!K:K)</f>
        <v>SI</v>
      </c>
      <c r="M142" s="93" t="str">
        <f>IF(Tabla2__2[[#This Row],[MYSTERY EFECTIVO]]="SI",_xlfn.XLOOKUP(Tabla2__2[[#This Row],[PREGUNTA]],ENCUESTA!G:G,ENCUESTA!D:D),"N/A")</f>
        <v>ACTIVIDADES DEL MES</v>
      </c>
      <c r="N14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42" s="93" t="str">
        <f>_xlfn.XLOOKUP(Tabla2__2[[#This Row],[PREGUNTA]],ENCUESTA!G:G,ENCUESTA!H:H)</f>
        <v>SI</v>
      </c>
      <c r="P142" s="93">
        <f>IF(Tabla2__2[[#This Row],[RTA]]=Tabla2__2[[#This Row],[RTA CORRECTA]],Tabla2__2[[#This Row],[TOTAL PUNTAJE]],0)</f>
        <v>8</v>
      </c>
      <c r="Q142" s="93">
        <f>IF(OR(H142="Dog Chow húmedo",H142="Cat Chow húmedo",H142="Fancy Feast",H142="Felix",H142="Proplan húmedo",H142="One húmedo",H142="Snack Abrazzos",H142="Snak Dentalife",H142="Arenilla Tidy Cat"),N142,0)</f>
        <v>0</v>
      </c>
      <c r="R142" s="93"/>
    </row>
    <row r="143" spans="1:18" x14ac:dyDescent="0.35">
      <c r="A143" s="93" t="s">
        <v>109</v>
      </c>
      <c r="B143" s="93" t="s">
        <v>112</v>
      </c>
      <c r="C143" s="90" t="s">
        <v>14</v>
      </c>
      <c r="D143" s="93" t="s">
        <v>186</v>
      </c>
      <c r="E143" s="94">
        <v>424775</v>
      </c>
      <c r="F143" s="93" t="s">
        <v>189</v>
      </c>
      <c r="G143" s="93" t="s">
        <v>102</v>
      </c>
      <c r="H143" s="93" t="s">
        <v>108</v>
      </c>
      <c r="I143" s="95"/>
      <c r="J143" s="94">
        <v>29574458</v>
      </c>
      <c r="K143" s="93" t="s">
        <v>114</v>
      </c>
      <c r="L143" s="93" t="str">
        <f>_xlfn.XLOOKUP(Tabla2__2[[#This Row],[CODIGO RUTA]],'DATA INFORME'!I:I,'DATA INFORME'!K:K)</f>
        <v>SI</v>
      </c>
      <c r="M143" s="93" t="str">
        <f>IF(Tabla2__2[[#This Row],[MYSTERY EFECTIVO]]="SI",_xlfn.XLOOKUP(Tabla2__2[[#This Row],[PREGUNTA]],ENCUESTA!G:G,ENCUESTA!D:D),"N/A")</f>
        <v>N/A</v>
      </c>
      <c r="N14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3" s="93">
        <f>_xlfn.XLOOKUP(Tabla2__2[[#This Row],[PREGUNTA]],ENCUESTA!G:G,ENCUESTA!H:H)</f>
        <v>0</v>
      </c>
      <c r="P143" s="93">
        <f>IF(Tabla2__2[[#This Row],[RTA]]=Tabla2__2[[#This Row],[RTA CORRECTA]],Tabla2__2[[#This Row],[TOTAL PUNTAJE]],0)</f>
        <v>0</v>
      </c>
      <c r="Q143" s="93">
        <f>IF(OR(H143="Dog Chow húmedo",H143="Cat Chow húmedo",H143="Fancy Feast",H143="Felix",H143="Proplan húmedo",H143="One húmedo",H143="Snack Abrazzos",H143="Snak Dentalife",H143="Arenilla Tidy Cat"),N143,0)</f>
        <v>0</v>
      </c>
      <c r="R143" s="93"/>
    </row>
    <row r="144" spans="1:18" x14ac:dyDescent="0.35">
      <c r="A144" s="93" t="s">
        <v>109</v>
      </c>
      <c r="B144" s="93" t="s">
        <v>139</v>
      </c>
      <c r="C144" s="90" t="s">
        <v>43</v>
      </c>
      <c r="D144" s="93" t="s">
        <v>143</v>
      </c>
      <c r="E144" s="94">
        <v>556280</v>
      </c>
      <c r="F144" s="93" t="s">
        <v>195</v>
      </c>
      <c r="G144" s="93" t="s">
        <v>87</v>
      </c>
      <c r="H144" s="93" t="s">
        <v>108</v>
      </c>
      <c r="I144" s="95"/>
      <c r="J144" s="94">
        <v>29583575</v>
      </c>
      <c r="K144" s="93" t="s">
        <v>142</v>
      </c>
      <c r="L144" s="93" t="str">
        <f>_xlfn.XLOOKUP(Tabla2__2[[#This Row],[CODIGO RUTA]],'DATA INFORME'!I:I,'DATA INFORME'!K:K)</f>
        <v>NO</v>
      </c>
      <c r="M144" s="93" t="str">
        <f>IF(Tabla2__2[[#This Row],[MYSTERY EFECTIVO]]="SI",_xlfn.XLOOKUP(Tabla2__2[[#This Row],[PREGUNTA]],ENCUESTA!G:G,ENCUESTA!D:D),"N/A")</f>
        <v>N/A</v>
      </c>
      <c r="N14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4" s="93">
        <f>_xlfn.XLOOKUP(Tabla2__2[[#This Row],[PREGUNTA]],ENCUESTA!G:G,ENCUESTA!H:H)</f>
        <v>0</v>
      </c>
      <c r="P144" s="93">
        <f>IF(Tabla2__2[[#This Row],[RTA]]=Tabla2__2[[#This Row],[RTA CORRECTA]],Tabla2__2[[#This Row],[TOTAL PUNTAJE]],0)</f>
        <v>0</v>
      </c>
      <c r="Q144" s="93">
        <f>IF(OR(H144="Dog Chow húmedo",H144="Cat Chow húmedo",H144="Fancy Feast",H144="Felix",H144="Proplan húmedo",H144="One húmedo",H144="Snack Abrazzos",H144="Snak Dentalife",H144="Arenilla Tidy Cat"),N144,0)</f>
        <v>0</v>
      </c>
      <c r="R144" s="93"/>
    </row>
    <row r="145" spans="1:18" x14ac:dyDescent="0.35">
      <c r="A145" s="93" t="s">
        <v>109</v>
      </c>
      <c r="B145" s="93" t="s">
        <v>139</v>
      </c>
      <c r="C145" s="90" t="s">
        <v>43</v>
      </c>
      <c r="D145" s="93" t="s">
        <v>143</v>
      </c>
      <c r="E145" s="94">
        <v>556280</v>
      </c>
      <c r="F145" s="93" t="s">
        <v>195</v>
      </c>
      <c r="G145" s="93" t="s">
        <v>102</v>
      </c>
      <c r="H145" s="93" t="s">
        <v>20</v>
      </c>
      <c r="I145" s="95"/>
      <c r="J145" s="94">
        <v>29583575</v>
      </c>
      <c r="K145" s="93" t="s">
        <v>142</v>
      </c>
      <c r="L145" s="93" t="str">
        <f>_xlfn.XLOOKUP(Tabla2__2[[#This Row],[CODIGO RUTA]],'DATA INFORME'!I:I,'DATA INFORME'!K:K)</f>
        <v>NO</v>
      </c>
      <c r="M145" s="93" t="str">
        <f>IF(Tabla2__2[[#This Row],[MYSTERY EFECTIVO]]="SI",_xlfn.XLOOKUP(Tabla2__2[[#This Row],[PREGUNTA]],ENCUESTA!G:G,ENCUESTA!D:D),"N/A")</f>
        <v>N/A</v>
      </c>
      <c r="N14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5" s="93">
        <f>_xlfn.XLOOKUP(Tabla2__2[[#This Row],[PREGUNTA]],ENCUESTA!G:G,ENCUESTA!H:H)</f>
        <v>0</v>
      </c>
      <c r="P145" s="93">
        <f>IF(Tabla2__2[[#This Row],[RTA]]=Tabla2__2[[#This Row],[RTA CORRECTA]],Tabla2__2[[#This Row],[TOTAL PUNTAJE]],0)</f>
        <v>0</v>
      </c>
      <c r="Q145" s="93">
        <f>IF(OR(H145="Dog Chow húmedo",H145="Cat Chow húmedo",H145="Fancy Feast",H145="Felix",H145="Proplan húmedo",H145="One húmedo",H145="Snack Abrazzos",H145="Snak Dentalife",H145="Arenilla Tidy Cat"),N145,0)</f>
        <v>0</v>
      </c>
      <c r="R145" s="93"/>
    </row>
    <row r="146" spans="1:18" x14ac:dyDescent="0.35">
      <c r="A146" s="93" t="s">
        <v>109</v>
      </c>
      <c r="B146" s="93" t="s">
        <v>139</v>
      </c>
      <c r="C146" s="90" t="s">
        <v>43</v>
      </c>
      <c r="D146" s="93" t="s">
        <v>143</v>
      </c>
      <c r="E146" s="94">
        <v>556280</v>
      </c>
      <c r="F146" s="93" t="s">
        <v>195</v>
      </c>
      <c r="G146" s="93" t="s">
        <v>103</v>
      </c>
      <c r="H146" s="93" t="s">
        <v>200</v>
      </c>
      <c r="I146" s="95"/>
      <c r="J146" s="94">
        <v>29583575</v>
      </c>
      <c r="K146" s="93" t="s">
        <v>142</v>
      </c>
      <c r="L146" s="93" t="str">
        <f>_xlfn.XLOOKUP(Tabla2__2[[#This Row],[CODIGO RUTA]],'DATA INFORME'!I:I,'DATA INFORME'!K:K)</f>
        <v>NO</v>
      </c>
      <c r="M146" s="93" t="str">
        <f>IF(Tabla2__2[[#This Row],[MYSTERY EFECTIVO]]="SI",_xlfn.XLOOKUP(Tabla2__2[[#This Row],[PREGUNTA]],ENCUESTA!G:G,ENCUESTA!D:D),"N/A")</f>
        <v>N/A</v>
      </c>
      <c r="N14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6" s="93">
        <f>_xlfn.XLOOKUP(Tabla2__2[[#This Row],[PREGUNTA]],ENCUESTA!G:G,ENCUESTA!H:H)</f>
        <v>0</v>
      </c>
      <c r="P146" s="93">
        <f>IF(Tabla2__2[[#This Row],[RTA]]=Tabla2__2[[#This Row],[RTA CORRECTA]],Tabla2__2[[#This Row],[TOTAL PUNTAJE]],0)</f>
        <v>0</v>
      </c>
      <c r="Q146" s="93">
        <f>IF(OR(H146="Dog Chow húmedo",H146="Cat Chow húmedo",H146="Fancy Feast",H146="Felix",H146="Proplan húmedo",H146="One húmedo",H146="Snack Abrazzos",H146="Snak Dentalife",H146="Arenilla Tidy Cat"),N146,0)</f>
        <v>0</v>
      </c>
      <c r="R146" s="93"/>
    </row>
    <row r="147" spans="1:18" x14ac:dyDescent="0.35">
      <c r="A147" s="93" t="s">
        <v>109</v>
      </c>
      <c r="B147" s="93" t="s">
        <v>8</v>
      </c>
      <c r="C147" s="90" t="s">
        <v>43</v>
      </c>
      <c r="D147" s="93" t="s">
        <v>120</v>
      </c>
      <c r="E147" s="94">
        <v>355912</v>
      </c>
      <c r="F147" s="93" t="s">
        <v>202</v>
      </c>
      <c r="G147" s="93" t="s">
        <v>87</v>
      </c>
      <c r="H147" s="93" t="s">
        <v>20</v>
      </c>
      <c r="I147" s="95"/>
      <c r="J147" s="94">
        <v>29602428</v>
      </c>
      <c r="K147" s="93" t="s">
        <v>129</v>
      </c>
      <c r="L147" s="93" t="str">
        <f>_xlfn.XLOOKUP(Tabla2__2[[#This Row],[CODIGO RUTA]],'DATA INFORME'!I:I,'DATA INFORME'!K:K)</f>
        <v>SI</v>
      </c>
      <c r="M147" s="93" t="str">
        <f>IF(Tabla2__2[[#This Row],[MYSTERY EFECTIVO]]="SI",_xlfn.XLOOKUP(Tabla2__2[[#This Row],[PREGUNTA]],ENCUESTA!G:G,ENCUESTA!D:D),"N/A")</f>
        <v>N/A</v>
      </c>
      <c r="N14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7" s="93">
        <f>_xlfn.XLOOKUP(Tabla2__2[[#This Row],[PREGUNTA]],ENCUESTA!G:G,ENCUESTA!H:H)</f>
        <v>0</v>
      </c>
      <c r="P147" s="93">
        <f>IF(Tabla2__2[[#This Row],[RTA]]=Tabla2__2[[#This Row],[RTA CORRECTA]],Tabla2__2[[#This Row],[TOTAL PUNTAJE]],0)</f>
        <v>0</v>
      </c>
      <c r="Q147" s="93">
        <f>IF(OR(H147="Dog Chow húmedo",H147="Cat Chow húmedo",H147="Fancy Feast",H147="Felix",H147="Proplan húmedo",H147="One húmedo",H147="Snack Abrazzos",H147="Snak Dentalife",H147="Arenilla Tidy Cat"),N147,0)</f>
        <v>0</v>
      </c>
      <c r="R147" s="93"/>
    </row>
    <row r="148" spans="1:18" x14ac:dyDescent="0.35">
      <c r="A148" s="93" t="s">
        <v>109</v>
      </c>
      <c r="B148" s="93" t="s">
        <v>112</v>
      </c>
      <c r="C148" s="90" t="s">
        <v>14</v>
      </c>
      <c r="D148" s="93" t="s">
        <v>186</v>
      </c>
      <c r="E148" s="94">
        <v>424775</v>
      </c>
      <c r="F148" s="93" t="s">
        <v>189</v>
      </c>
      <c r="G148" s="93" t="s">
        <v>130</v>
      </c>
      <c r="H148" s="93" t="s">
        <v>20</v>
      </c>
      <c r="I148" s="95"/>
      <c r="J148" s="94">
        <v>29574458</v>
      </c>
      <c r="K148" s="93" t="s">
        <v>114</v>
      </c>
      <c r="L148" s="93" t="str">
        <f>_xlfn.XLOOKUP(Tabla2__2[[#This Row],[CODIGO RUTA]],'DATA INFORME'!I:I,'DATA INFORME'!K:K)</f>
        <v>SI</v>
      </c>
      <c r="M148" s="93" t="str">
        <f>IF(Tabla2__2[[#This Row],[MYSTERY EFECTIVO]]="SI",_xlfn.XLOOKUP(Tabla2__2[[#This Row],[PREGUNTA]],ENCUESTA!G:G,ENCUESTA!D:D),"N/A")</f>
        <v>EJECUCIÓN DEL PDV</v>
      </c>
      <c r="N14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8" s="93" t="str">
        <f>_xlfn.XLOOKUP(Tabla2__2[[#This Row],[PREGUNTA]],ENCUESTA!G:G,ENCUESTA!H:H)</f>
        <v>SI</v>
      </c>
      <c r="P148" s="93">
        <f>IF(Tabla2__2[[#This Row],[RTA]]=Tabla2__2[[#This Row],[RTA CORRECTA]],Tabla2__2[[#This Row],[TOTAL PUNTAJE]],0)</f>
        <v>3.75</v>
      </c>
      <c r="Q148" s="93">
        <f>IF(OR(H148="Dog Chow húmedo",H148="Cat Chow húmedo",H148="Fancy Feast",H148="Felix",H148="Proplan húmedo",H148="One húmedo",H148="Snack Abrazzos",H148="Snak Dentalife",H148="Arenilla Tidy Cat"),N148,0)</f>
        <v>0</v>
      </c>
      <c r="R148" s="93"/>
    </row>
    <row r="149" spans="1:18" x14ac:dyDescent="0.35">
      <c r="A149" s="93" t="s">
        <v>109</v>
      </c>
      <c r="B149" s="93" t="s">
        <v>8</v>
      </c>
      <c r="C149" s="90" t="s">
        <v>43</v>
      </c>
      <c r="D149" s="93" t="s">
        <v>120</v>
      </c>
      <c r="E149" s="94">
        <v>355912</v>
      </c>
      <c r="F149" s="93" t="s">
        <v>202</v>
      </c>
      <c r="G149" s="93" t="s">
        <v>88</v>
      </c>
      <c r="H149" s="93" t="s">
        <v>20</v>
      </c>
      <c r="I149" s="95"/>
      <c r="J149" s="94">
        <v>29602428</v>
      </c>
      <c r="K149" s="93" t="s">
        <v>129</v>
      </c>
      <c r="L149" s="93" t="str">
        <f>_xlfn.XLOOKUP(Tabla2__2[[#This Row],[CODIGO RUTA]],'DATA INFORME'!I:I,'DATA INFORME'!K:K)</f>
        <v>SI</v>
      </c>
      <c r="M149" s="93" t="str">
        <f>IF(Tabla2__2[[#This Row],[MYSTERY EFECTIVO]]="SI",_xlfn.XLOOKUP(Tabla2__2[[#This Row],[PREGUNTA]],ENCUESTA!G:G,ENCUESTA!D:D),"N/A")</f>
        <v>HORARIO</v>
      </c>
      <c r="N14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9" s="93" t="str">
        <f>_xlfn.XLOOKUP(Tabla2__2[[#This Row],[PREGUNTA]],ENCUESTA!G:G,ENCUESTA!H:H)</f>
        <v>SI</v>
      </c>
      <c r="P149" s="93">
        <f>IF(Tabla2__2[[#This Row],[RTA]]=Tabla2__2[[#This Row],[RTA CORRECTA]],Tabla2__2[[#This Row],[TOTAL PUNTAJE]],0)</f>
        <v>20</v>
      </c>
      <c r="Q149" s="93">
        <f>IF(OR(H149="Dog Chow húmedo",H149="Cat Chow húmedo",H149="Fancy Feast",H149="Felix",H149="Proplan húmedo",H149="One húmedo",H149="Snack Abrazzos",H149="Snak Dentalife",H149="Arenilla Tidy Cat"),N149,0)</f>
        <v>0</v>
      </c>
      <c r="R149" s="93"/>
    </row>
    <row r="150" spans="1:18" x14ac:dyDescent="0.35">
      <c r="A150" s="93" t="s">
        <v>109</v>
      </c>
      <c r="B150" s="93" t="s">
        <v>112</v>
      </c>
      <c r="C150" s="90" t="s">
        <v>14</v>
      </c>
      <c r="D150" s="93" t="s">
        <v>186</v>
      </c>
      <c r="E150" s="94">
        <v>424775</v>
      </c>
      <c r="F150" s="93" t="s">
        <v>189</v>
      </c>
      <c r="G150" s="93" t="s">
        <v>90</v>
      </c>
      <c r="H150" s="93" t="s">
        <v>20</v>
      </c>
      <c r="I150" s="95"/>
      <c r="J150" s="94">
        <v>29574458</v>
      </c>
      <c r="K150" s="93" t="s">
        <v>114</v>
      </c>
      <c r="L150" s="93" t="str">
        <f>_xlfn.XLOOKUP(Tabla2__2[[#This Row],[CODIGO RUTA]],'DATA INFORME'!I:I,'DATA INFORME'!K:K)</f>
        <v>SI</v>
      </c>
      <c r="M150" s="93" t="str">
        <f>IF(Tabla2__2[[#This Row],[MYSTERY EFECTIVO]]="SI",_xlfn.XLOOKUP(Tabla2__2[[#This Row],[PREGUNTA]],ENCUESTA!G:G,ENCUESTA!D:D),"N/A")</f>
        <v>PRESENTACIÓN PERSONAL</v>
      </c>
      <c r="N15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0" s="93" t="str">
        <f>_xlfn.XLOOKUP(Tabla2__2[[#This Row],[PREGUNTA]],ENCUESTA!G:G,ENCUESTA!H:H)</f>
        <v>SI</v>
      </c>
      <c r="P150" s="93">
        <f>IF(Tabla2__2[[#This Row],[RTA]]=Tabla2__2[[#This Row],[RTA CORRECTA]],Tabla2__2[[#This Row],[TOTAL PUNTAJE]],0)</f>
        <v>1</v>
      </c>
      <c r="Q150" s="93">
        <f>IF(OR(H150="Dog Chow húmedo",H150="Cat Chow húmedo",H150="Fancy Feast",H150="Felix",H150="Proplan húmedo",H150="One húmedo",H150="Snack Abrazzos",H150="Snak Dentalife",H150="Arenilla Tidy Cat"),N150,0)</f>
        <v>0</v>
      </c>
      <c r="R150" s="93"/>
    </row>
    <row r="151" spans="1:18" x14ac:dyDescent="0.35">
      <c r="A151" s="93" t="s">
        <v>109</v>
      </c>
      <c r="B151" s="93" t="s">
        <v>112</v>
      </c>
      <c r="C151" s="90" t="s">
        <v>14</v>
      </c>
      <c r="D151" s="93" t="s">
        <v>186</v>
      </c>
      <c r="E151" s="94">
        <v>424775</v>
      </c>
      <c r="F151" s="93" t="s">
        <v>189</v>
      </c>
      <c r="G151" s="93" t="s">
        <v>88</v>
      </c>
      <c r="H151" s="93" t="s">
        <v>20</v>
      </c>
      <c r="I151" s="95"/>
      <c r="J151" s="94">
        <v>29574458</v>
      </c>
      <c r="K151" s="93" t="s">
        <v>114</v>
      </c>
      <c r="L151" s="93" t="str">
        <f>_xlfn.XLOOKUP(Tabla2__2[[#This Row],[CODIGO RUTA]],'DATA INFORME'!I:I,'DATA INFORME'!K:K)</f>
        <v>SI</v>
      </c>
      <c r="M151" s="93" t="str">
        <f>IF(Tabla2__2[[#This Row],[MYSTERY EFECTIVO]]="SI",_xlfn.XLOOKUP(Tabla2__2[[#This Row],[PREGUNTA]],ENCUESTA!G:G,ENCUESTA!D:D),"N/A")</f>
        <v>HORARIO</v>
      </c>
      <c r="N15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51" s="93" t="str">
        <f>_xlfn.XLOOKUP(Tabla2__2[[#This Row],[PREGUNTA]],ENCUESTA!G:G,ENCUESTA!H:H)</f>
        <v>SI</v>
      </c>
      <c r="P151" s="93">
        <f>IF(Tabla2__2[[#This Row],[RTA]]=Tabla2__2[[#This Row],[RTA CORRECTA]],Tabla2__2[[#This Row],[TOTAL PUNTAJE]],0)</f>
        <v>20</v>
      </c>
      <c r="Q151" s="93">
        <f>IF(OR(H151="Dog Chow húmedo",H151="Cat Chow húmedo",H151="Fancy Feast",H151="Felix",H151="Proplan húmedo",H151="One húmedo",H151="Snack Abrazzos",H151="Snak Dentalife",H151="Arenilla Tidy Cat"),N151,0)</f>
        <v>0</v>
      </c>
      <c r="R151" s="93"/>
    </row>
    <row r="152" spans="1:18" x14ac:dyDescent="0.35">
      <c r="A152" s="93" t="s">
        <v>109</v>
      </c>
      <c r="B152" s="93" t="s">
        <v>146</v>
      </c>
      <c r="C152" s="90" t="s">
        <v>15</v>
      </c>
      <c r="D152" s="93" t="s">
        <v>123</v>
      </c>
      <c r="E152" s="94">
        <v>447964</v>
      </c>
      <c r="F152" s="93" t="s">
        <v>155</v>
      </c>
      <c r="G152" s="93" t="s">
        <v>88</v>
      </c>
      <c r="H152" s="93" t="s">
        <v>20</v>
      </c>
      <c r="I152" s="95"/>
      <c r="J152" s="94">
        <v>29572594</v>
      </c>
      <c r="K152" s="93" t="s">
        <v>126</v>
      </c>
      <c r="L152" s="93" t="str">
        <f>_xlfn.XLOOKUP(Tabla2__2[[#This Row],[CODIGO RUTA]],'DATA INFORME'!I:I,'DATA INFORME'!K:K)</f>
        <v>SI</v>
      </c>
      <c r="M152" s="93" t="str">
        <f>IF(Tabla2__2[[#This Row],[MYSTERY EFECTIVO]]="SI",_xlfn.XLOOKUP(Tabla2__2[[#This Row],[PREGUNTA]],ENCUESTA!G:G,ENCUESTA!D:D),"N/A")</f>
        <v>HORARIO</v>
      </c>
      <c r="N15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52" s="93" t="str">
        <f>_xlfn.XLOOKUP(Tabla2__2[[#This Row],[PREGUNTA]],ENCUESTA!G:G,ENCUESTA!H:H)</f>
        <v>SI</v>
      </c>
      <c r="P152" s="93">
        <f>IF(Tabla2__2[[#This Row],[RTA]]=Tabla2__2[[#This Row],[RTA CORRECTA]],Tabla2__2[[#This Row],[TOTAL PUNTAJE]],0)</f>
        <v>20</v>
      </c>
      <c r="Q152" s="93">
        <f>IF(OR(H152="Dog Chow húmedo",H152="Cat Chow húmedo",H152="Fancy Feast",H152="Felix",H152="Proplan húmedo",H152="One húmedo",H152="Snack Abrazzos",H152="Snak Dentalife",H152="Arenilla Tidy Cat"),N152,0)</f>
        <v>0</v>
      </c>
      <c r="R152" s="93"/>
    </row>
    <row r="153" spans="1:18" x14ac:dyDescent="0.35">
      <c r="A153" s="93" t="s">
        <v>109</v>
      </c>
      <c r="B153" s="93" t="s">
        <v>146</v>
      </c>
      <c r="C153" s="90" t="s">
        <v>15</v>
      </c>
      <c r="D153" s="93" t="s">
        <v>123</v>
      </c>
      <c r="E153" s="94">
        <v>447964</v>
      </c>
      <c r="F153" s="93" t="s">
        <v>155</v>
      </c>
      <c r="G153" s="93" t="s">
        <v>89</v>
      </c>
      <c r="H153" s="93" t="s">
        <v>20</v>
      </c>
      <c r="I153" s="95"/>
      <c r="J153" s="94">
        <v>29572594</v>
      </c>
      <c r="K153" s="93" t="s">
        <v>126</v>
      </c>
      <c r="L153" s="93" t="str">
        <f>_xlfn.XLOOKUP(Tabla2__2[[#This Row],[CODIGO RUTA]],'DATA INFORME'!I:I,'DATA INFORME'!K:K)</f>
        <v>SI</v>
      </c>
      <c r="M153" s="93" t="str">
        <f>IF(Tabla2__2[[#This Row],[MYSTERY EFECTIVO]]="SI",_xlfn.XLOOKUP(Tabla2__2[[#This Row],[PREGUNTA]],ENCUESTA!G:G,ENCUESTA!D:D),"N/A")</f>
        <v>PRESENTACIÓN PERSONAL</v>
      </c>
      <c r="N15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3" s="93" t="str">
        <f>_xlfn.XLOOKUP(Tabla2__2[[#This Row],[PREGUNTA]],ENCUESTA!G:G,ENCUESTA!H:H)</f>
        <v>SI</v>
      </c>
      <c r="P153" s="93">
        <f>IF(Tabla2__2[[#This Row],[RTA]]=Tabla2__2[[#This Row],[RTA CORRECTA]],Tabla2__2[[#This Row],[TOTAL PUNTAJE]],0)</f>
        <v>1</v>
      </c>
      <c r="Q153" s="93">
        <f>IF(OR(H153="Dog Chow húmedo",H153="Cat Chow húmedo",H153="Fancy Feast",H153="Felix",H153="Proplan húmedo",H153="One húmedo",H153="Snack Abrazzos",H153="Snak Dentalife",H153="Arenilla Tidy Cat"),N153,0)</f>
        <v>0</v>
      </c>
      <c r="R153" s="93"/>
    </row>
    <row r="154" spans="1:18" x14ac:dyDescent="0.35">
      <c r="A154" s="93" t="s">
        <v>109</v>
      </c>
      <c r="B154" s="93" t="s">
        <v>146</v>
      </c>
      <c r="C154" s="90" t="s">
        <v>15</v>
      </c>
      <c r="D154" s="93" t="s">
        <v>123</v>
      </c>
      <c r="E154" s="94">
        <v>447964</v>
      </c>
      <c r="F154" s="93" t="s">
        <v>155</v>
      </c>
      <c r="G154" s="93" t="s">
        <v>90</v>
      </c>
      <c r="H154" s="93" t="s">
        <v>20</v>
      </c>
      <c r="I154" s="95"/>
      <c r="J154" s="94">
        <v>29572594</v>
      </c>
      <c r="K154" s="93" t="s">
        <v>126</v>
      </c>
      <c r="L154" s="93" t="str">
        <f>_xlfn.XLOOKUP(Tabla2__2[[#This Row],[CODIGO RUTA]],'DATA INFORME'!I:I,'DATA INFORME'!K:K)</f>
        <v>SI</v>
      </c>
      <c r="M154" s="93" t="str">
        <f>IF(Tabla2__2[[#This Row],[MYSTERY EFECTIVO]]="SI",_xlfn.XLOOKUP(Tabla2__2[[#This Row],[PREGUNTA]],ENCUESTA!G:G,ENCUESTA!D:D),"N/A")</f>
        <v>PRESENTACIÓN PERSONAL</v>
      </c>
      <c r="N15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4" s="93" t="str">
        <f>_xlfn.XLOOKUP(Tabla2__2[[#This Row],[PREGUNTA]],ENCUESTA!G:G,ENCUESTA!H:H)</f>
        <v>SI</v>
      </c>
      <c r="P154" s="93">
        <f>IF(Tabla2__2[[#This Row],[RTA]]=Tabla2__2[[#This Row],[RTA CORRECTA]],Tabla2__2[[#This Row],[TOTAL PUNTAJE]],0)</f>
        <v>1</v>
      </c>
      <c r="Q154" s="93">
        <f>IF(OR(H154="Dog Chow húmedo",H154="Cat Chow húmedo",H154="Fancy Feast",H154="Felix",H154="Proplan húmedo",H154="One húmedo",H154="Snack Abrazzos",H154="Snak Dentalife",H154="Arenilla Tidy Cat"),N154,0)</f>
        <v>0</v>
      </c>
      <c r="R154" s="93"/>
    </row>
    <row r="155" spans="1:18" x14ac:dyDescent="0.35">
      <c r="A155" s="93" t="s">
        <v>109</v>
      </c>
      <c r="B155" s="93" t="s">
        <v>146</v>
      </c>
      <c r="C155" s="90" t="s">
        <v>15</v>
      </c>
      <c r="D155" s="93" t="s">
        <v>123</v>
      </c>
      <c r="E155" s="94">
        <v>447964</v>
      </c>
      <c r="F155" s="93" t="s">
        <v>155</v>
      </c>
      <c r="G155" s="93" t="s">
        <v>35</v>
      </c>
      <c r="H155" s="93" t="s">
        <v>20</v>
      </c>
      <c r="I155" s="95"/>
      <c r="J155" s="94">
        <v>29572594</v>
      </c>
      <c r="K155" s="93" t="s">
        <v>126</v>
      </c>
      <c r="L155" s="93" t="str">
        <f>_xlfn.XLOOKUP(Tabla2__2[[#This Row],[CODIGO RUTA]],'DATA INFORME'!I:I,'DATA INFORME'!K:K)</f>
        <v>SI</v>
      </c>
      <c r="M155" s="93" t="str">
        <f>IF(Tabla2__2[[#This Row],[MYSTERY EFECTIVO]]="SI",_xlfn.XLOOKUP(Tabla2__2[[#This Row],[PREGUNTA]],ENCUESTA!G:G,ENCUESTA!D:D),"N/A")</f>
        <v>PRESENTACIÓN PERSONAL</v>
      </c>
      <c r="N15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5" s="93" t="str">
        <f>_xlfn.XLOOKUP(Tabla2__2[[#This Row],[PREGUNTA]],ENCUESTA!G:G,ENCUESTA!H:H)</f>
        <v>SI</v>
      </c>
      <c r="P155" s="93">
        <f>IF(Tabla2__2[[#This Row],[RTA]]=Tabla2__2[[#This Row],[RTA CORRECTA]],Tabla2__2[[#This Row],[TOTAL PUNTAJE]],0)</f>
        <v>1</v>
      </c>
      <c r="Q155" s="93">
        <f>IF(OR(H155="Dog Chow húmedo",H155="Cat Chow húmedo",H155="Fancy Feast",H155="Felix",H155="Proplan húmedo",H155="One húmedo",H155="Snack Abrazzos",H155="Snak Dentalife",H155="Arenilla Tidy Cat"),N155,0)</f>
        <v>0</v>
      </c>
      <c r="R155" s="93"/>
    </row>
    <row r="156" spans="1:18" x14ac:dyDescent="0.35">
      <c r="A156" s="93" t="s">
        <v>109</v>
      </c>
      <c r="B156" s="93" t="s">
        <v>146</v>
      </c>
      <c r="C156" s="90" t="s">
        <v>15</v>
      </c>
      <c r="D156" s="93" t="s">
        <v>123</v>
      </c>
      <c r="E156" s="94">
        <v>447964</v>
      </c>
      <c r="F156" s="93" t="s">
        <v>155</v>
      </c>
      <c r="G156" s="93" t="s">
        <v>91</v>
      </c>
      <c r="H156" s="93" t="s">
        <v>108</v>
      </c>
      <c r="I156" s="95"/>
      <c r="J156" s="94">
        <v>29572594</v>
      </c>
      <c r="K156" s="93" t="s">
        <v>126</v>
      </c>
      <c r="L156" s="93" t="str">
        <f>_xlfn.XLOOKUP(Tabla2__2[[#This Row],[CODIGO RUTA]],'DATA INFORME'!I:I,'DATA INFORME'!K:K)</f>
        <v>SI</v>
      </c>
      <c r="M156" s="93" t="str">
        <f>IF(Tabla2__2[[#This Row],[MYSTERY EFECTIVO]]="SI",_xlfn.XLOOKUP(Tabla2__2[[#This Row],[PREGUNTA]],ENCUESTA!G:G,ENCUESTA!D:D),"N/A")</f>
        <v>PRESENTACIÓN PERSONAL</v>
      </c>
      <c r="N15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6" s="93" t="str">
        <f>_xlfn.XLOOKUP(Tabla2__2[[#This Row],[PREGUNTA]],ENCUESTA!G:G,ENCUESTA!H:H)</f>
        <v>NO</v>
      </c>
      <c r="P156" s="93">
        <f>IF(Tabla2__2[[#This Row],[RTA]]=Tabla2__2[[#This Row],[RTA CORRECTA]],Tabla2__2[[#This Row],[TOTAL PUNTAJE]],0)</f>
        <v>1</v>
      </c>
      <c r="Q156" s="93">
        <f>IF(OR(H156="Dog Chow húmedo",H156="Cat Chow húmedo",H156="Fancy Feast",H156="Felix",H156="Proplan húmedo",H156="One húmedo",H156="Snack Abrazzos",H156="Snak Dentalife",H156="Arenilla Tidy Cat"),N156,0)</f>
        <v>0</v>
      </c>
      <c r="R156" s="93"/>
    </row>
    <row r="157" spans="1:18" x14ac:dyDescent="0.35">
      <c r="A157" s="93" t="s">
        <v>109</v>
      </c>
      <c r="B157" s="93" t="s">
        <v>146</v>
      </c>
      <c r="C157" s="90" t="s">
        <v>15</v>
      </c>
      <c r="D157" s="93" t="s">
        <v>123</v>
      </c>
      <c r="E157" s="94">
        <v>447964</v>
      </c>
      <c r="F157" s="93" t="s">
        <v>155</v>
      </c>
      <c r="G157" s="93" t="s">
        <v>92</v>
      </c>
      <c r="H157" s="93" t="s">
        <v>20</v>
      </c>
      <c r="I157" s="95"/>
      <c r="J157" s="94">
        <v>29572594</v>
      </c>
      <c r="K157" s="93" t="s">
        <v>126</v>
      </c>
      <c r="L157" s="93" t="str">
        <f>_xlfn.XLOOKUP(Tabla2__2[[#This Row],[CODIGO RUTA]],'DATA INFORME'!I:I,'DATA INFORME'!K:K)</f>
        <v>SI</v>
      </c>
      <c r="M157" s="93" t="str">
        <f>IF(Tabla2__2[[#This Row],[MYSTERY EFECTIVO]]="SI",_xlfn.XLOOKUP(Tabla2__2[[#This Row],[PREGUNTA]],ENCUESTA!G:G,ENCUESTA!D:D),"N/A")</f>
        <v>PRESENTACIÓN PERSONAL</v>
      </c>
      <c r="N15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7" s="93" t="str">
        <f>_xlfn.XLOOKUP(Tabla2__2[[#This Row],[PREGUNTA]],ENCUESTA!G:G,ENCUESTA!H:H)</f>
        <v>SI</v>
      </c>
      <c r="P157" s="93">
        <f>IF(Tabla2__2[[#This Row],[RTA]]=Tabla2__2[[#This Row],[RTA CORRECTA]],Tabla2__2[[#This Row],[TOTAL PUNTAJE]],0)</f>
        <v>1</v>
      </c>
      <c r="Q157" s="93">
        <f>IF(OR(H157="Dog Chow húmedo",H157="Cat Chow húmedo",H157="Fancy Feast",H157="Felix",H157="Proplan húmedo",H157="One húmedo",H157="Snack Abrazzos",H157="Snak Dentalife",H157="Arenilla Tidy Cat"),N157,0)</f>
        <v>0</v>
      </c>
      <c r="R157" s="93"/>
    </row>
    <row r="158" spans="1:18" x14ac:dyDescent="0.35">
      <c r="A158" s="93" t="s">
        <v>109</v>
      </c>
      <c r="B158" s="93" t="s">
        <v>146</v>
      </c>
      <c r="C158" s="90" t="s">
        <v>15</v>
      </c>
      <c r="D158" s="93" t="s">
        <v>123</v>
      </c>
      <c r="E158" s="94">
        <v>447964</v>
      </c>
      <c r="F158" s="93" t="s">
        <v>155</v>
      </c>
      <c r="G158" s="93" t="s">
        <v>93</v>
      </c>
      <c r="H158" s="93" t="s">
        <v>20</v>
      </c>
      <c r="I158" s="95"/>
      <c r="J158" s="94">
        <v>29572594</v>
      </c>
      <c r="K158" s="93" t="s">
        <v>126</v>
      </c>
      <c r="L158" s="93" t="str">
        <f>_xlfn.XLOOKUP(Tabla2__2[[#This Row],[CODIGO RUTA]],'DATA INFORME'!I:I,'DATA INFORME'!K:K)</f>
        <v>SI</v>
      </c>
      <c r="M158" s="93" t="str">
        <f>IF(Tabla2__2[[#This Row],[MYSTERY EFECTIVO]]="SI",_xlfn.XLOOKUP(Tabla2__2[[#This Row],[PREGUNTA]],ENCUESTA!G:G,ENCUESTA!D:D),"N/A")</f>
        <v>PRESENTACIÓN PERSONAL</v>
      </c>
      <c r="N15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8" s="93" t="str">
        <f>_xlfn.XLOOKUP(Tabla2__2[[#This Row],[PREGUNTA]],ENCUESTA!G:G,ENCUESTA!H:H)</f>
        <v>SI</v>
      </c>
      <c r="P158" s="93">
        <f>IF(Tabla2__2[[#This Row],[RTA]]=Tabla2__2[[#This Row],[RTA CORRECTA]],Tabla2__2[[#This Row],[TOTAL PUNTAJE]],0)</f>
        <v>1</v>
      </c>
      <c r="Q158" s="93">
        <f>IF(OR(H158="Dog Chow húmedo",H158="Cat Chow húmedo",H158="Fancy Feast",H158="Felix",H158="Proplan húmedo",H158="One húmedo",H158="Snack Abrazzos",H158="Snak Dentalife",H158="Arenilla Tidy Cat"),N158,0)</f>
        <v>0</v>
      </c>
      <c r="R158" s="93"/>
    </row>
    <row r="159" spans="1:18" x14ac:dyDescent="0.35">
      <c r="A159" s="93" t="s">
        <v>109</v>
      </c>
      <c r="B159" s="93" t="s">
        <v>146</v>
      </c>
      <c r="C159" s="90" t="s">
        <v>15</v>
      </c>
      <c r="D159" s="93" t="s">
        <v>123</v>
      </c>
      <c r="E159" s="94">
        <v>447964</v>
      </c>
      <c r="F159" s="93" t="s">
        <v>155</v>
      </c>
      <c r="G159" s="93" t="s">
        <v>94</v>
      </c>
      <c r="H159" s="93" t="s">
        <v>108</v>
      </c>
      <c r="I159" s="95"/>
      <c r="J159" s="94">
        <v>29572594</v>
      </c>
      <c r="K159" s="93" t="s">
        <v>126</v>
      </c>
      <c r="L159" s="93" t="str">
        <f>_xlfn.XLOOKUP(Tabla2__2[[#This Row],[CODIGO RUTA]],'DATA INFORME'!I:I,'DATA INFORME'!K:K)</f>
        <v>SI</v>
      </c>
      <c r="M159" s="93" t="str">
        <f>IF(Tabla2__2[[#This Row],[MYSTERY EFECTIVO]]="SI",_xlfn.XLOOKUP(Tabla2__2[[#This Row],[PREGUNTA]],ENCUESTA!G:G,ENCUESTA!D:D),"N/A")</f>
        <v>PRESENTACIÓN PERSONAL</v>
      </c>
      <c r="N15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9" s="93" t="str">
        <f>_xlfn.XLOOKUP(Tabla2__2[[#This Row],[PREGUNTA]],ENCUESTA!G:G,ENCUESTA!H:H)</f>
        <v>NO</v>
      </c>
      <c r="P159" s="93">
        <f>IF(Tabla2__2[[#This Row],[RTA]]=Tabla2__2[[#This Row],[RTA CORRECTA]],Tabla2__2[[#This Row],[TOTAL PUNTAJE]],0)</f>
        <v>1</v>
      </c>
      <c r="Q159" s="93">
        <f>IF(OR(H159="Dog Chow húmedo",H159="Cat Chow húmedo",H159="Fancy Feast",H159="Felix",H159="Proplan húmedo",H159="One húmedo",H159="Snack Abrazzos",H159="Snak Dentalife",H159="Arenilla Tidy Cat"),N159,0)</f>
        <v>0</v>
      </c>
      <c r="R159" s="93"/>
    </row>
    <row r="160" spans="1:18" x14ac:dyDescent="0.35">
      <c r="A160" s="93" t="s">
        <v>109</v>
      </c>
      <c r="B160" s="93" t="s">
        <v>146</v>
      </c>
      <c r="C160" s="90" t="s">
        <v>15</v>
      </c>
      <c r="D160" s="93" t="s">
        <v>123</v>
      </c>
      <c r="E160" s="94">
        <v>447964</v>
      </c>
      <c r="F160" s="93" t="s">
        <v>155</v>
      </c>
      <c r="G160" s="93" t="s">
        <v>95</v>
      </c>
      <c r="H160" s="93" t="s">
        <v>108</v>
      </c>
      <c r="I160" s="95"/>
      <c r="J160" s="94">
        <v>29572594</v>
      </c>
      <c r="K160" s="93" t="s">
        <v>126</v>
      </c>
      <c r="L160" s="93" t="str">
        <f>_xlfn.XLOOKUP(Tabla2__2[[#This Row],[CODIGO RUTA]],'DATA INFORME'!I:I,'DATA INFORME'!K:K)</f>
        <v>SI</v>
      </c>
      <c r="M160" s="93" t="str">
        <f>IF(Tabla2__2[[#This Row],[MYSTERY EFECTIVO]]="SI",_xlfn.XLOOKUP(Tabla2__2[[#This Row],[PREGUNTA]],ENCUESTA!G:G,ENCUESTA!D:D),"N/A")</f>
        <v>PRESENTACIÓN PERSONAL</v>
      </c>
      <c r="N16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0" s="93" t="str">
        <f>_xlfn.XLOOKUP(Tabla2__2[[#This Row],[PREGUNTA]],ENCUESTA!G:G,ENCUESTA!H:H)</f>
        <v>NO</v>
      </c>
      <c r="P160" s="93">
        <f>IF(Tabla2__2[[#This Row],[RTA]]=Tabla2__2[[#This Row],[RTA CORRECTA]],Tabla2__2[[#This Row],[TOTAL PUNTAJE]],0)</f>
        <v>1</v>
      </c>
      <c r="Q160" s="93">
        <f>IF(OR(H160="Dog Chow húmedo",H160="Cat Chow húmedo",H160="Fancy Feast",H160="Felix",H160="Proplan húmedo",H160="One húmedo",H160="Snack Abrazzos",H160="Snak Dentalife",H160="Arenilla Tidy Cat"),N160,0)</f>
        <v>0</v>
      </c>
      <c r="R160" s="93"/>
    </row>
    <row r="161" spans="1:18" x14ac:dyDescent="0.35">
      <c r="A161" s="93" t="s">
        <v>109</v>
      </c>
      <c r="B161" s="93" t="s">
        <v>146</v>
      </c>
      <c r="C161" s="90" t="s">
        <v>15</v>
      </c>
      <c r="D161" s="93" t="s">
        <v>123</v>
      </c>
      <c r="E161" s="94">
        <v>447964</v>
      </c>
      <c r="F161" s="93" t="s">
        <v>155</v>
      </c>
      <c r="G161" s="93" t="s">
        <v>96</v>
      </c>
      <c r="H161" s="93" t="s">
        <v>108</v>
      </c>
      <c r="I161" s="95"/>
      <c r="J161" s="94">
        <v>29572594</v>
      </c>
      <c r="K161" s="93" t="s">
        <v>126</v>
      </c>
      <c r="L161" s="93" t="str">
        <f>_xlfn.XLOOKUP(Tabla2__2[[#This Row],[CODIGO RUTA]],'DATA INFORME'!I:I,'DATA INFORME'!K:K)</f>
        <v>SI</v>
      </c>
      <c r="M161" s="93" t="str">
        <f>IF(Tabla2__2[[#This Row],[MYSTERY EFECTIVO]]="SI",_xlfn.XLOOKUP(Tabla2__2[[#This Row],[PREGUNTA]],ENCUESTA!G:G,ENCUESTA!D:D),"N/A")</f>
        <v>PRESENTACIÓN PERSONAL</v>
      </c>
      <c r="N16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1" s="93" t="str">
        <f>_xlfn.XLOOKUP(Tabla2__2[[#This Row],[PREGUNTA]],ENCUESTA!G:G,ENCUESTA!H:H)</f>
        <v>NO</v>
      </c>
      <c r="P161" s="93">
        <f>IF(Tabla2__2[[#This Row],[RTA]]=Tabla2__2[[#This Row],[RTA CORRECTA]],Tabla2__2[[#This Row],[TOTAL PUNTAJE]],0)</f>
        <v>1</v>
      </c>
      <c r="Q161" s="93">
        <f>IF(OR(H161="Dog Chow húmedo",H161="Cat Chow húmedo",H161="Fancy Feast",H161="Felix",H161="Proplan húmedo",H161="One húmedo",H161="Snack Abrazzos",H161="Snak Dentalife",H161="Arenilla Tidy Cat"),N161,0)</f>
        <v>0</v>
      </c>
      <c r="R161" s="93"/>
    </row>
    <row r="162" spans="1:18" x14ac:dyDescent="0.35">
      <c r="A162" s="93" t="s">
        <v>109</v>
      </c>
      <c r="B162" s="93" t="s">
        <v>146</v>
      </c>
      <c r="C162" s="90" t="s">
        <v>15</v>
      </c>
      <c r="D162" s="93" t="s">
        <v>123</v>
      </c>
      <c r="E162" s="94">
        <v>447964</v>
      </c>
      <c r="F162" s="93" t="s">
        <v>155</v>
      </c>
      <c r="G162" s="93" t="s">
        <v>97</v>
      </c>
      <c r="H162" s="93" t="s">
        <v>108</v>
      </c>
      <c r="I162" s="95"/>
      <c r="J162" s="94">
        <v>29572594</v>
      </c>
      <c r="K162" s="93" t="s">
        <v>126</v>
      </c>
      <c r="L162" s="93" t="str">
        <f>_xlfn.XLOOKUP(Tabla2__2[[#This Row],[CODIGO RUTA]],'DATA INFORME'!I:I,'DATA INFORME'!K:K)</f>
        <v>SI</v>
      </c>
      <c r="M162" s="93" t="str">
        <f>IF(Tabla2__2[[#This Row],[MYSTERY EFECTIVO]]="SI",_xlfn.XLOOKUP(Tabla2__2[[#This Row],[PREGUNTA]],ENCUESTA!G:G,ENCUESTA!D:D),"N/A")</f>
        <v>PRESENTACIÓN PERSONAL</v>
      </c>
      <c r="N16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2" s="93" t="str">
        <f>_xlfn.XLOOKUP(Tabla2__2[[#This Row],[PREGUNTA]],ENCUESTA!G:G,ENCUESTA!H:H)</f>
        <v>NO</v>
      </c>
      <c r="P162" s="93">
        <f>IF(Tabla2__2[[#This Row],[RTA]]=Tabla2__2[[#This Row],[RTA CORRECTA]],Tabla2__2[[#This Row],[TOTAL PUNTAJE]],0)</f>
        <v>1</v>
      </c>
      <c r="Q162" s="93">
        <f>IF(OR(H162="Dog Chow húmedo",H162="Cat Chow húmedo",H162="Fancy Feast",H162="Felix",H162="Proplan húmedo",H162="One húmedo",H162="Snack Abrazzos",H162="Snak Dentalife",H162="Arenilla Tidy Cat"),N162,0)</f>
        <v>0</v>
      </c>
      <c r="R162" s="93"/>
    </row>
    <row r="163" spans="1:18" x14ac:dyDescent="0.35">
      <c r="A163" s="93" t="s">
        <v>109</v>
      </c>
      <c r="B163" s="93" t="s">
        <v>146</v>
      </c>
      <c r="C163" s="90" t="s">
        <v>15</v>
      </c>
      <c r="D163" s="93" t="s">
        <v>123</v>
      </c>
      <c r="E163" s="94">
        <v>447964</v>
      </c>
      <c r="F163" s="93" t="s">
        <v>155</v>
      </c>
      <c r="G163" s="93" t="s">
        <v>147</v>
      </c>
      <c r="H163" s="93" t="s">
        <v>20</v>
      </c>
      <c r="I163" s="95"/>
      <c r="J163" s="94">
        <v>29572594</v>
      </c>
      <c r="K163" s="93" t="s">
        <v>126</v>
      </c>
      <c r="L163" s="93" t="str">
        <f>_xlfn.XLOOKUP(Tabla2__2[[#This Row],[CODIGO RUTA]],'DATA INFORME'!I:I,'DATA INFORME'!K:K)</f>
        <v>SI</v>
      </c>
      <c r="M163" s="93" t="str">
        <f>IF(Tabla2__2[[#This Row],[MYSTERY EFECTIVO]]="SI",_xlfn.XLOOKUP(Tabla2__2[[#This Row],[PREGUNTA]],ENCUESTA!G:G,ENCUESTA!D:D),"N/A")</f>
        <v>EJECUCIÓN DEL PDV</v>
      </c>
      <c r="N16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3" s="93" t="str">
        <f>_xlfn.XLOOKUP(Tabla2__2[[#This Row],[PREGUNTA]],ENCUESTA!G:G,ENCUESTA!H:H)</f>
        <v>SI</v>
      </c>
      <c r="P163" s="93">
        <f>IF(Tabla2__2[[#This Row],[RTA]]=Tabla2__2[[#This Row],[RTA CORRECTA]],Tabla2__2[[#This Row],[TOTAL PUNTAJE]],0)</f>
        <v>3.75</v>
      </c>
      <c r="Q163" s="93">
        <f>IF(OR(H163="Dog Chow húmedo",H163="Cat Chow húmedo",H163="Fancy Feast",H163="Felix",H163="Proplan húmedo",H163="One húmedo",H163="Snack Abrazzos",H163="Snak Dentalife",H163="Arenilla Tidy Cat"),N163,0)</f>
        <v>0</v>
      </c>
      <c r="R163" s="93"/>
    </row>
    <row r="164" spans="1:18" x14ac:dyDescent="0.35">
      <c r="A164" s="93" t="s">
        <v>109</v>
      </c>
      <c r="B164" s="93" t="s">
        <v>112</v>
      </c>
      <c r="C164" s="90" t="s">
        <v>14</v>
      </c>
      <c r="D164" s="93" t="s">
        <v>186</v>
      </c>
      <c r="E164" s="94">
        <v>424775</v>
      </c>
      <c r="F164" s="93" t="s">
        <v>189</v>
      </c>
      <c r="G164" s="93" t="s">
        <v>89</v>
      </c>
      <c r="H164" s="93" t="s">
        <v>20</v>
      </c>
      <c r="I164" s="95"/>
      <c r="J164" s="94">
        <v>29574458</v>
      </c>
      <c r="K164" s="93" t="s">
        <v>114</v>
      </c>
      <c r="L164" s="93" t="str">
        <f>_xlfn.XLOOKUP(Tabla2__2[[#This Row],[CODIGO RUTA]],'DATA INFORME'!I:I,'DATA INFORME'!K:K)</f>
        <v>SI</v>
      </c>
      <c r="M164" s="93" t="str">
        <f>IF(Tabla2__2[[#This Row],[MYSTERY EFECTIVO]]="SI",_xlfn.XLOOKUP(Tabla2__2[[#This Row],[PREGUNTA]],ENCUESTA!G:G,ENCUESTA!D:D),"N/A")</f>
        <v>PRESENTACIÓN PERSONAL</v>
      </c>
      <c r="N16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4" s="93" t="str">
        <f>_xlfn.XLOOKUP(Tabla2__2[[#This Row],[PREGUNTA]],ENCUESTA!G:G,ENCUESTA!H:H)</f>
        <v>SI</v>
      </c>
      <c r="P164" s="93">
        <f>IF(Tabla2__2[[#This Row],[RTA]]=Tabla2__2[[#This Row],[RTA CORRECTA]],Tabla2__2[[#This Row],[TOTAL PUNTAJE]],0)</f>
        <v>1</v>
      </c>
      <c r="Q164" s="93">
        <f>IF(OR(H164="Dog Chow húmedo",H164="Cat Chow húmedo",H164="Fancy Feast",H164="Felix",H164="Proplan húmedo",H164="One húmedo",H164="Snack Abrazzos",H164="Snak Dentalife",H164="Arenilla Tidy Cat"),N164,0)</f>
        <v>0</v>
      </c>
      <c r="R164" s="93"/>
    </row>
    <row r="165" spans="1:18" x14ac:dyDescent="0.35">
      <c r="A165" s="93" t="s">
        <v>109</v>
      </c>
      <c r="B165" s="93" t="s">
        <v>146</v>
      </c>
      <c r="C165" s="90" t="s">
        <v>15</v>
      </c>
      <c r="D165" s="93" t="s">
        <v>123</v>
      </c>
      <c r="E165" s="94">
        <v>447964</v>
      </c>
      <c r="F165" s="93" t="s">
        <v>155</v>
      </c>
      <c r="G165" s="93" t="s">
        <v>148</v>
      </c>
      <c r="H165" s="93" t="s">
        <v>20</v>
      </c>
      <c r="I165" s="95"/>
      <c r="J165" s="94">
        <v>29572594</v>
      </c>
      <c r="K165" s="93" t="s">
        <v>126</v>
      </c>
      <c r="L165" s="93" t="str">
        <f>_xlfn.XLOOKUP(Tabla2__2[[#This Row],[CODIGO RUTA]],'DATA INFORME'!I:I,'DATA INFORME'!K:K)</f>
        <v>SI</v>
      </c>
      <c r="M165" s="93" t="str">
        <f>IF(Tabla2__2[[#This Row],[MYSTERY EFECTIVO]]="SI",_xlfn.XLOOKUP(Tabla2__2[[#This Row],[PREGUNTA]],ENCUESTA!G:G,ENCUESTA!D:D),"N/A")</f>
        <v>EJECUCIÓN DEL PDV</v>
      </c>
      <c r="N16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5" s="93" t="str">
        <f>_xlfn.XLOOKUP(Tabla2__2[[#This Row],[PREGUNTA]],ENCUESTA!G:G,ENCUESTA!H:H)</f>
        <v>SI</v>
      </c>
      <c r="P165" s="93">
        <f>IF(Tabla2__2[[#This Row],[RTA]]=Tabla2__2[[#This Row],[RTA CORRECTA]],Tabla2__2[[#This Row],[TOTAL PUNTAJE]],0)</f>
        <v>3.75</v>
      </c>
      <c r="Q165" s="93">
        <f>IF(OR(H165="Dog Chow húmedo",H165="Cat Chow húmedo",H165="Fancy Feast",H165="Felix",H165="Proplan húmedo",H165="One húmedo",H165="Snack Abrazzos",H165="Snak Dentalife",H165="Arenilla Tidy Cat"),N165,0)</f>
        <v>0</v>
      </c>
      <c r="R165" s="93"/>
    </row>
    <row r="166" spans="1:18" x14ac:dyDescent="0.35">
      <c r="A166" s="93" t="s">
        <v>109</v>
      </c>
      <c r="B166" s="93" t="s">
        <v>146</v>
      </c>
      <c r="C166" s="90" t="s">
        <v>15</v>
      </c>
      <c r="D166" s="93" t="s">
        <v>123</v>
      </c>
      <c r="E166" s="94">
        <v>447964</v>
      </c>
      <c r="F166" s="93" t="s">
        <v>155</v>
      </c>
      <c r="G166" s="93" t="s">
        <v>99</v>
      </c>
      <c r="H166" s="93" t="s">
        <v>20</v>
      </c>
      <c r="I166" s="95"/>
      <c r="J166" s="94">
        <v>29572594</v>
      </c>
      <c r="K166" s="93" t="s">
        <v>126</v>
      </c>
      <c r="L166" s="93" t="str">
        <f>_xlfn.XLOOKUP(Tabla2__2[[#This Row],[CODIGO RUTA]],'DATA INFORME'!I:I,'DATA INFORME'!K:K)</f>
        <v>SI</v>
      </c>
      <c r="M166" s="93" t="str">
        <f>IF(Tabla2__2[[#This Row],[MYSTERY EFECTIVO]]="SI",_xlfn.XLOOKUP(Tabla2__2[[#This Row],[PREGUNTA]],ENCUESTA!G:G,ENCUESTA!D:D),"N/A")</f>
        <v>EJECUCIÓN DEL PDV</v>
      </c>
      <c r="N16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6" s="93" t="str">
        <f>_xlfn.XLOOKUP(Tabla2__2[[#This Row],[PREGUNTA]],ENCUESTA!G:G,ENCUESTA!H:H)</f>
        <v>SI</v>
      </c>
      <c r="P166" s="93">
        <f>IF(Tabla2__2[[#This Row],[RTA]]=Tabla2__2[[#This Row],[RTA CORRECTA]],Tabla2__2[[#This Row],[TOTAL PUNTAJE]],0)</f>
        <v>3.75</v>
      </c>
      <c r="Q166" s="93">
        <f>IF(OR(H166="Dog Chow húmedo",H166="Cat Chow húmedo",H166="Fancy Feast",H166="Felix",H166="Proplan húmedo",H166="One húmedo",H166="Snack Abrazzos",H166="Snak Dentalife",H166="Arenilla Tidy Cat"),N166,0)</f>
        <v>0</v>
      </c>
      <c r="R166" s="93"/>
    </row>
    <row r="167" spans="1:18" x14ac:dyDescent="0.35">
      <c r="A167" s="93" t="s">
        <v>109</v>
      </c>
      <c r="B167" s="93" t="s">
        <v>146</v>
      </c>
      <c r="C167" s="90" t="s">
        <v>15</v>
      </c>
      <c r="D167" s="93" t="s">
        <v>123</v>
      </c>
      <c r="E167" s="94">
        <v>447964</v>
      </c>
      <c r="F167" s="93" t="s">
        <v>155</v>
      </c>
      <c r="G167" s="93" t="s">
        <v>100</v>
      </c>
      <c r="H167" s="93" t="s">
        <v>20</v>
      </c>
      <c r="I167" s="95"/>
      <c r="J167" s="94">
        <v>29572594</v>
      </c>
      <c r="K167" s="93" t="s">
        <v>126</v>
      </c>
      <c r="L167" s="93" t="str">
        <f>_xlfn.XLOOKUP(Tabla2__2[[#This Row],[CODIGO RUTA]],'DATA INFORME'!I:I,'DATA INFORME'!K:K)</f>
        <v>SI</v>
      </c>
      <c r="M167" s="93" t="str">
        <f>IF(Tabla2__2[[#This Row],[MYSTERY EFECTIVO]]="SI",_xlfn.XLOOKUP(Tabla2__2[[#This Row],[PREGUNTA]],ENCUESTA!G:G,ENCUESTA!D:D),"N/A")</f>
        <v>EJECUCIÓN DEL PDV</v>
      </c>
      <c r="N16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7" s="93" t="str">
        <f>_xlfn.XLOOKUP(Tabla2__2[[#This Row],[PREGUNTA]],ENCUESTA!G:G,ENCUESTA!H:H)</f>
        <v>SI</v>
      </c>
      <c r="P167" s="93">
        <f>IF(Tabla2__2[[#This Row],[RTA]]=Tabla2__2[[#This Row],[RTA CORRECTA]],Tabla2__2[[#This Row],[TOTAL PUNTAJE]],0)</f>
        <v>3.75</v>
      </c>
      <c r="Q167" s="93">
        <f>IF(OR(H167="Dog Chow húmedo",H167="Cat Chow húmedo",H167="Fancy Feast",H167="Felix",H167="Proplan húmedo",H167="One húmedo",H167="Snack Abrazzos",H167="Snak Dentalife",H167="Arenilla Tidy Cat"),N167,0)</f>
        <v>0</v>
      </c>
      <c r="R167" s="93"/>
    </row>
    <row r="168" spans="1:18" x14ac:dyDescent="0.35">
      <c r="A168" s="93" t="s">
        <v>109</v>
      </c>
      <c r="B168" s="93" t="s">
        <v>146</v>
      </c>
      <c r="C168" s="90" t="s">
        <v>15</v>
      </c>
      <c r="D168" s="93" t="s">
        <v>123</v>
      </c>
      <c r="E168" s="94">
        <v>447964</v>
      </c>
      <c r="F168" s="93" t="s">
        <v>155</v>
      </c>
      <c r="G168" s="93" t="s">
        <v>149</v>
      </c>
      <c r="H168" s="93" t="s">
        <v>20</v>
      </c>
      <c r="I168" s="95"/>
      <c r="J168" s="94">
        <v>29572594</v>
      </c>
      <c r="K168" s="93" t="s">
        <v>126</v>
      </c>
      <c r="L168" s="93" t="str">
        <f>_xlfn.XLOOKUP(Tabla2__2[[#This Row],[CODIGO RUTA]],'DATA INFORME'!I:I,'DATA INFORME'!K:K)</f>
        <v>SI</v>
      </c>
      <c r="M168" s="93" t="str">
        <f>IF(Tabla2__2[[#This Row],[MYSTERY EFECTIVO]]="SI",_xlfn.XLOOKUP(Tabla2__2[[#This Row],[PREGUNTA]],ENCUESTA!G:G,ENCUESTA!D:D),"N/A")</f>
        <v>EJECUCIÓN DEL PDV</v>
      </c>
      <c r="N16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8" s="93" t="str">
        <f>_xlfn.XLOOKUP(Tabla2__2[[#This Row],[PREGUNTA]],ENCUESTA!G:G,ENCUESTA!H:H)</f>
        <v>SI</v>
      </c>
      <c r="P168" s="93">
        <f>IF(Tabla2__2[[#This Row],[RTA]]=Tabla2__2[[#This Row],[RTA CORRECTA]],Tabla2__2[[#This Row],[TOTAL PUNTAJE]],0)</f>
        <v>3.75</v>
      </c>
      <c r="Q168" s="93">
        <f>IF(OR(H168="Dog Chow húmedo",H168="Cat Chow húmedo",H168="Fancy Feast",H168="Felix",H168="Proplan húmedo",H168="One húmedo",H168="Snack Abrazzos",H168="Snak Dentalife",H168="Arenilla Tidy Cat"),N168,0)</f>
        <v>0</v>
      </c>
      <c r="R168" s="93"/>
    </row>
    <row r="169" spans="1:18" x14ac:dyDescent="0.35">
      <c r="A169" s="93" t="s">
        <v>109</v>
      </c>
      <c r="B169" s="93" t="s">
        <v>146</v>
      </c>
      <c r="C169" s="90" t="s">
        <v>15</v>
      </c>
      <c r="D169" s="93" t="s">
        <v>123</v>
      </c>
      <c r="E169" s="94">
        <v>447964</v>
      </c>
      <c r="F169" s="93" t="s">
        <v>155</v>
      </c>
      <c r="G169" s="93" t="s">
        <v>130</v>
      </c>
      <c r="H169" s="93" t="s">
        <v>20</v>
      </c>
      <c r="I169" s="95"/>
      <c r="J169" s="94">
        <v>29572594</v>
      </c>
      <c r="K169" s="93" t="s">
        <v>126</v>
      </c>
      <c r="L169" s="93" t="str">
        <f>_xlfn.XLOOKUP(Tabla2__2[[#This Row],[CODIGO RUTA]],'DATA INFORME'!I:I,'DATA INFORME'!K:K)</f>
        <v>SI</v>
      </c>
      <c r="M169" s="93" t="str">
        <f>IF(Tabla2__2[[#This Row],[MYSTERY EFECTIVO]]="SI",_xlfn.XLOOKUP(Tabla2__2[[#This Row],[PREGUNTA]],ENCUESTA!G:G,ENCUESTA!D:D),"N/A")</f>
        <v>EJECUCIÓN DEL PDV</v>
      </c>
      <c r="N16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69" s="93" t="str">
        <f>_xlfn.XLOOKUP(Tabla2__2[[#This Row],[PREGUNTA]],ENCUESTA!G:G,ENCUESTA!H:H)</f>
        <v>SI</v>
      </c>
      <c r="P169" s="93">
        <f>IF(Tabla2__2[[#This Row],[RTA]]=Tabla2__2[[#This Row],[RTA CORRECTA]],Tabla2__2[[#This Row],[TOTAL PUNTAJE]],0)</f>
        <v>3.75</v>
      </c>
      <c r="Q169" s="93">
        <f>IF(OR(H169="Dog Chow húmedo",H169="Cat Chow húmedo",H169="Fancy Feast",H169="Felix",H169="Proplan húmedo",H169="One húmedo",H169="Snack Abrazzos",H169="Snak Dentalife",H169="Arenilla Tidy Cat"),N169,0)</f>
        <v>0</v>
      </c>
      <c r="R169" s="93"/>
    </row>
    <row r="170" spans="1:18" x14ac:dyDescent="0.35">
      <c r="A170" s="93" t="s">
        <v>109</v>
      </c>
      <c r="B170" s="93" t="s">
        <v>146</v>
      </c>
      <c r="C170" s="90" t="s">
        <v>15</v>
      </c>
      <c r="D170" s="93" t="s">
        <v>123</v>
      </c>
      <c r="E170" s="94">
        <v>447964</v>
      </c>
      <c r="F170" s="93" t="s">
        <v>155</v>
      </c>
      <c r="G170" s="93" t="s">
        <v>131</v>
      </c>
      <c r="H170" s="93" t="s">
        <v>20</v>
      </c>
      <c r="I170" s="95"/>
      <c r="J170" s="94">
        <v>29572594</v>
      </c>
      <c r="K170" s="93" t="s">
        <v>126</v>
      </c>
      <c r="L170" s="93" t="str">
        <f>_xlfn.XLOOKUP(Tabla2__2[[#This Row],[CODIGO RUTA]],'DATA INFORME'!I:I,'DATA INFORME'!K:K)</f>
        <v>SI</v>
      </c>
      <c r="M170" s="93" t="str">
        <f>IF(Tabla2__2[[#This Row],[MYSTERY EFECTIVO]]="SI",_xlfn.XLOOKUP(Tabla2__2[[#This Row],[PREGUNTA]],ENCUESTA!G:G,ENCUESTA!D:D),"N/A")</f>
        <v>EJECUCIÓN DEL PDV</v>
      </c>
      <c r="N17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0" s="93" t="str">
        <f>_xlfn.XLOOKUP(Tabla2__2[[#This Row],[PREGUNTA]],ENCUESTA!G:G,ENCUESTA!H:H)</f>
        <v>SI</v>
      </c>
      <c r="P170" s="93">
        <f>IF(Tabla2__2[[#This Row],[RTA]]=Tabla2__2[[#This Row],[RTA CORRECTA]],Tabla2__2[[#This Row],[TOTAL PUNTAJE]],0)</f>
        <v>3.75</v>
      </c>
      <c r="Q170" s="93">
        <f>IF(OR(H170="Dog Chow húmedo",H170="Cat Chow húmedo",H170="Fancy Feast",H170="Felix",H170="Proplan húmedo",H170="One húmedo",H170="Snack Abrazzos",H170="Snak Dentalife",H170="Arenilla Tidy Cat"),N170,0)</f>
        <v>0</v>
      </c>
      <c r="R170" s="93"/>
    </row>
    <row r="171" spans="1:18" x14ac:dyDescent="0.35">
      <c r="A171" s="93" t="s">
        <v>109</v>
      </c>
      <c r="B171" s="93" t="s">
        <v>146</v>
      </c>
      <c r="C171" s="90" t="s">
        <v>15</v>
      </c>
      <c r="D171" s="93" t="s">
        <v>123</v>
      </c>
      <c r="E171" s="94">
        <v>447964</v>
      </c>
      <c r="F171" s="93" t="s">
        <v>155</v>
      </c>
      <c r="G171" s="93" t="s">
        <v>101</v>
      </c>
      <c r="H171" s="93" t="s">
        <v>15</v>
      </c>
      <c r="I171" s="95"/>
      <c r="J171" s="94">
        <v>29572594</v>
      </c>
      <c r="K171" s="93" t="s">
        <v>126</v>
      </c>
      <c r="L171" s="93" t="str">
        <f>_xlfn.XLOOKUP(Tabla2__2[[#This Row],[CODIGO RUTA]],'DATA INFORME'!I:I,'DATA INFORME'!K:K)</f>
        <v>SI</v>
      </c>
      <c r="M171" s="93" t="str">
        <f>IF(Tabla2__2[[#This Row],[MYSTERY EFECTIVO]]="SI",_xlfn.XLOOKUP(Tabla2__2[[#This Row],[PREGUNTA]],ENCUESTA!G:G,ENCUESTA!D:D),"N/A")</f>
        <v>N/A</v>
      </c>
      <c r="N17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1" s="93">
        <f>_xlfn.XLOOKUP(Tabla2__2[[#This Row],[PREGUNTA]],ENCUESTA!G:G,ENCUESTA!H:H)</f>
        <v>0</v>
      </c>
      <c r="P171" s="93">
        <f>IF(Tabla2__2[[#This Row],[RTA]]=Tabla2__2[[#This Row],[RTA CORRECTA]],Tabla2__2[[#This Row],[TOTAL PUNTAJE]],0)</f>
        <v>0</v>
      </c>
      <c r="Q171" s="93">
        <f>IF(OR(H171="Dog Chow húmedo",H171="Cat Chow húmedo",H171="Fancy Feast",H171="Felix",H171="Proplan húmedo",H171="One húmedo",H171="Snack Abrazzos",H171="Snak Dentalife",H171="Arenilla Tidy Cat"),N171,0)</f>
        <v>0</v>
      </c>
      <c r="R171" s="93"/>
    </row>
    <row r="172" spans="1:18" x14ac:dyDescent="0.35">
      <c r="A172" s="93" t="s">
        <v>109</v>
      </c>
      <c r="B172" s="93" t="s">
        <v>146</v>
      </c>
      <c r="C172" s="90" t="s">
        <v>15</v>
      </c>
      <c r="D172" s="93" t="s">
        <v>123</v>
      </c>
      <c r="E172" s="94">
        <v>447964</v>
      </c>
      <c r="F172" s="93" t="s">
        <v>155</v>
      </c>
      <c r="G172" s="93" t="s">
        <v>116</v>
      </c>
      <c r="H172" s="93" t="s">
        <v>20</v>
      </c>
      <c r="I172" s="95"/>
      <c r="J172" s="94">
        <v>29572594</v>
      </c>
      <c r="K172" s="93" t="s">
        <v>126</v>
      </c>
      <c r="L172" s="93" t="str">
        <f>_xlfn.XLOOKUP(Tabla2__2[[#This Row],[CODIGO RUTA]],'DATA INFORME'!I:I,'DATA INFORME'!K:K)</f>
        <v>SI</v>
      </c>
      <c r="M172" s="93" t="str">
        <f>IF(Tabla2__2[[#This Row],[MYSTERY EFECTIVO]]="SI",_xlfn.XLOOKUP(Tabla2__2[[#This Row],[PREGUNTA]],ENCUESTA!G:G,ENCUESTA!D:D),"N/A")</f>
        <v>ACTIVIDADES DEL MES</v>
      </c>
      <c r="N17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72" s="93" t="str">
        <f>_xlfn.XLOOKUP(Tabla2__2[[#This Row],[PREGUNTA]],ENCUESTA!G:G,ENCUESTA!H:H)</f>
        <v>SI</v>
      </c>
      <c r="P172" s="93">
        <f>IF(Tabla2__2[[#This Row],[RTA]]=Tabla2__2[[#This Row],[RTA CORRECTA]],Tabla2__2[[#This Row],[TOTAL PUNTAJE]],0)</f>
        <v>8</v>
      </c>
      <c r="Q172" s="93">
        <f>IF(OR(H172="Dog Chow húmedo",H172="Cat Chow húmedo",H172="Fancy Feast",H172="Felix",H172="Proplan húmedo",H172="One húmedo",H172="Snack Abrazzos",H172="Snak Dentalife",H172="Arenilla Tidy Cat"),N172,0)</f>
        <v>0</v>
      </c>
      <c r="R172" s="93"/>
    </row>
    <row r="173" spans="1:18" x14ac:dyDescent="0.35">
      <c r="A173" s="93" t="s">
        <v>109</v>
      </c>
      <c r="B173" s="93" t="s">
        <v>146</v>
      </c>
      <c r="C173" s="90" t="s">
        <v>15</v>
      </c>
      <c r="D173" s="93" t="s">
        <v>123</v>
      </c>
      <c r="E173" s="94">
        <v>447964</v>
      </c>
      <c r="F173" s="93" t="s">
        <v>155</v>
      </c>
      <c r="G173" s="93" t="s">
        <v>150</v>
      </c>
      <c r="H173" s="93" t="s">
        <v>20</v>
      </c>
      <c r="I173" s="95"/>
      <c r="J173" s="94">
        <v>29572594</v>
      </c>
      <c r="K173" s="93" t="s">
        <v>126</v>
      </c>
      <c r="L173" s="93" t="str">
        <f>_xlfn.XLOOKUP(Tabla2__2[[#This Row],[CODIGO RUTA]],'DATA INFORME'!I:I,'DATA INFORME'!K:K)</f>
        <v>SI</v>
      </c>
      <c r="M173" s="93" t="str">
        <f>IF(Tabla2__2[[#This Row],[MYSTERY EFECTIVO]]="SI",_xlfn.XLOOKUP(Tabla2__2[[#This Row],[PREGUNTA]],ENCUESTA!G:G,ENCUESTA!D:D),"N/A")</f>
        <v>ACTIVIDADES DEL MES</v>
      </c>
      <c r="N17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73" s="93" t="str">
        <f>_xlfn.XLOOKUP(Tabla2__2[[#This Row],[PREGUNTA]],ENCUESTA!G:G,ENCUESTA!H:H)</f>
        <v>SI</v>
      </c>
      <c r="P173" s="93">
        <f>IF(Tabla2__2[[#This Row],[RTA]]=Tabla2__2[[#This Row],[RTA CORRECTA]],Tabla2__2[[#This Row],[TOTAL PUNTAJE]],0)</f>
        <v>8</v>
      </c>
      <c r="Q173" s="93">
        <f>IF(OR(H173="Dog Chow húmedo",H173="Cat Chow húmedo",H173="Fancy Feast",H173="Felix",H173="Proplan húmedo",H173="One húmedo",H173="Snack Abrazzos",H173="Snak Dentalife",H173="Arenilla Tidy Cat"),N173,0)</f>
        <v>0</v>
      </c>
      <c r="R173" s="93"/>
    </row>
    <row r="174" spans="1:18" x14ac:dyDescent="0.35">
      <c r="A174" s="93" t="s">
        <v>109</v>
      </c>
      <c r="B174" s="93" t="s">
        <v>146</v>
      </c>
      <c r="C174" s="90" t="s">
        <v>15</v>
      </c>
      <c r="D174" s="93" t="s">
        <v>123</v>
      </c>
      <c r="E174" s="94">
        <v>447964</v>
      </c>
      <c r="F174" s="93" t="s">
        <v>155</v>
      </c>
      <c r="G174" s="93" t="s">
        <v>152</v>
      </c>
      <c r="H174" s="93" t="s">
        <v>20</v>
      </c>
      <c r="I174" s="95"/>
      <c r="J174" s="94">
        <v>29572594</v>
      </c>
      <c r="K174" s="93" t="s">
        <v>126</v>
      </c>
      <c r="L174" s="93" t="str">
        <f>_xlfn.XLOOKUP(Tabla2__2[[#This Row],[CODIGO RUTA]],'DATA INFORME'!I:I,'DATA INFORME'!K:K)</f>
        <v>SI</v>
      </c>
      <c r="M174" s="93" t="str">
        <f>IF(Tabla2__2[[#This Row],[MYSTERY EFECTIVO]]="SI",_xlfn.XLOOKUP(Tabla2__2[[#This Row],[PREGUNTA]],ENCUESTA!G:G,ENCUESTA!D:D),"N/A")</f>
        <v>ACTIVIDADES DEL MES</v>
      </c>
      <c r="N17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74" s="93" t="str">
        <f>_xlfn.XLOOKUP(Tabla2__2[[#This Row],[PREGUNTA]],ENCUESTA!G:G,ENCUESTA!H:H)</f>
        <v>SI</v>
      </c>
      <c r="P174" s="93">
        <f>IF(Tabla2__2[[#This Row],[RTA]]=Tabla2__2[[#This Row],[RTA CORRECTA]],Tabla2__2[[#This Row],[TOTAL PUNTAJE]],0)</f>
        <v>8</v>
      </c>
      <c r="Q174" s="93">
        <f>IF(OR(H174="Dog Chow húmedo",H174="Cat Chow húmedo",H174="Fancy Feast",H174="Felix",H174="Proplan húmedo",H174="One húmedo",H174="Snack Abrazzos",H174="Snak Dentalife",H174="Arenilla Tidy Cat"),N174,0)</f>
        <v>0</v>
      </c>
      <c r="R174" s="93"/>
    </row>
    <row r="175" spans="1:18" x14ac:dyDescent="0.35">
      <c r="A175" s="93" t="s">
        <v>109</v>
      </c>
      <c r="B175" s="93" t="s">
        <v>146</v>
      </c>
      <c r="C175" s="90" t="s">
        <v>15</v>
      </c>
      <c r="D175" s="93" t="s">
        <v>123</v>
      </c>
      <c r="E175" s="94">
        <v>447964</v>
      </c>
      <c r="F175" s="93" t="s">
        <v>155</v>
      </c>
      <c r="G175" s="93" t="s">
        <v>117</v>
      </c>
      <c r="H175" s="93" t="s">
        <v>20</v>
      </c>
      <c r="I175" s="95"/>
      <c r="J175" s="94">
        <v>29572594</v>
      </c>
      <c r="K175" s="93" t="s">
        <v>126</v>
      </c>
      <c r="L175" s="93" t="str">
        <f>_xlfn.XLOOKUP(Tabla2__2[[#This Row],[CODIGO RUTA]],'DATA INFORME'!I:I,'DATA INFORME'!K:K)</f>
        <v>SI</v>
      </c>
      <c r="M175" s="93" t="str">
        <f>IF(Tabla2__2[[#This Row],[MYSTERY EFECTIVO]]="SI",_xlfn.XLOOKUP(Tabla2__2[[#This Row],[PREGUNTA]],ENCUESTA!G:G,ENCUESTA!D:D),"N/A")</f>
        <v>ACTIVIDADES DEL MES</v>
      </c>
      <c r="N17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75" s="93" t="str">
        <f>_xlfn.XLOOKUP(Tabla2__2[[#This Row],[PREGUNTA]],ENCUESTA!G:G,ENCUESTA!H:H)</f>
        <v>SI</v>
      </c>
      <c r="P175" s="93">
        <f>IF(Tabla2__2[[#This Row],[RTA]]=Tabla2__2[[#This Row],[RTA CORRECTA]],Tabla2__2[[#This Row],[TOTAL PUNTAJE]],0)</f>
        <v>8</v>
      </c>
      <c r="Q175" s="93">
        <f>IF(OR(H175="Dog Chow húmedo",H175="Cat Chow húmedo",H175="Fancy Feast",H175="Felix",H175="Proplan húmedo",H175="One húmedo",H175="Snack Abrazzos",H175="Snak Dentalife",H175="Arenilla Tidy Cat"),N175,0)</f>
        <v>0</v>
      </c>
      <c r="R175" s="93"/>
    </row>
    <row r="176" spans="1:18" x14ac:dyDescent="0.35">
      <c r="A176" s="93" t="s">
        <v>109</v>
      </c>
      <c r="B176" s="93" t="s">
        <v>146</v>
      </c>
      <c r="C176" s="90" t="s">
        <v>15</v>
      </c>
      <c r="D176" s="93" t="s">
        <v>123</v>
      </c>
      <c r="E176" s="94">
        <v>447964</v>
      </c>
      <c r="F176" s="93" t="s">
        <v>155</v>
      </c>
      <c r="G176" s="93" t="s">
        <v>102</v>
      </c>
      <c r="H176" s="93" t="s">
        <v>108</v>
      </c>
      <c r="I176" s="95"/>
      <c r="J176" s="94">
        <v>29572594</v>
      </c>
      <c r="K176" s="93" t="s">
        <v>126</v>
      </c>
      <c r="L176" s="93" t="str">
        <f>_xlfn.XLOOKUP(Tabla2__2[[#This Row],[CODIGO RUTA]],'DATA INFORME'!I:I,'DATA INFORME'!K:K)</f>
        <v>SI</v>
      </c>
      <c r="M176" s="93" t="str">
        <f>IF(Tabla2__2[[#This Row],[MYSTERY EFECTIVO]]="SI",_xlfn.XLOOKUP(Tabla2__2[[#This Row],[PREGUNTA]],ENCUESTA!G:G,ENCUESTA!D:D),"N/A")</f>
        <v>N/A</v>
      </c>
      <c r="N17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6" s="93">
        <f>_xlfn.XLOOKUP(Tabla2__2[[#This Row],[PREGUNTA]],ENCUESTA!G:G,ENCUESTA!H:H)</f>
        <v>0</v>
      </c>
      <c r="P176" s="93">
        <f>IF(Tabla2__2[[#This Row],[RTA]]=Tabla2__2[[#This Row],[RTA CORRECTA]],Tabla2__2[[#This Row],[TOTAL PUNTAJE]],0)</f>
        <v>0</v>
      </c>
      <c r="Q176" s="93">
        <f>IF(OR(H176="Dog Chow húmedo",H176="Cat Chow húmedo",H176="Fancy Feast",H176="Felix",H176="Proplan húmedo",H176="One húmedo",H176="Snack Abrazzos",H176="Snak Dentalife",H176="Arenilla Tidy Cat"),N176,0)</f>
        <v>0</v>
      </c>
      <c r="R176" s="93"/>
    </row>
    <row r="177" spans="1:18" x14ac:dyDescent="0.35">
      <c r="A177" s="93" t="s">
        <v>109</v>
      </c>
      <c r="B177" s="93" t="s">
        <v>112</v>
      </c>
      <c r="C177" s="90" t="s">
        <v>14</v>
      </c>
      <c r="D177" s="93" t="s">
        <v>186</v>
      </c>
      <c r="E177" s="94">
        <v>424775</v>
      </c>
      <c r="F177" s="93" t="s">
        <v>189</v>
      </c>
      <c r="G177" s="93" t="s">
        <v>87</v>
      </c>
      <c r="H177" s="93" t="s">
        <v>20</v>
      </c>
      <c r="I177" s="95"/>
      <c r="J177" s="94">
        <v>29574458</v>
      </c>
      <c r="K177" s="93" t="s">
        <v>114</v>
      </c>
      <c r="L177" s="93" t="str">
        <f>_xlfn.XLOOKUP(Tabla2__2[[#This Row],[CODIGO RUTA]],'DATA INFORME'!I:I,'DATA INFORME'!K:K)</f>
        <v>SI</v>
      </c>
      <c r="M177" s="93" t="str">
        <f>IF(Tabla2__2[[#This Row],[MYSTERY EFECTIVO]]="SI",_xlfn.XLOOKUP(Tabla2__2[[#This Row],[PREGUNTA]],ENCUESTA!G:G,ENCUESTA!D:D),"N/A")</f>
        <v>N/A</v>
      </c>
      <c r="N17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7" s="93">
        <f>_xlfn.XLOOKUP(Tabla2__2[[#This Row],[PREGUNTA]],ENCUESTA!G:G,ENCUESTA!H:H)</f>
        <v>0</v>
      </c>
      <c r="P177" s="93">
        <f>IF(Tabla2__2[[#This Row],[RTA]]=Tabla2__2[[#This Row],[RTA CORRECTA]],Tabla2__2[[#This Row],[TOTAL PUNTAJE]],0)</f>
        <v>0</v>
      </c>
      <c r="Q177" s="93">
        <f>IF(OR(H177="Dog Chow húmedo",H177="Cat Chow húmedo",H177="Fancy Feast",H177="Felix",H177="Proplan húmedo",H177="One húmedo",H177="Snack Abrazzos",H177="Snak Dentalife",H177="Arenilla Tidy Cat"),N177,0)</f>
        <v>0</v>
      </c>
      <c r="R177" s="93"/>
    </row>
    <row r="178" spans="1:18" x14ac:dyDescent="0.35">
      <c r="A178" s="93" t="s">
        <v>109</v>
      </c>
      <c r="B178" s="93" t="s">
        <v>146</v>
      </c>
      <c r="C178" s="90" t="s">
        <v>15</v>
      </c>
      <c r="D178" s="93" t="s">
        <v>123</v>
      </c>
      <c r="E178" s="94">
        <v>447964</v>
      </c>
      <c r="F178" s="93" t="s">
        <v>155</v>
      </c>
      <c r="G178" s="93" t="s">
        <v>98</v>
      </c>
      <c r="H178" s="93" t="s">
        <v>20</v>
      </c>
      <c r="I178" s="95"/>
      <c r="J178" s="94">
        <v>29572594</v>
      </c>
      <c r="K178" s="93" t="s">
        <v>126</v>
      </c>
      <c r="L178" s="93" t="str">
        <f>_xlfn.XLOOKUP(Tabla2__2[[#This Row],[CODIGO RUTA]],'DATA INFORME'!I:I,'DATA INFORME'!K:K)</f>
        <v>SI</v>
      </c>
      <c r="M178" s="93" t="str">
        <f>IF(Tabla2__2[[#This Row],[MYSTERY EFECTIVO]]="SI",_xlfn.XLOOKUP(Tabla2__2[[#This Row],[PREGUNTA]],ENCUESTA!G:G,ENCUESTA!D:D),"N/A")</f>
        <v>EJECUCIÓN DEL PDV</v>
      </c>
      <c r="N17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78" s="93" t="str">
        <f>_xlfn.XLOOKUP(Tabla2__2[[#This Row],[PREGUNTA]],ENCUESTA!G:G,ENCUESTA!H:H)</f>
        <v>SI</v>
      </c>
      <c r="P178" s="93">
        <f>IF(Tabla2__2[[#This Row],[RTA]]=Tabla2__2[[#This Row],[RTA CORRECTA]],Tabla2__2[[#This Row],[TOTAL PUNTAJE]],0)</f>
        <v>3.75</v>
      </c>
      <c r="Q178" s="93">
        <f>IF(OR(H178="Dog Chow húmedo",H178="Cat Chow húmedo",H178="Fancy Feast",H178="Felix",H178="Proplan húmedo",H178="One húmedo",H178="Snack Abrazzos",H178="Snak Dentalife",H178="Arenilla Tidy Cat"),N178,0)</f>
        <v>0</v>
      </c>
      <c r="R178" s="93"/>
    </row>
    <row r="179" spans="1:18" x14ac:dyDescent="0.35">
      <c r="A179" s="93" t="s">
        <v>109</v>
      </c>
      <c r="B179" s="93" t="s">
        <v>259</v>
      </c>
      <c r="C179" s="90" t="s">
        <v>43</v>
      </c>
      <c r="D179" s="93" t="s">
        <v>120</v>
      </c>
      <c r="E179" s="94">
        <v>435253</v>
      </c>
      <c r="F179" s="93" t="s">
        <v>262</v>
      </c>
      <c r="G179" s="93" t="s">
        <v>153</v>
      </c>
      <c r="H179" s="93" t="s">
        <v>20</v>
      </c>
      <c r="I179" s="95"/>
      <c r="J179" s="94">
        <v>29672686</v>
      </c>
      <c r="K179" s="93" t="s">
        <v>213</v>
      </c>
      <c r="L179" s="93" t="str">
        <f>_xlfn.XLOOKUP(Tabla2__2[[#This Row],[CODIGO RUTA]],'DATA INFORME'!I:I,'DATA INFORME'!K:K)</f>
        <v>SI</v>
      </c>
      <c r="M179" s="93" t="str">
        <f>IF(Tabla2__2[[#This Row],[MYSTERY EFECTIVO]]="SI",_xlfn.XLOOKUP(Tabla2__2[[#This Row],[PREGUNTA]],ENCUESTA!G:G,ENCUESTA!D:D),"N/A")</f>
        <v>ACTIVIDADES DEL MES</v>
      </c>
      <c r="N17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79" s="93" t="str">
        <f>_xlfn.XLOOKUP(Tabla2__2[[#This Row],[PREGUNTA]],ENCUESTA!G:G,ENCUESTA!H:H)</f>
        <v>SI</v>
      </c>
      <c r="P179" s="93">
        <f>IF(Tabla2__2[[#This Row],[RTA]]=Tabla2__2[[#This Row],[RTA CORRECTA]],Tabla2__2[[#This Row],[TOTAL PUNTAJE]],0)</f>
        <v>20</v>
      </c>
      <c r="Q179" s="93">
        <f>IF(OR(H179="Dog Chow húmedo",H179="Cat Chow húmedo",H179="Fancy Feast",H179="Felix",H179="Proplan húmedo",H179="One húmedo",H179="Snack Abrazzos",H179="Snak Dentalife",H179="Arenilla Tidy Cat"),N179,0)</f>
        <v>0</v>
      </c>
      <c r="R179" s="93"/>
    </row>
    <row r="180" spans="1:18" x14ac:dyDescent="0.35">
      <c r="A180" s="93" t="s">
        <v>109</v>
      </c>
      <c r="B180" s="93" t="s">
        <v>8</v>
      </c>
      <c r="C180" s="90" t="s">
        <v>43</v>
      </c>
      <c r="D180" s="93" t="s">
        <v>120</v>
      </c>
      <c r="E180" s="94">
        <v>355912</v>
      </c>
      <c r="F180" s="93" t="s">
        <v>202</v>
      </c>
      <c r="G180" s="93" t="s">
        <v>89</v>
      </c>
      <c r="H180" s="93" t="s">
        <v>20</v>
      </c>
      <c r="I180" s="95"/>
      <c r="J180" s="94">
        <v>29602428</v>
      </c>
      <c r="K180" s="93" t="s">
        <v>129</v>
      </c>
      <c r="L180" s="93" t="str">
        <f>_xlfn.XLOOKUP(Tabla2__2[[#This Row],[CODIGO RUTA]],'DATA INFORME'!I:I,'DATA INFORME'!K:K)</f>
        <v>SI</v>
      </c>
      <c r="M180" s="93" t="str">
        <f>IF(Tabla2__2[[#This Row],[MYSTERY EFECTIVO]]="SI",_xlfn.XLOOKUP(Tabla2__2[[#This Row],[PREGUNTA]],ENCUESTA!G:G,ENCUESTA!D:D),"N/A")</f>
        <v>PRESENTACIÓN PERSONAL</v>
      </c>
      <c r="N18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0" s="93" t="str">
        <f>_xlfn.XLOOKUP(Tabla2__2[[#This Row],[PREGUNTA]],ENCUESTA!G:G,ENCUESTA!H:H)</f>
        <v>SI</v>
      </c>
      <c r="P180" s="93">
        <f>IF(Tabla2__2[[#This Row],[RTA]]=Tabla2__2[[#This Row],[RTA CORRECTA]],Tabla2__2[[#This Row],[TOTAL PUNTAJE]],0)</f>
        <v>1</v>
      </c>
      <c r="Q180" s="93">
        <f>IF(OR(H180="Dog Chow húmedo",H180="Cat Chow húmedo",H180="Fancy Feast",H180="Felix",H180="Proplan húmedo",H180="One húmedo",H180="Snack Abrazzos",H180="Snak Dentalife",H180="Arenilla Tidy Cat"),N180,0)</f>
        <v>0</v>
      </c>
      <c r="R180" s="93"/>
    </row>
    <row r="181" spans="1:18" x14ac:dyDescent="0.35">
      <c r="A181" s="93" t="s">
        <v>109</v>
      </c>
      <c r="B181" s="93" t="s">
        <v>8</v>
      </c>
      <c r="C181" s="90" t="s">
        <v>43</v>
      </c>
      <c r="D181" s="93" t="s">
        <v>120</v>
      </c>
      <c r="E181" s="94">
        <v>355912</v>
      </c>
      <c r="F181" s="93" t="s">
        <v>202</v>
      </c>
      <c r="G181" s="93" t="s">
        <v>35</v>
      </c>
      <c r="H181" s="93" t="s">
        <v>20</v>
      </c>
      <c r="I181" s="95"/>
      <c r="J181" s="94">
        <v>29602428</v>
      </c>
      <c r="K181" s="93" t="s">
        <v>129</v>
      </c>
      <c r="L181" s="93" t="str">
        <f>_xlfn.XLOOKUP(Tabla2__2[[#This Row],[CODIGO RUTA]],'DATA INFORME'!I:I,'DATA INFORME'!K:K)</f>
        <v>SI</v>
      </c>
      <c r="M181" s="93" t="str">
        <f>IF(Tabla2__2[[#This Row],[MYSTERY EFECTIVO]]="SI",_xlfn.XLOOKUP(Tabla2__2[[#This Row],[PREGUNTA]],ENCUESTA!G:G,ENCUESTA!D:D),"N/A")</f>
        <v>PRESENTACIÓN PERSONAL</v>
      </c>
      <c r="N18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1" s="93" t="str">
        <f>_xlfn.XLOOKUP(Tabla2__2[[#This Row],[PREGUNTA]],ENCUESTA!G:G,ENCUESTA!H:H)</f>
        <v>SI</v>
      </c>
      <c r="P181" s="93">
        <f>IF(Tabla2__2[[#This Row],[RTA]]=Tabla2__2[[#This Row],[RTA CORRECTA]],Tabla2__2[[#This Row],[TOTAL PUNTAJE]],0)</f>
        <v>1</v>
      </c>
      <c r="Q181" s="93">
        <f>IF(OR(H181="Dog Chow húmedo",H181="Cat Chow húmedo",H181="Fancy Feast",H181="Felix",H181="Proplan húmedo",H181="One húmedo",H181="Snack Abrazzos",H181="Snak Dentalife",H181="Arenilla Tidy Cat"),N181,0)</f>
        <v>0</v>
      </c>
      <c r="R181" s="93"/>
    </row>
    <row r="182" spans="1:18" x14ac:dyDescent="0.35">
      <c r="A182" s="93" t="s">
        <v>109</v>
      </c>
      <c r="B182" s="93" t="s">
        <v>8</v>
      </c>
      <c r="C182" s="90" t="s">
        <v>15</v>
      </c>
      <c r="D182" s="93" t="s">
        <v>120</v>
      </c>
      <c r="E182" s="94">
        <v>42612</v>
      </c>
      <c r="F182" s="93" t="s">
        <v>136</v>
      </c>
      <c r="G182" s="93" t="s">
        <v>96</v>
      </c>
      <c r="H182" s="93" t="s">
        <v>108</v>
      </c>
      <c r="I182" s="95"/>
      <c r="J182" s="94">
        <v>29602530</v>
      </c>
      <c r="K182" s="93" t="s">
        <v>213</v>
      </c>
      <c r="L182" s="93" t="str">
        <f>_xlfn.XLOOKUP(Tabla2__2[[#This Row],[CODIGO RUTA]],'DATA INFORME'!I:I,'DATA INFORME'!K:K)</f>
        <v>SI</v>
      </c>
      <c r="M182" s="93" t="str">
        <f>IF(Tabla2__2[[#This Row],[MYSTERY EFECTIVO]]="SI",_xlfn.XLOOKUP(Tabla2__2[[#This Row],[PREGUNTA]],ENCUESTA!G:G,ENCUESTA!D:D),"N/A")</f>
        <v>PRESENTACIÓN PERSONAL</v>
      </c>
      <c r="N18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2" s="93" t="str">
        <f>_xlfn.XLOOKUP(Tabla2__2[[#This Row],[PREGUNTA]],ENCUESTA!G:G,ENCUESTA!H:H)</f>
        <v>NO</v>
      </c>
      <c r="P182" s="93">
        <f>IF(Tabla2__2[[#This Row],[RTA]]=Tabla2__2[[#This Row],[RTA CORRECTA]],Tabla2__2[[#This Row],[TOTAL PUNTAJE]],0)</f>
        <v>1</v>
      </c>
      <c r="Q182" s="93">
        <f>IF(OR(H182="Dog Chow húmedo",H182="Cat Chow húmedo",H182="Fancy Feast",H182="Felix",H182="Proplan húmedo",H182="One húmedo",H182="Snack Abrazzos",H182="Snak Dentalife",H182="Arenilla Tidy Cat"),N182,0)</f>
        <v>0</v>
      </c>
      <c r="R182" s="93"/>
    </row>
    <row r="183" spans="1:18" x14ac:dyDescent="0.35">
      <c r="A183" s="93" t="s">
        <v>109</v>
      </c>
      <c r="B183" s="93" t="s">
        <v>8</v>
      </c>
      <c r="C183" s="90" t="s">
        <v>15</v>
      </c>
      <c r="D183" s="93" t="s">
        <v>120</v>
      </c>
      <c r="E183" s="94">
        <v>42612</v>
      </c>
      <c r="F183" s="93" t="s">
        <v>136</v>
      </c>
      <c r="G183" s="93" t="s">
        <v>97</v>
      </c>
      <c r="H183" s="93" t="s">
        <v>108</v>
      </c>
      <c r="I183" s="95"/>
      <c r="J183" s="94">
        <v>29602530</v>
      </c>
      <c r="K183" s="93" t="s">
        <v>213</v>
      </c>
      <c r="L183" s="93" t="str">
        <f>_xlfn.XLOOKUP(Tabla2__2[[#This Row],[CODIGO RUTA]],'DATA INFORME'!I:I,'DATA INFORME'!K:K)</f>
        <v>SI</v>
      </c>
      <c r="M183" s="93" t="str">
        <f>IF(Tabla2__2[[#This Row],[MYSTERY EFECTIVO]]="SI",_xlfn.XLOOKUP(Tabla2__2[[#This Row],[PREGUNTA]],ENCUESTA!G:G,ENCUESTA!D:D),"N/A")</f>
        <v>PRESENTACIÓN PERSONAL</v>
      </c>
      <c r="N18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3" s="93" t="str">
        <f>_xlfn.XLOOKUP(Tabla2__2[[#This Row],[PREGUNTA]],ENCUESTA!G:G,ENCUESTA!H:H)</f>
        <v>NO</v>
      </c>
      <c r="P183" s="93">
        <f>IF(Tabla2__2[[#This Row],[RTA]]=Tabla2__2[[#This Row],[RTA CORRECTA]],Tabla2__2[[#This Row],[TOTAL PUNTAJE]],0)</f>
        <v>1</v>
      </c>
      <c r="Q183" s="93">
        <f>IF(OR(H183="Dog Chow húmedo",H183="Cat Chow húmedo",H183="Fancy Feast",H183="Felix",H183="Proplan húmedo",H183="One húmedo",H183="Snack Abrazzos",H183="Snak Dentalife",H183="Arenilla Tidy Cat"),N183,0)</f>
        <v>0</v>
      </c>
      <c r="R183" s="93"/>
    </row>
    <row r="184" spans="1:18" x14ac:dyDescent="0.35">
      <c r="A184" s="93" t="s">
        <v>109</v>
      </c>
      <c r="B184" s="93" t="s">
        <v>8</v>
      </c>
      <c r="C184" s="90" t="s">
        <v>15</v>
      </c>
      <c r="D184" s="93" t="s">
        <v>120</v>
      </c>
      <c r="E184" s="94">
        <v>42612</v>
      </c>
      <c r="F184" s="93" t="s">
        <v>136</v>
      </c>
      <c r="G184" s="93" t="s">
        <v>147</v>
      </c>
      <c r="H184" s="93" t="s">
        <v>20</v>
      </c>
      <c r="I184" s="95"/>
      <c r="J184" s="94">
        <v>29602530</v>
      </c>
      <c r="K184" s="93" t="s">
        <v>213</v>
      </c>
      <c r="L184" s="93" t="str">
        <f>_xlfn.XLOOKUP(Tabla2__2[[#This Row],[CODIGO RUTA]],'DATA INFORME'!I:I,'DATA INFORME'!K:K)</f>
        <v>SI</v>
      </c>
      <c r="M184" s="93" t="str">
        <f>IF(Tabla2__2[[#This Row],[MYSTERY EFECTIVO]]="SI",_xlfn.XLOOKUP(Tabla2__2[[#This Row],[PREGUNTA]],ENCUESTA!G:G,ENCUESTA!D:D),"N/A")</f>
        <v>EJECUCIÓN DEL PDV</v>
      </c>
      <c r="N18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4" s="93" t="str">
        <f>_xlfn.XLOOKUP(Tabla2__2[[#This Row],[PREGUNTA]],ENCUESTA!G:G,ENCUESTA!H:H)</f>
        <v>SI</v>
      </c>
      <c r="P184" s="93">
        <f>IF(Tabla2__2[[#This Row],[RTA]]=Tabla2__2[[#This Row],[RTA CORRECTA]],Tabla2__2[[#This Row],[TOTAL PUNTAJE]],0)</f>
        <v>3.75</v>
      </c>
      <c r="Q184" s="93">
        <f>IF(OR(H184="Dog Chow húmedo",H184="Cat Chow húmedo",H184="Fancy Feast",H184="Felix",H184="Proplan húmedo",H184="One húmedo",H184="Snack Abrazzos",H184="Snak Dentalife",H184="Arenilla Tidy Cat"),N184,0)</f>
        <v>0</v>
      </c>
      <c r="R184" s="93"/>
    </row>
    <row r="185" spans="1:18" x14ac:dyDescent="0.35">
      <c r="A185" s="93" t="s">
        <v>109</v>
      </c>
      <c r="B185" s="93" t="s">
        <v>8</v>
      </c>
      <c r="C185" s="90" t="s">
        <v>15</v>
      </c>
      <c r="D185" s="93" t="s">
        <v>120</v>
      </c>
      <c r="E185" s="94">
        <v>42612</v>
      </c>
      <c r="F185" s="93" t="s">
        <v>136</v>
      </c>
      <c r="G185" s="93" t="s">
        <v>148</v>
      </c>
      <c r="H185" s="93" t="s">
        <v>20</v>
      </c>
      <c r="I185" s="95"/>
      <c r="J185" s="94">
        <v>29602530</v>
      </c>
      <c r="K185" s="93" t="s">
        <v>213</v>
      </c>
      <c r="L185" s="93" t="str">
        <f>_xlfn.XLOOKUP(Tabla2__2[[#This Row],[CODIGO RUTA]],'DATA INFORME'!I:I,'DATA INFORME'!K:K)</f>
        <v>SI</v>
      </c>
      <c r="M185" s="93" t="str">
        <f>IF(Tabla2__2[[#This Row],[MYSTERY EFECTIVO]]="SI",_xlfn.XLOOKUP(Tabla2__2[[#This Row],[PREGUNTA]],ENCUESTA!G:G,ENCUESTA!D:D),"N/A")</f>
        <v>EJECUCIÓN DEL PDV</v>
      </c>
      <c r="N18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5" s="93" t="str">
        <f>_xlfn.XLOOKUP(Tabla2__2[[#This Row],[PREGUNTA]],ENCUESTA!G:G,ENCUESTA!H:H)</f>
        <v>SI</v>
      </c>
      <c r="P185" s="93">
        <f>IF(Tabla2__2[[#This Row],[RTA]]=Tabla2__2[[#This Row],[RTA CORRECTA]],Tabla2__2[[#This Row],[TOTAL PUNTAJE]],0)</f>
        <v>3.75</v>
      </c>
      <c r="Q185" s="93">
        <f>IF(OR(H185="Dog Chow húmedo",H185="Cat Chow húmedo",H185="Fancy Feast",H185="Felix",H185="Proplan húmedo",H185="One húmedo",H185="Snack Abrazzos",H185="Snak Dentalife",H185="Arenilla Tidy Cat"),N185,0)</f>
        <v>0</v>
      </c>
      <c r="R185" s="93"/>
    </row>
    <row r="186" spans="1:18" x14ac:dyDescent="0.35">
      <c r="A186" s="93" t="s">
        <v>109</v>
      </c>
      <c r="B186" s="93" t="s">
        <v>8</v>
      </c>
      <c r="C186" s="90" t="s">
        <v>15</v>
      </c>
      <c r="D186" s="93" t="s">
        <v>120</v>
      </c>
      <c r="E186" s="94">
        <v>42612</v>
      </c>
      <c r="F186" s="93" t="s">
        <v>136</v>
      </c>
      <c r="G186" s="93" t="s">
        <v>98</v>
      </c>
      <c r="H186" s="93" t="s">
        <v>20</v>
      </c>
      <c r="I186" s="95"/>
      <c r="J186" s="94">
        <v>29602530</v>
      </c>
      <c r="K186" s="93" t="s">
        <v>213</v>
      </c>
      <c r="L186" s="93" t="str">
        <f>_xlfn.XLOOKUP(Tabla2__2[[#This Row],[CODIGO RUTA]],'DATA INFORME'!I:I,'DATA INFORME'!K:K)</f>
        <v>SI</v>
      </c>
      <c r="M186" s="93" t="str">
        <f>IF(Tabla2__2[[#This Row],[MYSTERY EFECTIVO]]="SI",_xlfn.XLOOKUP(Tabla2__2[[#This Row],[PREGUNTA]],ENCUESTA!G:G,ENCUESTA!D:D),"N/A")</f>
        <v>EJECUCIÓN DEL PDV</v>
      </c>
      <c r="N18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6" s="93" t="str">
        <f>_xlfn.XLOOKUP(Tabla2__2[[#This Row],[PREGUNTA]],ENCUESTA!G:G,ENCUESTA!H:H)</f>
        <v>SI</v>
      </c>
      <c r="P186" s="93">
        <f>IF(Tabla2__2[[#This Row],[RTA]]=Tabla2__2[[#This Row],[RTA CORRECTA]],Tabla2__2[[#This Row],[TOTAL PUNTAJE]],0)</f>
        <v>3.75</v>
      </c>
      <c r="Q186" s="93">
        <f>IF(OR(H186="Dog Chow húmedo",H186="Cat Chow húmedo",H186="Fancy Feast",H186="Felix",H186="Proplan húmedo",H186="One húmedo",H186="Snack Abrazzos",H186="Snak Dentalife",H186="Arenilla Tidy Cat"),N186,0)</f>
        <v>0</v>
      </c>
      <c r="R186" s="93"/>
    </row>
    <row r="187" spans="1:18" x14ac:dyDescent="0.35">
      <c r="A187" s="93" t="s">
        <v>109</v>
      </c>
      <c r="B187" s="93" t="s">
        <v>8</v>
      </c>
      <c r="C187" s="90" t="s">
        <v>15</v>
      </c>
      <c r="D187" s="93" t="s">
        <v>120</v>
      </c>
      <c r="E187" s="94">
        <v>42612</v>
      </c>
      <c r="F187" s="93" t="s">
        <v>136</v>
      </c>
      <c r="G187" s="93" t="s">
        <v>99</v>
      </c>
      <c r="H187" s="93" t="s">
        <v>20</v>
      </c>
      <c r="I187" s="95"/>
      <c r="J187" s="94">
        <v>29602530</v>
      </c>
      <c r="K187" s="93" t="s">
        <v>213</v>
      </c>
      <c r="L187" s="93" t="str">
        <f>_xlfn.XLOOKUP(Tabla2__2[[#This Row],[CODIGO RUTA]],'DATA INFORME'!I:I,'DATA INFORME'!K:K)</f>
        <v>SI</v>
      </c>
      <c r="M187" s="93" t="str">
        <f>IF(Tabla2__2[[#This Row],[MYSTERY EFECTIVO]]="SI",_xlfn.XLOOKUP(Tabla2__2[[#This Row],[PREGUNTA]],ENCUESTA!G:G,ENCUESTA!D:D),"N/A")</f>
        <v>EJECUCIÓN DEL PDV</v>
      </c>
      <c r="N18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7" s="93" t="str">
        <f>_xlfn.XLOOKUP(Tabla2__2[[#This Row],[PREGUNTA]],ENCUESTA!G:G,ENCUESTA!H:H)</f>
        <v>SI</v>
      </c>
      <c r="P187" s="93">
        <f>IF(Tabla2__2[[#This Row],[RTA]]=Tabla2__2[[#This Row],[RTA CORRECTA]],Tabla2__2[[#This Row],[TOTAL PUNTAJE]],0)</f>
        <v>3.75</v>
      </c>
      <c r="Q187" s="93">
        <f>IF(OR(H187="Dog Chow húmedo",H187="Cat Chow húmedo",H187="Fancy Feast",H187="Felix",H187="Proplan húmedo",H187="One húmedo",H187="Snack Abrazzos",H187="Snak Dentalife",H187="Arenilla Tidy Cat"),N187,0)</f>
        <v>0</v>
      </c>
      <c r="R187" s="93"/>
    </row>
    <row r="188" spans="1:18" x14ac:dyDescent="0.35">
      <c r="A188" s="93" t="s">
        <v>109</v>
      </c>
      <c r="B188" s="93" t="s">
        <v>8</v>
      </c>
      <c r="C188" s="90" t="s">
        <v>15</v>
      </c>
      <c r="D188" s="93" t="s">
        <v>120</v>
      </c>
      <c r="E188" s="94">
        <v>42612</v>
      </c>
      <c r="F188" s="93" t="s">
        <v>136</v>
      </c>
      <c r="G188" s="93" t="s">
        <v>100</v>
      </c>
      <c r="H188" s="93" t="s">
        <v>20</v>
      </c>
      <c r="I188" s="95"/>
      <c r="J188" s="94">
        <v>29602530</v>
      </c>
      <c r="K188" s="93" t="s">
        <v>213</v>
      </c>
      <c r="L188" s="93" t="str">
        <f>_xlfn.XLOOKUP(Tabla2__2[[#This Row],[CODIGO RUTA]],'DATA INFORME'!I:I,'DATA INFORME'!K:K)</f>
        <v>SI</v>
      </c>
      <c r="M188" s="93" t="str">
        <f>IF(Tabla2__2[[#This Row],[MYSTERY EFECTIVO]]="SI",_xlfn.XLOOKUP(Tabla2__2[[#This Row],[PREGUNTA]],ENCUESTA!G:G,ENCUESTA!D:D),"N/A")</f>
        <v>EJECUCIÓN DEL PDV</v>
      </c>
      <c r="N18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8" s="93" t="str">
        <f>_xlfn.XLOOKUP(Tabla2__2[[#This Row],[PREGUNTA]],ENCUESTA!G:G,ENCUESTA!H:H)</f>
        <v>SI</v>
      </c>
      <c r="P188" s="93">
        <f>IF(Tabla2__2[[#This Row],[RTA]]=Tabla2__2[[#This Row],[RTA CORRECTA]],Tabla2__2[[#This Row],[TOTAL PUNTAJE]],0)</f>
        <v>3.75</v>
      </c>
      <c r="Q188" s="93">
        <f>IF(OR(H188="Dog Chow húmedo",H188="Cat Chow húmedo",H188="Fancy Feast",H188="Felix",H188="Proplan húmedo",H188="One húmedo",H188="Snack Abrazzos",H188="Snak Dentalife",H188="Arenilla Tidy Cat"),N188,0)</f>
        <v>0</v>
      </c>
      <c r="R188" s="93"/>
    </row>
    <row r="189" spans="1:18" x14ac:dyDescent="0.35">
      <c r="A189" s="93" t="s">
        <v>109</v>
      </c>
      <c r="B189" s="93" t="s">
        <v>8</v>
      </c>
      <c r="C189" s="90" t="s">
        <v>15</v>
      </c>
      <c r="D189" s="93" t="s">
        <v>120</v>
      </c>
      <c r="E189" s="94">
        <v>42612</v>
      </c>
      <c r="F189" s="93" t="s">
        <v>136</v>
      </c>
      <c r="G189" s="93" t="s">
        <v>149</v>
      </c>
      <c r="H189" s="93" t="s">
        <v>20</v>
      </c>
      <c r="I189" s="95"/>
      <c r="J189" s="94">
        <v>29602530</v>
      </c>
      <c r="K189" s="93" t="s">
        <v>213</v>
      </c>
      <c r="L189" s="93" t="str">
        <f>_xlfn.XLOOKUP(Tabla2__2[[#This Row],[CODIGO RUTA]],'DATA INFORME'!I:I,'DATA INFORME'!K:K)</f>
        <v>SI</v>
      </c>
      <c r="M189" s="93" t="str">
        <f>IF(Tabla2__2[[#This Row],[MYSTERY EFECTIVO]]="SI",_xlfn.XLOOKUP(Tabla2__2[[#This Row],[PREGUNTA]],ENCUESTA!G:G,ENCUESTA!D:D),"N/A")</f>
        <v>EJECUCIÓN DEL PDV</v>
      </c>
      <c r="N18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9" s="93" t="str">
        <f>_xlfn.XLOOKUP(Tabla2__2[[#This Row],[PREGUNTA]],ENCUESTA!G:G,ENCUESTA!H:H)</f>
        <v>SI</v>
      </c>
      <c r="P189" s="93">
        <f>IF(Tabla2__2[[#This Row],[RTA]]=Tabla2__2[[#This Row],[RTA CORRECTA]],Tabla2__2[[#This Row],[TOTAL PUNTAJE]],0)</f>
        <v>3.75</v>
      </c>
      <c r="Q189" s="93">
        <f>IF(OR(H189="Dog Chow húmedo",H189="Cat Chow húmedo",H189="Fancy Feast",H189="Felix",H189="Proplan húmedo",H189="One húmedo",H189="Snack Abrazzos",H189="Snak Dentalife",H189="Arenilla Tidy Cat"),N189,0)</f>
        <v>0</v>
      </c>
      <c r="R189" s="93"/>
    </row>
    <row r="190" spans="1:18" x14ac:dyDescent="0.35">
      <c r="A190" s="93" t="s">
        <v>109</v>
      </c>
      <c r="B190" s="93" t="s">
        <v>8</v>
      </c>
      <c r="C190" s="90" t="s">
        <v>15</v>
      </c>
      <c r="D190" s="93" t="s">
        <v>120</v>
      </c>
      <c r="E190" s="94">
        <v>42612</v>
      </c>
      <c r="F190" s="93" t="s">
        <v>136</v>
      </c>
      <c r="G190" s="93" t="s">
        <v>130</v>
      </c>
      <c r="H190" s="93" t="s">
        <v>108</v>
      </c>
      <c r="I190" s="95"/>
      <c r="J190" s="94">
        <v>29602530</v>
      </c>
      <c r="K190" s="93" t="s">
        <v>213</v>
      </c>
      <c r="L190" s="93" t="str">
        <f>_xlfn.XLOOKUP(Tabla2__2[[#This Row],[CODIGO RUTA]],'DATA INFORME'!I:I,'DATA INFORME'!K:K)</f>
        <v>SI</v>
      </c>
      <c r="M190" s="93" t="str">
        <f>IF(Tabla2__2[[#This Row],[MYSTERY EFECTIVO]]="SI",_xlfn.XLOOKUP(Tabla2__2[[#This Row],[PREGUNTA]],ENCUESTA!G:G,ENCUESTA!D:D),"N/A")</f>
        <v>EJECUCIÓN DEL PDV</v>
      </c>
      <c r="N19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0" s="93" t="str">
        <f>_xlfn.XLOOKUP(Tabla2__2[[#This Row],[PREGUNTA]],ENCUESTA!G:G,ENCUESTA!H:H)</f>
        <v>SI</v>
      </c>
      <c r="P190" s="93">
        <f>IF(Tabla2__2[[#This Row],[RTA]]=Tabla2__2[[#This Row],[RTA CORRECTA]],Tabla2__2[[#This Row],[TOTAL PUNTAJE]],0)</f>
        <v>0</v>
      </c>
      <c r="Q190" s="93">
        <f>IF(OR(H190="Dog Chow húmedo",H190="Cat Chow húmedo",H190="Fancy Feast",H190="Felix",H190="Proplan húmedo",H190="One húmedo",H190="Snack Abrazzos",H190="Snak Dentalife",H190="Arenilla Tidy Cat"),N190,0)</f>
        <v>0</v>
      </c>
      <c r="R190" s="93"/>
    </row>
    <row r="191" spans="1:18" x14ac:dyDescent="0.35">
      <c r="A191" s="93" t="s">
        <v>109</v>
      </c>
      <c r="B191" s="93" t="s">
        <v>8</v>
      </c>
      <c r="C191" s="90" t="s">
        <v>15</v>
      </c>
      <c r="D191" s="93" t="s">
        <v>120</v>
      </c>
      <c r="E191" s="94">
        <v>42612</v>
      </c>
      <c r="F191" s="93" t="s">
        <v>136</v>
      </c>
      <c r="G191" s="93" t="s">
        <v>131</v>
      </c>
      <c r="H191" s="93" t="s">
        <v>20</v>
      </c>
      <c r="I191" s="95"/>
      <c r="J191" s="94">
        <v>29602530</v>
      </c>
      <c r="K191" s="93" t="s">
        <v>213</v>
      </c>
      <c r="L191" s="93" t="str">
        <f>_xlfn.XLOOKUP(Tabla2__2[[#This Row],[CODIGO RUTA]],'DATA INFORME'!I:I,'DATA INFORME'!K:K)</f>
        <v>SI</v>
      </c>
      <c r="M191" s="93" t="str">
        <f>IF(Tabla2__2[[#This Row],[MYSTERY EFECTIVO]]="SI",_xlfn.XLOOKUP(Tabla2__2[[#This Row],[PREGUNTA]],ENCUESTA!G:G,ENCUESTA!D:D),"N/A")</f>
        <v>EJECUCIÓN DEL PDV</v>
      </c>
      <c r="N19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1" s="93" t="str">
        <f>_xlfn.XLOOKUP(Tabla2__2[[#This Row],[PREGUNTA]],ENCUESTA!G:G,ENCUESTA!H:H)</f>
        <v>SI</v>
      </c>
      <c r="P191" s="93">
        <f>IF(Tabla2__2[[#This Row],[RTA]]=Tabla2__2[[#This Row],[RTA CORRECTA]],Tabla2__2[[#This Row],[TOTAL PUNTAJE]],0)</f>
        <v>3.75</v>
      </c>
      <c r="Q191" s="93">
        <f>IF(OR(H191="Dog Chow húmedo",H191="Cat Chow húmedo",H191="Fancy Feast",H191="Felix",H191="Proplan húmedo",H191="One húmedo",H191="Snack Abrazzos",H191="Snak Dentalife",H191="Arenilla Tidy Cat"),N191,0)</f>
        <v>0</v>
      </c>
      <c r="R191" s="93"/>
    </row>
    <row r="192" spans="1:18" x14ac:dyDescent="0.35">
      <c r="A192" s="93" t="s">
        <v>109</v>
      </c>
      <c r="B192" s="93" t="s">
        <v>8</v>
      </c>
      <c r="C192" s="90" t="s">
        <v>15</v>
      </c>
      <c r="D192" s="93" t="s">
        <v>120</v>
      </c>
      <c r="E192" s="94">
        <v>42612</v>
      </c>
      <c r="F192" s="93" t="s">
        <v>136</v>
      </c>
      <c r="G192" s="93" t="s">
        <v>101</v>
      </c>
      <c r="H192" s="93" t="s">
        <v>15</v>
      </c>
      <c r="I192" s="95"/>
      <c r="J192" s="94">
        <v>29602530</v>
      </c>
      <c r="K192" s="93" t="s">
        <v>213</v>
      </c>
      <c r="L192" s="93" t="str">
        <f>_xlfn.XLOOKUP(Tabla2__2[[#This Row],[CODIGO RUTA]],'DATA INFORME'!I:I,'DATA INFORME'!K:K)</f>
        <v>SI</v>
      </c>
      <c r="M192" s="93" t="str">
        <f>IF(Tabla2__2[[#This Row],[MYSTERY EFECTIVO]]="SI",_xlfn.XLOOKUP(Tabla2__2[[#This Row],[PREGUNTA]],ENCUESTA!G:G,ENCUESTA!D:D),"N/A")</f>
        <v>N/A</v>
      </c>
      <c r="N19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2" s="93">
        <f>_xlfn.XLOOKUP(Tabla2__2[[#This Row],[PREGUNTA]],ENCUESTA!G:G,ENCUESTA!H:H)</f>
        <v>0</v>
      </c>
      <c r="P192" s="93">
        <f>IF(Tabla2__2[[#This Row],[RTA]]=Tabla2__2[[#This Row],[RTA CORRECTA]],Tabla2__2[[#This Row],[TOTAL PUNTAJE]],0)</f>
        <v>0</v>
      </c>
      <c r="Q192" s="93">
        <f>IF(OR(H192="Dog Chow húmedo",H192="Cat Chow húmedo",H192="Fancy Feast",H192="Felix",H192="Proplan húmedo",H192="One húmedo",H192="Snack Abrazzos",H192="Snak Dentalife",H192="Arenilla Tidy Cat"),N192,0)</f>
        <v>0</v>
      </c>
      <c r="R192" s="93"/>
    </row>
    <row r="193" spans="1:18" x14ac:dyDescent="0.35">
      <c r="A193" s="93" t="s">
        <v>109</v>
      </c>
      <c r="B193" s="93" t="s">
        <v>8</v>
      </c>
      <c r="C193" s="90" t="s">
        <v>15</v>
      </c>
      <c r="D193" s="93" t="s">
        <v>120</v>
      </c>
      <c r="E193" s="94">
        <v>42612</v>
      </c>
      <c r="F193" s="93" t="s">
        <v>136</v>
      </c>
      <c r="G193" s="93" t="s">
        <v>116</v>
      </c>
      <c r="H193" s="93" t="s">
        <v>20</v>
      </c>
      <c r="I193" s="95"/>
      <c r="J193" s="94">
        <v>29602530</v>
      </c>
      <c r="K193" s="93" t="s">
        <v>213</v>
      </c>
      <c r="L193" s="93" t="str">
        <f>_xlfn.XLOOKUP(Tabla2__2[[#This Row],[CODIGO RUTA]],'DATA INFORME'!I:I,'DATA INFORME'!K:K)</f>
        <v>SI</v>
      </c>
      <c r="M193" s="93" t="str">
        <f>IF(Tabla2__2[[#This Row],[MYSTERY EFECTIVO]]="SI",_xlfn.XLOOKUP(Tabla2__2[[#This Row],[PREGUNTA]],ENCUESTA!G:G,ENCUESTA!D:D),"N/A")</f>
        <v>ACTIVIDADES DEL MES</v>
      </c>
      <c r="N19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93" s="93" t="str">
        <f>_xlfn.XLOOKUP(Tabla2__2[[#This Row],[PREGUNTA]],ENCUESTA!G:G,ENCUESTA!H:H)</f>
        <v>SI</v>
      </c>
      <c r="P193" s="93">
        <f>IF(Tabla2__2[[#This Row],[RTA]]=Tabla2__2[[#This Row],[RTA CORRECTA]],Tabla2__2[[#This Row],[TOTAL PUNTAJE]],0)</f>
        <v>8</v>
      </c>
      <c r="Q193" s="93">
        <f>IF(OR(H193="Dog Chow húmedo",H193="Cat Chow húmedo",H193="Fancy Feast",H193="Felix",H193="Proplan húmedo",H193="One húmedo",H193="Snack Abrazzos",H193="Snak Dentalife",H193="Arenilla Tidy Cat"),N193,0)</f>
        <v>0</v>
      </c>
      <c r="R193" s="93"/>
    </row>
    <row r="194" spans="1:18" x14ac:dyDescent="0.35">
      <c r="A194" s="93" t="s">
        <v>109</v>
      </c>
      <c r="B194" s="93" t="s">
        <v>8</v>
      </c>
      <c r="C194" s="90" t="s">
        <v>15</v>
      </c>
      <c r="D194" s="93" t="s">
        <v>120</v>
      </c>
      <c r="E194" s="94">
        <v>42612</v>
      </c>
      <c r="F194" s="93" t="s">
        <v>136</v>
      </c>
      <c r="G194" s="93" t="s">
        <v>95</v>
      </c>
      <c r="H194" s="93" t="s">
        <v>108</v>
      </c>
      <c r="I194" s="95"/>
      <c r="J194" s="94">
        <v>29602530</v>
      </c>
      <c r="K194" s="93" t="s">
        <v>213</v>
      </c>
      <c r="L194" s="93" t="str">
        <f>_xlfn.XLOOKUP(Tabla2__2[[#This Row],[CODIGO RUTA]],'DATA INFORME'!I:I,'DATA INFORME'!K:K)</f>
        <v>SI</v>
      </c>
      <c r="M194" s="93" t="str">
        <f>IF(Tabla2__2[[#This Row],[MYSTERY EFECTIVO]]="SI",_xlfn.XLOOKUP(Tabla2__2[[#This Row],[PREGUNTA]],ENCUESTA!G:G,ENCUESTA!D:D),"N/A")</f>
        <v>PRESENTACIÓN PERSONAL</v>
      </c>
      <c r="N19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4" s="93" t="str">
        <f>_xlfn.XLOOKUP(Tabla2__2[[#This Row],[PREGUNTA]],ENCUESTA!G:G,ENCUESTA!H:H)</f>
        <v>NO</v>
      </c>
      <c r="P194" s="93">
        <f>IF(Tabla2__2[[#This Row],[RTA]]=Tabla2__2[[#This Row],[RTA CORRECTA]],Tabla2__2[[#This Row],[TOTAL PUNTAJE]],0)</f>
        <v>1</v>
      </c>
      <c r="Q194" s="93">
        <f>IF(OR(H194="Dog Chow húmedo",H194="Cat Chow húmedo",H194="Fancy Feast",H194="Felix",H194="Proplan húmedo",H194="One húmedo",H194="Snack Abrazzos",H194="Snak Dentalife",H194="Arenilla Tidy Cat"),N194,0)</f>
        <v>0</v>
      </c>
      <c r="R194" s="93"/>
    </row>
    <row r="195" spans="1:18" x14ac:dyDescent="0.35">
      <c r="A195" s="93" t="s">
        <v>109</v>
      </c>
      <c r="B195" s="93" t="s">
        <v>8</v>
      </c>
      <c r="C195" s="90" t="s">
        <v>15</v>
      </c>
      <c r="D195" s="93" t="s">
        <v>120</v>
      </c>
      <c r="E195" s="94">
        <v>42612</v>
      </c>
      <c r="F195" s="93" t="s">
        <v>136</v>
      </c>
      <c r="G195" s="93" t="s">
        <v>150</v>
      </c>
      <c r="H195" s="93" t="s">
        <v>108</v>
      </c>
      <c r="I195" s="95"/>
      <c r="J195" s="94">
        <v>29602530</v>
      </c>
      <c r="K195" s="93" t="s">
        <v>213</v>
      </c>
      <c r="L195" s="93" t="str">
        <f>_xlfn.XLOOKUP(Tabla2__2[[#This Row],[CODIGO RUTA]],'DATA INFORME'!I:I,'DATA INFORME'!K:K)</f>
        <v>SI</v>
      </c>
      <c r="M195" s="93" t="str">
        <f>IF(Tabla2__2[[#This Row],[MYSTERY EFECTIVO]]="SI",_xlfn.XLOOKUP(Tabla2__2[[#This Row],[PREGUNTA]],ENCUESTA!G:G,ENCUESTA!D:D),"N/A")</f>
        <v>ACTIVIDADES DEL MES</v>
      </c>
      <c r="N19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95" s="93" t="str">
        <f>_xlfn.XLOOKUP(Tabla2__2[[#This Row],[PREGUNTA]],ENCUESTA!G:G,ENCUESTA!H:H)</f>
        <v>SI</v>
      </c>
      <c r="P195" s="93">
        <f>IF(Tabla2__2[[#This Row],[RTA]]=Tabla2__2[[#This Row],[RTA CORRECTA]],Tabla2__2[[#This Row],[TOTAL PUNTAJE]],0)</f>
        <v>0</v>
      </c>
      <c r="Q195" s="93">
        <f>IF(OR(H195="Dog Chow húmedo",H195="Cat Chow húmedo",H195="Fancy Feast",H195="Felix",H195="Proplan húmedo",H195="One húmedo",H195="Snack Abrazzos",H195="Snak Dentalife",H195="Arenilla Tidy Cat"),N195,0)</f>
        <v>0</v>
      </c>
      <c r="R195" s="93"/>
    </row>
    <row r="196" spans="1:18" x14ac:dyDescent="0.35">
      <c r="A196" s="93" t="s">
        <v>109</v>
      </c>
      <c r="B196" s="93" t="s">
        <v>8</v>
      </c>
      <c r="C196" s="90" t="s">
        <v>15</v>
      </c>
      <c r="D196" s="93" t="s">
        <v>120</v>
      </c>
      <c r="E196" s="94">
        <v>42612</v>
      </c>
      <c r="F196" s="93" t="s">
        <v>136</v>
      </c>
      <c r="G196" s="93" t="s">
        <v>117</v>
      </c>
      <c r="H196" s="93" t="s">
        <v>20</v>
      </c>
      <c r="I196" s="95"/>
      <c r="J196" s="94">
        <v>29602530</v>
      </c>
      <c r="K196" s="93" t="s">
        <v>213</v>
      </c>
      <c r="L196" s="93" t="str">
        <f>_xlfn.XLOOKUP(Tabla2__2[[#This Row],[CODIGO RUTA]],'DATA INFORME'!I:I,'DATA INFORME'!K:K)</f>
        <v>SI</v>
      </c>
      <c r="M196" s="93" t="str">
        <f>IF(Tabla2__2[[#This Row],[MYSTERY EFECTIVO]]="SI",_xlfn.XLOOKUP(Tabla2__2[[#This Row],[PREGUNTA]],ENCUESTA!G:G,ENCUESTA!D:D),"N/A")</f>
        <v>ACTIVIDADES DEL MES</v>
      </c>
      <c r="N19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96" s="93" t="str">
        <f>_xlfn.XLOOKUP(Tabla2__2[[#This Row],[PREGUNTA]],ENCUESTA!G:G,ENCUESTA!H:H)</f>
        <v>SI</v>
      </c>
      <c r="P196" s="93">
        <f>IF(Tabla2__2[[#This Row],[RTA]]=Tabla2__2[[#This Row],[RTA CORRECTA]],Tabla2__2[[#This Row],[TOTAL PUNTAJE]],0)</f>
        <v>8</v>
      </c>
      <c r="Q196" s="93">
        <f>IF(OR(H196="Dog Chow húmedo",H196="Cat Chow húmedo",H196="Fancy Feast",H196="Felix",H196="Proplan húmedo",H196="One húmedo",H196="Snack Abrazzos",H196="Snak Dentalife",H196="Arenilla Tidy Cat"),N196,0)</f>
        <v>0</v>
      </c>
      <c r="R196" s="93"/>
    </row>
    <row r="197" spans="1:18" x14ac:dyDescent="0.35">
      <c r="A197" s="93" t="s">
        <v>109</v>
      </c>
      <c r="B197" s="93" t="s">
        <v>8</v>
      </c>
      <c r="C197" s="90" t="s">
        <v>15</v>
      </c>
      <c r="D197" s="93" t="s">
        <v>120</v>
      </c>
      <c r="E197" s="94">
        <v>42612</v>
      </c>
      <c r="F197" s="93" t="s">
        <v>136</v>
      </c>
      <c r="G197" s="93" t="s">
        <v>102</v>
      </c>
      <c r="H197" s="93" t="s">
        <v>108</v>
      </c>
      <c r="I197" s="95"/>
      <c r="J197" s="94">
        <v>29602530</v>
      </c>
      <c r="K197" s="93" t="s">
        <v>213</v>
      </c>
      <c r="L197" s="93" t="str">
        <f>_xlfn.XLOOKUP(Tabla2__2[[#This Row],[CODIGO RUTA]],'DATA INFORME'!I:I,'DATA INFORME'!K:K)</f>
        <v>SI</v>
      </c>
      <c r="M197" s="93" t="str">
        <f>IF(Tabla2__2[[#This Row],[MYSTERY EFECTIVO]]="SI",_xlfn.XLOOKUP(Tabla2__2[[#This Row],[PREGUNTA]],ENCUESTA!G:G,ENCUESTA!D:D),"N/A")</f>
        <v>N/A</v>
      </c>
      <c r="N19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7" s="93">
        <f>_xlfn.XLOOKUP(Tabla2__2[[#This Row],[PREGUNTA]],ENCUESTA!G:G,ENCUESTA!H:H)</f>
        <v>0</v>
      </c>
      <c r="P197" s="93">
        <f>IF(Tabla2__2[[#This Row],[RTA]]=Tabla2__2[[#This Row],[RTA CORRECTA]],Tabla2__2[[#This Row],[TOTAL PUNTAJE]],0)</f>
        <v>0</v>
      </c>
      <c r="Q197" s="93">
        <f>IF(OR(H197="Dog Chow húmedo",H197="Cat Chow húmedo",H197="Fancy Feast",H197="Felix",H197="Proplan húmedo",H197="One húmedo",H197="Snack Abrazzos",H197="Snak Dentalife",H197="Arenilla Tidy Cat"),N197,0)</f>
        <v>0</v>
      </c>
      <c r="R197" s="93"/>
    </row>
    <row r="198" spans="1:18" x14ac:dyDescent="0.35">
      <c r="A198" s="93" t="s">
        <v>109</v>
      </c>
      <c r="B198" s="93" t="s">
        <v>139</v>
      </c>
      <c r="C198" s="90" t="s">
        <v>43</v>
      </c>
      <c r="D198" s="93" t="s">
        <v>143</v>
      </c>
      <c r="E198" s="94">
        <v>355519</v>
      </c>
      <c r="F198" s="93" t="s">
        <v>215</v>
      </c>
      <c r="G198" s="93" t="s">
        <v>87</v>
      </c>
      <c r="H198" s="93" t="s">
        <v>20</v>
      </c>
      <c r="I198" s="95"/>
      <c r="J198" s="94">
        <v>29606660</v>
      </c>
      <c r="K198" s="93" t="s">
        <v>142</v>
      </c>
      <c r="L198" s="93" t="str">
        <f>_xlfn.XLOOKUP(Tabla2__2[[#This Row],[CODIGO RUTA]],'DATA INFORME'!I:I,'DATA INFORME'!K:K)</f>
        <v>SI</v>
      </c>
      <c r="M198" s="93" t="str">
        <f>IF(Tabla2__2[[#This Row],[MYSTERY EFECTIVO]]="SI",_xlfn.XLOOKUP(Tabla2__2[[#This Row],[PREGUNTA]],ENCUESTA!G:G,ENCUESTA!D:D),"N/A")</f>
        <v>N/A</v>
      </c>
      <c r="N19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8" s="93">
        <f>_xlfn.XLOOKUP(Tabla2__2[[#This Row],[PREGUNTA]],ENCUESTA!G:G,ENCUESTA!H:H)</f>
        <v>0</v>
      </c>
      <c r="P198" s="93">
        <f>IF(Tabla2__2[[#This Row],[RTA]]=Tabla2__2[[#This Row],[RTA CORRECTA]],Tabla2__2[[#This Row],[TOTAL PUNTAJE]],0)</f>
        <v>0</v>
      </c>
      <c r="Q198" s="93">
        <f>IF(OR(H198="Dog Chow húmedo",H198="Cat Chow húmedo",H198="Fancy Feast",H198="Felix",H198="Proplan húmedo",H198="One húmedo",H198="Snack Abrazzos",H198="Snak Dentalife",H198="Arenilla Tidy Cat"),N198,0)</f>
        <v>0</v>
      </c>
      <c r="R198" s="93"/>
    </row>
    <row r="199" spans="1:18" x14ac:dyDescent="0.35">
      <c r="A199" s="93" t="s">
        <v>109</v>
      </c>
      <c r="B199" s="93" t="s">
        <v>139</v>
      </c>
      <c r="C199" s="90" t="s">
        <v>43</v>
      </c>
      <c r="D199" s="93" t="s">
        <v>143</v>
      </c>
      <c r="E199" s="94">
        <v>355519</v>
      </c>
      <c r="F199" s="93" t="s">
        <v>215</v>
      </c>
      <c r="G199" s="93" t="s">
        <v>88</v>
      </c>
      <c r="H199" s="93" t="s">
        <v>20</v>
      </c>
      <c r="I199" s="95"/>
      <c r="J199" s="94">
        <v>29606660</v>
      </c>
      <c r="K199" s="93" t="s">
        <v>142</v>
      </c>
      <c r="L199" s="93" t="str">
        <f>_xlfn.XLOOKUP(Tabla2__2[[#This Row],[CODIGO RUTA]],'DATA INFORME'!I:I,'DATA INFORME'!K:K)</f>
        <v>SI</v>
      </c>
      <c r="M199" s="93" t="str">
        <f>IF(Tabla2__2[[#This Row],[MYSTERY EFECTIVO]]="SI",_xlfn.XLOOKUP(Tabla2__2[[#This Row],[PREGUNTA]],ENCUESTA!G:G,ENCUESTA!D:D),"N/A")</f>
        <v>HORARIO</v>
      </c>
      <c r="N19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99" s="93" t="str">
        <f>_xlfn.XLOOKUP(Tabla2__2[[#This Row],[PREGUNTA]],ENCUESTA!G:G,ENCUESTA!H:H)</f>
        <v>SI</v>
      </c>
      <c r="P199" s="93">
        <f>IF(Tabla2__2[[#This Row],[RTA]]=Tabla2__2[[#This Row],[RTA CORRECTA]],Tabla2__2[[#This Row],[TOTAL PUNTAJE]],0)</f>
        <v>20</v>
      </c>
      <c r="Q199" s="93">
        <f>IF(OR(H199="Dog Chow húmedo",H199="Cat Chow húmedo",H199="Fancy Feast",H199="Felix",H199="Proplan húmedo",H199="One húmedo",H199="Snack Abrazzos",H199="Snak Dentalife",H199="Arenilla Tidy Cat"),N199,0)</f>
        <v>0</v>
      </c>
      <c r="R199" s="93"/>
    </row>
    <row r="200" spans="1:18" x14ac:dyDescent="0.35">
      <c r="A200" s="93" t="s">
        <v>109</v>
      </c>
      <c r="B200" s="93" t="s">
        <v>139</v>
      </c>
      <c r="C200" s="90" t="s">
        <v>43</v>
      </c>
      <c r="D200" s="93" t="s">
        <v>143</v>
      </c>
      <c r="E200" s="94">
        <v>355519</v>
      </c>
      <c r="F200" s="93" t="s">
        <v>215</v>
      </c>
      <c r="G200" s="93" t="s">
        <v>89</v>
      </c>
      <c r="H200" s="93" t="s">
        <v>20</v>
      </c>
      <c r="I200" s="95"/>
      <c r="J200" s="94">
        <v>29606660</v>
      </c>
      <c r="K200" s="93" t="s">
        <v>142</v>
      </c>
      <c r="L200" s="93" t="str">
        <f>_xlfn.XLOOKUP(Tabla2__2[[#This Row],[CODIGO RUTA]],'DATA INFORME'!I:I,'DATA INFORME'!K:K)</f>
        <v>SI</v>
      </c>
      <c r="M200" s="93" t="str">
        <f>IF(Tabla2__2[[#This Row],[MYSTERY EFECTIVO]]="SI",_xlfn.XLOOKUP(Tabla2__2[[#This Row],[PREGUNTA]],ENCUESTA!G:G,ENCUESTA!D:D),"N/A")</f>
        <v>PRESENTACIÓN PERSONAL</v>
      </c>
      <c r="N20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0" s="93" t="str">
        <f>_xlfn.XLOOKUP(Tabla2__2[[#This Row],[PREGUNTA]],ENCUESTA!G:G,ENCUESTA!H:H)</f>
        <v>SI</v>
      </c>
      <c r="P200" s="93">
        <f>IF(Tabla2__2[[#This Row],[RTA]]=Tabla2__2[[#This Row],[RTA CORRECTA]],Tabla2__2[[#This Row],[TOTAL PUNTAJE]],0)</f>
        <v>1</v>
      </c>
      <c r="Q200" s="93">
        <f>IF(OR(H200="Dog Chow húmedo",H200="Cat Chow húmedo",H200="Fancy Feast",H200="Felix",H200="Proplan húmedo",H200="One húmedo",H200="Snack Abrazzos",H200="Snak Dentalife",H200="Arenilla Tidy Cat"),N200,0)</f>
        <v>0</v>
      </c>
      <c r="R200" s="93"/>
    </row>
    <row r="201" spans="1:18" x14ac:dyDescent="0.35">
      <c r="A201" s="93" t="s">
        <v>109</v>
      </c>
      <c r="B201" s="93" t="s">
        <v>139</v>
      </c>
      <c r="C201" s="90" t="s">
        <v>43</v>
      </c>
      <c r="D201" s="93" t="s">
        <v>143</v>
      </c>
      <c r="E201" s="94">
        <v>355519</v>
      </c>
      <c r="F201" s="93" t="s">
        <v>215</v>
      </c>
      <c r="G201" s="93" t="s">
        <v>90</v>
      </c>
      <c r="H201" s="93" t="s">
        <v>20</v>
      </c>
      <c r="I201" s="95"/>
      <c r="J201" s="94">
        <v>29606660</v>
      </c>
      <c r="K201" s="93" t="s">
        <v>142</v>
      </c>
      <c r="L201" s="93" t="str">
        <f>_xlfn.XLOOKUP(Tabla2__2[[#This Row],[CODIGO RUTA]],'DATA INFORME'!I:I,'DATA INFORME'!K:K)</f>
        <v>SI</v>
      </c>
      <c r="M201" s="93" t="str">
        <f>IF(Tabla2__2[[#This Row],[MYSTERY EFECTIVO]]="SI",_xlfn.XLOOKUP(Tabla2__2[[#This Row],[PREGUNTA]],ENCUESTA!G:G,ENCUESTA!D:D),"N/A")</f>
        <v>PRESENTACIÓN PERSONAL</v>
      </c>
      <c r="N20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1" s="93" t="str">
        <f>_xlfn.XLOOKUP(Tabla2__2[[#This Row],[PREGUNTA]],ENCUESTA!G:G,ENCUESTA!H:H)</f>
        <v>SI</v>
      </c>
      <c r="P201" s="93">
        <f>IF(Tabla2__2[[#This Row],[RTA]]=Tabla2__2[[#This Row],[RTA CORRECTA]],Tabla2__2[[#This Row],[TOTAL PUNTAJE]],0)</f>
        <v>1</v>
      </c>
      <c r="Q201" s="93">
        <f>IF(OR(H201="Dog Chow húmedo",H201="Cat Chow húmedo",H201="Fancy Feast",H201="Felix",H201="Proplan húmedo",H201="One húmedo",H201="Snack Abrazzos",H201="Snak Dentalife",H201="Arenilla Tidy Cat"),N201,0)</f>
        <v>0</v>
      </c>
      <c r="R201" s="93"/>
    </row>
    <row r="202" spans="1:18" x14ac:dyDescent="0.35">
      <c r="A202" s="93" t="s">
        <v>109</v>
      </c>
      <c r="B202" s="93" t="s">
        <v>139</v>
      </c>
      <c r="C202" s="90" t="s">
        <v>43</v>
      </c>
      <c r="D202" s="93" t="s">
        <v>143</v>
      </c>
      <c r="E202" s="94">
        <v>355519</v>
      </c>
      <c r="F202" s="93" t="s">
        <v>215</v>
      </c>
      <c r="G202" s="93" t="s">
        <v>35</v>
      </c>
      <c r="H202" s="93" t="s">
        <v>20</v>
      </c>
      <c r="I202" s="95"/>
      <c r="J202" s="94">
        <v>29606660</v>
      </c>
      <c r="K202" s="93" t="s">
        <v>142</v>
      </c>
      <c r="L202" s="93" t="str">
        <f>_xlfn.XLOOKUP(Tabla2__2[[#This Row],[CODIGO RUTA]],'DATA INFORME'!I:I,'DATA INFORME'!K:K)</f>
        <v>SI</v>
      </c>
      <c r="M202" s="93" t="str">
        <f>IF(Tabla2__2[[#This Row],[MYSTERY EFECTIVO]]="SI",_xlfn.XLOOKUP(Tabla2__2[[#This Row],[PREGUNTA]],ENCUESTA!G:G,ENCUESTA!D:D),"N/A")</f>
        <v>PRESENTACIÓN PERSONAL</v>
      </c>
      <c r="N20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2" s="93" t="str">
        <f>_xlfn.XLOOKUP(Tabla2__2[[#This Row],[PREGUNTA]],ENCUESTA!G:G,ENCUESTA!H:H)</f>
        <v>SI</v>
      </c>
      <c r="P202" s="93">
        <f>IF(Tabla2__2[[#This Row],[RTA]]=Tabla2__2[[#This Row],[RTA CORRECTA]],Tabla2__2[[#This Row],[TOTAL PUNTAJE]],0)</f>
        <v>1</v>
      </c>
      <c r="Q202" s="93">
        <f>IF(OR(H202="Dog Chow húmedo",H202="Cat Chow húmedo",H202="Fancy Feast",H202="Felix",H202="Proplan húmedo",H202="One húmedo",H202="Snack Abrazzos",H202="Snak Dentalife",H202="Arenilla Tidy Cat"),N202,0)</f>
        <v>0</v>
      </c>
      <c r="R202" s="93"/>
    </row>
    <row r="203" spans="1:18" x14ac:dyDescent="0.35">
      <c r="A203" s="93" t="s">
        <v>109</v>
      </c>
      <c r="B203" s="93" t="s">
        <v>139</v>
      </c>
      <c r="C203" s="90" t="s">
        <v>43</v>
      </c>
      <c r="D203" s="93" t="s">
        <v>143</v>
      </c>
      <c r="E203" s="94">
        <v>355519</v>
      </c>
      <c r="F203" s="93" t="s">
        <v>215</v>
      </c>
      <c r="G203" s="93" t="s">
        <v>91</v>
      </c>
      <c r="H203" s="93" t="s">
        <v>108</v>
      </c>
      <c r="I203" s="95"/>
      <c r="J203" s="94">
        <v>29606660</v>
      </c>
      <c r="K203" s="93" t="s">
        <v>142</v>
      </c>
      <c r="L203" s="93" t="str">
        <f>_xlfn.XLOOKUP(Tabla2__2[[#This Row],[CODIGO RUTA]],'DATA INFORME'!I:I,'DATA INFORME'!K:K)</f>
        <v>SI</v>
      </c>
      <c r="M203" s="93" t="str">
        <f>IF(Tabla2__2[[#This Row],[MYSTERY EFECTIVO]]="SI",_xlfn.XLOOKUP(Tabla2__2[[#This Row],[PREGUNTA]],ENCUESTA!G:G,ENCUESTA!D:D),"N/A")</f>
        <v>PRESENTACIÓN PERSONAL</v>
      </c>
      <c r="N20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3" s="93" t="str">
        <f>_xlfn.XLOOKUP(Tabla2__2[[#This Row],[PREGUNTA]],ENCUESTA!G:G,ENCUESTA!H:H)</f>
        <v>NO</v>
      </c>
      <c r="P203" s="93">
        <f>IF(Tabla2__2[[#This Row],[RTA]]=Tabla2__2[[#This Row],[RTA CORRECTA]],Tabla2__2[[#This Row],[TOTAL PUNTAJE]],0)</f>
        <v>1</v>
      </c>
      <c r="Q203" s="93">
        <f>IF(OR(H203="Dog Chow húmedo",H203="Cat Chow húmedo",H203="Fancy Feast",H203="Felix",H203="Proplan húmedo",H203="One húmedo",H203="Snack Abrazzos",H203="Snak Dentalife",H203="Arenilla Tidy Cat"),N203,0)</f>
        <v>0</v>
      </c>
      <c r="R203" s="93"/>
    </row>
    <row r="204" spans="1:18" x14ac:dyDescent="0.35">
      <c r="A204" s="93" t="s">
        <v>109</v>
      </c>
      <c r="B204" s="93" t="s">
        <v>139</v>
      </c>
      <c r="C204" s="90" t="s">
        <v>43</v>
      </c>
      <c r="D204" s="93" t="s">
        <v>143</v>
      </c>
      <c r="E204" s="94">
        <v>355519</v>
      </c>
      <c r="F204" s="93" t="s">
        <v>215</v>
      </c>
      <c r="G204" s="93" t="s">
        <v>92</v>
      </c>
      <c r="H204" s="93" t="s">
        <v>20</v>
      </c>
      <c r="I204" s="95"/>
      <c r="J204" s="94">
        <v>29606660</v>
      </c>
      <c r="K204" s="93" t="s">
        <v>142</v>
      </c>
      <c r="L204" s="93" t="str">
        <f>_xlfn.XLOOKUP(Tabla2__2[[#This Row],[CODIGO RUTA]],'DATA INFORME'!I:I,'DATA INFORME'!K:K)</f>
        <v>SI</v>
      </c>
      <c r="M204" s="93" t="str">
        <f>IF(Tabla2__2[[#This Row],[MYSTERY EFECTIVO]]="SI",_xlfn.XLOOKUP(Tabla2__2[[#This Row],[PREGUNTA]],ENCUESTA!G:G,ENCUESTA!D:D),"N/A")</f>
        <v>PRESENTACIÓN PERSONAL</v>
      </c>
      <c r="N20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4" s="93" t="str">
        <f>_xlfn.XLOOKUP(Tabla2__2[[#This Row],[PREGUNTA]],ENCUESTA!G:G,ENCUESTA!H:H)</f>
        <v>SI</v>
      </c>
      <c r="P204" s="93">
        <f>IF(Tabla2__2[[#This Row],[RTA]]=Tabla2__2[[#This Row],[RTA CORRECTA]],Tabla2__2[[#This Row],[TOTAL PUNTAJE]],0)</f>
        <v>1</v>
      </c>
      <c r="Q204" s="93">
        <f>IF(OR(H204="Dog Chow húmedo",H204="Cat Chow húmedo",H204="Fancy Feast",H204="Felix",H204="Proplan húmedo",H204="One húmedo",H204="Snack Abrazzos",H204="Snak Dentalife",H204="Arenilla Tidy Cat"),N204,0)</f>
        <v>0</v>
      </c>
      <c r="R204" s="93"/>
    </row>
    <row r="205" spans="1:18" x14ac:dyDescent="0.35">
      <c r="A205" s="93" t="s">
        <v>109</v>
      </c>
      <c r="B205" s="93" t="s">
        <v>139</v>
      </c>
      <c r="C205" s="90" t="s">
        <v>43</v>
      </c>
      <c r="D205" s="93" t="s">
        <v>143</v>
      </c>
      <c r="E205" s="94">
        <v>355519</v>
      </c>
      <c r="F205" s="93" t="s">
        <v>215</v>
      </c>
      <c r="G205" s="93" t="s">
        <v>93</v>
      </c>
      <c r="H205" s="93" t="s">
        <v>20</v>
      </c>
      <c r="I205" s="95"/>
      <c r="J205" s="94">
        <v>29606660</v>
      </c>
      <c r="K205" s="93" t="s">
        <v>142</v>
      </c>
      <c r="L205" s="93" t="str">
        <f>_xlfn.XLOOKUP(Tabla2__2[[#This Row],[CODIGO RUTA]],'DATA INFORME'!I:I,'DATA INFORME'!K:K)</f>
        <v>SI</v>
      </c>
      <c r="M205" s="93" t="str">
        <f>IF(Tabla2__2[[#This Row],[MYSTERY EFECTIVO]]="SI",_xlfn.XLOOKUP(Tabla2__2[[#This Row],[PREGUNTA]],ENCUESTA!G:G,ENCUESTA!D:D),"N/A")</f>
        <v>PRESENTACIÓN PERSONAL</v>
      </c>
      <c r="N20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5" s="93" t="str">
        <f>_xlfn.XLOOKUP(Tabla2__2[[#This Row],[PREGUNTA]],ENCUESTA!G:G,ENCUESTA!H:H)</f>
        <v>SI</v>
      </c>
      <c r="P205" s="93">
        <f>IF(Tabla2__2[[#This Row],[RTA]]=Tabla2__2[[#This Row],[RTA CORRECTA]],Tabla2__2[[#This Row],[TOTAL PUNTAJE]],0)</f>
        <v>1</v>
      </c>
      <c r="Q205" s="93">
        <f>IF(OR(H205="Dog Chow húmedo",H205="Cat Chow húmedo",H205="Fancy Feast",H205="Felix",H205="Proplan húmedo",H205="One húmedo",H205="Snack Abrazzos",H205="Snak Dentalife",H205="Arenilla Tidy Cat"),N205,0)</f>
        <v>0</v>
      </c>
      <c r="R205" s="93"/>
    </row>
    <row r="206" spans="1:18" x14ac:dyDescent="0.35">
      <c r="A206" s="93" t="s">
        <v>109</v>
      </c>
      <c r="B206" s="93" t="s">
        <v>139</v>
      </c>
      <c r="C206" s="90" t="s">
        <v>43</v>
      </c>
      <c r="D206" s="93" t="s">
        <v>143</v>
      </c>
      <c r="E206" s="94">
        <v>355519</v>
      </c>
      <c r="F206" s="93" t="s">
        <v>215</v>
      </c>
      <c r="G206" s="93" t="s">
        <v>94</v>
      </c>
      <c r="H206" s="93" t="s">
        <v>108</v>
      </c>
      <c r="I206" s="95"/>
      <c r="J206" s="94">
        <v>29606660</v>
      </c>
      <c r="K206" s="93" t="s">
        <v>142</v>
      </c>
      <c r="L206" s="93" t="str">
        <f>_xlfn.XLOOKUP(Tabla2__2[[#This Row],[CODIGO RUTA]],'DATA INFORME'!I:I,'DATA INFORME'!K:K)</f>
        <v>SI</v>
      </c>
      <c r="M206" s="93" t="str">
        <f>IF(Tabla2__2[[#This Row],[MYSTERY EFECTIVO]]="SI",_xlfn.XLOOKUP(Tabla2__2[[#This Row],[PREGUNTA]],ENCUESTA!G:G,ENCUESTA!D:D),"N/A")</f>
        <v>PRESENTACIÓN PERSONAL</v>
      </c>
      <c r="N20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6" s="93" t="str">
        <f>_xlfn.XLOOKUP(Tabla2__2[[#This Row],[PREGUNTA]],ENCUESTA!G:G,ENCUESTA!H:H)</f>
        <v>NO</v>
      </c>
      <c r="P206" s="93">
        <f>IF(Tabla2__2[[#This Row],[RTA]]=Tabla2__2[[#This Row],[RTA CORRECTA]],Tabla2__2[[#This Row],[TOTAL PUNTAJE]],0)</f>
        <v>1</v>
      </c>
      <c r="Q206" s="93">
        <f>IF(OR(H206="Dog Chow húmedo",H206="Cat Chow húmedo",H206="Fancy Feast",H206="Felix",H206="Proplan húmedo",H206="One húmedo",H206="Snack Abrazzos",H206="Snak Dentalife",H206="Arenilla Tidy Cat"),N206,0)</f>
        <v>0</v>
      </c>
      <c r="R206" s="93"/>
    </row>
    <row r="207" spans="1:18" x14ac:dyDescent="0.35">
      <c r="A207" s="93" t="s">
        <v>109</v>
      </c>
      <c r="B207" s="93" t="s">
        <v>139</v>
      </c>
      <c r="C207" s="90" t="s">
        <v>43</v>
      </c>
      <c r="D207" s="93" t="s">
        <v>143</v>
      </c>
      <c r="E207" s="94">
        <v>355519</v>
      </c>
      <c r="F207" s="93" t="s">
        <v>215</v>
      </c>
      <c r="G207" s="93" t="s">
        <v>95</v>
      </c>
      <c r="H207" s="93" t="s">
        <v>108</v>
      </c>
      <c r="I207" s="95"/>
      <c r="J207" s="94">
        <v>29606660</v>
      </c>
      <c r="K207" s="93" t="s">
        <v>142</v>
      </c>
      <c r="L207" s="93" t="str">
        <f>_xlfn.XLOOKUP(Tabla2__2[[#This Row],[CODIGO RUTA]],'DATA INFORME'!I:I,'DATA INFORME'!K:K)</f>
        <v>SI</v>
      </c>
      <c r="M207" s="93" t="str">
        <f>IF(Tabla2__2[[#This Row],[MYSTERY EFECTIVO]]="SI",_xlfn.XLOOKUP(Tabla2__2[[#This Row],[PREGUNTA]],ENCUESTA!G:G,ENCUESTA!D:D),"N/A")</f>
        <v>PRESENTACIÓN PERSONAL</v>
      </c>
      <c r="N20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7" s="93" t="str">
        <f>_xlfn.XLOOKUP(Tabla2__2[[#This Row],[PREGUNTA]],ENCUESTA!G:G,ENCUESTA!H:H)</f>
        <v>NO</v>
      </c>
      <c r="P207" s="93">
        <f>IF(Tabla2__2[[#This Row],[RTA]]=Tabla2__2[[#This Row],[RTA CORRECTA]],Tabla2__2[[#This Row],[TOTAL PUNTAJE]],0)</f>
        <v>1</v>
      </c>
      <c r="Q207" s="93">
        <f>IF(OR(H207="Dog Chow húmedo",H207="Cat Chow húmedo",H207="Fancy Feast",H207="Felix",H207="Proplan húmedo",H207="One húmedo",H207="Snack Abrazzos",H207="Snak Dentalife",H207="Arenilla Tidy Cat"),N207,0)</f>
        <v>0</v>
      </c>
      <c r="R207" s="93"/>
    </row>
    <row r="208" spans="1:18" x14ac:dyDescent="0.35">
      <c r="A208" s="93" t="s">
        <v>109</v>
      </c>
      <c r="B208" s="93" t="s">
        <v>8</v>
      </c>
      <c r="C208" s="90" t="s">
        <v>15</v>
      </c>
      <c r="D208" s="93" t="s">
        <v>120</v>
      </c>
      <c r="E208" s="94">
        <v>42612</v>
      </c>
      <c r="F208" s="93" t="s">
        <v>136</v>
      </c>
      <c r="G208" s="93" t="s">
        <v>152</v>
      </c>
      <c r="H208" s="93" t="s">
        <v>20</v>
      </c>
      <c r="I208" s="95"/>
      <c r="J208" s="94">
        <v>29602530</v>
      </c>
      <c r="K208" s="93" t="s">
        <v>213</v>
      </c>
      <c r="L208" s="93" t="str">
        <f>_xlfn.XLOOKUP(Tabla2__2[[#This Row],[CODIGO RUTA]],'DATA INFORME'!I:I,'DATA INFORME'!K:K)</f>
        <v>SI</v>
      </c>
      <c r="M208" s="93" t="str">
        <f>IF(Tabla2__2[[#This Row],[MYSTERY EFECTIVO]]="SI",_xlfn.XLOOKUP(Tabla2__2[[#This Row],[PREGUNTA]],ENCUESTA!G:G,ENCUESTA!D:D),"N/A")</f>
        <v>ACTIVIDADES DEL MES</v>
      </c>
      <c r="N20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208" s="93" t="str">
        <f>_xlfn.XLOOKUP(Tabla2__2[[#This Row],[PREGUNTA]],ENCUESTA!G:G,ENCUESTA!H:H)</f>
        <v>SI</v>
      </c>
      <c r="P208" s="93">
        <f>IF(Tabla2__2[[#This Row],[RTA]]=Tabla2__2[[#This Row],[RTA CORRECTA]],Tabla2__2[[#This Row],[TOTAL PUNTAJE]],0)</f>
        <v>8</v>
      </c>
      <c r="Q208" s="93">
        <f>IF(OR(H208="Dog Chow húmedo",H208="Cat Chow húmedo",H208="Fancy Feast",H208="Felix",H208="Proplan húmedo",H208="One húmedo",H208="Snack Abrazzos",H208="Snak Dentalife",H208="Arenilla Tidy Cat"),N208,0)</f>
        <v>0</v>
      </c>
      <c r="R208" s="93"/>
    </row>
    <row r="209" spans="1:18" x14ac:dyDescent="0.35">
      <c r="A209" s="93" t="s">
        <v>109</v>
      </c>
      <c r="B209" s="93" t="s">
        <v>8</v>
      </c>
      <c r="C209" s="90" t="s">
        <v>43</v>
      </c>
      <c r="D209" s="93" t="s">
        <v>120</v>
      </c>
      <c r="E209" s="94">
        <v>355912</v>
      </c>
      <c r="F209" s="93" t="s">
        <v>202</v>
      </c>
      <c r="G209" s="93" t="s">
        <v>90</v>
      </c>
      <c r="H209" s="93" t="s">
        <v>20</v>
      </c>
      <c r="I209" s="95"/>
      <c r="J209" s="94">
        <v>29602428</v>
      </c>
      <c r="K209" s="93" t="s">
        <v>129</v>
      </c>
      <c r="L209" s="93" t="str">
        <f>_xlfn.XLOOKUP(Tabla2__2[[#This Row],[CODIGO RUTA]],'DATA INFORME'!I:I,'DATA INFORME'!K:K)</f>
        <v>SI</v>
      </c>
      <c r="M209" s="93" t="str">
        <f>IF(Tabla2__2[[#This Row],[MYSTERY EFECTIVO]]="SI",_xlfn.XLOOKUP(Tabla2__2[[#This Row],[PREGUNTA]],ENCUESTA!G:G,ENCUESTA!D:D),"N/A")</f>
        <v>PRESENTACIÓN PERSONAL</v>
      </c>
      <c r="N20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9" s="93" t="str">
        <f>_xlfn.XLOOKUP(Tabla2__2[[#This Row],[PREGUNTA]],ENCUESTA!G:G,ENCUESTA!H:H)</f>
        <v>SI</v>
      </c>
      <c r="P209" s="93">
        <f>IF(Tabla2__2[[#This Row],[RTA]]=Tabla2__2[[#This Row],[RTA CORRECTA]],Tabla2__2[[#This Row],[TOTAL PUNTAJE]],0)</f>
        <v>1</v>
      </c>
      <c r="Q209" s="93">
        <f>IF(OR(H209="Dog Chow húmedo",H209="Cat Chow húmedo",H209="Fancy Feast",H209="Felix",H209="Proplan húmedo",H209="One húmedo",H209="Snack Abrazzos",H209="Snak Dentalife",H209="Arenilla Tidy Cat"),N209,0)</f>
        <v>0</v>
      </c>
      <c r="R209" s="93"/>
    </row>
    <row r="210" spans="1:18" x14ac:dyDescent="0.35">
      <c r="A210" s="93" t="s">
        <v>109</v>
      </c>
      <c r="B210" s="93" t="s">
        <v>8</v>
      </c>
      <c r="C210" s="90" t="s">
        <v>15</v>
      </c>
      <c r="D210" s="93" t="s">
        <v>120</v>
      </c>
      <c r="E210" s="94">
        <v>42612</v>
      </c>
      <c r="F210" s="93" t="s">
        <v>136</v>
      </c>
      <c r="G210" s="93" t="s">
        <v>94</v>
      </c>
      <c r="H210" s="93" t="s">
        <v>108</v>
      </c>
      <c r="I210" s="95"/>
      <c r="J210" s="94">
        <v>29602530</v>
      </c>
      <c r="K210" s="93" t="s">
        <v>213</v>
      </c>
      <c r="L210" s="93" t="str">
        <f>_xlfn.XLOOKUP(Tabla2__2[[#This Row],[CODIGO RUTA]],'DATA INFORME'!I:I,'DATA INFORME'!K:K)</f>
        <v>SI</v>
      </c>
      <c r="M210" s="93" t="str">
        <f>IF(Tabla2__2[[#This Row],[MYSTERY EFECTIVO]]="SI",_xlfn.XLOOKUP(Tabla2__2[[#This Row],[PREGUNTA]],ENCUESTA!G:G,ENCUESTA!D:D),"N/A")</f>
        <v>PRESENTACIÓN PERSONAL</v>
      </c>
      <c r="N21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0" s="93" t="str">
        <f>_xlfn.XLOOKUP(Tabla2__2[[#This Row],[PREGUNTA]],ENCUESTA!G:G,ENCUESTA!H:H)</f>
        <v>NO</v>
      </c>
      <c r="P210" s="93">
        <f>IF(Tabla2__2[[#This Row],[RTA]]=Tabla2__2[[#This Row],[RTA CORRECTA]],Tabla2__2[[#This Row],[TOTAL PUNTAJE]],0)</f>
        <v>1</v>
      </c>
      <c r="Q210" s="93">
        <f>IF(OR(H210="Dog Chow húmedo",H210="Cat Chow húmedo",H210="Fancy Feast",H210="Felix",H210="Proplan húmedo",H210="One húmedo",H210="Snack Abrazzos",H210="Snak Dentalife",H210="Arenilla Tidy Cat"),N210,0)</f>
        <v>0</v>
      </c>
      <c r="R210" s="93"/>
    </row>
    <row r="211" spans="1:18" x14ac:dyDescent="0.35">
      <c r="A211" s="93" t="s">
        <v>109</v>
      </c>
      <c r="B211" s="93" t="s">
        <v>8</v>
      </c>
      <c r="C211" s="90" t="s">
        <v>15</v>
      </c>
      <c r="D211" s="93" t="s">
        <v>120</v>
      </c>
      <c r="E211" s="94">
        <v>42612</v>
      </c>
      <c r="F211" s="93" t="s">
        <v>136</v>
      </c>
      <c r="G211" s="93" t="s">
        <v>92</v>
      </c>
      <c r="H211" s="93" t="s">
        <v>20</v>
      </c>
      <c r="I211" s="95"/>
      <c r="J211" s="94">
        <v>29602530</v>
      </c>
      <c r="K211" s="93" t="s">
        <v>213</v>
      </c>
      <c r="L211" s="93" t="str">
        <f>_xlfn.XLOOKUP(Tabla2__2[[#This Row],[CODIGO RUTA]],'DATA INFORME'!I:I,'DATA INFORME'!K:K)</f>
        <v>SI</v>
      </c>
      <c r="M211" s="93" t="str">
        <f>IF(Tabla2__2[[#This Row],[MYSTERY EFECTIVO]]="SI",_xlfn.XLOOKUP(Tabla2__2[[#This Row],[PREGUNTA]],ENCUESTA!G:G,ENCUESTA!D:D),"N/A")</f>
        <v>PRESENTACIÓN PERSONAL</v>
      </c>
      <c r="N21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1" s="93" t="str">
        <f>_xlfn.XLOOKUP(Tabla2__2[[#This Row],[PREGUNTA]],ENCUESTA!G:G,ENCUESTA!H:H)</f>
        <v>SI</v>
      </c>
      <c r="P211" s="93">
        <f>IF(Tabla2__2[[#This Row],[RTA]]=Tabla2__2[[#This Row],[RTA CORRECTA]],Tabla2__2[[#This Row],[TOTAL PUNTAJE]],0)</f>
        <v>1</v>
      </c>
      <c r="Q211" s="93">
        <f>IF(OR(H211="Dog Chow húmedo",H211="Cat Chow húmedo",H211="Fancy Feast",H211="Felix",H211="Proplan húmedo",H211="One húmedo",H211="Snack Abrazzos",H211="Snak Dentalife",H211="Arenilla Tidy Cat"),N211,0)</f>
        <v>0</v>
      </c>
      <c r="R211" s="93"/>
    </row>
    <row r="212" spans="1:18" x14ac:dyDescent="0.35">
      <c r="A212" s="93" t="s">
        <v>109</v>
      </c>
      <c r="B212" s="93" t="s">
        <v>8</v>
      </c>
      <c r="C212" s="90" t="s">
        <v>43</v>
      </c>
      <c r="D212" s="93" t="s">
        <v>120</v>
      </c>
      <c r="E212" s="94">
        <v>355912</v>
      </c>
      <c r="F212" s="93" t="s">
        <v>202</v>
      </c>
      <c r="G212" s="93" t="s">
        <v>91</v>
      </c>
      <c r="H212" s="93" t="s">
        <v>108</v>
      </c>
      <c r="I212" s="95"/>
      <c r="J212" s="94">
        <v>29602428</v>
      </c>
      <c r="K212" s="93" t="s">
        <v>129</v>
      </c>
      <c r="L212" s="93" t="str">
        <f>_xlfn.XLOOKUP(Tabla2__2[[#This Row],[CODIGO RUTA]],'DATA INFORME'!I:I,'DATA INFORME'!K:K)</f>
        <v>SI</v>
      </c>
      <c r="M212" s="93" t="str">
        <f>IF(Tabla2__2[[#This Row],[MYSTERY EFECTIVO]]="SI",_xlfn.XLOOKUP(Tabla2__2[[#This Row],[PREGUNTA]],ENCUESTA!G:G,ENCUESTA!D:D),"N/A")</f>
        <v>PRESENTACIÓN PERSONAL</v>
      </c>
      <c r="N21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2" s="93" t="str">
        <f>_xlfn.XLOOKUP(Tabla2__2[[#This Row],[PREGUNTA]],ENCUESTA!G:G,ENCUESTA!H:H)</f>
        <v>NO</v>
      </c>
      <c r="P212" s="93">
        <f>IF(Tabla2__2[[#This Row],[RTA]]=Tabla2__2[[#This Row],[RTA CORRECTA]],Tabla2__2[[#This Row],[TOTAL PUNTAJE]],0)</f>
        <v>1</v>
      </c>
      <c r="Q212" s="93">
        <f>IF(OR(H212="Dog Chow húmedo",H212="Cat Chow húmedo",H212="Fancy Feast",H212="Felix",H212="Proplan húmedo",H212="One húmedo",H212="Snack Abrazzos",H212="Snak Dentalife",H212="Arenilla Tidy Cat"),N212,0)</f>
        <v>0</v>
      </c>
      <c r="R212" s="93"/>
    </row>
    <row r="213" spans="1:18" x14ac:dyDescent="0.35">
      <c r="A213" s="93" t="s">
        <v>109</v>
      </c>
      <c r="B213" s="93" t="s">
        <v>8</v>
      </c>
      <c r="C213" s="90" t="s">
        <v>43</v>
      </c>
      <c r="D213" s="93" t="s">
        <v>120</v>
      </c>
      <c r="E213" s="94">
        <v>355912</v>
      </c>
      <c r="F213" s="93" t="s">
        <v>202</v>
      </c>
      <c r="G213" s="93" t="s">
        <v>92</v>
      </c>
      <c r="H213" s="93" t="s">
        <v>20</v>
      </c>
      <c r="I213" s="95"/>
      <c r="J213" s="94">
        <v>29602428</v>
      </c>
      <c r="K213" s="93" t="s">
        <v>129</v>
      </c>
      <c r="L213" s="93" t="str">
        <f>_xlfn.XLOOKUP(Tabla2__2[[#This Row],[CODIGO RUTA]],'DATA INFORME'!I:I,'DATA INFORME'!K:K)</f>
        <v>SI</v>
      </c>
      <c r="M213" s="93" t="str">
        <f>IF(Tabla2__2[[#This Row],[MYSTERY EFECTIVO]]="SI",_xlfn.XLOOKUP(Tabla2__2[[#This Row],[PREGUNTA]],ENCUESTA!G:G,ENCUESTA!D:D),"N/A")</f>
        <v>PRESENTACIÓN PERSONAL</v>
      </c>
      <c r="N21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3" s="93" t="str">
        <f>_xlfn.XLOOKUP(Tabla2__2[[#This Row],[PREGUNTA]],ENCUESTA!G:G,ENCUESTA!H:H)</f>
        <v>SI</v>
      </c>
      <c r="P213" s="93">
        <f>IF(Tabla2__2[[#This Row],[RTA]]=Tabla2__2[[#This Row],[RTA CORRECTA]],Tabla2__2[[#This Row],[TOTAL PUNTAJE]],0)</f>
        <v>1</v>
      </c>
      <c r="Q213" s="93">
        <f>IF(OR(H213="Dog Chow húmedo",H213="Cat Chow húmedo",H213="Fancy Feast",H213="Felix",H213="Proplan húmedo",H213="One húmedo",H213="Snack Abrazzos",H213="Snak Dentalife",H213="Arenilla Tidy Cat"),N213,0)</f>
        <v>0</v>
      </c>
      <c r="R213" s="93"/>
    </row>
    <row r="214" spans="1:18" x14ac:dyDescent="0.35">
      <c r="A214" s="93" t="s">
        <v>109</v>
      </c>
      <c r="B214" s="93" t="s">
        <v>8</v>
      </c>
      <c r="C214" s="90" t="s">
        <v>43</v>
      </c>
      <c r="D214" s="93" t="s">
        <v>120</v>
      </c>
      <c r="E214" s="94">
        <v>355912</v>
      </c>
      <c r="F214" s="93" t="s">
        <v>202</v>
      </c>
      <c r="G214" s="93" t="s">
        <v>93</v>
      </c>
      <c r="H214" s="93" t="s">
        <v>20</v>
      </c>
      <c r="I214" s="95"/>
      <c r="J214" s="94">
        <v>29602428</v>
      </c>
      <c r="K214" s="93" t="s">
        <v>129</v>
      </c>
      <c r="L214" s="93" t="str">
        <f>_xlfn.XLOOKUP(Tabla2__2[[#This Row],[CODIGO RUTA]],'DATA INFORME'!I:I,'DATA INFORME'!K:K)</f>
        <v>SI</v>
      </c>
      <c r="M214" s="93" t="str">
        <f>IF(Tabla2__2[[#This Row],[MYSTERY EFECTIVO]]="SI",_xlfn.XLOOKUP(Tabla2__2[[#This Row],[PREGUNTA]],ENCUESTA!G:G,ENCUESTA!D:D),"N/A")</f>
        <v>PRESENTACIÓN PERSONAL</v>
      </c>
      <c r="N21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4" s="93" t="str">
        <f>_xlfn.XLOOKUP(Tabla2__2[[#This Row],[PREGUNTA]],ENCUESTA!G:G,ENCUESTA!H:H)</f>
        <v>SI</v>
      </c>
      <c r="P214" s="93">
        <f>IF(Tabla2__2[[#This Row],[RTA]]=Tabla2__2[[#This Row],[RTA CORRECTA]],Tabla2__2[[#This Row],[TOTAL PUNTAJE]],0)</f>
        <v>1</v>
      </c>
      <c r="Q214" s="93">
        <f>IF(OR(H214="Dog Chow húmedo",H214="Cat Chow húmedo",H214="Fancy Feast",H214="Felix",H214="Proplan húmedo",H214="One húmedo",H214="Snack Abrazzos",H214="Snak Dentalife",H214="Arenilla Tidy Cat"),N214,0)</f>
        <v>0</v>
      </c>
      <c r="R214" s="93"/>
    </row>
    <row r="215" spans="1:18" x14ac:dyDescent="0.35">
      <c r="A215" s="93" t="s">
        <v>109</v>
      </c>
      <c r="B215" s="93" t="s">
        <v>8</v>
      </c>
      <c r="C215" s="90" t="s">
        <v>43</v>
      </c>
      <c r="D215" s="93" t="s">
        <v>120</v>
      </c>
      <c r="E215" s="94">
        <v>355912</v>
      </c>
      <c r="F215" s="93" t="s">
        <v>202</v>
      </c>
      <c r="G215" s="93" t="s">
        <v>94</v>
      </c>
      <c r="H215" s="93" t="s">
        <v>108</v>
      </c>
      <c r="I215" s="95"/>
      <c r="J215" s="94">
        <v>29602428</v>
      </c>
      <c r="K215" s="93" t="s">
        <v>129</v>
      </c>
      <c r="L215" s="93" t="str">
        <f>_xlfn.XLOOKUP(Tabla2__2[[#This Row],[CODIGO RUTA]],'DATA INFORME'!I:I,'DATA INFORME'!K:K)</f>
        <v>SI</v>
      </c>
      <c r="M215" s="93" t="str">
        <f>IF(Tabla2__2[[#This Row],[MYSTERY EFECTIVO]]="SI",_xlfn.XLOOKUP(Tabla2__2[[#This Row],[PREGUNTA]],ENCUESTA!G:G,ENCUESTA!D:D),"N/A")</f>
        <v>PRESENTACIÓN PERSONAL</v>
      </c>
      <c r="N21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5" s="93" t="str">
        <f>_xlfn.XLOOKUP(Tabla2__2[[#This Row],[PREGUNTA]],ENCUESTA!G:G,ENCUESTA!H:H)</f>
        <v>NO</v>
      </c>
      <c r="P215" s="93">
        <f>IF(Tabla2__2[[#This Row],[RTA]]=Tabla2__2[[#This Row],[RTA CORRECTA]],Tabla2__2[[#This Row],[TOTAL PUNTAJE]],0)</f>
        <v>1</v>
      </c>
      <c r="Q215" s="93">
        <f>IF(OR(H215="Dog Chow húmedo",H215="Cat Chow húmedo",H215="Fancy Feast",H215="Felix",H215="Proplan húmedo",H215="One húmedo",H215="Snack Abrazzos",H215="Snak Dentalife",H215="Arenilla Tidy Cat"),N215,0)</f>
        <v>0</v>
      </c>
      <c r="R215" s="93"/>
    </row>
    <row r="216" spans="1:18" x14ac:dyDescent="0.35">
      <c r="A216" s="93" t="s">
        <v>109</v>
      </c>
      <c r="B216" s="93" t="s">
        <v>8</v>
      </c>
      <c r="C216" s="90" t="s">
        <v>43</v>
      </c>
      <c r="D216" s="93" t="s">
        <v>120</v>
      </c>
      <c r="E216" s="94">
        <v>355912</v>
      </c>
      <c r="F216" s="93" t="s">
        <v>202</v>
      </c>
      <c r="G216" s="93" t="s">
        <v>95</v>
      </c>
      <c r="H216" s="93" t="s">
        <v>108</v>
      </c>
      <c r="I216" s="95"/>
      <c r="J216" s="94">
        <v>29602428</v>
      </c>
      <c r="K216" s="93" t="s">
        <v>129</v>
      </c>
      <c r="L216" s="93" t="str">
        <f>_xlfn.XLOOKUP(Tabla2__2[[#This Row],[CODIGO RUTA]],'DATA INFORME'!I:I,'DATA INFORME'!K:K)</f>
        <v>SI</v>
      </c>
      <c r="M216" s="93" t="str">
        <f>IF(Tabla2__2[[#This Row],[MYSTERY EFECTIVO]]="SI",_xlfn.XLOOKUP(Tabla2__2[[#This Row],[PREGUNTA]],ENCUESTA!G:G,ENCUESTA!D:D),"N/A")</f>
        <v>PRESENTACIÓN PERSONAL</v>
      </c>
      <c r="N21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6" s="93" t="str">
        <f>_xlfn.XLOOKUP(Tabla2__2[[#This Row],[PREGUNTA]],ENCUESTA!G:G,ENCUESTA!H:H)</f>
        <v>NO</v>
      </c>
      <c r="P216" s="93">
        <f>IF(Tabla2__2[[#This Row],[RTA]]=Tabla2__2[[#This Row],[RTA CORRECTA]],Tabla2__2[[#This Row],[TOTAL PUNTAJE]],0)</f>
        <v>1</v>
      </c>
      <c r="Q216" s="93">
        <f>IF(OR(H216="Dog Chow húmedo",H216="Cat Chow húmedo",H216="Fancy Feast",H216="Felix",H216="Proplan húmedo",H216="One húmedo",H216="Snack Abrazzos",H216="Snak Dentalife",H216="Arenilla Tidy Cat"),N216,0)</f>
        <v>0</v>
      </c>
      <c r="R216" s="93"/>
    </row>
    <row r="217" spans="1:18" x14ac:dyDescent="0.35">
      <c r="A217" s="93" t="s">
        <v>109</v>
      </c>
      <c r="B217" s="93" t="s">
        <v>8</v>
      </c>
      <c r="C217" s="90" t="s">
        <v>43</v>
      </c>
      <c r="D217" s="93" t="s">
        <v>120</v>
      </c>
      <c r="E217" s="94">
        <v>355912</v>
      </c>
      <c r="F217" s="93" t="s">
        <v>202</v>
      </c>
      <c r="G217" s="93" t="s">
        <v>96</v>
      </c>
      <c r="H217" s="93" t="s">
        <v>108</v>
      </c>
      <c r="I217" s="95"/>
      <c r="J217" s="94">
        <v>29602428</v>
      </c>
      <c r="K217" s="93" t="s">
        <v>129</v>
      </c>
      <c r="L217" s="93" t="str">
        <f>_xlfn.XLOOKUP(Tabla2__2[[#This Row],[CODIGO RUTA]],'DATA INFORME'!I:I,'DATA INFORME'!K:K)</f>
        <v>SI</v>
      </c>
      <c r="M217" s="93" t="str">
        <f>IF(Tabla2__2[[#This Row],[MYSTERY EFECTIVO]]="SI",_xlfn.XLOOKUP(Tabla2__2[[#This Row],[PREGUNTA]],ENCUESTA!G:G,ENCUESTA!D:D),"N/A")</f>
        <v>PRESENTACIÓN PERSONAL</v>
      </c>
      <c r="N21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7" s="93" t="str">
        <f>_xlfn.XLOOKUP(Tabla2__2[[#This Row],[PREGUNTA]],ENCUESTA!G:G,ENCUESTA!H:H)</f>
        <v>NO</v>
      </c>
      <c r="P217" s="93">
        <f>IF(Tabla2__2[[#This Row],[RTA]]=Tabla2__2[[#This Row],[RTA CORRECTA]],Tabla2__2[[#This Row],[TOTAL PUNTAJE]],0)</f>
        <v>1</v>
      </c>
      <c r="Q217" s="93">
        <f>IF(OR(H217="Dog Chow húmedo",H217="Cat Chow húmedo",H217="Fancy Feast",H217="Felix",H217="Proplan húmedo",H217="One húmedo",H217="Snack Abrazzos",H217="Snak Dentalife",H217="Arenilla Tidy Cat"),N217,0)</f>
        <v>0</v>
      </c>
      <c r="R217" s="93"/>
    </row>
    <row r="218" spans="1:18" x14ac:dyDescent="0.35">
      <c r="A218" s="93" t="s">
        <v>109</v>
      </c>
      <c r="B218" s="93" t="s">
        <v>8</v>
      </c>
      <c r="C218" s="90" t="s">
        <v>43</v>
      </c>
      <c r="D218" s="93" t="s">
        <v>120</v>
      </c>
      <c r="E218" s="94">
        <v>355912</v>
      </c>
      <c r="F218" s="93" t="s">
        <v>202</v>
      </c>
      <c r="G218" s="93" t="s">
        <v>97</v>
      </c>
      <c r="H218" s="93" t="s">
        <v>108</v>
      </c>
      <c r="I218" s="95"/>
      <c r="J218" s="94">
        <v>29602428</v>
      </c>
      <c r="K218" s="93" t="s">
        <v>129</v>
      </c>
      <c r="L218" s="93" t="str">
        <f>_xlfn.XLOOKUP(Tabla2__2[[#This Row],[CODIGO RUTA]],'DATA INFORME'!I:I,'DATA INFORME'!K:K)</f>
        <v>SI</v>
      </c>
      <c r="M218" s="93" t="str">
        <f>IF(Tabla2__2[[#This Row],[MYSTERY EFECTIVO]]="SI",_xlfn.XLOOKUP(Tabla2__2[[#This Row],[PREGUNTA]],ENCUESTA!G:G,ENCUESTA!D:D),"N/A")</f>
        <v>PRESENTACIÓN PERSONAL</v>
      </c>
      <c r="N21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8" s="93" t="str">
        <f>_xlfn.XLOOKUP(Tabla2__2[[#This Row],[PREGUNTA]],ENCUESTA!G:G,ENCUESTA!H:H)</f>
        <v>NO</v>
      </c>
      <c r="P218" s="93">
        <f>IF(Tabla2__2[[#This Row],[RTA]]=Tabla2__2[[#This Row],[RTA CORRECTA]],Tabla2__2[[#This Row],[TOTAL PUNTAJE]],0)</f>
        <v>1</v>
      </c>
      <c r="Q218" s="93">
        <f>IF(OR(H218="Dog Chow húmedo",H218="Cat Chow húmedo",H218="Fancy Feast",H218="Felix",H218="Proplan húmedo",H218="One húmedo",H218="Snack Abrazzos",H218="Snak Dentalife",H218="Arenilla Tidy Cat"),N218,0)</f>
        <v>0</v>
      </c>
      <c r="R218" s="93"/>
    </row>
    <row r="219" spans="1:18" x14ac:dyDescent="0.35">
      <c r="A219" s="93" t="s">
        <v>109</v>
      </c>
      <c r="B219" s="93" t="s">
        <v>8</v>
      </c>
      <c r="C219" s="90" t="s">
        <v>43</v>
      </c>
      <c r="D219" s="93" t="s">
        <v>120</v>
      </c>
      <c r="E219" s="94">
        <v>355912</v>
      </c>
      <c r="F219" s="93" t="s">
        <v>202</v>
      </c>
      <c r="G219" s="93" t="s">
        <v>147</v>
      </c>
      <c r="H219" s="93" t="s">
        <v>20</v>
      </c>
      <c r="I219" s="95"/>
      <c r="J219" s="94">
        <v>29602428</v>
      </c>
      <c r="K219" s="93" t="s">
        <v>129</v>
      </c>
      <c r="L219" s="93" t="str">
        <f>_xlfn.XLOOKUP(Tabla2__2[[#This Row],[CODIGO RUTA]],'DATA INFORME'!I:I,'DATA INFORME'!K:K)</f>
        <v>SI</v>
      </c>
      <c r="M219" s="93" t="str">
        <f>IF(Tabla2__2[[#This Row],[MYSTERY EFECTIVO]]="SI",_xlfn.XLOOKUP(Tabla2__2[[#This Row],[PREGUNTA]],ENCUESTA!G:G,ENCUESTA!D:D),"N/A")</f>
        <v>EJECUCIÓN DEL PDV</v>
      </c>
      <c r="N21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19" s="93" t="str">
        <f>_xlfn.XLOOKUP(Tabla2__2[[#This Row],[PREGUNTA]],ENCUESTA!G:G,ENCUESTA!H:H)</f>
        <v>SI</v>
      </c>
      <c r="P219" s="93">
        <f>IF(Tabla2__2[[#This Row],[RTA]]=Tabla2__2[[#This Row],[RTA CORRECTA]],Tabla2__2[[#This Row],[TOTAL PUNTAJE]],0)</f>
        <v>3.75</v>
      </c>
      <c r="Q219" s="93">
        <f>IF(OR(H219="Dog Chow húmedo",H219="Cat Chow húmedo",H219="Fancy Feast",H219="Felix",H219="Proplan húmedo",H219="One húmedo",H219="Snack Abrazzos",H219="Snak Dentalife",H219="Arenilla Tidy Cat"),N219,0)</f>
        <v>0</v>
      </c>
      <c r="R219" s="93"/>
    </row>
    <row r="220" spans="1:18" x14ac:dyDescent="0.35">
      <c r="A220" s="93" t="s">
        <v>109</v>
      </c>
      <c r="B220" s="93" t="s">
        <v>8</v>
      </c>
      <c r="C220" s="90" t="s">
        <v>43</v>
      </c>
      <c r="D220" s="93" t="s">
        <v>120</v>
      </c>
      <c r="E220" s="94">
        <v>355912</v>
      </c>
      <c r="F220" s="93" t="s">
        <v>202</v>
      </c>
      <c r="G220" s="93" t="s">
        <v>148</v>
      </c>
      <c r="H220" s="93" t="s">
        <v>108</v>
      </c>
      <c r="I220" s="95"/>
      <c r="J220" s="94">
        <v>29602428</v>
      </c>
      <c r="K220" s="93" t="s">
        <v>129</v>
      </c>
      <c r="L220" s="93" t="str">
        <f>_xlfn.XLOOKUP(Tabla2__2[[#This Row],[CODIGO RUTA]],'DATA INFORME'!I:I,'DATA INFORME'!K:K)</f>
        <v>SI</v>
      </c>
      <c r="M220" s="93" t="str">
        <f>IF(Tabla2__2[[#This Row],[MYSTERY EFECTIVO]]="SI",_xlfn.XLOOKUP(Tabla2__2[[#This Row],[PREGUNTA]],ENCUESTA!G:G,ENCUESTA!D:D),"N/A")</f>
        <v>EJECUCIÓN DEL PDV</v>
      </c>
      <c r="N22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0" s="93" t="str">
        <f>_xlfn.XLOOKUP(Tabla2__2[[#This Row],[PREGUNTA]],ENCUESTA!G:G,ENCUESTA!H:H)</f>
        <v>SI</v>
      </c>
      <c r="P220" s="93">
        <f>IF(Tabla2__2[[#This Row],[RTA]]=Tabla2__2[[#This Row],[RTA CORRECTA]],Tabla2__2[[#This Row],[TOTAL PUNTAJE]],0)</f>
        <v>0</v>
      </c>
      <c r="Q220" s="93">
        <f>IF(OR(H220="Dog Chow húmedo",H220="Cat Chow húmedo",H220="Fancy Feast",H220="Felix",H220="Proplan húmedo",H220="One húmedo",H220="Snack Abrazzos",H220="Snak Dentalife",H220="Arenilla Tidy Cat"),N220,0)</f>
        <v>0</v>
      </c>
      <c r="R220" s="93"/>
    </row>
    <row r="221" spans="1:18" x14ac:dyDescent="0.35">
      <c r="A221" s="93" t="s">
        <v>109</v>
      </c>
      <c r="B221" s="93" t="s">
        <v>8</v>
      </c>
      <c r="C221" s="90" t="s">
        <v>43</v>
      </c>
      <c r="D221" s="93" t="s">
        <v>120</v>
      </c>
      <c r="E221" s="94">
        <v>355912</v>
      </c>
      <c r="F221" s="93" t="s">
        <v>202</v>
      </c>
      <c r="G221" s="93" t="s">
        <v>98</v>
      </c>
      <c r="H221" s="93" t="s">
        <v>20</v>
      </c>
      <c r="I221" s="95"/>
      <c r="J221" s="94">
        <v>29602428</v>
      </c>
      <c r="K221" s="93" t="s">
        <v>129</v>
      </c>
      <c r="L221" s="93" t="str">
        <f>_xlfn.XLOOKUP(Tabla2__2[[#This Row],[CODIGO RUTA]],'DATA INFORME'!I:I,'DATA INFORME'!K:K)</f>
        <v>SI</v>
      </c>
      <c r="M221" s="93" t="str">
        <f>IF(Tabla2__2[[#This Row],[MYSTERY EFECTIVO]]="SI",_xlfn.XLOOKUP(Tabla2__2[[#This Row],[PREGUNTA]],ENCUESTA!G:G,ENCUESTA!D:D),"N/A")</f>
        <v>EJECUCIÓN DEL PDV</v>
      </c>
      <c r="N22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1" s="93" t="str">
        <f>_xlfn.XLOOKUP(Tabla2__2[[#This Row],[PREGUNTA]],ENCUESTA!G:G,ENCUESTA!H:H)</f>
        <v>SI</v>
      </c>
      <c r="P221" s="93">
        <f>IF(Tabla2__2[[#This Row],[RTA]]=Tabla2__2[[#This Row],[RTA CORRECTA]],Tabla2__2[[#This Row],[TOTAL PUNTAJE]],0)</f>
        <v>3.75</v>
      </c>
      <c r="Q221" s="93">
        <f>IF(OR(H221="Dog Chow húmedo",H221="Cat Chow húmedo",H221="Fancy Feast",H221="Felix",H221="Proplan húmedo",H221="One húmedo",H221="Snack Abrazzos",H221="Snak Dentalife",H221="Arenilla Tidy Cat"),N221,0)</f>
        <v>0</v>
      </c>
      <c r="R221" s="93"/>
    </row>
    <row r="222" spans="1:18" x14ac:dyDescent="0.35">
      <c r="A222" s="93" t="s">
        <v>109</v>
      </c>
      <c r="B222" s="93" t="s">
        <v>8</v>
      </c>
      <c r="C222" s="90" t="s">
        <v>43</v>
      </c>
      <c r="D222" s="93" t="s">
        <v>120</v>
      </c>
      <c r="E222" s="94">
        <v>355912</v>
      </c>
      <c r="F222" s="93" t="s">
        <v>202</v>
      </c>
      <c r="G222" s="93" t="s">
        <v>99</v>
      </c>
      <c r="H222" s="93" t="s">
        <v>20</v>
      </c>
      <c r="I222" s="95"/>
      <c r="J222" s="94">
        <v>29602428</v>
      </c>
      <c r="K222" s="93" t="s">
        <v>129</v>
      </c>
      <c r="L222" s="93" t="str">
        <f>_xlfn.XLOOKUP(Tabla2__2[[#This Row],[CODIGO RUTA]],'DATA INFORME'!I:I,'DATA INFORME'!K:K)</f>
        <v>SI</v>
      </c>
      <c r="M222" s="93" t="str">
        <f>IF(Tabla2__2[[#This Row],[MYSTERY EFECTIVO]]="SI",_xlfn.XLOOKUP(Tabla2__2[[#This Row],[PREGUNTA]],ENCUESTA!G:G,ENCUESTA!D:D),"N/A")</f>
        <v>EJECUCIÓN DEL PDV</v>
      </c>
      <c r="N22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2" s="93" t="str">
        <f>_xlfn.XLOOKUP(Tabla2__2[[#This Row],[PREGUNTA]],ENCUESTA!G:G,ENCUESTA!H:H)</f>
        <v>SI</v>
      </c>
      <c r="P222" s="93">
        <f>IF(Tabla2__2[[#This Row],[RTA]]=Tabla2__2[[#This Row],[RTA CORRECTA]],Tabla2__2[[#This Row],[TOTAL PUNTAJE]],0)</f>
        <v>3.75</v>
      </c>
      <c r="Q222" s="93">
        <f>IF(OR(H222="Dog Chow húmedo",H222="Cat Chow húmedo",H222="Fancy Feast",H222="Felix",H222="Proplan húmedo",H222="One húmedo",H222="Snack Abrazzos",H222="Snak Dentalife",H222="Arenilla Tidy Cat"),N222,0)</f>
        <v>0</v>
      </c>
      <c r="R222" s="93"/>
    </row>
    <row r="223" spans="1:18" x14ac:dyDescent="0.35">
      <c r="A223" s="93" t="s">
        <v>109</v>
      </c>
      <c r="B223" s="93" t="s">
        <v>8</v>
      </c>
      <c r="C223" s="90" t="s">
        <v>43</v>
      </c>
      <c r="D223" s="93" t="s">
        <v>120</v>
      </c>
      <c r="E223" s="94">
        <v>355912</v>
      </c>
      <c r="F223" s="93" t="s">
        <v>202</v>
      </c>
      <c r="G223" s="93" t="s">
        <v>100</v>
      </c>
      <c r="H223" s="93" t="s">
        <v>20</v>
      </c>
      <c r="I223" s="95"/>
      <c r="J223" s="94">
        <v>29602428</v>
      </c>
      <c r="K223" s="93" t="s">
        <v>129</v>
      </c>
      <c r="L223" s="93" t="str">
        <f>_xlfn.XLOOKUP(Tabla2__2[[#This Row],[CODIGO RUTA]],'DATA INFORME'!I:I,'DATA INFORME'!K:K)</f>
        <v>SI</v>
      </c>
      <c r="M223" s="93" t="str">
        <f>IF(Tabla2__2[[#This Row],[MYSTERY EFECTIVO]]="SI",_xlfn.XLOOKUP(Tabla2__2[[#This Row],[PREGUNTA]],ENCUESTA!G:G,ENCUESTA!D:D),"N/A")</f>
        <v>EJECUCIÓN DEL PDV</v>
      </c>
      <c r="N22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3" s="93" t="str">
        <f>_xlfn.XLOOKUP(Tabla2__2[[#This Row],[PREGUNTA]],ENCUESTA!G:G,ENCUESTA!H:H)</f>
        <v>SI</v>
      </c>
      <c r="P223" s="93">
        <f>IF(Tabla2__2[[#This Row],[RTA]]=Tabla2__2[[#This Row],[RTA CORRECTA]],Tabla2__2[[#This Row],[TOTAL PUNTAJE]],0)</f>
        <v>3.75</v>
      </c>
      <c r="Q223" s="93">
        <f>IF(OR(H223="Dog Chow húmedo",H223="Cat Chow húmedo",H223="Fancy Feast",H223="Felix",H223="Proplan húmedo",H223="One húmedo",H223="Snack Abrazzos",H223="Snak Dentalife",H223="Arenilla Tidy Cat"),N223,0)</f>
        <v>0</v>
      </c>
      <c r="R223" s="93"/>
    </row>
    <row r="224" spans="1:18" x14ac:dyDescent="0.35">
      <c r="A224" s="93" t="s">
        <v>109</v>
      </c>
      <c r="B224" s="93" t="s">
        <v>8</v>
      </c>
      <c r="C224" s="90" t="s">
        <v>15</v>
      </c>
      <c r="D224" s="93" t="s">
        <v>120</v>
      </c>
      <c r="E224" s="94">
        <v>42612</v>
      </c>
      <c r="F224" s="93" t="s">
        <v>136</v>
      </c>
      <c r="G224" s="93" t="s">
        <v>93</v>
      </c>
      <c r="H224" s="93" t="s">
        <v>20</v>
      </c>
      <c r="I224" s="95"/>
      <c r="J224" s="94">
        <v>29602530</v>
      </c>
      <c r="K224" s="93" t="s">
        <v>213</v>
      </c>
      <c r="L224" s="93" t="str">
        <f>_xlfn.XLOOKUP(Tabla2__2[[#This Row],[CODIGO RUTA]],'DATA INFORME'!I:I,'DATA INFORME'!K:K)</f>
        <v>SI</v>
      </c>
      <c r="M224" s="93" t="str">
        <f>IF(Tabla2__2[[#This Row],[MYSTERY EFECTIVO]]="SI",_xlfn.XLOOKUP(Tabla2__2[[#This Row],[PREGUNTA]],ENCUESTA!G:G,ENCUESTA!D:D),"N/A")</f>
        <v>PRESENTACIÓN PERSONAL</v>
      </c>
      <c r="N22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4" s="93" t="str">
        <f>_xlfn.XLOOKUP(Tabla2__2[[#This Row],[PREGUNTA]],ENCUESTA!G:G,ENCUESTA!H:H)</f>
        <v>SI</v>
      </c>
      <c r="P224" s="93">
        <f>IF(Tabla2__2[[#This Row],[RTA]]=Tabla2__2[[#This Row],[RTA CORRECTA]],Tabla2__2[[#This Row],[TOTAL PUNTAJE]],0)</f>
        <v>1</v>
      </c>
      <c r="Q224" s="93">
        <f>IF(OR(H224="Dog Chow húmedo",H224="Cat Chow húmedo",H224="Fancy Feast",H224="Felix",H224="Proplan húmedo",H224="One húmedo",H224="Snack Abrazzos",H224="Snak Dentalife",H224="Arenilla Tidy Cat"),N224,0)</f>
        <v>0</v>
      </c>
      <c r="R224" s="93"/>
    </row>
    <row r="225" spans="1:18" x14ac:dyDescent="0.35">
      <c r="A225" s="93" t="s">
        <v>109</v>
      </c>
      <c r="B225" s="93" t="s">
        <v>8</v>
      </c>
      <c r="C225" s="90" t="s">
        <v>43</v>
      </c>
      <c r="D225" s="93" t="s">
        <v>120</v>
      </c>
      <c r="E225" s="94">
        <v>355912</v>
      </c>
      <c r="F225" s="93" t="s">
        <v>202</v>
      </c>
      <c r="G225" s="93" t="s">
        <v>149</v>
      </c>
      <c r="H225" s="93" t="s">
        <v>20</v>
      </c>
      <c r="I225" s="95"/>
      <c r="J225" s="94">
        <v>29602428</v>
      </c>
      <c r="K225" s="93" t="s">
        <v>129</v>
      </c>
      <c r="L225" s="93" t="str">
        <f>_xlfn.XLOOKUP(Tabla2__2[[#This Row],[CODIGO RUTA]],'DATA INFORME'!I:I,'DATA INFORME'!K:K)</f>
        <v>SI</v>
      </c>
      <c r="M225" s="93" t="str">
        <f>IF(Tabla2__2[[#This Row],[MYSTERY EFECTIVO]]="SI",_xlfn.XLOOKUP(Tabla2__2[[#This Row],[PREGUNTA]],ENCUESTA!G:G,ENCUESTA!D:D),"N/A")</f>
        <v>EJECUCIÓN DEL PDV</v>
      </c>
      <c r="N22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5" s="93" t="str">
        <f>_xlfn.XLOOKUP(Tabla2__2[[#This Row],[PREGUNTA]],ENCUESTA!G:G,ENCUESTA!H:H)</f>
        <v>SI</v>
      </c>
      <c r="P225" s="93">
        <f>IF(Tabla2__2[[#This Row],[RTA]]=Tabla2__2[[#This Row],[RTA CORRECTA]],Tabla2__2[[#This Row],[TOTAL PUNTAJE]],0)</f>
        <v>3.75</v>
      </c>
      <c r="Q225" s="93">
        <f>IF(OR(H225="Dog Chow húmedo",H225="Cat Chow húmedo",H225="Fancy Feast",H225="Felix",H225="Proplan húmedo",H225="One húmedo",H225="Snack Abrazzos",H225="Snak Dentalife",H225="Arenilla Tidy Cat"),N225,0)</f>
        <v>0</v>
      </c>
      <c r="R225" s="93"/>
    </row>
    <row r="226" spans="1:18" x14ac:dyDescent="0.35">
      <c r="A226" s="93" t="s">
        <v>109</v>
      </c>
      <c r="B226" s="93" t="s">
        <v>8</v>
      </c>
      <c r="C226" s="90" t="s">
        <v>43</v>
      </c>
      <c r="D226" s="93" t="s">
        <v>120</v>
      </c>
      <c r="E226" s="94">
        <v>355912</v>
      </c>
      <c r="F226" s="93" t="s">
        <v>202</v>
      </c>
      <c r="G226" s="93" t="s">
        <v>131</v>
      </c>
      <c r="H226" s="93" t="s">
        <v>20</v>
      </c>
      <c r="I226" s="95"/>
      <c r="J226" s="94">
        <v>29602428</v>
      </c>
      <c r="K226" s="93" t="s">
        <v>129</v>
      </c>
      <c r="L226" s="93" t="str">
        <f>_xlfn.XLOOKUP(Tabla2__2[[#This Row],[CODIGO RUTA]],'DATA INFORME'!I:I,'DATA INFORME'!K:K)</f>
        <v>SI</v>
      </c>
      <c r="M226" s="93" t="str">
        <f>IF(Tabla2__2[[#This Row],[MYSTERY EFECTIVO]]="SI",_xlfn.XLOOKUP(Tabla2__2[[#This Row],[PREGUNTA]],ENCUESTA!G:G,ENCUESTA!D:D),"N/A")</f>
        <v>EJECUCIÓN DEL PDV</v>
      </c>
      <c r="N22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6" s="93" t="str">
        <f>_xlfn.XLOOKUP(Tabla2__2[[#This Row],[PREGUNTA]],ENCUESTA!G:G,ENCUESTA!H:H)</f>
        <v>SI</v>
      </c>
      <c r="P226" s="93">
        <f>IF(Tabla2__2[[#This Row],[RTA]]=Tabla2__2[[#This Row],[RTA CORRECTA]],Tabla2__2[[#This Row],[TOTAL PUNTAJE]],0)</f>
        <v>3.75</v>
      </c>
      <c r="Q226" s="93">
        <f>IF(OR(H226="Dog Chow húmedo",H226="Cat Chow húmedo",H226="Fancy Feast",H226="Felix",H226="Proplan húmedo",H226="One húmedo",H226="Snack Abrazzos",H226="Snak Dentalife",H226="Arenilla Tidy Cat"),N226,0)</f>
        <v>0</v>
      </c>
      <c r="R226" s="93"/>
    </row>
    <row r="227" spans="1:18" x14ac:dyDescent="0.35">
      <c r="A227" s="93" t="s">
        <v>109</v>
      </c>
      <c r="B227" s="93" t="s">
        <v>8</v>
      </c>
      <c r="C227" s="90" t="s">
        <v>43</v>
      </c>
      <c r="D227" s="93" t="s">
        <v>120</v>
      </c>
      <c r="E227" s="94">
        <v>355912</v>
      </c>
      <c r="F227" s="93" t="s">
        <v>202</v>
      </c>
      <c r="G227" s="93" t="s">
        <v>101</v>
      </c>
      <c r="H227" s="93" t="s">
        <v>43</v>
      </c>
      <c r="I227" s="95"/>
      <c r="J227" s="94">
        <v>29602428</v>
      </c>
      <c r="K227" s="93" t="s">
        <v>129</v>
      </c>
      <c r="L227" s="93" t="str">
        <f>_xlfn.XLOOKUP(Tabla2__2[[#This Row],[CODIGO RUTA]],'DATA INFORME'!I:I,'DATA INFORME'!K:K)</f>
        <v>SI</v>
      </c>
      <c r="M227" s="93" t="str">
        <f>IF(Tabla2__2[[#This Row],[MYSTERY EFECTIVO]]="SI",_xlfn.XLOOKUP(Tabla2__2[[#This Row],[PREGUNTA]],ENCUESTA!G:G,ENCUESTA!D:D),"N/A")</f>
        <v>N/A</v>
      </c>
      <c r="N22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7" s="93">
        <f>_xlfn.XLOOKUP(Tabla2__2[[#This Row],[PREGUNTA]],ENCUESTA!G:G,ENCUESTA!H:H)</f>
        <v>0</v>
      </c>
      <c r="P227" s="93">
        <f>IF(Tabla2__2[[#This Row],[RTA]]=Tabla2__2[[#This Row],[RTA CORRECTA]],Tabla2__2[[#This Row],[TOTAL PUNTAJE]],0)</f>
        <v>0</v>
      </c>
      <c r="Q227" s="93">
        <f>IF(OR(H227="Dog Chow húmedo",H227="Cat Chow húmedo",H227="Fancy Feast",H227="Felix",H227="Proplan húmedo",H227="One húmedo",H227="Snack Abrazzos",H227="Snak Dentalife",H227="Arenilla Tidy Cat"),N227,0)</f>
        <v>0</v>
      </c>
      <c r="R227" s="93"/>
    </row>
    <row r="228" spans="1:18" x14ac:dyDescent="0.35">
      <c r="A228" s="93" t="s">
        <v>109</v>
      </c>
      <c r="B228" s="93" t="s">
        <v>8</v>
      </c>
      <c r="C228" s="90" t="s">
        <v>43</v>
      </c>
      <c r="D228" s="93" t="s">
        <v>120</v>
      </c>
      <c r="E228" s="94">
        <v>355912</v>
      </c>
      <c r="F228" s="93" t="s">
        <v>202</v>
      </c>
      <c r="G228" s="93" t="s">
        <v>137</v>
      </c>
      <c r="H228" s="93" t="s">
        <v>20</v>
      </c>
      <c r="I228" s="95"/>
      <c r="J228" s="94">
        <v>29602428</v>
      </c>
      <c r="K228" s="93" t="s">
        <v>129</v>
      </c>
      <c r="L228" s="93" t="str">
        <f>_xlfn.XLOOKUP(Tabla2__2[[#This Row],[CODIGO RUTA]],'DATA INFORME'!I:I,'DATA INFORME'!K:K)</f>
        <v>SI</v>
      </c>
      <c r="M228" s="93" t="str">
        <f>IF(Tabla2__2[[#This Row],[MYSTERY EFECTIVO]]="SI",_xlfn.XLOOKUP(Tabla2__2[[#This Row],[PREGUNTA]],ENCUESTA!G:G,ENCUESTA!D:D),"N/A")</f>
        <v>ACTIVIDADES DEL MES</v>
      </c>
      <c r="N22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28" s="93" t="str">
        <f>_xlfn.XLOOKUP(Tabla2__2[[#This Row],[PREGUNTA]],ENCUESTA!G:G,ENCUESTA!H:H)</f>
        <v>SI</v>
      </c>
      <c r="P228" s="93">
        <f>IF(Tabla2__2[[#This Row],[RTA]]=Tabla2__2[[#This Row],[RTA CORRECTA]],Tabla2__2[[#This Row],[TOTAL PUNTAJE]],0)</f>
        <v>20</v>
      </c>
      <c r="Q228" s="93">
        <f>IF(OR(H228="Dog Chow húmedo",H228="Cat Chow húmedo",H228="Fancy Feast",H228="Felix",H228="Proplan húmedo",H228="One húmedo",H228="Snack Abrazzos",H228="Snak Dentalife",H228="Arenilla Tidy Cat"),N228,0)</f>
        <v>0</v>
      </c>
      <c r="R228" s="93"/>
    </row>
    <row r="229" spans="1:18" x14ac:dyDescent="0.35">
      <c r="A229" s="93" t="s">
        <v>109</v>
      </c>
      <c r="B229" s="93" t="s">
        <v>8</v>
      </c>
      <c r="C229" s="90" t="s">
        <v>43</v>
      </c>
      <c r="D229" s="93" t="s">
        <v>120</v>
      </c>
      <c r="E229" s="94">
        <v>355912</v>
      </c>
      <c r="F229" s="93" t="s">
        <v>202</v>
      </c>
      <c r="G229" s="93" t="s">
        <v>153</v>
      </c>
      <c r="H229" s="93" t="s">
        <v>20</v>
      </c>
      <c r="I229" s="95"/>
      <c r="J229" s="94">
        <v>29602428</v>
      </c>
      <c r="K229" s="93" t="s">
        <v>129</v>
      </c>
      <c r="L229" s="93" t="str">
        <f>_xlfn.XLOOKUP(Tabla2__2[[#This Row],[CODIGO RUTA]],'DATA INFORME'!I:I,'DATA INFORME'!K:K)</f>
        <v>SI</v>
      </c>
      <c r="M229" s="93" t="str">
        <f>IF(Tabla2__2[[#This Row],[MYSTERY EFECTIVO]]="SI",_xlfn.XLOOKUP(Tabla2__2[[#This Row],[PREGUNTA]],ENCUESTA!G:G,ENCUESTA!D:D),"N/A")</f>
        <v>ACTIVIDADES DEL MES</v>
      </c>
      <c r="N22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29" s="93" t="str">
        <f>_xlfn.XLOOKUP(Tabla2__2[[#This Row],[PREGUNTA]],ENCUESTA!G:G,ENCUESTA!H:H)</f>
        <v>SI</v>
      </c>
      <c r="P229" s="93">
        <f>IF(Tabla2__2[[#This Row],[RTA]]=Tabla2__2[[#This Row],[RTA CORRECTA]],Tabla2__2[[#This Row],[TOTAL PUNTAJE]],0)</f>
        <v>20</v>
      </c>
      <c r="Q229" s="93">
        <f>IF(OR(H229="Dog Chow húmedo",H229="Cat Chow húmedo",H229="Fancy Feast",H229="Felix",H229="Proplan húmedo",H229="One húmedo",H229="Snack Abrazzos",H229="Snak Dentalife",H229="Arenilla Tidy Cat"),N229,0)</f>
        <v>0</v>
      </c>
      <c r="R229" s="93"/>
    </row>
    <row r="230" spans="1:18" x14ac:dyDescent="0.35">
      <c r="A230" s="93" t="s">
        <v>109</v>
      </c>
      <c r="B230" s="93" t="s">
        <v>8</v>
      </c>
      <c r="C230" s="90" t="s">
        <v>43</v>
      </c>
      <c r="D230" s="93" t="s">
        <v>120</v>
      </c>
      <c r="E230" s="94">
        <v>355912</v>
      </c>
      <c r="F230" s="93" t="s">
        <v>202</v>
      </c>
      <c r="G230" s="93" t="s">
        <v>102</v>
      </c>
      <c r="H230" s="93" t="s">
        <v>20</v>
      </c>
      <c r="I230" s="95"/>
      <c r="J230" s="94">
        <v>29602428</v>
      </c>
      <c r="K230" s="93" t="s">
        <v>129</v>
      </c>
      <c r="L230" s="93" t="str">
        <f>_xlfn.XLOOKUP(Tabla2__2[[#This Row],[CODIGO RUTA]],'DATA INFORME'!I:I,'DATA INFORME'!K:K)</f>
        <v>SI</v>
      </c>
      <c r="M230" s="93" t="str">
        <f>IF(Tabla2__2[[#This Row],[MYSTERY EFECTIVO]]="SI",_xlfn.XLOOKUP(Tabla2__2[[#This Row],[PREGUNTA]],ENCUESTA!G:G,ENCUESTA!D:D),"N/A")</f>
        <v>N/A</v>
      </c>
      <c r="N230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0" s="93">
        <f>_xlfn.XLOOKUP(Tabla2__2[[#This Row],[PREGUNTA]],ENCUESTA!G:G,ENCUESTA!H:H)</f>
        <v>0</v>
      </c>
      <c r="P230" s="93">
        <f>IF(Tabla2__2[[#This Row],[RTA]]=Tabla2__2[[#This Row],[RTA CORRECTA]],Tabla2__2[[#This Row],[TOTAL PUNTAJE]],0)</f>
        <v>0</v>
      </c>
      <c r="Q230" s="93">
        <f>IF(OR(H230="Dog Chow húmedo",H230="Cat Chow húmedo",H230="Fancy Feast",H230="Felix",H230="Proplan húmedo",H230="One húmedo",H230="Snack Abrazzos",H230="Snak Dentalife",H230="Arenilla Tidy Cat"),N230,0)</f>
        <v>0</v>
      </c>
      <c r="R230" s="93"/>
    </row>
    <row r="231" spans="1:18" x14ac:dyDescent="0.35">
      <c r="A231" s="93" t="s">
        <v>109</v>
      </c>
      <c r="B231" s="93" t="s">
        <v>8</v>
      </c>
      <c r="C231" s="90" t="s">
        <v>43</v>
      </c>
      <c r="D231" s="93" t="s">
        <v>120</v>
      </c>
      <c r="E231" s="94">
        <v>355912</v>
      </c>
      <c r="F231" s="93" t="s">
        <v>202</v>
      </c>
      <c r="G231" s="93" t="s">
        <v>103</v>
      </c>
      <c r="H231" s="93" t="s">
        <v>207</v>
      </c>
      <c r="I231" s="95"/>
      <c r="J231" s="94">
        <v>29602428</v>
      </c>
      <c r="K231" s="93" t="s">
        <v>129</v>
      </c>
      <c r="L231" s="93" t="str">
        <f>_xlfn.XLOOKUP(Tabla2__2[[#This Row],[CODIGO RUTA]],'DATA INFORME'!I:I,'DATA INFORME'!K:K)</f>
        <v>SI</v>
      </c>
      <c r="M231" s="93" t="str">
        <f>IF(Tabla2__2[[#This Row],[MYSTERY EFECTIVO]]="SI",_xlfn.XLOOKUP(Tabla2__2[[#This Row],[PREGUNTA]],ENCUESTA!G:G,ENCUESTA!D:D),"N/A")</f>
        <v>N/A</v>
      </c>
      <c r="N231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1" s="93">
        <f>_xlfn.XLOOKUP(Tabla2__2[[#This Row],[PREGUNTA]],ENCUESTA!G:G,ENCUESTA!H:H)</f>
        <v>0</v>
      </c>
      <c r="P231" s="93">
        <f>IF(Tabla2__2[[#This Row],[RTA]]=Tabla2__2[[#This Row],[RTA CORRECTA]],Tabla2__2[[#This Row],[TOTAL PUNTAJE]],0)</f>
        <v>0</v>
      </c>
      <c r="Q231" s="93">
        <f>IF(OR(H231="Dog Chow húmedo",H231="Cat Chow húmedo",H231="Fancy Feast",H231="Felix",H231="Proplan húmedo",H231="One húmedo",H231="Snack Abrazzos",H231="Snak Dentalife",H231="Arenilla Tidy Cat"),N231,0)</f>
        <v>0</v>
      </c>
      <c r="R231" s="93"/>
    </row>
    <row r="232" spans="1:18" x14ac:dyDescent="0.35">
      <c r="A232" s="93" t="s">
        <v>109</v>
      </c>
      <c r="B232" s="93" t="s">
        <v>8</v>
      </c>
      <c r="C232" s="90" t="s">
        <v>15</v>
      </c>
      <c r="D232" s="93" t="s">
        <v>120</v>
      </c>
      <c r="E232" s="94">
        <v>42612</v>
      </c>
      <c r="F232" s="93" t="s">
        <v>136</v>
      </c>
      <c r="G232" s="93" t="s">
        <v>87</v>
      </c>
      <c r="H232" s="93" t="s">
        <v>20</v>
      </c>
      <c r="I232" s="95"/>
      <c r="J232" s="94">
        <v>29602530</v>
      </c>
      <c r="K232" s="93" t="s">
        <v>213</v>
      </c>
      <c r="L232" s="93" t="str">
        <f>_xlfn.XLOOKUP(Tabla2__2[[#This Row],[CODIGO RUTA]],'DATA INFORME'!I:I,'DATA INFORME'!K:K)</f>
        <v>SI</v>
      </c>
      <c r="M232" s="93" t="str">
        <f>IF(Tabla2__2[[#This Row],[MYSTERY EFECTIVO]]="SI",_xlfn.XLOOKUP(Tabla2__2[[#This Row],[PREGUNTA]],ENCUESTA!G:G,ENCUESTA!D:D),"N/A")</f>
        <v>N/A</v>
      </c>
      <c r="N232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2" s="93">
        <f>_xlfn.XLOOKUP(Tabla2__2[[#This Row],[PREGUNTA]],ENCUESTA!G:G,ENCUESTA!H:H)</f>
        <v>0</v>
      </c>
      <c r="P232" s="93">
        <f>IF(Tabla2__2[[#This Row],[RTA]]=Tabla2__2[[#This Row],[RTA CORRECTA]],Tabla2__2[[#This Row],[TOTAL PUNTAJE]],0)</f>
        <v>0</v>
      </c>
      <c r="Q232" s="93">
        <f>IF(OR(H232="Dog Chow húmedo",H232="Cat Chow húmedo",H232="Fancy Feast",H232="Felix",H232="Proplan húmedo",H232="One húmedo",H232="Snack Abrazzos",H232="Snak Dentalife",H232="Arenilla Tidy Cat"),N232,0)</f>
        <v>0</v>
      </c>
      <c r="R232" s="93"/>
    </row>
    <row r="233" spans="1:18" x14ac:dyDescent="0.35">
      <c r="A233" s="93" t="s">
        <v>109</v>
      </c>
      <c r="B233" s="93" t="s">
        <v>8</v>
      </c>
      <c r="C233" s="90" t="s">
        <v>15</v>
      </c>
      <c r="D233" s="93" t="s">
        <v>120</v>
      </c>
      <c r="E233" s="94">
        <v>42612</v>
      </c>
      <c r="F233" s="93" t="s">
        <v>136</v>
      </c>
      <c r="G233" s="93" t="s">
        <v>88</v>
      </c>
      <c r="H233" s="93" t="s">
        <v>108</v>
      </c>
      <c r="I233" s="95"/>
      <c r="J233" s="94">
        <v>29602530</v>
      </c>
      <c r="K233" s="93" t="s">
        <v>213</v>
      </c>
      <c r="L233" s="93" t="str">
        <f>_xlfn.XLOOKUP(Tabla2__2[[#This Row],[CODIGO RUTA]],'DATA INFORME'!I:I,'DATA INFORME'!K:K)</f>
        <v>SI</v>
      </c>
      <c r="M233" s="93" t="str">
        <f>IF(Tabla2__2[[#This Row],[MYSTERY EFECTIVO]]="SI",_xlfn.XLOOKUP(Tabla2__2[[#This Row],[PREGUNTA]],ENCUESTA!G:G,ENCUESTA!D:D),"N/A")</f>
        <v>HORARIO</v>
      </c>
      <c r="N233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33" s="93" t="str">
        <f>_xlfn.XLOOKUP(Tabla2__2[[#This Row],[PREGUNTA]],ENCUESTA!G:G,ENCUESTA!H:H)</f>
        <v>SI</v>
      </c>
      <c r="P233" s="93">
        <f>IF(Tabla2__2[[#This Row],[RTA]]=Tabla2__2[[#This Row],[RTA CORRECTA]],Tabla2__2[[#This Row],[TOTAL PUNTAJE]],0)</f>
        <v>0</v>
      </c>
      <c r="Q233" s="93">
        <f>IF(OR(H233="Dog Chow húmedo",H233="Cat Chow húmedo",H233="Fancy Feast",H233="Felix",H233="Proplan húmedo",H233="One húmedo",H233="Snack Abrazzos",H233="Snak Dentalife",H233="Arenilla Tidy Cat"),N233,0)</f>
        <v>0</v>
      </c>
      <c r="R233" s="93"/>
    </row>
    <row r="234" spans="1:18" x14ac:dyDescent="0.35">
      <c r="A234" s="93" t="s">
        <v>109</v>
      </c>
      <c r="B234" s="93" t="s">
        <v>8</v>
      </c>
      <c r="C234" s="90" t="s">
        <v>15</v>
      </c>
      <c r="D234" s="93" t="s">
        <v>120</v>
      </c>
      <c r="E234" s="94">
        <v>42612</v>
      </c>
      <c r="F234" s="93" t="s">
        <v>136</v>
      </c>
      <c r="G234" s="93" t="s">
        <v>89</v>
      </c>
      <c r="H234" s="93" t="s">
        <v>20</v>
      </c>
      <c r="I234" s="95"/>
      <c r="J234" s="94">
        <v>29602530</v>
      </c>
      <c r="K234" s="93" t="s">
        <v>213</v>
      </c>
      <c r="L234" s="93" t="str">
        <f>_xlfn.XLOOKUP(Tabla2__2[[#This Row],[CODIGO RUTA]],'DATA INFORME'!I:I,'DATA INFORME'!K:K)</f>
        <v>SI</v>
      </c>
      <c r="M234" s="93" t="str">
        <f>IF(Tabla2__2[[#This Row],[MYSTERY EFECTIVO]]="SI",_xlfn.XLOOKUP(Tabla2__2[[#This Row],[PREGUNTA]],ENCUESTA!G:G,ENCUESTA!D:D),"N/A")</f>
        <v>PRESENTACIÓN PERSONAL</v>
      </c>
      <c r="N234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4" s="93" t="str">
        <f>_xlfn.XLOOKUP(Tabla2__2[[#This Row],[PREGUNTA]],ENCUESTA!G:G,ENCUESTA!H:H)</f>
        <v>SI</v>
      </c>
      <c r="P234" s="93">
        <f>IF(Tabla2__2[[#This Row],[RTA]]=Tabla2__2[[#This Row],[RTA CORRECTA]],Tabla2__2[[#This Row],[TOTAL PUNTAJE]],0)</f>
        <v>1</v>
      </c>
      <c r="Q234" s="93">
        <f>IF(OR(H234="Dog Chow húmedo",H234="Cat Chow húmedo",H234="Fancy Feast",H234="Felix",H234="Proplan húmedo",H234="One húmedo",H234="Snack Abrazzos",H234="Snak Dentalife",H234="Arenilla Tidy Cat"),N234,0)</f>
        <v>0</v>
      </c>
      <c r="R234" s="93"/>
    </row>
    <row r="235" spans="1:18" x14ac:dyDescent="0.35">
      <c r="A235" s="93" t="s">
        <v>109</v>
      </c>
      <c r="B235" s="93" t="s">
        <v>8</v>
      </c>
      <c r="C235" s="90" t="s">
        <v>15</v>
      </c>
      <c r="D235" s="93" t="s">
        <v>120</v>
      </c>
      <c r="E235" s="94">
        <v>42612</v>
      </c>
      <c r="F235" s="93" t="s">
        <v>136</v>
      </c>
      <c r="G235" s="93" t="s">
        <v>90</v>
      </c>
      <c r="H235" s="93" t="s">
        <v>20</v>
      </c>
      <c r="I235" s="95"/>
      <c r="J235" s="94">
        <v>29602530</v>
      </c>
      <c r="K235" s="93" t="s">
        <v>213</v>
      </c>
      <c r="L235" s="93" t="str">
        <f>_xlfn.XLOOKUP(Tabla2__2[[#This Row],[CODIGO RUTA]],'DATA INFORME'!I:I,'DATA INFORME'!K:K)</f>
        <v>SI</v>
      </c>
      <c r="M235" s="93" t="str">
        <f>IF(Tabla2__2[[#This Row],[MYSTERY EFECTIVO]]="SI",_xlfn.XLOOKUP(Tabla2__2[[#This Row],[PREGUNTA]],ENCUESTA!G:G,ENCUESTA!D:D),"N/A")</f>
        <v>PRESENTACIÓN PERSONAL</v>
      </c>
      <c r="N235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5" s="93" t="str">
        <f>_xlfn.XLOOKUP(Tabla2__2[[#This Row],[PREGUNTA]],ENCUESTA!G:G,ENCUESTA!H:H)</f>
        <v>SI</v>
      </c>
      <c r="P235" s="93">
        <f>IF(Tabla2__2[[#This Row],[RTA]]=Tabla2__2[[#This Row],[RTA CORRECTA]],Tabla2__2[[#This Row],[TOTAL PUNTAJE]],0)</f>
        <v>1</v>
      </c>
      <c r="Q235" s="93">
        <f>IF(OR(H235="Dog Chow húmedo",H235="Cat Chow húmedo",H235="Fancy Feast",H235="Felix",H235="Proplan húmedo",H235="One húmedo",H235="Snack Abrazzos",H235="Snak Dentalife",H235="Arenilla Tidy Cat"),N235,0)</f>
        <v>0</v>
      </c>
      <c r="R235" s="93"/>
    </row>
    <row r="236" spans="1:18" x14ac:dyDescent="0.35">
      <c r="A236" s="93" t="s">
        <v>109</v>
      </c>
      <c r="B236" s="93" t="s">
        <v>8</v>
      </c>
      <c r="C236" s="90" t="s">
        <v>15</v>
      </c>
      <c r="D236" s="93" t="s">
        <v>120</v>
      </c>
      <c r="E236" s="94">
        <v>42612</v>
      </c>
      <c r="F236" s="93" t="s">
        <v>136</v>
      </c>
      <c r="G236" s="93" t="s">
        <v>35</v>
      </c>
      <c r="H236" s="93" t="s">
        <v>20</v>
      </c>
      <c r="I236" s="95"/>
      <c r="J236" s="94">
        <v>29602530</v>
      </c>
      <c r="K236" s="93" t="s">
        <v>213</v>
      </c>
      <c r="L236" s="93" t="str">
        <f>_xlfn.XLOOKUP(Tabla2__2[[#This Row],[CODIGO RUTA]],'DATA INFORME'!I:I,'DATA INFORME'!K:K)</f>
        <v>SI</v>
      </c>
      <c r="M236" s="93" t="str">
        <f>IF(Tabla2__2[[#This Row],[MYSTERY EFECTIVO]]="SI",_xlfn.XLOOKUP(Tabla2__2[[#This Row],[PREGUNTA]],ENCUESTA!G:G,ENCUESTA!D:D),"N/A")</f>
        <v>PRESENTACIÓN PERSONAL</v>
      </c>
      <c r="N236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6" s="93" t="str">
        <f>_xlfn.XLOOKUP(Tabla2__2[[#This Row],[PREGUNTA]],ENCUESTA!G:G,ENCUESTA!H:H)</f>
        <v>SI</v>
      </c>
      <c r="P236" s="93">
        <f>IF(Tabla2__2[[#This Row],[RTA]]=Tabla2__2[[#This Row],[RTA CORRECTA]],Tabla2__2[[#This Row],[TOTAL PUNTAJE]],0)</f>
        <v>1</v>
      </c>
      <c r="Q236" s="93">
        <f>IF(OR(H236="Dog Chow húmedo",H236="Cat Chow húmedo",H236="Fancy Feast",H236="Felix",H236="Proplan húmedo",H236="One húmedo",H236="Snack Abrazzos",H236="Snak Dentalife",H236="Arenilla Tidy Cat"),N236,0)</f>
        <v>0</v>
      </c>
      <c r="R236" s="93"/>
    </row>
    <row r="237" spans="1:18" x14ac:dyDescent="0.35">
      <c r="A237" s="93" t="s">
        <v>109</v>
      </c>
      <c r="B237" s="93" t="s">
        <v>8</v>
      </c>
      <c r="C237" s="90" t="s">
        <v>15</v>
      </c>
      <c r="D237" s="93" t="s">
        <v>120</v>
      </c>
      <c r="E237" s="94">
        <v>42612</v>
      </c>
      <c r="F237" s="93" t="s">
        <v>136</v>
      </c>
      <c r="G237" s="93" t="s">
        <v>91</v>
      </c>
      <c r="H237" s="93" t="s">
        <v>108</v>
      </c>
      <c r="I237" s="95"/>
      <c r="J237" s="94">
        <v>29602530</v>
      </c>
      <c r="K237" s="93" t="s">
        <v>213</v>
      </c>
      <c r="L237" s="93" t="str">
        <f>_xlfn.XLOOKUP(Tabla2__2[[#This Row],[CODIGO RUTA]],'DATA INFORME'!I:I,'DATA INFORME'!K:K)</f>
        <v>SI</v>
      </c>
      <c r="M237" s="93" t="str">
        <f>IF(Tabla2__2[[#This Row],[MYSTERY EFECTIVO]]="SI",_xlfn.XLOOKUP(Tabla2__2[[#This Row],[PREGUNTA]],ENCUESTA!G:G,ENCUESTA!D:D),"N/A")</f>
        <v>PRESENTACIÓN PERSONAL</v>
      </c>
      <c r="N237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7" s="93" t="str">
        <f>_xlfn.XLOOKUP(Tabla2__2[[#This Row],[PREGUNTA]],ENCUESTA!G:G,ENCUESTA!H:H)</f>
        <v>NO</v>
      </c>
      <c r="P237" s="93">
        <f>IF(Tabla2__2[[#This Row],[RTA]]=Tabla2__2[[#This Row],[RTA CORRECTA]],Tabla2__2[[#This Row],[TOTAL PUNTAJE]],0)</f>
        <v>1</v>
      </c>
      <c r="Q237" s="93">
        <f>IF(OR(H237="Dog Chow húmedo",H237="Cat Chow húmedo",H237="Fancy Feast",H237="Felix",H237="Proplan húmedo",H237="One húmedo",H237="Snack Abrazzos",H237="Snak Dentalife",H237="Arenilla Tidy Cat"),N237,0)</f>
        <v>0</v>
      </c>
      <c r="R237" s="93"/>
    </row>
    <row r="238" spans="1:18" x14ac:dyDescent="0.35">
      <c r="A238" s="93" t="s">
        <v>109</v>
      </c>
      <c r="B238" s="93" t="s">
        <v>8</v>
      </c>
      <c r="C238" s="90" t="s">
        <v>43</v>
      </c>
      <c r="D238" s="93" t="s">
        <v>120</v>
      </c>
      <c r="E238" s="94">
        <v>355912</v>
      </c>
      <c r="F238" s="93" t="s">
        <v>202</v>
      </c>
      <c r="G238" s="93" t="s">
        <v>130</v>
      </c>
      <c r="H238" s="93" t="s">
        <v>20</v>
      </c>
      <c r="I238" s="95"/>
      <c r="J238" s="94">
        <v>29602428</v>
      </c>
      <c r="K238" s="93" t="s">
        <v>129</v>
      </c>
      <c r="L238" s="93" t="str">
        <f>_xlfn.XLOOKUP(Tabla2__2[[#This Row],[CODIGO RUTA]],'DATA INFORME'!I:I,'DATA INFORME'!K:K)</f>
        <v>SI</v>
      </c>
      <c r="M238" s="93" t="str">
        <f>IF(Tabla2__2[[#This Row],[MYSTERY EFECTIVO]]="SI",_xlfn.XLOOKUP(Tabla2__2[[#This Row],[PREGUNTA]],ENCUESTA!G:G,ENCUESTA!D:D),"N/A")</f>
        <v>EJECUCIÓN DEL PDV</v>
      </c>
      <c r="N238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8" s="93" t="str">
        <f>_xlfn.XLOOKUP(Tabla2__2[[#This Row],[PREGUNTA]],ENCUESTA!G:G,ENCUESTA!H:H)</f>
        <v>SI</v>
      </c>
      <c r="P238" s="93">
        <f>IF(Tabla2__2[[#This Row],[RTA]]=Tabla2__2[[#This Row],[RTA CORRECTA]],Tabla2__2[[#This Row],[TOTAL PUNTAJE]],0)</f>
        <v>3.75</v>
      </c>
      <c r="Q238" s="93">
        <f>IF(OR(H238="Dog Chow húmedo",H238="Cat Chow húmedo",H238="Fancy Feast",H238="Felix",H238="Proplan húmedo",H238="One húmedo",H238="Snack Abrazzos",H238="Snak Dentalife",H238="Arenilla Tidy Cat"),N238,0)</f>
        <v>0</v>
      </c>
      <c r="R238" s="93"/>
    </row>
    <row r="239" spans="1:18" x14ac:dyDescent="0.35">
      <c r="A239" s="93" t="s">
        <v>109</v>
      </c>
      <c r="B239" s="93" t="s">
        <v>259</v>
      </c>
      <c r="C239" s="90" t="s">
        <v>43</v>
      </c>
      <c r="D239" s="93" t="s">
        <v>120</v>
      </c>
      <c r="E239" s="94">
        <v>435253</v>
      </c>
      <c r="F239" s="93" t="s">
        <v>262</v>
      </c>
      <c r="G239" s="93" t="s">
        <v>102</v>
      </c>
      <c r="H239" s="93" t="s">
        <v>108</v>
      </c>
      <c r="I239" s="95"/>
      <c r="J239" s="94">
        <v>29672686</v>
      </c>
      <c r="K239" s="93" t="s">
        <v>213</v>
      </c>
      <c r="L239" s="93" t="str">
        <f>_xlfn.XLOOKUP(Tabla2__2[[#This Row],[CODIGO RUTA]],'DATA INFORME'!I:I,'DATA INFORME'!K:K)</f>
        <v>SI</v>
      </c>
      <c r="M239" s="93" t="str">
        <f>IF(Tabla2__2[[#This Row],[MYSTERY EFECTIVO]]="SI",_xlfn.XLOOKUP(Tabla2__2[[#This Row],[PREGUNTA]],ENCUESTA!G:G,ENCUESTA!D:D),"N/A")</f>
        <v>N/A</v>
      </c>
      <c r="N239" s="93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9" s="93">
        <f>_xlfn.XLOOKUP(Tabla2__2[[#This Row],[PREGUNTA]],ENCUESTA!G:G,ENCUESTA!H:H)</f>
        <v>0</v>
      </c>
      <c r="P239" s="93">
        <f>IF(Tabla2__2[[#This Row],[RTA]]=Tabla2__2[[#This Row],[RTA CORRECTA]],Tabla2__2[[#This Row],[TOTAL PUNTAJE]],0)</f>
        <v>0</v>
      </c>
      <c r="Q239" s="93">
        <f>IF(OR(H239="Dog Chow húmedo",H239="Cat Chow húmedo",H239="Fancy Feast",H239="Felix",H239="Proplan húmedo",H239="One húmedo",H239="Snack Abrazzos",H239="Snak Dentalife",H239="Arenilla Tidy Cat"),N239,0)</f>
        <v>0</v>
      </c>
      <c r="R239" s="93"/>
    </row>
    <row r="240" spans="1:18" x14ac:dyDescent="0.35">
      <c r="A240" s="34"/>
      <c r="B240" s="34"/>
      <c r="C240" s="34"/>
      <c r="D240" s="34"/>
      <c r="E240" s="34"/>
      <c r="F240" s="34"/>
      <c r="G240" s="34"/>
      <c r="H240" s="35"/>
      <c r="I240" s="34"/>
      <c r="J240" s="34"/>
      <c r="K240" s="34"/>
      <c r="L240" s="34"/>
      <c r="M240" s="34"/>
      <c r="N240" s="34"/>
      <c r="O240" s="34"/>
      <c r="P240" s="34"/>
      <c r="Q240" s="34"/>
    </row>
    <row r="427" spans="18:18" x14ac:dyDescent="0.35">
      <c r="R427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20"/>
  <sheetViews>
    <sheetView showGridLines="0" zoomScaleNormal="100" workbookViewId="0">
      <selection activeCell="D20" sqref="D20"/>
    </sheetView>
  </sheetViews>
  <sheetFormatPr baseColWidth="10" defaultColWidth="21.453125" defaultRowHeight="14.5" x14ac:dyDescent="0.35"/>
  <cols>
    <col min="1" max="1" width="14.26953125" style="75" customWidth="1"/>
    <col min="2" max="2" width="18.26953125" style="75" customWidth="1"/>
    <col min="3" max="3" width="16.81640625" style="68" customWidth="1"/>
    <col min="4" max="4" width="43.453125" style="69" customWidth="1"/>
    <col min="5" max="5" width="21.453125" style="75"/>
  </cols>
  <sheetData>
    <row r="1" spans="1:9" x14ac:dyDescent="0.35">
      <c r="A1" s="48" t="s">
        <v>22</v>
      </c>
      <c r="B1" s="48" t="s">
        <v>1</v>
      </c>
      <c r="C1" s="48" t="s">
        <v>26</v>
      </c>
      <c r="D1" s="48" t="s">
        <v>23</v>
      </c>
      <c r="E1" s="49" t="s">
        <v>38</v>
      </c>
      <c r="F1" s="50" t="s">
        <v>39</v>
      </c>
      <c r="G1" s="50" t="s">
        <v>40</v>
      </c>
      <c r="H1" s="50" t="s">
        <v>41</v>
      </c>
      <c r="I1" s="51" t="s">
        <v>42</v>
      </c>
    </row>
    <row r="2" spans="1:9" x14ac:dyDescent="0.35">
      <c r="A2" s="41" t="str">
        <f>_xlfn.XLOOKUP(Tabla1[[#This Row],[CODIGO PDV]],Export!H:H,Export!D:D,0)</f>
        <v>MODERNO</v>
      </c>
      <c r="B2" s="63" t="s">
        <v>146</v>
      </c>
      <c r="C2" s="41">
        <v>447964</v>
      </c>
      <c r="D2" s="65" t="s">
        <v>155</v>
      </c>
      <c r="E2" s="52">
        <v>1</v>
      </c>
      <c r="F2" s="53">
        <v>1</v>
      </c>
      <c r="G2" s="53">
        <f>IF(COUNTIFS(Export!I:I,Tabla1[[#This Row],[CODIGO PDV]])&gt;0,1,0)</f>
        <v>1</v>
      </c>
      <c r="H2" s="54">
        <f>COUNTIFS('DATA INFORME'!D:D,Tabla1[[#This Row],[CODIGO PDV]])</f>
        <v>1</v>
      </c>
      <c r="I2" s="55">
        <f>COUNTIFS('DATA INFORME'!D:D,Tabla1[[#This Row],[CODIGO PDV]],'DATA INFORME'!K:K,"SI")</f>
        <v>1</v>
      </c>
    </row>
    <row r="3" spans="1:9" s="56" customFormat="1" x14ac:dyDescent="0.35">
      <c r="A3" s="41" t="str">
        <f>_xlfn.XLOOKUP(Tabla1[[#This Row],[CODIGO PDV]],Export!H:H,Export!D:D,0)</f>
        <v>MODERNO</v>
      </c>
      <c r="B3" s="41" t="s">
        <v>8</v>
      </c>
      <c r="C3" s="41">
        <v>42612</v>
      </c>
      <c r="D3" s="3" t="s">
        <v>136</v>
      </c>
      <c r="E3" s="52">
        <v>1</v>
      </c>
      <c r="F3" s="53">
        <v>1</v>
      </c>
      <c r="G3" s="53">
        <f>IF(COUNTIFS(Export!I:I,Tabla1[[#This Row],[CODIGO PDV]])&gt;0,1,0)</f>
        <v>1</v>
      </c>
      <c r="H3" s="54">
        <f>COUNTIFS('DATA INFORME'!D:D,Tabla1[[#This Row],[CODIGO PDV]])</f>
        <v>1</v>
      </c>
      <c r="I3" s="55">
        <f>COUNTIFS('DATA INFORME'!D:D,Tabla1[[#This Row],[CODIGO PDV]],'DATA INFORME'!K:K,"SI")</f>
        <v>1</v>
      </c>
    </row>
    <row r="4" spans="1:9" x14ac:dyDescent="0.35">
      <c r="A4" s="41" t="str">
        <f>_xlfn.XLOOKUP(Tabla1[[#This Row],[CODIGO PDV]],Export!H:H,Export!D:D,0)</f>
        <v>TRADICIONAL</v>
      </c>
      <c r="B4" s="41" t="s">
        <v>8</v>
      </c>
      <c r="C4" s="41">
        <v>152267</v>
      </c>
      <c r="D4" s="3" t="s">
        <v>220</v>
      </c>
      <c r="E4" s="54">
        <v>1</v>
      </c>
      <c r="F4" s="53">
        <v>1</v>
      </c>
      <c r="G4" s="53">
        <f>IF(COUNTIFS(Export!I:I,Tabla1[[#This Row],[CODIGO PDV]])&gt;0,1,0)</f>
        <v>1</v>
      </c>
      <c r="H4" s="54">
        <f>COUNTIFS('DATA INFORME'!D:D,Tabla1[[#This Row],[CODIGO PDV]])</f>
        <v>1</v>
      </c>
      <c r="I4" s="55">
        <f>COUNTIFS('DATA INFORME'!D:D,Tabla1[[#This Row],[CODIGO PDV]],'DATA INFORME'!K:K,"SI")</f>
        <v>0</v>
      </c>
    </row>
    <row r="5" spans="1:9" x14ac:dyDescent="0.35">
      <c r="A5" s="41" t="str">
        <f>_xlfn.XLOOKUP(Tabla1[[#This Row],[CODIGO PDV]],Export!H:H,Export!D:D,0)</f>
        <v>TRADICIONAL</v>
      </c>
      <c r="B5" s="41" t="s">
        <v>8</v>
      </c>
      <c r="C5" s="41">
        <v>355912</v>
      </c>
      <c r="D5" s="3" t="s">
        <v>202</v>
      </c>
      <c r="E5" s="52">
        <v>1</v>
      </c>
      <c r="F5" s="53">
        <v>1</v>
      </c>
      <c r="G5" s="53">
        <f>IF(COUNTIFS(Export!I:I,Tabla1[[#This Row],[CODIGO PDV]])&gt;0,1,0)</f>
        <v>1</v>
      </c>
      <c r="H5" s="54">
        <f>COUNTIFS('DATA INFORME'!D:D,Tabla1[[#This Row],[CODIGO PDV]])</f>
        <v>1</v>
      </c>
      <c r="I5" s="55">
        <f>COUNTIFS('DATA INFORME'!D:D,Tabla1[[#This Row],[CODIGO PDV]],'DATA INFORME'!K:K,"SI")</f>
        <v>1</v>
      </c>
    </row>
    <row r="6" spans="1:9" x14ac:dyDescent="0.35">
      <c r="A6" s="41" t="str">
        <f>_xlfn.XLOOKUP(Tabla1[[#This Row],[CODIGO PDV]],Export!H:H,Export!D:D,0)</f>
        <v>ESPECIALIZADO</v>
      </c>
      <c r="B6" s="57" t="s">
        <v>8</v>
      </c>
      <c r="C6" s="58">
        <v>355954</v>
      </c>
      <c r="D6" s="59" t="s">
        <v>226</v>
      </c>
      <c r="E6" s="60">
        <v>1</v>
      </c>
      <c r="F6" s="61">
        <v>1</v>
      </c>
      <c r="G6" s="61">
        <f>IF(COUNTIFS(Export!I:I,Tabla1[[#This Row],[CODIGO PDV]])&gt;0,1,0)</f>
        <v>1</v>
      </c>
      <c r="H6" s="60">
        <f>COUNTIFS('DATA INFORME'!D:D,Tabla1[[#This Row],[CODIGO PDV]])</f>
        <v>1</v>
      </c>
      <c r="I6" s="62">
        <f>COUNTIFS('DATA INFORME'!D:D,Tabla1[[#This Row],[CODIGO PDV]],'DATA INFORME'!K:K,"SI")</f>
        <v>1</v>
      </c>
    </row>
    <row r="7" spans="1:9" x14ac:dyDescent="0.35">
      <c r="A7" s="41" t="str">
        <f>_xlfn.XLOOKUP(Tabla1[[#This Row],[CODIGO PDV]],Export!H:H,Export!D:D,0)</f>
        <v>ESPECIALIZADO</v>
      </c>
      <c r="B7" s="63" t="s">
        <v>112</v>
      </c>
      <c r="C7" s="64">
        <v>424775</v>
      </c>
      <c r="D7" s="65" t="s">
        <v>189</v>
      </c>
      <c r="E7" s="54">
        <v>1</v>
      </c>
      <c r="F7" s="53">
        <v>1</v>
      </c>
      <c r="G7" s="53">
        <f>IF(COUNTIFS(Export!I:I,Tabla1[[#This Row],[CODIGO PDV]])&gt;0,1,0)</f>
        <v>1</v>
      </c>
      <c r="H7" s="54">
        <f>COUNTIFS('DATA INFORME'!D:D,Tabla1[[#This Row],[CODIGO PDV]])</f>
        <v>1</v>
      </c>
      <c r="I7" s="55">
        <f>COUNTIFS('DATA INFORME'!D:D,Tabla1[[#This Row],[CODIGO PDV]],'DATA INFORME'!K:K,"SI")</f>
        <v>1</v>
      </c>
    </row>
    <row r="8" spans="1:9" x14ac:dyDescent="0.35">
      <c r="A8" s="41" t="str">
        <f>_xlfn.XLOOKUP(Tabla1[[#This Row],[CODIGO PDV]],Export!H:H,Export!D:D,0)</f>
        <v>TRADICIONAL</v>
      </c>
      <c r="B8" s="63" t="s">
        <v>132</v>
      </c>
      <c r="C8" s="64">
        <v>111523</v>
      </c>
      <c r="D8" s="65" t="s">
        <v>238</v>
      </c>
      <c r="E8" s="54">
        <v>1</v>
      </c>
      <c r="F8" s="53">
        <v>1</v>
      </c>
      <c r="G8" s="53">
        <f>IF(COUNTIFS(Export!I:I,Tabla1[[#This Row],[CODIGO PDV]])&gt;0,1,0)</f>
        <v>1</v>
      </c>
      <c r="H8" s="54">
        <f>COUNTIFS('DATA INFORME'!D:D,Tabla1[[#This Row],[CODIGO PDV]])</f>
        <v>1</v>
      </c>
      <c r="I8" s="55">
        <f>COUNTIFS('DATA INFORME'!D:D,Tabla1[[#This Row],[CODIGO PDV]],'DATA INFORME'!K:K,"SI")</f>
        <v>1</v>
      </c>
    </row>
    <row r="9" spans="1:9" ht="15" customHeight="1" x14ac:dyDescent="0.35">
      <c r="A9" s="41" t="str">
        <f>_xlfn.XLOOKUP(Tabla1[[#This Row],[CODIGO PDV]],Export!H:H,Export!D:D,0)</f>
        <v>ESPECIALIZADO</v>
      </c>
      <c r="B9" s="57" t="s">
        <v>132</v>
      </c>
      <c r="C9" s="58">
        <v>424831</v>
      </c>
      <c r="D9" s="59" t="s">
        <v>231</v>
      </c>
      <c r="E9" s="54">
        <v>1</v>
      </c>
      <c r="F9" s="53">
        <v>1</v>
      </c>
      <c r="G9" s="61">
        <f>IF(COUNTIFS(Export!I:I,Tabla1[[#This Row],[CODIGO PDV]])&gt;0,1,0)</f>
        <v>1</v>
      </c>
      <c r="H9" s="60">
        <f>COUNTIFS('DATA INFORME'!D:D,Tabla1[[#This Row],[CODIGO PDV]])</f>
        <v>1</v>
      </c>
      <c r="I9" s="62">
        <f>COUNTIFS('DATA INFORME'!D:D,Tabla1[[#This Row],[CODIGO PDV]],'DATA INFORME'!K:K,"SI")</f>
        <v>1</v>
      </c>
    </row>
    <row r="10" spans="1:9" ht="15" customHeight="1" x14ac:dyDescent="0.35">
      <c r="A10" s="41" t="str">
        <f>_xlfn.XLOOKUP(Tabla1[[#This Row],[CODIGO PDV]],Export!H:H,Export!D:D,0)</f>
        <v>TRADICIONAL</v>
      </c>
      <c r="B10" s="63" t="s">
        <v>139</v>
      </c>
      <c r="C10" s="64">
        <v>355519</v>
      </c>
      <c r="D10" s="65" t="s">
        <v>215</v>
      </c>
      <c r="E10" s="54">
        <v>1</v>
      </c>
      <c r="F10" s="53">
        <v>1</v>
      </c>
      <c r="G10" s="53">
        <f>IF(COUNTIFS(Export!I:I,Tabla1[[#This Row],[CODIGO PDV]])&gt;0,1,0)</f>
        <v>1</v>
      </c>
      <c r="H10" s="54">
        <f>COUNTIFS('DATA INFORME'!D:D,Tabla1[[#This Row],[CODIGO PDV]])</f>
        <v>1</v>
      </c>
      <c r="I10" s="55">
        <f>COUNTIFS('DATA INFORME'!D:D,Tabla1[[#This Row],[CODIGO PDV]],'DATA INFORME'!K:K,"SI")</f>
        <v>1</v>
      </c>
    </row>
    <row r="11" spans="1:9" ht="15.75" customHeight="1" x14ac:dyDescent="0.35">
      <c r="A11" s="41" t="str">
        <f>_xlfn.XLOOKUP(Tabla1[[#This Row],[CODIGO PDV]],Export!H:H,Export!D:D,0)</f>
        <v>TRADICIONAL</v>
      </c>
      <c r="B11" s="63" t="s">
        <v>139</v>
      </c>
      <c r="C11" s="64">
        <v>556280</v>
      </c>
      <c r="D11" s="65" t="s">
        <v>195</v>
      </c>
      <c r="E11" s="54">
        <v>1</v>
      </c>
      <c r="F11" s="53">
        <v>1</v>
      </c>
      <c r="G11" s="53">
        <f>IF(COUNTIFS(Export!I:I,Tabla1[[#This Row],[CODIGO PDV]])&gt;0,1,0)</f>
        <v>1</v>
      </c>
      <c r="H11" s="54">
        <f>COUNTIFS('DATA INFORME'!D:D,Tabla1[[#This Row],[CODIGO PDV]])</f>
        <v>1</v>
      </c>
      <c r="I11" s="55">
        <f>COUNTIFS('DATA INFORME'!D:D,Tabla1[[#This Row],[CODIGO PDV]],'DATA INFORME'!K:K,"SI")</f>
        <v>0</v>
      </c>
    </row>
    <row r="12" spans="1:9" ht="14.25" customHeight="1" x14ac:dyDescent="0.35">
      <c r="A12" s="41" t="str">
        <f>_xlfn.XLOOKUP(Tabla1[[#This Row],[CODIGO PDV]],Export!H:H,Export!D:D,0)</f>
        <v>TRADICIONAL</v>
      </c>
      <c r="B12" s="63" t="s">
        <v>259</v>
      </c>
      <c r="C12" s="64">
        <v>435253</v>
      </c>
      <c r="D12" s="65" t="s">
        <v>262</v>
      </c>
      <c r="E12" s="54">
        <v>1</v>
      </c>
      <c r="F12" s="53">
        <v>1</v>
      </c>
      <c r="G12" s="53">
        <f>IF(COUNTIFS(Export!I:I,Tabla1[[#This Row],[CODIGO PDV]])&gt;0,1,0)</f>
        <v>1</v>
      </c>
      <c r="H12" s="54">
        <f>COUNTIFS('DATA INFORME'!D:D,Tabla1[[#This Row],[CODIGO PDV]])</f>
        <v>1</v>
      </c>
      <c r="I12" s="55">
        <f>COUNTIFS('DATA INFORME'!D:D,Tabla1[[#This Row],[CODIGO PDV]],'DATA INFORME'!K:K,"SI")</f>
        <v>1</v>
      </c>
    </row>
    <row r="13" spans="1:9" x14ac:dyDescent="0.35">
      <c r="A13" s="3"/>
      <c r="B13" s="78"/>
      <c r="C13" s="79"/>
      <c r="D13" s="80"/>
      <c r="E13" s="81"/>
      <c r="F13" s="82"/>
      <c r="G13" s="82"/>
      <c r="H13" s="81"/>
      <c r="I13" s="81"/>
    </row>
    <row r="14" spans="1:9" x14ac:dyDescent="0.35">
      <c r="A14" s="66"/>
      <c r="B14" s="66"/>
      <c r="C14" s="66"/>
      <c r="D14" s="66"/>
      <c r="E14" s="66"/>
      <c r="F14" s="3"/>
      <c r="G14" s="3"/>
      <c r="H14" s="3"/>
      <c r="I14" s="3"/>
    </row>
    <row r="15" spans="1:9" x14ac:dyDescent="0.35">
      <c r="A15" s="48" t="s">
        <v>22</v>
      </c>
      <c r="B15" s="48" t="s">
        <v>1</v>
      </c>
      <c r="C15" s="48" t="s">
        <v>36</v>
      </c>
      <c r="D15" s="48" t="s">
        <v>37</v>
      </c>
      <c r="E15" s="67" t="s">
        <v>44</v>
      </c>
      <c r="F15" s="3"/>
      <c r="G15" s="3"/>
      <c r="H15" s="3"/>
      <c r="I15" s="3"/>
    </row>
    <row r="16" spans="1:9" x14ac:dyDescent="0.35">
      <c r="A16" s="74" t="s">
        <v>43</v>
      </c>
      <c r="B16" s="74" t="s">
        <v>8</v>
      </c>
      <c r="C16" s="74">
        <v>152267</v>
      </c>
      <c r="D16" s="74" t="s">
        <v>220</v>
      </c>
      <c r="E16" s="76" t="s">
        <v>243</v>
      </c>
      <c r="F16" s="3"/>
      <c r="G16" s="3"/>
      <c r="H16" s="3"/>
      <c r="I16" s="3"/>
    </row>
    <row r="17" spans="1:9" x14ac:dyDescent="0.35">
      <c r="A17" s="74" t="s">
        <v>43</v>
      </c>
      <c r="B17" s="74" t="s">
        <v>139</v>
      </c>
      <c r="C17" s="74">
        <v>556280</v>
      </c>
      <c r="D17" s="74" t="s">
        <v>195</v>
      </c>
      <c r="E17" s="76" t="s">
        <v>244</v>
      </c>
      <c r="F17" s="3"/>
      <c r="G17" s="3"/>
      <c r="H17" s="3"/>
      <c r="I17" s="3"/>
    </row>
    <row r="20" spans="1:9" x14ac:dyDescent="0.35">
      <c r="E20" s="75" t="str">
        <f>UPPER(E19)</f>
        <v/>
      </c>
    </row>
  </sheetData>
  <phoneticPr fontId="3" type="noConversion"/>
  <conditionalFormatting sqref="C2:C13">
    <cfRule type="duplicateValues" dxfId="80" priority="113"/>
  </conditionalFormatting>
  <conditionalFormatting sqref="C16:C17">
    <cfRule type="duplicateValues" dxfId="79" priority="114"/>
  </conditionalFormatting>
  <conditionalFormatting sqref="D1:D2">
    <cfRule type="duplicateValues" dxfId="78" priority="36"/>
  </conditionalFormatting>
  <conditionalFormatting sqref="D15">
    <cfRule type="duplicateValues" dxfId="77" priority="9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R12"/>
  <sheetViews>
    <sheetView zoomScale="80" zoomScaleNormal="80" workbookViewId="0"/>
  </sheetViews>
  <sheetFormatPr baseColWidth="10" defaultRowHeight="14.5" x14ac:dyDescent="0.35"/>
  <cols>
    <col min="1" max="2" width="14.1796875" bestFit="1" customWidth="1"/>
    <col min="3" max="3" width="16.6328125" bestFit="1" customWidth="1"/>
    <col min="4" max="4" width="15" bestFit="1" customWidth="1"/>
    <col min="5" max="5" width="37.453125" bestFit="1" customWidth="1"/>
    <col min="6" max="6" width="26.1796875" bestFit="1" customWidth="1"/>
    <col min="7" max="7" width="33.453125" bestFit="1" customWidth="1"/>
    <col min="8" max="8" width="15.6328125" bestFit="1" customWidth="1"/>
    <col min="9" max="9" width="15.90625" bestFit="1" customWidth="1"/>
    <col min="10" max="10" width="11.81640625" bestFit="1" customWidth="1"/>
    <col min="11" max="11" width="34.08984375" bestFit="1" customWidth="1"/>
    <col min="12" max="12" width="52.7265625" bestFit="1" customWidth="1"/>
    <col min="13" max="14" width="80.7265625" bestFit="1" customWidth="1"/>
    <col min="15" max="15" width="47.54296875" bestFit="1" customWidth="1"/>
    <col min="16" max="16" width="80.7265625" bestFit="1" customWidth="1"/>
    <col min="17" max="17" width="64.54296875" bestFit="1" customWidth="1"/>
    <col min="18" max="18" width="50.1796875" bestFit="1" customWidth="1"/>
    <col min="19" max="19" width="77" bestFit="1" customWidth="1"/>
    <col min="20" max="20" width="80.453125" bestFit="1" customWidth="1"/>
    <col min="21" max="21" width="78.90625" bestFit="1" customWidth="1"/>
    <col min="22" max="22" width="62.36328125" bestFit="1" customWidth="1"/>
    <col min="23" max="30" width="80.7265625" bestFit="1" customWidth="1"/>
    <col min="31" max="31" width="41.36328125" bestFit="1" customWidth="1"/>
    <col min="32" max="32" width="80.7265625" bestFit="1" customWidth="1"/>
    <col min="33" max="33" width="47.54296875" bestFit="1" customWidth="1"/>
    <col min="34" max="34" width="80.7265625" bestFit="1" customWidth="1"/>
    <col min="35" max="35" width="67" bestFit="1" customWidth="1"/>
    <col min="36" max="36" width="75" bestFit="1" customWidth="1"/>
    <col min="37" max="38" width="80.7265625" bestFit="1" customWidth="1"/>
    <col min="39" max="39" width="71.90625" bestFit="1" customWidth="1"/>
    <col min="40" max="40" width="68.81640625" bestFit="1" customWidth="1"/>
    <col min="41" max="43" width="80.7265625" bestFit="1" customWidth="1"/>
    <col min="44" max="44" width="47.90625" bestFit="1" customWidth="1"/>
    <col min="45" max="46" width="81.1796875" customWidth="1"/>
    <col min="47" max="48" width="71.7265625" bestFit="1" customWidth="1"/>
    <col min="49" max="52" width="81.1796875" bestFit="1" customWidth="1"/>
    <col min="53" max="53" width="69" bestFit="1" customWidth="1"/>
    <col min="54" max="54" width="81.1796875" bestFit="1" customWidth="1"/>
    <col min="55" max="55" width="71.7265625" bestFit="1" customWidth="1"/>
    <col min="56" max="56" width="81.1796875" bestFit="1" customWidth="1"/>
    <col min="57" max="57" width="77.54296875" bestFit="1" customWidth="1"/>
    <col min="58" max="58" width="81.1796875" bestFit="1" customWidth="1"/>
    <col min="59" max="59" width="69" bestFit="1" customWidth="1"/>
    <col min="60" max="61" width="81.1796875" bestFit="1" customWidth="1"/>
    <col min="62" max="62" width="60.1796875" bestFit="1" customWidth="1"/>
    <col min="63" max="63" width="54.81640625" bestFit="1" customWidth="1"/>
    <col min="64" max="64" width="57.54296875" bestFit="1" customWidth="1"/>
    <col min="65" max="65" width="50.81640625" bestFit="1" customWidth="1"/>
    <col min="66" max="66" width="50.453125" bestFit="1" customWidth="1"/>
    <col min="67" max="67" width="41.54296875" bestFit="1" customWidth="1"/>
    <col min="68" max="68" width="78.54296875" bestFit="1" customWidth="1"/>
    <col min="69" max="69" width="81.1796875" bestFit="1" customWidth="1"/>
    <col min="70" max="70" width="78.26953125" bestFit="1" customWidth="1"/>
    <col min="71" max="71" width="70.453125" bestFit="1" customWidth="1"/>
    <col min="72" max="72" width="81.1796875" bestFit="1" customWidth="1"/>
    <col min="73" max="73" width="46.54296875" bestFit="1" customWidth="1"/>
    <col min="74" max="74" width="50.453125" bestFit="1" customWidth="1"/>
    <col min="75" max="75" width="25" bestFit="1" customWidth="1"/>
    <col min="76" max="76" width="38.54296875" bestFit="1" customWidth="1"/>
    <col min="77" max="77" width="37.7265625" bestFit="1" customWidth="1"/>
    <col min="78" max="78" width="33" bestFit="1" customWidth="1"/>
    <col min="79" max="79" width="24.54296875" bestFit="1" customWidth="1"/>
    <col min="80" max="80" width="38" bestFit="1" customWidth="1"/>
    <col min="81" max="81" width="81.1796875" bestFit="1" customWidth="1"/>
    <col min="82" max="82" width="62.81640625" bestFit="1" customWidth="1"/>
    <col min="83" max="83" width="36.453125" bestFit="1" customWidth="1"/>
    <col min="84" max="85" width="17.54296875" bestFit="1" customWidth="1"/>
    <col min="86" max="86" width="42.453125" bestFit="1" customWidth="1"/>
    <col min="87" max="88" width="81.1796875" bestFit="1" customWidth="1"/>
    <col min="89" max="89" width="50.81640625" bestFit="1" customWidth="1"/>
    <col min="90" max="90" width="81.1796875" bestFit="1" customWidth="1"/>
    <col min="91" max="91" width="68.54296875" bestFit="1" customWidth="1"/>
    <col min="92" max="92" width="53.26953125" bestFit="1" customWidth="1"/>
    <col min="93" max="95" width="81.1796875" bestFit="1" customWidth="1"/>
    <col min="96" max="96" width="66.7265625" bestFit="1" customWidth="1"/>
    <col min="97" max="97" width="55.81640625" bestFit="1" customWidth="1"/>
    <col min="98" max="99" width="81.1796875" bestFit="1" customWidth="1"/>
    <col min="100" max="100" width="27.453125" bestFit="1" customWidth="1"/>
    <col min="101" max="101" width="81.1796875" bestFit="1" customWidth="1"/>
    <col min="102" max="102" width="77.1796875" bestFit="1" customWidth="1"/>
    <col min="103" max="106" width="81.1796875" bestFit="1" customWidth="1"/>
    <col min="107" max="107" width="77.26953125" bestFit="1" customWidth="1"/>
    <col min="108" max="108" width="70" bestFit="1" customWidth="1"/>
    <col min="109" max="109" width="32.1796875" bestFit="1" customWidth="1"/>
    <col min="110" max="110" width="30.26953125" bestFit="1" customWidth="1"/>
    <col min="111" max="111" width="46.54296875" bestFit="1" customWidth="1"/>
    <col min="112" max="112" width="51" bestFit="1" customWidth="1"/>
    <col min="113" max="113" width="81.1796875" bestFit="1" customWidth="1"/>
    <col min="114" max="114" width="81.1796875" customWidth="1"/>
    <col min="115" max="115" width="73.1796875" bestFit="1" customWidth="1"/>
    <col min="116" max="116" width="81.1796875" bestFit="1" customWidth="1"/>
    <col min="117" max="121" width="81.1796875" customWidth="1"/>
    <col min="122" max="122" width="31.7265625" bestFit="1" customWidth="1"/>
    <col min="123" max="123" width="81.1796875" bestFit="1" customWidth="1"/>
    <col min="124" max="124" width="81.1796875" customWidth="1"/>
    <col min="125" max="125" width="10.453125" bestFit="1" customWidth="1"/>
    <col min="126" max="126" width="12.26953125" bestFit="1" customWidth="1"/>
    <col min="127" max="127" width="12.54296875" bestFit="1" customWidth="1"/>
    <col min="128" max="128" width="67.54296875" customWidth="1"/>
    <col min="129" max="133" width="80.7265625" customWidth="1"/>
    <col min="134" max="134" width="29.1796875" customWidth="1"/>
    <col min="135" max="135" width="27.26953125" customWidth="1"/>
    <col min="136" max="136" width="9.7265625" customWidth="1"/>
    <col min="137" max="137" width="11.453125" bestFit="1" customWidth="1"/>
    <col min="138" max="138" width="11.7265625" bestFit="1" customWidth="1"/>
    <col min="139" max="139" width="11.453125" bestFit="1" customWidth="1"/>
    <col min="140" max="140" width="56" bestFit="1" customWidth="1"/>
    <col min="141" max="141" width="46.1796875" bestFit="1" customWidth="1"/>
    <col min="142" max="143" width="56" bestFit="1" customWidth="1"/>
    <col min="144" max="144" width="48.26953125" bestFit="1" customWidth="1"/>
    <col min="145" max="148" width="56" bestFit="1" customWidth="1"/>
    <col min="149" max="149" width="48.81640625" bestFit="1" customWidth="1"/>
    <col min="150" max="151" width="56" bestFit="1" customWidth="1"/>
    <col min="152" max="152" width="25.26953125" bestFit="1" customWidth="1"/>
    <col min="153" max="157" width="56" bestFit="1" customWidth="1"/>
    <col min="158" max="158" width="42.453125" bestFit="1" customWidth="1"/>
    <col min="159" max="159" width="46.1796875" bestFit="1" customWidth="1"/>
    <col min="160" max="160" width="25.1796875" bestFit="1" customWidth="1"/>
    <col min="161" max="168" width="56" bestFit="1" customWidth="1"/>
    <col min="169" max="169" width="29.1796875" bestFit="1" customWidth="1"/>
    <col min="170" max="170" width="9.81640625" bestFit="1" customWidth="1"/>
    <col min="171" max="171" width="11.453125" bestFit="1" customWidth="1"/>
  </cols>
  <sheetData>
    <row r="1" spans="1:44" x14ac:dyDescent="0.3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88</v>
      </c>
      <c r="M1" t="s">
        <v>89</v>
      </c>
      <c r="N1" t="s">
        <v>90</v>
      </c>
      <c r="O1" t="s">
        <v>35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147</v>
      </c>
      <c r="X1" t="s">
        <v>148</v>
      </c>
      <c r="Y1" t="s">
        <v>98</v>
      </c>
      <c r="Z1" t="s">
        <v>99</v>
      </c>
      <c r="AA1" t="s">
        <v>100</v>
      </c>
      <c r="AB1" t="s">
        <v>149</v>
      </c>
      <c r="AC1" t="s">
        <v>130</v>
      </c>
      <c r="AD1" t="s">
        <v>131</v>
      </c>
      <c r="AE1" t="s">
        <v>101</v>
      </c>
      <c r="AF1" t="s">
        <v>116</v>
      </c>
      <c r="AG1" t="s">
        <v>150</v>
      </c>
      <c r="AH1" t="s">
        <v>152</v>
      </c>
      <c r="AI1" t="s">
        <v>117</v>
      </c>
      <c r="AJ1" t="s">
        <v>102</v>
      </c>
      <c r="AK1" t="s">
        <v>127</v>
      </c>
      <c r="AL1" t="s">
        <v>118</v>
      </c>
      <c r="AM1" t="s">
        <v>119</v>
      </c>
      <c r="AN1" t="s">
        <v>133</v>
      </c>
      <c r="AO1" t="s">
        <v>134</v>
      </c>
      <c r="AP1" t="s">
        <v>103</v>
      </c>
      <c r="AQ1" t="s">
        <v>137</v>
      </c>
      <c r="AR1" t="s">
        <v>153</v>
      </c>
    </row>
    <row r="2" spans="1:44" x14ac:dyDescent="0.35">
      <c r="A2" s="90" t="s">
        <v>109</v>
      </c>
      <c r="B2" s="90" t="s">
        <v>146</v>
      </c>
      <c r="C2" s="90" t="s">
        <v>123</v>
      </c>
      <c r="D2" s="85">
        <v>447964</v>
      </c>
      <c r="E2" s="90" t="s">
        <v>155</v>
      </c>
      <c r="F2" s="85">
        <v>1</v>
      </c>
      <c r="G2" s="90" t="s">
        <v>156</v>
      </c>
      <c r="H2" s="91">
        <v>46004.388726851852</v>
      </c>
      <c r="I2" s="85">
        <v>29572594</v>
      </c>
      <c r="J2" s="90" t="s">
        <v>126</v>
      </c>
      <c r="K2" s="92" t="s">
        <v>20</v>
      </c>
      <c r="L2" s="92" t="s">
        <v>20</v>
      </c>
      <c r="M2" s="92" t="s">
        <v>20</v>
      </c>
      <c r="N2" s="92" t="s">
        <v>20</v>
      </c>
      <c r="O2" s="90" t="s">
        <v>20</v>
      </c>
      <c r="P2" s="92" t="s">
        <v>108</v>
      </c>
      <c r="Q2" s="92" t="s">
        <v>20</v>
      </c>
      <c r="R2" s="92" t="s">
        <v>20</v>
      </c>
      <c r="S2" s="92" t="s">
        <v>108</v>
      </c>
      <c r="T2" s="92" t="s">
        <v>108</v>
      </c>
      <c r="U2" s="92" t="s">
        <v>108</v>
      </c>
      <c r="V2" s="92" t="s">
        <v>108</v>
      </c>
      <c r="W2" s="92" t="s">
        <v>20</v>
      </c>
      <c r="X2" s="92" t="s">
        <v>20</v>
      </c>
      <c r="Y2" s="92" t="s">
        <v>20</v>
      </c>
      <c r="Z2" s="92" t="s">
        <v>20</v>
      </c>
      <c r="AA2" s="92" t="s">
        <v>20</v>
      </c>
      <c r="AB2" s="92" t="s">
        <v>20</v>
      </c>
      <c r="AC2" s="92" t="s">
        <v>20</v>
      </c>
      <c r="AD2" s="92" t="s">
        <v>20</v>
      </c>
      <c r="AE2" s="92" t="s">
        <v>15</v>
      </c>
      <c r="AF2" s="92" t="s">
        <v>20</v>
      </c>
      <c r="AG2" s="92" t="s">
        <v>20</v>
      </c>
      <c r="AH2" s="92" t="s">
        <v>20</v>
      </c>
      <c r="AI2" s="92" t="s">
        <v>20</v>
      </c>
      <c r="AJ2" s="92" t="s">
        <v>108</v>
      </c>
      <c r="AK2" s="92"/>
      <c r="AL2" s="92"/>
      <c r="AM2" s="92"/>
      <c r="AN2" s="92"/>
      <c r="AO2" s="92"/>
      <c r="AP2" s="92"/>
      <c r="AQ2" s="92"/>
      <c r="AR2" s="92"/>
    </row>
    <row r="3" spans="1:44" x14ac:dyDescent="0.35">
      <c r="A3" s="90" t="s">
        <v>109</v>
      </c>
      <c r="B3" s="90" t="s">
        <v>8</v>
      </c>
      <c r="C3" s="90" t="s">
        <v>120</v>
      </c>
      <c r="D3" s="85">
        <v>42612</v>
      </c>
      <c r="E3" s="90" t="s">
        <v>136</v>
      </c>
      <c r="F3" s="85">
        <v>1</v>
      </c>
      <c r="G3" s="90" t="s">
        <v>156</v>
      </c>
      <c r="H3" s="91">
        <v>46010</v>
      </c>
      <c r="I3" s="85">
        <v>29602530</v>
      </c>
      <c r="J3" s="90" t="s">
        <v>213</v>
      </c>
      <c r="K3" s="92" t="s">
        <v>20</v>
      </c>
      <c r="L3" s="92" t="s">
        <v>108</v>
      </c>
      <c r="M3" s="92" t="s">
        <v>20</v>
      </c>
      <c r="N3" s="92" t="s">
        <v>20</v>
      </c>
      <c r="O3" s="90" t="s">
        <v>20</v>
      </c>
      <c r="P3" s="92" t="s">
        <v>108</v>
      </c>
      <c r="Q3" s="92" t="s">
        <v>20</v>
      </c>
      <c r="R3" s="92" t="s">
        <v>20</v>
      </c>
      <c r="S3" s="92" t="s">
        <v>108</v>
      </c>
      <c r="T3" s="92" t="s">
        <v>108</v>
      </c>
      <c r="U3" s="92" t="s">
        <v>108</v>
      </c>
      <c r="V3" s="92" t="s">
        <v>108</v>
      </c>
      <c r="W3" s="92" t="s">
        <v>20</v>
      </c>
      <c r="X3" s="92" t="s">
        <v>20</v>
      </c>
      <c r="Y3" s="92" t="s">
        <v>20</v>
      </c>
      <c r="Z3" s="92" t="s">
        <v>20</v>
      </c>
      <c r="AA3" s="92" t="s">
        <v>20</v>
      </c>
      <c r="AB3" s="92" t="s">
        <v>20</v>
      </c>
      <c r="AC3" s="92" t="s">
        <v>108</v>
      </c>
      <c r="AD3" s="92" t="s">
        <v>20</v>
      </c>
      <c r="AE3" s="92" t="s">
        <v>15</v>
      </c>
      <c r="AF3" s="92" t="s">
        <v>20</v>
      </c>
      <c r="AG3" s="92" t="s">
        <v>108</v>
      </c>
      <c r="AH3" s="92" t="s">
        <v>20</v>
      </c>
      <c r="AI3" s="92" t="s">
        <v>20</v>
      </c>
      <c r="AJ3" s="92" t="s">
        <v>108</v>
      </c>
      <c r="AK3" s="92"/>
      <c r="AL3" s="92"/>
      <c r="AM3" s="92"/>
      <c r="AN3" s="92"/>
      <c r="AO3" s="92"/>
      <c r="AP3" s="92"/>
      <c r="AQ3" s="92"/>
      <c r="AR3" s="92"/>
    </row>
    <row r="4" spans="1:44" x14ac:dyDescent="0.35">
      <c r="A4" s="90" t="s">
        <v>109</v>
      </c>
      <c r="B4" s="90" t="s">
        <v>8</v>
      </c>
      <c r="C4" s="90" t="s">
        <v>120</v>
      </c>
      <c r="D4" s="85">
        <v>152267</v>
      </c>
      <c r="E4" s="90" t="s">
        <v>220</v>
      </c>
      <c r="F4" s="85">
        <v>1</v>
      </c>
      <c r="G4" s="90" t="s">
        <v>156</v>
      </c>
      <c r="H4" s="91">
        <v>46010</v>
      </c>
      <c r="I4" s="85">
        <v>29615126</v>
      </c>
      <c r="J4" s="90" t="s">
        <v>213</v>
      </c>
      <c r="K4" s="92" t="s">
        <v>108</v>
      </c>
      <c r="L4" s="92"/>
      <c r="M4" s="92"/>
      <c r="N4" s="92"/>
      <c r="O4" s="90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 t="s">
        <v>20</v>
      </c>
      <c r="AK4" s="92"/>
      <c r="AL4" s="92"/>
      <c r="AM4" s="92"/>
      <c r="AN4" s="92"/>
      <c r="AO4" s="92"/>
      <c r="AP4" s="92" t="s">
        <v>224</v>
      </c>
      <c r="AQ4" s="92"/>
      <c r="AR4" s="92"/>
    </row>
    <row r="5" spans="1:44" x14ac:dyDescent="0.35">
      <c r="A5" s="90" t="s">
        <v>109</v>
      </c>
      <c r="B5" s="90" t="s">
        <v>8</v>
      </c>
      <c r="C5" s="90" t="s">
        <v>120</v>
      </c>
      <c r="D5" s="85">
        <v>355912</v>
      </c>
      <c r="E5" s="90" t="s">
        <v>202</v>
      </c>
      <c r="F5" s="85">
        <v>1</v>
      </c>
      <c r="G5" s="90" t="s">
        <v>156</v>
      </c>
      <c r="H5" s="91">
        <v>46009</v>
      </c>
      <c r="I5" s="85">
        <v>29602428</v>
      </c>
      <c r="J5" s="90" t="s">
        <v>129</v>
      </c>
      <c r="K5" s="92" t="s">
        <v>20</v>
      </c>
      <c r="L5" s="92" t="s">
        <v>20</v>
      </c>
      <c r="M5" s="92" t="s">
        <v>20</v>
      </c>
      <c r="N5" s="92" t="s">
        <v>20</v>
      </c>
      <c r="O5" s="90" t="s">
        <v>20</v>
      </c>
      <c r="P5" s="92" t="s">
        <v>108</v>
      </c>
      <c r="Q5" s="92" t="s">
        <v>20</v>
      </c>
      <c r="R5" s="92" t="s">
        <v>20</v>
      </c>
      <c r="S5" s="92" t="s">
        <v>108</v>
      </c>
      <c r="T5" s="92" t="s">
        <v>108</v>
      </c>
      <c r="U5" s="92" t="s">
        <v>108</v>
      </c>
      <c r="V5" s="92" t="s">
        <v>108</v>
      </c>
      <c r="W5" s="92" t="s">
        <v>20</v>
      </c>
      <c r="X5" s="92" t="s">
        <v>108</v>
      </c>
      <c r="Y5" s="92" t="s">
        <v>20</v>
      </c>
      <c r="Z5" s="92" t="s">
        <v>20</v>
      </c>
      <c r="AA5" s="92" t="s">
        <v>20</v>
      </c>
      <c r="AB5" s="92" t="s">
        <v>20</v>
      </c>
      <c r="AC5" s="92" t="s">
        <v>20</v>
      </c>
      <c r="AD5" s="92" t="s">
        <v>20</v>
      </c>
      <c r="AE5" s="92" t="s">
        <v>43</v>
      </c>
      <c r="AF5" s="92"/>
      <c r="AG5" s="92"/>
      <c r="AH5" s="92"/>
      <c r="AI5" s="92"/>
      <c r="AJ5" s="92" t="s">
        <v>20</v>
      </c>
      <c r="AK5" s="92"/>
      <c r="AL5" s="92"/>
      <c r="AM5" s="92"/>
      <c r="AN5" s="92"/>
      <c r="AO5" s="92"/>
      <c r="AP5" s="92" t="s">
        <v>207</v>
      </c>
      <c r="AQ5" s="92" t="s">
        <v>20</v>
      </c>
      <c r="AR5" s="92" t="s">
        <v>20</v>
      </c>
    </row>
    <row r="6" spans="1:44" x14ac:dyDescent="0.35">
      <c r="A6" s="90" t="s">
        <v>109</v>
      </c>
      <c r="B6" s="90" t="s">
        <v>8</v>
      </c>
      <c r="C6" s="90" t="s">
        <v>120</v>
      </c>
      <c r="D6" s="85">
        <v>355954</v>
      </c>
      <c r="E6" s="90" t="s">
        <v>226</v>
      </c>
      <c r="F6" s="85">
        <v>1</v>
      </c>
      <c r="G6" s="90" t="s">
        <v>156</v>
      </c>
      <c r="H6" s="91">
        <v>46010</v>
      </c>
      <c r="I6" s="85">
        <v>29615127</v>
      </c>
      <c r="J6" s="90" t="s">
        <v>213</v>
      </c>
      <c r="K6" s="92" t="s">
        <v>20</v>
      </c>
      <c r="L6" s="92" t="s">
        <v>20</v>
      </c>
      <c r="M6" s="92" t="s">
        <v>20</v>
      </c>
      <c r="N6" s="92" t="s">
        <v>20</v>
      </c>
      <c r="O6" s="90" t="s">
        <v>20</v>
      </c>
      <c r="P6" s="92" t="s">
        <v>108</v>
      </c>
      <c r="Q6" s="92" t="s">
        <v>20</v>
      </c>
      <c r="R6" s="92" t="s">
        <v>20</v>
      </c>
      <c r="S6" s="92" t="s">
        <v>108</v>
      </c>
      <c r="T6" s="92" t="s">
        <v>108</v>
      </c>
      <c r="U6" s="92" t="s">
        <v>108</v>
      </c>
      <c r="V6" s="92" t="s">
        <v>108</v>
      </c>
      <c r="W6" s="92" t="s">
        <v>20</v>
      </c>
      <c r="X6" s="92" t="s">
        <v>20</v>
      </c>
      <c r="Y6" s="92" t="s">
        <v>20</v>
      </c>
      <c r="Z6" s="92" t="s">
        <v>20</v>
      </c>
      <c r="AA6" s="92" t="s">
        <v>20</v>
      </c>
      <c r="AB6" s="92" t="s">
        <v>20</v>
      </c>
      <c r="AC6" s="92" t="s">
        <v>108</v>
      </c>
      <c r="AD6" s="92" t="s">
        <v>20</v>
      </c>
      <c r="AE6" s="92" t="s">
        <v>14</v>
      </c>
      <c r="AF6" s="92"/>
      <c r="AG6" s="92"/>
      <c r="AH6" s="92"/>
      <c r="AI6" s="92"/>
      <c r="AJ6" s="92" t="s">
        <v>108</v>
      </c>
      <c r="AK6" s="92" t="s">
        <v>20</v>
      </c>
      <c r="AL6" s="92" t="s">
        <v>20</v>
      </c>
      <c r="AM6" s="92" t="s">
        <v>20</v>
      </c>
      <c r="AN6" s="92" t="s">
        <v>20</v>
      </c>
      <c r="AO6" s="92" t="s">
        <v>20</v>
      </c>
      <c r="AP6" s="92"/>
      <c r="AQ6" s="92"/>
      <c r="AR6" s="92"/>
    </row>
    <row r="7" spans="1:44" x14ac:dyDescent="0.35">
      <c r="A7" s="90" t="s">
        <v>109</v>
      </c>
      <c r="B7" s="90" t="s">
        <v>112</v>
      </c>
      <c r="C7" s="90" t="s">
        <v>186</v>
      </c>
      <c r="D7" s="85">
        <v>424775</v>
      </c>
      <c r="E7" s="90" t="s">
        <v>189</v>
      </c>
      <c r="F7" s="85">
        <v>1</v>
      </c>
      <c r="G7" s="90" t="s">
        <v>156</v>
      </c>
      <c r="H7" s="91">
        <v>46003</v>
      </c>
      <c r="I7" s="85">
        <v>29574458</v>
      </c>
      <c r="J7" s="90" t="s">
        <v>114</v>
      </c>
      <c r="K7" s="92" t="s">
        <v>20</v>
      </c>
      <c r="L7" s="92" t="s">
        <v>20</v>
      </c>
      <c r="M7" s="92" t="s">
        <v>20</v>
      </c>
      <c r="N7" s="92" t="s">
        <v>20</v>
      </c>
      <c r="O7" s="90" t="s">
        <v>20</v>
      </c>
      <c r="P7" s="92" t="s">
        <v>108</v>
      </c>
      <c r="Q7" s="92" t="s">
        <v>20</v>
      </c>
      <c r="R7" s="92" t="s">
        <v>20</v>
      </c>
      <c r="S7" s="92" t="s">
        <v>108</v>
      </c>
      <c r="T7" s="92" t="s">
        <v>108</v>
      </c>
      <c r="U7" s="92" t="s">
        <v>108</v>
      </c>
      <c r="V7" s="92" t="s">
        <v>108</v>
      </c>
      <c r="W7" s="92" t="s">
        <v>20</v>
      </c>
      <c r="X7" s="92" t="s">
        <v>20</v>
      </c>
      <c r="Y7" s="92" t="s">
        <v>20</v>
      </c>
      <c r="Z7" s="92" t="s">
        <v>20</v>
      </c>
      <c r="AA7" s="92" t="s">
        <v>20</v>
      </c>
      <c r="AB7" s="92" t="s">
        <v>20</v>
      </c>
      <c r="AC7" s="92" t="s">
        <v>20</v>
      </c>
      <c r="AD7" s="92" t="s">
        <v>20</v>
      </c>
      <c r="AE7" s="92" t="s">
        <v>14</v>
      </c>
      <c r="AF7" s="92"/>
      <c r="AG7" s="92"/>
      <c r="AH7" s="92"/>
      <c r="AI7" s="92"/>
      <c r="AJ7" s="92" t="s">
        <v>108</v>
      </c>
      <c r="AK7" s="92" t="s">
        <v>20</v>
      </c>
      <c r="AL7" s="92" t="s">
        <v>20</v>
      </c>
      <c r="AM7" s="92" t="s">
        <v>20</v>
      </c>
      <c r="AN7" s="92" t="s">
        <v>20</v>
      </c>
      <c r="AO7" s="92" t="s">
        <v>20</v>
      </c>
      <c r="AP7" s="92"/>
      <c r="AQ7" s="92"/>
      <c r="AR7" s="92"/>
    </row>
    <row r="8" spans="1:44" x14ac:dyDescent="0.35">
      <c r="A8" s="90" t="s">
        <v>109</v>
      </c>
      <c r="B8" s="90" t="s">
        <v>132</v>
      </c>
      <c r="C8" s="90" t="s">
        <v>123</v>
      </c>
      <c r="D8" s="85">
        <v>111523</v>
      </c>
      <c r="E8" s="90" t="s">
        <v>238</v>
      </c>
      <c r="F8" s="85">
        <v>1</v>
      </c>
      <c r="G8" s="90" t="s">
        <v>156</v>
      </c>
      <c r="H8" s="91">
        <v>46013</v>
      </c>
      <c r="I8" s="85">
        <v>29620816</v>
      </c>
      <c r="J8" s="90" t="s">
        <v>126</v>
      </c>
      <c r="K8" s="92" t="s">
        <v>20</v>
      </c>
      <c r="L8" s="92" t="s">
        <v>20</v>
      </c>
      <c r="M8" s="92" t="s">
        <v>20</v>
      </c>
      <c r="N8" s="92" t="s">
        <v>20</v>
      </c>
      <c r="O8" s="90" t="s">
        <v>20</v>
      </c>
      <c r="P8" s="92" t="s">
        <v>108</v>
      </c>
      <c r="Q8" s="92" t="s">
        <v>20</v>
      </c>
      <c r="R8" s="92" t="s">
        <v>20</v>
      </c>
      <c r="S8" s="92" t="s">
        <v>108</v>
      </c>
      <c r="T8" s="92" t="s">
        <v>108</v>
      </c>
      <c r="U8" s="92" t="s">
        <v>108</v>
      </c>
      <c r="V8" s="92" t="s">
        <v>108</v>
      </c>
      <c r="W8" s="92" t="s">
        <v>20</v>
      </c>
      <c r="X8" s="92" t="s">
        <v>20</v>
      </c>
      <c r="Y8" s="92" t="s">
        <v>20</v>
      </c>
      <c r="Z8" s="92" t="s">
        <v>20</v>
      </c>
      <c r="AA8" s="92" t="s">
        <v>20</v>
      </c>
      <c r="AB8" s="92" t="s">
        <v>20</v>
      </c>
      <c r="AC8" s="92" t="s">
        <v>20</v>
      </c>
      <c r="AD8" s="92" t="s">
        <v>20</v>
      </c>
      <c r="AE8" s="92" t="s">
        <v>43</v>
      </c>
      <c r="AF8" s="92"/>
      <c r="AG8" s="92"/>
      <c r="AH8" s="92"/>
      <c r="AI8" s="92"/>
      <c r="AJ8" s="92" t="s">
        <v>20</v>
      </c>
      <c r="AK8" s="92"/>
      <c r="AL8" s="92"/>
      <c r="AM8" s="92"/>
      <c r="AN8" s="92"/>
      <c r="AO8" s="92"/>
      <c r="AP8" s="92" t="s">
        <v>242</v>
      </c>
      <c r="AQ8" s="92" t="s">
        <v>20</v>
      </c>
      <c r="AR8" s="92" t="s">
        <v>20</v>
      </c>
    </row>
    <row r="9" spans="1:44" x14ac:dyDescent="0.35">
      <c r="A9" s="90" t="s">
        <v>109</v>
      </c>
      <c r="B9" s="90" t="s">
        <v>132</v>
      </c>
      <c r="C9" s="90" t="s">
        <v>123</v>
      </c>
      <c r="D9" s="85">
        <v>424831</v>
      </c>
      <c r="E9" s="90" t="s">
        <v>231</v>
      </c>
      <c r="F9" s="85">
        <v>1</v>
      </c>
      <c r="G9" s="90" t="s">
        <v>156</v>
      </c>
      <c r="H9" s="91">
        <v>46013</v>
      </c>
      <c r="I9" s="85">
        <v>29620543</v>
      </c>
      <c r="J9" s="90" t="s">
        <v>126</v>
      </c>
      <c r="K9" s="92" t="s">
        <v>20</v>
      </c>
      <c r="L9" s="92" t="s">
        <v>20</v>
      </c>
      <c r="M9" s="92" t="s">
        <v>20</v>
      </c>
      <c r="N9" s="92" t="s">
        <v>20</v>
      </c>
      <c r="O9" s="90" t="s">
        <v>20</v>
      </c>
      <c r="P9" s="92" t="s">
        <v>108</v>
      </c>
      <c r="Q9" s="92" t="s">
        <v>20</v>
      </c>
      <c r="R9" s="92" t="s">
        <v>20</v>
      </c>
      <c r="S9" s="92" t="s">
        <v>108</v>
      </c>
      <c r="T9" s="92" t="s">
        <v>108</v>
      </c>
      <c r="U9" s="92" t="s">
        <v>108</v>
      </c>
      <c r="V9" s="92" t="s">
        <v>108</v>
      </c>
      <c r="W9" s="92" t="s">
        <v>20</v>
      </c>
      <c r="X9" s="92" t="s">
        <v>20</v>
      </c>
      <c r="Y9" s="92" t="s">
        <v>20</v>
      </c>
      <c r="Z9" s="92" t="s">
        <v>20</v>
      </c>
      <c r="AA9" s="92" t="s">
        <v>20</v>
      </c>
      <c r="AB9" s="92" t="s">
        <v>20</v>
      </c>
      <c r="AC9" s="92" t="s">
        <v>20</v>
      </c>
      <c r="AD9" s="92" t="s">
        <v>20</v>
      </c>
      <c r="AE9" s="92" t="s">
        <v>14</v>
      </c>
      <c r="AF9" s="92"/>
      <c r="AG9" s="92"/>
      <c r="AH9" s="92"/>
      <c r="AI9" s="92"/>
      <c r="AJ9" s="92" t="s">
        <v>20</v>
      </c>
      <c r="AK9" s="92" t="s">
        <v>20</v>
      </c>
      <c r="AL9" s="92" t="s">
        <v>20</v>
      </c>
      <c r="AM9" s="92" t="s">
        <v>20</v>
      </c>
      <c r="AN9" s="92" t="s">
        <v>20</v>
      </c>
      <c r="AO9" s="92" t="s">
        <v>20</v>
      </c>
      <c r="AP9" s="92" t="s">
        <v>236</v>
      </c>
      <c r="AQ9" s="92"/>
      <c r="AR9" s="92"/>
    </row>
    <row r="10" spans="1:44" x14ac:dyDescent="0.35">
      <c r="A10" s="90" t="s">
        <v>109</v>
      </c>
      <c r="B10" s="90" t="s">
        <v>139</v>
      </c>
      <c r="C10" s="90" t="s">
        <v>143</v>
      </c>
      <c r="D10" s="85">
        <v>355519</v>
      </c>
      <c r="E10" s="90" t="s">
        <v>215</v>
      </c>
      <c r="F10" s="85">
        <v>1</v>
      </c>
      <c r="G10" s="90" t="s">
        <v>156</v>
      </c>
      <c r="H10" s="91">
        <v>46010</v>
      </c>
      <c r="I10" s="85">
        <v>29606660</v>
      </c>
      <c r="J10" s="90" t="s">
        <v>142</v>
      </c>
      <c r="K10" s="92" t="s">
        <v>20</v>
      </c>
      <c r="L10" s="92" t="s">
        <v>20</v>
      </c>
      <c r="M10" s="92" t="s">
        <v>20</v>
      </c>
      <c r="N10" s="92" t="s">
        <v>20</v>
      </c>
      <c r="O10" s="90" t="s">
        <v>20</v>
      </c>
      <c r="P10" s="92" t="s">
        <v>108</v>
      </c>
      <c r="Q10" s="92" t="s">
        <v>20</v>
      </c>
      <c r="R10" s="92" t="s">
        <v>20</v>
      </c>
      <c r="S10" s="92" t="s">
        <v>108</v>
      </c>
      <c r="T10" s="92" t="s">
        <v>108</v>
      </c>
      <c r="U10" s="92" t="s">
        <v>108</v>
      </c>
      <c r="V10" s="92" t="s">
        <v>108</v>
      </c>
      <c r="W10" s="92" t="s">
        <v>20</v>
      </c>
      <c r="X10" s="92" t="s">
        <v>20</v>
      </c>
      <c r="Y10" s="92" t="s">
        <v>20</v>
      </c>
      <c r="Z10" s="92" t="s">
        <v>20</v>
      </c>
      <c r="AA10" s="92" t="s">
        <v>20</v>
      </c>
      <c r="AB10" s="92" t="s">
        <v>20</v>
      </c>
      <c r="AC10" s="92" t="s">
        <v>108</v>
      </c>
      <c r="AD10" s="92" t="s">
        <v>20</v>
      </c>
      <c r="AE10" s="92" t="s">
        <v>43</v>
      </c>
      <c r="AF10" s="92"/>
      <c r="AG10" s="92"/>
      <c r="AH10" s="92"/>
      <c r="AI10" s="92"/>
      <c r="AJ10" s="92" t="s">
        <v>108</v>
      </c>
      <c r="AK10" s="92"/>
      <c r="AL10" s="92"/>
      <c r="AM10" s="92"/>
      <c r="AN10" s="92"/>
      <c r="AO10" s="92"/>
      <c r="AP10" s="92"/>
      <c r="AQ10" s="92" t="s">
        <v>20</v>
      </c>
      <c r="AR10" s="92" t="s">
        <v>20</v>
      </c>
    </row>
    <row r="11" spans="1:44" x14ac:dyDescent="0.35">
      <c r="A11" s="90" t="s">
        <v>109</v>
      </c>
      <c r="B11" s="90" t="s">
        <v>139</v>
      </c>
      <c r="C11" s="90" t="s">
        <v>143</v>
      </c>
      <c r="D11" s="85">
        <v>556280</v>
      </c>
      <c r="E11" s="90" t="s">
        <v>195</v>
      </c>
      <c r="F11" s="85">
        <v>1</v>
      </c>
      <c r="G11" s="90" t="s">
        <v>156</v>
      </c>
      <c r="H11" s="91">
        <v>46007</v>
      </c>
      <c r="I11" s="85">
        <v>29583575</v>
      </c>
      <c r="J11" s="90" t="s">
        <v>142</v>
      </c>
      <c r="K11" s="92" t="s">
        <v>108</v>
      </c>
      <c r="L11" s="92"/>
      <c r="M11" s="92"/>
      <c r="N11" s="92"/>
      <c r="O11" s="90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 t="s">
        <v>20</v>
      </c>
      <c r="AK11" s="92"/>
      <c r="AL11" s="92"/>
      <c r="AM11" s="92"/>
      <c r="AN11" s="92"/>
      <c r="AO11" s="92"/>
      <c r="AP11" s="92" t="s">
        <v>200</v>
      </c>
      <c r="AQ11" s="92"/>
      <c r="AR11" s="92"/>
    </row>
    <row r="12" spans="1:44" x14ac:dyDescent="0.35">
      <c r="A12" s="90" t="s">
        <v>109</v>
      </c>
      <c r="B12" s="90" t="s">
        <v>259</v>
      </c>
      <c r="C12" s="90" t="s">
        <v>120</v>
      </c>
      <c r="D12" s="85">
        <v>435253</v>
      </c>
      <c r="E12" s="90" t="s">
        <v>262</v>
      </c>
      <c r="F12" s="85">
        <v>1</v>
      </c>
      <c r="G12" s="90" t="s">
        <v>156</v>
      </c>
      <c r="H12" s="91">
        <v>46018.46329861111</v>
      </c>
      <c r="I12" s="85">
        <v>29672686</v>
      </c>
      <c r="J12" s="90" t="s">
        <v>213</v>
      </c>
      <c r="K12" s="92" t="s">
        <v>20</v>
      </c>
      <c r="L12" s="92" t="s">
        <v>20</v>
      </c>
      <c r="M12" s="92" t="s">
        <v>20</v>
      </c>
      <c r="N12" s="92" t="s">
        <v>20</v>
      </c>
      <c r="O12" s="90" t="s">
        <v>20</v>
      </c>
      <c r="P12" s="92" t="s">
        <v>108</v>
      </c>
      <c r="Q12" s="92" t="s">
        <v>20</v>
      </c>
      <c r="R12" s="92" t="s">
        <v>20</v>
      </c>
      <c r="S12" s="92" t="s">
        <v>108</v>
      </c>
      <c r="T12" s="92" t="s">
        <v>108</v>
      </c>
      <c r="U12" s="92" t="s">
        <v>108</v>
      </c>
      <c r="V12" s="92" t="s">
        <v>108</v>
      </c>
      <c r="W12" s="92" t="s">
        <v>20</v>
      </c>
      <c r="X12" s="92" t="s">
        <v>20</v>
      </c>
      <c r="Y12" s="92" t="s">
        <v>20</v>
      </c>
      <c r="Z12" s="92" t="s">
        <v>20</v>
      </c>
      <c r="AA12" s="92" t="s">
        <v>20</v>
      </c>
      <c r="AB12" s="92" t="s">
        <v>20</v>
      </c>
      <c r="AC12" s="92" t="s">
        <v>20</v>
      </c>
      <c r="AD12" s="92" t="s">
        <v>20</v>
      </c>
      <c r="AE12" s="92" t="s">
        <v>43</v>
      </c>
      <c r="AF12" s="92"/>
      <c r="AG12" s="92"/>
      <c r="AH12" s="92"/>
      <c r="AI12" s="92"/>
      <c r="AJ12" s="92" t="s">
        <v>108</v>
      </c>
      <c r="AK12" s="92"/>
      <c r="AL12" s="92"/>
      <c r="AM12" s="92"/>
      <c r="AN12" s="92"/>
      <c r="AO12" s="92"/>
      <c r="AP12" s="92"/>
      <c r="AQ12" s="92" t="s">
        <v>20</v>
      </c>
      <c r="AR12" s="92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239"/>
  <sheetViews>
    <sheetView zoomScale="70" zoomScaleNormal="70" workbookViewId="0"/>
  </sheetViews>
  <sheetFormatPr baseColWidth="10" defaultColWidth="11.453125" defaultRowHeight="14.5" x14ac:dyDescent="0.35"/>
  <cols>
    <col min="1" max="1" width="11.81640625" customWidth="1"/>
    <col min="2" max="2" width="11.453125" customWidth="1"/>
    <col min="4" max="5" width="11.453125" customWidth="1"/>
    <col min="6" max="6" width="13.1796875" customWidth="1"/>
    <col min="7" max="7" width="11.453125" style="2" customWidth="1"/>
    <col min="8" max="8" width="11.453125" customWidth="1"/>
    <col min="9" max="9" width="13.54296875" style="31" customWidth="1"/>
    <col min="10" max="10" width="32.453125" style="2" customWidth="1"/>
    <col min="11" max="11" width="13.453125" customWidth="1"/>
    <col min="12" max="12" width="18.54296875" customWidth="1"/>
    <col min="13" max="13" width="9.1796875" style="2" customWidth="1"/>
    <col min="14" max="14" width="32.1796875" customWidth="1"/>
    <col min="15" max="15" width="91.26953125" customWidth="1"/>
    <col min="16" max="16" width="30.26953125" customWidth="1"/>
    <col min="17" max="17" width="14.54296875" customWidth="1"/>
    <col min="18" max="18" width="15" customWidth="1"/>
    <col min="19" max="19" width="18.7265625" style="33" customWidth="1"/>
    <col min="20" max="20" width="18.26953125" style="2" customWidth="1"/>
    <col min="21" max="21" width="24.453125" style="2" customWidth="1"/>
    <col min="22" max="22" width="14.54296875" style="2" customWidth="1"/>
    <col min="23" max="23" width="11.453125" style="2"/>
    <col min="24" max="24" width="20" style="2" customWidth="1"/>
    <col min="25" max="25" width="20.453125" style="2" customWidth="1"/>
    <col min="26" max="26" width="18.1796875" style="2" customWidth="1"/>
    <col min="27" max="27" width="11.453125" style="2"/>
    <col min="28" max="28" width="21.54296875" style="2" customWidth="1"/>
    <col min="29" max="29" width="21.81640625" style="2" customWidth="1"/>
  </cols>
  <sheetData>
    <row r="1" spans="1:29" x14ac:dyDescent="0.3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35">
      <c r="A2" t="s">
        <v>109</v>
      </c>
      <c r="B2" t="s">
        <v>122</v>
      </c>
      <c r="C2" t="s">
        <v>146</v>
      </c>
      <c r="D2" t="s">
        <v>15</v>
      </c>
      <c r="E2" t="s">
        <v>123</v>
      </c>
      <c r="F2" t="s">
        <v>123</v>
      </c>
      <c r="G2" s="2" t="s">
        <v>122</v>
      </c>
      <c r="H2">
        <f>VALUE(Tabla2[[#This Row],[CODIGO PDV]])</f>
        <v>447964</v>
      </c>
      <c r="I2" s="31" t="s">
        <v>154</v>
      </c>
      <c r="J2" s="2" t="s">
        <v>155</v>
      </c>
      <c r="K2" t="s">
        <v>64</v>
      </c>
      <c r="L2" t="s">
        <v>124</v>
      </c>
      <c r="M2" s="2" t="s">
        <v>78</v>
      </c>
      <c r="N2" t="s">
        <v>156</v>
      </c>
      <c r="O2" t="s">
        <v>87</v>
      </c>
      <c r="P2" s="2" t="s">
        <v>20</v>
      </c>
      <c r="Q2" t="s">
        <v>64</v>
      </c>
      <c r="R2" t="s">
        <v>64</v>
      </c>
      <c r="S2" s="77" t="s">
        <v>157</v>
      </c>
      <c r="T2" t="s">
        <v>158</v>
      </c>
      <c r="U2" t="s">
        <v>159</v>
      </c>
      <c r="V2" s="2" t="s">
        <v>160</v>
      </c>
      <c r="W2" s="2" t="s">
        <v>65</v>
      </c>
      <c r="Z2" s="2" t="s">
        <v>125</v>
      </c>
      <c r="AA2" s="2" t="s">
        <v>126</v>
      </c>
      <c r="AB2" s="2" t="s">
        <v>66</v>
      </c>
      <c r="AC2" s="2" t="s">
        <v>67</v>
      </c>
    </row>
    <row r="3" spans="1:29" x14ac:dyDescent="0.35">
      <c r="A3" t="s">
        <v>109</v>
      </c>
      <c r="B3" t="s">
        <v>122</v>
      </c>
      <c r="C3" t="s">
        <v>146</v>
      </c>
      <c r="D3" t="s">
        <v>15</v>
      </c>
      <c r="E3" t="s">
        <v>123</v>
      </c>
      <c r="F3" t="s">
        <v>123</v>
      </c>
      <c r="G3" s="2" t="s">
        <v>122</v>
      </c>
      <c r="H3">
        <f>VALUE(Tabla2[[#This Row],[CODIGO PDV]])</f>
        <v>447964</v>
      </c>
      <c r="I3" s="31" t="s">
        <v>154</v>
      </c>
      <c r="J3" s="2" t="s">
        <v>155</v>
      </c>
      <c r="K3" t="s">
        <v>64</v>
      </c>
      <c r="L3" t="s">
        <v>124</v>
      </c>
      <c r="M3" s="2" t="s">
        <v>78</v>
      </c>
      <c r="N3" t="s">
        <v>156</v>
      </c>
      <c r="O3" t="s">
        <v>88</v>
      </c>
      <c r="P3" s="2" t="s">
        <v>20</v>
      </c>
      <c r="Q3" t="s">
        <v>64</v>
      </c>
      <c r="R3" t="s">
        <v>64</v>
      </c>
      <c r="S3" s="77" t="s">
        <v>157</v>
      </c>
      <c r="T3" t="s">
        <v>158</v>
      </c>
      <c r="U3" t="s">
        <v>161</v>
      </c>
      <c r="V3" s="2" t="s">
        <v>160</v>
      </c>
      <c r="W3" s="2" t="s">
        <v>65</v>
      </c>
      <c r="Z3" s="2" t="s">
        <v>125</v>
      </c>
      <c r="AA3" s="2" t="s">
        <v>126</v>
      </c>
      <c r="AB3" s="2" t="s">
        <v>66</v>
      </c>
      <c r="AC3" s="2" t="s">
        <v>67</v>
      </c>
    </row>
    <row r="4" spans="1:29" x14ac:dyDescent="0.35">
      <c r="A4" t="s">
        <v>109</v>
      </c>
      <c r="B4" t="s">
        <v>122</v>
      </c>
      <c r="C4" t="s">
        <v>146</v>
      </c>
      <c r="D4" t="s">
        <v>15</v>
      </c>
      <c r="E4" t="s">
        <v>123</v>
      </c>
      <c r="F4" t="s">
        <v>123</v>
      </c>
      <c r="G4" s="2" t="s">
        <v>122</v>
      </c>
      <c r="H4">
        <f>VALUE(Tabla2[[#This Row],[CODIGO PDV]])</f>
        <v>447964</v>
      </c>
      <c r="I4" s="31" t="s">
        <v>154</v>
      </c>
      <c r="J4" s="2" t="s">
        <v>155</v>
      </c>
      <c r="K4" t="s">
        <v>64</v>
      </c>
      <c r="L4" t="s">
        <v>124</v>
      </c>
      <c r="M4" s="2" t="s">
        <v>78</v>
      </c>
      <c r="N4" t="s">
        <v>156</v>
      </c>
      <c r="O4" t="s">
        <v>89</v>
      </c>
      <c r="P4" s="2" t="s">
        <v>20</v>
      </c>
      <c r="Q4" t="s">
        <v>64</v>
      </c>
      <c r="R4" t="s">
        <v>64</v>
      </c>
      <c r="S4" s="77" t="s">
        <v>157</v>
      </c>
      <c r="T4" t="s">
        <v>158</v>
      </c>
      <c r="U4" t="s">
        <v>162</v>
      </c>
      <c r="V4" s="2" t="s">
        <v>160</v>
      </c>
      <c r="W4" s="2" t="s">
        <v>65</v>
      </c>
      <c r="Z4" s="2" t="s">
        <v>125</v>
      </c>
      <c r="AA4" s="2" t="s">
        <v>126</v>
      </c>
      <c r="AB4" s="2" t="s">
        <v>66</v>
      </c>
      <c r="AC4" s="2" t="s">
        <v>67</v>
      </c>
    </row>
    <row r="5" spans="1:29" x14ac:dyDescent="0.35">
      <c r="A5" t="s">
        <v>109</v>
      </c>
      <c r="B5" t="s">
        <v>122</v>
      </c>
      <c r="C5" t="s">
        <v>146</v>
      </c>
      <c r="D5" t="s">
        <v>15</v>
      </c>
      <c r="E5" t="s">
        <v>123</v>
      </c>
      <c r="F5" t="s">
        <v>123</v>
      </c>
      <c r="G5" s="2" t="s">
        <v>122</v>
      </c>
      <c r="H5">
        <f>VALUE(Tabla2[[#This Row],[CODIGO PDV]])</f>
        <v>447964</v>
      </c>
      <c r="I5" s="31" t="s">
        <v>154</v>
      </c>
      <c r="J5" s="2" t="s">
        <v>155</v>
      </c>
      <c r="K5" t="s">
        <v>64</v>
      </c>
      <c r="L5" t="s">
        <v>124</v>
      </c>
      <c r="M5" s="2" t="s">
        <v>78</v>
      </c>
      <c r="N5" t="s">
        <v>156</v>
      </c>
      <c r="O5" t="s">
        <v>90</v>
      </c>
      <c r="P5" s="2" t="s">
        <v>20</v>
      </c>
      <c r="Q5" t="s">
        <v>64</v>
      </c>
      <c r="R5" t="s">
        <v>64</v>
      </c>
      <c r="S5" s="77" t="s">
        <v>157</v>
      </c>
      <c r="T5" t="s">
        <v>158</v>
      </c>
      <c r="U5" t="s">
        <v>163</v>
      </c>
      <c r="V5" s="2" t="s">
        <v>160</v>
      </c>
      <c r="W5" s="2" t="s">
        <v>65</v>
      </c>
      <c r="Z5" s="2" t="s">
        <v>125</v>
      </c>
      <c r="AA5" s="2" t="s">
        <v>126</v>
      </c>
      <c r="AB5" s="2" t="s">
        <v>66</v>
      </c>
      <c r="AC5" s="2" t="s">
        <v>67</v>
      </c>
    </row>
    <row r="6" spans="1:29" x14ac:dyDescent="0.35">
      <c r="A6" t="s">
        <v>109</v>
      </c>
      <c r="B6" t="s">
        <v>122</v>
      </c>
      <c r="C6" t="s">
        <v>146</v>
      </c>
      <c r="D6" t="s">
        <v>15</v>
      </c>
      <c r="E6" t="s">
        <v>123</v>
      </c>
      <c r="F6" t="s">
        <v>123</v>
      </c>
      <c r="G6" s="2" t="s">
        <v>122</v>
      </c>
      <c r="H6">
        <f>VALUE(Tabla2[[#This Row],[CODIGO PDV]])</f>
        <v>447964</v>
      </c>
      <c r="I6" s="31" t="s">
        <v>154</v>
      </c>
      <c r="J6" s="2" t="s">
        <v>155</v>
      </c>
      <c r="K6" t="s">
        <v>64</v>
      </c>
      <c r="L6" t="s">
        <v>124</v>
      </c>
      <c r="M6" s="2" t="s">
        <v>78</v>
      </c>
      <c r="N6" t="s">
        <v>156</v>
      </c>
      <c r="O6" t="s">
        <v>35</v>
      </c>
      <c r="P6" s="2" t="s">
        <v>20</v>
      </c>
      <c r="Q6" t="s">
        <v>64</v>
      </c>
      <c r="R6" t="s">
        <v>64</v>
      </c>
      <c r="S6" s="77" t="s">
        <v>157</v>
      </c>
      <c r="T6" t="s">
        <v>158</v>
      </c>
      <c r="U6" t="s">
        <v>164</v>
      </c>
      <c r="V6" s="2" t="s">
        <v>160</v>
      </c>
      <c r="W6" s="2" t="s">
        <v>65</v>
      </c>
      <c r="Z6" s="2" t="s">
        <v>125</v>
      </c>
      <c r="AA6" s="2" t="s">
        <v>126</v>
      </c>
      <c r="AB6" s="2" t="s">
        <v>66</v>
      </c>
      <c r="AC6" s="2" t="s">
        <v>67</v>
      </c>
    </row>
    <row r="7" spans="1:29" x14ac:dyDescent="0.35">
      <c r="A7" t="s">
        <v>109</v>
      </c>
      <c r="B7" t="s">
        <v>122</v>
      </c>
      <c r="C7" t="s">
        <v>146</v>
      </c>
      <c r="D7" t="s">
        <v>15</v>
      </c>
      <c r="E7" t="s">
        <v>123</v>
      </c>
      <c r="F7" t="s">
        <v>123</v>
      </c>
      <c r="G7" s="2" t="s">
        <v>122</v>
      </c>
      <c r="H7">
        <f>VALUE(Tabla2[[#This Row],[CODIGO PDV]])</f>
        <v>447964</v>
      </c>
      <c r="I7" s="31" t="s">
        <v>154</v>
      </c>
      <c r="J7" s="2" t="s">
        <v>155</v>
      </c>
      <c r="K7" t="s">
        <v>64</v>
      </c>
      <c r="L7" t="s">
        <v>124</v>
      </c>
      <c r="M7" s="2" t="s">
        <v>78</v>
      </c>
      <c r="N7" t="s">
        <v>156</v>
      </c>
      <c r="O7" t="s">
        <v>91</v>
      </c>
      <c r="P7" s="2" t="s">
        <v>108</v>
      </c>
      <c r="Q7" t="s">
        <v>64</v>
      </c>
      <c r="R7" t="s">
        <v>64</v>
      </c>
      <c r="S7" s="77" t="s">
        <v>157</v>
      </c>
      <c r="T7" t="s">
        <v>158</v>
      </c>
      <c r="U7" t="s">
        <v>165</v>
      </c>
      <c r="V7" s="2" t="s">
        <v>160</v>
      </c>
      <c r="W7" s="2" t="s">
        <v>65</v>
      </c>
      <c r="Z7" s="2" t="s">
        <v>125</v>
      </c>
      <c r="AA7" s="2" t="s">
        <v>126</v>
      </c>
      <c r="AB7" s="2" t="s">
        <v>66</v>
      </c>
      <c r="AC7" s="2" t="s">
        <v>67</v>
      </c>
    </row>
    <row r="8" spans="1:29" x14ac:dyDescent="0.35">
      <c r="A8" t="s">
        <v>109</v>
      </c>
      <c r="B8" t="s">
        <v>122</v>
      </c>
      <c r="C8" t="s">
        <v>146</v>
      </c>
      <c r="D8" t="s">
        <v>15</v>
      </c>
      <c r="E8" t="s">
        <v>123</v>
      </c>
      <c r="F8" t="s">
        <v>123</v>
      </c>
      <c r="G8" s="2" t="s">
        <v>122</v>
      </c>
      <c r="H8">
        <f>VALUE(Tabla2[[#This Row],[CODIGO PDV]])</f>
        <v>447964</v>
      </c>
      <c r="I8" s="31" t="s">
        <v>154</v>
      </c>
      <c r="J8" s="2" t="s">
        <v>155</v>
      </c>
      <c r="K8" t="s">
        <v>64</v>
      </c>
      <c r="L8" t="s">
        <v>124</v>
      </c>
      <c r="M8" s="2" t="s">
        <v>78</v>
      </c>
      <c r="N8" t="s">
        <v>156</v>
      </c>
      <c r="O8" t="s">
        <v>92</v>
      </c>
      <c r="P8" s="2" t="s">
        <v>20</v>
      </c>
      <c r="Q8" t="s">
        <v>64</v>
      </c>
      <c r="R8" t="s">
        <v>64</v>
      </c>
      <c r="S8" s="77" t="s">
        <v>157</v>
      </c>
      <c r="T8" t="s">
        <v>158</v>
      </c>
      <c r="U8" t="s">
        <v>166</v>
      </c>
      <c r="V8" s="2" t="s">
        <v>160</v>
      </c>
      <c r="W8" s="2" t="s">
        <v>65</v>
      </c>
      <c r="Z8" s="2" t="s">
        <v>125</v>
      </c>
      <c r="AA8" s="2" t="s">
        <v>126</v>
      </c>
      <c r="AB8" s="2" t="s">
        <v>66</v>
      </c>
      <c r="AC8" s="2" t="s">
        <v>67</v>
      </c>
    </row>
    <row r="9" spans="1:29" x14ac:dyDescent="0.35">
      <c r="A9" t="s">
        <v>109</v>
      </c>
      <c r="B9" t="s">
        <v>122</v>
      </c>
      <c r="C9" t="s">
        <v>146</v>
      </c>
      <c r="D9" t="s">
        <v>15</v>
      </c>
      <c r="E9" t="s">
        <v>123</v>
      </c>
      <c r="F9" t="s">
        <v>123</v>
      </c>
      <c r="G9" s="2" t="s">
        <v>122</v>
      </c>
      <c r="H9">
        <f>VALUE(Tabla2[[#This Row],[CODIGO PDV]])</f>
        <v>447964</v>
      </c>
      <c r="I9" s="31" t="s">
        <v>154</v>
      </c>
      <c r="J9" s="2" t="s">
        <v>155</v>
      </c>
      <c r="K9" t="s">
        <v>64</v>
      </c>
      <c r="L9" t="s">
        <v>124</v>
      </c>
      <c r="M9" s="2" t="s">
        <v>78</v>
      </c>
      <c r="N9" t="s">
        <v>156</v>
      </c>
      <c r="O9" t="s">
        <v>93</v>
      </c>
      <c r="P9" s="2" t="s">
        <v>20</v>
      </c>
      <c r="Q9" t="s">
        <v>64</v>
      </c>
      <c r="R9" t="s">
        <v>64</v>
      </c>
      <c r="S9" s="77" t="s">
        <v>157</v>
      </c>
      <c r="T9" t="s">
        <v>158</v>
      </c>
      <c r="U9" t="s">
        <v>167</v>
      </c>
      <c r="V9" s="2" t="s">
        <v>160</v>
      </c>
      <c r="W9" s="2" t="s">
        <v>65</v>
      </c>
      <c r="Z9" s="2" t="s">
        <v>125</v>
      </c>
      <c r="AA9" s="2" t="s">
        <v>126</v>
      </c>
      <c r="AB9" s="2" t="s">
        <v>66</v>
      </c>
      <c r="AC9" s="2" t="s">
        <v>67</v>
      </c>
    </row>
    <row r="10" spans="1:29" x14ac:dyDescent="0.35">
      <c r="A10" t="s">
        <v>109</v>
      </c>
      <c r="B10" t="s">
        <v>122</v>
      </c>
      <c r="C10" t="s">
        <v>146</v>
      </c>
      <c r="D10" t="s">
        <v>15</v>
      </c>
      <c r="E10" t="s">
        <v>123</v>
      </c>
      <c r="F10" t="s">
        <v>123</v>
      </c>
      <c r="G10" s="2" t="s">
        <v>122</v>
      </c>
      <c r="H10">
        <f>VALUE(Tabla2[[#This Row],[CODIGO PDV]])</f>
        <v>447964</v>
      </c>
      <c r="I10" s="31" t="s">
        <v>154</v>
      </c>
      <c r="J10" s="2" t="s">
        <v>155</v>
      </c>
      <c r="K10" t="s">
        <v>64</v>
      </c>
      <c r="L10" t="s">
        <v>124</v>
      </c>
      <c r="M10" s="2" t="s">
        <v>78</v>
      </c>
      <c r="N10" t="s">
        <v>156</v>
      </c>
      <c r="O10" t="s">
        <v>94</v>
      </c>
      <c r="P10" s="2" t="s">
        <v>108</v>
      </c>
      <c r="Q10" t="s">
        <v>64</v>
      </c>
      <c r="R10" t="s">
        <v>64</v>
      </c>
      <c r="S10" s="77" t="s">
        <v>157</v>
      </c>
      <c r="T10" t="s">
        <v>158</v>
      </c>
      <c r="U10" t="s">
        <v>168</v>
      </c>
      <c r="V10" s="2" t="s">
        <v>160</v>
      </c>
      <c r="W10" s="2" t="s">
        <v>65</v>
      </c>
      <c r="Z10" s="2" t="s">
        <v>125</v>
      </c>
      <c r="AA10" s="2" t="s">
        <v>126</v>
      </c>
      <c r="AB10" s="2" t="s">
        <v>66</v>
      </c>
      <c r="AC10" s="2" t="s">
        <v>67</v>
      </c>
    </row>
    <row r="11" spans="1:29" x14ac:dyDescent="0.35">
      <c r="A11" t="s">
        <v>109</v>
      </c>
      <c r="B11" t="s">
        <v>122</v>
      </c>
      <c r="C11" t="s">
        <v>146</v>
      </c>
      <c r="D11" t="s">
        <v>15</v>
      </c>
      <c r="E11" t="s">
        <v>123</v>
      </c>
      <c r="F11" t="s">
        <v>123</v>
      </c>
      <c r="G11" s="2" t="s">
        <v>122</v>
      </c>
      <c r="H11">
        <f>VALUE(Tabla2[[#This Row],[CODIGO PDV]])</f>
        <v>447964</v>
      </c>
      <c r="I11" s="31" t="s">
        <v>154</v>
      </c>
      <c r="J11" s="2" t="s">
        <v>155</v>
      </c>
      <c r="K11" t="s">
        <v>64</v>
      </c>
      <c r="L11" t="s">
        <v>124</v>
      </c>
      <c r="M11" s="2" t="s">
        <v>78</v>
      </c>
      <c r="N11" t="s">
        <v>156</v>
      </c>
      <c r="O11" t="s">
        <v>95</v>
      </c>
      <c r="P11" s="2" t="s">
        <v>108</v>
      </c>
      <c r="Q11" t="s">
        <v>64</v>
      </c>
      <c r="R11" t="s">
        <v>64</v>
      </c>
      <c r="S11" s="77" t="s">
        <v>157</v>
      </c>
      <c r="T11" t="s">
        <v>158</v>
      </c>
      <c r="U11" t="s">
        <v>169</v>
      </c>
      <c r="V11" s="2" t="s">
        <v>160</v>
      </c>
      <c r="W11" s="2" t="s">
        <v>65</v>
      </c>
      <c r="Z11" s="2" t="s">
        <v>125</v>
      </c>
      <c r="AA11" s="2" t="s">
        <v>126</v>
      </c>
      <c r="AB11" s="2" t="s">
        <v>66</v>
      </c>
      <c r="AC11" s="2" t="s">
        <v>67</v>
      </c>
    </row>
    <row r="12" spans="1:29" x14ac:dyDescent="0.35">
      <c r="A12" t="s">
        <v>109</v>
      </c>
      <c r="B12" t="s">
        <v>122</v>
      </c>
      <c r="C12" t="s">
        <v>146</v>
      </c>
      <c r="D12" t="s">
        <v>15</v>
      </c>
      <c r="E12" t="s">
        <v>123</v>
      </c>
      <c r="F12" t="s">
        <v>123</v>
      </c>
      <c r="G12" s="2" t="s">
        <v>122</v>
      </c>
      <c r="H12">
        <f>VALUE(Tabla2[[#This Row],[CODIGO PDV]])</f>
        <v>447964</v>
      </c>
      <c r="I12" s="31" t="s">
        <v>154</v>
      </c>
      <c r="J12" s="2" t="s">
        <v>155</v>
      </c>
      <c r="K12" t="s">
        <v>64</v>
      </c>
      <c r="L12" t="s">
        <v>124</v>
      </c>
      <c r="M12" s="2" t="s">
        <v>78</v>
      </c>
      <c r="N12" t="s">
        <v>156</v>
      </c>
      <c r="O12" t="s">
        <v>96</v>
      </c>
      <c r="P12" s="2" t="s">
        <v>108</v>
      </c>
      <c r="Q12" t="s">
        <v>64</v>
      </c>
      <c r="R12" t="s">
        <v>64</v>
      </c>
      <c r="S12" s="77" t="s">
        <v>157</v>
      </c>
      <c r="T12" t="s">
        <v>158</v>
      </c>
      <c r="U12" t="s">
        <v>170</v>
      </c>
      <c r="V12" s="2" t="s">
        <v>160</v>
      </c>
      <c r="W12" s="2" t="s">
        <v>65</v>
      </c>
      <c r="Z12" s="2" t="s">
        <v>125</v>
      </c>
      <c r="AA12" s="2" t="s">
        <v>126</v>
      </c>
      <c r="AB12" s="2" t="s">
        <v>66</v>
      </c>
      <c r="AC12" s="2" t="s">
        <v>67</v>
      </c>
    </row>
    <row r="13" spans="1:29" x14ac:dyDescent="0.35">
      <c r="A13" t="s">
        <v>109</v>
      </c>
      <c r="B13" t="s">
        <v>122</v>
      </c>
      <c r="C13" t="s">
        <v>146</v>
      </c>
      <c r="D13" t="s">
        <v>15</v>
      </c>
      <c r="E13" t="s">
        <v>123</v>
      </c>
      <c r="F13" t="s">
        <v>123</v>
      </c>
      <c r="G13" s="2" t="s">
        <v>122</v>
      </c>
      <c r="H13">
        <f>VALUE(Tabla2[[#This Row],[CODIGO PDV]])</f>
        <v>447964</v>
      </c>
      <c r="I13" s="31" t="s">
        <v>154</v>
      </c>
      <c r="J13" s="2" t="s">
        <v>155</v>
      </c>
      <c r="K13" t="s">
        <v>64</v>
      </c>
      <c r="L13" t="s">
        <v>124</v>
      </c>
      <c r="M13" s="2" t="s">
        <v>78</v>
      </c>
      <c r="N13" t="s">
        <v>156</v>
      </c>
      <c r="O13" t="s">
        <v>97</v>
      </c>
      <c r="P13" s="2" t="s">
        <v>108</v>
      </c>
      <c r="Q13" t="s">
        <v>64</v>
      </c>
      <c r="R13" t="s">
        <v>64</v>
      </c>
      <c r="S13" s="77" t="s">
        <v>157</v>
      </c>
      <c r="T13" t="s">
        <v>158</v>
      </c>
      <c r="U13" t="s">
        <v>171</v>
      </c>
      <c r="V13" s="2" t="s">
        <v>160</v>
      </c>
      <c r="W13" s="2" t="s">
        <v>65</v>
      </c>
      <c r="Z13" s="2" t="s">
        <v>125</v>
      </c>
      <c r="AA13" s="2" t="s">
        <v>126</v>
      </c>
      <c r="AB13" s="2" t="s">
        <v>66</v>
      </c>
      <c r="AC13" s="2" t="s">
        <v>67</v>
      </c>
    </row>
    <row r="14" spans="1:29" x14ac:dyDescent="0.35">
      <c r="A14" t="s">
        <v>109</v>
      </c>
      <c r="B14" t="s">
        <v>122</v>
      </c>
      <c r="C14" t="s">
        <v>146</v>
      </c>
      <c r="D14" t="s">
        <v>15</v>
      </c>
      <c r="E14" t="s">
        <v>123</v>
      </c>
      <c r="F14" t="s">
        <v>123</v>
      </c>
      <c r="G14" s="2" t="s">
        <v>122</v>
      </c>
      <c r="H14">
        <f>VALUE(Tabla2[[#This Row],[CODIGO PDV]])</f>
        <v>447964</v>
      </c>
      <c r="I14" s="31" t="s">
        <v>154</v>
      </c>
      <c r="J14" s="2" t="s">
        <v>155</v>
      </c>
      <c r="K14" t="s">
        <v>64</v>
      </c>
      <c r="L14" t="s">
        <v>124</v>
      </c>
      <c r="M14" s="2" t="s">
        <v>78</v>
      </c>
      <c r="N14" t="s">
        <v>156</v>
      </c>
      <c r="O14" t="s">
        <v>147</v>
      </c>
      <c r="P14" s="2" t="s">
        <v>20</v>
      </c>
      <c r="Q14" t="s">
        <v>64</v>
      </c>
      <c r="R14" t="s">
        <v>64</v>
      </c>
      <c r="S14" s="77" t="s">
        <v>157</v>
      </c>
      <c r="T14" t="s">
        <v>158</v>
      </c>
      <c r="U14" t="s">
        <v>172</v>
      </c>
      <c r="V14" s="2" t="s">
        <v>160</v>
      </c>
      <c r="W14" s="2" t="s">
        <v>65</v>
      </c>
      <c r="Z14" s="2" t="s">
        <v>125</v>
      </c>
      <c r="AA14" s="2" t="s">
        <v>126</v>
      </c>
      <c r="AB14" s="2" t="s">
        <v>66</v>
      </c>
      <c r="AC14" s="2" t="s">
        <v>67</v>
      </c>
    </row>
    <row r="15" spans="1:29" x14ac:dyDescent="0.35">
      <c r="A15" t="s">
        <v>109</v>
      </c>
      <c r="B15" t="s">
        <v>122</v>
      </c>
      <c r="C15" t="s">
        <v>146</v>
      </c>
      <c r="D15" t="s">
        <v>15</v>
      </c>
      <c r="E15" t="s">
        <v>123</v>
      </c>
      <c r="F15" t="s">
        <v>123</v>
      </c>
      <c r="G15" s="2" t="s">
        <v>122</v>
      </c>
      <c r="H15">
        <f>VALUE(Tabla2[[#This Row],[CODIGO PDV]])</f>
        <v>447964</v>
      </c>
      <c r="I15" s="31" t="s">
        <v>154</v>
      </c>
      <c r="J15" s="2" t="s">
        <v>155</v>
      </c>
      <c r="K15" t="s">
        <v>64</v>
      </c>
      <c r="L15" t="s">
        <v>124</v>
      </c>
      <c r="M15" s="2" t="s">
        <v>78</v>
      </c>
      <c r="N15" t="s">
        <v>156</v>
      </c>
      <c r="O15" t="s">
        <v>148</v>
      </c>
      <c r="P15" s="2" t="s">
        <v>20</v>
      </c>
      <c r="Q15" t="s">
        <v>64</v>
      </c>
      <c r="R15" t="s">
        <v>64</v>
      </c>
      <c r="S15" s="77" t="s">
        <v>157</v>
      </c>
      <c r="T15" t="s">
        <v>158</v>
      </c>
      <c r="U15" t="s">
        <v>173</v>
      </c>
      <c r="V15" s="2" t="s">
        <v>160</v>
      </c>
      <c r="W15" s="2" t="s">
        <v>65</v>
      </c>
      <c r="Z15" s="2" t="s">
        <v>125</v>
      </c>
      <c r="AA15" s="2" t="s">
        <v>126</v>
      </c>
      <c r="AB15" s="2" t="s">
        <v>66</v>
      </c>
      <c r="AC15" s="2" t="s">
        <v>67</v>
      </c>
    </row>
    <row r="16" spans="1:29" x14ac:dyDescent="0.35">
      <c r="A16" t="s">
        <v>109</v>
      </c>
      <c r="B16" t="s">
        <v>122</v>
      </c>
      <c r="C16" t="s">
        <v>146</v>
      </c>
      <c r="D16" t="s">
        <v>15</v>
      </c>
      <c r="E16" t="s">
        <v>123</v>
      </c>
      <c r="F16" t="s">
        <v>123</v>
      </c>
      <c r="G16" s="2" t="s">
        <v>122</v>
      </c>
      <c r="H16">
        <f>VALUE(Tabla2[[#This Row],[CODIGO PDV]])</f>
        <v>447964</v>
      </c>
      <c r="I16" s="31" t="s">
        <v>154</v>
      </c>
      <c r="J16" s="2" t="s">
        <v>155</v>
      </c>
      <c r="K16" t="s">
        <v>64</v>
      </c>
      <c r="L16" t="s">
        <v>124</v>
      </c>
      <c r="M16" s="2" t="s">
        <v>78</v>
      </c>
      <c r="N16" t="s">
        <v>156</v>
      </c>
      <c r="O16" t="s">
        <v>98</v>
      </c>
      <c r="P16" s="2" t="s">
        <v>20</v>
      </c>
      <c r="Q16" t="s">
        <v>64</v>
      </c>
      <c r="R16" t="s">
        <v>64</v>
      </c>
      <c r="S16" s="77" t="s">
        <v>157</v>
      </c>
      <c r="T16" t="s">
        <v>158</v>
      </c>
      <c r="U16" t="s">
        <v>174</v>
      </c>
      <c r="V16" s="2" t="s">
        <v>160</v>
      </c>
      <c r="W16" s="2" t="s">
        <v>65</v>
      </c>
      <c r="Z16" s="2" t="s">
        <v>125</v>
      </c>
      <c r="AA16" s="2" t="s">
        <v>126</v>
      </c>
      <c r="AB16" s="2" t="s">
        <v>66</v>
      </c>
      <c r="AC16" s="2" t="s">
        <v>67</v>
      </c>
    </row>
    <row r="17" spans="1:29" x14ac:dyDescent="0.35">
      <c r="A17" t="s">
        <v>109</v>
      </c>
      <c r="B17" t="s">
        <v>122</v>
      </c>
      <c r="C17" t="s">
        <v>146</v>
      </c>
      <c r="D17" t="s">
        <v>15</v>
      </c>
      <c r="E17" t="s">
        <v>123</v>
      </c>
      <c r="F17" t="s">
        <v>123</v>
      </c>
      <c r="G17" s="2" t="s">
        <v>122</v>
      </c>
      <c r="H17">
        <f>VALUE(Tabla2[[#This Row],[CODIGO PDV]])</f>
        <v>447964</v>
      </c>
      <c r="I17" s="31" t="s">
        <v>154</v>
      </c>
      <c r="J17" s="2" t="s">
        <v>155</v>
      </c>
      <c r="K17" t="s">
        <v>64</v>
      </c>
      <c r="L17" t="s">
        <v>124</v>
      </c>
      <c r="M17" s="2" t="s">
        <v>78</v>
      </c>
      <c r="N17" t="s">
        <v>156</v>
      </c>
      <c r="O17" t="s">
        <v>99</v>
      </c>
      <c r="P17" s="2" t="s">
        <v>20</v>
      </c>
      <c r="Q17" t="s">
        <v>64</v>
      </c>
      <c r="R17" t="s">
        <v>64</v>
      </c>
      <c r="S17" s="77" t="s">
        <v>157</v>
      </c>
      <c r="T17" t="s">
        <v>158</v>
      </c>
      <c r="U17" t="s">
        <v>175</v>
      </c>
      <c r="V17" s="2" t="s">
        <v>160</v>
      </c>
      <c r="W17" s="2" t="s">
        <v>65</v>
      </c>
      <c r="Z17" s="2" t="s">
        <v>125</v>
      </c>
      <c r="AA17" s="2" t="s">
        <v>126</v>
      </c>
      <c r="AB17" s="2" t="s">
        <v>66</v>
      </c>
      <c r="AC17" s="2" t="s">
        <v>67</v>
      </c>
    </row>
    <row r="18" spans="1:29" x14ac:dyDescent="0.35">
      <c r="A18" t="s">
        <v>109</v>
      </c>
      <c r="B18" t="s">
        <v>122</v>
      </c>
      <c r="C18" t="s">
        <v>146</v>
      </c>
      <c r="D18" t="s">
        <v>15</v>
      </c>
      <c r="E18" t="s">
        <v>123</v>
      </c>
      <c r="F18" t="s">
        <v>123</v>
      </c>
      <c r="G18" s="2" t="s">
        <v>122</v>
      </c>
      <c r="H18">
        <f>VALUE(Tabla2[[#This Row],[CODIGO PDV]])</f>
        <v>447964</v>
      </c>
      <c r="I18" s="31" t="s">
        <v>154</v>
      </c>
      <c r="J18" s="2" t="s">
        <v>155</v>
      </c>
      <c r="K18" t="s">
        <v>64</v>
      </c>
      <c r="L18" t="s">
        <v>124</v>
      </c>
      <c r="M18" s="2" t="s">
        <v>78</v>
      </c>
      <c r="N18" t="s">
        <v>156</v>
      </c>
      <c r="O18" t="s">
        <v>100</v>
      </c>
      <c r="P18" s="2" t="s">
        <v>20</v>
      </c>
      <c r="Q18" t="s">
        <v>64</v>
      </c>
      <c r="R18" t="s">
        <v>64</v>
      </c>
      <c r="S18" s="77" t="s">
        <v>157</v>
      </c>
      <c r="T18" t="s">
        <v>158</v>
      </c>
      <c r="U18" t="s">
        <v>176</v>
      </c>
      <c r="V18" s="2" t="s">
        <v>160</v>
      </c>
      <c r="W18" s="2" t="s">
        <v>65</v>
      </c>
      <c r="Z18" s="2" t="s">
        <v>125</v>
      </c>
      <c r="AA18" s="2" t="s">
        <v>126</v>
      </c>
      <c r="AB18" s="2" t="s">
        <v>66</v>
      </c>
      <c r="AC18" s="2" t="s">
        <v>67</v>
      </c>
    </row>
    <row r="19" spans="1:29" x14ac:dyDescent="0.35">
      <c r="A19" t="s">
        <v>109</v>
      </c>
      <c r="B19" t="s">
        <v>122</v>
      </c>
      <c r="C19" t="s">
        <v>146</v>
      </c>
      <c r="D19" t="s">
        <v>15</v>
      </c>
      <c r="E19" t="s">
        <v>123</v>
      </c>
      <c r="F19" t="s">
        <v>123</v>
      </c>
      <c r="G19" s="2" t="s">
        <v>122</v>
      </c>
      <c r="H19">
        <f>VALUE(Tabla2[[#This Row],[CODIGO PDV]])</f>
        <v>447964</v>
      </c>
      <c r="I19" s="31" t="s">
        <v>154</v>
      </c>
      <c r="J19" s="2" t="s">
        <v>155</v>
      </c>
      <c r="K19" t="s">
        <v>64</v>
      </c>
      <c r="L19" t="s">
        <v>124</v>
      </c>
      <c r="M19" s="2" t="s">
        <v>78</v>
      </c>
      <c r="N19" t="s">
        <v>156</v>
      </c>
      <c r="O19" t="s">
        <v>149</v>
      </c>
      <c r="P19" s="2" t="s">
        <v>20</v>
      </c>
      <c r="Q19" t="s">
        <v>64</v>
      </c>
      <c r="R19" t="s">
        <v>64</v>
      </c>
      <c r="S19" s="77" t="s">
        <v>157</v>
      </c>
      <c r="T19" t="s">
        <v>158</v>
      </c>
      <c r="U19" t="s">
        <v>177</v>
      </c>
      <c r="V19" s="2" t="s">
        <v>160</v>
      </c>
      <c r="W19" s="2" t="s">
        <v>65</v>
      </c>
      <c r="Z19" s="2" t="s">
        <v>125</v>
      </c>
      <c r="AA19" s="2" t="s">
        <v>126</v>
      </c>
      <c r="AB19" s="2" t="s">
        <v>66</v>
      </c>
      <c r="AC19" s="2" t="s">
        <v>67</v>
      </c>
    </row>
    <row r="20" spans="1:29" x14ac:dyDescent="0.35">
      <c r="A20" t="s">
        <v>109</v>
      </c>
      <c r="B20" t="s">
        <v>122</v>
      </c>
      <c r="C20" t="s">
        <v>146</v>
      </c>
      <c r="D20" t="s">
        <v>15</v>
      </c>
      <c r="E20" t="s">
        <v>123</v>
      </c>
      <c r="F20" t="s">
        <v>123</v>
      </c>
      <c r="G20" s="2" t="s">
        <v>122</v>
      </c>
      <c r="H20">
        <f>VALUE(Tabla2[[#This Row],[CODIGO PDV]])</f>
        <v>447964</v>
      </c>
      <c r="I20" s="31" t="s">
        <v>154</v>
      </c>
      <c r="J20" s="2" t="s">
        <v>155</v>
      </c>
      <c r="K20" t="s">
        <v>64</v>
      </c>
      <c r="L20" t="s">
        <v>124</v>
      </c>
      <c r="M20" s="2" t="s">
        <v>78</v>
      </c>
      <c r="N20" t="s">
        <v>156</v>
      </c>
      <c r="O20" t="s">
        <v>130</v>
      </c>
      <c r="P20" s="2" t="s">
        <v>20</v>
      </c>
      <c r="Q20" t="s">
        <v>64</v>
      </c>
      <c r="R20" t="s">
        <v>64</v>
      </c>
      <c r="S20" s="77" t="s">
        <v>157</v>
      </c>
      <c r="T20" t="s">
        <v>158</v>
      </c>
      <c r="U20" t="s">
        <v>178</v>
      </c>
      <c r="V20" s="2" t="s">
        <v>160</v>
      </c>
      <c r="W20" s="2" t="s">
        <v>65</v>
      </c>
      <c r="Z20" s="2" t="s">
        <v>125</v>
      </c>
      <c r="AA20" s="2" t="s">
        <v>126</v>
      </c>
      <c r="AB20" s="2" t="s">
        <v>66</v>
      </c>
      <c r="AC20" s="2" t="s">
        <v>67</v>
      </c>
    </row>
    <row r="21" spans="1:29" x14ac:dyDescent="0.35">
      <c r="A21" t="s">
        <v>109</v>
      </c>
      <c r="B21" t="s">
        <v>122</v>
      </c>
      <c r="C21" t="s">
        <v>146</v>
      </c>
      <c r="D21" t="s">
        <v>15</v>
      </c>
      <c r="E21" t="s">
        <v>123</v>
      </c>
      <c r="F21" t="s">
        <v>123</v>
      </c>
      <c r="G21" s="2" t="s">
        <v>122</v>
      </c>
      <c r="H21">
        <f>VALUE(Tabla2[[#This Row],[CODIGO PDV]])</f>
        <v>447964</v>
      </c>
      <c r="I21" s="31" t="s">
        <v>154</v>
      </c>
      <c r="J21" s="2" t="s">
        <v>155</v>
      </c>
      <c r="K21" t="s">
        <v>64</v>
      </c>
      <c r="L21" t="s">
        <v>124</v>
      </c>
      <c r="M21" s="2" t="s">
        <v>78</v>
      </c>
      <c r="N21" t="s">
        <v>156</v>
      </c>
      <c r="O21" t="s">
        <v>131</v>
      </c>
      <c r="P21" s="2" t="s">
        <v>20</v>
      </c>
      <c r="Q21" t="s">
        <v>64</v>
      </c>
      <c r="R21" t="s">
        <v>64</v>
      </c>
      <c r="S21" s="77" t="s">
        <v>157</v>
      </c>
      <c r="T21" t="s">
        <v>158</v>
      </c>
      <c r="U21" t="s">
        <v>179</v>
      </c>
      <c r="V21" s="2" t="s">
        <v>160</v>
      </c>
      <c r="W21" s="2" t="s">
        <v>65</v>
      </c>
      <c r="Z21" s="2" t="s">
        <v>125</v>
      </c>
      <c r="AA21" s="2" t="s">
        <v>126</v>
      </c>
      <c r="AB21" s="2" t="s">
        <v>66</v>
      </c>
      <c r="AC21" s="2" t="s">
        <v>67</v>
      </c>
    </row>
    <row r="22" spans="1:29" x14ac:dyDescent="0.35">
      <c r="A22" t="s">
        <v>109</v>
      </c>
      <c r="B22" t="s">
        <v>122</v>
      </c>
      <c r="C22" t="s">
        <v>146</v>
      </c>
      <c r="D22" t="s">
        <v>15</v>
      </c>
      <c r="E22" t="s">
        <v>123</v>
      </c>
      <c r="F22" t="s">
        <v>123</v>
      </c>
      <c r="G22" s="2" t="s">
        <v>122</v>
      </c>
      <c r="H22">
        <f>VALUE(Tabla2[[#This Row],[CODIGO PDV]])</f>
        <v>447964</v>
      </c>
      <c r="I22" s="31" t="s">
        <v>154</v>
      </c>
      <c r="J22" s="2" t="s">
        <v>155</v>
      </c>
      <c r="K22" t="s">
        <v>64</v>
      </c>
      <c r="L22" t="s">
        <v>124</v>
      </c>
      <c r="M22" s="2" t="s">
        <v>78</v>
      </c>
      <c r="N22" t="s">
        <v>156</v>
      </c>
      <c r="O22" t="s">
        <v>101</v>
      </c>
      <c r="P22" s="2" t="s">
        <v>15</v>
      </c>
      <c r="Q22" t="s">
        <v>64</v>
      </c>
      <c r="R22" t="s">
        <v>64</v>
      </c>
      <c r="S22" s="77" t="s">
        <v>157</v>
      </c>
      <c r="T22" t="s">
        <v>158</v>
      </c>
      <c r="U22" t="s">
        <v>180</v>
      </c>
      <c r="V22" s="2" t="s">
        <v>160</v>
      </c>
      <c r="W22" s="2" t="s">
        <v>65</v>
      </c>
      <c r="Z22" s="2" t="s">
        <v>125</v>
      </c>
      <c r="AA22" s="2" t="s">
        <v>126</v>
      </c>
      <c r="AB22" s="2" t="s">
        <v>66</v>
      </c>
      <c r="AC22" s="2" t="s">
        <v>67</v>
      </c>
    </row>
    <row r="23" spans="1:29" x14ac:dyDescent="0.35">
      <c r="A23" t="s">
        <v>109</v>
      </c>
      <c r="B23" t="s">
        <v>122</v>
      </c>
      <c r="C23" t="s">
        <v>146</v>
      </c>
      <c r="D23" t="s">
        <v>15</v>
      </c>
      <c r="E23" t="s">
        <v>123</v>
      </c>
      <c r="F23" t="s">
        <v>123</v>
      </c>
      <c r="G23" s="2" t="s">
        <v>122</v>
      </c>
      <c r="H23">
        <f>VALUE(Tabla2[[#This Row],[CODIGO PDV]])</f>
        <v>447964</v>
      </c>
      <c r="I23" s="31" t="s">
        <v>154</v>
      </c>
      <c r="J23" s="2" t="s">
        <v>155</v>
      </c>
      <c r="K23" t="s">
        <v>64</v>
      </c>
      <c r="L23" t="s">
        <v>124</v>
      </c>
      <c r="M23" s="2" t="s">
        <v>78</v>
      </c>
      <c r="N23" t="s">
        <v>156</v>
      </c>
      <c r="O23" t="s">
        <v>116</v>
      </c>
      <c r="P23" s="2" t="s">
        <v>20</v>
      </c>
      <c r="Q23" t="s">
        <v>64</v>
      </c>
      <c r="R23" t="s">
        <v>64</v>
      </c>
      <c r="S23" s="77" t="s">
        <v>157</v>
      </c>
      <c r="T23" t="s">
        <v>158</v>
      </c>
      <c r="U23" t="s">
        <v>181</v>
      </c>
      <c r="V23" s="2" t="s">
        <v>160</v>
      </c>
      <c r="W23" s="2" t="s">
        <v>65</v>
      </c>
      <c r="Z23" s="2" t="s">
        <v>125</v>
      </c>
      <c r="AA23" s="2" t="s">
        <v>126</v>
      </c>
      <c r="AB23" s="2" t="s">
        <v>66</v>
      </c>
      <c r="AC23" s="2" t="s">
        <v>67</v>
      </c>
    </row>
    <row r="24" spans="1:29" x14ac:dyDescent="0.35">
      <c r="A24" t="s">
        <v>109</v>
      </c>
      <c r="B24" t="s">
        <v>122</v>
      </c>
      <c r="C24" t="s">
        <v>146</v>
      </c>
      <c r="D24" t="s">
        <v>15</v>
      </c>
      <c r="E24" t="s">
        <v>123</v>
      </c>
      <c r="F24" t="s">
        <v>123</v>
      </c>
      <c r="G24" s="2" t="s">
        <v>122</v>
      </c>
      <c r="H24">
        <f>VALUE(Tabla2[[#This Row],[CODIGO PDV]])</f>
        <v>447964</v>
      </c>
      <c r="I24" s="31" t="s">
        <v>154</v>
      </c>
      <c r="J24" s="2" t="s">
        <v>155</v>
      </c>
      <c r="K24" t="s">
        <v>64</v>
      </c>
      <c r="L24" t="s">
        <v>124</v>
      </c>
      <c r="M24" s="2" t="s">
        <v>78</v>
      </c>
      <c r="N24" t="s">
        <v>156</v>
      </c>
      <c r="O24" t="s">
        <v>150</v>
      </c>
      <c r="P24" s="2" t="s">
        <v>20</v>
      </c>
      <c r="Q24" t="s">
        <v>64</v>
      </c>
      <c r="R24" t="s">
        <v>64</v>
      </c>
      <c r="S24" s="77" t="s">
        <v>157</v>
      </c>
      <c r="T24" t="s">
        <v>158</v>
      </c>
      <c r="U24" t="s">
        <v>182</v>
      </c>
      <c r="V24" s="2" t="s">
        <v>160</v>
      </c>
      <c r="W24" s="2" t="s">
        <v>65</v>
      </c>
      <c r="Z24" s="2" t="s">
        <v>125</v>
      </c>
      <c r="AA24" s="2" t="s">
        <v>126</v>
      </c>
      <c r="AB24" s="2" t="s">
        <v>66</v>
      </c>
      <c r="AC24" s="2" t="s">
        <v>67</v>
      </c>
    </row>
    <row r="25" spans="1:29" x14ac:dyDescent="0.35">
      <c r="A25" t="s">
        <v>109</v>
      </c>
      <c r="B25" t="s">
        <v>122</v>
      </c>
      <c r="C25" t="s">
        <v>146</v>
      </c>
      <c r="D25" t="s">
        <v>15</v>
      </c>
      <c r="E25" t="s">
        <v>123</v>
      </c>
      <c r="F25" t="s">
        <v>123</v>
      </c>
      <c r="G25" s="2" t="s">
        <v>122</v>
      </c>
      <c r="H25">
        <f>VALUE(Tabla2[[#This Row],[CODIGO PDV]])</f>
        <v>447964</v>
      </c>
      <c r="I25" s="31" t="s">
        <v>154</v>
      </c>
      <c r="J25" s="2" t="s">
        <v>155</v>
      </c>
      <c r="K25" t="s">
        <v>64</v>
      </c>
      <c r="L25" t="s">
        <v>124</v>
      </c>
      <c r="M25" s="2" t="s">
        <v>78</v>
      </c>
      <c r="N25" t="s">
        <v>156</v>
      </c>
      <c r="O25" t="s">
        <v>152</v>
      </c>
      <c r="P25" s="2" t="s">
        <v>20</v>
      </c>
      <c r="Q25" t="s">
        <v>64</v>
      </c>
      <c r="R25" t="s">
        <v>64</v>
      </c>
      <c r="S25" s="77" t="s">
        <v>157</v>
      </c>
      <c r="T25" t="s">
        <v>158</v>
      </c>
      <c r="U25" t="s">
        <v>183</v>
      </c>
      <c r="V25" s="2" t="s">
        <v>160</v>
      </c>
      <c r="W25" s="2" t="s">
        <v>65</v>
      </c>
      <c r="Z25" s="2" t="s">
        <v>125</v>
      </c>
      <c r="AA25" s="2" t="s">
        <v>126</v>
      </c>
      <c r="AB25" s="2" t="s">
        <v>66</v>
      </c>
      <c r="AC25" s="2" t="s">
        <v>67</v>
      </c>
    </row>
    <row r="26" spans="1:29" x14ac:dyDescent="0.35">
      <c r="A26" t="s">
        <v>109</v>
      </c>
      <c r="B26" t="s">
        <v>122</v>
      </c>
      <c r="C26" t="s">
        <v>146</v>
      </c>
      <c r="D26" t="s">
        <v>15</v>
      </c>
      <c r="E26" t="s">
        <v>123</v>
      </c>
      <c r="F26" t="s">
        <v>123</v>
      </c>
      <c r="G26" s="2" t="s">
        <v>122</v>
      </c>
      <c r="H26">
        <f>VALUE(Tabla2[[#This Row],[CODIGO PDV]])</f>
        <v>447964</v>
      </c>
      <c r="I26" s="31" t="s">
        <v>154</v>
      </c>
      <c r="J26" s="2" t="s">
        <v>155</v>
      </c>
      <c r="K26" t="s">
        <v>64</v>
      </c>
      <c r="L26" t="s">
        <v>124</v>
      </c>
      <c r="M26" s="2" t="s">
        <v>78</v>
      </c>
      <c r="N26" t="s">
        <v>156</v>
      </c>
      <c r="O26" t="s">
        <v>117</v>
      </c>
      <c r="P26" s="2" t="s">
        <v>20</v>
      </c>
      <c r="Q26" t="s">
        <v>64</v>
      </c>
      <c r="R26" t="s">
        <v>64</v>
      </c>
      <c r="S26" s="77" t="s">
        <v>157</v>
      </c>
      <c r="T26" t="s">
        <v>158</v>
      </c>
      <c r="U26" t="s">
        <v>184</v>
      </c>
      <c r="V26" s="2" t="s">
        <v>160</v>
      </c>
      <c r="W26" s="2" t="s">
        <v>65</v>
      </c>
      <c r="Z26" s="2" t="s">
        <v>125</v>
      </c>
      <c r="AA26" s="2" t="s">
        <v>126</v>
      </c>
      <c r="AB26" s="2" t="s">
        <v>66</v>
      </c>
      <c r="AC26" s="2" t="s">
        <v>67</v>
      </c>
    </row>
    <row r="27" spans="1:29" x14ac:dyDescent="0.35">
      <c r="A27" t="s">
        <v>109</v>
      </c>
      <c r="B27" t="s">
        <v>122</v>
      </c>
      <c r="C27" t="s">
        <v>146</v>
      </c>
      <c r="D27" t="s">
        <v>15</v>
      </c>
      <c r="E27" t="s">
        <v>123</v>
      </c>
      <c r="F27" t="s">
        <v>123</v>
      </c>
      <c r="G27" s="2" t="s">
        <v>122</v>
      </c>
      <c r="H27">
        <f>VALUE(Tabla2[[#This Row],[CODIGO PDV]])</f>
        <v>447964</v>
      </c>
      <c r="I27" s="31" t="s">
        <v>154</v>
      </c>
      <c r="J27" s="2" t="s">
        <v>155</v>
      </c>
      <c r="K27" t="s">
        <v>64</v>
      </c>
      <c r="L27" t="s">
        <v>124</v>
      </c>
      <c r="M27" s="2" t="s">
        <v>78</v>
      </c>
      <c r="N27" t="s">
        <v>156</v>
      </c>
      <c r="O27" t="s">
        <v>102</v>
      </c>
      <c r="P27" s="2" t="s">
        <v>108</v>
      </c>
      <c r="Q27" t="s">
        <v>64</v>
      </c>
      <c r="R27" t="s">
        <v>64</v>
      </c>
      <c r="S27" s="77" t="s">
        <v>157</v>
      </c>
      <c r="T27" t="s">
        <v>158</v>
      </c>
      <c r="U27" t="s">
        <v>185</v>
      </c>
      <c r="V27" s="2" t="s">
        <v>160</v>
      </c>
      <c r="W27" s="2" t="s">
        <v>65</v>
      </c>
      <c r="Z27" s="2" t="s">
        <v>125</v>
      </c>
      <c r="AA27" s="2" t="s">
        <v>126</v>
      </c>
      <c r="AB27" s="2" t="s">
        <v>66</v>
      </c>
      <c r="AC27" s="2" t="s">
        <v>67</v>
      </c>
    </row>
    <row r="28" spans="1:29" x14ac:dyDescent="0.35">
      <c r="A28" t="s">
        <v>109</v>
      </c>
      <c r="B28" t="s">
        <v>111</v>
      </c>
      <c r="C28" t="s">
        <v>112</v>
      </c>
      <c r="D28" t="s">
        <v>14</v>
      </c>
      <c r="E28" t="s">
        <v>186</v>
      </c>
      <c r="F28" t="s">
        <v>187</v>
      </c>
      <c r="G28" s="2" t="s">
        <v>111</v>
      </c>
      <c r="H28">
        <f>VALUE(Tabla2[[#This Row],[CODIGO PDV]])</f>
        <v>424775</v>
      </c>
      <c r="I28" s="31" t="s">
        <v>188</v>
      </c>
      <c r="J28" s="2" t="s">
        <v>189</v>
      </c>
      <c r="K28" t="s">
        <v>110</v>
      </c>
      <c r="L28" t="s">
        <v>140</v>
      </c>
      <c r="M28" s="2" t="s">
        <v>78</v>
      </c>
      <c r="N28" t="s">
        <v>156</v>
      </c>
      <c r="O28" t="s">
        <v>87</v>
      </c>
      <c r="P28" s="2" t="s">
        <v>20</v>
      </c>
      <c r="Q28" t="s">
        <v>64</v>
      </c>
      <c r="R28" t="s">
        <v>64</v>
      </c>
      <c r="S28" s="77" t="s">
        <v>190</v>
      </c>
      <c r="T28" t="s">
        <v>191</v>
      </c>
      <c r="U28" t="s">
        <v>192</v>
      </c>
      <c r="V28" s="2" t="s">
        <v>193</v>
      </c>
      <c r="W28" s="2" t="s">
        <v>65</v>
      </c>
      <c r="Z28" s="2" t="s">
        <v>113</v>
      </c>
      <c r="AA28" s="2" t="s">
        <v>114</v>
      </c>
      <c r="AB28" s="2" t="s">
        <v>66</v>
      </c>
      <c r="AC28" s="2" t="s">
        <v>67</v>
      </c>
    </row>
    <row r="29" spans="1:29" x14ac:dyDescent="0.35">
      <c r="A29" t="s">
        <v>109</v>
      </c>
      <c r="B29" t="s">
        <v>111</v>
      </c>
      <c r="C29" t="s">
        <v>112</v>
      </c>
      <c r="D29" t="s">
        <v>14</v>
      </c>
      <c r="E29" t="s">
        <v>186</v>
      </c>
      <c r="F29" t="s">
        <v>187</v>
      </c>
      <c r="G29" s="2" t="s">
        <v>111</v>
      </c>
      <c r="H29">
        <f>VALUE(Tabla2[[#This Row],[CODIGO PDV]])</f>
        <v>424775</v>
      </c>
      <c r="I29" s="31" t="s">
        <v>188</v>
      </c>
      <c r="J29" s="2" t="s">
        <v>189</v>
      </c>
      <c r="K29" t="s">
        <v>110</v>
      </c>
      <c r="L29" t="s">
        <v>140</v>
      </c>
      <c r="M29" s="2" t="s">
        <v>78</v>
      </c>
      <c r="N29" t="s">
        <v>156</v>
      </c>
      <c r="O29" t="s">
        <v>88</v>
      </c>
      <c r="P29" s="2" t="s">
        <v>20</v>
      </c>
      <c r="Q29" t="s">
        <v>64</v>
      </c>
      <c r="R29" t="s">
        <v>64</v>
      </c>
      <c r="S29" s="77" t="s">
        <v>190</v>
      </c>
      <c r="T29" t="s">
        <v>191</v>
      </c>
      <c r="U29" t="s">
        <v>192</v>
      </c>
      <c r="V29" s="2" t="s">
        <v>193</v>
      </c>
      <c r="W29" s="2" t="s">
        <v>65</v>
      </c>
      <c r="Z29" s="2" t="s">
        <v>113</v>
      </c>
      <c r="AA29" s="2" t="s">
        <v>114</v>
      </c>
      <c r="AB29" s="2" t="s">
        <v>66</v>
      </c>
      <c r="AC29" s="2" t="s">
        <v>67</v>
      </c>
    </row>
    <row r="30" spans="1:29" x14ac:dyDescent="0.35">
      <c r="A30" t="s">
        <v>109</v>
      </c>
      <c r="B30" t="s">
        <v>111</v>
      </c>
      <c r="C30" t="s">
        <v>112</v>
      </c>
      <c r="D30" t="s">
        <v>14</v>
      </c>
      <c r="E30" t="s">
        <v>186</v>
      </c>
      <c r="F30" t="s">
        <v>187</v>
      </c>
      <c r="G30" s="2" t="s">
        <v>111</v>
      </c>
      <c r="H30">
        <f>VALUE(Tabla2[[#This Row],[CODIGO PDV]])</f>
        <v>424775</v>
      </c>
      <c r="I30" s="31" t="s">
        <v>188</v>
      </c>
      <c r="J30" s="2" t="s">
        <v>189</v>
      </c>
      <c r="K30" t="s">
        <v>110</v>
      </c>
      <c r="L30" t="s">
        <v>140</v>
      </c>
      <c r="M30" s="2" t="s">
        <v>78</v>
      </c>
      <c r="N30" t="s">
        <v>156</v>
      </c>
      <c r="O30" t="s">
        <v>89</v>
      </c>
      <c r="P30" s="2" t="s">
        <v>20</v>
      </c>
      <c r="Q30" t="s">
        <v>64</v>
      </c>
      <c r="R30" t="s">
        <v>64</v>
      </c>
      <c r="S30" s="77" t="s">
        <v>190</v>
      </c>
      <c r="T30" t="s">
        <v>191</v>
      </c>
      <c r="U30" t="s">
        <v>192</v>
      </c>
      <c r="V30" s="2" t="s">
        <v>193</v>
      </c>
      <c r="W30" s="2" t="s">
        <v>65</v>
      </c>
      <c r="Z30" s="2" t="s">
        <v>113</v>
      </c>
      <c r="AA30" s="2" t="s">
        <v>114</v>
      </c>
      <c r="AB30" s="2" t="s">
        <v>66</v>
      </c>
      <c r="AC30" s="2" t="s">
        <v>67</v>
      </c>
    </row>
    <row r="31" spans="1:29" x14ac:dyDescent="0.35">
      <c r="A31" t="s">
        <v>109</v>
      </c>
      <c r="B31" t="s">
        <v>111</v>
      </c>
      <c r="C31" t="s">
        <v>112</v>
      </c>
      <c r="D31" t="s">
        <v>14</v>
      </c>
      <c r="E31" t="s">
        <v>186</v>
      </c>
      <c r="F31" t="s">
        <v>187</v>
      </c>
      <c r="G31" s="2" t="s">
        <v>111</v>
      </c>
      <c r="H31">
        <f>VALUE(Tabla2[[#This Row],[CODIGO PDV]])</f>
        <v>424775</v>
      </c>
      <c r="I31" s="31" t="s">
        <v>188</v>
      </c>
      <c r="J31" s="2" t="s">
        <v>189</v>
      </c>
      <c r="K31" t="s">
        <v>110</v>
      </c>
      <c r="L31" t="s">
        <v>140</v>
      </c>
      <c r="M31" s="2" t="s">
        <v>78</v>
      </c>
      <c r="N31" t="s">
        <v>156</v>
      </c>
      <c r="O31" t="s">
        <v>90</v>
      </c>
      <c r="P31" s="2" t="s">
        <v>20</v>
      </c>
      <c r="Q31" t="s">
        <v>64</v>
      </c>
      <c r="R31" t="s">
        <v>64</v>
      </c>
      <c r="S31" s="77" t="s">
        <v>190</v>
      </c>
      <c r="T31" t="s">
        <v>191</v>
      </c>
      <c r="U31" t="s">
        <v>192</v>
      </c>
      <c r="V31" s="2" t="s">
        <v>193</v>
      </c>
      <c r="W31" s="2" t="s">
        <v>65</v>
      </c>
      <c r="Z31" s="2" t="s">
        <v>113</v>
      </c>
      <c r="AA31" s="2" t="s">
        <v>114</v>
      </c>
      <c r="AB31" s="2" t="s">
        <v>66</v>
      </c>
      <c r="AC31" s="2" t="s">
        <v>67</v>
      </c>
    </row>
    <row r="32" spans="1:29" x14ac:dyDescent="0.35">
      <c r="A32" t="s">
        <v>109</v>
      </c>
      <c r="B32" t="s">
        <v>111</v>
      </c>
      <c r="C32" t="s">
        <v>112</v>
      </c>
      <c r="D32" t="s">
        <v>14</v>
      </c>
      <c r="E32" t="s">
        <v>186</v>
      </c>
      <c r="F32" t="s">
        <v>187</v>
      </c>
      <c r="G32" s="2" t="s">
        <v>111</v>
      </c>
      <c r="H32">
        <f>VALUE(Tabla2[[#This Row],[CODIGO PDV]])</f>
        <v>424775</v>
      </c>
      <c r="I32" s="31" t="s">
        <v>188</v>
      </c>
      <c r="J32" s="2" t="s">
        <v>189</v>
      </c>
      <c r="K32" t="s">
        <v>110</v>
      </c>
      <c r="L32" t="s">
        <v>140</v>
      </c>
      <c r="M32" s="2" t="s">
        <v>78</v>
      </c>
      <c r="N32" t="s">
        <v>156</v>
      </c>
      <c r="O32" t="s">
        <v>35</v>
      </c>
      <c r="P32" s="2" t="s">
        <v>20</v>
      </c>
      <c r="Q32" t="s">
        <v>64</v>
      </c>
      <c r="R32" t="s">
        <v>64</v>
      </c>
      <c r="S32" s="77" t="s">
        <v>190</v>
      </c>
      <c r="T32" t="s">
        <v>191</v>
      </c>
      <c r="U32" t="s">
        <v>192</v>
      </c>
      <c r="V32" s="2" t="s">
        <v>193</v>
      </c>
      <c r="W32" s="2" t="s">
        <v>65</v>
      </c>
      <c r="Z32" s="2" t="s">
        <v>113</v>
      </c>
      <c r="AA32" s="2" t="s">
        <v>114</v>
      </c>
      <c r="AB32" s="2" t="s">
        <v>66</v>
      </c>
      <c r="AC32" s="2" t="s">
        <v>67</v>
      </c>
    </row>
    <row r="33" spans="1:29" x14ac:dyDescent="0.35">
      <c r="A33" t="s">
        <v>109</v>
      </c>
      <c r="B33" t="s">
        <v>111</v>
      </c>
      <c r="C33" t="s">
        <v>112</v>
      </c>
      <c r="D33" t="s">
        <v>14</v>
      </c>
      <c r="E33" t="s">
        <v>186</v>
      </c>
      <c r="F33" t="s">
        <v>187</v>
      </c>
      <c r="G33" s="2" t="s">
        <v>111</v>
      </c>
      <c r="H33">
        <f>VALUE(Tabla2[[#This Row],[CODIGO PDV]])</f>
        <v>424775</v>
      </c>
      <c r="I33" s="31" t="s">
        <v>188</v>
      </c>
      <c r="J33" s="2" t="s">
        <v>189</v>
      </c>
      <c r="K33" t="s">
        <v>110</v>
      </c>
      <c r="L33" t="s">
        <v>140</v>
      </c>
      <c r="M33" s="2" t="s">
        <v>78</v>
      </c>
      <c r="N33" t="s">
        <v>156</v>
      </c>
      <c r="O33" t="s">
        <v>91</v>
      </c>
      <c r="P33" s="2" t="s">
        <v>108</v>
      </c>
      <c r="Q33" t="s">
        <v>64</v>
      </c>
      <c r="R33" t="s">
        <v>64</v>
      </c>
      <c r="S33" s="77" t="s">
        <v>190</v>
      </c>
      <c r="T33" t="s">
        <v>191</v>
      </c>
      <c r="U33" t="s">
        <v>192</v>
      </c>
      <c r="V33" s="2" t="s">
        <v>193</v>
      </c>
      <c r="W33" s="2" t="s">
        <v>65</v>
      </c>
      <c r="Z33" s="2" t="s">
        <v>113</v>
      </c>
      <c r="AA33" s="2" t="s">
        <v>114</v>
      </c>
      <c r="AB33" s="2" t="s">
        <v>66</v>
      </c>
      <c r="AC33" s="2" t="s">
        <v>67</v>
      </c>
    </row>
    <row r="34" spans="1:29" x14ac:dyDescent="0.35">
      <c r="A34" t="s">
        <v>109</v>
      </c>
      <c r="B34" t="s">
        <v>111</v>
      </c>
      <c r="C34" t="s">
        <v>112</v>
      </c>
      <c r="D34" t="s">
        <v>14</v>
      </c>
      <c r="E34" t="s">
        <v>186</v>
      </c>
      <c r="F34" t="s">
        <v>187</v>
      </c>
      <c r="G34" s="2" t="s">
        <v>111</v>
      </c>
      <c r="H34">
        <f>VALUE(Tabla2[[#This Row],[CODIGO PDV]])</f>
        <v>424775</v>
      </c>
      <c r="I34" s="31" t="s">
        <v>188</v>
      </c>
      <c r="J34" s="2" t="s">
        <v>189</v>
      </c>
      <c r="K34" t="s">
        <v>110</v>
      </c>
      <c r="L34" t="s">
        <v>140</v>
      </c>
      <c r="M34" s="2" t="s">
        <v>78</v>
      </c>
      <c r="N34" t="s">
        <v>156</v>
      </c>
      <c r="O34" t="s">
        <v>92</v>
      </c>
      <c r="P34" s="2" t="s">
        <v>20</v>
      </c>
      <c r="Q34" t="s">
        <v>64</v>
      </c>
      <c r="R34" t="s">
        <v>64</v>
      </c>
      <c r="S34" s="77" t="s">
        <v>190</v>
      </c>
      <c r="T34" t="s">
        <v>191</v>
      </c>
      <c r="U34" t="s">
        <v>192</v>
      </c>
      <c r="V34" s="2" t="s">
        <v>193</v>
      </c>
      <c r="W34" s="2" t="s">
        <v>65</v>
      </c>
      <c r="Z34" s="2" t="s">
        <v>113</v>
      </c>
      <c r="AA34" s="2" t="s">
        <v>114</v>
      </c>
      <c r="AB34" s="2" t="s">
        <v>66</v>
      </c>
      <c r="AC34" s="2" t="s">
        <v>67</v>
      </c>
    </row>
    <row r="35" spans="1:29" x14ac:dyDescent="0.35">
      <c r="A35" t="s">
        <v>109</v>
      </c>
      <c r="B35" t="s">
        <v>111</v>
      </c>
      <c r="C35" t="s">
        <v>112</v>
      </c>
      <c r="D35" t="s">
        <v>14</v>
      </c>
      <c r="E35" t="s">
        <v>186</v>
      </c>
      <c r="F35" t="s">
        <v>187</v>
      </c>
      <c r="G35" s="2" t="s">
        <v>111</v>
      </c>
      <c r="H35">
        <f>VALUE(Tabla2[[#This Row],[CODIGO PDV]])</f>
        <v>424775</v>
      </c>
      <c r="I35" s="31" t="s">
        <v>188</v>
      </c>
      <c r="J35" s="2" t="s">
        <v>189</v>
      </c>
      <c r="K35" t="s">
        <v>110</v>
      </c>
      <c r="L35" t="s">
        <v>140</v>
      </c>
      <c r="M35" s="2" t="s">
        <v>78</v>
      </c>
      <c r="N35" t="s">
        <v>156</v>
      </c>
      <c r="O35" t="s">
        <v>93</v>
      </c>
      <c r="P35" s="2" t="s">
        <v>20</v>
      </c>
      <c r="Q35" t="s">
        <v>64</v>
      </c>
      <c r="R35" t="s">
        <v>64</v>
      </c>
      <c r="S35" s="77" t="s">
        <v>190</v>
      </c>
      <c r="T35" t="s">
        <v>191</v>
      </c>
      <c r="U35" t="s">
        <v>192</v>
      </c>
      <c r="V35" s="2" t="s">
        <v>193</v>
      </c>
      <c r="W35" s="2" t="s">
        <v>65</v>
      </c>
      <c r="Z35" s="2" t="s">
        <v>113</v>
      </c>
      <c r="AA35" s="2" t="s">
        <v>114</v>
      </c>
      <c r="AB35" s="2" t="s">
        <v>66</v>
      </c>
      <c r="AC35" s="2" t="s">
        <v>67</v>
      </c>
    </row>
    <row r="36" spans="1:29" x14ac:dyDescent="0.35">
      <c r="A36" t="s">
        <v>109</v>
      </c>
      <c r="B36" t="s">
        <v>111</v>
      </c>
      <c r="C36" t="s">
        <v>112</v>
      </c>
      <c r="D36" t="s">
        <v>14</v>
      </c>
      <c r="E36" t="s">
        <v>186</v>
      </c>
      <c r="F36" t="s">
        <v>187</v>
      </c>
      <c r="G36" s="2" t="s">
        <v>111</v>
      </c>
      <c r="H36">
        <f>VALUE(Tabla2[[#This Row],[CODIGO PDV]])</f>
        <v>424775</v>
      </c>
      <c r="I36" s="31" t="s">
        <v>188</v>
      </c>
      <c r="J36" s="2" t="s">
        <v>189</v>
      </c>
      <c r="K36" t="s">
        <v>110</v>
      </c>
      <c r="L36" t="s">
        <v>140</v>
      </c>
      <c r="M36" s="2" t="s">
        <v>78</v>
      </c>
      <c r="N36" t="s">
        <v>156</v>
      </c>
      <c r="O36" t="s">
        <v>94</v>
      </c>
      <c r="P36" s="2" t="s">
        <v>108</v>
      </c>
      <c r="Q36" t="s">
        <v>64</v>
      </c>
      <c r="R36" t="s">
        <v>64</v>
      </c>
      <c r="S36" s="77" t="s">
        <v>190</v>
      </c>
      <c r="T36" t="s">
        <v>191</v>
      </c>
      <c r="U36" t="s">
        <v>192</v>
      </c>
      <c r="V36" s="2" t="s">
        <v>193</v>
      </c>
      <c r="W36" s="2" t="s">
        <v>65</v>
      </c>
      <c r="Z36" s="2" t="s">
        <v>113</v>
      </c>
      <c r="AA36" s="2" t="s">
        <v>114</v>
      </c>
      <c r="AB36" s="2" t="s">
        <v>66</v>
      </c>
      <c r="AC36" s="2" t="s">
        <v>67</v>
      </c>
    </row>
    <row r="37" spans="1:29" x14ac:dyDescent="0.35">
      <c r="A37" t="s">
        <v>109</v>
      </c>
      <c r="B37" t="s">
        <v>111</v>
      </c>
      <c r="C37" t="s">
        <v>112</v>
      </c>
      <c r="D37" t="s">
        <v>14</v>
      </c>
      <c r="E37" t="s">
        <v>186</v>
      </c>
      <c r="F37" t="s">
        <v>187</v>
      </c>
      <c r="G37" s="2" t="s">
        <v>111</v>
      </c>
      <c r="H37">
        <f>VALUE(Tabla2[[#This Row],[CODIGO PDV]])</f>
        <v>424775</v>
      </c>
      <c r="I37" s="31" t="s">
        <v>188</v>
      </c>
      <c r="J37" s="2" t="s">
        <v>189</v>
      </c>
      <c r="K37" t="s">
        <v>110</v>
      </c>
      <c r="L37" t="s">
        <v>140</v>
      </c>
      <c r="M37" s="2" t="s">
        <v>78</v>
      </c>
      <c r="N37" t="s">
        <v>156</v>
      </c>
      <c r="O37" t="s">
        <v>95</v>
      </c>
      <c r="P37" s="2" t="s">
        <v>108</v>
      </c>
      <c r="Q37" t="s">
        <v>64</v>
      </c>
      <c r="R37" t="s">
        <v>64</v>
      </c>
      <c r="S37" s="77" t="s">
        <v>190</v>
      </c>
      <c r="T37" t="s">
        <v>191</v>
      </c>
      <c r="U37" t="s">
        <v>192</v>
      </c>
      <c r="V37" s="2" t="s">
        <v>193</v>
      </c>
      <c r="W37" s="2" t="s">
        <v>65</v>
      </c>
      <c r="Z37" s="2" t="s">
        <v>113</v>
      </c>
      <c r="AA37" s="2" t="s">
        <v>114</v>
      </c>
      <c r="AB37" s="2" t="s">
        <v>66</v>
      </c>
      <c r="AC37" s="2" t="s">
        <v>67</v>
      </c>
    </row>
    <row r="38" spans="1:29" x14ac:dyDescent="0.35">
      <c r="A38" t="s">
        <v>109</v>
      </c>
      <c r="B38" t="s">
        <v>111</v>
      </c>
      <c r="C38" t="s">
        <v>112</v>
      </c>
      <c r="D38" t="s">
        <v>14</v>
      </c>
      <c r="E38" t="s">
        <v>186</v>
      </c>
      <c r="F38" t="s">
        <v>187</v>
      </c>
      <c r="G38" s="2" t="s">
        <v>111</v>
      </c>
      <c r="H38">
        <f>VALUE(Tabla2[[#This Row],[CODIGO PDV]])</f>
        <v>424775</v>
      </c>
      <c r="I38" s="31" t="s">
        <v>188</v>
      </c>
      <c r="J38" s="2" t="s">
        <v>189</v>
      </c>
      <c r="K38" t="s">
        <v>110</v>
      </c>
      <c r="L38" t="s">
        <v>140</v>
      </c>
      <c r="M38" s="2" t="s">
        <v>78</v>
      </c>
      <c r="N38" t="s">
        <v>156</v>
      </c>
      <c r="O38" t="s">
        <v>96</v>
      </c>
      <c r="P38" s="2" t="s">
        <v>108</v>
      </c>
      <c r="Q38" t="s">
        <v>64</v>
      </c>
      <c r="R38" t="s">
        <v>64</v>
      </c>
      <c r="S38" s="77" t="s">
        <v>190</v>
      </c>
      <c r="T38" t="s">
        <v>191</v>
      </c>
      <c r="U38" t="s">
        <v>192</v>
      </c>
      <c r="V38" s="2" t="s">
        <v>193</v>
      </c>
      <c r="W38" s="2" t="s">
        <v>65</v>
      </c>
      <c r="Z38" s="2" t="s">
        <v>113</v>
      </c>
      <c r="AA38" s="2" t="s">
        <v>114</v>
      </c>
      <c r="AB38" s="2" t="s">
        <v>66</v>
      </c>
      <c r="AC38" s="2" t="s">
        <v>67</v>
      </c>
    </row>
    <row r="39" spans="1:29" x14ac:dyDescent="0.35">
      <c r="A39" t="s">
        <v>109</v>
      </c>
      <c r="B39" t="s">
        <v>111</v>
      </c>
      <c r="C39" t="s">
        <v>112</v>
      </c>
      <c r="D39" t="s">
        <v>14</v>
      </c>
      <c r="E39" t="s">
        <v>186</v>
      </c>
      <c r="F39" t="s">
        <v>187</v>
      </c>
      <c r="G39" s="2" t="s">
        <v>111</v>
      </c>
      <c r="H39">
        <f>VALUE(Tabla2[[#This Row],[CODIGO PDV]])</f>
        <v>424775</v>
      </c>
      <c r="I39" s="31" t="s">
        <v>188</v>
      </c>
      <c r="J39" s="2" t="s">
        <v>189</v>
      </c>
      <c r="K39" t="s">
        <v>110</v>
      </c>
      <c r="L39" t="s">
        <v>140</v>
      </c>
      <c r="M39" s="2" t="s">
        <v>78</v>
      </c>
      <c r="N39" t="s">
        <v>156</v>
      </c>
      <c r="O39" t="s">
        <v>97</v>
      </c>
      <c r="P39" s="2" t="s">
        <v>108</v>
      </c>
      <c r="Q39" t="s">
        <v>64</v>
      </c>
      <c r="R39" t="s">
        <v>64</v>
      </c>
      <c r="S39" s="77" t="s">
        <v>190</v>
      </c>
      <c r="T39" t="s">
        <v>191</v>
      </c>
      <c r="U39" t="s">
        <v>192</v>
      </c>
      <c r="V39" s="2" t="s">
        <v>193</v>
      </c>
      <c r="W39" s="2" t="s">
        <v>65</v>
      </c>
      <c r="Z39" s="2" t="s">
        <v>113</v>
      </c>
      <c r="AA39" s="2" t="s">
        <v>114</v>
      </c>
      <c r="AB39" s="2" t="s">
        <v>66</v>
      </c>
      <c r="AC39" s="2" t="s">
        <v>67</v>
      </c>
    </row>
    <row r="40" spans="1:29" x14ac:dyDescent="0.35">
      <c r="A40" t="s">
        <v>109</v>
      </c>
      <c r="B40" t="s">
        <v>111</v>
      </c>
      <c r="C40" t="s">
        <v>112</v>
      </c>
      <c r="D40" t="s">
        <v>14</v>
      </c>
      <c r="E40" t="s">
        <v>186</v>
      </c>
      <c r="F40" t="s">
        <v>187</v>
      </c>
      <c r="G40" s="2" t="s">
        <v>111</v>
      </c>
      <c r="H40">
        <f>VALUE(Tabla2[[#This Row],[CODIGO PDV]])</f>
        <v>424775</v>
      </c>
      <c r="I40" s="31" t="s">
        <v>188</v>
      </c>
      <c r="J40" s="2" t="s">
        <v>189</v>
      </c>
      <c r="K40" t="s">
        <v>110</v>
      </c>
      <c r="L40" t="s">
        <v>140</v>
      </c>
      <c r="M40" s="2" t="s">
        <v>78</v>
      </c>
      <c r="N40" t="s">
        <v>156</v>
      </c>
      <c r="O40" t="s">
        <v>147</v>
      </c>
      <c r="P40" s="2" t="s">
        <v>20</v>
      </c>
      <c r="Q40" t="s">
        <v>64</v>
      </c>
      <c r="R40" t="s">
        <v>64</v>
      </c>
      <c r="S40" s="77" t="s">
        <v>190</v>
      </c>
      <c r="T40" t="s">
        <v>191</v>
      </c>
      <c r="U40" t="s">
        <v>192</v>
      </c>
      <c r="V40" s="2" t="s">
        <v>193</v>
      </c>
      <c r="W40" s="2" t="s">
        <v>65</v>
      </c>
      <c r="Z40" s="2" t="s">
        <v>113</v>
      </c>
      <c r="AA40" s="2" t="s">
        <v>114</v>
      </c>
      <c r="AB40" s="2" t="s">
        <v>66</v>
      </c>
      <c r="AC40" s="2" t="s">
        <v>67</v>
      </c>
    </row>
    <row r="41" spans="1:29" x14ac:dyDescent="0.35">
      <c r="A41" t="s">
        <v>109</v>
      </c>
      <c r="B41" t="s">
        <v>111</v>
      </c>
      <c r="C41" t="s">
        <v>112</v>
      </c>
      <c r="D41" t="s">
        <v>14</v>
      </c>
      <c r="E41" t="s">
        <v>186</v>
      </c>
      <c r="F41" t="s">
        <v>187</v>
      </c>
      <c r="G41" s="2" t="s">
        <v>111</v>
      </c>
      <c r="H41">
        <f>VALUE(Tabla2[[#This Row],[CODIGO PDV]])</f>
        <v>424775</v>
      </c>
      <c r="I41" s="31" t="s">
        <v>188</v>
      </c>
      <c r="J41" s="2" t="s">
        <v>189</v>
      </c>
      <c r="K41" t="s">
        <v>110</v>
      </c>
      <c r="L41" t="s">
        <v>140</v>
      </c>
      <c r="M41" s="2" t="s">
        <v>78</v>
      </c>
      <c r="N41" t="s">
        <v>156</v>
      </c>
      <c r="O41" t="s">
        <v>148</v>
      </c>
      <c r="P41" s="2" t="s">
        <v>20</v>
      </c>
      <c r="Q41" t="s">
        <v>64</v>
      </c>
      <c r="R41" t="s">
        <v>64</v>
      </c>
      <c r="S41" s="77" t="s">
        <v>190</v>
      </c>
      <c r="T41" t="s">
        <v>191</v>
      </c>
      <c r="U41" t="s">
        <v>192</v>
      </c>
      <c r="V41" s="2" t="s">
        <v>193</v>
      </c>
      <c r="W41" s="2" t="s">
        <v>65</v>
      </c>
      <c r="Z41" s="2" t="s">
        <v>113</v>
      </c>
      <c r="AA41" s="2" t="s">
        <v>114</v>
      </c>
      <c r="AB41" s="2" t="s">
        <v>66</v>
      </c>
      <c r="AC41" s="2" t="s">
        <v>67</v>
      </c>
    </row>
    <row r="42" spans="1:29" x14ac:dyDescent="0.35">
      <c r="A42" t="s">
        <v>109</v>
      </c>
      <c r="B42" t="s">
        <v>111</v>
      </c>
      <c r="C42" t="s">
        <v>112</v>
      </c>
      <c r="D42" t="s">
        <v>14</v>
      </c>
      <c r="E42" t="s">
        <v>186</v>
      </c>
      <c r="F42" t="s">
        <v>187</v>
      </c>
      <c r="G42" s="2" t="s">
        <v>111</v>
      </c>
      <c r="H42">
        <f>VALUE(Tabla2[[#This Row],[CODIGO PDV]])</f>
        <v>424775</v>
      </c>
      <c r="I42" s="31" t="s">
        <v>188</v>
      </c>
      <c r="J42" s="2" t="s">
        <v>189</v>
      </c>
      <c r="K42" t="s">
        <v>110</v>
      </c>
      <c r="L42" t="s">
        <v>140</v>
      </c>
      <c r="M42" s="2" t="s">
        <v>78</v>
      </c>
      <c r="N42" t="s">
        <v>156</v>
      </c>
      <c r="O42" t="s">
        <v>98</v>
      </c>
      <c r="P42" s="2" t="s">
        <v>20</v>
      </c>
      <c r="Q42" t="s">
        <v>64</v>
      </c>
      <c r="R42" t="s">
        <v>64</v>
      </c>
      <c r="S42" s="77" t="s">
        <v>190</v>
      </c>
      <c r="T42" t="s">
        <v>191</v>
      </c>
      <c r="U42" t="s">
        <v>192</v>
      </c>
      <c r="V42" s="2" t="s">
        <v>193</v>
      </c>
      <c r="W42" s="2" t="s">
        <v>65</v>
      </c>
      <c r="Z42" s="2" t="s">
        <v>113</v>
      </c>
      <c r="AA42" s="2" t="s">
        <v>114</v>
      </c>
      <c r="AB42" s="2" t="s">
        <v>66</v>
      </c>
      <c r="AC42" s="2" t="s">
        <v>67</v>
      </c>
    </row>
    <row r="43" spans="1:29" x14ac:dyDescent="0.35">
      <c r="A43" t="s">
        <v>109</v>
      </c>
      <c r="B43" t="s">
        <v>111</v>
      </c>
      <c r="C43" t="s">
        <v>112</v>
      </c>
      <c r="D43" t="s">
        <v>14</v>
      </c>
      <c r="E43" t="s">
        <v>186</v>
      </c>
      <c r="F43" t="s">
        <v>187</v>
      </c>
      <c r="G43" s="2" t="s">
        <v>111</v>
      </c>
      <c r="H43">
        <f>VALUE(Tabla2[[#This Row],[CODIGO PDV]])</f>
        <v>424775</v>
      </c>
      <c r="I43" s="31" t="s">
        <v>188</v>
      </c>
      <c r="J43" s="2" t="s">
        <v>189</v>
      </c>
      <c r="K43" t="s">
        <v>110</v>
      </c>
      <c r="L43" t="s">
        <v>140</v>
      </c>
      <c r="M43" s="2" t="s">
        <v>78</v>
      </c>
      <c r="N43" t="s">
        <v>156</v>
      </c>
      <c r="O43" t="s">
        <v>99</v>
      </c>
      <c r="P43" s="2" t="s">
        <v>20</v>
      </c>
      <c r="Q43" t="s">
        <v>64</v>
      </c>
      <c r="R43" t="s">
        <v>64</v>
      </c>
      <c r="S43" s="77" t="s">
        <v>190</v>
      </c>
      <c r="T43" t="s">
        <v>191</v>
      </c>
      <c r="U43" t="s">
        <v>192</v>
      </c>
      <c r="V43" s="2" t="s">
        <v>193</v>
      </c>
      <c r="W43" s="2" t="s">
        <v>65</v>
      </c>
      <c r="Z43" s="2" t="s">
        <v>113</v>
      </c>
      <c r="AA43" s="2" t="s">
        <v>114</v>
      </c>
      <c r="AB43" s="2" t="s">
        <v>66</v>
      </c>
      <c r="AC43" s="2" t="s">
        <v>67</v>
      </c>
    </row>
    <row r="44" spans="1:29" x14ac:dyDescent="0.35">
      <c r="A44" t="s">
        <v>109</v>
      </c>
      <c r="B44" t="s">
        <v>111</v>
      </c>
      <c r="C44" t="s">
        <v>112</v>
      </c>
      <c r="D44" t="s">
        <v>14</v>
      </c>
      <c r="E44" t="s">
        <v>186</v>
      </c>
      <c r="F44" t="s">
        <v>187</v>
      </c>
      <c r="G44" s="2" t="s">
        <v>111</v>
      </c>
      <c r="H44">
        <f>VALUE(Tabla2[[#This Row],[CODIGO PDV]])</f>
        <v>424775</v>
      </c>
      <c r="I44" s="31" t="s">
        <v>188</v>
      </c>
      <c r="J44" s="2" t="s">
        <v>189</v>
      </c>
      <c r="K44" t="s">
        <v>110</v>
      </c>
      <c r="L44" t="s">
        <v>140</v>
      </c>
      <c r="M44" s="2" t="s">
        <v>78</v>
      </c>
      <c r="N44" t="s">
        <v>156</v>
      </c>
      <c r="O44" t="s">
        <v>100</v>
      </c>
      <c r="P44" s="2" t="s">
        <v>20</v>
      </c>
      <c r="Q44" t="s">
        <v>64</v>
      </c>
      <c r="R44" t="s">
        <v>64</v>
      </c>
      <c r="S44" s="77" t="s">
        <v>190</v>
      </c>
      <c r="T44" t="s">
        <v>191</v>
      </c>
      <c r="U44" t="s">
        <v>192</v>
      </c>
      <c r="V44" s="2" t="s">
        <v>193</v>
      </c>
      <c r="W44" s="2" t="s">
        <v>65</v>
      </c>
      <c r="Z44" s="2" t="s">
        <v>113</v>
      </c>
      <c r="AA44" s="2" t="s">
        <v>114</v>
      </c>
      <c r="AB44" s="2" t="s">
        <v>66</v>
      </c>
      <c r="AC44" s="2" t="s">
        <v>67</v>
      </c>
    </row>
    <row r="45" spans="1:29" x14ac:dyDescent="0.35">
      <c r="A45" t="s">
        <v>109</v>
      </c>
      <c r="B45" t="s">
        <v>111</v>
      </c>
      <c r="C45" t="s">
        <v>112</v>
      </c>
      <c r="D45" t="s">
        <v>14</v>
      </c>
      <c r="E45" t="s">
        <v>186</v>
      </c>
      <c r="F45" t="s">
        <v>187</v>
      </c>
      <c r="G45" s="2" t="s">
        <v>111</v>
      </c>
      <c r="H45">
        <f>VALUE(Tabla2[[#This Row],[CODIGO PDV]])</f>
        <v>424775</v>
      </c>
      <c r="I45" s="31" t="s">
        <v>188</v>
      </c>
      <c r="J45" s="2" t="s">
        <v>189</v>
      </c>
      <c r="K45" t="s">
        <v>110</v>
      </c>
      <c r="L45" t="s">
        <v>140</v>
      </c>
      <c r="M45" s="2" t="s">
        <v>78</v>
      </c>
      <c r="N45" t="s">
        <v>156</v>
      </c>
      <c r="O45" t="s">
        <v>149</v>
      </c>
      <c r="P45" s="2" t="s">
        <v>20</v>
      </c>
      <c r="Q45" t="s">
        <v>64</v>
      </c>
      <c r="R45" t="s">
        <v>64</v>
      </c>
      <c r="S45" s="77" t="s">
        <v>190</v>
      </c>
      <c r="T45" t="s">
        <v>191</v>
      </c>
      <c r="U45" t="s">
        <v>192</v>
      </c>
      <c r="V45" s="2" t="s">
        <v>193</v>
      </c>
      <c r="W45" s="2" t="s">
        <v>65</v>
      </c>
      <c r="Z45" s="2" t="s">
        <v>113</v>
      </c>
      <c r="AA45" s="2" t="s">
        <v>114</v>
      </c>
      <c r="AB45" s="2" t="s">
        <v>66</v>
      </c>
      <c r="AC45" s="2" t="s">
        <v>67</v>
      </c>
    </row>
    <row r="46" spans="1:29" x14ac:dyDescent="0.35">
      <c r="A46" t="s">
        <v>109</v>
      </c>
      <c r="B46" t="s">
        <v>111</v>
      </c>
      <c r="C46" t="s">
        <v>112</v>
      </c>
      <c r="D46" t="s">
        <v>14</v>
      </c>
      <c r="E46" t="s">
        <v>186</v>
      </c>
      <c r="F46" t="s">
        <v>187</v>
      </c>
      <c r="G46" s="2" t="s">
        <v>111</v>
      </c>
      <c r="H46">
        <f>VALUE(Tabla2[[#This Row],[CODIGO PDV]])</f>
        <v>424775</v>
      </c>
      <c r="I46" s="31" t="s">
        <v>188</v>
      </c>
      <c r="J46" s="2" t="s">
        <v>189</v>
      </c>
      <c r="K46" t="s">
        <v>110</v>
      </c>
      <c r="L46" t="s">
        <v>140</v>
      </c>
      <c r="M46" s="2" t="s">
        <v>78</v>
      </c>
      <c r="N46" t="s">
        <v>156</v>
      </c>
      <c r="O46" t="s">
        <v>130</v>
      </c>
      <c r="P46" s="2" t="s">
        <v>20</v>
      </c>
      <c r="Q46" t="s">
        <v>64</v>
      </c>
      <c r="R46" t="s">
        <v>64</v>
      </c>
      <c r="S46" s="77" t="s">
        <v>190</v>
      </c>
      <c r="T46" t="s">
        <v>191</v>
      </c>
      <c r="U46" t="s">
        <v>192</v>
      </c>
      <c r="V46" s="2" t="s">
        <v>193</v>
      </c>
      <c r="W46" s="2" t="s">
        <v>65</v>
      </c>
      <c r="Z46" s="2" t="s">
        <v>113</v>
      </c>
      <c r="AA46" s="2" t="s">
        <v>114</v>
      </c>
      <c r="AB46" s="2" t="s">
        <v>66</v>
      </c>
      <c r="AC46" s="2" t="s">
        <v>67</v>
      </c>
    </row>
    <row r="47" spans="1:29" x14ac:dyDescent="0.35">
      <c r="A47" t="s">
        <v>109</v>
      </c>
      <c r="B47" t="s">
        <v>111</v>
      </c>
      <c r="C47" t="s">
        <v>112</v>
      </c>
      <c r="D47" t="s">
        <v>14</v>
      </c>
      <c r="E47" t="s">
        <v>186</v>
      </c>
      <c r="F47" t="s">
        <v>187</v>
      </c>
      <c r="G47" s="2" t="s">
        <v>111</v>
      </c>
      <c r="H47">
        <f>VALUE(Tabla2[[#This Row],[CODIGO PDV]])</f>
        <v>424775</v>
      </c>
      <c r="I47" s="31" t="s">
        <v>188</v>
      </c>
      <c r="J47" s="2" t="s">
        <v>189</v>
      </c>
      <c r="K47" t="s">
        <v>110</v>
      </c>
      <c r="L47" t="s">
        <v>140</v>
      </c>
      <c r="M47" s="2" t="s">
        <v>78</v>
      </c>
      <c r="N47" t="s">
        <v>156</v>
      </c>
      <c r="O47" t="s">
        <v>131</v>
      </c>
      <c r="P47" s="2" t="s">
        <v>20</v>
      </c>
      <c r="Q47" t="s">
        <v>64</v>
      </c>
      <c r="R47" t="s">
        <v>64</v>
      </c>
      <c r="S47" s="77" t="s">
        <v>190</v>
      </c>
      <c r="T47" t="s">
        <v>191</v>
      </c>
      <c r="U47" t="s">
        <v>192</v>
      </c>
      <c r="V47" s="2" t="s">
        <v>193</v>
      </c>
      <c r="W47" s="2" t="s">
        <v>65</v>
      </c>
      <c r="Z47" s="2" t="s">
        <v>113</v>
      </c>
      <c r="AA47" s="2" t="s">
        <v>114</v>
      </c>
      <c r="AB47" s="2" t="s">
        <v>66</v>
      </c>
      <c r="AC47" s="2" t="s">
        <v>67</v>
      </c>
    </row>
    <row r="48" spans="1:29" x14ac:dyDescent="0.35">
      <c r="A48" t="s">
        <v>109</v>
      </c>
      <c r="B48" t="s">
        <v>111</v>
      </c>
      <c r="C48" t="s">
        <v>112</v>
      </c>
      <c r="D48" t="s">
        <v>14</v>
      </c>
      <c r="E48" t="s">
        <v>186</v>
      </c>
      <c r="F48" t="s">
        <v>187</v>
      </c>
      <c r="G48" s="2" t="s">
        <v>111</v>
      </c>
      <c r="H48">
        <f>VALUE(Tabla2[[#This Row],[CODIGO PDV]])</f>
        <v>424775</v>
      </c>
      <c r="I48" s="31" t="s">
        <v>188</v>
      </c>
      <c r="J48" s="2" t="s">
        <v>189</v>
      </c>
      <c r="K48" t="s">
        <v>110</v>
      </c>
      <c r="L48" t="s">
        <v>140</v>
      </c>
      <c r="M48" s="2" t="s">
        <v>78</v>
      </c>
      <c r="N48" t="s">
        <v>156</v>
      </c>
      <c r="O48" t="s">
        <v>101</v>
      </c>
      <c r="P48" s="2" t="s">
        <v>14</v>
      </c>
      <c r="Q48" t="s">
        <v>64</v>
      </c>
      <c r="R48" t="s">
        <v>64</v>
      </c>
      <c r="S48" s="77" t="s">
        <v>190</v>
      </c>
      <c r="T48" t="s">
        <v>191</v>
      </c>
      <c r="U48" t="s">
        <v>192</v>
      </c>
      <c r="V48" s="2" t="s">
        <v>193</v>
      </c>
      <c r="W48" s="2" t="s">
        <v>65</v>
      </c>
      <c r="Z48" s="2" t="s">
        <v>113</v>
      </c>
      <c r="AA48" s="2" t="s">
        <v>114</v>
      </c>
      <c r="AB48" s="2" t="s">
        <v>66</v>
      </c>
      <c r="AC48" s="2" t="s">
        <v>67</v>
      </c>
    </row>
    <row r="49" spans="1:29" x14ac:dyDescent="0.35">
      <c r="A49" t="s">
        <v>109</v>
      </c>
      <c r="B49" t="s">
        <v>111</v>
      </c>
      <c r="C49" t="s">
        <v>112</v>
      </c>
      <c r="D49" t="s">
        <v>14</v>
      </c>
      <c r="E49" t="s">
        <v>186</v>
      </c>
      <c r="F49" t="s">
        <v>187</v>
      </c>
      <c r="G49" s="2" t="s">
        <v>111</v>
      </c>
      <c r="H49">
        <f>VALUE(Tabla2[[#This Row],[CODIGO PDV]])</f>
        <v>424775</v>
      </c>
      <c r="I49" s="31" t="s">
        <v>188</v>
      </c>
      <c r="J49" s="2" t="s">
        <v>189</v>
      </c>
      <c r="K49" t="s">
        <v>110</v>
      </c>
      <c r="L49" t="s">
        <v>140</v>
      </c>
      <c r="M49" s="2" t="s">
        <v>78</v>
      </c>
      <c r="N49" t="s">
        <v>156</v>
      </c>
      <c r="O49" t="s">
        <v>127</v>
      </c>
      <c r="P49" s="2" t="s">
        <v>20</v>
      </c>
      <c r="Q49" t="s">
        <v>64</v>
      </c>
      <c r="R49" t="s">
        <v>64</v>
      </c>
      <c r="S49" s="77" t="s">
        <v>190</v>
      </c>
      <c r="T49" t="s">
        <v>191</v>
      </c>
      <c r="U49" t="s">
        <v>192</v>
      </c>
      <c r="V49" s="2" t="s">
        <v>193</v>
      </c>
      <c r="W49" s="2" t="s">
        <v>65</v>
      </c>
      <c r="Z49" s="2" t="s">
        <v>113</v>
      </c>
      <c r="AA49" s="2" t="s">
        <v>114</v>
      </c>
      <c r="AB49" s="2" t="s">
        <v>66</v>
      </c>
      <c r="AC49" s="2" t="s">
        <v>67</v>
      </c>
    </row>
    <row r="50" spans="1:29" x14ac:dyDescent="0.35">
      <c r="A50" t="s">
        <v>109</v>
      </c>
      <c r="B50" t="s">
        <v>111</v>
      </c>
      <c r="C50" t="s">
        <v>112</v>
      </c>
      <c r="D50" t="s">
        <v>14</v>
      </c>
      <c r="E50" t="s">
        <v>186</v>
      </c>
      <c r="F50" t="s">
        <v>187</v>
      </c>
      <c r="G50" s="2" t="s">
        <v>111</v>
      </c>
      <c r="H50">
        <f>VALUE(Tabla2[[#This Row],[CODIGO PDV]])</f>
        <v>424775</v>
      </c>
      <c r="I50" s="31" t="s">
        <v>188</v>
      </c>
      <c r="J50" s="2" t="s">
        <v>189</v>
      </c>
      <c r="K50" t="s">
        <v>110</v>
      </c>
      <c r="L50" t="s">
        <v>140</v>
      </c>
      <c r="M50" s="2" t="s">
        <v>78</v>
      </c>
      <c r="N50" t="s">
        <v>156</v>
      </c>
      <c r="O50" t="s">
        <v>118</v>
      </c>
      <c r="P50" s="2" t="s">
        <v>20</v>
      </c>
      <c r="Q50" t="s">
        <v>64</v>
      </c>
      <c r="R50" t="s">
        <v>64</v>
      </c>
      <c r="S50" s="77" t="s">
        <v>190</v>
      </c>
      <c r="T50" t="s">
        <v>191</v>
      </c>
      <c r="U50" t="s">
        <v>192</v>
      </c>
      <c r="V50" s="2" t="s">
        <v>193</v>
      </c>
      <c r="W50" s="2" t="s">
        <v>65</v>
      </c>
      <c r="Z50" s="2" t="s">
        <v>113</v>
      </c>
      <c r="AA50" s="2" t="s">
        <v>114</v>
      </c>
      <c r="AB50" s="2" t="s">
        <v>66</v>
      </c>
      <c r="AC50" s="2" t="s">
        <v>67</v>
      </c>
    </row>
    <row r="51" spans="1:29" x14ac:dyDescent="0.35">
      <c r="A51" t="s">
        <v>109</v>
      </c>
      <c r="B51" t="s">
        <v>111</v>
      </c>
      <c r="C51" t="s">
        <v>112</v>
      </c>
      <c r="D51" t="s">
        <v>14</v>
      </c>
      <c r="E51" t="s">
        <v>186</v>
      </c>
      <c r="F51" t="s">
        <v>187</v>
      </c>
      <c r="G51" s="2" t="s">
        <v>111</v>
      </c>
      <c r="H51">
        <f>VALUE(Tabla2[[#This Row],[CODIGO PDV]])</f>
        <v>424775</v>
      </c>
      <c r="I51" s="31" t="s">
        <v>188</v>
      </c>
      <c r="J51" s="2" t="s">
        <v>189</v>
      </c>
      <c r="K51" t="s">
        <v>110</v>
      </c>
      <c r="L51" t="s">
        <v>140</v>
      </c>
      <c r="M51" s="2" t="s">
        <v>78</v>
      </c>
      <c r="N51" t="s">
        <v>156</v>
      </c>
      <c r="O51" t="s">
        <v>119</v>
      </c>
      <c r="P51" s="2" t="s">
        <v>20</v>
      </c>
      <c r="Q51" t="s">
        <v>64</v>
      </c>
      <c r="R51" t="s">
        <v>64</v>
      </c>
      <c r="S51" s="77" t="s">
        <v>190</v>
      </c>
      <c r="T51" t="s">
        <v>191</v>
      </c>
      <c r="U51" t="s">
        <v>192</v>
      </c>
      <c r="V51" s="2" t="s">
        <v>193</v>
      </c>
      <c r="W51" s="2" t="s">
        <v>65</v>
      </c>
      <c r="Z51" s="2" t="s">
        <v>113</v>
      </c>
      <c r="AA51" s="2" t="s">
        <v>114</v>
      </c>
      <c r="AB51" s="2" t="s">
        <v>66</v>
      </c>
      <c r="AC51" s="2" t="s">
        <v>67</v>
      </c>
    </row>
    <row r="52" spans="1:29" x14ac:dyDescent="0.35">
      <c r="A52" t="s">
        <v>109</v>
      </c>
      <c r="B52" t="s">
        <v>111</v>
      </c>
      <c r="C52" t="s">
        <v>112</v>
      </c>
      <c r="D52" t="s">
        <v>14</v>
      </c>
      <c r="E52" t="s">
        <v>186</v>
      </c>
      <c r="F52" t="s">
        <v>187</v>
      </c>
      <c r="G52" s="2" t="s">
        <v>111</v>
      </c>
      <c r="H52">
        <f>VALUE(Tabla2[[#This Row],[CODIGO PDV]])</f>
        <v>424775</v>
      </c>
      <c r="I52" s="31" t="s">
        <v>188</v>
      </c>
      <c r="J52" s="2" t="s">
        <v>189</v>
      </c>
      <c r="K52" t="s">
        <v>110</v>
      </c>
      <c r="L52" t="s">
        <v>140</v>
      </c>
      <c r="M52" s="2" t="s">
        <v>78</v>
      </c>
      <c r="N52" t="s">
        <v>156</v>
      </c>
      <c r="O52" t="s">
        <v>133</v>
      </c>
      <c r="P52" s="2" t="s">
        <v>20</v>
      </c>
      <c r="Q52" t="s">
        <v>64</v>
      </c>
      <c r="R52" t="s">
        <v>64</v>
      </c>
      <c r="S52" s="77" t="s">
        <v>190</v>
      </c>
      <c r="T52" t="s">
        <v>191</v>
      </c>
      <c r="U52" t="s">
        <v>192</v>
      </c>
      <c r="V52" s="2" t="s">
        <v>193</v>
      </c>
      <c r="W52" s="2" t="s">
        <v>65</v>
      </c>
      <c r="Z52" s="2" t="s">
        <v>113</v>
      </c>
      <c r="AA52" s="2" t="s">
        <v>114</v>
      </c>
      <c r="AB52" s="2" t="s">
        <v>66</v>
      </c>
      <c r="AC52" s="2" t="s">
        <v>67</v>
      </c>
    </row>
    <row r="53" spans="1:29" x14ac:dyDescent="0.35">
      <c r="A53" t="s">
        <v>109</v>
      </c>
      <c r="B53" t="s">
        <v>111</v>
      </c>
      <c r="C53" t="s">
        <v>112</v>
      </c>
      <c r="D53" t="s">
        <v>14</v>
      </c>
      <c r="E53" t="s">
        <v>186</v>
      </c>
      <c r="F53" t="s">
        <v>187</v>
      </c>
      <c r="G53" s="2" t="s">
        <v>111</v>
      </c>
      <c r="H53">
        <f>VALUE(Tabla2[[#This Row],[CODIGO PDV]])</f>
        <v>424775</v>
      </c>
      <c r="I53" s="31" t="s">
        <v>188</v>
      </c>
      <c r="J53" s="2" t="s">
        <v>189</v>
      </c>
      <c r="K53" t="s">
        <v>110</v>
      </c>
      <c r="L53" t="s">
        <v>140</v>
      </c>
      <c r="M53" s="2" t="s">
        <v>78</v>
      </c>
      <c r="N53" t="s">
        <v>156</v>
      </c>
      <c r="O53" t="s">
        <v>134</v>
      </c>
      <c r="P53" s="2" t="s">
        <v>20</v>
      </c>
      <c r="Q53" t="s">
        <v>64</v>
      </c>
      <c r="R53" t="s">
        <v>64</v>
      </c>
      <c r="S53" s="77" t="s">
        <v>190</v>
      </c>
      <c r="T53" t="s">
        <v>191</v>
      </c>
      <c r="U53" t="s">
        <v>192</v>
      </c>
      <c r="V53" s="2" t="s">
        <v>193</v>
      </c>
      <c r="W53" s="2" t="s">
        <v>65</v>
      </c>
      <c r="Z53" s="2" t="s">
        <v>113</v>
      </c>
      <c r="AA53" s="2" t="s">
        <v>114</v>
      </c>
      <c r="AB53" s="2" t="s">
        <v>66</v>
      </c>
      <c r="AC53" s="2" t="s">
        <v>67</v>
      </c>
    </row>
    <row r="54" spans="1:29" x14ac:dyDescent="0.35">
      <c r="A54" t="s">
        <v>109</v>
      </c>
      <c r="B54" t="s">
        <v>111</v>
      </c>
      <c r="C54" t="s">
        <v>112</v>
      </c>
      <c r="D54" t="s">
        <v>14</v>
      </c>
      <c r="E54" t="s">
        <v>186</v>
      </c>
      <c r="F54" t="s">
        <v>187</v>
      </c>
      <c r="G54" s="2" t="s">
        <v>111</v>
      </c>
      <c r="H54">
        <f>VALUE(Tabla2[[#This Row],[CODIGO PDV]])</f>
        <v>424775</v>
      </c>
      <c r="I54" s="31" t="s">
        <v>188</v>
      </c>
      <c r="J54" s="2" t="s">
        <v>189</v>
      </c>
      <c r="K54" t="s">
        <v>110</v>
      </c>
      <c r="L54" t="s">
        <v>140</v>
      </c>
      <c r="M54" s="2" t="s">
        <v>78</v>
      </c>
      <c r="N54" t="s">
        <v>156</v>
      </c>
      <c r="O54" t="s">
        <v>102</v>
      </c>
      <c r="P54" s="2" t="s">
        <v>108</v>
      </c>
      <c r="Q54" t="s">
        <v>64</v>
      </c>
      <c r="R54" t="s">
        <v>64</v>
      </c>
      <c r="S54" s="77" t="s">
        <v>190</v>
      </c>
      <c r="T54" t="s">
        <v>191</v>
      </c>
      <c r="U54" t="s">
        <v>192</v>
      </c>
      <c r="V54" s="2" t="s">
        <v>193</v>
      </c>
      <c r="W54" s="2" t="s">
        <v>65</v>
      </c>
      <c r="Z54" s="2" t="s">
        <v>113</v>
      </c>
      <c r="AA54" s="2" t="s">
        <v>114</v>
      </c>
      <c r="AB54" s="2" t="s">
        <v>66</v>
      </c>
      <c r="AC54" s="2" t="s">
        <v>67</v>
      </c>
    </row>
    <row r="55" spans="1:29" x14ac:dyDescent="0.35">
      <c r="A55" t="s">
        <v>109</v>
      </c>
      <c r="B55" t="s">
        <v>138</v>
      </c>
      <c r="C55" t="s">
        <v>139</v>
      </c>
      <c r="D55" t="s">
        <v>43</v>
      </c>
      <c r="E55" t="s">
        <v>143</v>
      </c>
      <c r="F55" t="s">
        <v>144</v>
      </c>
      <c r="G55" s="2" t="s">
        <v>139</v>
      </c>
      <c r="H55">
        <f>VALUE(Tabla2[[#This Row],[CODIGO PDV]])</f>
        <v>556280</v>
      </c>
      <c r="I55" s="31" t="s">
        <v>194</v>
      </c>
      <c r="J55" s="2" t="s">
        <v>195</v>
      </c>
      <c r="K55" t="s">
        <v>110</v>
      </c>
      <c r="L55" t="s">
        <v>145</v>
      </c>
      <c r="M55" s="2" t="s">
        <v>78</v>
      </c>
      <c r="N55" t="s">
        <v>156</v>
      </c>
      <c r="O55" t="s">
        <v>87</v>
      </c>
      <c r="P55" s="2" t="s">
        <v>108</v>
      </c>
      <c r="Q55" t="s">
        <v>64</v>
      </c>
      <c r="R55" t="s">
        <v>64</v>
      </c>
      <c r="S55" s="77" t="s">
        <v>196</v>
      </c>
      <c r="T55" t="s">
        <v>197</v>
      </c>
      <c r="U55" t="s">
        <v>198</v>
      </c>
      <c r="V55" s="2" t="s">
        <v>199</v>
      </c>
      <c r="W55" s="2" t="s">
        <v>65</v>
      </c>
      <c r="Z55" s="2" t="s">
        <v>141</v>
      </c>
      <c r="AA55" s="2" t="s">
        <v>142</v>
      </c>
      <c r="AB55" s="2" t="s">
        <v>66</v>
      </c>
      <c r="AC55" s="2" t="s">
        <v>67</v>
      </c>
    </row>
    <row r="56" spans="1:29" x14ac:dyDescent="0.35">
      <c r="A56" t="s">
        <v>109</v>
      </c>
      <c r="B56" t="s">
        <v>138</v>
      </c>
      <c r="C56" t="s">
        <v>139</v>
      </c>
      <c r="D56" t="s">
        <v>43</v>
      </c>
      <c r="E56" t="s">
        <v>143</v>
      </c>
      <c r="F56" t="s">
        <v>144</v>
      </c>
      <c r="G56" s="2" t="s">
        <v>139</v>
      </c>
      <c r="H56">
        <f>VALUE(Tabla2[[#This Row],[CODIGO PDV]])</f>
        <v>556280</v>
      </c>
      <c r="I56" s="31" t="s">
        <v>194</v>
      </c>
      <c r="J56" s="2" t="s">
        <v>195</v>
      </c>
      <c r="K56" t="s">
        <v>110</v>
      </c>
      <c r="L56" t="s">
        <v>145</v>
      </c>
      <c r="M56" s="2" t="s">
        <v>78</v>
      </c>
      <c r="N56" t="s">
        <v>156</v>
      </c>
      <c r="O56" t="s">
        <v>102</v>
      </c>
      <c r="P56" s="2" t="s">
        <v>20</v>
      </c>
      <c r="Q56" t="s">
        <v>64</v>
      </c>
      <c r="R56" t="s">
        <v>64</v>
      </c>
      <c r="S56" s="77" t="s">
        <v>196</v>
      </c>
      <c r="T56" t="s">
        <v>197</v>
      </c>
      <c r="U56" t="s">
        <v>198</v>
      </c>
      <c r="V56" s="2" t="s">
        <v>199</v>
      </c>
      <c r="W56" s="2" t="s">
        <v>65</v>
      </c>
      <c r="Z56" s="2" t="s">
        <v>141</v>
      </c>
      <c r="AA56" s="2" t="s">
        <v>142</v>
      </c>
      <c r="AB56" s="2" t="s">
        <v>66</v>
      </c>
      <c r="AC56" s="2" t="s">
        <v>67</v>
      </c>
    </row>
    <row r="57" spans="1:29" x14ac:dyDescent="0.35">
      <c r="A57" t="s">
        <v>109</v>
      </c>
      <c r="B57" t="s">
        <v>138</v>
      </c>
      <c r="C57" t="s">
        <v>139</v>
      </c>
      <c r="D57" t="s">
        <v>43</v>
      </c>
      <c r="E57" t="s">
        <v>143</v>
      </c>
      <c r="F57" t="s">
        <v>144</v>
      </c>
      <c r="G57" s="2" t="s">
        <v>139</v>
      </c>
      <c r="H57">
        <f>VALUE(Tabla2[[#This Row],[CODIGO PDV]])</f>
        <v>556280</v>
      </c>
      <c r="I57" s="31" t="s">
        <v>194</v>
      </c>
      <c r="J57" s="2" t="s">
        <v>195</v>
      </c>
      <c r="K57" t="s">
        <v>110</v>
      </c>
      <c r="L57" t="s">
        <v>145</v>
      </c>
      <c r="M57" s="2" t="s">
        <v>78</v>
      </c>
      <c r="N57" t="s">
        <v>156</v>
      </c>
      <c r="O57" t="s">
        <v>103</v>
      </c>
      <c r="P57" s="2" t="s">
        <v>200</v>
      </c>
      <c r="Q57" t="s">
        <v>64</v>
      </c>
      <c r="R57" t="s">
        <v>64</v>
      </c>
      <c r="S57" s="77" t="s">
        <v>196</v>
      </c>
      <c r="T57" t="s">
        <v>197</v>
      </c>
      <c r="U57" t="s">
        <v>198</v>
      </c>
      <c r="V57" s="2" t="s">
        <v>199</v>
      </c>
      <c r="W57" s="2" t="s">
        <v>65</v>
      </c>
      <c r="Z57" s="2" t="s">
        <v>141</v>
      </c>
      <c r="AA57" s="2" t="s">
        <v>142</v>
      </c>
      <c r="AB57" s="2" t="s">
        <v>66</v>
      </c>
      <c r="AC57" s="2" t="s">
        <v>67</v>
      </c>
    </row>
    <row r="58" spans="1:29" x14ac:dyDescent="0.35">
      <c r="A58" t="s">
        <v>109</v>
      </c>
      <c r="B58" t="s">
        <v>69</v>
      </c>
      <c r="C58" t="s">
        <v>8</v>
      </c>
      <c r="D58" t="s">
        <v>43</v>
      </c>
      <c r="E58" t="s">
        <v>120</v>
      </c>
      <c r="F58" t="s">
        <v>121</v>
      </c>
      <c r="G58" s="2" t="s">
        <v>8</v>
      </c>
      <c r="H58">
        <f>VALUE(Tabla2[[#This Row],[CODIGO PDV]])</f>
        <v>355912</v>
      </c>
      <c r="I58" s="31" t="s">
        <v>201</v>
      </c>
      <c r="J58" s="2" t="s">
        <v>202</v>
      </c>
      <c r="K58" t="s">
        <v>64</v>
      </c>
      <c r="L58" t="s">
        <v>121</v>
      </c>
      <c r="M58" s="2" t="s">
        <v>78</v>
      </c>
      <c r="N58" t="s">
        <v>156</v>
      </c>
      <c r="O58" t="s">
        <v>87</v>
      </c>
      <c r="P58" s="2" t="s">
        <v>20</v>
      </c>
      <c r="Q58" t="s">
        <v>64</v>
      </c>
      <c r="R58" t="s">
        <v>64</v>
      </c>
      <c r="S58" s="77" t="s">
        <v>203</v>
      </c>
      <c r="T58" t="s">
        <v>204</v>
      </c>
      <c r="U58" t="s">
        <v>205</v>
      </c>
      <c r="V58" s="2" t="s">
        <v>206</v>
      </c>
      <c r="W58" s="2" t="s">
        <v>65</v>
      </c>
      <c r="Z58" s="2" t="s">
        <v>128</v>
      </c>
      <c r="AA58" s="2" t="s">
        <v>129</v>
      </c>
      <c r="AB58" s="2" t="s">
        <v>66</v>
      </c>
      <c r="AC58" s="2" t="s">
        <v>67</v>
      </c>
    </row>
    <row r="59" spans="1:29" x14ac:dyDescent="0.35">
      <c r="A59" t="s">
        <v>109</v>
      </c>
      <c r="B59" t="s">
        <v>69</v>
      </c>
      <c r="C59" t="s">
        <v>8</v>
      </c>
      <c r="D59" t="s">
        <v>43</v>
      </c>
      <c r="E59" t="s">
        <v>120</v>
      </c>
      <c r="F59" t="s">
        <v>121</v>
      </c>
      <c r="G59" s="2" t="s">
        <v>8</v>
      </c>
      <c r="H59">
        <f>VALUE(Tabla2[[#This Row],[CODIGO PDV]])</f>
        <v>355912</v>
      </c>
      <c r="I59" s="31" t="s">
        <v>201</v>
      </c>
      <c r="J59" s="2" t="s">
        <v>202</v>
      </c>
      <c r="K59" t="s">
        <v>64</v>
      </c>
      <c r="L59" t="s">
        <v>121</v>
      </c>
      <c r="M59" s="2" t="s">
        <v>78</v>
      </c>
      <c r="N59" t="s">
        <v>156</v>
      </c>
      <c r="O59" t="s">
        <v>88</v>
      </c>
      <c r="P59" s="2" t="s">
        <v>20</v>
      </c>
      <c r="Q59" t="s">
        <v>64</v>
      </c>
      <c r="R59" t="s">
        <v>64</v>
      </c>
      <c r="S59" s="77" t="s">
        <v>203</v>
      </c>
      <c r="T59" t="s">
        <v>204</v>
      </c>
      <c r="U59" t="s">
        <v>205</v>
      </c>
      <c r="V59" s="2" t="s">
        <v>206</v>
      </c>
      <c r="W59" s="2" t="s">
        <v>65</v>
      </c>
      <c r="Z59" s="2" t="s">
        <v>128</v>
      </c>
      <c r="AA59" s="2" t="s">
        <v>129</v>
      </c>
      <c r="AB59" s="2" t="s">
        <v>66</v>
      </c>
      <c r="AC59" s="2" t="s">
        <v>67</v>
      </c>
    </row>
    <row r="60" spans="1:29" x14ac:dyDescent="0.35">
      <c r="A60" t="s">
        <v>109</v>
      </c>
      <c r="B60" t="s">
        <v>69</v>
      </c>
      <c r="C60" t="s">
        <v>8</v>
      </c>
      <c r="D60" t="s">
        <v>43</v>
      </c>
      <c r="E60" t="s">
        <v>120</v>
      </c>
      <c r="F60" t="s">
        <v>121</v>
      </c>
      <c r="G60" s="2" t="s">
        <v>8</v>
      </c>
      <c r="H60">
        <f>VALUE(Tabla2[[#This Row],[CODIGO PDV]])</f>
        <v>355912</v>
      </c>
      <c r="I60" s="31" t="s">
        <v>201</v>
      </c>
      <c r="J60" s="2" t="s">
        <v>202</v>
      </c>
      <c r="K60" t="s">
        <v>64</v>
      </c>
      <c r="L60" t="s">
        <v>121</v>
      </c>
      <c r="M60" s="2" t="s">
        <v>78</v>
      </c>
      <c r="N60" t="s">
        <v>156</v>
      </c>
      <c r="O60" t="s">
        <v>89</v>
      </c>
      <c r="P60" s="2" t="s">
        <v>20</v>
      </c>
      <c r="Q60" t="s">
        <v>64</v>
      </c>
      <c r="R60" t="s">
        <v>64</v>
      </c>
      <c r="S60" s="77" t="s">
        <v>203</v>
      </c>
      <c r="T60" t="s">
        <v>204</v>
      </c>
      <c r="U60" t="s">
        <v>205</v>
      </c>
      <c r="V60" s="2" t="s">
        <v>206</v>
      </c>
      <c r="W60" s="2" t="s">
        <v>65</v>
      </c>
      <c r="Z60" s="2" t="s">
        <v>128</v>
      </c>
      <c r="AA60" s="2" t="s">
        <v>129</v>
      </c>
      <c r="AB60" s="2" t="s">
        <v>66</v>
      </c>
      <c r="AC60" s="2" t="s">
        <v>67</v>
      </c>
    </row>
    <row r="61" spans="1:29" x14ac:dyDescent="0.35">
      <c r="A61" t="s">
        <v>109</v>
      </c>
      <c r="B61" t="s">
        <v>69</v>
      </c>
      <c r="C61" t="s">
        <v>8</v>
      </c>
      <c r="D61" t="s">
        <v>43</v>
      </c>
      <c r="E61" t="s">
        <v>120</v>
      </c>
      <c r="F61" t="s">
        <v>121</v>
      </c>
      <c r="G61" s="2" t="s">
        <v>8</v>
      </c>
      <c r="H61">
        <f>VALUE(Tabla2[[#This Row],[CODIGO PDV]])</f>
        <v>355912</v>
      </c>
      <c r="I61" s="31" t="s">
        <v>201</v>
      </c>
      <c r="J61" s="2" t="s">
        <v>202</v>
      </c>
      <c r="K61" t="s">
        <v>64</v>
      </c>
      <c r="L61" t="s">
        <v>121</v>
      </c>
      <c r="M61" s="2" t="s">
        <v>78</v>
      </c>
      <c r="N61" t="s">
        <v>156</v>
      </c>
      <c r="O61" t="s">
        <v>90</v>
      </c>
      <c r="P61" s="2" t="s">
        <v>20</v>
      </c>
      <c r="Q61" t="s">
        <v>64</v>
      </c>
      <c r="R61" t="s">
        <v>64</v>
      </c>
      <c r="S61" s="77" t="s">
        <v>203</v>
      </c>
      <c r="T61" t="s">
        <v>204</v>
      </c>
      <c r="U61" t="s">
        <v>205</v>
      </c>
      <c r="V61" s="2" t="s">
        <v>206</v>
      </c>
      <c r="W61" s="2" t="s">
        <v>65</v>
      </c>
      <c r="Z61" s="2" t="s">
        <v>128</v>
      </c>
      <c r="AA61" s="2" t="s">
        <v>129</v>
      </c>
      <c r="AB61" s="2" t="s">
        <v>66</v>
      </c>
      <c r="AC61" s="2" t="s">
        <v>67</v>
      </c>
    </row>
    <row r="62" spans="1:29" x14ac:dyDescent="0.35">
      <c r="A62" t="s">
        <v>109</v>
      </c>
      <c r="B62" t="s">
        <v>69</v>
      </c>
      <c r="C62" t="s">
        <v>8</v>
      </c>
      <c r="D62" t="s">
        <v>43</v>
      </c>
      <c r="E62" t="s">
        <v>120</v>
      </c>
      <c r="F62" t="s">
        <v>121</v>
      </c>
      <c r="G62" s="2" t="s">
        <v>8</v>
      </c>
      <c r="H62">
        <f>VALUE(Tabla2[[#This Row],[CODIGO PDV]])</f>
        <v>355912</v>
      </c>
      <c r="I62" s="31" t="s">
        <v>201</v>
      </c>
      <c r="J62" s="2" t="s">
        <v>202</v>
      </c>
      <c r="K62" t="s">
        <v>64</v>
      </c>
      <c r="L62" t="s">
        <v>121</v>
      </c>
      <c r="M62" s="2" t="s">
        <v>78</v>
      </c>
      <c r="N62" t="s">
        <v>156</v>
      </c>
      <c r="O62" t="s">
        <v>35</v>
      </c>
      <c r="P62" s="2" t="s">
        <v>20</v>
      </c>
      <c r="Q62" t="s">
        <v>64</v>
      </c>
      <c r="R62" t="s">
        <v>64</v>
      </c>
      <c r="S62" s="77" t="s">
        <v>203</v>
      </c>
      <c r="T62" t="s">
        <v>204</v>
      </c>
      <c r="U62" t="s">
        <v>205</v>
      </c>
      <c r="V62" s="2" t="s">
        <v>206</v>
      </c>
      <c r="W62" s="2" t="s">
        <v>65</v>
      </c>
      <c r="Z62" s="2" t="s">
        <v>128</v>
      </c>
      <c r="AA62" s="2" t="s">
        <v>129</v>
      </c>
      <c r="AB62" s="2" t="s">
        <v>66</v>
      </c>
      <c r="AC62" s="2" t="s">
        <v>67</v>
      </c>
    </row>
    <row r="63" spans="1:29" x14ac:dyDescent="0.35">
      <c r="A63" t="s">
        <v>109</v>
      </c>
      <c r="B63" t="s">
        <v>69</v>
      </c>
      <c r="C63" t="s">
        <v>8</v>
      </c>
      <c r="D63" t="s">
        <v>43</v>
      </c>
      <c r="E63" t="s">
        <v>120</v>
      </c>
      <c r="F63" t="s">
        <v>121</v>
      </c>
      <c r="G63" s="2" t="s">
        <v>8</v>
      </c>
      <c r="H63">
        <f>VALUE(Tabla2[[#This Row],[CODIGO PDV]])</f>
        <v>355912</v>
      </c>
      <c r="I63" s="31" t="s">
        <v>201</v>
      </c>
      <c r="J63" s="2" t="s">
        <v>202</v>
      </c>
      <c r="K63" t="s">
        <v>64</v>
      </c>
      <c r="L63" t="s">
        <v>121</v>
      </c>
      <c r="M63" s="2" t="s">
        <v>78</v>
      </c>
      <c r="N63" t="s">
        <v>156</v>
      </c>
      <c r="O63" t="s">
        <v>91</v>
      </c>
      <c r="P63" s="2" t="s">
        <v>108</v>
      </c>
      <c r="Q63" t="s">
        <v>64</v>
      </c>
      <c r="R63" t="s">
        <v>64</v>
      </c>
      <c r="S63" s="77" t="s">
        <v>203</v>
      </c>
      <c r="T63" t="s">
        <v>204</v>
      </c>
      <c r="U63" t="s">
        <v>205</v>
      </c>
      <c r="V63" s="2" t="s">
        <v>206</v>
      </c>
      <c r="W63" s="2" t="s">
        <v>65</v>
      </c>
      <c r="Z63" s="2" t="s">
        <v>128</v>
      </c>
      <c r="AA63" s="2" t="s">
        <v>129</v>
      </c>
      <c r="AB63" s="2" t="s">
        <v>66</v>
      </c>
      <c r="AC63" s="2" t="s">
        <v>67</v>
      </c>
    </row>
    <row r="64" spans="1:29" x14ac:dyDescent="0.35">
      <c r="A64" t="s">
        <v>109</v>
      </c>
      <c r="B64" t="s">
        <v>69</v>
      </c>
      <c r="C64" t="s">
        <v>8</v>
      </c>
      <c r="D64" t="s">
        <v>43</v>
      </c>
      <c r="E64" t="s">
        <v>120</v>
      </c>
      <c r="F64" t="s">
        <v>121</v>
      </c>
      <c r="G64" s="2" t="s">
        <v>8</v>
      </c>
      <c r="H64">
        <f>VALUE(Tabla2[[#This Row],[CODIGO PDV]])</f>
        <v>355912</v>
      </c>
      <c r="I64" s="31" t="s">
        <v>201</v>
      </c>
      <c r="J64" s="2" t="s">
        <v>202</v>
      </c>
      <c r="K64" t="s">
        <v>64</v>
      </c>
      <c r="L64" t="s">
        <v>121</v>
      </c>
      <c r="M64" s="2" t="s">
        <v>78</v>
      </c>
      <c r="N64" t="s">
        <v>156</v>
      </c>
      <c r="O64" t="s">
        <v>92</v>
      </c>
      <c r="P64" s="2" t="s">
        <v>20</v>
      </c>
      <c r="Q64" t="s">
        <v>64</v>
      </c>
      <c r="R64" t="s">
        <v>64</v>
      </c>
      <c r="S64" s="77" t="s">
        <v>203</v>
      </c>
      <c r="T64" t="s">
        <v>204</v>
      </c>
      <c r="U64" t="s">
        <v>205</v>
      </c>
      <c r="V64" s="2" t="s">
        <v>206</v>
      </c>
      <c r="W64" s="2" t="s">
        <v>65</v>
      </c>
      <c r="Z64" s="2" t="s">
        <v>128</v>
      </c>
      <c r="AA64" s="2" t="s">
        <v>129</v>
      </c>
      <c r="AB64" s="2" t="s">
        <v>66</v>
      </c>
      <c r="AC64" s="2" t="s">
        <v>67</v>
      </c>
    </row>
    <row r="65" spans="1:29" x14ac:dyDescent="0.35">
      <c r="A65" t="s">
        <v>109</v>
      </c>
      <c r="B65" t="s">
        <v>69</v>
      </c>
      <c r="C65" t="s">
        <v>8</v>
      </c>
      <c r="D65" t="s">
        <v>43</v>
      </c>
      <c r="E65" t="s">
        <v>120</v>
      </c>
      <c r="F65" t="s">
        <v>121</v>
      </c>
      <c r="G65" s="2" t="s">
        <v>8</v>
      </c>
      <c r="H65">
        <f>VALUE(Tabla2[[#This Row],[CODIGO PDV]])</f>
        <v>355912</v>
      </c>
      <c r="I65" s="31" t="s">
        <v>201</v>
      </c>
      <c r="J65" s="2" t="s">
        <v>202</v>
      </c>
      <c r="K65" t="s">
        <v>64</v>
      </c>
      <c r="L65" t="s">
        <v>121</v>
      </c>
      <c r="M65" s="2" t="s">
        <v>78</v>
      </c>
      <c r="N65" t="s">
        <v>156</v>
      </c>
      <c r="O65" t="s">
        <v>93</v>
      </c>
      <c r="P65" s="2" t="s">
        <v>20</v>
      </c>
      <c r="Q65" t="s">
        <v>64</v>
      </c>
      <c r="R65" t="s">
        <v>64</v>
      </c>
      <c r="S65" s="77" t="s">
        <v>203</v>
      </c>
      <c r="T65" t="s">
        <v>204</v>
      </c>
      <c r="U65" t="s">
        <v>205</v>
      </c>
      <c r="V65" s="2" t="s">
        <v>206</v>
      </c>
      <c r="W65" s="2" t="s">
        <v>65</v>
      </c>
      <c r="Z65" s="2" t="s">
        <v>128</v>
      </c>
      <c r="AA65" s="2" t="s">
        <v>129</v>
      </c>
      <c r="AB65" s="2" t="s">
        <v>66</v>
      </c>
      <c r="AC65" s="2" t="s">
        <v>67</v>
      </c>
    </row>
    <row r="66" spans="1:29" x14ac:dyDescent="0.35">
      <c r="A66" t="s">
        <v>109</v>
      </c>
      <c r="B66" t="s">
        <v>69</v>
      </c>
      <c r="C66" t="s">
        <v>8</v>
      </c>
      <c r="D66" t="s">
        <v>43</v>
      </c>
      <c r="E66" t="s">
        <v>120</v>
      </c>
      <c r="F66" t="s">
        <v>121</v>
      </c>
      <c r="G66" s="2" t="s">
        <v>8</v>
      </c>
      <c r="H66">
        <f>VALUE(Tabla2[[#This Row],[CODIGO PDV]])</f>
        <v>355912</v>
      </c>
      <c r="I66" s="31" t="s">
        <v>201</v>
      </c>
      <c r="J66" s="2" t="s">
        <v>202</v>
      </c>
      <c r="K66" t="s">
        <v>64</v>
      </c>
      <c r="L66" t="s">
        <v>121</v>
      </c>
      <c r="M66" s="2" t="s">
        <v>78</v>
      </c>
      <c r="N66" t="s">
        <v>156</v>
      </c>
      <c r="O66" t="s">
        <v>94</v>
      </c>
      <c r="P66" s="2" t="s">
        <v>108</v>
      </c>
      <c r="Q66" t="s">
        <v>64</v>
      </c>
      <c r="R66" t="s">
        <v>64</v>
      </c>
      <c r="S66" s="77" t="s">
        <v>203</v>
      </c>
      <c r="T66" t="s">
        <v>204</v>
      </c>
      <c r="U66" t="s">
        <v>205</v>
      </c>
      <c r="V66" s="2" t="s">
        <v>206</v>
      </c>
      <c r="W66" s="2" t="s">
        <v>65</v>
      </c>
      <c r="Z66" s="2" t="s">
        <v>128</v>
      </c>
      <c r="AA66" s="2" t="s">
        <v>129</v>
      </c>
      <c r="AB66" s="2" t="s">
        <v>66</v>
      </c>
      <c r="AC66" s="2" t="s">
        <v>67</v>
      </c>
    </row>
    <row r="67" spans="1:29" x14ac:dyDescent="0.35">
      <c r="A67" t="s">
        <v>109</v>
      </c>
      <c r="B67" t="s">
        <v>69</v>
      </c>
      <c r="C67" t="s">
        <v>8</v>
      </c>
      <c r="D67" t="s">
        <v>43</v>
      </c>
      <c r="E67" t="s">
        <v>120</v>
      </c>
      <c r="F67" t="s">
        <v>121</v>
      </c>
      <c r="G67" s="2" t="s">
        <v>8</v>
      </c>
      <c r="H67">
        <f>VALUE(Tabla2[[#This Row],[CODIGO PDV]])</f>
        <v>355912</v>
      </c>
      <c r="I67" s="31" t="s">
        <v>201</v>
      </c>
      <c r="J67" s="2" t="s">
        <v>202</v>
      </c>
      <c r="K67" t="s">
        <v>64</v>
      </c>
      <c r="L67" t="s">
        <v>121</v>
      </c>
      <c r="M67" s="2" t="s">
        <v>78</v>
      </c>
      <c r="N67" t="s">
        <v>156</v>
      </c>
      <c r="O67" t="s">
        <v>95</v>
      </c>
      <c r="P67" s="2" t="s">
        <v>108</v>
      </c>
      <c r="Q67" t="s">
        <v>64</v>
      </c>
      <c r="R67" t="s">
        <v>64</v>
      </c>
      <c r="S67" s="77" t="s">
        <v>203</v>
      </c>
      <c r="T67" t="s">
        <v>204</v>
      </c>
      <c r="U67" t="s">
        <v>205</v>
      </c>
      <c r="V67" s="2" t="s">
        <v>206</v>
      </c>
      <c r="W67" s="2" t="s">
        <v>65</v>
      </c>
      <c r="Z67" s="2" t="s">
        <v>128</v>
      </c>
      <c r="AA67" s="2" t="s">
        <v>129</v>
      </c>
      <c r="AB67" s="2" t="s">
        <v>66</v>
      </c>
      <c r="AC67" s="2" t="s">
        <v>67</v>
      </c>
    </row>
    <row r="68" spans="1:29" x14ac:dyDescent="0.35">
      <c r="A68" t="s">
        <v>109</v>
      </c>
      <c r="B68" t="s">
        <v>69</v>
      </c>
      <c r="C68" t="s">
        <v>8</v>
      </c>
      <c r="D68" t="s">
        <v>43</v>
      </c>
      <c r="E68" t="s">
        <v>120</v>
      </c>
      <c r="F68" t="s">
        <v>121</v>
      </c>
      <c r="G68" s="2" t="s">
        <v>8</v>
      </c>
      <c r="H68">
        <f>VALUE(Tabla2[[#This Row],[CODIGO PDV]])</f>
        <v>355912</v>
      </c>
      <c r="I68" s="31" t="s">
        <v>201</v>
      </c>
      <c r="J68" s="2" t="s">
        <v>202</v>
      </c>
      <c r="K68" t="s">
        <v>64</v>
      </c>
      <c r="L68" t="s">
        <v>121</v>
      </c>
      <c r="M68" s="2" t="s">
        <v>78</v>
      </c>
      <c r="N68" t="s">
        <v>156</v>
      </c>
      <c r="O68" t="s">
        <v>96</v>
      </c>
      <c r="P68" s="2" t="s">
        <v>108</v>
      </c>
      <c r="Q68" t="s">
        <v>64</v>
      </c>
      <c r="R68" t="s">
        <v>64</v>
      </c>
      <c r="S68" s="77" t="s">
        <v>203</v>
      </c>
      <c r="T68" t="s">
        <v>204</v>
      </c>
      <c r="U68" t="s">
        <v>205</v>
      </c>
      <c r="V68" s="2" t="s">
        <v>206</v>
      </c>
      <c r="W68" s="2" t="s">
        <v>65</v>
      </c>
      <c r="Z68" s="2" t="s">
        <v>128</v>
      </c>
      <c r="AA68" s="2" t="s">
        <v>129</v>
      </c>
      <c r="AB68" s="2" t="s">
        <v>66</v>
      </c>
      <c r="AC68" s="2" t="s">
        <v>67</v>
      </c>
    </row>
    <row r="69" spans="1:29" x14ac:dyDescent="0.35">
      <c r="A69" t="s">
        <v>109</v>
      </c>
      <c r="B69" t="s">
        <v>69</v>
      </c>
      <c r="C69" t="s">
        <v>8</v>
      </c>
      <c r="D69" t="s">
        <v>43</v>
      </c>
      <c r="E69" t="s">
        <v>120</v>
      </c>
      <c r="F69" t="s">
        <v>121</v>
      </c>
      <c r="G69" s="2" t="s">
        <v>8</v>
      </c>
      <c r="H69">
        <f>VALUE(Tabla2[[#This Row],[CODIGO PDV]])</f>
        <v>355912</v>
      </c>
      <c r="I69" s="31" t="s">
        <v>201</v>
      </c>
      <c r="J69" s="2" t="s">
        <v>202</v>
      </c>
      <c r="K69" t="s">
        <v>64</v>
      </c>
      <c r="L69" t="s">
        <v>121</v>
      </c>
      <c r="M69" s="2" t="s">
        <v>78</v>
      </c>
      <c r="N69" t="s">
        <v>156</v>
      </c>
      <c r="O69" t="s">
        <v>97</v>
      </c>
      <c r="P69" s="2" t="s">
        <v>108</v>
      </c>
      <c r="Q69" t="s">
        <v>64</v>
      </c>
      <c r="R69" t="s">
        <v>64</v>
      </c>
      <c r="S69" s="77" t="s">
        <v>203</v>
      </c>
      <c r="T69" t="s">
        <v>204</v>
      </c>
      <c r="U69" t="s">
        <v>205</v>
      </c>
      <c r="V69" s="2" t="s">
        <v>206</v>
      </c>
      <c r="W69" s="2" t="s">
        <v>65</v>
      </c>
      <c r="Z69" s="2" t="s">
        <v>128</v>
      </c>
      <c r="AA69" s="2" t="s">
        <v>129</v>
      </c>
      <c r="AB69" s="2" t="s">
        <v>66</v>
      </c>
      <c r="AC69" s="2" t="s">
        <v>67</v>
      </c>
    </row>
    <row r="70" spans="1:29" x14ac:dyDescent="0.35">
      <c r="A70" t="s">
        <v>109</v>
      </c>
      <c r="B70" t="s">
        <v>69</v>
      </c>
      <c r="C70" t="s">
        <v>8</v>
      </c>
      <c r="D70" t="s">
        <v>43</v>
      </c>
      <c r="E70" t="s">
        <v>120</v>
      </c>
      <c r="F70" t="s">
        <v>121</v>
      </c>
      <c r="G70" s="2" t="s">
        <v>8</v>
      </c>
      <c r="H70">
        <f>VALUE(Tabla2[[#This Row],[CODIGO PDV]])</f>
        <v>355912</v>
      </c>
      <c r="I70" s="31" t="s">
        <v>201</v>
      </c>
      <c r="J70" s="2" t="s">
        <v>202</v>
      </c>
      <c r="K70" t="s">
        <v>64</v>
      </c>
      <c r="L70" t="s">
        <v>121</v>
      </c>
      <c r="M70" s="2" t="s">
        <v>78</v>
      </c>
      <c r="N70" t="s">
        <v>156</v>
      </c>
      <c r="O70" t="s">
        <v>147</v>
      </c>
      <c r="P70" s="2" t="s">
        <v>20</v>
      </c>
      <c r="Q70" t="s">
        <v>64</v>
      </c>
      <c r="R70" t="s">
        <v>64</v>
      </c>
      <c r="S70" s="77" t="s">
        <v>203</v>
      </c>
      <c r="T70" t="s">
        <v>204</v>
      </c>
      <c r="U70" t="s">
        <v>205</v>
      </c>
      <c r="V70" s="2" t="s">
        <v>206</v>
      </c>
      <c r="W70" s="2" t="s">
        <v>65</v>
      </c>
      <c r="Z70" s="2" t="s">
        <v>128</v>
      </c>
      <c r="AA70" s="2" t="s">
        <v>129</v>
      </c>
      <c r="AB70" s="2" t="s">
        <v>66</v>
      </c>
      <c r="AC70" s="2" t="s">
        <v>67</v>
      </c>
    </row>
    <row r="71" spans="1:29" x14ac:dyDescent="0.35">
      <c r="A71" t="s">
        <v>109</v>
      </c>
      <c r="B71" t="s">
        <v>69</v>
      </c>
      <c r="C71" t="s">
        <v>8</v>
      </c>
      <c r="D71" t="s">
        <v>43</v>
      </c>
      <c r="E71" t="s">
        <v>120</v>
      </c>
      <c r="F71" t="s">
        <v>121</v>
      </c>
      <c r="G71" s="2" t="s">
        <v>8</v>
      </c>
      <c r="H71">
        <f>VALUE(Tabla2[[#This Row],[CODIGO PDV]])</f>
        <v>355912</v>
      </c>
      <c r="I71" s="31" t="s">
        <v>201</v>
      </c>
      <c r="J71" s="2" t="s">
        <v>202</v>
      </c>
      <c r="K71" t="s">
        <v>64</v>
      </c>
      <c r="L71" t="s">
        <v>121</v>
      </c>
      <c r="M71" s="2" t="s">
        <v>78</v>
      </c>
      <c r="N71" t="s">
        <v>156</v>
      </c>
      <c r="O71" t="s">
        <v>148</v>
      </c>
      <c r="P71" s="2" t="s">
        <v>108</v>
      </c>
      <c r="Q71" t="s">
        <v>64</v>
      </c>
      <c r="R71" t="s">
        <v>64</v>
      </c>
      <c r="S71" s="77" t="s">
        <v>203</v>
      </c>
      <c r="T71" t="s">
        <v>204</v>
      </c>
      <c r="U71" t="s">
        <v>205</v>
      </c>
      <c r="V71" s="2" t="s">
        <v>206</v>
      </c>
      <c r="W71" s="2" t="s">
        <v>65</v>
      </c>
      <c r="Z71" s="2" t="s">
        <v>128</v>
      </c>
      <c r="AA71" s="2" t="s">
        <v>129</v>
      </c>
      <c r="AB71" s="2" t="s">
        <v>66</v>
      </c>
      <c r="AC71" s="2" t="s">
        <v>67</v>
      </c>
    </row>
    <row r="72" spans="1:29" x14ac:dyDescent="0.35">
      <c r="A72" t="s">
        <v>109</v>
      </c>
      <c r="B72" t="s">
        <v>69</v>
      </c>
      <c r="C72" t="s">
        <v>8</v>
      </c>
      <c r="D72" t="s">
        <v>43</v>
      </c>
      <c r="E72" t="s">
        <v>120</v>
      </c>
      <c r="F72" t="s">
        <v>121</v>
      </c>
      <c r="G72" s="2" t="s">
        <v>8</v>
      </c>
      <c r="H72">
        <f>VALUE(Tabla2[[#This Row],[CODIGO PDV]])</f>
        <v>355912</v>
      </c>
      <c r="I72" s="31" t="s">
        <v>201</v>
      </c>
      <c r="J72" s="2" t="s">
        <v>202</v>
      </c>
      <c r="K72" t="s">
        <v>64</v>
      </c>
      <c r="L72" t="s">
        <v>121</v>
      </c>
      <c r="M72" s="2" t="s">
        <v>78</v>
      </c>
      <c r="N72" t="s">
        <v>156</v>
      </c>
      <c r="O72" t="s">
        <v>98</v>
      </c>
      <c r="P72" s="2" t="s">
        <v>20</v>
      </c>
      <c r="Q72" t="s">
        <v>64</v>
      </c>
      <c r="R72" t="s">
        <v>64</v>
      </c>
      <c r="S72" s="77" t="s">
        <v>203</v>
      </c>
      <c r="T72" t="s">
        <v>204</v>
      </c>
      <c r="U72" t="s">
        <v>205</v>
      </c>
      <c r="V72" s="2" t="s">
        <v>206</v>
      </c>
      <c r="W72" s="2" t="s">
        <v>65</v>
      </c>
      <c r="Z72" s="2" t="s">
        <v>128</v>
      </c>
      <c r="AA72" s="2" t="s">
        <v>129</v>
      </c>
      <c r="AB72" s="2" t="s">
        <v>66</v>
      </c>
      <c r="AC72" s="2" t="s">
        <v>67</v>
      </c>
    </row>
    <row r="73" spans="1:29" x14ac:dyDescent="0.35">
      <c r="A73" t="s">
        <v>109</v>
      </c>
      <c r="B73" t="s">
        <v>69</v>
      </c>
      <c r="C73" t="s">
        <v>8</v>
      </c>
      <c r="D73" t="s">
        <v>43</v>
      </c>
      <c r="E73" t="s">
        <v>120</v>
      </c>
      <c r="F73" t="s">
        <v>121</v>
      </c>
      <c r="G73" s="2" t="s">
        <v>8</v>
      </c>
      <c r="H73">
        <f>VALUE(Tabla2[[#This Row],[CODIGO PDV]])</f>
        <v>355912</v>
      </c>
      <c r="I73" s="31" t="s">
        <v>201</v>
      </c>
      <c r="J73" s="2" t="s">
        <v>202</v>
      </c>
      <c r="K73" t="s">
        <v>64</v>
      </c>
      <c r="L73" t="s">
        <v>121</v>
      </c>
      <c r="M73" s="2" t="s">
        <v>78</v>
      </c>
      <c r="N73" t="s">
        <v>156</v>
      </c>
      <c r="O73" t="s">
        <v>99</v>
      </c>
      <c r="P73" s="2" t="s">
        <v>20</v>
      </c>
      <c r="Q73" t="s">
        <v>64</v>
      </c>
      <c r="R73" t="s">
        <v>64</v>
      </c>
      <c r="S73" s="77" t="s">
        <v>203</v>
      </c>
      <c r="T73" t="s">
        <v>204</v>
      </c>
      <c r="U73" t="s">
        <v>205</v>
      </c>
      <c r="V73" s="2" t="s">
        <v>206</v>
      </c>
      <c r="W73" s="2" t="s">
        <v>65</v>
      </c>
      <c r="Z73" s="2" t="s">
        <v>128</v>
      </c>
      <c r="AA73" s="2" t="s">
        <v>129</v>
      </c>
      <c r="AB73" s="2" t="s">
        <v>66</v>
      </c>
      <c r="AC73" s="2" t="s">
        <v>67</v>
      </c>
    </row>
    <row r="74" spans="1:29" x14ac:dyDescent="0.35">
      <c r="A74" t="s">
        <v>109</v>
      </c>
      <c r="B74" t="s">
        <v>69</v>
      </c>
      <c r="C74" t="s">
        <v>8</v>
      </c>
      <c r="D74" t="s">
        <v>43</v>
      </c>
      <c r="E74" t="s">
        <v>120</v>
      </c>
      <c r="F74" t="s">
        <v>121</v>
      </c>
      <c r="G74" s="2" t="s">
        <v>8</v>
      </c>
      <c r="H74">
        <f>VALUE(Tabla2[[#This Row],[CODIGO PDV]])</f>
        <v>355912</v>
      </c>
      <c r="I74" s="31" t="s">
        <v>201</v>
      </c>
      <c r="J74" s="2" t="s">
        <v>202</v>
      </c>
      <c r="K74" t="s">
        <v>64</v>
      </c>
      <c r="L74" t="s">
        <v>121</v>
      </c>
      <c r="M74" s="2" t="s">
        <v>78</v>
      </c>
      <c r="N74" t="s">
        <v>156</v>
      </c>
      <c r="O74" t="s">
        <v>100</v>
      </c>
      <c r="P74" s="2" t="s">
        <v>20</v>
      </c>
      <c r="Q74" t="s">
        <v>64</v>
      </c>
      <c r="R74" t="s">
        <v>64</v>
      </c>
      <c r="S74" s="77" t="s">
        <v>203</v>
      </c>
      <c r="T74" t="s">
        <v>204</v>
      </c>
      <c r="U74" t="s">
        <v>205</v>
      </c>
      <c r="V74" s="2" t="s">
        <v>206</v>
      </c>
      <c r="W74" s="2" t="s">
        <v>65</v>
      </c>
      <c r="Z74" s="2" t="s">
        <v>128</v>
      </c>
      <c r="AA74" s="2" t="s">
        <v>129</v>
      </c>
      <c r="AB74" s="2" t="s">
        <v>66</v>
      </c>
      <c r="AC74" s="2" t="s">
        <v>67</v>
      </c>
    </row>
    <row r="75" spans="1:29" x14ac:dyDescent="0.35">
      <c r="A75" t="s">
        <v>109</v>
      </c>
      <c r="B75" t="s">
        <v>69</v>
      </c>
      <c r="C75" t="s">
        <v>8</v>
      </c>
      <c r="D75" t="s">
        <v>43</v>
      </c>
      <c r="E75" t="s">
        <v>120</v>
      </c>
      <c r="F75" t="s">
        <v>121</v>
      </c>
      <c r="G75" s="2" t="s">
        <v>8</v>
      </c>
      <c r="H75">
        <f>VALUE(Tabla2[[#This Row],[CODIGO PDV]])</f>
        <v>355912</v>
      </c>
      <c r="I75" s="31" t="s">
        <v>201</v>
      </c>
      <c r="J75" s="2" t="s">
        <v>202</v>
      </c>
      <c r="K75" t="s">
        <v>64</v>
      </c>
      <c r="L75" t="s">
        <v>121</v>
      </c>
      <c r="M75" s="2" t="s">
        <v>78</v>
      </c>
      <c r="N75" t="s">
        <v>156</v>
      </c>
      <c r="O75" t="s">
        <v>149</v>
      </c>
      <c r="P75" s="2" t="s">
        <v>20</v>
      </c>
      <c r="Q75" t="s">
        <v>64</v>
      </c>
      <c r="R75" t="s">
        <v>64</v>
      </c>
      <c r="S75" s="77" t="s">
        <v>203</v>
      </c>
      <c r="T75" t="s">
        <v>204</v>
      </c>
      <c r="U75" t="s">
        <v>205</v>
      </c>
      <c r="V75" s="2" t="s">
        <v>206</v>
      </c>
      <c r="W75" s="2" t="s">
        <v>65</v>
      </c>
      <c r="Z75" s="2" t="s">
        <v>128</v>
      </c>
      <c r="AA75" s="2" t="s">
        <v>129</v>
      </c>
      <c r="AB75" s="2" t="s">
        <v>66</v>
      </c>
      <c r="AC75" s="2" t="s">
        <v>67</v>
      </c>
    </row>
    <row r="76" spans="1:29" x14ac:dyDescent="0.35">
      <c r="A76" t="s">
        <v>109</v>
      </c>
      <c r="B76" t="s">
        <v>69</v>
      </c>
      <c r="C76" t="s">
        <v>8</v>
      </c>
      <c r="D76" t="s">
        <v>43</v>
      </c>
      <c r="E76" t="s">
        <v>120</v>
      </c>
      <c r="F76" t="s">
        <v>121</v>
      </c>
      <c r="G76" s="2" t="s">
        <v>8</v>
      </c>
      <c r="H76">
        <f>VALUE(Tabla2[[#This Row],[CODIGO PDV]])</f>
        <v>355912</v>
      </c>
      <c r="I76" s="31" t="s">
        <v>201</v>
      </c>
      <c r="J76" s="2" t="s">
        <v>202</v>
      </c>
      <c r="K76" t="s">
        <v>64</v>
      </c>
      <c r="L76" t="s">
        <v>121</v>
      </c>
      <c r="M76" s="2" t="s">
        <v>78</v>
      </c>
      <c r="N76" t="s">
        <v>156</v>
      </c>
      <c r="O76" t="s">
        <v>130</v>
      </c>
      <c r="P76" s="2" t="s">
        <v>20</v>
      </c>
      <c r="Q76" t="s">
        <v>64</v>
      </c>
      <c r="R76" t="s">
        <v>64</v>
      </c>
      <c r="S76" s="77" t="s">
        <v>203</v>
      </c>
      <c r="T76" t="s">
        <v>204</v>
      </c>
      <c r="U76" t="s">
        <v>205</v>
      </c>
      <c r="V76" s="2" t="s">
        <v>206</v>
      </c>
      <c r="W76" s="2" t="s">
        <v>65</v>
      </c>
      <c r="Z76" s="2" t="s">
        <v>128</v>
      </c>
      <c r="AA76" s="2" t="s">
        <v>129</v>
      </c>
      <c r="AB76" s="2" t="s">
        <v>66</v>
      </c>
      <c r="AC76" s="2" t="s">
        <v>67</v>
      </c>
    </row>
    <row r="77" spans="1:29" x14ac:dyDescent="0.35">
      <c r="A77" t="s">
        <v>109</v>
      </c>
      <c r="B77" t="s">
        <v>69</v>
      </c>
      <c r="C77" t="s">
        <v>8</v>
      </c>
      <c r="D77" t="s">
        <v>43</v>
      </c>
      <c r="E77" t="s">
        <v>120</v>
      </c>
      <c r="F77" t="s">
        <v>121</v>
      </c>
      <c r="G77" s="2" t="s">
        <v>8</v>
      </c>
      <c r="H77">
        <f>VALUE(Tabla2[[#This Row],[CODIGO PDV]])</f>
        <v>355912</v>
      </c>
      <c r="I77" s="31" t="s">
        <v>201</v>
      </c>
      <c r="J77" s="2" t="s">
        <v>202</v>
      </c>
      <c r="K77" t="s">
        <v>64</v>
      </c>
      <c r="L77" t="s">
        <v>121</v>
      </c>
      <c r="M77" s="2" t="s">
        <v>78</v>
      </c>
      <c r="N77" t="s">
        <v>156</v>
      </c>
      <c r="O77" t="s">
        <v>131</v>
      </c>
      <c r="P77" s="2" t="s">
        <v>20</v>
      </c>
      <c r="Q77" t="s">
        <v>64</v>
      </c>
      <c r="R77" t="s">
        <v>64</v>
      </c>
      <c r="S77" s="77" t="s">
        <v>203</v>
      </c>
      <c r="T77" t="s">
        <v>204</v>
      </c>
      <c r="U77" t="s">
        <v>205</v>
      </c>
      <c r="V77" s="2" t="s">
        <v>206</v>
      </c>
      <c r="W77" s="2" t="s">
        <v>65</v>
      </c>
      <c r="Z77" s="2" t="s">
        <v>128</v>
      </c>
      <c r="AA77" s="2" t="s">
        <v>129</v>
      </c>
      <c r="AB77" s="2" t="s">
        <v>66</v>
      </c>
      <c r="AC77" s="2" t="s">
        <v>67</v>
      </c>
    </row>
    <row r="78" spans="1:29" x14ac:dyDescent="0.35">
      <c r="A78" t="s">
        <v>109</v>
      </c>
      <c r="B78" t="s">
        <v>69</v>
      </c>
      <c r="C78" t="s">
        <v>8</v>
      </c>
      <c r="D78" t="s">
        <v>43</v>
      </c>
      <c r="E78" t="s">
        <v>120</v>
      </c>
      <c r="F78" t="s">
        <v>121</v>
      </c>
      <c r="G78" s="2" t="s">
        <v>8</v>
      </c>
      <c r="H78">
        <f>VALUE(Tabla2[[#This Row],[CODIGO PDV]])</f>
        <v>355912</v>
      </c>
      <c r="I78" s="31" t="s">
        <v>201</v>
      </c>
      <c r="J78" s="2" t="s">
        <v>202</v>
      </c>
      <c r="K78" t="s">
        <v>64</v>
      </c>
      <c r="L78" t="s">
        <v>121</v>
      </c>
      <c r="M78" s="2" t="s">
        <v>78</v>
      </c>
      <c r="N78" t="s">
        <v>156</v>
      </c>
      <c r="O78" t="s">
        <v>101</v>
      </c>
      <c r="P78" s="2" t="s">
        <v>43</v>
      </c>
      <c r="Q78" t="s">
        <v>64</v>
      </c>
      <c r="R78" t="s">
        <v>64</v>
      </c>
      <c r="S78" s="77" t="s">
        <v>203</v>
      </c>
      <c r="T78" t="s">
        <v>204</v>
      </c>
      <c r="U78" t="s">
        <v>205</v>
      </c>
      <c r="V78" s="2" t="s">
        <v>206</v>
      </c>
      <c r="W78" s="2" t="s">
        <v>65</v>
      </c>
      <c r="Z78" s="2" t="s">
        <v>128</v>
      </c>
      <c r="AA78" s="2" t="s">
        <v>129</v>
      </c>
      <c r="AB78" s="2" t="s">
        <v>66</v>
      </c>
      <c r="AC78" s="2" t="s">
        <v>67</v>
      </c>
    </row>
    <row r="79" spans="1:29" x14ac:dyDescent="0.35">
      <c r="A79" t="s">
        <v>109</v>
      </c>
      <c r="B79" t="s">
        <v>69</v>
      </c>
      <c r="C79" t="s">
        <v>8</v>
      </c>
      <c r="D79" t="s">
        <v>43</v>
      </c>
      <c r="E79" t="s">
        <v>120</v>
      </c>
      <c r="F79" t="s">
        <v>121</v>
      </c>
      <c r="G79" s="2" t="s">
        <v>8</v>
      </c>
      <c r="H79">
        <f>VALUE(Tabla2[[#This Row],[CODIGO PDV]])</f>
        <v>355912</v>
      </c>
      <c r="I79" s="31" t="s">
        <v>201</v>
      </c>
      <c r="J79" s="2" t="s">
        <v>202</v>
      </c>
      <c r="K79" t="s">
        <v>64</v>
      </c>
      <c r="L79" t="s">
        <v>121</v>
      </c>
      <c r="M79" s="2" t="s">
        <v>78</v>
      </c>
      <c r="N79" t="s">
        <v>156</v>
      </c>
      <c r="O79" t="s">
        <v>137</v>
      </c>
      <c r="P79" s="2" t="s">
        <v>20</v>
      </c>
      <c r="Q79" t="s">
        <v>64</v>
      </c>
      <c r="R79" t="s">
        <v>64</v>
      </c>
      <c r="S79" s="77" t="s">
        <v>203</v>
      </c>
      <c r="T79" t="s">
        <v>204</v>
      </c>
      <c r="U79" t="s">
        <v>205</v>
      </c>
      <c r="V79" s="2" t="s">
        <v>206</v>
      </c>
      <c r="W79" s="2" t="s">
        <v>65</v>
      </c>
      <c r="Z79" s="2" t="s">
        <v>128</v>
      </c>
      <c r="AA79" s="2" t="s">
        <v>129</v>
      </c>
      <c r="AB79" s="2" t="s">
        <v>66</v>
      </c>
      <c r="AC79" s="2" t="s">
        <v>67</v>
      </c>
    </row>
    <row r="80" spans="1:29" x14ac:dyDescent="0.35">
      <c r="A80" t="s">
        <v>109</v>
      </c>
      <c r="B80" t="s">
        <v>69</v>
      </c>
      <c r="C80" t="s">
        <v>8</v>
      </c>
      <c r="D80" t="s">
        <v>43</v>
      </c>
      <c r="E80" t="s">
        <v>120</v>
      </c>
      <c r="F80" t="s">
        <v>121</v>
      </c>
      <c r="G80" s="2" t="s">
        <v>8</v>
      </c>
      <c r="H80">
        <f>VALUE(Tabla2[[#This Row],[CODIGO PDV]])</f>
        <v>355912</v>
      </c>
      <c r="I80" s="31" t="s">
        <v>201</v>
      </c>
      <c r="J80" s="2" t="s">
        <v>202</v>
      </c>
      <c r="K80" t="s">
        <v>64</v>
      </c>
      <c r="L80" t="s">
        <v>121</v>
      </c>
      <c r="M80" s="2" t="s">
        <v>78</v>
      </c>
      <c r="N80" t="s">
        <v>156</v>
      </c>
      <c r="O80" t="s">
        <v>153</v>
      </c>
      <c r="P80" s="2" t="s">
        <v>20</v>
      </c>
      <c r="Q80" t="s">
        <v>64</v>
      </c>
      <c r="R80" t="s">
        <v>64</v>
      </c>
      <c r="S80" s="77" t="s">
        <v>203</v>
      </c>
      <c r="T80" t="s">
        <v>204</v>
      </c>
      <c r="U80" t="s">
        <v>205</v>
      </c>
      <c r="V80" s="2" t="s">
        <v>206</v>
      </c>
      <c r="W80" s="2" t="s">
        <v>65</v>
      </c>
      <c r="Z80" s="2" t="s">
        <v>128</v>
      </c>
      <c r="AA80" s="2" t="s">
        <v>129</v>
      </c>
      <c r="AB80" s="2" t="s">
        <v>66</v>
      </c>
      <c r="AC80" s="2" t="s">
        <v>67</v>
      </c>
    </row>
    <row r="81" spans="1:29" x14ac:dyDescent="0.35">
      <c r="A81" t="s">
        <v>109</v>
      </c>
      <c r="B81" t="s">
        <v>69</v>
      </c>
      <c r="C81" t="s">
        <v>8</v>
      </c>
      <c r="D81" t="s">
        <v>43</v>
      </c>
      <c r="E81" t="s">
        <v>120</v>
      </c>
      <c r="F81" t="s">
        <v>121</v>
      </c>
      <c r="G81" s="2" t="s">
        <v>8</v>
      </c>
      <c r="H81">
        <f>VALUE(Tabla2[[#This Row],[CODIGO PDV]])</f>
        <v>355912</v>
      </c>
      <c r="I81" s="31" t="s">
        <v>201</v>
      </c>
      <c r="J81" s="2" t="s">
        <v>202</v>
      </c>
      <c r="K81" t="s">
        <v>64</v>
      </c>
      <c r="L81" t="s">
        <v>121</v>
      </c>
      <c r="M81" s="2" t="s">
        <v>78</v>
      </c>
      <c r="N81" t="s">
        <v>156</v>
      </c>
      <c r="O81" t="s">
        <v>102</v>
      </c>
      <c r="P81" s="2" t="s">
        <v>20</v>
      </c>
      <c r="Q81" t="s">
        <v>64</v>
      </c>
      <c r="R81" t="s">
        <v>64</v>
      </c>
      <c r="S81" s="77" t="s">
        <v>203</v>
      </c>
      <c r="T81" t="s">
        <v>204</v>
      </c>
      <c r="U81" t="s">
        <v>205</v>
      </c>
      <c r="V81" s="2" t="s">
        <v>206</v>
      </c>
      <c r="W81" s="2" t="s">
        <v>65</v>
      </c>
      <c r="Z81" s="2" t="s">
        <v>128</v>
      </c>
      <c r="AA81" s="2" t="s">
        <v>129</v>
      </c>
      <c r="AB81" s="2" t="s">
        <v>66</v>
      </c>
      <c r="AC81" s="2" t="s">
        <v>67</v>
      </c>
    </row>
    <row r="82" spans="1:29" x14ac:dyDescent="0.35">
      <c r="A82" t="s">
        <v>109</v>
      </c>
      <c r="B82" t="s">
        <v>69</v>
      </c>
      <c r="C82" t="s">
        <v>8</v>
      </c>
      <c r="D82" t="s">
        <v>43</v>
      </c>
      <c r="E82" t="s">
        <v>120</v>
      </c>
      <c r="F82" t="s">
        <v>121</v>
      </c>
      <c r="G82" s="2" t="s">
        <v>8</v>
      </c>
      <c r="H82">
        <f>VALUE(Tabla2[[#This Row],[CODIGO PDV]])</f>
        <v>355912</v>
      </c>
      <c r="I82" s="31" t="s">
        <v>201</v>
      </c>
      <c r="J82" s="2" t="s">
        <v>202</v>
      </c>
      <c r="K82" t="s">
        <v>64</v>
      </c>
      <c r="L82" t="s">
        <v>121</v>
      </c>
      <c r="M82" s="2" t="s">
        <v>78</v>
      </c>
      <c r="N82" t="s">
        <v>156</v>
      </c>
      <c r="O82" t="s">
        <v>103</v>
      </c>
      <c r="P82" s="2" t="s">
        <v>207</v>
      </c>
      <c r="Q82" t="s">
        <v>64</v>
      </c>
      <c r="R82" t="s">
        <v>64</v>
      </c>
      <c r="S82" s="77" t="s">
        <v>203</v>
      </c>
      <c r="T82" t="s">
        <v>204</v>
      </c>
      <c r="U82" t="s">
        <v>205</v>
      </c>
      <c r="V82" s="2" t="s">
        <v>206</v>
      </c>
      <c r="W82" s="2" t="s">
        <v>65</v>
      </c>
      <c r="Z82" s="2" t="s">
        <v>128</v>
      </c>
      <c r="AA82" s="2" t="s">
        <v>129</v>
      </c>
      <c r="AB82" s="2" t="s">
        <v>66</v>
      </c>
      <c r="AC82" s="2" t="s">
        <v>67</v>
      </c>
    </row>
    <row r="83" spans="1:29" x14ac:dyDescent="0.35">
      <c r="A83" t="s">
        <v>109</v>
      </c>
      <c r="B83" t="s">
        <v>69</v>
      </c>
      <c r="C83" t="s">
        <v>8</v>
      </c>
      <c r="D83" t="s">
        <v>15</v>
      </c>
      <c r="E83" t="s">
        <v>120</v>
      </c>
      <c r="F83" t="s">
        <v>121</v>
      </c>
      <c r="G83" s="2" t="s">
        <v>8</v>
      </c>
      <c r="H83">
        <f>VALUE(Tabla2[[#This Row],[CODIGO PDV]])</f>
        <v>42612</v>
      </c>
      <c r="I83" s="31" t="s">
        <v>135</v>
      </c>
      <c r="J83" s="2" t="s">
        <v>136</v>
      </c>
      <c r="K83" t="s">
        <v>110</v>
      </c>
      <c r="L83" t="s">
        <v>121</v>
      </c>
      <c r="M83" s="2" t="s">
        <v>78</v>
      </c>
      <c r="N83" t="s">
        <v>156</v>
      </c>
      <c r="O83" t="s">
        <v>87</v>
      </c>
      <c r="P83" s="2" t="s">
        <v>20</v>
      </c>
      <c r="Q83" t="s">
        <v>64</v>
      </c>
      <c r="R83" t="s">
        <v>64</v>
      </c>
      <c r="S83" s="77" t="s">
        <v>208</v>
      </c>
      <c r="T83" t="s">
        <v>209</v>
      </c>
      <c r="U83" t="s">
        <v>210</v>
      </c>
      <c r="V83" s="2" t="s">
        <v>211</v>
      </c>
      <c r="W83" s="2" t="s">
        <v>65</v>
      </c>
      <c r="Z83" s="2" t="s">
        <v>212</v>
      </c>
      <c r="AA83" s="2" t="s">
        <v>213</v>
      </c>
      <c r="AB83" s="2" t="s">
        <v>66</v>
      </c>
      <c r="AC83" s="2" t="s">
        <v>67</v>
      </c>
    </row>
    <row r="84" spans="1:29" x14ac:dyDescent="0.35">
      <c r="A84" t="s">
        <v>109</v>
      </c>
      <c r="B84" t="s">
        <v>69</v>
      </c>
      <c r="C84" t="s">
        <v>8</v>
      </c>
      <c r="D84" t="s">
        <v>15</v>
      </c>
      <c r="E84" t="s">
        <v>120</v>
      </c>
      <c r="F84" t="s">
        <v>121</v>
      </c>
      <c r="G84" s="2" t="s">
        <v>8</v>
      </c>
      <c r="H84">
        <f>VALUE(Tabla2[[#This Row],[CODIGO PDV]])</f>
        <v>42612</v>
      </c>
      <c r="I84" s="31" t="s">
        <v>135</v>
      </c>
      <c r="J84" s="2" t="s">
        <v>136</v>
      </c>
      <c r="K84" t="s">
        <v>110</v>
      </c>
      <c r="L84" t="s">
        <v>121</v>
      </c>
      <c r="M84" s="2" t="s">
        <v>78</v>
      </c>
      <c r="N84" t="s">
        <v>156</v>
      </c>
      <c r="O84" t="s">
        <v>88</v>
      </c>
      <c r="P84" s="2" t="s">
        <v>108</v>
      </c>
      <c r="Q84" t="s">
        <v>64</v>
      </c>
      <c r="R84" t="s">
        <v>64</v>
      </c>
      <c r="S84" s="77" t="s">
        <v>208</v>
      </c>
      <c r="T84" t="s">
        <v>209</v>
      </c>
      <c r="U84" t="s">
        <v>210</v>
      </c>
      <c r="V84" s="2" t="s">
        <v>211</v>
      </c>
      <c r="W84" s="2" t="s">
        <v>65</v>
      </c>
      <c r="Z84" s="2" t="s">
        <v>212</v>
      </c>
      <c r="AA84" s="2" t="s">
        <v>213</v>
      </c>
      <c r="AB84" s="2" t="s">
        <v>66</v>
      </c>
      <c r="AC84" s="2" t="s">
        <v>67</v>
      </c>
    </row>
    <row r="85" spans="1:29" x14ac:dyDescent="0.35">
      <c r="A85" t="s">
        <v>109</v>
      </c>
      <c r="B85" t="s">
        <v>69</v>
      </c>
      <c r="C85" t="s">
        <v>8</v>
      </c>
      <c r="D85" t="s">
        <v>15</v>
      </c>
      <c r="E85" t="s">
        <v>120</v>
      </c>
      <c r="F85" t="s">
        <v>121</v>
      </c>
      <c r="G85" s="2" t="s">
        <v>8</v>
      </c>
      <c r="H85">
        <f>VALUE(Tabla2[[#This Row],[CODIGO PDV]])</f>
        <v>42612</v>
      </c>
      <c r="I85" s="31" t="s">
        <v>135</v>
      </c>
      <c r="J85" s="2" t="s">
        <v>136</v>
      </c>
      <c r="K85" t="s">
        <v>110</v>
      </c>
      <c r="L85" t="s">
        <v>121</v>
      </c>
      <c r="M85" s="2" t="s">
        <v>78</v>
      </c>
      <c r="N85" t="s">
        <v>156</v>
      </c>
      <c r="O85" t="s">
        <v>89</v>
      </c>
      <c r="P85" s="2" t="s">
        <v>20</v>
      </c>
      <c r="Q85" t="s">
        <v>64</v>
      </c>
      <c r="R85" t="s">
        <v>64</v>
      </c>
      <c r="S85" s="77" t="s">
        <v>208</v>
      </c>
      <c r="T85" t="s">
        <v>209</v>
      </c>
      <c r="U85" t="s">
        <v>210</v>
      </c>
      <c r="V85" s="2" t="s">
        <v>211</v>
      </c>
      <c r="W85" s="2" t="s">
        <v>65</v>
      </c>
      <c r="Z85" s="2" t="s">
        <v>212</v>
      </c>
      <c r="AA85" s="2" t="s">
        <v>213</v>
      </c>
      <c r="AB85" s="2" t="s">
        <v>66</v>
      </c>
      <c r="AC85" s="2" t="s">
        <v>67</v>
      </c>
    </row>
    <row r="86" spans="1:29" x14ac:dyDescent="0.35">
      <c r="A86" t="s">
        <v>109</v>
      </c>
      <c r="B86" t="s">
        <v>69</v>
      </c>
      <c r="C86" t="s">
        <v>8</v>
      </c>
      <c r="D86" t="s">
        <v>15</v>
      </c>
      <c r="E86" t="s">
        <v>120</v>
      </c>
      <c r="F86" t="s">
        <v>121</v>
      </c>
      <c r="G86" s="2" t="s">
        <v>8</v>
      </c>
      <c r="H86">
        <f>VALUE(Tabla2[[#This Row],[CODIGO PDV]])</f>
        <v>42612</v>
      </c>
      <c r="I86" s="31" t="s">
        <v>135</v>
      </c>
      <c r="J86" s="2" t="s">
        <v>136</v>
      </c>
      <c r="K86" t="s">
        <v>110</v>
      </c>
      <c r="L86" t="s">
        <v>121</v>
      </c>
      <c r="M86" s="2" t="s">
        <v>78</v>
      </c>
      <c r="N86" t="s">
        <v>156</v>
      </c>
      <c r="O86" t="s">
        <v>90</v>
      </c>
      <c r="P86" s="2" t="s">
        <v>20</v>
      </c>
      <c r="Q86" t="s">
        <v>64</v>
      </c>
      <c r="R86" t="s">
        <v>64</v>
      </c>
      <c r="S86" s="77" t="s">
        <v>208</v>
      </c>
      <c r="T86" t="s">
        <v>209</v>
      </c>
      <c r="U86" t="s">
        <v>210</v>
      </c>
      <c r="V86" s="2" t="s">
        <v>211</v>
      </c>
      <c r="W86" s="2" t="s">
        <v>65</v>
      </c>
      <c r="Z86" s="2" t="s">
        <v>212</v>
      </c>
      <c r="AA86" s="2" t="s">
        <v>213</v>
      </c>
      <c r="AB86" s="2" t="s">
        <v>66</v>
      </c>
      <c r="AC86" s="2" t="s">
        <v>67</v>
      </c>
    </row>
    <row r="87" spans="1:29" x14ac:dyDescent="0.35">
      <c r="A87" t="s">
        <v>109</v>
      </c>
      <c r="B87" t="s">
        <v>69</v>
      </c>
      <c r="C87" t="s">
        <v>8</v>
      </c>
      <c r="D87" t="s">
        <v>15</v>
      </c>
      <c r="E87" t="s">
        <v>120</v>
      </c>
      <c r="F87" t="s">
        <v>121</v>
      </c>
      <c r="G87" s="2" t="s">
        <v>8</v>
      </c>
      <c r="H87">
        <f>VALUE(Tabla2[[#This Row],[CODIGO PDV]])</f>
        <v>42612</v>
      </c>
      <c r="I87" s="31" t="s">
        <v>135</v>
      </c>
      <c r="J87" s="2" t="s">
        <v>136</v>
      </c>
      <c r="K87" t="s">
        <v>110</v>
      </c>
      <c r="L87" t="s">
        <v>121</v>
      </c>
      <c r="M87" s="2" t="s">
        <v>78</v>
      </c>
      <c r="N87" t="s">
        <v>156</v>
      </c>
      <c r="O87" t="s">
        <v>35</v>
      </c>
      <c r="P87" s="2" t="s">
        <v>20</v>
      </c>
      <c r="Q87" t="s">
        <v>64</v>
      </c>
      <c r="R87" t="s">
        <v>64</v>
      </c>
      <c r="S87" s="77" t="s">
        <v>208</v>
      </c>
      <c r="T87" t="s">
        <v>209</v>
      </c>
      <c r="U87" t="s">
        <v>210</v>
      </c>
      <c r="V87" s="2" t="s">
        <v>211</v>
      </c>
      <c r="W87" s="2" t="s">
        <v>65</v>
      </c>
      <c r="Z87" s="2" t="s">
        <v>212</v>
      </c>
      <c r="AA87" s="2" t="s">
        <v>213</v>
      </c>
      <c r="AB87" s="2" t="s">
        <v>66</v>
      </c>
      <c r="AC87" s="2" t="s">
        <v>67</v>
      </c>
    </row>
    <row r="88" spans="1:29" x14ac:dyDescent="0.35">
      <c r="A88" t="s">
        <v>109</v>
      </c>
      <c r="B88" t="s">
        <v>69</v>
      </c>
      <c r="C88" t="s">
        <v>8</v>
      </c>
      <c r="D88" t="s">
        <v>15</v>
      </c>
      <c r="E88" t="s">
        <v>120</v>
      </c>
      <c r="F88" t="s">
        <v>121</v>
      </c>
      <c r="G88" s="2" t="s">
        <v>8</v>
      </c>
      <c r="H88">
        <f>VALUE(Tabla2[[#This Row],[CODIGO PDV]])</f>
        <v>42612</v>
      </c>
      <c r="I88" s="31" t="s">
        <v>135</v>
      </c>
      <c r="J88" s="2" t="s">
        <v>136</v>
      </c>
      <c r="K88" t="s">
        <v>110</v>
      </c>
      <c r="L88" t="s">
        <v>121</v>
      </c>
      <c r="M88" s="2" t="s">
        <v>78</v>
      </c>
      <c r="N88" t="s">
        <v>156</v>
      </c>
      <c r="O88" t="s">
        <v>91</v>
      </c>
      <c r="P88" s="2" t="s">
        <v>108</v>
      </c>
      <c r="Q88" t="s">
        <v>64</v>
      </c>
      <c r="R88" t="s">
        <v>64</v>
      </c>
      <c r="S88" s="77" t="s">
        <v>208</v>
      </c>
      <c r="T88" t="s">
        <v>209</v>
      </c>
      <c r="U88" t="s">
        <v>210</v>
      </c>
      <c r="V88" s="2" t="s">
        <v>211</v>
      </c>
      <c r="W88" s="2" t="s">
        <v>65</v>
      </c>
      <c r="Z88" s="2" t="s">
        <v>212</v>
      </c>
      <c r="AA88" s="2" t="s">
        <v>213</v>
      </c>
      <c r="AB88" s="2" t="s">
        <v>66</v>
      </c>
      <c r="AC88" s="2" t="s">
        <v>67</v>
      </c>
    </row>
    <row r="89" spans="1:29" x14ac:dyDescent="0.35">
      <c r="A89" t="s">
        <v>109</v>
      </c>
      <c r="B89" t="s">
        <v>69</v>
      </c>
      <c r="C89" t="s">
        <v>8</v>
      </c>
      <c r="D89" t="s">
        <v>15</v>
      </c>
      <c r="E89" t="s">
        <v>120</v>
      </c>
      <c r="F89" t="s">
        <v>121</v>
      </c>
      <c r="G89" s="2" t="s">
        <v>8</v>
      </c>
      <c r="H89">
        <f>VALUE(Tabla2[[#This Row],[CODIGO PDV]])</f>
        <v>42612</v>
      </c>
      <c r="I89" s="31" t="s">
        <v>135</v>
      </c>
      <c r="J89" s="2" t="s">
        <v>136</v>
      </c>
      <c r="K89" t="s">
        <v>110</v>
      </c>
      <c r="L89" t="s">
        <v>121</v>
      </c>
      <c r="M89" s="2" t="s">
        <v>78</v>
      </c>
      <c r="N89" t="s">
        <v>156</v>
      </c>
      <c r="O89" t="s">
        <v>92</v>
      </c>
      <c r="P89" s="2" t="s">
        <v>20</v>
      </c>
      <c r="Q89" t="s">
        <v>64</v>
      </c>
      <c r="R89" t="s">
        <v>64</v>
      </c>
      <c r="S89" s="77" t="s">
        <v>208</v>
      </c>
      <c r="T89" t="s">
        <v>209</v>
      </c>
      <c r="U89" t="s">
        <v>210</v>
      </c>
      <c r="V89" s="2" t="s">
        <v>211</v>
      </c>
      <c r="W89" s="2" t="s">
        <v>65</v>
      </c>
      <c r="Z89" s="2" t="s">
        <v>212</v>
      </c>
      <c r="AA89" s="2" t="s">
        <v>213</v>
      </c>
      <c r="AB89" s="2" t="s">
        <v>66</v>
      </c>
      <c r="AC89" s="2" t="s">
        <v>67</v>
      </c>
    </row>
    <row r="90" spans="1:29" x14ac:dyDescent="0.35">
      <c r="A90" t="s">
        <v>109</v>
      </c>
      <c r="B90" t="s">
        <v>69</v>
      </c>
      <c r="C90" t="s">
        <v>8</v>
      </c>
      <c r="D90" t="s">
        <v>15</v>
      </c>
      <c r="E90" t="s">
        <v>120</v>
      </c>
      <c r="F90" t="s">
        <v>121</v>
      </c>
      <c r="G90" s="2" t="s">
        <v>8</v>
      </c>
      <c r="H90">
        <f>VALUE(Tabla2[[#This Row],[CODIGO PDV]])</f>
        <v>42612</v>
      </c>
      <c r="I90" s="31" t="s">
        <v>135</v>
      </c>
      <c r="J90" s="2" t="s">
        <v>136</v>
      </c>
      <c r="K90" t="s">
        <v>110</v>
      </c>
      <c r="L90" t="s">
        <v>121</v>
      </c>
      <c r="M90" s="2" t="s">
        <v>78</v>
      </c>
      <c r="N90" t="s">
        <v>156</v>
      </c>
      <c r="O90" t="s">
        <v>93</v>
      </c>
      <c r="P90" s="2" t="s">
        <v>20</v>
      </c>
      <c r="Q90" t="s">
        <v>64</v>
      </c>
      <c r="R90" t="s">
        <v>64</v>
      </c>
      <c r="S90" s="77" t="s">
        <v>208</v>
      </c>
      <c r="T90" t="s">
        <v>209</v>
      </c>
      <c r="U90" t="s">
        <v>210</v>
      </c>
      <c r="V90" s="2" t="s">
        <v>211</v>
      </c>
      <c r="W90" s="2" t="s">
        <v>65</v>
      </c>
      <c r="Z90" s="2" t="s">
        <v>212</v>
      </c>
      <c r="AA90" s="2" t="s">
        <v>213</v>
      </c>
      <c r="AB90" s="2" t="s">
        <v>66</v>
      </c>
      <c r="AC90" s="2" t="s">
        <v>67</v>
      </c>
    </row>
    <row r="91" spans="1:29" x14ac:dyDescent="0.35">
      <c r="A91" t="s">
        <v>109</v>
      </c>
      <c r="B91" t="s">
        <v>69</v>
      </c>
      <c r="C91" t="s">
        <v>8</v>
      </c>
      <c r="D91" t="s">
        <v>15</v>
      </c>
      <c r="E91" t="s">
        <v>120</v>
      </c>
      <c r="F91" t="s">
        <v>121</v>
      </c>
      <c r="G91" s="2" t="s">
        <v>8</v>
      </c>
      <c r="H91">
        <f>VALUE(Tabla2[[#This Row],[CODIGO PDV]])</f>
        <v>42612</v>
      </c>
      <c r="I91" s="31" t="s">
        <v>135</v>
      </c>
      <c r="J91" s="2" t="s">
        <v>136</v>
      </c>
      <c r="K91" t="s">
        <v>110</v>
      </c>
      <c r="L91" t="s">
        <v>121</v>
      </c>
      <c r="M91" s="2" t="s">
        <v>78</v>
      </c>
      <c r="N91" t="s">
        <v>156</v>
      </c>
      <c r="O91" t="s">
        <v>94</v>
      </c>
      <c r="P91" s="2" t="s">
        <v>108</v>
      </c>
      <c r="Q91" t="s">
        <v>64</v>
      </c>
      <c r="R91" t="s">
        <v>64</v>
      </c>
      <c r="S91" s="77" t="s">
        <v>208</v>
      </c>
      <c r="T91" t="s">
        <v>209</v>
      </c>
      <c r="U91" t="s">
        <v>210</v>
      </c>
      <c r="V91" s="2" t="s">
        <v>211</v>
      </c>
      <c r="W91" s="2" t="s">
        <v>65</v>
      </c>
      <c r="Z91" s="2" t="s">
        <v>212</v>
      </c>
      <c r="AA91" s="2" t="s">
        <v>213</v>
      </c>
      <c r="AB91" s="2" t="s">
        <v>66</v>
      </c>
      <c r="AC91" s="2" t="s">
        <v>67</v>
      </c>
    </row>
    <row r="92" spans="1:29" x14ac:dyDescent="0.35">
      <c r="A92" t="s">
        <v>109</v>
      </c>
      <c r="B92" t="s">
        <v>69</v>
      </c>
      <c r="C92" t="s">
        <v>8</v>
      </c>
      <c r="D92" t="s">
        <v>15</v>
      </c>
      <c r="E92" t="s">
        <v>120</v>
      </c>
      <c r="F92" t="s">
        <v>121</v>
      </c>
      <c r="G92" s="2" t="s">
        <v>8</v>
      </c>
      <c r="H92">
        <f>VALUE(Tabla2[[#This Row],[CODIGO PDV]])</f>
        <v>42612</v>
      </c>
      <c r="I92" s="31" t="s">
        <v>135</v>
      </c>
      <c r="J92" s="2" t="s">
        <v>136</v>
      </c>
      <c r="K92" t="s">
        <v>110</v>
      </c>
      <c r="L92" t="s">
        <v>121</v>
      </c>
      <c r="M92" s="2" t="s">
        <v>78</v>
      </c>
      <c r="N92" t="s">
        <v>156</v>
      </c>
      <c r="O92" t="s">
        <v>95</v>
      </c>
      <c r="P92" s="2" t="s">
        <v>108</v>
      </c>
      <c r="Q92" t="s">
        <v>64</v>
      </c>
      <c r="R92" t="s">
        <v>64</v>
      </c>
      <c r="S92" s="77" t="s">
        <v>208</v>
      </c>
      <c r="T92" t="s">
        <v>209</v>
      </c>
      <c r="U92" t="s">
        <v>210</v>
      </c>
      <c r="V92" s="2" t="s">
        <v>211</v>
      </c>
      <c r="W92" s="2" t="s">
        <v>65</v>
      </c>
      <c r="Z92" s="2" t="s">
        <v>212</v>
      </c>
      <c r="AA92" s="2" t="s">
        <v>213</v>
      </c>
      <c r="AB92" s="2" t="s">
        <v>66</v>
      </c>
      <c r="AC92" s="2" t="s">
        <v>67</v>
      </c>
    </row>
    <row r="93" spans="1:29" x14ac:dyDescent="0.35">
      <c r="A93" t="s">
        <v>109</v>
      </c>
      <c r="B93" t="s">
        <v>69</v>
      </c>
      <c r="C93" t="s">
        <v>8</v>
      </c>
      <c r="D93" t="s">
        <v>15</v>
      </c>
      <c r="E93" t="s">
        <v>120</v>
      </c>
      <c r="F93" t="s">
        <v>121</v>
      </c>
      <c r="G93" s="2" t="s">
        <v>8</v>
      </c>
      <c r="H93">
        <f>VALUE(Tabla2[[#This Row],[CODIGO PDV]])</f>
        <v>42612</v>
      </c>
      <c r="I93" s="31" t="s">
        <v>135</v>
      </c>
      <c r="J93" s="2" t="s">
        <v>136</v>
      </c>
      <c r="K93" t="s">
        <v>110</v>
      </c>
      <c r="L93" t="s">
        <v>121</v>
      </c>
      <c r="M93" s="2" t="s">
        <v>78</v>
      </c>
      <c r="N93" t="s">
        <v>156</v>
      </c>
      <c r="O93" t="s">
        <v>96</v>
      </c>
      <c r="P93" s="2" t="s">
        <v>108</v>
      </c>
      <c r="Q93" t="s">
        <v>64</v>
      </c>
      <c r="R93" t="s">
        <v>64</v>
      </c>
      <c r="S93" s="77" t="s">
        <v>208</v>
      </c>
      <c r="T93" t="s">
        <v>209</v>
      </c>
      <c r="U93" t="s">
        <v>210</v>
      </c>
      <c r="V93" s="2" t="s">
        <v>211</v>
      </c>
      <c r="W93" s="2" t="s">
        <v>65</v>
      </c>
      <c r="Z93" s="2" t="s">
        <v>212</v>
      </c>
      <c r="AA93" s="2" t="s">
        <v>213</v>
      </c>
      <c r="AB93" s="2" t="s">
        <v>66</v>
      </c>
      <c r="AC93" s="2" t="s">
        <v>67</v>
      </c>
    </row>
    <row r="94" spans="1:29" x14ac:dyDescent="0.35">
      <c r="A94" t="s">
        <v>109</v>
      </c>
      <c r="B94" t="s">
        <v>69</v>
      </c>
      <c r="C94" t="s">
        <v>8</v>
      </c>
      <c r="D94" t="s">
        <v>15</v>
      </c>
      <c r="E94" t="s">
        <v>120</v>
      </c>
      <c r="F94" t="s">
        <v>121</v>
      </c>
      <c r="G94" s="2" t="s">
        <v>8</v>
      </c>
      <c r="H94">
        <f>VALUE(Tabla2[[#This Row],[CODIGO PDV]])</f>
        <v>42612</v>
      </c>
      <c r="I94" s="31" t="s">
        <v>135</v>
      </c>
      <c r="J94" s="2" t="s">
        <v>136</v>
      </c>
      <c r="K94" t="s">
        <v>110</v>
      </c>
      <c r="L94" t="s">
        <v>121</v>
      </c>
      <c r="M94" s="2" t="s">
        <v>78</v>
      </c>
      <c r="N94" t="s">
        <v>156</v>
      </c>
      <c r="O94" t="s">
        <v>97</v>
      </c>
      <c r="P94" s="2" t="s">
        <v>108</v>
      </c>
      <c r="Q94" t="s">
        <v>64</v>
      </c>
      <c r="R94" t="s">
        <v>64</v>
      </c>
      <c r="S94" s="77" t="s">
        <v>208</v>
      </c>
      <c r="T94" t="s">
        <v>209</v>
      </c>
      <c r="U94" t="s">
        <v>210</v>
      </c>
      <c r="V94" s="2" t="s">
        <v>211</v>
      </c>
      <c r="W94" s="2" t="s">
        <v>65</v>
      </c>
      <c r="Z94" s="2" t="s">
        <v>212</v>
      </c>
      <c r="AA94" s="2" t="s">
        <v>213</v>
      </c>
      <c r="AB94" s="2" t="s">
        <v>66</v>
      </c>
      <c r="AC94" s="2" t="s">
        <v>67</v>
      </c>
    </row>
    <row r="95" spans="1:29" x14ac:dyDescent="0.35">
      <c r="A95" t="s">
        <v>109</v>
      </c>
      <c r="B95" t="s">
        <v>69</v>
      </c>
      <c r="C95" t="s">
        <v>8</v>
      </c>
      <c r="D95" t="s">
        <v>15</v>
      </c>
      <c r="E95" t="s">
        <v>120</v>
      </c>
      <c r="F95" t="s">
        <v>121</v>
      </c>
      <c r="G95" s="2" t="s">
        <v>8</v>
      </c>
      <c r="H95">
        <f>VALUE(Tabla2[[#This Row],[CODIGO PDV]])</f>
        <v>42612</v>
      </c>
      <c r="I95" s="31" t="s">
        <v>135</v>
      </c>
      <c r="J95" s="2" t="s">
        <v>136</v>
      </c>
      <c r="K95" t="s">
        <v>110</v>
      </c>
      <c r="L95" t="s">
        <v>121</v>
      </c>
      <c r="M95" s="2" t="s">
        <v>78</v>
      </c>
      <c r="N95" t="s">
        <v>156</v>
      </c>
      <c r="O95" t="s">
        <v>147</v>
      </c>
      <c r="P95" s="2" t="s">
        <v>20</v>
      </c>
      <c r="Q95" t="s">
        <v>64</v>
      </c>
      <c r="R95" t="s">
        <v>64</v>
      </c>
      <c r="S95" s="77" t="s">
        <v>208</v>
      </c>
      <c r="T95" t="s">
        <v>209</v>
      </c>
      <c r="U95" t="s">
        <v>210</v>
      </c>
      <c r="V95" s="2" t="s">
        <v>211</v>
      </c>
      <c r="W95" s="2" t="s">
        <v>65</v>
      </c>
      <c r="Z95" s="2" t="s">
        <v>212</v>
      </c>
      <c r="AA95" s="2" t="s">
        <v>213</v>
      </c>
      <c r="AB95" s="2" t="s">
        <v>66</v>
      </c>
      <c r="AC95" s="2" t="s">
        <v>67</v>
      </c>
    </row>
    <row r="96" spans="1:29" x14ac:dyDescent="0.35">
      <c r="A96" t="s">
        <v>109</v>
      </c>
      <c r="B96" t="s">
        <v>69</v>
      </c>
      <c r="C96" t="s">
        <v>8</v>
      </c>
      <c r="D96" t="s">
        <v>15</v>
      </c>
      <c r="E96" t="s">
        <v>120</v>
      </c>
      <c r="F96" t="s">
        <v>121</v>
      </c>
      <c r="G96" s="2" t="s">
        <v>8</v>
      </c>
      <c r="H96">
        <f>VALUE(Tabla2[[#This Row],[CODIGO PDV]])</f>
        <v>42612</v>
      </c>
      <c r="I96" s="31" t="s">
        <v>135</v>
      </c>
      <c r="J96" s="2" t="s">
        <v>136</v>
      </c>
      <c r="K96" t="s">
        <v>110</v>
      </c>
      <c r="L96" t="s">
        <v>121</v>
      </c>
      <c r="M96" s="2" t="s">
        <v>78</v>
      </c>
      <c r="N96" t="s">
        <v>156</v>
      </c>
      <c r="O96" t="s">
        <v>148</v>
      </c>
      <c r="P96" s="2" t="s">
        <v>20</v>
      </c>
      <c r="Q96" t="s">
        <v>64</v>
      </c>
      <c r="R96" t="s">
        <v>64</v>
      </c>
      <c r="S96" s="77" t="s">
        <v>208</v>
      </c>
      <c r="T96" t="s">
        <v>209</v>
      </c>
      <c r="U96" t="s">
        <v>210</v>
      </c>
      <c r="V96" s="2" t="s">
        <v>211</v>
      </c>
      <c r="W96" s="2" t="s">
        <v>65</v>
      </c>
      <c r="Z96" s="2" t="s">
        <v>212</v>
      </c>
      <c r="AA96" s="2" t="s">
        <v>213</v>
      </c>
      <c r="AB96" s="2" t="s">
        <v>66</v>
      </c>
      <c r="AC96" s="2" t="s">
        <v>67</v>
      </c>
    </row>
    <row r="97" spans="1:29" x14ac:dyDescent="0.35">
      <c r="A97" t="s">
        <v>109</v>
      </c>
      <c r="B97" t="s">
        <v>69</v>
      </c>
      <c r="C97" t="s">
        <v>8</v>
      </c>
      <c r="D97" t="s">
        <v>15</v>
      </c>
      <c r="E97" t="s">
        <v>120</v>
      </c>
      <c r="F97" t="s">
        <v>121</v>
      </c>
      <c r="G97" s="2" t="s">
        <v>8</v>
      </c>
      <c r="H97">
        <f>VALUE(Tabla2[[#This Row],[CODIGO PDV]])</f>
        <v>42612</v>
      </c>
      <c r="I97" s="31" t="s">
        <v>135</v>
      </c>
      <c r="J97" s="2" t="s">
        <v>136</v>
      </c>
      <c r="K97" t="s">
        <v>110</v>
      </c>
      <c r="L97" t="s">
        <v>121</v>
      </c>
      <c r="M97" s="2" t="s">
        <v>78</v>
      </c>
      <c r="N97" t="s">
        <v>156</v>
      </c>
      <c r="O97" t="s">
        <v>98</v>
      </c>
      <c r="P97" s="2" t="s">
        <v>20</v>
      </c>
      <c r="Q97" t="s">
        <v>64</v>
      </c>
      <c r="R97" t="s">
        <v>64</v>
      </c>
      <c r="S97" s="77" t="s">
        <v>208</v>
      </c>
      <c r="T97" t="s">
        <v>209</v>
      </c>
      <c r="U97" t="s">
        <v>210</v>
      </c>
      <c r="V97" s="2" t="s">
        <v>211</v>
      </c>
      <c r="W97" s="2" t="s">
        <v>65</v>
      </c>
      <c r="Z97" s="2" t="s">
        <v>212</v>
      </c>
      <c r="AA97" s="2" t="s">
        <v>213</v>
      </c>
      <c r="AB97" s="2" t="s">
        <v>66</v>
      </c>
      <c r="AC97" s="2" t="s">
        <v>67</v>
      </c>
    </row>
    <row r="98" spans="1:29" x14ac:dyDescent="0.35">
      <c r="A98" t="s">
        <v>109</v>
      </c>
      <c r="B98" t="s">
        <v>69</v>
      </c>
      <c r="C98" t="s">
        <v>8</v>
      </c>
      <c r="D98" t="s">
        <v>15</v>
      </c>
      <c r="E98" t="s">
        <v>120</v>
      </c>
      <c r="F98" t="s">
        <v>121</v>
      </c>
      <c r="G98" s="2" t="s">
        <v>8</v>
      </c>
      <c r="H98">
        <f>VALUE(Tabla2[[#This Row],[CODIGO PDV]])</f>
        <v>42612</v>
      </c>
      <c r="I98" s="31" t="s">
        <v>135</v>
      </c>
      <c r="J98" s="2" t="s">
        <v>136</v>
      </c>
      <c r="K98" t="s">
        <v>110</v>
      </c>
      <c r="L98" t="s">
        <v>121</v>
      </c>
      <c r="M98" s="2" t="s">
        <v>78</v>
      </c>
      <c r="N98" t="s">
        <v>156</v>
      </c>
      <c r="O98" t="s">
        <v>99</v>
      </c>
      <c r="P98" s="2" t="s">
        <v>20</v>
      </c>
      <c r="Q98" t="s">
        <v>64</v>
      </c>
      <c r="R98" t="s">
        <v>64</v>
      </c>
      <c r="S98" s="77" t="s">
        <v>208</v>
      </c>
      <c r="T98" t="s">
        <v>209</v>
      </c>
      <c r="U98" t="s">
        <v>210</v>
      </c>
      <c r="V98" s="2" t="s">
        <v>211</v>
      </c>
      <c r="W98" s="2" t="s">
        <v>65</v>
      </c>
      <c r="Z98" s="2" t="s">
        <v>212</v>
      </c>
      <c r="AA98" s="2" t="s">
        <v>213</v>
      </c>
      <c r="AB98" s="2" t="s">
        <v>66</v>
      </c>
      <c r="AC98" s="2" t="s">
        <v>67</v>
      </c>
    </row>
    <row r="99" spans="1:29" x14ac:dyDescent="0.35">
      <c r="A99" t="s">
        <v>109</v>
      </c>
      <c r="B99" t="s">
        <v>69</v>
      </c>
      <c r="C99" t="s">
        <v>8</v>
      </c>
      <c r="D99" t="s">
        <v>15</v>
      </c>
      <c r="E99" t="s">
        <v>120</v>
      </c>
      <c r="F99" t="s">
        <v>121</v>
      </c>
      <c r="G99" s="2" t="s">
        <v>8</v>
      </c>
      <c r="H99">
        <f>VALUE(Tabla2[[#This Row],[CODIGO PDV]])</f>
        <v>42612</v>
      </c>
      <c r="I99" s="31" t="s">
        <v>135</v>
      </c>
      <c r="J99" s="2" t="s">
        <v>136</v>
      </c>
      <c r="K99" t="s">
        <v>110</v>
      </c>
      <c r="L99" t="s">
        <v>121</v>
      </c>
      <c r="M99" s="2" t="s">
        <v>78</v>
      </c>
      <c r="N99" t="s">
        <v>156</v>
      </c>
      <c r="O99" t="s">
        <v>100</v>
      </c>
      <c r="P99" s="2" t="s">
        <v>20</v>
      </c>
      <c r="Q99" t="s">
        <v>64</v>
      </c>
      <c r="R99" t="s">
        <v>64</v>
      </c>
      <c r="S99" s="77" t="s">
        <v>208</v>
      </c>
      <c r="T99" t="s">
        <v>209</v>
      </c>
      <c r="U99" t="s">
        <v>210</v>
      </c>
      <c r="V99" s="2" t="s">
        <v>211</v>
      </c>
      <c r="W99" s="2" t="s">
        <v>65</v>
      </c>
      <c r="Z99" s="2" t="s">
        <v>212</v>
      </c>
      <c r="AA99" s="2" t="s">
        <v>213</v>
      </c>
      <c r="AB99" s="2" t="s">
        <v>66</v>
      </c>
      <c r="AC99" s="2" t="s">
        <v>67</v>
      </c>
    </row>
    <row r="100" spans="1:29" x14ac:dyDescent="0.35">
      <c r="A100" t="s">
        <v>109</v>
      </c>
      <c r="B100" t="s">
        <v>69</v>
      </c>
      <c r="C100" t="s">
        <v>8</v>
      </c>
      <c r="D100" t="s">
        <v>15</v>
      </c>
      <c r="E100" t="s">
        <v>120</v>
      </c>
      <c r="F100" t="s">
        <v>121</v>
      </c>
      <c r="G100" s="2" t="s">
        <v>8</v>
      </c>
      <c r="H100">
        <f>VALUE(Tabla2[[#This Row],[CODIGO PDV]])</f>
        <v>42612</v>
      </c>
      <c r="I100" s="31" t="s">
        <v>135</v>
      </c>
      <c r="J100" s="2" t="s">
        <v>136</v>
      </c>
      <c r="K100" t="s">
        <v>110</v>
      </c>
      <c r="L100" t="s">
        <v>121</v>
      </c>
      <c r="M100" s="2" t="s">
        <v>78</v>
      </c>
      <c r="N100" t="s">
        <v>156</v>
      </c>
      <c r="O100" t="s">
        <v>149</v>
      </c>
      <c r="P100" s="2" t="s">
        <v>20</v>
      </c>
      <c r="Q100" t="s">
        <v>64</v>
      </c>
      <c r="R100" t="s">
        <v>64</v>
      </c>
      <c r="S100" s="77" t="s">
        <v>208</v>
      </c>
      <c r="T100" t="s">
        <v>209</v>
      </c>
      <c r="U100" t="s">
        <v>210</v>
      </c>
      <c r="V100" s="2" t="s">
        <v>211</v>
      </c>
      <c r="W100" s="2" t="s">
        <v>65</v>
      </c>
      <c r="Z100" s="2" t="s">
        <v>212</v>
      </c>
      <c r="AA100" s="2" t="s">
        <v>213</v>
      </c>
      <c r="AB100" s="2" t="s">
        <v>66</v>
      </c>
      <c r="AC100" s="2" t="s">
        <v>67</v>
      </c>
    </row>
    <row r="101" spans="1:29" x14ac:dyDescent="0.35">
      <c r="A101" t="s">
        <v>109</v>
      </c>
      <c r="B101" t="s">
        <v>69</v>
      </c>
      <c r="C101" t="s">
        <v>8</v>
      </c>
      <c r="D101" t="s">
        <v>15</v>
      </c>
      <c r="E101" t="s">
        <v>120</v>
      </c>
      <c r="F101" t="s">
        <v>121</v>
      </c>
      <c r="G101" s="2" t="s">
        <v>8</v>
      </c>
      <c r="H101">
        <f>VALUE(Tabla2[[#This Row],[CODIGO PDV]])</f>
        <v>42612</v>
      </c>
      <c r="I101" s="31" t="s">
        <v>135</v>
      </c>
      <c r="J101" s="2" t="s">
        <v>136</v>
      </c>
      <c r="K101" t="s">
        <v>110</v>
      </c>
      <c r="L101" t="s">
        <v>121</v>
      </c>
      <c r="M101" s="2" t="s">
        <v>78</v>
      </c>
      <c r="N101" t="s">
        <v>156</v>
      </c>
      <c r="O101" t="s">
        <v>130</v>
      </c>
      <c r="P101" s="2" t="s">
        <v>108</v>
      </c>
      <c r="Q101" t="s">
        <v>64</v>
      </c>
      <c r="R101" t="s">
        <v>64</v>
      </c>
      <c r="S101" s="77" t="s">
        <v>208</v>
      </c>
      <c r="T101" t="s">
        <v>209</v>
      </c>
      <c r="U101" t="s">
        <v>210</v>
      </c>
      <c r="V101" s="2" t="s">
        <v>211</v>
      </c>
      <c r="W101" s="2" t="s">
        <v>65</v>
      </c>
      <c r="Z101" s="2" t="s">
        <v>212</v>
      </c>
      <c r="AA101" s="2" t="s">
        <v>213</v>
      </c>
      <c r="AB101" s="2" t="s">
        <v>66</v>
      </c>
      <c r="AC101" s="2" t="s">
        <v>67</v>
      </c>
    </row>
    <row r="102" spans="1:29" x14ac:dyDescent="0.35">
      <c r="A102" t="s">
        <v>109</v>
      </c>
      <c r="B102" t="s">
        <v>69</v>
      </c>
      <c r="C102" t="s">
        <v>8</v>
      </c>
      <c r="D102" t="s">
        <v>15</v>
      </c>
      <c r="E102" t="s">
        <v>120</v>
      </c>
      <c r="F102" t="s">
        <v>121</v>
      </c>
      <c r="G102" s="2" t="s">
        <v>8</v>
      </c>
      <c r="H102">
        <f>VALUE(Tabla2[[#This Row],[CODIGO PDV]])</f>
        <v>42612</v>
      </c>
      <c r="I102" s="31" t="s">
        <v>135</v>
      </c>
      <c r="J102" s="2" t="s">
        <v>136</v>
      </c>
      <c r="K102" t="s">
        <v>110</v>
      </c>
      <c r="L102" t="s">
        <v>121</v>
      </c>
      <c r="M102" s="2" t="s">
        <v>78</v>
      </c>
      <c r="N102" t="s">
        <v>156</v>
      </c>
      <c r="O102" t="s">
        <v>131</v>
      </c>
      <c r="P102" s="2" t="s">
        <v>20</v>
      </c>
      <c r="Q102" t="s">
        <v>64</v>
      </c>
      <c r="R102" t="s">
        <v>64</v>
      </c>
      <c r="S102" s="77" t="s">
        <v>208</v>
      </c>
      <c r="T102" t="s">
        <v>209</v>
      </c>
      <c r="U102" t="s">
        <v>210</v>
      </c>
      <c r="V102" s="2" t="s">
        <v>211</v>
      </c>
      <c r="W102" s="2" t="s">
        <v>65</v>
      </c>
      <c r="Z102" s="2" t="s">
        <v>212</v>
      </c>
      <c r="AA102" s="2" t="s">
        <v>213</v>
      </c>
      <c r="AB102" s="2" t="s">
        <v>66</v>
      </c>
      <c r="AC102" s="2" t="s">
        <v>67</v>
      </c>
    </row>
    <row r="103" spans="1:29" x14ac:dyDescent="0.35">
      <c r="A103" t="s">
        <v>109</v>
      </c>
      <c r="B103" t="s">
        <v>69</v>
      </c>
      <c r="C103" t="s">
        <v>8</v>
      </c>
      <c r="D103" t="s">
        <v>15</v>
      </c>
      <c r="E103" t="s">
        <v>120</v>
      </c>
      <c r="F103" t="s">
        <v>121</v>
      </c>
      <c r="G103" s="2" t="s">
        <v>8</v>
      </c>
      <c r="H103">
        <f>VALUE(Tabla2[[#This Row],[CODIGO PDV]])</f>
        <v>42612</v>
      </c>
      <c r="I103" s="31" t="s">
        <v>135</v>
      </c>
      <c r="J103" s="2" t="s">
        <v>136</v>
      </c>
      <c r="K103" t="s">
        <v>110</v>
      </c>
      <c r="L103" t="s">
        <v>121</v>
      </c>
      <c r="M103" s="2" t="s">
        <v>78</v>
      </c>
      <c r="N103" t="s">
        <v>156</v>
      </c>
      <c r="O103" t="s">
        <v>101</v>
      </c>
      <c r="P103" s="2" t="s">
        <v>15</v>
      </c>
      <c r="Q103" t="s">
        <v>64</v>
      </c>
      <c r="R103" t="s">
        <v>64</v>
      </c>
      <c r="S103" s="77" t="s">
        <v>208</v>
      </c>
      <c r="T103" t="s">
        <v>209</v>
      </c>
      <c r="U103" t="s">
        <v>210</v>
      </c>
      <c r="V103" s="2" t="s">
        <v>211</v>
      </c>
      <c r="W103" s="2" t="s">
        <v>65</v>
      </c>
      <c r="Z103" s="2" t="s">
        <v>212</v>
      </c>
      <c r="AA103" s="2" t="s">
        <v>213</v>
      </c>
      <c r="AB103" s="2" t="s">
        <v>66</v>
      </c>
      <c r="AC103" s="2" t="s">
        <v>67</v>
      </c>
    </row>
    <row r="104" spans="1:29" x14ac:dyDescent="0.35">
      <c r="A104" t="s">
        <v>109</v>
      </c>
      <c r="B104" t="s">
        <v>69</v>
      </c>
      <c r="C104" t="s">
        <v>8</v>
      </c>
      <c r="D104" t="s">
        <v>15</v>
      </c>
      <c r="E104" t="s">
        <v>120</v>
      </c>
      <c r="F104" t="s">
        <v>121</v>
      </c>
      <c r="G104" s="2" t="s">
        <v>8</v>
      </c>
      <c r="H104">
        <f>VALUE(Tabla2[[#This Row],[CODIGO PDV]])</f>
        <v>42612</v>
      </c>
      <c r="I104" s="31" t="s">
        <v>135</v>
      </c>
      <c r="J104" s="2" t="s">
        <v>136</v>
      </c>
      <c r="K104" t="s">
        <v>110</v>
      </c>
      <c r="L104" t="s">
        <v>121</v>
      </c>
      <c r="M104" s="2" t="s">
        <v>78</v>
      </c>
      <c r="N104" t="s">
        <v>156</v>
      </c>
      <c r="O104" t="s">
        <v>116</v>
      </c>
      <c r="P104" s="2" t="s">
        <v>20</v>
      </c>
      <c r="Q104" t="s">
        <v>64</v>
      </c>
      <c r="R104" t="s">
        <v>64</v>
      </c>
      <c r="S104" s="77" t="s">
        <v>208</v>
      </c>
      <c r="T104" t="s">
        <v>209</v>
      </c>
      <c r="U104" t="s">
        <v>210</v>
      </c>
      <c r="V104" s="2" t="s">
        <v>211</v>
      </c>
      <c r="W104" s="2" t="s">
        <v>65</v>
      </c>
      <c r="Z104" s="2" t="s">
        <v>212</v>
      </c>
      <c r="AA104" s="2" t="s">
        <v>213</v>
      </c>
      <c r="AB104" s="2" t="s">
        <v>66</v>
      </c>
      <c r="AC104" s="2" t="s">
        <v>67</v>
      </c>
    </row>
    <row r="105" spans="1:29" x14ac:dyDescent="0.35">
      <c r="A105" t="s">
        <v>109</v>
      </c>
      <c r="B105" t="s">
        <v>69</v>
      </c>
      <c r="C105" t="s">
        <v>8</v>
      </c>
      <c r="D105" t="s">
        <v>15</v>
      </c>
      <c r="E105" t="s">
        <v>120</v>
      </c>
      <c r="F105" t="s">
        <v>121</v>
      </c>
      <c r="G105" s="2" t="s">
        <v>8</v>
      </c>
      <c r="H105">
        <f>VALUE(Tabla2[[#This Row],[CODIGO PDV]])</f>
        <v>42612</v>
      </c>
      <c r="I105" s="31" t="s">
        <v>135</v>
      </c>
      <c r="J105" s="2" t="s">
        <v>136</v>
      </c>
      <c r="K105" t="s">
        <v>110</v>
      </c>
      <c r="L105" t="s">
        <v>121</v>
      </c>
      <c r="M105" s="2" t="s">
        <v>78</v>
      </c>
      <c r="N105" t="s">
        <v>156</v>
      </c>
      <c r="O105" t="s">
        <v>150</v>
      </c>
      <c r="P105" s="2" t="s">
        <v>108</v>
      </c>
      <c r="Q105" t="s">
        <v>64</v>
      </c>
      <c r="R105" t="s">
        <v>64</v>
      </c>
      <c r="S105" s="77" t="s">
        <v>208</v>
      </c>
      <c r="T105" t="s">
        <v>209</v>
      </c>
      <c r="U105" t="s">
        <v>210</v>
      </c>
      <c r="V105" s="2" t="s">
        <v>211</v>
      </c>
      <c r="W105" s="2" t="s">
        <v>65</v>
      </c>
      <c r="Z105" s="2" t="s">
        <v>212</v>
      </c>
      <c r="AA105" s="2" t="s">
        <v>213</v>
      </c>
      <c r="AB105" s="2" t="s">
        <v>66</v>
      </c>
      <c r="AC105" s="2" t="s">
        <v>67</v>
      </c>
    </row>
    <row r="106" spans="1:29" x14ac:dyDescent="0.35">
      <c r="A106" t="s">
        <v>109</v>
      </c>
      <c r="B106" t="s">
        <v>69</v>
      </c>
      <c r="C106" t="s">
        <v>8</v>
      </c>
      <c r="D106" t="s">
        <v>15</v>
      </c>
      <c r="E106" t="s">
        <v>120</v>
      </c>
      <c r="F106" t="s">
        <v>121</v>
      </c>
      <c r="G106" s="2" t="s">
        <v>8</v>
      </c>
      <c r="H106">
        <f>VALUE(Tabla2[[#This Row],[CODIGO PDV]])</f>
        <v>42612</v>
      </c>
      <c r="I106" s="31" t="s">
        <v>135</v>
      </c>
      <c r="J106" s="2" t="s">
        <v>136</v>
      </c>
      <c r="K106" t="s">
        <v>110</v>
      </c>
      <c r="L106" t="s">
        <v>121</v>
      </c>
      <c r="M106" s="2" t="s">
        <v>78</v>
      </c>
      <c r="N106" t="s">
        <v>156</v>
      </c>
      <c r="O106" t="s">
        <v>152</v>
      </c>
      <c r="P106" s="2" t="s">
        <v>20</v>
      </c>
      <c r="S106" s="77" t="s">
        <v>208</v>
      </c>
      <c r="T106" t="s">
        <v>209</v>
      </c>
      <c r="U106" t="s">
        <v>210</v>
      </c>
      <c r="V106" s="2" t="s">
        <v>211</v>
      </c>
      <c r="W106" s="2" t="s">
        <v>65</v>
      </c>
      <c r="Z106" s="2" t="s">
        <v>212</v>
      </c>
      <c r="AA106" s="2" t="s">
        <v>213</v>
      </c>
      <c r="AB106" s="2" t="s">
        <v>66</v>
      </c>
      <c r="AC106" s="2" t="s">
        <v>67</v>
      </c>
    </row>
    <row r="107" spans="1:29" x14ac:dyDescent="0.35">
      <c r="A107" t="s">
        <v>109</v>
      </c>
      <c r="B107" t="s">
        <v>69</v>
      </c>
      <c r="C107" t="s">
        <v>8</v>
      </c>
      <c r="D107" t="s">
        <v>15</v>
      </c>
      <c r="E107" t="s">
        <v>120</v>
      </c>
      <c r="F107" t="s">
        <v>121</v>
      </c>
      <c r="G107" s="2" t="s">
        <v>8</v>
      </c>
      <c r="H107">
        <f>VALUE(Tabla2[[#This Row],[CODIGO PDV]])</f>
        <v>42612</v>
      </c>
      <c r="I107" s="31" t="s">
        <v>135</v>
      </c>
      <c r="J107" s="2" t="s">
        <v>136</v>
      </c>
      <c r="K107" t="s">
        <v>110</v>
      </c>
      <c r="L107" t="s">
        <v>121</v>
      </c>
      <c r="M107" s="2" t="s">
        <v>78</v>
      </c>
      <c r="N107" t="s">
        <v>156</v>
      </c>
      <c r="O107" t="s">
        <v>117</v>
      </c>
      <c r="P107" s="2" t="s">
        <v>20</v>
      </c>
      <c r="S107" s="77" t="s">
        <v>208</v>
      </c>
      <c r="T107" t="s">
        <v>209</v>
      </c>
      <c r="U107" t="s">
        <v>210</v>
      </c>
      <c r="V107" s="2" t="s">
        <v>211</v>
      </c>
      <c r="W107" s="2" t="s">
        <v>65</v>
      </c>
      <c r="Z107" s="2" t="s">
        <v>212</v>
      </c>
      <c r="AA107" s="2" t="s">
        <v>213</v>
      </c>
      <c r="AB107" s="2" t="s">
        <v>66</v>
      </c>
      <c r="AC107" s="2" t="s">
        <v>67</v>
      </c>
    </row>
    <row r="108" spans="1:29" x14ac:dyDescent="0.35">
      <c r="A108" t="s">
        <v>109</v>
      </c>
      <c r="B108" t="s">
        <v>69</v>
      </c>
      <c r="C108" t="s">
        <v>8</v>
      </c>
      <c r="D108" t="s">
        <v>15</v>
      </c>
      <c r="E108" t="s">
        <v>120</v>
      </c>
      <c r="F108" t="s">
        <v>121</v>
      </c>
      <c r="G108" s="2" t="s">
        <v>8</v>
      </c>
      <c r="H108">
        <f>VALUE(Tabla2[[#This Row],[CODIGO PDV]])</f>
        <v>42612</v>
      </c>
      <c r="I108" s="31" t="s">
        <v>135</v>
      </c>
      <c r="J108" s="2" t="s">
        <v>136</v>
      </c>
      <c r="K108" t="s">
        <v>110</v>
      </c>
      <c r="L108" t="s">
        <v>121</v>
      </c>
      <c r="M108" s="2" t="s">
        <v>78</v>
      </c>
      <c r="N108" t="s">
        <v>156</v>
      </c>
      <c r="O108" t="s">
        <v>102</v>
      </c>
      <c r="P108" s="2" t="s">
        <v>108</v>
      </c>
      <c r="Q108" t="s">
        <v>64</v>
      </c>
      <c r="R108" t="s">
        <v>64</v>
      </c>
      <c r="S108" s="77" t="s">
        <v>208</v>
      </c>
      <c r="T108" t="s">
        <v>209</v>
      </c>
      <c r="U108" t="s">
        <v>210</v>
      </c>
      <c r="V108" s="2" t="s">
        <v>211</v>
      </c>
      <c r="W108" s="2" t="s">
        <v>65</v>
      </c>
      <c r="Z108" s="2" t="s">
        <v>212</v>
      </c>
      <c r="AA108" s="2" t="s">
        <v>213</v>
      </c>
      <c r="AB108" s="2" t="s">
        <v>66</v>
      </c>
      <c r="AC108" s="2" t="s">
        <v>67</v>
      </c>
    </row>
    <row r="109" spans="1:29" x14ac:dyDescent="0.35">
      <c r="A109" t="s">
        <v>109</v>
      </c>
      <c r="B109" t="s">
        <v>138</v>
      </c>
      <c r="C109" t="s">
        <v>139</v>
      </c>
      <c r="D109" t="s">
        <v>43</v>
      </c>
      <c r="E109" t="s">
        <v>143</v>
      </c>
      <c r="F109" t="s">
        <v>144</v>
      </c>
      <c r="G109" s="2" t="s">
        <v>139</v>
      </c>
      <c r="H109">
        <f>VALUE(Tabla2[[#This Row],[CODIGO PDV]])</f>
        <v>355519</v>
      </c>
      <c r="I109" s="31" t="s">
        <v>214</v>
      </c>
      <c r="J109" s="2" t="s">
        <v>215</v>
      </c>
      <c r="K109" t="s">
        <v>110</v>
      </c>
      <c r="L109" t="s">
        <v>145</v>
      </c>
      <c r="M109" s="2" t="s">
        <v>78</v>
      </c>
      <c r="N109" t="s">
        <v>156</v>
      </c>
      <c r="O109" t="s">
        <v>87</v>
      </c>
      <c r="P109" s="2" t="s">
        <v>20</v>
      </c>
      <c r="Q109" t="s">
        <v>64</v>
      </c>
      <c r="R109" t="s">
        <v>64</v>
      </c>
      <c r="S109" s="77" t="s">
        <v>208</v>
      </c>
      <c r="T109" t="s">
        <v>216</v>
      </c>
      <c r="U109" t="s">
        <v>217</v>
      </c>
      <c r="V109" s="2" t="s">
        <v>218</v>
      </c>
      <c r="W109" s="2" t="s">
        <v>65</v>
      </c>
      <c r="Z109" s="2" t="s">
        <v>141</v>
      </c>
      <c r="AA109" s="2" t="s">
        <v>142</v>
      </c>
      <c r="AB109" s="2" t="s">
        <v>66</v>
      </c>
      <c r="AC109" s="2" t="s">
        <v>67</v>
      </c>
    </row>
    <row r="110" spans="1:29" x14ac:dyDescent="0.35">
      <c r="A110" t="s">
        <v>109</v>
      </c>
      <c r="B110" t="s">
        <v>138</v>
      </c>
      <c r="C110" t="s">
        <v>139</v>
      </c>
      <c r="D110" t="s">
        <v>43</v>
      </c>
      <c r="E110" t="s">
        <v>143</v>
      </c>
      <c r="F110" t="s">
        <v>144</v>
      </c>
      <c r="G110" s="2" t="s">
        <v>139</v>
      </c>
      <c r="H110">
        <f>VALUE(Tabla2[[#This Row],[CODIGO PDV]])</f>
        <v>355519</v>
      </c>
      <c r="I110" s="31" t="s">
        <v>214</v>
      </c>
      <c r="J110" s="2" t="s">
        <v>215</v>
      </c>
      <c r="K110" t="s">
        <v>110</v>
      </c>
      <c r="L110" t="s">
        <v>145</v>
      </c>
      <c r="M110" s="2" t="s">
        <v>78</v>
      </c>
      <c r="N110" t="s">
        <v>156</v>
      </c>
      <c r="O110" t="s">
        <v>88</v>
      </c>
      <c r="P110" s="2" t="s">
        <v>20</v>
      </c>
      <c r="Q110" t="s">
        <v>64</v>
      </c>
      <c r="R110" t="s">
        <v>64</v>
      </c>
      <c r="S110" s="77" t="s">
        <v>208</v>
      </c>
      <c r="T110" t="s">
        <v>216</v>
      </c>
      <c r="U110" t="s">
        <v>217</v>
      </c>
      <c r="V110" s="2" t="s">
        <v>218</v>
      </c>
      <c r="W110" s="2" t="s">
        <v>65</v>
      </c>
      <c r="Z110" s="2" t="s">
        <v>141</v>
      </c>
      <c r="AA110" s="2" t="s">
        <v>142</v>
      </c>
      <c r="AB110" s="2" t="s">
        <v>66</v>
      </c>
      <c r="AC110" s="2" t="s">
        <v>67</v>
      </c>
    </row>
    <row r="111" spans="1:29" x14ac:dyDescent="0.35">
      <c r="A111" t="s">
        <v>109</v>
      </c>
      <c r="B111" t="s">
        <v>138</v>
      </c>
      <c r="C111" t="s">
        <v>139</v>
      </c>
      <c r="D111" t="s">
        <v>43</v>
      </c>
      <c r="E111" t="s">
        <v>143</v>
      </c>
      <c r="F111" t="s">
        <v>144</v>
      </c>
      <c r="G111" s="2" t="s">
        <v>139</v>
      </c>
      <c r="H111">
        <f>VALUE(Tabla2[[#This Row],[CODIGO PDV]])</f>
        <v>355519</v>
      </c>
      <c r="I111" s="31" t="s">
        <v>214</v>
      </c>
      <c r="J111" s="2" t="s">
        <v>215</v>
      </c>
      <c r="K111" t="s">
        <v>110</v>
      </c>
      <c r="L111" t="s">
        <v>145</v>
      </c>
      <c r="M111" s="2" t="s">
        <v>78</v>
      </c>
      <c r="N111" t="s">
        <v>156</v>
      </c>
      <c r="O111" t="s">
        <v>89</v>
      </c>
      <c r="P111" s="2" t="s">
        <v>20</v>
      </c>
      <c r="Q111" t="s">
        <v>64</v>
      </c>
      <c r="R111" t="s">
        <v>64</v>
      </c>
      <c r="S111" s="77" t="s">
        <v>208</v>
      </c>
      <c r="T111" t="s">
        <v>216</v>
      </c>
      <c r="U111" t="s">
        <v>217</v>
      </c>
      <c r="V111" s="2" t="s">
        <v>218</v>
      </c>
      <c r="W111" s="2" t="s">
        <v>65</v>
      </c>
      <c r="Z111" s="2" t="s">
        <v>141</v>
      </c>
      <c r="AA111" s="2" t="s">
        <v>142</v>
      </c>
      <c r="AB111" s="2" t="s">
        <v>66</v>
      </c>
      <c r="AC111" s="2" t="s">
        <v>67</v>
      </c>
    </row>
    <row r="112" spans="1:29" x14ac:dyDescent="0.35">
      <c r="A112" t="s">
        <v>109</v>
      </c>
      <c r="B112" t="s">
        <v>138</v>
      </c>
      <c r="C112" t="s">
        <v>139</v>
      </c>
      <c r="D112" t="s">
        <v>43</v>
      </c>
      <c r="E112" t="s">
        <v>143</v>
      </c>
      <c r="F112" t="s">
        <v>144</v>
      </c>
      <c r="G112" s="2" t="s">
        <v>139</v>
      </c>
      <c r="H112">
        <f>VALUE(Tabla2[[#This Row],[CODIGO PDV]])</f>
        <v>355519</v>
      </c>
      <c r="I112" s="31" t="s">
        <v>214</v>
      </c>
      <c r="J112" s="2" t="s">
        <v>215</v>
      </c>
      <c r="K112" t="s">
        <v>110</v>
      </c>
      <c r="L112" t="s">
        <v>145</v>
      </c>
      <c r="M112" s="2" t="s">
        <v>78</v>
      </c>
      <c r="N112" t="s">
        <v>156</v>
      </c>
      <c r="O112" t="s">
        <v>90</v>
      </c>
      <c r="P112" s="2" t="s">
        <v>20</v>
      </c>
      <c r="Q112" t="s">
        <v>64</v>
      </c>
      <c r="R112" t="s">
        <v>64</v>
      </c>
      <c r="S112" s="77" t="s">
        <v>208</v>
      </c>
      <c r="T112" t="s">
        <v>216</v>
      </c>
      <c r="U112" t="s">
        <v>217</v>
      </c>
      <c r="V112" s="2" t="s">
        <v>218</v>
      </c>
      <c r="W112" s="2" t="s">
        <v>65</v>
      </c>
      <c r="Z112" s="2" t="s">
        <v>141</v>
      </c>
      <c r="AA112" s="2" t="s">
        <v>142</v>
      </c>
      <c r="AB112" s="2" t="s">
        <v>66</v>
      </c>
      <c r="AC112" s="2" t="s">
        <v>67</v>
      </c>
    </row>
    <row r="113" spans="1:29" x14ac:dyDescent="0.35">
      <c r="A113" t="s">
        <v>109</v>
      </c>
      <c r="B113" t="s">
        <v>138</v>
      </c>
      <c r="C113" t="s">
        <v>139</v>
      </c>
      <c r="D113" t="s">
        <v>43</v>
      </c>
      <c r="E113" t="s">
        <v>143</v>
      </c>
      <c r="F113" t="s">
        <v>144</v>
      </c>
      <c r="G113" s="2" t="s">
        <v>139</v>
      </c>
      <c r="H113">
        <f>VALUE(Tabla2[[#This Row],[CODIGO PDV]])</f>
        <v>355519</v>
      </c>
      <c r="I113" s="31" t="s">
        <v>214</v>
      </c>
      <c r="J113" s="2" t="s">
        <v>215</v>
      </c>
      <c r="K113" t="s">
        <v>110</v>
      </c>
      <c r="L113" t="s">
        <v>145</v>
      </c>
      <c r="M113" s="2" t="s">
        <v>78</v>
      </c>
      <c r="N113" t="s">
        <v>156</v>
      </c>
      <c r="O113" t="s">
        <v>35</v>
      </c>
      <c r="P113" s="2" t="s">
        <v>20</v>
      </c>
      <c r="Q113" t="s">
        <v>64</v>
      </c>
      <c r="R113" t="s">
        <v>64</v>
      </c>
      <c r="S113" s="77" t="s">
        <v>208</v>
      </c>
      <c r="T113" t="s">
        <v>216</v>
      </c>
      <c r="U113" t="s">
        <v>217</v>
      </c>
      <c r="V113" s="2" t="s">
        <v>218</v>
      </c>
      <c r="W113" s="2" t="s">
        <v>65</v>
      </c>
      <c r="Z113" s="2" t="s">
        <v>141</v>
      </c>
      <c r="AA113" s="2" t="s">
        <v>142</v>
      </c>
      <c r="AB113" s="2" t="s">
        <v>66</v>
      </c>
      <c r="AC113" s="2" t="s">
        <v>67</v>
      </c>
    </row>
    <row r="114" spans="1:29" x14ac:dyDescent="0.35">
      <c r="A114" t="s">
        <v>109</v>
      </c>
      <c r="B114" t="s">
        <v>138</v>
      </c>
      <c r="C114" t="s">
        <v>139</v>
      </c>
      <c r="D114" t="s">
        <v>43</v>
      </c>
      <c r="E114" t="s">
        <v>143</v>
      </c>
      <c r="F114" t="s">
        <v>144</v>
      </c>
      <c r="G114" s="2" t="s">
        <v>139</v>
      </c>
      <c r="H114">
        <f>VALUE(Tabla2[[#This Row],[CODIGO PDV]])</f>
        <v>355519</v>
      </c>
      <c r="I114" s="31" t="s">
        <v>214</v>
      </c>
      <c r="J114" s="2" t="s">
        <v>215</v>
      </c>
      <c r="K114" t="s">
        <v>110</v>
      </c>
      <c r="L114" t="s">
        <v>145</v>
      </c>
      <c r="M114" s="2" t="s">
        <v>78</v>
      </c>
      <c r="N114" t="s">
        <v>156</v>
      </c>
      <c r="O114" t="s">
        <v>91</v>
      </c>
      <c r="P114" s="2" t="s">
        <v>108</v>
      </c>
      <c r="Q114" t="s">
        <v>64</v>
      </c>
      <c r="R114" t="s">
        <v>64</v>
      </c>
      <c r="S114" s="77" t="s">
        <v>208</v>
      </c>
      <c r="T114" t="s">
        <v>216</v>
      </c>
      <c r="U114" t="s">
        <v>217</v>
      </c>
      <c r="V114" s="2" t="s">
        <v>218</v>
      </c>
      <c r="W114" s="2" t="s">
        <v>65</v>
      </c>
      <c r="Z114" s="2" t="s">
        <v>141</v>
      </c>
      <c r="AA114" s="2" t="s">
        <v>142</v>
      </c>
      <c r="AB114" s="2" t="s">
        <v>66</v>
      </c>
      <c r="AC114" s="2" t="s">
        <v>67</v>
      </c>
    </row>
    <row r="115" spans="1:29" x14ac:dyDescent="0.35">
      <c r="A115" t="s">
        <v>109</v>
      </c>
      <c r="B115" t="s">
        <v>138</v>
      </c>
      <c r="C115" t="s">
        <v>139</v>
      </c>
      <c r="D115" t="s">
        <v>43</v>
      </c>
      <c r="E115" t="s">
        <v>143</v>
      </c>
      <c r="F115" t="s">
        <v>144</v>
      </c>
      <c r="G115" s="2" t="s">
        <v>139</v>
      </c>
      <c r="H115">
        <f>VALUE(Tabla2[[#This Row],[CODIGO PDV]])</f>
        <v>355519</v>
      </c>
      <c r="I115" s="31" t="s">
        <v>214</v>
      </c>
      <c r="J115" s="2" t="s">
        <v>215</v>
      </c>
      <c r="K115" t="s">
        <v>110</v>
      </c>
      <c r="L115" t="s">
        <v>145</v>
      </c>
      <c r="M115" s="2" t="s">
        <v>78</v>
      </c>
      <c r="N115" t="s">
        <v>156</v>
      </c>
      <c r="O115" t="s">
        <v>92</v>
      </c>
      <c r="P115" s="2" t="s">
        <v>20</v>
      </c>
      <c r="Q115" t="s">
        <v>64</v>
      </c>
      <c r="R115" t="s">
        <v>64</v>
      </c>
      <c r="S115" s="77" t="s">
        <v>208</v>
      </c>
      <c r="T115" t="s">
        <v>216</v>
      </c>
      <c r="U115" t="s">
        <v>217</v>
      </c>
      <c r="V115" s="2" t="s">
        <v>218</v>
      </c>
      <c r="W115" s="2" t="s">
        <v>65</v>
      </c>
      <c r="Z115" s="2" t="s">
        <v>141</v>
      </c>
      <c r="AA115" s="2" t="s">
        <v>142</v>
      </c>
      <c r="AB115" s="2" t="s">
        <v>66</v>
      </c>
      <c r="AC115" s="2" t="s">
        <v>67</v>
      </c>
    </row>
    <row r="116" spans="1:29" x14ac:dyDescent="0.35">
      <c r="A116" t="s">
        <v>109</v>
      </c>
      <c r="B116" t="s">
        <v>138</v>
      </c>
      <c r="C116" t="s">
        <v>139</v>
      </c>
      <c r="D116" t="s">
        <v>43</v>
      </c>
      <c r="E116" t="s">
        <v>143</v>
      </c>
      <c r="F116" t="s">
        <v>144</v>
      </c>
      <c r="G116" s="2" t="s">
        <v>139</v>
      </c>
      <c r="H116">
        <f>VALUE(Tabla2[[#This Row],[CODIGO PDV]])</f>
        <v>355519</v>
      </c>
      <c r="I116" s="31" t="s">
        <v>214</v>
      </c>
      <c r="J116" s="2" t="s">
        <v>215</v>
      </c>
      <c r="K116" t="s">
        <v>110</v>
      </c>
      <c r="L116" t="s">
        <v>145</v>
      </c>
      <c r="M116" s="2" t="s">
        <v>78</v>
      </c>
      <c r="N116" t="s">
        <v>156</v>
      </c>
      <c r="O116" t="s">
        <v>93</v>
      </c>
      <c r="P116" s="2" t="s">
        <v>20</v>
      </c>
      <c r="Q116" t="s">
        <v>64</v>
      </c>
      <c r="R116" t="s">
        <v>64</v>
      </c>
      <c r="S116" s="77" t="s">
        <v>208</v>
      </c>
      <c r="T116" t="s">
        <v>216</v>
      </c>
      <c r="U116" t="s">
        <v>217</v>
      </c>
      <c r="V116" s="2" t="s">
        <v>218</v>
      </c>
      <c r="W116" s="2" t="s">
        <v>65</v>
      </c>
      <c r="Z116" s="2" t="s">
        <v>141</v>
      </c>
      <c r="AA116" s="2" t="s">
        <v>142</v>
      </c>
      <c r="AB116" s="2" t="s">
        <v>66</v>
      </c>
      <c r="AC116" s="2" t="s">
        <v>67</v>
      </c>
    </row>
    <row r="117" spans="1:29" x14ac:dyDescent="0.35">
      <c r="A117" t="s">
        <v>109</v>
      </c>
      <c r="B117" t="s">
        <v>138</v>
      </c>
      <c r="C117" t="s">
        <v>139</v>
      </c>
      <c r="D117" t="s">
        <v>43</v>
      </c>
      <c r="E117" t="s">
        <v>143</v>
      </c>
      <c r="F117" t="s">
        <v>144</v>
      </c>
      <c r="G117" s="2" t="s">
        <v>139</v>
      </c>
      <c r="H117">
        <f>VALUE(Tabla2[[#This Row],[CODIGO PDV]])</f>
        <v>355519</v>
      </c>
      <c r="I117" s="31" t="s">
        <v>214</v>
      </c>
      <c r="J117" s="2" t="s">
        <v>215</v>
      </c>
      <c r="K117" t="s">
        <v>110</v>
      </c>
      <c r="L117" t="s">
        <v>145</v>
      </c>
      <c r="M117" s="2" t="s">
        <v>78</v>
      </c>
      <c r="N117" t="s">
        <v>156</v>
      </c>
      <c r="O117" t="s">
        <v>94</v>
      </c>
      <c r="P117" s="2" t="s">
        <v>108</v>
      </c>
      <c r="Q117" t="s">
        <v>64</v>
      </c>
      <c r="R117" t="s">
        <v>64</v>
      </c>
      <c r="S117" s="77" t="s">
        <v>208</v>
      </c>
      <c r="T117" t="s">
        <v>216</v>
      </c>
      <c r="U117" t="s">
        <v>217</v>
      </c>
      <c r="V117" s="2" t="s">
        <v>218</v>
      </c>
      <c r="W117" s="2" t="s">
        <v>65</v>
      </c>
      <c r="Z117" s="2" t="s">
        <v>141</v>
      </c>
      <c r="AA117" s="2" t="s">
        <v>142</v>
      </c>
      <c r="AB117" s="2" t="s">
        <v>66</v>
      </c>
      <c r="AC117" s="2" t="s">
        <v>67</v>
      </c>
    </row>
    <row r="118" spans="1:29" x14ac:dyDescent="0.35">
      <c r="A118" t="s">
        <v>109</v>
      </c>
      <c r="B118" t="s">
        <v>138</v>
      </c>
      <c r="C118" t="s">
        <v>139</v>
      </c>
      <c r="D118" t="s">
        <v>43</v>
      </c>
      <c r="E118" t="s">
        <v>143</v>
      </c>
      <c r="F118" t="s">
        <v>144</v>
      </c>
      <c r="G118" s="2" t="s">
        <v>139</v>
      </c>
      <c r="H118">
        <f>VALUE(Tabla2[[#This Row],[CODIGO PDV]])</f>
        <v>355519</v>
      </c>
      <c r="I118" s="31" t="s">
        <v>214</v>
      </c>
      <c r="J118" s="2" t="s">
        <v>215</v>
      </c>
      <c r="K118" t="s">
        <v>110</v>
      </c>
      <c r="L118" t="s">
        <v>145</v>
      </c>
      <c r="M118" s="2" t="s">
        <v>78</v>
      </c>
      <c r="N118" t="s">
        <v>156</v>
      </c>
      <c r="O118" t="s">
        <v>95</v>
      </c>
      <c r="P118" s="2" t="s">
        <v>108</v>
      </c>
      <c r="Q118" t="s">
        <v>64</v>
      </c>
      <c r="R118" t="s">
        <v>64</v>
      </c>
      <c r="S118" s="77" t="s">
        <v>208</v>
      </c>
      <c r="T118" t="s">
        <v>216</v>
      </c>
      <c r="U118" t="s">
        <v>217</v>
      </c>
      <c r="V118" s="2" t="s">
        <v>218</v>
      </c>
      <c r="W118" s="2" t="s">
        <v>65</v>
      </c>
      <c r="Z118" s="2" t="s">
        <v>141</v>
      </c>
      <c r="AA118" s="2" t="s">
        <v>142</v>
      </c>
      <c r="AB118" s="2" t="s">
        <v>66</v>
      </c>
      <c r="AC118" s="2" t="s">
        <v>67</v>
      </c>
    </row>
    <row r="119" spans="1:29" x14ac:dyDescent="0.35">
      <c r="A119" t="s">
        <v>109</v>
      </c>
      <c r="B119" t="s">
        <v>138</v>
      </c>
      <c r="C119" t="s">
        <v>139</v>
      </c>
      <c r="D119" t="s">
        <v>43</v>
      </c>
      <c r="E119" t="s">
        <v>143</v>
      </c>
      <c r="F119" t="s">
        <v>144</v>
      </c>
      <c r="G119" s="2" t="s">
        <v>139</v>
      </c>
      <c r="H119">
        <f>VALUE(Tabla2[[#This Row],[CODIGO PDV]])</f>
        <v>355519</v>
      </c>
      <c r="I119" s="31" t="s">
        <v>214</v>
      </c>
      <c r="J119" s="2" t="s">
        <v>215</v>
      </c>
      <c r="K119" t="s">
        <v>110</v>
      </c>
      <c r="L119" t="s">
        <v>145</v>
      </c>
      <c r="M119" s="2" t="s">
        <v>78</v>
      </c>
      <c r="N119" t="s">
        <v>156</v>
      </c>
      <c r="O119" t="s">
        <v>96</v>
      </c>
      <c r="P119" s="2" t="s">
        <v>108</v>
      </c>
      <c r="Q119" t="s">
        <v>64</v>
      </c>
      <c r="R119" t="s">
        <v>64</v>
      </c>
      <c r="S119" s="77" t="s">
        <v>208</v>
      </c>
      <c r="T119" t="s">
        <v>216</v>
      </c>
      <c r="U119" t="s">
        <v>217</v>
      </c>
      <c r="V119" s="2" t="s">
        <v>218</v>
      </c>
      <c r="W119" s="2" t="s">
        <v>65</v>
      </c>
      <c r="Z119" s="2" t="s">
        <v>141</v>
      </c>
      <c r="AA119" s="2" t="s">
        <v>142</v>
      </c>
      <c r="AB119" s="2" t="s">
        <v>66</v>
      </c>
      <c r="AC119" s="2" t="s">
        <v>67</v>
      </c>
    </row>
    <row r="120" spans="1:29" x14ac:dyDescent="0.35">
      <c r="A120" t="s">
        <v>109</v>
      </c>
      <c r="B120" t="s">
        <v>138</v>
      </c>
      <c r="C120" t="s">
        <v>139</v>
      </c>
      <c r="D120" t="s">
        <v>43</v>
      </c>
      <c r="E120" t="s">
        <v>143</v>
      </c>
      <c r="F120" t="s">
        <v>144</v>
      </c>
      <c r="G120" s="2" t="s">
        <v>139</v>
      </c>
      <c r="H120">
        <f>VALUE(Tabla2[[#This Row],[CODIGO PDV]])</f>
        <v>355519</v>
      </c>
      <c r="I120" s="31" t="s">
        <v>214</v>
      </c>
      <c r="J120" s="2" t="s">
        <v>215</v>
      </c>
      <c r="K120" t="s">
        <v>110</v>
      </c>
      <c r="L120" t="s">
        <v>145</v>
      </c>
      <c r="M120" s="2" t="s">
        <v>78</v>
      </c>
      <c r="N120" t="s">
        <v>156</v>
      </c>
      <c r="O120" t="s">
        <v>97</v>
      </c>
      <c r="P120" s="2" t="s">
        <v>108</v>
      </c>
      <c r="Q120" t="s">
        <v>64</v>
      </c>
      <c r="R120" t="s">
        <v>64</v>
      </c>
      <c r="S120" s="77" t="s">
        <v>208</v>
      </c>
      <c r="T120" t="s">
        <v>216</v>
      </c>
      <c r="U120" t="s">
        <v>217</v>
      </c>
      <c r="V120" s="2" t="s">
        <v>218</v>
      </c>
      <c r="W120" s="2" t="s">
        <v>65</v>
      </c>
      <c r="Z120" s="2" t="s">
        <v>141</v>
      </c>
      <c r="AA120" s="2" t="s">
        <v>142</v>
      </c>
      <c r="AB120" s="2" t="s">
        <v>66</v>
      </c>
      <c r="AC120" s="2" t="s">
        <v>67</v>
      </c>
    </row>
    <row r="121" spans="1:29" x14ac:dyDescent="0.35">
      <c r="A121" t="s">
        <v>109</v>
      </c>
      <c r="B121" t="s">
        <v>138</v>
      </c>
      <c r="C121" t="s">
        <v>139</v>
      </c>
      <c r="D121" t="s">
        <v>43</v>
      </c>
      <c r="E121" t="s">
        <v>143</v>
      </c>
      <c r="F121" t="s">
        <v>144</v>
      </c>
      <c r="G121" s="2" t="s">
        <v>139</v>
      </c>
      <c r="H121">
        <f>VALUE(Tabla2[[#This Row],[CODIGO PDV]])</f>
        <v>355519</v>
      </c>
      <c r="I121" s="31" t="s">
        <v>214</v>
      </c>
      <c r="J121" s="2" t="s">
        <v>215</v>
      </c>
      <c r="K121" t="s">
        <v>110</v>
      </c>
      <c r="L121" t="s">
        <v>145</v>
      </c>
      <c r="M121" s="2" t="s">
        <v>78</v>
      </c>
      <c r="N121" t="s">
        <v>156</v>
      </c>
      <c r="O121" t="s">
        <v>147</v>
      </c>
      <c r="P121" s="2" t="s">
        <v>20</v>
      </c>
      <c r="Q121" t="s">
        <v>64</v>
      </c>
      <c r="R121" t="s">
        <v>64</v>
      </c>
      <c r="S121" s="77" t="s">
        <v>208</v>
      </c>
      <c r="T121" t="s">
        <v>216</v>
      </c>
      <c r="U121" t="s">
        <v>217</v>
      </c>
      <c r="V121" s="2" t="s">
        <v>218</v>
      </c>
      <c r="W121" s="2" t="s">
        <v>65</v>
      </c>
      <c r="Z121" s="2" t="s">
        <v>141</v>
      </c>
      <c r="AA121" s="2" t="s">
        <v>142</v>
      </c>
      <c r="AB121" s="2" t="s">
        <v>66</v>
      </c>
      <c r="AC121" s="2" t="s">
        <v>67</v>
      </c>
    </row>
    <row r="122" spans="1:29" x14ac:dyDescent="0.35">
      <c r="A122" t="s">
        <v>109</v>
      </c>
      <c r="B122" t="s">
        <v>138</v>
      </c>
      <c r="C122" t="s">
        <v>139</v>
      </c>
      <c r="D122" t="s">
        <v>43</v>
      </c>
      <c r="E122" t="s">
        <v>143</v>
      </c>
      <c r="F122" t="s">
        <v>144</v>
      </c>
      <c r="G122" s="2" t="s">
        <v>139</v>
      </c>
      <c r="H122">
        <f>VALUE(Tabla2[[#This Row],[CODIGO PDV]])</f>
        <v>355519</v>
      </c>
      <c r="I122" s="31" t="s">
        <v>214</v>
      </c>
      <c r="J122" s="2" t="s">
        <v>215</v>
      </c>
      <c r="K122" t="s">
        <v>110</v>
      </c>
      <c r="L122" t="s">
        <v>145</v>
      </c>
      <c r="M122" s="2" t="s">
        <v>78</v>
      </c>
      <c r="N122" t="s">
        <v>156</v>
      </c>
      <c r="O122" t="s">
        <v>148</v>
      </c>
      <c r="P122" s="2" t="s">
        <v>20</v>
      </c>
      <c r="Q122" t="s">
        <v>64</v>
      </c>
      <c r="R122" t="s">
        <v>64</v>
      </c>
      <c r="S122" s="77" t="s">
        <v>208</v>
      </c>
      <c r="T122" t="s">
        <v>216</v>
      </c>
      <c r="U122" t="s">
        <v>217</v>
      </c>
      <c r="V122" s="2" t="s">
        <v>218</v>
      </c>
      <c r="W122" s="2" t="s">
        <v>65</v>
      </c>
      <c r="Z122" s="2" t="s">
        <v>141</v>
      </c>
      <c r="AA122" s="2" t="s">
        <v>142</v>
      </c>
      <c r="AB122" s="2" t="s">
        <v>66</v>
      </c>
      <c r="AC122" s="2" t="s">
        <v>67</v>
      </c>
    </row>
    <row r="123" spans="1:29" x14ac:dyDescent="0.35">
      <c r="A123" t="s">
        <v>109</v>
      </c>
      <c r="B123" t="s">
        <v>138</v>
      </c>
      <c r="C123" t="s">
        <v>139</v>
      </c>
      <c r="D123" t="s">
        <v>43</v>
      </c>
      <c r="E123" t="s">
        <v>143</v>
      </c>
      <c r="F123" t="s">
        <v>144</v>
      </c>
      <c r="G123" s="2" t="s">
        <v>139</v>
      </c>
      <c r="H123">
        <f>VALUE(Tabla2[[#This Row],[CODIGO PDV]])</f>
        <v>355519</v>
      </c>
      <c r="I123" s="31" t="s">
        <v>214</v>
      </c>
      <c r="J123" s="2" t="s">
        <v>215</v>
      </c>
      <c r="K123" t="s">
        <v>110</v>
      </c>
      <c r="L123" t="s">
        <v>145</v>
      </c>
      <c r="M123" s="2" t="s">
        <v>78</v>
      </c>
      <c r="N123" t="s">
        <v>156</v>
      </c>
      <c r="O123" t="s">
        <v>98</v>
      </c>
      <c r="P123" s="2" t="s">
        <v>20</v>
      </c>
      <c r="Q123" t="s">
        <v>64</v>
      </c>
      <c r="R123" t="s">
        <v>64</v>
      </c>
      <c r="S123" s="77" t="s">
        <v>208</v>
      </c>
      <c r="T123" t="s">
        <v>216</v>
      </c>
      <c r="U123" t="s">
        <v>217</v>
      </c>
      <c r="V123" s="2" t="s">
        <v>218</v>
      </c>
      <c r="W123" s="2" t="s">
        <v>65</v>
      </c>
      <c r="Z123" s="2" t="s">
        <v>141</v>
      </c>
      <c r="AA123" s="2" t="s">
        <v>142</v>
      </c>
      <c r="AB123" s="2" t="s">
        <v>66</v>
      </c>
      <c r="AC123" s="2" t="s">
        <v>67</v>
      </c>
    </row>
    <row r="124" spans="1:29" x14ac:dyDescent="0.35">
      <c r="A124" t="s">
        <v>109</v>
      </c>
      <c r="B124" t="s">
        <v>138</v>
      </c>
      <c r="C124" t="s">
        <v>139</v>
      </c>
      <c r="D124" t="s">
        <v>43</v>
      </c>
      <c r="E124" t="s">
        <v>143</v>
      </c>
      <c r="F124" t="s">
        <v>144</v>
      </c>
      <c r="G124" s="2" t="s">
        <v>139</v>
      </c>
      <c r="H124">
        <f>VALUE(Tabla2[[#This Row],[CODIGO PDV]])</f>
        <v>355519</v>
      </c>
      <c r="I124" s="31" t="s">
        <v>214</v>
      </c>
      <c r="J124" s="2" t="s">
        <v>215</v>
      </c>
      <c r="K124" t="s">
        <v>110</v>
      </c>
      <c r="L124" t="s">
        <v>145</v>
      </c>
      <c r="M124" s="2" t="s">
        <v>78</v>
      </c>
      <c r="N124" t="s">
        <v>156</v>
      </c>
      <c r="O124" t="s">
        <v>99</v>
      </c>
      <c r="P124" s="2" t="s">
        <v>20</v>
      </c>
      <c r="Q124" t="s">
        <v>64</v>
      </c>
      <c r="R124" t="s">
        <v>64</v>
      </c>
      <c r="S124" s="77" t="s">
        <v>208</v>
      </c>
      <c r="T124" t="s">
        <v>216</v>
      </c>
      <c r="U124" t="s">
        <v>217</v>
      </c>
      <c r="V124" s="2" t="s">
        <v>218</v>
      </c>
      <c r="W124" s="2" t="s">
        <v>65</v>
      </c>
      <c r="Z124" s="2" t="s">
        <v>141</v>
      </c>
      <c r="AA124" s="2" t="s">
        <v>142</v>
      </c>
      <c r="AB124" s="2" t="s">
        <v>66</v>
      </c>
      <c r="AC124" s="2" t="s">
        <v>67</v>
      </c>
    </row>
    <row r="125" spans="1:29" x14ac:dyDescent="0.35">
      <c r="A125" t="s">
        <v>109</v>
      </c>
      <c r="B125" t="s">
        <v>138</v>
      </c>
      <c r="C125" t="s">
        <v>139</v>
      </c>
      <c r="D125" t="s">
        <v>43</v>
      </c>
      <c r="E125" t="s">
        <v>143</v>
      </c>
      <c r="F125" t="s">
        <v>144</v>
      </c>
      <c r="G125" s="2" t="s">
        <v>139</v>
      </c>
      <c r="H125">
        <f>VALUE(Tabla2[[#This Row],[CODIGO PDV]])</f>
        <v>355519</v>
      </c>
      <c r="I125" s="31" t="s">
        <v>214</v>
      </c>
      <c r="J125" s="2" t="s">
        <v>215</v>
      </c>
      <c r="K125" t="s">
        <v>110</v>
      </c>
      <c r="L125" t="s">
        <v>145</v>
      </c>
      <c r="M125" s="2" t="s">
        <v>78</v>
      </c>
      <c r="N125" t="s">
        <v>156</v>
      </c>
      <c r="O125" t="s">
        <v>100</v>
      </c>
      <c r="P125" s="2" t="s">
        <v>20</v>
      </c>
      <c r="Q125" t="s">
        <v>64</v>
      </c>
      <c r="R125" t="s">
        <v>64</v>
      </c>
      <c r="S125" s="77" t="s">
        <v>208</v>
      </c>
      <c r="T125" t="s">
        <v>216</v>
      </c>
      <c r="U125" t="s">
        <v>217</v>
      </c>
      <c r="V125" s="2" t="s">
        <v>218</v>
      </c>
      <c r="W125" s="2" t="s">
        <v>65</v>
      </c>
      <c r="Z125" s="2" t="s">
        <v>141</v>
      </c>
      <c r="AA125" s="2" t="s">
        <v>142</v>
      </c>
      <c r="AB125" s="2" t="s">
        <v>66</v>
      </c>
      <c r="AC125" s="2" t="s">
        <v>67</v>
      </c>
    </row>
    <row r="126" spans="1:29" x14ac:dyDescent="0.35">
      <c r="A126" t="s">
        <v>109</v>
      </c>
      <c r="B126" t="s">
        <v>138</v>
      </c>
      <c r="C126" t="s">
        <v>139</v>
      </c>
      <c r="D126" t="s">
        <v>43</v>
      </c>
      <c r="E126" t="s">
        <v>143</v>
      </c>
      <c r="F126" t="s">
        <v>144</v>
      </c>
      <c r="G126" s="2" t="s">
        <v>139</v>
      </c>
      <c r="H126">
        <f>VALUE(Tabla2[[#This Row],[CODIGO PDV]])</f>
        <v>355519</v>
      </c>
      <c r="I126" s="31" t="s">
        <v>214</v>
      </c>
      <c r="J126" s="2" t="s">
        <v>215</v>
      </c>
      <c r="K126" t="s">
        <v>110</v>
      </c>
      <c r="L126" t="s">
        <v>145</v>
      </c>
      <c r="M126" s="2" t="s">
        <v>78</v>
      </c>
      <c r="N126" t="s">
        <v>156</v>
      </c>
      <c r="O126" t="s">
        <v>149</v>
      </c>
      <c r="P126" s="2" t="s">
        <v>20</v>
      </c>
      <c r="Q126" t="s">
        <v>64</v>
      </c>
      <c r="R126" t="s">
        <v>64</v>
      </c>
      <c r="S126" s="77" t="s">
        <v>208</v>
      </c>
      <c r="T126" t="s">
        <v>216</v>
      </c>
      <c r="U126" t="s">
        <v>217</v>
      </c>
      <c r="V126" s="2" t="s">
        <v>218</v>
      </c>
      <c r="W126" s="2" t="s">
        <v>65</v>
      </c>
      <c r="Z126" s="2" t="s">
        <v>141</v>
      </c>
      <c r="AA126" s="2" t="s">
        <v>142</v>
      </c>
      <c r="AB126" s="2" t="s">
        <v>66</v>
      </c>
      <c r="AC126" s="2" t="s">
        <v>67</v>
      </c>
    </row>
    <row r="127" spans="1:29" x14ac:dyDescent="0.35">
      <c r="A127" t="s">
        <v>109</v>
      </c>
      <c r="B127" t="s">
        <v>138</v>
      </c>
      <c r="C127" t="s">
        <v>139</v>
      </c>
      <c r="D127" t="s">
        <v>43</v>
      </c>
      <c r="E127" t="s">
        <v>143</v>
      </c>
      <c r="F127" t="s">
        <v>144</v>
      </c>
      <c r="G127" s="2" t="s">
        <v>139</v>
      </c>
      <c r="H127">
        <f>VALUE(Tabla2[[#This Row],[CODIGO PDV]])</f>
        <v>355519</v>
      </c>
      <c r="I127" s="31" t="s">
        <v>214</v>
      </c>
      <c r="J127" s="2" t="s">
        <v>215</v>
      </c>
      <c r="K127" t="s">
        <v>110</v>
      </c>
      <c r="L127" t="s">
        <v>145</v>
      </c>
      <c r="M127" s="2" t="s">
        <v>78</v>
      </c>
      <c r="N127" t="s">
        <v>156</v>
      </c>
      <c r="O127" t="s">
        <v>130</v>
      </c>
      <c r="P127" s="2" t="s">
        <v>108</v>
      </c>
      <c r="Q127" t="s">
        <v>64</v>
      </c>
      <c r="R127" t="s">
        <v>64</v>
      </c>
      <c r="S127" s="77" t="s">
        <v>208</v>
      </c>
      <c r="T127" t="s">
        <v>216</v>
      </c>
      <c r="U127" t="s">
        <v>217</v>
      </c>
      <c r="V127" s="2" t="s">
        <v>218</v>
      </c>
      <c r="W127" s="2" t="s">
        <v>65</v>
      </c>
      <c r="Z127" s="2" t="s">
        <v>141</v>
      </c>
      <c r="AA127" s="2" t="s">
        <v>142</v>
      </c>
      <c r="AB127" s="2" t="s">
        <v>66</v>
      </c>
      <c r="AC127" s="2" t="s">
        <v>67</v>
      </c>
    </row>
    <row r="128" spans="1:29" x14ac:dyDescent="0.35">
      <c r="A128" t="s">
        <v>109</v>
      </c>
      <c r="B128" t="s">
        <v>138</v>
      </c>
      <c r="C128" t="s">
        <v>139</v>
      </c>
      <c r="D128" t="s">
        <v>43</v>
      </c>
      <c r="E128" t="s">
        <v>143</v>
      </c>
      <c r="F128" t="s">
        <v>144</v>
      </c>
      <c r="G128" s="2" t="s">
        <v>139</v>
      </c>
      <c r="H128">
        <f>VALUE(Tabla2[[#This Row],[CODIGO PDV]])</f>
        <v>355519</v>
      </c>
      <c r="I128" s="31" t="s">
        <v>214</v>
      </c>
      <c r="J128" s="2" t="s">
        <v>215</v>
      </c>
      <c r="K128" t="s">
        <v>110</v>
      </c>
      <c r="L128" t="s">
        <v>145</v>
      </c>
      <c r="M128" s="2" t="s">
        <v>78</v>
      </c>
      <c r="N128" t="s">
        <v>156</v>
      </c>
      <c r="O128" t="s">
        <v>131</v>
      </c>
      <c r="P128" s="2" t="s">
        <v>20</v>
      </c>
      <c r="Q128" t="s">
        <v>64</v>
      </c>
      <c r="R128" t="s">
        <v>64</v>
      </c>
      <c r="S128" s="77" t="s">
        <v>208</v>
      </c>
      <c r="T128" t="s">
        <v>216</v>
      </c>
      <c r="U128" t="s">
        <v>217</v>
      </c>
      <c r="V128" s="2" t="s">
        <v>218</v>
      </c>
      <c r="W128" s="2" t="s">
        <v>65</v>
      </c>
      <c r="Z128" s="2" t="s">
        <v>141</v>
      </c>
      <c r="AA128" s="2" t="s">
        <v>142</v>
      </c>
      <c r="AB128" s="2" t="s">
        <v>66</v>
      </c>
      <c r="AC128" s="2" t="s">
        <v>67</v>
      </c>
    </row>
    <row r="129" spans="1:29" x14ac:dyDescent="0.35">
      <c r="A129" t="s">
        <v>109</v>
      </c>
      <c r="B129" t="s">
        <v>138</v>
      </c>
      <c r="C129" t="s">
        <v>139</v>
      </c>
      <c r="D129" t="s">
        <v>43</v>
      </c>
      <c r="E129" t="s">
        <v>143</v>
      </c>
      <c r="F129" t="s">
        <v>144</v>
      </c>
      <c r="G129" s="2" t="s">
        <v>139</v>
      </c>
      <c r="H129">
        <f>VALUE(Tabla2[[#This Row],[CODIGO PDV]])</f>
        <v>355519</v>
      </c>
      <c r="I129" s="31" t="s">
        <v>214</v>
      </c>
      <c r="J129" s="2" t="s">
        <v>215</v>
      </c>
      <c r="K129" t="s">
        <v>110</v>
      </c>
      <c r="L129" t="s">
        <v>145</v>
      </c>
      <c r="M129" s="2" t="s">
        <v>78</v>
      </c>
      <c r="N129" t="s">
        <v>156</v>
      </c>
      <c r="O129" t="s">
        <v>101</v>
      </c>
      <c r="P129" s="2" t="s">
        <v>43</v>
      </c>
      <c r="Q129" t="s">
        <v>64</v>
      </c>
      <c r="R129" t="s">
        <v>64</v>
      </c>
      <c r="S129" s="77" t="s">
        <v>208</v>
      </c>
      <c r="T129" t="s">
        <v>216</v>
      </c>
      <c r="U129" t="s">
        <v>217</v>
      </c>
      <c r="V129" s="2" t="s">
        <v>218</v>
      </c>
      <c r="W129" s="2" t="s">
        <v>65</v>
      </c>
      <c r="Z129" s="2" t="s">
        <v>141</v>
      </c>
      <c r="AA129" s="2" t="s">
        <v>142</v>
      </c>
      <c r="AB129" s="2" t="s">
        <v>66</v>
      </c>
      <c r="AC129" s="2" t="s">
        <v>67</v>
      </c>
    </row>
    <row r="130" spans="1:29" x14ac:dyDescent="0.35">
      <c r="A130" t="s">
        <v>109</v>
      </c>
      <c r="B130" t="s">
        <v>138</v>
      </c>
      <c r="C130" t="s">
        <v>139</v>
      </c>
      <c r="D130" t="s">
        <v>43</v>
      </c>
      <c r="E130" t="s">
        <v>143</v>
      </c>
      <c r="F130" t="s">
        <v>144</v>
      </c>
      <c r="G130" s="2" t="s">
        <v>139</v>
      </c>
      <c r="H130">
        <f>VALUE(Tabla2[[#This Row],[CODIGO PDV]])</f>
        <v>355519</v>
      </c>
      <c r="I130" s="31" t="s">
        <v>214</v>
      </c>
      <c r="J130" s="2" t="s">
        <v>215</v>
      </c>
      <c r="K130" t="s">
        <v>110</v>
      </c>
      <c r="L130" t="s">
        <v>145</v>
      </c>
      <c r="M130" s="2" t="s">
        <v>78</v>
      </c>
      <c r="N130" t="s">
        <v>156</v>
      </c>
      <c r="O130" t="s">
        <v>137</v>
      </c>
      <c r="P130" s="2" t="s">
        <v>20</v>
      </c>
      <c r="Q130" t="s">
        <v>64</v>
      </c>
      <c r="R130" t="s">
        <v>64</v>
      </c>
      <c r="S130" s="77" t="s">
        <v>208</v>
      </c>
      <c r="T130" t="s">
        <v>216</v>
      </c>
      <c r="U130" t="s">
        <v>217</v>
      </c>
      <c r="V130" s="2" t="s">
        <v>218</v>
      </c>
      <c r="W130" s="2" t="s">
        <v>65</v>
      </c>
      <c r="Z130" s="2" t="s">
        <v>141</v>
      </c>
      <c r="AA130" s="2" t="s">
        <v>142</v>
      </c>
      <c r="AB130" s="2" t="s">
        <v>66</v>
      </c>
      <c r="AC130" s="2" t="s">
        <v>67</v>
      </c>
    </row>
    <row r="131" spans="1:29" x14ac:dyDescent="0.35">
      <c r="A131" t="s">
        <v>109</v>
      </c>
      <c r="B131" t="s">
        <v>138</v>
      </c>
      <c r="C131" t="s">
        <v>139</v>
      </c>
      <c r="D131" t="s">
        <v>43</v>
      </c>
      <c r="E131" t="s">
        <v>143</v>
      </c>
      <c r="F131" t="s">
        <v>144</v>
      </c>
      <c r="G131" s="2" t="s">
        <v>139</v>
      </c>
      <c r="H131">
        <f>VALUE(Tabla2[[#This Row],[CODIGO PDV]])</f>
        <v>355519</v>
      </c>
      <c r="I131" s="31" t="s">
        <v>214</v>
      </c>
      <c r="J131" s="2" t="s">
        <v>215</v>
      </c>
      <c r="K131" t="s">
        <v>110</v>
      </c>
      <c r="L131" t="s">
        <v>145</v>
      </c>
      <c r="M131" s="2" t="s">
        <v>78</v>
      </c>
      <c r="N131" t="s">
        <v>156</v>
      </c>
      <c r="O131" t="s">
        <v>153</v>
      </c>
      <c r="P131" s="2" t="s">
        <v>20</v>
      </c>
      <c r="Q131" t="s">
        <v>64</v>
      </c>
      <c r="R131" t="s">
        <v>64</v>
      </c>
      <c r="S131" s="77" t="s">
        <v>208</v>
      </c>
      <c r="T131" t="s">
        <v>216</v>
      </c>
      <c r="U131" t="s">
        <v>217</v>
      </c>
      <c r="V131" s="2" t="s">
        <v>218</v>
      </c>
      <c r="W131" s="2" t="s">
        <v>65</v>
      </c>
      <c r="Z131" s="2" t="s">
        <v>141</v>
      </c>
      <c r="AA131" s="2" t="s">
        <v>142</v>
      </c>
      <c r="AB131" s="2" t="s">
        <v>66</v>
      </c>
      <c r="AC131" s="2" t="s">
        <v>67</v>
      </c>
    </row>
    <row r="132" spans="1:29" x14ac:dyDescent="0.35">
      <c r="A132" t="s">
        <v>109</v>
      </c>
      <c r="B132" t="s">
        <v>138</v>
      </c>
      <c r="C132" t="s">
        <v>139</v>
      </c>
      <c r="D132" t="s">
        <v>43</v>
      </c>
      <c r="E132" t="s">
        <v>143</v>
      </c>
      <c r="F132" t="s">
        <v>144</v>
      </c>
      <c r="G132" s="2" t="s">
        <v>139</v>
      </c>
      <c r="H132">
        <f>VALUE(Tabla2[[#This Row],[CODIGO PDV]])</f>
        <v>355519</v>
      </c>
      <c r="I132" s="31" t="s">
        <v>214</v>
      </c>
      <c r="J132" s="2" t="s">
        <v>215</v>
      </c>
      <c r="K132" t="s">
        <v>110</v>
      </c>
      <c r="L132" t="s">
        <v>145</v>
      </c>
      <c r="M132" s="2" t="s">
        <v>78</v>
      </c>
      <c r="N132" t="s">
        <v>156</v>
      </c>
      <c r="O132" t="s">
        <v>102</v>
      </c>
      <c r="P132" s="2" t="s">
        <v>108</v>
      </c>
      <c r="Q132" t="s">
        <v>64</v>
      </c>
      <c r="R132" t="s">
        <v>64</v>
      </c>
      <c r="S132" s="77" t="s">
        <v>208</v>
      </c>
      <c r="T132" t="s">
        <v>216</v>
      </c>
      <c r="U132" t="s">
        <v>217</v>
      </c>
      <c r="V132" s="2" t="s">
        <v>218</v>
      </c>
      <c r="W132" s="2" t="s">
        <v>65</v>
      </c>
      <c r="Z132" s="2" t="s">
        <v>141</v>
      </c>
      <c r="AA132" s="2" t="s">
        <v>142</v>
      </c>
      <c r="AB132" s="2" t="s">
        <v>66</v>
      </c>
      <c r="AC132" s="2" t="s">
        <v>67</v>
      </c>
    </row>
    <row r="133" spans="1:29" x14ac:dyDescent="0.35">
      <c r="A133" t="s">
        <v>109</v>
      </c>
      <c r="B133" t="s">
        <v>69</v>
      </c>
      <c r="C133" t="s">
        <v>8</v>
      </c>
      <c r="D133" t="s">
        <v>43</v>
      </c>
      <c r="E133" t="s">
        <v>120</v>
      </c>
      <c r="F133" t="s">
        <v>121</v>
      </c>
      <c r="G133" s="2" t="s">
        <v>8</v>
      </c>
      <c r="H133">
        <f>VALUE(Tabla2[[#This Row],[CODIGO PDV]])</f>
        <v>152267</v>
      </c>
      <c r="I133" s="31" t="s">
        <v>219</v>
      </c>
      <c r="J133" s="2" t="s">
        <v>220</v>
      </c>
      <c r="K133" t="s">
        <v>110</v>
      </c>
      <c r="L133" t="s">
        <v>121</v>
      </c>
      <c r="M133" s="2" t="s">
        <v>78</v>
      </c>
      <c r="N133" t="s">
        <v>156</v>
      </c>
      <c r="O133" t="s">
        <v>87</v>
      </c>
      <c r="P133" s="2" t="s">
        <v>108</v>
      </c>
      <c r="Q133" t="s">
        <v>64</v>
      </c>
      <c r="R133" t="s">
        <v>64</v>
      </c>
      <c r="S133" s="77" t="s">
        <v>208</v>
      </c>
      <c r="T133" t="s">
        <v>221</v>
      </c>
      <c r="U133" t="s">
        <v>222</v>
      </c>
      <c r="V133" s="2" t="s">
        <v>223</v>
      </c>
      <c r="W133" s="2" t="s">
        <v>65</v>
      </c>
      <c r="Z133" s="2" t="s">
        <v>212</v>
      </c>
      <c r="AA133" s="2" t="s">
        <v>213</v>
      </c>
      <c r="AB133" s="2" t="s">
        <v>66</v>
      </c>
      <c r="AC133" s="2" t="s">
        <v>67</v>
      </c>
    </row>
    <row r="134" spans="1:29" x14ac:dyDescent="0.35">
      <c r="A134" t="s">
        <v>109</v>
      </c>
      <c r="B134" t="s">
        <v>69</v>
      </c>
      <c r="C134" t="s">
        <v>8</v>
      </c>
      <c r="D134" t="s">
        <v>43</v>
      </c>
      <c r="E134" t="s">
        <v>120</v>
      </c>
      <c r="F134" t="s">
        <v>121</v>
      </c>
      <c r="G134" s="2" t="s">
        <v>8</v>
      </c>
      <c r="H134">
        <f>VALUE(Tabla2[[#This Row],[CODIGO PDV]])</f>
        <v>152267</v>
      </c>
      <c r="I134" s="31" t="s">
        <v>219</v>
      </c>
      <c r="J134" s="2" t="s">
        <v>220</v>
      </c>
      <c r="K134" t="s">
        <v>110</v>
      </c>
      <c r="L134" t="s">
        <v>121</v>
      </c>
      <c r="M134" s="2" t="s">
        <v>78</v>
      </c>
      <c r="N134" t="s">
        <v>156</v>
      </c>
      <c r="O134" t="s">
        <v>102</v>
      </c>
      <c r="P134" s="2" t="s">
        <v>20</v>
      </c>
      <c r="Q134" t="s">
        <v>64</v>
      </c>
      <c r="R134" t="s">
        <v>64</v>
      </c>
      <c r="S134" s="77" t="s">
        <v>208</v>
      </c>
      <c r="T134" t="s">
        <v>221</v>
      </c>
      <c r="U134" t="s">
        <v>222</v>
      </c>
      <c r="V134" s="2" t="s">
        <v>223</v>
      </c>
      <c r="W134" s="2" t="s">
        <v>65</v>
      </c>
      <c r="Z134" s="2" t="s">
        <v>212</v>
      </c>
      <c r="AA134" s="2" t="s">
        <v>213</v>
      </c>
      <c r="AB134" s="2" t="s">
        <v>66</v>
      </c>
      <c r="AC134" s="2" t="s">
        <v>67</v>
      </c>
    </row>
    <row r="135" spans="1:29" x14ac:dyDescent="0.35">
      <c r="A135" t="s">
        <v>109</v>
      </c>
      <c r="B135" t="s">
        <v>69</v>
      </c>
      <c r="C135" t="s">
        <v>8</v>
      </c>
      <c r="D135" t="s">
        <v>43</v>
      </c>
      <c r="E135" t="s">
        <v>120</v>
      </c>
      <c r="F135" t="s">
        <v>121</v>
      </c>
      <c r="G135" s="2" t="s">
        <v>8</v>
      </c>
      <c r="H135">
        <f>VALUE(Tabla2[[#This Row],[CODIGO PDV]])</f>
        <v>152267</v>
      </c>
      <c r="I135" s="31" t="s">
        <v>219</v>
      </c>
      <c r="J135" s="2" t="s">
        <v>220</v>
      </c>
      <c r="K135" t="s">
        <v>110</v>
      </c>
      <c r="L135" t="s">
        <v>121</v>
      </c>
      <c r="M135" s="2" t="s">
        <v>78</v>
      </c>
      <c r="N135" t="s">
        <v>156</v>
      </c>
      <c r="O135" t="s">
        <v>103</v>
      </c>
      <c r="P135" s="2" t="s">
        <v>224</v>
      </c>
      <c r="Q135" t="s">
        <v>64</v>
      </c>
      <c r="R135" t="s">
        <v>64</v>
      </c>
      <c r="S135" s="77" t="s">
        <v>208</v>
      </c>
      <c r="T135" t="s">
        <v>221</v>
      </c>
      <c r="U135" t="s">
        <v>222</v>
      </c>
      <c r="V135" s="2" t="s">
        <v>223</v>
      </c>
      <c r="W135" s="2" t="s">
        <v>65</v>
      </c>
      <c r="Z135" s="2" t="s">
        <v>212</v>
      </c>
      <c r="AA135" s="2" t="s">
        <v>213</v>
      </c>
      <c r="AB135" s="2" t="s">
        <v>66</v>
      </c>
      <c r="AC135" s="2" t="s">
        <v>67</v>
      </c>
    </row>
    <row r="136" spans="1:29" x14ac:dyDescent="0.35">
      <c r="A136" t="s">
        <v>109</v>
      </c>
      <c r="B136" t="s">
        <v>69</v>
      </c>
      <c r="C136" t="s">
        <v>8</v>
      </c>
      <c r="D136" t="s">
        <v>14</v>
      </c>
      <c r="E136" t="s">
        <v>120</v>
      </c>
      <c r="F136" t="s">
        <v>121</v>
      </c>
      <c r="G136" s="2" t="s">
        <v>8</v>
      </c>
      <c r="H136">
        <f>VALUE(Tabla2[[#This Row],[CODIGO PDV]])</f>
        <v>355954</v>
      </c>
      <c r="I136" s="31" t="s">
        <v>225</v>
      </c>
      <c r="J136" s="2" t="s">
        <v>226</v>
      </c>
      <c r="K136" t="s">
        <v>64</v>
      </c>
      <c r="L136" t="s">
        <v>121</v>
      </c>
      <c r="M136" s="2" t="s">
        <v>78</v>
      </c>
      <c r="N136" t="s">
        <v>156</v>
      </c>
      <c r="O136" t="s">
        <v>87</v>
      </c>
      <c r="P136" s="2" t="s">
        <v>20</v>
      </c>
      <c r="Q136" t="s">
        <v>64</v>
      </c>
      <c r="R136" t="s">
        <v>64</v>
      </c>
      <c r="S136" s="77" t="s">
        <v>208</v>
      </c>
      <c r="T136" t="s">
        <v>227</v>
      </c>
      <c r="U136" t="s">
        <v>228</v>
      </c>
      <c r="V136" s="2" t="s">
        <v>229</v>
      </c>
      <c r="W136" s="2" t="s">
        <v>65</v>
      </c>
      <c r="Z136" s="2" t="s">
        <v>212</v>
      </c>
      <c r="AA136" s="2" t="s">
        <v>213</v>
      </c>
      <c r="AB136" s="2" t="s">
        <v>66</v>
      </c>
      <c r="AC136" s="2" t="s">
        <v>67</v>
      </c>
    </row>
    <row r="137" spans="1:29" x14ac:dyDescent="0.35">
      <c r="A137" t="s">
        <v>109</v>
      </c>
      <c r="B137" t="s">
        <v>69</v>
      </c>
      <c r="C137" t="s">
        <v>8</v>
      </c>
      <c r="D137" t="s">
        <v>14</v>
      </c>
      <c r="E137" t="s">
        <v>120</v>
      </c>
      <c r="F137" t="s">
        <v>121</v>
      </c>
      <c r="G137" s="2" t="s">
        <v>8</v>
      </c>
      <c r="H137">
        <f>VALUE(Tabla2[[#This Row],[CODIGO PDV]])</f>
        <v>355954</v>
      </c>
      <c r="I137" s="31" t="s">
        <v>225</v>
      </c>
      <c r="J137" s="2" t="s">
        <v>226</v>
      </c>
      <c r="K137" t="s">
        <v>64</v>
      </c>
      <c r="L137" t="s">
        <v>121</v>
      </c>
      <c r="M137" s="2" t="s">
        <v>78</v>
      </c>
      <c r="N137" t="s">
        <v>156</v>
      </c>
      <c r="O137" t="s">
        <v>88</v>
      </c>
      <c r="P137" s="2" t="s">
        <v>20</v>
      </c>
      <c r="Q137" t="s">
        <v>64</v>
      </c>
      <c r="R137" t="s">
        <v>64</v>
      </c>
      <c r="S137" s="77" t="s">
        <v>208</v>
      </c>
      <c r="T137" t="s">
        <v>227</v>
      </c>
      <c r="U137" t="s">
        <v>228</v>
      </c>
      <c r="V137" s="2" t="s">
        <v>229</v>
      </c>
      <c r="W137" s="2" t="s">
        <v>65</v>
      </c>
      <c r="Z137" s="2" t="s">
        <v>212</v>
      </c>
      <c r="AA137" s="2" t="s">
        <v>213</v>
      </c>
      <c r="AB137" s="2" t="s">
        <v>66</v>
      </c>
      <c r="AC137" s="2" t="s">
        <v>67</v>
      </c>
    </row>
    <row r="138" spans="1:29" x14ac:dyDescent="0.35">
      <c r="A138" t="s">
        <v>109</v>
      </c>
      <c r="B138" t="s">
        <v>69</v>
      </c>
      <c r="C138" t="s">
        <v>8</v>
      </c>
      <c r="D138" t="s">
        <v>14</v>
      </c>
      <c r="E138" t="s">
        <v>120</v>
      </c>
      <c r="F138" t="s">
        <v>121</v>
      </c>
      <c r="G138" s="2" t="s">
        <v>8</v>
      </c>
      <c r="H138">
        <f>VALUE(Tabla2[[#This Row],[CODIGO PDV]])</f>
        <v>355954</v>
      </c>
      <c r="I138" s="31" t="s">
        <v>225</v>
      </c>
      <c r="J138" s="2" t="s">
        <v>226</v>
      </c>
      <c r="K138" t="s">
        <v>64</v>
      </c>
      <c r="L138" t="s">
        <v>121</v>
      </c>
      <c r="M138" s="2" t="s">
        <v>78</v>
      </c>
      <c r="N138" t="s">
        <v>156</v>
      </c>
      <c r="O138" t="s">
        <v>89</v>
      </c>
      <c r="P138" s="2" t="s">
        <v>20</v>
      </c>
      <c r="Q138" t="s">
        <v>64</v>
      </c>
      <c r="R138" t="s">
        <v>64</v>
      </c>
      <c r="S138" s="77" t="s">
        <v>208</v>
      </c>
      <c r="T138" t="s">
        <v>227</v>
      </c>
      <c r="U138" t="s">
        <v>228</v>
      </c>
      <c r="V138" s="2" t="s">
        <v>229</v>
      </c>
      <c r="W138" s="2" t="s">
        <v>65</v>
      </c>
      <c r="Z138" s="2" t="s">
        <v>212</v>
      </c>
      <c r="AA138" s="2" t="s">
        <v>213</v>
      </c>
      <c r="AB138" s="2" t="s">
        <v>66</v>
      </c>
      <c r="AC138" s="2" t="s">
        <v>67</v>
      </c>
    </row>
    <row r="139" spans="1:29" x14ac:dyDescent="0.35">
      <c r="A139" t="s">
        <v>109</v>
      </c>
      <c r="B139" t="s">
        <v>69</v>
      </c>
      <c r="C139" t="s">
        <v>8</v>
      </c>
      <c r="D139" t="s">
        <v>14</v>
      </c>
      <c r="E139" t="s">
        <v>120</v>
      </c>
      <c r="F139" t="s">
        <v>121</v>
      </c>
      <c r="G139" s="2" t="s">
        <v>8</v>
      </c>
      <c r="H139">
        <f>VALUE(Tabla2[[#This Row],[CODIGO PDV]])</f>
        <v>355954</v>
      </c>
      <c r="I139" s="31" t="s">
        <v>225</v>
      </c>
      <c r="J139" s="2" t="s">
        <v>226</v>
      </c>
      <c r="K139" t="s">
        <v>64</v>
      </c>
      <c r="L139" t="s">
        <v>121</v>
      </c>
      <c r="M139" s="2" t="s">
        <v>78</v>
      </c>
      <c r="N139" t="s">
        <v>156</v>
      </c>
      <c r="O139" t="s">
        <v>90</v>
      </c>
      <c r="P139" s="2" t="s">
        <v>20</v>
      </c>
      <c r="Q139" t="s">
        <v>64</v>
      </c>
      <c r="R139" t="s">
        <v>64</v>
      </c>
      <c r="S139" s="77" t="s">
        <v>208</v>
      </c>
      <c r="T139" t="s">
        <v>227</v>
      </c>
      <c r="U139" t="s">
        <v>228</v>
      </c>
      <c r="V139" s="2" t="s">
        <v>229</v>
      </c>
      <c r="W139" s="2" t="s">
        <v>65</v>
      </c>
      <c r="Z139" s="2" t="s">
        <v>212</v>
      </c>
      <c r="AA139" s="2" t="s">
        <v>213</v>
      </c>
      <c r="AB139" s="2" t="s">
        <v>66</v>
      </c>
      <c r="AC139" s="2" t="s">
        <v>67</v>
      </c>
    </row>
    <row r="140" spans="1:29" x14ac:dyDescent="0.35">
      <c r="A140" t="s">
        <v>109</v>
      </c>
      <c r="B140" t="s">
        <v>69</v>
      </c>
      <c r="C140" t="s">
        <v>8</v>
      </c>
      <c r="D140" t="s">
        <v>14</v>
      </c>
      <c r="E140" t="s">
        <v>120</v>
      </c>
      <c r="F140" t="s">
        <v>121</v>
      </c>
      <c r="G140" s="2" t="s">
        <v>8</v>
      </c>
      <c r="H140">
        <f>VALUE(Tabla2[[#This Row],[CODIGO PDV]])</f>
        <v>355954</v>
      </c>
      <c r="I140" s="31" t="s">
        <v>225</v>
      </c>
      <c r="J140" s="2" t="s">
        <v>226</v>
      </c>
      <c r="K140" t="s">
        <v>64</v>
      </c>
      <c r="L140" t="s">
        <v>121</v>
      </c>
      <c r="M140" s="2" t="s">
        <v>78</v>
      </c>
      <c r="N140" t="s">
        <v>156</v>
      </c>
      <c r="O140" t="s">
        <v>35</v>
      </c>
      <c r="P140" s="2" t="s">
        <v>20</v>
      </c>
      <c r="Q140" t="s">
        <v>64</v>
      </c>
      <c r="R140" t="s">
        <v>64</v>
      </c>
      <c r="S140" s="77" t="s">
        <v>208</v>
      </c>
      <c r="T140" t="s">
        <v>227</v>
      </c>
      <c r="U140" t="s">
        <v>228</v>
      </c>
      <c r="V140" s="2" t="s">
        <v>229</v>
      </c>
      <c r="W140" s="2" t="s">
        <v>65</v>
      </c>
      <c r="Z140" s="2" t="s">
        <v>212</v>
      </c>
      <c r="AA140" s="2" t="s">
        <v>213</v>
      </c>
      <c r="AB140" s="2" t="s">
        <v>66</v>
      </c>
      <c r="AC140" s="2" t="s">
        <v>67</v>
      </c>
    </row>
    <row r="141" spans="1:29" x14ac:dyDescent="0.35">
      <c r="A141" t="s">
        <v>109</v>
      </c>
      <c r="B141" t="s">
        <v>69</v>
      </c>
      <c r="C141" t="s">
        <v>8</v>
      </c>
      <c r="D141" t="s">
        <v>14</v>
      </c>
      <c r="E141" t="s">
        <v>120</v>
      </c>
      <c r="F141" t="s">
        <v>121</v>
      </c>
      <c r="G141" s="2" t="s">
        <v>8</v>
      </c>
      <c r="H141">
        <f>VALUE(Tabla2[[#This Row],[CODIGO PDV]])</f>
        <v>355954</v>
      </c>
      <c r="I141" s="31" t="s">
        <v>225</v>
      </c>
      <c r="J141" s="2" t="s">
        <v>226</v>
      </c>
      <c r="K141" t="s">
        <v>64</v>
      </c>
      <c r="L141" t="s">
        <v>121</v>
      </c>
      <c r="M141" s="2" t="s">
        <v>78</v>
      </c>
      <c r="N141" t="s">
        <v>156</v>
      </c>
      <c r="O141" t="s">
        <v>91</v>
      </c>
      <c r="P141" s="2" t="s">
        <v>108</v>
      </c>
      <c r="Q141" t="s">
        <v>64</v>
      </c>
      <c r="R141" t="s">
        <v>64</v>
      </c>
      <c r="S141" s="77" t="s">
        <v>208</v>
      </c>
      <c r="T141" t="s">
        <v>227</v>
      </c>
      <c r="U141" t="s">
        <v>228</v>
      </c>
      <c r="V141" s="2" t="s">
        <v>229</v>
      </c>
      <c r="W141" s="2" t="s">
        <v>65</v>
      </c>
      <c r="Z141" s="2" t="s">
        <v>212</v>
      </c>
      <c r="AA141" s="2" t="s">
        <v>213</v>
      </c>
      <c r="AB141" s="2" t="s">
        <v>66</v>
      </c>
      <c r="AC141" s="2" t="s">
        <v>67</v>
      </c>
    </row>
    <row r="142" spans="1:29" x14ac:dyDescent="0.35">
      <c r="A142" t="s">
        <v>109</v>
      </c>
      <c r="B142" t="s">
        <v>69</v>
      </c>
      <c r="C142" t="s">
        <v>8</v>
      </c>
      <c r="D142" t="s">
        <v>14</v>
      </c>
      <c r="E142" t="s">
        <v>120</v>
      </c>
      <c r="F142" t="s">
        <v>121</v>
      </c>
      <c r="G142" s="2" t="s">
        <v>8</v>
      </c>
      <c r="H142">
        <f>VALUE(Tabla2[[#This Row],[CODIGO PDV]])</f>
        <v>355954</v>
      </c>
      <c r="I142" s="31" t="s">
        <v>225</v>
      </c>
      <c r="J142" s="2" t="s">
        <v>226</v>
      </c>
      <c r="K142" t="s">
        <v>64</v>
      </c>
      <c r="L142" t="s">
        <v>121</v>
      </c>
      <c r="M142" s="2" t="s">
        <v>78</v>
      </c>
      <c r="N142" t="s">
        <v>156</v>
      </c>
      <c r="O142" t="s">
        <v>92</v>
      </c>
      <c r="P142" s="2" t="s">
        <v>20</v>
      </c>
      <c r="Q142" t="s">
        <v>64</v>
      </c>
      <c r="R142" t="s">
        <v>64</v>
      </c>
      <c r="S142" s="77" t="s">
        <v>208</v>
      </c>
      <c r="T142" t="s">
        <v>227</v>
      </c>
      <c r="U142" t="s">
        <v>228</v>
      </c>
      <c r="V142" s="2" t="s">
        <v>229</v>
      </c>
      <c r="W142" s="2" t="s">
        <v>65</v>
      </c>
      <c r="Z142" s="2" t="s">
        <v>212</v>
      </c>
      <c r="AA142" s="2" t="s">
        <v>213</v>
      </c>
      <c r="AB142" s="2" t="s">
        <v>66</v>
      </c>
      <c r="AC142" s="2" t="s">
        <v>67</v>
      </c>
    </row>
    <row r="143" spans="1:29" x14ac:dyDescent="0.35">
      <c r="A143" t="s">
        <v>109</v>
      </c>
      <c r="B143" t="s">
        <v>69</v>
      </c>
      <c r="C143" t="s">
        <v>8</v>
      </c>
      <c r="D143" t="s">
        <v>14</v>
      </c>
      <c r="E143" t="s">
        <v>120</v>
      </c>
      <c r="F143" t="s">
        <v>121</v>
      </c>
      <c r="G143" s="2" t="s">
        <v>8</v>
      </c>
      <c r="H143">
        <f>VALUE(Tabla2[[#This Row],[CODIGO PDV]])</f>
        <v>355954</v>
      </c>
      <c r="I143" s="31" t="s">
        <v>225</v>
      </c>
      <c r="J143" s="2" t="s">
        <v>226</v>
      </c>
      <c r="K143" t="s">
        <v>64</v>
      </c>
      <c r="L143" t="s">
        <v>121</v>
      </c>
      <c r="M143" s="2" t="s">
        <v>78</v>
      </c>
      <c r="N143" t="s">
        <v>156</v>
      </c>
      <c r="O143" t="s">
        <v>93</v>
      </c>
      <c r="P143" s="2" t="s">
        <v>20</v>
      </c>
      <c r="Q143" t="s">
        <v>64</v>
      </c>
      <c r="R143" t="s">
        <v>64</v>
      </c>
      <c r="S143" s="77" t="s">
        <v>208</v>
      </c>
      <c r="T143" t="s">
        <v>227</v>
      </c>
      <c r="U143" t="s">
        <v>228</v>
      </c>
      <c r="V143" s="2" t="s">
        <v>229</v>
      </c>
      <c r="W143" s="2" t="s">
        <v>65</v>
      </c>
      <c r="Z143" s="2" t="s">
        <v>212</v>
      </c>
      <c r="AA143" s="2" t="s">
        <v>213</v>
      </c>
      <c r="AB143" s="2" t="s">
        <v>66</v>
      </c>
      <c r="AC143" s="2" t="s">
        <v>67</v>
      </c>
    </row>
    <row r="144" spans="1:29" x14ac:dyDescent="0.35">
      <c r="A144" t="s">
        <v>109</v>
      </c>
      <c r="B144" t="s">
        <v>69</v>
      </c>
      <c r="C144" t="s">
        <v>8</v>
      </c>
      <c r="D144" t="s">
        <v>14</v>
      </c>
      <c r="E144" t="s">
        <v>120</v>
      </c>
      <c r="F144" t="s">
        <v>121</v>
      </c>
      <c r="G144" s="2" t="s">
        <v>8</v>
      </c>
      <c r="H144">
        <f>VALUE(Tabla2[[#This Row],[CODIGO PDV]])</f>
        <v>355954</v>
      </c>
      <c r="I144" s="31" t="s">
        <v>225</v>
      </c>
      <c r="J144" s="2" t="s">
        <v>226</v>
      </c>
      <c r="K144" t="s">
        <v>64</v>
      </c>
      <c r="L144" t="s">
        <v>121</v>
      </c>
      <c r="M144" s="2" t="s">
        <v>78</v>
      </c>
      <c r="N144" t="s">
        <v>156</v>
      </c>
      <c r="O144" t="s">
        <v>94</v>
      </c>
      <c r="P144" s="2" t="s">
        <v>108</v>
      </c>
      <c r="Q144" t="s">
        <v>64</v>
      </c>
      <c r="R144" t="s">
        <v>64</v>
      </c>
      <c r="S144" s="77" t="s">
        <v>208</v>
      </c>
      <c r="T144" t="s">
        <v>227</v>
      </c>
      <c r="U144" t="s">
        <v>228</v>
      </c>
      <c r="V144" s="2" t="s">
        <v>229</v>
      </c>
      <c r="W144" s="2" t="s">
        <v>65</v>
      </c>
      <c r="Z144" s="2" t="s">
        <v>212</v>
      </c>
      <c r="AA144" s="2" t="s">
        <v>213</v>
      </c>
      <c r="AB144" s="2" t="s">
        <v>66</v>
      </c>
      <c r="AC144" s="2" t="s">
        <v>67</v>
      </c>
    </row>
    <row r="145" spans="1:29" x14ac:dyDescent="0.35">
      <c r="A145" t="s">
        <v>109</v>
      </c>
      <c r="B145" t="s">
        <v>69</v>
      </c>
      <c r="C145" t="s">
        <v>8</v>
      </c>
      <c r="D145" t="s">
        <v>14</v>
      </c>
      <c r="E145" t="s">
        <v>120</v>
      </c>
      <c r="F145" t="s">
        <v>121</v>
      </c>
      <c r="G145" s="2" t="s">
        <v>8</v>
      </c>
      <c r="H145">
        <f>VALUE(Tabla2[[#This Row],[CODIGO PDV]])</f>
        <v>355954</v>
      </c>
      <c r="I145" s="31" t="s">
        <v>225</v>
      </c>
      <c r="J145" s="2" t="s">
        <v>226</v>
      </c>
      <c r="K145" t="s">
        <v>64</v>
      </c>
      <c r="L145" t="s">
        <v>121</v>
      </c>
      <c r="M145" s="2" t="s">
        <v>78</v>
      </c>
      <c r="N145" t="s">
        <v>156</v>
      </c>
      <c r="O145" t="s">
        <v>95</v>
      </c>
      <c r="P145" s="2" t="s">
        <v>108</v>
      </c>
      <c r="Q145" t="s">
        <v>64</v>
      </c>
      <c r="R145" t="s">
        <v>64</v>
      </c>
      <c r="S145" s="77" t="s">
        <v>208</v>
      </c>
      <c r="T145" t="s">
        <v>227</v>
      </c>
      <c r="U145" t="s">
        <v>228</v>
      </c>
      <c r="V145" s="2" t="s">
        <v>229</v>
      </c>
      <c r="W145" s="2" t="s">
        <v>65</v>
      </c>
      <c r="Z145" s="2" t="s">
        <v>212</v>
      </c>
      <c r="AA145" s="2" t="s">
        <v>213</v>
      </c>
      <c r="AB145" s="2" t="s">
        <v>66</v>
      </c>
      <c r="AC145" s="2" t="s">
        <v>67</v>
      </c>
    </row>
    <row r="146" spans="1:29" x14ac:dyDescent="0.35">
      <c r="A146" t="s">
        <v>109</v>
      </c>
      <c r="B146" t="s">
        <v>69</v>
      </c>
      <c r="C146" t="s">
        <v>8</v>
      </c>
      <c r="D146" t="s">
        <v>14</v>
      </c>
      <c r="E146" t="s">
        <v>120</v>
      </c>
      <c r="F146" t="s">
        <v>121</v>
      </c>
      <c r="G146" s="2" t="s">
        <v>8</v>
      </c>
      <c r="H146">
        <f>VALUE(Tabla2[[#This Row],[CODIGO PDV]])</f>
        <v>355954</v>
      </c>
      <c r="I146" s="31" t="s">
        <v>225</v>
      </c>
      <c r="J146" s="2" t="s">
        <v>226</v>
      </c>
      <c r="K146" t="s">
        <v>64</v>
      </c>
      <c r="L146" t="s">
        <v>121</v>
      </c>
      <c r="M146" s="2" t="s">
        <v>78</v>
      </c>
      <c r="N146" t="s">
        <v>156</v>
      </c>
      <c r="O146" t="s">
        <v>96</v>
      </c>
      <c r="P146" s="2" t="s">
        <v>108</v>
      </c>
      <c r="Q146" t="s">
        <v>64</v>
      </c>
      <c r="R146" t="s">
        <v>64</v>
      </c>
      <c r="S146" s="77" t="s">
        <v>208</v>
      </c>
      <c r="T146" t="s">
        <v>227</v>
      </c>
      <c r="U146" t="s">
        <v>228</v>
      </c>
      <c r="V146" s="2" t="s">
        <v>229</v>
      </c>
      <c r="W146" s="2" t="s">
        <v>65</v>
      </c>
      <c r="Z146" s="2" t="s">
        <v>212</v>
      </c>
      <c r="AA146" s="2" t="s">
        <v>213</v>
      </c>
      <c r="AB146" s="2" t="s">
        <v>66</v>
      </c>
      <c r="AC146" s="2" t="s">
        <v>67</v>
      </c>
    </row>
    <row r="147" spans="1:29" x14ac:dyDescent="0.35">
      <c r="A147" t="s">
        <v>109</v>
      </c>
      <c r="B147" t="s">
        <v>69</v>
      </c>
      <c r="C147" t="s">
        <v>8</v>
      </c>
      <c r="D147" t="s">
        <v>14</v>
      </c>
      <c r="E147" t="s">
        <v>120</v>
      </c>
      <c r="F147" t="s">
        <v>121</v>
      </c>
      <c r="G147" s="2" t="s">
        <v>8</v>
      </c>
      <c r="H147">
        <f>VALUE(Tabla2[[#This Row],[CODIGO PDV]])</f>
        <v>355954</v>
      </c>
      <c r="I147" s="31" t="s">
        <v>225</v>
      </c>
      <c r="J147" s="2" t="s">
        <v>226</v>
      </c>
      <c r="K147" t="s">
        <v>64</v>
      </c>
      <c r="L147" t="s">
        <v>121</v>
      </c>
      <c r="M147" s="2" t="s">
        <v>78</v>
      </c>
      <c r="N147" t="s">
        <v>156</v>
      </c>
      <c r="O147" t="s">
        <v>97</v>
      </c>
      <c r="P147" s="2" t="s">
        <v>108</v>
      </c>
      <c r="Q147" t="s">
        <v>64</v>
      </c>
      <c r="R147" t="s">
        <v>64</v>
      </c>
      <c r="S147" s="77" t="s">
        <v>208</v>
      </c>
      <c r="T147" t="s">
        <v>227</v>
      </c>
      <c r="U147" t="s">
        <v>228</v>
      </c>
      <c r="V147" s="2" t="s">
        <v>229</v>
      </c>
      <c r="W147" s="2" t="s">
        <v>65</v>
      </c>
      <c r="Z147" s="2" t="s">
        <v>212</v>
      </c>
      <c r="AA147" s="2" t="s">
        <v>213</v>
      </c>
      <c r="AB147" s="2" t="s">
        <v>66</v>
      </c>
      <c r="AC147" s="2" t="s">
        <v>67</v>
      </c>
    </row>
    <row r="148" spans="1:29" x14ac:dyDescent="0.35">
      <c r="A148" t="s">
        <v>109</v>
      </c>
      <c r="B148" t="s">
        <v>69</v>
      </c>
      <c r="C148" t="s">
        <v>8</v>
      </c>
      <c r="D148" t="s">
        <v>14</v>
      </c>
      <c r="E148" t="s">
        <v>120</v>
      </c>
      <c r="F148" t="s">
        <v>121</v>
      </c>
      <c r="G148" s="2" t="s">
        <v>8</v>
      </c>
      <c r="H148">
        <f>VALUE(Tabla2[[#This Row],[CODIGO PDV]])</f>
        <v>355954</v>
      </c>
      <c r="I148" s="31" t="s">
        <v>225</v>
      </c>
      <c r="J148" s="2" t="s">
        <v>226</v>
      </c>
      <c r="K148" t="s">
        <v>64</v>
      </c>
      <c r="L148" t="s">
        <v>121</v>
      </c>
      <c r="M148" s="2" t="s">
        <v>78</v>
      </c>
      <c r="N148" t="s">
        <v>156</v>
      </c>
      <c r="O148" t="s">
        <v>147</v>
      </c>
      <c r="P148" s="2" t="s">
        <v>20</v>
      </c>
      <c r="Q148" t="s">
        <v>64</v>
      </c>
      <c r="R148" t="s">
        <v>64</v>
      </c>
      <c r="S148" s="77" t="s">
        <v>208</v>
      </c>
      <c r="T148" t="s">
        <v>227</v>
      </c>
      <c r="U148" t="s">
        <v>228</v>
      </c>
      <c r="V148" s="2" t="s">
        <v>229</v>
      </c>
      <c r="W148" s="2" t="s">
        <v>65</v>
      </c>
      <c r="Z148" s="2" t="s">
        <v>212</v>
      </c>
      <c r="AA148" s="2" t="s">
        <v>213</v>
      </c>
      <c r="AB148" s="2" t="s">
        <v>66</v>
      </c>
      <c r="AC148" s="2" t="s">
        <v>67</v>
      </c>
    </row>
    <row r="149" spans="1:29" x14ac:dyDescent="0.35">
      <c r="A149" t="s">
        <v>109</v>
      </c>
      <c r="B149" t="s">
        <v>69</v>
      </c>
      <c r="C149" t="s">
        <v>8</v>
      </c>
      <c r="D149" t="s">
        <v>14</v>
      </c>
      <c r="E149" t="s">
        <v>120</v>
      </c>
      <c r="F149" t="s">
        <v>121</v>
      </c>
      <c r="G149" s="2" t="s">
        <v>8</v>
      </c>
      <c r="H149">
        <f>VALUE(Tabla2[[#This Row],[CODIGO PDV]])</f>
        <v>355954</v>
      </c>
      <c r="I149" s="31" t="s">
        <v>225</v>
      </c>
      <c r="J149" s="2" t="s">
        <v>226</v>
      </c>
      <c r="K149" t="s">
        <v>64</v>
      </c>
      <c r="L149" t="s">
        <v>121</v>
      </c>
      <c r="M149" s="2" t="s">
        <v>78</v>
      </c>
      <c r="N149" t="s">
        <v>156</v>
      </c>
      <c r="O149" t="s">
        <v>148</v>
      </c>
      <c r="P149" s="2" t="s">
        <v>20</v>
      </c>
      <c r="Q149" t="s">
        <v>64</v>
      </c>
      <c r="R149" t="s">
        <v>64</v>
      </c>
      <c r="S149" s="77" t="s">
        <v>208</v>
      </c>
      <c r="T149" t="s">
        <v>227</v>
      </c>
      <c r="U149" t="s">
        <v>228</v>
      </c>
      <c r="V149" s="2" t="s">
        <v>229</v>
      </c>
      <c r="W149" s="2" t="s">
        <v>65</v>
      </c>
      <c r="Z149" s="2" t="s">
        <v>212</v>
      </c>
      <c r="AA149" s="2" t="s">
        <v>213</v>
      </c>
      <c r="AB149" s="2" t="s">
        <v>66</v>
      </c>
      <c r="AC149" s="2" t="s">
        <v>67</v>
      </c>
    </row>
    <row r="150" spans="1:29" x14ac:dyDescent="0.35">
      <c r="A150" t="s">
        <v>109</v>
      </c>
      <c r="B150" t="s">
        <v>69</v>
      </c>
      <c r="C150" t="s">
        <v>8</v>
      </c>
      <c r="D150" t="s">
        <v>14</v>
      </c>
      <c r="E150" t="s">
        <v>120</v>
      </c>
      <c r="F150" t="s">
        <v>121</v>
      </c>
      <c r="G150" s="2" t="s">
        <v>8</v>
      </c>
      <c r="H150">
        <f>VALUE(Tabla2[[#This Row],[CODIGO PDV]])</f>
        <v>355954</v>
      </c>
      <c r="I150" s="31" t="s">
        <v>225</v>
      </c>
      <c r="J150" s="2" t="s">
        <v>226</v>
      </c>
      <c r="K150" t="s">
        <v>64</v>
      </c>
      <c r="L150" t="s">
        <v>121</v>
      </c>
      <c r="M150" s="2" t="s">
        <v>78</v>
      </c>
      <c r="N150" t="s">
        <v>156</v>
      </c>
      <c r="O150" t="s">
        <v>98</v>
      </c>
      <c r="P150" s="2" t="s">
        <v>20</v>
      </c>
      <c r="Q150" t="s">
        <v>64</v>
      </c>
      <c r="R150" t="s">
        <v>64</v>
      </c>
      <c r="S150" s="77" t="s">
        <v>208</v>
      </c>
      <c r="T150" t="s">
        <v>227</v>
      </c>
      <c r="U150" t="s">
        <v>228</v>
      </c>
      <c r="V150" s="2" t="s">
        <v>229</v>
      </c>
      <c r="W150" s="2" t="s">
        <v>65</v>
      </c>
      <c r="Z150" s="2" t="s">
        <v>212</v>
      </c>
      <c r="AA150" s="2" t="s">
        <v>213</v>
      </c>
      <c r="AB150" s="2" t="s">
        <v>66</v>
      </c>
      <c r="AC150" s="2" t="s">
        <v>67</v>
      </c>
    </row>
    <row r="151" spans="1:29" x14ac:dyDescent="0.35">
      <c r="A151" t="s">
        <v>109</v>
      </c>
      <c r="B151" t="s">
        <v>69</v>
      </c>
      <c r="C151" t="s">
        <v>8</v>
      </c>
      <c r="D151" t="s">
        <v>14</v>
      </c>
      <c r="E151" t="s">
        <v>120</v>
      </c>
      <c r="F151" t="s">
        <v>121</v>
      </c>
      <c r="G151" s="2" t="s">
        <v>8</v>
      </c>
      <c r="H151">
        <f>VALUE(Tabla2[[#This Row],[CODIGO PDV]])</f>
        <v>355954</v>
      </c>
      <c r="I151" s="31" t="s">
        <v>225</v>
      </c>
      <c r="J151" s="2" t="s">
        <v>226</v>
      </c>
      <c r="K151" t="s">
        <v>64</v>
      </c>
      <c r="L151" t="s">
        <v>121</v>
      </c>
      <c r="M151" s="2" t="s">
        <v>78</v>
      </c>
      <c r="N151" t="s">
        <v>156</v>
      </c>
      <c r="O151" t="s">
        <v>99</v>
      </c>
      <c r="P151" s="2" t="s">
        <v>20</v>
      </c>
      <c r="Q151" t="s">
        <v>64</v>
      </c>
      <c r="R151" t="s">
        <v>64</v>
      </c>
      <c r="S151" s="77" t="s">
        <v>208</v>
      </c>
      <c r="T151" t="s">
        <v>227</v>
      </c>
      <c r="U151" t="s">
        <v>228</v>
      </c>
      <c r="V151" s="2" t="s">
        <v>229</v>
      </c>
      <c r="W151" s="2" t="s">
        <v>65</v>
      </c>
      <c r="Z151" s="2" t="s">
        <v>212</v>
      </c>
      <c r="AA151" s="2" t="s">
        <v>213</v>
      </c>
      <c r="AB151" s="2" t="s">
        <v>66</v>
      </c>
      <c r="AC151" s="2" t="s">
        <v>67</v>
      </c>
    </row>
    <row r="152" spans="1:29" x14ac:dyDescent="0.35">
      <c r="A152" t="s">
        <v>109</v>
      </c>
      <c r="B152" t="s">
        <v>69</v>
      </c>
      <c r="C152" t="s">
        <v>8</v>
      </c>
      <c r="D152" t="s">
        <v>14</v>
      </c>
      <c r="E152" t="s">
        <v>120</v>
      </c>
      <c r="F152" t="s">
        <v>121</v>
      </c>
      <c r="G152" s="2" t="s">
        <v>8</v>
      </c>
      <c r="H152">
        <f>VALUE(Tabla2[[#This Row],[CODIGO PDV]])</f>
        <v>355954</v>
      </c>
      <c r="I152" s="31" t="s">
        <v>225</v>
      </c>
      <c r="J152" s="2" t="s">
        <v>226</v>
      </c>
      <c r="K152" t="s">
        <v>64</v>
      </c>
      <c r="L152" t="s">
        <v>121</v>
      </c>
      <c r="M152" s="2" t="s">
        <v>78</v>
      </c>
      <c r="N152" t="s">
        <v>156</v>
      </c>
      <c r="O152" t="s">
        <v>100</v>
      </c>
      <c r="P152" s="2" t="s">
        <v>20</v>
      </c>
      <c r="Q152" t="s">
        <v>64</v>
      </c>
      <c r="R152" t="s">
        <v>64</v>
      </c>
      <c r="S152" s="77" t="s">
        <v>208</v>
      </c>
      <c r="T152" t="s">
        <v>227</v>
      </c>
      <c r="U152" t="s">
        <v>228</v>
      </c>
      <c r="V152" s="2" t="s">
        <v>229</v>
      </c>
      <c r="W152" s="2" t="s">
        <v>65</v>
      </c>
      <c r="Z152" s="2" t="s">
        <v>212</v>
      </c>
      <c r="AA152" s="2" t="s">
        <v>213</v>
      </c>
      <c r="AB152" s="2" t="s">
        <v>66</v>
      </c>
      <c r="AC152" s="2" t="s">
        <v>67</v>
      </c>
    </row>
    <row r="153" spans="1:29" x14ac:dyDescent="0.35">
      <c r="A153" t="s">
        <v>109</v>
      </c>
      <c r="B153" t="s">
        <v>69</v>
      </c>
      <c r="C153" t="s">
        <v>8</v>
      </c>
      <c r="D153" t="s">
        <v>14</v>
      </c>
      <c r="E153" t="s">
        <v>120</v>
      </c>
      <c r="F153" t="s">
        <v>121</v>
      </c>
      <c r="G153" s="2" t="s">
        <v>8</v>
      </c>
      <c r="H153">
        <f>VALUE(Tabla2[[#This Row],[CODIGO PDV]])</f>
        <v>355954</v>
      </c>
      <c r="I153" s="31" t="s">
        <v>225</v>
      </c>
      <c r="J153" s="2" t="s">
        <v>226</v>
      </c>
      <c r="K153" t="s">
        <v>64</v>
      </c>
      <c r="L153" t="s">
        <v>121</v>
      </c>
      <c r="M153" s="2" t="s">
        <v>78</v>
      </c>
      <c r="N153" t="s">
        <v>156</v>
      </c>
      <c r="O153" t="s">
        <v>149</v>
      </c>
      <c r="P153" s="2" t="s">
        <v>20</v>
      </c>
      <c r="Q153" t="s">
        <v>64</v>
      </c>
      <c r="R153" t="s">
        <v>64</v>
      </c>
      <c r="S153" s="77" t="s">
        <v>208</v>
      </c>
      <c r="T153" t="s">
        <v>227</v>
      </c>
      <c r="U153" t="s">
        <v>228</v>
      </c>
      <c r="V153" s="2" t="s">
        <v>229</v>
      </c>
      <c r="W153" s="2" t="s">
        <v>65</v>
      </c>
      <c r="Z153" s="2" t="s">
        <v>212</v>
      </c>
      <c r="AA153" s="2" t="s">
        <v>213</v>
      </c>
      <c r="AB153" s="2" t="s">
        <v>66</v>
      </c>
      <c r="AC153" s="2" t="s">
        <v>67</v>
      </c>
    </row>
    <row r="154" spans="1:29" x14ac:dyDescent="0.35">
      <c r="A154" t="s">
        <v>109</v>
      </c>
      <c r="B154" t="s">
        <v>69</v>
      </c>
      <c r="C154" t="s">
        <v>8</v>
      </c>
      <c r="D154" t="s">
        <v>14</v>
      </c>
      <c r="E154" t="s">
        <v>120</v>
      </c>
      <c r="F154" t="s">
        <v>121</v>
      </c>
      <c r="G154" s="2" t="s">
        <v>8</v>
      </c>
      <c r="H154">
        <f>VALUE(Tabla2[[#This Row],[CODIGO PDV]])</f>
        <v>355954</v>
      </c>
      <c r="I154" s="31" t="s">
        <v>225</v>
      </c>
      <c r="J154" s="2" t="s">
        <v>226</v>
      </c>
      <c r="K154" t="s">
        <v>64</v>
      </c>
      <c r="L154" t="s">
        <v>121</v>
      </c>
      <c r="M154" s="2" t="s">
        <v>78</v>
      </c>
      <c r="N154" t="s">
        <v>156</v>
      </c>
      <c r="O154" t="s">
        <v>130</v>
      </c>
      <c r="P154" s="2" t="s">
        <v>108</v>
      </c>
      <c r="Q154" t="s">
        <v>64</v>
      </c>
      <c r="R154" t="s">
        <v>64</v>
      </c>
      <c r="S154" s="77" t="s">
        <v>208</v>
      </c>
      <c r="T154" t="s">
        <v>227</v>
      </c>
      <c r="U154" t="s">
        <v>228</v>
      </c>
      <c r="V154" s="2" t="s">
        <v>229</v>
      </c>
      <c r="W154" s="2" t="s">
        <v>65</v>
      </c>
      <c r="Z154" s="2" t="s">
        <v>212</v>
      </c>
      <c r="AA154" s="2" t="s">
        <v>213</v>
      </c>
      <c r="AB154" s="2" t="s">
        <v>66</v>
      </c>
      <c r="AC154" s="2" t="s">
        <v>67</v>
      </c>
    </row>
    <row r="155" spans="1:29" x14ac:dyDescent="0.35">
      <c r="A155" t="s">
        <v>109</v>
      </c>
      <c r="B155" t="s">
        <v>69</v>
      </c>
      <c r="C155" t="s">
        <v>8</v>
      </c>
      <c r="D155" t="s">
        <v>14</v>
      </c>
      <c r="E155" t="s">
        <v>120</v>
      </c>
      <c r="F155" t="s">
        <v>121</v>
      </c>
      <c r="G155" s="2" t="s">
        <v>8</v>
      </c>
      <c r="H155">
        <f>VALUE(Tabla2[[#This Row],[CODIGO PDV]])</f>
        <v>355954</v>
      </c>
      <c r="I155" s="31" t="s">
        <v>225</v>
      </c>
      <c r="J155" s="2" t="s">
        <v>226</v>
      </c>
      <c r="K155" t="s">
        <v>64</v>
      </c>
      <c r="L155" t="s">
        <v>121</v>
      </c>
      <c r="M155" s="2" t="s">
        <v>78</v>
      </c>
      <c r="N155" t="s">
        <v>156</v>
      </c>
      <c r="O155" t="s">
        <v>131</v>
      </c>
      <c r="P155" s="2" t="s">
        <v>20</v>
      </c>
      <c r="Q155" t="s">
        <v>64</v>
      </c>
      <c r="R155" t="s">
        <v>64</v>
      </c>
      <c r="S155" s="77" t="s">
        <v>208</v>
      </c>
      <c r="T155" t="s">
        <v>227</v>
      </c>
      <c r="U155" t="s">
        <v>228</v>
      </c>
      <c r="V155" s="2" t="s">
        <v>229</v>
      </c>
      <c r="W155" s="2" t="s">
        <v>65</v>
      </c>
      <c r="Z155" s="2" t="s">
        <v>212</v>
      </c>
      <c r="AA155" s="2" t="s">
        <v>213</v>
      </c>
      <c r="AB155" s="2" t="s">
        <v>66</v>
      </c>
      <c r="AC155" s="2" t="s">
        <v>67</v>
      </c>
    </row>
    <row r="156" spans="1:29" x14ac:dyDescent="0.35">
      <c r="A156" t="s">
        <v>109</v>
      </c>
      <c r="B156" t="s">
        <v>69</v>
      </c>
      <c r="C156" t="s">
        <v>8</v>
      </c>
      <c r="D156" t="s">
        <v>14</v>
      </c>
      <c r="E156" t="s">
        <v>120</v>
      </c>
      <c r="F156" t="s">
        <v>121</v>
      </c>
      <c r="G156" s="2" t="s">
        <v>8</v>
      </c>
      <c r="H156">
        <f>VALUE(Tabla2[[#This Row],[CODIGO PDV]])</f>
        <v>355954</v>
      </c>
      <c r="I156" s="31" t="s">
        <v>225</v>
      </c>
      <c r="J156" s="2" t="s">
        <v>226</v>
      </c>
      <c r="K156" t="s">
        <v>64</v>
      </c>
      <c r="L156" t="s">
        <v>121</v>
      </c>
      <c r="M156" s="2" t="s">
        <v>78</v>
      </c>
      <c r="N156" t="s">
        <v>156</v>
      </c>
      <c r="O156" t="s">
        <v>101</v>
      </c>
      <c r="P156" s="2" t="s">
        <v>14</v>
      </c>
      <c r="Q156" t="s">
        <v>64</v>
      </c>
      <c r="R156" t="s">
        <v>64</v>
      </c>
      <c r="S156" s="77" t="s">
        <v>208</v>
      </c>
      <c r="T156" t="s">
        <v>227</v>
      </c>
      <c r="U156" t="s">
        <v>228</v>
      </c>
      <c r="V156" s="2" t="s">
        <v>229</v>
      </c>
      <c r="W156" s="2" t="s">
        <v>65</v>
      </c>
      <c r="Z156" s="2" t="s">
        <v>212</v>
      </c>
      <c r="AA156" s="2" t="s">
        <v>213</v>
      </c>
      <c r="AB156" s="2" t="s">
        <v>66</v>
      </c>
      <c r="AC156" s="2" t="s">
        <v>67</v>
      </c>
    </row>
    <row r="157" spans="1:29" x14ac:dyDescent="0.35">
      <c r="A157" t="s">
        <v>109</v>
      </c>
      <c r="B157" t="s">
        <v>69</v>
      </c>
      <c r="C157" t="s">
        <v>8</v>
      </c>
      <c r="D157" t="s">
        <v>14</v>
      </c>
      <c r="E157" t="s">
        <v>120</v>
      </c>
      <c r="F157" t="s">
        <v>121</v>
      </c>
      <c r="G157" s="2" t="s">
        <v>8</v>
      </c>
      <c r="H157">
        <f>VALUE(Tabla2[[#This Row],[CODIGO PDV]])</f>
        <v>355954</v>
      </c>
      <c r="I157" s="31" t="s">
        <v>225</v>
      </c>
      <c r="J157" s="2" t="s">
        <v>226</v>
      </c>
      <c r="K157" t="s">
        <v>64</v>
      </c>
      <c r="L157" t="s">
        <v>121</v>
      </c>
      <c r="M157" s="2" t="s">
        <v>78</v>
      </c>
      <c r="N157" t="s">
        <v>156</v>
      </c>
      <c r="O157" t="s">
        <v>127</v>
      </c>
      <c r="P157" s="2" t="s">
        <v>20</v>
      </c>
      <c r="Q157" t="s">
        <v>64</v>
      </c>
      <c r="R157" t="s">
        <v>64</v>
      </c>
      <c r="S157" s="77" t="s">
        <v>208</v>
      </c>
      <c r="T157" t="s">
        <v>227</v>
      </c>
      <c r="U157" t="s">
        <v>228</v>
      </c>
      <c r="V157" s="2" t="s">
        <v>229</v>
      </c>
      <c r="W157" s="2" t="s">
        <v>65</v>
      </c>
      <c r="Z157" s="2" t="s">
        <v>212</v>
      </c>
      <c r="AA157" s="2" t="s">
        <v>213</v>
      </c>
      <c r="AB157" s="2" t="s">
        <v>66</v>
      </c>
      <c r="AC157" s="2" t="s">
        <v>67</v>
      </c>
    </row>
    <row r="158" spans="1:29" x14ac:dyDescent="0.35">
      <c r="A158" t="s">
        <v>109</v>
      </c>
      <c r="B158" t="s">
        <v>69</v>
      </c>
      <c r="C158" t="s">
        <v>8</v>
      </c>
      <c r="D158" t="s">
        <v>14</v>
      </c>
      <c r="E158" t="s">
        <v>120</v>
      </c>
      <c r="F158" t="s">
        <v>121</v>
      </c>
      <c r="G158" s="2" t="s">
        <v>8</v>
      </c>
      <c r="H158">
        <f>VALUE(Tabla2[[#This Row],[CODIGO PDV]])</f>
        <v>355954</v>
      </c>
      <c r="I158" s="31" t="s">
        <v>225</v>
      </c>
      <c r="J158" s="2" t="s">
        <v>226</v>
      </c>
      <c r="K158" t="s">
        <v>64</v>
      </c>
      <c r="L158" t="s">
        <v>121</v>
      </c>
      <c r="M158" s="2" t="s">
        <v>78</v>
      </c>
      <c r="N158" t="s">
        <v>156</v>
      </c>
      <c r="O158" t="s">
        <v>118</v>
      </c>
      <c r="P158" s="2" t="s">
        <v>20</v>
      </c>
      <c r="Q158" t="s">
        <v>64</v>
      </c>
      <c r="R158" t="s">
        <v>64</v>
      </c>
      <c r="S158" s="77" t="s">
        <v>208</v>
      </c>
      <c r="T158" t="s">
        <v>227</v>
      </c>
      <c r="U158" t="s">
        <v>228</v>
      </c>
      <c r="V158" s="2" t="s">
        <v>229</v>
      </c>
      <c r="W158" s="2" t="s">
        <v>65</v>
      </c>
      <c r="Z158" s="2" t="s">
        <v>212</v>
      </c>
      <c r="AA158" s="2" t="s">
        <v>213</v>
      </c>
      <c r="AB158" s="2" t="s">
        <v>66</v>
      </c>
      <c r="AC158" s="2" t="s">
        <v>67</v>
      </c>
    </row>
    <row r="159" spans="1:29" x14ac:dyDescent="0.35">
      <c r="A159" t="s">
        <v>109</v>
      </c>
      <c r="B159" t="s">
        <v>69</v>
      </c>
      <c r="C159" t="s">
        <v>8</v>
      </c>
      <c r="D159" t="s">
        <v>14</v>
      </c>
      <c r="E159" t="s">
        <v>120</v>
      </c>
      <c r="F159" t="s">
        <v>121</v>
      </c>
      <c r="G159" s="2" t="s">
        <v>8</v>
      </c>
      <c r="H159">
        <f>VALUE(Tabla2[[#This Row],[CODIGO PDV]])</f>
        <v>355954</v>
      </c>
      <c r="I159" s="31" t="s">
        <v>225</v>
      </c>
      <c r="J159" s="2" t="s">
        <v>226</v>
      </c>
      <c r="K159" t="s">
        <v>64</v>
      </c>
      <c r="L159" t="s">
        <v>121</v>
      </c>
      <c r="M159" s="2" t="s">
        <v>78</v>
      </c>
      <c r="N159" t="s">
        <v>156</v>
      </c>
      <c r="O159" t="s">
        <v>119</v>
      </c>
      <c r="P159" s="2" t="s">
        <v>20</v>
      </c>
      <c r="Q159" t="s">
        <v>64</v>
      </c>
      <c r="R159" t="s">
        <v>64</v>
      </c>
      <c r="S159" s="77" t="s">
        <v>208</v>
      </c>
      <c r="T159" t="s">
        <v>227</v>
      </c>
      <c r="U159" t="s">
        <v>228</v>
      </c>
      <c r="V159" s="2" t="s">
        <v>229</v>
      </c>
      <c r="W159" s="2" t="s">
        <v>65</v>
      </c>
      <c r="Z159" s="2" t="s">
        <v>212</v>
      </c>
      <c r="AA159" s="2" t="s">
        <v>213</v>
      </c>
      <c r="AB159" s="2" t="s">
        <v>66</v>
      </c>
      <c r="AC159" s="2" t="s">
        <v>67</v>
      </c>
    </row>
    <row r="160" spans="1:29" x14ac:dyDescent="0.35">
      <c r="A160" t="s">
        <v>109</v>
      </c>
      <c r="B160" t="s">
        <v>69</v>
      </c>
      <c r="C160" t="s">
        <v>8</v>
      </c>
      <c r="D160" t="s">
        <v>14</v>
      </c>
      <c r="E160" t="s">
        <v>120</v>
      </c>
      <c r="F160" t="s">
        <v>121</v>
      </c>
      <c r="G160" s="2" t="s">
        <v>8</v>
      </c>
      <c r="H160">
        <f>VALUE(Tabla2[[#This Row],[CODIGO PDV]])</f>
        <v>355954</v>
      </c>
      <c r="I160" s="31" t="s">
        <v>225</v>
      </c>
      <c r="J160" s="2" t="s">
        <v>226</v>
      </c>
      <c r="K160" t="s">
        <v>64</v>
      </c>
      <c r="L160" t="s">
        <v>121</v>
      </c>
      <c r="M160" s="2" t="s">
        <v>78</v>
      </c>
      <c r="N160" t="s">
        <v>156</v>
      </c>
      <c r="O160" t="s">
        <v>133</v>
      </c>
      <c r="P160" s="2" t="s">
        <v>20</v>
      </c>
      <c r="Q160" t="s">
        <v>64</v>
      </c>
      <c r="R160" t="s">
        <v>64</v>
      </c>
      <c r="S160" s="77" t="s">
        <v>208</v>
      </c>
      <c r="T160" t="s">
        <v>227</v>
      </c>
      <c r="U160" t="s">
        <v>228</v>
      </c>
      <c r="V160" s="2" t="s">
        <v>229</v>
      </c>
      <c r="W160" s="2" t="s">
        <v>65</v>
      </c>
      <c r="Z160" s="2" t="s">
        <v>212</v>
      </c>
      <c r="AA160" s="2" t="s">
        <v>213</v>
      </c>
      <c r="AB160" s="2" t="s">
        <v>66</v>
      </c>
      <c r="AC160" s="2" t="s">
        <v>67</v>
      </c>
    </row>
    <row r="161" spans="1:29" x14ac:dyDescent="0.35">
      <c r="A161" t="s">
        <v>109</v>
      </c>
      <c r="B161" t="s">
        <v>69</v>
      </c>
      <c r="C161" t="s">
        <v>8</v>
      </c>
      <c r="D161" t="s">
        <v>14</v>
      </c>
      <c r="E161" t="s">
        <v>120</v>
      </c>
      <c r="F161" t="s">
        <v>121</v>
      </c>
      <c r="G161" s="2" t="s">
        <v>8</v>
      </c>
      <c r="H161">
        <f>VALUE(Tabla2[[#This Row],[CODIGO PDV]])</f>
        <v>355954</v>
      </c>
      <c r="I161" s="31" t="s">
        <v>225</v>
      </c>
      <c r="J161" s="2" t="s">
        <v>226</v>
      </c>
      <c r="K161" t="s">
        <v>64</v>
      </c>
      <c r="L161" t="s">
        <v>121</v>
      </c>
      <c r="M161" s="2" t="s">
        <v>78</v>
      </c>
      <c r="N161" t="s">
        <v>156</v>
      </c>
      <c r="O161" t="s">
        <v>134</v>
      </c>
      <c r="P161" s="2" t="s">
        <v>20</v>
      </c>
      <c r="Q161" t="s">
        <v>64</v>
      </c>
      <c r="R161" t="s">
        <v>64</v>
      </c>
      <c r="S161" s="77" t="s">
        <v>208</v>
      </c>
      <c r="T161" t="s">
        <v>227</v>
      </c>
      <c r="U161" t="s">
        <v>228</v>
      </c>
      <c r="V161" s="2" t="s">
        <v>229</v>
      </c>
      <c r="W161" s="2" t="s">
        <v>65</v>
      </c>
      <c r="Z161" s="2" t="s">
        <v>212</v>
      </c>
      <c r="AA161" s="2" t="s">
        <v>213</v>
      </c>
      <c r="AB161" s="2" t="s">
        <v>66</v>
      </c>
      <c r="AC161" s="2" t="s">
        <v>67</v>
      </c>
    </row>
    <row r="162" spans="1:29" x14ac:dyDescent="0.35">
      <c r="A162" t="s">
        <v>109</v>
      </c>
      <c r="B162" t="s">
        <v>69</v>
      </c>
      <c r="C162" t="s">
        <v>8</v>
      </c>
      <c r="D162" t="s">
        <v>14</v>
      </c>
      <c r="E162" t="s">
        <v>120</v>
      </c>
      <c r="F162" t="s">
        <v>121</v>
      </c>
      <c r="G162" s="2" t="s">
        <v>8</v>
      </c>
      <c r="H162">
        <f>VALUE(Tabla2[[#This Row],[CODIGO PDV]])</f>
        <v>355954</v>
      </c>
      <c r="I162" s="31" t="s">
        <v>225</v>
      </c>
      <c r="J162" s="2" t="s">
        <v>226</v>
      </c>
      <c r="K162" t="s">
        <v>64</v>
      </c>
      <c r="L162" t="s">
        <v>121</v>
      </c>
      <c r="M162" s="2" t="s">
        <v>78</v>
      </c>
      <c r="N162" t="s">
        <v>156</v>
      </c>
      <c r="O162" t="s">
        <v>102</v>
      </c>
      <c r="P162" s="2" t="s">
        <v>108</v>
      </c>
      <c r="Q162" t="s">
        <v>64</v>
      </c>
      <c r="R162" t="s">
        <v>64</v>
      </c>
      <c r="S162" s="77" t="s">
        <v>208</v>
      </c>
      <c r="T162" t="s">
        <v>227</v>
      </c>
      <c r="U162" t="s">
        <v>228</v>
      </c>
      <c r="V162" s="2" t="s">
        <v>229</v>
      </c>
      <c r="W162" s="2" t="s">
        <v>65</v>
      </c>
      <c r="Z162" s="2" t="s">
        <v>212</v>
      </c>
      <c r="AA162" s="2" t="s">
        <v>213</v>
      </c>
      <c r="AB162" s="2" t="s">
        <v>66</v>
      </c>
      <c r="AC162" s="2" t="s">
        <v>67</v>
      </c>
    </row>
    <row r="163" spans="1:29" x14ac:dyDescent="0.35">
      <c r="A163" t="s">
        <v>109</v>
      </c>
      <c r="B163" t="s">
        <v>122</v>
      </c>
      <c r="C163" t="s">
        <v>132</v>
      </c>
      <c r="D163" t="s">
        <v>14</v>
      </c>
      <c r="E163" t="s">
        <v>123</v>
      </c>
      <c r="F163" t="s">
        <v>123</v>
      </c>
      <c r="G163" s="2" t="s">
        <v>132</v>
      </c>
      <c r="H163">
        <f>VALUE(Tabla2[[#This Row],[CODIGO PDV]])</f>
        <v>424831</v>
      </c>
      <c r="I163" s="31" t="s">
        <v>230</v>
      </c>
      <c r="J163" s="2" t="s">
        <v>231</v>
      </c>
      <c r="K163" t="s">
        <v>110</v>
      </c>
      <c r="L163" t="s">
        <v>124</v>
      </c>
      <c r="M163" s="2" t="s">
        <v>78</v>
      </c>
      <c r="N163" t="s">
        <v>156</v>
      </c>
      <c r="O163" t="s">
        <v>87</v>
      </c>
      <c r="P163" s="2" t="s">
        <v>20</v>
      </c>
      <c r="Q163" t="s">
        <v>64</v>
      </c>
      <c r="R163" t="s">
        <v>64</v>
      </c>
      <c r="S163" s="77" t="s">
        <v>232</v>
      </c>
      <c r="T163" t="s">
        <v>233</v>
      </c>
      <c r="U163" t="s">
        <v>234</v>
      </c>
      <c r="V163" s="2" t="s">
        <v>235</v>
      </c>
      <c r="W163" s="2" t="s">
        <v>65</v>
      </c>
      <c r="Z163" s="2" t="s">
        <v>125</v>
      </c>
      <c r="AA163" s="2" t="s">
        <v>126</v>
      </c>
      <c r="AB163" s="2" t="s">
        <v>66</v>
      </c>
      <c r="AC163" s="2" t="s">
        <v>67</v>
      </c>
    </row>
    <row r="164" spans="1:29" x14ac:dyDescent="0.35">
      <c r="A164" t="s">
        <v>109</v>
      </c>
      <c r="B164" t="s">
        <v>122</v>
      </c>
      <c r="C164" t="s">
        <v>132</v>
      </c>
      <c r="D164" t="s">
        <v>14</v>
      </c>
      <c r="E164" t="s">
        <v>123</v>
      </c>
      <c r="F164" t="s">
        <v>123</v>
      </c>
      <c r="G164" s="2" t="s">
        <v>132</v>
      </c>
      <c r="H164">
        <f>VALUE(Tabla2[[#This Row],[CODIGO PDV]])</f>
        <v>424831</v>
      </c>
      <c r="I164" s="31" t="s">
        <v>230</v>
      </c>
      <c r="J164" s="2" t="s">
        <v>231</v>
      </c>
      <c r="K164" t="s">
        <v>110</v>
      </c>
      <c r="L164" t="s">
        <v>124</v>
      </c>
      <c r="M164" s="2" t="s">
        <v>78</v>
      </c>
      <c r="N164" t="s">
        <v>156</v>
      </c>
      <c r="O164" t="s">
        <v>88</v>
      </c>
      <c r="P164" s="2" t="s">
        <v>20</v>
      </c>
      <c r="Q164" t="s">
        <v>64</v>
      </c>
      <c r="R164" t="s">
        <v>64</v>
      </c>
      <c r="S164" s="77" t="s">
        <v>232</v>
      </c>
      <c r="T164" t="s">
        <v>233</v>
      </c>
      <c r="U164" t="s">
        <v>234</v>
      </c>
      <c r="V164" s="2" t="s">
        <v>235</v>
      </c>
      <c r="W164" s="2" t="s">
        <v>65</v>
      </c>
      <c r="Z164" s="2" t="s">
        <v>125</v>
      </c>
      <c r="AA164" s="2" t="s">
        <v>126</v>
      </c>
      <c r="AB164" s="2" t="s">
        <v>66</v>
      </c>
      <c r="AC164" s="2" t="s">
        <v>67</v>
      </c>
    </row>
    <row r="165" spans="1:29" x14ac:dyDescent="0.35">
      <c r="A165" t="s">
        <v>109</v>
      </c>
      <c r="B165" t="s">
        <v>122</v>
      </c>
      <c r="C165" t="s">
        <v>132</v>
      </c>
      <c r="D165" t="s">
        <v>14</v>
      </c>
      <c r="E165" t="s">
        <v>123</v>
      </c>
      <c r="F165" t="s">
        <v>123</v>
      </c>
      <c r="G165" s="2" t="s">
        <v>132</v>
      </c>
      <c r="H165">
        <f>VALUE(Tabla2[[#This Row],[CODIGO PDV]])</f>
        <v>424831</v>
      </c>
      <c r="I165" s="31" t="s">
        <v>230</v>
      </c>
      <c r="J165" s="2" t="s">
        <v>231</v>
      </c>
      <c r="K165" t="s">
        <v>110</v>
      </c>
      <c r="L165" t="s">
        <v>124</v>
      </c>
      <c r="M165" s="2" t="s">
        <v>78</v>
      </c>
      <c r="N165" t="s">
        <v>156</v>
      </c>
      <c r="O165" t="s">
        <v>89</v>
      </c>
      <c r="P165" s="2" t="s">
        <v>20</v>
      </c>
      <c r="Q165" t="s">
        <v>64</v>
      </c>
      <c r="R165" t="s">
        <v>64</v>
      </c>
      <c r="S165" s="77" t="s">
        <v>232</v>
      </c>
      <c r="T165" t="s">
        <v>233</v>
      </c>
      <c r="U165" t="s">
        <v>234</v>
      </c>
      <c r="V165" s="2" t="s">
        <v>235</v>
      </c>
      <c r="W165" s="2" t="s">
        <v>65</v>
      </c>
      <c r="Z165" s="2" t="s">
        <v>125</v>
      </c>
      <c r="AA165" s="2" t="s">
        <v>126</v>
      </c>
      <c r="AB165" s="2" t="s">
        <v>66</v>
      </c>
      <c r="AC165" s="2" t="s">
        <v>67</v>
      </c>
    </row>
    <row r="166" spans="1:29" x14ac:dyDescent="0.35">
      <c r="A166" t="s">
        <v>109</v>
      </c>
      <c r="B166" t="s">
        <v>122</v>
      </c>
      <c r="C166" t="s">
        <v>132</v>
      </c>
      <c r="D166" t="s">
        <v>14</v>
      </c>
      <c r="E166" t="s">
        <v>123</v>
      </c>
      <c r="F166" t="s">
        <v>123</v>
      </c>
      <c r="G166" s="2" t="s">
        <v>132</v>
      </c>
      <c r="H166">
        <f>VALUE(Tabla2[[#This Row],[CODIGO PDV]])</f>
        <v>424831</v>
      </c>
      <c r="I166" s="31" t="s">
        <v>230</v>
      </c>
      <c r="J166" s="2" t="s">
        <v>231</v>
      </c>
      <c r="K166" t="s">
        <v>110</v>
      </c>
      <c r="L166" t="s">
        <v>124</v>
      </c>
      <c r="M166" s="2" t="s">
        <v>78</v>
      </c>
      <c r="N166" t="s">
        <v>156</v>
      </c>
      <c r="O166" t="s">
        <v>90</v>
      </c>
      <c r="P166" s="2" t="s">
        <v>20</v>
      </c>
      <c r="Q166" t="s">
        <v>64</v>
      </c>
      <c r="R166" t="s">
        <v>64</v>
      </c>
      <c r="S166" s="77" t="s">
        <v>232</v>
      </c>
      <c r="T166" t="s">
        <v>233</v>
      </c>
      <c r="U166" t="s">
        <v>234</v>
      </c>
      <c r="V166" s="2" t="s">
        <v>235</v>
      </c>
      <c r="W166" s="2" t="s">
        <v>65</v>
      </c>
      <c r="Z166" s="2" t="s">
        <v>125</v>
      </c>
      <c r="AA166" s="2" t="s">
        <v>126</v>
      </c>
      <c r="AB166" s="2" t="s">
        <v>66</v>
      </c>
      <c r="AC166" s="2" t="s">
        <v>67</v>
      </c>
    </row>
    <row r="167" spans="1:29" x14ac:dyDescent="0.35">
      <c r="A167" t="s">
        <v>109</v>
      </c>
      <c r="B167" t="s">
        <v>122</v>
      </c>
      <c r="C167" t="s">
        <v>132</v>
      </c>
      <c r="D167" t="s">
        <v>14</v>
      </c>
      <c r="E167" t="s">
        <v>123</v>
      </c>
      <c r="F167" t="s">
        <v>123</v>
      </c>
      <c r="G167" s="2" t="s">
        <v>132</v>
      </c>
      <c r="H167">
        <f>VALUE(Tabla2[[#This Row],[CODIGO PDV]])</f>
        <v>424831</v>
      </c>
      <c r="I167" s="31" t="s">
        <v>230</v>
      </c>
      <c r="J167" s="2" t="s">
        <v>231</v>
      </c>
      <c r="K167" t="s">
        <v>110</v>
      </c>
      <c r="L167" t="s">
        <v>124</v>
      </c>
      <c r="M167" s="2" t="s">
        <v>78</v>
      </c>
      <c r="N167" t="s">
        <v>156</v>
      </c>
      <c r="O167" t="s">
        <v>35</v>
      </c>
      <c r="P167" s="2" t="s">
        <v>20</v>
      </c>
      <c r="Q167" t="s">
        <v>64</v>
      </c>
      <c r="R167" t="s">
        <v>64</v>
      </c>
      <c r="S167" s="77" t="s">
        <v>232</v>
      </c>
      <c r="T167" t="s">
        <v>233</v>
      </c>
      <c r="U167" t="s">
        <v>234</v>
      </c>
      <c r="V167" s="2" t="s">
        <v>235</v>
      </c>
      <c r="W167" s="2" t="s">
        <v>65</v>
      </c>
      <c r="Z167" s="2" t="s">
        <v>125</v>
      </c>
      <c r="AA167" s="2" t="s">
        <v>126</v>
      </c>
      <c r="AB167" s="2" t="s">
        <v>66</v>
      </c>
      <c r="AC167" s="2" t="s">
        <v>67</v>
      </c>
    </row>
    <row r="168" spans="1:29" x14ac:dyDescent="0.35">
      <c r="A168" t="s">
        <v>109</v>
      </c>
      <c r="B168" t="s">
        <v>122</v>
      </c>
      <c r="C168" t="s">
        <v>132</v>
      </c>
      <c r="D168" t="s">
        <v>14</v>
      </c>
      <c r="E168" t="s">
        <v>123</v>
      </c>
      <c r="F168" t="s">
        <v>123</v>
      </c>
      <c r="G168" s="2" t="s">
        <v>132</v>
      </c>
      <c r="H168">
        <f>VALUE(Tabla2[[#This Row],[CODIGO PDV]])</f>
        <v>424831</v>
      </c>
      <c r="I168" s="31" t="s">
        <v>230</v>
      </c>
      <c r="J168" s="2" t="s">
        <v>231</v>
      </c>
      <c r="K168" t="s">
        <v>110</v>
      </c>
      <c r="L168" t="s">
        <v>124</v>
      </c>
      <c r="M168" s="2" t="s">
        <v>78</v>
      </c>
      <c r="N168" t="s">
        <v>156</v>
      </c>
      <c r="O168" t="s">
        <v>91</v>
      </c>
      <c r="P168" s="2" t="s">
        <v>108</v>
      </c>
      <c r="Q168" t="s">
        <v>64</v>
      </c>
      <c r="R168" t="s">
        <v>64</v>
      </c>
      <c r="S168" s="77" t="s">
        <v>232</v>
      </c>
      <c r="T168" t="s">
        <v>233</v>
      </c>
      <c r="U168" t="s">
        <v>234</v>
      </c>
      <c r="V168" s="2" t="s">
        <v>235</v>
      </c>
      <c r="W168" s="2" t="s">
        <v>65</v>
      </c>
      <c r="Z168" s="2" t="s">
        <v>125</v>
      </c>
      <c r="AA168" s="2" t="s">
        <v>126</v>
      </c>
      <c r="AB168" s="2" t="s">
        <v>66</v>
      </c>
      <c r="AC168" s="2" t="s">
        <v>67</v>
      </c>
    </row>
    <row r="169" spans="1:29" x14ac:dyDescent="0.35">
      <c r="A169" t="s">
        <v>109</v>
      </c>
      <c r="B169" t="s">
        <v>122</v>
      </c>
      <c r="C169" t="s">
        <v>132</v>
      </c>
      <c r="D169" t="s">
        <v>14</v>
      </c>
      <c r="E169" t="s">
        <v>123</v>
      </c>
      <c r="F169" t="s">
        <v>123</v>
      </c>
      <c r="G169" s="2" t="s">
        <v>132</v>
      </c>
      <c r="H169">
        <f>VALUE(Tabla2[[#This Row],[CODIGO PDV]])</f>
        <v>424831</v>
      </c>
      <c r="I169" s="31" t="s">
        <v>230</v>
      </c>
      <c r="J169" s="2" t="s">
        <v>231</v>
      </c>
      <c r="K169" t="s">
        <v>110</v>
      </c>
      <c r="L169" t="s">
        <v>124</v>
      </c>
      <c r="M169" s="2" t="s">
        <v>78</v>
      </c>
      <c r="N169" t="s">
        <v>156</v>
      </c>
      <c r="O169" t="s">
        <v>92</v>
      </c>
      <c r="P169" s="2" t="s">
        <v>20</v>
      </c>
      <c r="Q169" t="s">
        <v>64</v>
      </c>
      <c r="R169" t="s">
        <v>64</v>
      </c>
      <c r="S169" s="77" t="s">
        <v>232</v>
      </c>
      <c r="T169" t="s">
        <v>233</v>
      </c>
      <c r="U169" t="s">
        <v>234</v>
      </c>
      <c r="V169" s="2" t="s">
        <v>235</v>
      </c>
      <c r="W169" s="2" t="s">
        <v>65</v>
      </c>
      <c r="Z169" s="2" t="s">
        <v>125</v>
      </c>
      <c r="AA169" s="2" t="s">
        <v>126</v>
      </c>
      <c r="AB169" s="2" t="s">
        <v>66</v>
      </c>
      <c r="AC169" s="2" t="s">
        <v>67</v>
      </c>
    </row>
    <row r="170" spans="1:29" x14ac:dyDescent="0.35">
      <c r="A170" t="s">
        <v>109</v>
      </c>
      <c r="B170" t="s">
        <v>122</v>
      </c>
      <c r="C170" t="s">
        <v>132</v>
      </c>
      <c r="D170" t="s">
        <v>14</v>
      </c>
      <c r="E170" t="s">
        <v>123</v>
      </c>
      <c r="F170" t="s">
        <v>123</v>
      </c>
      <c r="G170" s="2" t="s">
        <v>132</v>
      </c>
      <c r="H170">
        <f>VALUE(Tabla2[[#This Row],[CODIGO PDV]])</f>
        <v>424831</v>
      </c>
      <c r="I170" s="31" t="s">
        <v>230</v>
      </c>
      <c r="J170" s="2" t="s">
        <v>231</v>
      </c>
      <c r="K170" t="s">
        <v>110</v>
      </c>
      <c r="L170" t="s">
        <v>124</v>
      </c>
      <c r="M170" s="2" t="s">
        <v>78</v>
      </c>
      <c r="N170" t="s">
        <v>156</v>
      </c>
      <c r="O170" t="s">
        <v>93</v>
      </c>
      <c r="P170" s="2" t="s">
        <v>20</v>
      </c>
      <c r="Q170" t="s">
        <v>64</v>
      </c>
      <c r="R170" t="s">
        <v>64</v>
      </c>
      <c r="S170" s="77" t="s">
        <v>232</v>
      </c>
      <c r="T170" t="s">
        <v>233</v>
      </c>
      <c r="U170" t="s">
        <v>234</v>
      </c>
      <c r="V170" s="2" t="s">
        <v>235</v>
      </c>
      <c r="W170" s="2" t="s">
        <v>65</v>
      </c>
      <c r="Z170" s="2" t="s">
        <v>125</v>
      </c>
      <c r="AA170" s="2" t="s">
        <v>126</v>
      </c>
      <c r="AB170" s="2" t="s">
        <v>66</v>
      </c>
      <c r="AC170" s="2" t="s">
        <v>67</v>
      </c>
    </row>
    <row r="171" spans="1:29" x14ac:dyDescent="0.35">
      <c r="A171" t="s">
        <v>109</v>
      </c>
      <c r="B171" t="s">
        <v>122</v>
      </c>
      <c r="C171" t="s">
        <v>132</v>
      </c>
      <c r="D171" t="s">
        <v>14</v>
      </c>
      <c r="E171" t="s">
        <v>123</v>
      </c>
      <c r="F171" t="s">
        <v>123</v>
      </c>
      <c r="G171" s="2" t="s">
        <v>132</v>
      </c>
      <c r="H171">
        <f>VALUE(Tabla2[[#This Row],[CODIGO PDV]])</f>
        <v>424831</v>
      </c>
      <c r="I171" s="31" t="s">
        <v>230</v>
      </c>
      <c r="J171" s="2" t="s">
        <v>231</v>
      </c>
      <c r="K171" t="s">
        <v>110</v>
      </c>
      <c r="L171" t="s">
        <v>124</v>
      </c>
      <c r="M171" s="2" t="s">
        <v>78</v>
      </c>
      <c r="N171" t="s">
        <v>156</v>
      </c>
      <c r="O171" t="s">
        <v>94</v>
      </c>
      <c r="P171" s="2" t="s">
        <v>108</v>
      </c>
      <c r="Q171" t="s">
        <v>64</v>
      </c>
      <c r="R171" t="s">
        <v>64</v>
      </c>
      <c r="S171" s="77" t="s">
        <v>232</v>
      </c>
      <c r="T171" t="s">
        <v>233</v>
      </c>
      <c r="U171" t="s">
        <v>234</v>
      </c>
      <c r="V171" s="2" t="s">
        <v>235</v>
      </c>
      <c r="W171" s="2" t="s">
        <v>65</v>
      </c>
      <c r="Z171" s="2" t="s">
        <v>125</v>
      </c>
      <c r="AA171" s="2" t="s">
        <v>126</v>
      </c>
      <c r="AB171" s="2" t="s">
        <v>66</v>
      </c>
      <c r="AC171" s="2" t="s">
        <v>67</v>
      </c>
    </row>
    <row r="172" spans="1:29" x14ac:dyDescent="0.35">
      <c r="A172" t="s">
        <v>109</v>
      </c>
      <c r="B172" t="s">
        <v>122</v>
      </c>
      <c r="C172" t="s">
        <v>132</v>
      </c>
      <c r="D172" t="s">
        <v>14</v>
      </c>
      <c r="E172" t="s">
        <v>123</v>
      </c>
      <c r="F172" t="s">
        <v>123</v>
      </c>
      <c r="G172" s="2" t="s">
        <v>132</v>
      </c>
      <c r="H172">
        <f>VALUE(Tabla2[[#This Row],[CODIGO PDV]])</f>
        <v>424831</v>
      </c>
      <c r="I172" s="31" t="s">
        <v>230</v>
      </c>
      <c r="J172" s="2" t="s">
        <v>231</v>
      </c>
      <c r="K172" t="s">
        <v>110</v>
      </c>
      <c r="L172" t="s">
        <v>124</v>
      </c>
      <c r="M172" s="2" t="s">
        <v>78</v>
      </c>
      <c r="N172" t="s">
        <v>156</v>
      </c>
      <c r="O172" t="s">
        <v>95</v>
      </c>
      <c r="P172" s="2" t="s">
        <v>108</v>
      </c>
      <c r="Q172" t="s">
        <v>64</v>
      </c>
      <c r="R172" t="s">
        <v>64</v>
      </c>
      <c r="S172" s="77" t="s">
        <v>232</v>
      </c>
      <c r="T172" t="s">
        <v>233</v>
      </c>
      <c r="U172" t="s">
        <v>234</v>
      </c>
      <c r="V172" s="2" t="s">
        <v>235</v>
      </c>
      <c r="W172" s="2" t="s">
        <v>65</v>
      </c>
      <c r="Z172" s="2" t="s">
        <v>125</v>
      </c>
      <c r="AA172" s="2" t="s">
        <v>126</v>
      </c>
      <c r="AB172" s="2" t="s">
        <v>66</v>
      </c>
      <c r="AC172" s="2" t="s">
        <v>67</v>
      </c>
    </row>
    <row r="173" spans="1:29" x14ac:dyDescent="0.35">
      <c r="A173" t="s">
        <v>109</v>
      </c>
      <c r="B173" t="s">
        <v>122</v>
      </c>
      <c r="C173" t="s">
        <v>132</v>
      </c>
      <c r="D173" t="s">
        <v>14</v>
      </c>
      <c r="E173" t="s">
        <v>123</v>
      </c>
      <c r="F173" t="s">
        <v>123</v>
      </c>
      <c r="G173" s="2" t="s">
        <v>132</v>
      </c>
      <c r="H173">
        <f>VALUE(Tabla2[[#This Row],[CODIGO PDV]])</f>
        <v>424831</v>
      </c>
      <c r="I173" s="31" t="s">
        <v>230</v>
      </c>
      <c r="J173" s="2" t="s">
        <v>231</v>
      </c>
      <c r="K173" t="s">
        <v>110</v>
      </c>
      <c r="L173" t="s">
        <v>124</v>
      </c>
      <c r="M173" s="2" t="s">
        <v>78</v>
      </c>
      <c r="N173" t="s">
        <v>156</v>
      </c>
      <c r="O173" t="s">
        <v>96</v>
      </c>
      <c r="P173" s="2" t="s">
        <v>108</v>
      </c>
      <c r="Q173" t="s">
        <v>64</v>
      </c>
      <c r="R173" t="s">
        <v>64</v>
      </c>
      <c r="S173" s="77" t="s">
        <v>232</v>
      </c>
      <c r="T173" t="s">
        <v>233</v>
      </c>
      <c r="U173" t="s">
        <v>234</v>
      </c>
      <c r="V173" s="2" t="s">
        <v>235</v>
      </c>
      <c r="W173" s="2" t="s">
        <v>65</v>
      </c>
      <c r="Z173" s="2" t="s">
        <v>125</v>
      </c>
      <c r="AA173" s="2" t="s">
        <v>126</v>
      </c>
      <c r="AB173" s="2" t="s">
        <v>66</v>
      </c>
      <c r="AC173" s="2" t="s">
        <v>67</v>
      </c>
    </row>
    <row r="174" spans="1:29" x14ac:dyDescent="0.35">
      <c r="A174" t="s">
        <v>109</v>
      </c>
      <c r="B174" t="s">
        <v>122</v>
      </c>
      <c r="C174" t="s">
        <v>132</v>
      </c>
      <c r="D174" t="s">
        <v>14</v>
      </c>
      <c r="E174" t="s">
        <v>123</v>
      </c>
      <c r="F174" t="s">
        <v>123</v>
      </c>
      <c r="G174" s="2" t="s">
        <v>132</v>
      </c>
      <c r="H174">
        <f>VALUE(Tabla2[[#This Row],[CODIGO PDV]])</f>
        <v>424831</v>
      </c>
      <c r="I174" s="31" t="s">
        <v>230</v>
      </c>
      <c r="J174" s="2" t="s">
        <v>231</v>
      </c>
      <c r="K174" t="s">
        <v>110</v>
      </c>
      <c r="L174" t="s">
        <v>124</v>
      </c>
      <c r="M174" s="2" t="s">
        <v>78</v>
      </c>
      <c r="N174" t="s">
        <v>156</v>
      </c>
      <c r="O174" t="s">
        <v>97</v>
      </c>
      <c r="P174" s="2" t="s">
        <v>108</v>
      </c>
      <c r="Q174" t="s">
        <v>64</v>
      </c>
      <c r="R174" t="s">
        <v>64</v>
      </c>
      <c r="S174" s="77" t="s">
        <v>232</v>
      </c>
      <c r="T174" t="s">
        <v>233</v>
      </c>
      <c r="U174" t="s">
        <v>234</v>
      </c>
      <c r="V174" s="2" t="s">
        <v>235</v>
      </c>
      <c r="W174" s="2" t="s">
        <v>65</v>
      </c>
      <c r="Z174" s="2" t="s">
        <v>125</v>
      </c>
      <c r="AA174" s="2" t="s">
        <v>126</v>
      </c>
      <c r="AB174" s="2" t="s">
        <v>66</v>
      </c>
      <c r="AC174" s="2" t="s">
        <v>67</v>
      </c>
    </row>
    <row r="175" spans="1:29" x14ac:dyDescent="0.35">
      <c r="A175" t="s">
        <v>109</v>
      </c>
      <c r="B175" t="s">
        <v>122</v>
      </c>
      <c r="C175" t="s">
        <v>132</v>
      </c>
      <c r="D175" t="s">
        <v>14</v>
      </c>
      <c r="E175" t="s">
        <v>123</v>
      </c>
      <c r="F175" t="s">
        <v>123</v>
      </c>
      <c r="G175" s="2" t="s">
        <v>132</v>
      </c>
      <c r="H175">
        <f>VALUE(Tabla2[[#This Row],[CODIGO PDV]])</f>
        <v>424831</v>
      </c>
      <c r="I175" s="31" t="s">
        <v>230</v>
      </c>
      <c r="J175" s="2" t="s">
        <v>231</v>
      </c>
      <c r="K175" t="s">
        <v>110</v>
      </c>
      <c r="L175" t="s">
        <v>124</v>
      </c>
      <c r="M175" s="2" t="s">
        <v>78</v>
      </c>
      <c r="N175" t="s">
        <v>156</v>
      </c>
      <c r="O175" t="s">
        <v>147</v>
      </c>
      <c r="P175" s="2" t="s">
        <v>20</v>
      </c>
      <c r="Q175" t="s">
        <v>64</v>
      </c>
      <c r="R175" t="s">
        <v>64</v>
      </c>
      <c r="S175" s="77" t="s">
        <v>232</v>
      </c>
      <c r="T175" t="s">
        <v>233</v>
      </c>
      <c r="U175" t="s">
        <v>234</v>
      </c>
      <c r="V175" s="2" t="s">
        <v>235</v>
      </c>
      <c r="W175" s="2" t="s">
        <v>65</v>
      </c>
      <c r="Z175" s="2" t="s">
        <v>125</v>
      </c>
      <c r="AA175" s="2" t="s">
        <v>126</v>
      </c>
      <c r="AB175" s="2" t="s">
        <v>66</v>
      </c>
      <c r="AC175" s="2" t="s">
        <v>67</v>
      </c>
    </row>
    <row r="176" spans="1:29" x14ac:dyDescent="0.35">
      <c r="A176" t="s">
        <v>109</v>
      </c>
      <c r="B176" t="s">
        <v>122</v>
      </c>
      <c r="C176" t="s">
        <v>132</v>
      </c>
      <c r="D176" t="s">
        <v>14</v>
      </c>
      <c r="E176" t="s">
        <v>123</v>
      </c>
      <c r="F176" t="s">
        <v>123</v>
      </c>
      <c r="G176" s="2" t="s">
        <v>132</v>
      </c>
      <c r="H176">
        <f>VALUE(Tabla2[[#This Row],[CODIGO PDV]])</f>
        <v>424831</v>
      </c>
      <c r="I176" s="31" t="s">
        <v>230</v>
      </c>
      <c r="J176" s="2" t="s">
        <v>231</v>
      </c>
      <c r="K176" t="s">
        <v>110</v>
      </c>
      <c r="L176" t="s">
        <v>124</v>
      </c>
      <c r="M176" s="2" t="s">
        <v>78</v>
      </c>
      <c r="N176" t="s">
        <v>156</v>
      </c>
      <c r="O176" t="s">
        <v>148</v>
      </c>
      <c r="P176" s="2" t="s">
        <v>20</v>
      </c>
      <c r="Q176" t="s">
        <v>64</v>
      </c>
      <c r="R176" t="s">
        <v>64</v>
      </c>
      <c r="S176" s="77" t="s">
        <v>232</v>
      </c>
      <c r="T176" t="s">
        <v>233</v>
      </c>
      <c r="U176" t="s">
        <v>234</v>
      </c>
      <c r="V176" s="2" t="s">
        <v>235</v>
      </c>
      <c r="W176" s="2" t="s">
        <v>65</v>
      </c>
      <c r="Z176" s="2" t="s">
        <v>125</v>
      </c>
      <c r="AA176" s="2" t="s">
        <v>126</v>
      </c>
      <c r="AB176" s="2" t="s">
        <v>66</v>
      </c>
      <c r="AC176" s="2" t="s">
        <v>67</v>
      </c>
    </row>
    <row r="177" spans="1:29" x14ac:dyDescent="0.35">
      <c r="A177" t="s">
        <v>109</v>
      </c>
      <c r="B177" t="s">
        <v>122</v>
      </c>
      <c r="C177" t="s">
        <v>132</v>
      </c>
      <c r="D177" t="s">
        <v>14</v>
      </c>
      <c r="E177" t="s">
        <v>123</v>
      </c>
      <c r="F177" t="s">
        <v>123</v>
      </c>
      <c r="G177" s="2" t="s">
        <v>132</v>
      </c>
      <c r="H177">
        <f>VALUE(Tabla2[[#This Row],[CODIGO PDV]])</f>
        <v>424831</v>
      </c>
      <c r="I177" s="31" t="s">
        <v>230</v>
      </c>
      <c r="J177" s="2" t="s">
        <v>231</v>
      </c>
      <c r="K177" t="s">
        <v>110</v>
      </c>
      <c r="L177" t="s">
        <v>124</v>
      </c>
      <c r="M177" s="2" t="s">
        <v>78</v>
      </c>
      <c r="N177" t="s">
        <v>156</v>
      </c>
      <c r="O177" t="s">
        <v>98</v>
      </c>
      <c r="P177" s="2" t="s">
        <v>20</v>
      </c>
      <c r="Q177" t="s">
        <v>64</v>
      </c>
      <c r="R177" t="s">
        <v>64</v>
      </c>
      <c r="S177" s="77" t="s">
        <v>232</v>
      </c>
      <c r="T177" t="s">
        <v>233</v>
      </c>
      <c r="U177" t="s">
        <v>234</v>
      </c>
      <c r="V177" s="2" t="s">
        <v>235</v>
      </c>
      <c r="W177" s="2" t="s">
        <v>65</v>
      </c>
      <c r="Z177" s="2" t="s">
        <v>125</v>
      </c>
      <c r="AA177" s="2" t="s">
        <v>126</v>
      </c>
      <c r="AB177" s="2" t="s">
        <v>66</v>
      </c>
      <c r="AC177" s="2" t="s">
        <v>67</v>
      </c>
    </row>
    <row r="178" spans="1:29" x14ac:dyDescent="0.35">
      <c r="A178" t="s">
        <v>109</v>
      </c>
      <c r="B178" t="s">
        <v>122</v>
      </c>
      <c r="C178" t="s">
        <v>132</v>
      </c>
      <c r="D178" t="s">
        <v>14</v>
      </c>
      <c r="E178" t="s">
        <v>123</v>
      </c>
      <c r="F178" t="s">
        <v>123</v>
      </c>
      <c r="G178" s="2" t="s">
        <v>132</v>
      </c>
      <c r="H178">
        <f>VALUE(Tabla2[[#This Row],[CODIGO PDV]])</f>
        <v>424831</v>
      </c>
      <c r="I178" s="31" t="s">
        <v>230</v>
      </c>
      <c r="J178" s="2" t="s">
        <v>231</v>
      </c>
      <c r="K178" t="s">
        <v>110</v>
      </c>
      <c r="L178" t="s">
        <v>124</v>
      </c>
      <c r="M178" s="2" t="s">
        <v>78</v>
      </c>
      <c r="N178" t="s">
        <v>156</v>
      </c>
      <c r="O178" t="s">
        <v>99</v>
      </c>
      <c r="P178" s="2" t="s">
        <v>20</v>
      </c>
      <c r="Q178" t="s">
        <v>64</v>
      </c>
      <c r="R178" t="s">
        <v>64</v>
      </c>
      <c r="S178" s="77" t="s">
        <v>232</v>
      </c>
      <c r="T178" t="s">
        <v>233</v>
      </c>
      <c r="U178" t="s">
        <v>234</v>
      </c>
      <c r="V178" s="2" t="s">
        <v>235</v>
      </c>
      <c r="W178" s="2" t="s">
        <v>65</v>
      </c>
      <c r="Z178" s="2" t="s">
        <v>125</v>
      </c>
      <c r="AA178" s="2" t="s">
        <v>126</v>
      </c>
      <c r="AB178" s="2" t="s">
        <v>66</v>
      </c>
      <c r="AC178" s="2" t="s">
        <v>67</v>
      </c>
    </row>
    <row r="179" spans="1:29" x14ac:dyDescent="0.35">
      <c r="A179" t="s">
        <v>109</v>
      </c>
      <c r="B179" t="s">
        <v>122</v>
      </c>
      <c r="C179" t="s">
        <v>132</v>
      </c>
      <c r="D179" t="s">
        <v>14</v>
      </c>
      <c r="E179" t="s">
        <v>123</v>
      </c>
      <c r="F179" t="s">
        <v>123</v>
      </c>
      <c r="G179" s="2" t="s">
        <v>132</v>
      </c>
      <c r="H179">
        <f>VALUE(Tabla2[[#This Row],[CODIGO PDV]])</f>
        <v>424831</v>
      </c>
      <c r="I179" s="31" t="s">
        <v>230</v>
      </c>
      <c r="J179" s="2" t="s">
        <v>231</v>
      </c>
      <c r="K179" t="s">
        <v>110</v>
      </c>
      <c r="L179" t="s">
        <v>124</v>
      </c>
      <c r="M179" s="2" t="s">
        <v>78</v>
      </c>
      <c r="N179" t="s">
        <v>156</v>
      </c>
      <c r="O179" t="s">
        <v>100</v>
      </c>
      <c r="P179" s="2" t="s">
        <v>20</v>
      </c>
      <c r="Q179" t="s">
        <v>64</v>
      </c>
      <c r="R179" t="s">
        <v>64</v>
      </c>
      <c r="S179" s="77" t="s">
        <v>232</v>
      </c>
      <c r="T179" t="s">
        <v>233</v>
      </c>
      <c r="U179" t="s">
        <v>234</v>
      </c>
      <c r="V179" s="2" t="s">
        <v>235</v>
      </c>
      <c r="W179" s="2" t="s">
        <v>65</v>
      </c>
      <c r="Z179" s="2" t="s">
        <v>125</v>
      </c>
      <c r="AA179" s="2" t="s">
        <v>126</v>
      </c>
      <c r="AB179" s="2" t="s">
        <v>66</v>
      </c>
      <c r="AC179" s="2" t="s">
        <v>67</v>
      </c>
    </row>
    <row r="180" spans="1:29" x14ac:dyDescent="0.35">
      <c r="A180" t="s">
        <v>109</v>
      </c>
      <c r="B180" t="s">
        <v>122</v>
      </c>
      <c r="C180" t="s">
        <v>132</v>
      </c>
      <c r="D180" t="s">
        <v>14</v>
      </c>
      <c r="E180" t="s">
        <v>123</v>
      </c>
      <c r="F180" t="s">
        <v>123</v>
      </c>
      <c r="G180" s="2" t="s">
        <v>132</v>
      </c>
      <c r="H180">
        <f>VALUE(Tabla2[[#This Row],[CODIGO PDV]])</f>
        <v>424831</v>
      </c>
      <c r="I180" s="31" t="s">
        <v>230</v>
      </c>
      <c r="J180" s="2" t="s">
        <v>231</v>
      </c>
      <c r="K180" t="s">
        <v>110</v>
      </c>
      <c r="L180" t="s">
        <v>124</v>
      </c>
      <c r="M180" s="2" t="s">
        <v>78</v>
      </c>
      <c r="N180" t="s">
        <v>156</v>
      </c>
      <c r="O180" t="s">
        <v>149</v>
      </c>
      <c r="P180" s="2" t="s">
        <v>20</v>
      </c>
      <c r="Q180" t="s">
        <v>64</v>
      </c>
      <c r="R180" t="s">
        <v>64</v>
      </c>
      <c r="S180" s="77" t="s">
        <v>232</v>
      </c>
      <c r="T180" t="s">
        <v>233</v>
      </c>
      <c r="U180" t="s">
        <v>234</v>
      </c>
      <c r="V180" s="2" t="s">
        <v>235</v>
      </c>
      <c r="W180" s="2" t="s">
        <v>65</v>
      </c>
      <c r="Z180" s="2" t="s">
        <v>125</v>
      </c>
      <c r="AA180" s="2" t="s">
        <v>126</v>
      </c>
      <c r="AB180" s="2" t="s">
        <v>66</v>
      </c>
      <c r="AC180" s="2" t="s">
        <v>67</v>
      </c>
    </row>
    <row r="181" spans="1:29" x14ac:dyDescent="0.35">
      <c r="A181" t="s">
        <v>109</v>
      </c>
      <c r="B181" t="s">
        <v>122</v>
      </c>
      <c r="C181" t="s">
        <v>132</v>
      </c>
      <c r="D181" t="s">
        <v>14</v>
      </c>
      <c r="E181" t="s">
        <v>123</v>
      </c>
      <c r="F181" t="s">
        <v>123</v>
      </c>
      <c r="G181" s="2" t="s">
        <v>132</v>
      </c>
      <c r="H181">
        <f>VALUE(Tabla2[[#This Row],[CODIGO PDV]])</f>
        <v>424831</v>
      </c>
      <c r="I181" s="31" t="s">
        <v>230</v>
      </c>
      <c r="J181" s="2" t="s">
        <v>231</v>
      </c>
      <c r="K181" t="s">
        <v>110</v>
      </c>
      <c r="L181" t="s">
        <v>124</v>
      </c>
      <c r="M181" s="2" t="s">
        <v>78</v>
      </c>
      <c r="N181" t="s">
        <v>156</v>
      </c>
      <c r="O181" t="s">
        <v>130</v>
      </c>
      <c r="P181" s="2" t="s">
        <v>20</v>
      </c>
      <c r="Q181" t="s">
        <v>64</v>
      </c>
      <c r="R181" t="s">
        <v>64</v>
      </c>
      <c r="S181" s="77" t="s">
        <v>232</v>
      </c>
      <c r="T181" t="s">
        <v>233</v>
      </c>
      <c r="U181" t="s">
        <v>234</v>
      </c>
      <c r="V181" s="2" t="s">
        <v>235</v>
      </c>
      <c r="W181" s="2" t="s">
        <v>65</v>
      </c>
      <c r="Z181" s="2" t="s">
        <v>125</v>
      </c>
      <c r="AA181" s="2" t="s">
        <v>126</v>
      </c>
      <c r="AB181" s="2" t="s">
        <v>66</v>
      </c>
      <c r="AC181" s="2" t="s">
        <v>67</v>
      </c>
    </row>
    <row r="182" spans="1:29" x14ac:dyDescent="0.35">
      <c r="A182" t="s">
        <v>109</v>
      </c>
      <c r="B182" t="s">
        <v>122</v>
      </c>
      <c r="C182" t="s">
        <v>132</v>
      </c>
      <c r="D182" t="s">
        <v>14</v>
      </c>
      <c r="E182" t="s">
        <v>123</v>
      </c>
      <c r="F182" t="s">
        <v>123</v>
      </c>
      <c r="G182" s="2" t="s">
        <v>132</v>
      </c>
      <c r="H182">
        <f>VALUE(Tabla2[[#This Row],[CODIGO PDV]])</f>
        <v>424831</v>
      </c>
      <c r="I182" s="31" t="s">
        <v>230</v>
      </c>
      <c r="J182" s="2" t="s">
        <v>231</v>
      </c>
      <c r="K182" t="s">
        <v>110</v>
      </c>
      <c r="L182" t="s">
        <v>124</v>
      </c>
      <c r="M182" s="2" t="s">
        <v>78</v>
      </c>
      <c r="N182" t="s">
        <v>156</v>
      </c>
      <c r="O182" t="s">
        <v>131</v>
      </c>
      <c r="P182" s="2" t="s">
        <v>20</v>
      </c>
      <c r="Q182" t="s">
        <v>64</v>
      </c>
      <c r="R182" t="s">
        <v>64</v>
      </c>
      <c r="S182" s="77" t="s">
        <v>232</v>
      </c>
      <c r="T182" t="s">
        <v>233</v>
      </c>
      <c r="U182" t="s">
        <v>234</v>
      </c>
      <c r="V182" s="2" t="s">
        <v>235</v>
      </c>
      <c r="W182" s="2" t="s">
        <v>65</v>
      </c>
      <c r="Z182" s="2" t="s">
        <v>125</v>
      </c>
      <c r="AA182" s="2" t="s">
        <v>126</v>
      </c>
      <c r="AB182" s="2" t="s">
        <v>66</v>
      </c>
      <c r="AC182" s="2" t="s">
        <v>67</v>
      </c>
    </row>
    <row r="183" spans="1:29" x14ac:dyDescent="0.35">
      <c r="A183" t="s">
        <v>109</v>
      </c>
      <c r="B183" t="s">
        <v>122</v>
      </c>
      <c r="C183" t="s">
        <v>132</v>
      </c>
      <c r="D183" t="s">
        <v>14</v>
      </c>
      <c r="E183" t="s">
        <v>123</v>
      </c>
      <c r="F183" t="s">
        <v>123</v>
      </c>
      <c r="G183" s="2" t="s">
        <v>132</v>
      </c>
      <c r="H183">
        <f>VALUE(Tabla2[[#This Row],[CODIGO PDV]])</f>
        <v>424831</v>
      </c>
      <c r="I183" s="31" t="s">
        <v>230</v>
      </c>
      <c r="J183" s="2" t="s">
        <v>231</v>
      </c>
      <c r="K183" t="s">
        <v>110</v>
      </c>
      <c r="L183" t="s">
        <v>124</v>
      </c>
      <c r="M183" s="2" t="s">
        <v>78</v>
      </c>
      <c r="N183" t="s">
        <v>156</v>
      </c>
      <c r="O183" t="s">
        <v>101</v>
      </c>
      <c r="P183" s="2" t="s">
        <v>14</v>
      </c>
      <c r="Q183" t="s">
        <v>64</v>
      </c>
      <c r="R183" t="s">
        <v>64</v>
      </c>
      <c r="S183" s="77" t="s">
        <v>232</v>
      </c>
      <c r="T183" t="s">
        <v>233</v>
      </c>
      <c r="U183" t="s">
        <v>234</v>
      </c>
      <c r="V183" s="2" t="s">
        <v>235</v>
      </c>
      <c r="W183" s="2" t="s">
        <v>65</v>
      </c>
      <c r="Z183" s="2" t="s">
        <v>125</v>
      </c>
      <c r="AA183" s="2" t="s">
        <v>126</v>
      </c>
      <c r="AB183" s="2" t="s">
        <v>66</v>
      </c>
      <c r="AC183" s="2" t="s">
        <v>67</v>
      </c>
    </row>
    <row r="184" spans="1:29" x14ac:dyDescent="0.35">
      <c r="A184" t="s">
        <v>109</v>
      </c>
      <c r="B184" t="s">
        <v>122</v>
      </c>
      <c r="C184" t="s">
        <v>132</v>
      </c>
      <c r="D184" t="s">
        <v>14</v>
      </c>
      <c r="E184" t="s">
        <v>123</v>
      </c>
      <c r="F184" t="s">
        <v>123</v>
      </c>
      <c r="G184" s="2" t="s">
        <v>132</v>
      </c>
      <c r="H184">
        <f>VALUE(Tabla2[[#This Row],[CODIGO PDV]])</f>
        <v>424831</v>
      </c>
      <c r="I184" s="31" t="s">
        <v>230</v>
      </c>
      <c r="J184" s="2" t="s">
        <v>231</v>
      </c>
      <c r="K184" t="s">
        <v>110</v>
      </c>
      <c r="L184" t="s">
        <v>124</v>
      </c>
      <c r="M184" s="2" t="s">
        <v>78</v>
      </c>
      <c r="N184" t="s">
        <v>156</v>
      </c>
      <c r="O184" t="s">
        <v>127</v>
      </c>
      <c r="P184" s="2" t="s">
        <v>20</v>
      </c>
      <c r="Q184" t="s">
        <v>64</v>
      </c>
      <c r="R184" t="s">
        <v>64</v>
      </c>
      <c r="S184" s="77" t="s">
        <v>232</v>
      </c>
      <c r="T184" t="s">
        <v>233</v>
      </c>
      <c r="U184" t="s">
        <v>234</v>
      </c>
      <c r="V184" s="2" t="s">
        <v>235</v>
      </c>
      <c r="W184" s="2" t="s">
        <v>65</v>
      </c>
      <c r="Z184" s="2" t="s">
        <v>125</v>
      </c>
      <c r="AA184" s="2" t="s">
        <v>126</v>
      </c>
      <c r="AB184" s="2" t="s">
        <v>66</v>
      </c>
      <c r="AC184" s="2" t="s">
        <v>67</v>
      </c>
    </row>
    <row r="185" spans="1:29" x14ac:dyDescent="0.35">
      <c r="A185" t="s">
        <v>109</v>
      </c>
      <c r="B185" t="s">
        <v>122</v>
      </c>
      <c r="C185" t="s">
        <v>132</v>
      </c>
      <c r="D185" t="s">
        <v>14</v>
      </c>
      <c r="E185" t="s">
        <v>123</v>
      </c>
      <c r="F185" t="s">
        <v>123</v>
      </c>
      <c r="G185" s="2" t="s">
        <v>132</v>
      </c>
      <c r="H185">
        <f>VALUE(Tabla2[[#This Row],[CODIGO PDV]])</f>
        <v>424831</v>
      </c>
      <c r="I185" s="31" t="s">
        <v>230</v>
      </c>
      <c r="J185" s="2" t="s">
        <v>231</v>
      </c>
      <c r="K185" t="s">
        <v>110</v>
      </c>
      <c r="L185" t="s">
        <v>124</v>
      </c>
      <c r="M185" s="2" t="s">
        <v>78</v>
      </c>
      <c r="N185" t="s">
        <v>156</v>
      </c>
      <c r="O185" t="s">
        <v>118</v>
      </c>
      <c r="P185" s="2" t="s">
        <v>20</v>
      </c>
      <c r="Q185" t="s">
        <v>64</v>
      </c>
      <c r="R185" t="s">
        <v>64</v>
      </c>
      <c r="S185" s="77" t="s">
        <v>232</v>
      </c>
      <c r="T185" t="s">
        <v>233</v>
      </c>
      <c r="U185" t="s">
        <v>234</v>
      </c>
      <c r="V185" s="2" t="s">
        <v>235</v>
      </c>
      <c r="W185" s="2" t="s">
        <v>65</v>
      </c>
      <c r="Z185" s="2" t="s">
        <v>125</v>
      </c>
      <c r="AA185" s="2" t="s">
        <v>126</v>
      </c>
      <c r="AB185" s="2" t="s">
        <v>66</v>
      </c>
      <c r="AC185" s="2" t="s">
        <v>67</v>
      </c>
    </row>
    <row r="186" spans="1:29" x14ac:dyDescent="0.35">
      <c r="A186" t="s">
        <v>109</v>
      </c>
      <c r="B186" t="s">
        <v>122</v>
      </c>
      <c r="C186" t="s">
        <v>132</v>
      </c>
      <c r="D186" t="s">
        <v>14</v>
      </c>
      <c r="E186" t="s">
        <v>123</v>
      </c>
      <c r="F186" t="s">
        <v>123</v>
      </c>
      <c r="G186" s="2" t="s">
        <v>132</v>
      </c>
      <c r="H186">
        <f>VALUE(Tabla2[[#This Row],[CODIGO PDV]])</f>
        <v>424831</v>
      </c>
      <c r="I186" s="31" t="s">
        <v>230</v>
      </c>
      <c r="J186" s="2" t="s">
        <v>231</v>
      </c>
      <c r="K186" t="s">
        <v>110</v>
      </c>
      <c r="L186" t="s">
        <v>124</v>
      </c>
      <c r="M186" s="2" t="s">
        <v>78</v>
      </c>
      <c r="N186" t="s">
        <v>156</v>
      </c>
      <c r="O186" t="s">
        <v>119</v>
      </c>
      <c r="P186" s="2" t="s">
        <v>20</v>
      </c>
      <c r="Q186" t="s">
        <v>64</v>
      </c>
      <c r="R186" t="s">
        <v>64</v>
      </c>
      <c r="S186" s="77" t="s">
        <v>232</v>
      </c>
      <c r="T186" t="s">
        <v>233</v>
      </c>
      <c r="U186" t="s">
        <v>234</v>
      </c>
      <c r="V186" s="2" t="s">
        <v>235</v>
      </c>
      <c r="W186" s="2" t="s">
        <v>65</v>
      </c>
      <c r="Z186" s="2" t="s">
        <v>125</v>
      </c>
      <c r="AA186" s="2" t="s">
        <v>126</v>
      </c>
      <c r="AB186" s="2" t="s">
        <v>66</v>
      </c>
      <c r="AC186" s="2" t="s">
        <v>67</v>
      </c>
    </row>
    <row r="187" spans="1:29" x14ac:dyDescent="0.35">
      <c r="A187" t="s">
        <v>109</v>
      </c>
      <c r="B187" t="s">
        <v>122</v>
      </c>
      <c r="C187" t="s">
        <v>132</v>
      </c>
      <c r="D187" t="s">
        <v>14</v>
      </c>
      <c r="E187" t="s">
        <v>123</v>
      </c>
      <c r="F187" t="s">
        <v>123</v>
      </c>
      <c r="G187" s="2" t="s">
        <v>132</v>
      </c>
      <c r="H187">
        <f>VALUE(Tabla2[[#This Row],[CODIGO PDV]])</f>
        <v>424831</v>
      </c>
      <c r="I187" s="31" t="s">
        <v>230</v>
      </c>
      <c r="J187" s="2" t="s">
        <v>231</v>
      </c>
      <c r="K187" t="s">
        <v>110</v>
      </c>
      <c r="L187" t="s">
        <v>124</v>
      </c>
      <c r="M187" s="2" t="s">
        <v>78</v>
      </c>
      <c r="N187" t="s">
        <v>156</v>
      </c>
      <c r="O187" t="s">
        <v>133</v>
      </c>
      <c r="P187" s="2" t="s">
        <v>20</v>
      </c>
      <c r="Q187" t="s">
        <v>64</v>
      </c>
      <c r="R187" t="s">
        <v>64</v>
      </c>
      <c r="S187" s="77" t="s">
        <v>232</v>
      </c>
      <c r="T187" t="s">
        <v>233</v>
      </c>
      <c r="U187" t="s">
        <v>234</v>
      </c>
      <c r="V187" s="2" t="s">
        <v>235</v>
      </c>
      <c r="W187" s="2" t="s">
        <v>65</v>
      </c>
      <c r="Z187" s="2" t="s">
        <v>125</v>
      </c>
      <c r="AA187" s="2" t="s">
        <v>126</v>
      </c>
      <c r="AB187" s="2" t="s">
        <v>66</v>
      </c>
      <c r="AC187" s="2" t="s">
        <v>67</v>
      </c>
    </row>
    <row r="188" spans="1:29" x14ac:dyDescent="0.35">
      <c r="A188" t="s">
        <v>109</v>
      </c>
      <c r="B188" t="s">
        <v>122</v>
      </c>
      <c r="C188" t="s">
        <v>132</v>
      </c>
      <c r="D188" t="s">
        <v>14</v>
      </c>
      <c r="E188" t="s">
        <v>123</v>
      </c>
      <c r="F188" t="s">
        <v>123</v>
      </c>
      <c r="G188" s="2" t="s">
        <v>132</v>
      </c>
      <c r="H188">
        <f>VALUE(Tabla2[[#This Row],[CODIGO PDV]])</f>
        <v>424831</v>
      </c>
      <c r="I188" s="31" t="s">
        <v>230</v>
      </c>
      <c r="J188" s="2" t="s">
        <v>231</v>
      </c>
      <c r="K188" t="s">
        <v>110</v>
      </c>
      <c r="L188" t="s">
        <v>124</v>
      </c>
      <c r="M188" s="2" t="s">
        <v>78</v>
      </c>
      <c r="N188" t="s">
        <v>156</v>
      </c>
      <c r="O188" t="s">
        <v>134</v>
      </c>
      <c r="P188" s="2" t="s">
        <v>20</v>
      </c>
      <c r="Q188" t="s">
        <v>64</v>
      </c>
      <c r="R188" t="s">
        <v>64</v>
      </c>
      <c r="S188" s="77" t="s">
        <v>232</v>
      </c>
      <c r="T188" t="s">
        <v>233</v>
      </c>
      <c r="U188" t="s">
        <v>234</v>
      </c>
      <c r="V188" s="2" t="s">
        <v>235</v>
      </c>
      <c r="W188" s="2" t="s">
        <v>65</v>
      </c>
      <c r="Z188" s="2" t="s">
        <v>125</v>
      </c>
      <c r="AA188" s="2" t="s">
        <v>126</v>
      </c>
      <c r="AB188" s="2" t="s">
        <v>66</v>
      </c>
      <c r="AC188" s="2" t="s">
        <v>67</v>
      </c>
    </row>
    <row r="189" spans="1:29" x14ac:dyDescent="0.35">
      <c r="A189" t="s">
        <v>109</v>
      </c>
      <c r="B189" t="s">
        <v>122</v>
      </c>
      <c r="C189" t="s">
        <v>132</v>
      </c>
      <c r="D189" t="s">
        <v>14</v>
      </c>
      <c r="E189" t="s">
        <v>123</v>
      </c>
      <c r="F189" t="s">
        <v>123</v>
      </c>
      <c r="G189" s="2" t="s">
        <v>132</v>
      </c>
      <c r="H189">
        <f>VALUE(Tabla2[[#This Row],[CODIGO PDV]])</f>
        <v>424831</v>
      </c>
      <c r="I189" s="31" t="s">
        <v>230</v>
      </c>
      <c r="J189" s="2" t="s">
        <v>231</v>
      </c>
      <c r="K189" t="s">
        <v>110</v>
      </c>
      <c r="L189" t="s">
        <v>124</v>
      </c>
      <c r="M189" s="2" t="s">
        <v>78</v>
      </c>
      <c r="N189" t="s">
        <v>156</v>
      </c>
      <c r="O189" t="s">
        <v>102</v>
      </c>
      <c r="P189" s="2" t="s">
        <v>20</v>
      </c>
      <c r="Q189" t="s">
        <v>64</v>
      </c>
      <c r="R189" t="s">
        <v>64</v>
      </c>
      <c r="S189" s="77" t="s">
        <v>232</v>
      </c>
      <c r="T189" t="s">
        <v>233</v>
      </c>
      <c r="U189" t="s">
        <v>234</v>
      </c>
      <c r="V189" s="2" t="s">
        <v>235</v>
      </c>
      <c r="W189" s="2" t="s">
        <v>65</v>
      </c>
      <c r="Z189" s="2" t="s">
        <v>125</v>
      </c>
      <c r="AA189" s="2" t="s">
        <v>126</v>
      </c>
      <c r="AB189" s="2" t="s">
        <v>66</v>
      </c>
      <c r="AC189" s="2" t="s">
        <v>67</v>
      </c>
    </row>
    <row r="190" spans="1:29" x14ac:dyDescent="0.35">
      <c r="A190" t="s">
        <v>109</v>
      </c>
      <c r="B190" t="s">
        <v>122</v>
      </c>
      <c r="C190" t="s">
        <v>132</v>
      </c>
      <c r="D190" t="s">
        <v>14</v>
      </c>
      <c r="E190" t="s">
        <v>123</v>
      </c>
      <c r="F190" t="s">
        <v>123</v>
      </c>
      <c r="G190" s="2" t="s">
        <v>132</v>
      </c>
      <c r="H190">
        <f>VALUE(Tabla2[[#This Row],[CODIGO PDV]])</f>
        <v>424831</v>
      </c>
      <c r="I190" s="31" t="s">
        <v>230</v>
      </c>
      <c r="J190" s="2" t="s">
        <v>231</v>
      </c>
      <c r="K190" t="s">
        <v>110</v>
      </c>
      <c r="L190" t="s">
        <v>124</v>
      </c>
      <c r="M190" s="2" t="s">
        <v>78</v>
      </c>
      <c r="N190" t="s">
        <v>156</v>
      </c>
      <c r="O190" t="s">
        <v>103</v>
      </c>
      <c r="P190" s="2" t="s">
        <v>236</v>
      </c>
      <c r="Q190" t="s">
        <v>64</v>
      </c>
      <c r="R190" t="s">
        <v>64</v>
      </c>
      <c r="S190" s="77" t="s">
        <v>232</v>
      </c>
      <c r="T190" t="s">
        <v>233</v>
      </c>
      <c r="U190" t="s">
        <v>234</v>
      </c>
      <c r="V190" s="2" t="s">
        <v>235</v>
      </c>
      <c r="W190" s="2" t="s">
        <v>65</v>
      </c>
      <c r="Z190" s="2" t="s">
        <v>125</v>
      </c>
      <c r="AA190" s="2" t="s">
        <v>126</v>
      </c>
      <c r="AB190" s="2" t="s">
        <v>66</v>
      </c>
      <c r="AC190" s="2" t="s">
        <v>67</v>
      </c>
    </row>
    <row r="191" spans="1:29" x14ac:dyDescent="0.35">
      <c r="A191" t="s">
        <v>109</v>
      </c>
      <c r="B191" t="s">
        <v>122</v>
      </c>
      <c r="C191" t="s">
        <v>132</v>
      </c>
      <c r="D191" t="s">
        <v>43</v>
      </c>
      <c r="E191" t="s">
        <v>123</v>
      </c>
      <c r="F191" t="s">
        <v>123</v>
      </c>
      <c r="G191" s="2" t="s">
        <v>132</v>
      </c>
      <c r="H191">
        <f>VALUE(Tabla2[[#This Row],[CODIGO PDV]])</f>
        <v>111523</v>
      </c>
      <c r="I191" s="31" t="s">
        <v>237</v>
      </c>
      <c r="J191" s="2" t="s">
        <v>238</v>
      </c>
      <c r="K191" t="s">
        <v>110</v>
      </c>
      <c r="L191" t="s">
        <v>124</v>
      </c>
      <c r="M191" s="2" t="s">
        <v>78</v>
      </c>
      <c r="N191" t="s">
        <v>156</v>
      </c>
      <c r="O191" t="s">
        <v>87</v>
      </c>
      <c r="P191" s="2" t="s">
        <v>20</v>
      </c>
      <c r="Q191" t="s">
        <v>64</v>
      </c>
      <c r="R191" t="s">
        <v>64</v>
      </c>
      <c r="S191" s="77" t="s">
        <v>232</v>
      </c>
      <c r="T191" t="s">
        <v>239</v>
      </c>
      <c r="U191" t="s">
        <v>240</v>
      </c>
      <c r="V191" s="2" t="s">
        <v>241</v>
      </c>
      <c r="W191" s="2" t="s">
        <v>65</v>
      </c>
      <c r="Z191" s="2" t="s">
        <v>125</v>
      </c>
      <c r="AA191" s="2" t="s">
        <v>126</v>
      </c>
      <c r="AB191" s="2" t="s">
        <v>66</v>
      </c>
      <c r="AC191" s="2" t="s">
        <v>67</v>
      </c>
    </row>
    <row r="192" spans="1:29" x14ac:dyDescent="0.35">
      <c r="A192" t="s">
        <v>109</v>
      </c>
      <c r="B192" t="s">
        <v>122</v>
      </c>
      <c r="C192" t="s">
        <v>132</v>
      </c>
      <c r="D192" t="s">
        <v>43</v>
      </c>
      <c r="E192" t="s">
        <v>123</v>
      </c>
      <c r="F192" t="s">
        <v>123</v>
      </c>
      <c r="G192" s="2" t="s">
        <v>132</v>
      </c>
      <c r="H192">
        <f>VALUE(Tabla2[[#This Row],[CODIGO PDV]])</f>
        <v>111523</v>
      </c>
      <c r="I192" s="31" t="s">
        <v>237</v>
      </c>
      <c r="J192" s="2" t="s">
        <v>238</v>
      </c>
      <c r="K192" t="s">
        <v>110</v>
      </c>
      <c r="L192" t="s">
        <v>124</v>
      </c>
      <c r="M192" s="2" t="s">
        <v>78</v>
      </c>
      <c r="N192" t="s">
        <v>156</v>
      </c>
      <c r="O192" t="s">
        <v>88</v>
      </c>
      <c r="P192" s="2" t="s">
        <v>20</v>
      </c>
      <c r="Q192" t="s">
        <v>64</v>
      </c>
      <c r="R192" t="s">
        <v>64</v>
      </c>
      <c r="S192" s="77" t="s">
        <v>232</v>
      </c>
      <c r="T192" t="s">
        <v>239</v>
      </c>
      <c r="U192" t="s">
        <v>240</v>
      </c>
      <c r="V192" s="2" t="s">
        <v>241</v>
      </c>
      <c r="W192" s="2" t="s">
        <v>65</v>
      </c>
      <c r="Z192" s="2" t="s">
        <v>125</v>
      </c>
      <c r="AA192" s="2" t="s">
        <v>126</v>
      </c>
      <c r="AB192" s="2" t="s">
        <v>66</v>
      </c>
      <c r="AC192" s="2" t="s">
        <v>67</v>
      </c>
    </row>
    <row r="193" spans="1:29" x14ac:dyDescent="0.35">
      <c r="A193" t="s">
        <v>109</v>
      </c>
      <c r="B193" t="s">
        <v>122</v>
      </c>
      <c r="C193" t="s">
        <v>132</v>
      </c>
      <c r="D193" t="s">
        <v>43</v>
      </c>
      <c r="E193" t="s">
        <v>123</v>
      </c>
      <c r="F193" t="s">
        <v>123</v>
      </c>
      <c r="G193" s="2" t="s">
        <v>132</v>
      </c>
      <c r="H193">
        <f>VALUE(Tabla2[[#This Row],[CODIGO PDV]])</f>
        <v>111523</v>
      </c>
      <c r="I193" s="31" t="s">
        <v>237</v>
      </c>
      <c r="J193" s="2" t="s">
        <v>238</v>
      </c>
      <c r="K193" t="s">
        <v>110</v>
      </c>
      <c r="L193" t="s">
        <v>124</v>
      </c>
      <c r="M193" s="2" t="s">
        <v>78</v>
      </c>
      <c r="N193" t="s">
        <v>156</v>
      </c>
      <c r="O193" t="s">
        <v>89</v>
      </c>
      <c r="P193" s="2" t="s">
        <v>20</v>
      </c>
      <c r="Q193" t="s">
        <v>64</v>
      </c>
      <c r="R193" t="s">
        <v>64</v>
      </c>
      <c r="S193" s="77" t="s">
        <v>232</v>
      </c>
      <c r="T193" t="s">
        <v>239</v>
      </c>
      <c r="U193" t="s">
        <v>240</v>
      </c>
      <c r="V193" s="2" t="s">
        <v>241</v>
      </c>
      <c r="W193" s="2" t="s">
        <v>65</v>
      </c>
      <c r="Z193" s="2" t="s">
        <v>125</v>
      </c>
      <c r="AA193" s="2" t="s">
        <v>126</v>
      </c>
      <c r="AB193" s="2" t="s">
        <v>66</v>
      </c>
      <c r="AC193" s="2" t="s">
        <v>67</v>
      </c>
    </row>
    <row r="194" spans="1:29" x14ac:dyDescent="0.35">
      <c r="A194" t="s">
        <v>109</v>
      </c>
      <c r="B194" t="s">
        <v>122</v>
      </c>
      <c r="C194" t="s">
        <v>132</v>
      </c>
      <c r="D194" t="s">
        <v>43</v>
      </c>
      <c r="E194" t="s">
        <v>123</v>
      </c>
      <c r="F194" t="s">
        <v>123</v>
      </c>
      <c r="G194" s="2" t="s">
        <v>132</v>
      </c>
      <c r="H194">
        <f>VALUE(Tabla2[[#This Row],[CODIGO PDV]])</f>
        <v>111523</v>
      </c>
      <c r="I194" s="31" t="s">
        <v>237</v>
      </c>
      <c r="J194" s="2" t="s">
        <v>238</v>
      </c>
      <c r="K194" t="s">
        <v>110</v>
      </c>
      <c r="L194" t="s">
        <v>124</v>
      </c>
      <c r="M194" s="2" t="s">
        <v>78</v>
      </c>
      <c r="N194" t="s">
        <v>156</v>
      </c>
      <c r="O194" t="s">
        <v>90</v>
      </c>
      <c r="P194" s="2" t="s">
        <v>20</v>
      </c>
      <c r="Q194" t="s">
        <v>64</v>
      </c>
      <c r="R194" t="s">
        <v>64</v>
      </c>
      <c r="S194" s="77" t="s">
        <v>232</v>
      </c>
      <c r="T194" t="s">
        <v>239</v>
      </c>
      <c r="U194" t="s">
        <v>240</v>
      </c>
      <c r="V194" s="2" t="s">
        <v>241</v>
      </c>
      <c r="W194" s="2" t="s">
        <v>65</v>
      </c>
      <c r="Z194" s="2" t="s">
        <v>125</v>
      </c>
      <c r="AA194" s="2" t="s">
        <v>126</v>
      </c>
      <c r="AB194" s="2" t="s">
        <v>66</v>
      </c>
      <c r="AC194" s="2" t="s">
        <v>67</v>
      </c>
    </row>
    <row r="195" spans="1:29" x14ac:dyDescent="0.35">
      <c r="A195" t="s">
        <v>109</v>
      </c>
      <c r="B195" t="s">
        <v>122</v>
      </c>
      <c r="C195" t="s">
        <v>132</v>
      </c>
      <c r="D195" t="s">
        <v>43</v>
      </c>
      <c r="E195" t="s">
        <v>123</v>
      </c>
      <c r="F195" t="s">
        <v>123</v>
      </c>
      <c r="G195" s="2" t="s">
        <v>132</v>
      </c>
      <c r="H195">
        <f>VALUE(Tabla2[[#This Row],[CODIGO PDV]])</f>
        <v>111523</v>
      </c>
      <c r="I195" s="31" t="s">
        <v>237</v>
      </c>
      <c r="J195" s="2" t="s">
        <v>238</v>
      </c>
      <c r="K195" t="s">
        <v>110</v>
      </c>
      <c r="L195" t="s">
        <v>124</v>
      </c>
      <c r="M195" s="2" t="s">
        <v>78</v>
      </c>
      <c r="N195" t="s">
        <v>156</v>
      </c>
      <c r="O195" t="s">
        <v>35</v>
      </c>
      <c r="P195" s="2" t="s">
        <v>20</v>
      </c>
      <c r="Q195" t="s">
        <v>64</v>
      </c>
      <c r="R195" t="s">
        <v>64</v>
      </c>
      <c r="S195" s="77" t="s">
        <v>232</v>
      </c>
      <c r="T195" t="s">
        <v>239</v>
      </c>
      <c r="U195" t="s">
        <v>240</v>
      </c>
      <c r="V195" s="2" t="s">
        <v>241</v>
      </c>
      <c r="W195" s="2" t="s">
        <v>65</v>
      </c>
      <c r="Z195" s="2" t="s">
        <v>125</v>
      </c>
      <c r="AA195" s="2" t="s">
        <v>126</v>
      </c>
      <c r="AB195" s="2" t="s">
        <v>66</v>
      </c>
      <c r="AC195" s="2" t="s">
        <v>67</v>
      </c>
    </row>
    <row r="196" spans="1:29" x14ac:dyDescent="0.35">
      <c r="A196" t="s">
        <v>109</v>
      </c>
      <c r="B196" t="s">
        <v>122</v>
      </c>
      <c r="C196" t="s">
        <v>132</v>
      </c>
      <c r="D196" t="s">
        <v>43</v>
      </c>
      <c r="E196" t="s">
        <v>123</v>
      </c>
      <c r="F196" t="s">
        <v>123</v>
      </c>
      <c r="G196" s="2" t="s">
        <v>132</v>
      </c>
      <c r="H196">
        <f>VALUE(Tabla2[[#This Row],[CODIGO PDV]])</f>
        <v>111523</v>
      </c>
      <c r="I196" s="31" t="s">
        <v>237</v>
      </c>
      <c r="J196" s="2" t="s">
        <v>238</v>
      </c>
      <c r="K196" t="s">
        <v>110</v>
      </c>
      <c r="L196" t="s">
        <v>124</v>
      </c>
      <c r="M196" s="2" t="s">
        <v>78</v>
      </c>
      <c r="N196" t="s">
        <v>156</v>
      </c>
      <c r="O196" t="s">
        <v>91</v>
      </c>
      <c r="P196" s="2" t="s">
        <v>108</v>
      </c>
      <c r="Q196" t="s">
        <v>64</v>
      </c>
      <c r="R196" t="s">
        <v>64</v>
      </c>
      <c r="S196" s="77" t="s">
        <v>232</v>
      </c>
      <c r="T196" t="s">
        <v>239</v>
      </c>
      <c r="U196" t="s">
        <v>240</v>
      </c>
      <c r="V196" s="2" t="s">
        <v>241</v>
      </c>
      <c r="W196" s="2" t="s">
        <v>65</v>
      </c>
      <c r="Z196" s="2" t="s">
        <v>125</v>
      </c>
      <c r="AA196" s="2" t="s">
        <v>126</v>
      </c>
      <c r="AB196" s="2" t="s">
        <v>66</v>
      </c>
      <c r="AC196" s="2" t="s">
        <v>67</v>
      </c>
    </row>
    <row r="197" spans="1:29" x14ac:dyDescent="0.35">
      <c r="A197" t="s">
        <v>109</v>
      </c>
      <c r="B197" t="s">
        <v>122</v>
      </c>
      <c r="C197" t="s">
        <v>132</v>
      </c>
      <c r="D197" t="s">
        <v>43</v>
      </c>
      <c r="E197" t="s">
        <v>123</v>
      </c>
      <c r="F197" t="s">
        <v>123</v>
      </c>
      <c r="G197" s="2" t="s">
        <v>132</v>
      </c>
      <c r="H197">
        <f>VALUE(Tabla2[[#This Row],[CODIGO PDV]])</f>
        <v>111523</v>
      </c>
      <c r="I197" s="31" t="s">
        <v>237</v>
      </c>
      <c r="J197" s="2" t="s">
        <v>238</v>
      </c>
      <c r="K197" t="s">
        <v>110</v>
      </c>
      <c r="L197" t="s">
        <v>124</v>
      </c>
      <c r="M197" s="2" t="s">
        <v>78</v>
      </c>
      <c r="N197" t="s">
        <v>156</v>
      </c>
      <c r="O197" t="s">
        <v>92</v>
      </c>
      <c r="P197" s="2" t="s">
        <v>20</v>
      </c>
      <c r="Q197" t="s">
        <v>64</v>
      </c>
      <c r="R197" t="s">
        <v>64</v>
      </c>
      <c r="S197" s="77" t="s">
        <v>232</v>
      </c>
      <c r="T197" t="s">
        <v>239</v>
      </c>
      <c r="U197" t="s">
        <v>240</v>
      </c>
      <c r="V197" s="2" t="s">
        <v>241</v>
      </c>
      <c r="W197" s="2" t="s">
        <v>65</v>
      </c>
      <c r="Z197" s="2" t="s">
        <v>125</v>
      </c>
      <c r="AA197" s="2" t="s">
        <v>126</v>
      </c>
      <c r="AB197" s="2" t="s">
        <v>66</v>
      </c>
      <c r="AC197" s="2" t="s">
        <v>67</v>
      </c>
    </row>
    <row r="198" spans="1:29" x14ac:dyDescent="0.35">
      <c r="A198" t="s">
        <v>109</v>
      </c>
      <c r="B198" t="s">
        <v>122</v>
      </c>
      <c r="C198" t="s">
        <v>132</v>
      </c>
      <c r="D198" t="s">
        <v>43</v>
      </c>
      <c r="E198" t="s">
        <v>123</v>
      </c>
      <c r="F198" t="s">
        <v>123</v>
      </c>
      <c r="G198" s="2" t="s">
        <v>132</v>
      </c>
      <c r="H198">
        <f>VALUE(Tabla2[[#This Row],[CODIGO PDV]])</f>
        <v>111523</v>
      </c>
      <c r="I198" s="31" t="s">
        <v>237</v>
      </c>
      <c r="J198" s="2" t="s">
        <v>238</v>
      </c>
      <c r="K198" t="s">
        <v>110</v>
      </c>
      <c r="L198" t="s">
        <v>124</v>
      </c>
      <c r="M198" s="2" t="s">
        <v>78</v>
      </c>
      <c r="N198" t="s">
        <v>156</v>
      </c>
      <c r="O198" t="s">
        <v>93</v>
      </c>
      <c r="P198" s="2" t="s">
        <v>20</v>
      </c>
      <c r="Q198" t="s">
        <v>64</v>
      </c>
      <c r="R198" t="s">
        <v>64</v>
      </c>
      <c r="S198" s="77" t="s">
        <v>232</v>
      </c>
      <c r="T198" t="s">
        <v>239</v>
      </c>
      <c r="U198" t="s">
        <v>240</v>
      </c>
      <c r="V198" s="2" t="s">
        <v>241</v>
      </c>
      <c r="W198" s="2" t="s">
        <v>65</v>
      </c>
      <c r="Z198" s="2" t="s">
        <v>125</v>
      </c>
      <c r="AA198" s="2" t="s">
        <v>126</v>
      </c>
      <c r="AB198" s="2" t="s">
        <v>66</v>
      </c>
      <c r="AC198" s="2" t="s">
        <v>67</v>
      </c>
    </row>
    <row r="199" spans="1:29" x14ac:dyDescent="0.35">
      <c r="A199" t="s">
        <v>109</v>
      </c>
      <c r="B199" t="s">
        <v>122</v>
      </c>
      <c r="C199" t="s">
        <v>132</v>
      </c>
      <c r="D199" t="s">
        <v>43</v>
      </c>
      <c r="E199" t="s">
        <v>123</v>
      </c>
      <c r="F199" t="s">
        <v>123</v>
      </c>
      <c r="G199" s="2" t="s">
        <v>132</v>
      </c>
      <c r="H199">
        <f>VALUE(Tabla2[[#This Row],[CODIGO PDV]])</f>
        <v>111523</v>
      </c>
      <c r="I199" s="31" t="s">
        <v>237</v>
      </c>
      <c r="J199" s="2" t="s">
        <v>238</v>
      </c>
      <c r="K199" t="s">
        <v>110</v>
      </c>
      <c r="L199" t="s">
        <v>124</v>
      </c>
      <c r="M199" s="2" t="s">
        <v>78</v>
      </c>
      <c r="N199" t="s">
        <v>156</v>
      </c>
      <c r="O199" t="s">
        <v>94</v>
      </c>
      <c r="P199" s="2" t="s">
        <v>108</v>
      </c>
      <c r="Q199" t="s">
        <v>64</v>
      </c>
      <c r="R199" t="s">
        <v>64</v>
      </c>
      <c r="S199" s="77" t="s">
        <v>232</v>
      </c>
      <c r="T199" t="s">
        <v>239</v>
      </c>
      <c r="U199" t="s">
        <v>240</v>
      </c>
      <c r="V199" s="2" t="s">
        <v>241</v>
      </c>
      <c r="W199" s="2" t="s">
        <v>65</v>
      </c>
      <c r="Z199" s="2" t="s">
        <v>125</v>
      </c>
      <c r="AA199" s="2" t="s">
        <v>126</v>
      </c>
      <c r="AB199" s="2" t="s">
        <v>66</v>
      </c>
      <c r="AC199" s="2" t="s">
        <v>67</v>
      </c>
    </row>
    <row r="200" spans="1:29" x14ac:dyDescent="0.35">
      <c r="A200" t="s">
        <v>109</v>
      </c>
      <c r="B200" t="s">
        <v>122</v>
      </c>
      <c r="C200" t="s">
        <v>132</v>
      </c>
      <c r="D200" t="s">
        <v>43</v>
      </c>
      <c r="E200" t="s">
        <v>123</v>
      </c>
      <c r="F200" t="s">
        <v>123</v>
      </c>
      <c r="G200" s="2" t="s">
        <v>132</v>
      </c>
      <c r="H200">
        <f>VALUE(Tabla2[[#This Row],[CODIGO PDV]])</f>
        <v>111523</v>
      </c>
      <c r="I200" s="31" t="s">
        <v>237</v>
      </c>
      <c r="J200" s="2" t="s">
        <v>238</v>
      </c>
      <c r="K200" t="s">
        <v>110</v>
      </c>
      <c r="L200" t="s">
        <v>124</v>
      </c>
      <c r="M200" s="2" t="s">
        <v>78</v>
      </c>
      <c r="N200" t="s">
        <v>156</v>
      </c>
      <c r="O200" t="s">
        <v>95</v>
      </c>
      <c r="P200" s="2" t="s">
        <v>108</v>
      </c>
      <c r="Q200" t="s">
        <v>64</v>
      </c>
      <c r="R200" t="s">
        <v>64</v>
      </c>
      <c r="S200" s="77" t="s">
        <v>232</v>
      </c>
      <c r="T200" t="s">
        <v>239</v>
      </c>
      <c r="U200" t="s">
        <v>240</v>
      </c>
      <c r="V200" s="2" t="s">
        <v>241</v>
      </c>
      <c r="W200" s="2" t="s">
        <v>65</v>
      </c>
      <c r="Z200" s="2" t="s">
        <v>125</v>
      </c>
      <c r="AA200" s="2" t="s">
        <v>126</v>
      </c>
      <c r="AB200" s="2" t="s">
        <v>66</v>
      </c>
      <c r="AC200" s="2" t="s">
        <v>67</v>
      </c>
    </row>
    <row r="201" spans="1:29" x14ac:dyDescent="0.35">
      <c r="A201" t="s">
        <v>109</v>
      </c>
      <c r="B201" t="s">
        <v>122</v>
      </c>
      <c r="C201" t="s">
        <v>132</v>
      </c>
      <c r="D201" t="s">
        <v>43</v>
      </c>
      <c r="E201" t="s">
        <v>123</v>
      </c>
      <c r="F201" t="s">
        <v>123</v>
      </c>
      <c r="G201" s="2" t="s">
        <v>132</v>
      </c>
      <c r="H201">
        <f>VALUE(Tabla2[[#This Row],[CODIGO PDV]])</f>
        <v>111523</v>
      </c>
      <c r="I201" s="31" t="s">
        <v>237</v>
      </c>
      <c r="J201" s="2" t="s">
        <v>238</v>
      </c>
      <c r="K201" t="s">
        <v>110</v>
      </c>
      <c r="L201" t="s">
        <v>124</v>
      </c>
      <c r="M201" s="2" t="s">
        <v>78</v>
      </c>
      <c r="N201" t="s">
        <v>156</v>
      </c>
      <c r="O201" t="s">
        <v>96</v>
      </c>
      <c r="P201" s="2" t="s">
        <v>108</v>
      </c>
      <c r="Q201" t="s">
        <v>64</v>
      </c>
      <c r="R201" t="s">
        <v>64</v>
      </c>
      <c r="S201" s="77" t="s">
        <v>232</v>
      </c>
      <c r="T201" t="s">
        <v>239</v>
      </c>
      <c r="U201" t="s">
        <v>240</v>
      </c>
      <c r="V201" s="2" t="s">
        <v>241</v>
      </c>
      <c r="W201" s="2" t="s">
        <v>65</v>
      </c>
      <c r="Z201" s="2" t="s">
        <v>125</v>
      </c>
      <c r="AA201" s="2" t="s">
        <v>126</v>
      </c>
      <c r="AB201" s="2" t="s">
        <v>66</v>
      </c>
      <c r="AC201" s="2" t="s">
        <v>67</v>
      </c>
    </row>
    <row r="202" spans="1:29" x14ac:dyDescent="0.35">
      <c r="A202" t="s">
        <v>109</v>
      </c>
      <c r="B202" t="s">
        <v>122</v>
      </c>
      <c r="C202" t="s">
        <v>132</v>
      </c>
      <c r="D202" t="s">
        <v>43</v>
      </c>
      <c r="E202" t="s">
        <v>123</v>
      </c>
      <c r="F202" t="s">
        <v>123</v>
      </c>
      <c r="G202" s="2" t="s">
        <v>132</v>
      </c>
      <c r="H202">
        <f>VALUE(Tabla2[[#This Row],[CODIGO PDV]])</f>
        <v>111523</v>
      </c>
      <c r="I202" s="31" t="s">
        <v>237</v>
      </c>
      <c r="J202" s="2" t="s">
        <v>238</v>
      </c>
      <c r="K202" t="s">
        <v>110</v>
      </c>
      <c r="L202" t="s">
        <v>124</v>
      </c>
      <c r="M202" s="2" t="s">
        <v>78</v>
      </c>
      <c r="N202" t="s">
        <v>156</v>
      </c>
      <c r="O202" t="s">
        <v>97</v>
      </c>
      <c r="P202" s="2" t="s">
        <v>108</v>
      </c>
      <c r="Q202" t="s">
        <v>64</v>
      </c>
      <c r="R202" t="s">
        <v>64</v>
      </c>
      <c r="S202" s="77" t="s">
        <v>232</v>
      </c>
      <c r="T202" t="s">
        <v>239</v>
      </c>
      <c r="U202" t="s">
        <v>240</v>
      </c>
      <c r="V202" s="2" t="s">
        <v>241</v>
      </c>
      <c r="W202" s="2" t="s">
        <v>65</v>
      </c>
      <c r="Z202" s="2" t="s">
        <v>125</v>
      </c>
      <c r="AA202" s="2" t="s">
        <v>126</v>
      </c>
      <c r="AB202" s="2" t="s">
        <v>66</v>
      </c>
      <c r="AC202" s="2" t="s">
        <v>67</v>
      </c>
    </row>
    <row r="203" spans="1:29" x14ac:dyDescent="0.35">
      <c r="A203" t="s">
        <v>109</v>
      </c>
      <c r="B203" t="s">
        <v>122</v>
      </c>
      <c r="C203" t="s">
        <v>132</v>
      </c>
      <c r="D203" t="s">
        <v>43</v>
      </c>
      <c r="E203" t="s">
        <v>123</v>
      </c>
      <c r="F203" t="s">
        <v>123</v>
      </c>
      <c r="G203" s="2" t="s">
        <v>132</v>
      </c>
      <c r="H203">
        <f>VALUE(Tabla2[[#This Row],[CODIGO PDV]])</f>
        <v>111523</v>
      </c>
      <c r="I203" s="31" t="s">
        <v>237</v>
      </c>
      <c r="J203" s="2" t="s">
        <v>238</v>
      </c>
      <c r="K203" t="s">
        <v>110</v>
      </c>
      <c r="L203" t="s">
        <v>124</v>
      </c>
      <c r="M203" s="2" t="s">
        <v>78</v>
      </c>
      <c r="N203" t="s">
        <v>156</v>
      </c>
      <c r="O203" t="s">
        <v>147</v>
      </c>
      <c r="P203" s="2" t="s">
        <v>20</v>
      </c>
      <c r="Q203" t="s">
        <v>64</v>
      </c>
      <c r="R203" t="s">
        <v>64</v>
      </c>
      <c r="S203" s="77" t="s">
        <v>232</v>
      </c>
      <c r="T203" t="s">
        <v>239</v>
      </c>
      <c r="U203" t="s">
        <v>240</v>
      </c>
      <c r="V203" s="2" t="s">
        <v>241</v>
      </c>
      <c r="W203" s="2" t="s">
        <v>65</v>
      </c>
      <c r="Z203" s="2" t="s">
        <v>125</v>
      </c>
      <c r="AA203" s="2" t="s">
        <v>126</v>
      </c>
      <c r="AB203" s="2" t="s">
        <v>66</v>
      </c>
      <c r="AC203" s="2" t="s">
        <v>67</v>
      </c>
    </row>
    <row r="204" spans="1:29" x14ac:dyDescent="0.35">
      <c r="A204" t="s">
        <v>109</v>
      </c>
      <c r="B204" t="s">
        <v>122</v>
      </c>
      <c r="C204" t="s">
        <v>132</v>
      </c>
      <c r="D204" t="s">
        <v>43</v>
      </c>
      <c r="E204" t="s">
        <v>123</v>
      </c>
      <c r="F204" t="s">
        <v>123</v>
      </c>
      <c r="G204" s="2" t="s">
        <v>132</v>
      </c>
      <c r="H204">
        <f>VALUE(Tabla2[[#This Row],[CODIGO PDV]])</f>
        <v>111523</v>
      </c>
      <c r="I204" s="31" t="s">
        <v>237</v>
      </c>
      <c r="J204" s="2" t="s">
        <v>238</v>
      </c>
      <c r="K204" t="s">
        <v>110</v>
      </c>
      <c r="L204" t="s">
        <v>124</v>
      </c>
      <c r="M204" s="2" t="s">
        <v>78</v>
      </c>
      <c r="N204" t="s">
        <v>156</v>
      </c>
      <c r="O204" t="s">
        <v>148</v>
      </c>
      <c r="P204" s="2" t="s">
        <v>20</v>
      </c>
      <c r="Q204" t="s">
        <v>64</v>
      </c>
      <c r="R204" t="s">
        <v>64</v>
      </c>
      <c r="S204" s="77" t="s">
        <v>232</v>
      </c>
      <c r="T204" t="s">
        <v>239</v>
      </c>
      <c r="U204" t="s">
        <v>240</v>
      </c>
      <c r="V204" s="2" t="s">
        <v>241</v>
      </c>
      <c r="W204" s="2" t="s">
        <v>65</v>
      </c>
      <c r="Z204" s="2" t="s">
        <v>125</v>
      </c>
      <c r="AA204" s="2" t="s">
        <v>126</v>
      </c>
      <c r="AB204" s="2" t="s">
        <v>66</v>
      </c>
      <c r="AC204" s="2" t="s">
        <v>67</v>
      </c>
    </row>
    <row r="205" spans="1:29" x14ac:dyDescent="0.35">
      <c r="A205" t="s">
        <v>109</v>
      </c>
      <c r="B205" t="s">
        <v>122</v>
      </c>
      <c r="C205" t="s">
        <v>132</v>
      </c>
      <c r="D205" t="s">
        <v>43</v>
      </c>
      <c r="E205" t="s">
        <v>123</v>
      </c>
      <c r="F205" t="s">
        <v>123</v>
      </c>
      <c r="G205" s="2" t="s">
        <v>132</v>
      </c>
      <c r="H205">
        <f>VALUE(Tabla2[[#This Row],[CODIGO PDV]])</f>
        <v>111523</v>
      </c>
      <c r="I205" s="31" t="s">
        <v>237</v>
      </c>
      <c r="J205" s="2" t="s">
        <v>238</v>
      </c>
      <c r="K205" t="s">
        <v>110</v>
      </c>
      <c r="L205" t="s">
        <v>124</v>
      </c>
      <c r="M205" s="2" t="s">
        <v>78</v>
      </c>
      <c r="N205" t="s">
        <v>156</v>
      </c>
      <c r="O205" t="s">
        <v>98</v>
      </c>
      <c r="P205" s="2" t="s">
        <v>20</v>
      </c>
      <c r="Q205" t="s">
        <v>64</v>
      </c>
      <c r="R205" t="s">
        <v>64</v>
      </c>
      <c r="S205" s="77" t="s">
        <v>232</v>
      </c>
      <c r="T205" t="s">
        <v>239</v>
      </c>
      <c r="U205" t="s">
        <v>240</v>
      </c>
      <c r="V205" s="2" t="s">
        <v>241</v>
      </c>
      <c r="W205" s="2" t="s">
        <v>65</v>
      </c>
      <c r="Z205" s="2" t="s">
        <v>125</v>
      </c>
      <c r="AA205" s="2" t="s">
        <v>126</v>
      </c>
      <c r="AB205" s="2" t="s">
        <v>66</v>
      </c>
      <c r="AC205" s="2" t="s">
        <v>67</v>
      </c>
    </row>
    <row r="206" spans="1:29" x14ac:dyDescent="0.35">
      <c r="A206" t="s">
        <v>109</v>
      </c>
      <c r="B206" t="s">
        <v>122</v>
      </c>
      <c r="C206" t="s">
        <v>132</v>
      </c>
      <c r="D206" t="s">
        <v>43</v>
      </c>
      <c r="E206" t="s">
        <v>123</v>
      </c>
      <c r="F206" t="s">
        <v>123</v>
      </c>
      <c r="G206" s="2" t="s">
        <v>132</v>
      </c>
      <c r="H206">
        <f>VALUE(Tabla2[[#This Row],[CODIGO PDV]])</f>
        <v>111523</v>
      </c>
      <c r="I206" s="31" t="s">
        <v>237</v>
      </c>
      <c r="J206" s="2" t="s">
        <v>238</v>
      </c>
      <c r="K206" t="s">
        <v>110</v>
      </c>
      <c r="L206" t="s">
        <v>124</v>
      </c>
      <c r="M206" s="2" t="s">
        <v>78</v>
      </c>
      <c r="N206" t="s">
        <v>156</v>
      </c>
      <c r="O206" t="s">
        <v>99</v>
      </c>
      <c r="P206" s="2" t="s">
        <v>20</v>
      </c>
      <c r="Q206" t="s">
        <v>64</v>
      </c>
      <c r="R206" t="s">
        <v>64</v>
      </c>
      <c r="S206" s="77" t="s">
        <v>232</v>
      </c>
      <c r="T206" t="s">
        <v>239</v>
      </c>
      <c r="U206" t="s">
        <v>240</v>
      </c>
      <c r="V206" s="2" t="s">
        <v>241</v>
      </c>
      <c r="W206" s="2" t="s">
        <v>65</v>
      </c>
      <c r="Z206" s="2" t="s">
        <v>125</v>
      </c>
      <c r="AA206" s="2" t="s">
        <v>126</v>
      </c>
      <c r="AB206" s="2" t="s">
        <v>66</v>
      </c>
      <c r="AC206" s="2" t="s">
        <v>67</v>
      </c>
    </row>
    <row r="207" spans="1:29" x14ac:dyDescent="0.35">
      <c r="A207" t="s">
        <v>109</v>
      </c>
      <c r="B207" t="s">
        <v>122</v>
      </c>
      <c r="C207" t="s">
        <v>132</v>
      </c>
      <c r="D207" t="s">
        <v>43</v>
      </c>
      <c r="E207" t="s">
        <v>123</v>
      </c>
      <c r="F207" t="s">
        <v>123</v>
      </c>
      <c r="G207" s="2" t="s">
        <v>132</v>
      </c>
      <c r="H207">
        <f>VALUE(Tabla2[[#This Row],[CODIGO PDV]])</f>
        <v>111523</v>
      </c>
      <c r="I207" s="31" t="s">
        <v>237</v>
      </c>
      <c r="J207" s="2" t="s">
        <v>238</v>
      </c>
      <c r="K207" t="s">
        <v>110</v>
      </c>
      <c r="L207" t="s">
        <v>124</v>
      </c>
      <c r="M207" s="2" t="s">
        <v>78</v>
      </c>
      <c r="N207" t="s">
        <v>156</v>
      </c>
      <c r="O207" t="s">
        <v>100</v>
      </c>
      <c r="P207" s="2" t="s">
        <v>20</v>
      </c>
      <c r="Q207" t="s">
        <v>64</v>
      </c>
      <c r="R207" t="s">
        <v>64</v>
      </c>
      <c r="S207" s="77" t="s">
        <v>232</v>
      </c>
      <c r="T207" t="s">
        <v>239</v>
      </c>
      <c r="U207" t="s">
        <v>240</v>
      </c>
      <c r="V207" s="2" t="s">
        <v>241</v>
      </c>
      <c r="W207" s="2" t="s">
        <v>65</v>
      </c>
      <c r="Z207" s="2" t="s">
        <v>125</v>
      </c>
      <c r="AA207" s="2" t="s">
        <v>126</v>
      </c>
      <c r="AB207" s="2" t="s">
        <v>66</v>
      </c>
      <c r="AC207" s="2" t="s">
        <v>67</v>
      </c>
    </row>
    <row r="208" spans="1:29" x14ac:dyDescent="0.35">
      <c r="A208" t="s">
        <v>109</v>
      </c>
      <c r="B208" t="s">
        <v>122</v>
      </c>
      <c r="C208" t="s">
        <v>132</v>
      </c>
      <c r="D208" t="s">
        <v>43</v>
      </c>
      <c r="E208" t="s">
        <v>123</v>
      </c>
      <c r="F208" t="s">
        <v>123</v>
      </c>
      <c r="G208" s="2" t="s">
        <v>132</v>
      </c>
      <c r="H208">
        <f>VALUE(Tabla2[[#This Row],[CODIGO PDV]])</f>
        <v>111523</v>
      </c>
      <c r="I208" s="31" t="s">
        <v>237</v>
      </c>
      <c r="J208" s="2" t="s">
        <v>238</v>
      </c>
      <c r="K208" t="s">
        <v>110</v>
      </c>
      <c r="L208" t="s">
        <v>124</v>
      </c>
      <c r="M208" s="2" t="s">
        <v>78</v>
      </c>
      <c r="N208" t="s">
        <v>156</v>
      </c>
      <c r="O208" t="s">
        <v>149</v>
      </c>
      <c r="P208" s="2" t="s">
        <v>20</v>
      </c>
      <c r="Q208" t="s">
        <v>64</v>
      </c>
      <c r="R208" t="s">
        <v>64</v>
      </c>
      <c r="S208" s="77" t="s">
        <v>232</v>
      </c>
      <c r="T208" t="s">
        <v>239</v>
      </c>
      <c r="U208" t="s">
        <v>240</v>
      </c>
      <c r="V208" s="2" t="s">
        <v>241</v>
      </c>
      <c r="W208" s="2" t="s">
        <v>65</v>
      </c>
      <c r="Z208" s="2" t="s">
        <v>125</v>
      </c>
      <c r="AA208" s="2" t="s">
        <v>126</v>
      </c>
      <c r="AB208" s="2" t="s">
        <v>66</v>
      </c>
      <c r="AC208" s="2" t="s">
        <v>67</v>
      </c>
    </row>
    <row r="209" spans="1:29" x14ac:dyDescent="0.35">
      <c r="A209" t="s">
        <v>109</v>
      </c>
      <c r="B209" t="s">
        <v>122</v>
      </c>
      <c r="C209" t="s">
        <v>132</v>
      </c>
      <c r="D209" t="s">
        <v>43</v>
      </c>
      <c r="E209" t="s">
        <v>123</v>
      </c>
      <c r="F209" t="s">
        <v>123</v>
      </c>
      <c r="G209" s="2" t="s">
        <v>132</v>
      </c>
      <c r="H209">
        <f>VALUE(Tabla2[[#This Row],[CODIGO PDV]])</f>
        <v>111523</v>
      </c>
      <c r="I209" s="31" t="s">
        <v>237</v>
      </c>
      <c r="J209" s="2" t="s">
        <v>238</v>
      </c>
      <c r="K209" t="s">
        <v>110</v>
      </c>
      <c r="L209" t="s">
        <v>124</v>
      </c>
      <c r="M209" s="2" t="s">
        <v>78</v>
      </c>
      <c r="N209" t="s">
        <v>156</v>
      </c>
      <c r="O209" t="s">
        <v>130</v>
      </c>
      <c r="P209" s="2" t="s">
        <v>20</v>
      </c>
      <c r="Q209" t="s">
        <v>64</v>
      </c>
      <c r="R209" t="s">
        <v>64</v>
      </c>
      <c r="S209" s="77" t="s">
        <v>232</v>
      </c>
      <c r="T209" t="s">
        <v>239</v>
      </c>
      <c r="U209" t="s">
        <v>240</v>
      </c>
      <c r="V209" s="2" t="s">
        <v>241</v>
      </c>
      <c r="W209" s="2" t="s">
        <v>65</v>
      </c>
      <c r="Z209" s="2" t="s">
        <v>125</v>
      </c>
      <c r="AA209" s="2" t="s">
        <v>126</v>
      </c>
      <c r="AB209" s="2" t="s">
        <v>66</v>
      </c>
      <c r="AC209" s="2" t="s">
        <v>67</v>
      </c>
    </row>
    <row r="210" spans="1:29" x14ac:dyDescent="0.35">
      <c r="A210" t="s">
        <v>109</v>
      </c>
      <c r="B210" t="s">
        <v>122</v>
      </c>
      <c r="C210" t="s">
        <v>132</v>
      </c>
      <c r="D210" t="s">
        <v>43</v>
      </c>
      <c r="E210" t="s">
        <v>123</v>
      </c>
      <c r="F210" t="s">
        <v>123</v>
      </c>
      <c r="G210" s="2" t="s">
        <v>132</v>
      </c>
      <c r="H210">
        <f>VALUE(Tabla2[[#This Row],[CODIGO PDV]])</f>
        <v>111523</v>
      </c>
      <c r="I210" s="31" t="s">
        <v>237</v>
      </c>
      <c r="J210" s="2" t="s">
        <v>238</v>
      </c>
      <c r="K210" t="s">
        <v>110</v>
      </c>
      <c r="L210" t="s">
        <v>124</v>
      </c>
      <c r="M210" s="2" t="s">
        <v>78</v>
      </c>
      <c r="N210" t="s">
        <v>156</v>
      </c>
      <c r="O210" t="s">
        <v>131</v>
      </c>
      <c r="P210" s="2" t="s">
        <v>20</v>
      </c>
      <c r="Q210" t="s">
        <v>64</v>
      </c>
      <c r="R210" t="s">
        <v>64</v>
      </c>
      <c r="S210" s="77" t="s">
        <v>232</v>
      </c>
      <c r="T210" t="s">
        <v>239</v>
      </c>
      <c r="U210" t="s">
        <v>240</v>
      </c>
      <c r="V210" s="2" t="s">
        <v>241</v>
      </c>
      <c r="W210" s="2" t="s">
        <v>65</v>
      </c>
      <c r="Z210" s="2" t="s">
        <v>125</v>
      </c>
      <c r="AA210" s="2" t="s">
        <v>126</v>
      </c>
      <c r="AB210" s="2" t="s">
        <v>66</v>
      </c>
      <c r="AC210" s="2" t="s">
        <v>67</v>
      </c>
    </row>
    <row r="211" spans="1:29" x14ac:dyDescent="0.35">
      <c r="A211" t="s">
        <v>109</v>
      </c>
      <c r="B211" t="s">
        <v>122</v>
      </c>
      <c r="C211" t="s">
        <v>132</v>
      </c>
      <c r="D211" t="s">
        <v>43</v>
      </c>
      <c r="E211" t="s">
        <v>123</v>
      </c>
      <c r="F211" t="s">
        <v>123</v>
      </c>
      <c r="G211" s="2" t="s">
        <v>132</v>
      </c>
      <c r="H211">
        <f>VALUE(Tabla2[[#This Row],[CODIGO PDV]])</f>
        <v>111523</v>
      </c>
      <c r="I211" s="31" t="s">
        <v>237</v>
      </c>
      <c r="J211" s="2" t="s">
        <v>238</v>
      </c>
      <c r="K211" t="s">
        <v>110</v>
      </c>
      <c r="L211" t="s">
        <v>124</v>
      </c>
      <c r="M211" s="2" t="s">
        <v>78</v>
      </c>
      <c r="N211" t="s">
        <v>156</v>
      </c>
      <c r="O211" t="s">
        <v>101</v>
      </c>
      <c r="P211" s="2" t="s">
        <v>43</v>
      </c>
      <c r="Q211" t="s">
        <v>64</v>
      </c>
      <c r="R211" t="s">
        <v>64</v>
      </c>
      <c r="S211" s="77" t="s">
        <v>232</v>
      </c>
      <c r="T211" t="s">
        <v>239</v>
      </c>
      <c r="U211" t="s">
        <v>240</v>
      </c>
      <c r="V211" s="2" t="s">
        <v>241</v>
      </c>
      <c r="W211" s="2" t="s">
        <v>65</v>
      </c>
      <c r="Z211" s="2" t="s">
        <v>125</v>
      </c>
      <c r="AA211" s="2" t="s">
        <v>126</v>
      </c>
      <c r="AB211" s="2" t="s">
        <v>66</v>
      </c>
      <c r="AC211" s="2" t="s">
        <v>67</v>
      </c>
    </row>
    <row r="212" spans="1:29" x14ac:dyDescent="0.35">
      <c r="A212" t="s">
        <v>109</v>
      </c>
      <c r="B212" t="s">
        <v>122</v>
      </c>
      <c r="C212" t="s">
        <v>132</v>
      </c>
      <c r="D212" t="s">
        <v>43</v>
      </c>
      <c r="E212" t="s">
        <v>123</v>
      </c>
      <c r="F212" t="s">
        <v>123</v>
      </c>
      <c r="G212" s="2" t="s">
        <v>132</v>
      </c>
      <c r="H212">
        <f>VALUE(Tabla2[[#This Row],[CODIGO PDV]])</f>
        <v>111523</v>
      </c>
      <c r="I212" s="31" t="s">
        <v>237</v>
      </c>
      <c r="J212" s="2" t="s">
        <v>238</v>
      </c>
      <c r="K212" t="s">
        <v>110</v>
      </c>
      <c r="L212" t="s">
        <v>124</v>
      </c>
      <c r="M212" s="2" t="s">
        <v>78</v>
      </c>
      <c r="N212" t="s">
        <v>156</v>
      </c>
      <c r="O212" t="s">
        <v>137</v>
      </c>
      <c r="P212" s="2" t="s">
        <v>20</v>
      </c>
      <c r="Q212" t="s">
        <v>64</v>
      </c>
      <c r="R212" t="s">
        <v>64</v>
      </c>
      <c r="S212" s="77" t="s">
        <v>232</v>
      </c>
      <c r="T212" t="s">
        <v>239</v>
      </c>
      <c r="U212" t="s">
        <v>240</v>
      </c>
      <c r="V212" s="2" t="s">
        <v>241</v>
      </c>
      <c r="W212" s="2" t="s">
        <v>65</v>
      </c>
      <c r="Z212" s="2" t="s">
        <v>125</v>
      </c>
      <c r="AA212" s="2" t="s">
        <v>126</v>
      </c>
      <c r="AB212" s="2" t="s">
        <v>66</v>
      </c>
      <c r="AC212" s="2" t="s">
        <v>67</v>
      </c>
    </row>
    <row r="213" spans="1:29" x14ac:dyDescent="0.35">
      <c r="A213" t="s">
        <v>109</v>
      </c>
      <c r="B213" t="s">
        <v>122</v>
      </c>
      <c r="C213" t="s">
        <v>132</v>
      </c>
      <c r="D213" t="s">
        <v>43</v>
      </c>
      <c r="E213" t="s">
        <v>123</v>
      </c>
      <c r="F213" t="s">
        <v>123</v>
      </c>
      <c r="G213" s="2" t="s">
        <v>132</v>
      </c>
      <c r="H213">
        <f>VALUE(Tabla2[[#This Row],[CODIGO PDV]])</f>
        <v>111523</v>
      </c>
      <c r="I213" s="31" t="s">
        <v>237</v>
      </c>
      <c r="J213" s="2" t="s">
        <v>238</v>
      </c>
      <c r="K213" t="s">
        <v>110</v>
      </c>
      <c r="L213" t="s">
        <v>124</v>
      </c>
      <c r="M213" s="2" t="s">
        <v>78</v>
      </c>
      <c r="N213" t="s">
        <v>156</v>
      </c>
      <c r="O213" t="s">
        <v>153</v>
      </c>
      <c r="P213" s="2" t="s">
        <v>20</v>
      </c>
      <c r="Q213" t="s">
        <v>64</v>
      </c>
      <c r="R213" t="s">
        <v>64</v>
      </c>
      <c r="S213" s="77" t="s">
        <v>232</v>
      </c>
      <c r="T213" t="s">
        <v>239</v>
      </c>
      <c r="U213" t="s">
        <v>240</v>
      </c>
      <c r="V213" s="2" t="s">
        <v>241</v>
      </c>
      <c r="W213" s="2" t="s">
        <v>65</v>
      </c>
      <c r="Z213" s="2" t="s">
        <v>125</v>
      </c>
      <c r="AA213" s="2" t="s">
        <v>126</v>
      </c>
      <c r="AB213" s="2" t="s">
        <v>66</v>
      </c>
      <c r="AC213" s="2" t="s">
        <v>67</v>
      </c>
    </row>
    <row r="214" spans="1:29" x14ac:dyDescent="0.35">
      <c r="A214" t="s">
        <v>109</v>
      </c>
      <c r="B214" t="s">
        <v>122</v>
      </c>
      <c r="C214" t="s">
        <v>132</v>
      </c>
      <c r="D214" t="s">
        <v>43</v>
      </c>
      <c r="E214" t="s">
        <v>123</v>
      </c>
      <c r="F214" t="s">
        <v>123</v>
      </c>
      <c r="G214" s="2" t="s">
        <v>132</v>
      </c>
      <c r="H214">
        <f>VALUE(Tabla2[[#This Row],[CODIGO PDV]])</f>
        <v>111523</v>
      </c>
      <c r="I214" s="31" t="s">
        <v>237</v>
      </c>
      <c r="J214" s="2" t="s">
        <v>238</v>
      </c>
      <c r="K214" t="s">
        <v>110</v>
      </c>
      <c r="L214" t="s">
        <v>124</v>
      </c>
      <c r="M214" s="2" t="s">
        <v>78</v>
      </c>
      <c r="N214" t="s">
        <v>156</v>
      </c>
      <c r="O214" t="s">
        <v>102</v>
      </c>
      <c r="P214" s="2" t="s">
        <v>20</v>
      </c>
      <c r="Q214" t="s">
        <v>64</v>
      </c>
      <c r="R214" t="s">
        <v>64</v>
      </c>
      <c r="S214" s="77" t="s">
        <v>232</v>
      </c>
      <c r="T214" t="s">
        <v>239</v>
      </c>
      <c r="U214" t="s">
        <v>240</v>
      </c>
      <c r="V214" s="2" t="s">
        <v>241</v>
      </c>
      <c r="W214" s="2" t="s">
        <v>65</v>
      </c>
      <c r="Z214" s="2" t="s">
        <v>125</v>
      </c>
      <c r="AA214" s="2" t="s">
        <v>126</v>
      </c>
      <c r="AB214" s="2" t="s">
        <v>66</v>
      </c>
      <c r="AC214" s="2" t="s">
        <v>67</v>
      </c>
    </row>
    <row r="215" spans="1:29" x14ac:dyDescent="0.35">
      <c r="A215" t="s">
        <v>109</v>
      </c>
      <c r="B215" t="s">
        <v>122</v>
      </c>
      <c r="C215" t="s">
        <v>132</v>
      </c>
      <c r="D215" t="s">
        <v>43</v>
      </c>
      <c r="E215" t="s">
        <v>123</v>
      </c>
      <c r="F215" t="s">
        <v>123</v>
      </c>
      <c r="G215" s="2" t="s">
        <v>132</v>
      </c>
      <c r="H215">
        <f>VALUE(Tabla2[[#This Row],[CODIGO PDV]])</f>
        <v>111523</v>
      </c>
      <c r="I215" s="31" t="s">
        <v>237</v>
      </c>
      <c r="J215" s="2" t="s">
        <v>238</v>
      </c>
      <c r="K215" t="s">
        <v>110</v>
      </c>
      <c r="L215" t="s">
        <v>124</v>
      </c>
      <c r="M215" s="2" t="s">
        <v>78</v>
      </c>
      <c r="N215" t="s">
        <v>156</v>
      </c>
      <c r="O215" t="s">
        <v>103</v>
      </c>
      <c r="P215" s="2" t="s">
        <v>242</v>
      </c>
      <c r="Q215" t="s">
        <v>64</v>
      </c>
      <c r="R215" t="s">
        <v>64</v>
      </c>
      <c r="S215" s="77" t="s">
        <v>232</v>
      </c>
      <c r="T215" t="s">
        <v>239</v>
      </c>
      <c r="U215" t="s">
        <v>240</v>
      </c>
      <c r="V215" s="2" t="s">
        <v>241</v>
      </c>
      <c r="W215" s="2" t="s">
        <v>65</v>
      </c>
      <c r="Z215" s="2" t="s">
        <v>125</v>
      </c>
      <c r="AA215" s="2" t="s">
        <v>126</v>
      </c>
      <c r="AB215" s="2" t="s">
        <v>66</v>
      </c>
      <c r="AC215" s="2" t="s">
        <v>67</v>
      </c>
    </row>
    <row r="216" spans="1:29" x14ac:dyDescent="0.35">
      <c r="A216" s="85" t="s">
        <v>109</v>
      </c>
      <c r="B216" s="85" t="s">
        <v>258</v>
      </c>
      <c r="C216" s="85" t="s">
        <v>259</v>
      </c>
      <c r="D216" t="s">
        <v>43</v>
      </c>
      <c r="E216" s="85" t="s">
        <v>120</v>
      </c>
      <c r="F216" s="85" t="s">
        <v>121</v>
      </c>
      <c r="G216" s="86" t="s">
        <v>260</v>
      </c>
      <c r="H216">
        <f>VALUE(Tabla2[[#This Row],[CODIGO PDV]])</f>
        <v>435253</v>
      </c>
      <c r="I216" s="87" t="s">
        <v>261</v>
      </c>
      <c r="J216" s="86" t="s">
        <v>262</v>
      </c>
      <c r="K216" s="88" t="s">
        <v>110</v>
      </c>
      <c r="L216" s="88" t="s">
        <v>121</v>
      </c>
      <c r="M216" s="86" t="s">
        <v>78</v>
      </c>
      <c r="N216" s="85" t="s">
        <v>156</v>
      </c>
      <c r="O216" s="85" t="s">
        <v>87</v>
      </c>
      <c r="P216" s="86" t="s">
        <v>20</v>
      </c>
      <c r="Q216" s="85" t="s">
        <v>64</v>
      </c>
      <c r="R216" s="85" t="s">
        <v>64</v>
      </c>
      <c r="S216" s="89" t="s">
        <v>263</v>
      </c>
      <c r="T216" s="88" t="s">
        <v>264</v>
      </c>
      <c r="U216" s="88" t="s">
        <v>265</v>
      </c>
      <c r="V216" s="86" t="s">
        <v>266</v>
      </c>
      <c r="W216" s="86" t="s">
        <v>65</v>
      </c>
      <c r="X216" s="86"/>
      <c r="Y216" s="86"/>
      <c r="Z216" s="86" t="s">
        <v>212</v>
      </c>
      <c r="AA216" s="86" t="s">
        <v>213</v>
      </c>
      <c r="AB216" s="86" t="s">
        <v>66</v>
      </c>
      <c r="AC216" s="86" t="s">
        <v>67</v>
      </c>
    </row>
    <row r="217" spans="1:29" x14ac:dyDescent="0.35">
      <c r="A217" s="85" t="s">
        <v>109</v>
      </c>
      <c r="B217" s="85" t="s">
        <v>258</v>
      </c>
      <c r="C217" s="85" t="s">
        <v>259</v>
      </c>
      <c r="D217" t="s">
        <v>43</v>
      </c>
      <c r="E217" s="85" t="s">
        <v>120</v>
      </c>
      <c r="F217" s="85" t="s">
        <v>121</v>
      </c>
      <c r="G217" s="86" t="s">
        <v>260</v>
      </c>
      <c r="H217">
        <f>VALUE(Tabla2[[#This Row],[CODIGO PDV]])</f>
        <v>435253</v>
      </c>
      <c r="I217" s="87" t="s">
        <v>261</v>
      </c>
      <c r="J217" s="86" t="s">
        <v>262</v>
      </c>
      <c r="K217" s="88" t="s">
        <v>110</v>
      </c>
      <c r="L217" s="88" t="s">
        <v>121</v>
      </c>
      <c r="M217" s="86" t="s">
        <v>78</v>
      </c>
      <c r="N217" s="85" t="s">
        <v>156</v>
      </c>
      <c r="O217" s="85" t="s">
        <v>88</v>
      </c>
      <c r="P217" s="86" t="s">
        <v>20</v>
      </c>
      <c r="Q217" s="85" t="s">
        <v>64</v>
      </c>
      <c r="R217" s="85" t="s">
        <v>64</v>
      </c>
      <c r="S217" s="89" t="s">
        <v>263</v>
      </c>
      <c r="T217" s="88" t="s">
        <v>264</v>
      </c>
      <c r="U217" s="88" t="s">
        <v>267</v>
      </c>
      <c r="V217" s="86" t="s">
        <v>266</v>
      </c>
      <c r="W217" s="86" t="s">
        <v>65</v>
      </c>
      <c r="X217" s="86"/>
      <c r="Y217" s="86"/>
      <c r="Z217" s="86" t="s">
        <v>212</v>
      </c>
      <c r="AA217" s="86" t="s">
        <v>213</v>
      </c>
      <c r="AB217" s="86" t="s">
        <v>66</v>
      </c>
      <c r="AC217" s="86" t="s">
        <v>67</v>
      </c>
    </row>
    <row r="218" spans="1:29" x14ac:dyDescent="0.35">
      <c r="A218" s="85" t="s">
        <v>109</v>
      </c>
      <c r="B218" s="85" t="s">
        <v>258</v>
      </c>
      <c r="C218" s="85" t="s">
        <v>259</v>
      </c>
      <c r="D218" t="s">
        <v>43</v>
      </c>
      <c r="E218" s="85" t="s">
        <v>120</v>
      </c>
      <c r="F218" s="85" t="s">
        <v>121</v>
      </c>
      <c r="G218" s="86" t="s">
        <v>260</v>
      </c>
      <c r="H218">
        <f>VALUE(Tabla2[[#This Row],[CODIGO PDV]])</f>
        <v>435253</v>
      </c>
      <c r="I218" s="87" t="s">
        <v>261</v>
      </c>
      <c r="J218" s="86" t="s">
        <v>262</v>
      </c>
      <c r="K218" s="88" t="s">
        <v>110</v>
      </c>
      <c r="L218" s="88" t="s">
        <v>121</v>
      </c>
      <c r="M218" s="86" t="s">
        <v>78</v>
      </c>
      <c r="N218" s="85" t="s">
        <v>156</v>
      </c>
      <c r="O218" s="85" t="s">
        <v>89</v>
      </c>
      <c r="P218" s="86" t="s">
        <v>20</v>
      </c>
      <c r="Q218" s="85" t="s">
        <v>64</v>
      </c>
      <c r="R218" s="85" t="s">
        <v>64</v>
      </c>
      <c r="S218" s="89" t="s">
        <v>263</v>
      </c>
      <c r="T218" s="88" t="s">
        <v>264</v>
      </c>
      <c r="U218" s="88" t="s">
        <v>268</v>
      </c>
      <c r="V218" s="86" t="s">
        <v>266</v>
      </c>
      <c r="W218" s="86" t="s">
        <v>65</v>
      </c>
      <c r="X218" s="86"/>
      <c r="Y218" s="86"/>
      <c r="Z218" s="86" t="s">
        <v>212</v>
      </c>
      <c r="AA218" s="86" t="s">
        <v>213</v>
      </c>
      <c r="AB218" s="86" t="s">
        <v>66</v>
      </c>
      <c r="AC218" s="86" t="s">
        <v>67</v>
      </c>
    </row>
    <row r="219" spans="1:29" x14ac:dyDescent="0.35">
      <c r="A219" s="85" t="s">
        <v>109</v>
      </c>
      <c r="B219" s="85" t="s">
        <v>258</v>
      </c>
      <c r="C219" s="85" t="s">
        <v>259</v>
      </c>
      <c r="D219" t="s">
        <v>43</v>
      </c>
      <c r="E219" s="85" t="s">
        <v>120</v>
      </c>
      <c r="F219" s="85" t="s">
        <v>121</v>
      </c>
      <c r="G219" s="86" t="s">
        <v>260</v>
      </c>
      <c r="H219">
        <f>VALUE(Tabla2[[#This Row],[CODIGO PDV]])</f>
        <v>435253</v>
      </c>
      <c r="I219" s="87" t="s">
        <v>261</v>
      </c>
      <c r="J219" s="86" t="s">
        <v>262</v>
      </c>
      <c r="K219" s="88" t="s">
        <v>110</v>
      </c>
      <c r="L219" s="88" t="s">
        <v>121</v>
      </c>
      <c r="M219" s="86" t="s">
        <v>78</v>
      </c>
      <c r="N219" s="85" t="s">
        <v>156</v>
      </c>
      <c r="O219" s="85" t="s">
        <v>90</v>
      </c>
      <c r="P219" s="86" t="s">
        <v>20</v>
      </c>
      <c r="Q219" s="85" t="s">
        <v>64</v>
      </c>
      <c r="R219" s="85" t="s">
        <v>64</v>
      </c>
      <c r="S219" s="89" t="s">
        <v>263</v>
      </c>
      <c r="T219" s="88" t="s">
        <v>264</v>
      </c>
      <c r="U219" s="88" t="s">
        <v>269</v>
      </c>
      <c r="V219" s="86" t="s">
        <v>266</v>
      </c>
      <c r="W219" s="86" t="s">
        <v>65</v>
      </c>
      <c r="X219" s="86"/>
      <c r="Y219" s="86"/>
      <c r="Z219" s="86" t="s">
        <v>212</v>
      </c>
      <c r="AA219" s="86" t="s">
        <v>213</v>
      </c>
      <c r="AB219" s="86" t="s">
        <v>66</v>
      </c>
      <c r="AC219" s="86" t="s">
        <v>67</v>
      </c>
    </row>
    <row r="220" spans="1:29" x14ac:dyDescent="0.35">
      <c r="A220" s="85" t="s">
        <v>109</v>
      </c>
      <c r="B220" s="85" t="s">
        <v>258</v>
      </c>
      <c r="C220" s="85" t="s">
        <v>259</v>
      </c>
      <c r="D220" t="s">
        <v>43</v>
      </c>
      <c r="E220" s="85" t="s">
        <v>120</v>
      </c>
      <c r="F220" s="85" t="s">
        <v>121</v>
      </c>
      <c r="G220" s="86" t="s">
        <v>260</v>
      </c>
      <c r="H220">
        <f>VALUE(Tabla2[[#This Row],[CODIGO PDV]])</f>
        <v>435253</v>
      </c>
      <c r="I220" s="87" t="s">
        <v>261</v>
      </c>
      <c r="J220" s="86" t="s">
        <v>262</v>
      </c>
      <c r="K220" s="88" t="s">
        <v>110</v>
      </c>
      <c r="L220" s="88" t="s">
        <v>121</v>
      </c>
      <c r="M220" s="86" t="s">
        <v>78</v>
      </c>
      <c r="N220" s="85" t="s">
        <v>156</v>
      </c>
      <c r="O220" s="85" t="s">
        <v>35</v>
      </c>
      <c r="P220" s="86" t="s">
        <v>20</v>
      </c>
      <c r="Q220" s="85" t="s">
        <v>64</v>
      </c>
      <c r="R220" s="85" t="s">
        <v>64</v>
      </c>
      <c r="S220" s="89" t="s">
        <v>263</v>
      </c>
      <c r="T220" s="88" t="s">
        <v>264</v>
      </c>
      <c r="U220" s="88" t="s">
        <v>270</v>
      </c>
      <c r="V220" s="86" t="s">
        <v>266</v>
      </c>
      <c r="W220" s="86" t="s">
        <v>65</v>
      </c>
      <c r="X220" s="86"/>
      <c r="Y220" s="86"/>
      <c r="Z220" s="86" t="s">
        <v>212</v>
      </c>
      <c r="AA220" s="86" t="s">
        <v>213</v>
      </c>
      <c r="AB220" s="86" t="s">
        <v>66</v>
      </c>
      <c r="AC220" s="86" t="s">
        <v>67</v>
      </c>
    </row>
    <row r="221" spans="1:29" x14ac:dyDescent="0.35">
      <c r="A221" s="85" t="s">
        <v>109</v>
      </c>
      <c r="B221" s="85" t="s">
        <v>258</v>
      </c>
      <c r="C221" s="85" t="s">
        <v>259</v>
      </c>
      <c r="D221" t="s">
        <v>43</v>
      </c>
      <c r="E221" s="85" t="s">
        <v>120</v>
      </c>
      <c r="F221" s="85" t="s">
        <v>121</v>
      </c>
      <c r="G221" s="86" t="s">
        <v>260</v>
      </c>
      <c r="H221">
        <f>VALUE(Tabla2[[#This Row],[CODIGO PDV]])</f>
        <v>435253</v>
      </c>
      <c r="I221" s="87" t="s">
        <v>261</v>
      </c>
      <c r="J221" s="86" t="s">
        <v>262</v>
      </c>
      <c r="K221" s="88" t="s">
        <v>110</v>
      </c>
      <c r="L221" s="88" t="s">
        <v>121</v>
      </c>
      <c r="M221" s="86" t="s">
        <v>78</v>
      </c>
      <c r="N221" s="85" t="s">
        <v>156</v>
      </c>
      <c r="O221" s="85" t="s">
        <v>91</v>
      </c>
      <c r="P221" s="2" t="s">
        <v>108</v>
      </c>
      <c r="Q221" s="85" t="s">
        <v>64</v>
      </c>
      <c r="R221" s="85" t="s">
        <v>64</v>
      </c>
      <c r="S221" s="89" t="s">
        <v>263</v>
      </c>
      <c r="T221" s="88" t="s">
        <v>264</v>
      </c>
      <c r="U221" s="88" t="s">
        <v>271</v>
      </c>
      <c r="V221" s="86" t="s">
        <v>266</v>
      </c>
      <c r="W221" s="86" t="s">
        <v>65</v>
      </c>
      <c r="X221" s="86"/>
      <c r="Y221" s="86"/>
      <c r="Z221" s="86" t="s">
        <v>212</v>
      </c>
      <c r="AA221" s="86" t="s">
        <v>213</v>
      </c>
      <c r="AB221" s="86" t="s">
        <v>66</v>
      </c>
      <c r="AC221" s="86" t="s">
        <v>67</v>
      </c>
    </row>
    <row r="222" spans="1:29" x14ac:dyDescent="0.35">
      <c r="A222" s="85" t="s">
        <v>109</v>
      </c>
      <c r="B222" s="85" t="s">
        <v>258</v>
      </c>
      <c r="C222" s="85" t="s">
        <v>259</v>
      </c>
      <c r="D222" t="s">
        <v>43</v>
      </c>
      <c r="E222" s="85" t="s">
        <v>120</v>
      </c>
      <c r="F222" s="85" t="s">
        <v>121</v>
      </c>
      <c r="G222" s="86" t="s">
        <v>260</v>
      </c>
      <c r="H222">
        <f>VALUE(Tabla2[[#This Row],[CODIGO PDV]])</f>
        <v>435253</v>
      </c>
      <c r="I222" s="87" t="s">
        <v>261</v>
      </c>
      <c r="J222" s="86" t="s">
        <v>262</v>
      </c>
      <c r="K222" s="88" t="s">
        <v>110</v>
      </c>
      <c r="L222" s="88" t="s">
        <v>121</v>
      </c>
      <c r="M222" s="86" t="s">
        <v>78</v>
      </c>
      <c r="N222" s="85" t="s">
        <v>156</v>
      </c>
      <c r="O222" s="85" t="s">
        <v>92</v>
      </c>
      <c r="P222" s="86" t="s">
        <v>20</v>
      </c>
      <c r="Q222" s="85" t="s">
        <v>64</v>
      </c>
      <c r="R222" s="85" t="s">
        <v>64</v>
      </c>
      <c r="S222" s="89" t="s">
        <v>263</v>
      </c>
      <c r="T222" s="88" t="s">
        <v>264</v>
      </c>
      <c r="U222" s="88" t="s">
        <v>272</v>
      </c>
      <c r="V222" s="86" t="s">
        <v>266</v>
      </c>
      <c r="W222" s="86" t="s">
        <v>65</v>
      </c>
      <c r="X222" s="86"/>
      <c r="Y222" s="86"/>
      <c r="Z222" s="86" t="s">
        <v>212</v>
      </c>
      <c r="AA222" s="86" t="s">
        <v>213</v>
      </c>
      <c r="AB222" s="86" t="s">
        <v>66</v>
      </c>
      <c r="AC222" s="86" t="s">
        <v>67</v>
      </c>
    </row>
    <row r="223" spans="1:29" x14ac:dyDescent="0.35">
      <c r="A223" s="85" t="s">
        <v>109</v>
      </c>
      <c r="B223" s="85" t="s">
        <v>258</v>
      </c>
      <c r="C223" s="85" t="s">
        <v>259</v>
      </c>
      <c r="D223" t="s">
        <v>43</v>
      </c>
      <c r="E223" s="85" t="s">
        <v>120</v>
      </c>
      <c r="F223" s="85" t="s">
        <v>121</v>
      </c>
      <c r="G223" s="86" t="s">
        <v>260</v>
      </c>
      <c r="H223">
        <f>VALUE(Tabla2[[#This Row],[CODIGO PDV]])</f>
        <v>435253</v>
      </c>
      <c r="I223" s="87" t="s">
        <v>261</v>
      </c>
      <c r="J223" s="86" t="s">
        <v>262</v>
      </c>
      <c r="K223" s="88" t="s">
        <v>110</v>
      </c>
      <c r="L223" s="88" t="s">
        <v>121</v>
      </c>
      <c r="M223" s="86" t="s">
        <v>78</v>
      </c>
      <c r="N223" s="85" t="s">
        <v>156</v>
      </c>
      <c r="O223" s="85" t="s">
        <v>93</v>
      </c>
      <c r="P223" s="86" t="s">
        <v>20</v>
      </c>
      <c r="Q223" s="85" t="s">
        <v>64</v>
      </c>
      <c r="R223" s="85" t="s">
        <v>64</v>
      </c>
      <c r="S223" s="89" t="s">
        <v>263</v>
      </c>
      <c r="T223" s="88" t="s">
        <v>264</v>
      </c>
      <c r="U223" s="88" t="s">
        <v>273</v>
      </c>
      <c r="V223" s="86" t="s">
        <v>266</v>
      </c>
      <c r="W223" s="86" t="s">
        <v>65</v>
      </c>
      <c r="X223" s="86"/>
      <c r="Y223" s="86"/>
      <c r="Z223" s="86" t="s">
        <v>212</v>
      </c>
      <c r="AA223" s="86" t="s">
        <v>213</v>
      </c>
      <c r="AB223" s="86" t="s">
        <v>66</v>
      </c>
      <c r="AC223" s="86" t="s">
        <v>67</v>
      </c>
    </row>
    <row r="224" spans="1:29" x14ac:dyDescent="0.35">
      <c r="A224" s="85" t="s">
        <v>109</v>
      </c>
      <c r="B224" s="85" t="s">
        <v>258</v>
      </c>
      <c r="C224" s="85" t="s">
        <v>259</v>
      </c>
      <c r="D224" t="s">
        <v>43</v>
      </c>
      <c r="E224" s="85" t="s">
        <v>120</v>
      </c>
      <c r="F224" s="85" t="s">
        <v>121</v>
      </c>
      <c r="G224" s="86" t="s">
        <v>260</v>
      </c>
      <c r="H224">
        <f>VALUE(Tabla2[[#This Row],[CODIGO PDV]])</f>
        <v>435253</v>
      </c>
      <c r="I224" s="87" t="s">
        <v>261</v>
      </c>
      <c r="J224" s="86" t="s">
        <v>262</v>
      </c>
      <c r="K224" s="88" t="s">
        <v>110</v>
      </c>
      <c r="L224" s="88" t="s">
        <v>121</v>
      </c>
      <c r="M224" s="86" t="s">
        <v>78</v>
      </c>
      <c r="N224" s="85" t="s">
        <v>156</v>
      </c>
      <c r="O224" s="85" t="s">
        <v>94</v>
      </c>
      <c r="P224" s="2" t="s">
        <v>108</v>
      </c>
      <c r="Q224" s="85" t="s">
        <v>64</v>
      </c>
      <c r="R224" s="85" t="s">
        <v>64</v>
      </c>
      <c r="S224" s="89" t="s">
        <v>263</v>
      </c>
      <c r="T224" s="88" t="s">
        <v>264</v>
      </c>
      <c r="U224" s="88" t="s">
        <v>274</v>
      </c>
      <c r="V224" s="86" t="s">
        <v>266</v>
      </c>
      <c r="W224" s="86" t="s">
        <v>65</v>
      </c>
      <c r="X224" s="86"/>
      <c r="Y224" s="86"/>
      <c r="Z224" s="86" t="s">
        <v>212</v>
      </c>
      <c r="AA224" s="86" t="s">
        <v>213</v>
      </c>
      <c r="AB224" s="86" t="s">
        <v>66</v>
      </c>
      <c r="AC224" s="86" t="s">
        <v>67</v>
      </c>
    </row>
    <row r="225" spans="1:29" x14ac:dyDescent="0.35">
      <c r="A225" s="85" t="s">
        <v>109</v>
      </c>
      <c r="B225" s="85" t="s">
        <v>258</v>
      </c>
      <c r="C225" s="85" t="s">
        <v>259</v>
      </c>
      <c r="D225" t="s">
        <v>43</v>
      </c>
      <c r="E225" s="85" t="s">
        <v>120</v>
      </c>
      <c r="F225" s="85" t="s">
        <v>121</v>
      </c>
      <c r="G225" s="86" t="s">
        <v>260</v>
      </c>
      <c r="H225">
        <f>VALUE(Tabla2[[#This Row],[CODIGO PDV]])</f>
        <v>435253</v>
      </c>
      <c r="I225" s="87" t="s">
        <v>261</v>
      </c>
      <c r="J225" s="86" t="s">
        <v>262</v>
      </c>
      <c r="K225" s="88" t="s">
        <v>110</v>
      </c>
      <c r="L225" s="88" t="s">
        <v>121</v>
      </c>
      <c r="M225" s="86" t="s">
        <v>78</v>
      </c>
      <c r="N225" s="85" t="s">
        <v>156</v>
      </c>
      <c r="O225" s="85" t="s">
        <v>95</v>
      </c>
      <c r="P225" s="2" t="s">
        <v>108</v>
      </c>
      <c r="Q225" s="85" t="s">
        <v>64</v>
      </c>
      <c r="R225" s="85" t="s">
        <v>64</v>
      </c>
      <c r="S225" s="89" t="s">
        <v>263</v>
      </c>
      <c r="T225" s="88" t="s">
        <v>264</v>
      </c>
      <c r="U225" s="88" t="s">
        <v>275</v>
      </c>
      <c r="V225" s="86" t="s">
        <v>266</v>
      </c>
      <c r="W225" s="86" t="s">
        <v>65</v>
      </c>
      <c r="X225" s="86"/>
      <c r="Y225" s="86"/>
      <c r="Z225" s="86" t="s">
        <v>212</v>
      </c>
      <c r="AA225" s="86" t="s">
        <v>213</v>
      </c>
      <c r="AB225" s="86" t="s">
        <v>66</v>
      </c>
      <c r="AC225" s="86" t="s">
        <v>67</v>
      </c>
    </row>
    <row r="226" spans="1:29" x14ac:dyDescent="0.35">
      <c r="A226" s="85" t="s">
        <v>109</v>
      </c>
      <c r="B226" s="85" t="s">
        <v>258</v>
      </c>
      <c r="C226" s="85" t="s">
        <v>259</v>
      </c>
      <c r="D226" t="s">
        <v>43</v>
      </c>
      <c r="E226" s="85" t="s">
        <v>120</v>
      </c>
      <c r="F226" s="85" t="s">
        <v>121</v>
      </c>
      <c r="G226" s="86" t="s">
        <v>260</v>
      </c>
      <c r="H226">
        <f>VALUE(Tabla2[[#This Row],[CODIGO PDV]])</f>
        <v>435253</v>
      </c>
      <c r="I226" s="87" t="s">
        <v>261</v>
      </c>
      <c r="J226" s="86" t="s">
        <v>262</v>
      </c>
      <c r="K226" s="88" t="s">
        <v>110</v>
      </c>
      <c r="L226" s="88" t="s">
        <v>121</v>
      </c>
      <c r="M226" s="86" t="s">
        <v>78</v>
      </c>
      <c r="N226" s="85" t="s">
        <v>156</v>
      </c>
      <c r="O226" s="85" t="s">
        <v>96</v>
      </c>
      <c r="P226" s="2" t="s">
        <v>108</v>
      </c>
      <c r="Q226" s="85" t="s">
        <v>64</v>
      </c>
      <c r="R226" s="85" t="s">
        <v>64</v>
      </c>
      <c r="S226" s="89" t="s">
        <v>263</v>
      </c>
      <c r="T226" s="88" t="s">
        <v>264</v>
      </c>
      <c r="U226" s="88" t="s">
        <v>276</v>
      </c>
      <c r="V226" s="86" t="s">
        <v>266</v>
      </c>
      <c r="W226" s="86" t="s">
        <v>65</v>
      </c>
      <c r="X226" s="86"/>
      <c r="Y226" s="86"/>
      <c r="Z226" s="86" t="s">
        <v>212</v>
      </c>
      <c r="AA226" s="86" t="s">
        <v>213</v>
      </c>
      <c r="AB226" s="86" t="s">
        <v>66</v>
      </c>
      <c r="AC226" s="86" t="s">
        <v>67</v>
      </c>
    </row>
    <row r="227" spans="1:29" x14ac:dyDescent="0.35">
      <c r="A227" s="85" t="s">
        <v>109</v>
      </c>
      <c r="B227" s="85" t="s">
        <v>258</v>
      </c>
      <c r="C227" s="85" t="s">
        <v>259</v>
      </c>
      <c r="D227" t="s">
        <v>43</v>
      </c>
      <c r="E227" s="85" t="s">
        <v>120</v>
      </c>
      <c r="F227" s="85" t="s">
        <v>121</v>
      </c>
      <c r="G227" s="86" t="s">
        <v>260</v>
      </c>
      <c r="H227">
        <f>VALUE(Tabla2[[#This Row],[CODIGO PDV]])</f>
        <v>435253</v>
      </c>
      <c r="I227" s="87" t="s">
        <v>261</v>
      </c>
      <c r="J227" s="86" t="s">
        <v>262</v>
      </c>
      <c r="K227" s="88" t="s">
        <v>110</v>
      </c>
      <c r="L227" s="88" t="s">
        <v>121</v>
      </c>
      <c r="M227" s="86" t="s">
        <v>78</v>
      </c>
      <c r="N227" s="85" t="s">
        <v>156</v>
      </c>
      <c r="O227" s="85" t="s">
        <v>97</v>
      </c>
      <c r="P227" s="2" t="s">
        <v>108</v>
      </c>
      <c r="Q227" s="85" t="s">
        <v>64</v>
      </c>
      <c r="R227" s="85" t="s">
        <v>64</v>
      </c>
      <c r="S227" s="89" t="s">
        <v>263</v>
      </c>
      <c r="T227" s="88" t="s">
        <v>264</v>
      </c>
      <c r="U227" s="88" t="s">
        <v>277</v>
      </c>
      <c r="V227" s="86" t="s">
        <v>266</v>
      </c>
      <c r="W227" s="86" t="s">
        <v>65</v>
      </c>
      <c r="X227" s="86"/>
      <c r="Y227" s="86"/>
      <c r="Z227" s="86" t="s">
        <v>212</v>
      </c>
      <c r="AA227" s="86" t="s">
        <v>213</v>
      </c>
      <c r="AB227" s="86" t="s">
        <v>66</v>
      </c>
      <c r="AC227" s="86" t="s">
        <v>67</v>
      </c>
    </row>
    <row r="228" spans="1:29" x14ac:dyDescent="0.35">
      <c r="A228" s="85" t="s">
        <v>109</v>
      </c>
      <c r="B228" s="85" t="s">
        <v>258</v>
      </c>
      <c r="C228" s="85" t="s">
        <v>259</v>
      </c>
      <c r="D228" t="s">
        <v>43</v>
      </c>
      <c r="E228" s="85" t="s">
        <v>120</v>
      </c>
      <c r="F228" s="85" t="s">
        <v>121</v>
      </c>
      <c r="G228" s="86" t="s">
        <v>260</v>
      </c>
      <c r="H228">
        <f>VALUE(Tabla2[[#This Row],[CODIGO PDV]])</f>
        <v>435253</v>
      </c>
      <c r="I228" s="87" t="s">
        <v>261</v>
      </c>
      <c r="J228" s="86" t="s">
        <v>262</v>
      </c>
      <c r="K228" s="88" t="s">
        <v>110</v>
      </c>
      <c r="L228" s="88" t="s">
        <v>121</v>
      </c>
      <c r="M228" s="86" t="s">
        <v>78</v>
      </c>
      <c r="N228" s="85" t="s">
        <v>156</v>
      </c>
      <c r="O228" s="85" t="s">
        <v>147</v>
      </c>
      <c r="P228" s="86" t="s">
        <v>20</v>
      </c>
      <c r="Q228" s="85" t="s">
        <v>64</v>
      </c>
      <c r="R228" s="85" t="s">
        <v>64</v>
      </c>
      <c r="S228" s="89" t="s">
        <v>263</v>
      </c>
      <c r="T228" s="88" t="s">
        <v>264</v>
      </c>
      <c r="U228" s="88" t="s">
        <v>278</v>
      </c>
      <c r="V228" s="86" t="s">
        <v>266</v>
      </c>
      <c r="W228" s="86" t="s">
        <v>65</v>
      </c>
      <c r="X228" s="86"/>
      <c r="Y228" s="86"/>
      <c r="Z228" s="86" t="s">
        <v>212</v>
      </c>
      <c r="AA228" s="86" t="s">
        <v>213</v>
      </c>
      <c r="AB228" s="86" t="s">
        <v>66</v>
      </c>
      <c r="AC228" s="86" t="s">
        <v>67</v>
      </c>
    </row>
    <row r="229" spans="1:29" x14ac:dyDescent="0.35">
      <c r="A229" s="85" t="s">
        <v>109</v>
      </c>
      <c r="B229" s="85" t="s">
        <v>258</v>
      </c>
      <c r="C229" s="85" t="s">
        <v>259</v>
      </c>
      <c r="D229" t="s">
        <v>43</v>
      </c>
      <c r="E229" s="85" t="s">
        <v>120</v>
      </c>
      <c r="F229" s="85" t="s">
        <v>121</v>
      </c>
      <c r="G229" s="86" t="s">
        <v>260</v>
      </c>
      <c r="H229">
        <f>VALUE(Tabla2[[#This Row],[CODIGO PDV]])</f>
        <v>435253</v>
      </c>
      <c r="I229" s="87" t="s">
        <v>261</v>
      </c>
      <c r="J229" s="86" t="s">
        <v>262</v>
      </c>
      <c r="K229" s="88" t="s">
        <v>110</v>
      </c>
      <c r="L229" s="88" t="s">
        <v>121</v>
      </c>
      <c r="M229" s="86" t="s">
        <v>78</v>
      </c>
      <c r="N229" s="85" t="s">
        <v>156</v>
      </c>
      <c r="O229" s="85" t="s">
        <v>148</v>
      </c>
      <c r="P229" s="86" t="s">
        <v>20</v>
      </c>
      <c r="Q229" s="85" t="s">
        <v>64</v>
      </c>
      <c r="R229" s="85" t="s">
        <v>64</v>
      </c>
      <c r="S229" s="89" t="s">
        <v>263</v>
      </c>
      <c r="T229" s="88" t="s">
        <v>264</v>
      </c>
      <c r="U229" s="88" t="s">
        <v>279</v>
      </c>
      <c r="V229" s="86" t="s">
        <v>266</v>
      </c>
      <c r="W229" s="86" t="s">
        <v>65</v>
      </c>
      <c r="X229" s="86"/>
      <c r="Y229" s="86"/>
      <c r="Z229" s="86" t="s">
        <v>212</v>
      </c>
      <c r="AA229" s="86" t="s">
        <v>213</v>
      </c>
      <c r="AB229" s="86" t="s">
        <v>66</v>
      </c>
      <c r="AC229" s="86" t="s">
        <v>67</v>
      </c>
    </row>
    <row r="230" spans="1:29" x14ac:dyDescent="0.35">
      <c r="A230" s="85" t="s">
        <v>109</v>
      </c>
      <c r="B230" s="85" t="s">
        <v>258</v>
      </c>
      <c r="C230" s="85" t="s">
        <v>259</v>
      </c>
      <c r="D230" t="s">
        <v>43</v>
      </c>
      <c r="E230" s="85" t="s">
        <v>120</v>
      </c>
      <c r="F230" s="85" t="s">
        <v>121</v>
      </c>
      <c r="G230" s="86" t="s">
        <v>260</v>
      </c>
      <c r="H230">
        <f>VALUE(Tabla2[[#This Row],[CODIGO PDV]])</f>
        <v>435253</v>
      </c>
      <c r="I230" s="87" t="s">
        <v>261</v>
      </c>
      <c r="J230" s="86" t="s">
        <v>262</v>
      </c>
      <c r="K230" s="88" t="s">
        <v>110</v>
      </c>
      <c r="L230" s="88" t="s">
        <v>121</v>
      </c>
      <c r="M230" s="86" t="s">
        <v>78</v>
      </c>
      <c r="N230" s="85" t="s">
        <v>156</v>
      </c>
      <c r="O230" s="85" t="s">
        <v>98</v>
      </c>
      <c r="P230" s="86" t="s">
        <v>20</v>
      </c>
      <c r="Q230" s="85" t="s">
        <v>64</v>
      </c>
      <c r="R230" s="85" t="s">
        <v>64</v>
      </c>
      <c r="S230" s="89" t="s">
        <v>263</v>
      </c>
      <c r="T230" s="88" t="s">
        <v>264</v>
      </c>
      <c r="U230" s="88" t="s">
        <v>280</v>
      </c>
      <c r="V230" s="86" t="s">
        <v>266</v>
      </c>
      <c r="W230" s="86" t="s">
        <v>65</v>
      </c>
      <c r="X230" s="86"/>
      <c r="Y230" s="86"/>
      <c r="Z230" s="86" t="s">
        <v>212</v>
      </c>
      <c r="AA230" s="86" t="s">
        <v>213</v>
      </c>
      <c r="AB230" s="86" t="s">
        <v>66</v>
      </c>
      <c r="AC230" s="86" t="s">
        <v>67</v>
      </c>
    </row>
    <row r="231" spans="1:29" x14ac:dyDescent="0.35">
      <c r="A231" s="85" t="s">
        <v>109</v>
      </c>
      <c r="B231" s="85" t="s">
        <v>258</v>
      </c>
      <c r="C231" s="85" t="s">
        <v>259</v>
      </c>
      <c r="D231" t="s">
        <v>43</v>
      </c>
      <c r="E231" s="85" t="s">
        <v>120</v>
      </c>
      <c r="F231" s="85" t="s">
        <v>121</v>
      </c>
      <c r="G231" s="86" t="s">
        <v>260</v>
      </c>
      <c r="H231">
        <f>VALUE(Tabla2[[#This Row],[CODIGO PDV]])</f>
        <v>435253</v>
      </c>
      <c r="I231" s="87" t="s">
        <v>261</v>
      </c>
      <c r="J231" s="86" t="s">
        <v>262</v>
      </c>
      <c r="K231" s="88" t="s">
        <v>110</v>
      </c>
      <c r="L231" s="88" t="s">
        <v>121</v>
      </c>
      <c r="M231" s="86" t="s">
        <v>78</v>
      </c>
      <c r="N231" s="85" t="s">
        <v>156</v>
      </c>
      <c r="O231" s="85" t="s">
        <v>99</v>
      </c>
      <c r="P231" s="86" t="s">
        <v>20</v>
      </c>
      <c r="Q231" s="85" t="s">
        <v>64</v>
      </c>
      <c r="R231" s="85" t="s">
        <v>64</v>
      </c>
      <c r="S231" s="89" t="s">
        <v>263</v>
      </c>
      <c r="T231" s="88" t="s">
        <v>264</v>
      </c>
      <c r="U231" s="88" t="s">
        <v>281</v>
      </c>
      <c r="V231" s="86" t="s">
        <v>266</v>
      </c>
      <c r="W231" s="86" t="s">
        <v>65</v>
      </c>
      <c r="X231" s="86"/>
      <c r="Y231" s="86"/>
      <c r="Z231" s="86" t="s">
        <v>212</v>
      </c>
      <c r="AA231" s="86" t="s">
        <v>213</v>
      </c>
      <c r="AB231" s="86" t="s">
        <v>66</v>
      </c>
      <c r="AC231" s="86" t="s">
        <v>67</v>
      </c>
    </row>
    <row r="232" spans="1:29" x14ac:dyDescent="0.35">
      <c r="A232" s="85" t="s">
        <v>109</v>
      </c>
      <c r="B232" s="85" t="s">
        <v>258</v>
      </c>
      <c r="C232" s="85" t="s">
        <v>259</v>
      </c>
      <c r="D232" t="s">
        <v>43</v>
      </c>
      <c r="E232" s="85" t="s">
        <v>120</v>
      </c>
      <c r="F232" s="85" t="s">
        <v>121</v>
      </c>
      <c r="G232" s="86" t="s">
        <v>260</v>
      </c>
      <c r="H232">
        <f>VALUE(Tabla2[[#This Row],[CODIGO PDV]])</f>
        <v>435253</v>
      </c>
      <c r="I232" s="87" t="s">
        <v>261</v>
      </c>
      <c r="J232" s="86" t="s">
        <v>262</v>
      </c>
      <c r="K232" s="88" t="s">
        <v>110</v>
      </c>
      <c r="L232" s="88" t="s">
        <v>121</v>
      </c>
      <c r="M232" s="86" t="s">
        <v>78</v>
      </c>
      <c r="N232" s="85" t="s">
        <v>156</v>
      </c>
      <c r="O232" s="85" t="s">
        <v>100</v>
      </c>
      <c r="P232" s="86" t="s">
        <v>20</v>
      </c>
      <c r="Q232" s="85" t="s">
        <v>64</v>
      </c>
      <c r="R232" s="85" t="s">
        <v>64</v>
      </c>
      <c r="S232" s="89" t="s">
        <v>263</v>
      </c>
      <c r="T232" s="88" t="s">
        <v>264</v>
      </c>
      <c r="U232" s="88" t="s">
        <v>282</v>
      </c>
      <c r="V232" s="86" t="s">
        <v>266</v>
      </c>
      <c r="W232" s="86" t="s">
        <v>65</v>
      </c>
      <c r="X232" s="86"/>
      <c r="Y232" s="86"/>
      <c r="Z232" s="86" t="s">
        <v>212</v>
      </c>
      <c r="AA232" s="86" t="s">
        <v>213</v>
      </c>
      <c r="AB232" s="86" t="s">
        <v>66</v>
      </c>
      <c r="AC232" s="86" t="s">
        <v>67</v>
      </c>
    </row>
    <row r="233" spans="1:29" x14ac:dyDescent="0.35">
      <c r="A233" s="85" t="s">
        <v>109</v>
      </c>
      <c r="B233" s="85" t="s">
        <v>258</v>
      </c>
      <c r="C233" s="85" t="s">
        <v>259</v>
      </c>
      <c r="D233" t="s">
        <v>43</v>
      </c>
      <c r="E233" s="85" t="s">
        <v>120</v>
      </c>
      <c r="F233" s="85" t="s">
        <v>121</v>
      </c>
      <c r="G233" s="86" t="s">
        <v>260</v>
      </c>
      <c r="H233">
        <f>VALUE(Tabla2[[#This Row],[CODIGO PDV]])</f>
        <v>435253</v>
      </c>
      <c r="I233" s="87" t="s">
        <v>261</v>
      </c>
      <c r="J233" s="86" t="s">
        <v>262</v>
      </c>
      <c r="K233" s="88" t="s">
        <v>110</v>
      </c>
      <c r="L233" s="88" t="s">
        <v>121</v>
      </c>
      <c r="M233" s="86" t="s">
        <v>78</v>
      </c>
      <c r="N233" s="85" t="s">
        <v>156</v>
      </c>
      <c r="O233" s="85" t="s">
        <v>149</v>
      </c>
      <c r="P233" s="86" t="s">
        <v>20</v>
      </c>
      <c r="Q233" s="85" t="s">
        <v>64</v>
      </c>
      <c r="R233" s="85" t="s">
        <v>64</v>
      </c>
      <c r="S233" s="89" t="s">
        <v>263</v>
      </c>
      <c r="T233" s="88" t="s">
        <v>264</v>
      </c>
      <c r="U233" s="88" t="s">
        <v>283</v>
      </c>
      <c r="V233" s="86" t="s">
        <v>266</v>
      </c>
      <c r="W233" s="86" t="s">
        <v>65</v>
      </c>
      <c r="X233" s="86"/>
      <c r="Y233" s="86"/>
      <c r="Z233" s="86" t="s">
        <v>212</v>
      </c>
      <c r="AA233" s="86" t="s">
        <v>213</v>
      </c>
      <c r="AB233" s="86" t="s">
        <v>66</v>
      </c>
      <c r="AC233" s="86" t="s">
        <v>67</v>
      </c>
    </row>
    <row r="234" spans="1:29" x14ac:dyDescent="0.35">
      <c r="A234" s="85" t="s">
        <v>109</v>
      </c>
      <c r="B234" s="85" t="s">
        <v>258</v>
      </c>
      <c r="C234" s="85" t="s">
        <v>259</v>
      </c>
      <c r="D234" t="s">
        <v>43</v>
      </c>
      <c r="E234" s="85" t="s">
        <v>120</v>
      </c>
      <c r="F234" s="85" t="s">
        <v>121</v>
      </c>
      <c r="G234" s="86" t="s">
        <v>260</v>
      </c>
      <c r="H234">
        <f>VALUE(Tabla2[[#This Row],[CODIGO PDV]])</f>
        <v>435253</v>
      </c>
      <c r="I234" s="87" t="s">
        <v>261</v>
      </c>
      <c r="J234" s="86" t="s">
        <v>262</v>
      </c>
      <c r="K234" s="88" t="s">
        <v>110</v>
      </c>
      <c r="L234" s="88" t="s">
        <v>121</v>
      </c>
      <c r="M234" s="86" t="s">
        <v>78</v>
      </c>
      <c r="N234" s="85" t="s">
        <v>156</v>
      </c>
      <c r="O234" s="85" t="s">
        <v>130</v>
      </c>
      <c r="P234" s="86" t="s">
        <v>20</v>
      </c>
      <c r="Q234" s="85" t="s">
        <v>64</v>
      </c>
      <c r="R234" s="85" t="s">
        <v>64</v>
      </c>
      <c r="S234" s="89" t="s">
        <v>263</v>
      </c>
      <c r="T234" s="88" t="s">
        <v>264</v>
      </c>
      <c r="U234" s="88" t="s">
        <v>284</v>
      </c>
      <c r="V234" s="86" t="s">
        <v>266</v>
      </c>
      <c r="W234" s="86" t="s">
        <v>65</v>
      </c>
      <c r="X234" s="86"/>
      <c r="Y234" s="86"/>
      <c r="Z234" s="86" t="s">
        <v>212</v>
      </c>
      <c r="AA234" s="86" t="s">
        <v>213</v>
      </c>
      <c r="AB234" s="86" t="s">
        <v>66</v>
      </c>
      <c r="AC234" s="86" t="s">
        <v>67</v>
      </c>
    </row>
    <row r="235" spans="1:29" x14ac:dyDescent="0.35">
      <c r="A235" s="85" t="s">
        <v>109</v>
      </c>
      <c r="B235" s="85" t="s">
        <v>258</v>
      </c>
      <c r="C235" s="85" t="s">
        <v>259</v>
      </c>
      <c r="D235" t="s">
        <v>43</v>
      </c>
      <c r="E235" s="85" t="s">
        <v>120</v>
      </c>
      <c r="F235" s="85" t="s">
        <v>121</v>
      </c>
      <c r="G235" s="86" t="s">
        <v>260</v>
      </c>
      <c r="H235">
        <f>VALUE(Tabla2[[#This Row],[CODIGO PDV]])</f>
        <v>435253</v>
      </c>
      <c r="I235" s="87" t="s">
        <v>261</v>
      </c>
      <c r="J235" s="86" t="s">
        <v>262</v>
      </c>
      <c r="K235" s="88" t="s">
        <v>110</v>
      </c>
      <c r="L235" s="88" t="s">
        <v>121</v>
      </c>
      <c r="M235" s="86" t="s">
        <v>78</v>
      </c>
      <c r="N235" s="85" t="s">
        <v>156</v>
      </c>
      <c r="O235" s="85" t="s">
        <v>131</v>
      </c>
      <c r="P235" s="86" t="s">
        <v>20</v>
      </c>
      <c r="Q235" s="85" t="s">
        <v>64</v>
      </c>
      <c r="R235" s="85" t="s">
        <v>64</v>
      </c>
      <c r="S235" s="89" t="s">
        <v>263</v>
      </c>
      <c r="T235" s="88" t="s">
        <v>264</v>
      </c>
      <c r="U235" s="88" t="s">
        <v>285</v>
      </c>
      <c r="V235" s="86" t="s">
        <v>266</v>
      </c>
      <c r="W235" s="86" t="s">
        <v>65</v>
      </c>
      <c r="X235" s="86"/>
      <c r="Y235" s="86"/>
      <c r="Z235" s="86" t="s">
        <v>212</v>
      </c>
      <c r="AA235" s="86" t="s">
        <v>213</v>
      </c>
      <c r="AB235" s="86" t="s">
        <v>66</v>
      </c>
      <c r="AC235" s="86" t="s">
        <v>67</v>
      </c>
    </row>
    <row r="236" spans="1:29" x14ac:dyDescent="0.35">
      <c r="A236" s="85" t="s">
        <v>109</v>
      </c>
      <c r="B236" s="85" t="s">
        <v>258</v>
      </c>
      <c r="C236" s="85" t="s">
        <v>259</v>
      </c>
      <c r="D236" t="s">
        <v>43</v>
      </c>
      <c r="E236" s="85" t="s">
        <v>120</v>
      </c>
      <c r="F236" s="85" t="s">
        <v>121</v>
      </c>
      <c r="G236" s="86" t="s">
        <v>260</v>
      </c>
      <c r="H236">
        <f>VALUE(Tabla2[[#This Row],[CODIGO PDV]])</f>
        <v>435253</v>
      </c>
      <c r="I236" s="87" t="s">
        <v>261</v>
      </c>
      <c r="J236" s="86" t="s">
        <v>262</v>
      </c>
      <c r="K236" s="88" t="s">
        <v>110</v>
      </c>
      <c r="L236" s="88" t="s">
        <v>121</v>
      </c>
      <c r="M236" s="86" t="s">
        <v>78</v>
      </c>
      <c r="N236" s="85" t="s">
        <v>156</v>
      </c>
      <c r="O236" s="85" t="s">
        <v>101</v>
      </c>
      <c r="P236" s="2" t="s">
        <v>43</v>
      </c>
      <c r="Q236" s="85" t="s">
        <v>64</v>
      </c>
      <c r="R236" s="85" t="s">
        <v>64</v>
      </c>
      <c r="S236" s="89" t="s">
        <v>263</v>
      </c>
      <c r="T236" s="88" t="s">
        <v>264</v>
      </c>
      <c r="U236" s="88" t="s">
        <v>286</v>
      </c>
      <c r="V236" s="86" t="s">
        <v>266</v>
      </c>
      <c r="W236" s="86" t="s">
        <v>65</v>
      </c>
      <c r="X236" s="86"/>
      <c r="Y236" s="86"/>
      <c r="Z236" s="86" t="s">
        <v>212</v>
      </c>
      <c r="AA236" s="86" t="s">
        <v>213</v>
      </c>
      <c r="AB236" s="86" t="s">
        <v>66</v>
      </c>
      <c r="AC236" s="86" t="s">
        <v>67</v>
      </c>
    </row>
    <row r="237" spans="1:29" x14ac:dyDescent="0.35">
      <c r="A237" s="85" t="s">
        <v>109</v>
      </c>
      <c r="B237" s="85" t="s">
        <v>258</v>
      </c>
      <c r="C237" s="85" t="s">
        <v>259</v>
      </c>
      <c r="D237" t="s">
        <v>43</v>
      </c>
      <c r="E237" s="85" t="s">
        <v>120</v>
      </c>
      <c r="F237" s="85" t="s">
        <v>121</v>
      </c>
      <c r="G237" s="86" t="s">
        <v>260</v>
      </c>
      <c r="H237">
        <f>VALUE(Tabla2[[#This Row],[CODIGO PDV]])</f>
        <v>435253</v>
      </c>
      <c r="I237" s="87" t="s">
        <v>261</v>
      </c>
      <c r="J237" s="86" t="s">
        <v>262</v>
      </c>
      <c r="K237" s="88" t="s">
        <v>110</v>
      </c>
      <c r="L237" s="88" t="s">
        <v>121</v>
      </c>
      <c r="M237" s="86" t="s">
        <v>78</v>
      </c>
      <c r="N237" s="85" t="s">
        <v>156</v>
      </c>
      <c r="O237" s="85" t="s">
        <v>137</v>
      </c>
      <c r="P237" s="86" t="s">
        <v>20</v>
      </c>
      <c r="Q237" s="85" t="s">
        <v>64</v>
      </c>
      <c r="R237" s="85" t="s">
        <v>64</v>
      </c>
      <c r="S237" s="89" t="s">
        <v>263</v>
      </c>
      <c r="T237" s="88" t="s">
        <v>264</v>
      </c>
      <c r="U237" s="88" t="s">
        <v>287</v>
      </c>
      <c r="V237" s="86" t="s">
        <v>266</v>
      </c>
      <c r="W237" s="86" t="s">
        <v>65</v>
      </c>
      <c r="X237" s="86"/>
      <c r="Y237" s="86"/>
      <c r="Z237" s="86" t="s">
        <v>212</v>
      </c>
      <c r="AA237" s="86" t="s">
        <v>213</v>
      </c>
      <c r="AB237" s="86" t="s">
        <v>66</v>
      </c>
      <c r="AC237" s="86" t="s">
        <v>67</v>
      </c>
    </row>
    <row r="238" spans="1:29" x14ac:dyDescent="0.35">
      <c r="A238" s="85" t="s">
        <v>109</v>
      </c>
      <c r="B238" s="85" t="s">
        <v>258</v>
      </c>
      <c r="C238" s="85" t="s">
        <v>259</v>
      </c>
      <c r="D238" t="s">
        <v>43</v>
      </c>
      <c r="E238" s="85" t="s">
        <v>120</v>
      </c>
      <c r="F238" s="85" t="s">
        <v>121</v>
      </c>
      <c r="G238" s="86" t="s">
        <v>260</v>
      </c>
      <c r="H238">
        <f>VALUE(Tabla2[[#This Row],[CODIGO PDV]])</f>
        <v>435253</v>
      </c>
      <c r="I238" s="87" t="s">
        <v>261</v>
      </c>
      <c r="J238" s="86" t="s">
        <v>262</v>
      </c>
      <c r="K238" s="88" t="s">
        <v>110</v>
      </c>
      <c r="L238" s="88" t="s">
        <v>121</v>
      </c>
      <c r="M238" s="86" t="s">
        <v>78</v>
      </c>
      <c r="N238" s="85" t="s">
        <v>156</v>
      </c>
      <c r="O238" s="85" t="s">
        <v>153</v>
      </c>
      <c r="P238" s="86" t="s">
        <v>20</v>
      </c>
      <c r="Q238" s="85" t="s">
        <v>64</v>
      </c>
      <c r="R238" s="85" t="s">
        <v>64</v>
      </c>
      <c r="S238" s="89" t="s">
        <v>263</v>
      </c>
      <c r="T238" s="88" t="s">
        <v>264</v>
      </c>
      <c r="U238" s="88" t="s">
        <v>288</v>
      </c>
      <c r="V238" s="86" t="s">
        <v>266</v>
      </c>
      <c r="W238" s="86" t="s">
        <v>65</v>
      </c>
      <c r="X238" s="86"/>
      <c r="Y238" s="86"/>
      <c r="Z238" s="86" t="s">
        <v>212</v>
      </c>
      <c r="AA238" s="86" t="s">
        <v>213</v>
      </c>
      <c r="AB238" s="86" t="s">
        <v>66</v>
      </c>
      <c r="AC238" s="86" t="s">
        <v>67</v>
      </c>
    </row>
    <row r="239" spans="1:29" x14ac:dyDescent="0.35">
      <c r="A239" s="85" t="s">
        <v>109</v>
      </c>
      <c r="B239" s="85" t="s">
        <v>258</v>
      </c>
      <c r="C239" s="85" t="s">
        <v>259</v>
      </c>
      <c r="D239" t="s">
        <v>43</v>
      </c>
      <c r="E239" s="85" t="s">
        <v>120</v>
      </c>
      <c r="F239" s="85" t="s">
        <v>121</v>
      </c>
      <c r="G239" s="86" t="s">
        <v>260</v>
      </c>
      <c r="H239">
        <f>VALUE(Tabla2[[#This Row],[CODIGO PDV]])</f>
        <v>435253</v>
      </c>
      <c r="I239" s="87" t="s">
        <v>261</v>
      </c>
      <c r="J239" s="86" t="s">
        <v>262</v>
      </c>
      <c r="K239" s="88" t="s">
        <v>110</v>
      </c>
      <c r="L239" s="88" t="s">
        <v>121</v>
      </c>
      <c r="M239" s="86" t="s">
        <v>78</v>
      </c>
      <c r="N239" s="85" t="s">
        <v>156</v>
      </c>
      <c r="O239" s="85" t="s">
        <v>102</v>
      </c>
      <c r="P239" s="2" t="s">
        <v>108</v>
      </c>
      <c r="Q239" s="85" t="s">
        <v>64</v>
      </c>
      <c r="R239" s="85" t="s">
        <v>64</v>
      </c>
      <c r="S239" s="89" t="s">
        <v>263</v>
      </c>
      <c r="T239" s="88" t="s">
        <v>264</v>
      </c>
      <c r="U239" s="88" t="s">
        <v>289</v>
      </c>
      <c r="V239" s="86" t="s">
        <v>266</v>
      </c>
      <c r="W239" s="86" t="s">
        <v>65</v>
      </c>
      <c r="X239" s="86"/>
      <c r="Y239" s="86"/>
      <c r="Z239" s="86" t="s">
        <v>212</v>
      </c>
      <c r="AA239" s="86" t="s">
        <v>213</v>
      </c>
      <c r="AB239" s="86" t="s">
        <v>66</v>
      </c>
      <c r="AC239" s="86" t="s">
        <v>67</v>
      </c>
    </row>
  </sheetData>
  <phoneticPr fontId="3" type="noConversion"/>
  <conditionalFormatting sqref="O1:O1048576">
    <cfRule type="duplicateValues" dxfId="76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36"/>
  <sheetViews>
    <sheetView showGridLines="0" zoomScale="70" zoomScaleNormal="70" workbookViewId="0"/>
  </sheetViews>
  <sheetFormatPr baseColWidth="10" defaultColWidth="11.453125" defaultRowHeight="15" customHeight="1" x14ac:dyDescent="0.35"/>
  <cols>
    <col min="1" max="1" width="24" style="46" bestFit="1" customWidth="1"/>
    <col min="2" max="2" width="27.1796875" style="46" bestFit="1" customWidth="1"/>
    <col min="3" max="3" width="20.1796875" style="46" bestFit="1" customWidth="1"/>
    <col min="4" max="4" width="31.1796875" customWidth="1"/>
    <col min="5" max="5" width="14.81640625" bestFit="1" customWidth="1"/>
    <col min="6" max="6" width="13.1796875" customWidth="1"/>
    <col min="7" max="7" width="75.453125" bestFit="1" customWidth="1"/>
    <col min="8" max="8" width="41" customWidth="1"/>
    <col min="9" max="9" width="11.453125" customWidth="1"/>
    <col min="10" max="10" width="29.1796875" bestFit="1" customWidth="1"/>
    <col min="11" max="11" width="19.7265625" style="29" bestFit="1" customWidth="1"/>
  </cols>
  <sheetData>
    <row r="1" spans="1:11" ht="15" customHeight="1" x14ac:dyDescent="0.3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3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5" t="s">
        <v>104</v>
      </c>
      <c r="K2" s="44">
        <v>0.1</v>
      </c>
    </row>
    <row r="3" spans="1:11" ht="15" customHeight="1" x14ac:dyDescent="0.3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5" t="s">
        <v>17</v>
      </c>
      <c r="K3" s="44">
        <v>0.2</v>
      </c>
    </row>
    <row r="4" spans="1:11" ht="15" customHeight="1" x14ac:dyDescent="0.3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104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5" t="s">
        <v>105</v>
      </c>
      <c r="K4" s="44">
        <v>0.3</v>
      </c>
    </row>
    <row r="5" spans="1:11" ht="15" customHeight="1" x14ac:dyDescent="0.3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104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5" t="s">
        <v>106</v>
      </c>
      <c r="K5" s="44">
        <v>0.4</v>
      </c>
    </row>
    <row r="6" spans="1:11" ht="15" customHeight="1" x14ac:dyDescent="0.3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104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3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104</v>
      </c>
      <c r="E7" s="39">
        <f t="shared" si="1"/>
        <v>1</v>
      </c>
      <c r="F7" s="19" t="s">
        <v>72</v>
      </c>
      <c r="G7" s="19" t="s">
        <v>91</v>
      </c>
      <c r="H7" s="19" t="s">
        <v>108</v>
      </c>
    </row>
    <row r="8" spans="1:11" ht="15" customHeight="1" x14ac:dyDescent="0.3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104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3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104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3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104</v>
      </c>
      <c r="E10" s="39">
        <f t="shared" si="1"/>
        <v>1</v>
      </c>
      <c r="F10" s="19" t="s">
        <v>72</v>
      </c>
      <c r="G10" s="19" t="s">
        <v>94</v>
      </c>
      <c r="H10" s="19" t="s">
        <v>108</v>
      </c>
      <c r="K10"/>
    </row>
    <row r="11" spans="1:11" ht="15" customHeight="1" x14ac:dyDescent="0.3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104</v>
      </c>
      <c r="E11" s="39">
        <f t="shared" si="1"/>
        <v>1</v>
      </c>
      <c r="F11" s="19" t="s">
        <v>72</v>
      </c>
      <c r="G11" s="19" t="s">
        <v>95</v>
      </c>
      <c r="H11" s="19" t="s">
        <v>108</v>
      </c>
      <c r="K11"/>
    </row>
    <row r="12" spans="1:11" ht="15" customHeight="1" x14ac:dyDescent="0.3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104</v>
      </c>
      <c r="E12" s="39">
        <f t="shared" si="1"/>
        <v>1</v>
      </c>
      <c r="F12" s="19" t="s">
        <v>72</v>
      </c>
      <c r="G12" s="19" t="s">
        <v>96</v>
      </c>
      <c r="H12" s="19" t="s">
        <v>108</v>
      </c>
      <c r="K12"/>
    </row>
    <row r="13" spans="1:11" ht="15" customHeight="1" x14ac:dyDescent="0.3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104</v>
      </c>
      <c r="E13" s="39">
        <f t="shared" si="1"/>
        <v>1</v>
      </c>
      <c r="F13" s="19" t="s">
        <v>72</v>
      </c>
      <c r="G13" s="19" t="s">
        <v>97</v>
      </c>
      <c r="H13" s="19" t="s">
        <v>108</v>
      </c>
      <c r="K13"/>
    </row>
    <row r="14" spans="1:11" ht="15" customHeight="1" x14ac:dyDescent="0.35">
      <c r="A14" s="39">
        <f t="shared" ref="A14:C21" si="2">30/8</f>
        <v>3.75</v>
      </c>
      <c r="B14" s="39">
        <f t="shared" si="2"/>
        <v>3.75</v>
      </c>
      <c r="C14" s="39">
        <f t="shared" si="2"/>
        <v>3.75</v>
      </c>
      <c r="D14" s="24" t="s">
        <v>107</v>
      </c>
      <c r="E14" s="39">
        <f>30/8</f>
        <v>3.75</v>
      </c>
      <c r="F14" s="19" t="s">
        <v>72</v>
      </c>
      <c r="G14" s="19" t="s">
        <v>147</v>
      </c>
      <c r="H14" s="19" t="s">
        <v>20</v>
      </c>
      <c r="K14"/>
    </row>
    <row r="15" spans="1:11" ht="15" customHeight="1" x14ac:dyDescent="0.35">
      <c r="A15" s="39">
        <f t="shared" si="2"/>
        <v>3.75</v>
      </c>
      <c r="B15" s="39">
        <f t="shared" si="2"/>
        <v>3.75</v>
      </c>
      <c r="C15" s="39">
        <f t="shared" si="2"/>
        <v>3.75</v>
      </c>
      <c r="D15" s="24" t="s">
        <v>107</v>
      </c>
      <c r="E15" s="39">
        <f t="shared" ref="E15:E21" si="3">30/8</f>
        <v>3.75</v>
      </c>
      <c r="F15" s="19" t="s">
        <v>72</v>
      </c>
      <c r="G15" s="19" t="s">
        <v>148</v>
      </c>
      <c r="H15" s="19" t="s">
        <v>20</v>
      </c>
      <c r="K15"/>
    </row>
    <row r="16" spans="1:11" ht="15" customHeight="1" x14ac:dyDescent="0.35">
      <c r="A16" s="39">
        <f t="shared" si="2"/>
        <v>3.75</v>
      </c>
      <c r="B16" s="39">
        <f t="shared" si="2"/>
        <v>3.75</v>
      </c>
      <c r="C16" s="39">
        <f t="shared" si="2"/>
        <v>3.75</v>
      </c>
      <c r="D16" s="24" t="s">
        <v>107</v>
      </c>
      <c r="E16" s="39">
        <f t="shared" si="3"/>
        <v>3.75</v>
      </c>
      <c r="F16" s="19" t="s">
        <v>72</v>
      </c>
      <c r="G16" s="40" t="s">
        <v>98</v>
      </c>
      <c r="H16" s="19" t="s">
        <v>20</v>
      </c>
    </row>
    <row r="17" spans="1:8" ht="15" customHeight="1" x14ac:dyDescent="0.35">
      <c r="A17" s="39">
        <f t="shared" si="2"/>
        <v>3.75</v>
      </c>
      <c r="B17" s="39">
        <f t="shared" si="2"/>
        <v>3.75</v>
      </c>
      <c r="C17" s="39">
        <f t="shared" si="2"/>
        <v>3.75</v>
      </c>
      <c r="D17" s="24" t="s">
        <v>107</v>
      </c>
      <c r="E17" s="39">
        <f t="shared" si="3"/>
        <v>3.75</v>
      </c>
      <c r="F17" s="19" t="s">
        <v>72</v>
      </c>
      <c r="G17" s="40" t="s">
        <v>99</v>
      </c>
      <c r="H17" s="19" t="s">
        <v>20</v>
      </c>
    </row>
    <row r="18" spans="1:8" ht="15" customHeight="1" x14ac:dyDescent="0.35">
      <c r="A18" s="39">
        <f t="shared" si="2"/>
        <v>3.75</v>
      </c>
      <c r="B18" s="39">
        <f t="shared" si="2"/>
        <v>3.75</v>
      </c>
      <c r="C18" s="39">
        <f t="shared" si="2"/>
        <v>3.75</v>
      </c>
      <c r="D18" s="24" t="s">
        <v>107</v>
      </c>
      <c r="E18" s="39">
        <f t="shared" si="3"/>
        <v>3.75</v>
      </c>
      <c r="F18" s="19" t="s">
        <v>72</v>
      </c>
      <c r="G18" s="40" t="s">
        <v>100</v>
      </c>
      <c r="H18" s="19" t="s">
        <v>20</v>
      </c>
    </row>
    <row r="19" spans="1:8" ht="15" customHeight="1" x14ac:dyDescent="0.35">
      <c r="A19" s="39">
        <f t="shared" si="2"/>
        <v>3.75</v>
      </c>
      <c r="B19" s="39">
        <f t="shared" si="2"/>
        <v>3.75</v>
      </c>
      <c r="C19" s="39">
        <f t="shared" si="2"/>
        <v>3.75</v>
      </c>
      <c r="D19" s="24" t="s">
        <v>107</v>
      </c>
      <c r="E19" s="39">
        <f t="shared" si="3"/>
        <v>3.75</v>
      </c>
      <c r="F19" s="19" t="s">
        <v>72</v>
      </c>
      <c r="G19" s="19" t="s">
        <v>149</v>
      </c>
      <c r="H19" s="19" t="s">
        <v>20</v>
      </c>
    </row>
    <row r="20" spans="1:8" ht="15" customHeight="1" x14ac:dyDescent="0.35">
      <c r="A20" s="39">
        <f t="shared" si="2"/>
        <v>3.75</v>
      </c>
      <c r="B20" s="39">
        <f t="shared" si="2"/>
        <v>3.75</v>
      </c>
      <c r="C20" s="39">
        <f t="shared" si="2"/>
        <v>3.75</v>
      </c>
      <c r="D20" s="24" t="s">
        <v>107</v>
      </c>
      <c r="E20" s="39">
        <f t="shared" si="3"/>
        <v>3.75</v>
      </c>
      <c r="F20" s="19" t="s">
        <v>72</v>
      </c>
      <c r="G20" s="19" t="s">
        <v>130</v>
      </c>
      <c r="H20" s="19" t="s">
        <v>20</v>
      </c>
    </row>
    <row r="21" spans="1:8" ht="15" customHeight="1" x14ac:dyDescent="0.35">
      <c r="A21" s="39">
        <f t="shared" si="2"/>
        <v>3.75</v>
      </c>
      <c r="B21" s="39">
        <f t="shared" si="2"/>
        <v>3.75</v>
      </c>
      <c r="C21" s="39">
        <f t="shared" si="2"/>
        <v>3.75</v>
      </c>
      <c r="D21" s="24" t="s">
        <v>107</v>
      </c>
      <c r="E21" s="39">
        <f t="shared" si="3"/>
        <v>3.75</v>
      </c>
      <c r="F21" s="19" t="s">
        <v>72</v>
      </c>
      <c r="G21" s="19" t="s">
        <v>131</v>
      </c>
      <c r="H21" s="19" t="s">
        <v>20</v>
      </c>
    </row>
    <row r="22" spans="1:8" ht="15" customHeight="1" x14ac:dyDescent="0.35">
      <c r="A22" s="39">
        <v>0</v>
      </c>
      <c r="B22" s="39">
        <v>0</v>
      </c>
      <c r="C22" s="39">
        <v>0</v>
      </c>
      <c r="D22" s="24" t="s">
        <v>68</v>
      </c>
      <c r="E22" s="39">
        <v>0</v>
      </c>
      <c r="F22" s="19" t="s">
        <v>72</v>
      </c>
      <c r="G22" s="19" t="s">
        <v>101</v>
      </c>
      <c r="H22" s="19"/>
    </row>
    <row r="23" spans="1:8" ht="15" customHeight="1" x14ac:dyDescent="0.35">
      <c r="A23" s="39">
        <v>0</v>
      </c>
      <c r="B23" s="39">
        <v>0</v>
      </c>
      <c r="C23" s="39">
        <f>40/5</f>
        <v>8</v>
      </c>
      <c r="D23" s="19" t="s">
        <v>106</v>
      </c>
      <c r="E23" s="39">
        <f>40/12</f>
        <v>3.3333333333333335</v>
      </c>
      <c r="F23" s="19" t="s">
        <v>72</v>
      </c>
      <c r="G23" s="19" t="s">
        <v>116</v>
      </c>
      <c r="H23" s="19" t="s">
        <v>20</v>
      </c>
    </row>
    <row r="24" spans="1:8" ht="15" customHeight="1" x14ac:dyDescent="0.35">
      <c r="A24" s="39">
        <v>0</v>
      </c>
      <c r="B24" s="39">
        <v>0</v>
      </c>
      <c r="C24" s="39">
        <f t="shared" ref="B24:C32" si="4">40/5</f>
        <v>8</v>
      </c>
      <c r="D24" s="19" t="s">
        <v>106</v>
      </c>
      <c r="E24" s="39">
        <f t="shared" ref="E24:E34" si="5">40/12</f>
        <v>3.3333333333333335</v>
      </c>
      <c r="F24" s="19" t="s">
        <v>72</v>
      </c>
      <c r="G24" s="19" t="s">
        <v>150</v>
      </c>
      <c r="H24" s="19" t="s">
        <v>20</v>
      </c>
    </row>
    <row r="25" spans="1:8" ht="15" customHeight="1" x14ac:dyDescent="0.35">
      <c r="A25" s="39">
        <v>0</v>
      </c>
      <c r="B25" s="39">
        <v>0</v>
      </c>
      <c r="C25" s="39">
        <f t="shared" si="4"/>
        <v>8</v>
      </c>
      <c r="D25" s="19" t="s">
        <v>106</v>
      </c>
      <c r="E25" s="39">
        <f t="shared" si="5"/>
        <v>3.3333333333333335</v>
      </c>
      <c r="F25" s="19" t="s">
        <v>72</v>
      </c>
      <c r="G25" s="19" t="s">
        <v>151</v>
      </c>
      <c r="H25" s="19" t="s">
        <v>20</v>
      </c>
    </row>
    <row r="26" spans="1:8" ht="15" customHeight="1" x14ac:dyDescent="0.35">
      <c r="A26" s="39">
        <v>0</v>
      </c>
      <c r="B26" s="39">
        <v>0</v>
      </c>
      <c r="C26" s="39">
        <f t="shared" si="4"/>
        <v>8</v>
      </c>
      <c r="D26" s="19" t="s">
        <v>106</v>
      </c>
      <c r="E26" s="39">
        <f t="shared" si="5"/>
        <v>3.3333333333333335</v>
      </c>
      <c r="F26" s="19" t="s">
        <v>72</v>
      </c>
      <c r="G26" s="19" t="s">
        <v>152</v>
      </c>
      <c r="H26" s="19" t="s">
        <v>20</v>
      </c>
    </row>
    <row r="27" spans="1:8" ht="15" customHeight="1" x14ac:dyDescent="0.35">
      <c r="A27" s="39">
        <v>0</v>
      </c>
      <c r="B27" s="39">
        <v>0</v>
      </c>
      <c r="C27" s="39">
        <f t="shared" si="4"/>
        <v>8</v>
      </c>
      <c r="D27" s="19" t="s">
        <v>106</v>
      </c>
      <c r="E27" s="39">
        <f t="shared" si="5"/>
        <v>3.3333333333333335</v>
      </c>
      <c r="F27" s="19" t="s">
        <v>72</v>
      </c>
      <c r="G27" s="19" t="s">
        <v>117</v>
      </c>
      <c r="H27" s="19" t="s">
        <v>20</v>
      </c>
    </row>
    <row r="28" spans="1:8" ht="15" customHeight="1" x14ac:dyDescent="0.35">
      <c r="A28" s="39">
        <v>0</v>
      </c>
      <c r="B28" s="39">
        <f>40/5</f>
        <v>8</v>
      </c>
      <c r="C28" s="39">
        <v>0</v>
      </c>
      <c r="D28" s="19" t="s">
        <v>106</v>
      </c>
      <c r="E28" s="39">
        <f t="shared" si="5"/>
        <v>3.3333333333333335</v>
      </c>
      <c r="F28" s="19" t="s">
        <v>72</v>
      </c>
      <c r="G28" s="19" t="s">
        <v>127</v>
      </c>
      <c r="H28" s="19" t="s">
        <v>20</v>
      </c>
    </row>
    <row r="29" spans="1:8" ht="15" customHeight="1" x14ac:dyDescent="0.35">
      <c r="A29" s="39">
        <v>0</v>
      </c>
      <c r="B29" s="39">
        <f t="shared" si="4"/>
        <v>8</v>
      </c>
      <c r="C29" s="39">
        <v>0</v>
      </c>
      <c r="D29" s="19" t="s">
        <v>106</v>
      </c>
      <c r="E29" s="39">
        <f t="shared" si="5"/>
        <v>3.3333333333333335</v>
      </c>
      <c r="F29" s="19" t="s">
        <v>72</v>
      </c>
      <c r="G29" s="19" t="s">
        <v>118</v>
      </c>
      <c r="H29" s="19" t="s">
        <v>20</v>
      </c>
    </row>
    <row r="30" spans="1:8" ht="15" customHeight="1" x14ac:dyDescent="0.35">
      <c r="A30" s="39">
        <v>0</v>
      </c>
      <c r="B30" s="39">
        <f t="shared" si="4"/>
        <v>8</v>
      </c>
      <c r="C30" s="39">
        <v>0</v>
      </c>
      <c r="D30" s="19" t="s">
        <v>106</v>
      </c>
      <c r="E30" s="39">
        <f t="shared" si="5"/>
        <v>3.3333333333333335</v>
      </c>
      <c r="F30" s="19" t="s">
        <v>72</v>
      </c>
      <c r="G30" s="19" t="s">
        <v>119</v>
      </c>
      <c r="H30" s="19" t="s">
        <v>20</v>
      </c>
    </row>
    <row r="31" spans="1:8" ht="15" customHeight="1" x14ac:dyDescent="0.35">
      <c r="A31" s="39">
        <v>0</v>
      </c>
      <c r="B31" s="39">
        <f t="shared" si="4"/>
        <v>8</v>
      </c>
      <c r="C31" s="39">
        <v>0</v>
      </c>
      <c r="D31" s="19" t="s">
        <v>106</v>
      </c>
      <c r="E31" s="39">
        <f t="shared" si="5"/>
        <v>3.3333333333333335</v>
      </c>
      <c r="F31" s="19" t="s">
        <v>72</v>
      </c>
      <c r="G31" s="19" t="s">
        <v>133</v>
      </c>
      <c r="H31" s="19" t="s">
        <v>20</v>
      </c>
    </row>
    <row r="32" spans="1:8" ht="15" customHeight="1" x14ac:dyDescent="0.35">
      <c r="A32" s="39">
        <v>0</v>
      </c>
      <c r="B32" s="39">
        <f t="shared" si="4"/>
        <v>8</v>
      </c>
      <c r="C32" s="39">
        <v>0</v>
      </c>
      <c r="D32" s="19" t="s">
        <v>106</v>
      </c>
      <c r="E32" s="39">
        <f t="shared" si="5"/>
        <v>3.3333333333333335</v>
      </c>
      <c r="F32" s="19" t="s">
        <v>72</v>
      </c>
      <c r="G32" s="19" t="s">
        <v>134</v>
      </c>
      <c r="H32" s="19" t="s">
        <v>20</v>
      </c>
    </row>
    <row r="33" spans="1:8" ht="15" customHeight="1" x14ac:dyDescent="0.35">
      <c r="A33" s="39">
        <v>20</v>
      </c>
      <c r="B33" s="39">
        <v>0</v>
      </c>
      <c r="C33" s="39">
        <v>0</v>
      </c>
      <c r="D33" s="19" t="s">
        <v>106</v>
      </c>
      <c r="E33" s="39">
        <f t="shared" si="5"/>
        <v>3.3333333333333335</v>
      </c>
      <c r="F33" s="19" t="s">
        <v>72</v>
      </c>
      <c r="G33" s="19" t="s">
        <v>137</v>
      </c>
      <c r="H33" s="19" t="s">
        <v>20</v>
      </c>
    </row>
    <row r="34" spans="1:8" ht="15" customHeight="1" x14ac:dyDescent="0.35">
      <c r="A34" s="39">
        <v>20</v>
      </c>
      <c r="B34" s="39">
        <v>0</v>
      </c>
      <c r="C34" s="39">
        <v>0</v>
      </c>
      <c r="D34" s="19" t="s">
        <v>106</v>
      </c>
      <c r="E34" s="39">
        <f t="shared" si="5"/>
        <v>3.3333333333333335</v>
      </c>
      <c r="F34" s="19" t="s">
        <v>72</v>
      </c>
      <c r="G34" s="19" t="s">
        <v>153</v>
      </c>
      <c r="H34" s="19" t="s">
        <v>20</v>
      </c>
    </row>
    <row r="35" spans="1:8" ht="15" customHeight="1" x14ac:dyDescent="0.35">
      <c r="A35" s="39">
        <v>0</v>
      </c>
      <c r="B35" s="39">
        <v>0</v>
      </c>
      <c r="C35" s="39">
        <v>0</v>
      </c>
      <c r="D35" s="24" t="s">
        <v>68</v>
      </c>
      <c r="E35" s="39">
        <v>0</v>
      </c>
      <c r="F35" s="19" t="s">
        <v>72</v>
      </c>
      <c r="G35" s="19" t="s">
        <v>102</v>
      </c>
      <c r="H35" s="19"/>
    </row>
    <row r="36" spans="1:8" ht="15" customHeight="1" x14ac:dyDescent="0.35">
      <c r="A36" s="39">
        <v>0</v>
      </c>
      <c r="B36" s="39">
        <v>0</v>
      </c>
      <c r="C36" s="39">
        <v>0</v>
      </c>
      <c r="D36" s="24" t="s">
        <v>68</v>
      </c>
      <c r="E36" s="39">
        <v>0</v>
      </c>
      <c r="F36" s="19" t="s">
        <v>79</v>
      </c>
      <c r="G36" s="19" t="s">
        <v>103</v>
      </c>
      <c r="H36" s="19"/>
    </row>
  </sheetData>
  <autoFilter ref="A1:H36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2026-01-05T16:35:49Z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