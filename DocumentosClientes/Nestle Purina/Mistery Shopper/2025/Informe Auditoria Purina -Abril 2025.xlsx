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istos-my.sharepoint.com/personal/diego_guerrero_visionymarketing_com_co/Documents/Desktop/Diego Guerrero/NESTLÉ/PURINA/Abril/"/>
    </mc:Choice>
  </mc:AlternateContent>
  <xr:revisionPtr revIDLastSave="64" documentId="13_ncr:1_{7A419F41-2841-4A51-BC2E-92875A556D1D}" xr6:coauthVersionLast="47" xr6:coauthVersionMax="47" xr10:uidLastSave="{1FF8D1E0-E047-4E43-9A8F-391E17B5A0E5}"/>
  <bookViews>
    <workbookView xWindow="-120" yWindow="-120" windowWidth="20730" windowHeight="11040" tabRatio="863" activeTab="6" xr2:uid="{22547094-DDA4-4673-ADB1-0AED661F9EB6}"/>
  </bookViews>
  <sheets>
    <sheet name="INFORME" sheetId="4" r:id="rId1"/>
    <sheet name="PUNTAJES" sheetId="5" r:id="rId2"/>
    <sheet name="ENCUESTA" sheetId="8" r:id="rId3"/>
    <sheet name="Panel" sheetId="1" r:id="rId4"/>
    <sheet name="VIDEOS" sheetId="14" r:id="rId5"/>
    <sheet name="DATA INFORME" sheetId="13" r:id="rId6"/>
    <sheet name="Export" sheetId="2" r:id="rId7"/>
  </sheets>
  <definedNames>
    <definedName name="_xlnm._FilterDatabase" localSheetId="2" hidden="1">ENCUESTA!$A$1:$H$28</definedName>
    <definedName name="_xlnm._FilterDatabase" localSheetId="3" hidden="1">Panel!$K$4:$K$4</definedName>
    <definedName name="DatosExternos_2" localSheetId="5" hidden="1">'DATA INFORME'!$A$1:$BD$7</definedName>
    <definedName name="DatosExternos_2" localSheetId="1" hidden="1">PUNTAJES!$A$1:$L$78</definedName>
    <definedName name="SegmentaciónDeDatos_CANAL">#N/A</definedName>
    <definedName name="SegmentaciónDeDatos_CIUDAD">#N/A</definedName>
    <definedName name="SegmentaciónDeDatos_NOMBRE_COMERCIAL">#N/A</definedName>
  </definedNames>
  <calcPr calcId="191028"/>
  <pivotCaches>
    <pivotCache cacheId="22" r:id="rId8"/>
    <pivotCache cacheId="23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8" l="1"/>
  <c r="B20" i="8"/>
  <c r="A20" i="8"/>
  <c r="C19" i="8"/>
  <c r="B19" i="8"/>
  <c r="A19" i="8"/>
  <c r="C18" i="8"/>
  <c r="B18" i="8"/>
  <c r="O18" i="5" s="1"/>
  <c r="A18" i="8"/>
  <c r="C17" i="8"/>
  <c r="B17" i="8"/>
  <c r="A17" i="8"/>
  <c r="C16" i="8"/>
  <c r="B16" i="8"/>
  <c r="A16" i="8"/>
  <c r="C15" i="8"/>
  <c r="B15" i="8"/>
  <c r="A15" i="8"/>
  <c r="C14" i="8"/>
  <c r="B14" i="8"/>
  <c r="A14" i="8"/>
  <c r="D20" i="8"/>
  <c r="D19" i="8"/>
  <c r="D18" i="8"/>
  <c r="D17" i="8"/>
  <c r="D16" i="8"/>
  <c r="D14" i="8"/>
  <c r="D15" i="8"/>
  <c r="O6" i="5"/>
  <c r="M2" i="5"/>
  <c r="M3" i="5"/>
  <c r="M4" i="5"/>
  <c r="O4" i="5" s="1"/>
  <c r="M5" i="5"/>
  <c r="N5" i="5" s="1"/>
  <c r="M6" i="5"/>
  <c r="M7" i="5"/>
  <c r="M8" i="5"/>
  <c r="O8" i="5" s="1"/>
  <c r="M9" i="5"/>
  <c r="N9" i="5" s="1"/>
  <c r="M10" i="5"/>
  <c r="M11" i="5"/>
  <c r="M12" i="5"/>
  <c r="O12" i="5" s="1"/>
  <c r="M13" i="5"/>
  <c r="N13" i="5" s="1"/>
  <c r="M14" i="5"/>
  <c r="M15" i="5"/>
  <c r="M16" i="5"/>
  <c r="O16" i="5" s="1"/>
  <c r="M17" i="5"/>
  <c r="N17" i="5" s="1"/>
  <c r="M18" i="5"/>
  <c r="M19" i="5"/>
  <c r="M20" i="5"/>
  <c r="O20" i="5" s="1"/>
  <c r="M21" i="5"/>
  <c r="N21" i="5" s="1"/>
  <c r="M22" i="5"/>
  <c r="M23" i="5"/>
  <c r="M24" i="5"/>
  <c r="O24" i="5" s="1"/>
  <c r="M25" i="5"/>
  <c r="N25" i="5" s="1"/>
  <c r="M26" i="5"/>
  <c r="M27" i="5"/>
  <c r="M28" i="5"/>
  <c r="O28" i="5" s="1"/>
  <c r="M29" i="5"/>
  <c r="N29" i="5" s="1"/>
  <c r="M30" i="5"/>
  <c r="M31" i="5"/>
  <c r="M32" i="5"/>
  <c r="O32" i="5" s="1"/>
  <c r="M33" i="5"/>
  <c r="N33" i="5" s="1"/>
  <c r="M34" i="5"/>
  <c r="M35" i="5"/>
  <c r="M36" i="5"/>
  <c r="O36" i="5" s="1"/>
  <c r="M37" i="5"/>
  <c r="N37" i="5" s="1"/>
  <c r="M38" i="5"/>
  <c r="M39" i="5"/>
  <c r="M40" i="5"/>
  <c r="O40" i="5" s="1"/>
  <c r="M41" i="5"/>
  <c r="N41" i="5" s="1"/>
  <c r="M42" i="5"/>
  <c r="M43" i="5"/>
  <c r="M44" i="5"/>
  <c r="O44" i="5" s="1"/>
  <c r="M45" i="5"/>
  <c r="N45" i="5" s="1"/>
  <c r="M46" i="5"/>
  <c r="M47" i="5"/>
  <c r="M48" i="5"/>
  <c r="O48" i="5" s="1"/>
  <c r="M49" i="5"/>
  <c r="N49" i="5" s="1"/>
  <c r="M50" i="5"/>
  <c r="M51" i="5"/>
  <c r="M52" i="5"/>
  <c r="O52" i="5" s="1"/>
  <c r="M53" i="5"/>
  <c r="N53" i="5" s="1"/>
  <c r="M54" i="5"/>
  <c r="M55" i="5"/>
  <c r="M56" i="5"/>
  <c r="O56" i="5" s="1"/>
  <c r="M57" i="5"/>
  <c r="N57" i="5" s="1"/>
  <c r="M58" i="5"/>
  <c r="M59" i="5"/>
  <c r="M60" i="5"/>
  <c r="O60" i="5" s="1"/>
  <c r="M61" i="5"/>
  <c r="N61" i="5" s="1"/>
  <c r="M62" i="5"/>
  <c r="M63" i="5"/>
  <c r="M64" i="5"/>
  <c r="O64" i="5" s="1"/>
  <c r="M65" i="5"/>
  <c r="N65" i="5" s="1"/>
  <c r="M66" i="5"/>
  <c r="M67" i="5"/>
  <c r="M68" i="5"/>
  <c r="O68" i="5" s="1"/>
  <c r="M69" i="5"/>
  <c r="N69" i="5" s="1"/>
  <c r="M70" i="5"/>
  <c r="M71" i="5"/>
  <c r="M72" i="5"/>
  <c r="O72" i="5" s="1"/>
  <c r="M73" i="5"/>
  <c r="N73" i="5" s="1"/>
  <c r="M74" i="5"/>
  <c r="M75" i="5"/>
  <c r="M76" i="5"/>
  <c r="O76" i="5" s="1"/>
  <c r="M77" i="5"/>
  <c r="N77" i="5" s="1"/>
  <c r="M78" i="5"/>
  <c r="N2" i="5"/>
  <c r="N3" i="5"/>
  <c r="N4" i="5"/>
  <c r="N6" i="5"/>
  <c r="N7" i="5"/>
  <c r="N8" i="5"/>
  <c r="N10" i="5"/>
  <c r="N11" i="5"/>
  <c r="N14" i="5"/>
  <c r="N15" i="5"/>
  <c r="N18" i="5"/>
  <c r="N19" i="5"/>
  <c r="N20" i="5"/>
  <c r="N22" i="5"/>
  <c r="N23" i="5"/>
  <c r="N24" i="5"/>
  <c r="N26" i="5"/>
  <c r="N27" i="5"/>
  <c r="N30" i="5"/>
  <c r="N31" i="5"/>
  <c r="N34" i="5"/>
  <c r="N35" i="5"/>
  <c r="N36" i="5"/>
  <c r="N38" i="5"/>
  <c r="N39" i="5"/>
  <c r="N40" i="5"/>
  <c r="N42" i="5"/>
  <c r="N43" i="5"/>
  <c r="N46" i="5"/>
  <c r="N47" i="5"/>
  <c r="N50" i="5"/>
  <c r="N51" i="5"/>
  <c r="N52" i="5"/>
  <c r="N54" i="5"/>
  <c r="N55" i="5"/>
  <c r="N56" i="5"/>
  <c r="N58" i="5"/>
  <c r="N59" i="5"/>
  <c r="N62" i="5"/>
  <c r="N63" i="5"/>
  <c r="N66" i="5"/>
  <c r="N67" i="5"/>
  <c r="N68" i="5"/>
  <c r="N70" i="5"/>
  <c r="N71" i="5"/>
  <c r="N72" i="5"/>
  <c r="N74" i="5"/>
  <c r="N75" i="5"/>
  <c r="N78" i="5"/>
  <c r="O2" i="5"/>
  <c r="O3" i="5"/>
  <c r="O7" i="5"/>
  <c r="O10" i="5"/>
  <c r="O11" i="5"/>
  <c r="O14" i="5"/>
  <c r="O15" i="5"/>
  <c r="O19" i="5"/>
  <c r="O22" i="5"/>
  <c r="O23" i="5"/>
  <c r="O26" i="5"/>
  <c r="O27" i="5"/>
  <c r="O30" i="5"/>
  <c r="O31" i="5"/>
  <c r="O34" i="5"/>
  <c r="O35" i="5"/>
  <c r="O38" i="5"/>
  <c r="O39" i="5"/>
  <c r="O42" i="5"/>
  <c r="O43" i="5"/>
  <c r="O46" i="5"/>
  <c r="O47" i="5"/>
  <c r="O50" i="5"/>
  <c r="O51" i="5"/>
  <c r="O54" i="5"/>
  <c r="O55" i="5"/>
  <c r="O58" i="5"/>
  <c r="O59" i="5"/>
  <c r="O62" i="5"/>
  <c r="O63" i="5"/>
  <c r="O66" i="5"/>
  <c r="O67" i="5"/>
  <c r="O70" i="5"/>
  <c r="O71" i="5"/>
  <c r="O74" i="5"/>
  <c r="O75" i="5"/>
  <c r="O78" i="5"/>
  <c r="P2" i="5"/>
  <c r="P3" i="5"/>
  <c r="P4" i="5"/>
  <c r="P5" i="5"/>
  <c r="P6" i="5"/>
  <c r="P7" i="5"/>
  <c r="P8" i="5"/>
  <c r="P9" i="5"/>
  <c r="P10" i="5"/>
  <c r="Q10" i="5" s="1"/>
  <c r="P11" i="5"/>
  <c r="Q11" i="5" s="1"/>
  <c r="P12" i="5"/>
  <c r="Q12" i="5" s="1"/>
  <c r="P13" i="5"/>
  <c r="P14" i="5"/>
  <c r="P15" i="5"/>
  <c r="Q15" i="5" s="1"/>
  <c r="P16" i="5"/>
  <c r="P17" i="5"/>
  <c r="P18" i="5"/>
  <c r="P19" i="5"/>
  <c r="P20" i="5"/>
  <c r="P21" i="5"/>
  <c r="P22" i="5"/>
  <c r="Q22" i="5" s="1"/>
  <c r="P23" i="5"/>
  <c r="P24" i="5"/>
  <c r="Q24" i="5" s="1"/>
  <c r="P25" i="5"/>
  <c r="Q25" i="5" s="1"/>
  <c r="P26" i="5"/>
  <c r="Q26" i="5" s="1"/>
  <c r="P27" i="5"/>
  <c r="Q27" i="5" s="1"/>
  <c r="P28" i="5"/>
  <c r="Q28" i="5" s="1"/>
  <c r="P29" i="5"/>
  <c r="Q29" i="5" s="1"/>
  <c r="P30" i="5"/>
  <c r="Q30" i="5" s="1"/>
  <c r="P31" i="5"/>
  <c r="Q31" i="5" s="1"/>
  <c r="P32" i="5"/>
  <c r="Q32" i="5" s="1"/>
  <c r="P33" i="5"/>
  <c r="P34" i="5"/>
  <c r="P35" i="5"/>
  <c r="P36" i="5"/>
  <c r="P37" i="5"/>
  <c r="P38" i="5"/>
  <c r="Q38" i="5" s="1"/>
  <c r="P39" i="5"/>
  <c r="P40" i="5"/>
  <c r="P41" i="5"/>
  <c r="Q41" i="5" s="1"/>
  <c r="P42" i="5"/>
  <c r="Q42" i="5" s="1"/>
  <c r="P43" i="5"/>
  <c r="Q43" i="5" s="1"/>
  <c r="P44" i="5"/>
  <c r="Q44" i="5" s="1"/>
  <c r="P45" i="5"/>
  <c r="P46" i="5"/>
  <c r="P47" i="5"/>
  <c r="P48" i="5"/>
  <c r="P49" i="5"/>
  <c r="P50" i="5"/>
  <c r="P51" i="5"/>
  <c r="P52" i="5"/>
  <c r="Q52" i="5" s="1"/>
  <c r="P53" i="5"/>
  <c r="P54" i="5"/>
  <c r="Q54" i="5" s="1"/>
  <c r="P55" i="5"/>
  <c r="Q55" i="5" s="1"/>
  <c r="P56" i="5"/>
  <c r="P57" i="5"/>
  <c r="P58" i="5"/>
  <c r="P59" i="5"/>
  <c r="P60" i="5"/>
  <c r="P61" i="5"/>
  <c r="Q61" i="5" s="1"/>
  <c r="P62" i="5"/>
  <c r="P63" i="5"/>
  <c r="P64" i="5"/>
  <c r="Q64" i="5" s="1"/>
  <c r="P65" i="5"/>
  <c r="Q65" i="5" s="1"/>
  <c r="P66" i="5"/>
  <c r="Q66" i="5" s="1"/>
  <c r="P67" i="5"/>
  <c r="Q67" i="5" s="1"/>
  <c r="P68" i="5"/>
  <c r="P69" i="5"/>
  <c r="P70" i="5"/>
  <c r="Q70" i="5" s="1"/>
  <c r="P71" i="5"/>
  <c r="Q71" i="5" s="1"/>
  <c r="P72" i="5"/>
  <c r="P73" i="5"/>
  <c r="Q73" i="5" s="1"/>
  <c r="P74" i="5"/>
  <c r="Q74" i="5" s="1"/>
  <c r="P75" i="5"/>
  <c r="Q75" i="5" s="1"/>
  <c r="P76" i="5"/>
  <c r="P77" i="5"/>
  <c r="P78" i="5"/>
  <c r="Q78" i="5" s="1"/>
  <c r="Q7" i="5"/>
  <c r="Q13" i="5"/>
  <c r="Q21" i="5"/>
  <c r="I2" i="1"/>
  <c r="I3" i="1"/>
  <c r="I4" i="1"/>
  <c r="I5" i="1"/>
  <c r="I6" i="1"/>
  <c r="I7" i="1"/>
  <c r="G6" i="1"/>
  <c r="G7" i="1"/>
  <c r="H6" i="1"/>
  <c r="H7" i="1"/>
  <c r="G2" i="1"/>
  <c r="Q62" i="5" l="1"/>
  <c r="Q46" i="5"/>
  <c r="Q6" i="5"/>
  <c r="Q14" i="5"/>
  <c r="Q50" i="5"/>
  <c r="Q2" i="5"/>
  <c r="Q47" i="5"/>
  <c r="Q23" i="5"/>
  <c r="Q76" i="5"/>
  <c r="Q72" i="5"/>
  <c r="Q68" i="5"/>
  <c r="Q60" i="5"/>
  <c r="Q56" i="5"/>
  <c r="Q48" i="5"/>
  <c r="Q40" i="5"/>
  <c r="Q36" i="5"/>
  <c r="Q20" i="5"/>
  <c r="Q16" i="5"/>
  <c r="Q8" i="5"/>
  <c r="Q4" i="5"/>
  <c r="Q18" i="5"/>
  <c r="N76" i="5"/>
  <c r="N60" i="5"/>
  <c r="N44" i="5"/>
  <c r="N28" i="5"/>
  <c r="N12" i="5"/>
  <c r="Q58" i="5"/>
  <c r="Q34" i="5"/>
  <c r="Q63" i="5"/>
  <c r="Q39" i="5"/>
  <c r="Q59" i="5"/>
  <c r="Q51" i="5"/>
  <c r="Q35" i="5"/>
  <c r="Q19" i="5"/>
  <c r="Q3" i="5"/>
  <c r="N64" i="5"/>
  <c r="N48" i="5"/>
  <c r="N32" i="5"/>
  <c r="N16" i="5"/>
  <c r="O77" i="5"/>
  <c r="Q77" i="5" s="1"/>
  <c r="O73" i="5"/>
  <c r="O69" i="5"/>
  <c r="Q69" i="5" s="1"/>
  <c r="O65" i="5"/>
  <c r="O61" i="5"/>
  <c r="O57" i="5"/>
  <c r="Q57" i="5" s="1"/>
  <c r="O53" i="5"/>
  <c r="Q53" i="5" s="1"/>
  <c r="O49" i="5"/>
  <c r="Q49" i="5" s="1"/>
  <c r="O45" i="5"/>
  <c r="Q45" i="5" s="1"/>
  <c r="O41" i="5"/>
  <c r="O37" i="5"/>
  <c r="Q37" i="5" s="1"/>
  <c r="O33" i="5"/>
  <c r="Q33" i="5" s="1"/>
  <c r="O29" i="5"/>
  <c r="O25" i="5"/>
  <c r="O21" i="5"/>
  <c r="O17" i="5"/>
  <c r="Q17" i="5" s="1"/>
  <c r="O13" i="5"/>
  <c r="O9" i="5"/>
  <c r="Q9" i="5" s="1"/>
  <c r="O5" i="5"/>
  <c r="Q5" i="5" s="1"/>
  <c r="H3" i="1"/>
  <c r="H2" i="1"/>
  <c r="H4" i="1"/>
  <c r="H5" i="1"/>
  <c r="G5" i="1"/>
  <c r="G4" i="1"/>
  <c r="G3" i="1"/>
  <c r="K6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A08B57-9BD7-45FA-BC28-1AD79606CF19}" keepAlive="1" name="Consulta - PUNTAJE" description="Conexión a la consulta 'PUNTAJE' en el libro." type="5" refreshedVersion="8" background="1" saveData="1">
    <dbPr connection="Provider=Microsoft.Mashup.OleDb.1;Data Source=$Workbook$;Location=PUNTAJE;Extended Properties=&quot;&quot;" command="SELECT * FROM [PUNTAJE]"/>
  </connection>
  <connection id="2" xr16:uid="{F5923058-6798-4747-9A29-14048E593408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3" xr16:uid="{913DD7F0-B11E-4D90-8927-865E5C66D680}" keepAlive="1" name="Consulta - Tabla2" description="Conexión a la consulta 'Tabla2' en el libro." type="5" refreshedVersion="8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<sst xmlns="http://schemas.openxmlformats.org/spreadsheetml/2006/main" count="3396" uniqueCount="190">
  <si>
    <t>EJECUCION DEL PLAN</t>
  </si>
  <si>
    <t>CIUDAD</t>
  </si>
  <si>
    <t>#PDV Obj.</t>
  </si>
  <si>
    <t>#PDV Eje.</t>
  </si>
  <si>
    <t>.% Ejecucion</t>
  </si>
  <si>
    <t>% Efectividad.</t>
  </si>
  <si>
    <t>CALI</t>
  </si>
  <si>
    <t>Total general</t>
  </si>
  <si>
    <t>MYSTERY POR CLUSTER</t>
  </si>
  <si>
    <t>Suma de % MYSTERY</t>
  </si>
  <si>
    <t>Etiquetas de columna</t>
  </si>
  <si>
    <t>CLUSTER</t>
  </si>
  <si>
    <t>MODERNO</t>
  </si>
  <si>
    <t>% MYSTERY</t>
  </si>
  <si>
    <t>HORARIO</t>
  </si>
  <si>
    <t>ACTIVIDADES DEL MES</t>
  </si>
  <si>
    <t>EJECUCION DEL PDV</t>
  </si>
  <si>
    <t>MYSTERY POR CLUSTER - CIUDAD</t>
  </si>
  <si>
    <t>MYSTERY POR PDV</t>
  </si>
  <si>
    <t>CANAL</t>
  </si>
  <si>
    <t>NOMBRE COMERCIAL</t>
  </si>
  <si>
    <t>ACTIVIDAD</t>
  </si>
  <si>
    <t>CADENA</t>
  </si>
  <si>
    <t>CODIGO PDV</t>
  </si>
  <si>
    <t>PREGUNTA</t>
  </si>
  <si>
    <t>FECHA VISITA</t>
  </si>
  <si>
    <t>CODIGO RUTA</t>
  </si>
  <si>
    <t>USUARIO</t>
  </si>
  <si>
    <t>MYSTERY EFECTIVO</t>
  </si>
  <si>
    <t>TOTAL PUNTAJE</t>
  </si>
  <si>
    <t>RTA CORRECTA</t>
  </si>
  <si>
    <t>PUNTAJE OBTENIDO</t>
  </si>
  <si>
    <t>NESTLE PURINA</t>
  </si>
  <si>
    <t>NO</t>
  </si>
  <si>
    <t>SI</t>
  </si>
  <si>
    <t/>
  </si>
  <si>
    <t>EL UNIFORME Y ZAPATOS SE ENCUENTRAN LIMPIOS Y EN BUEN ESTADO</t>
  </si>
  <si>
    <t>CUENTA CON PANTALON DEL UNIFORME SEGÚN EL CARGO (NEGRO / ROJO / TURQUESA / JEAN)</t>
  </si>
  <si>
    <t>CUENTA CON CALZADO DE ACUERDO AL UNIFORME</t>
  </si>
  <si>
    <t>USA ACCESORIOS QUE NO CUMPLE CON EL CODIGO DE VESTIMENTA</t>
  </si>
  <si>
    <t>TIENE UÑAS LLAMATIVAS Y/O LARGAS QUE NO CUMPLE CON EL CODIGO DE VESTIMENTA</t>
  </si>
  <si>
    <t>TIENE TATUAJES O PIERCINGS VISIBLES QUE NO CUMPLE CON EL CODIGO DE VESTIMENTA</t>
  </si>
  <si>
    <t>SU CABELLO LUCE LIMPIO, ORGANIZADO O RECOGIDO</t>
  </si>
  <si>
    <t>PRESENTA EXCESO DE MAQUILLAJE QUE NO CUMPLE CON EL CODIGO DE VESTIMENTA</t>
  </si>
  <si>
    <t>¿CUMPLE HORARIO DE ENTRADA O SALIDA DE LA TIENDA?</t>
  </si>
  <si>
    <t>VUM</t>
  </si>
  <si>
    <t>NOMBRE PDV</t>
  </si>
  <si>
    <t>Objetivo Mystery</t>
  </si>
  <si>
    <t>#PDV Objetivos</t>
  </si>
  <si>
    <t>#PDV Ejecutados</t>
  </si>
  <si>
    <t># Visitas</t>
  </si>
  <si>
    <t>Mystery Ejecutado</t>
  </si>
  <si>
    <t>ESPECIALIZADO</t>
  </si>
  <si>
    <t>BARRANQUILLA</t>
  </si>
  <si>
    <t>MEDELLIN</t>
  </si>
  <si>
    <t>TRADICIONAL</t>
  </si>
  <si>
    <t>REGIONAL</t>
  </si>
  <si>
    <t>SUBCADENA</t>
  </si>
  <si>
    <t>ZONA</t>
  </si>
  <si>
    <t>RV</t>
  </si>
  <si>
    <t>CODIGO EAN</t>
  </si>
  <si>
    <t>TIPO PUNTO VENTA</t>
  </si>
  <si>
    <t>CONSECUTIVO ENCUESTA</t>
  </si>
  <si>
    <t>NOMBRE ENCUESTA</t>
  </si>
  <si>
    <t>RESPUESTA</t>
  </si>
  <si>
    <t>CODIGO FOTO</t>
  </si>
  <si>
    <t>OBSERVACION</t>
  </si>
  <si>
    <t>FECHA INICIO VISITA</t>
  </si>
  <si>
    <t>FECHA CREACIÓN RESPUESTA</t>
  </si>
  <si>
    <t>CLIENTE</t>
  </si>
  <si>
    <t>CODIGO EXHIBICION</t>
  </si>
  <si>
    <t>NOMBRE EXHIBICION</t>
  </si>
  <si>
    <t>NOMBRE USUARIO</t>
  </si>
  <si>
    <t xml:space="preserve">NOMBRE SUPERVISOR </t>
  </si>
  <si>
    <t>USUARIO SUPERVISOR</t>
  </si>
  <si>
    <t>Mercadeo</t>
  </si>
  <si>
    <t>PRODUCTIVIDAD</t>
  </si>
  <si>
    <t>CAMILO MONTAÑO RESTREPO</t>
  </si>
  <si>
    <t>camilo.montano</t>
  </si>
  <si>
    <t>PESO</t>
  </si>
  <si>
    <t>N/A</t>
  </si>
  <si>
    <t>PRESENTACIÓN PERSONAL</t>
  </si>
  <si>
    <t>Cluster</t>
  </si>
  <si>
    <t>Peso Cluster</t>
  </si>
  <si>
    <t>TIPO</t>
  </si>
  <si>
    <t>UNICA</t>
  </si>
  <si>
    <t>SUPERETE</t>
  </si>
  <si>
    <t>SUPERETES</t>
  </si>
  <si>
    <t>Novedad</t>
  </si>
  <si>
    <t>CUENTA CON CAMISA DEL UNIFORME Y LOGOS SEGÚN EL CARGO (NEGRA / GRIS / ROJA / TURQUESA) (ES PERMITIDO USAR DEBAJO DE LA CAMISA BUSO MANGA LARGA NEGRO)</t>
  </si>
  <si>
    <t>EL LINEAL SE ENCUENTRA LIMPIO Y ORGANIZADO</t>
  </si>
  <si>
    <t>LOS PRODUCTOS TIENEN EL PRECIO Y ESTAN ACORDE O CORRESPONDIENTE A CADA REFERENCIA</t>
  </si>
  <si>
    <t>LOS PRODUCTOS ESTAN SURTIDOS DE ACUERDO A PEPS O FIFO (REVISAR TANTO PRODUCTO SECO COMO HUMEDO)</t>
  </si>
  <si>
    <t>CONOCE LOS INFALTABLES DEL PUNTO DE VENTA Y CUENTA CON EL MATERIAL DE APOYO (AYUDAVENTAS INFALTABLES)</t>
  </si>
  <si>
    <t>CONOCE Y TIENE SURTIDO DE ACUERDO A LA ESTRATEGIA DE EXHIBICIÓN (ETAPAS DE VIDA - SEGMENTACIÓN DE MARCAS)</t>
  </si>
  <si>
    <t>CUAL ES LA ESTRATEGIA DE EXHIBICIÓN PARA LAS MARCAS MAINSTRAIN (ALPO Y GATSY) DE PURINA Y PORQUE?</t>
  </si>
  <si>
    <t>CONOCE EL % DE PARTICIPACIÓN QUE TIENE EN EL PUNTO DE VENTA E INFORMA CUAL ES ESE %</t>
  </si>
  <si>
    <t>ABIERTA</t>
  </si>
  <si>
    <t>COSTA</t>
  </si>
  <si>
    <t>0</t>
  </si>
  <si>
    <t>1</t>
  </si>
  <si>
    <t>ANTIOQUIA</t>
  </si>
  <si>
    <t>PACIFICO</t>
  </si>
  <si>
    <t xml:space="preserve">User 7 </t>
  </si>
  <si>
    <t>NestleP.7</t>
  </si>
  <si>
    <t>Auditoria Eje.</t>
  </si>
  <si>
    <t>Obj Auditoria</t>
  </si>
  <si>
    <t>AGRO/PSHOP/VET</t>
  </si>
  <si>
    <t>191506</t>
  </si>
  <si>
    <t>DEGANADO NORTE</t>
  </si>
  <si>
    <t>Impulso</t>
  </si>
  <si>
    <t>GESTION AUDITORIA - Abril</t>
  </si>
  <si>
    <t>SE LOGRA REALIZAR LA AUDITORIA?</t>
  </si>
  <si>
    <t>24/04/2025 00:00:00</t>
  </si>
  <si>
    <t>24/04/2025 17:49:44</t>
  </si>
  <si>
    <t>24/04/2025 17:57:52</t>
  </si>
  <si>
    <t>26796192</t>
  </si>
  <si>
    <t>POSEE ALGUNA PRENDA ENCIMA DEL UNIFORME NO AUTORIZADA POR LA MARCA (UNICAMENTE ESTA PERMITIDO CHALECO DE SODIMAC Y EASY)</t>
  </si>
  <si>
    <t xml:space="preserve"> NO</t>
  </si>
  <si>
    <t>SELECCIONE EL CANAL DEL PDV AUDITADO?</t>
  </si>
  <si>
    <t xml:space="preserve"> ESPECIALIZADO</t>
  </si>
  <si>
    <t>PREGUNTAR POR LAS PRESENTACIONES DE PRO PLAN LIVE CLEAR, SI ESTA LA NUEVA PRESENTACIÓN (X 1KG Y X 3KG) ¿TIENE EL STICKER DE COMUNICACIÓN DE NUEVA GRAMAJE?</t>
  </si>
  <si>
    <t>ESTA IMPLEMENTADO LOS STICKER DE LA REDUCCIÓN DE PRECIOS EXCELLENT</t>
  </si>
  <si>
    <t>ESTA DISPONIBLE LA ACTIVIDAD DE "GANA AL INSTANTE", SE ECUENTRA EJECUTADA LA EXHIBICIÓN Y LOS OBSEQUIOS DISPONIBLES</t>
  </si>
  <si>
    <t>EXPLICA LA DINAMICA DE PARTICIPACIÓN EN "GANA AL INSTANTE"</t>
  </si>
  <si>
    <t>DESEA AÑADIR ALGUNA OBSERVACION / NOVEDAD CON LA AUDITORIA REALIZADA?</t>
  </si>
  <si>
    <t>INDEPENDIENTE</t>
  </si>
  <si>
    <t>127066</t>
  </si>
  <si>
    <t>MERCAFAMILIAR LAS PALMAS S.A.S.</t>
  </si>
  <si>
    <t>24/04/2025 17:59:09</t>
  </si>
  <si>
    <t>24/04/2025 18:02:01</t>
  </si>
  <si>
    <t>26796224</t>
  </si>
  <si>
    <t>INDIQUE NOVEDAD DE LA NO REALIZACION</t>
  </si>
  <si>
    <t xml:space="preserve">La supervisora informa que se realizo ayer el pdv y hoy estaba en Santander de quilichao la mercaderista la visita se realiza según malla horaria </t>
  </si>
  <si>
    <t>SODIMAC</t>
  </si>
  <si>
    <t>447656</t>
  </si>
  <si>
    <t>HOMECENTER CALI SUR</t>
  </si>
  <si>
    <t>26/04/2025 00:00:00</t>
  </si>
  <si>
    <t>26/04/2025 08:12:42</t>
  </si>
  <si>
    <t>26/04/2025 08:14:21</t>
  </si>
  <si>
    <t>26824020</t>
  </si>
  <si>
    <t>Me informan que la mercaderista esta de vacaciones se envia evidencia que se realizo la visita en el punto</t>
  </si>
  <si>
    <t>EXITO</t>
  </si>
  <si>
    <t>12034</t>
  </si>
  <si>
    <t>EXITO SAN BLAS BARRANQUILLA</t>
  </si>
  <si>
    <t>09/04/2025 00:00:00</t>
  </si>
  <si>
    <t>28/04/2025 14:06:51</t>
  </si>
  <si>
    <t>28/04/2025 14:07:31</t>
  </si>
  <si>
    <t>26831557</t>
  </si>
  <si>
    <t xml:space="preserve">User 5 </t>
  </si>
  <si>
    <t>NestleP.5</t>
  </si>
  <si>
    <t xml:space="preserve">No se encontró en pdv </t>
  </si>
  <si>
    <t>95330</t>
  </si>
  <si>
    <t>MEGATIENDAS EXPRESS UNICO BARRANQUILLA</t>
  </si>
  <si>
    <t>SAP993111</t>
  </si>
  <si>
    <t>12/04/2025 00:00:00</t>
  </si>
  <si>
    <t>28/04/2025 14:12:54</t>
  </si>
  <si>
    <t>28/04/2025 14:16:00</t>
  </si>
  <si>
    <t>26831621</t>
  </si>
  <si>
    <t>EN LA CADENA OLIMPICA CONOCE LA ACTIVIDAD DE MULTIPLEPRICING</t>
  </si>
  <si>
    <t>HAY MATERIAL POP IMPLEMENTADO DE LA ACTIVIDAD "HOY GANAS MAÑANA TAMBIEN"</t>
  </si>
  <si>
    <t>99639</t>
  </si>
  <si>
    <t>99639-SUPERMERCADO MERKOPOLIS</t>
  </si>
  <si>
    <t>29/04/2025 00:00:00</t>
  </si>
  <si>
    <t>29/04/2025 09:17:57</t>
  </si>
  <si>
    <t>29/04/2025 09:22:55</t>
  </si>
  <si>
    <t>26853795</t>
  </si>
  <si>
    <t xml:space="preserve">User 11 </t>
  </si>
  <si>
    <t>NestleP.11</t>
  </si>
  <si>
    <t xml:space="preserve"> TRADICIONAL</t>
  </si>
  <si>
    <t>CT - ESTA IMPLEMENTADA LA NUEVA ESTRATEGIA DE BAJA DE PRECIOS</t>
  </si>
  <si>
    <t>INDIQUE OBSERVACION / NOVEDAD EVIDENCIADA CON LA AUDITORIA REALIZADA</t>
  </si>
  <si>
    <t>Indica que la oferta son los paquetes pague 4 y lleve 5 o pague 5 lleve 6, no conoce otra oferta.</t>
  </si>
  <si>
    <t>https://drive.google.com/file/d/1jpj1knWADcj3TyEiz4MOT2u8pun9Fj-1/view</t>
  </si>
  <si>
    <t>https://drive.google.com/file/d/1jqzboOpbST_K0QE46A32TgWLVjm0Tluf/view</t>
  </si>
  <si>
    <t>https://drive.google.com/file/d/1Kz5mY0d5lFjmATrFtUyhxw0eLDq8kaco/view</t>
  </si>
  <si>
    <t>https://drive.google.com/file/d/1F7D2TcLY4Hx9ubXjFZxvzz3UegZkR232/view</t>
  </si>
  <si>
    <t>https://drive.google.com/file/d/1omMkPMyKphvS8OdeIQuF2ul12VHWAm4f/view</t>
  </si>
  <si>
    <t>https://drive.google.com/file/d/11kJDK0pOqzmGk_ZawWQ7DDJx9vAMTZuE/view</t>
  </si>
  <si>
    <t>https://drive.google.com/file/d/1N6lHtV_EYpvHUvNiTdl3ZOw_4QBUFe1E/view</t>
  </si>
  <si>
    <t>https://drive.google.com/file/d/1lE57LWPNIKFpvLWJHdWQNE-Xt25cNN2d/view</t>
  </si>
  <si>
    <t>No se encontró en pdv debido a que la persona se retrasó porque estaba realizando otra actividad en Olimpica 008</t>
  </si>
  <si>
    <t>No se encuentra el asesor en el pdv por lo cual no es posible realizar la auditoria</t>
  </si>
  <si>
    <t>Esta implementada la nueva estrategia de baja de precios
(Si el mercaderista informa que el PDV no lo permite implementar quedaria como N/A)</t>
  </si>
  <si>
    <t>Tiene resaltadas las referencias en el lineal la dinamica "IMPRESIONANTES DE GRUPO ÉXITO"</t>
  </si>
  <si>
    <t>Tiene conocimiento de los infaltables según el cluster del pdv</t>
  </si>
  <si>
    <t>Tiene conocimiento de las presentaciones de Pro Plan Live Clear, si esta la nueva presentación (x 1kg y x 3kg) ¿tiene el sticker de comunicación de nueva gramaje?</t>
  </si>
  <si>
    <t>Esta implementado los sticker de la reducción de precios Excellent (No aplica cuando el mercaderista informa que el PDV no ha hecho la reducción de precios).</t>
  </si>
  <si>
    <t>INDIQUE OBSERVACIÓN/NOVEDAD</t>
  </si>
  <si>
    <t>MODERNO, ESPECIALIZADO, TRADICIONAL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</si>
</sst>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\ * #,##0.00_-;\-&quot;$&quot;\ * #,##0.00_-;_-&quot;$&quot;\ * &quot;-&quot;??_-;_-@_-"/>
    <numFmt numFmtId="170" formatCode="0.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indexed="9"/>
      <name val="Aptos"/>
      <family val="2"/>
    </font>
    <font>
      <sz val="9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6"/>
      <color theme="1"/>
      <name val="Franklin Gothic Demi"/>
      <family val="2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8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8" borderId="2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/>
    </xf>
    <xf numFmtId="0" fontId="0" fillId="10" borderId="0" xfId="0" applyFill="1"/>
    <xf numFmtId="0" fontId="8" fillId="0" borderId="0" xfId="0" applyFont="1"/>
    <xf numFmtId="0" fontId="8" fillId="0" borderId="0" xfId="0" applyFont="1" applyAlignment="1">
      <alignment horizontal="left" vertical="center"/>
    </xf>
    <xf numFmtId="9" fontId="9" fillId="6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9" fontId="9" fillId="7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wrapText="1"/>
    </xf>
    <xf numFmtId="0" fontId="9" fillId="0" borderId="0" xfId="0" applyFont="1"/>
    <xf numFmtId="9" fontId="9" fillId="3" borderId="0" xfId="0" applyNumberFormat="1" applyFont="1" applyFill="1" applyAlignment="1">
      <alignment horizontal="center" vertical="center"/>
    </xf>
    <xf numFmtId="0" fontId="7" fillId="0" borderId="0" xfId="0" pivotButton="1" applyFont="1"/>
    <xf numFmtId="9" fontId="9" fillId="11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5" borderId="0" xfId="0" applyFill="1" applyAlignment="1">
      <alignment horizontal="center" vertical="center" wrapText="1"/>
    </xf>
    <xf numFmtId="0" fontId="7" fillId="0" borderId="0" xfId="0" pivotButton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0" fillId="0" borderId="1" xfId="0" applyBorder="1"/>
    <xf numFmtId="0" fontId="9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5" fillId="8" borderId="2" xfId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1" fontId="11" fillId="15" borderId="1" xfId="0" applyNumberFormat="1" applyFont="1" applyFill="1" applyBorder="1" applyAlignment="1">
      <alignment horizontal="center"/>
    </xf>
    <xf numFmtId="14" fontId="0" fillId="0" borderId="1" xfId="0" applyNumberFormat="1" applyBorder="1"/>
    <xf numFmtId="9" fontId="9" fillId="0" borderId="0" xfId="0" applyNumberFormat="1" applyFont="1" applyAlignment="1">
      <alignment horizontal="center" vertical="center"/>
    </xf>
    <xf numFmtId="0" fontId="9" fillId="1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9" fillId="0" borderId="0" xfId="0" applyFont="1" applyAlignment="1">
      <alignment horizontal="left" vertical="center"/>
    </xf>
    <xf numFmtId="1" fontId="10" fillId="13" borderId="1" xfId="0" applyNumberFormat="1" applyFont="1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9" fontId="9" fillId="0" borderId="1" xfId="3" applyFont="1" applyBorder="1" applyAlignment="1">
      <alignment horizontal="center" vertical="center"/>
    </xf>
    <xf numFmtId="44" fontId="9" fillId="0" borderId="0" xfId="2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9" fontId="11" fillId="15" borderId="4" xfId="3" applyFont="1" applyFill="1" applyBorder="1" applyAlignment="1">
      <alignment horizontal="center"/>
    </xf>
    <xf numFmtId="9" fontId="11" fillId="0" borderId="0" xfId="3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5" fillId="8" borderId="1" xfId="1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7" xfId="0" applyBorder="1"/>
    <xf numFmtId="0" fontId="0" fillId="0" borderId="2" xfId="0" applyBorder="1"/>
    <xf numFmtId="14" fontId="0" fillId="0" borderId="2" xfId="0" applyNumberFormat="1" applyBorder="1"/>
    <xf numFmtId="0" fontId="0" fillId="0" borderId="8" xfId="0" applyBorder="1"/>
    <xf numFmtId="0" fontId="10" fillId="14" borderId="1" xfId="0" applyFont="1" applyFill="1" applyBorder="1"/>
    <xf numFmtId="14" fontId="0" fillId="0" borderId="0" xfId="0" applyNumberFormat="1" applyAlignment="1">
      <alignment horizontal="right"/>
    </xf>
    <xf numFmtId="0" fontId="0" fillId="0" borderId="5" xfId="0" applyBorder="1"/>
    <xf numFmtId="0" fontId="0" fillId="0" borderId="9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22" fontId="0" fillId="0" borderId="0" xfId="0" applyNumberFormat="1"/>
    <xf numFmtId="0" fontId="6" fillId="0" borderId="1" xfId="1" applyFont="1" applyBorder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5" fillId="9" borderId="1" xfId="1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10" fillId="16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7" fillId="17" borderId="1" xfId="0" applyFont="1" applyFill="1" applyBorder="1"/>
    <xf numFmtId="0" fontId="7" fillId="0" borderId="1" xfId="0" applyFont="1" applyBorder="1"/>
    <xf numFmtId="0" fontId="12" fillId="0" borderId="1" xfId="4" applyBorder="1"/>
    <xf numFmtId="0" fontId="5" fillId="8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0" fontId="0" fillId="0" borderId="1" xfId="0" applyNumberFormat="1" applyBorder="1"/>
    <xf numFmtId="1" fontId="0" fillId="0" borderId="1" xfId="0" applyNumberFormat="1" applyBorder="1"/>
  </cellXfs>
  <cellStyles count="5">
    <cellStyle name="Hipervínculo" xfId="4" builtinId="8"/>
    <cellStyle name="Moneda" xfId="2" builtinId="4"/>
    <cellStyle name="Normal" xfId="0" builtinId="0"/>
    <cellStyle name="Normal 2" xfId="1" xr:uid="{4295055E-378D-4CC5-B2A4-84281D75DBBF}"/>
    <cellStyle name="Porcentaje" xfId="3" builtinId="5"/>
  </cellStyles>
  <dxfs count="2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27" formatCode="d/mm/yyyy\ h:mm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ill>
        <patternFill>
          <fgColor theme="6" tint="0.7999816888943144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 patternType="solid">
          <fgColor indexed="64"/>
          <bgColor rgb="FF00B050"/>
        </patternFill>
      </fill>
      <alignment horizontal="center" vertical="center"/>
    </dxf>
    <dxf>
      <numFmt numFmtId="13" formatCode="0%"/>
    </dxf>
    <dxf>
      <fill>
        <patternFill>
          <bgColor rgb="FF00B05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9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numFmt numFmtId="13" formatCode="0%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>
          <bgColor theme="5" tint="0.79998168889431442"/>
        </patternFill>
      </fill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vertical="center"/>
    </dxf>
    <dxf>
      <numFmt numFmtId="13" formatCode="0%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color auto="1"/>
      </font>
      <fill>
        <patternFill patternType="solid">
          <fgColor indexed="64"/>
          <bgColor theme="5" tint="0.79998168889431442"/>
        </patternFill>
      </fill>
    </dxf>
    <dxf>
      <alignment vertical="center"/>
    </dxf>
    <dxf>
      <alignment vertical="center"/>
    </dxf>
    <dxf>
      <alignment horizontal="general"/>
    </dxf>
    <dxf>
      <alignment horizontal="general"/>
    </dxf>
    <dxf>
      <fill>
        <patternFill patternType="solid">
          <bgColor theme="0" tint="-4.9989318521683403E-2"/>
        </patternFill>
      </fill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C000"/>
        </patternFill>
      </fill>
    </dxf>
    <dxf>
      <font>
        <color auto="1"/>
      </font>
    </dxf>
    <dxf>
      <fill>
        <patternFill patternType="solid">
          <bgColor theme="0" tint="-4.9989318521683403E-2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3" formatCode="0%"/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</dxfs>
  <tableStyles count="1" defaultTableStyle="TableStyleMedium2" defaultPivotStyle="PivotStyleLight16">
    <tableStyle name="Estilo de tabla dinámica 1" table="0" count="2" xr9:uid="{7CD1BCAD-EE2E-4FCA-9197-79EEB80D72C9}">
      <tableStyleElement type="headerRow" dxfId="208"/>
      <tableStyleElement type="totalRow" dxfId="207"/>
    </tableStyle>
  </tableStyles>
  <colors>
    <mruColors>
      <color rgb="FFFFF1C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-Abril 2025.xlsx]INFORME!TablaDinámica11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Resultados por cluster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F9ED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>
                <a:lumMod val="95000"/>
              </a:sysClr>
            </a:solidFill>
            <a:ln>
              <a:noFill/>
            </a:ln>
            <a:effectLst/>
          </c:spPr>
          <c:txPr>
            <a:bodyPr rot="-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INFORME!$E$14:$E$15</c:f>
              <c:strCache>
                <c:ptCount val="1"/>
                <c:pt idx="0">
                  <c:v>MODERNO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INFORME!$D$16:$D$20</c:f>
              <c:strCache>
                <c:ptCount val="4"/>
                <c:pt idx="0">
                  <c:v>HORARIO</c:v>
                </c:pt>
                <c:pt idx="1">
                  <c:v>EJECUCION DEL PDV</c:v>
                </c:pt>
                <c:pt idx="2">
                  <c:v>PRESENTACIÓN PERSONAL</c:v>
                </c:pt>
                <c:pt idx="3">
                  <c:v>ACTIVIDADES DEL MES</c:v>
                </c:pt>
              </c:strCache>
            </c:strRef>
          </c:cat>
          <c:val>
            <c:numRef>
              <c:f>INFORME!$E$16:$E$20</c:f>
              <c:numCache>
                <c:formatCode>0%</c:formatCode>
                <c:ptCount val="4"/>
                <c:pt idx="0">
                  <c:v>1</c:v>
                </c:pt>
                <c:pt idx="1">
                  <c:v>0.78499999999999992</c:v>
                </c:pt>
                <c:pt idx="2">
                  <c:v>0.5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INFORME!$F$14:$F$15</c:f>
              <c:strCache>
                <c:ptCount val="1"/>
                <c:pt idx="0">
                  <c:v>ESPECIALIZADO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INFORME!$D$16:$D$20</c:f>
              <c:strCache>
                <c:ptCount val="4"/>
                <c:pt idx="0">
                  <c:v>HORARIO</c:v>
                </c:pt>
                <c:pt idx="1">
                  <c:v>EJECUCION DEL PDV</c:v>
                </c:pt>
                <c:pt idx="2">
                  <c:v>PRESENTACIÓN PERSONAL</c:v>
                </c:pt>
                <c:pt idx="3">
                  <c:v>ACTIVIDADES DEL MES</c:v>
                </c:pt>
              </c:strCache>
            </c:strRef>
          </c:cat>
          <c:val>
            <c:numRef>
              <c:f>INFORME!$F$16:$F$20</c:f>
              <c:numCache>
                <c:formatCode>0%</c:formatCode>
                <c:ptCount val="4"/>
                <c:pt idx="0">
                  <c:v>1</c:v>
                </c:pt>
                <c:pt idx="1">
                  <c:v>0.85666666666666669</c:v>
                </c:pt>
                <c:pt idx="2">
                  <c:v>0.5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0-4B81-89AC-E4A64C8701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lrMapOvr bg1="lt1" tx1="dk1" bg2="lt2" tx2="dk2" accent1="accent1" accent2="accent2" accent3="accent3" accent4="accent4" accent5="accent5" accent6="accent6" hlink="hlink" folHlink="folHlink"/>
  <c:pivotSource>
    <c:name>[Informe Auditoria Purina -Abril 2025.xlsx]INFORME!TablaDinámica12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Resultados por cluster por Ciudad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9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0F0F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461557336823162E-2"/>
          <c:y val="0.20365704474085566"/>
          <c:w val="0.85598194782575221"/>
          <c:h val="0.61789224455855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INFORME!$E$27:$E$28</c:f>
              <c:strCache>
                <c:ptCount val="1"/>
                <c:pt idx="0">
                  <c:v>MEDELLIN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0F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INFORME!$D$29:$D$33</c:f>
              <c:strCache>
                <c:ptCount val="4"/>
                <c:pt idx="0">
                  <c:v>HORARIO</c:v>
                </c:pt>
                <c:pt idx="1">
                  <c:v>PRESENTACIÓN PERSONAL</c:v>
                </c:pt>
                <c:pt idx="2">
                  <c:v>EJECUCION DEL PDV</c:v>
                </c:pt>
                <c:pt idx="3">
                  <c:v>ACTIVIDADES DEL MES</c:v>
                </c:pt>
              </c:strCache>
            </c:strRef>
          </c:cat>
          <c:val>
            <c:numRef>
              <c:f>INFORME!$E$29:$E$33</c:f>
              <c:numCache>
                <c:formatCode>0%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0.56999999999999995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A-4BC2-9FB8-4879E930A982}"/>
            </c:ext>
          </c:extLst>
        </c:ser>
        <c:ser>
          <c:idx val="1"/>
          <c:order val="1"/>
          <c:tx>
            <c:strRef>
              <c:f>INFORME!$F$27:$F$28</c:f>
              <c:strCache>
                <c:ptCount val="1"/>
                <c:pt idx="0">
                  <c:v>BARRANQUILLA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INFORME!$D$29:$D$33</c:f>
              <c:strCache>
                <c:ptCount val="4"/>
                <c:pt idx="0">
                  <c:v>HORARIO</c:v>
                </c:pt>
                <c:pt idx="1">
                  <c:v>PRESENTACIÓN PERSONAL</c:v>
                </c:pt>
                <c:pt idx="2">
                  <c:v>EJECUCION DEL PDV</c:v>
                </c:pt>
                <c:pt idx="3">
                  <c:v>ACTIVIDADES DEL MES</c:v>
                </c:pt>
              </c:strCache>
            </c:strRef>
          </c:cat>
          <c:val>
            <c:numRef>
              <c:f>INFORME!$F$29:$F$33</c:f>
              <c:numCache>
                <c:formatCode>0%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1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46-4216-800D-1DE0B599D7E0}"/>
            </c:ext>
          </c:extLst>
        </c:ser>
        <c:ser>
          <c:idx val="2"/>
          <c:order val="2"/>
          <c:tx>
            <c:strRef>
              <c:f>INFORME!$G$27:$G$28</c:f>
              <c:strCache>
                <c:ptCount val="1"/>
                <c:pt idx="0">
                  <c:v>CALI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INFORME!$D$29:$D$33</c:f>
              <c:strCache>
                <c:ptCount val="4"/>
                <c:pt idx="0">
                  <c:v>HORARIO</c:v>
                </c:pt>
                <c:pt idx="1">
                  <c:v>PRESENTACIÓN PERSONAL</c:v>
                </c:pt>
                <c:pt idx="2">
                  <c:v>EJECUCION DEL PDV</c:v>
                </c:pt>
                <c:pt idx="3">
                  <c:v>ACTIVIDADES DEL MES</c:v>
                </c:pt>
              </c:strCache>
            </c:strRef>
          </c:cat>
          <c:val>
            <c:numRef>
              <c:f>INFORME!$G$29:$G$33</c:f>
              <c:numCache>
                <c:formatCode>0%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0.85666666666666669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46-4216-800D-1DE0B599D7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50912800"/>
        <c:axId val="2050913280"/>
      </c:barChart>
      <c:catAx>
        <c:axId val="205091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0913280"/>
        <c:crosses val="autoZero"/>
        <c:auto val="1"/>
        <c:lblAlgn val="ctr"/>
        <c:lblOffset val="100"/>
        <c:noMultiLvlLbl val="0"/>
      </c:catAx>
      <c:valAx>
        <c:axId val="20509132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5091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67233</xdr:rowOff>
    </xdr:from>
    <xdr:to>
      <xdr:col>13</xdr:col>
      <xdr:colOff>0</xdr:colOff>
      <xdr:row>5</xdr:row>
      <xdr:rowOff>97116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DFF3F2-6C69-9AFA-48CE-BBA38DD9A512}"/>
            </a:ext>
          </a:extLst>
        </xdr:cNvPr>
        <xdr:cNvSpPr txBox="1"/>
      </xdr:nvSpPr>
      <xdr:spPr>
        <a:xfrm>
          <a:off x="2017060" y="253998"/>
          <a:ext cx="2495176" cy="77694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800" b="1"/>
            <a:t>NESTLE F&amp;B</a:t>
          </a:r>
        </a:p>
        <a:p>
          <a:r>
            <a:rPr lang="es-CO" sz="1100"/>
            <a:t>INFORME MYSTERY SHOPPER </a:t>
          </a:r>
        </a:p>
        <a:p>
          <a:endParaRPr lang="es-CO" sz="200"/>
        </a:p>
        <a:p>
          <a:r>
            <a:rPr lang="es-CO" sz="1000" i="1"/>
            <a:t>24</a:t>
          </a:r>
          <a:r>
            <a:rPr lang="es-CO" sz="1000" i="1" baseline="0"/>
            <a:t> Agosto al 4 Septiembre </a:t>
          </a:r>
          <a:endParaRPr lang="es-CO" sz="1000" i="1"/>
        </a:p>
      </xdr:txBody>
    </xdr:sp>
    <xdr:clientData/>
  </xdr:twoCellAnchor>
  <xdr:twoCellAnchor>
    <xdr:from>
      <xdr:col>13</xdr:col>
      <xdr:colOff>0</xdr:colOff>
      <xdr:row>1</xdr:row>
      <xdr:rowOff>7468</xdr:rowOff>
    </xdr:from>
    <xdr:to>
      <xdr:col>13</xdr:col>
      <xdr:colOff>0</xdr:colOff>
      <xdr:row>5</xdr:row>
      <xdr:rowOff>179292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BA0075D-6610-9B93-DF97-FDD9D0641296}"/>
            </a:ext>
          </a:extLst>
        </xdr:cNvPr>
        <xdr:cNvSpPr/>
      </xdr:nvSpPr>
      <xdr:spPr>
        <a:xfrm>
          <a:off x="1837765" y="194233"/>
          <a:ext cx="52294" cy="918883"/>
        </a:xfrm>
        <a:prstGeom prst="rect">
          <a:avLst/>
        </a:prstGeom>
        <a:solidFill>
          <a:srgbClr val="99663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0</xdr:col>
      <xdr:colOff>97517</xdr:colOff>
      <xdr:row>1</xdr:row>
      <xdr:rowOff>15875</xdr:rowOff>
    </xdr:from>
    <xdr:to>
      <xdr:col>1</xdr:col>
      <xdr:colOff>141</xdr:colOff>
      <xdr:row>3</xdr:row>
      <xdr:rowOff>64827</xdr:rowOff>
    </xdr:to>
    <xdr:pic>
      <xdr:nvPicPr>
        <xdr:cNvPr id="5" name="Imagen 4" descr="Icono&#10;&#10;Descripción generada automáticamente">
          <a:extLst>
            <a:ext uri="{FF2B5EF4-FFF2-40B4-BE49-F238E27FC236}">
              <a16:creationId xmlns:a16="http://schemas.microsoft.com/office/drawing/2014/main" id="{9EF84222-501B-4BB1-BA5F-4C2951FE0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17" y="206375"/>
          <a:ext cx="2560659" cy="499802"/>
        </a:xfrm>
        <a:prstGeom prst="rect">
          <a:avLst/>
        </a:prstGeom>
      </xdr:spPr>
    </xdr:pic>
    <xdr:clientData/>
  </xdr:twoCellAnchor>
  <xdr:twoCellAnchor>
    <xdr:from>
      <xdr:col>8</xdr:col>
      <xdr:colOff>440190</xdr:colOff>
      <xdr:row>9</xdr:row>
      <xdr:rowOff>122162</xdr:rowOff>
    </xdr:from>
    <xdr:to>
      <xdr:col>15</xdr:col>
      <xdr:colOff>85726</xdr:colOff>
      <xdr:row>19</xdr:row>
      <xdr:rowOff>35229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84FFA-91C2-A047-EC7F-E35F34A60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254000</xdr:colOff>
      <xdr:row>5</xdr:row>
      <xdr:rowOff>1059</xdr:rowOff>
    </xdr:from>
    <xdr:to>
      <xdr:col>0</xdr:col>
      <xdr:colOff>2397125</xdr:colOff>
      <xdr:row>12</xdr:row>
      <xdr:rowOff>97971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CIUDAD">
              <a:extLst>
                <a:ext uri="{FF2B5EF4-FFF2-40B4-BE49-F238E27FC236}">
                  <a16:creationId xmlns:a16="http://schemas.microsoft.com/office/drawing/2014/main" id="{99DA9371-904D-B9CC-FEA2-A327FC85F7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825" y="982436"/>
              <a:ext cx="2146300" cy="9488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185056</xdr:colOff>
      <xdr:row>20</xdr:row>
      <xdr:rowOff>166008</xdr:rowOff>
    </xdr:from>
    <xdr:to>
      <xdr:col>0</xdr:col>
      <xdr:colOff>2372631</xdr:colOff>
      <xdr:row>29</xdr:row>
      <xdr:rowOff>9526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NOMBRE COMERCIAL">
              <a:extLst>
                <a:ext uri="{FF2B5EF4-FFF2-40B4-BE49-F238E27FC236}">
                  <a16:creationId xmlns:a16="http://schemas.microsoft.com/office/drawing/2014/main" id="{F50E9D89-339A-DBE7-56A8-7DFF3F5D911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COMERCI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056" y="4057651"/>
              <a:ext cx="2184400" cy="14260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195792</xdr:colOff>
      <xdr:row>13</xdr:row>
      <xdr:rowOff>12701</xdr:rowOff>
    </xdr:from>
    <xdr:to>
      <xdr:col>0</xdr:col>
      <xdr:colOff>2364317</xdr:colOff>
      <xdr:row>20</xdr:row>
      <xdr:rowOff>48683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CANAL">
              <a:extLst>
                <a:ext uri="{FF2B5EF4-FFF2-40B4-BE49-F238E27FC236}">
                  <a16:creationId xmlns:a16="http://schemas.microsoft.com/office/drawing/2014/main" id="{21B1F4BE-FFA0-8C57-5C13-DF2D003A25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967" y="2613026"/>
              <a:ext cx="2165350" cy="11281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476249</xdr:colOff>
      <xdr:row>21</xdr:row>
      <xdr:rowOff>107496</xdr:rowOff>
    </xdr:from>
    <xdr:to>
      <xdr:col>15</xdr:col>
      <xdr:colOff>67580</xdr:colOff>
      <xdr:row>33</xdr:row>
      <xdr:rowOff>74806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DCED173-A93D-4192-FE60-24A713D147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ie lorena Gomez Romero" refreshedDate="45776.651907638887" createdVersion="8" refreshedVersion="8" minRefreshableVersion="3" recordCount="6" xr:uid="{CF551015-06BD-4229-9B56-77016B602580}">
  <cacheSource type="worksheet">
    <worksheetSource name="Tabla1"/>
  </cacheSource>
  <cacheFields count="11">
    <cacheField name="CANAL" numFmtId="0">
      <sharedItems/>
    </cacheField>
    <cacheField name="CIUDAD" numFmtId="0">
      <sharedItems containsBlank="1" count="14">
        <s v="MEDELLIN"/>
        <s v="BARRANQUILLA"/>
        <s v="CALI"/>
        <s v="BOGOTA" u="1"/>
        <m u="1"/>
        <s v="ITAGUI" u="1"/>
        <s v="ENVIGADO" u="1"/>
        <s v="PALMIRA" u="1"/>
        <s v="PEREIRA" u="1"/>
        <s v="BUCARAMANGA" u="1"/>
        <s v="BELLO" u="1"/>
        <s v="CARTAGENA" u="1"/>
        <s v="SOACHA" u="1"/>
        <s v="CHIA" u="1"/>
      </sharedItems>
    </cacheField>
    <cacheField name="VUM" numFmtId="0">
      <sharedItems containsSemiMixedTypes="0" containsString="0" containsNumber="1" containsInteger="1" minValue="12034" maxValue="447656"/>
    </cacheField>
    <cacheField name="NOMBRE PDV" numFmtId="0">
      <sharedItems/>
    </cacheField>
    <cacheField name="Objetivo Mystery" numFmtId="0">
      <sharedItems containsSemiMixedTypes="0" containsString="0" containsNumber="1" containsInteger="1" minValue="1" maxValue="1"/>
    </cacheField>
    <cacheField name="#PDV Objetivos" numFmtId="0">
      <sharedItems containsSemiMixedTypes="0" containsString="0" containsNumber="1" containsInteger="1" minValue="1" maxValue="1"/>
    </cacheField>
    <cacheField name="#PDV Ejecutados" numFmtId="0">
      <sharedItems containsSemiMixedTypes="0" containsString="0" containsNumber="1" containsInteger="1" minValue="1" maxValue="1"/>
    </cacheField>
    <cacheField name="# Visitas" numFmtId="0">
      <sharedItems containsSemiMixedTypes="0" containsString="0" containsNumber="1" containsInteger="1" minValue="1" maxValue="1"/>
    </cacheField>
    <cacheField name="Mystery Ejecutado" numFmtId="0">
      <sharedItems containsSemiMixedTypes="0" containsString="0" containsNumber="1" containsInteger="1" minValue="0" maxValue="1"/>
    </cacheField>
    <cacheField name="% Ejecucion" numFmtId="0" formula="'#PDV Ejecutados'/'#PDV Objetivos'" databaseField="0"/>
    <cacheField name="% Efectividad" numFmtId="0" formula="'Mystery Ejecutado'/'Objetivo Mystery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ie lorena Gomez Romero" refreshedDate="45776.652269560182" createdVersion="8" refreshedVersion="8" minRefreshableVersion="3" recordCount="77" xr:uid="{7B4CA992-DBAA-4F8F-9F03-3093EDE609F3}">
  <cacheSource type="worksheet">
    <worksheetSource name="PUNTAJE"/>
  </cacheSource>
  <cacheFields count="18">
    <cacheField name="ACTIVIDAD" numFmtId="0">
      <sharedItems/>
    </cacheField>
    <cacheField name="CIUDAD" numFmtId="0">
      <sharedItems count="3">
        <s v="CALI"/>
        <s v="BARRANQUILLA"/>
        <s v="MEDELLIN"/>
      </sharedItems>
    </cacheField>
    <cacheField name="CANAL" numFmtId="0">
      <sharedItems count="3">
        <s v="ESPECIALIZADO"/>
        <s v="TRADICIONAL"/>
        <s v="MODERNO"/>
      </sharedItems>
    </cacheField>
    <cacheField name="CADENA" numFmtId="0">
      <sharedItems/>
    </cacheField>
    <cacheField name="CODIGO PDV" numFmtId="0">
      <sharedItems/>
    </cacheField>
    <cacheField name="NOMBRE COMERCIAL" numFmtId="0">
      <sharedItems count="10">
        <s v="DEGANADO NORTE"/>
        <s v="MERCAFAMILIAR LAS PALMAS S.A.S."/>
        <s v="HOMECENTER CALI SUR"/>
        <s v="EXITO SAN BLAS BARRANQUILLA"/>
        <s v="MEGATIENDAS EXPRESS UNICO BARRANQUILLA"/>
        <s v="99639-SUPERMERCADO MERKOPOLIS"/>
        <s v="DISTRIBUCIONES MILENA" u="1"/>
        <s v="SUPERMERCADO MAXIFRUVER PREMIUM" u="1"/>
        <s v="LA CASA DE LOS TENDEROS" u="1"/>
        <s v="OLIMPICA STO 053 PORTAL DEL PRADO" u="1"/>
      </sharedItems>
    </cacheField>
    <cacheField name="PREGUNTA" numFmtId="0">
      <sharedItems/>
    </cacheField>
    <cacheField name="NOMBRE ENCUESTA" numFmtId="0">
      <sharedItems/>
    </cacheField>
    <cacheField name="RESPUESTA" numFmtId="0">
      <sharedItems/>
    </cacheField>
    <cacheField name="FECHA VISITA" numFmtId="14">
      <sharedItems containsSemiMixedTypes="0" containsNonDate="0" containsDate="1" containsString="0" minDate="2025-04-09T00:00:00" maxDate="2025-04-30T00:00:00"/>
    </cacheField>
    <cacheField name="CODIGO RUTA" numFmtId="0">
      <sharedItems containsSemiMixedTypes="0" containsString="0" containsNumber="1" containsInteger="1" minValue="26796192" maxValue="26853795"/>
    </cacheField>
    <cacheField name="USUARIO" numFmtId="0">
      <sharedItems/>
    </cacheField>
    <cacheField name="MYSTERY EFECTIVO" numFmtId="0">
      <sharedItems count="2">
        <s v="SI"/>
        <s v="NO"/>
      </sharedItems>
    </cacheField>
    <cacheField name="CLUSTER" numFmtId="0">
      <sharedItems count="5">
        <s v="N/A"/>
        <s v="HORARIO"/>
        <s v="PRESENTACIÓN PERSONAL"/>
        <s v="EJECUCION DEL PDV"/>
        <s v="ACTIVIDADES DEL MES"/>
      </sharedItems>
    </cacheField>
    <cacheField name="TOTAL PUNTAJE" numFmtId="0">
      <sharedItems containsSemiMixedTypes="0" containsString="0" containsNumber="1" minValue="0" maxValue="20"/>
    </cacheField>
    <cacheField name="RTA CORRECTA" numFmtId="0">
      <sharedItems containsMixedTypes="1" containsNumber="1" containsInteger="1" minValue="0" maxValue="0"/>
    </cacheField>
    <cacheField name="PUNTAJE OBTENIDO" numFmtId="0">
      <sharedItems containsSemiMixedTypes="0" containsString="0" containsNumber="1" minValue="0" maxValue="20"/>
    </cacheField>
    <cacheField name="% MYSTERY" numFmtId="0" formula="'PUNTAJE OBTENIDO'/'TOTAL PUNTAJE'" databaseField="0"/>
  </cacheFields>
  <extLst>
    <ext xmlns:x14="http://schemas.microsoft.com/office/spreadsheetml/2009/9/main" uri="{725AE2AE-9491-48be-B2B4-4EB974FC3084}">
      <x14:pivotCacheDefinition pivotCacheId="3338664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MODERNO"/>
    <x v="0"/>
    <n v="99639"/>
    <s v="99639-SUPERMERCADO MERKOPOLIS"/>
    <n v="1"/>
    <n v="1"/>
    <n v="1"/>
    <n v="1"/>
    <n v="1"/>
  </r>
  <r>
    <s v="MODERNO"/>
    <x v="1"/>
    <n v="12034"/>
    <s v="EXITO SAN BLAS BARRANQUILLA"/>
    <n v="1"/>
    <n v="1"/>
    <n v="1"/>
    <n v="1"/>
    <n v="0"/>
  </r>
  <r>
    <s v="MODERNO"/>
    <x v="1"/>
    <n v="95330"/>
    <s v="MEGATIENDAS EXPRESS UNICO BARRANQUILLA"/>
    <n v="1"/>
    <n v="1"/>
    <n v="1"/>
    <n v="1"/>
    <n v="1"/>
  </r>
  <r>
    <s v="ESPECIALIZADO"/>
    <x v="2"/>
    <n v="191506"/>
    <s v="DEGANADO NORTE"/>
    <n v="1"/>
    <n v="1"/>
    <n v="1"/>
    <n v="1"/>
    <n v="1"/>
  </r>
  <r>
    <s v="MODERNO"/>
    <x v="2"/>
    <n v="447656"/>
    <s v="HOMECENTER CALI SUR"/>
    <n v="1"/>
    <n v="1"/>
    <n v="1"/>
    <n v="1"/>
    <n v="0"/>
  </r>
  <r>
    <s v="TRADICIONAL"/>
    <x v="2"/>
    <n v="127066"/>
    <s v="MERCAFAMILIAR LAS PALMAS S.A.S."/>
    <n v="1"/>
    <n v="1"/>
    <n v="1"/>
    <n v="1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NESTLE PURINA"/>
    <x v="0"/>
    <x v="0"/>
    <s v="AGRO/PSHOP/VET"/>
    <s v="191506"/>
    <x v="0"/>
    <s v="SE LOGRA REALIZAR LA AUDITORIA?"/>
    <s v="GESTION AUDITORIA - Abril"/>
    <s v="SI"/>
    <d v="2025-04-24T00:00:00"/>
    <n v="26796192"/>
    <s v="NestleP.7"/>
    <x v="0"/>
    <x v="0"/>
    <n v="0"/>
    <s v="SI"/>
    <n v="0"/>
  </r>
  <r>
    <s v="NESTLE PURINA"/>
    <x v="0"/>
    <x v="0"/>
    <s v="AGRO/PSHOP/VET"/>
    <s v="191506"/>
    <x v="0"/>
    <s v="¿CUMPLE HORARIO DE ENTRADA O SALIDA DE LA TIENDA?"/>
    <s v="GESTION AUDITORIA - Abril"/>
    <s v="SI"/>
    <d v="2025-04-24T00:00:00"/>
    <n v="26796192"/>
    <s v="NestleP.7"/>
    <x v="0"/>
    <x v="1"/>
    <n v="20"/>
    <s v="SI"/>
    <n v="20"/>
  </r>
  <r>
    <s v="NESTLE PURINA"/>
    <x v="0"/>
    <x v="0"/>
    <s v="AGRO/PSHOP/VET"/>
    <s v="191506"/>
    <x v="0"/>
    <s v="CUENTA CON PANTALON DEL UNIFORME SEGÚN EL CARGO (NEGRO / ROJO / TURQUESA / JEAN)"/>
    <s v="GESTION AUDITORIA - Abril"/>
    <s v="SI"/>
    <d v="2025-04-24T00:00:00"/>
    <n v="26796192"/>
    <s v="NestleP.7"/>
    <x v="0"/>
    <x v="2"/>
    <n v="1"/>
    <s v="SI"/>
    <n v="1"/>
  </r>
  <r>
    <s v="NESTLE PURINA"/>
    <x v="0"/>
    <x v="0"/>
    <s v="AGRO/PSHOP/VET"/>
    <s v="191506"/>
    <x v="0"/>
    <s v="CUENTA CON CAMISA DEL UNIFORME Y LOGOS SEGÚN EL CARGO (NEGRA / GRIS / ROJA / TURQUESA) (ES PERMITIDO USAR DEBAJO DE LA CAMISA BUSO MANGA LARGA NEGRO)"/>
    <s v="GESTION AUDITORIA - Abril"/>
    <s v="SI"/>
    <d v="2025-04-24T00:00:00"/>
    <n v="26796192"/>
    <s v="NestleP.7"/>
    <x v="0"/>
    <x v="2"/>
    <n v="1"/>
    <s v="SI"/>
    <n v="1"/>
  </r>
  <r>
    <s v="NESTLE PURINA"/>
    <x v="0"/>
    <x v="0"/>
    <s v="AGRO/PSHOP/VET"/>
    <s v="191506"/>
    <x v="0"/>
    <s v="CUENTA CON CALZADO DE ACUERDO AL UNIFORME"/>
    <s v="GESTION AUDITORIA - Abril"/>
    <s v="SI"/>
    <d v="2025-04-24T00:00:00"/>
    <n v="26796192"/>
    <s v="NestleP.7"/>
    <x v="0"/>
    <x v="2"/>
    <n v="1"/>
    <s v="SI"/>
    <n v="1"/>
  </r>
  <r>
    <s v="NESTLE PURINA"/>
    <x v="0"/>
    <x v="0"/>
    <s v="AGRO/PSHOP/VET"/>
    <s v="191506"/>
    <x v="0"/>
    <s v="POSEE ALGUNA PRENDA ENCIMA DEL UNIFORME NO AUTORIZADA POR LA MARCA (UNICAMENTE ESTA PERMITIDO CHALECO DE SODIMAC Y EASY)"/>
    <s v="GESTION AUDITORIA - Abril"/>
    <s v=" NO"/>
    <d v="2025-04-24T00:00:00"/>
    <n v="26796192"/>
    <s v="NestleP.7"/>
    <x v="0"/>
    <x v="2"/>
    <n v="1"/>
    <s v="NO"/>
    <n v="0"/>
  </r>
  <r>
    <s v="NESTLE PURINA"/>
    <x v="0"/>
    <x v="0"/>
    <s v="AGRO/PSHOP/VET"/>
    <s v="191506"/>
    <x v="0"/>
    <s v="EL UNIFORME Y ZAPATOS SE ENCUENTRAN LIMPIOS Y EN BUEN ESTADO"/>
    <s v="GESTION AUDITORIA - Abril"/>
    <s v="SI"/>
    <d v="2025-04-24T00:00:00"/>
    <n v="26796192"/>
    <s v="NestleP.7"/>
    <x v="0"/>
    <x v="2"/>
    <n v="1"/>
    <s v="SI"/>
    <n v="1"/>
  </r>
  <r>
    <s v="NESTLE PURINA"/>
    <x v="0"/>
    <x v="0"/>
    <s v="AGRO/PSHOP/VET"/>
    <s v="191506"/>
    <x v="0"/>
    <s v="SU CABELLO LUCE LIMPIO, ORGANIZADO O RECOGIDO"/>
    <s v="GESTION AUDITORIA - Abril"/>
    <s v="SI"/>
    <d v="2025-04-24T00:00:00"/>
    <n v="26796192"/>
    <s v="NestleP.7"/>
    <x v="0"/>
    <x v="2"/>
    <n v="1"/>
    <s v="SI"/>
    <n v="1"/>
  </r>
  <r>
    <s v="NESTLE PURINA"/>
    <x v="0"/>
    <x v="0"/>
    <s v="AGRO/PSHOP/VET"/>
    <s v="191506"/>
    <x v="0"/>
    <s v="PRESENTA EXCESO DE MAQUILLAJE QUE NO CUMPLE CON EL CODIGO DE VESTIMENTA"/>
    <s v="GESTION AUDITORIA - Abril"/>
    <s v=" NO"/>
    <d v="2025-04-24T00:00:00"/>
    <n v="26796192"/>
    <s v="NestleP.7"/>
    <x v="0"/>
    <x v="2"/>
    <n v="1"/>
    <s v="NO"/>
    <n v="0"/>
  </r>
  <r>
    <s v="NESTLE PURINA"/>
    <x v="0"/>
    <x v="0"/>
    <s v="AGRO/PSHOP/VET"/>
    <s v="191506"/>
    <x v="0"/>
    <s v="TIENE TATUAJES O PIERCINGS VISIBLES QUE NO CUMPLE CON EL CODIGO DE VESTIMENTA"/>
    <s v="GESTION AUDITORIA - Abril"/>
    <s v=" NO"/>
    <d v="2025-04-24T00:00:00"/>
    <n v="26796192"/>
    <s v="NestleP.7"/>
    <x v="0"/>
    <x v="2"/>
    <n v="1"/>
    <s v="NO"/>
    <n v="0"/>
  </r>
  <r>
    <s v="NESTLE PURINA"/>
    <x v="0"/>
    <x v="0"/>
    <s v="AGRO/PSHOP/VET"/>
    <s v="191506"/>
    <x v="0"/>
    <s v="TIENE UÑAS LLAMATIVAS Y/O LARGAS QUE NO CUMPLE CON EL CODIGO DE VESTIMENTA"/>
    <s v="GESTION AUDITORIA - Abril"/>
    <s v=" NO"/>
    <d v="2025-04-24T00:00:00"/>
    <n v="26796192"/>
    <s v="NestleP.7"/>
    <x v="0"/>
    <x v="2"/>
    <n v="1"/>
    <s v="NO"/>
    <n v="0"/>
  </r>
  <r>
    <s v="NESTLE PURINA"/>
    <x v="0"/>
    <x v="0"/>
    <s v="AGRO/PSHOP/VET"/>
    <s v="191506"/>
    <x v="0"/>
    <s v="USA ACCESORIOS QUE NO CUMPLE CON EL CODIGO DE VESTIMENTA"/>
    <s v="GESTION AUDITORIA - Abril"/>
    <s v=" NO"/>
    <d v="2025-04-24T00:00:00"/>
    <n v="26796192"/>
    <s v="NestleP.7"/>
    <x v="0"/>
    <x v="2"/>
    <n v="1"/>
    <s v="NO"/>
    <n v="0"/>
  </r>
  <r>
    <s v="NESTLE PURINA"/>
    <x v="0"/>
    <x v="0"/>
    <s v="AGRO/PSHOP/VET"/>
    <s v="191506"/>
    <x v="0"/>
    <s v="EL LINEAL SE ENCUENTRA LIMPIO Y ORGANIZADO"/>
    <s v="GESTION AUDITORIA - Abril"/>
    <s v="SI"/>
    <d v="2025-04-24T00:00:00"/>
    <n v="26796192"/>
    <s v="NestleP.7"/>
    <x v="0"/>
    <x v="3"/>
    <n v="4.2"/>
    <s v="SI"/>
    <n v="4.2"/>
  </r>
  <r>
    <s v="NESTLE PURINA"/>
    <x v="0"/>
    <x v="0"/>
    <s v="AGRO/PSHOP/VET"/>
    <s v="191506"/>
    <x v="0"/>
    <s v="LOS PRODUCTOS TIENEN EL PRECIO Y ESTAN ACORDE O CORRESPONDIENTE A CADA REFERENCIA"/>
    <s v="GESTION AUDITORIA - Abril"/>
    <s v=" NO"/>
    <d v="2025-04-24T00:00:00"/>
    <n v="26796192"/>
    <s v="NestleP.7"/>
    <x v="0"/>
    <x v="3"/>
    <n v="4.3"/>
    <s v="SI"/>
    <n v="0"/>
  </r>
  <r>
    <s v="NESTLE PURINA"/>
    <x v="0"/>
    <x v="0"/>
    <s v="AGRO/PSHOP/VET"/>
    <s v="191506"/>
    <x v="0"/>
    <s v="LOS PRODUCTOS ESTAN SURTIDOS DE ACUERDO A PEPS O FIFO (REVISAR TANTO PRODUCTO SECO COMO HUMEDO)"/>
    <s v="GESTION AUDITORIA - Abril"/>
    <s v="SI"/>
    <d v="2025-04-24T00:00:00"/>
    <n v="26796192"/>
    <s v="NestleP.7"/>
    <x v="0"/>
    <x v="3"/>
    <n v="4.3"/>
    <s v="SI"/>
    <n v="4.3"/>
  </r>
  <r>
    <s v="NESTLE PURINA"/>
    <x v="0"/>
    <x v="0"/>
    <s v="AGRO/PSHOP/VET"/>
    <s v="191506"/>
    <x v="0"/>
    <s v="CONOCE LOS INFALTABLES DEL PUNTO DE VENTA Y CUENTA CON EL MATERIAL DE APOYO (AYUDAVENTAS INFALTABLES)"/>
    <s v="GESTION AUDITORIA - Abril"/>
    <s v="SI"/>
    <d v="2025-04-24T00:00:00"/>
    <n v="26796192"/>
    <s v="NestleP.7"/>
    <x v="0"/>
    <x v="3"/>
    <n v="4.3"/>
    <s v="SI"/>
    <n v="4.3"/>
  </r>
  <r>
    <s v="NESTLE PURINA"/>
    <x v="0"/>
    <x v="0"/>
    <s v="AGRO/PSHOP/VET"/>
    <s v="191506"/>
    <x v="0"/>
    <s v="CONOCE Y TIENE SURTIDO DE ACUERDO A LA ESTRATEGIA DE EXHIBICIÓN (ETAPAS DE VIDA - SEGMENTACIÓN DE MARCAS)"/>
    <s v="GESTION AUDITORIA - Abril"/>
    <s v="SI"/>
    <d v="2025-04-24T00:00:00"/>
    <n v="26796192"/>
    <s v="NestleP.7"/>
    <x v="0"/>
    <x v="3"/>
    <n v="4.3"/>
    <s v="SI"/>
    <n v="4.3"/>
  </r>
  <r>
    <s v="NESTLE PURINA"/>
    <x v="0"/>
    <x v="0"/>
    <s v="AGRO/PSHOP/VET"/>
    <s v="191506"/>
    <x v="0"/>
    <s v="CUAL ES LA ESTRATEGIA DE EXHIBICIÓN PARA LAS MARCAS MAINSTRAIN (ALPO Y GATSY) DE PURINA Y PORQUE?"/>
    <s v="GESTION AUDITORIA - Abril"/>
    <s v="SI"/>
    <d v="2025-04-24T00:00:00"/>
    <n v="26796192"/>
    <s v="NestleP.7"/>
    <x v="0"/>
    <x v="3"/>
    <n v="4.3"/>
    <s v="SI"/>
    <n v="4.3"/>
  </r>
  <r>
    <s v="NESTLE PURINA"/>
    <x v="0"/>
    <x v="0"/>
    <s v="AGRO/PSHOP/VET"/>
    <s v="191506"/>
    <x v="0"/>
    <s v="CONOCE EL % DE PARTICIPACIÓN QUE TIENE EN EL PUNTO DE VENTA E INFORMA CUAL ES ESE %"/>
    <s v="GESTION AUDITORIA - Abril"/>
    <s v="SI"/>
    <d v="2025-04-24T00:00:00"/>
    <n v="26796192"/>
    <s v="NestleP.7"/>
    <x v="0"/>
    <x v="3"/>
    <n v="4.3"/>
    <s v="SI"/>
    <n v="4.3"/>
  </r>
  <r>
    <s v="NESTLE PURINA"/>
    <x v="0"/>
    <x v="0"/>
    <s v="AGRO/PSHOP/VET"/>
    <s v="191506"/>
    <x v="0"/>
    <s v="SELECCIONE EL CANAL DEL PDV AUDITADO?"/>
    <s v="GESTION AUDITORIA - Abril"/>
    <s v=" ESPECIALIZADO"/>
    <d v="2025-04-24T00:00:00"/>
    <n v="26796192"/>
    <s v="NestleP.7"/>
    <x v="0"/>
    <x v="0"/>
    <n v="0"/>
    <s v="CANAL  MODERNO, CANAL ESPECIALIZADO"/>
    <n v="0"/>
  </r>
  <r>
    <s v="NESTLE PURINA"/>
    <x v="0"/>
    <x v="0"/>
    <s v="AGRO/PSHOP/VET"/>
    <s v="191506"/>
    <x v="0"/>
    <s v="PREGUNTAR POR LAS PRESENTACIONES DE PRO PLAN LIVE CLEAR, SI ESTA LA NUEVA PRESENTACIÓN (X 1KG Y X 3KG) ¿TIENE EL STICKER DE COMUNICACIÓN DE NUEVA GRAMAJE?"/>
    <s v="GESTION AUDITORIA - Abril"/>
    <s v="SI"/>
    <d v="2025-04-24T00:00:00"/>
    <n v="26796192"/>
    <s v="NestleP.7"/>
    <x v="0"/>
    <x v="4"/>
    <n v="0"/>
    <s v="SI"/>
    <n v="0"/>
  </r>
  <r>
    <s v="NESTLE PURINA"/>
    <x v="0"/>
    <x v="0"/>
    <s v="AGRO/PSHOP/VET"/>
    <s v="191506"/>
    <x v="0"/>
    <s v="ESTA IMPLEMENTADO LOS STICKER DE LA REDUCCIÓN DE PRECIOS EXCELLENT"/>
    <s v="GESTION AUDITORIA - Abril"/>
    <s v="SI"/>
    <d v="2025-04-24T00:00:00"/>
    <n v="26796192"/>
    <s v="NestleP.7"/>
    <x v="0"/>
    <x v="4"/>
    <n v="0"/>
    <s v="SI"/>
    <n v="0"/>
  </r>
  <r>
    <s v="NESTLE PURINA"/>
    <x v="0"/>
    <x v="0"/>
    <s v="AGRO/PSHOP/VET"/>
    <s v="191506"/>
    <x v="0"/>
    <s v="ESTA DISPONIBLE LA ACTIVIDAD DE &quot;GANA AL INSTANTE&quot;, SE ECUENTRA EJECUTADA LA EXHIBICIÓN Y LOS OBSEQUIOS DISPONIBLES"/>
    <s v="GESTION AUDITORIA - Abril"/>
    <s v=" NO"/>
    <d v="2025-04-24T00:00:00"/>
    <n v="26796192"/>
    <s v="NestleP.7"/>
    <x v="0"/>
    <x v="4"/>
    <n v="0"/>
    <s v="SI"/>
    <n v="0"/>
  </r>
  <r>
    <s v="NESTLE PURINA"/>
    <x v="0"/>
    <x v="0"/>
    <s v="AGRO/PSHOP/VET"/>
    <s v="191506"/>
    <x v="0"/>
    <s v="EXPLICA LA DINAMICA DE PARTICIPACIÓN EN &quot;GANA AL INSTANTE&quot;"/>
    <s v="GESTION AUDITORIA - Abril"/>
    <s v=" NO"/>
    <d v="2025-04-24T00:00:00"/>
    <n v="26796192"/>
    <s v="NestleP.7"/>
    <x v="0"/>
    <x v="4"/>
    <n v="13.4"/>
    <s v="SI"/>
    <n v="0"/>
  </r>
  <r>
    <s v="NESTLE PURINA"/>
    <x v="0"/>
    <x v="0"/>
    <s v="AGRO/PSHOP/VET"/>
    <s v="191506"/>
    <x v="0"/>
    <s v="DESEA AÑADIR ALGUNA OBSERVACION / NOVEDAD CON LA AUDITORIA REALIZADA?"/>
    <s v="GESTION AUDITORIA - Abril"/>
    <s v=" NO"/>
    <d v="2025-04-24T00:00:00"/>
    <n v="26796192"/>
    <s v="NestleP.7"/>
    <x v="0"/>
    <x v="4"/>
    <n v="13.3"/>
    <n v="0"/>
    <n v="0"/>
  </r>
  <r>
    <s v="NESTLE PURINA"/>
    <x v="0"/>
    <x v="1"/>
    <s v="MODERNO"/>
    <s v="127066"/>
    <x v="1"/>
    <s v="SE LOGRA REALIZAR LA AUDITORIA?"/>
    <s v="GESTION AUDITORIA - Abril"/>
    <s v=" NO"/>
    <d v="2025-04-24T00:00:00"/>
    <n v="26796224"/>
    <s v="NestleP.7"/>
    <x v="1"/>
    <x v="0"/>
    <n v="0"/>
    <s v="SI"/>
    <n v="0"/>
  </r>
  <r>
    <s v="NESTLE PURINA"/>
    <x v="0"/>
    <x v="1"/>
    <s v="MODERNO"/>
    <s v="127066"/>
    <x v="1"/>
    <s v="INDIQUE NOVEDAD DE LA NO REALIZACION"/>
    <s v="GESTION AUDITORIA - Abril"/>
    <s v="La supervisora informa que se realizo ayer el pdv y hoy estaba en Santander de quilichao la mercaderista la visita se realiza según malla horaria "/>
    <d v="2025-04-24T00:00:00"/>
    <n v="26796224"/>
    <s v="NestleP.7"/>
    <x v="1"/>
    <x v="0"/>
    <n v="0"/>
    <n v="0"/>
    <n v="0"/>
  </r>
  <r>
    <s v="NESTLE PURINA"/>
    <x v="0"/>
    <x v="2"/>
    <s v="SODIMAC"/>
    <s v="447656"/>
    <x v="2"/>
    <s v="SE LOGRA REALIZAR LA AUDITORIA?"/>
    <s v="GESTION AUDITORIA - Abril"/>
    <s v=" NO"/>
    <d v="2025-04-26T00:00:00"/>
    <n v="26824020"/>
    <s v="NestleP.7"/>
    <x v="1"/>
    <x v="0"/>
    <n v="0"/>
    <s v="SI"/>
    <n v="0"/>
  </r>
  <r>
    <s v="NESTLE PURINA"/>
    <x v="0"/>
    <x v="2"/>
    <s v="SODIMAC"/>
    <s v="447656"/>
    <x v="2"/>
    <s v="INDIQUE NOVEDAD DE LA NO REALIZACION"/>
    <s v="GESTION AUDITORIA - Abril"/>
    <s v="Me informan que la mercaderista esta de vacaciones se envia evidencia que se realizo la visita en el punto"/>
    <d v="2025-04-26T00:00:00"/>
    <n v="26824020"/>
    <s v="NestleP.7"/>
    <x v="1"/>
    <x v="0"/>
    <n v="0"/>
    <n v="0"/>
    <n v="0"/>
  </r>
  <r>
    <s v="NESTLE PURINA"/>
    <x v="1"/>
    <x v="2"/>
    <s v="EXITO"/>
    <s v="12034"/>
    <x v="3"/>
    <s v="SE LOGRA REALIZAR LA AUDITORIA?"/>
    <s v="GESTION AUDITORIA - Abril"/>
    <s v=" NO"/>
    <d v="2025-04-09T00:00:00"/>
    <n v="26831557"/>
    <s v="NestleP.5"/>
    <x v="1"/>
    <x v="0"/>
    <n v="0"/>
    <s v="SI"/>
    <n v="0"/>
  </r>
  <r>
    <s v="NESTLE PURINA"/>
    <x v="1"/>
    <x v="2"/>
    <s v="EXITO"/>
    <s v="12034"/>
    <x v="3"/>
    <s v="INDIQUE NOVEDAD DE LA NO REALIZACION"/>
    <s v="GESTION AUDITORIA - Abril"/>
    <s v="No se encontró en pdv "/>
    <d v="2025-04-09T00:00:00"/>
    <n v="26831557"/>
    <s v="NestleP.5"/>
    <x v="1"/>
    <x v="0"/>
    <n v="0"/>
    <n v="0"/>
    <n v="0"/>
  </r>
  <r>
    <s v="NESTLE PURINA"/>
    <x v="1"/>
    <x v="2"/>
    <s v="SUPERETE"/>
    <s v="95330"/>
    <x v="4"/>
    <s v="SE LOGRA REALIZAR LA AUDITORIA?"/>
    <s v="GESTION AUDITORIA - Abril"/>
    <s v="SI"/>
    <d v="2025-04-12T00:00:00"/>
    <n v="26831621"/>
    <s v="NestleP.5"/>
    <x v="0"/>
    <x v="0"/>
    <n v="0"/>
    <s v="SI"/>
    <n v="0"/>
  </r>
  <r>
    <s v="NESTLE PURINA"/>
    <x v="1"/>
    <x v="2"/>
    <s v="SUPERETE"/>
    <s v="95330"/>
    <x v="4"/>
    <s v="¿CUMPLE HORARIO DE ENTRADA O SALIDA DE LA TIENDA?"/>
    <s v="GESTION AUDITORIA - Abril"/>
    <s v="SI"/>
    <d v="2025-04-12T00:00:00"/>
    <n v="26831621"/>
    <s v="NestleP.5"/>
    <x v="0"/>
    <x v="1"/>
    <n v="20"/>
    <s v="SI"/>
    <n v="20"/>
  </r>
  <r>
    <s v="NESTLE PURINA"/>
    <x v="1"/>
    <x v="2"/>
    <s v="SUPERETE"/>
    <s v="95330"/>
    <x v="4"/>
    <s v="CUENTA CON PANTALON DEL UNIFORME SEGÚN EL CARGO (NEGRO / ROJO / TURQUESA / JEAN)"/>
    <s v="GESTION AUDITORIA - Abril"/>
    <s v="SI"/>
    <d v="2025-04-12T00:00:00"/>
    <n v="26831621"/>
    <s v="NestleP.5"/>
    <x v="0"/>
    <x v="2"/>
    <n v="1"/>
    <s v="SI"/>
    <n v="1"/>
  </r>
  <r>
    <s v="NESTLE PURINA"/>
    <x v="1"/>
    <x v="2"/>
    <s v="SUPERETE"/>
    <s v="95330"/>
    <x v="4"/>
    <s v="CUENTA CON CAMISA DEL UNIFORME Y LOGOS SEGÚN EL CARGO (NEGRA / GRIS / ROJA / TURQUESA) (ES PERMITIDO USAR DEBAJO DE LA CAMISA BUSO MANGA LARGA NEGRO)"/>
    <s v="GESTION AUDITORIA - Abril"/>
    <s v="SI"/>
    <d v="2025-04-12T00:00:00"/>
    <n v="26831621"/>
    <s v="NestleP.5"/>
    <x v="0"/>
    <x v="2"/>
    <n v="1"/>
    <s v="SI"/>
    <n v="1"/>
  </r>
  <r>
    <s v="NESTLE PURINA"/>
    <x v="1"/>
    <x v="2"/>
    <s v="SUPERETE"/>
    <s v="95330"/>
    <x v="4"/>
    <s v="CUENTA CON CALZADO DE ACUERDO AL UNIFORME"/>
    <s v="GESTION AUDITORIA - Abril"/>
    <s v="SI"/>
    <d v="2025-04-12T00:00:00"/>
    <n v="26831621"/>
    <s v="NestleP.5"/>
    <x v="0"/>
    <x v="2"/>
    <n v="1"/>
    <s v="SI"/>
    <n v="1"/>
  </r>
  <r>
    <s v="NESTLE PURINA"/>
    <x v="1"/>
    <x v="2"/>
    <s v="SUPERETE"/>
    <s v="95330"/>
    <x v="4"/>
    <s v="POSEE ALGUNA PRENDA ENCIMA DEL UNIFORME NO AUTORIZADA POR LA MARCA (UNICAMENTE ESTA PERMITIDO CHALECO DE SODIMAC Y EASY)"/>
    <s v="GESTION AUDITORIA - Abril"/>
    <s v=" NO"/>
    <d v="2025-04-12T00:00:00"/>
    <n v="26831621"/>
    <s v="NestleP.5"/>
    <x v="0"/>
    <x v="2"/>
    <n v="1"/>
    <s v="NO"/>
    <n v="0"/>
  </r>
  <r>
    <s v="NESTLE PURINA"/>
    <x v="1"/>
    <x v="2"/>
    <s v="SUPERETE"/>
    <s v="95330"/>
    <x v="4"/>
    <s v="EL UNIFORME Y ZAPATOS SE ENCUENTRAN LIMPIOS Y EN BUEN ESTADO"/>
    <s v="GESTION AUDITORIA - Abril"/>
    <s v="SI"/>
    <d v="2025-04-12T00:00:00"/>
    <n v="26831621"/>
    <s v="NestleP.5"/>
    <x v="0"/>
    <x v="2"/>
    <n v="1"/>
    <s v="SI"/>
    <n v="1"/>
  </r>
  <r>
    <s v="NESTLE PURINA"/>
    <x v="1"/>
    <x v="2"/>
    <s v="SUPERETE"/>
    <s v="95330"/>
    <x v="4"/>
    <s v="SU CABELLO LUCE LIMPIO, ORGANIZADO O RECOGIDO"/>
    <s v="GESTION AUDITORIA - Abril"/>
    <s v="SI"/>
    <d v="2025-04-12T00:00:00"/>
    <n v="26831621"/>
    <s v="NestleP.5"/>
    <x v="0"/>
    <x v="2"/>
    <n v="1"/>
    <s v="SI"/>
    <n v="1"/>
  </r>
  <r>
    <s v="NESTLE PURINA"/>
    <x v="1"/>
    <x v="2"/>
    <s v="SUPERETE"/>
    <s v="95330"/>
    <x v="4"/>
    <s v="PRESENTA EXCESO DE MAQUILLAJE QUE NO CUMPLE CON EL CODIGO DE VESTIMENTA"/>
    <s v="GESTION AUDITORIA - Abril"/>
    <s v=" NO"/>
    <d v="2025-04-12T00:00:00"/>
    <n v="26831621"/>
    <s v="NestleP.5"/>
    <x v="0"/>
    <x v="2"/>
    <n v="1"/>
    <s v="NO"/>
    <n v="0"/>
  </r>
  <r>
    <s v="NESTLE PURINA"/>
    <x v="1"/>
    <x v="2"/>
    <s v="SUPERETE"/>
    <s v="95330"/>
    <x v="4"/>
    <s v="TIENE TATUAJES O PIERCINGS VISIBLES QUE NO CUMPLE CON EL CODIGO DE VESTIMENTA"/>
    <s v="GESTION AUDITORIA - Abril"/>
    <s v=" NO"/>
    <d v="2025-04-12T00:00:00"/>
    <n v="26831621"/>
    <s v="NestleP.5"/>
    <x v="0"/>
    <x v="2"/>
    <n v="1"/>
    <s v="NO"/>
    <n v="0"/>
  </r>
  <r>
    <s v="NESTLE PURINA"/>
    <x v="1"/>
    <x v="2"/>
    <s v="SUPERETE"/>
    <s v="95330"/>
    <x v="4"/>
    <s v="TIENE UÑAS LLAMATIVAS Y/O LARGAS QUE NO CUMPLE CON EL CODIGO DE VESTIMENTA"/>
    <s v="GESTION AUDITORIA - Abril"/>
    <s v=" NO"/>
    <d v="2025-04-12T00:00:00"/>
    <n v="26831621"/>
    <s v="NestleP.5"/>
    <x v="0"/>
    <x v="2"/>
    <n v="1"/>
    <s v="NO"/>
    <n v="0"/>
  </r>
  <r>
    <s v="NESTLE PURINA"/>
    <x v="1"/>
    <x v="2"/>
    <s v="SUPERETE"/>
    <s v="95330"/>
    <x v="4"/>
    <s v="USA ACCESORIOS QUE NO CUMPLE CON EL CODIGO DE VESTIMENTA"/>
    <s v="GESTION AUDITORIA - Abril"/>
    <s v=" NO"/>
    <d v="2025-04-12T00:00:00"/>
    <n v="26831621"/>
    <s v="NestleP.5"/>
    <x v="0"/>
    <x v="2"/>
    <n v="1"/>
    <s v="NO"/>
    <n v="0"/>
  </r>
  <r>
    <s v="NESTLE PURINA"/>
    <x v="1"/>
    <x v="2"/>
    <s v="SUPERETE"/>
    <s v="95330"/>
    <x v="4"/>
    <s v="EL LINEAL SE ENCUENTRA LIMPIO Y ORGANIZADO"/>
    <s v="GESTION AUDITORIA - Abril"/>
    <s v="SI"/>
    <d v="2025-04-12T00:00:00"/>
    <n v="26831621"/>
    <s v="NestleP.5"/>
    <x v="0"/>
    <x v="3"/>
    <n v="4.2"/>
    <s v="SI"/>
    <n v="4.2"/>
  </r>
  <r>
    <s v="NESTLE PURINA"/>
    <x v="1"/>
    <x v="2"/>
    <s v="SUPERETE"/>
    <s v="95330"/>
    <x v="4"/>
    <s v="LOS PRODUCTOS TIENEN EL PRECIO Y ESTAN ACORDE O CORRESPONDIENTE A CADA REFERENCIA"/>
    <s v="GESTION AUDITORIA - Abril"/>
    <s v="SI"/>
    <d v="2025-04-12T00:00:00"/>
    <n v="26831621"/>
    <s v="NestleP.5"/>
    <x v="0"/>
    <x v="3"/>
    <n v="4.3"/>
    <s v="SI"/>
    <n v="4.3"/>
  </r>
  <r>
    <s v="NESTLE PURINA"/>
    <x v="1"/>
    <x v="2"/>
    <s v="SUPERETE"/>
    <s v="95330"/>
    <x v="4"/>
    <s v="LOS PRODUCTOS ESTAN SURTIDOS DE ACUERDO A PEPS O FIFO (REVISAR TANTO PRODUCTO SECO COMO HUMEDO)"/>
    <s v="GESTION AUDITORIA - Abril"/>
    <s v="SI"/>
    <d v="2025-04-12T00:00:00"/>
    <n v="26831621"/>
    <s v="NestleP.5"/>
    <x v="0"/>
    <x v="3"/>
    <n v="4.3"/>
    <s v="SI"/>
    <n v="4.3"/>
  </r>
  <r>
    <s v="NESTLE PURINA"/>
    <x v="1"/>
    <x v="2"/>
    <s v="SUPERETE"/>
    <s v="95330"/>
    <x v="4"/>
    <s v="CONOCE LOS INFALTABLES DEL PUNTO DE VENTA Y CUENTA CON EL MATERIAL DE APOYO (AYUDAVENTAS INFALTABLES)"/>
    <s v="GESTION AUDITORIA - Abril"/>
    <s v="SI"/>
    <d v="2025-04-12T00:00:00"/>
    <n v="26831621"/>
    <s v="NestleP.5"/>
    <x v="0"/>
    <x v="3"/>
    <n v="4.3"/>
    <s v="SI"/>
    <n v="4.3"/>
  </r>
  <r>
    <s v="NESTLE PURINA"/>
    <x v="1"/>
    <x v="2"/>
    <s v="SUPERETE"/>
    <s v="95330"/>
    <x v="4"/>
    <s v="CONOCE Y TIENE SURTIDO DE ACUERDO A LA ESTRATEGIA DE EXHIBICIÓN (ETAPAS DE VIDA - SEGMENTACIÓN DE MARCAS)"/>
    <s v="GESTION AUDITORIA - Abril"/>
    <s v="SI"/>
    <d v="2025-04-12T00:00:00"/>
    <n v="26831621"/>
    <s v="NestleP.5"/>
    <x v="0"/>
    <x v="3"/>
    <n v="4.3"/>
    <s v="SI"/>
    <n v="4.3"/>
  </r>
  <r>
    <s v="NESTLE PURINA"/>
    <x v="1"/>
    <x v="2"/>
    <s v="SUPERETE"/>
    <s v="95330"/>
    <x v="4"/>
    <s v="CUAL ES LA ESTRATEGIA DE EXHIBICIÓN PARA LAS MARCAS MAINSTRAIN (ALPO Y GATSY) DE PURINA Y PORQUE?"/>
    <s v="GESTION AUDITORIA - Abril"/>
    <s v="SI"/>
    <d v="2025-04-12T00:00:00"/>
    <n v="26831621"/>
    <s v="NestleP.5"/>
    <x v="0"/>
    <x v="3"/>
    <n v="4.3"/>
    <s v="SI"/>
    <n v="4.3"/>
  </r>
  <r>
    <s v="NESTLE PURINA"/>
    <x v="1"/>
    <x v="2"/>
    <s v="SUPERETE"/>
    <s v="95330"/>
    <x v="4"/>
    <s v="CONOCE EL % DE PARTICIPACIÓN QUE TIENE EN EL PUNTO DE VENTA E INFORMA CUAL ES ESE %"/>
    <s v="GESTION AUDITORIA - Abril"/>
    <s v="SI"/>
    <d v="2025-04-12T00:00:00"/>
    <n v="26831621"/>
    <s v="NestleP.5"/>
    <x v="0"/>
    <x v="3"/>
    <n v="4.3"/>
    <s v="SI"/>
    <n v="4.3"/>
  </r>
  <r>
    <s v="NESTLE PURINA"/>
    <x v="1"/>
    <x v="2"/>
    <s v="SUPERETE"/>
    <s v="95330"/>
    <x v="4"/>
    <s v="SELECCIONE EL CANAL DEL PDV AUDITADO?"/>
    <s v="GESTION AUDITORIA - Abril"/>
    <s v="MODERNO"/>
    <d v="2025-04-12T00:00:00"/>
    <n v="26831621"/>
    <s v="NestleP.5"/>
    <x v="0"/>
    <x v="0"/>
    <n v="0"/>
    <s v="CANAL  MODERNO, CANAL ESPECIALIZADO"/>
    <n v="0"/>
  </r>
  <r>
    <s v="NESTLE PURINA"/>
    <x v="1"/>
    <x v="2"/>
    <s v="SUPERETE"/>
    <s v="95330"/>
    <x v="4"/>
    <s v="EN LA CADENA OLIMPICA CONOCE LA ACTIVIDAD DE MULTIPLEPRICING"/>
    <s v="GESTION AUDITORIA - Abril"/>
    <s v="SI"/>
    <d v="2025-04-12T00:00:00"/>
    <n v="26831621"/>
    <s v="NestleP.5"/>
    <x v="0"/>
    <x v="4"/>
    <n v="8"/>
    <s v="SI"/>
    <n v="8"/>
  </r>
  <r>
    <s v="NESTLE PURINA"/>
    <x v="1"/>
    <x v="2"/>
    <s v="SUPERETE"/>
    <s v="95330"/>
    <x v="4"/>
    <s v="HAY MATERIAL POP IMPLEMENTADO DE LA ACTIVIDAD &quot;HOY GANAS MAÑANA TAMBIEN&quot;"/>
    <s v="GESTION AUDITORIA - Abril"/>
    <s v=" NO"/>
    <d v="2025-04-12T00:00:00"/>
    <n v="26831621"/>
    <s v="NestleP.5"/>
    <x v="0"/>
    <x v="4"/>
    <n v="8"/>
    <s v="SI"/>
    <n v="0"/>
  </r>
  <r>
    <s v="NESTLE PURINA"/>
    <x v="1"/>
    <x v="2"/>
    <s v="SUPERETE"/>
    <s v="95330"/>
    <x v="4"/>
    <s v="DESEA AÑADIR ALGUNA OBSERVACION / NOVEDAD CON LA AUDITORIA REALIZADA?"/>
    <s v="GESTION AUDITORIA - Abril"/>
    <s v=" NO"/>
    <d v="2025-04-12T00:00:00"/>
    <n v="26831621"/>
    <s v="NestleP.5"/>
    <x v="0"/>
    <x v="4"/>
    <n v="0"/>
    <n v="0"/>
    <n v="0"/>
  </r>
  <r>
    <s v="NESTLE PURINA"/>
    <x v="2"/>
    <x v="2"/>
    <s v="SUPERETE"/>
    <s v="99639"/>
    <x v="5"/>
    <s v="SE LOGRA REALIZAR LA AUDITORIA?"/>
    <s v="GESTION AUDITORIA - Abril"/>
    <s v="SI"/>
    <d v="2025-04-29T00:00:00"/>
    <n v="26853795"/>
    <s v="NestleP.11"/>
    <x v="0"/>
    <x v="0"/>
    <n v="0"/>
    <s v="SI"/>
    <n v="0"/>
  </r>
  <r>
    <s v="NESTLE PURINA"/>
    <x v="2"/>
    <x v="2"/>
    <s v="SUPERETE"/>
    <s v="99639"/>
    <x v="5"/>
    <s v="¿CUMPLE HORARIO DE ENTRADA O SALIDA DE LA TIENDA?"/>
    <s v="GESTION AUDITORIA - Abril"/>
    <s v="SI"/>
    <d v="2025-04-29T00:00:00"/>
    <n v="26853795"/>
    <s v="NestleP.11"/>
    <x v="0"/>
    <x v="1"/>
    <n v="20"/>
    <s v="SI"/>
    <n v="20"/>
  </r>
  <r>
    <s v="NESTLE PURINA"/>
    <x v="2"/>
    <x v="2"/>
    <s v="SUPERETE"/>
    <s v="99639"/>
    <x v="5"/>
    <s v="CUENTA CON PANTALON DEL UNIFORME SEGÚN EL CARGO (NEGRO / ROJO / TURQUESA / JEAN)"/>
    <s v="GESTION AUDITORIA - Abril"/>
    <s v="SI"/>
    <d v="2025-04-29T00:00:00"/>
    <n v="26853795"/>
    <s v="NestleP.11"/>
    <x v="0"/>
    <x v="2"/>
    <n v="1"/>
    <s v="SI"/>
    <n v="1"/>
  </r>
  <r>
    <s v="NESTLE PURINA"/>
    <x v="2"/>
    <x v="2"/>
    <s v="SUPERETE"/>
    <s v="99639"/>
    <x v="5"/>
    <s v="CUENTA CON CAMISA DEL UNIFORME Y LOGOS SEGÚN EL CARGO (NEGRA / GRIS / ROJA / TURQUESA) (ES PERMITIDO USAR DEBAJO DE LA CAMISA BUSO MANGA LARGA NEGRO)"/>
    <s v="GESTION AUDITORIA - Abril"/>
    <s v="SI"/>
    <d v="2025-04-29T00:00:00"/>
    <n v="26853795"/>
    <s v="NestleP.11"/>
    <x v="0"/>
    <x v="2"/>
    <n v="1"/>
    <s v="SI"/>
    <n v="1"/>
  </r>
  <r>
    <s v="NESTLE PURINA"/>
    <x v="2"/>
    <x v="2"/>
    <s v="SUPERETE"/>
    <s v="99639"/>
    <x v="5"/>
    <s v="CUENTA CON CALZADO DE ACUERDO AL UNIFORME"/>
    <s v="GESTION AUDITORIA - Abril"/>
    <s v="SI"/>
    <d v="2025-04-29T00:00:00"/>
    <n v="26853795"/>
    <s v="NestleP.11"/>
    <x v="0"/>
    <x v="2"/>
    <n v="1"/>
    <s v="SI"/>
    <n v="1"/>
  </r>
  <r>
    <s v="NESTLE PURINA"/>
    <x v="2"/>
    <x v="2"/>
    <s v="SUPERETE"/>
    <s v="99639"/>
    <x v="5"/>
    <s v="POSEE ALGUNA PRENDA ENCIMA DEL UNIFORME NO AUTORIZADA POR LA MARCA (UNICAMENTE ESTA PERMITIDO CHALECO DE SODIMAC Y EASY)"/>
    <s v="GESTION AUDITORIA - Abril"/>
    <s v=" NO"/>
    <d v="2025-04-29T00:00:00"/>
    <n v="26853795"/>
    <s v="NestleP.11"/>
    <x v="0"/>
    <x v="2"/>
    <n v="1"/>
    <s v="NO"/>
    <n v="0"/>
  </r>
  <r>
    <s v="NESTLE PURINA"/>
    <x v="2"/>
    <x v="2"/>
    <s v="SUPERETE"/>
    <s v="99639"/>
    <x v="5"/>
    <s v="EL UNIFORME Y ZAPATOS SE ENCUENTRAN LIMPIOS Y EN BUEN ESTADO"/>
    <s v="GESTION AUDITORIA - Abril"/>
    <s v="SI"/>
    <d v="2025-04-29T00:00:00"/>
    <n v="26853795"/>
    <s v="NestleP.11"/>
    <x v="0"/>
    <x v="2"/>
    <n v="1"/>
    <s v="SI"/>
    <n v="1"/>
  </r>
  <r>
    <s v="NESTLE PURINA"/>
    <x v="2"/>
    <x v="2"/>
    <s v="SUPERETE"/>
    <s v="99639"/>
    <x v="5"/>
    <s v="SU CABELLO LUCE LIMPIO, ORGANIZADO O RECOGIDO"/>
    <s v="GESTION AUDITORIA - Abril"/>
    <s v="SI"/>
    <d v="2025-04-29T00:00:00"/>
    <n v="26853795"/>
    <s v="NestleP.11"/>
    <x v="0"/>
    <x v="2"/>
    <n v="1"/>
    <s v="SI"/>
    <n v="1"/>
  </r>
  <r>
    <s v="NESTLE PURINA"/>
    <x v="2"/>
    <x v="2"/>
    <s v="SUPERETE"/>
    <s v="99639"/>
    <x v="5"/>
    <s v="PRESENTA EXCESO DE MAQUILLAJE QUE NO CUMPLE CON EL CODIGO DE VESTIMENTA"/>
    <s v="GESTION AUDITORIA - Abril"/>
    <s v="SI"/>
    <d v="2025-04-29T00:00:00"/>
    <n v="26853795"/>
    <s v="NestleP.11"/>
    <x v="0"/>
    <x v="2"/>
    <n v="1"/>
    <s v="NO"/>
    <n v="0"/>
  </r>
  <r>
    <s v="NESTLE PURINA"/>
    <x v="2"/>
    <x v="2"/>
    <s v="SUPERETE"/>
    <s v="99639"/>
    <x v="5"/>
    <s v="TIENE TATUAJES O PIERCINGS VISIBLES QUE NO CUMPLE CON EL CODIGO DE VESTIMENTA"/>
    <s v="GESTION AUDITORIA - Abril"/>
    <s v=" NO"/>
    <d v="2025-04-29T00:00:00"/>
    <n v="26853795"/>
    <s v="NestleP.11"/>
    <x v="0"/>
    <x v="2"/>
    <n v="1"/>
    <s v="NO"/>
    <n v="0"/>
  </r>
  <r>
    <s v="NESTLE PURINA"/>
    <x v="2"/>
    <x v="2"/>
    <s v="SUPERETE"/>
    <s v="99639"/>
    <x v="5"/>
    <s v="TIENE UÑAS LLAMATIVAS Y/O LARGAS QUE NO CUMPLE CON EL CODIGO DE VESTIMENTA"/>
    <s v="GESTION AUDITORIA - Abril"/>
    <s v=" NO"/>
    <d v="2025-04-29T00:00:00"/>
    <n v="26853795"/>
    <s v="NestleP.11"/>
    <x v="0"/>
    <x v="2"/>
    <n v="1"/>
    <s v="NO"/>
    <n v="0"/>
  </r>
  <r>
    <s v="NESTLE PURINA"/>
    <x v="2"/>
    <x v="2"/>
    <s v="SUPERETE"/>
    <s v="99639"/>
    <x v="5"/>
    <s v="USA ACCESORIOS QUE NO CUMPLE CON EL CODIGO DE VESTIMENTA"/>
    <s v="GESTION AUDITORIA - Abril"/>
    <s v=" NO"/>
    <d v="2025-04-29T00:00:00"/>
    <n v="26853795"/>
    <s v="NestleP.11"/>
    <x v="0"/>
    <x v="2"/>
    <n v="1"/>
    <s v="NO"/>
    <n v="0"/>
  </r>
  <r>
    <s v="NESTLE PURINA"/>
    <x v="2"/>
    <x v="2"/>
    <s v="SUPERETE"/>
    <s v="99639"/>
    <x v="5"/>
    <s v="EL LINEAL SE ENCUENTRA LIMPIO Y ORGANIZADO"/>
    <s v="GESTION AUDITORIA - Abril"/>
    <s v="SI"/>
    <d v="2025-04-29T00:00:00"/>
    <n v="26853795"/>
    <s v="NestleP.11"/>
    <x v="0"/>
    <x v="3"/>
    <n v="4.2"/>
    <s v="SI"/>
    <n v="4.2"/>
  </r>
  <r>
    <s v="NESTLE PURINA"/>
    <x v="2"/>
    <x v="2"/>
    <s v="SUPERETE"/>
    <s v="99639"/>
    <x v="5"/>
    <s v="LOS PRODUCTOS TIENEN EL PRECIO Y ESTAN ACORDE O CORRESPONDIENTE A CADA REFERENCIA"/>
    <s v="GESTION AUDITORIA - Abril"/>
    <s v="SI"/>
    <d v="2025-04-29T00:00:00"/>
    <n v="26853795"/>
    <s v="NestleP.11"/>
    <x v="0"/>
    <x v="3"/>
    <n v="4.3"/>
    <s v="SI"/>
    <n v="4.3"/>
  </r>
  <r>
    <s v="NESTLE PURINA"/>
    <x v="2"/>
    <x v="2"/>
    <s v="SUPERETE"/>
    <s v="99639"/>
    <x v="5"/>
    <s v="LOS PRODUCTOS ESTAN SURTIDOS DE ACUERDO A PEPS O FIFO (REVISAR TANTO PRODUCTO SECO COMO HUMEDO)"/>
    <s v="GESTION AUDITORIA - Abril"/>
    <s v="SI"/>
    <d v="2025-04-29T00:00:00"/>
    <n v="26853795"/>
    <s v="NestleP.11"/>
    <x v="0"/>
    <x v="3"/>
    <n v="4.3"/>
    <s v="SI"/>
    <n v="4.3"/>
  </r>
  <r>
    <s v="NESTLE PURINA"/>
    <x v="2"/>
    <x v="2"/>
    <s v="SUPERETE"/>
    <s v="99639"/>
    <x v="5"/>
    <s v="CONOCE LOS INFALTABLES DEL PUNTO DE VENTA Y CUENTA CON EL MATERIAL DE APOYO (AYUDAVENTAS INFALTABLES)"/>
    <s v="GESTION AUDITORIA - Abril"/>
    <s v=" NO"/>
    <d v="2025-04-29T00:00:00"/>
    <n v="26853795"/>
    <s v="NestleP.11"/>
    <x v="0"/>
    <x v="3"/>
    <n v="4.3"/>
    <s v="SI"/>
    <n v="0"/>
  </r>
  <r>
    <s v="NESTLE PURINA"/>
    <x v="2"/>
    <x v="2"/>
    <s v="SUPERETE"/>
    <s v="99639"/>
    <x v="5"/>
    <s v="CONOCE Y TIENE SURTIDO DE ACUERDO A LA ESTRATEGIA DE EXHIBICIÓN (ETAPAS DE VIDA - SEGMENTACIÓN DE MARCAS)"/>
    <s v="GESTION AUDITORIA - Abril"/>
    <s v="SI"/>
    <d v="2025-04-29T00:00:00"/>
    <n v="26853795"/>
    <s v="NestleP.11"/>
    <x v="0"/>
    <x v="3"/>
    <n v="4.3"/>
    <s v="SI"/>
    <n v="4.3"/>
  </r>
  <r>
    <s v="NESTLE PURINA"/>
    <x v="2"/>
    <x v="2"/>
    <s v="SUPERETE"/>
    <s v="99639"/>
    <x v="5"/>
    <s v="CUAL ES LA ESTRATEGIA DE EXHIBICIÓN PARA LAS MARCAS MAINSTRAIN (ALPO Y GATSY) DE PURINA Y PORQUE?"/>
    <s v="GESTION AUDITORIA - Abril"/>
    <s v=" NO"/>
    <d v="2025-04-29T00:00:00"/>
    <n v="26853795"/>
    <s v="NestleP.11"/>
    <x v="0"/>
    <x v="3"/>
    <n v="4.3"/>
    <s v="SI"/>
    <n v="0"/>
  </r>
  <r>
    <s v="NESTLE PURINA"/>
    <x v="2"/>
    <x v="2"/>
    <s v="SUPERETE"/>
    <s v="99639"/>
    <x v="5"/>
    <s v="CONOCE EL % DE PARTICIPACIÓN QUE TIENE EN EL PUNTO DE VENTA E INFORMA CUAL ES ESE %"/>
    <s v="GESTION AUDITORIA - Abril"/>
    <s v=" NO"/>
    <d v="2025-04-29T00:00:00"/>
    <n v="26853795"/>
    <s v="NestleP.11"/>
    <x v="0"/>
    <x v="3"/>
    <n v="4.3"/>
    <s v="SI"/>
    <n v="0"/>
  </r>
  <r>
    <s v="NESTLE PURINA"/>
    <x v="2"/>
    <x v="2"/>
    <s v="SUPERETE"/>
    <s v="99639"/>
    <x v="5"/>
    <s v="SELECCIONE EL CANAL DEL PDV AUDITADO?"/>
    <s v="GESTION AUDITORIA - Abril"/>
    <s v=" TRADICIONAL"/>
    <d v="2025-04-29T00:00:00"/>
    <n v="26853795"/>
    <s v="NestleP.11"/>
    <x v="0"/>
    <x v="0"/>
    <n v="0"/>
    <s v="CANAL  MODERNO, CANAL ESPECIALIZADO"/>
    <n v="0"/>
  </r>
  <r>
    <s v="NESTLE PURINA"/>
    <x v="2"/>
    <x v="2"/>
    <s v="SUPERETE"/>
    <s v="99639"/>
    <x v="5"/>
    <s v="CT - ESTA IMPLEMENTADA LA NUEVA ESTRATEGIA DE BAJA DE PRECIOS"/>
    <s v="GESTION AUDITORIA - Abril"/>
    <s v="SI"/>
    <d v="2025-04-29T00:00:00"/>
    <n v="26853795"/>
    <s v="NestleP.11"/>
    <x v="0"/>
    <x v="4"/>
    <n v="0"/>
    <s v="SI"/>
    <n v="0"/>
  </r>
  <r>
    <s v="NESTLE PURINA"/>
    <x v="2"/>
    <x v="2"/>
    <s v="SUPERETE"/>
    <s v="99639"/>
    <x v="5"/>
    <s v="DESEA AÑADIR ALGUNA OBSERVACION / NOVEDAD CON LA AUDITORIA REALIZADA?"/>
    <s v="GESTION AUDITORIA - Abril"/>
    <s v="SI"/>
    <d v="2025-04-29T00:00:00"/>
    <n v="26853795"/>
    <s v="NestleP.11"/>
    <x v="0"/>
    <x v="4"/>
    <n v="0"/>
    <n v="0"/>
    <n v="0"/>
  </r>
  <r>
    <s v="NESTLE PURINA"/>
    <x v="2"/>
    <x v="2"/>
    <s v="SUPERETE"/>
    <s v="99639"/>
    <x v="5"/>
    <s v="INDIQUE OBSERVACION / NOVEDAD EVIDENCIADA CON LA AUDITORIA REALIZADA"/>
    <s v="GESTION AUDITORIA - Abril"/>
    <s v="Indica que la oferta son los paquetes pague 4 y lleve 5 o pague 5 lleve 6, no conoce otra oferta."/>
    <d v="2025-04-29T00:00:00"/>
    <n v="26853795"/>
    <s v="NestleP.11"/>
    <x v="0"/>
    <x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480BA-2D05-4BE0-8BEA-795F3E018008}" name="TablaDinámica9" cacheId="2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CIUDAD">
  <location ref="D4:J8" firstHeaderRow="0" firstDataRow="1" firstDataCol="1"/>
  <pivotFields count="11">
    <pivotField showAll="0"/>
    <pivotField axis="axisRow" showAll="0" sortType="descending">
      <items count="15">
        <item x="1"/>
        <item m="1" x="3"/>
        <item x="2"/>
        <item m="1" x="11"/>
        <item m="1" x="13"/>
        <item m="1" x="6"/>
        <item x="0"/>
        <item m="1" x="12"/>
        <item m="1" x="10"/>
        <item m="1" x="7"/>
        <item m="1" x="8"/>
        <item m="1" x="9"/>
        <item m="1" x="5"/>
        <item m="1" x="4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showAll="0"/>
    <pivotField showAll="0"/>
    <pivotField dataField="1"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1"/>
  </rowFields>
  <rowItems count="4">
    <i>
      <x v="6"/>
    </i>
    <i>
      <x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#PDV Obj." fld="5" baseField="0" baseItem="0"/>
    <dataField name="#PDV Eje." fld="6" baseField="0" baseItem="0"/>
    <dataField name=".% Ejecucion" fld="9" baseField="0" baseItem="0" numFmtId="9"/>
    <dataField name="Obj Auditoria" fld="4" baseField="0" baseItem="0"/>
    <dataField name="Auditoria Eje." fld="8" baseField="0" baseItem="0"/>
    <dataField name="% Efectividad." fld="10" baseField="0" baseItem="0" numFmtId="9"/>
  </dataFields>
  <formats count="27">
    <format dxfId="1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9">
      <pivotArea outline="0" collapsedLevelsAreSubtotals="1" fieldPosition="0"/>
    </format>
    <format dxfId="1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7">
      <pivotArea outline="0" collapsedLevelsAreSubtotals="1" fieldPosition="0"/>
    </format>
    <format dxfId="1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4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3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2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13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30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9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28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7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26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25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4">
      <pivotArea field="1" grandRow="1" outline="0" collapsedLevelsAreSubtotals="1" axis="axisRow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23">
      <pivotArea field="1" grandRow="1" outline="0" collapsedLevelsAreSubtotals="1" axis="axisRow" fieldPosition="0">
        <references count="1">
          <reference field="4294967294" count="2" selected="0">
            <x v="0"/>
            <x v="1"/>
          </reference>
        </references>
      </pivotArea>
    </format>
    <format dxfId="122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121">
      <pivotArea field="1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20">
      <pivotArea field="1" type="button" dataOnly="0" labelOnly="1" outline="0" axis="axisRow" fieldPosition="0"/>
    </format>
    <format dxfId="11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18">
      <pivotArea dataOnly="0" labelOnly="1" grandRow="1" outline="0" fieldPosition="0"/>
    </format>
    <format dxfId="117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11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15">
      <pivotArea outline="0" collapsedLevelsAreSubtotals="1" fieldPosition="0">
        <references count="1">
          <reference field="4294967294" count="4" selected="0">
            <x v="0"/>
            <x v="1"/>
            <x v="2"/>
            <x v="3"/>
          </reference>
        </references>
      </pivotArea>
    </format>
    <format dxfId="11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6E3945-8534-4C3F-84DB-E199E1A30E99}" name="TablaDinámica12" cacheId="23" applyNumberFormats="0" applyBorderFormats="0" applyFontFormats="0" applyPatternFormats="0" applyAlignmentFormats="0" applyWidthHeightFormats="1" dataCaption="Valores" grandTotalCaption="% MYSTERY" errorCaption="N/A" showError="1" updatedVersion="8" minRefreshableVersion="3" itemPrintTitles="1" createdVersion="8" indent="0" outline="1" outlineData="1" multipleFieldFilters="0" chartFormat="1" rowHeaderCaption="CLUSTER">
  <location ref="D27:H33" firstHeaderRow="1" firstDataRow="2" firstDataCol="1" rowPageCount="1" colPageCount="1"/>
  <pivotFields count="18">
    <pivotField showAll="0"/>
    <pivotField axis="axisCol" showAll="0">
      <items count="4">
        <item x="2"/>
        <item x="1"/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>
      <items count="11">
        <item x="5"/>
        <item x="0"/>
        <item m="1" x="6"/>
        <item x="3"/>
        <item x="2"/>
        <item m="1" x="8"/>
        <item x="4"/>
        <item x="1"/>
        <item m="1" x="9"/>
        <item m="1" x="7"/>
        <item t="default"/>
      </items>
    </pivotField>
    <pivotField showAll="0"/>
    <pivotField showAll="0"/>
    <pivotField showAll="0"/>
    <pivotField numFmtId="14"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axis="axisRow" showAll="0">
      <items count="6">
        <item x="1"/>
        <item x="2"/>
        <item x="3"/>
        <item h="1" x="0"/>
        <item x="4"/>
        <item t="default"/>
      </items>
    </pivotField>
    <pivotField showAll="0"/>
    <pivotField showAll="0"/>
    <pivotField showAll="0"/>
    <pivotField dataField="1"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pageFields count="1">
    <pageField fld="12" hier="-1"/>
  </pageFields>
  <dataFields count="1">
    <dataField name="Suma de % MYSTERY" fld="17" baseField="0" baseItem="0" numFmtId="9"/>
  </dataFields>
  <formats count="10">
    <format dxfId="150">
      <pivotArea outline="0" collapsedLevelsAreSubtotals="1" fieldPosition="0"/>
    </format>
    <format dxfId="149">
      <pivotArea outline="0" collapsedLevelsAreSubtotals="1" fieldPosition="0"/>
    </format>
    <format dxfId="148">
      <pivotArea dataOnly="0" labelOnly="1" grandCol="1" outline="0" fieldPosition="0"/>
    </format>
    <format dxfId="147">
      <pivotArea outline="0" collapsedLevelsAreSubtotals="1" fieldPosition="0"/>
    </format>
    <format dxfId="146">
      <pivotArea dataOnly="0" labelOnly="1" grandCol="1" outline="0" fieldPosition="0"/>
    </format>
    <format dxfId="145">
      <pivotArea grandRow="1" outline="0" collapsedLevelsAreSubtotals="1" fieldPosition="0"/>
    </format>
    <format dxfId="144">
      <pivotArea grandRow="1" outline="0" collapsedLevelsAreSubtotals="1" fieldPosition="0"/>
    </format>
    <format dxfId="143">
      <pivotArea dataOnly="0" labelOnly="1" grandCol="1" outline="0" fieldPosition="0"/>
    </format>
    <format dxfId="142">
      <pivotArea grandRow="1" grandCol="1" outline="0" collapsedLevelsAreSubtotals="1" fieldPosition="0"/>
    </format>
    <format dxfId="141">
      <pivotArea grandRow="1" grandCol="1" outline="0" collapsedLevelsAreSubtotals="1" fieldPosition="0"/>
    </format>
  </formats>
  <chartFormats count="4"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4">
          <x14:conditionalFormat priority="76" id="{578A6BBE-0746-49B8-A379-5CA92DEB79AA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14" id="{26ABD943-D808-433F-A745-7747CF7C57DE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1"/>
                  </reference>
                </references>
              </pivotArea>
            </x14:pivotAreas>
          </x14:conditionalFormat>
          <x14:conditionalFormat priority="6" id="{C7402A76-E4C6-46CF-8F62-625F79AAFDFD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0"/>
                  </reference>
                </references>
              </pivotArea>
            </x14:pivotAreas>
          </x14:conditionalFormat>
          <x14:conditionalFormat priority="3" id="{1AD2B4FC-B775-4E19-AD60-75AD5A31B824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" count="1" selected="0">
                    <x v="2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C1FE8-A602-442E-822D-72E4743A3052}" name="TablaDinámica11" cacheId="23" applyNumberFormats="0" applyBorderFormats="0" applyFontFormats="0" applyPatternFormats="0" applyAlignmentFormats="0" applyWidthHeightFormats="1" dataCaption="Valores" grandTotalCaption="% MYSTERY" errorCaption="0" showError="1" updatedVersion="8" minRefreshableVersion="3" itemPrintTitles="1" createdVersion="8" indent="0" outline="1" outlineData="1" multipleFieldFilters="0" chartFormat="1" rowHeaderCaption="CLUSTER">
  <location ref="D14:G20" firstHeaderRow="1" firstDataRow="2" firstDataCol="1" rowPageCount="1" colPageCount="1"/>
  <pivotFields count="18">
    <pivotField showAll="0"/>
    <pivotField showAll="0">
      <items count="4">
        <item x="1"/>
        <item x="0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>
      <items count="11">
        <item x="5"/>
        <item x="0"/>
        <item m="1" x="6"/>
        <item x="3"/>
        <item x="2"/>
        <item m="1" x="8"/>
        <item x="4"/>
        <item x="1"/>
        <item m="1" x="9"/>
        <item m="1" x="7"/>
        <item t="default"/>
      </items>
    </pivotField>
    <pivotField showAll="0"/>
    <pivotField showAll="0"/>
    <pivotField showAll="0"/>
    <pivotField numFmtId="14"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axis="axisRow" showAll="0" sortType="descending">
      <items count="6">
        <item x="1"/>
        <item x="2"/>
        <item x="3"/>
        <item h="1"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dragToRow="0" dragToCol="0" dragToPage="0" showAll="0" defaultSubtotal="0"/>
  </pivotFields>
  <rowFields count="1">
    <field x="13"/>
  </rowFields>
  <rowItems count="5">
    <i>
      <x/>
    </i>
    <i>
      <x v="2"/>
    </i>
    <i>
      <x v="1"/>
    </i>
    <i>
      <x v="4"/>
    </i>
    <i t="grand">
      <x/>
    </i>
  </rowItems>
  <colFields count="1">
    <field x="2"/>
  </colFields>
  <colItems count="3">
    <i>
      <x v="1"/>
    </i>
    <i>
      <x v="2"/>
    </i>
    <i t="grand">
      <x/>
    </i>
  </colItems>
  <pageFields count="1">
    <pageField fld="12" hier="-1"/>
  </pageFields>
  <dataFields count="1">
    <dataField name="Suma de % MYSTERY" fld="17" baseField="0" baseItem="0" numFmtId="9"/>
  </dataFields>
  <formats count="19">
    <format dxfId="169">
      <pivotArea outline="0" collapsedLevelsAreSubtotals="1" fieldPosition="0"/>
    </format>
    <format dxfId="168">
      <pivotArea dataOnly="0" labelOnly="1" grandCol="1" outline="0" fieldPosition="0"/>
    </format>
    <format dxfId="167">
      <pivotArea dataOnly="0" labelOnly="1" grandCol="1" outline="0" fieldPosition="0"/>
    </format>
    <format dxfId="166">
      <pivotArea grandRow="1" outline="0" collapsedLevelsAreSubtotals="1" fieldPosition="0"/>
    </format>
    <format dxfId="165">
      <pivotArea grandRow="1" outline="0" collapsedLevelsAreSubtotals="1" fieldPosition="0"/>
    </format>
    <format dxfId="164">
      <pivotArea dataOnly="0" labelOnly="1" grandCol="1" outline="0" fieldPosition="0"/>
    </format>
    <format dxfId="163">
      <pivotArea grandRow="1" grandCol="1" outline="0" collapsedLevelsAreSubtotals="1" fieldPosition="0"/>
    </format>
    <format dxfId="162">
      <pivotArea outline="0" collapsedLevelsAreSubtotals="1" fieldPosition="0"/>
    </format>
    <format dxfId="161">
      <pivotArea dataOnly="0" labelOnly="1" outline="0" fieldPosition="0">
        <references count="1">
          <reference field="12" count="0"/>
        </references>
      </pivotArea>
    </format>
    <format dxfId="160">
      <pivotArea field="2" type="button" dataOnly="0" labelOnly="1" outline="0" axis="axisCol" fieldPosition="0"/>
    </format>
    <format dxfId="159">
      <pivotArea type="topRight" dataOnly="0" labelOnly="1" outline="0" fieldPosition="0"/>
    </format>
    <format dxfId="158">
      <pivotArea dataOnly="0" labelOnly="1" fieldPosition="0">
        <references count="1">
          <reference field="2" count="1">
            <x v="0"/>
          </reference>
        </references>
      </pivotArea>
    </format>
    <format dxfId="157">
      <pivotArea dataOnly="0" labelOnly="1" grandCol="1" outline="0" fieldPosition="0"/>
    </format>
    <format dxfId="156">
      <pivotArea outline="0" collapsedLevelsAreSubtotals="1" fieldPosition="0"/>
    </format>
    <format dxfId="155">
      <pivotArea dataOnly="0" labelOnly="1" outline="0" fieldPosition="0">
        <references count="1">
          <reference field="12" count="0"/>
        </references>
      </pivotArea>
    </format>
    <format dxfId="154">
      <pivotArea field="2" type="button" dataOnly="0" labelOnly="1" outline="0" axis="axisCol" fieldPosition="0"/>
    </format>
    <format dxfId="153">
      <pivotArea type="topRight" dataOnly="0" labelOnly="1" outline="0" fieldPosition="0"/>
    </format>
    <format dxfId="152">
      <pivotArea dataOnly="0" labelOnly="1" fieldPosition="0">
        <references count="1">
          <reference field="2" count="1">
            <x v="0"/>
          </reference>
        </references>
      </pivotArea>
    </format>
    <format dxfId="151">
      <pivotArea dataOnly="0" labelOnly="1" grandCol="1" outline="0" fieldPosition="0"/>
    </format>
  </formats>
  <chartFormats count="3"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3">
          <x14:conditionalFormat priority="79" id="{A7410DC0-EE9E-4584-A866-672877DBC4E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  <x14:conditionalFormat priority="5" id="{A2FC4BC8-54F6-4316-912A-5F451867018A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0"/>
                  </reference>
                </references>
              </pivotArea>
            </x14:pivotAreas>
          </x14:conditionalFormat>
          <x14:conditionalFormat priority="4" id="{091DA854-1AA8-4B8D-9503-224A186F810A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2" count="1" selected="0">
                    <x v="1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EB34B-5090-436E-B761-DA6324DE579D}" name="TablaDinámica14" cacheId="23" applyNumberFormats="0" applyBorderFormats="0" applyFontFormats="0" applyPatternFormats="0" applyAlignmentFormats="0" applyWidthHeightFormats="1" dataCaption="Valores" grandTotalCaption="% MYSTERY" errorCaption="N/A" showError="1" updatedVersion="8" minRefreshableVersion="3" itemPrintTitles="1" createdVersion="8" indent="0" compact="0" compactData="0" multipleFieldFilters="0">
  <location ref="D40:K45" firstHeaderRow="1" firstDataRow="2" firstDataCol="3" rowPageCount="1" colPageCount="1"/>
  <pivotFields count="18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1">
        <item m="1" x="6"/>
        <item m="1" x="7"/>
        <item m="1" x="8"/>
        <item m="1" x="9"/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3">
        <item h="1"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6">
        <item x="1"/>
        <item x="2"/>
        <item x="3"/>
        <item h="1" x="0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2"/>
    <field x="5"/>
  </rowFields>
  <rowItems count="4">
    <i>
      <x/>
      <x v="1"/>
      <x v="9"/>
    </i>
    <i>
      <x v="1"/>
      <x v="1"/>
      <x v="8"/>
    </i>
    <i>
      <x v="2"/>
      <x v="2"/>
      <x v="4"/>
    </i>
    <i t="grand">
      <x/>
    </i>
  </rowItems>
  <colFields count="1">
    <field x="13"/>
  </colFields>
  <colItems count="5">
    <i>
      <x/>
    </i>
    <i>
      <x v="1"/>
    </i>
    <i>
      <x v="2"/>
    </i>
    <i>
      <x v="4"/>
    </i>
    <i t="grand">
      <x/>
    </i>
  </colItems>
  <pageFields count="1">
    <pageField fld="12" hier="-1"/>
  </pageFields>
  <dataFields count="1">
    <dataField name="Suma de % MYSTERY" fld="17" baseField="0" baseItem="0" numFmtId="9"/>
  </dataFields>
  <formats count="37">
    <format dxfId="206">
      <pivotArea outline="0" collapsedLevelsAreSubtotals="1" fieldPosition="0"/>
    </format>
    <format dxfId="205">
      <pivotArea outline="0" collapsedLevelsAreSubtotals="1" fieldPosition="0"/>
    </format>
    <format dxfId="204">
      <pivotArea dataOnly="0" labelOnly="1" grandCol="1" outline="0" fieldPosition="0"/>
    </format>
    <format dxfId="203">
      <pivotArea outline="0" collapsedLevelsAreSubtotals="1" fieldPosition="0"/>
    </format>
    <format dxfId="202">
      <pivotArea dataOnly="0" labelOnly="1" grandCol="1" outline="0" fieldPosition="0"/>
    </format>
    <format dxfId="201">
      <pivotArea grandRow="1" outline="0" collapsedLevelsAreSubtotals="1" fieldPosition="0"/>
    </format>
    <format dxfId="200">
      <pivotArea grandRow="1" outline="0" collapsedLevelsAreSubtotals="1" fieldPosition="0"/>
    </format>
    <format dxfId="199">
      <pivotArea dataOnly="0" labelOnly="1" grandCol="1" outline="0" fieldPosition="0"/>
    </format>
    <format dxfId="198">
      <pivotArea field="1" type="button" dataOnly="0" labelOnly="1" outline="0" axis="axisRow" fieldPosition="0"/>
    </format>
    <format dxfId="197">
      <pivotArea field="5" type="button" dataOnly="0" labelOnly="1" outline="0" axis="axisRow" fieldPosition="2"/>
    </format>
    <format dxfId="196">
      <pivotArea dataOnly="0" labelOnly="1" outline="0" fieldPosition="0">
        <references count="1">
          <reference field="13" count="0"/>
        </references>
      </pivotArea>
    </format>
    <format dxfId="195">
      <pivotArea dataOnly="0" labelOnly="1" grandCol="1" outline="0" fieldPosition="0"/>
    </format>
    <format dxfId="194">
      <pivotArea field="1" type="button" dataOnly="0" labelOnly="1" outline="0" axis="axisRow" fieldPosition="0"/>
    </format>
    <format dxfId="193">
      <pivotArea field="5" type="button" dataOnly="0" labelOnly="1" outline="0" axis="axisRow" fieldPosition="2"/>
    </format>
    <format dxfId="192">
      <pivotArea dataOnly="0" labelOnly="1" outline="0" fieldPosition="0">
        <references count="1">
          <reference field="13" count="0"/>
        </references>
      </pivotArea>
    </format>
    <format dxfId="191">
      <pivotArea dataOnly="0" labelOnly="1" grandCol="1" outline="0" fieldPosition="0"/>
    </format>
    <format dxfId="190">
      <pivotArea field="2" type="button" dataOnly="0" labelOnly="1" outline="0" axis="axisRow" fieldPosition="1"/>
    </format>
    <format dxfId="189">
      <pivotArea field="1" type="button" dataOnly="0" labelOnly="1" outline="0" axis="axisRow" fieldPosition="0"/>
    </format>
    <format dxfId="188">
      <pivotArea field="2" type="button" dataOnly="0" labelOnly="1" outline="0" axis="axisRow" fieldPosition="1"/>
    </format>
    <format dxfId="187">
      <pivotArea field="5" type="button" dataOnly="0" labelOnly="1" outline="0" axis="axisRow" fieldPosition="2"/>
    </format>
    <format dxfId="186">
      <pivotArea dataOnly="0" labelOnly="1" outline="0" fieldPosition="0">
        <references count="1">
          <reference field="13" count="0"/>
        </references>
      </pivotArea>
    </format>
    <format dxfId="185">
      <pivotArea dataOnly="0" labelOnly="1" grandCol="1" outline="0" fieldPosition="0"/>
    </format>
    <format dxfId="184">
      <pivotArea field="1" type="button" dataOnly="0" labelOnly="1" outline="0" axis="axisRow" fieldPosition="0"/>
    </format>
    <format dxfId="183">
      <pivotArea field="2" type="button" dataOnly="0" labelOnly="1" outline="0" axis="axisRow" fieldPosition="1"/>
    </format>
    <format dxfId="182">
      <pivotArea field="5" type="button" dataOnly="0" labelOnly="1" outline="0" axis="axisRow" fieldPosition="2"/>
    </format>
    <format dxfId="181">
      <pivotArea dataOnly="0" labelOnly="1" outline="0" fieldPosition="0">
        <references count="1">
          <reference field="13" count="0"/>
        </references>
      </pivotArea>
    </format>
    <format dxfId="180">
      <pivotArea field="13" grandRow="1" outline="0" axis="axisCol" fieldPosition="0">
        <references count="1">
          <reference field="13" count="0" selected="0"/>
        </references>
      </pivotArea>
    </format>
    <format dxfId="179">
      <pivotArea field="13" grandRow="1" outline="0" axis="axisCol" fieldPosition="0">
        <references count="1">
          <reference field="13" count="0" selected="0"/>
        </references>
      </pivotArea>
    </format>
    <format dxfId="178">
      <pivotArea dataOnly="0" labelOnly="1" outline="0" fieldPosition="0">
        <references count="1">
          <reference field="1" count="1">
            <x v="0"/>
          </reference>
        </references>
      </pivotArea>
    </format>
    <format dxfId="177">
      <pivotArea dataOnly="0" labelOnly="1" grandRow="1" outline="0" fieldPosition="0"/>
    </format>
    <format dxfId="176">
      <pivotArea dataOnly="0" labelOnly="1" outline="0" fieldPosition="0">
        <references count="1">
          <reference field="1" count="1">
            <x v="0"/>
          </reference>
        </references>
      </pivotArea>
    </format>
    <format dxfId="175">
      <pivotArea dataOnly="0" labelOnly="1" grandRow="1" outline="0" fieldPosition="0"/>
    </format>
    <format dxfId="174">
      <pivotArea grandRow="1" grandCol="1" outline="0" collapsedLevelsAreSubtotals="1" fieldPosition="0"/>
    </format>
    <format dxfId="173">
      <pivotArea outline="0" fieldPosition="0">
        <references count="1">
          <reference field="13" count="2" selected="0">
            <x v="0"/>
            <x v="1"/>
          </reference>
        </references>
      </pivotArea>
    </format>
    <format dxfId="172">
      <pivotArea dataOnly="0" labelOnly="1" outline="0" fieldPosition="0">
        <references count="1">
          <reference field="12" count="0"/>
        </references>
      </pivotArea>
    </format>
    <format dxfId="171">
      <pivotArea outline="0" fieldPosition="0">
        <references count="1">
          <reference field="13" count="2" selected="0">
            <x v="0"/>
            <x v="1"/>
          </reference>
        </references>
      </pivotArea>
    </format>
    <format dxfId="170">
      <pivotArea dataOnly="0" labelOnly="1" outline="0" fieldPosition="0">
        <references count="1">
          <reference field="12" count="0"/>
        </references>
      </pivotArea>
    </format>
  </formats>
  <pivotTableStyleInfo name="Estilo de tabla dinámica 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>
        <x14:conditionalFormats count="6">
          <x14:conditionalFormat priority="13" id="{CDBCCC9F-9EDA-4D80-8BED-778D536A49DD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3" count="1" selected="0">
                    <x v="0"/>
                  </reference>
                </references>
              </pivotArea>
            </x14:pivotAreas>
          </x14:conditionalFormat>
          <x14:conditionalFormat priority="12" id="{3DEB9BAA-88F2-4F85-BC7C-9A379E1ECBEA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3" count="1" selected="0">
                    <x v="1"/>
                  </reference>
                </references>
              </pivotArea>
            </x14:pivotAreas>
          </x14:conditionalFormat>
          <x14:conditionalFormat priority="11" id="{0BFDFA54-E28D-4083-8A0C-0F38165539CC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3" count="1" selected="0">
                    <x v="2"/>
                  </reference>
                </references>
              </pivotArea>
            </x14:pivotAreas>
          </x14:conditionalFormat>
          <x14:conditionalFormat priority="10" id="{CC4B7715-A71F-413F-BCF5-D27D5DE2DB4E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3" count="1" selected="0">
                    <x v="3"/>
                  </reference>
                </references>
              </pivotArea>
            </x14:pivotAreas>
          </x14:conditionalFormat>
          <x14:conditionalFormat priority="9" id="{F547BB12-354B-4F96-A8DF-A5AB8706DFB1}">
            <x14:pivotAreas count="1">
              <pivotArea type="data" outline="0" collapsedLevelsAreSubtotals="1" fieldPosition="0">
                <references count="2">
                  <reference field="4294967294" count="1" selected="0">
                    <x v="0"/>
                  </reference>
                  <reference field="13" count="1" selected="0">
                    <x v="4"/>
                  </reference>
                </references>
              </pivotArea>
            </x14:pivotAreas>
          </x14:conditionalFormat>
          <x14:conditionalFormat priority="1" id="{433F49AE-2085-4B17-B731-844B2BF5CF76}">
            <x14:pivotAreas count="1">
              <pivotArea type="data" grandCol="1" outline="0" collapsedLevelsAreSubtotals="1" fieldPosition="0">
                <references count="1">
                  <reference field="4294967294" count="1" selected="0">
                    <x v="0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9DB4F956-7AF4-44A9-A593-E9328908B329}" autoFormatId="16" applyNumberFormats="0" applyBorderFormats="0" applyFontFormats="0" applyPatternFormats="0" applyAlignmentFormats="0" applyWidthHeightFormats="0">
  <queryTableRefresh nextId="19" unboundColumnsRight="5">
    <queryTableFields count="17">
      <queryTableField id="1" name="ACTIVIDAD" tableColumnId="1"/>
      <queryTableField id="2" name="CIUDAD" tableColumnId="2"/>
      <queryTableField id="12" name="CANAL" tableColumnId="12"/>
      <queryTableField id="3" name="CADENA" tableColumnId="3"/>
      <queryTableField id="4" name="CODIGO PDV" tableColumnId="4"/>
      <queryTableField id="5" name="NOMBRE COMERCIAL" tableColumnId="5"/>
      <queryTableField id="6" name="PREGUNTA" tableColumnId="6"/>
      <queryTableField id="7" name="NOMBRE ENCUESTA" tableColumnId="7"/>
      <queryTableField id="8" name="RESPUESTA" tableColumnId="8"/>
      <queryTableField id="9" name="FECHA VISITA" tableColumnId="9"/>
      <queryTableField id="10" name="CODIGO RUTA" tableColumnId="10"/>
      <queryTableField id="11" name="USUARIO" tableColumnId="11"/>
      <queryTableField id="14" dataBound="0" tableColumnId="13"/>
      <queryTableField id="15" dataBound="0" tableColumnId="14"/>
      <queryTableField id="16" dataBound="0" tableColumnId="15"/>
      <queryTableField id="17" dataBound="0" tableColumnId="16"/>
      <queryTableField id="18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D19F7AC7-0C39-4FDD-A081-6C5C92E8EC4C}" autoFormatId="16" applyNumberFormats="0" applyBorderFormats="0" applyFontFormats="0" applyPatternFormats="0" applyAlignmentFormats="0" applyWidthHeightFormats="0">
  <queryTableRefresh nextId="57">
    <queryTableFields count="56">
      <queryTableField id="1" name="ACTIVIDAD" tableColumnId="1"/>
      <queryTableField id="2" name="REGIONAL" tableColumnId="2"/>
      <queryTableField id="3" name="CIUDAD" tableColumnId="3"/>
      <queryTableField id="4" name="CANAL" tableColumnId="4"/>
      <queryTableField id="5" name="CADENA" tableColumnId="5"/>
      <queryTableField id="6" name="SUBCADENA" tableColumnId="6"/>
      <queryTableField id="7" name="ZONA" tableColumnId="7"/>
      <queryTableField id="8" name="CODIGO PDV" tableColumnId="8"/>
      <queryTableField id="9" name="NOMBRE COMERCIAL" tableColumnId="9"/>
      <queryTableField id="10" name="CODIGO EAN" tableColumnId="10"/>
      <queryTableField id="11" name="TIPO PUNTO VENTA" tableColumnId="11"/>
      <queryTableField id="12" name="CONSECUTIVO ENCUESTA" tableColumnId="12"/>
      <queryTableField id="13" name="NOMBRE ENCUESTA" tableColumnId="13"/>
      <queryTableField id="14" name="CODIGO FOTO" tableColumnId="14"/>
      <queryTableField id="15" name="OBSERVACION" tableColumnId="15"/>
      <queryTableField id="16" name="FECHA VISITA" tableColumnId="16"/>
      <queryTableField id="17" name="FECHA INICIO VISITA" tableColumnId="17"/>
      <queryTableField id="18" name="FECHA CREACIÓN RESPUESTA" tableColumnId="18"/>
      <queryTableField id="19" name="CODIGO RUTA" tableColumnId="19"/>
      <queryTableField id="20" name="CLIENTE" tableColumnId="20"/>
      <queryTableField id="21" name="CODIGO EXHIBICION" tableColumnId="21"/>
      <queryTableField id="22" name="NOMBRE EXHIBICION" tableColumnId="22"/>
      <queryTableField id="23" name="NOMBRE USUARIO" tableColumnId="23"/>
      <queryTableField id="24" name="USUARIO" tableColumnId="24"/>
      <queryTableField id="25" name="NOMBRE SUPERVISOR " tableColumnId="25"/>
      <queryTableField id="26" name="USUARIO SUPERVISOR" tableColumnId="26"/>
      <queryTableField id="27" name="SE LOGRA REALIZAR LA AUDITORIA?" tableColumnId="27"/>
      <queryTableField id="28" name="¿CUMPLE HORARIO DE ENTRADA O SALIDA DE LA TIENDA?" tableColumnId="28"/>
      <queryTableField id="29" name="CUENTA CON PANTALON DEL UNIFORME SEGÚN EL CARGO (NEGRO / ROJO / TURQUESA / JEAN)" tableColumnId="29"/>
      <queryTableField id="30" name="CUENTA CON CAMISA DEL UNIFORME Y LOGOS SEGÚN EL CARGO (NEGRA / GRIS / ROJA / TURQUESA) (ES PERMITIDO USAR DEBAJO DE LA CAMISA BUSO MANGA LARGA NEGRO)" tableColumnId="30"/>
      <queryTableField id="31" name="CUENTA CON CALZADO DE ACUERDO AL UNIFORME" tableColumnId="31"/>
      <queryTableField id="32" name="POSEE ALGUNA PRENDA ENCIMA DEL UNIFORME NO AUTORIZADA POR LA MARCA (UNICAMENTE ESTA PERMITIDO CHALECO DE SODIMAC Y EASY)" tableColumnId="32"/>
      <queryTableField id="33" name="EL UNIFORME Y ZAPATOS SE ENCUENTRAN LIMPIOS Y EN BUEN ESTADO" tableColumnId="33"/>
      <queryTableField id="34" name="SU CABELLO LUCE LIMPIO, ORGANIZADO O RECOGIDO" tableColumnId="34"/>
      <queryTableField id="35" name="PRESENTA EXCESO DE MAQUILLAJE QUE NO CUMPLE CON EL CODIGO DE VESTIMENTA" tableColumnId="35"/>
      <queryTableField id="36" name="TIENE TATUAJES O PIERCINGS VISIBLES QUE NO CUMPLE CON EL CODIGO DE VESTIMENTA" tableColumnId="36"/>
      <queryTableField id="37" name="TIENE UÑAS LLAMATIVAS Y/O LARGAS QUE NO CUMPLE CON EL CODIGO DE VESTIMENTA" tableColumnId="37"/>
      <queryTableField id="38" name="USA ACCESORIOS QUE NO CUMPLE CON EL CODIGO DE VESTIMENTA" tableColumnId="38"/>
      <queryTableField id="39" name="EL LINEAL SE ENCUENTRA LIMPIO Y ORGANIZADO" tableColumnId="39"/>
      <queryTableField id="40" name="LOS PRODUCTOS TIENEN EL PRECIO Y ESTAN ACORDE O CORRESPONDIENTE A CADA REFERENCIA" tableColumnId="40"/>
      <queryTableField id="41" name="LOS PRODUCTOS ESTAN SURTIDOS DE ACUERDO A PEPS O FIFO (REVISAR TANTO PRODUCTO SECO COMO HUMEDO)" tableColumnId="41"/>
      <queryTableField id="42" name="CONOCE LOS INFALTABLES DEL PUNTO DE VENTA Y CUENTA CON EL MATERIAL DE APOYO (AYUDAVENTAS INFALTABLES)" tableColumnId="42"/>
      <queryTableField id="43" name="CONOCE Y TIENE SURTIDO DE ACUERDO A LA ESTRATEGIA DE EXHIBICIÓN (ETAPAS DE VIDA - SEGMENTACIÓN DE MARCAS)" tableColumnId="43"/>
      <queryTableField id="44" name="CUAL ES LA ESTRATEGIA DE EXHIBICIÓN PARA LAS MARCAS MAINSTRAIN (ALPO Y GATSY) DE PURINA Y PORQUE?" tableColumnId="44"/>
      <queryTableField id="45" name="CONOCE EL % DE PARTICIPACIÓN QUE TIENE EN EL PUNTO DE VENTA E INFORMA CUAL ES ESE %" tableColumnId="45"/>
      <queryTableField id="46" name="SELECCIONE EL CANAL DEL PDV AUDITADO?" tableColumnId="46"/>
      <queryTableField id="47" name="PREGUNTAR POR LAS PRESENTACIONES DE PRO PLAN LIVE CLEAR, SI ESTA LA NUEVA PRESENTACIÓN (X 1KG Y X 3KG) ¿TIENE EL STICKER DE COMUNICACIÓN DE NUEVA GRAMAJE?" tableColumnId="47"/>
      <queryTableField id="48" name="ESTA IMPLEMENTADO LOS STICKER DE LA REDUCCIÓN DE PRECIOS EXCELLENT" tableColumnId="48"/>
      <queryTableField id="49" name="ESTA DISPONIBLE LA ACTIVIDAD DE &quot;GANA AL INSTANTE&quot;, SE ECUENTRA EJECUTADA LA EXHIBICIÓN Y LOS OBSEQUIOS DISPONIBLES" tableColumnId="49"/>
      <queryTableField id="50" name="EXPLICA LA DINAMICA DE PARTICIPACIÓN EN &quot;GANA AL INSTANTE&quot;" tableColumnId="50"/>
      <queryTableField id="51" name="DESEA AÑADIR ALGUNA OBSERVACION / NOVEDAD CON LA AUDITORIA REALIZADA?" tableColumnId="51"/>
      <queryTableField id="52" name="INDIQUE NOVEDAD DE LA NO REALIZACION" tableColumnId="52"/>
      <queryTableField id="53" name="EN LA CADENA OLIMPICA CONOCE LA ACTIVIDAD DE MULTIPLEPRICING" tableColumnId="53"/>
      <queryTableField id="54" name="HAY MATERIAL POP IMPLEMENTADO DE LA ACTIVIDAD &quot;HOY GANAS MAÑANA TAMBIEN&quot;" tableColumnId="54"/>
      <queryTableField id="55" name="CT - ESTA IMPLEMENTADA LA NUEVA ESTRATEGIA DE BAJA DE PRECIOS" tableColumnId="55"/>
      <queryTableField id="56" name="INDIQUE OBSERVACION / NOVEDAD EVIDENCIADA CON LA AUDITORIA REALIZADA" tableColumnId="5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IUDAD" xr10:uid="{120D9671-221F-4492-8CE5-D6FBAC33FDB9}" sourceName="CIUDAD">
  <pivotTables>
    <pivotTable tabId="4" name="TablaDinámica11"/>
    <pivotTable tabId="4" name="TablaDinámica12"/>
    <pivotTable tabId="4" name="TablaDinámica14"/>
  </pivotTables>
  <data>
    <tabular pivotCacheId="333866438">
      <items count="3">
        <i x="1" s="1"/>
        <i x="0" s="1"/>
        <i x="2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COMERCIAL" xr10:uid="{B44763D8-97E2-4FF2-BF49-5A2C3A57FF54}" sourceName="NOMBRE COMERCIAL">
  <pivotTables>
    <pivotTable tabId="4" name="TablaDinámica11"/>
    <pivotTable tabId="4" name="TablaDinámica12"/>
    <pivotTable tabId="4" name="TablaDinámica14"/>
  </pivotTables>
  <data>
    <tabular pivotCacheId="333866438">
      <items count="10">
        <i x="5" s="1"/>
        <i x="0" s="1"/>
        <i x="4" s="1"/>
        <i x="6" s="1" nd="1"/>
        <i x="3" s="1" nd="1"/>
        <i x="2" s="1" nd="1"/>
        <i x="8" s="1" nd="1"/>
        <i x="1" s="1" nd="1"/>
        <i x="9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NAL" xr10:uid="{161FC0A5-88EE-42C6-8EF8-DE6BC20BA2A2}" sourceName="CANAL">
  <pivotTables>
    <pivotTable tabId="4" name="TablaDinámica11"/>
    <pivotTable tabId="4" name="TablaDinámica12"/>
    <pivotTable tabId="4" name="TablaDinámica14"/>
  </pivotTables>
  <data>
    <tabular pivotCacheId="333866438">
      <items count="3">
        <i x="0" s="1"/>
        <i x="2" s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UDAD" xr10:uid="{15D7A5B9-999F-403C-A90B-E5BB31E9BCF9}" cache="SegmentaciónDeDatos_CIUDAD" caption="CIUDAD" style="SlicerStyleOther1" rowHeight="251883"/>
  <slicer name="NOMBRE COMERCIAL" xr10:uid="{6085962D-64C6-49BC-8B99-624C8A6924CE}" cache="SegmentaciónDeDatos_NOMBRE_COMERCIAL" caption="NOMBRE COMERCIAL" style="SlicerStyleOther1" rowHeight="251883"/>
  <slicer name="CANAL" xr10:uid="{10B371A4-24F7-4826-99FE-E6BAFA670F01}" cache="SegmentaciónDeDatos_CANAL" caption="CANAL" style="SlicerStyleOther1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3252E0-1CC0-4042-94C2-1615CD6CF27F}" name="PUNTAJE" displayName="PUNTAJE" ref="A1:Q78" tableType="queryTable" totalsRowShown="0">
  <autoFilter ref="A1:Q78" xr:uid="{DC3252E0-1CC0-4042-94C2-1615CD6CF27F}"/>
  <tableColumns count="17">
    <tableColumn id="1" xr3:uid="{201C1F97-7BFE-421F-8311-85EFC67046A3}" uniqueName="1" name="ACTIVIDAD" queryTableFieldId="1" dataDxfId="113"/>
    <tableColumn id="2" xr3:uid="{401EF5E6-E09A-4B0C-A23F-853907DB2421}" uniqueName="2" name="CIUDAD" queryTableFieldId="2" dataDxfId="112"/>
    <tableColumn id="12" xr3:uid="{47B3A409-9CE1-4D26-875E-44C812F53754}" uniqueName="12" name="CANAL" queryTableFieldId="12" dataDxfId="111"/>
    <tableColumn id="3" xr3:uid="{23EBD0A8-7C9E-4D8E-AC23-C1B9EE474A02}" uniqueName="3" name="CADENA" queryTableFieldId="3" dataDxfId="110"/>
    <tableColumn id="4" xr3:uid="{4A312452-E791-414F-BE1D-8BE5806B4357}" uniqueName="4" name="CODIGO PDV" queryTableFieldId="4" dataDxfId="109"/>
    <tableColumn id="5" xr3:uid="{2AF68E46-7829-4F5A-B941-9C7D1AA3C41C}" uniqueName="5" name="NOMBRE COMERCIAL" queryTableFieldId="5" dataDxfId="108"/>
    <tableColumn id="6" xr3:uid="{8D72D91B-1AFB-4B85-8D88-557D975E0EFB}" uniqueName="6" name="PREGUNTA" queryTableFieldId="6" dataDxfId="107"/>
    <tableColumn id="7" xr3:uid="{96266FF1-CA36-4FDD-9EE6-09F280747EF1}" uniqueName="7" name="NOMBRE ENCUESTA" queryTableFieldId="7" dataDxfId="106"/>
    <tableColumn id="8" xr3:uid="{ADF114ED-627B-4C13-A19B-3ACE65551768}" uniqueName="8" name="RESPUESTA" queryTableFieldId="8" dataDxfId="105"/>
    <tableColumn id="9" xr3:uid="{59114511-DB0A-438B-9218-DCA14B8716DA}" uniqueName="9" name="FECHA VISITA" queryTableFieldId="9" dataDxfId="104"/>
    <tableColumn id="10" xr3:uid="{BAB19C7A-129D-44BC-B1E6-E56CCDFB1DA2}" uniqueName="10" name="CODIGO RUTA" queryTableFieldId="10"/>
    <tableColumn id="11" xr3:uid="{7130609B-B2B2-4E61-8BD8-28E6B33D423E}" uniqueName="11" name="USUARIO" queryTableFieldId="11" dataDxfId="103"/>
    <tableColumn id="13" xr3:uid="{E8CEEE01-6F4D-4C94-B108-ABFE3D74A10B}" uniqueName="13" name="MYSTERY EFECTIVO" queryTableFieldId="14" dataDxfId="102">
      <calculatedColumnFormula>_xlfn.XLOOKUP(PUNTAJE[[#This Row],[CODIGO RUTA]],'DATA INFORME'!S:S,'DATA INFORME'!AB:AB)</calculatedColumnFormula>
    </tableColumn>
    <tableColumn id="14" xr3:uid="{66CB6E9E-B29F-4D8F-AACF-F5210A1B7598}" uniqueName="14" name="CLUSTER" queryTableFieldId="15" dataDxfId="101">
      <calculatedColumnFormula>IF(PUNTAJE[[#This Row],[MYSTERY EFECTIVO]]="SI",(_xlfn.XLOOKUP(PUNTAJE[[#This Row],[PREGUNTA]],ENCUESTA!G:G,ENCUESTA!E:E)),"N/A")</calculatedColumnFormula>
    </tableColumn>
    <tableColumn id="15" xr3:uid="{BE11AEAF-32DD-4C67-8CA6-38A877BBB457}" uniqueName="15" name="TOTAL PUNTAJE" queryTableFieldId="16" dataDxfId="100">
      <calculatedColumnFormula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calculatedColumnFormula>
    </tableColumn>
    <tableColumn id="16" xr3:uid="{E0A39455-D2A8-48BB-8F2D-F27B7F3FA030}" uniqueName="16" name="RTA CORRECTA" queryTableFieldId="17" dataDxfId="99">
      <calculatedColumnFormula>_xlfn.XLOOKUP(PUNTAJE[[#This Row],[PREGUNTA]],ENCUESTA!G:G,ENCUESTA!H:H)</calculatedColumnFormula>
    </tableColumn>
    <tableColumn id="17" xr3:uid="{AF0353DC-1369-4B49-8F0E-28013A36058C}" uniqueName="17" name="PUNTAJE OBTENIDO" queryTableFieldId="18" dataDxfId="98">
      <calculatedColumnFormula>IF(PUNTAJE[[#This Row],[RESPUESTA]]=PUNTAJE[[#This Row],[RTA CORRECTA]],PUNTAJE[[#This Row],[TOTAL PUNTAJE]],0)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E8C8-5477-4852-991F-0FB4F9396ED6}" name="Tabla1" displayName="Tabla1" ref="A1:I7" totalsRowShown="0" headerRowDxfId="97" dataDxfId="95" headerRowBorderDxfId="96" tableBorderDxfId="94" totalsRowBorderDxfId="93" headerRowCellStyle="Normal 2" dataCellStyle="Normal 2">
  <autoFilter ref="A1:I7" xr:uid="{A06AE8C8-5477-4852-991F-0FB4F9396ED6}"/>
  <tableColumns count="9">
    <tableColumn id="3" xr3:uid="{CEEFCC7D-2B45-4409-9FEE-36A6008A09E3}" name="CANAL" dataDxfId="92" dataCellStyle="Normal 2"/>
    <tableColumn id="1" xr3:uid="{D5DD6073-7452-4C56-A046-CF25B19FCB4F}" name="CIUDAD" dataDxfId="91" dataCellStyle="Normal 2"/>
    <tableColumn id="2" xr3:uid="{304FB0E8-7EB9-4B2E-BDF0-6B1E9D3DF639}" name="VUM" dataDxfId="90"/>
    <tableColumn id="4" xr3:uid="{5FFEE965-7C33-4146-8749-C7E79BD9F083}" name="NOMBRE PDV" dataDxfId="89" dataCellStyle="Normal 2"/>
    <tableColumn id="9" xr3:uid="{56DA6644-1938-47DF-9205-928EAD17CD86}" name="Objetivo Mystery" dataDxfId="88" dataCellStyle="Normal 2"/>
    <tableColumn id="6" xr3:uid="{8587C1B8-25E9-47DF-96EC-0DE9EA854031}" name="#PDV Objetivos" dataDxfId="87"/>
    <tableColumn id="7" xr3:uid="{254582AE-0341-4027-9F60-A63C456EE6EE}" name="#PDV Ejecutados" dataDxfId="86">
      <calculatedColumnFormula>IF((COUNTIFS(Export!I:I,Tabla1[[#This Row],[VUM]]))&gt;0,1,0)</calculatedColumnFormula>
    </tableColumn>
    <tableColumn id="11" xr3:uid="{EA4A24E0-6A56-4A45-8F19-78AD6DCA277C}" name="# Visitas" dataDxfId="85" dataCellStyle="Normal 2">
      <calculatedColumnFormula>IF((COUNTIFS(Export!I:I,Tabla1[[#This Row],[VUM]]))&gt;0,1,0)</calculatedColumnFormula>
    </tableColumn>
    <tableColumn id="12" xr3:uid="{F623D095-7356-4242-BFFB-11B8E769EF0F}" name="Mystery Ejecutado" dataDxfId="84" dataCellStyle="Normal 2">
      <calculatedColumnFormula>IF((_xlfn.XLOOKUP(Tabla1[[#This Row],[VUM]],'DATA INFORME'!H:H,'DATA INFORME'!AA:AA))="SI",1,0)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EF68C9-501A-476C-BCA1-8D84881CC742}" name="Tabla1_1" displayName="Tabla1_1" ref="A1:BD7" tableType="queryTable" totalsRowShown="0">
  <autoFilter ref="A1:BD7" xr:uid="{1BEF68C9-501A-476C-BCA1-8D84881CC742}"/>
  <tableColumns count="56">
    <tableColumn id="1" xr3:uid="{490298E2-FB00-4573-A53A-6841682A8A65}" uniqueName="1" name="ACTIVIDAD" queryTableFieldId="1" dataDxfId="83"/>
    <tableColumn id="2" xr3:uid="{0C7F380D-4603-46E3-A195-88A944D07CAF}" uniqueName="2" name="REGIONAL" queryTableFieldId="2" dataDxfId="82"/>
    <tableColumn id="3" xr3:uid="{7E561BEF-6FDC-4435-B865-FB2ADD67D2D4}" uniqueName="3" name="CIUDAD" queryTableFieldId="3" dataDxfId="81"/>
    <tableColumn id="4" xr3:uid="{8EFE7554-FA35-4AA9-9548-3D49B10FFF1B}" uniqueName="4" name="CANAL" queryTableFieldId="4" dataDxfId="80"/>
    <tableColumn id="5" xr3:uid="{6CC05FC2-199F-4EF4-8360-DA06B934E46B}" uniqueName="5" name="CADENA" queryTableFieldId="5" dataDxfId="79"/>
    <tableColumn id="6" xr3:uid="{AC03ED36-CAF4-462D-A2C7-F153A84715CC}" uniqueName="6" name="SUBCADENA" queryTableFieldId="6" dataDxfId="78"/>
    <tableColumn id="7" xr3:uid="{0D5033CE-F41E-4625-9A3A-85A8C2461F89}" uniqueName="7" name="ZONA" queryTableFieldId="7" dataDxfId="77"/>
    <tableColumn id="8" xr3:uid="{F70EAEB6-6E1A-41E3-95CF-57C3D67A15FA}" uniqueName="8" name="CODIGO PDV" queryTableFieldId="8"/>
    <tableColumn id="9" xr3:uid="{E6DFB2A6-051B-4C0B-9727-5706E28C99E9}" uniqueName="9" name="NOMBRE COMERCIAL" queryTableFieldId="9" dataDxfId="76"/>
    <tableColumn id="10" xr3:uid="{42C6963E-89EC-4DC8-ABF6-74B4A16005F1}" uniqueName="10" name="CODIGO EAN" queryTableFieldId="10" dataDxfId="75"/>
    <tableColumn id="11" xr3:uid="{6B21DE3D-B35A-40E1-86AF-5DB0E3B46CDE}" uniqueName="11" name="TIPO PUNTO VENTA" queryTableFieldId="11" dataDxfId="74"/>
    <tableColumn id="12" xr3:uid="{B647D9C6-F290-4EDF-A15D-1DAA39DDCBAC}" uniqueName="12" name="CONSECUTIVO ENCUESTA" queryTableFieldId="12"/>
    <tableColumn id="13" xr3:uid="{CCD70549-7766-4657-8077-617DED1CDCF0}" uniqueName="13" name="NOMBRE ENCUESTA" queryTableFieldId="13" dataDxfId="73"/>
    <tableColumn id="14" xr3:uid="{ADD8AF98-DA55-485A-87FC-2C97AFDC536D}" uniqueName="14" name="CODIGO FOTO" queryTableFieldId="14"/>
    <tableColumn id="15" xr3:uid="{08380F28-1F43-43D8-A904-65140F0424F6}" uniqueName="15" name="OBSERVACION" queryTableFieldId="15"/>
    <tableColumn id="16" xr3:uid="{C1B91B4E-6CDD-481B-810C-70E5B0E6CBC2}" uniqueName="16" name="FECHA VISITA" queryTableFieldId="16" dataDxfId="72"/>
    <tableColumn id="17" xr3:uid="{A3B033B4-C990-456B-9036-153E0CDF41D2}" uniqueName="17" name="FECHA INICIO VISITA" queryTableFieldId="17" dataDxfId="71"/>
    <tableColumn id="18" xr3:uid="{ABFA077B-98F2-4084-9B8A-30EC83EEC038}" uniqueName="18" name="FECHA CREACIÓN RESPUESTA" queryTableFieldId="18" dataDxfId="70"/>
    <tableColumn id="19" xr3:uid="{AB378C63-FF3F-461C-A648-847906F2C113}" uniqueName="19" name="CODIGO RUTA" queryTableFieldId="19"/>
    <tableColumn id="20" xr3:uid="{542AEA48-854F-46A4-9377-7A352037B412}" uniqueName="20" name="CLIENTE" queryTableFieldId="20" dataDxfId="69"/>
    <tableColumn id="21" xr3:uid="{CC76EB4A-34BE-444E-89CB-4E00E1E6DFA0}" uniqueName="21" name="CODIGO EXHIBICION" queryTableFieldId="21"/>
    <tableColumn id="22" xr3:uid="{72E911C2-2A95-4787-B86A-180B60B326CD}" uniqueName="22" name="NOMBRE EXHIBICION" queryTableFieldId="22"/>
    <tableColumn id="23" xr3:uid="{CE6DDA81-BDB9-40EF-BD01-1C0F6032D96D}" uniqueName="23" name="NOMBRE USUARIO" queryTableFieldId="23" dataDxfId="68"/>
    <tableColumn id="24" xr3:uid="{9BF32E46-A16A-4DB0-875A-36CDE2D68D0F}" uniqueName="24" name="USUARIO" queryTableFieldId="24" dataDxfId="67"/>
    <tableColumn id="25" xr3:uid="{90A29110-DD27-4203-9B20-DB8608E0F5E8}" uniqueName="25" name="NOMBRE SUPERVISOR " queryTableFieldId="25" dataDxfId="66"/>
    <tableColumn id="26" xr3:uid="{522781E2-B90C-462A-992D-8AA235E022FD}" uniqueName="26" name="USUARIO SUPERVISOR" queryTableFieldId="26" dataDxfId="65"/>
    <tableColumn id="27" xr3:uid="{070CAA28-0B92-49EE-9E7F-D183257AE306}" uniqueName="27" name="SE LOGRA REALIZAR LA AUDITORIA?" queryTableFieldId="27" dataDxfId="64"/>
    <tableColumn id="28" xr3:uid="{30465149-AF9F-4FF1-85BD-1FC7EDA92B38}" uniqueName="28" name="¿CUMPLE HORARIO DE ENTRADA O SALIDA DE LA TIENDA?" queryTableFieldId="28" dataDxfId="63"/>
    <tableColumn id="29" xr3:uid="{56FBE083-65E7-452A-985D-EE25ACF27580}" uniqueName="29" name="CUENTA CON PANTALON DEL UNIFORME SEGÚN EL CARGO (NEGRO / ROJO / TURQUESA / JEAN)" queryTableFieldId="29" dataDxfId="62"/>
    <tableColumn id="30" xr3:uid="{BB331982-5ACC-40C8-A010-F39CF1C1A82C}" uniqueName="30" name="CUENTA CON CAMISA DEL UNIFORME Y LOGOS SEGÚN EL CARGO (NEGRA / GRIS / ROJA / TURQUESA) (ES PERMITIDO USAR DEBAJO DE LA CAMISA BUSO MANGA LARGA NEGRO)" queryTableFieldId="30" dataDxfId="61"/>
    <tableColumn id="31" xr3:uid="{D81B742C-C4CB-4E04-AD36-24FD1BC41C3D}" uniqueName="31" name="CUENTA CON CALZADO DE ACUERDO AL UNIFORME" queryTableFieldId="31" dataDxfId="60"/>
    <tableColumn id="32" xr3:uid="{DED8F57D-567F-45BC-ABB8-4239329E832F}" uniqueName="32" name="POSEE ALGUNA PRENDA ENCIMA DEL UNIFORME NO AUTORIZADA POR LA MARCA (UNICAMENTE ESTA PERMITIDO CHALECO DE SODIMAC Y EASY)" queryTableFieldId="32" dataDxfId="59"/>
    <tableColumn id="33" xr3:uid="{40A5808C-7913-47D1-969A-96A64A28B4C2}" uniqueName="33" name="EL UNIFORME Y ZAPATOS SE ENCUENTRAN LIMPIOS Y EN BUEN ESTADO" queryTableFieldId="33" dataDxfId="58"/>
    <tableColumn id="34" xr3:uid="{8510D004-20B1-451E-BAA7-FAED751F64B9}" uniqueName="34" name="SU CABELLO LUCE LIMPIO, ORGANIZADO O RECOGIDO" queryTableFieldId="34" dataDxfId="57"/>
    <tableColumn id="35" xr3:uid="{E294A9FF-8F5E-4CFA-BA6B-C1F885A9FC61}" uniqueName="35" name="PRESENTA EXCESO DE MAQUILLAJE QUE NO CUMPLE CON EL CODIGO DE VESTIMENTA" queryTableFieldId="35" dataDxfId="56"/>
    <tableColumn id="36" xr3:uid="{F3F1B91D-F304-4372-86AE-5F2E42A597F3}" uniqueName="36" name="TIENE TATUAJES O PIERCINGS VISIBLES QUE NO CUMPLE CON EL CODIGO DE VESTIMENTA" queryTableFieldId="36" dataDxfId="55"/>
    <tableColumn id="37" xr3:uid="{1152EFB8-8DC3-4C49-8252-D046FA36D8D3}" uniqueName="37" name="TIENE UÑAS LLAMATIVAS Y/O LARGAS QUE NO CUMPLE CON EL CODIGO DE VESTIMENTA" queryTableFieldId="37" dataDxfId="54"/>
    <tableColumn id="38" xr3:uid="{33F54144-B12E-4444-87C5-113D78224EB9}" uniqueName="38" name="USA ACCESORIOS QUE NO CUMPLE CON EL CODIGO DE VESTIMENTA" queryTableFieldId="38" dataDxfId="53"/>
    <tableColumn id="39" xr3:uid="{C65F3C72-B934-4CB4-9B0B-39CACB31AFE6}" uniqueName="39" name="EL LINEAL SE ENCUENTRA LIMPIO Y ORGANIZADO" queryTableFieldId="39" dataDxfId="52"/>
    <tableColumn id="40" xr3:uid="{A854C6E8-E546-4670-80C2-DA23B8CAC66E}" uniqueName="40" name="LOS PRODUCTOS TIENEN EL PRECIO Y ESTAN ACORDE O CORRESPONDIENTE A CADA REFERENCIA" queryTableFieldId="40" dataDxfId="51"/>
    <tableColumn id="41" xr3:uid="{73CB54AE-3801-4A7A-B3EA-6C0CA271FEB4}" uniqueName="41" name="LOS PRODUCTOS ESTAN SURTIDOS DE ACUERDO A PEPS O FIFO (REVISAR TANTO PRODUCTO SECO COMO HUMEDO)" queryTableFieldId="41" dataDxfId="50"/>
    <tableColumn id="42" xr3:uid="{89248BE9-08AC-4F9F-95F4-195D3635CE09}" uniqueName="42" name="CONOCE LOS INFALTABLES DEL PUNTO DE VENTA Y CUENTA CON EL MATERIAL DE APOYO (AYUDAVENTAS INFALTABLES)" queryTableFieldId="42" dataDxfId="49"/>
    <tableColumn id="43" xr3:uid="{1BACE80A-E5C7-45BD-A83F-A39468DCC37A}" uniqueName="43" name="CONOCE Y TIENE SURTIDO DE ACUERDO A LA ESTRATEGIA DE EXHIBICIÓN (ETAPAS DE VIDA - SEGMENTACIÓN DE MARCAS)" queryTableFieldId="43" dataDxfId="48"/>
    <tableColumn id="44" xr3:uid="{607C3BB1-EB11-4FBD-A77D-DE26DBB9651A}" uniqueName="44" name="CUAL ES LA ESTRATEGIA DE EXHIBICIÓN PARA LAS MARCAS MAINSTRAIN (ALPO Y GATSY) DE PURINA Y PORQUE?" queryTableFieldId="44" dataDxfId="47"/>
    <tableColumn id="45" xr3:uid="{C44FAC22-B2E7-488D-9CB8-2363A20CC848}" uniqueName="45" name="CONOCE EL % DE PARTICIPACIÓN QUE TIENE EN EL PUNTO DE VENTA E INFORMA CUAL ES ESE %" queryTableFieldId="45" dataDxfId="46"/>
    <tableColumn id="46" xr3:uid="{5DA12C0F-5790-4BA4-9D02-D0519CE23995}" uniqueName="46" name="SELECCIONE EL CANAL DEL PDV AUDITADO?" queryTableFieldId="46" dataDxfId="45"/>
    <tableColumn id="47" xr3:uid="{02FA1A21-2E9F-43C1-B845-6C77DDC730B4}" uniqueName="47" name="PREGUNTAR POR LAS PRESENTACIONES DE PRO PLAN LIVE CLEAR, SI ESTA LA NUEVA PRESENTACIÓN (X 1KG Y X 3KG) ¿TIENE EL STICKER DE COMUNICACIÓN DE NUEVA GRAMAJE?" queryTableFieldId="47" dataDxfId="44"/>
    <tableColumn id="48" xr3:uid="{010ECD1B-F6B4-449A-89E2-041CEA43556C}" uniqueName="48" name="ESTA IMPLEMENTADO LOS STICKER DE LA REDUCCIÓN DE PRECIOS EXCELLENT" queryTableFieldId="48" dataDxfId="43"/>
    <tableColumn id="49" xr3:uid="{A031F889-8901-4312-AE3B-AE60BE2AE617}" uniqueName="49" name="ESTA DISPONIBLE LA ACTIVIDAD DE &quot;GANA AL INSTANTE&quot;, SE ECUENTRA EJECUTADA LA EXHIBICIÓN Y LOS OBSEQUIOS DISPONIBLES" queryTableFieldId="49" dataDxfId="42"/>
    <tableColumn id="50" xr3:uid="{4461BCED-635E-4AD4-AEBF-AC691D52B92E}" uniqueName="50" name="EXPLICA LA DINAMICA DE PARTICIPACIÓN EN &quot;GANA AL INSTANTE&quot;" queryTableFieldId="50" dataDxfId="41"/>
    <tableColumn id="51" xr3:uid="{501C3CA5-09CF-49AB-B34C-EF6F0661AA7F}" uniqueName="51" name="DESEA AÑADIR ALGUNA OBSERVACION / NOVEDAD CON LA AUDITORIA REALIZADA?" queryTableFieldId="51" dataDxfId="40"/>
    <tableColumn id="52" xr3:uid="{CAFB4958-9A95-426C-A642-077FDE2C5711}" uniqueName="52" name="INDIQUE NOVEDAD DE LA NO REALIZACION" queryTableFieldId="52" dataDxfId="39"/>
    <tableColumn id="53" xr3:uid="{18CCA024-106E-4E2C-A6BB-74D054942AA9}" uniqueName="53" name="EN LA CADENA OLIMPICA CONOCE LA ACTIVIDAD DE MULTIPLEPRICING" queryTableFieldId="53" dataDxfId="38"/>
    <tableColumn id="54" xr3:uid="{73052A1A-94FD-47DC-868D-F35B6F5BE3C4}" uniqueName="54" name="HAY MATERIAL POP IMPLEMENTADO DE LA ACTIVIDAD &quot;HOY GANAS MAÑANA TAMBIEN&quot;" queryTableFieldId="54" dataDxfId="37"/>
    <tableColumn id="55" xr3:uid="{102C627D-2780-4250-9321-67A5B640881D}" uniqueName="55" name="CT - ESTA IMPLEMENTADA LA NUEVA ESTRATEGIA DE BAJA DE PRECIOS" queryTableFieldId="55" dataDxfId="36"/>
    <tableColumn id="56" xr3:uid="{10CB830B-2A3D-429C-870D-F1F809000F0E}" uniqueName="56" name="INDIQUE OBSERVACION / NOVEDAD EVIDENCIADA CON LA AUDITORIA REALIZADA" queryTableFieldId="56" dataDxfId="3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097FD5-2AE4-4313-BF77-CBF36E66D478}" name="Tabla2" displayName="Tabla2" ref="A1:AC78" totalsRowShown="0" headerRowDxfId="34" headerRowBorderDxfId="33" tableBorderDxfId="32" totalsRowBorderDxfId="31">
  <autoFilter ref="A1:AC78" xr:uid="{DF097FD5-2AE4-4313-BF77-CBF36E66D478}"/>
  <sortState xmlns:xlrd2="http://schemas.microsoft.com/office/spreadsheetml/2017/richdata2" ref="A2:AC3">
    <sortCondition ref="V2:V3"/>
    <sortCondition descending="1" ref="O2:O3"/>
  </sortState>
  <tableColumns count="29">
    <tableColumn id="1" xr3:uid="{EEAB5D40-1395-44AC-989B-7BEBDB594890}" name="ACTIVIDAD" dataDxfId="30"/>
    <tableColumn id="2" xr3:uid="{7135FC02-E21A-4459-956C-B095998917BA}" name="REGIONAL" dataDxfId="29"/>
    <tableColumn id="3" xr3:uid="{A676BE8F-9D25-4608-AFA9-335EE953599F}" name="CIUDAD" dataDxfId="28"/>
    <tableColumn id="4" xr3:uid="{8C438510-9FA2-4A67-81E2-F5A249D8C2D8}" name="CANAL" dataDxfId="27"/>
    <tableColumn id="5" xr3:uid="{55468C83-E61B-4AC3-8AB6-7842CA8A8685}" name="CADENA" dataDxfId="26"/>
    <tableColumn id="6" xr3:uid="{319677CB-3518-4692-9804-576A90B637C6}" name="SUBCADENA" dataDxfId="25"/>
    <tableColumn id="7" xr3:uid="{280B06EB-BEEB-41FF-BD4D-C86267C96B51}" name="ZONA" dataDxfId="24"/>
    <tableColumn id="8" xr3:uid="{38318117-E4E5-4BBD-BCB8-A0CF5740AD2E}" name="RV" dataDxfId="23"/>
    <tableColumn id="9" xr3:uid="{AE249958-DA07-4D5E-8893-DA47B2F89DBB}" name="CODIGO PDV" dataDxfId="22"/>
    <tableColumn id="10" xr3:uid="{5063BA25-7363-4804-9209-6EF1C7FD9552}" name="NOMBRE COMERCIAL" dataDxfId="21"/>
    <tableColumn id="11" xr3:uid="{1CA31434-5FCA-4588-9EF7-31A85DF89C42}" name="CODIGO EAN" dataDxfId="20"/>
    <tableColumn id="12" xr3:uid="{F4C77DD5-927D-43C6-A19F-C551C82B3D0D}" name="TIPO PUNTO VENTA" dataDxfId="19"/>
    <tableColumn id="13" xr3:uid="{EF48160A-97DF-4C9A-9BBF-2ECC73BF528F}" name="CONSECUTIVO ENCUESTA" dataDxfId="18"/>
    <tableColumn id="14" xr3:uid="{6FA0BAC5-63D5-4D95-B588-F0B164135E47}" name="NOMBRE ENCUESTA" dataDxfId="17"/>
    <tableColumn id="15" xr3:uid="{7C6BC3DB-B9BC-4C72-ADB7-0BB7A62378BB}" name="PREGUNTA" dataDxfId="16"/>
    <tableColumn id="16" xr3:uid="{AB325775-AFD1-4793-A618-BF02FE3029AE}" name="RESPUESTA" dataDxfId="15"/>
    <tableColumn id="17" xr3:uid="{85D12482-E7F3-4879-B4F0-D80F64421259}" name="CODIGO FOTO" dataDxfId="14"/>
    <tableColumn id="18" xr3:uid="{01036A0B-7510-4B37-96FC-1C395DEDC179}" name="OBSERVACION" dataDxfId="13"/>
    <tableColumn id="19" xr3:uid="{2F24E07E-80CB-4EA2-9555-9AEB9E02C9EF}" name="FECHA VISITA" dataDxfId="12"/>
    <tableColumn id="20" xr3:uid="{DC9D56CE-D3BF-4EEF-90B5-C3152AB2A8A8}" name="FECHA INICIO VISITA" dataDxfId="11"/>
    <tableColumn id="21" xr3:uid="{8DDE28A9-EDD9-412B-B7A2-DF2644A996E9}" name="FECHA CREACIÓN RESPUESTA" dataDxfId="10"/>
    <tableColumn id="22" xr3:uid="{3A74E72D-F4BF-4E54-8634-EEEC35A8C032}" name="CODIGO RUTA" dataDxfId="9"/>
    <tableColumn id="23" xr3:uid="{0ADFC93D-A4B4-4C17-8A6B-A6D563B99FCD}" name="CLIENTE" dataDxfId="8"/>
    <tableColumn id="24" xr3:uid="{6908F565-FB85-4368-B2F7-297DF2BEFBCD}" name="CODIGO EXHIBICION" dataDxfId="7"/>
    <tableColumn id="25" xr3:uid="{AA5CE162-90D2-43B1-96A0-970F0C412A96}" name="NOMBRE EXHIBICION" dataDxfId="6"/>
    <tableColumn id="26" xr3:uid="{D2023860-446B-430D-8595-9C2C1438BED3}" name="NOMBRE USUARIO" dataDxfId="5"/>
    <tableColumn id="27" xr3:uid="{F11E0B94-0622-411D-9CA7-B259829B8A9F}" name="USUARIO" dataDxfId="4"/>
    <tableColumn id="28" xr3:uid="{E1B013E5-0581-4476-9D6C-3AFBAC21C681}" name="NOMBRE SUPERVISOR " dataDxfId="3"/>
    <tableColumn id="29" xr3:uid="{B64E6504-C110-44E6-B203-6C06A1F0FFB1}" name="USUARIO SUPERVISOR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lE57LWPNIKFpvLWJHdWQNE-Xt25cNN2d/view" TargetMode="External"/><Relationship Id="rId3" Type="http://schemas.openxmlformats.org/officeDocument/2006/relationships/hyperlink" Target="https://drive.google.com/file/d/1jqzboOpbST_K0QE46A32TgWLVjm0Tluf/view" TargetMode="External"/><Relationship Id="rId7" Type="http://schemas.openxmlformats.org/officeDocument/2006/relationships/hyperlink" Target="https://drive.google.com/file/d/1N6lHtV_EYpvHUvNiTdl3ZOw_4QBUFe1E/view" TargetMode="External"/><Relationship Id="rId2" Type="http://schemas.openxmlformats.org/officeDocument/2006/relationships/hyperlink" Target="https://drive.google.com/file/d/1jpj1knWADcj3TyEiz4MOT2u8pun9Fj-1/view" TargetMode="External"/><Relationship Id="rId1" Type="http://schemas.openxmlformats.org/officeDocument/2006/relationships/hyperlink" Target="https://drive.google.com/file/d/11kJDK0pOqzmGk_ZawWQ7DDJx9vAMTZuE/view" TargetMode="External"/><Relationship Id="rId6" Type="http://schemas.openxmlformats.org/officeDocument/2006/relationships/hyperlink" Target="https://drive.google.com/file/d/1omMkPMyKphvS8OdeIQuF2ul12VHWAm4f/view" TargetMode="External"/><Relationship Id="rId5" Type="http://schemas.openxmlformats.org/officeDocument/2006/relationships/hyperlink" Target="https://drive.google.com/file/d/1F7D2TcLY4Hx9ubXjFZxvzz3UegZkR232/view" TargetMode="External"/><Relationship Id="rId4" Type="http://schemas.openxmlformats.org/officeDocument/2006/relationships/hyperlink" Target="https://drive.google.com/file/d/1Kz5mY0d5lFjmATrFtUyhxw0eLDq8kaco/vie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CE70-CB0C-4295-95CE-F28AA71E4DBA}">
  <sheetPr codeName="Hoja1"/>
  <dimension ref="B1:U60"/>
  <sheetViews>
    <sheetView showGridLines="0" zoomScale="85" zoomScaleNormal="85" workbookViewId="0">
      <selection activeCell="K2" sqref="K2"/>
    </sheetView>
  </sheetViews>
  <sheetFormatPr baseColWidth="10" defaultColWidth="11.42578125" defaultRowHeight="15" x14ac:dyDescent="0.25"/>
  <cols>
    <col min="1" max="1" width="38.140625" customWidth="1"/>
    <col min="2" max="2" width="1.85546875" style="11" customWidth="1"/>
    <col min="3" max="3" width="8.5703125" customWidth="1"/>
    <col min="4" max="4" width="26.7109375" customWidth="1"/>
    <col min="5" max="5" width="14.7109375" style="4" hidden="1" customWidth="1"/>
    <col min="6" max="6" width="17.85546875" style="4" customWidth="1"/>
    <col min="7" max="8" width="14.7109375" style="4" customWidth="1"/>
    <col min="9" max="10" width="13.7109375" customWidth="1"/>
    <col min="11" max="11" width="10.85546875" customWidth="1"/>
    <col min="12" max="12" width="13.140625" customWidth="1"/>
    <col min="13" max="13" width="18.42578125" customWidth="1"/>
    <col min="14" max="14" width="11.85546875" customWidth="1"/>
  </cols>
  <sheetData>
    <row r="1" spans="4:10" ht="23.45" customHeight="1" x14ac:dyDescent="0.25"/>
    <row r="3" spans="4:10" ht="21" x14ac:dyDescent="0.35">
      <c r="D3" s="12" t="s">
        <v>0</v>
      </c>
      <c r="I3" s="4"/>
      <c r="J3" s="4"/>
    </row>
    <row r="4" spans="4:10" x14ac:dyDescent="0.25">
      <c r="D4" s="20" t="s">
        <v>1</v>
      </c>
      <c r="E4" s="22" t="s">
        <v>2</v>
      </c>
      <c r="F4" s="22" t="s">
        <v>3</v>
      </c>
      <c r="G4" s="23" t="s">
        <v>4</v>
      </c>
      <c r="H4" s="22" t="s">
        <v>106</v>
      </c>
      <c r="I4" s="22" t="s">
        <v>105</v>
      </c>
      <c r="J4" s="23" t="s">
        <v>5</v>
      </c>
    </row>
    <row r="5" spans="4:10" x14ac:dyDescent="0.25">
      <c r="D5" s="3" t="s">
        <v>54</v>
      </c>
      <c r="E5" s="4">
        <v>1</v>
      </c>
      <c r="F5" s="4">
        <v>1</v>
      </c>
      <c r="G5" s="5">
        <v>1</v>
      </c>
      <c r="H5" s="4">
        <v>1</v>
      </c>
      <c r="I5" s="4">
        <v>1</v>
      </c>
      <c r="J5" s="5">
        <v>1</v>
      </c>
    </row>
    <row r="6" spans="4:10" x14ac:dyDescent="0.25">
      <c r="D6" s="3" t="s">
        <v>53</v>
      </c>
      <c r="E6" s="4">
        <v>2</v>
      </c>
      <c r="F6" s="4">
        <v>2</v>
      </c>
      <c r="G6" s="5">
        <v>1</v>
      </c>
      <c r="H6" s="4">
        <v>2</v>
      </c>
      <c r="I6" s="4">
        <v>1</v>
      </c>
      <c r="J6" s="5">
        <v>0.5</v>
      </c>
    </row>
    <row r="7" spans="4:10" x14ac:dyDescent="0.25">
      <c r="D7" s="3" t="s">
        <v>6</v>
      </c>
      <c r="E7" s="4">
        <v>3</v>
      </c>
      <c r="F7" s="4">
        <v>3</v>
      </c>
      <c r="G7" s="5">
        <v>1</v>
      </c>
      <c r="H7" s="4">
        <v>3</v>
      </c>
      <c r="I7" s="4">
        <v>1</v>
      </c>
      <c r="J7" s="5">
        <v>0.33333333333333331</v>
      </c>
    </row>
    <row r="8" spans="4:10" x14ac:dyDescent="0.25">
      <c r="D8" s="24" t="s">
        <v>7</v>
      </c>
      <c r="E8" s="73">
        <v>6</v>
      </c>
      <c r="F8" s="73">
        <v>6</v>
      </c>
      <c r="G8" s="19">
        <v>1</v>
      </c>
      <c r="H8" s="73">
        <v>6</v>
      </c>
      <c r="I8" s="73">
        <v>3</v>
      </c>
      <c r="J8" s="21">
        <v>0.5</v>
      </c>
    </row>
    <row r="12" spans="4:10" x14ac:dyDescent="0.25">
      <c r="D12" s="2" t="s">
        <v>28</v>
      </c>
      <c r="E12" s="4" t="s">
        <v>34</v>
      </c>
    </row>
    <row r="13" spans="4:10" ht="21" x14ac:dyDescent="0.35">
      <c r="D13" s="12" t="s">
        <v>8</v>
      </c>
    </row>
    <row r="14" spans="4:10" hidden="1" x14ac:dyDescent="0.25">
      <c r="D14" s="2" t="s">
        <v>9</v>
      </c>
      <c r="E14" s="67" t="s">
        <v>10</v>
      </c>
    </row>
    <row r="15" spans="4:10" x14ac:dyDescent="0.25">
      <c r="D15" s="2" t="s">
        <v>11</v>
      </c>
      <c r="E15" t="s">
        <v>12</v>
      </c>
      <c r="F15" t="s">
        <v>52</v>
      </c>
      <c r="G15" s="6" t="s">
        <v>13</v>
      </c>
    </row>
    <row r="16" spans="4:10" x14ac:dyDescent="0.25">
      <c r="D16" s="3" t="s">
        <v>14</v>
      </c>
      <c r="E16" s="5">
        <v>1</v>
      </c>
      <c r="F16" s="5">
        <v>1</v>
      </c>
      <c r="G16" s="5">
        <v>1</v>
      </c>
    </row>
    <row r="17" spans="4:14" x14ac:dyDescent="0.25">
      <c r="D17" s="3" t="s">
        <v>16</v>
      </c>
      <c r="E17" s="5">
        <v>0.78499999999999992</v>
      </c>
      <c r="F17" s="5">
        <v>0.85666666666666669</v>
      </c>
      <c r="G17" s="5">
        <v>0.80888888888888899</v>
      </c>
    </row>
    <row r="18" spans="4:14" x14ac:dyDescent="0.25">
      <c r="D18" s="3" t="s">
        <v>81</v>
      </c>
      <c r="E18" s="5">
        <v>0.5</v>
      </c>
      <c r="F18" s="5">
        <v>0.5</v>
      </c>
      <c r="G18" s="5">
        <v>0.5</v>
      </c>
    </row>
    <row r="19" spans="4:14" x14ac:dyDescent="0.25">
      <c r="D19" s="3" t="s">
        <v>15</v>
      </c>
      <c r="E19" s="5">
        <v>0.5</v>
      </c>
      <c r="F19" s="5">
        <v>0</v>
      </c>
      <c r="G19" s="5">
        <v>0.18735362997658078</v>
      </c>
    </row>
    <row r="20" spans="4:14" x14ac:dyDescent="0.25">
      <c r="D20" s="3" t="s">
        <v>13</v>
      </c>
      <c r="E20" s="14">
        <v>0.77279411764705885</v>
      </c>
      <c r="F20" s="14">
        <v>0.58477508650519028</v>
      </c>
      <c r="G20" s="16">
        <v>0.69959586888190384</v>
      </c>
    </row>
    <row r="25" spans="4:14" x14ac:dyDescent="0.25">
      <c r="D25" s="2" t="s">
        <v>28</v>
      </c>
      <c r="E25" t="s">
        <v>34</v>
      </c>
      <c r="F25" s="68"/>
    </row>
    <row r="26" spans="4:14" ht="21" x14ac:dyDescent="0.25">
      <c r="D26" s="13" t="s">
        <v>17</v>
      </c>
    </row>
    <row r="27" spans="4:14" hidden="1" x14ac:dyDescent="0.25">
      <c r="D27" s="2" t="s">
        <v>9</v>
      </c>
      <c r="E27" s="2" t="s">
        <v>10</v>
      </c>
      <c r="F27"/>
      <c r="G27"/>
      <c r="H27"/>
    </row>
    <row r="28" spans="4:14" x14ac:dyDescent="0.25">
      <c r="D28" s="2" t="s">
        <v>11</v>
      </c>
      <c r="E28" t="s">
        <v>54</v>
      </c>
      <c r="F28" t="s">
        <v>53</v>
      </c>
      <c r="G28" t="s">
        <v>6</v>
      </c>
      <c r="H28" s="6" t="s">
        <v>13</v>
      </c>
    </row>
    <row r="29" spans="4:14" x14ac:dyDescent="0.25">
      <c r="D29" s="3" t="s">
        <v>14</v>
      </c>
      <c r="E29" s="5">
        <v>1</v>
      </c>
      <c r="F29" s="5">
        <v>1</v>
      </c>
      <c r="G29" s="5">
        <v>1</v>
      </c>
      <c r="H29" s="5">
        <v>1</v>
      </c>
    </row>
    <row r="30" spans="4:14" x14ac:dyDescent="0.25">
      <c r="D30" s="3" t="s">
        <v>81</v>
      </c>
      <c r="E30" s="5">
        <v>0.5</v>
      </c>
      <c r="F30" s="5">
        <v>0.5</v>
      </c>
      <c r="G30" s="5">
        <v>0.5</v>
      </c>
      <c r="H30" s="5">
        <v>0.5</v>
      </c>
    </row>
    <row r="31" spans="4:14" x14ac:dyDescent="0.25">
      <c r="D31" s="3" t="s">
        <v>16</v>
      </c>
      <c r="E31" s="5">
        <v>0.56999999999999995</v>
      </c>
      <c r="F31" s="5">
        <v>1</v>
      </c>
      <c r="G31" s="5">
        <v>0.85666666666666669</v>
      </c>
      <c r="H31" s="5">
        <v>0.80888888888888899</v>
      </c>
      <c r="N31" s="3"/>
    </row>
    <row r="32" spans="4:14" x14ac:dyDescent="0.25">
      <c r="D32" s="3" t="s">
        <v>15</v>
      </c>
      <c r="E32" s="5" t="s">
        <v>80</v>
      </c>
      <c r="F32" s="5">
        <v>0.5</v>
      </c>
      <c r="G32" s="5">
        <v>0</v>
      </c>
      <c r="H32" s="5">
        <v>0.18735362997658078</v>
      </c>
    </row>
    <row r="33" spans="4:11" x14ac:dyDescent="0.25">
      <c r="D33" s="3" t="s">
        <v>13</v>
      </c>
      <c r="E33" s="14">
        <v>0.70166666666666688</v>
      </c>
      <c r="F33" s="14">
        <v>0.82894736842105265</v>
      </c>
      <c r="G33" s="14">
        <v>0.58477508650519028</v>
      </c>
      <c r="H33" s="16">
        <v>0.69959586888190384</v>
      </c>
    </row>
    <row r="37" spans="4:11" x14ac:dyDescent="0.25">
      <c r="D37" s="3"/>
      <c r="E37" s="14"/>
      <c r="F37" s="37"/>
    </row>
    <row r="38" spans="4:11" x14ac:dyDescent="0.25">
      <c r="D38" s="2" t="s">
        <v>28</v>
      </c>
      <c r="E38" s="4" t="s">
        <v>34</v>
      </c>
      <c r="F38" s="37"/>
    </row>
    <row r="39" spans="4:11" ht="21" x14ac:dyDescent="0.35">
      <c r="D39" s="12" t="s">
        <v>18</v>
      </c>
    </row>
    <row r="40" spans="4:11" hidden="1" x14ac:dyDescent="0.25">
      <c r="D40" s="2" t="s">
        <v>9</v>
      </c>
      <c r="E40"/>
      <c r="F40"/>
      <c r="G40" s="2" t="s">
        <v>11</v>
      </c>
      <c r="H40"/>
    </row>
    <row r="41" spans="4:11" ht="30" x14ac:dyDescent="0.25">
      <c r="D41" s="26" t="s">
        <v>1</v>
      </c>
      <c r="E41" s="26" t="s">
        <v>19</v>
      </c>
      <c r="F41" s="26" t="s">
        <v>20</v>
      </c>
      <c r="G41" s="27" t="s">
        <v>14</v>
      </c>
      <c r="H41" s="27" t="s">
        <v>81</v>
      </c>
      <c r="I41" s="27" t="s">
        <v>16</v>
      </c>
      <c r="J41" s="27" t="s">
        <v>15</v>
      </c>
      <c r="K41" s="25" t="s">
        <v>13</v>
      </c>
    </row>
    <row r="42" spans="4:11" x14ac:dyDescent="0.25">
      <c r="D42" s="15" t="s">
        <v>54</v>
      </c>
      <c r="E42" t="s">
        <v>12</v>
      </c>
      <c r="F42" t="s">
        <v>162</v>
      </c>
      <c r="G42" s="5">
        <v>1</v>
      </c>
      <c r="H42" s="5">
        <v>0.5</v>
      </c>
      <c r="I42" s="5">
        <v>0.56999999999999995</v>
      </c>
      <c r="J42" s="5" t="s">
        <v>80</v>
      </c>
      <c r="K42" s="5">
        <v>0.70166666666666688</v>
      </c>
    </row>
    <row r="43" spans="4:11" x14ac:dyDescent="0.25">
      <c r="D43" t="s">
        <v>53</v>
      </c>
      <c r="E43" t="s">
        <v>12</v>
      </c>
      <c r="F43" t="s">
        <v>153</v>
      </c>
      <c r="G43" s="5">
        <v>1</v>
      </c>
      <c r="H43" s="5">
        <v>0.5</v>
      </c>
      <c r="I43" s="5">
        <v>1</v>
      </c>
      <c r="J43" s="5">
        <v>0.5</v>
      </c>
      <c r="K43" s="5">
        <v>0.82894736842105265</v>
      </c>
    </row>
    <row r="44" spans="4:11" x14ac:dyDescent="0.25">
      <c r="D44" t="s">
        <v>6</v>
      </c>
      <c r="E44" t="s">
        <v>52</v>
      </c>
      <c r="F44" t="s">
        <v>109</v>
      </c>
      <c r="G44" s="5">
        <v>1</v>
      </c>
      <c r="H44" s="5">
        <v>0.5</v>
      </c>
      <c r="I44" s="5">
        <v>0.85666666666666669</v>
      </c>
      <c r="J44" s="5">
        <v>0</v>
      </c>
      <c r="K44" s="5">
        <v>0.58477508650519028</v>
      </c>
    </row>
    <row r="45" spans="4:11" x14ac:dyDescent="0.25">
      <c r="D45" s="15" t="s">
        <v>13</v>
      </c>
      <c r="E45" s="15"/>
      <c r="F45" s="15"/>
      <c r="G45" s="14">
        <v>1</v>
      </c>
      <c r="H45" s="14">
        <v>0.5</v>
      </c>
      <c r="I45" s="14">
        <v>0.80888888888888899</v>
      </c>
      <c r="J45" s="14">
        <v>0.18735362997658078</v>
      </c>
      <c r="K45" s="16">
        <v>0.69959586888190395</v>
      </c>
    </row>
    <row r="60" spans="21:21" x14ac:dyDescent="0.25">
      <c r="U60" s="5"/>
    </row>
  </sheetData>
  <pageMargins left="0.7" right="0.7" top="0.75" bottom="0.75" header="0.3" footer="0.3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79" id="{A7410DC0-EE9E-4584-A866-672877DBC4E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G16:G20</xm:sqref>
        </x14:conditionalFormatting>
        <x14:conditionalFormatting xmlns:xm="http://schemas.microsoft.com/office/excel/2006/main" pivot="1">
          <x14:cfRule type="iconSet" priority="76" id="{578A6BBE-0746-49B8-A379-5CA92DEB79A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H29:H33</xm:sqref>
        </x14:conditionalFormatting>
        <x14:conditionalFormatting xmlns:xm="http://schemas.microsoft.com/office/excel/2006/main">
          <x14:cfRule type="iconSet" priority="67" id="{1E271CF6-3828-4F00-8A64-93CE6C10607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U60</xm:sqref>
        </x14:conditionalFormatting>
        <x14:conditionalFormatting xmlns:xm="http://schemas.microsoft.com/office/excel/2006/main" pivot="1">
          <x14:cfRule type="iconSet" priority="14" id="{26ABD943-D808-433F-A745-7747CF7C57D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F29:F33</xm:sqref>
        </x14:conditionalFormatting>
        <x14:conditionalFormatting xmlns:xm="http://schemas.microsoft.com/office/excel/2006/main" pivot="1">
          <x14:cfRule type="iconSet" priority="13" id="{CDBCCC9F-9EDA-4D80-8BED-778D536A49D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G42:G45</xm:sqref>
        </x14:conditionalFormatting>
        <x14:conditionalFormatting xmlns:xm="http://schemas.microsoft.com/office/excel/2006/main" pivot="1">
          <x14:cfRule type="iconSet" priority="12" id="{3DEB9BAA-88F2-4F85-BC7C-9A379E1ECBE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H42:H45</xm:sqref>
        </x14:conditionalFormatting>
        <x14:conditionalFormatting xmlns:xm="http://schemas.microsoft.com/office/excel/2006/main" pivot="1">
          <x14:cfRule type="iconSet" priority="11" id="{0BFDFA54-E28D-4083-8A0C-0F38165539C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I42:I45</xm:sqref>
        </x14:conditionalFormatting>
        <x14:conditionalFormatting xmlns:xm="http://schemas.microsoft.com/office/excel/2006/main" pivot="1">
          <x14:cfRule type="iconSet" priority="10" id="{CC4B7715-A71F-413F-BCF5-D27D5DE2DB4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9" id="{F547BB12-354B-4F96-A8DF-A5AB8706DFB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J42:J45</xm:sqref>
        </x14:conditionalFormatting>
        <x14:conditionalFormatting xmlns:xm="http://schemas.microsoft.com/office/excel/2006/main" pivot="1">
          <x14:cfRule type="iconSet" priority="6" id="{C7402A76-E4C6-46CF-8F62-625F79AAFDF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E29:E33</xm:sqref>
        </x14:conditionalFormatting>
        <x14:conditionalFormatting xmlns:xm="http://schemas.microsoft.com/office/excel/2006/main" pivot="1">
          <x14:cfRule type="iconSet" priority="5" id="{A2FC4BC8-54F6-4316-912A-5F451867018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</x14:conditionalFormatting>
        <x14:conditionalFormatting xmlns:xm="http://schemas.microsoft.com/office/excel/2006/main" pivot="1">
          <x14:cfRule type="iconSet" priority="4" id="{091DA854-1AA8-4B8D-9503-224A186F810A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E16:E20</xm:sqref>
        </x14:conditionalFormatting>
        <x14:conditionalFormatting xmlns:xm="http://schemas.microsoft.com/office/excel/2006/main" pivot="1">
          <x14:cfRule type="iconSet" priority="3" id="{1AD2B4FC-B775-4E19-AD60-75AD5A31B82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G29:G33</xm:sqref>
        </x14:conditionalFormatting>
        <x14:conditionalFormatting xmlns:xm="http://schemas.microsoft.com/office/excel/2006/main" pivot="1">
          <x14:cfRule type="iconSet" priority="1" id="{433F49AE-2085-4B17-B731-844B2BF5CF7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K42:K45</xm:sqref>
        </x14:conditionalFormatting>
      </x14:conditionalFormattings>
    </ex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F0BD-742A-41AE-BD3F-AF74EF63A4DA}">
  <sheetPr codeName="Hoja2"/>
  <dimension ref="A1:Q78"/>
  <sheetViews>
    <sheetView showGridLines="0" topLeftCell="I1" zoomScale="60" zoomScaleNormal="60" workbookViewId="0">
      <selection activeCell="Q10" sqref="Q10"/>
    </sheetView>
  </sheetViews>
  <sheetFormatPr baseColWidth="10" defaultColWidth="11.42578125" defaultRowHeight="15" outlineLevelCol="1" x14ac:dyDescent="0.25"/>
  <cols>
    <col min="1" max="1" width="20.28515625" bestFit="1" customWidth="1"/>
    <col min="2" max="2" width="19.42578125" bestFit="1" customWidth="1"/>
    <col min="3" max="3" width="17.140625" bestFit="1" customWidth="1"/>
    <col min="4" max="4" width="17.140625" style="49" bestFit="1" customWidth="1"/>
    <col min="5" max="5" width="18.7109375" bestFit="1" customWidth="1"/>
    <col min="6" max="6" width="49.28515625" bestFit="1" customWidth="1"/>
    <col min="7" max="7" width="81.140625" bestFit="1" customWidth="1"/>
    <col min="8" max="8" width="53.7109375" bestFit="1" customWidth="1"/>
    <col min="9" max="9" width="81.140625" style="49" bestFit="1" customWidth="1"/>
    <col min="10" max="10" width="20.42578125" bestFit="1" customWidth="1"/>
    <col min="11" max="11" width="24.140625" style="34" bestFit="1" customWidth="1"/>
    <col min="12" max="12" width="21.140625" style="34" bestFit="1" customWidth="1"/>
    <col min="13" max="13" width="36.28515625" bestFit="1" customWidth="1"/>
    <col min="14" max="14" width="33" bestFit="1" customWidth="1"/>
    <col min="15" max="15" width="31.28515625" style="34" bestFit="1" customWidth="1"/>
    <col min="16" max="16" width="50.85546875" style="34" customWidth="1" outlineLevel="1"/>
    <col min="17" max="17" width="36.5703125" style="34" bestFit="1" customWidth="1"/>
  </cols>
  <sheetData>
    <row r="1" spans="1:17" x14ac:dyDescent="0.25">
      <c r="A1" t="s">
        <v>21</v>
      </c>
      <c r="B1" t="s">
        <v>1</v>
      </c>
      <c r="C1" t="s">
        <v>19</v>
      </c>
      <c r="D1" t="s">
        <v>22</v>
      </c>
      <c r="E1" s="49" t="s">
        <v>23</v>
      </c>
      <c r="F1" t="s">
        <v>20</v>
      </c>
      <c r="G1" t="s">
        <v>24</v>
      </c>
      <c r="H1" t="s">
        <v>63</v>
      </c>
      <c r="I1" t="s">
        <v>64</v>
      </c>
      <c r="J1" s="49" t="s">
        <v>25</v>
      </c>
      <c r="K1" t="s">
        <v>26</v>
      </c>
      <c r="L1" s="34" t="s">
        <v>27</v>
      </c>
      <c r="M1" s="39" t="s">
        <v>28</v>
      </c>
      <c r="N1" t="s">
        <v>11</v>
      </c>
      <c r="O1" s="34" t="s">
        <v>29</v>
      </c>
      <c r="P1" s="38" t="s">
        <v>30</v>
      </c>
      <c r="Q1" s="34" t="s">
        <v>31</v>
      </c>
    </row>
    <row r="2" spans="1:17" x14ac:dyDescent="0.25">
      <c r="A2" t="s">
        <v>32</v>
      </c>
      <c r="B2" t="s">
        <v>6</v>
      </c>
      <c r="C2" t="s">
        <v>52</v>
      </c>
      <c r="D2" t="s">
        <v>107</v>
      </c>
      <c r="E2" s="49" t="s">
        <v>108</v>
      </c>
      <c r="F2" t="s">
        <v>109</v>
      </c>
      <c r="G2" t="s">
        <v>112</v>
      </c>
      <c r="H2" t="s">
        <v>111</v>
      </c>
      <c r="I2" t="s">
        <v>34</v>
      </c>
      <c r="J2" s="60">
        <v>45771</v>
      </c>
      <c r="K2">
        <v>26796192</v>
      </c>
      <c r="L2" s="34" t="s">
        <v>104</v>
      </c>
      <c r="M2" t="str">
        <f>_xlfn.XLOOKUP(PUNTAJE[[#This Row],[CODIGO RUTA]],'DATA INFORME'!S:S,'DATA INFORME'!AB:AB)</f>
        <v>SI</v>
      </c>
      <c r="N2" t="str">
        <f>IF(PUNTAJE[[#This Row],[MYSTERY EFECTIVO]]="SI",(_xlfn.XLOOKUP(PUNTAJE[[#This Row],[PREGUNTA]],ENCUESTA!G:G,ENCUESTA!E:E)),"N/A")</f>
        <v>N/A</v>
      </c>
      <c r="O2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2" s="34" t="str">
        <f>_xlfn.XLOOKUP(PUNTAJE[[#This Row],[PREGUNTA]],ENCUESTA!G:G,ENCUESTA!H:H)</f>
        <v>SI</v>
      </c>
      <c r="Q2" s="34">
        <f>IF(PUNTAJE[[#This Row],[RESPUESTA]]=PUNTAJE[[#This Row],[RTA CORRECTA]],PUNTAJE[[#This Row],[TOTAL PUNTAJE]],0)</f>
        <v>0</v>
      </c>
    </row>
    <row r="3" spans="1:17" x14ac:dyDescent="0.25">
      <c r="A3" t="s">
        <v>32</v>
      </c>
      <c r="B3" t="s">
        <v>6</v>
      </c>
      <c r="C3" t="s">
        <v>52</v>
      </c>
      <c r="D3" t="s">
        <v>107</v>
      </c>
      <c r="E3" s="49" t="s">
        <v>108</v>
      </c>
      <c r="F3" t="s">
        <v>109</v>
      </c>
      <c r="G3" t="s">
        <v>44</v>
      </c>
      <c r="H3" t="s">
        <v>111</v>
      </c>
      <c r="I3" t="s">
        <v>34</v>
      </c>
      <c r="J3" s="60">
        <v>45771</v>
      </c>
      <c r="K3">
        <v>26796192</v>
      </c>
      <c r="L3" s="34" t="s">
        <v>104</v>
      </c>
      <c r="M3" t="str">
        <f>_xlfn.XLOOKUP(PUNTAJE[[#This Row],[CODIGO RUTA]],'DATA INFORME'!S:S,'DATA INFORME'!AB:AB)</f>
        <v>SI</v>
      </c>
      <c r="N3" t="str">
        <f>IF(PUNTAJE[[#This Row],[MYSTERY EFECTIVO]]="SI",(_xlfn.XLOOKUP(PUNTAJE[[#This Row],[PREGUNTA]],ENCUESTA!G:G,ENCUESTA!E:E)),"N/A")</f>
        <v>HORARIO</v>
      </c>
      <c r="O3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20</v>
      </c>
      <c r="P3" s="34" t="str">
        <f>_xlfn.XLOOKUP(PUNTAJE[[#This Row],[PREGUNTA]],ENCUESTA!G:G,ENCUESTA!H:H)</f>
        <v>SI</v>
      </c>
      <c r="Q3" s="34">
        <f>IF(PUNTAJE[[#This Row],[RESPUESTA]]=PUNTAJE[[#This Row],[RTA CORRECTA]],PUNTAJE[[#This Row],[TOTAL PUNTAJE]],0)</f>
        <v>20</v>
      </c>
    </row>
    <row r="4" spans="1:17" x14ac:dyDescent="0.25">
      <c r="A4" t="s">
        <v>32</v>
      </c>
      <c r="B4" t="s">
        <v>6</v>
      </c>
      <c r="C4" t="s">
        <v>52</v>
      </c>
      <c r="D4" t="s">
        <v>107</v>
      </c>
      <c r="E4" s="49" t="s">
        <v>108</v>
      </c>
      <c r="F4" t="s">
        <v>109</v>
      </c>
      <c r="G4" t="s">
        <v>37</v>
      </c>
      <c r="H4" t="s">
        <v>111</v>
      </c>
      <c r="I4" t="s">
        <v>34</v>
      </c>
      <c r="J4" s="60">
        <v>45771</v>
      </c>
      <c r="K4">
        <v>26796192</v>
      </c>
      <c r="L4" s="34" t="s">
        <v>104</v>
      </c>
      <c r="M4" t="str">
        <f>_xlfn.XLOOKUP(PUNTAJE[[#This Row],[CODIGO RUTA]],'DATA INFORME'!S:S,'DATA INFORME'!AB:AB)</f>
        <v>SI</v>
      </c>
      <c r="N4" t="str">
        <f>IF(PUNTAJE[[#This Row],[MYSTERY EFECTIVO]]="SI",(_xlfn.XLOOKUP(PUNTAJE[[#This Row],[PREGUNTA]],ENCUESTA!G:G,ENCUESTA!E:E)),"N/A")</f>
        <v>PRESENTACIÓN PERSONAL</v>
      </c>
      <c r="O4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4" s="34" t="str">
        <f>_xlfn.XLOOKUP(PUNTAJE[[#This Row],[PREGUNTA]],ENCUESTA!G:G,ENCUESTA!H:H)</f>
        <v>SI</v>
      </c>
      <c r="Q4" s="34">
        <f>IF(PUNTAJE[[#This Row],[RESPUESTA]]=PUNTAJE[[#This Row],[RTA CORRECTA]],PUNTAJE[[#This Row],[TOTAL PUNTAJE]],0)</f>
        <v>1</v>
      </c>
    </row>
    <row r="5" spans="1:17" x14ac:dyDescent="0.25">
      <c r="A5" t="s">
        <v>32</v>
      </c>
      <c r="B5" t="s">
        <v>6</v>
      </c>
      <c r="C5" t="s">
        <v>52</v>
      </c>
      <c r="D5" t="s">
        <v>107</v>
      </c>
      <c r="E5" s="49" t="s">
        <v>108</v>
      </c>
      <c r="F5" t="s">
        <v>109</v>
      </c>
      <c r="G5" t="s">
        <v>89</v>
      </c>
      <c r="H5" t="s">
        <v>111</v>
      </c>
      <c r="I5" t="s">
        <v>34</v>
      </c>
      <c r="J5" s="60">
        <v>45771</v>
      </c>
      <c r="K5">
        <v>26796192</v>
      </c>
      <c r="L5" s="34" t="s">
        <v>104</v>
      </c>
      <c r="M5" t="str">
        <f>_xlfn.XLOOKUP(PUNTAJE[[#This Row],[CODIGO RUTA]],'DATA INFORME'!S:S,'DATA INFORME'!AB:AB)</f>
        <v>SI</v>
      </c>
      <c r="N5" t="str">
        <f>IF(PUNTAJE[[#This Row],[MYSTERY EFECTIVO]]="SI",(_xlfn.XLOOKUP(PUNTAJE[[#This Row],[PREGUNTA]],ENCUESTA!G:G,ENCUESTA!E:E)),"N/A")</f>
        <v>PRESENTACIÓN PERSONAL</v>
      </c>
      <c r="O5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5" s="34" t="str">
        <f>_xlfn.XLOOKUP(PUNTAJE[[#This Row],[PREGUNTA]],ENCUESTA!G:G,ENCUESTA!H:H)</f>
        <v>SI</v>
      </c>
      <c r="Q5" s="34">
        <f>IF(PUNTAJE[[#This Row],[RESPUESTA]]=PUNTAJE[[#This Row],[RTA CORRECTA]],PUNTAJE[[#This Row],[TOTAL PUNTAJE]],0)</f>
        <v>1</v>
      </c>
    </row>
    <row r="6" spans="1:17" x14ac:dyDescent="0.25">
      <c r="A6" t="s">
        <v>32</v>
      </c>
      <c r="B6" t="s">
        <v>6</v>
      </c>
      <c r="C6" t="s">
        <v>52</v>
      </c>
      <c r="D6" t="s">
        <v>107</v>
      </c>
      <c r="E6" s="49" t="s">
        <v>108</v>
      </c>
      <c r="F6" t="s">
        <v>109</v>
      </c>
      <c r="G6" t="s">
        <v>38</v>
      </c>
      <c r="H6" t="s">
        <v>111</v>
      </c>
      <c r="I6" t="s">
        <v>34</v>
      </c>
      <c r="J6" s="60">
        <v>45771</v>
      </c>
      <c r="K6">
        <v>26796192</v>
      </c>
      <c r="L6" s="34" t="s">
        <v>104</v>
      </c>
      <c r="M6" t="str">
        <f>_xlfn.XLOOKUP(PUNTAJE[[#This Row],[CODIGO RUTA]],'DATA INFORME'!S:S,'DATA INFORME'!AB:AB)</f>
        <v>SI</v>
      </c>
      <c r="N6" t="str">
        <f>IF(PUNTAJE[[#This Row],[MYSTERY EFECTIVO]]="SI",(_xlfn.XLOOKUP(PUNTAJE[[#This Row],[PREGUNTA]],ENCUESTA!G:G,ENCUESTA!E:E)),"N/A")</f>
        <v>PRESENTACIÓN PERSONAL</v>
      </c>
      <c r="O6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6" s="34" t="str">
        <f>_xlfn.XLOOKUP(PUNTAJE[[#This Row],[PREGUNTA]],ENCUESTA!G:G,ENCUESTA!H:H)</f>
        <v>SI</v>
      </c>
      <c r="Q6" s="34">
        <f>IF(PUNTAJE[[#This Row],[RESPUESTA]]=PUNTAJE[[#This Row],[RTA CORRECTA]],PUNTAJE[[#This Row],[TOTAL PUNTAJE]],0)</f>
        <v>1</v>
      </c>
    </row>
    <row r="7" spans="1:17" x14ac:dyDescent="0.25">
      <c r="A7" t="s">
        <v>32</v>
      </c>
      <c r="B7" t="s">
        <v>6</v>
      </c>
      <c r="C7" t="s">
        <v>52</v>
      </c>
      <c r="D7" t="s">
        <v>107</v>
      </c>
      <c r="E7" s="49" t="s">
        <v>108</v>
      </c>
      <c r="F7" t="s">
        <v>109</v>
      </c>
      <c r="G7" t="s">
        <v>117</v>
      </c>
      <c r="H7" t="s">
        <v>111</v>
      </c>
      <c r="I7" t="s">
        <v>118</v>
      </c>
      <c r="J7" s="60">
        <v>45771</v>
      </c>
      <c r="K7">
        <v>26796192</v>
      </c>
      <c r="L7" s="34" t="s">
        <v>104</v>
      </c>
      <c r="M7" t="str">
        <f>_xlfn.XLOOKUP(PUNTAJE[[#This Row],[CODIGO RUTA]],'DATA INFORME'!S:S,'DATA INFORME'!AB:AB)</f>
        <v>SI</v>
      </c>
      <c r="N7" t="str">
        <f>IF(PUNTAJE[[#This Row],[MYSTERY EFECTIVO]]="SI",(_xlfn.XLOOKUP(PUNTAJE[[#This Row],[PREGUNTA]],ENCUESTA!G:G,ENCUESTA!E:E)),"N/A")</f>
        <v>PRESENTACIÓN PERSONAL</v>
      </c>
      <c r="O7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7" s="34" t="str">
        <f>_xlfn.XLOOKUP(PUNTAJE[[#This Row],[PREGUNTA]],ENCUESTA!G:G,ENCUESTA!H:H)</f>
        <v>NO</v>
      </c>
      <c r="Q7" s="34">
        <f>IF(PUNTAJE[[#This Row],[RESPUESTA]]=PUNTAJE[[#This Row],[RTA CORRECTA]],PUNTAJE[[#This Row],[TOTAL PUNTAJE]],0)</f>
        <v>0</v>
      </c>
    </row>
    <row r="8" spans="1:17" x14ac:dyDescent="0.25">
      <c r="A8" t="s">
        <v>32</v>
      </c>
      <c r="B8" t="s">
        <v>6</v>
      </c>
      <c r="C8" t="s">
        <v>52</v>
      </c>
      <c r="D8" t="s">
        <v>107</v>
      </c>
      <c r="E8" s="49" t="s">
        <v>108</v>
      </c>
      <c r="F8" t="s">
        <v>109</v>
      </c>
      <c r="G8" t="s">
        <v>36</v>
      </c>
      <c r="H8" t="s">
        <v>111</v>
      </c>
      <c r="I8" t="s">
        <v>34</v>
      </c>
      <c r="J8" s="60">
        <v>45771</v>
      </c>
      <c r="K8">
        <v>26796192</v>
      </c>
      <c r="L8" s="34" t="s">
        <v>104</v>
      </c>
      <c r="M8" t="str">
        <f>_xlfn.XLOOKUP(PUNTAJE[[#This Row],[CODIGO RUTA]],'DATA INFORME'!S:S,'DATA INFORME'!AB:AB)</f>
        <v>SI</v>
      </c>
      <c r="N8" t="str">
        <f>IF(PUNTAJE[[#This Row],[MYSTERY EFECTIVO]]="SI",(_xlfn.XLOOKUP(PUNTAJE[[#This Row],[PREGUNTA]],ENCUESTA!G:G,ENCUESTA!E:E)),"N/A")</f>
        <v>PRESENTACIÓN PERSONAL</v>
      </c>
      <c r="O8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8" s="34" t="str">
        <f>_xlfn.XLOOKUP(PUNTAJE[[#This Row],[PREGUNTA]],ENCUESTA!G:G,ENCUESTA!H:H)</f>
        <v>SI</v>
      </c>
      <c r="Q8" s="34">
        <f>IF(PUNTAJE[[#This Row],[RESPUESTA]]=PUNTAJE[[#This Row],[RTA CORRECTA]],PUNTAJE[[#This Row],[TOTAL PUNTAJE]],0)</f>
        <v>1</v>
      </c>
    </row>
    <row r="9" spans="1:17" x14ac:dyDescent="0.25">
      <c r="A9" t="s">
        <v>32</v>
      </c>
      <c r="B9" t="s">
        <v>6</v>
      </c>
      <c r="C9" t="s">
        <v>52</v>
      </c>
      <c r="D9" t="s">
        <v>107</v>
      </c>
      <c r="E9" s="49" t="s">
        <v>108</v>
      </c>
      <c r="F9" t="s">
        <v>109</v>
      </c>
      <c r="G9" t="s">
        <v>42</v>
      </c>
      <c r="H9" t="s">
        <v>111</v>
      </c>
      <c r="I9" t="s">
        <v>34</v>
      </c>
      <c r="J9" s="60">
        <v>45771</v>
      </c>
      <c r="K9">
        <v>26796192</v>
      </c>
      <c r="L9" s="34" t="s">
        <v>104</v>
      </c>
      <c r="M9" t="str">
        <f>_xlfn.XLOOKUP(PUNTAJE[[#This Row],[CODIGO RUTA]],'DATA INFORME'!S:S,'DATA INFORME'!AB:AB)</f>
        <v>SI</v>
      </c>
      <c r="N9" t="str">
        <f>IF(PUNTAJE[[#This Row],[MYSTERY EFECTIVO]]="SI",(_xlfn.XLOOKUP(PUNTAJE[[#This Row],[PREGUNTA]],ENCUESTA!G:G,ENCUESTA!E:E)),"N/A")</f>
        <v>PRESENTACIÓN PERSONAL</v>
      </c>
      <c r="O9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9" s="34" t="str">
        <f>_xlfn.XLOOKUP(PUNTAJE[[#This Row],[PREGUNTA]],ENCUESTA!G:G,ENCUESTA!H:H)</f>
        <v>SI</v>
      </c>
      <c r="Q9" s="34">
        <f>IF(PUNTAJE[[#This Row],[RESPUESTA]]=PUNTAJE[[#This Row],[RTA CORRECTA]],PUNTAJE[[#This Row],[TOTAL PUNTAJE]],0)</f>
        <v>1</v>
      </c>
    </row>
    <row r="10" spans="1:17" x14ac:dyDescent="0.25">
      <c r="A10" t="s">
        <v>32</v>
      </c>
      <c r="B10" t="s">
        <v>6</v>
      </c>
      <c r="C10" t="s">
        <v>52</v>
      </c>
      <c r="D10" t="s">
        <v>107</v>
      </c>
      <c r="E10" s="49" t="s">
        <v>108</v>
      </c>
      <c r="F10" t="s">
        <v>109</v>
      </c>
      <c r="G10" t="s">
        <v>43</v>
      </c>
      <c r="H10" t="s">
        <v>111</v>
      </c>
      <c r="I10" t="s">
        <v>118</v>
      </c>
      <c r="J10" s="60">
        <v>45771</v>
      </c>
      <c r="K10">
        <v>26796192</v>
      </c>
      <c r="L10" s="34" t="s">
        <v>104</v>
      </c>
      <c r="M10" t="str">
        <f>_xlfn.XLOOKUP(PUNTAJE[[#This Row],[CODIGO RUTA]],'DATA INFORME'!S:S,'DATA INFORME'!AB:AB)</f>
        <v>SI</v>
      </c>
      <c r="N10" t="str">
        <f>IF(PUNTAJE[[#This Row],[MYSTERY EFECTIVO]]="SI",(_xlfn.XLOOKUP(PUNTAJE[[#This Row],[PREGUNTA]],ENCUESTA!G:G,ENCUESTA!E:E)),"N/A")</f>
        <v>PRESENTACIÓN PERSONAL</v>
      </c>
      <c r="O10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10" s="34" t="str">
        <f>_xlfn.XLOOKUP(PUNTAJE[[#This Row],[PREGUNTA]],ENCUESTA!G:G,ENCUESTA!H:H)</f>
        <v>NO</v>
      </c>
      <c r="Q10" s="34">
        <f>IF(PUNTAJE[[#This Row],[RESPUESTA]]=PUNTAJE[[#This Row],[RTA CORRECTA]],PUNTAJE[[#This Row],[TOTAL PUNTAJE]],0)</f>
        <v>0</v>
      </c>
    </row>
    <row r="11" spans="1:17" x14ac:dyDescent="0.25">
      <c r="A11" t="s">
        <v>32</v>
      </c>
      <c r="B11" t="s">
        <v>6</v>
      </c>
      <c r="C11" t="s">
        <v>52</v>
      </c>
      <c r="D11" t="s">
        <v>107</v>
      </c>
      <c r="E11" s="49" t="s">
        <v>108</v>
      </c>
      <c r="F11" t="s">
        <v>109</v>
      </c>
      <c r="G11" t="s">
        <v>41</v>
      </c>
      <c r="H11" t="s">
        <v>111</v>
      </c>
      <c r="I11" t="s">
        <v>118</v>
      </c>
      <c r="J11" s="60">
        <v>45771</v>
      </c>
      <c r="K11">
        <v>26796192</v>
      </c>
      <c r="L11" s="34" t="s">
        <v>104</v>
      </c>
      <c r="M11" t="str">
        <f>_xlfn.XLOOKUP(PUNTAJE[[#This Row],[CODIGO RUTA]],'DATA INFORME'!S:S,'DATA INFORME'!AB:AB)</f>
        <v>SI</v>
      </c>
      <c r="N11" t="str">
        <f>IF(PUNTAJE[[#This Row],[MYSTERY EFECTIVO]]="SI",(_xlfn.XLOOKUP(PUNTAJE[[#This Row],[PREGUNTA]],ENCUESTA!G:G,ENCUESTA!E:E)),"N/A")</f>
        <v>PRESENTACIÓN PERSONAL</v>
      </c>
      <c r="O11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11" s="34" t="str">
        <f>_xlfn.XLOOKUP(PUNTAJE[[#This Row],[PREGUNTA]],ENCUESTA!G:G,ENCUESTA!H:H)</f>
        <v>NO</v>
      </c>
      <c r="Q11" s="34">
        <f>IF(PUNTAJE[[#This Row],[RESPUESTA]]=PUNTAJE[[#This Row],[RTA CORRECTA]],PUNTAJE[[#This Row],[TOTAL PUNTAJE]],0)</f>
        <v>0</v>
      </c>
    </row>
    <row r="12" spans="1:17" x14ac:dyDescent="0.25">
      <c r="A12" t="s">
        <v>32</v>
      </c>
      <c r="B12" t="s">
        <v>6</v>
      </c>
      <c r="C12" t="s">
        <v>52</v>
      </c>
      <c r="D12" t="s">
        <v>107</v>
      </c>
      <c r="E12" s="49" t="s">
        <v>108</v>
      </c>
      <c r="F12" t="s">
        <v>109</v>
      </c>
      <c r="G12" t="s">
        <v>40</v>
      </c>
      <c r="H12" t="s">
        <v>111</v>
      </c>
      <c r="I12" t="s">
        <v>118</v>
      </c>
      <c r="J12" s="60">
        <v>45771</v>
      </c>
      <c r="K12">
        <v>26796192</v>
      </c>
      <c r="L12" s="34" t="s">
        <v>104</v>
      </c>
      <c r="M12" t="str">
        <f>_xlfn.XLOOKUP(PUNTAJE[[#This Row],[CODIGO RUTA]],'DATA INFORME'!S:S,'DATA INFORME'!AB:AB)</f>
        <v>SI</v>
      </c>
      <c r="N12" t="str">
        <f>IF(PUNTAJE[[#This Row],[MYSTERY EFECTIVO]]="SI",(_xlfn.XLOOKUP(PUNTAJE[[#This Row],[PREGUNTA]],ENCUESTA!G:G,ENCUESTA!E:E)),"N/A")</f>
        <v>PRESENTACIÓN PERSONAL</v>
      </c>
      <c r="O12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12" s="34" t="str">
        <f>_xlfn.XLOOKUP(PUNTAJE[[#This Row],[PREGUNTA]],ENCUESTA!G:G,ENCUESTA!H:H)</f>
        <v>NO</v>
      </c>
      <c r="Q12" s="34">
        <f>IF(PUNTAJE[[#This Row],[RESPUESTA]]=PUNTAJE[[#This Row],[RTA CORRECTA]],PUNTAJE[[#This Row],[TOTAL PUNTAJE]],0)</f>
        <v>0</v>
      </c>
    </row>
    <row r="13" spans="1:17" x14ac:dyDescent="0.25">
      <c r="A13" t="s">
        <v>32</v>
      </c>
      <c r="B13" t="s">
        <v>6</v>
      </c>
      <c r="C13" t="s">
        <v>52</v>
      </c>
      <c r="D13" t="s">
        <v>107</v>
      </c>
      <c r="E13" s="49" t="s">
        <v>108</v>
      </c>
      <c r="F13" t="s">
        <v>109</v>
      </c>
      <c r="G13" t="s">
        <v>39</v>
      </c>
      <c r="H13" t="s">
        <v>111</v>
      </c>
      <c r="I13" t="s">
        <v>118</v>
      </c>
      <c r="J13" s="60">
        <v>45771</v>
      </c>
      <c r="K13">
        <v>26796192</v>
      </c>
      <c r="L13" s="34" t="s">
        <v>104</v>
      </c>
      <c r="M13" t="str">
        <f>_xlfn.XLOOKUP(PUNTAJE[[#This Row],[CODIGO RUTA]],'DATA INFORME'!S:S,'DATA INFORME'!AB:AB)</f>
        <v>SI</v>
      </c>
      <c r="N13" t="str">
        <f>IF(PUNTAJE[[#This Row],[MYSTERY EFECTIVO]]="SI",(_xlfn.XLOOKUP(PUNTAJE[[#This Row],[PREGUNTA]],ENCUESTA!G:G,ENCUESTA!E:E)),"N/A")</f>
        <v>PRESENTACIÓN PERSONAL</v>
      </c>
      <c r="O13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13" s="34" t="str">
        <f>_xlfn.XLOOKUP(PUNTAJE[[#This Row],[PREGUNTA]],ENCUESTA!G:G,ENCUESTA!H:H)</f>
        <v>NO</v>
      </c>
      <c r="Q13" s="34">
        <f>IF(PUNTAJE[[#This Row],[RESPUESTA]]=PUNTAJE[[#This Row],[RTA CORRECTA]],PUNTAJE[[#This Row],[TOTAL PUNTAJE]],0)</f>
        <v>0</v>
      </c>
    </row>
    <row r="14" spans="1:17" x14ac:dyDescent="0.25">
      <c r="A14" t="s">
        <v>32</v>
      </c>
      <c r="B14" t="s">
        <v>6</v>
      </c>
      <c r="C14" t="s">
        <v>52</v>
      </c>
      <c r="D14" t="s">
        <v>107</v>
      </c>
      <c r="E14" s="49" t="s">
        <v>108</v>
      </c>
      <c r="F14" t="s">
        <v>109</v>
      </c>
      <c r="G14" t="s">
        <v>90</v>
      </c>
      <c r="H14" t="s">
        <v>111</v>
      </c>
      <c r="I14" t="s">
        <v>34</v>
      </c>
      <c r="J14" s="60">
        <v>45771</v>
      </c>
      <c r="K14">
        <v>26796192</v>
      </c>
      <c r="L14" s="34" t="s">
        <v>104</v>
      </c>
      <c r="M14" t="str">
        <f>_xlfn.XLOOKUP(PUNTAJE[[#This Row],[CODIGO RUTA]],'DATA INFORME'!S:S,'DATA INFORME'!AB:AB)</f>
        <v>SI</v>
      </c>
      <c r="N14" t="str">
        <f>IF(PUNTAJE[[#This Row],[MYSTERY EFECTIVO]]="SI",(_xlfn.XLOOKUP(PUNTAJE[[#This Row],[PREGUNTA]],ENCUESTA!G:G,ENCUESTA!E:E)),"N/A")</f>
        <v>EJECUCION DEL PDV</v>
      </c>
      <c r="O14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14" s="34" t="str">
        <f>_xlfn.XLOOKUP(PUNTAJE[[#This Row],[PREGUNTA]],ENCUESTA!G:G,ENCUESTA!H:H)</f>
        <v>SI</v>
      </c>
      <c r="Q14" s="34">
        <f>IF(PUNTAJE[[#This Row],[RESPUESTA]]=PUNTAJE[[#This Row],[RTA CORRECTA]],PUNTAJE[[#This Row],[TOTAL PUNTAJE]],0)</f>
        <v>4.2857142857142856</v>
      </c>
    </row>
    <row r="15" spans="1:17" x14ac:dyDescent="0.25">
      <c r="A15" t="s">
        <v>32</v>
      </c>
      <c r="B15" t="s">
        <v>6</v>
      </c>
      <c r="C15" t="s">
        <v>52</v>
      </c>
      <c r="D15" t="s">
        <v>107</v>
      </c>
      <c r="E15" s="49" t="s">
        <v>108</v>
      </c>
      <c r="F15" t="s">
        <v>109</v>
      </c>
      <c r="G15" t="s">
        <v>91</v>
      </c>
      <c r="H15" t="s">
        <v>111</v>
      </c>
      <c r="I15" t="s">
        <v>118</v>
      </c>
      <c r="J15" s="60">
        <v>45771</v>
      </c>
      <c r="K15">
        <v>26796192</v>
      </c>
      <c r="L15" s="34" t="s">
        <v>104</v>
      </c>
      <c r="M15" t="str">
        <f>_xlfn.XLOOKUP(PUNTAJE[[#This Row],[CODIGO RUTA]],'DATA INFORME'!S:S,'DATA INFORME'!AB:AB)</f>
        <v>SI</v>
      </c>
      <c r="N15" t="str">
        <f>IF(PUNTAJE[[#This Row],[MYSTERY EFECTIVO]]="SI",(_xlfn.XLOOKUP(PUNTAJE[[#This Row],[PREGUNTA]],ENCUESTA!G:G,ENCUESTA!E:E)),"N/A")</f>
        <v>EJECUCION DEL PDV</v>
      </c>
      <c r="O15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15" s="34" t="str">
        <f>_xlfn.XLOOKUP(PUNTAJE[[#This Row],[PREGUNTA]],ENCUESTA!G:G,ENCUESTA!H:H)</f>
        <v>SI</v>
      </c>
      <c r="Q15" s="34">
        <f>IF(PUNTAJE[[#This Row],[RESPUESTA]]=PUNTAJE[[#This Row],[RTA CORRECTA]],PUNTAJE[[#This Row],[TOTAL PUNTAJE]],0)</f>
        <v>0</v>
      </c>
    </row>
    <row r="16" spans="1:17" x14ac:dyDescent="0.25">
      <c r="A16" t="s">
        <v>32</v>
      </c>
      <c r="B16" t="s">
        <v>6</v>
      </c>
      <c r="C16" t="s">
        <v>52</v>
      </c>
      <c r="D16" t="s">
        <v>107</v>
      </c>
      <c r="E16" s="49" t="s">
        <v>108</v>
      </c>
      <c r="F16" t="s">
        <v>109</v>
      </c>
      <c r="G16" t="s">
        <v>92</v>
      </c>
      <c r="H16" t="s">
        <v>111</v>
      </c>
      <c r="I16" t="s">
        <v>34</v>
      </c>
      <c r="J16" s="60">
        <v>45771</v>
      </c>
      <c r="K16">
        <v>26796192</v>
      </c>
      <c r="L16" s="34" t="s">
        <v>104</v>
      </c>
      <c r="M16" t="str">
        <f>_xlfn.XLOOKUP(PUNTAJE[[#This Row],[CODIGO RUTA]],'DATA INFORME'!S:S,'DATA INFORME'!AB:AB)</f>
        <v>SI</v>
      </c>
      <c r="N16" t="str">
        <f>IF(PUNTAJE[[#This Row],[MYSTERY EFECTIVO]]="SI",(_xlfn.XLOOKUP(PUNTAJE[[#This Row],[PREGUNTA]],ENCUESTA!G:G,ENCUESTA!E:E)),"N/A")</f>
        <v>EJECUCION DEL PDV</v>
      </c>
      <c r="O16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16" s="34" t="str">
        <f>_xlfn.XLOOKUP(PUNTAJE[[#This Row],[PREGUNTA]],ENCUESTA!G:G,ENCUESTA!H:H)</f>
        <v>SI</v>
      </c>
      <c r="Q16" s="34">
        <f>IF(PUNTAJE[[#This Row],[RESPUESTA]]=PUNTAJE[[#This Row],[RTA CORRECTA]],PUNTAJE[[#This Row],[TOTAL PUNTAJE]],0)</f>
        <v>4.2857142857142856</v>
      </c>
    </row>
    <row r="17" spans="1:17" x14ac:dyDescent="0.25">
      <c r="A17" t="s">
        <v>32</v>
      </c>
      <c r="B17" t="s">
        <v>6</v>
      </c>
      <c r="C17" t="s">
        <v>52</v>
      </c>
      <c r="D17" t="s">
        <v>107</v>
      </c>
      <c r="E17" s="49" t="s">
        <v>108</v>
      </c>
      <c r="F17" t="s">
        <v>109</v>
      </c>
      <c r="G17" t="s">
        <v>93</v>
      </c>
      <c r="H17" t="s">
        <v>111</v>
      </c>
      <c r="I17" t="s">
        <v>34</v>
      </c>
      <c r="J17" s="60">
        <v>45771</v>
      </c>
      <c r="K17">
        <v>26796192</v>
      </c>
      <c r="L17" s="34" t="s">
        <v>104</v>
      </c>
      <c r="M17" t="str">
        <f>_xlfn.XLOOKUP(PUNTAJE[[#This Row],[CODIGO RUTA]],'DATA INFORME'!S:S,'DATA INFORME'!AB:AB)</f>
        <v>SI</v>
      </c>
      <c r="N17" t="str">
        <f>IF(PUNTAJE[[#This Row],[MYSTERY EFECTIVO]]="SI",(_xlfn.XLOOKUP(PUNTAJE[[#This Row],[PREGUNTA]],ENCUESTA!G:G,ENCUESTA!E:E)),"N/A")</f>
        <v>EJECUCION DEL PDV</v>
      </c>
      <c r="O17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17" s="34" t="str">
        <f>_xlfn.XLOOKUP(PUNTAJE[[#This Row],[PREGUNTA]],ENCUESTA!G:G,ENCUESTA!H:H)</f>
        <v>SI</v>
      </c>
      <c r="Q17" s="34">
        <f>IF(PUNTAJE[[#This Row],[RESPUESTA]]=PUNTAJE[[#This Row],[RTA CORRECTA]],PUNTAJE[[#This Row],[TOTAL PUNTAJE]],0)</f>
        <v>4.2857142857142856</v>
      </c>
    </row>
    <row r="18" spans="1:17" x14ac:dyDescent="0.25">
      <c r="A18" t="s">
        <v>32</v>
      </c>
      <c r="B18" t="s">
        <v>6</v>
      </c>
      <c r="C18" t="s">
        <v>52</v>
      </c>
      <c r="D18" t="s">
        <v>107</v>
      </c>
      <c r="E18" s="49" t="s">
        <v>108</v>
      </c>
      <c r="F18" t="s">
        <v>109</v>
      </c>
      <c r="G18" t="s">
        <v>94</v>
      </c>
      <c r="H18" t="s">
        <v>111</v>
      </c>
      <c r="I18" t="s">
        <v>34</v>
      </c>
      <c r="J18" s="60">
        <v>45771</v>
      </c>
      <c r="K18">
        <v>26796192</v>
      </c>
      <c r="L18" s="34" t="s">
        <v>104</v>
      </c>
      <c r="M18" t="str">
        <f>_xlfn.XLOOKUP(PUNTAJE[[#This Row],[CODIGO RUTA]],'DATA INFORME'!S:S,'DATA INFORME'!AB:AB)</f>
        <v>SI</v>
      </c>
      <c r="N18" t="str">
        <f>IF(PUNTAJE[[#This Row],[MYSTERY EFECTIVO]]="SI",(_xlfn.XLOOKUP(PUNTAJE[[#This Row],[PREGUNTA]],ENCUESTA!G:G,ENCUESTA!E:E)),"N/A")</f>
        <v>EJECUCION DEL PDV</v>
      </c>
      <c r="O18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18" s="34" t="str">
        <f>_xlfn.XLOOKUP(PUNTAJE[[#This Row],[PREGUNTA]],ENCUESTA!G:G,ENCUESTA!H:H)</f>
        <v>SI</v>
      </c>
      <c r="Q18" s="34">
        <f>IF(PUNTAJE[[#This Row],[RESPUESTA]]=PUNTAJE[[#This Row],[RTA CORRECTA]],PUNTAJE[[#This Row],[TOTAL PUNTAJE]],0)</f>
        <v>4.2857142857142856</v>
      </c>
    </row>
    <row r="19" spans="1:17" x14ac:dyDescent="0.25">
      <c r="A19" t="s">
        <v>32</v>
      </c>
      <c r="B19" t="s">
        <v>6</v>
      </c>
      <c r="C19" t="s">
        <v>52</v>
      </c>
      <c r="D19" t="s">
        <v>107</v>
      </c>
      <c r="E19" s="49" t="s">
        <v>108</v>
      </c>
      <c r="F19" t="s">
        <v>109</v>
      </c>
      <c r="G19" t="s">
        <v>95</v>
      </c>
      <c r="H19" t="s">
        <v>111</v>
      </c>
      <c r="I19" t="s">
        <v>34</v>
      </c>
      <c r="J19" s="60">
        <v>45771</v>
      </c>
      <c r="K19">
        <v>26796192</v>
      </c>
      <c r="L19" s="34" t="s">
        <v>104</v>
      </c>
      <c r="M19" t="str">
        <f>_xlfn.XLOOKUP(PUNTAJE[[#This Row],[CODIGO RUTA]],'DATA INFORME'!S:S,'DATA INFORME'!AB:AB)</f>
        <v>SI</v>
      </c>
      <c r="N19" t="str">
        <f>IF(PUNTAJE[[#This Row],[MYSTERY EFECTIVO]]="SI",(_xlfn.XLOOKUP(PUNTAJE[[#This Row],[PREGUNTA]],ENCUESTA!G:G,ENCUESTA!E:E)),"N/A")</f>
        <v>EJECUCION DEL PDV</v>
      </c>
      <c r="O19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19" s="34" t="str">
        <f>_xlfn.XLOOKUP(PUNTAJE[[#This Row],[PREGUNTA]],ENCUESTA!G:G,ENCUESTA!H:H)</f>
        <v>SI</v>
      </c>
      <c r="Q19" s="34">
        <f>IF(PUNTAJE[[#This Row],[RESPUESTA]]=PUNTAJE[[#This Row],[RTA CORRECTA]],PUNTAJE[[#This Row],[TOTAL PUNTAJE]],0)</f>
        <v>4.2857142857142856</v>
      </c>
    </row>
    <row r="20" spans="1:17" x14ac:dyDescent="0.25">
      <c r="A20" t="s">
        <v>32</v>
      </c>
      <c r="B20" t="s">
        <v>6</v>
      </c>
      <c r="C20" t="s">
        <v>52</v>
      </c>
      <c r="D20" t="s">
        <v>107</v>
      </c>
      <c r="E20" s="49" t="s">
        <v>108</v>
      </c>
      <c r="F20" t="s">
        <v>109</v>
      </c>
      <c r="G20" t="s">
        <v>96</v>
      </c>
      <c r="H20" t="s">
        <v>111</v>
      </c>
      <c r="I20" t="s">
        <v>34</v>
      </c>
      <c r="J20" s="60">
        <v>45771</v>
      </c>
      <c r="K20">
        <v>26796192</v>
      </c>
      <c r="L20" s="34" t="s">
        <v>104</v>
      </c>
      <c r="M20" t="str">
        <f>_xlfn.XLOOKUP(PUNTAJE[[#This Row],[CODIGO RUTA]],'DATA INFORME'!S:S,'DATA INFORME'!AB:AB)</f>
        <v>SI</v>
      </c>
      <c r="N20" t="str">
        <f>IF(PUNTAJE[[#This Row],[MYSTERY EFECTIVO]]="SI",(_xlfn.XLOOKUP(PUNTAJE[[#This Row],[PREGUNTA]],ENCUESTA!G:G,ENCUESTA!E:E)),"N/A")</f>
        <v>EJECUCION DEL PDV</v>
      </c>
      <c r="O20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20" s="34" t="str">
        <f>_xlfn.XLOOKUP(PUNTAJE[[#This Row],[PREGUNTA]],ENCUESTA!G:G,ENCUESTA!H:H)</f>
        <v>SI</v>
      </c>
      <c r="Q20" s="34">
        <f>IF(PUNTAJE[[#This Row],[RESPUESTA]]=PUNTAJE[[#This Row],[RTA CORRECTA]],PUNTAJE[[#This Row],[TOTAL PUNTAJE]],0)</f>
        <v>4.2857142857142856</v>
      </c>
    </row>
    <row r="21" spans="1:17" x14ac:dyDescent="0.25">
      <c r="A21" t="s">
        <v>32</v>
      </c>
      <c r="B21" t="s">
        <v>6</v>
      </c>
      <c r="C21" t="s">
        <v>52</v>
      </c>
      <c r="D21" t="s">
        <v>107</v>
      </c>
      <c r="E21" s="49" t="s">
        <v>108</v>
      </c>
      <c r="F21" t="s">
        <v>109</v>
      </c>
      <c r="G21" t="s">
        <v>119</v>
      </c>
      <c r="H21" t="s">
        <v>111</v>
      </c>
      <c r="I21" t="s">
        <v>120</v>
      </c>
      <c r="J21" s="60">
        <v>45771</v>
      </c>
      <c r="K21">
        <v>26796192</v>
      </c>
      <c r="L21" s="34" t="s">
        <v>104</v>
      </c>
      <c r="M21" t="str">
        <f>_xlfn.XLOOKUP(PUNTAJE[[#This Row],[CODIGO RUTA]],'DATA INFORME'!S:S,'DATA INFORME'!AB:AB)</f>
        <v>SI</v>
      </c>
      <c r="N21" t="str">
        <f>IF(PUNTAJE[[#This Row],[MYSTERY EFECTIVO]]="SI",(_xlfn.XLOOKUP(PUNTAJE[[#This Row],[PREGUNTA]],ENCUESTA!G:G,ENCUESTA!E:E)),"N/A")</f>
        <v>N/A</v>
      </c>
      <c r="O21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21" s="34" t="str">
        <f>_xlfn.XLOOKUP(PUNTAJE[[#This Row],[PREGUNTA]],ENCUESTA!G:G,ENCUESTA!H:H)</f>
        <v>MODERNO, ESPECIALIZADO, TRADICIONAL</v>
      </c>
      <c r="Q21" s="34">
        <f>IF(PUNTAJE[[#This Row],[RESPUESTA]]=PUNTAJE[[#This Row],[RTA CORRECTA]],PUNTAJE[[#This Row],[TOTAL PUNTAJE]],0)</f>
        <v>0</v>
      </c>
    </row>
    <row r="22" spans="1:17" x14ac:dyDescent="0.25">
      <c r="A22" t="s">
        <v>32</v>
      </c>
      <c r="B22" t="s">
        <v>6</v>
      </c>
      <c r="C22" t="s">
        <v>52</v>
      </c>
      <c r="D22" t="s">
        <v>107</v>
      </c>
      <c r="E22" s="49" t="s">
        <v>108</v>
      </c>
      <c r="F22" t="s">
        <v>109</v>
      </c>
      <c r="G22" t="s">
        <v>121</v>
      </c>
      <c r="H22" t="s">
        <v>111</v>
      </c>
      <c r="I22" t="s">
        <v>34</v>
      </c>
      <c r="J22" s="60">
        <v>45771</v>
      </c>
      <c r="K22">
        <v>26796192</v>
      </c>
      <c r="L22" s="34" t="s">
        <v>104</v>
      </c>
      <c r="M22" t="str">
        <f>_xlfn.XLOOKUP(PUNTAJE[[#This Row],[CODIGO RUTA]],'DATA INFORME'!S:S,'DATA INFORME'!AB:AB)</f>
        <v>SI</v>
      </c>
      <c r="N22" t="e">
        <f>IF(PUNTAJE[[#This Row],[MYSTERY EFECTIVO]]="SI",(_xlfn.XLOOKUP(PUNTAJE[[#This Row],[PREGUNTA]],ENCUESTA!G:G,ENCUESTA!E:E)),"N/A")</f>
        <v>#N/A</v>
      </c>
      <c r="O22" s="34" t="e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#N/A</v>
      </c>
      <c r="P22" s="34" t="e">
        <f>_xlfn.XLOOKUP(PUNTAJE[[#This Row],[PREGUNTA]],ENCUESTA!G:G,ENCUESTA!H:H)</f>
        <v>#N/A</v>
      </c>
      <c r="Q22" s="34" t="e">
        <f>IF(PUNTAJE[[#This Row],[RESPUESTA]]=PUNTAJE[[#This Row],[RTA CORRECTA]],PUNTAJE[[#This Row],[TOTAL PUNTAJE]],0)</f>
        <v>#N/A</v>
      </c>
    </row>
    <row r="23" spans="1:17" x14ac:dyDescent="0.25">
      <c r="A23" t="s">
        <v>32</v>
      </c>
      <c r="B23" t="s">
        <v>6</v>
      </c>
      <c r="C23" t="s">
        <v>52</v>
      </c>
      <c r="D23" t="s">
        <v>107</v>
      </c>
      <c r="E23" s="49" t="s">
        <v>108</v>
      </c>
      <c r="F23" t="s">
        <v>109</v>
      </c>
      <c r="G23" t="s">
        <v>122</v>
      </c>
      <c r="H23" t="s">
        <v>111</v>
      </c>
      <c r="I23" t="s">
        <v>34</v>
      </c>
      <c r="J23" s="60">
        <v>45771</v>
      </c>
      <c r="K23">
        <v>26796192</v>
      </c>
      <c r="L23" s="34" t="s">
        <v>104</v>
      </c>
      <c r="M23" t="str">
        <f>_xlfn.XLOOKUP(PUNTAJE[[#This Row],[CODIGO RUTA]],'DATA INFORME'!S:S,'DATA INFORME'!AB:AB)</f>
        <v>SI</v>
      </c>
      <c r="N23" t="e">
        <f>IF(PUNTAJE[[#This Row],[MYSTERY EFECTIVO]]="SI",(_xlfn.XLOOKUP(PUNTAJE[[#This Row],[PREGUNTA]],ENCUESTA!G:G,ENCUESTA!E:E)),"N/A")</f>
        <v>#N/A</v>
      </c>
      <c r="O23" s="34" t="e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#N/A</v>
      </c>
      <c r="P23" s="34" t="e">
        <f>_xlfn.XLOOKUP(PUNTAJE[[#This Row],[PREGUNTA]],ENCUESTA!G:G,ENCUESTA!H:H)</f>
        <v>#N/A</v>
      </c>
      <c r="Q23" s="34" t="e">
        <f>IF(PUNTAJE[[#This Row],[RESPUESTA]]=PUNTAJE[[#This Row],[RTA CORRECTA]],PUNTAJE[[#This Row],[TOTAL PUNTAJE]],0)</f>
        <v>#N/A</v>
      </c>
    </row>
    <row r="24" spans="1:17" x14ac:dyDescent="0.25">
      <c r="A24" t="s">
        <v>32</v>
      </c>
      <c r="B24" t="s">
        <v>6</v>
      </c>
      <c r="C24" t="s">
        <v>52</v>
      </c>
      <c r="D24" t="s">
        <v>107</v>
      </c>
      <c r="E24" s="49" t="s">
        <v>108</v>
      </c>
      <c r="F24" t="s">
        <v>109</v>
      </c>
      <c r="G24" t="s">
        <v>123</v>
      </c>
      <c r="H24" t="s">
        <v>111</v>
      </c>
      <c r="I24" t="s">
        <v>118</v>
      </c>
      <c r="J24" s="60">
        <v>45771</v>
      </c>
      <c r="K24">
        <v>26796192</v>
      </c>
      <c r="L24" s="34" t="s">
        <v>104</v>
      </c>
      <c r="M24" t="str">
        <f>_xlfn.XLOOKUP(PUNTAJE[[#This Row],[CODIGO RUTA]],'DATA INFORME'!S:S,'DATA INFORME'!AB:AB)</f>
        <v>SI</v>
      </c>
      <c r="N24" t="e">
        <f>IF(PUNTAJE[[#This Row],[MYSTERY EFECTIVO]]="SI",(_xlfn.XLOOKUP(PUNTAJE[[#This Row],[PREGUNTA]],ENCUESTA!G:G,ENCUESTA!E:E)),"N/A")</f>
        <v>#N/A</v>
      </c>
      <c r="O24" s="34" t="e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#N/A</v>
      </c>
      <c r="P24" s="34" t="e">
        <f>_xlfn.XLOOKUP(PUNTAJE[[#This Row],[PREGUNTA]],ENCUESTA!G:G,ENCUESTA!H:H)</f>
        <v>#N/A</v>
      </c>
      <c r="Q24" s="34" t="e">
        <f>IF(PUNTAJE[[#This Row],[RESPUESTA]]=PUNTAJE[[#This Row],[RTA CORRECTA]],PUNTAJE[[#This Row],[TOTAL PUNTAJE]],0)</f>
        <v>#N/A</v>
      </c>
    </row>
    <row r="25" spans="1:17" x14ac:dyDescent="0.25">
      <c r="A25" t="s">
        <v>32</v>
      </c>
      <c r="B25" t="s">
        <v>6</v>
      </c>
      <c r="C25" t="s">
        <v>52</v>
      </c>
      <c r="D25" t="s">
        <v>107</v>
      </c>
      <c r="E25" s="49" t="s">
        <v>108</v>
      </c>
      <c r="F25" t="s">
        <v>109</v>
      </c>
      <c r="G25" t="s">
        <v>124</v>
      </c>
      <c r="H25" t="s">
        <v>111</v>
      </c>
      <c r="I25" t="s">
        <v>118</v>
      </c>
      <c r="J25" s="60">
        <v>45771</v>
      </c>
      <c r="K25">
        <v>26796192</v>
      </c>
      <c r="L25" s="34" t="s">
        <v>104</v>
      </c>
      <c r="M25" t="str">
        <f>_xlfn.XLOOKUP(PUNTAJE[[#This Row],[CODIGO RUTA]],'DATA INFORME'!S:S,'DATA INFORME'!AB:AB)</f>
        <v>SI</v>
      </c>
      <c r="N25" t="e">
        <f>IF(PUNTAJE[[#This Row],[MYSTERY EFECTIVO]]="SI",(_xlfn.XLOOKUP(PUNTAJE[[#This Row],[PREGUNTA]],ENCUESTA!G:G,ENCUESTA!E:E)),"N/A")</f>
        <v>#N/A</v>
      </c>
      <c r="O25" s="34" t="e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#N/A</v>
      </c>
      <c r="P25" s="34" t="e">
        <f>_xlfn.XLOOKUP(PUNTAJE[[#This Row],[PREGUNTA]],ENCUESTA!G:G,ENCUESTA!H:H)</f>
        <v>#N/A</v>
      </c>
      <c r="Q25" s="34" t="e">
        <f>IF(PUNTAJE[[#This Row],[RESPUESTA]]=PUNTAJE[[#This Row],[RTA CORRECTA]],PUNTAJE[[#This Row],[TOTAL PUNTAJE]],0)</f>
        <v>#N/A</v>
      </c>
    </row>
    <row r="26" spans="1:17" x14ac:dyDescent="0.25">
      <c r="A26" t="s">
        <v>32</v>
      </c>
      <c r="B26" t="s">
        <v>6</v>
      </c>
      <c r="C26" t="s">
        <v>52</v>
      </c>
      <c r="D26" t="s">
        <v>107</v>
      </c>
      <c r="E26" s="49" t="s">
        <v>108</v>
      </c>
      <c r="F26" t="s">
        <v>109</v>
      </c>
      <c r="G26" t="s">
        <v>125</v>
      </c>
      <c r="H26" t="s">
        <v>111</v>
      </c>
      <c r="I26" t="s">
        <v>118</v>
      </c>
      <c r="J26" s="60">
        <v>45771</v>
      </c>
      <c r="K26">
        <v>26796192</v>
      </c>
      <c r="L26" s="34" t="s">
        <v>104</v>
      </c>
      <c r="M26" t="str">
        <f>_xlfn.XLOOKUP(PUNTAJE[[#This Row],[CODIGO RUTA]],'DATA INFORME'!S:S,'DATA INFORME'!AB:AB)</f>
        <v>SI</v>
      </c>
      <c r="N26" t="str">
        <f>IF(PUNTAJE[[#This Row],[MYSTERY EFECTIVO]]="SI",(_xlfn.XLOOKUP(PUNTAJE[[#This Row],[PREGUNTA]],ENCUESTA!G:G,ENCUESTA!E:E)),"N/A")</f>
        <v>N/A</v>
      </c>
      <c r="O26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26" s="34">
        <f>_xlfn.XLOOKUP(PUNTAJE[[#This Row],[PREGUNTA]],ENCUESTA!G:G,ENCUESTA!H:H)</f>
        <v>0</v>
      </c>
      <c r="Q26" s="34">
        <f>IF(PUNTAJE[[#This Row],[RESPUESTA]]=PUNTAJE[[#This Row],[RTA CORRECTA]],PUNTAJE[[#This Row],[TOTAL PUNTAJE]],0)</f>
        <v>0</v>
      </c>
    </row>
    <row r="27" spans="1:17" x14ac:dyDescent="0.25">
      <c r="A27" t="s">
        <v>32</v>
      </c>
      <c r="B27" t="s">
        <v>6</v>
      </c>
      <c r="C27" t="s">
        <v>55</v>
      </c>
      <c r="D27" t="s">
        <v>12</v>
      </c>
      <c r="E27" s="49" t="s">
        <v>127</v>
      </c>
      <c r="F27" t="s">
        <v>128</v>
      </c>
      <c r="G27" t="s">
        <v>112</v>
      </c>
      <c r="H27" t="s">
        <v>111</v>
      </c>
      <c r="I27" t="s">
        <v>118</v>
      </c>
      <c r="J27" s="60">
        <v>45771</v>
      </c>
      <c r="K27">
        <v>26796224</v>
      </c>
      <c r="L27" s="34" t="s">
        <v>104</v>
      </c>
      <c r="M27" t="str">
        <f>_xlfn.XLOOKUP(PUNTAJE[[#This Row],[CODIGO RUTA]],'DATA INFORME'!S:S,'DATA INFORME'!AB:AB)</f>
        <v>NO</v>
      </c>
      <c r="N27" t="str">
        <f>IF(PUNTAJE[[#This Row],[MYSTERY EFECTIVO]]="SI",(_xlfn.XLOOKUP(PUNTAJE[[#This Row],[PREGUNTA]],ENCUESTA!G:G,ENCUESTA!E:E)),"N/A")</f>
        <v>N/A</v>
      </c>
      <c r="O27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27" s="34" t="str">
        <f>_xlfn.XLOOKUP(PUNTAJE[[#This Row],[PREGUNTA]],ENCUESTA!G:G,ENCUESTA!H:H)</f>
        <v>SI</v>
      </c>
      <c r="Q27" s="34">
        <f>IF(PUNTAJE[[#This Row],[RESPUESTA]]=PUNTAJE[[#This Row],[RTA CORRECTA]],PUNTAJE[[#This Row],[TOTAL PUNTAJE]],0)</f>
        <v>0</v>
      </c>
    </row>
    <row r="28" spans="1:17" x14ac:dyDescent="0.25">
      <c r="A28" t="s">
        <v>32</v>
      </c>
      <c r="B28" t="s">
        <v>6</v>
      </c>
      <c r="C28" t="s">
        <v>55</v>
      </c>
      <c r="D28" t="s">
        <v>12</v>
      </c>
      <c r="E28" s="49" t="s">
        <v>127</v>
      </c>
      <c r="F28" t="s">
        <v>128</v>
      </c>
      <c r="G28" t="s">
        <v>132</v>
      </c>
      <c r="H28" t="s">
        <v>111</v>
      </c>
      <c r="I28" t="s">
        <v>133</v>
      </c>
      <c r="J28" s="60">
        <v>45771</v>
      </c>
      <c r="K28">
        <v>26796224</v>
      </c>
      <c r="L28" s="34" t="s">
        <v>104</v>
      </c>
      <c r="M28" t="str">
        <f>_xlfn.XLOOKUP(PUNTAJE[[#This Row],[CODIGO RUTA]],'DATA INFORME'!S:S,'DATA INFORME'!AB:AB)</f>
        <v>NO</v>
      </c>
      <c r="N28" t="str">
        <f>IF(PUNTAJE[[#This Row],[MYSTERY EFECTIVO]]="SI",(_xlfn.XLOOKUP(PUNTAJE[[#This Row],[PREGUNTA]],ENCUESTA!G:G,ENCUESTA!E:E)),"N/A")</f>
        <v>N/A</v>
      </c>
      <c r="O28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28" s="34" t="e">
        <f>_xlfn.XLOOKUP(PUNTAJE[[#This Row],[PREGUNTA]],ENCUESTA!G:G,ENCUESTA!H:H)</f>
        <v>#N/A</v>
      </c>
      <c r="Q28" s="34" t="e">
        <f>IF(PUNTAJE[[#This Row],[RESPUESTA]]=PUNTAJE[[#This Row],[RTA CORRECTA]],PUNTAJE[[#This Row],[TOTAL PUNTAJE]],0)</f>
        <v>#N/A</v>
      </c>
    </row>
    <row r="29" spans="1:17" x14ac:dyDescent="0.25">
      <c r="A29" t="s">
        <v>32</v>
      </c>
      <c r="B29" t="s">
        <v>6</v>
      </c>
      <c r="C29" t="s">
        <v>12</v>
      </c>
      <c r="D29" t="s">
        <v>134</v>
      </c>
      <c r="E29" s="49" t="s">
        <v>135</v>
      </c>
      <c r="F29" t="s">
        <v>136</v>
      </c>
      <c r="G29" t="s">
        <v>112</v>
      </c>
      <c r="H29" t="s">
        <v>111</v>
      </c>
      <c r="I29" t="s">
        <v>118</v>
      </c>
      <c r="J29" s="60">
        <v>45773</v>
      </c>
      <c r="K29">
        <v>26824020</v>
      </c>
      <c r="L29" s="34" t="s">
        <v>104</v>
      </c>
      <c r="M29" t="str">
        <f>_xlfn.XLOOKUP(PUNTAJE[[#This Row],[CODIGO RUTA]],'DATA INFORME'!S:S,'DATA INFORME'!AB:AB)</f>
        <v>NO</v>
      </c>
      <c r="N29" t="str">
        <f>IF(PUNTAJE[[#This Row],[MYSTERY EFECTIVO]]="SI",(_xlfn.XLOOKUP(PUNTAJE[[#This Row],[PREGUNTA]],ENCUESTA!G:G,ENCUESTA!E:E)),"N/A")</f>
        <v>N/A</v>
      </c>
      <c r="O29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29" s="34" t="str">
        <f>_xlfn.XLOOKUP(PUNTAJE[[#This Row],[PREGUNTA]],ENCUESTA!G:G,ENCUESTA!H:H)</f>
        <v>SI</v>
      </c>
      <c r="Q29" s="34">
        <f>IF(PUNTAJE[[#This Row],[RESPUESTA]]=PUNTAJE[[#This Row],[RTA CORRECTA]],PUNTAJE[[#This Row],[TOTAL PUNTAJE]],0)</f>
        <v>0</v>
      </c>
    </row>
    <row r="30" spans="1:17" x14ac:dyDescent="0.25">
      <c r="A30" t="s">
        <v>32</v>
      </c>
      <c r="B30" t="s">
        <v>6</v>
      </c>
      <c r="C30" t="s">
        <v>12</v>
      </c>
      <c r="D30" t="s">
        <v>134</v>
      </c>
      <c r="E30" s="49" t="s">
        <v>135</v>
      </c>
      <c r="F30" t="s">
        <v>136</v>
      </c>
      <c r="G30" t="s">
        <v>132</v>
      </c>
      <c r="H30" t="s">
        <v>111</v>
      </c>
      <c r="I30" t="s">
        <v>141</v>
      </c>
      <c r="J30" s="60">
        <v>45773</v>
      </c>
      <c r="K30">
        <v>26824020</v>
      </c>
      <c r="L30" s="34" t="s">
        <v>104</v>
      </c>
      <c r="M30" t="str">
        <f>_xlfn.XLOOKUP(PUNTAJE[[#This Row],[CODIGO RUTA]],'DATA INFORME'!S:S,'DATA INFORME'!AB:AB)</f>
        <v>NO</v>
      </c>
      <c r="N30" t="str">
        <f>IF(PUNTAJE[[#This Row],[MYSTERY EFECTIVO]]="SI",(_xlfn.XLOOKUP(PUNTAJE[[#This Row],[PREGUNTA]],ENCUESTA!G:G,ENCUESTA!E:E)),"N/A")</f>
        <v>N/A</v>
      </c>
      <c r="O30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30" s="34" t="e">
        <f>_xlfn.XLOOKUP(PUNTAJE[[#This Row],[PREGUNTA]],ENCUESTA!G:G,ENCUESTA!H:H)</f>
        <v>#N/A</v>
      </c>
      <c r="Q30" s="34" t="e">
        <f>IF(PUNTAJE[[#This Row],[RESPUESTA]]=PUNTAJE[[#This Row],[RTA CORRECTA]],PUNTAJE[[#This Row],[TOTAL PUNTAJE]],0)</f>
        <v>#N/A</v>
      </c>
    </row>
    <row r="31" spans="1:17" x14ac:dyDescent="0.25">
      <c r="A31" t="s">
        <v>32</v>
      </c>
      <c r="B31" t="s">
        <v>53</v>
      </c>
      <c r="C31" t="s">
        <v>12</v>
      </c>
      <c r="D31" t="s">
        <v>142</v>
      </c>
      <c r="E31" s="49" t="s">
        <v>143</v>
      </c>
      <c r="F31" t="s">
        <v>144</v>
      </c>
      <c r="G31" t="s">
        <v>112</v>
      </c>
      <c r="H31" t="s">
        <v>111</v>
      </c>
      <c r="I31" t="s">
        <v>118</v>
      </c>
      <c r="J31" s="60">
        <v>45756</v>
      </c>
      <c r="K31">
        <v>26831557</v>
      </c>
      <c r="L31" s="34" t="s">
        <v>150</v>
      </c>
      <c r="M31" t="str">
        <f>_xlfn.XLOOKUP(PUNTAJE[[#This Row],[CODIGO RUTA]],'DATA INFORME'!S:S,'DATA INFORME'!AB:AB)</f>
        <v>NO</v>
      </c>
      <c r="N31" t="str">
        <f>IF(PUNTAJE[[#This Row],[MYSTERY EFECTIVO]]="SI",(_xlfn.XLOOKUP(PUNTAJE[[#This Row],[PREGUNTA]],ENCUESTA!G:G,ENCUESTA!E:E)),"N/A")</f>
        <v>N/A</v>
      </c>
      <c r="O31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31" s="34" t="str">
        <f>_xlfn.XLOOKUP(PUNTAJE[[#This Row],[PREGUNTA]],ENCUESTA!G:G,ENCUESTA!H:H)</f>
        <v>SI</v>
      </c>
      <c r="Q31" s="34">
        <f>IF(PUNTAJE[[#This Row],[RESPUESTA]]=PUNTAJE[[#This Row],[RTA CORRECTA]],PUNTAJE[[#This Row],[TOTAL PUNTAJE]],0)</f>
        <v>0</v>
      </c>
    </row>
    <row r="32" spans="1:17" x14ac:dyDescent="0.25">
      <c r="A32" t="s">
        <v>32</v>
      </c>
      <c r="B32" t="s">
        <v>53</v>
      </c>
      <c r="C32" t="s">
        <v>12</v>
      </c>
      <c r="D32" t="s">
        <v>142</v>
      </c>
      <c r="E32" s="49" t="s">
        <v>143</v>
      </c>
      <c r="F32" t="s">
        <v>144</v>
      </c>
      <c r="G32" t="s">
        <v>132</v>
      </c>
      <c r="H32" t="s">
        <v>111</v>
      </c>
      <c r="I32" t="s">
        <v>151</v>
      </c>
      <c r="J32" s="60">
        <v>45756</v>
      </c>
      <c r="K32">
        <v>26831557</v>
      </c>
      <c r="L32" s="34" t="s">
        <v>150</v>
      </c>
      <c r="M32" t="str">
        <f>_xlfn.XLOOKUP(PUNTAJE[[#This Row],[CODIGO RUTA]],'DATA INFORME'!S:S,'DATA INFORME'!AB:AB)</f>
        <v>NO</v>
      </c>
      <c r="N32" t="str">
        <f>IF(PUNTAJE[[#This Row],[MYSTERY EFECTIVO]]="SI",(_xlfn.XLOOKUP(PUNTAJE[[#This Row],[PREGUNTA]],ENCUESTA!G:G,ENCUESTA!E:E)),"N/A")</f>
        <v>N/A</v>
      </c>
      <c r="O32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32" s="34" t="e">
        <f>_xlfn.XLOOKUP(PUNTAJE[[#This Row],[PREGUNTA]],ENCUESTA!G:G,ENCUESTA!H:H)</f>
        <v>#N/A</v>
      </c>
      <c r="Q32" s="34" t="e">
        <f>IF(PUNTAJE[[#This Row],[RESPUESTA]]=PUNTAJE[[#This Row],[RTA CORRECTA]],PUNTAJE[[#This Row],[TOTAL PUNTAJE]],0)</f>
        <v>#N/A</v>
      </c>
    </row>
    <row r="33" spans="1:17" x14ac:dyDescent="0.25">
      <c r="A33" t="s">
        <v>32</v>
      </c>
      <c r="B33" t="s">
        <v>53</v>
      </c>
      <c r="C33" t="s">
        <v>12</v>
      </c>
      <c r="D33" t="s">
        <v>86</v>
      </c>
      <c r="E33" s="49" t="s">
        <v>152</v>
      </c>
      <c r="F33" t="s">
        <v>153</v>
      </c>
      <c r="G33" t="s">
        <v>112</v>
      </c>
      <c r="H33" t="s">
        <v>111</v>
      </c>
      <c r="I33" t="s">
        <v>34</v>
      </c>
      <c r="J33" s="60">
        <v>45759</v>
      </c>
      <c r="K33">
        <v>26831621</v>
      </c>
      <c r="L33" s="34" t="s">
        <v>150</v>
      </c>
      <c r="M33" t="str">
        <f>_xlfn.XLOOKUP(PUNTAJE[[#This Row],[CODIGO RUTA]],'DATA INFORME'!S:S,'DATA INFORME'!AB:AB)</f>
        <v>SI</v>
      </c>
      <c r="N33" t="str">
        <f>IF(PUNTAJE[[#This Row],[MYSTERY EFECTIVO]]="SI",(_xlfn.XLOOKUP(PUNTAJE[[#This Row],[PREGUNTA]],ENCUESTA!G:G,ENCUESTA!E:E)),"N/A")</f>
        <v>N/A</v>
      </c>
      <c r="O33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33" s="34" t="str">
        <f>_xlfn.XLOOKUP(PUNTAJE[[#This Row],[PREGUNTA]],ENCUESTA!G:G,ENCUESTA!H:H)</f>
        <v>SI</v>
      </c>
      <c r="Q33" s="34">
        <f>IF(PUNTAJE[[#This Row],[RESPUESTA]]=PUNTAJE[[#This Row],[RTA CORRECTA]],PUNTAJE[[#This Row],[TOTAL PUNTAJE]],0)</f>
        <v>0</v>
      </c>
    </row>
    <row r="34" spans="1:17" x14ac:dyDescent="0.25">
      <c r="A34" t="s">
        <v>32</v>
      </c>
      <c r="B34" t="s">
        <v>53</v>
      </c>
      <c r="C34" t="s">
        <v>12</v>
      </c>
      <c r="D34" t="s">
        <v>86</v>
      </c>
      <c r="E34" s="49" t="s">
        <v>152</v>
      </c>
      <c r="F34" t="s">
        <v>153</v>
      </c>
      <c r="G34" t="s">
        <v>44</v>
      </c>
      <c r="H34" t="s">
        <v>111</v>
      </c>
      <c r="I34" t="s">
        <v>34</v>
      </c>
      <c r="J34" s="60">
        <v>45759</v>
      </c>
      <c r="K34">
        <v>26831621</v>
      </c>
      <c r="L34" s="34" t="s">
        <v>150</v>
      </c>
      <c r="M34" t="str">
        <f>_xlfn.XLOOKUP(PUNTAJE[[#This Row],[CODIGO RUTA]],'DATA INFORME'!S:S,'DATA INFORME'!AB:AB)</f>
        <v>SI</v>
      </c>
      <c r="N34" t="str">
        <f>IF(PUNTAJE[[#This Row],[MYSTERY EFECTIVO]]="SI",(_xlfn.XLOOKUP(PUNTAJE[[#This Row],[PREGUNTA]],ENCUESTA!G:G,ENCUESTA!E:E)),"N/A")</f>
        <v>HORARIO</v>
      </c>
      <c r="O34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20</v>
      </c>
      <c r="P34" s="34" t="str">
        <f>_xlfn.XLOOKUP(PUNTAJE[[#This Row],[PREGUNTA]],ENCUESTA!G:G,ENCUESTA!H:H)</f>
        <v>SI</v>
      </c>
      <c r="Q34" s="34">
        <f>IF(PUNTAJE[[#This Row],[RESPUESTA]]=PUNTAJE[[#This Row],[RTA CORRECTA]],PUNTAJE[[#This Row],[TOTAL PUNTAJE]],0)</f>
        <v>20</v>
      </c>
    </row>
    <row r="35" spans="1:17" x14ac:dyDescent="0.25">
      <c r="A35" t="s">
        <v>32</v>
      </c>
      <c r="B35" t="s">
        <v>53</v>
      </c>
      <c r="C35" t="s">
        <v>12</v>
      </c>
      <c r="D35" t="s">
        <v>86</v>
      </c>
      <c r="E35" s="49" t="s">
        <v>152</v>
      </c>
      <c r="F35" t="s">
        <v>153</v>
      </c>
      <c r="G35" t="s">
        <v>37</v>
      </c>
      <c r="H35" t="s">
        <v>111</v>
      </c>
      <c r="I35" t="s">
        <v>34</v>
      </c>
      <c r="J35" s="60">
        <v>45759</v>
      </c>
      <c r="K35">
        <v>26831621</v>
      </c>
      <c r="L35" s="34" t="s">
        <v>150</v>
      </c>
      <c r="M35" t="str">
        <f>_xlfn.XLOOKUP(PUNTAJE[[#This Row],[CODIGO RUTA]],'DATA INFORME'!S:S,'DATA INFORME'!AB:AB)</f>
        <v>SI</v>
      </c>
      <c r="N35" t="str">
        <f>IF(PUNTAJE[[#This Row],[MYSTERY EFECTIVO]]="SI",(_xlfn.XLOOKUP(PUNTAJE[[#This Row],[PREGUNTA]],ENCUESTA!G:G,ENCUESTA!E:E)),"N/A")</f>
        <v>PRESENTACIÓN PERSONAL</v>
      </c>
      <c r="O35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35" s="34" t="str">
        <f>_xlfn.XLOOKUP(PUNTAJE[[#This Row],[PREGUNTA]],ENCUESTA!G:G,ENCUESTA!H:H)</f>
        <v>SI</v>
      </c>
      <c r="Q35" s="34">
        <f>IF(PUNTAJE[[#This Row],[RESPUESTA]]=PUNTAJE[[#This Row],[RTA CORRECTA]],PUNTAJE[[#This Row],[TOTAL PUNTAJE]],0)</f>
        <v>1</v>
      </c>
    </row>
    <row r="36" spans="1:17" x14ac:dyDescent="0.25">
      <c r="A36" t="s">
        <v>32</v>
      </c>
      <c r="B36" t="s">
        <v>53</v>
      </c>
      <c r="C36" t="s">
        <v>12</v>
      </c>
      <c r="D36" t="s">
        <v>86</v>
      </c>
      <c r="E36" s="49" t="s">
        <v>152</v>
      </c>
      <c r="F36" t="s">
        <v>153</v>
      </c>
      <c r="G36" t="s">
        <v>89</v>
      </c>
      <c r="H36" t="s">
        <v>111</v>
      </c>
      <c r="I36" t="s">
        <v>34</v>
      </c>
      <c r="J36" s="60">
        <v>45759</v>
      </c>
      <c r="K36">
        <v>26831621</v>
      </c>
      <c r="L36" s="34" t="s">
        <v>150</v>
      </c>
      <c r="M36" t="str">
        <f>_xlfn.XLOOKUP(PUNTAJE[[#This Row],[CODIGO RUTA]],'DATA INFORME'!S:S,'DATA INFORME'!AB:AB)</f>
        <v>SI</v>
      </c>
      <c r="N36" t="str">
        <f>IF(PUNTAJE[[#This Row],[MYSTERY EFECTIVO]]="SI",(_xlfn.XLOOKUP(PUNTAJE[[#This Row],[PREGUNTA]],ENCUESTA!G:G,ENCUESTA!E:E)),"N/A")</f>
        <v>PRESENTACIÓN PERSONAL</v>
      </c>
      <c r="O36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36" s="34" t="str">
        <f>_xlfn.XLOOKUP(PUNTAJE[[#This Row],[PREGUNTA]],ENCUESTA!G:G,ENCUESTA!H:H)</f>
        <v>SI</v>
      </c>
      <c r="Q36" s="34">
        <f>IF(PUNTAJE[[#This Row],[RESPUESTA]]=PUNTAJE[[#This Row],[RTA CORRECTA]],PUNTAJE[[#This Row],[TOTAL PUNTAJE]],0)</f>
        <v>1</v>
      </c>
    </row>
    <row r="37" spans="1:17" x14ac:dyDescent="0.25">
      <c r="A37" t="s">
        <v>32</v>
      </c>
      <c r="B37" t="s">
        <v>53</v>
      </c>
      <c r="C37" t="s">
        <v>12</v>
      </c>
      <c r="D37" t="s">
        <v>86</v>
      </c>
      <c r="E37" s="49" t="s">
        <v>152</v>
      </c>
      <c r="F37" t="s">
        <v>153</v>
      </c>
      <c r="G37" t="s">
        <v>38</v>
      </c>
      <c r="H37" t="s">
        <v>111</v>
      </c>
      <c r="I37" t="s">
        <v>34</v>
      </c>
      <c r="J37" s="60">
        <v>45759</v>
      </c>
      <c r="K37">
        <v>26831621</v>
      </c>
      <c r="L37" s="34" t="s">
        <v>150</v>
      </c>
      <c r="M37" t="str">
        <f>_xlfn.XLOOKUP(PUNTAJE[[#This Row],[CODIGO RUTA]],'DATA INFORME'!S:S,'DATA INFORME'!AB:AB)</f>
        <v>SI</v>
      </c>
      <c r="N37" t="str">
        <f>IF(PUNTAJE[[#This Row],[MYSTERY EFECTIVO]]="SI",(_xlfn.XLOOKUP(PUNTAJE[[#This Row],[PREGUNTA]],ENCUESTA!G:G,ENCUESTA!E:E)),"N/A")</f>
        <v>PRESENTACIÓN PERSONAL</v>
      </c>
      <c r="O37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37" s="34" t="str">
        <f>_xlfn.XLOOKUP(PUNTAJE[[#This Row],[PREGUNTA]],ENCUESTA!G:G,ENCUESTA!H:H)</f>
        <v>SI</v>
      </c>
      <c r="Q37" s="34">
        <f>IF(PUNTAJE[[#This Row],[RESPUESTA]]=PUNTAJE[[#This Row],[RTA CORRECTA]],PUNTAJE[[#This Row],[TOTAL PUNTAJE]],0)</f>
        <v>1</v>
      </c>
    </row>
    <row r="38" spans="1:17" x14ac:dyDescent="0.25">
      <c r="A38" t="s">
        <v>32</v>
      </c>
      <c r="B38" t="s">
        <v>53</v>
      </c>
      <c r="C38" t="s">
        <v>12</v>
      </c>
      <c r="D38" t="s">
        <v>86</v>
      </c>
      <c r="E38" s="49" t="s">
        <v>152</v>
      </c>
      <c r="F38" t="s">
        <v>153</v>
      </c>
      <c r="G38" t="s">
        <v>117</v>
      </c>
      <c r="H38" t="s">
        <v>111</v>
      </c>
      <c r="I38" t="s">
        <v>118</v>
      </c>
      <c r="J38" s="60">
        <v>45759</v>
      </c>
      <c r="K38">
        <v>26831621</v>
      </c>
      <c r="L38" s="34" t="s">
        <v>150</v>
      </c>
      <c r="M38" t="str">
        <f>_xlfn.XLOOKUP(PUNTAJE[[#This Row],[CODIGO RUTA]],'DATA INFORME'!S:S,'DATA INFORME'!AB:AB)</f>
        <v>SI</v>
      </c>
      <c r="N38" t="str">
        <f>IF(PUNTAJE[[#This Row],[MYSTERY EFECTIVO]]="SI",(_xlfn.XLOOKUP(PUNTAJE[[#This Row],[PREGUNTA]],ENCUESTA!G:G,ENCUESTA!E:E)),"N/A")</f>
        <v>PRESENTACIÓN PERSONAL</v>
      </c>
      <c r="O38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38" s="34" t="str">
        <f>_xlfn.XLOOKUP(PUNTAJE[[#This Row],[PREGUNTA]],ENCUESTA!G:G,ENCUESTA!H:H)</f>
        <v>NO</v>
      </c>
      <c r="Q38" s="34">
        <f>IF(PUNTAJE[[#This Row],[RESPUESTA]]=PUNTAJE[[#This Row],[RTA CORRECTA]],PUNTAJE[[#This Row],[TOTAL PUNTAJE]],0)</f>
        <v>0</v>
      </c>
    </row>
    <row r="39" spans="1:17" x14ac:dyDescent="0.25">
      <c r="A39" t="s">
        <v>32</v>
      </c>
      <c r="B39" t="s">
        <v>53</v>
      </c>
      <c r="C39" t="s">
        <v>12</v>
      </c>
      <c r="D39" t="s">
        <v>86</v>
      </c>
      <c r="E39" s="49" t="s">
        <v>152</v>
      </c>
      <c r="F39" t="s">
        <v>153</v>
      </c>
      <c r="G39" t="s">
        <v>36</v>
      </c>
      <c r="H39" t="s">
        <v>111</v>
      </c>
      <c r="I39" t="s">
        <v>34</v>
      </c>
      <c r="J39" s="60">
        <v>45759</v>
      </c>
      <c r="K39">
        <v>26831621</v>
      </c>
      <c r="L39" s="34" t="s">
        <v>150</v>
      </c>
      <c r="M39" t="str">
        <f>_xlfn.XLOOKUP(PUNTAJE[[#This Row],[CODIGO RUTA]],'DATA INFORME'!S:S,'DATA INFORME'!AB:AB)</f>
        <v>SI</v>
      </c>
      <c r="N39" t="str">
        <f>IF(PUNTAJE[[#This Row],[MYSTERY EFECTIVO]]="SI",(_xlfn.XLOOKUP(PUNTAJE[[#This Row],[PREGUNTA]],ENCUESTA!G:G,ENCUESTA!E:E)),"N/A")</f>
        <v>PRESENTACIÓN PERSONAL</v>
      </c>
      <c r="O39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39" s="34" t="str">
        <f>_xlfn.XLOOKUP(PUNTAJE[[#This Row],[PREGUNTA]],ENCUESTA!G:G,ENCUESTA!H:H)</f>
        <v>SI</v>
      </c>
      <c r="Q39" s="34">
        <f>IF(PUNTAJE[[#This Row],[RESPUESTA]]=PUNTAJE[[#This Row],[RTA CORRECTA]],PUNTAJE[[#This Row],[TOTAL PUNTAJE]],0)</f>
        <v>1</v>
      </c>
    </row>
    <row r="40" spans="1:17" x14ac:dyDescent="0.25">
      <c r="A40" t="s">
        <v>32</v>
      </c>
      <c r="B40" t="s">
        <v>53</v>
      </c>
      <c r="C40" t="s">
        <v>12</v>
      </c>
      <c r="D40" t="s">
        <v>86</v>
      </c>
      <c r="E40" s="49" t="s">
        <v>152</v>
      </c>
      <c r="F40" t="s">
        <v>153</v>
      </c>
      <c r="G40" t="s">
        <v>42</v>
      </c>
      <c r="H40" t="s">
        <v>111</v>
      </c>
      <c r="I40" t="s">
        <v>34</v>
      </c>
      <c r="J40" s="60">
        <v>45759</v>
      </c>
      <c r="K40">
        <v>26831621</v>
      </c>
      <c r="L40" s="34" t="s">
        <v>150</v>
      </c>
      <c r="M40" t="str">
        <f>_xlfn.XLOOKUP(PUNTAJE[[#This Row],[CODIGO RUTA]],'DATA INFORME'!S:S,'DATA INFORME'!AB:AB)</f>
        <v>SI</v>
      </c>
      <c r="N40" t="str">
        <f>IF(PUNTAJE[[#This Row],[MYSTERY EFECTIVO]]="SI",(_xlfn.XLOOKUP(PUNTAJE[[#This Row],[PREGUNTA]],ENCUESTA!G:G,ENCUESTA!E:E)),"N/A")</f>
        <v>PRESENTACIÓN PERSONAL</v>
      </c>
      <c r="O40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40" s="34" t="str">
        <f>_xlfn.XLOOKUP(PUNTAJE[[#This Row],[PREGUNTA]],ENCUESTA!G:G,ENCUESTA!H:H)</f>
        <v>SI</v>
      </c>
      <c r="Q40" s="34">
        <f>IF(PUNTAJE[[#This Row],[RESPUESTA]]=PUNTAJE[[#This Row],[RTA CORRECTA]],PUNTAJE[[#This Row],[TOTAL PUNTAJE]],0)</f>
        <v>1</v>
      </c>
    </row>
    <row r="41" spans="1:17" x14ac:dyDescent="0.25">
      <c r="A41" t="s">
        <v>32</v>
      </c>
      <c r="B41" t="s">
        <v>53</v>
      </c>
      <c r="C41" t="s">
        <v>12</v>
      </c>
      <c r="D41" t="s">
        <v>86</v>
      </c>
      <c r="E41" s="49" t="s">
        <v>152</v>
      </c>
      <c r="F41" t="s">
        <v>153</v>
      </c>
      <c r="G41" t="s">
        <v>43</v>
      </c>
      <c r="H41" t="s">
        <v>111</v>
      </c>
      <c r="I41" t="s">
        <v>118</v>
      </c>
      <c r="J41" s="60">
        <v>45759</v>
      </c>
      <c r="K41">
        <v>26831621</v>
      </c>
      <c r="L41" s="34" t="s">
        <v>150</v>
      </c>
      <c r="M41" t="str">
        <f>_xlfn.XLOOKUP(PUNTAJE[[#This Row],[CODIGO RUTA]],'DATA INFORME'!S:S,'DATA INFORME'!AB:AB)</f>
        <v>SI</v>
      </c>
      <c r="N41" t="str">
        <f>IF(PUNTAJE[[#This Row],[MYSTERY EFECTIVO]]="SI",(_xlfn.XLOOKUP(PUNTAJE[[#This Row],[PREGUNTA]],ENCUESTA!G:G,ENCUESTA!E:E)),"N/A")</f>
        <v>PRESENTACIÓN PERSONAL</v>
      </c>
      <c r="O41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41" s="34" t="str">
        <f>_xlfn.XLOOKUP(PUNTAJE[[#This Row],[PREGUNTA]],ENCUESTA!G:G,ENCUESTA!H:H)</f>
        <v>NO</v>
      </c>
      <c r="Q41" s="34">
        <f>IF(PUNTAJE[[#This Row],[RESPUESTA]]=PUNTAJE[[#This Row],[RTA CORRECTA]],PUNTAJE[[#This Row],[TOTAL PUNTAJE]],0)</f>
        <v>0</v>
      </c>
    </row>
    <row r="42" spans="1:17" x14ac:dyDescent="0.25">
      <c r="A42" t="s">
        <v>32</v>
      </c>
      <c r="B42" t="s">
        <v>53</v>
      </c>
      <c r="C42" t="s">
        <v>12</v>
      </c>
      <c r="D42" t="s">
        <v>86</v>
      </c>
      <c r="E42" s="49" t="s">
        <v>152</v>
      </c>
      <c r="F42" t="s">
        <v>153</v>
      </c>
      <c r="G42" t="s">
        <v>41</v>
      </c>
      <c r="H42" t="s">
        <v>111</v>
      </c>
      <c r="I42" t="s">
        <v>118</v>
      </c>
      <c r="J42" s="60">
        <v>45759</v>
      </c>
      <c r="K42">
        <v>26831621</v>
      </c>
      <c r="L42" s="34" t="s">
        <v>150</v>
      </c>
      <c r="M42" t="str">
        <f>_xlfn.XLOOKUP(PUNTAJE[[#This Row],[CODIGO RUTA]],'DATA INFORME'!S:S,'DATA INFORME'!AB:AB)</f>
        <v>SI</v>
      </c>
      <c r="N42" t="str">
        <f>IF(PUNTAJE[[#This Row],[MYSTERY EFECTIVO]]="SI",(_xlfn.XLOOKUP(PUNTAJE[[#This Row],[PREGUNTA]],ENCUESTA!G:G,ENCUESTA!E:E)),"N/A")</f>
        <v>PRESENTACIÓN PERSONAL</v>
      </c>
      <c r="O42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42" s="34" t="str">
        <f>_xlfn.XLOOKUP(PUNTAJE[[#This Row],[PREGUNTA]],ENCUESTA!G:G,ENCUESTA!H:H)</f>
        <v>NO</v>
      </c>
      <c r="Q42" s="34">
        <f>IF(PUNTAJE[[#This Row],[RESPUESTA]]=PUNTAJE[[#This Row],[RTA CORRECTA]],PUNTAJE[[#This Row],[TOTAL PUNTAJE]],0)</f>
        <v>0</v>
      </c>
    </row>
    <row r="43" spans="1:17" x14ac:dyDescent="0.25">
      <c r="A43" t="s">
        <v>32</v>
      </c>
      <c r="B43" t="s">
        <v>53</v>
      </c>
      <c r="C43" t="s">
        <v>12</v>
      </c>
      <c r="D43" t="s">
        <v>86</v>
      </c>
      <c r="E43" s="49" t="s">
        <v>152</v>
      </c>
      <c r="F43" t="s">
        <v>153</v>
      </c>
      <c r="G43" t="s">
        <v>40</v>
      </c>
      <c r="H43" t="s">
        <v>111</v>
      </c>
      <c r="I43" t="s">
        <v>118</v>
      </c>
      <c r="J43" s="60">
        <v>45759</v>
      </c>
      <c r="K43">
        <v>26831621</v>
      </c>
      <c r="L43" s="34" t="s">
        <v>150</v>
      </c>
      <c r="M43" t="str">
        <f>_xlfn.XLOOKUP(PUNTAJE[[#This Row],[CODIGO RUTA]],'DATA INFORME'!S:S,'DATA INFORME'!AB:AB)</f>
        <v>SI</v>
      </c>
      <c r="N43" t="str">
        <f>IF(PUNTAJE[[#This Row],[MYSTERY EFECTIVO]]="SI",(_xlfn.XLOOKUP(PUNTAJE[[#This Row],[PREGUNTA]],ENCUESTA!G:G,ENCUESTA!E:E)),"N/A")</f>
        <v>PRESENTACIÓN PERSONAL</v>
      </c>
      <c r="O43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43" s="34" t="str">
        <f>_xlfn.XLOOKUP(PUNTAJE[[#This Row],[PREGUNTA]],ENCUESTA!G:G,ENCUESTA!H:H)</f>
        <v>NO</v>
      </c>
      <c r="Q43" s="34">
        <f>IF(PUNTAJE[[#This Row],[RESPUESTA]]=PUNTAJE[[#This Row],[RTA CORRECTA]],PUNTAJE[[#This Row],[TOTAL PUNTAJE]],0)</f>
        <v>0</v>
      </c>
    </row>
    <row r="44" spans="1:17" x14ac:dyDescent="0.25">
      <c r="A44" t="s">
        <v>32</v>
      </c>
      <c r="B44" t="s">
        <v>53</v>
      </c>
      <c r="C44" t="s">
        <v>12</v>
      </c>
      <c r="D44" t="s">
        <v>86</v>
      </c>
      <c r="E44" s="49" t="s">
        <v>152</v>
      </c>
      <c r="F44" t="s">
        <v>153</v>
      </c>
      <c r="G44" t="s">
        <v>39</v>
      </c>
      <c r="H44" t="s">
        <v>111</v>
      </c>
      <c r="I44" t="s">
        <v>118</v>
      </c>
      <c r="J44" s="60">
        <v>45759</v>
      </c>
      <c r="K44">
        <v>26831621</v>
      </c>
      <c r="L44" s="34" t="s">
        <v>150</v>
      </c>
      <c r="M44" t="str">
        <f>_xlfn.XLOOKUP(PUNTAJE[[#This Row],[CODIGO RUTA]],'DATA INFORME'!S:S,'DATA INFORME'!AB:AB)</f>
        <v>SI</v>
      </c>
      <c r="N44" t="str">
        <f>IF(PUNTAJE[[#This Row],[MYSTERY EFECTIVO]]="SI",(_xlfn.XLOOKUP(PUNTAJE[[#This Row],[PREGUNTA]],ENCUESTA!G:G,ENCUESTA!E:E)),"N/A")</f>
        <v>PRESENTACIÓN PERSONAL</v>
      </c>
      <c r="O44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44" s="34" t="str">
        <f>_xlfn.XLOOKUP(PUNTAJE[[#This Row],[PREGUNTA]],ENCUESTA!G:G,ENCUESTA!H:H)</f>
        <v>NO</v>
      </c>
      <c r="Q44" s="34">
        <f>IF(PUNTAJE[[#This Row],[RESPUESTA]]=PUNTAJE[[#This Row],[RTA CORRECTA]],PUNTAJE[[#This Row],[TOTAL PUNTAJE]],0)</f>
        <v>0</v>
      </c>
    </row>
    <row r="45" spans="1:17" x14ac:dyDescent="0.25">
      <c r="A45" t="s">
        <v>32</v>
      </c>
      <c r="B45" t="s">
        <v>53</v>
      </c>
      <c r="C45" t="s">
        <v>12</v>
      </c>
      <c r="D45" t="s">
        <v>86</v>
      </c>
      <c r="E45" s="49" t="s">
        <v>152</v>
      </c>
      <c r="F45" t="s">
        <v>153</v>
      </c>
      <c r="G45" t="s">
        <v>90</v>
      </c>
      <c r="H45" t="s">
        <v>111</v>
      </c>
      <c r="I45" t="s">
        <v>34</v>
      </c>
      <c r="J45" s="60">
        <v>45759</v>
      </c>
      <c r="K45">
        <v>26831621</v>
      </c>
      <c r="L45" s="34" t="s">
        <v>150</v>
      </c>
      <c r="M45" t="str">
        <f>_xlfn.XLOOKUP(PUNTAJE[[#This Row],[CODIGO RUTA]],'DATA INFORME'!S:S,'DATA INFORME'!AB:AB)</f>
        <v>SI</v>
      </c>
      <c r="N45" t="str">
        <f>IF(PUNTAJE[[#This Row],[MYSTERY EFECTIVO]]="SI",(_xlfn.XLOOKUP(PUNTAJE[[#This Row],[PREGUNTA]],ENCUESTA!G:G,ENCUESTA!E:E)),"N/A")</f>
        <v>EJECUCION DEL PDV</v>
      </c>
      <c r="O45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45" s="34" t="str">
        <f>_xlfn.XLOOKUP(PUNTAJE[[#This Row],[PREGUNTA]],ENCUESTA!G:G,ENCUESTA!H:H)</f>
        <v>SI</v>
      </c>
      <c r="Q45" s="34">
        <f>IF(PUNTAJE[[#This Row],[RESPUESTA]]=PUNTAJE[[#This Row],[RTA CORRECTA]],PUNTAJE[[#This Row],[TOTAL PUNTAJE]],0)</f>
        <v>4.2857142857142856</v>
      </c>
    </row>
    <row r="46" spans="1:17" x14ac:dyDescent="0.25">
      <c r="A46" t="s">
        <v>32</v>
      </c>
      <c r="B46" t="s">
        <v>53</v>
      </c>
      <c r="C46" t="s">
        <v>12</v>
      </c>
      <c r="D46" t="s">
        <v>86</v>
      </c>
      <c r="E46" s="49" t="s">
        <v>152</v>
      </c>
      <c r="F46" t="s">
        <v>153</v>
      </c>
      <c r="G46" t="s">
        <v>91</v>
      </c>
      <c r="H46" t="s">
        <v>111</v>
      </c>
      <c r="I46" t="s">
        <v>34</v>
      </c>
      <c r="J46" s="60">
        <v>45759</v>
      </c>
      <c r="K46">
        <v>26831621</v>
      </c>
      <c r="L46" s="34" t="s">
        <v>150</v>
      </c>
      <c r="M46" t="str">
        <f>_xlfn.XLOOKUP(PUNTAJE[[#This Row],[CODIGO RUTA]],'DATA INFORME'!S:S,'DATA INFORME'!AB:AB)</f>
        <v>SI</v>
      </c>
      <c r="N46" t="str">
        <f>IF(PUNTAJE[[#This Row],[MYSTERY EFECTIVO]]="SI",(_xlfn.XLOOKUP(PUNTAJE[[#This Row],[PREGUNTA]],ENCUESTA!G:G,ENCUESTA!E:E)),"N/A")</f>
        <v>EJECUCION DEL PDV</v>
      </c>
      <c r="O46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46" s="34" t="str">
        <f>_xlfn.XLOOKUP(PUNTAJE[[#This Row],[PREGUNTA]],ENCUESTA!G:G,ENCUESTA!H:H)</f>
        <v>SI</v>
      </c>
      <c r="Q46" s="34">
        <f>IF(PUNTAJE[[#This Row],[RESPUESTA]]=PUNTAJE[[#This Row],[RTA CORRECTA]],PUNTAJE[[#This Row],[TOTAL PUNTAJE]],0)</f>
        <v>4.2857142857142856</v>
      </c>
    </row>
    <row r="47" spans="1:17" x14ac:dyDescent="0.25">
      <c r="A47" t="s">
        <v>32</v>
      </c>
      <c r="B47" t="s">
        <v>53</v>
      </c>
      <c r="C47" t="s">
        <v>12</v>
      </c>
      <c r="D47" t="s">
        <v>86</v>
      </c>
      <c r="E47" s="49" t="s">
        <v>152</v>
      </c>
      <c r="F47" t="s">
        <v>153</v>
      </c>
      <c r="G47" t="s">
        <v>92</v>
      </c>
      <c r="H47" t="s">
        <v>111</v>
      </c>
      <c r="I47" t="s">
        <v>34</v>
      </c>
      <c r="J47" s="60">
        <v>45759</v>
      </c>
      <c r="K47">
        <v>26831621</v>
      </c>
      <c r="L47" s="34" t="s">
        <v>150</v>
      </c>
      <c r="M47" t="str">
        <f>_xlfn.XLOOKUP(PUNTAJE[[#This Row],[CODIGO RUTA]],'DATA INFORME'!S:S,'DATA INFORME'!AB:AB)</f>
        <v>SI</v>
      </c>
      <c r="N47" t="str">
        <f>IF(PUNTAJE[[#This Row],[MYSTERY EFECTIVO]]="SI",(_xlfn.XLOOKUP(PUNTAJE[[#This Row],[PREGUNTA]],ENCUESTA!G:G,ENCUESTA!E:E)),"N/A")</f>
        <v>EJECUCION DEL PDV</v>
      </c>
      <c r="O47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47" s="34" t="str">
        <f>_xlfn.XLOOKUP(PUNTAJE[[#This Row],[PREGUNTA]],ENCUESTA!G:G,ENCUESTA!H:H)</f>
        <v>SI</v>
      </c>
      <c r="Q47" s="34">
        <f>IF(PUNTAJE[[#This Row],[RESPUESTA]]=PUNTAJE[[#This Row],[RTA CORRECTA]],PUNTAJE[[#This Row],[TOTAL PUNTAJE]],0)</f>
        <v>4.2857142857142856</v>
      </c>
    </row>
    <row r="48" spans="1:17" x14ac:dyDescent="0.25">
      <c r="A48" t="s">
        <v>32</v>
      </c>
      <c r="B48" t="s">
        <v>53</v>
      </c>
      <c r="C48" t="s">
        <v>12</v>
      </c>
      <c r="D48" t="s">
        <v>86</v>
      </c>
      <c r="E48" s="49" t="s">
        <v>152</v>
      </c>
      <c r="F48" t="s">
        <v>153</v>
      </c>
      <c r="G48" t="s">
        <v>93</v>
      </c>
      <c r="H48" t="s">
        <v>111</v>
      </c>
      <c r="I48" t="s">
        <v>34</v>
      </c>
      <c r="J48" s="60">
        <v>45759</v>
      </c>
      <c r="K48">
        <v>26831621</v>
      </c>
      <c r="L48" s="34" t="s">
        <v>150</v>
      </c>
      <c r="M48" t="str">
        <f>_xlfn.XLOOKUP(PUNTAJE[[#This Row],[CODIGO RUTA]],'DATA INFORME'!S:S,'DATA INFORME'!AB:AB)</f>
        <v>SI</v>
      </c>
      <c r="N48" t="str">
        <f>IF(PUNTAJE[[#This Row],[MYSTERY EFECTIVO]]="SI",(_xlfn.XLOOKUP(PUNTAJE[[#This Row],[PREGUNTA]],ENCUESTA!G:G,ENCUESTA!E:E)),"N/A")</f>
        <v>EJECUCION DEL PDV</v>
      </c>
      <c r="O48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48" s="34" t="str">
        <f>_xlfn.XLOOKUP(PUNTAJE[[#This Row],[PREGUNTA]],ENCUESTA!G:G,ENCUESTA!H:H)</f>
        <v>SI</v>
      </c>
      <c r="Q48" s="34">
        <f>IF(PUNTAJE[[#This Row],[RESPUESTA]]=PUNTAJE[[#This Row],[RTA CORRECTA]],PUNTAJE[[#This Row],[TOTAL PUNTAJE]],0)</f>
        <v>4.2857142857142856</v>
      </c>
    </row>
    <row r="49" spans="1:17" x14ac:dyDescent="0.25">
      <c r="A49" t="s">
        <v>32</v>
      </c>
      <c r="B49" t="s">
        <v>53</v>
      </c>
      <c r="C49" t="s">
        <v>12</v>
      </c>
      <c r="D49" t="s">
        <v>86</v>
      </c>
      <c r="E49" s="49" t="s">
        <v>152</v>
      </c>
      <c r="F49" t="s">
        <v>153</v>
      </c>
      <c r="G49" t="s">
        <v>94</v>
      </c>
      <c r="H49" t="s">
        <v>111</v>
      </c>
      <c r="I49" t="s">
        <v>34</v>
      </c>
      <c r="J49" s="60">
        <v>45759</v>
      </c>
      <c r="K49">
        <v>26831621</v>
      </c>
      <c r="L49" s="34" t="s">
        <v>150</v>
      </c>
      <c r="M49" t="str">
        <f>_xlfn.XLOOKUP(PUNTAJE[[#This Row],[CODIGO RUTA]],'DATA INFORME'!S:S,'DATA INFORME'!AB:AB)</f>
        <v>SI</v>
      </c>
      <c r="N49" t="str">
        <f>IF(PUNTAJE[[#This Row],[MYSTERY EFECTIVO]]="SI",(_xlfn.XLOOKUP(PUNTAJE[[#This Row],[PREGUNTA]],ENCUESTA!G:G,ENCUESTA!E:E)),"N/A")</f>
        <v>EJECUCION DEL PDV</v>
      </c>
      <c r="O49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49" s="34" t="str">
        <f>_xlfn.XLOOKUP(PUNTAJE[[#This Row],[PREGUNTA]],ENCUESTA!G:G,ENCUESTA!H:H)</f>
        <v>SI</v>
      </c>
      <c r="Q49" s="34">
        <f>IF(PUNTAJE[[#This Row],[RESPUESTA]]=PUNTAJE[[#This Row],[RTA CORRECTA]],PUNTAJE[[#This Row],[TOTAL PUNTAJE]],0)</f>
        <v>4.2857142857142856</v>
      </c>
    </row>
    <row r="50" spans="1:17" x14ac:dyDescent="0.25">
      <c r="A50" t="s">
        <v>32</v>
      </c>
      <c r="B50" t="s">
        <v>53</v>
      </c>
      <c r="C50" t="s">
        <v>12</v>
      </c>
      <c r="D50" t="s">
        <v>86</v>
      </c>
      <c r="E50" s="49" t="s">
        <v>152</v>
      </c>
      <c r="F50" t="s">
        <v>153</v>
      </c>
      <c r="G50" t="s">
        <v>95</v>
      </c>
      <c r="H50" t="s">
        <v>111</v>
      </c>
      <c r="I50" t="s">
        <v>34</v>
      </c>
      <c r="J50" s="60">
        <v>45759</v>
      </c>
      <c r="K50">
        <v>26831621</v>
      </c>
      <c r="L50" s="34" t="s">
        <v>150</v>
      </c>
      <c r="M50" t="str">
        <f>_xlfn.XLOOKUP(PUNTAJE[[#This Row],[CODIGO RUTA]],'DATA INFORME'!S:S,'DATA INFORME'!AB:AB)</f>
        <v>SI</v>
      </c>
      <c r="N50" t="str">
        <f>IF(PUNTAJE[[#This Row],[MYSTERY EFECTIVO]]="SI",(_xlfn.XLOOKUP(PUNTAJE[[#This Row],[PREGUNTA]],ENCUESTA!G:G,ENCUESTA!E:E)),"N/A")</f>
        <v>EJECUCION DEL PDV</v>
      </c>
      <c r="O50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50" s="34" t="str">
        <f>_xlfn.XLOOKUP(PUNTAJE[[#This Row],[PREGUNTA]],ENCUESTA!G:G,ENCUESTA!H:H)</f>
        <v>SI</v>
      </c>
      <c r="Q50" s="34">
        <f>IF(PUNTAJE[[#This Row],[RESPUESTA]]=PUNTAJE[[#This Row],[RTA CORRECTA]],PUNTAJE[[#This Row],[TOTAL PUNTAJE]],0)</f>
        <v>4.2857142857142856</v>
      </c>
    </row>
    <row r="51" spans="1:17" x14ac:dyDescent="0.25">
      <c r="A51" t="s">
        <v>32</v>
      </c>
      <c r="B51" t="s">
        <v>53</v>
      </c>
      <c r="C51" t="s">
        <v>12</v>
      </c>
      <c r="D51" t="s">
        <v>86</v>
      </c>
      <c r="E51" s="49" t="s">
        <v>152</v>
      </c>
      <c r="F51" t="s">
        <v>153</v>
      </c>
      <c r="G51" t="s">
        <v>96</v>
      </c>
      <c r="H51" t="s">
        <v>111</v>
      </c>
      <c r="I51" t="s">
        <v>34</v>
      </c>
      <c r="J51" s="60">
        <v>45759</v>
      </c>
      <c r="K51">
        <v>26831621</v>
      </c>
      <c r="L51" s="34" t="s">
        <v>150</v>
      </c>
      <c r="M51" t="str">
        <f>_xlfn.XLOOKUP(PUNTAJE[[#This Row],[CODIGO RUTA]],'DATA INFORME'!S:S,'DATA INFORME'!AB:AB)</f>
        <v>SI</v>
      </c>
      <c r="N51" t="str">
        <f>IF(PUNTAJE[[#This Row],[MYSTERY EFECTIVO]]="SI",(_xlfn.XLOOKUP(PUNTAJE[[#This Row],[PREGUNTA]],ENCUESTA!G:G,ENCUESTA!E:E)),"N/A")</f>
        <v>EJECUCION DEL PDV</v>
      </c>
      <c r="O51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51" s="34" t="str">
        <f>_xlfn.XLOOKUP(PUNTAJE[[#This Row],[PREGUNTA]],ENCUESTA!G:G,ENCUESTA!H:H)</f>
        <v>SI</v>
      </c>
      <c r="Q51" s="34">
        <f>IF(PUNTAJE[[#This Row],[RESPUESTA]]=PUNTAJE[[#This Row],[RTA CORRECTA]],PUNTAJE[[#This Row],[TOTAL PUNTAJE]],0)</f>
        <v>4.2857142857142856</v>
      </c>
    </row>
    <row r="52" spans="1:17" x14ac:dyDescent="0.25">
      <c r="A52" t="s">
        <v>32</v>
      </c>
      <c r="B52" t="s">
        <v>53</v>
      </c>
      <c r="C52" t="s">
        <v>12</v>
      </c>
      <c r="D52" t="s">
        <v>86</v>
      </c>
      <c r="E52" s="49" t="s">
        <v>152</v>
      </c>
      <c r="F52" t="s">
        <v>153</v>
      </c>
      <c r="G52" t="s">
        <v>119</v>
      </c>
      <c r="H52" t="s">
        <v>111</v>
      </c>
      <c r="I52" t="s">
        <v>12</v>
      </c>
      <c r="J52" s="60">
        <v>45759</v>
      </c>
      <c r="K52">
        <v>26831621</v>
      </c>
      <c r="L52" s="34" t="s">
        <v>150</v>
      </c>
      <c r="M52" t="str">
        <f>_xlfn.XLOOKUP(PUNTAJE[[#This Row],[CODIGO RUTA]],'DATA INFORME'!S:S,'DATA INFORME'!AB:AB)</f>
        <v>SI</v>
      </c>
      <c r="N52" t="str">
        <f>IF(PUNTAJE[[#This Row],[MYSTERY EFECTIVO]]="SI",(_xlfn.XLOOKUP(PUNTAJE[[#This Row],[PREGUNTA]],ENCUESTA!G:G,ENCUESTA!E:E)),"N/A")</f>
        <v>N/A</v>
      </c>
      <c r="O52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52" s="34" t="str">
        <f>_xlfn.XLOOKUP(PUNTAJE[[#This Row],[PREGUNTA]],ENCUESTA!G:G,ENCUESTA!H:H)</f>
        <v>MODERNO, ESPECIALIZADO, TRADICIONAL</v>
      </c>
      <c r="Q52" s="34">
        <f>IF(PUNTAJE[[#This Row],[RESPUESTA]]=PUNTAJE[[#This Row],[RTA CORRECTA]],PUNTAJE[[#This Row],[TOTAL PUNTAJE]],0)</f>
        <v>0</v>
      </c>
    </row>
    <row r="53" spans="1:17" x14ac:dyDescent="0.25">
      <c r="A53" t="s">
        <v>32</v>
      </c>
      <c r="B53" t="s">
        <v>53</v>
      </c>
      <c r="C53" t="s">
        <v>12</v>
      </c>
      <c r="D53" t="s">
        <v>86</v>
      </c>
      <c r="E53" s="49" t="s">
        <v>152</v>
      </c>
      <c r="F53" t="s">
        <v>153</v>
      </c>
      <c r="G53" t="s">
        <v>159</v>
      </c>
      <c r="H53" t="s">
        <v>111</v>
      </c>
      <c r="I53" t="s">
        <v>34</v>
      </c>
      <c r="J53" s="60">
        <v>45759</v>
      </c>
      <c r="K53">
        <v>26831621</v>
      </c>
      <c r="L53" s="34" t="s">
        <v>150</v>
      </c>
      <c r="M53" t="str">
        <f>_xlfn.XLOOKUP(PUNTAJE[[#This Row],[CODIGO RUTA]],'DATA INFORME'!S:S,'DATA INFORME'!AB:AB)</f>
        <v>SI</v>
      </c>
      <c r="N53" t="e">
        <f>IF(PUNTAJE[[#This Row],[MYSTERY EFECTIVO]]="SI",(_xlfn.XLOOKUP(PUNTAJE[[#This Row],[PREGUNTA]],ENCUESTA!G:G,ENCUESTA!E:E)),"N/A")</f>
        <v>#N/A</v>
      </c>
      <c r="O53" s="34" t="e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#N/A</v>
      </c>
      <c r="P53" s="34" t="e">
        <f>_xlfn.XLOOKUP(PUNTAJE[[#This Row],[PREGUNTA]],ENCUESTA!G:G,ENCUESTA!H:H)</f>
        <v>#N/A</v>
      </c>
      <c r="Q53" s="34" t="e">
        <f>IF(PUNTAJE[[#This Row],[RESPUESTA]]=PUNTAJE[[#This Row],[RTA CORRECTA]],PUNTAJE[[#This Row],[TOTAL PUNTAJE]],0)</f>
        <v>#N/A</v>
      </c>
    </row>
    <row r="54" spans="1:17" x14ac:dyDescent="0.25">
      <c r="A54" t="s">
        <v>32</v>
      </c>
      <c r="B54" t="s">
        <v>53</v>
      </c>
      <c r="C54" t="s">
        <v>12</v>
      </c>
      <c r="D54" t="s">
        <v>86</v>
      </c>
      <c r="E54" s="49" t="s">
        <v>152</v>
      </c>
      <c r="F54" t="s">
        <v>153</v>
      </c>
      <c r="G54" t="s">
        <v>160</v>
      </c>
      <c r="H54" t="s">
        <v>111</v>
      </c>
      <c r="I54" t="s">
        <v>118</v>
      </c>
      <c r="J54" s="60">
        <v>45759</v>
      </c>
      <c r="K54">
        <v>26831621</v>
      </c>
      <c r="L54" s="34" t="s">
        <v>150</v>
      </c>
      <c r="M54" t="str">
        <f>_xlfn.XLOOKUP(PUNTAJE[[#This Row],[CODIGO RUTA]],'DATA INFORME'!S:S,'DATA INFORME'!AB:AB)</f>
        <v>SI</v>
      </c>
      <c r="N54" t="e">
        <f>IF(PUNTAJE[[#This Row],[MYSTERY EFECTIVO]]="SI",(_xlfn.XLOOKUP(PUNTAJE[[#This Row],[PREGUNTA]],ENCUESTA!G:G,ENCUESTA!E:E)),"N/A")</f>
        <v>#N/A</v>
      </c>
      <c r="O54" s="34" t="e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#N/A</v>
      </c>
      <c r="P54" s="34" t="e">
        <f>_xlfn.XLOOKUP(PUNTAJE[[#This Row],[PREGUNTA]],ENCUESTA!G:G,ENCUESTA!H:H)</f>
        <v>#N/A</v>
      </c>
      <c r="Q54" s="34" t="e">
        <f>IF(PUNTAJE[[#This Row],[RESPUESTA]]=PUNTAJE[[#This Row],[RTA CORRECTA]],PUNTAJE[[#This Row],[TOTAL PUNTAJE]],0)</f>
        <v>#N/A</v>
      </c>
    </row>
    <row r="55" spans="1:17" x14ac:dyDescent="0.25">
      <c r="A55" t="s">
        <v>32</v>
      </c>
      <c r="B55" t="s">
        <v>53</v>
      </c>
      <c r="C55" t="s">
        <v>12</v>
      </c>
      <c r="D55" t="s">
        <v>86</v>
      </c>
      <c r="E55" s="49" t="s">
        <v>152</v>
      </c>
      <c r="F55" t="s">
        <v>153</v>
      </c>
      <c r="G55" t="s">
        <v>125</v>
      </c>
      <c r="H55" t="s">
        <v>111</v>
      </c>
      <c r="I55" t="s">
        <v>118</v>
      </c>
      <c r="J55" s="60">
        <v>45759</v>
      </c>
      <c r="K55">
        <v>26831621</v>
      </c>
      <c r="L55" s="34" t="s">
        <v>150</v>
      </c>
      <c r="M55" t="str">
        <f>_xlfn.XLOOKUP(PUNTAJE[[#This Row],[CODIGO RUTA]],'DATA INFORME'!S:S,'DATA INFORME'!AB:AB)</f>
        <v>SI</v>
      </c>
      <c r="N55" t="str">
        <f>IF(PUNTAJE[[#This Row],[MYSTERY EFECTIVO]]="SI",(_xlfn.XLOOKUP(PUNTAJE[[#This Row],[PREGUNTA]],ENCUESTA!G:G,ENCUESTA!E:E)),"N/A")</f>
        <v>N/A</v>
      </c>
      <c r="O55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55" s="34">
        <f>_xlfn.XLOOKUP(PUNTAJE[[#This Row],[PREGUNTA]],ENCUESTA!G:G,ENCUESTA!H:H)</f>
        <v>0</v>
      </c>
      <c r="Q55" s="34">
        <f>IF(PUNTAJE[[#This Row],[RESPUESTA]]=PUNTAJE[[#This Row],[RTA CORRECTA]],PUNTAJE[[#This Row],[TOTAL PUNTAJE]],0)</f>
        <v>0</v>
      </c>
    </row>
    <row r="56" spans="1:17" x14ac:dyDescent="0.25">
      <c r="A56" t="s">
        <v>32</v>
      </c>
      <c r="B56" t="s">
        <v>54</v>
      </c>
      <c r="C56" t="s">
        <v>12</v>
      </c>
      <c r="D56" t="s">
        <v>86</v>
      </c>
      <c r="E56" s="49" t="s">
        <v>161</v>
      </c>
      <c r="F56" t="s">
        <v>162</v>
      </c>
      <c r="G56" t="s">
        <v>112</v>
      </c>
      <c r="H56" t="s">
        <v>111</v>
      </c>
      <c r="I56" t="s">
        <v>34</v>
      </c>
      <c r="J56" s="60">
        <v>45776</v>
      </c>
      <c r="K56">
        <v>26853795</v>
      </c>
      <c r="L56" s="34" t="s">
        <v>168</v>
      </c>
      <c r="M56" t="str">
        <f>_xlfn.XLOOKUP(PUNTAJE[[#This Row],[CODIGO RUTA]],'DATA INFORME'!S:S,'DATA INFORME'!AB:AB)</f>
        <v>SI</v>
      </c>
      <c r="N56" t="str">
        <f>IF(PUNTAJE[[#This Row],[MYSTERY EFECTIVO]]="SI",(_xlfn.XLOOKUP(PUNTAJE[[#This Row],[PREGUNTA]],ENCUESTA!G:G,ENCUESTA!E:E)),"N/A")</f>
        <v>N/A</v>
      </c>
      <c r="O56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56" s="34" t="str">
        <f>_xlfn.XLOOKUP(PUNTAJE[[#This Row],[PREGUNTA]],ENCUESTA!G:G,ENCUESTA!H:H)</f>
        <v>SI</v>
      </c>
      <c r="Q56" s="34">
        <f>IF(PUNTAJE[[#This Row],[RESPUESTA]]=PUNTAJE[[#This Row],[RTA CORRECTA]],PUNTAJE[[#This Row],[TOTAL PUNTAJE]],0)</f>
        <v>0</v>
      </c>
    </row>
    <row r="57" spans="1:17" x14ac:dyDescent="0.25">
      <c r="A57" t="s">
        <v>32</v>
      </c>
      <c r="B57" t="s">
        <v>54</v>
      </c>
      <c r="C57" t="s">
        <v>12</v>
      </c>
      <c r="D57" t="s">
        <v>86</v>
      </c>
      <c r="E57" s="49" t="s">
        <v>161</v>
      </c>
      <c r="F57" t="s">
        <v>162</v>
      </c>
      <c r="G57" t="s">
        <v>44</v>
      </c>
      <c r="H57" t="s">
        <v>111</v>
      </c>
      <c r="I57" t="s">
        <v>34</v>
      </c>
      <c r="J57" s="60">
        <v>45776</v>
      </c>
      <c r="K57">
        <v>26853795</v>
      </c>
      <c r="L57" s="34" t="s">
        <v>168</v>
      </c>
      <c r="M57" t="str">
        <f>_xlfn.XLOOKUP(PUNTAJE[[#This Row],[CODIGO RUTA]],'DATA INFORME'!S:S,'DATA INFORME'!AB:AB)</f>
        <v>SI</v>
      </c>
      <c r="N57" t="str">
        <f>IF(PUNTAJE[[#This Row],[MYSTERY EFECTIVO]]="SI",(_xlfn.XLOOKUP(PUNTAJE[[#This Row],[PREGUNTA]],ENCUESTA!G:G,ENCUESTA!E:E)),"N/A")</f>
        <v>HORARIO</v>
      </c>
      <c r="O57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20</v>
      </c>
      <c r="P57" s="34" t="str">
        <f>_xlfn.XLOOKUP(PUNTAJE[[#This Row],[PREGUNTA]],ENCUESTA!G:G,ENCUESTA!H:H)</f>
        <v>SI</v>
      </c>
      <c r="Q57" s="34">
        <f>IF(PUNTAJE[[#This Row],[RESPUESTA]]=PUNTAJE[[#This Row],[RTA CORRECTA]],PUNTAJE[[#This Row],[TOTAL PUNTAJE]],0)</f>
        <v>20</v>
      </c>
    </row>
    <row r="58" spans="1:17" x14ac:dyDescent="0.25">
      <c r="A58" t="s">
        <v>32</v>
      </c>
      <c r="B58" t="s">
        <v>54</v>
      </c>
      <c r="C58" t="s">
        <v>12</v>
      </c>
      <c r="D58" t="s">
        <v>86</v>
      </c>
      <c r="E58" s="49" t="s">
        <v>161</v>
      </c>
      <c r="F58" t="s">
        <v>162</v>
      </c>
      <c r="G58" t="s">
        <v>37</v>
      </c>
      <c r="H58" t="s">
        <v>111</v>
      </c>
      <c r="I58" t="s">
        <v>34</v>
      </c>
      <c r="J58" s="60">
        <v>45776</v>
      </c>
      <c r="K58">
        <v>26853795</v>
      </c>
      <c r="L58" s="34" t="s">
        <v>168</v>
      </c>
      <c r="M58" t="str">
        <f>_xlfn.XLOOKUP(PUNTAJE[[#This Row],[CODIGO RUTA]],'DATA INFORME'!S:S,'DATA INFORME'!AB:AB)</f>
        <v>SI</v>
      </c>
      <c r="N58" t="str">
        <f>IF(PUNTAJE[[#This Row],[MYSTERY EFECTIVO]]="SI",(_xlfn.XLOOKUP(PUNTAJE[[#This Row],[PREGUNTA]],ENCUESTA!G:G,ENCUESTA!E:E)),"N/A")</f>
        <v>PRESENTACIÓN PERSONAL</v>
      </c>
      <c r="O58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58" s="34" t="str">
        <f>_xlfn.XLOOKUP(PUNTAJE[[#This Row],[PREGUNTA]],ENCUESTA!G:G,ENCUESTA!H:H)</f>
        <v>SI</v>
      </c>
      <c r="Q58" s="34">
        <f>IF(PUNTAJE[[#This Row],[RESPUESTA]]=PUNTAJE[[#This Row],[RTA CORRECTA]],PUNTAJE[[#This Row],[TOTAL PUNTAJE]],0)</f>
        <v>1</v>
      </c>
    </row>
    <row r="59" spans="1:17" x14ac:dyDescent="0.25">
      <c r="A59" t="s">
        <v>32</v>
      </c>
      <c r="B59" t="s">
        <v>54</v>
      </c>
      <c r="C59" t="s">
        <v>12</v>
      </c>
      <c r="D59" t="s">
        <v>86</v>
      </c>
      <c r="E59" s="49" t="s">
        <v>161</v>
      </c>
      <c r="F59" t="s">
        <v>162</v>
      </c>
      <c r="G59" t="s">
        <v>89</v>
      </c>
      <c r="H59" t="s">
        <v>111</v>
      </c>
      <c r="I59" t="s">
        <v>34</v>
      </c>
      <c r="J59" s="60">
        <v>45776</v>
      </c>
      <c r="K59">
        <v>26853795</v>
      </c>
      <c r="L59" s="34" t="s">
        <v>168</v>
      </c>
      <c r="M59" t="str">
        <f>_xlfn.XLOOKUP(PUNTAJE[[#This Row],[CODIGO RUTA]],'DATA INFORME'!S:S,'DATA INFORME'!AB:AB)</f>
        <v>SI</v>
      </c>
      <c r="N59" t="str">
        <f>IF(PUNTAJE[[#This Row],[MYSTERY EFECTIVO]]="SI",(_xlfn.XLOOKUP(PUNTAJE[[#This Row],[PREGUNTA]],ENCUESTA!G:G,ENCUESTA!E:E)),"N/A")</f>
        <v>PRESENTACIÓN PERSONAL</v>
      </c>
      <c r="O59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59" s="34" t="str">
        <f>_xlfn.XLOOKUP(PUNTAJE[[#This Row],[PREGUNTA]],ENCUESTA!G:G,ENCUESTA!H:H)</f>
        <v>SI</v>
      </c>
      <c r="Q59" s="34">
        <f>IF(PUNTAJE[[#This Row],[RESPUESTA]]=PUNTAJE[[#This Row],[RTA CORRECTA]],PUNTAJE[[#This Row],[TOTAL PUNTAJE]],0)</f>
        <v>1</v>
      </c>
    </row>
    <row r="60" spans="1:17" x14ac:dyDescent="0.25">
      <c r="A60" t="s">
        <v>32</v>
      </c>
      <c r="B60" t="s">
        <v>54</v>
      </c>
      <c r="C60" t="s">
        <v>12</v>
      </c>
      <c r="D60" t="s">
        <v>86</v>
      </c>
      <c r="E60" s="49" t="s">
        <v>161</v>
      </c>
      <c r="F60" t="s">
        <v>162</v>
      </c>
      <c r="G60" t="s">
        <v>38</v>
      </c>
      <c r="H60" t="s">
        <v>111</v>
      </c>
      <c r="I60" t="s">
        <v>34</v>
      </c>
      <c r="J60" s="60">
        <v>45776</v>
      </c>
      <c r="K60">
        <v>26853795</v>
      </c>
      <c r="L60" s="34" t="s">
        <v>168</v>
      </c>
      <c r="M60" t="str">
        <f>_xlfn.XLOOKUP(PUNTAJE[[#This Row],[CODIGO RUTA]],'DATA INFORME'!S:S,'DATA INFORME'!AB:AB)</f>
        <v>SI</v>
      </c>
      <c r="N60" t="str">
        <f>IF(PUNTAJE[[#This Row],[MYSTERY EFECTIVO]]="SI",(_xlfn.XLOOKUP(PUNTAJE[[#This Row],[PREGUNTA]],ENCUESTA!G:G,ENCUESTA!E:E)),"N/A")</f>
        <v>PRESENTACIÓN PERSONAL</v>
      </c>
      <c r="O60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60" s="34" t="str">
        <f>_xlfn.XLOOKUP(PUNTAJE[[#This Row],[PREGUNTA]],ENCUESTA!G:G,ENCUESTA!H:H)</f>
        <v>SI</v>
      </c>
      <c r="Q60" s="34">
        <f>IF(PUNTAJE[[#This Row],[RESPUESTA]]=PUNTAJE[[#This Row],[RTA CORRECTA]],PUNTAJE[[#This Row],[TOTAL PUNTAJE]],0)</f>
        <v>1</v>
      </c>
    </row>
    <row r="61" spans="1:17" x14ac:dyDescent="0.25">
      <c r="A61" t="s">
        <v>32</v>
      </c>
      <c r="B61" t="s">
        <v>54</v>
      </c>
      <c r="C61" t="s">
        <v>12</v>
      </c>
      <c r="D61" t="s">
        <v>86</v>
      </c>
      <c r="E61" s="49" t="s">
        <v>161</v>
      </c>
      <c r="F61" t="s">
        <v>162</v>
      </c>
      <c r="G61" t="s">
        <v>117</v>
      </c>
      <c r="H61" t="s">
        <v>111</v>
      </c>
      <c r="I61" t="s">
        <v>118</v>
      </c>
      <c r="J61" s="60">
        <v>45776</v>
      </c>
      <c r="K61">
        <v>26853795</v>
      </c>
      <c r="L61" s="34" t="s">
        <v>168</v>
      </c>
      <c r="M61" t="str">
        <f>_xlfn.XLOOKUP(PUNTAJE[[#This Row],[CODIGO RUTA]],'DATA INFORME'!S:S,'DATA INFORME'!AB:AB)</f>
        <v>SI</v>
      </c>
      <c r="N61" t="str">
        <f>IF(PUNTAJE[[#This Row],[MYSTERY EFECTIVO]]="SI",(_xlfn.XLOOKUP(PUNTAJE[[#This Row],[PREGUNTA]],ENCUESTA!G:G,ENCUESTA!E:E)),"N/A")</f>
        <v>PRESENTACIÓN PERSONAL</v>
      </c>
      <c r="O61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61" s="34" t="str">
        <f>_xlfn.XLOOKUP(PUNTAJE[[#This Row],[PREGUNTA]],ENCUESTA!G:G,ENCUESTA!H:H)</f>
        <v>NO</v>
      </c>
      <c r="Q61" s="34">
        <f>IF(PUNTAJE[[#This Row],[RESPUESTA]]=PUNTAJE[[#This Row],[RTA CORRECTA]],PUNTAJE[[#This Row],[TOTAL PUNTAJE]],0)</f>
        <v>0</v>
      </c>
    </row>
    <row r="62" spans="1:17" x14ac:dyDescent="0.25">
      <c r="A62" t="s">
        <v>32</v>
      </c>
      <c r="B62" t="s">
        <v>54</v>
      </c>
      <c r="C62" t="s">
        <v>12</v>
      </c>
      <c r="D62" t="s">
        <v>86</v>
      </c>
      <c r="E62" s="49" t="s">
        <v>161</v>
      </c>
      <c r="F62" t="s">
        <v>162</v>
      </c>
      <c r="G62" t="s">
        <v>36</v>
      </c>
      <c r="H62" t="s">
        <v>111</v>
      </c>
      <c r="I62" t="s">
        <v>34</v>
      </c>
      <c r="J62" s="60">
        <v>45776</v>
      </c>
      <c r="K62">
        <v>26853795</v>
      </c>
      <c r="L62" s="34" t="s">
        <v>168</v>
      </c>
      <c r="M62" t="str">
        <f>_xlfn.XLOOKUP(PUNTAJE[[#This Row],[CODIGO RUTA]],'DATA INFORME'!S:S,'DATA INFORME'!AB:AB)</f>
        <v>SI</v>
      </c>
      <c r="N62" t="str">
        <f>IF(PUNTAJE[[#This Row],[MYSTERY EFECTIVO]]="SI",(_xlfn.XLOOKUP(PUNTAJE[[#This Row],[PREGUNTA]],ENCUESTA!G:G,ENCUESTA!E:E)),"N/A")</f>
        <v>PRESENTACIÓN PERSONAL</v>
      </c>
      <c r="O62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62" s="34" t="str">
        <f>_xlfn.XLOOKUP(PUNTAJE[[#This Row],[PREGUNTA]],ENCUESTA!G:G,ENCUESTA!H:H)</f>
        <v>SI</v>
      </c>
      <c r="Q62" s="34">
        <f>IF(PUNTAJE[[#This Row],[RESPUESTA]]=PUNTAJE[[#This Row],[RTA CORRECTA]],PUNTAJE[[#This Row],[TOTAL PUNTAJE]],0)</f>
        <v>1</v>
      </c>
    </row>
    <row r="63" spans="1:17" x14ac:dyDescent="0.25">
      <c r="A63" t="s">
        <v>32</v>
      </c>
      <c r="B63" t="s">
        <v>54</v>
      </c>
      <c r="C63" t="s">
        <v>12</v>
      </c>
      <c r="D63" t="s">
        <v>86</v>
      </c>
      <c r="E63" s="49" t="s">
        <v>161</v>
      </c>
      <c r="F63" t="s">
        <v>162</v>
      </c>
      <c r="G63" t="s">
        <v>42</v>
      </c>
      <c r="H63" t="s">
        <v>111</v>
      </c>
      <c r="I63" t="s">
        <v>34</v>
      </c>
      <c r="J63" s="60">
        <v>45776</v>
      </c>
      <c r="K63">
        <v>26853795</v>
      </c>
      <c r="L63" s="34" t="s">
        <v>168</v>
      </c>
      <c r="M63" t="str">
        <f>_xlfn.XLOOKUP(PUNTAJE[[#This Row],[CODIGO RUTA]],'DATA INFORME'!S:S,'DATA INFORME'!AB:AB)</f>
        <v>SI</v>
      </c>
      <c r="N63" t="str">
        <f>IF(PUNTAJE[[#This Row],[MYSTERY EFECTIVO]]="SI",(_xlfn.XLOOKUP(PUNTAJE[[#This Row],[PREGUNTA]],ENCUESTA!G:G,ENCUESTA!E:E)),"N/A")</f>
        <v>PRESENTACIÓN PERSONAL</v>
      </c>
      <c r="O63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63" s="34" t="str">
        <f>_xlfn.XLOOKUP(PUNTAJE[[#This Row],[PREGUNTA]],ENCUESTA!G:G,ENCUESTA!H:H)</f>
        <v>SI</v>
      </c>
      <c r="Q63" s="34">
        <f>IF(PUNTAJE[[#This Row],[RESPUESTA]]=PUNTAJE[[#This Row],[RTA CORRECTA]],PUNTAJE[[#This Row],[TOTAL PUNTAJE]],0)</f>
        <v>1</v>
      </c>
    </row>
    <row r="64" spans="1:17" x14ac:dyDescent="0.25">
      <c r="A64" t="s">
        <v>32</v>
      </c>
      <c r="B64" t="s">
        <v>54</v>
      </c>
      <c r="C64" t="s">
        <v>12</v>
      </c>
      <c r="D64" t="s">
        <v>86</v>
      </c>
      <c r="E64" s="49" t="s">
        <v>161</v>
      </c>
      <c r="F64" t="s">
        <v>162</v>
      </c>
      <c r="G64" t="s">
        <v>43</v>
      </c>
      <c r="H64" t="s">
        <v>111</v>
      </c>
      <c r="I64" t="s">
        <v>34</v>
      </c>
      <c r="J64" s="60">
        <v>45776</v>
      </c>
      <c r="K64">
        <v>26853795</v>
      </c>
      <c r="L64" s="34" t="s">
        <v>168</v>
      </c>
      <c r="M64" t="str">
        <f>_xlfn.XLOOKUP(PUNTAJE[[#This Row],[CODIGO RUTA]],'DATA INFORME'!S:S,'DATA INFORME'!AB:AB)</f>
        <v>SI</v>
      </c>
      <c r="N64" t="str">
        <f>IF(PUNTAJE[[#This Row],[MYSTERY EFECTIVO]]="SI",(_xlfn.XLOOKUP(PUNTAJE[[#This Row],[PREGUNTA]],ENCUESTA!G:G,ENCUESTA!E:E)),"N/A")</f>
        <v>PRESENTACIÓN PERSONAL</v>
      </c>
      <c r="O64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64" s="34" t="str">
        <f>_xlfn.XLOOKUP(PUNTAJE[[#This Row],[PREGUNTA]],ENCUESTA!G:G,ENCUESTA!H:H)</f>
        <v>NO</v>
      </c>
      <c r="Q64" s="34">
        <f>IF(PUNTAJE[[#This Row],[RESPUESTA]]=PUNTAJE[[#This Row],[RTA CORRECTA]],PUNTAJE[[#This Row],[TOTAL PUNTAJE]],0)</f>
        <v>0</v>
      </c>
    </row>
    <row r="65" spans="1:17" x14ac:dyDescent="0.25">
      <c r="A65" t="s">
        <v>32</v>
      </c>
      <c r="B65" t="s">
        <v>54</v>
      </c>
      <c r="C65" t="s">
        <v>12</v>
      </c>
      <c r="D65" t="s">
        <v>86</v>
      </c>
      <c r="E65" s="49" t="s">
        <v>161</v>
      </c>
      <c r="F65" t="s">
        <v>162</v>
      </c>
      <c r="G65" t="s">
        <v>41</v>
      </c>
      <c r="H65" t="s">
        <v>111</v>
      </c>
      <c r="I65" t="s">
        <v>118</v>
      </c>
      <c r="J65" s="60">
        <v>45776</v>
      </c>
      <c r="K65">
        <v>26853795</v>
      </c>
      <c r="L65" s="34" t="s">
        <v>168</v>
      </c>
      <c r="M65" t="str">
        <f>_xlfn.XLOOKUP(PUNTAJE[[#This Row],[CODIGO RUTA]],'DATA INFORME'!S:S,'DATA INFORME'!AB:AB)</f>
        <v>SI</v>
      </c>
      <c r="N65" t="str">
        <f>IF(PUNTAJE[[#This Row],[MYSTERY EFECTIVO]]="SI",(_xlfn.XLOOKUP(PUNTAJE[[#This Row],[PREGUNTA]],ENCUESTA!G:G,ENCUESTA!E:E)),"N/A")</f>
        <v>PRESENTACIÓN PERSONAL</v>
      </c>
      <c r="O65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65" s="34" t="str">
        <f>_xlfn.XLOOKUP(PUNTAJE[[#This Row],[PREGUNTA]],ENCUESTA!G:G,ENCUESTA!H:H)</f>
        <v>NO</v>
      </c>
      <c r="Q65" s="34">
        <f>IF(PUNTAJE[[#This Row],[RESPUESTA]]=PUNTAJE[[#This Row],[RTA CORRECTA]],PUNTAJE[[#This Row],[TOTAL PUNTAJE]],0)</f>
        <v>0</v>
      </c>
    </row>
    <row r="66" spans="1:17" x14ac:dyDescent="0.25">
      <c r="A66" t="s">
        <v>32</v>
      </c>
      <c r="B66" t="s">
        <v>54</v>
      </c>
      <c r="C66" t="s">
        <v>12</v>
      </c>
      <c r="D66" t="s">
        <v>86</v>
      </c>
      <c r="E66" s="49" t="s">
        <v>161</v>
      </c>
      <c r="F66" t="s">
        <v>162</v>
      </c>
      <c r="G66" t="s">
        <v>40</v>
      </c>
      <c r="H66" t="s">
        <v>111</v>
      </c>
      <c r="I66" t="s">
        <v>118</v>
      </c>
      <c r="J66" s="60">
        <v>45776</v>
      </c>
      <c r="K66">
        <v>26853795</v>
      </c>
      <c r="L66" s="34" t="s">
        <v>168</v>
      </c>
      <c r="M66" t="str">
        <f>_xlfn.XLOOKUP(PUNTAJE[[#This Row],[CODIGO RUTA]],'DATA INFORME'!S:S,'DATA INFORME'!AB:AB)</f>
        <v>SI</v>
      </c>
      <c r="N66" t="str">
        <f>IF(PUNTAJE[[#This Row],[MYSTERY EFECTIVO]]="SI",(_xlfn.XLOOKUP(PUNTAJE[[#This Row],[PREGUNTA]],ENCUESTA!G:G,ENCUESTA!E:E)),"N/A")</f>
        <v>PRESENTACIÓN PERSONAL</v>
      </c>
      <c r="O66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66" s="34" t="str">
        <f>_xlfn.XLOOKUP(PUNTAJE[[#This Row],[PREGUNTA]],ENCUESTA!G:G,ENCUESTA!H:H)</f>
        <v>NO</v>
      </c>
      <c r="Q66" s="34">
        <f>IF(PUNTAJE[[#This Row],[RESPUESTA]]=PUNTAJE[[#This Row],[RTA CORRECTA]],PUNTAJE[[#This Row],[TOTAL PUNTAJE]],0)</f>
        <v>0</v>
      </c>
    </row>
    <row r="67" spans="1:17" x14ac:dyDescent="0.25">
      <c r="A67" t="s">
        <v>32</v>
      </c>
      <c r="B67" t="s">
        <v>54</v>
      </c>
      <c r="C67" t="s">
        <v>12</v>
      </c>
      <c r="D67" t="s">
        <v>86</v>
      </c>
      <c r="E67" s="49" t="s">
        <v>161</v>
      </c>
      <c r="F67" t="s">
        <v>162</v>
      </c>
      <c r="G67" t="s">
        <v>39</v>
      </c>
      <c r="H67" t="s">
        <v>111</v>
      </c>
      <c r="I67" t="s">
        <v>118</v>
      </c>
      <c r="J67" s="60">
        <v>45776</v>
      </c>
      <c r="K67">
        <v>26853795</v>
      </c>
      <c r="L67" s="34" t="s">
        <v>168</v>
      </c>
      <c r="M67" t="str">
        <f>_xlfn.XLOOKUP(PUNTAJE[[#This Row],[CODIGO RUTA]],'DATA INFORME'!S:S,'DATA INFORME'!AB:AB)</f>
        <v>SI</v>
      </c>
      <c r="N67" t="str">
        <f>IF(PUNTAJE[[#This Row],[MYSTERY EFECTIVO]]="SI",(_xlfn.XLOOKUP(PUNTAJE[[#This Row],[PREGUNTA]],ENCUESTA!G:G,ENCUESTA!E:E)),"N/A")</f>
        <v>PRESENTACIÓN PERSONAL</v>
      </c>
      <c r="O67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1</v>
      </c>
      <c r="P67" s="34" t="str">
        <f>_xlfn.XLOOKUP(PUNTAJE[[#This Row],[PREGUNTA]],ENCUESTA!G:G,ENCUESTA!H:H)</f>
        <v>NO</v>
      </c>
      <c r="Q67" s="34">
        <f>IF(PUNTAJE[[#This Row],[RESPUESTA]]=PUNTAJE[[#This Row],[RTA CORRECTA]],PUNTAJE[[#This Row],[TOTAL PUNTAJE]],0)</f>
        <v>0</v>
      </c>
    </row>
    <row r="68" spans="1:17" x14ac:dyDescent="0.25">
      <c r="A68" t="s">
        <v>32</v>
      </c>
      <c r="B68" t="s">
        <v>54</v>
      </c>
      <c r="C68" t="s">
        <v>12</v>
      </c>
      <c r="D68" s="49" t="s">
        <v>86</v>
      </c>
      <c r="E68" s="49" t="s">
        <v>161</v>
      </c>
      <c r="F68" t="s">
        <v>162</v>
      </c>
      <c r="G68" t="s">
        <v>90</v>
      </c>
      <c r="H68" t="s">
        <v>111</v>
      </c>
      <c r="I68" s="49" t="s">
        <v>34</v>
      </c>
      <c r="J68" s="60">
        <v>45776</v>
      </c>
      <c r="K68" s="34">
        <v>26853795</v>
      </c>
      <c r="L68" s="34" t="s">
        <v>168</v>
      </c>
      <c r="M68" t="str">
        <f>_xlfn.XLOOKUP(PUNTAJE[[#This Row],[CODIGO RUTA]],'DATA INFORME'!S:S,'DATA INFORME'!AB:AB)</f>
        <v>SI</v>
      </c>
      <c r="N68" t="str">
        <f>IF(PUNTAJE[[#This Row],[MYSTERY EFECTIVO]]="SI",(_xlfn.XLOOKUP(PUNTAJE[[#This Row],[PREGUNTA]],ENCUESTA!G:G,ENCUESTA!E:E)),"N/A")</f>
        <v>EJECUCION DEL PDV</v>
      </c>
      <c r="O68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68" s="34" t="str">
        <f>_xlfn.XLOOKUP(PUNTAJE[[#This Row],[PREGUNTA]],ENCUESTA!G:G,ENCUESTA!H:H)</f>
        <v>SI</v>
      </c>
      <c r="Q68" s="34">
        <f>IF(PUNTAJE[[#This Row],[RESPUESTA]]=PUNTAJE[[#This Row],[RTA CORRECTA]],PUNTAJE[[#This Row],[TOTAL PUNTAJE]],0)</f>
        <v>4.2857142857142856</v>
      </c>
    </row>
    <row r="69" spans="1:17" x14ac:dyDescent="0.25">
      <c r="A69" t="s">
        <v>32</v>
      </c>
      <c r="B69" t="s">
        <v>54</v>
      </c>
      <c r="C69" t="s">
        <v>12</v>
      </c>
      <c r="D69" s="49" t="s">
        <v>86</v>
      </c>
      <c r="E69" s="49" t="s">
        <v>161</v>
      </c>
      <c r="F69" t="s">
        <v>162</v>
      </c>
      <c r="G69" t="s">
        <v>91</v>
      </c>
      <c r="H69" t="s">
        <v>111</v>
      </c>
      <c r="I69" s="49" t="s">
        <v>34</v>
      </c>
      <c r="J69" s="60">
        <v>45776</v>
      </c>
      <c r="K69" s="34">
        <v>26853795</v>
      </c>
      <c r="L69" s="34" t="s">
        <v>168</v>
      </c>
      <c r="M69" t="str">
        <f>_xlfn.XLOOKUP(PUNTAJE[[#This Row],[CODIGO RUTA]],'DATA INFORME'!S:S,'DATA INFORME'!AB:AB)</f>
        <v>SI</v>
      </c>
      <c r="N69" t="str">
        <f>IF(PUNTAJE[[#This Row],[MYSTERY EFECTIVO]]="SI",(_xlfn.XLOOKUP(PUNTAJE[[#This Row],[PREGUNTA]],ENCUESTA!G:G,ENCUESTA!E:E)),"N/A")</f>
        <v>EJECUCION DEL PDV</v>
      </c>
      <c r="O69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69" s="34" t="str">
        <f>_xlfn.XLOOKUP(PUNTAJE[[#This Row],[PREGUNTA]],ENCUESTA!G:G,ENCUESTA!H:H)</f>
        <v>SI</v>
      </c>
      <c r="Q69" s="34">
        <f>IF(PUNTAJE[[#This Row],[RESPUESTA]]=PUNTAJE[[#This Row],[RTA CORRECTA]],PUNTAJE[[#This Row],[TOTAL PUNTAJE]],0)</f>
        <v>4.2857142857142856</v>
      </c>
    </row>
    <row r="70" spans="1:17" x14ac:dyDescent="0.25">
      <c r="A70" t="s">
        <v>32</v>
      </c>
      <c r="B70" t="s">
        <v>54</v>
      </c>
      <c r="C70" t="s">
        <v>12</v>
      </c>
      <c r="D70" s="49" t="s">
        <v>86</v>
      </c>
      <c r="E70" s="49" t="s">
        <v>161</v>
      </c>
      <c r="F70" t="s">
        <v>162</v>
      </c>
      <c r="G70" t="s">
        <v>92</v>
      </c>
      <c r="H70" t="s">
        <v>111</v>
      </c>
      <c r="I70" s="49" t="s">
        <v>34</v>
      </c>
      <c r="J70" s="60">
        <v>45776</v>
      </c>
      <c r="K70" s="34">
        <v>26853795</v>
      </c>
      <c r="L70" s="34" t="s">
        <v>168</v>
      </c>
      <c r="M70" t="str">
        <f>_xlfn.XLOOKUP(PUNTAJE[[#This Row],[CODIGO RUTA]],'DATA INFORME'!S:S,'DATA INFORME'!AB:AB)</f>
        <v>SI</v>
      </c>
      <c r="N70" t="str">
        <f>IF(PUNTAJE[[#This Row],[MYSTERY EFECTIVO]]="SI",(_xlfn.XLOOKUP(PUNTAJE[[#This Row],[PREGUNTA]],ENCUESTA!G:G,ENCUESTA!E:E)),"N/A")</f>
        <v>EJECUCION DEL PDV</v>
      </c>
      <c r="O70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70" s="34" t="str">
        <f>_xlfn.XLOOKUP(PUNTAJE[[#This Row],[PREGUNTA]],ENCUESTA!G:G,ENCUESTA!H:H)</f>
        <v>SI</v>
      </c>
      <c r="Q70" s="34">
        <f>IF(PUNTAJE[[#This Row],[RESPUESTA]]=PUNTAJE[[#This Row],[RTA CORRECTA]],PUNTAJE[[#This Row],[TOTAL PUNTAJE]],0)</f>
        <v>4.2857142857142856</v>
      </c>
    </row>
    <row r="71" spans="1:17" x14ac:dyDescent="0.25">
      <c r="A71" t="s">
        <v>32</v>
      </c>
      <c r="B71" t="s">
        <v>54</v>
      </c>
      <c r="C71" t="s">
        <v>12</v>
      </c>
      <c r="D71" s="49" t="s">
        <v>86</v>
      </c>
      <c r="E71" s="49" t="s">
        <v>161</v>
      </c>
      <c r="F71" t="s">
        <v>162</v>
      </c>
      <c r="G71" t="s">
        <v>93</v>
      </c>
      <c r="H71" t="s">
        <v>111</v>
      </c>
      <c r="I71" s="49" t="s">
        <v>118</v>
      </c>
      <c r="J71" s="60">
        <v>45776</v>
      </c>
      <c r="K71" s="34">
        <v>26853795</v>
      </c>
      <c r="L71" s="34" t="s">
        <v>168</v>
      </c>
      <c r="M71" t="str">
        <f>_xlfn.XLOOKUP(PUNTAJE[[#This Row],[CODIGO RUTA]],'DATA INFORME'!S:S,'DATA INFORME'!AB:AB)</f>
        <v>SI</v>
      </c>
      <c r="N71" t="str">
        <f>IF(PUNTAJE[[#This Row],[MYSTERY EFECTIVO]]="SI",(_xlfn.XLOOKUP(PUNTAJE[[#This Row],[PREGUNTA]],ENCUESTA!G:G,ENCUESTA!E:E)),"N/A")</f>
        <v>EJECUCION DEL PDV</v>
      </c>
      <c r="O71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71" s="34" t="str">
        <f>_xlfn.XLOOKUP(PUNTAJE[[#This Row],[PREGUNTA]],ENCUESTA!G:G,ENCUESTA!H:H)</f>
        <v>SI</v>
      </c>
      <c r="Q71" s="34">
        <f>IF(PUNTAJE[[#This Row],[RESPUESTA]]=PUNTAJE[[#This Row],[RTA CORRECTA]],PUNTAJE[[#This Row],[TOTAL PUNTAJE]],0)</f>
        <v>0</v>
      </c>
    </row>
    <row r="72" spans="1:17" x14ac:dyDescent="0.25">
      <c r="A72" t="s">
        <v>32</v>
      </c>
      <c r="B72" t="s">
        <v>54</v>
      </c>
      <c r="C72" t="s">
        <v>12</v>
      </c>
      <c r="D72" s="49" t="s">
        <v>86</v>
      </c>
      <c r="E72" s="49" t="s">
        <v>161</v>
      </c>
      <c r="F72" t="s">
        <v>162</v>
      </c>
      <c r="G72" t="s">
        <v>94</v>
      </c>
      <c r="H72" t="s">
        <v>111</v>
      </c>
      <c r="I72" s="49" t="s">
        <v>34</v>
      </c>
      <c r="J72" s="60">
        <v>45776</v>
      </c>
      <c r="K72" s="34">
        <v>26853795</v>
      </c>
      <c r="L72" s="34" t="s">
        <v>168</v>
      </c>
      <c r="M72" t="str">
        <f>_xlfn.XLOOKUP(PUNTAJE[[#This Row],[CODIGO RUTA]],'DATA INFORME'!S:S,'DATA INFORME'!AB:AB)</f>
        <v>SI</v>
      </c>
      <c r="N72" t="str">
        <f>IF(PUNTAJE[[#This Row],[MYSTERY EFECTIVO]]="SI",(_xlfn.XLOOKUP(PUNTAJE[[#This Row],[PREGUNTA]],ENCUESTA!G:G,ENCUESTA!E:E)),"N/A")</f>
        <v>EJECUCION DEL PDV</v>
      </c>
      <c r="O72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72" s="34" t="str">
        <f>_xlfn.XLOOKUP(PUNTAJE[[#This Row],[PREGUNTA]],ENCUESTA!G:G,ENCUESTA!H:H)</f>
        <v>SI</v>
      </c>
      <c r="Q72" s="34">
        <f>IF(PUNTAJE[[#This Row],[RESPUESTA]]=PUNTAJE[[#This Row],[RTA CORRECTA]],PUNTAJE[[#This Row],[TOTAL PUNTAJE]],0)</f>
        <v>4.2857142857142856</v>
      </c>
    </row>
    <row r="73" spans="1:17" x14ac:dyDescent="0.25">
      <c r="A73" t="s">
        <v>32</v>
      </c>
      <c r="B73" t="s">
        <v>54</v>
      </c>
      <c r="C73" t="s">
        <v>12</v>
      </c>
      <c r="D73" s="49" t="s">
        <v>86</v>
      </c>
      <c r="E73" s="49" t="s">
        <v>161</v>
      </c>
      <c r="F73" t="s">
        <v>162</v>
      </c>
      <c r="G73" t="s">
        <v>95</v>
      </c>
      <c r="H73" t="s">
        <v>111</v>
      </c>
      <c r="I73" s="49" t="s">
        <v>118</v>
      </c>
      <c r="J73" s="60">
        <v>45776</v>
      </c>
      <c r="K73" s="34">
        <v>26853795</v>
      </c>
      <c r="L73" s="34" t="s">
        <v>168</v>
      </c>
      <c r="M73" t="str">
        <f>_xlfn.XLOOKUP(PUNTAJE[[#This Row],[CODIGO RUTA]],'DATA INFORME'!S:S,'DATA INFORME'!AB:AB)</f>
        <v>SI</v>
      </c>
      <c r="N73" t="str">
        <f>IF(PUNTAJE[[#This Row],[MYSTERY EFECTIVO]]="SI",(_xlfn.XLOOKUP(PUNTAJE[[#This Row],[PREGUNTA]],ENCUESTA!G:G,ENCUESTA!E:E)),"N/A")</f>
        <v>EJECUCION DEL PDV</v>
      </c>
      <c r="O73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73" s="34" t="str">
        <f>_xlfn.XLOOKUP(PUNTAJE[[#This Row],[PREGUNTA]],ENCUESTA!G:G,ENCUESTA!H:H)</f>
        <v>SI</v>
      </c>
      <c r="Q73" s="34">
        <f>IF(PUNTAJE[[#This Row],[RESPUESTA]]=PUNTAJE[[#This Row],[RTA CORRECTA]],PUNTAJE[[#This Row],[TOTAL PUNTAJE]],0)</f>
        <v>0</v>
      </c>
    </row>
    <row r="74" spans="1:17" x14ac:dyDescent="0.25">
      <c r="A74" t="s">
        <v>32</v>
      </c>
      <c r="B74" t="s">
        <v>54</v>
      </c>
      <c r="C74" t="s">
        <v>12</v>
      </c>
      <c r="D74" s="49" t="s">
        <v>86</v>
      </c>
      <c r="E74" s="49" t="s">
        <v>161</v>
      </c>
      <c r="F74" t="s">
        <v>162</v>
      </c>
      <c r="G74" t="s">
        <v>96</v>
      </c>
      <c r="H74" t="s">
        <v>111</v>
      </c>
      <c r="I74" s="49" t="s">
        <v>118</v>
      </c>
      <c r="J74" s="60">
        <v>45776</v>
      </c>
      <c r="K74" s="34">
        <v>26853795</v>
      </c>
      <c r="L74" s="34" t="s">
        <v>168</v>
      </c>
      <c r="M74" t="str">
        <f>_xlfn.XLOOKUP(PUNTAJE[[#This Row],[CODIGO RUTA]],'DATA INFORME'!S:S,'DATA INFORME'!AB:AB)</f>
        <v>SI</v>
      </c>
      <c r="N74" t="str">
        <f>IF(PUNTAJE[[#This Row],[MYSTERY EFECTIVO]]="SI",(_xlfn.XLOOKUP(PUNTAJE[[#This Row],[PREGUNTA]],ENCUESTA!G:G,ENCUESTA!E:E)),"N/A")</f>
        <v>EJECUCION DEL PDV</v>
      </c>
      <c r="O74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4.2857142857142856</v>
      </c>
      <c r="P74" s="34" t="str">
        <f>_xlfn.XLOOKUP(PUNTAJE[[#This Row],[PREGUNTA]],ENCUESTA!G:G,ENCUESTA!H:H)</f>
        <v>SI</v>
      </c>
      <c r="Q74" s="34">
        <f>IF(PUNTAJE[[#This Row],[RESPUESTA]]=PUNTAJE[[#This Row],[RTA CORRECTA]],PUNTAJE[[#This Row],[TOTAL PUNTAJE]],0)</f>
        <v>0</v>
      </c>
    </row>
    <row r="75" spans="1:17" x14ac:dyDescent="0.25">
      <c r="A75" t="s">
        <v>32</v>
      </c>
      <c r="B75" t="s">
        <v>54</v>
      </c>
      <c r="C75" t="s">
        <v>12</v>
      </c>
      <c r="D75" s="49" t="s">
        <v>86</v>
      </c>
      <c r="E75" s="49" t="s">
        <v>161</v>
      </c>
      <c r="F75" t="s">
        <v>162</v>
      </c>
      <c r="G75" t="s">
        <v>119</v>
      </c>
      <c r="H75" t="s">
        <v>111</v>
      </c>
      <c r="I75" s="49" t="s">
        <v>169</v>
      </c>
      <c r="J75" s="60">
        <v>45776</v>
      </c>
      <c r="K75" s="34">
        <v>26853795</v>
      </c>
      <c r="L75" s="34" t="s">
        <v>168</v>
      </c>
      <c r="M75" t="str">
        <f>_xlfn.XLOOKUP(PUNTAJE[[#This Row],[CODIGO RUTA]],'DATA INFORME'!S:S,'DATA INFORME'!AB:AB)</f>
        <v>SI</v>
      </c>
      <c r="N75" t="str">
        <f>IF(PUNTAJE[[#This Row],[MYSTERY EFECTIVO]]="SI",(_xlfn.XLOOKUP(PUNTAJE[[#This Row],[PREGUNTA]],ENCUESTA!G:G,ENCUESTA!E:E)),"N/A")</f>
        <v>N/A</v>
      </c>
      <c r="O75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75" s="34" t="str">
        <f>_xlfn.XLOOKUP(PUNTAJE[[#This Row],[PREGUNTA]],ENCUESTA!G:G,ENCUESTA!H:H)</f>
        <v>MODERNO, ESPECIALIZADO, TRADICIONAL</v>
      </c>
      <c r="Q75" s="34">
        <f>IF(PUNTAJE[[#This Row],[RESPUESTA]]=PUNTAJE[[#This Row],[RTA CORRECTA]],PUNTAJE[[#This Row],[TOTAL PUNTAJE]],0)</f>
        <v>0</v>
      </c>
    </row>
    <row r="76" spans="1:17" x14ac:dyDescent="0.25">
      <c r="A76" t="s">
        <v>32</v>
      </c>
      <c r="B76" t="s">
        <v>54</v>
      </c>
      <c r="C76" t="s">
        <v>12</v>
      </c>
      <c r="D76" s="49" t="s">
        <v>86</v>
      </c>
      <c r="E76" s="49" t="s">
        <v>161</v>
      </c>
      <c r="F76" t="s">
        <v>162</v>
      </c>
      <c r="G76" t="s">
        <v>170</v>
      </c>
      <c r="H76" t="s">
        <v>111</v>
      </c>
      <c r="I76" s="49" t="s">
        <v>34</v>
      </c>
      <c r="J76" s="60">
        <v>45776</v>
      </c>
      <c r="K76" s="34">
        <v>26853795</v>
      </c>
      <c r="L76" s="34" t="s">
        <v>168</v>
      </c>
      <c r="M76" t="str">
        <f>_xlfn.XLOOKUP(PUNTAJE[[#This Row],[CODIGO RUTA]],'DATA INFORME'!S:S,'DATA INFORME'!AB:AB)</f>
        <v>SI</v>
      </c>
      <c r="N76" t="e">
        <f>IF(PUNTAJE[[#This Row],[MYSTERY EFECTIVO]]="SI",(_xlfn.XLOOKUP(PUNTAJE[[#This Row],[PREGUNTA]],ENCUESTA!G:G,ENCUESTA!E:E)),"N/A")</f>
        <v>#N/A</v>
      </c>
      <c r="O76" s="34" t="e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#N/A</v>
      </c>
      <c r="P76" s="34" t="e">
        <f>_xlfn.XLOOKUP(PUNTAJE[[#This Row],[PREGUNTA]],ENCUESTA!G:G,ENCUESTA!H:H)</f>
        <v>#N/A</v>
      </c>
      <c r="Q76" s="34" t="e">
        <f>IF(PUNTAJE[[#This Row],[RESPUESTA]]=PUNTAJE[[#This Row],[RTA CORRECTA]],PUNTAJE[[#This Row],[TOTAL PUNTAJE]],0)</f>
        <v>#N/A</v>
      </c>
    </row>
    <row r="77" spans="1:17" x14ac:dyDescent="0.25">
      <c r="A77" t="s">
        <v>32</v>
      </c>
      <c r="B77" t="s">
        <v>54</v>
      </c>
      <c r="C77" t="s">
        <v>12</v>
      </c>
      <c r="D77" s="49" t="s">
        <v>86</v>
      </c>
      <c r="E77" s="49" t="s">
        <v>161</v>
      </c>
      <c r="F77" t="s">
        <v>162</v>
      </c>
      <c r="G77" t="s">
        <v>125</v>
      </c>
      <c r="H77" t="s">
        <v>111</v>
      </c>
      <c r="I77" s="49" t="s">
        <v>34</v>
      </c>
      <c r="J77" s="60">
        <v>45776</v>
      </c>
      <c r="K77" s="34">
        <v>26853795</v>
      </c>
      <c r="L77" s="34" t="s">
        <v>168</v>
      </c>
      <c r="M77" t="str">
        <f>_xlfn.XLOOKUP(PUNTAJE[[#This Row],[CODIGO RUTA]],'DATA INFORME'!S:S,'DATA INFORME'!AB:AB)</f>
        <v>SI</v>
      </c>
      <c r="N77" t="str">
        <f>IF(PUNTAJE[[#This Row],[MYSTERY EFECTIVO]]="SI",(_xlfn.XLOOKUP(PUNTAJE[[#This Row],[PREGUNTA]],ENCUESTA!G:G,ENCUESTA!E:E)),"N/A")</f>
        <v>N/A</v>
      </c>
      <c r="O77" s="34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0</v>
      </c>
      <c r="P77" s="34">
        <f>_xlfn.XLOOKUP(PUNTAJE[[#This Row],[PREGUNTA]],ENCUESTA!G:G,ENCUESTA!H:H)</f>
        <v>0</v>
      </c>
      <c r="Q77" s="34">
        <f>IF(PUNTAJE[[#This Row],[RESPUESTA]]=PUNTAJE[[#This Row],[RTA CORRECTA]],PUNTAJE[[#This Row],[TOTAL PUNTAJE]],0)</f>
        <v>0</v>
      </c>
    </row>
    <row r="78" spans="1:17" x14ac:dyDescent="0.25">
      <c r="A78" t="s">
        <v>32</v>
      </c>
      <c r="B78" t="s">
        <v>54</v>
      </c>
      <c r="C78" t="s">
        <v>12</v>
      </c>
      <c r="D78" s="49" t="s">
        <v>86</v>
      </c>
      <c r="E78" s="49" t="s">
        <v>161</v>
      </c>
      <c r="F78" t="s">
        <v>162</v>
      </c>
      <c r="G78" t="s">
        <v>171</v>
      </c>
      <c r="H78" t="s">
        <v>111</v>
      </c>
      <c r="I78" s="49" t="s">
        <v>172</v>
      </c>
      <c r="J78" s="60">
        <v>45776</v>
      </c>
      <c r="K78" s="34">
        <v>26853795</v>
      </c>
      <c r="L78" s="34" t="s">
        <v>168</v>
      </c>
      <c r="M78" t="str">
        <f>_xlfn.XLOOKUP(PUNTAJE[[#This Row],[CODIGO RUTA]],'DATA INFORME'!S:S,'DATA INFORME'!AB:AB)</f>
        <v>SI</v>
      </c>
      <c r="N78" t="e">
        <f>IF(PUNTAJE[[#This Row],[MYSTERY EFECTIVO]]="SI",(_xlfn.XLOOKUP(PUNTAJE[[#This Row],[PREGUNTA]],ENCUESTA!G:G,ENCUESTA!E:E)),"N/A")</f>
        <v>#N/A</v>
      </c>
      <c r="O78" s="34" t="e">
        <f>IF(PUNTAJE[[#This Row],[MYSTERY EFECTIVO]]="SI",(IF(PUNTAJE[[#This Row],[CANAL]]="TRADICIONAL",_xlfn.XLOOKUP(PUNTAJE[[#This Row],[PREGUNTA]],ENCUESTA!G:G,ENCUESTA!A:A),IF(PUNTAJE[[#This Row],[CANAL]]="ESPECIALIZADO",_xlfn.XLOOKUP(PUNTAJE[[#This Row],[PREGUNTA]],ENCUESTA!G:G,ENCUESTA!B:B),IF(PUNTAJE[[#This Row],[CANAL]]="MODERNO",_xlfn.XLOOKUP(PUNTAJE[[#This Row],[PREGUNTA]],ENCUESTA!G:G,ENCUESTA!C:C))))),0)</f>
        <v>#N/A</v>
      </c>
      <c r="P78" s="34" t="e">
        <f>_xlfn.XLOOKUP(PUNTAJE[[#This Row],[PREGUNTA]],ENCUESTA!G:G,ENCUESTA!H:H)</f>
        <v>#N/A</v>
      </c>
      <c r="Q78" s="34" t="e">
        <f>IF(PUNTAJE[[#This Row],[RESPUESTA]]=PUNTAJE[[#This Row],[RTA CORRECTA]],PUNTAJE[[#This Row],[TOTAL PUNTAJE]],0)</f>
        <v>#N/A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5E33-EDDE-4B1B-A585-84A321E83FE9}">
  <sheetPr codeName="Hoja6"/>
  <dimension ref="A1:L28"/>
  <sheetViews>
    <sheetView showGridLines="0" zoomScale="60" zoomScaleNormal="60" workbookViewId="0">
      <selection activeCell="G14" sqref="G14"/>
    </sheetView>
  </sheetViews>
  <sheetFormatPr baseColWidth="10" defaultColWidth="11.42578125" defaultRowHeight="15" x14ac:dyDescent="0.25"/>
  <cols>
    <col min="1" max="1" width="24" bestFit="1" customWidth="1"/>
    <col min="2" max="2" width="27.140625" bestFit="1" customWidth="1"/>
    <col min="3" max="3" width="20.140625" bestFit="1" customWidth="1"/>
    <col min="4" max="4" width="15.5703125" customWidth="1"/>
    <col min="5" max="5" width="34.28515625" customWidth="1"/>
    <col min="6" max="6" width="7.85546875" bestFit="1" customWidth="1"/>
    <col min="7" max="7" width="93.140625" customWidth="1"/>
    <col min="8" max="8" width="40.5703125" customWidth="1"/>
    <col min="11" max="11" width="15.5703125" style="34" customWidth="1"/>
    <col min="12" max="12" width="24.28515625" customWidth="1"/>
  </cols>
  <sheetData>
    <row r="1" spans="1:12" x14ac:dyDescent="0.25">
      <c r="A1" s="35" t="s">
        <v>55</v>
      </c>
      <c r="B1" s="35" t="s">
        <v>52</v>
      </c>
      <c r="C1" s="35" t="s">
        <v>12</v>
      </c>
      <c r="D1" s="35" t="s">
        <v>79</v>
      </c>
      <c r="E1" s="59" t="s">
        <v>11</v>
      </c>
      <c r="F1" s="59" t="s">
        <v>84</v>
      </c>
      <c r="G1" s="59" t="s">
        <v>24</v>
      </c>
      <c r="H1" s="59" t="s">
        <v>30</v>
      </c>
      <c r="I1" s="18"/>
      <c r="K1" s="41" t="s">
        <v>83</v>
      </c>
      <c r="L1" s="42" t="s">
        <v>82</v>
      </c>
    </row>
    <row r="2" spans="1:12" x14ac:dyDescent="0.25">
      <c r="A2" s="29">
        <v>0</v>
      </c>
      <c r="B2" s="29">
        <v>0</v>
      </c>
      <c r="C2" s="29">
        <v>0</v>
      </c>
      <c r="D2" s="29">
        <v>0</v>
      </c>
      <c r="E2" s="29" t="s">
        <v>80</v>
      </c>
      <c r="F2" s="29" t="s">
        <v>85</v>
      </c>
      <c r="G2" s="29" t="s">
        <v>112</v>
      </c>
      <c r="H2" s="29" t="s">
        <v>34</v>
      </c>
      <c r="K2" s="43">
        <v>0.1</v>
      </c>
      <c r="L2" s="30" t="s">
        <v>81</v>
      </c>
    </row>
    <row r="3" spans="1:12" x14ac:dyDescent="0.25">
      <c r="A3" s="29">
        <v>20</v>
      </c>
      <c r="B3" s="29">
        <v>20</v>
      </c>
      <c r="C3" s="29">
        <v>20</v>
      </c>
      <c r="D3" s="29">
        <v>20</v>
      </c>
      <c r="E3" s="29" t="s">
        <v>14</v>
      </c>
      <c r="F3" s="29" t="s">
        <v>85</v>
      </c>
      <c r="G3" s="29" t="s">
        <v>44</v>
      </c>
      <c r="H3" s="29" t="s">
        <v>34</v>
      </c>
      <c r="K3" s="43">
        <v>0.2</v>
      </c>
      <c r="L3" s="30" t="s">
        <v>14</v>
      </c>
    </row>
    <row r="4" spans="1:12" x14ac:dyDescent="0.25">
      <c r="A4" s="83">
        <v>1</v>
      </c>
      <c r="B4" s="83">
        <v>1</v>
      </c>
      <c r="C4" s="83">
        <v>1</v>
      </c>
      <c r="D4" s="83">
        <v>1</v>
      </c>
      <c r="E4" s="29" t="s">
        <v>81</v>
      </c>
      <c r="F4" s="29" t="s">
        <v>85</v>
      </c>
      <c r="G4" s="29" t="s">
        <v>37</v>
      </c>
      <c r="H4" s="29" t="s">
        <v>34</v>
      </c>
      <c r="K4" s="43">
        <v>0.3</v>
      </c>
      <c r="L4" s="30" t="s">
        <v>16</v>
      </c>
    </row>
    <row r="5" spans="1:12" x14ac:dyDescent="0.25">
      <c r="A5" s="83">
        <v>1</v>
      </c>
      <c r="B5" s="83">
        <v>1</v>
      </c>
      <c r="C5" s="83">
        <v>1</v>
      </c>
      <c r="D5" s="83">
        <v>1</v>
      </c>
      <c r="E5" s="29" t="s">
        <v>81</v>
      </c>
      <c r="F5" s="29" t="s">
        <v>85</v>
      </c>
      <c r="G5" s="29" t="s">
        <v>89</v>
      </c>
      <c r="H5" s="29" t="s">
        <v>34</v>
      </c>
      <c r="K5" s="43">
        <v>0.4</v>
      </c>
      <c r="L5" s="30" t="s">
        <v>15</v>
      </c>
    </row>
    <row r="6" spans="1:12" x14ac:dyDescent="0.25">
      <c r="A6" s="83">
        <v>1</v>
      </c>
      <c r="B6" s="83">
        <v>1</v>
      </c>
      <c r="C6" s="83">
        <v>1</v>
      </c>
      <c r="D6" s="83">
        <v>1</v>
      </c>
      <c r="E6" s="29" t="s">
        <v>81</v>
      </c>
      <c r="F6" s="29" t="s">
        <v>85</v>
      </c>
      <c r="G6" s="29" t="s">
        <v>38</v>
      </c>
      <c r="H6" s="29" t="s">
        <v>34</v>
      </c>
      <c r="K6" s="46">
        <f>SUM(K1:K5)</f>
        <v>1</v>
      </c>
      <c r="L6" s="42" t="s">
        <v>7</v>
      </c>
    </row>
    <row r="7" spans="1:12" x14ac:dyDescent="0.25">
      <c r="A7" s="83">
        <v>1</v>
      </c>
      <c r="B7" s="83">
        <v>1</v>
      </c>
      <c r="C7" s="83">
        <v>1</v>
      </c>
      <c r="D7" s="83">
        <v>1</v>
      </c>
      <c r="E7" s="29" t="s">
        <v>81</v>
      </c>
      <c r="F7" s="29" t="s">
        <v>85</v>
      </c>
      <c r="G7" s="29" t="s">
        <v>117</v>
      </c>
      <c r="H7" s="29" t="s">
        <v>33</v>
      </c>
      <c r="K7" s="47"/>
      <c r="L7" s="48"/>
    </row>
    <row r="8" spans="1:12" x14ac:dyDescent="0.25">
      <c r="A8" s="83">
        <v>1</v>
      </c>
      <c r="B8" s="83">
        <v>1</v>
      </c>
      <c r="C8" s="83">
        <v>1</v>
      </c>
      <c r="D8" s="83">
        <v>1</v>
      </c>
      <c r="E8" s="29" t="s">
        <v>81</v>
      </c>
      <c r="F8" s="29" t="s">
        <v>85</v>
      </c>
      <c r="G8" s="29" t="s">
        <v>36</v>
      </c>
      <c r="H8" s="29" t="s">
        <v>34</v>
      </c>
      <c r="K8" s="44"/>
      <c r="L8" s="40"/>
    </row>
    <row r="9" spans="1:12" x14ac:dyDescent="0.25">
      <c r="A9" s="83">
        <v>1</v>
      </c>
      <c r="B9" s="83">
        <v>1</v>
      </c>
      <c r="C9" s="83">
        <v>1</v>
      </c>
      <c r="D9" s="83">
        <v>1</v>
      </c>
      <c r="E9" s="29" t="s">
        <v>81</v>
      </c>
      <c r="F9" s="29" t="s">
        <v>85</v>
      </c>
      <c r="G9" s="29" t="s">
        <v>42</v>
      </c>
      <c r="H9" s="29" t="s">
        <v>34</v>
      </c>
      <c r="K9" s="45"/>
      <c r="L9" s="40"/>
    </row>
    <row r="10" spans="1:12" x14ac:dyDescent="0.25">
      <c r="A10" s="83">
        <v>1</v>
      </c>
      <c r="B10" s="83">
        <v>1</v>
      </c>
      <c r="C10" s="83">
        <v>1</v>
      </c>
      <c r="D10" s="83">
        <v>1</v>
      </c>
      <c r="E10" s="29" t="s">
        <v>81</v>
      </c>
      <c r="F10" s="29" t="s">
        <v>85</v>
      </c>
      <c r="G10" s="29" t="s">
        <v>43</v>
      </c>
      <c r="H10" s="29" t="s">
        <v>33</v>
      </c>
      <c r="K10" s="45"/>
      <c r="L10" s="40"/>
    </row>
    <row r="11" spans="1:12" x14ac:dyDescent="0.25">
      <c r="A11" s="83">
        <v>1</v>
      </c>
      <c r="B11" s="83">
        <v>1</v>
      </c>
      <c r="C11" s="83">
        <v>1</v>
      </c>
      <c r="D11" s="83">
        <v>1</v>
      </c>
      <c r="E11" s="29" t="s">
        <v>81</v>
      </c>
      <c r="F11" s="29" t="s">
        <v>85</v>
      </c>
      <c r="G11" s="29" t="s">
        <v>41</v>
      </c>
      <c r="H11" s="29" t="s">
        <v>33</v>
      </c>
      <c r="K11" s="45"/>
      <c r="L11" s="40"/>
    </row>
    <row r="12" spans="1:12" x14ac:dyDescent="0.25">
      <c r="A12" s="83">
        <v>1</v>
      </c>
      <c r="B12" s="83">
        <v>1</v>
      </c>
      <c r="C12" s="83">
        <v>1</v>
      </c>
      <c r="D12" s="83">
        <v>1</v>
      </c>
      <c r="E12" s="29" t="s">
        <v>81</v>
      </c>
      <c r="F12" s="29" t="s">
        <v>85</v>
      </c>
      <c r="G12" s="29" t="s">
        <v>40</v>
      </c>
      <c r="H12" s="29" t="s">
        <v>33</v>
      </c>
      <c r="K12" s="45"/>
      <c r="L12" s="40"/>
    </row>
    <row r="13" spans="1:12" x14ac:dyDescent="0.25">
      <c r="A13" s="83">
        <v>1</v>
      </c>
      <c r="B13" s="83">
        <v>1</v>
      </c>
      <c r="C13" s="83">
        <v>1</v>
      </c>
      <c r="D13" s="83">
        <v>1</v>
      </c>
      <c r="E13" s="29" t="s">
        <v>81</v>
      </c>
      <c r="F13" s="29" t="s">
        <v>85</v>
      </c>
      <c r="G13" s="29" t="s">
        <v>39</v>
      </c>
      <c r="H13" s="29" t="s">
        <v>33</v>
      </c>
      <c r="K13" s="45"/>
      <c r="L13" s="40"/>
    </row>
    <row r="14" spans="1:12" x14ac:dyDescent="0.25">
      <c r="A14" s="82">
        <f t="shared" ref="A14:D20" si="0">30/7</f>
        <v>4.2857142857142856</v>
      </c>
      <c r="B14" s="82">
        <f t="shared" si="0"/>
        <v>4.2857142857142856</v>
      </c>
      <c r="C14" s="82">
        <f t="shared" si="0"/>
        <v>4.2857142857142856</v>
      </c>
      <c r="D14" s="82">
        <f t="shared" ref="D14:D20" si="1">30/7</f>
        <v>4.2857142857142856</v>
      </c>
      <c r="E14" s="29" t="s">
        <v>16</v>
      </c>
      <c r="F14" s="29" t="s">
        <v>85</v>
      </c>
      <c r="G14" s="29" t="s">
        <v>90</v>
      </c>
      <c r="H14" s="29" t="s">
        <v>34</v>
      </c>
      <c r="K14" s="45"/>
      <c r="L14" s="40"/>
    </row>
    <row r="15" spans="1:12" x14ac:dyDescent="0.25">
      <c r="A15" s="82">
        <f t="shared" si="0"/>
        <v>4.2857142857142856</v>
      </c>
      <c r="B15" s="82">
        <f t="shared" si="0"/>
        <v>4.2857142857142856</v>
      </c>
      <c r="C15" s="82">
        <f t="shared" si="0"/>
        <v>4.2857142857142856</v>
      </c>
      <c r="D15" s="82">
        <f>30/7</f>
        <v>4.2857142857142856</v>
      </c>
      <c r="E15" s="29" t="s">
        <v>16</v>
      </c>
      <c r="F15" s="29" t="s">
        <v>85</v>
      </c>
      <c r="G15" s="29" t="s">
        <v>91</v>
      </c>
      <c r="H15" s="29" t="s">
        <v>34</v>
      </c>
      <c r="K15" s="45"/>
      <c r="L15" s="40"/>
    </row>
    <row r="16" spans="1:12" x14ac:dyDescent="0.25">
      <c r="A16" s="82">
        <f t="shared" si="0"/>
        <v>4.2857142857142856</v>
      </c>
      <c r="B16" s="82">
        <f t="shared" si="0"/>
        <v>4.2857142857142856</v>
      </c>
      <c r="C16" s="82">
        <f t="shared" si="0"/>
        <v>4.2857142857142856</v>
      </c>
      <c r="D16" s="82">
        <f t="shared" ref="D16:D20" si="2">30/7</f>
        <v>4.2857142857142856</v>
      </c>
      <c r="E16" s="29" t="s">
        <v>16</v>
      </c>
      <c r="F16" s="29" t="s">
        <v>85</v>
      </c>
      <c r="G16" s="29" t="s">
        <v>92</v>
      </c>
      <c r="H16" s="29" t="s">
        <v>34</v>
      </c>
      <c r="K16" s="45"/>
      <c r="L16" s="40"/>
    </row>
    <row r="17" spans="1:12" x14ac:dyDescent="0.25">
      <c r="A17" s="82">
        <f t="shared" si="0"/>
        <v>4.2857142857142856</v>
      </c>
      <c r="B17" s="82">
        <f t="shared" si="0"/>
        <v>4.2857142857142856</v>
      </c>
      <c r="C17" s="82">
        <f t="shared" si="0"/>
        <v>4.2857142857142856</v>
      </c>
      <c r="D17" s="82">
        <f t="shared" si="2"/>
        <v>4.2857142857142856</v>
      </c>
      <c r="E17" s="29" t="s">
        <v>16</v>
      </c>
      <c r="F17" s="29" t="s">
        <v>85</v>
      </c>
      <c r="G17" s="29" t="s">
        <v>93</v>
      </c>
      <c r="H17" s="29" t="s">
        <v>34</v>
      </c>
      <c r="K17" s="45"/>
      <c r="L17" s="40"/>
    </row>
    <row r="18" spans="1:12" x14ac:dyDescent="0.25">
      <c r="A18" s="82">
        <f t="shared" si="0"/>
        <v>4.2857142857142856</v>
      </c>
      <c r="B18" s="82">
        <f t="shared" si="0"/>
        <v>4.2857142857142856</v>
      </c>
      <c r="C18" s="82">
        <f t="shared" si="0"/>
        <v>4.2857142857142856</v>
      </c>
      <c r="D18" s="82">
        <f t="shared" si="2"/>
        <v>4.2857142857142856</v>
      </c>
      <c r="E18" s="29" t="s">
        <v>16</v>
      </c>
      <c r="F18" s="29" t="s">
        <v>85</v>
      </c>
      <c r="G18" s="29" t="s">
        <v>94</v>
      </c>
      <c r="H18" s="29" t="s">
        <v>34</v>
      </c>
      <c r="K18" s="45"/>
      <c r="L18" s="40"/>
    </row>
    <row r="19" spans="1:12" x14ac:dyDescent="0.25">
      <c r="A19" s="82">
        <f t="shared" si="0"/>
        <v>4.2857142857142856</v>
      </c>
      <c r="B19" s="82">
        <f t="shared" si="0"/>
        <v>4.2857142857142856</v>
      </c>
      <c r="C19" s="82">
        <f t="shared" si="0"/>
        <v>4.2857142857142856</v>
      </c>
      <c r="D19" s="82">
        <f t="shared" si="2"/>
        <v>4.2857142857142856</v>
      </c>
      <c r="E19" s="29" t="s">
        <v>16</v>
      </c>
      <c r="F19" s="29" t="s">
        <v>85</v>
      </c>
      <c r="G19" s="29" t="s">
        <v>95</v>
      </c>
      <c r="H19" s="29" t="s">
        <v>34</v>
      </c>
      <c r="K19" s="45"/>
      <c r="L19" s="40"/>
    </row>
    <row r="20" spans="1:12" x14ac:dyDescent="0.25">
      <c r="A20" s="82">
        <f t="shared" si="0"/>
        <v>4.2857142857142856</v>
      </c>
      <c r="B20" s="82">
        <f t="shared" si="0"/>
        <v>4.2857142857142856</v>
      </c>
      <c r="C20" s="82">
        <f t="shared" si="0"/>
        <v>4.2857142857142856</v>
      </c>
      <c r="D20" s="82">
        <f t="shared" si="2"/>
        <v>4.2857142857142856</v>
      </c>
      <c r="E20" s="29" t="s">
        <v>16</v>
      </c>
      <c r="F20" s="29" t="s">
        <v>85</v>
      </c>
      <c r="G20" s="29" t="s">
        <v>96</v>
      </c>
      <c r="H20" s="29" t="s">
        <v>34</v>
      </c>
      <c r="K20" s="45"/>
      <c r="L20" s="40"/>
    </row>
    <row r="21" spans="1:12" x14ac:dyDescent="0.25">
      <c r="A21" s="29">
        <v>0</v>
      </c>
      <c r="B21" s="29">
        <v>0</v>
      </c>
      <c r="C21" s="29">
        <v>0</v>
      </c>
      <c r="D21" s="29">
        <v>0</v>
      </c>
      <c r="E21" s="29" t="s">
        <v>80</v>
      </c>
      <c r="F21" s="29" t="s">
        <v>85</v>
      </c>
      <c r="G21" s="29" t="s">
        <v>119</v>
      </c>
      <c r="H21" s="29" t="s">
        <v>189</v>
      </c>
      <c r="K21" s="45"/>
      <c r="L21" s="40"/>
    </row>
    <row r="22" spans="1:12" x14ac:dyDescent="0.25">
      <c r="A22" s="29">
        <v>0</v>
      </c>
      <c r="B22" s="29">
        <v>0</v>
      </c>
      <c r="C22" s="29">
        <v>8</v>
      </c>
      <c r="D22" s="29">
        <v>8</v>
      </c>
      <c r="E22" s="29" t="s">
        <v>15</v>
      </c>
      <c r="F22" s="29" t="s">
        <v>85</v>
      </c>
      <c r="G22" s="29" t="s">
        <v>184</v>
      </c>
      <c r="H22" s="29" t="s">
        <v>34</v>
      </c>
      <c r="K22" s="45"/>
      <c r="L22" s="40"/>
    </row>
    <row r="23" spans="1:12" x14ac:dyDescent="0.25">
      <c r="A23" s="29">
        <v>0</v>
      </c>
      <c r="B23" s="29">
        <v>0</v>
      </c>
      <c r="C23" s="29">
        <v>8</v>
      </c>
      <c r="D23" s="29">
        <v>8</v>
      </c>
      <c r="E23" s="29" t="s">
        <v>15</v>
      </c>
      <c r="F23" s="29" t="s">
        <v>85</v>
      </c>
      <c r="G23" s="29" t="s">
        <v>185</v>
      </c>
      <c r="H23" s="29" t="s">
        <v>34</v>
      </c>
      <c r="K23" s="45"/>
      <c r="L23" s="40"/>
    </row>
    <row r="24" spans="1:12" x14ac:dyDescent="0.25">
      <c r="A24" s="29">
        <v>0</v>
      </c>
      <c r="B24" s="29">
        <v>0</v>
      </c>
      <c r="C24" s="29">
        <v>8</v>
      </c>
      <c r="D24" s="29">
        <v>8</v>
      </c>
      <c r="E24" s="29" t="s">
        <v>15</v>
      </c>
      <c r="F24" s="29" t="s">
        <v>85</v>
      </c>
      <c r="G24" s="29" t="s">
        <v>186</v>
      </c>
      <c r="H24" s="29" t="s">
        <v>34</v>
      </c>
      <c r="K24" s="45"/>
      <c r="L24" s="40"/>
    </row>
    <row r="25" spans="1:12" x14ac:dyDescent="0.25">
      <c r="A25" s="29">
        <v>0</v>
      </c>
      <c r="B25" s="29">
        <v>0</v>
      </c>
      <c r="C25" s="29">
        <v>8</v>
      </c>
      <c r="D25" s="29">
        <v>8</v>
      </c>
      <c r="E25" s="29" t="s">
        <v>15</v>
      </c>
      <c r="F25" s="29" t="s">
        <v>85</v>
      </c>
      <c r="G25" s="29" t="s">
        <v>187</v>
      </c>
      <c r="H25" s="29" t="s">
        <v>34</v>
      </c>
      <c r="K25" s="45"/>
      <c r="L25" s="40"/>
    </row>
    <row r="26" spans="1:12" x14ac:dyDescent="0.25">
      <c r="A26" s="29">
        <v>0</v>
      </c>
      <c r="B26" s="29">
        <v>0</v>
      </c>
      <c r="C26" s="29">
        <v>8</v>
      </c>
      <c r="D26" s="29">
        <v>8</v>
      </c>
      <c r="E26" s="29" t="s">
        <v>15</v>
      </c>
      <c r="F26" s="29" t="s">
        <v>85</v>
      </c>
      <c r="G26" s="29" t="s">
        <v>183</v>
      </c>
      <c r="H26" s="29" t="s">
        <v>34</v>
      </c>
      <c r="K26" s="45"/>
      <c r="L26" s="40"/>
    </row>
    <row r="27" spans="1:12" x14ac:dyDescent="0.25">
      <c r="A27" s="29">
        <v>0</v>
      </c>
      <c r="B27" s="29">
        <v>0</v>
      </c>
      <c r="C27" s="29">
        <v>0</v>
      </c>
      <c r="D27" s="29">
        <v>0</v>
      </c>
      <c r="E27" s="29" t="s">
        <v>80</v>
      </c>
      <c r="F27" s="29" t="s">
        <v>85</v>
      </c>
      <c r="G27" s="29" t="s">
        <v>125</v>
      </c>
      <c r="H27" s="29"/>
      <c r="K27" s="45"/>
      <c r="L27" s="40"/>
    </row>
    <row r="28" spans="1:12" x14ac:dyDescent="0.25">
      <c r="A28" s="29">
        <v>0</v>
      </c>
      <c r="B28" s="29">
        <v>0</v>
      </c>
      <c r="C28" s="29">
        <v>0</v>
      </c>
      <c r="D28" s="29">
        <v>0</v>
      </c>
      <c r="E28" s="29" t="s">
        <v>80</v>
      </c>
      <c r="F28" s="29" t="s">
        <v>97</v>
      </c>
      <c r="G28" s="29" t="s">
        <v>188</v>
      </c>
      <c r="H28" s="29"/>
      <c r="K28" s="45"/>
      <c r="L28" s="40"/>
    </row>
  </sheetData>
  <autoFilter ref="A1:H28" xr:uid="{0D205E33-EDDE-4B1B-A585-84A321E83F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78B-F304-431E-B383-B38CC465224C}">
  <sheetPr codeName="Hoja3"/>
  <dimension ref="A1:J13"/>
  <sheetViews>
    <sheetView showGridLines="0" zoomScaleNormal="100" workbookViewId="0">
      <selection activeCell="F10" sqref="F10"/>
    </sheetView>
  </sheetViews>
  <sheetFormatPr baseColWidth="10" defaultColWidth="11.42578125" defaultRowHeight="15" x14ac:dyDescent="0.25"/>
  <cols>
    <col min="1" max="1" width="14.28515625" bestFit="1" customWidth="1"/>
    <col min="2" max="2" width="16.28515625" customWidth="1"/>
    <col min="3" max="3" width="15.7109375" customWidth="1"/>
    <col min="4" max="4" width="36.140625" style="17" bestFit="1" customWidth="1"/>
    <col min="5" max="5" width="50.28515625" customWidth="1"/>
    <col min="6" max="7" width="10.85546875" customWidth="1"/>
    <col min="8" max="8" width="11.140625" customWidth="1"/>
    <col min="12" max="12" width="10.85546875" customWidth="1"/>
  </cols>
  <sheetData>
    <row r="1" spans="1:10" ht="24" x14ac:dyDescent="0.25">
      <c r="A1" s="8" t="s">
        <v>19</v>
      </c>
      <c r="B1" s="8" t="s">
        <v>1</v>
      </c>
      <c r="C1" s="8" t="s">
        <v>45</v>
      </c>
      <c r="D1" s="33" t="s">
        <v>46</v>
      </c>
      <c r="E1" s="9" t="s">
        <v>47</v>
      </c>
      <c r="F1" s="9" t="s">
        <v>48</v>
      </c>
      <c r="G1" s="9" t="s">
        <v>49</v>
      </c>
      <c r="H1" s="10" t="s">
        <v>50</v>
      </c>
      <c r="I1" s="28" t="s">
        <v>51</v>
      </c>
    </row>
    <row r="2" spans="1:10" s="7" customFormat="1" x14ac:dyDescent="0.25">
      <c r="A2" t="s">
        <v>12</v>
      </c>
      <c r="B2" t="s">
        <v>54</v>
      </c>
      <c r="C2">
        <v>99639</v>
      </c>
      <c r="D2" t="s">
        <v>162</v>
      </c>
      <c r="E2" s="31">
        <v>1</v>
      </c>
      <c r="F2" s="32">
        <v>1</v>
      </c>
      <c r="G2" s="32">
        <f>IF((COUNTIFS(Export!I:I,Tabla1[[#This Row],[VUM]]))&gt;0,1,0)</f>
        <v>1</v>
      </c>
      <c r="H2" s="32">
        <f>IF((COUNTIFS(Export!I:I,Tabla1[[#This Row],[VUM]]))&gt;0,1,0)</f>
        <v>1</v>
      </c>
      <c r="I2" s="32">
        <f>IF((_xlfn.XLOOKUP(Tabla1[[#This Row],[VUM]],'DATA INFORME'!H:H,'DATA INFORME'!AA:AA))="SI",1,0)</f>
        <v>1</v>
      </c>
    </row>
    <row r="3" spans="1:10" s="7" customFormat="1" x14ac:dyDescent="0.25">
      <c r="A3" t="s">
        <v>12</v>
      </c>
      <c r="B3" t="s">
        <v>53</v>
      </c>
      <c r="C3">
        <v>12034</v>
      </c>
      <c r="D3" t="s">
        <v>144</v>
      </c>
      <c r="E3" s="31">
        <v>1</v>
      </c>
      <c r="F3" s="32">
        <v>1</v>
      </c>
      <c r="G3" s="32">
        <f>IF((COUNTIFS(Export!I:I,Tabla1[[#This Row],[VUM]]))&gt;0,1,0)</f>
        <v>1</v>
      </c>
      <c r="H3" s="32">
        <f>IF((COUNTIFS(Export!I:I,Tabla1[[#This Row],[VUM]]))&gt;0,1,0)</f>
        <v>1</v>
      </c>
      <c r="I3" s="32">
        <f>IF((_xlfn.XLOOKUP(Tabla1[[#This Row],[VUM]],'DATA INFORME'!H:H,'DATA INFORME'!AA:AA))="SI",1,0)</f>
        <v>0</v>
      </c>
    </row>
    <row r="4" spans="1:10" x14ac:dyDescent="0.25">
      <c r="A4" t="s">
        <v>12</v>
      </c>
      <c r="B4" t="s">
        <v>53</v>
      </c>
      <c r="C4">
        <v>95330</v>
      </c>
      <c r="D4" t="s">
        <v>153</v>
      </c>
      <c r="E4" s="31">
        <v>1</v>
      </c>
      <c r="F4" s="32">
        <v>1</v>
      </c>
      <c r="G4" s="32">
        <f>IF((COUNTIFS(Export!I:I,Tabla1[[#This Row],[VUM]]))&gt;0,1,0)</f>
        <v>1</v>
      </c>
      <c r="H4" s="32">
        <f>IF((COUNTIFS(Export!I:I,Tabla1[[#This Row],[VUM]]))&gt;0,1,0)</f>
        <v>1</v>
      </c>
      <c r="I4" s="32">
        <f>IF((_xlfn.XLOOKUP(Tabla1[[#This Row],[VUM]],'DATA INFORME'!H:H,'DATA INFORME'!AA:AA))="SI",1,0)</f>
        <v>0</v>
      </c>
      <c r="J4" s="7"/>
    </row>
    <row r="5" spans="1:10" x14ac:dyDescent="0.25">
      <c r="A5" t="s">
        <v>52</v>
      </c>
      <c r="B5" t="s">
        <v>6</v>
      </c>
      <c r="C5">
        <v>191506</v>
      </c>
      <c r="D5" t="s">
        <v>109</v>
      </c>
      <c r="E5" s="31">
        <v>1</v>
      </c>
      <c r="F5" s="32">
        <v>1</v>
      </c>
      <c r="G5" s="32">
        <f>IF((COUNTIFS(Export!I:I,Tabla1[[#This Row],[VUM]]))&gt;0,1,0)</f>
        <v>1</v>
      </c>
      <c r="H5" s="32">
        <f>IF((COUNTIFS(Export!I:I,Tabla1[[#This Row],[VUM]]))&gt;0,1,0)</f>
        <v>1</v>
      </c>
      <c r="I5" s="32">
        <f>IF((_xlfn.XLOOKUP(Tabla1[[#This Row],[VUM]],'DATA INFORME'!H:H,'DATA INFORME'!AA:AA))="SI",1,0)</f>
        <v>1</v>
      </c>
    </row>
    <row r="6" spans="1:10" x14ac:dyDescent="0.25">
      <c r="A6" t="s">
        <v>12</v>
      </c>
      <c r="B6" t="s">
        <v>6</v>
      </c>
      <c r="C6">
        <v>447656</v>
      </c>
      <c r="D6" t="s">
        <v>136</v>
      </c>
      <c r="E6" s="31">
        <v>1</v>
      </c>
      <c r="F6" s="32">
        <v>1</v>
      </c>
      <c r="G6" s="32">
        <f>IF((COUNTIFS(Export!I:I,Tabla1[[#This Row],[VUM]]))&gt;0,1,0)</f>
        <v>1</v>
      </c>
      <c r="H6" s="70">
        <f>IF((COUNTIFS(Export!I:I,Tabla1[[#This Row],[VUM]]))&gt;0,1,0)</f>
        <v>1</v>
      </c>
      <c r="I6" s="71">
        <f>IF((_xlfn.XLOOKUP(Tabla1[[#This Row],[VUM]],'DATA INFORME'!H:H,'DATA INFORME'!AA:AA))="SI",1,0)</f>
        <v>0</v>
      </c>
    </row>
    <row r="7" spans="1:10" x14ac:dyDescent="0.25">
      <c r="A7" t="s">
        <v>55</v>
      </c>
      <c r="B7" t="s">
        <v>6</v>
      </c>
      <c r="C7">
        <v>127066</v>
      </c>
      <c r="D7" t="s">
        <v>128</v>
      </c>
      <c r="E7" s="31">
        <v>1</v>
      </c>
      <c r="F7" s="32">
        <v>1</v>
      </c>
      <c r="G7" s="32">
        <f>IF((COUNTIFS(Export!I:I,Tabla1[[#This Row],[VUM]]))&gt;0,1,0)</f>
        <v>1</v>
      </c>
      <c r="H7" s="70">
        <f>IF((COUNTIFS(Export!I:I,Tabla1[[#This Row],[VUM]]))&gt;0,1,0)</f>
        <v>1</v>
      </c>
      <c r="I7" s="71">
        <f>IF((_xlfn.XLOOKUP(Tabla1[[#This Row],[VUM]],'DATA INFORME'!H:H,'DATA INFORME'!AA:AA))="SI",1,0)</f>
        <v>0</v>
      </c>
    </row>
    <row r="9" spans="1:10" x14ac:dyDescent="0.25">
      <c r="A9" s="80" t="s">
        <v>19</v>
      </c>
      <c r="B9" s="80" t="s">
        <v>1</v>
      </c>
      <c r="C9" s="80" t="s">
        <v>45</v>
      </c>
      <c r="D9" s="50" t="s">
        <v>46</v>
      </c>
      <c r="E9" s="72" t="s">
        <v>88</v>
      </c>
    </row>
    <row r="10" spans="1:10" ht="30.95" customHeight="1" x14ac:dyDescent="0.25">
      <c r="A10" s="81" t="s">
        <v>12</v>
      </c>
      <c r="B10" s="81" t="s">
        <v>53</v>
      </c>
      <c r="C10" s="81">
        <v>12034</v>
      </c>
      <c r="D10" s="81" t="s">
        <v>144</v>
      </c>
      <c r="E10" s="81" t="s">
        <v>181</v>
      </c>
    </row>
    <row r="11" spans="1:10" ht="33.950000000000003" customHeight="1" x14ac:dyDescent="0.25">
      <c r="A11" s="81" t="s">
        <v>12</v>
      </c>
      <c r="B11" s="81" t="s">
        <v>6</v>
      </c>
      <c r="C11" s="81">
        <v>447656</v>
      </c>
      <c r="D11" s="81" t="s">
        <v>136</v>
      </c>
      <c r="E11" s="81" t="s">
        <v>141</v>
      </c>
    </row>
    <row r="12" spans="1:10" ht="53.1" customHeight="1" x14ac:dyDescent="0.25">
      <c r="A12" s="81" t="s">
        <v>55</v>
      </c>
      <c r="B12" s="81" t="s">
        <v>6</v>
      </c>
      <c r="C12" s="81">
        <v>127066</v>
      </c>
      <c r="D12" s="81" t="s">
        <v>128</v>
      </c>
      <c r="E12" s="81" t="s">
        <v>133</v>
      </c>
    </row>
    <row r="13" spans="1:10" ht="12.95" customHeight="1" x14ac:dyDescent="0.25">
      <c r="A13" s="29" t="s">
        <v>12</v>
      </c>
      <c r="B13" s="29" t="s">
        <v>53</v>
      </c>
      <c r="C13" s="29">
        <v>12034</v>
      </c>
      <c r="D13" s="29" t="s">
        <v>144</v>
      </c>
      <c r="E13" s="81" t="s">
        <v>182</v>
      </c>
    </row>
  </sheetData>
  <conditionalFormatting sqref="D1">
    <cfRule type="duplicateValues" dxfId="1" priority="31"/>
  </conditionalFormatting>
  <conditionalFormatting sqref="D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5499-B9F4-4EFB-BB61-DE36135B9537}">
  <dimension ref="A1:I7"/>
  <sheetViews>
    <sheetView workbookViewId="0">
      <selection activeCell="C10" sqref="C10"/>
    </sheetView>
  </sheetViews>
  <sheetFormatPr baseColWidth="10" defaultRowHeight="15" x14ac:dyDescent="0.25"/>
  <cols>
    <col min="2" max="2" width="45" bestFit="1" customWidth="1"/>
  </cols>
  <sheetData>
    <row r="1" spans="1:9" x14ac:dyDescent="0.25">
      <c r="A1" s="74" t="s">
        <v>1</v>
      </c>
      <c r="B1" s="74" t="s">
        <v>20</v>
      </c>
      <c r="C1" s="75">
        <v>1</v>
      </c>
      <c r="D1" s="75">
        <v>2</v>
      </c>
      <c r="E1" s="75">
        <v>3</v>
      </c>
      <c r="F1" s="75">
        <v>4</v>
      </c>
      <c r="G1" s="75">
        <v>5</v>
      </c>
      <c r="H1" s="75">
        <v>6</v>
      </c>
      <c r="I1" s="75">
        <v>7</v>
      </c>
    </row>
    <row r="2" spans="1:9" x14ac:dyDescent="0.25">
      <c r="A2" s="76" t="s">
        <v>54</v>
      </c>
      <c r="B2" s="77" t="s">
        <v>162</v>
      </c>
      <c r="C2" s="79" t="s">
        <v>179</v>
      </c>
      <c r="D2" s="79" t="s">
        <v>180</v>
      </c>
      <c r="E2" s="29"/>
      <c r="F2" s="29"/>
      <c r="G2" s="29"/>
      <c r="H2" s="29"/>
      <c r="I2" s="29"/>
    </row>
    <row r="3" spans="1:9" x14ac:dyDescent="0.25">
      <c r="A3" s="29" t="s">
        <v>53</v>
      </c>
      <c r="B3" s="78" t="s">
        <v>144</v>
      </c>
      <c r="C3" s="79" t="s">
        <v>173</v>
      </c>
      <c r="D3" s="79" t="s">
        <v>174</v>
      </c>
      <c r="E3" s="29"/>
      <c r="F3" s="29"/>
      <c r="G3" s="29"/>
      <c r="H3" s="29"/>
      <c r="I3" s="29"/>
    </row>
    <row r="4" spans="1:9" x14ac:dyDescent="0.25">
      <c r="A4" s="76" t="s">
        <v>53</v>
      </c>
      <c r="B4" s="77" t="s">
        <v>153</v>
      </c>
      <c r="C4" s="79" t="s">
        <v>175</v>
      </c>
      <c r="D4" s="79"/>
      <c r="E4" s="29"/>
      <c r="F4" s="29"/>
      <c r="G4" s="29"/>
      <c r="H4" s="29"/>
      <c r="I4" s="29"/>
    </row>
    <row r="5" spans="1:9" x14ac:dyDescent="0.25">
      <c r="A5" s="29" t="s">
        <v>6</v>
      </c>
      <c r="B5" s="78" t="s">
        <v>109</v>
      </c>
      <c r="C5" s="79" t="s">
        <v>176</v>
      </c>
      <c r="D5" s="79"/>
      <c r="E5" s="29"/>
      <c r="F5" s="29"/>
      <c r="G5" s="29"/>
      <c r="H5" s="29"/>
      <c r="I5" s="29"/>
    </row>
    <row r="6" spans="1:9" x14ac:dyDescent="0.25">
      <c r="A6" s="76" t="s">
        <v>6</v>
      </c>
      <c r="B6" s="77" t="s">
        <v>136</v>
      </c>
      <c r="C6" s="79" t="s">
        <v>177</v>
      </c>
      <c r="D6" s="29"/>
      <c r="E6" s="29"/>
      <c r="F6" s="29"/>
      <c r="G6" s="29"/>
      <c r="H6" s="29"/>
      <c r="I6" s="29"/>
    </row>
    <row r="7" spans="1:9" x14ac:dyDescent="0.25">
      <c r="A7" s="29" t="s">
        <v>6</v>
      </c>
      <c r="B7" s="78" t="s">
        <v>128</v>
      </c>
      <c r="C7" s="79" t="s">
        <v>178</v>
      </c>
      <c r="D7" s="29"/>
      <c r="E7" s="29"/>
      <c r="F7" s="29"/>
      <c r="G7" s="29"/>
      <c r="H7" s="29"/>
      <c r="I7" s="29"/>
    </row>
  </sheetData>
  <hyperlinks>
    <hyperlink ref="C7" r:id="rId1" xr:uid="{6246545D-2AC9-4FB0-84D8-83BF18B83236}"/>
    <hyperlink ref="C3" r:id="rId2" xr:uid="{B6594E49-1D71-4F51-AB67-69C82479FD1A}"/>
    <hyperlink ref="D3" r:id="rId3" xr:uid="{515A2250-A6AB-4223-9C9D-1CFD0D5C7C08}"/>
    <hyperlink ref="C4" r:id="rId4" xr:uid="{582087E7-3890-49DD-A5DE-BB40B9CDE14C}"/>
    <hyperlink ref="C5" r:id="rId5" xr:uid="{58CE096A-4BEB-4724-813F-3FD27F55D769}"/>
    <hyperlink ref="C6" r:id="rId6" xr:uid="{3568DCC1-4A33-4182-BA36-A25A99636DEF}"/>
    <hyperlink ref="C2" r:id="rId7" xr:uid="{B153437E-EE50-44AA-8F06-4E78F52B063E}"/>
    <hyperlink ref="D2" r:id="rId8" xr:uid="{A82F3BBE-83E8-4720-9D96-F3B7B05DF65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0340-F397-4E3E-B8AE-49EB0D826938}">
  <dimension ref="A1:BD7"/>
  <sheetViews>
    <sheetView workbookViewId="0">
      <selection activeCell="F4" sqref="F4"/>
    </sheetView>
  </sheetViews>
  <sheetFormatPr baseColWidth="10" defaultRowHeight="15" x14ac:dyDescent="0.25"/>
  <cols>
    <col min="1" max="1" width="14.5703125" bestFit="1" customWidth="1"/>
    <col min="2" max="2" width="14.42578125" bestFit="1" customWidth="1"/>
    <col min="3" max="3" width="11.140625" bestFit="1" customWidth="1"/>
    <col min="4" max="4" width="15.28515625" bestFit="1" customWidth="1"/>
    <col min="5" max="5" width="36.28515625" bestFit="1" customWidth="1"/>
    <col min="6" max="6" width="15.5703125" bestFit="1" customWidth="1"/>
    <col min="7" max="7" width="16.28515625" bestFit="1" customWidth="1"/>
    <col min="8" max="8" width="11.5703125" bestFit="1" customWidth="1"/>
    <col min="9" max="9" width="56.5703125" bestFit="1" customWidth="1"/>
    <col min="10" max="11" width="81.140625" bestFit="1" customWidth="1"/>
    <col min="12" max="12" width="50.85546875" bestFit="1" customWidth="1"/>
    <col min="13" max="13" width="81.140625" bestFit="1" customWidth="1"/>
    <col min="14" max="14" width="68.5703125" bestFit="1" customWidth="1"/>
    <col min="15" max="15" width="53.28515625" bestFit="1" customWidth="1"/>
    <col min="16" max="18" width="81.140625" bestFit="1" customWidth="1"/>
    <col min="19" max="19" width="66.7109375" bestFit="1" customWidth="1"/>
    <col min="20" max="20" width="48.5703125" bestFit="1" customWidth="1"/>
    <col min="21" max="26" width="81.140625" bestFit="1" customWidth="1"/>
    <col min="27" max="27" width="26.7109375" bestFit="1" customWidth="1"/>
    <col min="28" max="28" width="81.140625" bestFit="1" customWidth="1"/>
    <col min="29" max="29" width="34.5703125" bestFit="1" customWidth="1"/>
    <col min="30" max="30" width="81.140625" bestFit="1" customWidth="1"/>
    <col min="31" max="31" width="64.85546875" bestFit="1" customWidth="1"/>
    <col min="32" max="32" width="78.42578125" bestFit="1" customWidth="1"/>
    <col min="33" max="33" width="79.5703125" bestFit="1" customWidth="1"/>
    <col min="34" max="35" width="80.7109375" bestFit="1" customWidth="1"/>
  </cols>
  <sheetData>
    <row r="1" spans="1:56" x14ac:dyDescent="0.25">
      <c r="A1" t="s">
        <v>21</v>
      </c>
      <c r="B1" t="s">
        <v>56</v>
      </c>
      <c r="C1" t="s">
        <v>1</v>
      </c>
      <c r="D1" t="s">
        <v>19</v>
      </c>
      <c r="E1" t="s">
        <v>22</v>
      </c>
      <c r="F1" t="s">
        <v>57</v>
      </c>
      <c r="G1" t="s">
        <v>58</v>
      </c>
      <c r="H1" t="s">
        <v>23</v>
      </c>
      <c r="I1" t="s">
        <v>20</v>
      </c>
      <c r="J1" t="s">
        <v>60</v>
      </c>
      <c r="K1" t="s">
        <v>61</v>
      </c>
      <c r="L1" t="s">
        <v>62</v>
      </c>
      <c r="M1" t="s">
        <v>63</v>
      </c>
      <c r="N1" t="s">
        <v>65</v>
      </c>
      <c r="O1" t="s">
        <v>66</v>
      </c>
      <c r="P1" t="s">
        <v>25</v>
      </c>
      <c r="Q1" t="s">
        <v>67</v>
      </c>
      <c r="R1" t="s">
        <v>68</v>
      </c>
      <c r="S1" t="s">
        <v>26</v>
      </c>
      <c r="T1" t="s">
        <v>69</v>
      </c>
      <c r="U1" t="s">
        <v>70</v>
      </c>
      <c r="V1" t="s">
        <v>71</v>
      </c>
      <c r="W1" t="s">
        <v>72</v>
      </c>
      <c r="X1" t="s">
        <v>27</v>
      </c>
      <c r="Y1" t="s">
        <v>73</v>
      </c>
      <c r="Z1" t="s">
        <v>74</v>
      </c>
      <c r="AA1" t="s">
        <v>112</v>
      </c>
      <c r="AB1" t="s">
        <v>44</v>
      </c>
      <c r="AC1" t="s">
        <v>37</v>
      </c>
      <c r="AD1" t="s">
        <v>89</v>
      </c>
      <c r="AE1" t="s">
        <v>38</v>
      </c>
      <c r="AF1" t="s">
        <v>117</v>
      </c>
      <c r="AG1" t="s">
        <v>36</v>
      </c>
      <c r="AH1" t="s">
        <v>42</v>
      </c>
      <c r="AI1" t="s">
        <v>43</v>
      </c>
      <c r="AJ1" t="s">
        <v>41</v>
      </c>
      <c r="AK1" t="s">
        <v>40</v>
      </c>
      <c r="AL1" t="s">
        <v>39</v>
      </c>
      <c r="AM1" t="s">
        <v>90</v>
      </c>
      <c r="AN1" t="s">
        <v>91</v>
      </c>
      <c r="AO1" t="s">
        <v>92</v>
      </c>
      <c r="AP1" t="s">
        <v>93</v>
      </c>
      <c r="AQ1" t="s">
        <v>94</v>
      </c>
      <c r="AR1" t="s">
        <v>95</v>
      </c>
      <c r="AS1" t="s">
        <v>96</v>
      </c>
      <c r="AT1" t="s">
        <v>119</v>
      </c>
      <c r="AU1" t="s">
        <v>121</v>
      </c>
      <c r="AV1" t="s">
        <v>122</v>
      </c>
      <c r="AW1" t="s">
        <v>123</v>
      </c>
      <c r="AX1" t="s">
        <v>124</v>
      </c>
      <c r="AY1" t="s">
        <v>125</v>
      </c>
      <c r="AZ1" t="s">
        <v>132</v>
      </c>
      <c r="BA1" t="s">
        <v>159</v>
      </c>
      <c r="BB1" t="s">
        <v>160</v>
      </c>
      <c r="BC1" t="s">
        <v>170</v>
      </c>
      <c r="BD1" t="s">
        <v>171</v>
      </c>
    </row>
    <row r="2" spans="1:56" x14ac:dyDescent="0.25">
      <c r="A2" t="s">
        <v>32</v>
      </c>
      <c r="B2" t="s">
        <v>101</v>
      </c>
      <c r="C2" t="s">
        <v>54</v>
      </c>
      <c r="D2" t="s">
        <v>12</v>
      </c>
      <c r="E2" t="s">
        <v>86</v>
      </c>
      <c r="F2" t="s">
        <v>87</v>
      </c>
      <c r="G2" t="s">
        <v>101</v>
      </c>
      <c r="H2">
        <v>99639</v>
      </c>
      <c r="I2" t="s">
        <v>162</v>
      </c>
      <c r="J2" t="s">
        <v>99</v>
      </c>
      <c r="K2" t="s">
        <v>75</v>
      </c>
      <c r="L2">
        <v>1</v>
      </c>
      <c r="M2" t="s">
        <v>111</v>
      </c>
      <c r="N2" t="s">
        <v>35</v>
      </c>
      <c r="O2" t="s">
        <v>35</v>
      </c>
      <c r="P2" s="69">
        <v>45776</v>
      </c>
      <c r="Q2" s="69">
        <v>45776.387465277781</v>
      </c>
      <c r="R2" s="69">
        <v>45776.390914351854</v>
      </c>
      <c r="S2">
        <v>26853795</v>
      </c>
      <c r="T2" t="s">
        <v>76</v>
      </c>
      <c r="W2" t="s">
        <v>167</v>
      </c>
      <c r="X2" t="s">
        <v>168</v>
      </c>
      <c r="Y2" t="s">
        <v>77</v>
      </c>
      <c r="Z2" t="s">
        <v>78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118</v>
      </c>
      <c r="AG2" t="s">
        <v>34</v>
      </c>
      <c r="AH2" t="s">
        <v>34</v>
      </c>
      <c r="AI2" t="s">
        <v>34</v>
      </c>
      <c r="AJ2" t="s">
        <v>118</v>
      </c>
      <c r="AK2" t="s">
        <v>118</v>
      </c>
      <c r="AL2" t="s">
        <v>118</v>
      </c>
      <c r="AM2" t="s">
        <v>34</v>
      </c>
      <c r="AN2" t="s">
        <v>34</v>
      </c>
      <c r="AO2" t="s">
        <v>34</v>
      </c>
      <c r="AP2" t="s">
        <v>118</v>
      </c>
      <c r="AQ2" t="s">
        <v>34</v>
      </c>
      <c r="AR2" t="s">
        <v>118</v>
      </c>
      <c r="AS2" t="s">
        <v>118</v>
      </c>
      <c r="AT2" t="s">
        <v>169</v>
      </c>
      <c r="AY2" t="s">
        <v>34</v>
      </c>
      <c r="BC2" t="s">
        <v>34</v>
      </c>
      <c r="BD2" t="s">
        <v>172</v>
      </c>
    </row>
    <row r="3" spans="1:56" x14ac:dyDescent="0.25">
      <c r="A3" t="s">
        <v>32</v>
      </c>
      <c r="B3" t="s">
        <v>98</v>
      </c>
      <c r="C3" t="s">
        <v>53</v>
      </c>
      <c r="D3" t="s">
        <v>12</v>
      </c>
      <c r="E3" t="s">
        <v>142</v>
      </c>
      <c r="F3" t="s">
        <v>142</v>
      </c>
      <c r="G3" t="s">
        <v>53</v>
      </c>
      <c r="H3">
        <v>12034</v>
      </c>
      <c r="I3" t="s">
        <v>144</v>
      </c>
      <c r="J3" t="s">
        <v>99</v>
      </c>
      <c r="K3" t="s">
        <v>75</v>
      </c>
      <c r="L3">
        <v>1</v>
      </c>
      <c r="M3" t="s">
        <v>111</v>
      </c>
      <c r="N3" t="s">
        <v>35</v>
      </c>
      <c r="O3" t="s">
        <v>35</v>
      </c>
      <c r="P3" s="69">
        <v>45756</v>
      </c>
      <c r="Q3" s="69">
        <v>45775.588090277779</v>
      </c>
      <c r="R3" s="69">
        <v>45775.588553240741</v>
      </c>
      <c r="S3">
        <v>26831557</v>
      </c>
      <c r="T3" t="s">
        <v>76</v>
      </c>
      <c r="W3" t="s">
        <v>149</v>
      </c>
      <c r="X3" t="s">
        <v>150</v>
      </c>
      <c r="Y3" t="s">
        <v>77</v>
      </c>
      <c r="Z3" t="s">
        <v>78</v>
      </c>
      <c r="AA3" t="s">
        <v>118</v>
      </c>
      <c r="AB3" t="s">
        <v>33</v>
      </c>
      <c r="AZ3" t="s">
        <v>151</v>
      </c>
    </row>
    <row r="4" spans="1:56" x14ac:dyDescent="0.25">
      <c r="A4" t="s">
        <v>32</v>
      </c>
      <c r="B4" t="s">
        <v>98</v>
      </c>
      <c r="C4" t="s">
        <v>53</v>
      </c>
      <c r="D4" t="s">
        <v>12</v>
      </c>
      <c r="E4" t="s">
        <v>86</v>
      </c>
      <c r="F4" t="s">
        <v>87</v>
      </c>
      <c r="G4" t="s">
        <v>53</v>
      </c>
      <c r="H4">
        <v>95330</v>
      </c>
      <c r="I4" t="s">
        <v>153</v>
      </c>
      <c r="J4" t="s">
        <v>154</v>
      </c>
      <c r="K4" t="s">
        <v>75</v>
      </c>
      <c r="L4">
        <v>1</v>
      </c>
      <c r="M4" t="s">
        <v>111</v>
      </c>
      <c r="N4" t="s">
        <v>35</v>
      </c>
      <c r="O4" t="s">
        <v>35</v>
      </c>
      <c r="P4" s="69">
        <v>45759</v>
      </c>
      <c r="Q4" s="69">
        <v>45775.592291666668</v>
      </c>
      <c r="R4" s="69">
        <v>45775.594444444447</v>
      </c>
      <c r="S4">
        <v>26831621</v>
      </c>
      <c r="T4" t="s">
        <v>76</v>
      </c>
      <c r="W4" t="s">
        <v>149</v>
      </c>
      <c r="X4" t="s">
        <v>150</v>
      </c>
      <c r="Y4" t="s">
        <v>77</v>
      </c>
      <c r="Z4" t="s">
        <v>78</v>
      </c>
      <c r="AA4" t="s">
        <v>33</v>
      </c>
      <c r="AB4" t="s">
        <v>34</v>
      </c>
      <c r="AC4" t="s">
        <v>34</v>
      </c>
      <c r="AD4" t="s">
        <v>34</v>
      </c>
      <c r="AE4" t="s">
        <v>34</v>
      </c>
      <c r="AF4" t="s">
        <v>118</v>
      </c>
      <c r="AG4" t="s">
        <v>34</v>
      </c>
      <c r="AH4" t="s">
        <v>34</v>
      </c>
      <c r="AI4" t="s">
        <v>118</v>
      </c>
      <c r="AJ4" t="s">
        <v>118</v>
      </c>
      <c r="AK4" t="s">
        <v>118</v>
      </c>
      <c r="AL4" t="s">
        <v>118</v>
      </c>
      <c r="AM4" t="s">
        <v>34</v>
      </c>
      <c r="AN4" t="s">
        <v>34</v>
      </c>
      <c r="AO4" t="s">
        <v>34</v>
      </c>
      <c r="AP4" t="s">
        <v>34</v>
      </c>
      <c r="AQ4" t="s">
        <v>34</v>
      </c>
      <c r="AR4" t="s">
        <v>34</v>
      </c>
      <c r="AS4" t="s">
        <v>34</v>
      </c>
      <c r="AT4" t="s">
        <v>12</v>
      </c>
      <c r="AY4" t="s">
        <v>118</v>
      </c>
      <c r="BA4" t="s">
        <v>34</v>
      </c>
      <c r="BB4" t="s">
        <v>118</v>
      </c>
    </row>
    <row r="5" spans="1:56" x14ac:dyDescent="0.25">
      <c r="A5" t="s">
        <v>32</v>
      </c>
      <c r="B5" t="s">
        <v>102</v>
      </c>
      <c r="C5" t="s">
        <v>6</v>
      </c>
      <c r="D5" t="s">
        <v>52</v>
      </c>
      <c r="E5" t="s">
        <v>107</v>
      </c>
      <c r="F5" t="s">
        <v>107</v>
      </c>
      <c r="G5" t="s">
        <v>6</v>
      </c>
      <c r="H5">
        <v>191506</v>
      </c>
      <c r="I5" t="s">
        <v>109</v>
      </c>
      <c r="J5" t="s">
        <v>99</v>
      </c>
      <c r="K5" t="s">
        <v>110</v>
      </c>
      <c r="L5">
        <v>1</v>
      </c>
      <c r="M5" t="s">
        <v>111</v>
      </c>
      <c r="N5" t="s">
        <v>35</v>
      </c>
      <c r="O5" t="s">
        <v>35</v>
      </c>
      <c r="P5" s="69">
        <v>45771</v>
      </c>
      <c r="Q5" s="69">
        <v>45771.74287037037</v>
      </c>
      <c r="R5" s="69">
        <v>45771.748518518521</v>
      </c>
      <c r="S5">
        <v>26796192</v>
      </c>
      <c r="T5" t="s">
        <v>76</v>
      </c>
      <c r="W5" t="s">
        <v>103</v>
      </c>
      <c r="X5" t="s">
        <v>104</v>
      </c>
      <c r="Y5" t="s">
        <v>77</v>
      </c>
      <c r="Z5" t="s">
        <v>78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 t="s">
        <v>118</v>
      </c>
      <c r="AG5" t="s">
        <v>34</v>
      </c>
      <c r="AH5" t="s">
        <v>34</v>
      </c>
      <c r="AI5" t="s">
        <v>118</v>
      </c>
      <c r="AJ5" t="s">
        <v>118</v>
      </c>
      <c r="AK5" t="s">
        <v>118</v>
      </c>
      <c r="AL5" t="s">
        <v>118</v>
      </c>
      <c r="AM5" t="s">
        <v>34</v>
      </c>
      <c r="AN5" t="s">
        <v>118</v>
      </c>
      <c r="AO5" t="s">
        <v>34</v>
      </c>
      <c r="AP5" t="s">
        <v>34</v>
      </c>
      <c r="AQ5" t="s">
        <v>34</v>
      </c>
      <c r="AR5" t="s">
        <v>34</v>
      </c>
      <c r="AS5" t="s">
        <v>34</v>
      </c>
      <c r="AT5" t="s">
        <v>120</v>
      </c>
      <c r="AU5" t="s">
        <v>34</v>
      </c>
      <c r="AV5" t="s">
        <v>34</v>
      </c>
      <c r="AW5" t="s">
        <v>118</v>
      </c>
      <c r="AX5" t="s">
        <v>118</v>
      </c>
      <c r="AY5" t="s">
        <v>118</v>
      </c>
    </row>
    <row r="6" spans="1:56" x14ac:dyDescent="0.25">
      <c r="A6" t="s">
        <v>32</v>
      </c>
      <c r="B6" t="s">
        <v>102</v>
      </c>
      <c r="C6" t="s">
        <v>6</v>
      </c>
      <c r="D6" t="s">
        <v>12</v>
      </c>
      <c r="E6" t="s">
        <v>134</v>
      </c>
      <c r="F6" t="s">
        <v>134</v>
      </c>
      <c r="G6" t="s">
        <v>102</v>
      </c>
      <c r="H6">
        <v>447656</v>
      </c>
      <c r="I6" t="s">
        <v>136</v>
      </c>
      <c r="J6" t="s">
        <v>35</v>
      </c>
      <c r="K6" t="s">
        <v>75</v>
      </c>
      <c r="L6">
        <v>1</v>
      </c>
      <c r="M6" t="s">
        <v>111</v>
      </c>
      <c r="N6" t="s">
        <v>35</v>
      </c>
      <c r="O6" t="s">
        <v>35</v>
      </c>
      <c r="P6" s="69">
        <v>45773</v>
      </c>
      <c r="Q6" s="69">
        <v>45773.342152777775</v>
      </c>
      <c r="R6" s="69">
        <v>45773.343298611115</v>
      </c>
      <c r="S6">
        <v>26824020</v>
      </c>
      <c r="T6" t="s">
        <v>76</v>
      </c>
      <c r="W6" t="s">
        <v>103</v>
      </c>
      <c r="X6" t="s">
        <v>104</v>
      </c>
      <c r="Y6" t="s">
        <v>77</v>
      </c>
      <c r="Z6" t="s">
        <v>78</v>
      </c>
      <c r="AA6" t="s">
        <v>118</v>
      </c>
      <c r="AB6" t="s">
        <v>33</v>
      </c>
      <c r="AZ6" t="s">
        <v>141</v>
      </c>
    </row>
    <row r="7" spans="1:56" x14ac:dyDescent="0.25">
      <c r="A7" t="s">
        <v>32</v>
      </c>
      <c r="B7" t="s">
        <v>102</v>
      </c>
      <c r="C7" t="s">
        <v>6</v>
      </c>
      <c r="D7" t="s">
        <v>55</v>
      </c>
      <c r="E7" t="s">
        <v>12</v>
      </c>
      <c r="F7" t="s">
        <v>126</v>
      </c>
      <c r="G7" t="s">
        <v>102</v>
      </c>
      <c r="H7">
        <v>127066</v>
      </c>
      <c r="I7" t="s">
        <v>128</v>
      </c>
      <c r="J7" t="s">
        <v>99</v>
      </c>
      <c r="K7" t="s">
        <v>110</v>
      </c>
      <c r="L7">
        <v>1</v>
      </c>
      <c r="M7" t="s">
        <v>111</v>
      </c>
      <c r="N7" t="s">
        <v>35</v>
      </c>
      <c r="O7" t="s">
        <v>35</v>
      </c>
      <c r="P7" s="69">
        <v>45771</v>
      </c>
      <c r="Q7" s="69">
        <v>45771.749409722222</v>
      </c>
      <c r="R7" s="69">
        <v>45771.751400462963</v>
      </c>
      <c r="S7">
        <v>26796224</v>
      </c>
      <c r="T7" t="s">
        <v>76</v>
      </c>
      <c r="W7" t="s">
        <v>103</v>
      </c>
      <c r="X7" t="s">
        <v>104</v>
      </c>
      <c r="Y7" t="s">
        <v>77</v>
      </c>
      <c r="Z7" t="s">
        <v>78</v>
      </c>
      <c r="AA7" t="s">
        <v>118</v>
      </c>
      <c r="AB7" t="s">
        <v>33</v>
      </c>
      <c r="AZ7" t="s">
        <v>133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24B1-EB2D-4C25-9AAD-4F1C0994C034}">
  <sheetPr codeName="Hoja5"/>
  <dimension ref="A1:AC78"/>
  <sheetViews>
    <sheetView showGridLines="0" tabSelected="1" zoomScaleNormal="100" workbookViewId="0">
      <selection activeCell="F6" sqref="F6"/>
    </sheetView>
  </sheetViews>
  <sheetFormatPr baseColWidth="10" defaultColWidth="11.42578125" defaultRowHeight="15" x14ac:dyDescent="0.25"/>
  <cols>
    <col min="1" max="1" width="11.85546875" customWidth="1"/>
    <col min="2" max="2" width="11.42578125" customWidth="1"/>
    <col min="6" max="6" width="13.140625" customWidth="1"/>
    <col min="9" max="9" width="13.5703125" customWidth="1"/>
    <col min="10" max="10" width="20.42578125" customWidth="1"/>
    <col min="11" max="11" width="13.42578125" customWidth="1"/>
    <col min="12" max="12" width="18.5703125" customWidth="1"/>
    <col min="13" max="13" width="24.42578125" customWidth="1"/>
    <col min="14" max="14" width="23.5703125" customWidth="1"/>
    <col min="15" max="15" width="60.7109375" customWidth="1"/>
    <col min="16" max="16" width="12.5703125" customWidth="1"/>
    <col min="17" max="17" width="14.5703125" customWidth="1"/>
    <col min="18" max="18" width="15" customWidth="1"/>
    <col min="19" max="19" width="14.140625" style="1" customWidth="1"/>
    <col min="20" max="20" width="19.85546875" customWidth="1"/>
    <col min="21" max="21" width="27.85546875" customWidth="1"/>
    <col min="22" max="22" width="14.5703125" customWidth="1"/>
    <col min="24" max="24" width="20" customWidth="1"/>
    <col min="25" max="25" width="9.5703125" customWidth="1"/>
    <col min="26" max="26" width="18.140625" customWidth="1"/>
    <col min="28" max="28" width="21.5703125" customWidth="1"/>
    <col min="29" max="29" width="21.85546875" customWidth="1"/>
    <col min="32" max="32" width="11.42578125" customWidth="1"/>
    <col min="33" max="33" width="16.5703125" bestFit="1" customWidth="1"/>
    <col min="34" max="35" width="48.85546875" bestFit="1" customWidth="1"/>
    <col min="36" max="36" width="22.7109375" bestFit="1" customWidth="1"/>
    <col min="37" max="37" width="16.7109375" bestFit="1" customWidth="1"/>
    <col min="46" max="46" width="11.42578125" customWidth="1"/>
  </cols>
  <sheetData>
    <row r="1" spans="1:29" x14ac:dyDescent="0.25">
      <c r="A1" s="51" t="s">
        <v>21</v>
      </c>
      <c r="B1" s="56" t="s">
        <v>56</v>
      </c>
      <c r="C1" s="56" t="s">
        <v>1</v>
      </c>
      <c r="D1" s="56" t="s">
        <v>19</v>
      </c>
      <c r="E1" s="56" t="s">
        <v>22</v>
      </c>
      <c r="F1" s="56" t="s">
        <v>57</v>
      </c>
      <c r="G1" s="56" t="s">
        <v>58</v>
      </c>
      <c r="H1" s="56" t="s">
        <v>59</v>
      </c>
      <c r="I1" s="56" t="s">
        <v>23</v>
      </c>
      <c r="J1" s="56" t="s">
        <v>20</v>
      </c>
      <c r="K1" s="56" t="s">
        <v>60</v>
      </c>
      <c r="L1" s="56" t="s">
        <v>61</v>
      </c>
      <c r="M1" s="56" t="s">
        <v>62</v>
      </c>
      <c r="N1" s="56" t="s">
        <v>63</v>
      </c>
      <c r="O1" s="56" t="s">
        <v>24</v>
      </c>
      <c r="P1" s="56" t="s">
        <v>64</v>
      </c>
      <c r="Q1" s="56" t="s">
        <v>65</v>
      </c>
      <c r="R1" s="56" t="s">
        <v>66</v>
      </c>
      <c r="S1" s="57" t="s">
        <v>25</v>
      </c>
      <c r="T1" s="56" t="s">
        <v>67</v>
      </c>
      <c r="U1" s="56" t="s">
        <v>68</v>
      </c>
      <c r="V1" s="56" t="s">
        <v>26</v>
      </c>
      <c r="W1" s="56" t="s">
        <v>69</v>
      </c>
      <c r="X1" s="56" t="s">
        <v>70</v>
      </c>
      <c r="Y1" s="56" t="s">
        <v>71</v>
      </c>
      <c r="Z1" s="56" t="s">
        <v>72</v>
      </c>
      <c r="AA1" s="56" t="s">
        <v>27</v>
      </c>
      <c r="AB1" s="56" t="s">
        <v>73</v>
      </c>
      <c r="AC1" s="52" t="s">
        <v>74</v>
      </c>
    </row>
    <row r="2" spans="1:29" x14ac:dyDescent="0.25">
      <c r="A2" s="55" t="s">
        <v>32</v>
      </c>
      <c r="B2" s="29" t="s">
        <v>102</v>
      </c>
      <c r="C2" s="29" t="s">
        <v>6</v>
      </c>
      <c r="D2" s="29" t="s">
        <v>52</v>
      </c>
      <c r="E2" s="29" t="s">
        <v>107</v>
      </c>
      <c r="F2" s="29" t="s">
        <v>107</v>
      </c>
      <c r="G2" s="29" t="s">
        <v>6</v>
      </c>
      <c r="H2" s="29" t="s">
        <v>35</v>
      </c>
      <c r="I2" s="29" t="s">
        <v>108</v>
      </c>
      <c r="J2" s="29" t="s">
        <v>109</v>
      </c>
      <c r="K2" s="29" t="s">
        <v>99</v>
      </c>
      <c r="L2" s="29" t="s">
        <v>110</v>
      </c>
      <c r="M2" s="53" t="s">
        <v>100</v>
      </c>
      <c r="N2" s="29" t="s">
        <v>111</v>
      </c>
      <c r="O2" s="29" t="s">
        <v>112</v>
      </c>
      <c r="P2" s="29" t="s">
        <v>34</v>
      </c>
      <c r="Q2" s="29" t="s">
        <v>35</v>
      </c>
      <c r="R2" s="29" t="s">
        <v>35</v>
      </c>
      <c r="S2" s="36" t="s">
        <v>113</v>
      </c>
      <c r="T2" s="36" t="s">
        <v>114</v>
      </c>
      <c r="U2" s="36" t="s">
        <v>115</v>
      </c>
      <c r="V2" s="54" t="s">
        <v>116</v>
      </c>
      <c r="W2" s="29" t="s">
        <v>76</v>
      </c>
      <c r="X2" s="29"/>
      <c r="Y2" s="29"/>
      <c r="Z2" s="29" t="s">
        <v>103</v>
      </c>
      <c r="AA2" s="29" t="s">
        <v>104</v>
      </c>
      <c r="AB2" s="29" t="s">
        <v>77</v>
      </c>
      <c r="AC2" s="58" t="s">
        <v>78</v>
      </c>
    </row>
    <row r="3" spans="1:29" x14ac:dyDescent="0.25">
      <c r="A3" s="55" t="s">
        <v>32</v>
      </c>
      <c r="B3" s="29" t="s">
        <v>102</v>
      </c>
      <c r="C3" s="29" t="s">
        <v>6</v>
      </c>
      <c r="D3" s="29" t="s">
        <v>52</v>
      </c>
      <c r="E3" s="29" t="s">
        <v>107</v>
      </c>
      <c r="F3" s="29" t="s">
        <v>107</v>
      </c>
      <c r="G3" s="29" t="s">
        <v>6</v>
      </c>
      <c r="H3" s="29" t="s">
        <v>35</v>
      </c>
      <c r="I3" s="29" t="s">
        <v>108</v>
      </c>
      <c r="J3" s="29" t="s">
        <v>109</v>
      </c>
      <c r="K3" s="29" t="s">
        <v>99</v>
      </c>
      <c r="L3" s="29" t="s">
        <v>110</v>
      </c>
      <c r="M3" s="53" t="s">
        <v>100</v>
      </c>
      <c r="N3" s="29" t="s">
        <v>111</v>
      </c>
      <c r="O3" s="29" t="s">
        <v>44</v>
      </c>
      <c r="P3" s="29" t="s">
        <v>34</v>
      </c>
      <c r="Q3" s="29" t="s">
        <v>35</v>
      </c>
      <c r="R3" s="29" t="s">
        <v>35</v>
      </c>
      <c r="S3" s="36" t="s">
        <v>113</v>
      </c>
      <c r="T3" s="36" t="s">
        <v>114</v>
      </c>
      <c r="U3" s="36" t="s">
        <v>115</v>
      </c>
      <c r="V3" s="54" t="s">
        <v>116</v>
      </c>
      <c r="W3" s="29" t="s">
        <v>76</v>
      </c>
      <c r="X3" s="29"/>
      <c r="Y3" s="29"/>
      <c r="Z3" s="29" t="s">
        <v>103</v>
      </c>
      <c r="AA3" s="29" t="s">
        <v>104</v>
      </c>
      <c r="AB3" s="29" t="s">
        <v>77</v>
      </c>
      <c r="AC3" s="58" t="s">
        <v>78</v>
      </c>
    </row>
    <row r="4" spans="1:29" x14ac:dyDescent="0.25">
      <c r="A4" s="55" t="s">
        <v>32</v>
      </c>
      <c r="B4" s="29" t="s">
        <v>102</v>
      </c>
      <c r="C4" s="29" t="s">
        <v>6</v>
      </c>
      <c r="D4" s="29" t="s">
        <v>52</v>
      </c>
      <c r="E4" s="29" t="s">
        <v>107</v>
      </c>
      <c r="F4" s="29" t="s">
        <v>107</v>
      </c>
      <c r="G4" s="29" t="s">
        <v>6</v>
      </c>
      <c r="H4" s="29" t="s">
        <v>35</v>
      </c>
      <c r="I4" s="29" t="s">
        <v>108</v>
      </c>
      <c r="J4" s="29" t="s">
        <v>109</v>
      </c>
      <c r="K4" s="29" t="s">
        <v>99</v>
      </c>
      <c r="L4" s="29" t="s">
        <v>110</v>
      </c>
      <c r="M4" s="53" t="s">
        <v>100</v>
      </c>
      <c r="N4" s="29" t="s">
        <v>111</v>
      </c>
      <c r="O4" s="29" t="s">
        <v>37</v>
      </c>
      <c r="P4" s="29" t="s">
        <v>34</v>
      </c>
      <c r="Q4" s="29" t="s">
        <v>35</v>
      </c>
      <c r="R4" s="29" t="s">
        <v>35</v>
      </c>
      <c r="S4" s="36" t="s">
        <v>113</v>
      </c>
      <c r="T4" s="36" t="s">
        <v>114</v>
      </c>
      <c r="U4" s="36" t="s">
        <v>115</v>
      </c>
      <c r="V4" s="54" t="s">
        <v>116</v>
      </c>
      <c r="W4" s="29" t="s">
        <v>76</v>
      </c>
      <c r="X4" s="29"/>
      <c r="Y4" s="29"/>
      <c r="Z4" s="29" t="s">
        <v>103</v>
      </c>
      <c r="AA4" s="29" t="s">
        <v>104</v>
      </c>
      <c r="AB4" s="29" t="s">
        <v>77</v>
      </c>
      <c r="AC4" s="58" t="s">
        <v>78</v>
      </c>
    </row>
    <row r="5" spans="1:29" x14ac:dyDescent="0.25">
      <c r="A5" s="55" t="s">
        <v>32</v>
      </c>
      <c r="B5" s="29" t="s">
        <v>102</v>
      </c>
      <c r="C5" s="29" t="s">
        <v>6</v>
      </c>
      <c r="D5" s="29" t="s">
        <v>52</v>
      </c>
      <c r="E5" s="29" t="s">
        <v>107</v>
      </c>
      <c r="F5" s="29" t="s">
        <v>107</v>
      </c>
      <c r="G5" s="29" t="s">
        <v>6</v>
      </c>
      <c r="H5" s="29" t="s">
        <v>35</v>
      </c>
      <c r="I5" s="29" t="s">
        <v>108</v>
      </c>
      <c r="J5" s="29" t="s">
        <v>109</v>
      </c>
      <c r="K5" s="29" t="s">
        <v>99</v>
      </c>
      <c r="L5" s="29" t="s">
        <v>110</v>
      </c>
      <c r="M5" s="53" t="s">
        <v>100</v>
      </c>
      <c r="N5" s="29" t="s">
        <v>111</v>
      </c>
      <c r="O5" s="29" t="s">
        <v>89</v>
      </c>
      <c r="P5" s="29" t="s">
        <v>34</v>
      </c>
      <c r="Q5" s="29" t="s">
        <v>35</v>
      </c>
      <c r="R5" s="29" t="s">
        <v>35</v>
      </c>
      <c r="S5" s="36" t="s">
        <v>113</v>
      </c>
      <c r="T5" s="36" t="s">
        <v>114</v>
      </c>
      <c r="U5" s="36" t="s">
        <v>115</v>
      </c>
      <c r="V5" s="54" t="s">
        <v>116</v>
      </c>
      <c r="W5" s="29" t="s">
        <v>76</v>
      </c>
      <c r="X5" s="29"/>
      <c r="Y5" s="29"/>
      <c r="Z5" s="29" t="s">
        <v>103</v>
      </c>
      <c r="AA5" s="29" t="s">
        <v>104</v>
      </c>
      <c r="AB5" s="29" t="s">
        <v>77</v>
      </c>
      <c r="AC5" s="58" t="s">
        <v>78</v>
      </c>
    </row>
    <row r="6" spans="1:29" x14ac:dyDescent="0.25">
      <c r="A6" s="55" t="s">
        <v>32</v>
      </c>
      <c r="B6" s="29" t="s">
        <v>102</v>
      </c>
      <c r="C6" s="29" t="s">
        <v>6</v>
      </c>
      <c r="D6" s="29" t="s">
        <v>52</v>
      </c>
      <c r="E6" s="29" t="s">
        <v>107</v>
      </c>
      <c r="F6" s="29" t="s">
        <v>107</v>
      </c>
      <c r="G6" s="29" t="s">
        <v>6</v>
      </c>
      <c r="H6" s="29" t="s">
        <v>35</v>
      </c>
      <c r="I6" s="29" t="s">
        <v>108</v>
      </c>
      <c r="J6" s="29" t="s">
        <v>109</v>
      </c>
      <c r="K6" s="29" t="s">
        <v>99</v>
      </c>
      <c r="L6" s="29" t="s">
        <v>110</v>
      </c>
      <c r="M6" s="53" t="s">
        <v>100</v>
      </c>
      <c r="N6" s="29" t="s">
        <v>111</v>
      </c>
      <c r="O6" s="29" t="s">
        <v>38</v>
      </c>
      <c r="P6" s="29" t="s">
        <v>34</v>
      </c>
      <c r="Q6" s="29" t="s">
        <v>35</v>
      </c>
      <c r="R6" s="29" t="s">
        <v>35</v>
      </c>
      <c r="S6" s="36" t="s">
        <v>113</v>
      </c>
      <c r="T6" s="36" t="s">
        <v>114</v>
      </c>
      <c r="U6" s="36" t="s">
        <v>115</v>
      </c>
      <c r="V6" s="54" t="s">
        <v>116</v>
      </c>
      <c r="W6" s="29" t="s">
        <v>76</v>
      </c>
      <c r="X6" s="29"/>
      <c r="Y6" s="29"/>
      <c r="Z6" s="29" t="s">
        <v>103</v>
      </c>
      <c r="AA6" s="29" t="s">
        <v>104</v>
      </c>
      <c r="AB6" s="29" t="s">
        <v>77</v>
      </c>
      <c r="AC6" s="58" t="s">
        <v>78</v>
      </c>
    </row>
    <row r="7" spans="1:29" x14ac:dyDescent="0.25">
      <c r="A7" s="55" t="s">
        <v>32</v>
      </c>
      <c r="B7" s="29" t="s">
        <v>102</v>
      </c>
      <c r="C7" s="29" t="s">
        <v>6</v>
      </c>
      <c r="D7" s="29" t="s">
        <v>52</v>
      </c>
      <c r="E7" s="29" t="s">
        <v>107</v>
      </c>
      <c r="F7" s="29" t="s">
        <v>107</v>
      </c>
      <c r="G7" s="29" t="s">
        <v>6</v>
      </c>
      <c r="H7" s="29" t="s">
        <v>35</v>
      </c>
      <c r="I7" s="29" t="s">
        <v>108</v>
      </c>
      <c r="J7" s="29" t="s">
        <v>109</v>
      </c>
      <c r="K7" s="29" t="s">
        <v>99</v>
      </c>
      <c r="L7" s="29" t="s">
        <v>110</v>
      </c>
      <c r="M7" s="53" t="s">
        <v>100</v>
      </c>
      <c r="N7" s="29" t="s">
        <v>111</v>
      </c>
      <c r="O7" s="29" t="s">
        <v>117</v>
      </c>
      <c r="P7" s="29" t="s">
        <v>118</v>
      </c>
      <c r="Q7" s="29" t="s">
        <v>35</v>
      </c>
      <c r="R7" s="29" t="s">
        <v>35</v>
      </c>
      <c r="S7" s="36" t="s">
        <v>113</v>
      </c>
      <c r="T7" s="36" t="s">
        <v>114</v>
      </c>
      <c r="U7" s="36" t="s">
        <v>115</v>
      </c>
      <c r="V7" s="54" t="s">
        <v>116</v>
      </c>
      <c r="W7" s="29" t="s">
        <v>76</v>
      </c>
      <c r="X7" s="29"/>
      <c r="Y7" s="29"/>
      <c r="Z7" s="29" t="s">
        <v>103</v>
      </c>
      <c r="AA7" s="29" t="s">
        <v>104</v>
      </c>
      <c r="AB7" s="29" t="s">
        <v>77</v>
      </c>
      <c r="AC7" s="58" t="s">
        <v>78</v>
      </c>
    </row>
    <row r="8" spans="1:29" x14ac:dyDescent="0.25">
      <c r="A8" s="55" t="s">
        <v>32</v>
      </c>
      <c r="B8" s="29" t="s">
        <v>102</v>
      </c>
      <c r="C8" s="29" t="s">
        <v>6</v>
      </c>
      <c r="D8" s="29" t="s">
        <v>52</v>
      </c>
      <c r="E8" s="29" t="s">
        <v>107</v>
      </c>
      <c r="F8" s="29" t="s">
        <v>107</v>
      </c>
      <c r="G8" s="29" t="s">
        <v>6</v>
      </c>
      <c r="H8" s="29" t="s">
        <v>35</v>
      </c>
      <c r="I8" s="29" t="s">
        <v>108</v>
      </c>
      <c r="J8" s="29" t="s">
        <v>109</v>
      </c>
      <c r="K8" s="29" t="s">
        <v>99</v>
      </c>
      <c r="L8" s="29" t="s">
        <v>110</v>
      </c>
      <c r="M8" s="53" t="s">
        <v>100</v>
      </c>
      <c r="N8" s="29" t="s">
        <v>111</v>
      </c>
      <c r="O8" s="29" t="s">
        <v>36</v>
      </c>
      <c r="P8" s="29" t="s">
        <v>34</v>
      </c>
      <c r="Q8" s="29" t="s">
        <v>35</v>
      </c>
      <c r="R8" s="29" t="s">
        <v>35</v>
      </c>
      <c r="S8" s="36" t="s">
        <v>113</v>
      </c>
      <c r="T8" s="36" t="s">
        <v>114</v>
      </c>
      <c r="U8" s="36" t="s">
        <v>115</v>
      </c>
      <c r="V8" s="54" t="s">
        <v>116</v>
      </c>
      <c r="W8" s="29" t="s">
        <v>76</v>
      </c>
      <c r="X8" s="29"/>
      <c r="Y8" s="29"/>
      <c r="Z8" s="29" t="s">
        <v>103</v>
      </c>
      <c r="AA8" s="29" t="s">
        <v>104</v>
      </c>
      <c r="AB8" s="29" t="s">
        <v>77</v>
      </c>
      <c r="AC8" s="58" t="s">
        <v>78</v>
      </c>
    </row>
    <row r="9" spans="1:29" x14ac:dyDescent="0.25">
      <c r="A9" s="55" t="s">
        <v>32</v>
      </c>
      <c r="B9" s="29" t="s">
        <v>102</v>
      </c>
      <c r="C9" s="29" t="s">
        <v>6</v>
      </c>
      <c r="D9" s="29" t="s">
        <v>52</v>
      </c>
      <c r="E9" s="29" t="s">
        <v>107</v>
      </c>
      <c r="F9" s="29" t="s">
        <v>107</v>
      </c>
      <c r="G9" s="29" t="s">
        <v>6</v>
      </c>
      <c r="H9" s="29" t="s">
        <v>35</v>
      </c>
      <c r="I9" s="29" t="s">
        <v>108</v>
      </c>
      <c r="J9" s="29" t="s">
        <v>109</v>
      </c>
      <c r="K9" s="29" t="s">
        <v>99</v>
      </c>
      <c r="L9" s="29" t="s">
        <v>110</v>
      </c>
      <c r="M9" s="53" t="s">
        <v>100</v>
      </c>
      <c r="N9" s="29" t="s">
        <v>111</v>
      </c>
      <c r="O9" s="29" t="s">
        <v>42</v>
      </c>
      <c r="P9" s="29" t="s">
        <v>34</v>
      </c>
      <c r="Q9" s="29" t="s">
        <v>35</v>
      </c>
      <c r="R9" s="29" t="s">
        <v>35</v>
      </c>
      <c r="S9" s="36" t="s">
        <v>113</v>
      </c>
      <c r="T9" s="36" t="s">
        <v>114</v>
      </c>
      <c r="U9" s="36" t="s">
        <v>115</v>
      </c>
      <c r="V9" s="54" t="s">
        <v>116</v>
      </c>
      <c r="W9" s="29" t="s">
        <v>76</v>
      </c>
      <c r="X9" s="29"/>
      <c r="Y9" s="29"/>
      <c r="Z9" s="29" t="s">
        <v>103</v>
      </c>
      <c r="AA9" s="29" t="s">
        <v>104</v>
      </c>
      <c r="AB9" s="29" t="s">
        <v>77</v>
      </c>
      <c r="AC9" s="58" t="s">
        <v>78</v>
      </c>
    </row>
    <row r="10" spans="1:29" x14ac:dyDescent="0.25">
      <c r="A10" s="55" t="s">
        <v>32</v>
      </c>
      <c r="B10" s="29" t="s">
        <v>102</v>
      </c>
      <c r="C10" s="29" t="s">
        <v>6</v>
      </c>
      <c r="D10" s="29" t="s">
        <v>52</v>
      </c>
      <c r="E10" s="29" t="s">
        <v>107</v>
      </c>
      <c r="F10" s="29" t="s">
        <v>107</v>
      </c>
      <c r="G10" s="29" t="s">
        <v>6</v>
      </c>
      <c r="H10" s="29" t="s">
        <v>35</v>
      </c>
      <c r="I10" s="29" t="s">
        <v>108</v>
      </c>
      <c r="J10" s="29" t="s">
        <v>109</v>
      </c>
      <c r="K10" s="29" t="s">
        <v>99</v>
      </c>
      <c r="L10" s="29" t="s">
        <v>110</v>
      </c>
      <c r="M10" s="53" t="s">
        <v>100</v>
      </c>
      <c r="N10" s="29" t="s">
        <v>111</v>
      </c>
      <c r="O10" s="29" t="s">
        <v>43</v>
      </c>
      <c r="P10" s="29" t="s">
        <v>118</v>
      </c>
      <c r="Q10" s="29" t="s">
        <v>35</v>
      </c>
      <c r="R10" s="29" t="s">
        <v>35</v>
      </c>
      <c r="S10" s="36" t="s">
        <v>113</v>
      </c>
      <c r="T10" s="36" t="s">
        <v>114</v>
      </c>
      <c r="U10" s="36" t="s">
        <v>115</v>
      </c>
      <c r="V10" s="54" t="s">
        <v>116</v>
      </c>
      <c r="W10" s="29" t="s">
        <v>76</v>
      </c>
      <c r="X10" s="29"/>
      <c r="Y10" s="29"/>
      <c r="Z10" s="29" t="s">
        <v>103</v>
      </c>
      <c r="AA10" s="29" t="s">
        <v>104</v>
      </c>
      <c r="AB10" s="29" t="s">
        <v>77</v>
      </c>
      <c r="AC10" s="58" t="s">
        <v>78</v>
      </c>
    </row>
    <row r="11" spans="1:29" x14ac:dyDescent="0.25">
      <c r="A11" s="55" t="s">
        <v>32</v>
      </c>
      <c r="B11" s="29" t="s">
        <v>102</v>
      </c>
      <c r="C11" s="29" t="s">
        <v>6</v>
      </c>
      <c r="D11" s="29" t="s">
        <v>52</v>
      </c>
      <c r="E11" s="29" t="s">
        <v>107</v>
      </c>
      <c r="F11" s="29" t="s">
        <v>107</v>
      </c>
      <c r="G11" s="29" t="s">
        <v>6</v>
      </c>
      <c r="H11" s="29" t="s">
        <v>35</v>
      </c>
      <c r="I11" s="29" t="s">
        <v>108</v>
      </c>
      <c r="J11" s="29" t="s">
        <v>109</v>
      </c>
      <c r="K11" s="29" t="s">
        <v>99</v>
      </c>
      <c r="L11" s="29" t="s">
        <v>110</v>
      </c>
      <c r="M11" s="53" t="s">
        <v>100</v>
      </c>
      <c r="N11" s="29" t="s">
        <v>111</v>
      </c>
      <c r="O11" s="29" t="s">
        <v>41</v>
      </c>
      <c r="P11" s="29" t="s">
        <v>118</v>
      </c>
      <c r="Q11" s="29" t="s">
        <v>35</v>
      </c>
      <c r="R11" s="29" t="s">
        <v>35</v>
      </c>
      <c r="S11" s="36" t="s">
        <v>113</v>
      </c>
      <c r="T11" s="36" t="s">
        <v>114</v>
      </c>
      <c r="U11" s="36" t="s">
        <v>115</v>
      </c>
      <c r="V11" s="54" t="s">
        <v>116</v>
      </c>
      <c r="W11" s="29" t="s">
        <v>76</v>
      </c>
      <c r="X11" s="29"/>
      <c r="Y11" s="29"/>
      <c r="Z11" s="29" t="s">
        <v>103</v>
      </c>
      <c r="AA11" s="29" t="s">
        <v>104</v>
      </c>
      <c r="AB11" s="29" t="s">
        <v>77</v>
      </c>
      <c r="AC11" s="58" t="s">
        <v>78</v>
      </c>
    </row>
    <row r="12" spans="1:29" x14ac:dyDescent="0.25">
      <c r="A12" s="55" t="s">
        <v>32</v>
      </c>
      <c r="B12" s="29" t="s">
        <v>102</v>
      </c>
      <c r="C12" s="29" t="s">
        <v>6</v>
      </c>
      <c r="D12" s="29" t="s">
        <v>52</v>
      </c>
      <c r="E12" s="29" t="s">
        <v>107</v>
      </c>
      <c r="F12" s="29" t="s">
        <v>107</v>
      </c>
      <c r="G12" s="29" t="s">
        <v>6</v>
      </c>
      <c r="H12" s="29" t="s">
        <v>35</v>
      </c>
      <c r="I12" s="29" t="s">
        <v>108</v>
      </c>
      <c r="J12" s="29" t="s">
        <v>109</v>
      </c>
      <c r="K12" s="29" t="s">
        <v>99</v>
      </c>
      <c r="L12" s="29" t="s">
        <v>110</v>
      </c>
      <c r="M12" s="53" t="s">
        <v>100</v>
      </c>
      <c r="N12" s="29" t="s">
        <v>111</v>
      </c>
      <c r="O12" s="29" t="s">
        <v>40</v>
      </c>
      <c r="P12" s="29" t="s">
        <v>118</v>
      </c>
      <c r="Q12" s="29" t="s">
        <v>35</v>
      </c>
      <c r="R12" s="29" t="s">
        <v>35</v>
      </c>
      <c r="S12" s="36" t="s">
        <v>113</v>
      </c>
      <c r="T12" s="36" t="s">
        <v>114</v>
      </c>
      <c r="U12" s="36" t="s">
        <v>115</v>
      </c>
      <c r="V12" s="54" t="s">
        <v>116</v>
      </c>
      <c r="W12" s="29" t="s">
        <v>76</v>
      </c>
      <c r="X12" s="29"/>
      <c r="Y12" s="29"/>
      <c r="Z12" s="29" t="s">
        <v>103</v>
      </c>
      <c r="AA12" s="29" t="s">
        <v>104</v>
      </c>
      <c r="AB12" s="29" t="s">
        <v>77</v>
      </c>
      <c r="AC12" s="58" t="s">
        <v>78</v>
      </c>
    </row>
    <row r="13" spans="1:29" x14ac:dyDescent="0.25">
      <c r="A13" s="55" t="s">
        <v>32</v>
      </c>
      <c r="B13" s="29" t="s">
        <v>102</v>
      </c>
      <c r="C13" s="29" t="s">
        <v>6</v>
      </c>
      <c r="D13" s="29" t="s">
        <v>52</v>
      </c>
      <c r="E13" s="29" t="s">
        <v>107</v>
      </c>
      <c r="F13" s="29" t="s">
        <v>107</v>
      </c>
      <c r="G13" s="29" t="s">
        <v>6</v>
      </c>
      <c r="H13" s="29" t="s">
        <v>35</v>
      </c>
      <c r="I13" s="29" t="s">
        <v>108</v>
      </c>
      <c r="J13" s="29" t="s">
        <v>109</v>
      </c>
      <c r="K13" s="29" t="s">
        <v>99</v>
      </c>
      <c r="L13" s="29" t="s">
        <v>110</v>
      </c>
      <c r="M13" s="53" t="s">
        <v>100</v>
      </c>
      <c r="N13" s="29" t="s">
        <v>111</v>
      </c>
      <c r="O13" s="29" t="s">
        <v>39</v>
      </c>
      <c r="P13" s="29" t="s">
        <v>118</v>
      </c>
      <c r="Q13" s="29" t="s">
        <v>35</v>
      </c>
      <c r="R13" s="29" t="s">
        <v>35</v>
      </c>
      <c r="S13" s="36" t="s">
        <v>113</v>
      </c>
      <c r="T13" s="36" t="s">
        <v>114</v>
      </c>
      <c r="U13" s="36" t="s">
        <v>115</v>
      </c>
      <c r="V13" s="54" t="s">
        <v>116</v>
      </c>
      <c r="W13" s="29" t="s">
        <v>76</v>
      </c>
      <c r="X13" s="29"/>
      <c r="Y13" s="29"/>
      <c r="Z13" s="29" t="s">
        <v>103</v>
      </c>
      <c r="AA13" s="29" t="s">
        <v>104</v>
      </c>
      <c r="AB13" s="29" t="s">
        <v>77</v>
      </c>
      <c r="AC13" s="58" t="s">
        <v>78</v>
      </c>
    </row>
    <row r="14" spans="1:29" x14ac:dyDescent="0.25">
      <c r="A14" s="55" t="s">
        <v>32</v>
      </c>
      <c r="B14" s="29" t="s">
        <v>102</v>
      </c>
      <c r="C14" s="29" t="s">
        <v>6</v>
      </c>
      <c r="D14" s="29" t="s">
        <v>52</v>
      </c>
      <c r="E14" s="29" t="s">
        <v>107</v>
      </c>
      <c r="F14" s="29" t="s">
        <v>107</v>
      </c>
      <c r="G14" s="29" t="s">
        <v>6</v>
      </c>
      <c r="H14" s="29" t="s">
        <v>35</v>
      </c>
      <c r="I14" s="29" t="s">
        <v>108</v>
      </c>
      <c r="J14" s="29" t="s">
        <v>109</v>
      </c>
      <c r="K14" s="29" t="s">
        <v>99</v>
      </c>
      <c r="L14" s="29" t="s">
        <v>110</v>
      </c>
      <c r="M14" s="53" t="s">
        <v>100</v>
      </c>
      <c r="N14" s="29" t="s">
        <v>111</v>
      </c>
      <c r="O14" s="29" t="s">
        <v>90</v>
      </c>
      <c r="P14" s="29" t="s">
        <v>34</v>
      </c>
      <c r="Q14" s="29" t="s">
        <v>35</v>
      </c>
      <c r="R14" s="29" t="s">
        <v>35</v>
      </c>
      <c r="S14" s="36" t="s">
        <v>113</v>
      </c>
      <c r="T14" s="36" t="s">
        <v>114</v>
      </c>
      <c r="U14" s="36" t="s">
        <v>115</v>
      </c>
      <c r="V14" s="54" t="s">
        <v>116</v>
      </c>
      <c r="W14" s="29" t="s">
        <v>76</v>
      </c>
      <c r="X14" s="29"/>
      <c r="Y14" s="29"/>
      <c r="Z14" s="29" t="s">
        <v>103</v>
      </c>
      <c r="AA14" s="29" t="s">
        <v>104</v>
      </c>
      <c r="AB14" s="29" t="s">
        <v>77</v>
      </c>
      <c r="AC14" s="58" t="s">
        <v>78</v>
      </c>
    </row>
    <row r="15" spans="1:29" x14ac:dyDescent="0.25">
      <c r="A15" s="55" t="s">
        <v>32</v>
      </c>
      <c r="B15" s="29" t="s">
        <v>102</v>
      </c>
      <c r="C15" s="29" t="s">
        <v>6</v>
      </c>
      <c r="D15" s="29" t="s">
        <v>52</v>
      </c>
      <c r="E15" s="29" t="s">
        <v>107</v>
      </c>
      <c r="F15" s="29" t="s">
        <v>107</v>
      </c>
      <c r="G15" s="29" t="s">
        <v>6</v>
      </c>
      <c r="H15" s="29" t="s">
        <v>35</v>
      </c>
      <c r="I15" s="29" t="s">
        <v>108</v>
      </c>
      <c r="J15" s="29" t="s">
        <v>109</v>
      </c>
      <c r="K15" s="29" t="s">
        <v>99</v>
      </c>
      <c r="L15" s="29" t="s">
        <v>110</v>
      </c>
      <c r="M15" s="53" t="s">
        <v>100</v>
      </c>
      <c r="N15" s="29" t="s">
        <v>111</v>
      </c>
      <c r="O15" s="29" t="s">
        <v>91</v>
      </c>
      <c r="P15" s="29" t="s">
        <v>118</v>
      </c>
      <c r="Q15" s="29" t="s">
        <v>35</v>
      </c>
      <c r="R15" s="29" t="s">
        <v>35</v>
      </c>
      <c r="S15" s="36" t="s">
        <v>113</v>
      </c>
      <c r="T15" s="36" t="s">
        <v>114</v>
      </c>
      <c r="U15" s="36" t="s">
        <v>115</v>
      </c>
      <c r="V15" s="54" t="s">
        <v>116</v>
      </c>
      <c r="W15" s="29" t="s">
        <v>76</v>
      </c>
      <c r="X15" s="29"/>
      <c r="Y15" s="29"/>
      <c r="Z15" s="29" t="s">
        <v>103</v>
      </c>
      <c r="AA15" s="29" t="s">
        <v>104</v>
      </c>
      <c r="AB15" s="29" t="s">
        <v>77</v>
      </c>
      <c r="AC15" s="58" t="s">
        <v>78</v>
      </c>
    </row>
    <row r="16" spans="1:29" x14ac:dyDescent="0.25">
      <c r="A16" s="55" t="s">
        <v>32</v>
      </c>
      <c r="B16" s="29" t="s">
        <v>102</v>
      </c>
      <c r="C16" s="29" t="s">
        <v>6</v>
      </c>
      <c r="D16" s="29" t="s">
        <v>52</v>
      </c>
      <c r="E16" s="29" t="s">
        <v>107</v>
      </c>
      <c r="F16" s="29" t="s">
        <v>107</v>
      </c>
      <c r="G16" s="29" t="s">
        <v>6</v>
      </c>
      <c r="H16" s="29" t="s">
        <v>35</v>
      </c>
      <c r="I16" s="29" t="s">
        <v>108</v>
      </c>
      <c r="J16" s="29" t="s">
        <v>109</v>
      </c>
      <c r="K16" s="29" t="s">
        <v>99</v>
      </c>
      <c r="L16" s="29" t="s">
        <v>110</v>
      </c>
      <c r="M16" s="53" t="s">
        <v>100</v>
      </c>
      <c r="N16" s="29" t="s">
        <v>111</v>
      </c>
      <c r="O16" s="29" t="s">
        <v>92</v>
      </c>
      <c r="P16" s="29" t="s">
        <v>34</v>
      </c>
      <c r="Q16" s="29" t="s">
        <v>35</v>
      </c>
      <c r="R16" s="29" t="s">
        <v>35</v>
      </c>
      <c r="S16" s="36" t="s">
        <v>113</v>
      </c>
      <c r="T16" s="36" t="s">
        <v>114</v>
      </c>
      <c r="U16" s="36" t="s">
        <v>115</v>
      </c>
      <c r="V16" s="54" t="s">
        <v>116</v>
      </c>
      <c r="W16" s="29" t="s">
        <v>76</v>
      </c>
      <c r="X16" s="29"/>
      <c r="Y16" s="29"/>
      <c r="Z16" s="29" t="s">
        <v>103</v>
      </c>
      <c r="AA16" s="29" t="s">
        <v>104</v>
      </c>
      <c r="AB16" s="29" t="s">
        <v>77</v>
      </c>
      <c r="AC16" s="58" t="s">
        <v>78</v>
      </c>
    </row>
    <row r="17" spans="1:29" x14ac:dyDescent="0.25">
      <c r="A17" s="55" t="s">
        <v>32</v>
      </c>
      <c r="B17" s="29" t="s">
        <v>102</v>
      </c>
      <c r="C17" s="29" t="s">
        <v>6</v>
      </c>
      <c r="D17" s="29" t="s">
        <v>52</v>
      </c>
      <c r="E17" s="29" t="s">
        <v>107</v>
      </c>
      <c r="F17" s="29" t="s">
        <v>107</v>
      </c>
      <c r="G17" s="29" t="s">
        <v>6</v>
      </c>
      <c r="H17" s="29" t="s">
        <v>35</v>
      </c>
      <c r="I17" s="29" t="s">
        <v>108</v>
      </c>
      <c r="J17" s="29" t="s">
        <v>109</v>
      </c>
      <c r="K17" s="29" t="s">
        <v>99</v>
      </c>
      <c r="L17" s="29" t="s">
        <v>110</v>
      </c>
      <c r="M17" s="53" t="s">
        <v>100</v>
      </c>
      <c r="N17" s="29" t="s">
        <v>111</v>
      </c>
      <c r="O17" s="29" t="s">
        <v>93</v>
      </c>
      <c r="P17" s="29" t="s">
        <v>34</v>
      </c>
      <c r="Q17" s="29" t="s">
        <v>35</v>
      </c>
      <c r="R17" s="29" t="s">
        <v>35</v>
      </c>
      <c r="S17" s="36" t="s">
        <v>113</v>
      </c>
      <c r="T17" s="36" t="s">
        <v>114</v>
      </c>
      <c r="U17" s="36" t="s">
        <v>115</v>
      </c>
      <c r="V17" s="54" t="s">
        <v>116</v>
      </c>
      <c r="W17" s="29" t="s">
        <v>76</v>
      </c>
      <c r="X17" s="29"/>
      <c r="Y17" s="29"/>
      <c r="Z17" s="29" t="s">
        <v>103</v>
      </c>
      <c r="AA17" s="29" t="s">
        <v>104</v>
      </c>
      <c r="AB17" s="29" t="s">
        <v>77</v>
      </c>
      <c r="AC17" s="58" t="s">
        <v>78</v>
      </c>
    </row>
    <row r="18" spans="1:29" x14ac:dyDescent="0.25">
      <c r="A18" s="55" t="s">
        <v>32</v>
      </c>
      <c r="B18" s="29" t="s">
        <v>102</v>
      </c>
      <c r="C18" s="29" t="s">
        <v>6</v>
      </c>
      <c r="D18" s="29" t="s">
        <v>52</v>
      </c>
      <c r="E18" s="29" t="s">
        <v>107</v>
      </c>
      <c r="F18" s="29" t="s">
        <v>107</v>
      </c>
      <c r="G18" s="29" t="s">
        <v>6</v>
      </c>
      <c r="H18" s="29" t="s">
        <v>35</v>
      </c>
      <c r="I18" s="29" t="s">
        <v>108</v>
      </c>
      <c r="J18" s="29" t="s">
        <v>109</v>
      </c>
      <c r="K18" s="29" t="s">
        <v>99</v>
      </c>
      <c r="L18" s="29" t="s">
        <v>110</v>
      </c>
      <c r="M18" s="53" t="s">
        <v>100</v>
      </c>
      <c r="N18" s="29" t="s">
        <v>111</v>
      </c>
      <c r="O18" s="29" t="s">
        <v>94</v>
      </c>
      <c r="P18" s="29" t="s">
        <v>34</v>
      </c>
      <c r="Q18" s="29" t="s">
        <v>35</v>
      </c>
      <c r="R18" s="29" t="s">
        <v>35</v>
      </c>
      <c r="S18" s="36" t="s">
        <v>113</v>
      </c>
      <c r="T18" s="36" t="s">
        <v>114</v>
      </c>
      <c r="U18" s="36" t="s">
        <v>115</v>
      </c>
      <c r="V18" s="54" t="s">
        <v>116</v>
      </c>
      <c r="W18" s="29" t="s">
        <v>76</v>
      </c>
      <c r="X18" s="29"/>
      <c r="Y18" s="29"/>
      <c r="Z18" s="29" t="s">
        <v>103</v>
      </c>
      <c r="AA18" s="29" t="s">
        <v>104</v>
      </c>
      <c r="AB18" s="29" t="s">
        <v>77</v>
      </c>
      <c r="AC18" s="58" t="s">
        <v>78</v>
      </c>
    </row>
    <row r="19" spans="1:29" x14ac:dyDescent="0.25">
      <c r="A19" s="55" t="s">
        <v>32</v>
      </c>
      <c r="B19" s="29" t="s">
        <v>102</v>
      </c>
      <c r="C19" s="29" t="s">
        <v>6</v>
      </c>
      <c r="D19" s="29" t="s">
        <v>52</v>
      </c>
      <c r="E19" s="29" t="s">
        <v>107</v>
      </c>
      <c r="F19" s="29" t="s">
        <v>107</v>
      </c>
      <c r="G19" s="29" t="s">
        <v>6</v>
      </c>
      <c r="H19" s="29" t="s">
        <v>35</v>
      </c>
      <c r="I19" s="29" t="s">
        <v>108</v>
      </c>
      <c r="J19" s="29" t="s">
        <v>109</v>
      </c>
      <c r="K19" s="29" t="s">
        <v>99</v>
      </c>
      <c r="L19" s="29" t="s">
        <v>110</v>
      </c>
      <c r="M19" s="53" t="s">
        <v>100</v>
      </c>
      <c r="N19" s="29" t="s">
        <v>111</v>
      </c>
      <c r="O19" s="29" t="s">
        <v>95</v>
      </c>
      <c r="P19" s="29" t="s">
        <v>34</v>
      </c>
      <c r="Q19" s="29" t="s">
        <v>35</v>
      </c>
      <c r="R19" s="29" t="s">
        <v>35</v>
      </c>
      <c r="S19" s="36" t="s">
        <v>113</v>
      </c>
      <c r="T19" s="36" t="s">
        <v>114</v>
      </c>
      <c r="U19" s="36" t="s">
        <v>115</v>
      </c>
      <c r="V19" s="54" t="s">
        <v>116</v>
      </c>
      <c r="W19" s="29" t="s">
        <v>76</v>
      </c>
      <c r="X19" s="29"/>
      <c r="Y19" s="29"/>
      <c r="Z19" s="29" t="s">
        <v>103</v>
      </c>
      <c r="AA19" s="29" t="s">
        <v>104</v>
      </c>
      <c r="AB19" s="29" t="s">
        <v>77</v>
      </c>
      <c r="AC19" s="58" t="s">
        <v>78</v>
      </c>
    </row>
    <row r="20" spans="1:29" x14ac:dyDescent="0.25">
      <c r="A20" s="55" t="s">
        <v>32</v>
      </c>
      <c r="B20" s="29" t="s">
        <v>102</v>
      </c>
      <c r="C20" s="29" t="s">
        <v>6</v>
      </c>
      <c r="D20" s="29" t="s">
        <v>52</v>
      </c>
      <c r="E20" s="29" t="s">
        <v>107</v>
      </c>
      <c r="F20" s="29" t="s">
        <v>107</v>
      </c>
      <c r="G20" s="29" t="s">
        <v>6</v>
      </c>
      <c r="H20" s="29" t="s">
        <v>35</v>
      </c>
      <c r="I20" s="29" t="s">
        <v>108</v>
      </c>
      <c r="J20" s="29" t="s">
        <v>109</v>
      </c>
      <c r="K20" s="29" t="s">
        <v>99</v>
      </c>
      <c r="L20" s="29" t="s">
        <v>110</v>
      </c>
      <c r="M20" s="53" t="s">
        <v>100</v>
      </c>
      <c r="N20" s="29" t="s">
        <v>111</v>
      </c>
      <c r="O20" s="29" t="s">
        <v>96</v>
      </c>
      <c r="P20" s="29" t="s">
        <v>34</v>
      </c>
      <c r="Q20" s="29" t="s">
        <v>35</v>
      </c>
      <c r="R20" s="29" t="s">
        <v>35</v>
      </c>
      <c r="S20" s="36" t="s">
        <v>113</v>
      </c>
      <c r="T20" s="36" t="s">
        <v>114</v>
      </c>
      <c r="U20" s="36" t="s">
        <v>115</v>
      </c>
      <c r="V20" s="54" t="s">
        <v>116</v>
      </c>
      <c r="W20" s="29" t="s">
        <v>76</v>
      </c>
      <c r="X20" s="29"/>
      <c r="Y20" s="29"/>
      <c r="Z20" s="29" t="s">
        <v>103</v>
      </c>
      <c r="AA20" s="29" t="s">
        <v>104</v>
      </c>
      <c r="AB20" s="29" t="s">
        <v>77</v>
      </c>
      <c r="AC20" s="58" t="s">
        <v>78</v>
      </c>
    </row>
    <row r="21" spans="1:29" x14ac:dyDescent="0.25">
      <c r="A21" s="55" t="s">
        <v>32</v>
      </c>
      <c r="B21" s="29" t="s">
        <v>102</v>
      </c>
      <c r="C21" s="29" t="s">
        <v>6</v>
      </c>
      <c r="D21" s="29" t="s">
        <v>52</v>
      </c>
      <c r="E21" s="29" t="s">
        <v>107</v>
      </c>
      <c r="F21" s="29" t="s">
        <v>107</v>
      </c>
      <c r="G21" s="29" t="s">
        <v>6</v>
      </c>
      <c r="H21" s="29" t="s">
        <v>35</v>
      </c>
      <c r="I21" s="29" t="s">
        <v>108</v>
      </c>
      <c r="J21" s="29" t="s">
        <v>109</v>
      </c>
      <c r="K21" s="29" t="s">
        <v>99</v>
      </c>
      <c r="L21" s="29" t="s">
        <v>110</v>
      </c>
      <c r="M21" s="53" t="s">
        <v>100</v>
      </c>
      <c r="N21" s="29" t="s">
        <v>111</v>
      </c>
      <c r="O21" s="29" t="s">
        <v>119</v>
      </c>
      <c r="P21" s="29" t="s">
        <v>120</v>
      </c>
      <c r="Q21" s="29" t="s">
        <v>35</v>
      </c>
      <c r="R21" s="29" t="s">
        <v>35</v>
      </c>
      <c r="S21" s="36" t="s">
        <v>113</v>
      </c>
      <c r="T21" s="36" t="s">
        <v>114</v>
      </c>
      <c r="U21" s="36" t="s">
        <v>115</v>
      </c>
      <c r="V21" s="54" t="s">
        <v>116</v>
      </c>
      <c r="W21" s="29" t="s">
        <v>76</v>
      </c>
      <c r="X21" s="29"/>
      <c r="Y21" s="29"/>
      <c r="Z21" s="29" t="s">
        <v>103</v>
      </c>
      <c r="AA21" s="29" t="s">
        <v>104</v>
      </c>
      <c r="AB21" s="29" t="s">
        <v>77</v>
      </c>
      <c r="AC21" s="58" t="s">
        <v>78</v>
      </c>
    </row>
    <row r="22" spans="1:29" x14ac:dyDescent="0.25">
      <c r="A22" s="55" t="s">
        <v>32</v>
      </c>
      <c r="B22" s="29" t="s">
        <v>102</v>
      </c>
      <c r="C22" s="29" t="s">
        <v>6</v>
      </c>
      <c r="D22" s="29" t="s">
        <v>52</v>
      </c>
      <c r="E22" s="29" t="s">
        <v>107</v>
      </c>
      <c r="F22" s="29" t="s">
        <v>107</v>
      </c>
      <c r="G22" s="29" t="s">
        <v>6</v>
      </c>
      <c r="H22" s="29" t="s">
        <v>35</v>
      </c>
      <c r="I22" s="29" t="s">
        <v>108</v>
      </c>
      <c r="J22" s="29" t="s">
        <v>109</v>
      </c>
      <c r="K22" s="29" t="s">
        <v>99</v>
      </c>
      <c r="L22" s="29" t="s">
        <v>110</v>
      </c>
      <c r="M22" s="53" t="s">
        <v>100</v>
      </c>
      <c r="N22" s="29" t="s">
        <v>111</v>
      </c>
      <c r="O22" s="29" t="s">
        <v>121</v>
      </c>
      <c r="P22" s="29" t="s">
        <v>34</v>
      </c>
      <c r="Q22" s="29" t="s">
        <v>35</v>
      </c>
      <c r="R22" s="29" t="s">
        <v>35</v>
      </c>
      <c r="S22" s="36" t="s">
        <v>113</v>
      </c>
      <c r="T22" s="36" t="s">
        <v>114</v>
      </c>
      <c r="U22" s="36" t="s">
        <v>115</v>
      </c>
      <c r="V22" s="54" t="s">
        <v>116</v>
      </c>
      <c r="W22" s="29" t="s">
        <v>76</v>
      </c>
      <c r="X22" s="29"/>
      <c r="Y22" s="29"/>
      <c r="Z22" s="29" t="s">
        <v>103</v>
      </c>
      <c r="AA22" s="29" t="s">
        <v>104</v>
      </c>
      <c r="AB22" s="29" t="s">
        <v>77</v>
      </c>
      <c r="AC22" s="58" t="s">
        <v>78</v>
      </c>
    </row>
    <row r="23" spans="1:29" x14ac:dyDescent="0.25">
      <c r="A23" s="55" t="s">
        <v>32</v>
      </c>
      <c r="B23" s="29" t="s">
        <v>102</v>
      </c>
      <c r="C23" s="29" t="s">
        <v>6</v>
      </c>
      <c r="D23" s="29" t="s">
        <v>52</v>
      </c>
      <c r="E23" s="29" t="s">
        <v>107</v>
      </c>
      <c r="F23" s="29" t="s">
        <v>107</v>
      </c>
      <c r="G23" s="29" t="s">
        <v>6</v>
      </c>
      <c r="H23" s="29" t="s">
        <v>35</v>
      </c>
      <c r="I23" s="29" t="s">
        <v>108</v>
      </c>
      <c r="J23" s="29" t="s">
        <v>109</v>
      </c>
      <c r="K23" s="29" t="s">
        <v>99</v>
      </c>
      <c r="L23" s="29" t="s">
        <v>110</v>
      </c>
      <c r="M23" s="53" t="s">
        <v>100</v>
      </c>
      <c r="N23" s="29" t="s">
        <v>111</v>
      </c>
      <c r="O23" s="29" t="s">
        <v>122</v>
      </c>
      <c r="P23" s="29" t="s">
        <v>34</v>
      </c>
      <c r="Q23" s="29" t="s">
        <v>35</v>
      </c>
      <c r="R23" s="29" t="s">
        <v>35</v>
      </c>
      <c r="S23" s="36" t="s">
        <v>113</v>
      </c>
      <c r="T23" s="36" t="s">
        <v>114</v>
      </c>
      <c r="U23" s="36" t="s">
        <v>115</v>
      </c>
      <c r="V23" s="54" t="s">
        <v>116</v>
      </c>
      <c r="W23" s="29" t="s">
        <v>76</v>
      </c>
      <c r="X23" s="29"/>
      <c r="Y23" s="29"/>
      <c r="Z23" s="29" t="s">
        <v>103</v>
      </c>
      <c r="AA23" s="29" t="s">
        <v>104</v>
      </c>
      <c r="AB23" s="29" t="s">
        <v>77</v>
      </c>
      <c r="AC23" s="58" t="s">
        <v>78</v>
      </c>
    </row>
    <row r="24" spans="1:29" x14ac:dyDescent="0.25">
      <c r="A24" s="55" t="s">
        <v>32</v>
      </c>
      <c r="B24" s="29" t="s">
        <v>102</v>
      </c>
      <c r="C24" s="29" t="s">
        <v>6</v>
      </c>
      <c r="D24" s="29" t="s">
        <v>52</v>
      </c>
      <c r="E24" s="29" t="s">
        <v>107</v>
      </c>
      <c r="F24" s="29" t="s">
        <v>107</v>
      </c>
      <c r="G24" s="29" t="s">
        <v>6</v>
      </c>
      <c r="H24" s="29" t="s">
        <v>35</v>
      </c>
      <c r="I24" s="29" t="s">
        <v>108</v>
      </c>
      <c r="J24" s="29" t="s">
        <v>109</v>
      </c>
      <c r="K24" s="29" t="s">
        <v>99</v>
      </c>
      <c r="L24" s="29" t="s">
        <v>110</v>
      </c>
      <c r="M24" s="53" t="s">
        <v>100</v>
      </c>
      <c r="N24" s="29" t="s">
        <v>111</v>
      </c>
      <c r="O24" s="29" t="s">
        <v>123</v>
      </c>
      <c r="P24" s="29" t="s">
        <v>118</v>
      </c>
      <c r="Q24" s="29" t="s">
        <v>35</v>
      </c>
      <c r="R24" s="29" t="s">
        <v>35</v>
      </c>
      <c r="S24" s="36" t="s">
        <v>113</v>
      </c>
      <c r="T24" s="36" t="s">
        <v>114</v>
      </c>
      <c r="U24" s="36" t="s">
        <v>115</v>
      </c>
      <c r="V24" s="54" t="s">
        <v>116</v>
      </c>
      <c r="W24" s="29" t="s">
        <v>76</v>
      </c>
      <c r="X24" s="29"/>
      <c r="Y24" s="29"/>
      <c r="Z24" s="29" t="s">
        <v>103</v>
      </c>
      <c r="AA24" s="29" t="s">
        <v>104</v>
      </c>
      <c r="AB24" s="29" t="s">
        <v>77</v>
      </c>
      <c r="AC24" s="58" t="s">
        <v>78</v>
      </c>
    </row>
    <row r="25" spans="1:29" x14ac:dyDescent="0.25">
      <c r="A25" s="55" t="s">
        <v>32</v>
      </c>
      <c r="B25" s="29" t="s">
        <v>102</v>
      </c>
      <c r="C25" s="29" t="s">
        <v>6</v>
      </c>
      <c r="D25" s="29" t="s">
        <v>52</v>
      </c>
      <c r="E25" s="29" t="s">
        <v>107</v>
      </c>
      <c r="F25" s="29" t="s">
        <v>107</v>
      </c>
      <c r="G25" s="29" t="s">
        <v>6</v>
      </c>
      <c r="H25" s="29" t="s">
        <v>35</v>
      </c>
      <c r="I25" s="29" t="s">
        <v>108</v>
      </c>
      <c r="J25" s="29" t="s">
        <v>109</v>
      </c>
      <c r="K25" s="29" t="s">
        <v>99</v>
      </c>
      <c r="L25" s="29" t="s">
        <v>110</v>
      </c>
      <c r="M25" s="53" t="s">
        <v>100</v>
      </c>
      <c r="N25" s="29" t="s">
        <v>111</v>
      </c>
      <c r="O25" s="29" t="s">
        <v>124</v>
      </c>
      <c r="P25" s="29" t="s">
        <v>118</v>
      </c>
      <c r="Q25" s="29" t="s">
        <v>35</v>
      </c>
      <c r="R25" s="29" t="s">
        <v>35</v>
      </c>
      <c r="S25" s="36" t="s">
        <v>113</v>
      </c>
      <c r="T25" s="36" t="s">
        <v>114</v>
      </c>
      <c r="U25" s="36" t="s">
        <v>115</v>
      </c>
      <c r="V25" s="54" t="s">
        <v>116</v>
      </c>
      <c r="W25" s="29" t="s">
        <v>76</v>
      </c>
      <c r="X25" s="29"/>
      <c r="Y25" s="29"/>
      <c r="Z25" s="29" t="s">
        <v>103</v>
      </c>
      <c r="AA25" s="29" t="s">
        <v>104</v>
      </c>
      <c r="AB25" s="29" t="s">
        <v>77</v>
      </c>
      <c r="AC25" s="58" t="s">
        <v>78</v>
      </c>
    </row>
    <row r="26" spans="1:29" x14ac:dyDescent="0.25">
      <c r="A26" s="55" t="s">
        <v>32</v>
      </c>
      <c r="B26" s="29" t="s">
        <v>102</v>
      </c>
      <c r="C26" s="29" t="s">
        <v>6</v>
      </c>
      <c r="D26" s="29" t="s">
        <v>52</v>
      </c>
      <c r="E26" s="29" t="s">
        <v>107</v>
      </c>
      <c r="F26" s="29" t="s">
        <v>107</v>
      </c>
      <c r="G26" s="29" t="s">
        <v>6</v>
      </c>
      <c r="H26" s="29" t="s">
        <v>35</v>
      </c>
      <c r="I26" s="29" t="s">
        <v>108</v>
      </c>
      <c r="J26" s="29" t="s">
        <v>109</v>
      </c>
      <c r="K26" s="29" t="s">
        <v>99</v>
      </c>
      <c r="L26" s="29" t="s">
        <v>110</v>
      </c>
      <c r="M26" s="53" t="s">
        <v>100</v>
      </c>
      <c r="N26" s="29" t="s">
        <v>111</v>
      </c>
      <c r="O26" s="29" t="s">
        <v>125</v>
      </c>
      <c r="P26" s="29" t="s">
        <v>118</v>
      </c>
      <c r="Q26" s="29" t="s">
        <v>35</v>
      </c>
      <c r="R26" s="29" t="s">
        <v>35</v>
      </c>
      <c r="S26" s="36" t="s">
        <v>113</v>
      </c>
      <c r="T26" s="36" t="s">
        <v>114</v>
      </c>
      <c r="U26" s="36" t="s">
        <v>115</v>
      </c>
      <c r="V26" s="54" t="s">
        <v>116</v>
      </c>
      <c r="W26" s="29" t="s">
        <v>76</v>
      </c>
      <c r="X26" s="29"/>
      <c r="Y26" s="29"/>
      <c r="Z26" s="29" t="s">
        <v>103</v>
      </c>
      <c r="AA26" s="29" t="s">
        <v>104</v>
      </c>
      <c r="AB26" s="29" t="s">
        <v>77</v>
      </c>
      <c r="AC26" s="58" t="s">
        <v>78</v>
      </c>
    </row>
    <row r="27" spans="1:29" x14ac:dyDescent="0.25">
      <c r="A27" s="55" t="s">
        <v>32</v>
      </c>
      <c r="B27" s="29" t="s">
        <v>102</v>
      </c>
      <c r="C27" s="29" t="s">
        <v>6</v>
      </c>
      <c r="D27" s="29" t="s">
        <v>55</v>
      </c>
      <c r="E27" s="29" t="s">
        <v>12</v>
      </c>
      <c r="F27" s="29" t="s">
        <v>126</v>
      </c>
      <c r="G27" s="29" t="s">
        <v>102</v>
      </c>
      <c r="H27" s="29" t="s">
        <v>35</v>
      </c>
      <c r="I27" s="29" t="s">
        <v>127</v>
      </c>
      <c r="J27" s="29" t="s">
        <v>128</v>
      </c>
      <c r="K27" s="29" t="s">
        <v>99</v>
      </c>
      <c r="L27" s="29" t="s">
        <v>110</v>
      </c>
      <c r="M27" s="53" t="s">
        <v>100</v>
      </c>
      <c r="N27" s="29" t="s">
        <v>111</v>
      </c>
      <c r="O27" s="29" t="s">
        <v>112</v>
      </c>
      <c r="P27" s="29" t="s">
        <v>118</v>
      </c>
      <c r="Q27" s="29" t="s">
        <v>35</v>
      </c>
      <c r="R27" s="29" t="s">
        <v>35</v>
      </c>
      <c r="S27" s="36" t="s">
        <v>113</v>
      </c>
      <c r="T27" s="36" t="s">
        <v>129</v>
      </c>
      <c r="U27" s="36" t="s">
        <v>130</v>
      </c>
      <c r="V27" s="54" t="s">
        <v>131</v>
      </c>
      <c r="W27" s="29" t="s">
        <v>76</v>
      </c>
      <c r="X27" s="29"/>
      <c r="Y27" s="29"/>
      <c r="Z27" s="29" t="s">
        <v>103</v>
      </c>
      <c r="AA27" s="29" t="s">
        <v>104</v>
      </c>
      <c r="AB27" s="29" t="s">
        <v>77</v>
      </c>
      <c r="AC27" s="58" t="s">
        <v>78</v>
      </c>
    </row>
    <row r="28" spans="1:29" x14ac:dyDescent="0.25">
      <c r="A28" s="55" t="s">
        <v>32</v>
      </c>
      <c r="B28" s="29" t="s">
        <v>102</v>
      </c>
      <c r="C28" s="29" t="s">
        <v>6</v>
      </c>
      <c r="D28" s="29" t="s">
        <v>55</v>
      </c>
      <c r="E28" s="29" t="s">
        <v>12</v>
      </c>
      <c r="F28" s="29" t="s">
        <v>126</v>
      </c>
      <c r="G28" s="29" t="s">
        <v>102</v>
      </c>
      <c r="H28" s="29" t="s">
        <v>35</v>
      </c>
      <c r="I28" s="29" t="s">
        <v>127</v>
      </c>
      <c r="J28" s="29" t="s">
        <v>128</v>
      </c>
      <c r="K28" s="29" t="s">
        <v>99</v>
      </c>
      <c r="L28" s="29" t="s">
        <v>110</v>
      </c>
      <c r="M28" s="53" t="s">
        <v>100</v>
      </c>
      <c r="N28" s="29" t="s">
        <v>111</v>
      </c>
      <c r="O28" s="29" t="s">
        <v>132</v>
      </c>
      <c r="P28" s="29" t="s">
        <v>133</v>
      </c>
      <c r="Q28" s="29" t="s">
        <v>35</v>
      </c>
      <c r="R28" s="29" t="s">
        <v>35</v>
      </c>
      <c r="S28" s="36" t="s">
        <v>113</v>
      </c>
      <c r="T28" s="36" t="s">
        <v>129</v>
      </c>
      <c r="U28" s="36" t="s">
        <v>130</v>
      </c>
      <c r="V28" s="54" t="s">
        <v>131</v>
      </c>
      <c r="W28" s="29" t="s">
        <v>76</v>
      </c>
      <c r="X28" s="29"/>
      <c r="Y28" s="29"/>
      <c r="Z28" s="29" t="s">
        <v>103</v>
      </c>
      <c r="AA28" s="29" t="s">
        <v>104</v>
      </c>
      <c r="AB28" s="29" t="s">
        <v>77</v>
      </c>
      <c r="AC28" s="58" t="s">
        <v>78</v>
      </c>
    </row>
    <row r="29" spans="1:29" x14ac:dyDescent="0.25">
      <c r="A29" s="55" t="s">
        <v>32</v>
      </c>
      <c r="B29" s="29" t="s">
        <v>102</v>
      </c>
      <c r="C29" s="29" t="s">
        <v>6</v>
      </c>
      <c r="D29" s="29" t="s">
        <v>12</v>
      </c>
      <c r="E29" s="29" t="s">
        <v>134</v>
      </c>
      <c r="F29" s="29" t="s">
        <v>134</v>
      </c>
      <c r="G29" s="29" t="s">
        <v>102</v>
      </c>
      <c r="H29" s="29" t="s">
        <v>35</v>
      </c>
      <c r="I29" s="29" t="s">
        <v>135</v>
      </c>
      <c r="J29" s="29" t="s">
        <v>136</v>
      </c>
      <c r="K29" s="29" t="s">
        <v>35</v>
      </c>
      <c r="L29" s="29" t="s">
        <v>75</v>
      </c>
      <c r="M29" s="53" t="s">
        <v>100</v>
      </c>
      <c r="N29" s="29" t="s">
        <v>111</v>
      </c>
      <c r="O29" s="29" t="s">
        <v>112</v>
      </c>
      <c r="P29" s="29" t="s">
        <v>118</v>
      </c>
      <c r="Q29" s="29" t="s">
        <v>35</v>
      </c>
      <c r="R29" s="29" t="s">
        <v>35</v>
      </c>
      <c r="S29" s="36" t="s">
        <v>137</v>
      </c>
      <c r="T29" s="36" t="s">
        <v>138</v>
      </c>
      <c r="U29" s="36" t="s">
        <v>139</v>
      </c>
      <c r="V29" s="54" t="s">
        <v>140</v>
      </c>
      <c r="W29" s="29" t="s">
        <v>76</v>
      </c>
      <c r="X29" s="29"/>
      <c r="Y29" s="29"/>
      <c r="Z29" s="29" t="s">
        <v>103</v>
      </c>
      <c r="AA29" s="29" t="s">
        <v>104</v>
      </c>
      <c r="AB29" s="29" t="s">
        <v>77</v>
      </c>
      <c r="AC29" s="58" t="s">
        <v>78</v>
      </c>
    </row>
    <row r="30" spans="1:29" x14ac:dyDescent="0.25">
      <c r="A30" s="55" t="s">
        <v>32</v>
      </c>
      <c r="B30" s="29" t="s">
        <v>102</v>
      </c>
      <c r="C30" s="29" t="s">
        <v>6</v>
      </c>
      <c r="D30" s="29" t="s">
        <v>12</v>
      </c>
      <c r="E30" s="29" t="s">
        <v>134</v>
      </c>
      <c r="F30" s="29" t="s">
        <v>134</v>
      </c>
      <c r="G30" s="29" t="s">
        <v>102</v>
      </c>
      <c r="H30" s="29" t="s">
        <v>35</v>
      </c>
      <c r="I30" s="29" t="s">
        <v>135</v>
      </c>
      <c r="J30" s="29" t="s">
        <v>136</v>
      </c>
      <c r="K30" s="29" t="s">
        <v>35</v>
      </c>
      <c r="L30" s="29" t="s">
        <v>75</v>
      </c>
      <c r="M30" s="53" t="s">
        <v>100</v>
      </c>
      <c r="N30" s="29" t="s">
        <v>111</v>
      </c>
      <c r="O30" s="29" t="s">
        <v>132</v>
      </c>
      <c r="P30" s="29" t="s">
        <v>141</v>
      </c>
      <c r="Q30" s="29" t="s">
        <v>35</v>
      </c>
      <c r="R30" s="29" t="s">
        <v>35</v>
      </c>
      <c r="S30" s="36" t="s">
        <v>137</v>
      </c>
      <c r="T30" s="36" t="s">
        <v>138</v>
      </c>
      <c r="U30" s="36" t="s">
        <v>139</v>
      </c>
      <c r="V30" s="54" t="s">
        <v>140</v>
      </c>
      <c r="W30" s="29" t="s">
        <v>76</v>
      </c>
      <c r="X30" s="29"/>
      <c r="Y30" s="29"/>
      <c r="Z30" s="29" t="s">
        <v>103</v>
      </c>
      <c r="AA30" s="29" t="s">
        <v>104</v>
      </c>
      <c r="AB30" s="29" t="s">
        <v>77</v>
      </c>
      <c r="AC30" s="58" t="s">
        <v>78</v>
      </c>
    </row>
    <row r="31" spans="1:29" x14ac:dyDescent="0.25">
      <c r="A31" s="55" t="s">
        <v>32</v>
      </c>
      <c r="B31" s="29" t="s">
        <v>98</v>
      </c>
      <c r="C31" s="29" t="s">
        <v>53</v>
      </c>
      <c r="D31" s="29" t="s">
        <v>12</v>
      </c>
      <c r="E31" s="29" t="s">
        <v>142</v>
      </c>
      <c r="F31" s="29" t="s">
        <v>142</v>
      </c>
      <c r="G31" s="29" t="s">
        <v>53</v>
      </c>
      <c r="H31" s="29" t="s">
        <v>35</v>
      </c>
      <c r="I31" s="29" t="s">
        <v>143</v>
      </c>
      <c r="J31" s="29" t="s">
        <v>144</v>
      </c>
      <c r="K31" s="29" t="s">
        <v>99</v>
      </c>
      <c r="L31" s="29" t="s">
        <v>75</v>
      </c>
      <c r="M31" s="53" t="s">
        <v>100</v>
      </c>
      <c r="N31" s="29" t="s">
        <v>111</v>
      </c>
      <c r="O31" s="29" t="s">
        <v>112</v>
      </c>
      <c r="P31" s="29" t="s">
        <v>118</v>
      </c>
      <c r="Q31" s="29" t="s">
        <v>35</v>
      </c>
      <c r="R31" s="29" t="s">
        <v>35</v>
      </c>
      <c r="S31" s="36" t="s">
        <v>145</v>
      </c>
      <c r="T31" s="36" t="s">
        <v>146</v>
      </c>
      <c r="U31" s="36" t="s">
        <v>147</v>
      </c>
      <c r="V31" s="54" t="s">
        <v>148</v>
      </c>
      <c r="W31" s="29" t="s">
        <v>76</v>
      </c>
      <c r="X31" s="29"/>
      <c r="Y31" s="29"/>
      <c r="Z31" s="29" t="s">
        <v>149</v>
      </c>
      <c r="AA31" s="29" t="s">
        <v>150</v>
      </c>
      <c r="AB31" s="29" t="s">
        <v>77</v>
      </c>
      <c r="AC31" s="58" t="s">
        <v>78</v>
      </c>
    </row>
    <row r="32" spans="1:29" x14ac:dyDescent="0.25">
      <c r="A32" s="55" t="s">
        <v>32</v>
      </c>
      <c r="B32" s="29" t="s">
        <v>98</v>
      </c>
      <c r="C32" s="29" t="s">
        <v>53</v>
      </c>
      <c r="D32" s="29" t="s">
        <v>12</v>
      </c>
      <c r="E32" s="29" t="s">
        <v>142</v>
      </c>
      <c r="F32" s="29" t="s">
        <v>142</v>
      </c>
      <c r="G32" s="29" t="s">
        <v>53</v>
      </c>
      <c r="H32" s="29" t="s">
        <v>35</v>
      </c>
      <c r="I32" s="29" t="s">
        <v>143</v>
      </c>
      <c r="J32" s="29" t="s">
        <v>144</v>
      </c>
      <c r="K32" s="29" t="s">
        <v>99</v>
      </c>
      <c r="L32" s="29" t="s">
        <v>75</v>
      </c>
      <c r="M32" s="53" t="s">
        <v>100</v>
      </c>
      <c r="N32" s="29" t="s">
        <v>111</v>
      </c>
      <c r="O32" s="29" t="s">
        <v>132</v>
      </c>
      <c r="P32" s="29" t="s">
        <v>151</v>
      </c>
      <c r="Q32" s="29" t="s">
        <v>35</v>
      </c>
      <c r="R32" s="29" t="s">
        <v>35</v>
      </c>
      <c r="S32" s="36" t="s">
        <v>145</v>
      </c>
      <c r="T32" s="36" t="s">
        <v>146</v>
      </c>
      <c r="U32" s="36" t="s">
        <v>147</v>
      </c>
      <c r="V32" s="54" t="s">
        <v>148</v>
      </c>
      <c r="W32" s="29" t="s">
        <v>76</v>
      </c>
      <c r="X32" s="29"/>
      <c r="Y32" s="29"/>
      <c r="Z32" s="29" t="s">
        <v>149</v>
      </c>
      <c r="AA32" s="29" t="s">
        <v>150</v>
      </c>
      <c r="AB32" s="29" t="s">
        <v>77</v>
      </c>
      <c r="AC32" s="58" t="s">
        <v>78</v>
      </c>
    </row>
    <row r="33" spans="1:29" x14ac:dyDescent="0.25">
      <c r="A33" s="55" t="s">
        <v>32</v>
      </c>
      <c r="B33" s="29" t="s">
        <v>98</v>
      </c>
      <c r="C33" s="29" t="s">
        <v>53</v>
      </c>
      <c r="D33" s="29" t="s">
        <v>12</v>
      </c>
      <c r="E33" s="29" t="s">
        <v>86</v>
      </c>
      <c r="F33" s="29" t="s">
        <v>87</v>
      </c>
      <c r="G33" s="29" t="s">
        <v>53</v>
      </c>
      <c r="H33" s="29" t="s">
        <v>35</v>
      </c>
      <c r="I33" s="29" t="s">
        <v>152</v>
      </c>
      <c r="J33" s="29" t="s">
        <v>153</v>
      </c>
      <c r="K33" s="29" t="s">
        <v>154</v>
      </c>
      <c r="L33" s="29" t="s">
        <v>75</v>
      </c>
      <c r="M33" s="53" t="s">
        <v>100</v>
      </c>
      <c r="N33" s="29" t="s">
        <v>111</v>
      </c>
      <c r="O33" s="29" t="s">
        <v>112</v>
      </c>
      <c r="P33" s="29" t="s">
        <v>34</v>
      </c>
      <c r="Q33" s="29" t="s">
        <v>35</v>
      </c>
      <c r="R33" s="29" t="s">
        <v>35</v>
      </c>
      <c r="S33" s="36" t="s">
        <v>155</v>
      </c>
      <c r="T33" s="36" t="s">
        <v>156</v>
      </c>
      <c r="U33" s="36" t="s">
        <v>157</v>
      </c>
      <c r="V33" s="54" t="s">
        <v>158</v>
      </c>
      <c r="W33" s="29" t="s">
        <v>76</v>
      </c>
      <c r="X33" s="29"/>
      <c r="Y33" s="29"/>
      <c r="Z33" s="29" t="s">
        <v>149</v>
      </c>
      <c r="AA33" s="29" t="s">
        <v>150</v>
      </c>
      <c r="AB33" s="29" t="s">
        <v>77</v>
      </c>
      <c r="AC33" s="58" t="s">
        <v>78</v>
      </c>
    </row>
    <row r="34" spans="1:29" x14ac:dyDescent="0.25">
      <c r="A34" s="55" t="s">
        <v>32</v>
      </c>
      <c r="B34" s="29" t="s">
        <v>98</v>
      </c>
      <c r="C34" s="29" t="s">
        <v>53</v>
      </c>
      <c r="D34" s="29" t="s">
        <v>12</v>
      </c>
      <c r="E34" s="29" t="s">
        <v>86</v>
      </c>
      <c r="F34" s="29" t="s">
        <v>87</v>
      </c>
      <c r="G34" s="29" t="s">
        <v>53</v>
      </c>
      <c r="H34" s="29" t="s">
        <v>35</v>
      </c>
      <c r="I34" s="29" t="s">
        <v>152</v>
      </c>
      <c r="J34" s="29" t="s">
        <v>153</v>
      </c>
      <c r="K34" s="29" t="s">
        <v>154</v>
      </c>
      <c r="L34" s="29" t="s">
        <v>75</v>
      </c>
      <c r="M34" s="53" t="s">
        <v>100</v>
      </c>
      <c r="N34" s="29" t="s">
        <v>111</v>
      </c>
      <c r="O34" s="29" t="s">
        <v>44</v>
      </c>
      <c r="P34" s="29" t="s">
        <v>34</v>
      </c>
      <c r="Q34" s="29" t="s">
        <v>35</v>
      </c>
      <c r="R34" s="29" t="s">
        <v>35</v>
      </c>
      <c r="S34" s="36" t="s">
        <v>155</v>
      </c>
      <c r="T34" s="36" t="s">
        <v>156</v>
      </c>
      <c r="U34" s="36" t="s">
        <v>157</v>
      </c>
      <c r="V34" s="54" t="s">
        <v>158</v>
      </c>
      <c r="W34" s="29" t="s">
        <v>76</v>
      </c>
      <c r="X34" s="29"/>
      <c r="Y34" s="29"/>
      <c r="Z34" s="29" t="s">
        <v>149</v>
      </c>
      <c r="AA34" s="29" t="s">
        <v>150</v>
      </c>
      <c r="AB34" s="29" t="s">
        <v>77</v>
      </c>
      <c r="AC34" s="58" t="s">
        <v>78</v>
      </c>
    </row>
    <row r="35" spans="1:29" x14ac:dyDescent="0.25">
      <c r="A35" s="55" t="s">
        <v>32</v>
      </c>
      <c r="B35" s="29" t="s">
        <v>98</v>
      </c>
      <c r="C35" s="29" t="s">
        <v>53</v>
      </c>
      <c r="D35" s="29" t="s">
        <v>12</v>
      </c>
      <c r="E35" s="29" t="s">
        <v>86</v>
      </c>
      <c r="F35" s="29" t="s">
        <v>87</v>
      </c>
      <c r="G35" s="29" t="s">
        <v>53</v>
      </c>
      <c r="H35" s="29" t="s">
        <v>35</v>
      </c>
      <c r="I35" s="29" t="s">
        <v>152</v>
      </c>
      <c r="J35" s="29" t="s">
        <v>153</v>
      </c>
      <c r="K35" s="29" t="s">
        <v>154</v>
      </c>
      <c r="L35" s="29" t="s">
        <v>75</v>
      </c>
      <c r="M35" s="53" t="s">
        <v>100</v>
      </c>
      <c r="N35" s="29" t="s">
        <v>111</v>
      </c>
      <c r="O35" s="29" t="s">
        <v>37</v>
      </c>
      <c r="P35" s="29" t="s">
        <v>34</v>
      </c>
      <c r="Q35" s="29" t="s">
        <v>35</v>
      </c>
      <c r="R35" s="29" t="s">
        <v>35</v>
      </c>
      <c r="S35" s="36" t="s">
        <v>155</v>
      </c>
      <c r="T35" s="36" t="s">
        <v>156</v>
      </c>
      <c r="U35" s="36" t="s">
        <v>157</v>
      </c>
      <c r="V35" s="54" t="s">
        <v>158</v>
      </c>
      <c r="W35" s="29" t="s">
        <v>76</v>
      </c>
      <c r="X35" s="29"/>
      <c r="Y35" s="29"/>
      <c r="Z35" s="29" t="s">
        <v>149</v>
      </c>
      <c r="AA35" s="29" t="s">
        <v>150</v>
      </c>
      <c r="AB35" s="29" t="s">
        <v>77</v>
      </c>
      <c r="AC35" s="58" t="s">
        <v>78</v>
      </c>
    </row>
    <row r="36" spans="1:29" x14ac:dyDescent="0.25">
      <c r="A36" s="55" t="s">
        <v>32</v>
      </c>
      <c r="B36" s="29" t="s">
        <v>98</v>
      </c>
      <c r="C36" s="29" t="s">
        <v>53</v>
      </c>
      <c r="D36" s="29" t="s">
        <v>12</v>
      </c>
      <c r="E36" s="29" t="s">
        <v>86</v>
      </c>
      <c r="F36" s="29" t="s">
        <v>87</v>
      </c>
      <c r="G36" s="29" t="s">
        <v>53</v>
      </c>
      <c r="H36" s="29" t="s">
        <v>35</v>
      </c>
      <c r="I36" s="29" t="s">
        <v>152</v>
      </c>
      <c r="J36" s="29" t="s">
        <v>153</v>
      </c>
      <c r="K36" s="29" t="s">
        <v>154</v>
      </c>
      <c r="L36" s="29" t="s">
        <v>75</v>
      </c>
      <c r="M36" s="53" t="s">
        <v>100</v>
      </c>
      <c r="N36" s="29" t="s">
        <v>111</v>
      </c>
      <c r="O36" s="29" t="s">
        <v>89</v>
      </c>
      <c r="P36" s="29" t="s">
        <v>34</v>
      </c>
      <c r="Q36" s="29" t="s">
        <v>35</v>
      </c>
      <c r="R36" s="29" t="s">
        <v>35</v>
      </c>
      <c r="S36" s="36" t="s">
        <v>155</v>
      </c>
      <c r="T36" s="36" t="s">
        <v>156</v>
      </c>
      <c r="U36" s="36" t="s">
        <v>157</v>
      </c>
      <c r="V36" s="54" t="s">
        <v>158</v>
      </c>
      <c r="W36" s="29" t="s">
        <v>76</v>
      </c>
      <c r="X36" s="29"/>
      <c r="Y36" s="29"/>
      <c r="Z36" s="29" t="s">
        <v>149</v>
      </c>
      <c r="AA36" s="29" t="s">
        <v>150</v>
      </c>
      <c r="AB36" s="29" t="s">
        <v>77</v>
      </c>
      <c r="AC36" s="58" t="s">
        <v>78</v>
      </c>
    </row>
    <row r="37" spans="1:29" x14ac:dyDescent="0.25">
      <c r="A37" s="55" t="s">
        <v>32</v>
      </c>
      <c r="B37" s="29" t="s">
        <v>98</v>
      </c>
      <c r="C37" s="29" t="s">
        <v>53</v>
      </c>
      <c r="D37" s="29" t="s">
        <v>12</v>
      </c>
      <c r="E37" s="29" t="s">
        <v>86</v>
      </c>
      <c r="F37" s="29" t="s">
        <v>87</v>
      </c>
      <c r="G37" s="29" t="s">
        <v>53</v>
      </c>
      <c r="H37" s="29" t="s">
        <v>35</v>
      </c>
      <c r="I37" s="29" t="s">
        <v>152</v>
      </c>
      <c r="J37" s="29" t="s">
        <v>153</v>
      </c>
      <c r="K37" s="29" t="s">
        <v>154</v>
      </c>
      <c r="L37" s="29" t="s">
        <v>75</v>
      </c>
      <c r="M37" s="53" t="s">
        <v>100</v>
      </c>
      <c r="N37" s="29" t="s">
        <v>111</v>
      </c>
      <c r="O37" s="29" t="s">
        <v>38</v>
      </c>
      <c r="P37" s="29" t="s">
        <v>34</v>
      </c>
      <c r="Q37" s="29" t="s">
        <v>35</v>
      </c>
      <c r="R37" s="29" t="s">
        <v>35</v>
      </c>
      <c r="S37" s="36" t="s">
        <v>155</v>
      </c>
      <c r="T37" s="36" t="s">
        <v>156</v>
      </c>
      <c r="U37" s="36" t="s">
        <v>157</v>
      </c>
      <c r="V37" s="54" t="s">
        <v>158</v>
      </c>
      <c r="W37" s="29" t="s">
        <v>76</v>
      </c>
      <c r="X37" s="29"/>
      <c r="Y37" s="29"/>
      <c r="Z37" s="29" t="s">
        <v>149</v>
      </c>
      <c r="AA37" s="29" t="s">
        <v>150</v>
      </c>
      <c r="AB37" s="29" t="s">
        <v>77</v>
      </c>
      <c r="AC37" s="58" t="s">
        <v>78</v>
      </c>
    </row>
    <row r="38" spans="1:29" x14ac:dyDescent="0.25">
      <c r="A38" s="55" t="s">
        <v>32</v>
      </c>
      <c r="B38" s="29" t="s">
        <v>98</v>
      </c>
      <c r="C38" s="29" t="s">
        <v>53</v>
      </c>
      <c r="D38" s="29" t="s">
        <v>12</v>
      </c>
      <c r="E38" s="29" t="s">
        <v>86</v>
      </c>
      <c r="F38" s="29" t="s">
        <v>87</v>
      </c>
      <c r="G38" s="29" t="s">
        <v>53</v>
      </c>
      <c r="H38" s="29" t="s">
        <v>35</v>
      </c>
      <c r="I38" s="29" t="s">
        <v>152</v>
      </c>
      <c r="J38" s="29" t="s">
        <v>153</v>
      </c>
      <c r="K38" s="29" t="s">
        <v>154</v>
      </c>
      <c r="L38" s="29" t="s">
        <v>75</v>
      </c>
      <c r="M38" s="53" t="s">
        <v>100</v>
      </c>
      <c r="N38" s="29" t="s">
        <v>111</v>
      </c>
      <c r="O38" s="29" t="s">
        <v>117</v>
      </c>
      <c r="P38" s="29" t="s">
        <v>118</v>
      </c>
      <c r="Q38" s="29" t="s">
        <v>35</v>
      </c>
      <c r="R38" s="29" t="s">
        <v>35</v>
      </c>
      <c r="S38" s="36" t="s">
        <v>155</v>
      </c>
      <c r="T38" s="36" t="s">
        <v>156</v>
      </c>
      <c r="U38" s="36" t="s">
        <v>157</v>
      </c>
      <c r="V38" s="54" t="s">
        <v>158</v>
      </c>
      <c r="W38" s="29" t="s">
        <v>76</v>
      </c>
      <c r="X38" s="29"/>
      <c r="Y38" s="29"/>
      <c r="Z38" s="29" t="s">
        <v>149</v>
      </c>
      <c r="AA38" s="29" t="s">
        <v>150</v>
      </c>
      <c r="AB38" s="29" t="s">
        <v>77</v>
      </c>
      <c r="AC38" s="58" t="s">
        <v>78</v>
      </c>
    </row>
    <row r="39" spans="1:29" x14ac:dyDescent="0.25">
      <c r="A39" s="55" t="s">
        <v>32</v>
      </c>
      <c r="B39" s="29" t="s">
        <v>98</v>
      </c>
      <c r="C39" s="29" t="s">
        <v>53</v>
      </c>
      <c r="D39" s="29" t="s">
        <v>12</v>
      </c>
      <c r="E39" s="29" t="s">
        <v>86</v>
      </c>
      <c r="F39" s="29" t="s">
        <v>87</v>
      </c>
      <c r="G39" s="29" t="s">
        <v>53</v>
      </c>
      <c r="H39" s="29" t="s">
        <v>35</v>
      </c>
      <c r="I39" s="29" t="s">
        <v>152</v>
      </c>
      <c r="J39" s="29" t="s">
        <v>153</v>
      </c>
      <c r="K39" s="29" t="s">
        <v>154</v>
      </c>
      <c r="L39" s="29" t="s">
        <v>75</v>
      </c>
      <c r="M39" s="53" t="s">
        <v>100</v>
      </c>
      <c r="N39" s="29" t="s">
        <v>111</v>
      </c>
      <c r="O39" s="29" t="s">
        <v>36</v>
      </c>
      <c r="P39" s="29" t="s">
        <v>34</v>
      </c>
      <c r="Q39" s="29" t="s">
        <v>35</v>
      </c>
      <c r="R39" s="29" t="s">
        <v>35</v>
      </c>
      <c r="S39" s="36" t="s">
        <v>155</v>
      </c>
      <c r="T39" s="36" t="s">
        <v>156</v>
      </c>
      <c r="U39" s="36" t="s">
        <v>157</v>
      </c>
      <c r="V39" s="54" t="s">
        <v>158</v>
      </c>
      <c r="W39" s="29" t="s">
        <v>76</v>
      </c>
      <c r="X39" s="29"/>
      <c r="Y39" s="29"/>
      <c r="Z39" s="29" t="s">
        <v>149</v>
      </c>
      <c r="AA39" s="29" t="s">
        <v>150</v>
      </c>
      <c r="AB39" s="29" t="s">
        <v>77</v>
      </c>
      <c r="AC39" s="58" t="s">
        <v>78</v>
      </c>
    </row>
    <row r="40" spans="1:29" x14ac:dyDescent="0.25">
      <c r="A40" s="55" t="s">
        <v>32</v>
      </c>
      <c r="B40" s="29" t="s">
        <v>98</v>
      </c>
      <c r="C40" s="29" t="s">
        <v>53</v>
      </c>
      <c r="D40" s="29" t="s">
        <v>12</v>
      </c>
      <c r="E40" s="29" t="s">
        <v>86</v>
      </c>
      <c r="F40" s="29" t="s">
        <v>87</v>
      </c>
      <c r="G40" s="29" t="s">
        <v>53</v>
      </c>
      <c r="H40" s="29" t="s">
        <v>35</v>
      </c>
      <c r="I40" s="29" t="s">
        <v>152</v>
      </c>
      <c r="J40" s="29" t="s">
        <v>153</v>
      </c>
      <c r="K40" s="29" t="s">
        <v>154</v>
      </c>
      <c r="L40" s="29" t="s">
        <v>75</v>
      </c>
      <c r="M40" s="53" t="s">
        <v>100</v>
      </c>
      <c r="N40" s="29" t="s">
        <v>111</v>
      </c>
      <c r="O40" s="29" t="s">
        <v>42</v>
      </c>
      <c r="P40" s="29" t="s">
        <v>34</v>
      </c>
      <c r="Q40" s="29" t="s">
        <v>35</v>
      </c>
      <c r="R40" s="29" t="s">
        <v>35</v>
      </c>
      <c r="S40" s="36" t="s">
        <v>155</v>
      </c>
      <c r="T40" s="36" t="s">
        <v>156</v>
      </c>
      <c r="U40" s="36" t="s">
        <v>157</v>
      </c>
      <c r="V40" s="54" t="s">
        <v>158</v>
      </c>
      <c r="W40" s="29" t="s">
        <v>76</v>
      </c>
      <c r="X40" s="29"/>
      <c r="Y40" s="29"/>
      <c r="Z40" s="29" t="s">
        <v>149</v>
      </c>
      <c r="AA40" s="29" t="s">
        <v>150</v>
      </c>
      <c r="AB40" s="29" t="s">
        <v>77</v>
      </c>
      <c r="AC40" s="58" t="s">
        <v>78</v>
      </c>
    </row>
    <row r="41" spans="1:29" x14ac:dyDescent="0.25">
      <c r="A41" s="55" t="s">
        <v>32</v>
      </c>
      <c r="B41" s="29" t="s">
        <v>98</v>
      </c>
      <c r="C41" s="29" t="s">
        <v>53</v>
      </c>
      <c r="D41" s="29" t="s">
        <v>12</v>
      </c>
      <c r="E41" s="29" t="s">
        <v>86</v>
      </c>
      <c r="F41" s="29" t="s">
        <v>87</v>
      </c>
      <c r="G41" s="29" t="s">
        <v>53</v>
      </c>
      <c r="H41" s="29" t="s">
        <v>35</v>
      </c>
      <c r="I41" s="29" t="s">
        <v>152</v>
      </c>
      <c r="J41" s="29" t="s">
        <v>153</v>
      </c>
      <c r="K41" s="29" t="s">
        <v>154</v>
      </c>
      <c r="L41" s="29" t="s">
        <v>75</v>
      </c>
      <c r="M41" s="53" t="s">
        <v>100</v>
      </c>
      <c r="N41" s="29" t="s">
        <v>111</v>
      </c>
      <c r="O41" s="29" t="s">
        <v>43</v>
      </c>
      <c r="P41" s="29" t="s">
        <v>118</v>
      </c>
      <c r="Q41" s="29" t="s">
        <v>35</v>
      </c>
      <c r="R41" s="29" t="s">
        <v>35</v>
      </c>
      <c r="S41" s="36" t="s">
        <v>155</v>
      </c>
      <c r="T41" s="36" t="s">
        <v>156</v>
      </c>
      <c r="U41" s="36" t="s">
        <v>157</v>
      </c>
      <c r="V41" s="54" t="s">
        <v>158</v>
      </c>
      <c r="W41" s="29" t="s">
        <v>76</v>
      </c>
      <c r="X41" s="29"/>
      <c r="Y41" s="29"/>
      <c r="Z41" s="29" t="s">
        <v>149</v>
      </c>
      <c r="AA41" s="29" t="s">
        <v>150</v>
      </c>
      <c r="AB41" s="29" t="s">
        <v>77</v>
      </c>
      <c r="AC41" s="58" t="s">
        <v>78</v>
      </c>
    </row>
    <row r="42" spans="1:29" x14ac:dyDescent="0.25">
      <c r="A42" s="55" t="s">
        <v>32</v>
      </c>
      <c r="B42" s="29" t="s">
        <v>98</v>
      </c>
      <c r="C42" s="29" t="s">
        <v>53</v>
      </c>
      <c r="D42" s="29" t="s">
        <v>12</v>
      </c>
      <c r="E42" s="29" t="s">
        <v>86</v>
      </c>
      <c r="F42" s="29" t="s">
        <v>87</v>
      </c>
      <c r="G42" s="29" t="s">
        <v>53</v>
      </c>
      <c r="H42" s="29" t="s">
        <v>35</v>
      </c>
      <c r="I42" s="29" t="s">
        <v>152</v>
      </c>
      <c r="J42" s="29" t="s">
        <v>153</v>
      </c>
      <c r="K42" s="29" t="s">
        <v>154</v>
      </c>
      <c r="L42" s="29" t="s">
        <v>75</v>
      </c>
      <c r="M42" s="53" t="s">
        <v>100</v>
      </c>
      <c r="N42" s="29" t="s">
        <v>111</v>
      </c>
      <c r="O42" s="29" t="s">
        <v>41</v>
      </c>
      <c r="P42" s="29" t="s">
        <v>118</v>
      </c>
      <c r="Q42" s="29" t="s">
        <v>35</v>
      </c>
      <c r="R42" s="29" t="s">
        <v>35</v>
      </c>
      <c r="S42" s="36" t="s">
        <v>155</v>
      </c>
      <c r="T42" s="36" t="s">
        <v>156</v>
      </c>
      <c r="U42" s="36" t="s">
        <v>157</v>
      </c>
      <c r="V42" s="54" t="s">
        <v>158</v>
      </c>
      <c r="W42" s="29" t="s">
        <v>76</v>
      </c>
      <c r="X42" s="29"/>
      <c r="Y42" s="29"/>
      <c r="Z42" s="29" t="s">
        <v>149</v>
      </c>
      <c r="AA42" s="29" t="s">
        <v>150</v>
      </c>
      <c r="AB42" s="29" t="s">
        <v>77</v>
      </c>
      <c r="AC42" s="58" t="s">
        <v>78</v>
      </c>
    </row>
    <row r="43" spans="1:29" x14ac:dyDescent="0.25">
      <c r="A43" s="55" t="s">
        <v>32</v>
      </c>
      <c r="B43" s="29" t="s">
        <v>98</v>
      </c>
      <c r="C43" s="29" t="s">
        <v>53</v>
      </c>
      <c r="D43" s="29" t="s">
        <v>12</v>
      </c>
      <c r="E43" s="29" t="s">
        <v>86</v>
      </c>
      <c r="F43" s="29" t="s">
        <v>87</v>
      </c>
      <c r="G43" s="29" t="s">
        <v>53</v>
      </c>
      <c r="H43" s="29" t="s">
        <v>35</v>
      </c>
      <c r="I43" s="29" t="s">
        <v>152</v>
      </c>
      <c r="J43" s="29" t="s">
        <v>153</v>
      </c>
      <c r="K43" s="29" t="s">
        <v>154</v>
      </c>
      <c r="L43" s="29" t="s">
        <v>75</v>
      </c>
      <c r="M43" s="53" t="s">
        <v>100</v>
      </c>
      <c r="N43" s="29" t="s">
        <v>111</v>
      </c>
      <c r="O43" s="29" t="s">
        <v>40</v>
      </c>
      <c r="P43" s="29" t="s">
        <v>118</v>
      </c>
      <c r="Q43" s="29" t="s">
        <v>35</v>
      </c>
      <c r="R43" s="29" t="s">
        <v>35</v>
      </c>
      <c r="S43" s="36" t="s">
        <v>155</v>
      </c>
      <c r="T43" s="36" t="s">
        <v>156</v>
      </c>
      <c r="U43" s="36" t="s">
        <v>157</v>
      </c>
      <c r="V43" s="54" t="s">
        <v>158</v>
      </c>
      <c r="W43" s="29" t="s">
        <v>76</v>
      </c>
      <c r="X43" s="29"/>
      <c r="Y43" s="29"/>
      <c r="Z43" s="29" t="s">
        <v>149</v>
      </c>
      <c r="AA43" s="29" t="s">
        <v>150</v>
      </c>
      <c r="AB43" s="29" t="s">
        <v>77</v>
      </c>
      <c r="AC43" s="58" t="s">
        <v>78</v>
      </c>
    </row>
    <row r="44" spans="1:29" x14ac:dyDescent="0.25">
      <c r="A44" s="55" t="s">
        <v>32</v>
      </c>
      <c r="B44" s="29" t="s">
        <v>98</v>
      </c>
      <c r="C44" s="29" t="s">
        <v>53</v>
      </c>
      <c r="D44" s="29" t="s">
        <v>12</v>
      </c>
      <c r="E44" s="29" t="s">
        <v>86</v>
      </c>
      <c r="F44" s="29" t="s">
        <v>87</v>
      </c>
      <c r="G44" s="29" t="s">
        <v>53</v>
      </c>
      <c r="H44" s="29" t="s">
        <v>35</v>
      </c>
      <c r="I44" s="29" t="s">
        <v>152</v>
      </c>
      <c r="J44" s="29" t="s">
        <v>153</v>
      </c>
      <c r="K44" s="29" t="s">
        <v>154</v>
      </c>
      <c r="L44" s="29" t="s">
        <v>75</v>
      </c>
      <c r="M44" s="53" t="s">
        <v>100</v>
      </c>
      <c r="N44" s="29" t="s">
        <v>111</v>
      </c>
      <c r="O44" s="29" t="s">
        <v>39</v>
      </c>
      <c r="P44" s="29" t="s">
        <v>118</v>
      </c>
      <c r="Q44" s="29" t="s">
        <v>35</v>
      </c>
      <c r="R44" s="29" t="s">
        <v>35</v>
      </c>
      <c r="S44" s="36" t="s">
        <v>155</v>
      </c>
      <c r="T44" s="36" t="s">
        <v>156</v>
      </c>
      <c r="U44" s="36" t="s">
        <v>157</v>
      </c>
      <c r="V44" s="54" t="s">
        <v>158</v>
      </c>
      <c r="W44" s="29" t="s">
        <v>76</v>
      </c>
      <c r="X44" s="29"/>
      <c r="Y44" s="29"/>
      <c r="Z44" s="29" t="s">
        <v>149</v>
      </c>
      <c r="AA44" s="29" t="s">
        <v>150</v>
      </c>
      <c r="AB44" s="29" t="s">
        <v>77</v>
      </c>
      <c r="AC44" s="58" t="s">
        <v>78</v>
      </c>
    </row>
    <row r="45" spans="1:29" x14ac:dyDescent="0.25">
      <c r="A45" s="55" t="s">
        <v>32</v>
      </c>
      <c r="B45" s="29" t="s">
        <v>98</v>
      </c>
      <c r="C45" s="29" t="s">
        <v>53</v>
      </c>
      <c r="D45" s="29" t="s">
        <v>12</v>
      </c>
      <c r="E45" s="29" t="s">
        <v>86</v>
      </c>
      <c r="F45" s="29" t="s">
        <v>87</v>
      </c>
      <c r="G45" s="29" t="s">
        <v>53</v>
      </c>
      <c r="H45" s="29" t="s">
        <v>35</v>
      </c>
      <c r="I45" s="29" t="s">
        <v>152</v>
      </c>
      <c r="J45" s="29" t="s">
        <v>153</v>
      </c>
      <c r="K45" s="29" t="s">
        <v>154</v>
      </c>
      <c r="L45" s="29" t="s">
        <v>75</v>
      </c>
      <c r="M45" s="53" t="s">
        <v>100</v>
      </c>
      <c r="N45" s="29" t="s">
        <v>111</v>
      </c>
      <c r="O45" s="29" t="s">
        <v>90</v>
      </c>
      <c r="P45" s="29" t="s">
        <v>34</v>
      </c>
      <c r="Q45" s="29" t="s">
        <v>35</v>
      </c>
      <c r="R45" s="29" t="s">
        <v>35</v>
      </c>
      <c r="S45" s="36" t="s">
        <v>155</v>
      </c>
      <c r="T45" s="36" t="s">
        <v>156</v>
      </c>
      <c r="U45" s="36" t="s">
        <v>157</v>
      </c>
      <c r="V45" s="54" t="s">
        <v>158</v>
      </c>
      <c r="W45" s="29" t="s">
        <v>76</v>
      </c>
      <c r="X45" s="29"/>
      <c r="Y45" s="29"/>
      <c r="Z45" s="29" t="s">
        <v>149</v>
      </c>
      <c r="AA45" s="29" t="s">
        <v>150</v>
      </c>
      <c r="AB45" s="29" t="s">
        <v>77</v>
      </c>
      <c r="AC45" s="58" t="s">
        <v>78</v>
      </c>
    </row>
    <row r="46" spans="1:29" x14ac:dyDescent="0.25">
      <c r="A46" s="55" t="s">
        <v>32</v>
      </c>
      <c r="B46" s="29" t="s">
        <v>98</v>
      </c>
      <c r="C46" s="29" t="s">
        <v>53</v>
      </c>
      <c r="D46" s="29" t="s">
        <v>12</v>
      </c>
      <c r="E46" s="29" t="s">
        <v>86</v>
      </c>
      <c r="F46" s="29" t="s">
        <v>87</v>
      </c>
      <c r="G46" s="29" t="s">
        <v>53</v>
      </c>
      <c r="H46" s="29" t="s">
        <v>35</v>
      </c>
      <c r="I46" s="29" t="s">
        <v>152</v>
      </c>
      <c r="J46" s="29" t="s">
        <v>153</v>
      </c>
      <c r="K46" s="29" t="s">
        <v>154</v>
      </c>
      <c r="L46" s="29" t="s">
        <v>75</v>
      </c>
      <c r="M46" s="53" t="s">
        <v>100</v>
      </c>
      <c r="N46" s="29" t="s">
        <v>111</v>
      </c>
      <c r="O46" s="29" t="s">
        <v>91</v>
      </c>
      <c r="P46" s="29" t="s">
        <v>34</v>
      </c>
      <c r="Q46" s="29" t="s">
        <v>35</v>
      </c>
      <c r="R46" s="29" t="s">
        <v>35</v>
      </c>
      <c r="S46" s="36" t="s">
        <v>155</v>
      </c>
      <c r="T46" s="36" t="s">
        <v>156</v>
      </c>
      <c r="U46" s="36" t="s">
        <v>157</v>
      </c>
      <c r="V46" s="54" t="s">
        <v>158</v>
      </c>
      <c r="W46" s="29" t="s">
        <v>76</v>
      </c>
      <c r="X46" s="29"/>
      <c r="Y46" s="29"/>
      <c r="Z46" s="29" t="s">
        <v>149</v>
      </c>
      <c r="AA46" s="29" t="s">
        <v>150</v>
      </c>
      <c r="AB46" s="29" t="s">
        <v>77</v>
      </c>
      <c r="AC46" s="58" t="s">
        <v>78</v>
      </c>
    </row>
    <row r="47" spans="1:29" x14ac:dyDescent="0.25">
      <c r="A47" s="55" t="s">
        <v>32</v>
      </c>
      <c r="B47" s="29" t="s">
        <v>98</v>
      </c>
      <c r="C47" s="29" t="s">
        <v>53</v>
      </c>
      <c r="D47" s="29" t="s">
        <v>12</v>
      </c>
      <c r="E47" s="29" t="s">
        <v>86</v>
      </c>
      <c r="F47" s="29" t="s">
        <v>87</v>
      </c>
      <c r="G47" s="29" t="s">
        <v>53</v>
      </c>
      <c r="H47" s="29" t="s">
        <v>35</v>
      </c>
      <c r="I47" s="29" t="s">
        <v>152</v>
      </c>
      <c r="J47" s="29" t="s">
        <v>153</v>
      </c>
      <c r="K47" s="29" t="s">
        <v>154</v>
      </c>
      <c r="L47" s="29" t="s">
        <v>75</v>
      </c>
      <c r="M47" s="53" t="s">
        <v>100</v>
      </c>
      <c r="N47" s="29" t="s">
        <v>111</v>
      </c>
      <c r="O47" s="29" t="s">
        <v>92</v>
      </c>
      <c r="P47" s="29" t="s">
        <v>34</v>
      </c>
      <c r="Q47" s="29" t="s">
        <v>35</v>
      </c>
      <c r="R47" s="29" t="s">
        <v>35</v>
      </c>
      <c r="S47" s="36" t="s">
        <v>155</v>
      </c>
      <c r="T47" s="36" t="s">
        <v>156</v>
      </c>
      <c r="U47" s="36" t="s">
        <v>157</v>
      </c>
      <c r="V47" s="54" t="s">
        <v>158</v>
      </c>
      <c r="W47" s="29" t="s">
        <v>76</v>
      </c>
      <c r="X47" s="29"/>
      <c r="Y47" s="29"/>
      <c r="Z47" s="29" t="s">
        <v>149</v>
      </c>
      <c r="AA47" s="29" t="s">
        <v>150</v>
      </c>
      <c r="AB47" s="29" t="s">
        <v>77</v>
      </c>
      <c r="AC47" s="58" t="s">
        <v>78</v>
      </c>
    </row>
    <row r="48" spans="1:29" x14ac:dyDescent="0.25">
      <c r="A48" s="55" t="s">
        <v>32</v>
      </c>
      <c r="B48" s="29" t="s">
        <v>98</v>
      </c>
      <c r="C48" s="29" t="s">
        <v>53</v>
      </c>
      <c r="D48" s="29" t="s">
        <v>12</v>
      </c>
      <c r="E48" s="29" t="s">
        <v>86</v>
      </c>
      <c r="F48" s="29" t="s">
        <v>87</v>
      </c>
      <c r="G48" s="29" t="s">
        <v>53</v>
      </c>
      <c r="H48" s="29" t="s">
        <v>35</v>
      </c>
      <c r="I48" s="29" t="s">
        <v>152</v>
      </c>
      <c r="J48" s="29" t="s">
        <v>153</v>
      </c>
      <c r="K48" s="29" t="s">
        <v>154</v>
      </c>
      <c r="L48" s="29" t="s">
        <v>75</v>
      </c>
      <c r="M48" s="53" t="s">
        <v>100</v>
      </c>
      <c r="N48" s="29" t="s">
        <v>111</v>
      </c>
      <c r="O48" s="29" t="s">
        <v>93</v>
      </c>
      <c r="P48" s="29" t="s">
        <v>34</v>
      </c>
      <c r="Q48" s="29" t="s">
        <v>35</v>
      </c>
      <c r="R48" s="29" t="s">
        <v>35</v>
      </c>
      <c r="S48" s="36" t="s">
        <v>155</v>
      </c>
      <c r="T48" s="36" t="s">
        <v>156</v>
      </c>
      <c r="U48" s="36" t="s">
        <v>157</v>
      </c>
      <c r="V48" s="54" t="s">
        <v>158</v>
      </c>
      <c r="W48" s="29" t="s">
        <v>76</v>
      </c>
      <c r="X48" s="29"/>
      <c r="Y48" s="29"/>
      <c r="Z48" s="29" t="s">
        <v>149</v>
      </c>
      <c r="AA48" s="29" t="s">
        <v>150</v>
      </c>
      <c r="AB48" s="29" t="s">
        <v>77</v>
      </c>
      <c r="AC48" s="58" t="s">
        <v>78</v>
      </c>
    </row>
    <row r="49" spans="1:29" x14ac:dyDescent="0.25">
      <c r="A49" s="55" t="s">
        <v>32</v>
      </c>
      <c r="B49" s="29" t="s">
        <v>98</v>
      </c>
      <c r="C49" s="29" t="s">
        <v>53</v>
      </c>
      <c r="D49" s="29" t="s">
        <v>12</v>
      </c>
      <c r="E49" s="29" t="s">
        <v>86</v>
      </c>
      <c r="F49" s="29" t="s">
        <v>87</v>
      </c>
      <c r="G49" s="29" t="s">
        <v>53</v>
      </c>
      <c r="H49" s="29" t="s">
        <v>35</v>
      </c>
      <c r="I49" s="29" t="s">
        <v>152</v>
      </c>
      <c r="J49" s="29" t="s">
        <v>153</v>
      </c>
      <c r="K49" s="29" t="s">
        <v>154</v>
      </c>
      <c r="L49" s="29" t="s">
        <v>75</v>
      </c>
      <c r="M49" s="53" t="s">
        <v>100</v>
      </c>
      <c r="N49" s="29" t="s">
        <v>111</v>
      </c>
      <c r="O49" s="29" t="s">
        <v>94</v>
      </c>
      <c r="P49" s="29" t="s">
        <v>34</v>
      </c>
      <c r="Q49" s="29" t="s">
        <v>35</v>
      </c>
      <c r="R49" s="29" t="s">
        <v>35</v>
      </c>
      <c r="S49" s="36" t="s">
        <v>155</v>
      </c>
      <c r="T49" s="36" t="s">
        <v>156</v>
      </c>
      <c r="U49" s="36" t="s">
        <v>157</v>
      </c>
      <c r="V49" s="54" t="s">
        <v>158</v>
      </c>
      <c r="W49" s="29" t="s">
        <v>76</v>
      </c>
      <c r="X49" s="29"/>
      <c r="Y49" s="29"/>
      <c r="Z49" s="29" t="s">
        <v>149</v>
      </c>
      <c r="AA49" s="29" t="s">
        <v>150</v>
      </c>
      <c r="AB49" s="29" t="s">
        <v>77</v>
      </c>
      <c r="AC49" s="58" t="s">
        <v>78</v>
      </c>
    </row>
    <row r="50" spans="1:29" x14ac:dyDescent="0.25">
      <c r="A50" s="55" t="s">
        <v>32</v>
      </c>
      <c r="B50" s="29" t="s">
        <v>98</v>
      </c>
      <c r="C50" s="29" t="s">
        <v>53</v>
      </c>
      <c r="D50" s="29" t="s">
        <v>12</v>
      </c>
      <c r="E50" s="29" t="s">
        <v>86</v>
      </c>
      <c r="F50" s="29" t="s">
        <v>87</v>
      </c>
      <c r="G50" s="29" t="s">
        <v>53</v>
      </c>
      <c r="H50" s="29" t="s">
        <v>35</v>
      </c>
      <c r="I50" s="29" t="s">
        <v>152</v>
      </c>
      <c r="J50" s="29" t="s">
        <v>153</v>
      </c>
      <c r="K50" s="29" t="s">
        <v>154</v>
      </c>
      <c r="L50" s="29" t="s">
        <v>75</v>
      </c>
      <c r="M50" s="53" t="s">
        <v>100</v>
      </c>
      <c r="N50" s="29" t="s">
        <v>111</v>
      </c>
      <c r="O50" s="29" t="s">
        <v>95</v>
      </c>
      <c r="P50" s="29" t="s">
        <v>34</v>
      </c>
      <c r="Q50" s="29" t="s">
        <v>35</v>
      </c>
      <c r="R50" s="29" t="s">
        <v>35</v>
      </c>
      <c r="S50" s="36" t="s">
        <v>155</v>
      </c>
      <c r="T50" s="36" t="s">
        <v>156</v>
      </c>
      <c r="U50" s="36" t="s">
        <v>157</v>
      </c>
      <c r="V50" s="54" t="s">
        <v>158</v>
      </c>
      <c r="W50" s="29" t="s">
        <v>76</v>
      </c>
      <c r="X50" s="29"/>
      <c r="Y50" s="29"/>
      <c r="Z50" s="29" t="s">
        <v>149</v>
      </c>
      <c r="AA50" s="29" t="s">
        <v>150</v>
      </c>
      <c r="AB50" s="29" t="s">
        <v>77</v>
      </c>
      <c r="AC50" s="58" t="s">
        <v>78</v>
      </c>
    </row>
    <row r="51" spans="1:29" x14ac:dyDescent="0.25">
      <c r="A51" s="55" t="s">
        <v>32</v>
      </c>
      <c r="B51" s="29" t="s">
        <v>98</v>
      </c>
      <c r="C51" s="29" t="s">
        <v>53</v>
      </c>
      <c r="D51" s="29" t="s">
        <v>12</v>
      </c>
      <c r="E51" s="29" t="s">
        <v>86</v>
      </c>
      <c r="F51" s="29" t="s">
        <v>87</v>
      </c>
      <c r="G51" s="29" t="s">
        <v>53</v>
      </c>
      <c r="H51" s="29" t="s">
        <v>35</v>
      </c>
      <c r="I51" s="29" t="s">
        <v>152</v>
      </c>
      <c r="J51" s="29" t="s">
        <v>153</v>
      </c>
      <c r="K51" s="29" t="s">
        <v>154</v>
      </c>
      <c r="L51" s="29" t="s">
        <v>75</v>
      </c>
      <c r="M51" s="53" t="s">
        <v>100</v>
      </c>
      <c r="N51" s="29" t="s">
        <v>111</v>
      </c>
      <c r="O51" s="29" t="s">
        <v>96</v>
      </c>
      <c r="P51" s="29" t="s">
        <v>34</v>
      </c>
      <c r="Q51" s="29" t="s">
        <v>35</v>
      </c>
      <c r="R51" s="29" t="s">
        <v>35</v>
      </c>
      <c r="S51" s="36" t="s">
        <v>155</v>
      </c>
      <c r="T51" s="36" t="s">
        <v>156</v>
      </c>
      <c r="U51" s="36" t="s">
        <v>157</v>
      </c>
      <c r="V51" s="54" t="s">
        <v>158</v>
      </c>
      <c r="W51" s="29" t="s">
        <v>76</v>
      </c>
      <c r="X51" s="29"/>
      <c r="Y51" s="29"/>
      <c r="Z51" s="29" t="s">
        <v>149</v>
      </c>
      <c r="AA51" s="29" t="s">
        <v>150</v>
      </c>
      <c r="AB51" s="29" t="s">
        <v>77</v>
      </c>
      <c r="AC51" s="58" t="s">
        <v>78</v>
      </c>
    </row>
    <row r="52" spans="1:29" x14ac:dyDescent="0.25">
      <c r="A52" s="55" t="s">
        <v>32</v>
      </c>
      <c r="B52" s="29" t="s">
        <v>98</v>
      </c>
      <c r="C52" s="29" t="s">
        <v>53</v>
      </c>
      <c r="D52" s="29" t="s">
        <v>12</v>
      </c>
      <c r="E52" s="29" t="s">
        <v>86</v>
      </c>
      <c r="F52" s="29" t="s">
        <v>87</v>
      </c>
      <c r="G52" s="29" t="s">
        <v>53</v>
      </c>
      <c r="H52" s="29" t="s">
        <v>35</v>
      </c>
      <c r="I52" s="29" t="s">
        <v>152</v>
      </c>
      <c r="J52" s="29" t="s">
        <v>153</v>
      </c>
      <c r="K52" s="29" t="s">
        <v>154</v>
      </c>
      <c r="L52" s="29" t="s">
        <v>75</v>
      </c>
      <c r="M52" s="53" t="s">
        <v>100</v>
      </c>
      <c r="N52" s="29" t="s">
        <v>111</v>
      </c>
      <c r="O52" s="29" t="s">
        <v>119</v>
      </c>
      <c r="P52" s="29" t="s">
        <v>12</v>
      </c>
      <c r="Q52" s="29" t="s">
        <v>35</v>
      </c>
      <c r="R52" s="29" t="s">
        <v>35</v>
      </c>
      <c r="S52" s="36" t="s">
        <v>155</v>
      </c>
      <c r="T52" s="36" t="s">
        <v>156</v>
      </c>
      <c r="U52" s="36" t="s">
        <v>157</v>
      </c>
      <c r="V52" s="54" t="s">
        <v>158</v>
      </c>
      <c r="W52" s="29" t="s">
        <v>76</v>
      </c>
      <c r="X52" s="29"/>
      <c r="Y52" s="29"/>
      <c r="Z52" s="29" t="s">
        <v>149</v>
      </c>
      <c r="AA52" s="29" t="s">
        <v>150</v>
      </c>
      <c r="AB52" s="29" t="s">
        <v>77</v>
      </c>
      <c r="AC52" s="58" t="s">
        <v>78</v>
      </c>
    </row>
    <row r="53" spans="1:29" x14ac:dyDescent="0.25">
      <c r="A53" s="55" t="s">
        <v>32</v>
      </c>
      <c r="B53" s="29" t="s">
        <v>98</v>
      </c>
      <c r="C53" s="29" t="s">
        <v>53</v>
      </c>
      <c r="D53" s="29" t="s">
        <v>12</v>
      </c>
      <c r="E53" s="29" t="s">
        <v>86</v>
      </c>
      <c r="F53" s="29" t="s">
        <v>87</v>
      </c>
      <c r="G53" s="29" t="s">
        <v>53</v>
      </c>
      <c r="H53" s="29" t="s">
        <v>35</v>
      </c>
      <c r="I53" s="29" t="s">
        <v>152</v>
      </c>
      <c r="J53" s="29" t="s">
        <v>153</v>
      </c>
      <c r="K53" s="29" t="s">
        <v>154</v>
      </c>
      <c r="L53" s="29" t="s">
        <v>75</v>
      </c>
      <c r="M53" s="53" t="s">
        <v>100</v>
      </c>
      <c r="N53" s="29" t="s">
        <v>111</v>
      </c>
      <c r="O53" s="29" t="s">
        <v>159</v>
      </c>
      <c r="P53" s="29" t="s">
        <v>34</v>
      </c>
      <c r="Q53" s="29" t="s">
        <v>35</v>
      </c>
      <c r="R53" s="29" t="s">
        <v>35</v>
      </c>
      <c r="S53" s="36" t="s">
        <v>155</v>
      </c>
      <c r="T53" s="36" t="s">
        <v>156</v>
      </c>
      <c r="U53" s="36" t="s">
        <v>157</v>
      </c>
      <c r="V53" s="54" t="s">
        <v>158</v>
      </c>
      <c r="W53" s="29" t="s">
        <v>76</v>
      </c>
      <c r="X53" s="29"/>
      <c r="Y53" s="29"/>
      <c r="Z53" s="29" t="s">
        <v>149</v>
      </c>
      <c r="AA53" s="29" t="s">
        <v>150</v>
      </c>
      <c r="AB53" s="29" t="s">
        <v>77</v>
      </c>
      <c r="AC53" s="58" t="s">
        <v>78</v>
      </c>
    </row>
    <row r="54" spans="1:29" x14ac:dyDescent="0.25">
      <c r="A54" s="55" t="s">
        <v>32</v>
      </c>
      <c r="B54" s="29" t="s">
        <v>98</v>
      </c>
      <c r="C54" s="29" t="s">
        <v>53</v>
      </c>
      <c r="D54" s="29" t="s">
        <v>12</v>
      </c>
      <c r="E54" s="29" t="s">
        <v>86</v>
      </c>
      <c r="F54" s="29" t="s">
        <v>87</v>
      </c>
      <c r="G54" s="29" t="s">
        <v>53</v>
      </c>
      <c r="H54" s="29" t="s">
        <v>35</v>
      </c>
      <c r="I54" s="29" t="s">
        <v>152</v>
      </c>
      <c r="J54" s="29" t="s">
        <v>153</v>
      </c>
      <c r="K54" s="29" t="s">
        <v>154</v>
      </c>
      <c r="L54" s="29" t="s">
        <v>75</v>
      </c>
      <c r="M54" s="53" t="s">
        <v>100</v>
      </c>
      <c r="N54" s="29" t="s">
        <v>111</v>
      </c>
      <c r="O54" s="29" t="s">
        <v>160</v>
      </c>
      <c r="P54" s="29" t="s">
        <v>118</v>
      </c>
      <c r="Q54" s="29" t="s">
        <v>35</v>
      </c>
      <c r="R54" s="29" t="s">
        <v>35</v>
      </c>
      <c r="S54" s="36" t="s">
        <v>155</v>
      </c>
      <c r="T54" s="36" t="s">
        <v>156</v>
      </c>
      <c r="U54" s="36" t="s">
        <v>157</v>
      </c>
      <c r="V54" s="54" t="s">
        <v>158</v>
      </c>
      <c r="W54" s="29" t="s">
        <v>76</v>
      </c>
      <c r="X54" s="29"/>
      <c r="Y54" s="29"/>
      <c r="Z54" s="29" t="s">
        <v>149</v>
      </c>
      <c r="AA54" s="29" t="s">
        <v>150</v>
      </c>
      <c r="AB54" s="29" t="s">
        <v>77</v>
      </c>
      <c r="AC54" s="58" t="s">
        <v>78</v>
      </c>
    </row>
    <row r="55" spans="1:29" x14ac:dyDescent="0.25">
      <c r="A55" s="55" t="s">
        <v>32</v>
      </c>
      <c r="B55" s="29" t="s">
        <v>98</v>
      </c>
      <c r="C55" s="29" t="s">
        <v>53</v>
      </c>
      <c r="D55" s="29" t="s">
        <v>12</v>
      </c>
      <c r="E55" s="29" t="s">
        <v>86</v>
      </c>
      <c r="F55" s="29" t="s">
        <v>87</v>
      </c>
      <c r="G55" s="29" t="s">
        <v>53</v>
      </c>
      <c r="H55" s="29" t="s">
        <v>35</v>
      </c>
      <c r="I55" s="29" t="s">
        <v>152</v>
      </c>
      <c r="J55" s="29" t="s">
        <v>153</v>
      </c>
      <c r="K55" s="29" t="s">
        <v>154</v>
      </c>
      <c r="L55" s="29" t="s">
        <v>75</v>
      </c>
      <c r="M55" s="53" t="s">
        <v>100</v>
      </c>
      <c r="N55" s="29" t="s">
        <v>111</v>
      </c>
      <c r="O55" s="29" t="s">
        <v>125</v>
      </c>
      <c r="P55" s="29" t="s">
        <v>118</v>
      </c>
      <c r="Q55" s="29" t="s">
        <v>35</v>
      </c>
      <c r="R55" s="29" t="s">
        <v>35</v>
      </c>
      <c r="S55" s="36" t="s">
        <v>155</v>
      </c>
      <c r="T55" s="36" t="s">
        <v>156</v>
      </c>
      <c r="U55" s="36" t="s">
        <v>157</v>
      </c>
      <c r="V55" s="54" t="s">
        <v>158</v>
      </c>
      <c r="W55" s="29" t="s">
        <v>76</v>
      </c>
      <c r="X55" s="29"/>
      <c r="Y55" s="29"/>
      <c r="Z55" s="29" t="s">
        <v>149</v>
      </c>
      <c r="AA55" s="29" t="s">
        <v>150</v>
      </c>
      <c r="AB55" s="29" t="s">
        <v>77</v>
      </c>
      <c r="AC55" s="58" t="s">
        <v>78</v>
      </c>
    </row>
    <row r="56" spans="1:29" x14ac:dyDescent="0.25">
      <c r="A56" s="55" t="s">
        <v>32</v>
      </c>
      <c r="B56" s="29" t="s">
        <v>101</v>
      </c>
      <c r="C56" s="29" t="s">
        <v>54</v>
      </c>
      <c r="D56" s="29" t="s">
        <v>12</v>
      </c>
      <c r="E56" s="29" t="s">
        <v>86</v>
      </c>
      <c r="F56" s="29" t="s">
        <v>87</v>
      </c>
      <c r="G56" s="29" t="s">
        <v>101</v>
      </c>
      <c r="H56" s="29" t="s">
        <v>35</v>
      </c>
      <c r="I56" s="29" t="s">
        <v>161</v>
      </c>
      <c r="J56" s="29" t="s">
        <v>162</v>
      </c>
      <c r="K56" s="29" t="s">
        <v>99</v>
      </c>
      <c r="L56" s="29" t="s">
        <v>75</v>
      </c>
      <c r="M56" s="53" t="s">
        <v>100</v>
      </c>
      <c r="N56" s="29" t="s">
        <v>111</v>
      </c>
      <c r="O56" s="29" t="s">
        <v>112</v>
      </c>
      <c r="P56" s="29" t="s">
        <v>34</v>
      </c>
      <c r="Q56" s="29" t="s">
        <v>35</v>
      </c>
      <c r="R56" s="29" t="s">
        <v>35</v>
      </c>
      <c r="S56" s="36" t="s">
        <v>163</v>
      </c>
      <c r="T56" s="36" t="s">
        <v>164</v>
      </c>
      <c r="U56" s="36" t="s">
        <v>165</v>
      </c>
      <c r="V56" s="54" t="s">
        <v>166</v>
      </c>
      <c r="W56" s="29" t="s">
        <v>76</v>
      </c>
      <c r="X56" s="29"/>
      <c r="Y56" s="29"/>
      <c r="Z56" s="29" t="s">
        <v>167</v>
      </c>
      <c r="AA56" s="29" t="s">
        <v>168</v>
      </c>
      <c r="AB56" s="29" t="s">
        <v>77</v>
      </c>
      <c r="AC56" s="58" t="s">
        <v>78</v>
      </c>
    </row>
    <row r="57" spans="1:29" x14ac:dyDescent="0.25">
      <c r="A57" s="55" t="s">
        <v>32</v>
      </c>
      <c r="B57" s="29" t="s">
        <v>101</v>
      </c>
      <c r="C57" s="29" t="s">
        <v>54</v>
      </c>
      <c r="D57" s="29" t="s">
        <v>12</v>
      </c>
      <c r="E57" s="29" t="s">
        <v>86</v>
      </c>
      <c r="F57" s="29" t="s">
        <v>87</v>
      </c>
      <c r="G57" s="29" t="s">
        <v>101</v>
      </c>
      <c r="H57" s="29" t="s">
        <v>35</v>
      </c>
      <c r="I57" s="29" t="s">
        <v>161</v>
      </c>
      <c r="J57" s="29" t="s">
        <v>162</v>
      </c>
      <c r="K57" s="29" t="s">
        <v>99</v>
      </c>
      <c r="L57" s="29" t="s">
        <v>75</v>
      </c>
      <c r="M57" s="53" t="s">
        <v>100</v>
      </c>
      <c r="N57" s="29" t="s">
        <v>111</v>
      </c>
      <c r="O57" s="29" t="s">
        <v>44</v>
      </c>
      <c r="P57" s="29" t="s">
        <v>34</v>
      </c>
      <c r="Q57" s="29" t="s">
        <v>35</v>
      </c>
      <c r="R57" s="29" t="s">
        <v>35</v>
      </c>
      <c r="S57" s="36" t="s">
        <v>163</v>
      </c>
      <c r="T57" s="36" t="s">
        <v>164</v>
      </c>
      <c r="U57" s="36" t="s">
        <v>165</v>
      </c>
      <c r="V57" s="54" t="s">
        <v>166</v>
      </c>
      <c r="W57" s="29" t="s">
        <v>76</v>
      </c>
      <c r="X57" s="29"/>
      <c r="Y57" s="29"/>
      <c r="Z57" s="29" t="s">
        <v>167</v>
      </c>
      <c r="AA57" s="29" t="s">
        <v>168</v>
      </c>
      <c r="AB57" s="29" t="s">
        <v>77</v>
      </c>
      <c r="AC57" s="58" t="s">
        <v>78</v>
      </c>
    </row>
    <row r="58" spans="1:29" x14ac:dyDescent="0.25">
      <c r="A58" s="55" t="s">
        <v>32</v>
      </c>
      <c r="B58" s="29" t="s">
        <v>101</v>
      </c>
      <c r="C58" s="29" t="s">
        <v>54</v>
      </c>
      <c r="D58" s="29" t="s">
        <v>12</v>
      </c>
      <c r="E58" s="29" t="s">
        <v>86</v>
      </c>
      <c r="F58" s="29" t="s">
        <v>87</v>
      </c>
      <c r="G58" s="29" t="s">
        <v>101</v>
      </c>
      <c r="H58" s="29" t="s">
        <v>35</v>
      </c>
      <c r="I58" s="29" t="s">
        <v>161</v>
      </c>
      <c r="J58" s="29" t="s">
        <v>162</v>
      </c>
      <c r="K58" s="29" t="s">
        <v>99</v>
      </c>
      <c r="L58" s="29" t="s">
        <v>75</v>
      </c>
      <c r="M58" s="53" t="s">
        <v>100</v>
      </c>
      <c r="N58" s="29" t="s">
        <v>111</v>
      </c>
      <c r="O58" s="29" t="s">
        <v>37</v>
      </c>
      <c r="P58" s="29" t="s">
        <v>34</v>
      </c>
      <c r="Q58" s="29" t="s">
        <v>35</v>
      </c>
      <c r="R58" s="29" t="s">
        <v>35</v>
      </c>
      <c r="S58" s="36" t="s">
        <v>163</v>
      </c>
      <c r="T58" s="36" t="s">
        <v>164</v>
      </c>
      <c r="U58" s="36" t="s">
        <v>165</v>
      </c>
      <c r="V58" s="54" t="s">
        <v>166</v>
      </c>
      <c r="W58" s="29" t="s">
        <v>76</v>
      </c>
      <c r="X58" s="29"/>
      <c r="Y58" s="29"/>
      <c r="Z58" s="29" t="s">
        <v>167</v>
      </c>
      <c r="AA58" s="29" t="s">
        <v>168</v>
      </c>
      <c r="AB58" s="29" t="s">
        <v>77</v>
      </c>
      <c r="AC58" s="58" t="s">
        <v>78</v>
      </c>
    </row>
    <row r="59" spans="1:29" x14ac:dyDescent="0.25">
      <c r="A59" s="55" t="s">
        <v>32</v>
      </c>
      <c r="B59" s="29" t="s">
        <v>101</v>
      </c>
      <c r="C59" s="29" t="s">
        <v>54</v>
      </c>
      <c r="D59" s="29" t="s">
        <v>12</v>
      </c>
      <c r="E59" s="29" t="s">
        <v>86</v>
      </c>
      <c r="F59" s="29" t="s">
        <v>87</v>
      </c>
      <c r="G59" s="29" t="s">
        <v>101</v>
      </c>
      <c r="H59" s="29" t="s">
        <v>35</v>
      </c>
      <c r="I59" s="29" t="s">
        <v>161</v>
      </c>
      <c r="J59" s="29" t="s">
        <v>162</v>
      </c>
      <c r="K59" s="29" t="s">
        <v>99</v>
      </c>
      <c r="L59" s="29" t="s">
        <v>75</v>
      </c>
      <c r="M59" s="53" t="s">
        <v>100</v>
      </c>
      <c r="N59" s="29" t="s">
        <v>111</v>
      </c>
      <c r="O59" s="29" t="s">
        <v>89</v>
      </c>
      <c r="P59" s="29" t="s">
        <v>34</v>
      </c>
      <c r="Q59" s="29" t="s">
        <v>35</v>
      </c>
      <c r="R59" s="29" t="s">
        <v>35</v>
      </c>
      <c r="S59" s="36" t="s">
        <v>163</v>
      </c>
      <c r="T59" s="36" t="s">
        <v>164</v>
      </c>
      <c r="U59" s="36" t="s">
        <v>165</v>
      </c>
      <c r="V59" s="54" t="s">
        <v>166</v>
      </c>
      <c r="W59" s="29" t="s">
        <v>76</v>
      </c>
      <c r="X59" s="29"/>
      <c r="Y59" s="29"/>
      <c r="Z59" s="29" t="s">
        <v>167</v>
      </c>
      <c r="AA59" s="29" t="s">
        <v>168</v>
      </c>
      <c r="AB59" s="29" t="s">
        <v>77</v>
      </c>
      <c r="AC59" s="58" t="s">
        <v>78</v>
      </c>
    </row>
    <row r="60" spans="1:29" x14ac:dyDescent="0.25">
      <c r="A60" s="55" t="s">
        <v>32</v>
      </c>
      <c r="B60" s="29" t="s">
        <v>101</v>
      </c>
      <c r="C60" s="29" t="s">
        <v>54</v>
      </c>
      <c r="D60" s="29" t="s">
        <v>12</v>
      </c>
      <c r="E60" s="29" t="s">
        <v>86</v>
      </c>
      <c r="F60" s="29" t="s">
        <v>87</v>
      </c>
      <c r="G60" s="29" t="s">
        <v>101</v>
      </c>
      <c r="H60" s="29" t="s">
        <v>35</v>
      </c>
      <c r="I60" s="29" t="s">
        <v>161</v>
      </c>
      <c r="J60" s="29" t="s">
        <v>162</v>
      </c>
      <c r="K60" s="29" t="s">
        <v>99</v>
      </c>
      <c r="L60" s="29" t="s">
        <v>75</v>
      </c>
      <c r="M60" s="53" t="s">
        <v>100</v>
      </c>
      <c r="N60" s="29" t="s">
        <v>111</v>
      </c>
      <c r="O60" s="29" t="s">
        <v>38</v>
      </c>
      <c r="P60" s="29" t="s">
        <v>34</v>
      </c>
      <c r="Q60" s="29" t="s">
        <v>35</v>
      </c>
      <c r="R60" s="29" t="s">
        <v>35</v>
      </c>
      <c r="S60" s="36" t="s">
        <v>163</v>
      </c>
      <c r="T60" s="36" t="s">
        <v>164</v>
      </c>
      <c r="U60" s="36" t="s">
        <v>165</v>
      </c>
      <c r="V60" s="54" t="s">
        <v>166</v>
      </c>
      <c r="W60" s="29" t="s">
        <v>76</v>
      </c>
      <c r="X60" s="29"/>
      <c r="Y60" s="29"/>
      <c r="Z60" s="29" t="s">
        <v>167</v>
      </c>
      <c r="AA60" s="29" t="s">
        <v>168</v>
      </c>
      <c r="AB60" s="29" t="s">
        <v>77</v>
      </c>
      <c r="AC60" s="58" t="s">
        <v>78</v>
      </c>
    </row>
    <row r="61" spans="1:29" x14ac:dyDescent="0.25">
      <c r="A61" s="55" t="s">
        <v>32</v>
      </c>
      <c r="B61" s="29" t="s">
        <v>101</v>
      </c>
      <c r="C61" s="29" t="s">
        <v>54</v>
      </c>
      <c r="D61" s="29" t="s">
        <v>12</v>
      </c>
      <c r="E61" s="29" t="s">
        <v>86</v>
      </c>
      <c r="F61" s="29" t="s">
        <v>87</v>
      </c>
      <c r="G61" s="29" t="s">
        <v>101</v>
      </c>
      <c r="H61" s="29" t="s">
        <v>35</v>
      </c>
      <c r="I61" s="29" t="s">
        <v>161</v>
      </c>
      <c r="J61" s="29" t="s">
        <v>162</v>
      </c>
      <c r="K61" s="29" t="s">
        <v>99</v>
      </c>
      <c r="L61" s="29" t="s">
        <v>75</v>
      </c>
      <c r="M61" s="53" t="s">
        <v>100</v>
      </c>
      <c r="N61" s="29" t="s">
        <v>111</v>
      </c>
      <c r="O61" s="29" t="s">
        <v>117</v>
      </c>
      <c r="P61" s="29" t="s">
        <v>118</v>
      </c>
      <c r="Q61" s="29" t="s">
        <v>35</v>
      </c>
      <c r="R61" s="29" t="s">
        <v>35</v>
      </c>
      <c r="S61" s="36" t="s">
        <v>163</v>
      </c>
      <c r="T61" s="36" t="s">
        <v>164</v>
      </c>
      <c r="U61" s="36" t="s">
        <v>165</v>
      </c>
      <c r="V61" s="54" t="s">
        <v>166</v>
      </c>
      <c r="W61" s="29" t="s">
        <v>76</v>
      </c>
      <c r="X61" s="29"/>
      <c r="Y61" s="29"/>
      <c r="Z61" s="29" t="s">
        <v>167</v>
      </c>
      <c r="AA61" s="29" t="s">
        <v>168</v>
      </c>
      <c r="AB61" s="29" t="s">
        <v>77</v>
      </c>
      <c r="AC61" s="58" t="s">
        <v>78</v>
      </c>
    </row>
    <row r="62" spans="1:29" x14ac:dyDescent="0.25">
      <c r="A62" s="55" t="s">
        <v>32</v>
      </c>
      <c r="B62" s="29" t="s">
        <v>101</v>
      </c>
      <c r="C62" s="29" t="s">
        <v>54</v>
      </c>
      <c r="D62" s="29" t="s">
        <v>12</v>
      </c>
      <c r="E62" s="29" t="s">
        <v>86</v>
      </c>
      <c r="F62" s="29" t="s">
        <v>87</v>
      </c>
      <c r="G62" s="29" t="s">
        <v>101</v>
      </c>
      <c r="H62" s="29" t="s">
        <v>35</v>
      </c>
      <c r="I62" s="29" t="s">
        <v>161</v>
      </c>
      <c r="J62" s="29" t="s">
        <v>162</v>
      </c>
      <c r="K62" s="29" t="s">
        <v>99</v>
      </c>
      <c r="L62" s="29" t="s">
        <v>75</v>
      </c>
      <c r="M62" s="53" t="s">
        <v>100</v>
      </c>
      <c r="N62" s="29" t="s">
        <v>111</v>
      </c>
      <c r="O62" s="29" t="s">
        <v>36</v>
      </c>
      <c r="P62" s="29" t="s">
        <v>34</v>
      </c>
      <c r="Q62" s="29" t="s">
        <v>35</v>
      </c>
      <c r="R62" s="29" t="s">
        <v>35</v>
      </c>
      <c r="S62" s="36" t="s">
        <v>163</v>
      </c>
      <c r="T62" s="36" t="s">
        <v>164</v>
      </c>
      <c r="U62" s="36" t="s">
        <v>165</v>
      </c>
      <c r="V62" s="54" t="s">
        <v>166</v>
      </c>
      <c r="W62" s="29" t="s">
        <v>76</v>
      </c>
      <c r="X62" s="29"/>
      <c r="Y62" s="29"/>
      <c r="Z62" s="29" t="s">
        <v>167</v>
      </c>
      <c r="AA62" s="29" t="s">
        <v>168</v>
      </c>
      <c r="AB62" s="29" t="s">
        <v>77</v>
      </c>
      <c r="AC62" s="58" t="s">
        <v>78</v>
      </c>
    </row>
    <row r="63" spans="1:29" x14ac:dyDescent="0.25">
      <c r="A63" s="55" t="s">
        <v>32</v>
      </c>
      <c r="B63" s="29" t="s">
        <v>101</v>
      </c>
      <c r="C63" s="29" t="s">
        <v>54</v>
      </c>
      <c r="D63" s="29" t="s">
        <v>12</v>
      </c>
      <c r="E63" s="29" t="s">
        <v>86</v>
      </c>
      <c r="F63" s="29" t="s">
        <v>87</v>
      </c>
      <c r="G63" s="29" t="s">
        <v>101</v>
      </c>
      <c r="H63" s="29" t="s">
        <v>35</v>
      </c>
      <c r="I63" s="29" t="s">
        <v>161</v>
      </c>
      <c r="J63" s="29" t="s">
        <v>162</v>
      </c>
      <c r="K63" s="29" t="s">
        <v>99</v>
      </c>
      <c r="L63" s="29" t="s">
        <v>75</v>
      </c>
      <c r="M63" s="53" t="s">
        <v>100</v>
      </c>
      <c r="N63" s="29" t="s">
        <v>111</v>
      </c>
      <c r="O63" s="29" t="s">
        <v>42</v>
      </c>
      <c r="P63" s="29" t="s">
        <v>34</v>
      </c>
      <c r="Q63" s="29" t="s">
        <v>35</v>
      </c>
      <c r="R63" s="29" t="s">
        <v>35</v>
      </c>
      <c r="S63" s="36" t="s">
        <v>163</v>
      </c>
      <c r="T63" s="36" t="s">
        <v>164</v>
      </c>
      <c r="U63" s="36" t="s">
        <v>165</v>
      </c>
      <c r="V63" s="54" t="s">
        <v>166</v>
      </c>
      <c r="W63" s="29" t="s">
        <v>76</v>
      </c>
      <c r="X63" s="29"/>
      <c r="Y63" s="29"/>
      <c r="Z63" s="29" t="s">
        <v>167</v>
      </c>
      <c r="AA63" s="29" t="s">
        <v>168</v>
      </c>
      <c r="AB63" s="29" t="s">
        <v>77</v>
      </c>
      <c r="AC63" s="58" t="s">
        <v>78</v>
      </c>
    </row>
    <row r="64" spans="1:29" x14ac:dyDescent="0.25">
      <c r="A64" s="61" t="s">
        <v>32</v>
      </c>
      <c r="B64" s="63" t="s">
        <v>101</v>
      </c>
      <c r="C64" s="63" t="s">
        <v>54</v>
      </c>
      <c r="D64" s="63" t="s">
        <v>12</v>
      </c>
      <c r="E64" s="63" t="s">
        <v>86</v>
      </c>
      <c r="F64" s="63" t="s">
        <v>87</v>
      </c>
      <c r="G64" s="63" t="s">
        <v>101</v>
      </c>
      <c r="H64" s="63" t="s">
        <v>35</v>
      </c>
      <c r="I64" s="63" t="s">
        <v>161</v>
      </c>
      <c r="J64" s="63" t="s">
        <v>162</v>
      </c>
      <c r="K64" s="63" t="s">
        <v>99</v>
      </c>
      <c r="L64" s="63" t="s">
        <v>75</v>
      </c>
      <c r="M64" s="64" t="s">
        <v>100</v>
      </c>
      <c r="N64" s="63" t="s">
        <v>111</v>
      </c>
      <c r="O64" s="63" t="s">
        <v>43</v>
      </c>
      <c r="P64" s="29" t="s">
        <v>34</v>
      </c>
      <c r="Q64" s="29" t="s">
        <v>35</v>
      </c>
      <c r="R64" s="29" t="s">
        <v>35</v>
      </c>
      <c r="S64" s="36" t="s">
        <v>163</v>
      </c>
      <c r="T64" s="65" t="s">
        <v>164</v>
      </c>
      <c r="U64" s="65" t="s">
        <v>165</v>
      </c>
      <c r="V64" s="66" t="s">
        <v>166</v>
      </c>
      <c r="W64" s="63" t="s">
        <v>76</v>
      </c>
      <c r="X64" s="63"/>
      <c r="Y64" s="63"/>
      <c r="Z64" s="63" t="s">
        <v>167</v>
      </c>
      <c r="AA64" s="63" t="s">
        <v>168</v>
      </c>
      <c r="AB64" s="63" t="s">
        <v>77</v>
      </c>
      <c r="AC64" s="62" t="s">
        <v>78</v>
      </c>
    </row>
    <row r="65" spans="1:29" x14ac:dyDescent="0.25">
      <c r="A65" s="55" t="s">
        <v>32</v>
      </c>
      <c r="B65" s="29" t="s">
        <v>101</v>
      </c>
      <c r="C65" s="29" t="s">
        <v>54</v>
      </c>
      <c r="D65" s="29" t="s">
        <v>12</v>
      </c>
      <c r="E65" s="29" t="s">
        <v>86</v>
      </c>
      <c r="F65" s="29" t="s">
        <v>87</v>
      </c>
      <c r="G65" s="29" t="s">
        <v>101</v>
      </c>
      <c r="H65" s="29" t="s">
        <v>35</v>
      </c>
      <c r="I65" s="29" t="s">
        <v>161</v>
      </c>
      <c r="J65" s="29" t="s">
        <v>162</v>
      </c>
      <c r="K65" s="29" t="s">
        <v>99</v>
      </c>
      <c r="L65" s="29" t="s">
        <v>75</v>
      </c>
      <c r="M65" s="53" t="s">
        <v>100</v>
      </c>
      <c r="N65" s="29" t="s">
        <v>111</v>
      </c>
      <c r="O65" s="29" t="s">
        <v>41</v>
      </c>
      <c r="P65" s="29" t="s">
        <v>118</v>
      </c>
      <c r="Q65" s="29" t="s">
        <v>35</v>
      </c>
      <c r="R65" s="29" t="s">
        <v>35</v>
      </c>
      <c r="S65" s="36" t="s">
        <v>163</v>
      </c>
      <c r="T65" s="36" t="s">
        <v>164</v>
      </c>
      <c r="U65" s="36" t="s">
        <v>165</v>
      </c>
      <c r="V65" s="54" t="s">
        <v>166</v>
      </c>
      <c r="W65" s="29" t="s">
        <v>76</v>
      </c>
      <c r="X65" s="29"/>
      <c r="Y65" s="29"/>
      <c r="Z65" s="63" t="s">
        <v>167</v>
      </c>
      <c r="AA65" s="63" t="s">
        <v>168</v>
      </c>
      <c r="AB65" s="63" t="s">
        <v>77</v>
      </c>
      <c r="AC65" s="62" t="s">
        <v>78</v>
      </c>
    </row>
    <row r="66" spans="1:29" x14ac:dyDescent="0.25">
      <c r="A66" s="55" t="s">
        <v>32</v>
      </c>
      <c r="B66" s="29" t="s">
        <v>101</v>
      </c>
      <c r="C66" s="29" t="s">
        <v>54</v>
      </c>
      <c r="D66" s="29" t="s">
        <v>12</v>
      </c>
      <c r="E66" s="29" t="s">
        <v>86</v>
      </c>
      <c r="F66" s="29" t="s">
        <v>87</v>
      </c>
      <c r="G66" s="29" t="s">
        <v>101</v>
      </c>
      <c r="H66" s="29" t="s">
        <v>35</v>
      </c>
      <c r="I66" s="29" t="s">
        <v>161</v>
      </c>
      <c r="J66" s="29" t="s">
        <v>162</v>
      </c>
      <c r="K66" s="29" t="s">
        <v>99</v>
      </c>
      <c r="L66" s="29" t="s">
        <v>75</v>
      </c>
      <c r="M66" s="53" t="s">
        <v>100</v>
      </c>
      <c r="N66" s="29" t="s">
        <v>111</v>
      </c>
      <c r="O66" s="29" t="s">
        <v>40</v>
      </c>
      <c r="P66" s="29" t="s">
        <v>118</v>
      </c>
      <c r="Q66" s="29" t="s">
        <v>35</v>
      </c>
      <c r="R66" s="29" t="s">
        <v>35</v>
      </c>
      <c r="S66" s="36" t="s">
        <v>163</v>
      </c>
      <c r="T66" s="36" t="s">
        <v>164</v>
      </c>
      <c r="U66" s="36" t="s">
        <v>165</v>
      </c>
      <c r="V66" s="54" t="s">
        <v>166</v>
      </c>
      <c r="W66" s="29" t="s">
        <v>76</v>
      </c>
      <c r="X66" s="29"/>
      <c r="Y66" s="29"/>
      <c r="Z66" s="63" t="s">
        <v>167</v>
      </c>
      <c r="AA66" s="63" t="s">
        <v>168</v>
      </c>
      <c r="AB66" s="63" t="s">
        <v>77</v>
      </c>
      <c r="AC66" s="62" t="s">
        <v>78</v>
      </c>
    </row>
    <row r="67" spans="1:29" x14ac:dyDescent="0.25">
      <c r="A67" s="61" t="s">
        <v>32</v>
      </c>
      <c r="B67" s="63" t="s">
        <v>101</v>
      </c>
      <c r="C67" s="63" t="s">
        <v>54</v>
      </c>
      <c r="D67" s="63" t="s">
        <v>12</v>
      </c>
      <c r="E67" s="63" t="s">
        <v>86</v>
      </c>
      <c r="F67" s="63" t="s">
        <v>87</v>
      </c>
      <c r="G67" s="63" t="s">
        <v>101</v>
      </c>
      <c r="H67" s="63" t="s">
        <v>35</v>
      </c>
      <c r="I67" s="63" t="s">
        <v>161</v>
      </c>
      <c r="J67" s="63" t="s">
        <v>162</v>
      </c>
      <c r="K67" s="63" t="s">
        <v>99</v>
      </c>
      <c r="L67" s="63" t="s">
        <v>75</v>
      </c>
      <c r="M67" s="64" t="s">
        <v>100</v>
      </c>
      <c r="N67" s="63" t="s">
        <v>111</v>
      </c>
      <c r="O67" s="63" t="s">
        <v>39</v>
      </c>
      <c r="P67" s="63" t="s">
        <v>118</v>
      </c>
      <c r="Q67" s="29" t="s">
        <v>35</v>
      </c>
      <c r="R67" s="63" t="s">
        <v>35</v>
      </c>
      <c r="S67" s="36" t="s">
        <v>163</v>
      </c>
      <c r="T67" s="65" t="s">
        <v>164</v>
      </c>
      <c r="U67" s="65" t="s">
        <v>165</v>
      </c>
      <c r="V67" s="66" t="s">
        <v>166</v>
      </c>
      <c r="W67" s="63" t="s">
        <v>76</v>
      </c>
      <c r="X67" s="63"/>
      <c r="Y67" s="63"/>
      <c r="Z67" s="63" t="s">
        <v>167</v>
      </c>
      <c r="AA67" s="63" t="s">
        <v>168</v>
      </c>
      <c r="AB67" s="63" t="s">
        <v>77</v>
      </c>
      <c r="AC67" s="62" t="s">
        <v>78</v>
      </c>
    </row>
    <row r="68" spans="1:29" x14ac:dyDescent="0.25">
      <c r="A68" s="55" t="s">
        <v>32</v>
      </c>
      <c r="B68" s="29" t="s">
        <v>101</v>
      </c>
      <c r="C68" s="29" t="s">
        <v>54</v>
      </c>
      <c r="D68" s="29" t="s">
        <v>12</v>
      </c>
      <c r="E68" s="29" t="s">
        <v>86</v>
      </c>
      <c r="F68" s="29" t="s">
        <v>87</v>
      </c>
      <c r="G68" s="29" t="s">
        <v>101</v>
      </c>
      <c r="H68" s="29" t="s">
        <v>35</v>
      </c>
      <c r="I68" s="29" t="s">
        <v>161</v>
      </c>
      <c r="J68" s="29" t="s">
        <v>162</v>
      </c>
      <c r="K68" s="29" t="s">
        <v>99</v>
      </c>
      <c r="L68" s="29" t="s">
        <v>75</v>
      </c>
      <c r="M68" s="53" t="s">
        <v>100</v>
      </c>
      <c r="N68" s="29" t="s">
        <v>111</v>
      </c>
      <c r="O68" s="29" t="s">
        <v>90</v>
      </c>
      <c r="P68" s="29" t="s">
        <v>34</v>
      </c>
      <c r="Q68" s="29" t="s">
        <v>35</v>
      </c>
      <c r="R68" s="29" t="s">
        <v>35</v>
      </c>
      <c r="S68" s="36" t="s">
        <v>163</v>
      </c>
      <c r="T68" s="36" t="s">
        <v>164</v>
      </c>
      <c r="U68" s="36" t="s">
        <v>165</v>
      </c>
      <c r="V68" s="54" t="s">
        <v>166</v>
      </c>
      <c r="W68" s="29" t="s">
        <v>76</v>
      </c>
      <c r="X68" s="29"/>
      <c r="Y68" s="29"/>
      <c r="Z68" s="29" t="s">
        <v>167</v>
      </c>
      <c r="AA68" s="29" t="s">
        <v>168</v>
      </c>
      <c r="AB68" s="29" t="s">
        <v>77</v>
      </c>
      <c r="AC68" s="58" t="s">
        <v>78</v>
      </c>
    </row>
    <row r="69" spans="1:29" x14ac:dyDescent="0.25">
      <c r="A69" s="55" t="s">
        <v>32</v>
      </c>
      <c r="B69" s="29" t="s">
        <v>101</v>
      </c>
      <c r="C69" s="29" t="s">
        <v>54</v>
      </c>
      <c r="D69" s="29" t="s">
        <v>12</v>
      </c>
      <c r="E69" s="29" t="s">
        <v>86</v>
      </c>
      <c r="F69" s="29" t="s">
        <v>87</v>
      </c>
      <c r="G69" s="29" t="s">
        <v>101</v>
      </c>
      <c r="H69" s="29" t="s">
        <v>35</v>
      </c>
      <c r="I69" s="29" t="s">
        <v>161</v>
      </c>
      <c r="J69" s="29" t="s">
        <v>162</v>
      </c>
      <c r="K69" s="29" t="s">
        <v>99</v>
      </c>
      <c r="L69" s="29" t="s">
        <v>75</v>
      </c>
      <c r="M69" s="53" t="s">
        <v>100</v>
      </c>
      <c r="N69" s="29" t="s">
        <v>111</v>
      </c>
      <c r="O69" s="29" t="s">
        <v>91</v>
      </c>
      <c r="P69" s="29" t="s">
        <v>34</v>
      </c>
      <c r="Q69" s="29" t="s">
        <v>35</v>
      </c>
      <c r="R69" s="29" t="s">
        <v>35</v>
      </c>
      <c r="S69" s="36" t="s">
        <v>163</v>
      </c>
      <c r="T69" s="36" t="s">
        <v>164</v>
      </c>
      <c r="U69" s="36" t="s">
        <v>165</v>
      </c>
      <c r="V69" s="54" t="s">
        <v>166</v>
      </c>
      <c r="W69" s="29" t="s">
        <v>76</v>
      </c>
      <c r="X69" s="29"/>
      <c r="Y69" s="29"/>
      <c r="Z69" s="29" t="s">
        <v>167</v>
      </c>
      <c r="AA69" s="29" t="s">
        <v>168</v>
      </c>
      <c r="AB69" s="29" t="s">
        <v>77</v>
      </c>
      <c r="AC69" s="58" t="s">
        <v>78</v>
      </c>
    </row>
    <row r="70" spans="1:29" x14ac:dyDescent="0.25">
      <c r="A70" s="55" t="s">
        <v>32</v>
      </c>
      <c r="B70" s="29" t="s">
        <v>101</v>
      </c>
      <c r="C70" s="29" t="s">
        <v>54</v>
      </c>
      <c r="D70" s="29" t="s">
        <v>12</v>
      </c>
      <c r="E70" s="29" t="s">
        <v>86</v>
      </c>
      <c r="F70" s="29" t="s">
        <v>87</v>
      </c>
      <c r="G70" s="29" t="s">
        <v>101</v>
      </c>
      <c r="H70" s="29" t="s">
        <v>35</v>
      </c>
      <c r="I70" s="29" t="s">
        <v>161</v>
      </c>
      <c r="J70" s="29" t="s">
        <v>162</v>
      </c>
      <c r="K70" s="29" t="s">
        <v>99</v>
      </c>
      <c r="L70" s="29" t="s">
        <v>75</v>
      </c>
      <c r="M70" s="53" t="s">
        <v>100</v>
      </c>
      <c r="N70" s="29" t="s">
        <v>111</v>
      </c>
      <c r="O70" s="29" t="s">
        <v>92</v>
      </c>
      <c r="P70" s="29" t="s">
        <v>34</v>
      </c>
      <c r="Q70" s="29" t="s">
        <v>35</v>
      </c>
      <c r="R70" s="29" t="s">
        <v>35</v>
      </c>
      <c r="S70" s="36" t="s">
        <v>163</v>
      </c>
      <c r="T70" s="36" t="s">
        <v>164</v>
      </c>
      <c r="U70" s="36" t="s">
        <v>165</v>
      </c>
      <c r="V70" s="54" t="s">
        <v>166</v>
      </c>
      <c r="W70" s="29" t="s">
        <v>76</v>
      </c>
      <c r="X70" s="29"/>
      <c r="Y70" s="29"/>
      <c r="Z70" s="29" t="s">
        <v>167</v>
      </c>
      <c r="AA70" s="29" t="s">
        <v>168</v>
      </c>
      <c r="AB70" s="29" t="s">
        <v>77</v>
      </c>
      <c r="AC70" s="58" t="s">
        <v>78</v>
      </c>
    </row>
    <row r="71" spans="1:29" x14ac:dyDescent="0.25">
      <c r="A71" s="55" t="s">
        <v>32</v>
      </c>
      <c r="B71" s="29" t="s">
        <v>101</v>
      </c>
      <c r="C71" s="29" t="s">
        <v>54</v>
      </c>
      <c r="D71" s="29" t="s">
        <v>12</v>
      </c>
      <c r="E71" s="29" t="s">
        <v>86</v>
      </c>
      <c r="F71" s="29" t="s">
        <v>87</v>
      </c>
      <c r="G71" s="29" t="s">
        <v>101</v>
      </c>
      <c r="H71" s="29" t="s">
        <v>35</v>
      </c>
      <c r="I71" s="29" t="s">
        <v>161</v>
      </c>
      <c r="J71" s="29" t="s">
        <v>162</v>
      </c>
      <c r="K71" s="29" t="s">
        <v>99</v>
      </c>
      <c r="L71" s="29" t="s">
        <v>75</v>
      </c>
      <c r="M71" s="53" t="s">
        <v>100</v>
      </c>
      <c r="N71" s="29" t="s">
        <v>111</v>
      </c>
      <c r="O71" s="29" t="s">
        <v>93</v>
      </c>
      <c r="P71" s="29" t="s">
        <v>118</v>
      </c>
      <c r="Q71" s="29" t="s">
        <v>35</v>
      </c>
      <c r="R71" s="29" t="s">
        <v>35</v>
      </c>
      <c r="S71" s="36" t="s">
        <v>163</v>
      </c>
      <c r="T71" s="36" t="s">
        <v>164</v>
      </c>
      <c r="U71" s="36" t="s">
        <v>165</v>
      </c>
      <c r="V71" s="54" t="s">
        <v>166</v>
      </c>
      <c r="W71" s="29" t="s">
        <v>76</v>
      </c>
      <c r="X71" s="29"/>
      <c r="Y71" s="29"/>
      <c r="Z71" s="29" t="s">
        <v>167</v>
      </c>
      <c r="AA71" s="29" t="s">
        <v>168</v>
      </c>
      <c r="AB71" s="29" t="s">
        <v>77</v>
      </c>
      <c r="AC71" s="58" t="s">
        <v>78</v>
      </c>
    </row>
    <row r="72" spans="1:29" x14ac:dyDescent="0.25">
      <c r="A72" s="55" t="s">
        <v>32</v>
      </c>
      <c r="B72" s="29" t="s">
        <v>101</v>
      </c>
      <c r="C72" s="29" t="s">
        <v>54</v>
      </c>
      <c r="D72" s="29" t="s">
        <v>12</v>
      </c>
      <c r="E72" s="29" t="s">
        <v>86</v>
      </c>
      <c r="F72" s="29" t="s">
        <v>87</v>
      </c>
      <c r="G72" s="29" t="s">
        <v>101</v>
      </c>
      <c r="H72" s="29" t="s">
        <v>35</v>
      </c>
      <c r="I72" s="29" t="s">
        <v>161</v>
      </c>
      <c r="J72" s="29" t="s">
        <v>162</v>
      </c>
      <c r="K72" s="29" t="s">
        <v>99</v>
      </c>
      <c r="L72" s="29" t="s">
        <v>75</v>
      </c>
      <c r="M72" s="53" t="s">
        <v>100</v>
      </c>
      <c r="N72" s="29" t="s">
        <v>111</v>
      </c>
      <c r="O72" s="29" t="s">
        <v>94</v>
      </c>
      <c r="P72" s="29" t="s">
        <v>34</v>
      </c>
      <c r="Q72" s="29" t="s">
        <v>35</v>
      </c>
      <c r="R72" s="29" t="s">
        <v>35</v>
      </c>
      <c r="S72" s="36" t="s">
        <v>163</v>
      </c>
      <c r="T72" s="36" t="s">
        <v>164</v>
      </c>
      <c r="U72" s="36" t="s">
        <v>165</v>
      </c>
      <c r="V72" s="54" t="s">
        <v>166</v>
      </c>
      <c r="W72" s="29" t="s">
        <v>76</v>
      </c>
      <c r="X72" s="29"/>
      <c r="Y72" s="29"/>
      <c r="Z72" s="29" t="s">
        <v>167</v>
      </c>
      <c r="AA72" s="29" t="s">
        <v>168</v>
      </c>
      <c r="AB72" s="29" t="s">
        <v>77</v>
      </c>
      <c r="AC72" s="58" t="s">
        <v>78</v>
      </c>
    </row>
    <row r="73" spans="1:29" x14ac:dyDescent="0.25">
      <c r="A73" s="55" t="s">
        <v>32</v>
      </c>
      <c r="B73" s="29" t="s">
        <v>101</v>
      </c>
      <c r="C73" s="29" t="s">
        <v>54</v>
      </c>
      <c r="D73" s="29" t="s">
        <v>12</v>
      </c>
      <c r="E73" s="29" t="s">
        <v>86</v>
      </c>
      <c r="F73" s="29" t="s">
        <v>87</v>
      </c>
      <c r="G73" s="29" t="s">
        <v>101</v>
      </c>
      <c r="H73" s="29" t="s">
        <v>35</v>
      </c>
      <c r="I73" s="29" t="s">
        <v>161</v>
      </c>
      <c r="J73" s="29" t="s">
        <v>162</v>
      </c>
      <c r="K73" s="29" t="s">
        <v>99</v>
      </c>
      <c r="L73" s="29" t="s">
        <v>75</v>
      </c>
      <c r="M73" s="53" t="s">
        <v>100</v>
      </c>
      <c r="N73" s="29" t="s">
        <v>111</v>
      </c>
      <c r="O73" s="29" t="s">
        <v>95</v>
      </c>
      <c r="P73" s="29" t="s">
        <v>118</v>
      </c>
      <c r="Q73" s="29" t="s">
        <v>35</v>
      </c>
      <c r="R73" s="29" t="s">
        <v>35</v>
      </c>
      <c r="S73" s="36" t="s">
        <v>163</v>
      </c>
      <c r="T73" s="36" t="s">
        <v>164</v>
      </c>
      <c r="U73" s="36" t="s">
        <v>165</v>
      </c>
      <c r="V73" s="54" t="s">
        <v>166</v>
      </c>
      <c r="W73" s="29" t="s">
        <v>76</v>
      </c>
      <c r="X73" s="29"/>
      <c r="Y73" s="29"/>
      <c r="Z73" s="29" t="s">
        <v>167</v>
      </c>
      <c r="AA73" s="29" t="s">
        <v>168</v>
      </c>
      <c r="AB73" s="29" t="s">
        <v>77</v>
      </c>
      <c r="AC73" s="58" t="s">
        <v>78</v>
      </c>
    </row>
    <row r="74" spans="1:29" x14ac:dyDescent="0.25">
      <c r="A74" s="55" t="s">
        <v>32</v>
      </c>
      <c r="B74" s="29" t="s">
        <v>101</v>
      </c>
      <c r="C74" s="29" t="s">
        <v>54</v>
      </c>
      <c r="D74" s="29" t="s">
        <v>12</v>
      </c>
      <c r="E74" s="29" t="s">
        <v>86</v>
      </c>
      <c r="F74" s="29" t="s">
        <v>87</v>
      </c>
      <c r="G74" s="29" t="s">
        <v>101</v>
      </c>
      <c r="H74" s="29" t="s">
        <v>35</v>
      </c>
      <c r="I74" s="29" t="s">
        <v>161</v>
      </c>
      <c r="J74" s="29" t="s">
        <v>162</v>
      </c>
      <c r="K74" s="29" t="s">
        <v>99</v>
      </c>
      <c r="L74" s="29" t="s">
        <v>75</v>
      </c>
      <c r="M74" s="53" t="s">
        <v>100</v>
      </c>
      <c r="N74" s="29" t="s">
        <v>111</v>
      </c>
      <c r="O74" s="29" t="s">
        <v>96</v>
      </c>
      <c r="P74" s="29" t="s">
        <v>118</v>
      </c>
      <c r="Q74" s="29" t="s">
        <v>35</v>
      </c>
      <c r="R74" s="29" t="s">
        <v>35</v>
      </c>
      <c r="S74" s="36" t="s">
        <v>163</v>
      </c>
      <c r="T74" s="36" t="s">
        <v>164</v>
      </c>
      <c r="U74" s="36" t="s">
        <v>165</v>
      </c>
      <c r="V74" s="54" t="s">
        <v>166</v>
      </c>
      <c r="W74" s="29" t="s">
        <v>76</v>
      </c>
      <c r="X74" s="29"/>
      <c r="Y74" s="29"/>
      <c r="Z74" s="29" t="s">
        <v>167</v>
      </c>
      <c r="AA74" s="29" t="s">
        <v>168</v>
      </c>
      <c r="AB74" s="29" t="s">
        <v>77</v>
      </c>
      <c r="AC74" s="58" t="s">
        <v>78</v>
      </c>
    </row>
    <row r="75" spans="1:29" x14ac:dyDescent="0.25">
      <c r="A75" s="55" t="s">
        <v>32</v>
      </c>
      <c r="B75" s="29" t="s">
        <v>101</v>
      </c>
      <c r="C75" s="29" t="s">
        <v>54</v>
      </c>
      <c r="D75" s="29" t="s">
        <v>12</v>
      </c>
      <c r="E75" s="29" t="s">
        <v>86</v>
      </c>
      <c r="F75" s="29" t="s">
        <v>87</v>
      </c>
      <c r="G75" s="29" t="s">
        <v>101</v>
      </c>
      <c r="H75" s="29" t="s">
        <v>35</v>
      </c>
      <c r="I75" s="29" t="s">
        <v>161</v>
      </c>
      <c r="J75" s="29" t="s">
        <v>162</v>
      </c>
      <c r="K75" s="29" t="s">
        <v>99</v>
      </c>
      <c r="L75" s="29" t="s">
        <v>75</v>
      </c>
      <c r="M75" s="53" t="s">
        <v>100</v>
      </c>
      <c r="N75" s="29" t="s">
        <v>111</v>
      </c>
      <c r="O75" s="29" t="s">
        <v>119</v>
      </c>
      <c r="P75" s="29" t="s">
        <v>169</v>
      </c>
      <c r="Q75" s="29" t="s">
        <v>35</v>
      </c>
      <c r="R75" s="29" t="s">
        <v>35</v>
      </c>
      <c r="S75" s="36" t="s">
        <v>163</v>
      </c>
      <c r="T75" s="36" t="s">
        <v>164</v>
      </c>
      <c r="U75" s="36" t="s">
        <v>165</v>
      </c>
      <c r="V75" s="54" t="s">
        <v>166</v>
      </c>
      <c r="W75" s="29" t="s">
        <v>76</v>
      </c>
      <c r="X75" s="29"/>
      <c r="Y75" s="29"/>
      <c r="Z75" s="29" t="s">
        <v>167</v>
      </c>
      <c r="AA75" s="29" t="s">
        <v>168</v>
      </c>
      <c r="AB75" s="29" t="s">
        <v>77</v>
      </c>
      <c r="AC75" s="58" t="s">
        <v>78</v>
      </c>
    </row>
    <row r="76" spans="1:29" x14ac:dyDescent="0.25">
      <c r="A76" s="55" t="s">
        <v>32</v>
      </c>
      <c r="B76" s="29" t="s">
        <v>101</v>
      </c>
      <c r="C76" s="29" t="s">
        <v>54</v>
      </c>
      <c r="D76" s="29" t="s">
        <v>12</v>
      </c>
      <c r="E76" s="29" t="s">
        <v>86</v>
      </c>
      <c r="F76" s="29" t="s">
        <v>87</v>
      </c>
      <c r="G76" s="29" t="s">
        <v>101</v>
      </c>
      <c r="H76" s="29" t="s">
        <v>35</v>
      </c>
      <c r="I76" s="29" t="s">
        <v>161</v>
      </c>
      <c r="J76" s="29" t="s">
        <v>162</v>
      </c>
      <c r="K76" s="29" t="s">
        <v>99</v>
      </c>
      <c r="L76" s="29" t="s">
        <v>75</v>
      </c>
      <c r="M76" s="53" t="s">
        <v>100</v>
      </c>
      <c r="N76" s="29" t="s">
        <v>111</v>
      </c>
      <c r="O76" s="29" t="s">
        <v>170</v>
      </c>
      <c r="P76" s="29" t="s">
        <v>34</v>
      </c>
      <c r="Q76" s="29" t="s">
        <v>35</v>
      </c>
      <c r="R76" s="29" t="s">
        <v>35</v>
      </c>
      <c r="S76" s="36" t="s">
        <v>163</v>
      </c>
      <c r="T76" s="36" t="s">
        <v>164</v>
      </c>
      <c r="U76" s="36" t="s">
        <v>165</v>
      </c>
      <c r="V76" s="54" t="s">
        <v>166</v>
      </c>
      <c r="W76" s="29" t="s">
        <v>76</v>
      </c>
      <c r="X76" s="29"/>
      <c r="Y76" s="29"/>
      <c r="Z76" s="29" t="s">
        <v>167</v>
      </c>
      <c r="AA76" s="29" t="s">
        <v>168</v>
      </c>
      <c r="AB76" s="29" t="s">
        <v>77</v>
      </c>
      <c r="AC76" s="58" t="s">
        <v>78</v>
      </c>
    </row>
    <row r="77" spans="1:29" x14ac:dyDescent="0.25">
      <c r="A77" s="55" t="s">
        <v>32</v>
      </c>
      <c r="B77" s="29" t="s">
        <v>101</v>
      </c>
      <c r="C77" s="29" t="s">
        <v>54</v>
      </c>
      <c r="D77" s="29" t="s">
        <v>12</v>
      </c>
      <c r="E77" s="29" t="s">
        <v>86</v>
      </c>
      <c r="F77" s="29" t="s">
        <v>87</v>
      </c>
      <c r="G77" s="29" t="s">
        <v>101</v>
      </c>
      <c r="H77" s="29" t="s">
        <v>35</v>
      </c>
      <c r="I77" s="29" t="s">
        <v>161</v>
      </c>
      <c r="J77" s="29" t="s">
        <v>162</v>
      </c>
      <c r="K77" s="29" t="s">
        <v>99</v>
      </c>
      <c r="L77" s="29" t="s">
        <v>75</v>
      </c>
      <c r="M77" s="53" t="s">
        <v>100</v>
      </c>
      <c r="N77" s="29" t="s">
        <v>111</v>
      </c>
      <c r="O77" s="29" t="s">
        <v>125</v>
      </c>
      <c r="P77" s="29" t="s">
        <v>34</v>
      </c>
      <c r="Q77" s="29" t="s">
        <v>35</v>
      </c>
      <c r="R77" s="29" t="s">
        <v>35</v>
      </c>
      <c r="S77" s="36" t="s">
        <v>163</v>
      </c>
      <c r="T77" s="36" t="s">
        <v>164</v>
      </c>
      <c r="U77" s="36" t="s">
        <v>165</v>
      </c>
      <c r="V77" s="54" t="s">
        <v>166</v>
      </c>
      <c r="W77" s="29" t="s">
        <v>76</v>
      </c>
      <c r="X77" s="29"/>
      <c r="Y77" s="29"/>
      <c r="Z77" s="29" t="s">
        <v>167</v>
      </c>
      <c r="AA77" s="29" t="s">
        <v>168</v>
      </c>
      <c r="AB77" s="29" t="s">
        <v>77</v>
      </c>
      <c r="AC77" s="58" t="s">
        <v>78</v>
      </c>
    </row>
    <row r="78" spans="1:29" x14ac:dyDescent="0.25">
      <c r="A78" s="55" t="s">
        <v>32</v>
      </c>
      <c r="B78" s="29" t="s">
        <v>101</v>
      </c>
      <c r="C78" s="29" t="s">
        <v>54</v>
      </c>
      <c r="D78" s="29" t="s">
        <v>12</v>
      </c>
      <c r="E78" s="29" t="s">
        <v>86</v>
      </c>
      <c r="F78" s="29" t="s">
        <v>87</v>
      </c>
      <c r="G78" s="29" t="s">
        <v>101</v>
      </c>
      <c r="H78" s="29" t="s">
        <v>35</v>
      </c>
      <c r="I78" s="29" t="s">
        <v>161</v>
      </c>
      <c r="J78" s="29" t="s">
        <v>162</v>
      </c>
      <c r="K78" s="29" t="s">
        <v>99</v>
      </c>
      <c r="L78" s="29" t="s">
        <v>75</v>
      </c>
      <c r="M78" s="53" t="s">
        <v>100</v>
      </c>
      <c r="N78" s="29" t="s">
        <v>111</v>
      </c>
      <c r="O78" s="29" t="s">
        <v>171</v>
      </c>
      <c r="P78" s="29" t="s">
        <v>172</v>
      </c>
      <c r="Q78" s="29" t="s">
        <v>35</v>
      </c>
      <c r="R78" s="29" t="s">
        <v>35</v>
      </c>
      <c r="S78" s="36" t="s">
        <v>163</v>
      </c>
      <c r="T78" s="36" t="s">
        <v>164</v>
      </c>
      <c r="U78" s="36" t="s">
        <v>165</v>
      </c>
      <c r="V78" s="54" t="s">
        <v>166</v>
      </c>
      <c r="W78" s="29" t="s">
        <v>76</v>
      </c>
      <c r="X78" s="29"/>
      <c r="Y78" s="29"/>
      <c r="Z78" s="29" t="s">
        <v>167</v>
      </c>
      <c r="AA78" s="29" t="s">
        <v>168</v>
      </c>
      <c r="AB78" s="29" t="s">
        <v>77</v>
      </c>
      <c r="AC78" s="58" t="s">
        <v>78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2c55c3-b5e0-4673-a25e-773070737706">
      <Terms xmlns="http://schemas.microsoft.com/office/infopath/2007/PartnerControls"/>
    </lcf76f155ced4ddcb4097134ff3c332f>
    <TaxCatchAll xmlns="1828f71f-f3a5-414e-8b06-277e7a91b4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39B8D18AB98464181D1E85108248829" ma:contentTypeVersion="17" ma:contentTypeDescription="Crear nuevo documento." ma:contentTypeScope="" ma:versionID="b9cea1c05ae2262eed0cd5c2b2009515">
  <xsd:schema xmlns:xsd="http://www.w3.org/2001/XMLSchema" xmlns:xs="http://www.w3.org/2001/XMLSchema" xmlns:p="http://schemas.microsoft.com/office/2006/metadata/properties" xmlns:ns2="932c55c3-b5e0-4673-a25e-773070737706" xmlns:ns3="1828f71f-f3a5-414e-8b06-277e7a91b4d5" targetNamespace="http://schemas.microsoft.com/office/2006/metadata/properties" ma:root="true" ma:fieldsID="e080551d790acb6b42469279dd31adeb" ns2:_="" ns3:_="">
    <xsd:import namespace="932c55c3-b5e0-4673-a25e-773070737706"/>
    <xsd:import namespace="1828f71f-f3a5-414e-8b06-277e7a91b4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c55c3-b5e0-4673-a25e-7730707377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fb041b7-8286-4f54-8f47-108c361624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8f71f-f3a5-414e-8b06-277e7a91b4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f7eabd3-d49c-4116-8f8a-f44327f7309c}" ma:internalName="TaxCatchAll" ma:showField="CatchAllData" ma:web="1828f71f-f3a5-414e-8b06-277e7a91b4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C7FF7801-3054-4CCF-A9EE-106F9F9A2B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21CB17-80F6-4B1D-9C82-0C36B1D4B169}">
  <ds:schemaRefs>
    <ds:schemaRef ds:uri="http://schemas.microsoft.com/office/2006/metadata/properties"/>
    <ds:schemaRef ds:uri="http://schemas.microsoft.com/office/infopath/2007/PartnerControls"/>
    <ds:schemaRef ds:uri="e523bf45-09fb-4f9b-aa49-e403c0417b10"/>
  </ds:schemaRefs>
</ds:datastoreItem>
</file>

<file path=customXml/itemProps3.xml><?xml version="1.0" encoding="utf-8"?>
<ds:datastoreItem xmlns:ds="http://schemas.openxmlformats.org/officeDocument/2006/customXml" ds:itemID="{ABEA76AA-0D70-4D4B-A5B7-50832960264A}"/>
</file>

<file path=customXml/itemProps4.xml><?xml version="1.0" encoding="utf-8"?>
<ds:datastoreItem xmlns:ds="http://schemas.openxmlformats.org/officeDocument/2006/customXml" ds:itemID="{3A97DFE0-2812-4F8D-BEA5-EADA0185B0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INFORME</vt:lpstr>
      <vt:lpstr>PUNTAJES</vt:lpstr>
      <vt:lpstr>ENCUESTA</vt:lpstr>
      <vt:lpstr>Panel</vt:lpstr>
      <vt:lpstr>VIDEOS</vt:lpstr>
      <vt:lpstr>DATA INFORME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Angie Lorena Gomez Romero</dc:creator>
  <cp:keywords/>
  <dc:description/>
  <cp:lastModifiedBy>Diego Raul Guerrero Anaya</cp:lastModifiedBy>
  <cp:revision/>
  <dcterms:created xsi:type="dcterms:W3CDTF">2024-08-27T21:29:06Z</dcterms:created>
  <dcterms:modified xsi:type="dcterms:W3CDTF">2025-07-01T20:05:48Z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0x010100239B8D18AB98464181D1E85108248829</vt:lpwstr>
  </property>
  <property fmtid="{D5CDD505-2E9C-101B-9397-08002B2CF9AE}" pid="3" name="MSIP_Label_b64e5b13-2d98-4ce3-adad-008bcee42cb2_Enabled">
    <vt:lpwstr>true</vt:lpwstr>
  </property>
  <property fmtid="{D5CDD505-2E9C-101B-9397-08002B2CF9AE}" pid="4" name="MSIP_Label_b64e5b13-2d98-4ce3-adad-008bcee42cb2_SetDate">
    <vt:lpwstr>2025-04-29T20:39:53Z</vt:lpwstr>
  </property>
  <property fmtid="{D5CDD505-2E9C-101B-9397-08002B2CF9AE}" pid="5" name="MSIP_Label_b64e5b13-2d98-4ce3-adad-008bcee42cb2_Method">
    <vt:lpwstr>Standard</vt:lpwstr>
  </property>
  <property fmtid="{D5CDD505-2E9C-101B-9397-08002B2CF9AE}" pid="6" name="MSIP_Label_b64e5b13-2d98-4ce3-adad-008bcee42cb2_Name">
    <vt:lpwstr>Información Confidencial</vt:lpwstr>
  </property>
  <property fmtid="{D5CDD505-2E9C-101B-9397-08002B2CF9AE}" pid="7" name="MSIP_Label_b64e5b13-2d98-4ce3-adad-008bcee42cb2_SiteId">
    <vt:lpwstr>d2bc208e-4fff-4078-b5ac-f69a6a266ff3</vt:lpwstr>
  </property>
  <property fmtid="{D5CDD505-2E9C-101B-9397-08002B2CF9AE}" pid="8" name="MSIP_Label_b64e5b13-2d98-4ce3-adad-008bcee42cb2_ActionId">
    <vt:lpwstr>aaa2eef2-b974-4b39-b06e-e677f2accbdd</vt:lpwstr>
  </property>
  <property fmtid="{D5CDD505-2E9C-101B-9397-08002B2CF9AE}" pid="9" name="MSIP_Label_b64e5b13-2d98-4ce3-adad-008bcee42cb2_ContentBits">
    <vt:lpwstr>0</vt:lpwstr>
  </property>
  <property fmtid="{D5CDD505-2E9C-101B-9397-08002B2CF9AE}" pid="10" name="MSIP_Label_b64e5b13-2d98-4ce3-adad-008bcee42cb2_Tag">
    <vt:lpwstr>10, 3, 0, 1</vt:lpwstr>
  </property>
</Properties>
</file>