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istos-my.sharepoint.com/personal/diego_guerrero_visionymarketing_com_co/Documents/Desktop/Diego Guerrero/NESTLÉ/PURINA/Marzo/"/>
    </mc:Choice>
  </mc:AlternateContent>
  <xr:revisionPtr revIDLastSave="1" documentId="13_ncr:1_{F096F90C-EE28-4895-B89C-6140CE5AB23C}" xr6:coauthVersionLast="47" xr6:coauthVersionMax="47" xr10:uidLastSave="{3690556B-CCF4-48BE-940B-0DA1D190F745}"/>
  <bookViews>
    <workbookView xWindow="-165" yWindow="0" windowWidth="9105" windowHeight="10905" tabRatio="812" activeTab="7" xr2:uid="{22547094-DDA4-4673-ADB1-0AED661F9EB6}"/>
  </bookViews>
  <sheets>
    <sheet name="INFORME" sheetId="4" r:id="rId1"/>
    <sheet name="PUNTAJES" sheetId="5" r:id="rId2"/>
    <sheet name="Panel" sheetId="1" state="hidden" r:id="rId3"/>
    <sheet name="DATA INFORME" sheetId="12" r:id="rId4"/>
    <sheet name="Videos" sheetId="15" r:id="rId5"/>
    <sheet name="Hoja2" sheetId="13" state="hidden" r:id="rId6"/>
    <sheet name="Export" sheetId="2" state="hidden" r:id="rId7"/>
    <sheet name="ENCUESTA" sheetId="8" r:id="rId8"/>
  </sheets>
  <definedNames>
    <definedName name="_xlnm._FilterDatabase" localSheetId="7" hidden="1">ENCUESTA!$A$1:$H$39</definedName>
    <definedName name="_xlnm._FilterDatabase" localSheetId="2" hidden="1">Panel!#REF!</definedName>
    <definedName name="_xlnm._FilterDatabase" localSheetId="4" hidden="1">Videos!$A$1:$I$17</definedName>
    <definedName name="DatosExternos_1" localSheetId="3" hidden="1">'DATA INFORME'!$A$1:$AV$17</definedName>
    <definedName name="DatosExternos_2" localSheetId="1" hidden="1">PUNTAJES!$A$1:$K$341</definedName>
    <definedName name="SegmentaciónDeDatos_CANAL">#N/A</definedName>
    <definedName name="SegmentaciónDeDatos_CIUDAD">#N/A</definedName>
    <definedName name="SegmentaciónDeDatos_NOMBRE_COMERCIAL">#N/A</definedName>
  </definedNames>
  <calcPr calcId="191028"/>
  <pivotCaches>
    <pivotCache cacheId="2" r:id="rId9"/>
    <pivotCache cacheId="3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228" i="5"/>
  <c r="L229" i="5"/>
  <c r="L230" i="5"/>
  <c r="L231" i="5"/>
  <c r="M231" i="5" s="1"/>
  <c r="L232" i="5"/>
  <c r="M232" i="5" s="1"/>
  <c r="L233" i="5"/>
  <c r="L225" i="5"/>
  <c r="L226" i="5"/>
  <c r="L234" i="5"/>
  <c r="L227" i="5"/>
  <c r="L173" i="5"/>
  <c r="L174" i="5"/>
  <c r="M174" i="5" s="1"/>
  <c r="L175" i="5"/>
  <c r="M175" i="5" s="1"/>
  <c r="L176" i="5"/>
  <c r="L177" i="5"/>
  <c r="N177" i="5" s="1"/>
  <c r="L178" i="5"/>
  <c r="L179" i="5"/>
  <c r="L180" i="5"/>
  <c r="L181" i="5"/>
  <c r="M181" i="5" s="1"/>
  <c r="L182" i="5"/>
  <c r="M182" i="5" s="1"/>
  <c r="L235" i="5"/>
  <c r="M235" i="5" s="1"/>
  <c r="L236" i="5"/>
  <c r="L237" i="5"/>
  <c r="L238" i="5"/>
  <c r="L239" i="5"/>
  <c r="L240" i="5"/>
  <c r="L241" i="5"/>
  <c r="N241" i="5" s="1"/>
  <c r="L242" i="5"/>
  <c r="M242" i="5" s="1"/>
  <c r="L243" i="5"/>
  <c r="M243" i="5" s="1"/>
  <c r="L244" i="5"/>
  <c r="L245" i="5"/>
  <c r="N245" i="5" s="1"/>
  <c r="L246" i="5"/>
  <c r="L247" i="5"/>
  <c r="L248" i="5"/>
  <c r="L249" i="5"/>
  <c r="M249" i="5" s="1"/>
  <c r="L250" i="5"/>
  <c r="M250" i="5" s="1"/>
  <c r="L251" i="5"/>
  <c r="M251" i="5" s="1"/>
  <c r="L252" i="5"/>
  <c r="L253" i="5"/>
  <c r="N253" i="5" s="1"/>
  <c r="L254" i="5"/>
  <c r="L255" i="5"/>
  <c r="L183" i="5"/>
  <c r="L184" i="5"/>
  <c r="M184" i="5" s="1"/>
  <c r="L185" i="5"/>
  <c r="M185" i="5" s="1"/>
  <c r="L186" i="5"/>
  <c r="M186" i="5" s="1"/>
  <c r="L187" i="5"/>
  <c r="L188" i="5"/>
  <c r="L189" i="5"/>
  <c r="L190" i="5"/>
  <c r="L191" i="5"/>
  <c r="L192" i="5"/>
  <c r="N192" i="5" s="1"/>
  <c r="P192" i="5" s="1"/>
  <c r="L193" i="5"/>
  <c r="M193" i="5" s="1"/>
  <c r="L194" i="5"/>
  <c r="M194" i="5" s="1"/>
  <c r="L195" i="5"/>
  <c r="L196" i="5"/>
  <c r="N196" i="5" s="1"/>
  <c r="L197" i="5"/>
  <c r="L198" i="5"/>
  <c r="L199" i="5"/>
  <c r="L200" i="5"/>
  <c r="M200" i="5" s="1"/>
  <c r="L201" i="5"/>
  <c r="M201" i="5" s="1"/>
  <c r="L202" i="5"/>
  <c r="M202" i="5" s="1"/>
  <c r="L203" i="5"/>
  <c r="L204" i="5"/>
  <c r="N204" i="5" s="1"/>
  <c r="L205" i="5"/>
  <c r="L206" i="5"/>
  <c r="L207" i="5"/>
  <c r="L208" i="5"/>
  <c r="L209" i="5"/>
  <c r="M209" i="5" s="1"/>
  <c r="L210" i="5"/>
  <c r="M210" i="5" s="1"/>
  <c r="L211" i="5"/>
  <c r="L212" i="5"/>
  <c r="L213" i="5"/>
  <c r="L214" i="5"/>
  <c r="L215" i="5"/>
  <c r="L216" i="5"/>
  <c r="L217" i="5"/>
  <c r="M217" i="5" s="1"/>
  <c r="L218" i="5"/>
  <c r="M218" i="5" s="1"/>
  <c r="L219" i="5"/>
  <c r="L220" i="5"/>
  <c r="N220" i="5" s="1"/>
  <c r="L221" i="5"/>
  <c r="L222" i="5"/>
  <c r="L223" i="5"/>
  <c r="L224" i="5"/>
  <c r="M224" i="5" s="1"/>
  <c r="L257" i="5"/>
  <c r="M257" i="5" s="1"/>
  <c r="L258" i="5"/>
  <c r="M258" i="5" s="1"/>
  <c r="L287" i="5"/>
  <c r="L288" i="5"/>
  <c r="L289" i="5"/>
  <c r="L290" i="5"/>
  <c r="L291" i="5"/>
  <c r="L259" i="5"/>
  <c r="N259" i="5" s="1"/>
  <c r="L256" i="5"/>
  <c r="M256" i="5" s="1"/>
  <c r="L292" i="5"/>
  <c r="M292" i="5" s="1"/>
  <c r="L293" i="5"/>
  <c r="L294" i="5"/>
  <c r="N294" i="5" s="1"/>
  <c r="L295" i="5"/>
  <c r="L296" i="5"/>
  <c r="L297" i="5"/>
  <c r="L298" i="5"/>
  <c r="M298" i="5" s="1"/>
  <c r="L299" i="5"/>
  <c r="M299" i="5" s="1"/>
  <c r="L300" i="5"/>
  <c r="M300" i="5" s="1"/>
  <c r="L301" i="5"/>
  <c r="L302" i="5"/>
  <c r="N302" i="5" s="1"/>
  <c r="L303" i="5"/>
  <c r="L304" i="5"/>
  <c r="L305" i="5"/>
  <c r="L306" i="5"/>
  <c r="M306" i="5" s="1"/>
  <c r="L307" i="5"/>
  <c r="M307" i="5" s="1"/>
  <c r="L308" i="5"/>
  <c r="M308" i="5" s="1"/>
  <c r="L309" i="5"/>
  <c r="L310" i="5"/>
  <c r="L311" i="5"/>
  <c r="L312" i="5"/>
  <c r="L313" i="5"/>
  <c r="L314" i="5"/>
  <c r="M314" i="5" s="1"/>
  <c r="L315" i="5"/>
  <c r="M315" i="5" s="1"/>
  <c r="L316" i="5"/>
  <c r="M316" i="5" s="1"/>
  <c r="L317" i="5"/>
  <c r="L318" i="5"/>
  <c r="N318" i="5" s="1"/>
  <c r="L319" i="5"/>
  <c r="L320" i="5"/>
  <c r="L321" i="5"/>
  <c r="L322" i="5"/>
  <c r="M322" i="5" s="1"/>
  <c r="L323" i="5"/>
  <c r="M323" i="5" s="1"/>
  <c r="L324" i="5"/>
  <c r="M324" i="5" s="1"/>
  <c r="L325" i="5"/>
  <c r="L260" i="5"/>
  <c r="N260" i="5" s="1"/>
  <c r="L326" i="5"/>
  <c r="L327" i="5"/>
  <c r="L261" i="5"/>
  <c r="L262" i="5"/>
  <c r="M262" i="5" s="1"/>
  <c r="L263" i="5"/>
  <c r="M263" i="5" s="1"/>
  <c r="L264" i="5"/>
  <c r="M264" i="5" s="1"/>
  <c r="L265" i="5"/>
  <c r="L266" i="5"/>
  <c r="L267" i="5"/>
  <c r="L268" i="5"/>
  <c r="L269" i="5"/>
  <c r="L270" i="5"/>
  <c r="N270" i="5" s="1"/>
  <c r="L271" i="5"/>
  <c r="M271" i="5" s="1"/>
  <c r="L272" i="5"/>
  <c r="M272" i="5" s="1"/>
  <c r="L273" i="5"/>
  <c r="L274" i="5"/>
  <c r="N274" i="5" s="1"/>
  <c r="L275" i="5"/>
  <c r="L276" i="5"/>
  <c r="L277" i="5"/>
  <c r="L278" i="5"/>
  <c r="M278" i="5" s="1"/>
  <c r="L279" i="5"/>
  <c r="M279" i="5" s="1"/>
  <c r="L328" i="5"/>
  <c r="M328" i="5" s="1"/>
  <c r="L329" i="5"/>
  <c r="L330" i="5"/>
  <c r="L331" i="5"/>
  <c r="L332" i="5"/>
  <c r="L333" i="5"/>
  <c r="L334" i="5"/>
  <c r="L335" i="5"/>
  <c r="M335" i="5" s="1"/>
  <c r="L280" i="5"/>
  <c r="M280" i="5" s="1"/>
  <c r="L336" i="5"/>
  <c r="L337" i="5"/>
  <c r="N337" i="5" s="1"/>
  <c r="L338" i="5"/>
  <c r="L281" i="5"/>
  <c r="L282" i="5"/>
  <c r="L283" i="5"/>
  <c r="M283" i="5" s="1"/>
  <c r="L284" i="5"/>
  <c r="M284" i="5" s="1"/>
  <c r="L285" i="5"/>
  <c r="M285" i="5" s="1"/>
  <c r="L286" i="5"/>
  <c r="L339" i="5"/>
  <c r="N339" i="5" s="1"/>
  <c r="L340" i="5"/>
  <c r="L115" i="5"/>
  <c r="L116" i="5"/>
  <c r="L117" i="5"/>
  <c r="M117" i="5" s="1"/>
  <c r="L118" i="5"/>
  <c r="M118" i="5" s="1"/>
  <c r="L119" i="5"/>
  <c r="M119" i="5" s="1"/>
  <c r="L120" i="5"/>
  <c r="L121" i="5"/>
  <c r="L31" i="5"/>
  <c r="L32" i="5"/>
  <c r="L33" i="5"/>
  <c r="L122" i="5"/>
  <c r="M122" i="5" s="1"/>
  <c r="L34" i="5"/>
  <c r="M34" i="5" s="1"/>
  <c r="L35" i="5"/>
  <c r="M35" i="5" s="1"/>
  <c r="L36" i="5"/>
  <c r="L37" i="5"/>
  <c r="N37" i="5" s="1"/>
  <c r="L38" i="5"/>
  <c r="L39" i="5"/>
  <c r="L40" i="5"/>
  <c r="L41" i="5"/>
  <c r="M41" i="5" s="1"/>
  <c r="L42" i="5"/>
  <c r="M42" i="5" s="1"/>
  <c r="L43" i="5"/>
  <c r="M43" i="5" s="1"/>
  <c r="L44" i="5"/>
  <c r="L123" i="5"/>
  <c r="N123" i="5" s="1"/>
  <c r="L124" i="5"/>
  <c r="L125" i="5"/>
  <c r="L126" i="5"/>
  <c r="L127" i="5"/>
  <c r="M127" i="5" s="1"/>
  <c r="L128" i="5"/>
  <c r="M128" i="5" s="1"/>
  <c r="L129" i="5"/>
  <c r="M129" i="5" s="1"/>
  <c r="L130" i="5"/>
  <c r="L131" i="5"/>
  <c r="L132" i="5"/>
  <c r="L133" i="5"/>
  <c r="L134" i="5"/>
  <c r="L135" i="5"/>
  <c r="L136" i="5"/>
  <c r="M136" i="5" s="1"/>
  <c r="L137" i="5"/>
  <c r="M137" i="5" s="1"/>
  <c r="L138" i="5"/>
  <c r="L139" i="5"/>
  <c r="N139" i="5" s="1"/>
  <c r="L140" i="5"/>
  <c r="L141" i="5"/>
  <c r="L142" i="5"/>
  <c r="L45" i="5"/>
  <c r="M45" i="5" s="1"/>
  <c r="L46" i="5"/>
  <c r="M46" i="5" s="1"/>
  <c r="L3" i="5"/>
  <c r="M3" i="5" s="1"/>
  <c r="L4" i="5"/>
  <c r="L5" i="5"/>
  <c r="L6" i="5"/>
  <c r="L7" i="5"/>
  <c r="L8" i="5"/>
  <c r="L9" i="5"/>
  <c r="N9" i="5" s="1"/>
  <c r="P9" i="5" s="1"/>
  <c r="L10" i="5"/>
  <c r="M10" i="5" s="1"/>
  <c r="L11" i="5"/>
  <c r="M11" i="5" s="1"/>
  <c r="L12" i="5"/>
  <c r="L13" i="5"/>
  <c r="N13" i="5" s="1"/>
  <c r="L14" i="5"/>
  <c r="L15" i="5"/>
  <c r="L16" i="5"/>
  <c r="L17" i="5"/>
  <c r="L18" i="5"/>
  <c r="M18" i="5" s="1"/>
  <c r="L47" i="5"/>
  <c r="M47" i="5" s="1"/>
  <c r="L19" i="5"/>
  <c r="L20" i="5"/>
  <c r="N20" i="5" s="1"/>
  <c r="L48" i="5"/>
  <c r="L49" i="5"/>
  <c r="L50" i="5"/>
  <c r="L51" i="5"/>
  <c r="M51" i="5" s="1"/>
  <c r="L52" i="5"/>
  <c r="M52" i="5" s="1"/>
  <c r="L53" i="5"/>
  <c r="M53" i="5" s="1"/>
  <c r="L54" i="5"/>
  <c r="L55" i="5"/>
  <c r="L21" i="5"/>
  <c r="L56" i="5"/>
  <c r="L22" i="5"/>
  <c r="L23" i="5"/>
  <c r="N23" i="5" s="1"/>
  <c r="P23" i="5" s="1"/>
  <c r="L24" i="5"/>
  <c r="M24" i="5" s="1"/>
  <c r="L25" i="5"/>
  <c r="M25" i="5" s="1"/>
  <c r="L26" i="5"/>
  <c r="L27" i="5"/>
  <c r="N27" i="5" s="1"/>
  <c r="L28" i="5"/>
  <c r="L29" i="5"/>
  <c r="L30" i="5"/>
  <c r="L143" i="5"/>
  <c r="M143" i="5" s="1"/>
  <c r="L170" i="5"/>
  <c r="M170" i="5" s="1"/>
  <c r="L171" i="5"/>
  <c r="M171" i="5" s="1"/>
  <c r="L144" i="5"/>
  <c r="L145" i="5"/>
  <c r="N145" i="5" s="1"/>
  <c r="L146" i="5"/>
  <c r="L147" i="5"/>
  <c r="L57" i="5"/>
  <c r="L58" i="5"/>
  <c r="L59" i="5"/>
  <c r="M59" i="5" s="1"/>
  <c r="L60" i="5"/>
  <c r="M60" i="5" s="1"/>
  <c r="L148" i="5"/>
  <c r="L61" i="5"/>
  <c r="L62" i="5"/>
  <c r="L63" i="5"/>
  <c r="L64" i="5"/>
  <c r="L65" i="5"/>
  <c r="N65" i="5" s="1"/>
  <c r="L66" i="5"/>
  <c r="M66" i="5" s="1"/>
  <c r="L67" i="5"/>
  <c r="M67" i="5" s="1"/>
  <c r="L68" i="5"/>
  <c r="L69" i="5"/>
  <c r="N69" i="5" s="1"/>
  <c r="L70" i="5"/>
  <c r="L71" i="5"/>
  <c r="L149" i="5"/>
  <c r="L150" i="5"/>
  <c r="M150" i="5" s="1"/>
  <c r="L151" i="5"/>
  <c r="M151" i="5" s="1"/>
  <c r="L152" i="5"/>
  <c r="M152" i="5" s="1"/>
  <c r="L153" i="5"/>
  <c r="L154" i="5"/>
  <c r="L155" i="5"/>
  <c r="L156" i="5"/>
  <c r="L157" i="5"/>
  <c r="L158" i="5"/>
  <c r="L159" i="5"/>
  <c r="M159" i="5" s="1"/>
  <c r="L160" i="5"/>
  <c r="M160" i="5" s="1"/>
  <c r="L161" i="5"/>
  <c r="L162" i="5"/>
  <c r="N162" i="5" s="1"/>
  <c r="L163" i="5"/>
  <c r="L164" i="5"/>
  <c r="L165" i="5"/>
  <c r="L166" i="5"/>
  <c r="M166" i="5" s="1"/>
  <c r="L167" i="5"/>
  <c r="M167" i="5" s="1"/>
  <c r="L168" i="5"/>
  <c r="M168" i="5" s="1"/>
  <c r="L169" i="5"/>
  <c r="L172" i="5"/>
  <c r="N172" i="5" s="1"/>
  <c r="L72" i="5"/>
  <c r="L73" i="5"/>
  <c r="L74" i="5"/>
  <c r="L75" i="5"/>
  <c r="M75" i="5" s="1"/>
  <c r="L76" i="5"/>
  <c r="M76" i="5" s="1"/>
  <c r="L77" i="5"/>
  <c r="M77" i="5" s="1"/>
  <c r="L78" i="5"/>
  <c r="L79" i="5"/>
  <c r="L80" i="5"/>
  <c r="L81" i="5"/>
  <c r="L82" i="5"/>
  <c r="L83" i="5"/>
  <c r="M83" i="5" s="1"/>
  <c r="L84" i="5"/>
  <c r="M84" i="5" s="1"/>
  <c r="L85" i="5"/>
  <c r="M85" i="5" s="1"/>
  <c r="L86" i="5"/>
  <c r="L87" i="5"/>
  <c r="N87" i="5" s="1"/>
  <c r="L88" i="5"/>
  <c r="L89" i="5"/>
  <c r="L90" i="5"/>
  <c r="L91" i="5"/>
  <c r="M91" i="5" s="1"/>
  <c r="L92" i="5"/>
  <c r="M92" i="5" s="1"/>
  <c r="L93" i="5"/>
  <c r="M93" i="5" s="1"/>
  <c r="L94" i="5"/>
  <c r="L95" i="5"/>
  <c r="N95" i="5" s="1"/>
  <c r="L96" i="5"/>
  <c r="L97" i="5"/>
  <c r="L98" i="5"/>
  <c r="L99" i="5"/>
  <c r="M99" i="5" s="1"/>
  <c r="L100" i="5"/>
  <c r="M100" i="5" s="1"/>
  <c r="L101" i="5"/>
  <c r="M101" i="5" s="1"/>
  <c r="L102" i="5"/>
  <c r="L103" i="5"/>
  <c r="L104" i="5"/>
  <c r="L105" i="5"/>
  <c r="L106" i="5"/>
  <c r="L107" i="5"/>
  <c r="L108" i="5"/>
  <c r="M108" i="5" s="1"/>
  <c r="L109" i="5"/>
  <c r="M109" i="5" s="1"/>
  <c r="L110" i="5"/>
  <c r="L111" i="5"/>
  <c r="N111" i="5" s="1"/>
  <c r="L112" i="5"/>
  <c r="L113" i="5"/>
  <c r="L114" i="5"/>
  <c r="L341" i="5"/>
  <c r="M341" i="5" s="1"/>
  <c r="M2" i="5"/>
  <c r="M228" i="5"/>
  <c r="M229" i="5"/>
  <c r="M230" i="5"/>
  <c r="M226" i="5"/>
  <c r="M234" i="5"/>
  <c r="M227" i="5"/>
  <c r="M173" i="5"/>
  <c r="M177" i="5"/>
  <c r="M178" i="5"/>
  <c r="M179" i="5"/>
  <c r="M180" i="5"/>
  <c r="M238" i="5"/>
  <c r="M239" i="5"/>
  <c r="M240" i="5"/>
  <c r="M241" i="5"/>
  <c r="M245" i="5"/>
  <c r="M246" i="5"/>
  <c r="M247" i="5"/>
  <c r="M248" i="5"/>
  <c r="M254" i="5"/>
  <c r="M255" i="5"/>
  <c r="M183" i="5"/>
  <c r="M189" i="5"/>
  <c r="M190" i="5"/>
  <c r="M191" i="5"/>
  <c r="M192" i="5"/>
  <c r="M197" i="5"/>
  <c r="M198" i="5"/>
  <c r="M199" i="5"/>
  <c r="M204" i="5"/>
  <c r="M205" i="5"/>
  <c r="M206" i="5"/>
  <c r="M207" i="5"/>
  <c r="M208" i="5"/>
  <c r="M213" i="5"/>
  <c r="M214" i="5"/>
  <c r="M215" i="5"/>
  <c r="M216" i="5"/>
  <c r="M220" i="5"/>
  <c r="M221" i="5"/>
  <c r="M222" i="5"/>
  <c r="M223" i="5"/>
  <c r="M289" i="5"/>
  <c r="M290" i="5"/>
  <c r="M291" i="5"/>
  <c r="M259" i="5"/>
  <c r="M294" i="5"/>
  <c r="M295" i="5"/>
  <c r="M296" i="5"/>
  <c r="M297" i="5"/>
  <c r="M303" i="5"/>
  <c r="M304" i="5"/>
  <c r="M305" i="5"/>
  <c r="M311" i="5"/>
  <c r="M312" i="5"/>
  <c r="M313" i="5"/>
  <c r="M319" i="5"/>
  <c r="M320" i="5"/>
  <c r="M321" i="5"/>
  <c r="M260" i="5"/>
  <c r="M326" i="5"/>
  <c r="M327" i="5"/>
  <c r="M261" i="5"/>
  <c r="M267" i="5"/>
  <c r="M268" i="5"/>
  <c r="M269" i="5"/>
  <c r="M270" i="5"/>
  <c r="M275" i="5"/>
  <c r="M276" i="5"/>
  <c r="M277" i="5"/>
  <c r="M331" i="5"/>
  <c r="M332" i="5"/>
  <c r="M333" i="5"/>
  <c r="M334" i="5"/>
  <c r="M338" i="5"/>
  <c r="M281" i="5"/>
  <c r="M282" i="5"/>
  <c r="M340" i="5"/>
  <c r="M115" i="5"/>
  <c r="M116" i="5"/>
  <c r="M31" i="5"/>
  <c r="M32" i="5"/>
  <c r="M33" i="5"/>
  <c r="M38" i="5"/>
  <c r="M39" i="5"/>
  <c r="M40" i="5"/>
  <c r="M124" i="5"/>
  <c r="M125" i="5"/>
  <c r="M126" i="5"/>
  <c r="M132" i="5"/>
  <c r="M133" i="5"/>
  <c r="M134" i="5"/>
  <c r="M135" i="5"/>
  <c r="M140" i="5"/>
  <c r="M141" i="5"/>
  <c r="M142" i="5"/>
  <c r="M6" i="5"/>
  <c r="M7" i="5"/>
  <c r="M8" i="5"/>
  <c r="M9" i="5"/>
  <c r="M14" i="5"/>
  <c r="M15" i="5"/>
  <c r="M16" i="5"/>
  <c r="M17" i="5"/>
  <c r="M48" i="5"/>
  <c r="M49" i="5"/>
  <c r="M50" i="5"/>
  <c r="M21" i="5"/>
  <c r="M56" i="5"/>
  <c r="M22" i="5"/>
  <c r="M23" i="5"/>
  <c r="M28" i="5"/>
  <c r="M29" i="5"/>
  <c r="M30" i="5"/>
  <c r="M146" i="5"/>
  <c r="M147" i="5"/>
  <c r="M57" i="5"/>
  <c r="M58" i="5"/>
  <c r="M62" i="5"/>
  <c r="M63" i="5"/>
  <c r="M64" i="5"/>
  <c r="M65" i="5"/>
  <c r="M69" i="5"/>
  <c r="M70" i="5"/>
  <c r="M71" i="5"/>
  <c r="M149" i="5"/>
  <c r="M155" i="5"/>
  <c r="M156" i="5"/>
  <c r="M157" i="5"/>
  <c r="M158" i="5"/>
  <c r="M162" i="5"/>
  <c r="M163" i="5"/>
  <c r="M164" i="5"/>
  <c r="M165" i="5"/>
  <c r="M72" i="5"/>
  <c r="M73" i="5"/>
  <c r="M74" i="5"/>
  <c r="M80" i="5"/>
  <c r="M81" i="5"/>
  <c r="M82" i="5"/>
  <c r="M88" i="5"/>
  <c r="M89" i="5"/>
  <c r="M90" i="5"/>
  <c r="M96" i="5"/>
  <c r="M97" i="5"/>
  <c r="M98" i="5"/>
  <c r="M104" i="5"/>
  <c r="M105" i="5"/>
  <c r="M106" i="5"/>
  <c r="M107" i="5"/>
  <c r="M112" i="5"/>
  <c r="M113" i="5"/>
  <c r="M114" i="5"/>
  <c r="N2" i="5"/>
  <c r="N228" i="5"/>
  <c r="N229" i="5"/>
  <c r="N230" i="5"/>
  <c r="N231" i="5"/>
  <c r="N226" i="5"/>
  <c r="N234" i="5"/>
  <c r="N227" i="5"/>
  <c r="N173" i="5"/>
  <c r="N174" i="5"/>
  <c r="N178" i="5"/>
  <c r="N179" i="5"/>
  <c r="N180" i="5"/>
  <c r="N181" i="5"/>
  <c r="N182" i="5"/>
  <c r="N238" i="5"/>
  <c r="N239" i="5"/>
  <c r="N240" i="5"/>
  <c r="N242" i="5"/>
  <c r="N246" i="5"/>
  <c r="N247" i="5"/>
  <c r="N248" i="5"/>
  <c r="N249" i="5"/>
  <c r="N250" i="5"/>
  <c r="N254" i="5"/>
  <c r="N255" i="5"/>
  <c r="N183" i="5"/>
  <c r="N184" i="5"/>
  <c r="P184" i="5" s="1"/>
  <c r="N185" i="5"/>
  <c r="N189" i="5"/>
  <c r="N190" i="5"/>
  <c r="N191" i="5"/>
  <c r="N193" i="5"/>
  <c r="N197" i="5"/>
  <c r="N198" i="5"/>
  <c r="N199" i="5"/>
  <c r="N201" i="5"/>
  <c r="N205" i="5"/>
  <c r="N206" i="5"/>
  <c r="N207" i="5"/>
  <c r="N208" i="5"/>
  <c r="N209" i="5"/>
  <c r="N213" i="5"/>
  <c r="N214" i="5"/>
  <c r="N215" i="5"/>
  <c r="N216" i="5"/>
  <c r="N217" i="5"/>
  <c r="P217" i="5" s="1"/>
  <c r="N221" i="5"/>
  <c r="N222" i="5"/>
  <c r="N223" i="5"/>
  <c r="N257" i="5"/>
  <c r="N289" i="5"/>
  <c r="N290" i="5"/>
  <c r="N291" i="5"/>
  <c r="N256" i="5"/>
  <c r="N295" i="5"/>
  <c r="N296" i="5"/>
  <c r="N297" i="5"/>
  <c r="N298" i="5"/>
  <c r="N299" i="5"/>
  <c r="N303" i="5"/>
  <c r="N304" i="5"/>
  <c r="N305" i="5"/>
  <c r="N306" i="5"/>
  <c r="P306" i="5" s="1"/>
  <c r="N307" i="5"/>
  <c r="N311" i="5"/>
  <c r="N312" i="5"/>
  <c r="N313" i="5"/>
  <c r="N319" i="5"/>
  <c r="N320" i="5"/>
  <c r="N321" i="5"/>
  <c r="N322" i="5"/>
  <c r="N326" i="5"/>
  <c r="N327" i="5"/>
  <c r="N261" i="5"/>
  <c r="N262" i="5"/>
  <c r="N263" i="5"/>
  <c r="N267" i="5"/>
  <c r="N268" i="5"/>
  <c r="N269" i="5"/>
  <c r="N271" i="5"/>
  <c r="P271" i="5" s="1"/>
  <c r="N275" i="5"/>
  <c r="N276" i="5"/>
  <c r="N277" i="5"/>
  <c r="N331" i="5"/>
  <c r="N332" i="5"/>
  <c r="N333" i="5"/>
  <c r="N334" i="5"/>
  <c r="P334" i="5" s="1"/>
  <c r="N338" i="5"/>
  <c r="N281" i="5"/>
  <c r="N282" i="5"/>
  <c r="N284" i="5"/>
  <c r="N340" i="5"/>
  <c r="N115" i="5"/>
  <c r="N116" i="5"/>
  <c r="N31" i="5"/>
  <c r="N32" i="5"/>
  <c r="N33" i="5"/>
  <c r="N122" i="5"/>
  <c r="P122" i="5" s="1"/>
  <c r="N38" i="5"/>
  <c r="N39" i="5"/>
  <c r="N40" i="5"/>
  <c r="N41" i="5"/>
  <c r="N124" i="5"/>
  <c r="N125" i="5"/>
  <c r="N126" i="5"/>
  <c r="N132" i="5"/>
  <c r="N133" i="5"/>
  <c r="N134" i="5"/>
  <c r="N135" i="5"/>
  <c r="N136" i="5"/>
  <c r="P136" i="5" s="1"/>
  <c r="N140" i="5"/>
  <c r="N141" i="5"/>
  <c r="N142" i="5"/>
  <c r="N45" i="5"/>
  <c r="N3" i="5"/>
  <c r="N6" i="5"/>
  <c r="N7" i="5"/>
  <c r="N8" i="5"/>
  <c r="N14" i="5"/>
  <c r="N15" i="5"/>
  <c r="N16" i="5"/>
  <c r="N17" i="5"/>
  <c r="N18" i="5"/>
  <c r="N48" i="5"/>
  <c r="N49" i="5"/>
  <c r="N50" i="5"/>
  <c r="N51" i="5"/>
  <c r="N52" i="5"/>
  <c r="N21" i="5"/>
  <c r="N56" i="5"/>
  <c r="N22" i="5"/>
  <c r="N28" i="5"/>
  <c r="N29" i="5"/>
  <c r="N30" i="5"/>
  <c r="N143" i="5"/>
  <c r="N146" i="5"/>
  <c r="N147" i="5"/>
  <c r="N57" i="5"/>
  <c r="N58" i="5"/>
  <c r="N59" i="5"/>
  <c r="N62" i="5"/>
  <c r="N63" i="5"/>
  <c r="N64" i="5"/>
  <c r="N66" i="5"/>
  <c r="N70" i="5"/>
  <c r="N71" i="5"/>
  <c r="N149" i="5"/>
  <c r="N155" i="5"/>
  <c r="N156" i="5"/>
  <c r="N157" i="5"/>
  <c r="N158" i="5"/>
  <c r="P158" i="5" s="1"/>
  <c r="N163" i="5"/>
  <c r="N164" i="5"/>
  <c r="N165" i="5"/>
  <c r="N167" i="5"/>
  <c r="N72" i="5"/>
  <c r="N73" i="5"/>
  <c r="N74" i="5"/>
  <c r="N80" i="5"/>
  <c r="N81" i="5"/>
  <c r="N82" i="5"/>
  <c r="N83" i="5"/>
  <c r="N88" i="5"/>
  <c r="N89" i="5"/>
  <c r="N90" i="5"/>
  <c r="N91" i="5"/>
  <c r="P91" i="5" s="1"/>
  <c r="N96" i="5"/>
  <c r="N97" i="5"/>
  <c r="N98" i="5"/>
  <c r="N104" i="5"/>
  <c r="N105" i="5"/>
  <c r="N106" i="5"/>
  <c r="N107" i="5"/>
  <c r="N108" i="5"/>
  <c r="N112" i="5"/>
  <c r="N113" i="5"/>
  <c r="N114" i="5"/>
  <c r="N341" i="5"/>
  <c r="O2" i="5"/>
  <c r="P2" i="5" s="1"/>
  <c r="O228" i="5"/>
  <c r="O229" i="5"/>
  <c r="O230" i="5"/>
  <c r="O231" i="5"/>
  <c r="O232" i="5"/>
  <c r="O233" i="5"/>
  <c r="O225" i="5"/>
  <c r="P225" i="5" s="1"/>
  <c r="O226" i="5"/>
  <c r="P226" i="5" s="1"/>
  <c r="O234" i="5"/>
  <c r="P234" i="5" s="1"/>
  <c r="O227" i="5"/>
  <c r="P227" i="5" s="1"/>
  <c r="O173" i="5"/>
  <c r="O174" i="5"/>
  <c r="O175" i="5"/>
  <c r="O176" i="5"/>
  <c r="O177" i="5"/>
  <c r="O178" i="5"/>
  <c r="P178" i="5" s="1"/>
  <c r="O179" i="5"/>
  <c r="P179" i="5" s="1"/>
  <c r="O180" i="5"/>
  <c r="O181" i="5"/>
  <c r="P181" i="5" s="1"/>
  <c r="O182" i="5"/>
  <c r="O235" i="5"/>
  <c r="O236" i="5"/>
  <c r="O237" i="5"/>
  <c r="O238" i="5"/>
  <c r="P238" i="5" s="1"/>
  <c r="O239" i="5"/>
  <c r="P239" i="5" s="1"/>
  <c r="O240" i="5"/>
  <c r="O241" i="5"/>
  <c r="O242" i="5"/>
  <c r="P242" i="5" s="1"/>
  <c r="O243" i="5"/>
  <c r="O244" i="5"/>
  <c r="O245" i="5"/>
  <c r="O246" i="5"/>
  <c r="O247" i="5"/>
  <c r="P247" i="5" s="1"/>
  <c r="O248" i="5"/>
  <c r="O249" i="5"/>
  <c r="O250" i="5"/>
  <c r="O251" i="5"/>
  <c r="O252" i="5"/>
  <c r="O253" i="5"/>
  <c r="P253" i="5" s="1"/>
  <c r="O254" i="5"/>
  <c r="P254" i="5" s="1"/>
  <c r="O255" i="5"/>
  <c r="P255" i="5" s="1"/>
  <c r="O183" i="5"/>
  <c r="P183" i="5" s="1"/>
  <c r="O184" i="5"/>
  <c r="O185" i="5"/>
  <c r="O186" i="5"/>
  <c r="O187" i="5"/>
  <c r="O188" i="5"/>
  <c r="P188" i="5" s="1"/>
  <c r="O189" i="5"/>
  <c r="P189" i="5" s="1"/>
  <c r="O190" i="5"/>
  <c r="P190" i="5" s="1"/>
  <c r="O191" i="5"/>
  <c r="O192" i="5"/>
  <c r="O193" i="5"/>
  <c r="O194" i="5"/>
  <c r="P194" i="5" s="1"/>
  <c r="O195" i="5"/>
  <c r="O196" i="5"/>
  <c r="P196" i="5" s="1"/>
  <c r="O197" i="5"/>
  <c r="P197" i="5" s="1"/>
  <c r="O198" i="5"/>
  <c r="P198" i="5" s="1"/>
  <c r="O199" i="5"/>
  <c r="O200" i="5"/>
  <c r="O201" i="5"/>
  <c r="O202" i="5"/>
  <c r="O203" i="5"/>
  <c r="O204" i="5"/>
  <c r="P204" i="5" s="1"/>
  <c r="O205" i="5"/>
  <c r="P205" i="5" s="1"/>
  <c r="O206" i="5"/>
  <c r="P206" i="5" s="1"/>
  <c r="O207" i="5"/>
  <c r="P207" i="5" s="1"/>
  <c r="O208" i="5"/>
  <c r="O209" i="5"/>
  <c r="O210" i="5"/>
  <c r="O211" i="5"/>
  <c r="O212" i="5"/>
  <c r="O213" i="5"/>
  <c r="P213" i="5" s="1"/>
  <c r="O214" i="5"/>
  <c r="P214" i="5" s="1"/>
  <c r="O215" i="5"/>
  <c r="O216" i="5"/>
  <c r="O217" i="5"/>
  <c r="O218" i="5"/>
  <c r="P218" i="5" s="1"/>
  <c r="O219" i="5"/>
  <c r="O220" i="5"/>
  <c r="P220" i="5" s="1"/>
  <c r="O221" i="5"/>
  <c r="P221" i="5" s="1"/>
  <c r="O222" i="5"/>
  <c r="P222" i="5" s="1"/>
  <c r="O223" i="5"/>
  <c r="O224" i="5"/>
  <c r="O257" i="5"/>
  <c r="P257" i="5" s="1"/>
  <c r="O258" i="5"/>
  <c r="P258" i="5" s="1"/>
  <c r="O287" i="5"/>
  <c r="O288" i="5"/>
  <c r="O289" i="5"/>
  <c r="P289" i="5" s="1"/>
  <c r="O290" i="5"/>
  <c r="P290" i="5" s="1"/>
  <c r="O291" i="5"/>
  <c r="O259" i="5"/>
  <c r="O256" i="5"/>
  <c r="O292" i="5"/>
  <c r="O293" i="5"/>
  <c r="O294" i="5"/>
  <c r="P294" i="5" s="1"/>
  <c r="O295" i="5"/>
  <c r="O296" i="5"/>
  <c r="O297" i="5"/>
  <c r="P297" i="5" s="1"/>
  <c r="O298" i="5"/>
  <c r="O299" i="5"/>
  <c r="O300" i="5"/>
  <c r="O301" i="5"/>
  <c r="O302" i="5"/>
  <c r="P302" i="5" s="1"/>
  <c r="O303" i="5"/>
  <c r="P303" i="5" s="1"/>
  <c r="O304" i="5"/>
  <c r="P304" i="5" s="1"/>
  <c r="O305" i="5"/>
  <c r="O306" i="5"/>
  <c r="O307" i="5"/>
  <c r="P307" i="5" s="1"/>
  <c r="O308" i="5"/>
  <c r="O309" i="5"/>
  <c r="O310" i="5"/>
  <c r="P310" i="5" s="1"/>
  <c r="O311" i="5"/>
  <c r="P311" i="5" s="1"/>
  <c r="O312" i="5"/>
  <c r="P312" i="5" s="1"/>
  <c r="O313" i="5"/>
  <c r="P313" i="5" s="1"/>
  <c r="O314" i="5"/>
  <c r="O315" i="5"/>
  <c r="O316" i="5"/>
  <c r="P316" i="5" s="1"/>
  <c r="O317" i="5"/>
  <c r="O318" i="5"/>
  <c r="P318" i="5" s="1"/>
  <c r="O319" i="5"/>
  <c r="P319" i="5" s="1"/>
  <c r="O320" i="5"/>
  <c r="P320" i="5" s="1"/>
  <c r="O321" i="5"/>
  <c r="O322" i="5"/>
  <c r="O323" i="5"/>
  <c r="O324" i="5"/>
  <c r="O325" i="5"/>
  <c r="O260" i="5"/>
  <c r="P260" i="5" s="1"/>
  <c r="O326" i="5"/>
  <c r="P326" i="5" s="1"/>
  <c r="O327" i="5"/>
  <c r="P327" i="5" s="1"/>
  <c r="O261" i="5"/>
  <c r="O262" i="5"/>
  <c r="O263" i="5"/>
  <c r="O264" i="5"/>
  <c r="O265" i="5"/>
  <c r="O266" i="5"/>
  <c r="O267" i="5"/>
  <c r="P267" i="5" s="1"/>
  <c r="O268" i="5"/>
  <c r="P268" i="5" s="1"/>
  <c r="O269" i="5"/>
  <c r="O270" i="5"/>
  <c r="O271" i="5"/>
  <c r="O272" i="5"/>
  <c r="O273" i="5"/>
  <c r="O274" i="5"/>
  <c r="P274" i="5" s="1"/>
  <c r="O275" i="5"/>
  <c r="P275" i="5" s="1"/>
  <c r="O276" i="5"/>
  <c r="P276" i="5" s="1"/>
  <c r="O277" i="5"/>
  <c r="P277" i="5" s="1"/>
  <c r="O278" i="5"/>
  <c r="O279" i="5"/>
  <c r="P279" i="5" s="1"/>
  <c r="O328" i="5"/>
  <c r="O329" i="5"/>
  <c r="O330" i="5"/>
  <c r="O331" i="5"/>
  <c r="P331" i="5" s="1"/>
  <c r="O332" i="5"/>
  <c r="P332" i="5" s="1"/>
  <c r="O333" i="5"/>
  <c r="O334" i="5"/>
  <c r="O335" i="5"/>
  <c r="O280" i="5"/>
  <c r="P280" i="5" s="1"/>
  <c r="O336" i="5"/>
  <c r="O337" i="5"/>
  <c r="P337" i="5" s="1"/>
  <c r="O338" i="5"/>
  <c r="P338" i="5" s="1"/>
  <c r="O281" i="5"/>
  <c r="O282" i="5"/>
  <c r="P282" i="5" s="1"/>
  <c r="O283" i="5"/>
  <c r="O284" i="5"/>
  <c r="O285" i="5"/>
  <c r="O286" i="5"/>
  <c r="O339" i="5"/>
  <c r="P339" i="5" s="1"/>
  <c r="O340" i="5"/>
  <c r="P340" i="5" s="1"/>
  <c r="O115" i="5"/>
  <c r="P115" i="5" s="1"/>
  <c r="O116" i="5"/>
  <c r="P116" i="5" s="1"/>
  <c r="O117" i="5"/>
  <c r="O118" i="5"/>
  <c r="O119" i="5"/>
  <c r="O120" i="5"/>
  <c r="O121" i="5"/>
  <c r="O31" i="5"/>
  <c r="P31" i="5" s="1"/>
  <c r="O32" i="5"/>
  <c r="P32" i="5" s="1"/>
  <c r="O33" i="5"/>
  <c r="P33" i="5" s="1"/>
  <c r="O122" i="5"/>
  <c r="O34" i="5"/>
  <c r="O35" i="5"/>
  <c r="O36" i="5"/>
  <c r="O37" i="5"/>
  <c r="P37" i="5" s="1"/>
  <c r="O38" i="5"/>
  <c r="P38" i="5" s="1"/>
  <c r="O39" i="5"/>
  <c r="P39" i="5" s="1"/>
  <c r="O40" i="5"/>
  <c r="P40" i="5" s="1"/>
  <c r="O41" i="5"/>
  <c r="O42" i="5"/>
  <c r="P42" i="5" s="1"/>
  <c r="O43" i="5"/>
  <c r="P43" i="5" s="1"/>
  <c r="O44" i="5"/>
  <c r="O123" i="5"/>
  <c r="P123" i="5" s="1"/>
  <c r="O124" i="5"/>
  <c r="P124" i="5" s="1"/>
  <c r="O125" i="5"/>
  <c r="P125" i="5" s="1"/>
  <c r="O126" i="5"/>
  <c r="O127" i="5"/>
  <c r="O128" i="5"/>
  <c r="O129" i="5"/>
  <c r="P129" i="5" s="1"/>
  <c r="O130" i="5"/>
  <c r="O131" i="5"/>
  <c r="O132" i="5"/>
  <c r="P132" i="5" s="1"/>
  <c r="O133" i="5"/>
  <c r="P133" i="5" s="1"/>
  <c r="O134" i="5"/>
  <c r="O135" i="5"/>
  <c r="P135" i="5" s="1"/>
  <c r="O136" i="5"/>
  <c r="O137" i="5"/>
  <c r="O138" i="5"/>
  <c r="O139" i="5"/>
  <c r="O140" i="5"/>
  <c r="P140" i="5" s="1"/>
  <c r="O141" i="5"/>
  <c r="O142" i="5"/>
  <c r="P142" i="5" s="1"/>
  <c r="O45" i="5"/>
  <c r="P45" i="5" s="1"/>
  <c r="O46" i="5"/>
  <c r="O3" i="5"/>
  <c r="P3" i="5" s="1"/>
  <c r="O4" i="5"/>
  <c r="P4" i="5" s="1"/>
  <c r="O5" i="5"/>
  <c r="P5" i="5" s="1"/>
  <c r="O6" i="5"/>
  <c r="P6" i="5" s="1"/>
  <c r="O7" i="5"/>
  <c r="P7" i="5" s="1"/>
  <c r="O8" i="5"/>
  <c r="P8" i="5" s="1"/>
  <c r="O9" i="5"/>
  <c r="O10" i="5"/>
  <c r="O11" i="5"/>
  <c r="O12" i="5"/>
  <c r="O13" i="5"/>
  <c r="O14" i="5"/>
  <c r="O15" i="5"/>
  <c r="P15" i="5" s="1"/>
  <c r="O16" i="5"/>
  <c r="O17" i="5"/>
  <c r="O18" i="5"/>
  <c r="O47" i="5"/>
  <c r="O19" i="5"/>
  <c r="O20" i="5"/>
  <c r="P20" i="5" s="1"/>
  <c r="O48" i="5"/>
  <c r="P48" i="5" s="1"/>
  <c r="O49" i="5"/>
  <c r="P49" i="5" s="1"/>
  <c r="O50" i="5"/>
  <c r="P50" i="5" s="1"/>
  <c r="O51" i="5"/>
  <c r="O52" i="5"/>
  <c r="O53" i="5"/>
  <c r="P53" i="5" s="1"/>
  <c r="O54" i="5"/>
  <c r="P54" i="5" s="1"/>
  <c r="O55" i="5"/>
  <c r="P55" i="5" s="1"/>
  <c r="O21" i="5"/>
  <c r="P21" i="5" s="1"/>
  <c r="O56" i="5"/>
  <c r="P56" i="5" s="1"/>
  <c r="O22" i="5"/>
  <c r="P22" i="5" s="1"/>
  <c r="O23" i="5"/>
  <c r="O24" i="5"/>
  <c r="O25" i="5"/>
  <c r="O26" i="5"/>
  <c r="O27" i="5"/>
  <c r="P27" i="5" s="1"/>
  <c r="O28" i="5"/>
  <c r="P28" i="5" s="1"/>
  <c r="O29" i="5"/>
  <c r="O30" i="5"/>
  <c r="O143" i="5"/>
  <c r="O170" i="5"/>
  <c r="P170" i="5" s="1"/>
  <c r="O171" i="5"/>
  <c r="P171" i="5" s="1"/>
  <c r="O144" i="5"/>
  <c r="O145" i="5"/>
  <c r="P145" i="5" s="1"/>
  <c r="O146" i="5"/>
  <c r="P146" i="5" s="1"/>
  <c r="O147" i="5"/>
  <c r="P147" i="5" s="1"/>
  <c r="O57" i="5"/>
  <c r="P57" i="5" s="1"/>
  <c r="O58" i="5"/>
  <c r="O59" i="5"/>
  <c r="O60" i="5"/>
  <c r="P60" i="5" s="1"/>
  <c r="O148" i="5"/>
  <c r="O61" i="5"/>
  <c r="O62" i="5"/>
  <c r="P62" i="5" s="1"/>
  <c r="O63" i="5"/>
  <c r="P63" i="5" s="1"/>
  <c r="O64" i="5"/>
  <c r="P64" i="5" s="1"/>
  <c r="O65" i="5"/>
  <c r="P65" i="5" s="1"/>
  <c r="O66" i="5"/>
  <c r="O67" i="5"/>
  <c r="O68" i="5"/>
  <c r="O69" i="5"/>
  <c r="O70" i="5"/>
  <c r="O71" i="5"/>
  <c r="P71" i="5" s="1"/>
  <c r="O149" i="5"/>
  <c r="O150" i="5"/>
  <c r="O151" i="5"/>
  <c r="P151" i="5" s="1"/>
  <c r="O152" i="5"/>
  <c r="O153" i="5"/>
  <c r="P153" i="5" s="1"/>
  <c r="O154" i="5"/>
  <c r="O155" i="5"/>
  <c r="P155" i="5" s="1"/>
  <c r="O156" i="5"/>
  <c r="P156" i="5" s="1"/>
  <c r="O157" i="5"/>
  <c r="P157" i="5" s="1"/>
  <c r="O158" i="5"/>
  <c r="O159" i="5"/>
  <c r="O160" i="5"/>
  <c r="O161" i="5"/>
  <c r="O162" i="5"/>
  <c r="P162" i="5" s="1"/>
  <c r="O163" i="5"/>
  <c r="P163" i="5" s="1"/>
  <c r="O164" i="5"/>
  <c r="P164" i="5" s="1"/>
  <c r="O165" i="5"/>
  <c r="O166" i="5"/>
  <c r="O167" i="5"/>
  <c r="O168" i="5"/>
  <c r="O169" i="5"/>
  <c r="O172" i="5"/>
  <c r="P172" i="5" s="1"/>
  <c r="O72" i="5"/>
  <c r="P72" i="5" s="1"/>
  <c r="O73" i="5"/>
  <c r="P73" i="5" s="1"/>
  <c r="O74" i="5"/>
  <c r="O75" i="5"/>
  <c r="O76" i="5"/>
  <c r="O77" i="5"/>
  <c r="P77" i="5" s="1"/>
  <c r="O78" i="5"/>
  <c r="O79" i="5"/>
  <c r="O80" i="5"/>
  <c r="P80" i="5" s="1"/>
  <c r="O81" i="5"/>
  <c r="O82" i="5"/>
  <c r="O83" i="5"/>
  <c r="O84" i="5"/>
  <c r="O85" i="5"/>
  <c r="O86" i="5"/>
  <c r="O87" i="5"/>
  <c r="P87" i="5" s="1"/>
  <c r="O88" i="5"/>
  <c r="O89" i="5"/>
  <c r="P89" i="5" s="1"/>
  <c r="O90" i="5"/>
  <c r="O91" i="5"/>
  <c r="O92" i="5"/>
  <c r="O93" i="5"/>
  <c r="O94" i="5"/>
  <c r="O95" i="5"/>
  <c r="P95" i="5" s="1"/>
  <c r="O96" i="5"/>
  <c r="P96" i="5" s="1"/>
  <c r="O97" i="5"/>
  <c r="P97" i="5" s="1"/>
  <c r="O98" i="5"/>
  <c r="O99" i="5"/>
  <c r="O100" i="5"/>
  <c r="O101" i="5"/>
  <c r="O102" i="5"/>
  <c r="O103" i="5"/>
  <c r="O104" i="5"/>
  <c r="P104" i="5" s="1"/>
  <c r="O105" i="5"/>
  <c r="P105" i="5" s="1"/>
  <c r="O106" i="5"/>
  <c r="O107" i="5"/>
  <c r="P107" i="5" s="1"/>
  <c r="O108" i="5"/>
  <c r="O109" i="5"/>
  <c r="O110" i="5"/>
  <c r="O111" i="5"/>
  <c r="O112" i="5"/>
  <c r="O113" i="5"/>
  <c r="O114" i="5"/>
  <c r="O341" i="5"/>
  <c r="P341" i="5" s="1"/>
  <c r="P230" i="5"/>
  <c r="P173" i="5"/>
  <c r="P174" i="5"/>
  <c r="P176" i="5"/>
  <c r="P177" i="5"/>
  <c r="P241" i="5"/>
  <c r="P245" i="5"/>
  <c r="P246" i="5"/>
  <c r="P249" i="5"/>
  <c r="P250" i="5"/>
  <c r="P193" i="5"/>
  <c r="P201" i="5"/>
  <c r="P203" i="5"/>
  <c r="P208" i="5"/>
  <c r="P259" i="5"/>
  <c r="P292" i="5"/>
  <c r="P295" i="5"/>
  <c r="P296" i="5"/>
  <c r="P298" i="5"/>
  <c r="P314" i="5"/>
  <c r="P317" i="5"/>
  <c r="P322" i="5"/>
  <c r="P325" i="5"/>
  <c r="P262" i="5"/>
  <c r="P281" i="5"/>
  <c r="P286" i="5"/>
  <c r="P34" i="5"/>
  <c r="P35" i="5"/>
  <c r="P36" i="5"/>
  <c r="P41" i="5"/>
  <c r="P44" i="5"/>
  <c r="P139" i="5"/>
  <c r="P13" i="5"/>
  <c r="P14" i="5"/>
  <c r="P17" i="5"/>
  <c r="P19" i="5"/>
  <c r="P51" i="5"/>
  <c r="P25" i="5"/>
  <c r="P143" i="5"/>
  <c r="P58" i="5"/>
  <c r="P69" i="5"/>
  <c r="P70" i="5"/>
  <c r="P166" i="5"/>
  <c r="P83" i="5"/>
  <c r="P111" i="5"/>
  <c r="Q2" i="5"/>
  <c r="Q228" i="5"/>
  <c r="Q229" i="5"/>
  <c r="Q230" i="5"/>
  <c r="Q231" i="5"/>
  <c r="Q232" i="5"/>
  <c r="Q233" i="5"/>
  <c r="Q225" i="5"/>
  <c r="Q226" i="5"/>
  <c r="Q234" i="5"/>
  <c r="Q227" i="5"/>
  <c r="Q173" i="5"/>
  <c r="Q174" i="5"/>
  <c r="Q175" i="5"/>
  <c r="Q176" i="5"/>
  <c r="Q177" i="5"/>
  <c r="Q178" i="5"/>
  <c r="Q179" i="5"/>
  <c r="Q180" i="5"/>
  <c r="Q181" i="5"/>
  <c r="Q182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57" i="5"/>
  <c r="Q258" i="5"/>
  <c r="Q287" i="5"/>
  <c r="Q288" i="5"/>
  <c r="Q289" i="5"/>
  <c r="Q290" i="5"/>
  <c r="Q291" i="5"/>
  <c r="Q259" i="5"/>
  <c r="Q256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260" i="5"/>
  <c r="Q326" i="5"/>
  <c r="Q327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328" i="5"/>
  <c r="Q329" i="5"/>
  <c r="Q330" i="5"/>
  <c r="Q331" i="5"/>
  <c r="Q332" i="5"/>
  <c r="Q333" i="5"/>
  <c r="Q334" i="5"/>
  <c r="Q335" i="5"/>
  <c r="Q280" i="5"/>
  <c r="Q336" i="5"/>
  <c r="Q337" i="5"/>
  <c r="Q338" i="5"/>
  <c r="Q281" i="5"/>
  <c r="Q282" i="5"/>
  <c r="Q283" i="5"/>
  <c r="Q284" i="5"/>
  <c r="Q285" i="5"/>
  <c r="Q286" i="5"/>
  <c r="Q339" i="5"/>
  <c r="Q340" i="5"/>
  <c r="Q115" i="5"/>
  <c r="Q116" i="5"/>
  <c r="Q117" i="5"/>
  <c r="Q118" i="5"/>
  <c r="Q119" i="5"/>
  <c r="Q120" i="5"/>
  <c r="Q121" i="5"/>
  <c r="Q31" i="5"/>
  <c r="Q32" i="5"/>
  <c r="Q33" i="5"/>
  <c r="Q122" i="5"/>
  <c r="Q34" i="5"/>
  <c r="Q35" i="5"/>
  <c r="Q36" i="5"/>
  <c r="Q37" i="5"/>
  <c r="Q38" i="5"/>
  <c r="Q39" i="5"/>
  <c r="Q40" i="5"/>
  <c r="Q41" i="5"/>
  <c r="Q42" i="5"/>
  <c r="Q43" i="5"/>
  <c r="Q44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45" i="5"/>
  <c r="Q46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47" i="5"/>
  <c r="Q19" i="5"/>
  <c r="Q20" i="5"/>
  <c r="Q48" i="5"/>
  <c r="Q49" i="5"/>
  <c r="Q50" i="5"/>
  <c r="Q51" i="5"/>
  <c r="Q52" i="5"/>
  <c r="Q53" i="5"/>
  <c r="Q54" i="5"/>
  <c r="Q55" i="5"/>
  <c r="Q21" i="5"/>
  <c r="Q56" i="5"/>
  <c r="Q22" i="5"/>
  <c r="Q23" i="5"/>
  <c r="Q24" i="5"/>
  <c r="Q25" i="5"/>
  <c r="Q26" i="5"/>
  <c r="Q27" i="5"/>
  <c r="Q28" i="5"/>
  <c r="Q29" i="5"/>
  <c r="Q30" i="5"/>
  <c r="Q143" i="5"/>
  <c r="Q170" i="5"/>
  <c r="Q171" i="5"/>
  <c r="Q144" i="5"/>
  <c r="Q145" i="5"/>
  <c r="Q146" i="5"/>
  <c r="Q147" i="5"/>
  <c r="Q57" i="5"/>
  <c r="Q58" i="5"/>
  <c r="Q59" i="5"/>
  <c r="Q60" i="5"/>
  <c r="Q148" i="5"/>
  <c r="Q61" i="5"/>
  <c r="Q62" i="5"/>
  <c r="Q63" i="5"/>
  <c r="Q64" i="5"/>
  <c r="Q65" i="5"/>
  <c r="Q66" i="5"/>
  <c r="Q67" i="5"/>
  <c r="Q68" i="5"/>
  <c r="Q69" i="5"/>
  <c r="Q70" i="5"/>
  <c r="Q71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2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341" i="5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N85" i="5" l="1"/>
  <c r="N35" i="5"/>
  <c r="P29" i="5"/>
  <c r="P228" i="5"/>
  <c r="N160" i="5"/>
  <c r="N60" i="5"/>
  <c r="N53" i="5"/>
  <c r="N280" i="5"/>
  <c r="N264" i="5"/>
  <c r="N308" i="5"/>
  <c r="N218" i="5"/>
  <c r="N186" i="5"/>
  <c r="N175" i="5"/>
  <c r="P175" i="5" s="1"/>
  <c r="N168" i="5"/>
  <c r="P168" i="5" s="1"/>
  <c r="N67" i="5"/>
  <c r="N43" i="5"/>
  <c r="N285" i="5"/>
  <c r="N272" i="5"/>
  <c r="P272" i="5" s="1"/>
  <c r="N258" i="5"/>
  <c r="N194" i="5"/>
  <c r="N235" i="5"/>
  <c r="P235" i="5" s="1"/>
  <c r="N93" i="5"/>
  <c r="P93" i="5" s="1"/>
  <c r="N316" i="5"/>
  <c r="P85" i="5"/>
  <c r="P67" i="5"/>
  <c r="P119" i="5"/>
  <c r="P328" i="5"/>
  <c r="P264" i="5"/>
  <c r="P308" i="5"/>
  <c r="P300" i="5"/>
  <c r="P186" i="5"/>
  <c r="N101" i="5"/>
  <c r="P101" i="5" s="1"/>
  <c r="N77" i="5"/>
  <c r="N166" i="5"/>
  <c r="N11" i="5"/>
  <c r="N129" i="5"/>
  <c r="N119" i="5"/>
  <c r="N283" i="5"/>
  <c r="P283" i="5" s="1"/>
  <c r="N314" i="5"/>
  <c r="N292" i="5"/>
  <c r="N224" i="5"/>
  <c r="N202" i="5"/>
  <c r="P202" i="5" s="1"/>
  <c r="N243" i="5"/>
  <c r="P243" i="5" s="1"/>
  <c r="P52" i="5"/>
  <c r="P185" i="5"/>
  <c r="P112" i="5"/>
  <c r="N100" i="5"/>
  <c r="N76" i="5"/>
  <c r="P76" i="5" s="1"/>
  <c r="N152" i="5"/>
  <c r="P152" i="5" s="1"/>
  <c r="N128" i="5"/>
  <c r="P128" i="5" s="1"/>
  <c r="N118" i="5"/>
  <c r="P118" i="5" s="1"/>
  <c r="N328" i="5"/>
  <c r="M37" i="5"/>
  <c r="M339" i="5"/>
  <c r="M318" i="5"/>
  <c r="M302" i="5"/>
  <c r="N25" i="5"/>
  <c r="N109" i="5"/>
  <c r="P109" i="5" s="1"/>
  <c r="N99" i="5"/>
  <c r="N75" i="5"/>
  <c r="P75" i="5" s="1"/>
  <c r="N150" i="5"/>
  <c r="N171" i="5"/>
  <c r="N47" i="5"/>
  <c r="P47" i="5" s="1"/>
  <c r="N137" i="5"/>
  <c r="P137" i="5" s="1"/>
  <c r="N127" i="5"/>
  <c r="P127" i="5" s="1"/>
  <c r="N117" i="5"/>
  <c r="P117" i="5" s="1"/>
  <c r="N278" i="5"/>
  <c r="N324" i="5"/>
  <c r="P324" i="5" s="1"/>
  <c r="N300" i="5"/>
  <c r="N210" i="5"/>
  <c r="P210" i="5" s="1"/>
  <c r="N200" i="5"/>
  <c r="P200" i="5" s="1"/>
  <c r="N251" i="5"/>
  <c r="P251" i="5" s="1"/>
  <c r="N232" i="5"/>
  <c r="P232" i="5" s="1"/>
  <c r="M27" i="5"/>
  <c r="M20" i="5"/>
  <c r="P285" i="5"/>
  <c r="M103" i="5"/>
  <c r="N103" i="5"/>
  <c r="P103" i="5" s="1"/>
  <c r="M79" i="5"/>
  <c r="N79" i="5"/>
  <c r="N154" i="5"/>
  <c r="P154" i="5" s="1"/>
  <c r="M154" i="5"/>
  <c r="M61" i="5"/>
  <c r="N61" i="5"/>
  <c r="P61" i="5" s="1"/>
  <c r="M55" i="5"/>
  <c r="N55" i="5"/>
  <c r="N5" i="5"/>
  <c r="M5" i="5"/>
  <c r="M131" i="5"/>
  <c r="N131" i="5"/>
  <c r="P131" i="5" s="1"/>
  <c r="M121" i="5"/>
  <c r="N121" i="5"/>
  <c r="N330" i="5"/>
  <c r="P330" i="5" s="1"/>
  <c r="M330" i="5"/>
  <c r="M266" i="5"/>
  <c r="N266" i="5"/>
  <c r="P266" i="5" s="1"/>
  <c r="M310" i="5"/>
  <c r="N310" i="5"/>
  <c r="N288" i="5"/>
  <c r="P288" i="5" s="1"/>
  <c r="M288" i="5"/>
  <c r="M212" i="5"/>
  <c r="N212" i="5"/>
  <c r="P212" i="5" s="1"/>
  <c r="M188" i="5"/>
  <c r="N188" i="5"/>
  <c r="N237" i="5"/>
  <c r="P237" i="5" s="1"/>
  <c r="M237" i="5"/>
  <c r="M225" i="5"/>
  <c r="N225" i="5"/>
  <c r="P100" i="5"/>
  <c r="P167" i="5"/>
  <c r="P59" i="5"/>
  <c r="P18" i="5"/>
  <c r="P284" i="5"/>
  <c r="P263" i="5"/>
  <c r="P299" i="5"/>
  <c r="P209" i="5"/>
  <c r="P231" i="5"/>
  <c r="M111" i="5"/>
  <c r="M110" i="5"/>
  <c r="N110" i="5"/>
  <c r="P110" i="5" s="1"/>
  <c r="M102" i="5"/>
  <c r="N102" i="5"/>
  <c r="P102" i="5" s="1"/>
  <c r="M94" i="5"/>
  <c r="N94" i="5"/>
  <c r="P94" i="5" s="1"/>
  <c r="M86" i="5"/>
  <c r="N86" i="5"/>
  <c r="P86" i="5" s="1"/>
  <c r="M78" i="5"/>
  <c r="N78" i="5"/>
  <c r="P78" i="5" s="1"/>
  <c r="M169" i="5"/>
  <c r="N169" i="5"/>
  <c r="P169" i="5" s="1"/>
  <c r="M161" i="5"/>
  <c r="N161" i="5"/>
  <c r="P161" i="5" s="1"/>
  <c r="M153" i="5"/>
  <c r="N153" i="5"/>
  <c r="M68" i="5"/>
  <c r="N68" i="5"/>
  <c r="P68" i="5" s="1"/>
  <c r="M148" i="5"/>
  <c r="N148" i="5"/>
  <c r="P148" i="5" s="1"/>
  <c r="M144" i="5"/>
  <c r="N144" i="5"/>
  <c r="P144" i="5" s="1"/>
  <c r="M26" i="5"/>
  <c r="N26" i="5"/>
  <c r="P26" i="5" s="1"/>
  <c r="M54" i="5"/>
  <c r="N54" i="5"/>
  <c r="M19" i="5"/>
  <c r="N19" i="5"/>
  <c r="M12" i="5"/>
  <c r="N12" i="5"/>
  <c r="P12" i="5" s="1"/>
  <c r="M4" i="5"/>
  <c r="N4" i="5"/>
  <c r="M138" i="5"/>
  <c r="N138" i="5"/>
  <c r="P138" i="5" s="1"/>
  <c r="M130" i="5"/>
  <c r="N130" i="5"/>
  <c r="P130" i="5" s="1"/>
  <c r="M44" i="5"/>
  <c r="N44" i="5"/>
  <c r="M36" i="5"/>
  <c r="N36" i="5"/>
  <c r="M120" i="5"/>
  <c r="N120" i="5"/>
  <c r="P120" i="5" s="1"/>
  <c r="M286" i="5"/>
  <c r="N286" i="5"/>
  <c r="M336" i="5"/>
  <c r="N336" i="5"/>
  <c r="P336" i="5" s="1"/>
  <c r="M329" i="5"/>
  <c r="N329" i="5"/>
  <c r="P329" i="5" s="1"/>
  <c r="M273" i="5"/>
  <c r="N273" i="5"/>
  <c r="P273" i="5" s="1"/>
  <c r="M265" i="5"/>
  <c r="N265" i="5"/>
  <c r="P265" i="5" s="1"/>
  <c r="M325" i="5"/>
  <c r="N325" i="5"/>
  <c r="M317" i="5"/>
  <c r="N317" i="5"/>
  <c r="M309" i="5"/>
  <c r="N309" i="5"/>
  <c r="P309" i="5" s="1"/>
  <c r="M301" i="5"/>
  <c r="N301" i="5"/>
  <c r="P301" i="5" s="1"/>
  <c r="M293" i="5"/>
  <c r="N293" i="5"/>
  <c r="P293" i="5" s="1"/>
  <c r="M287" i="5"/>
  <c r="N287" i="5"/>
  <c r="P287" i="5" s="1"/>
  <c r="M219" i="5"/>
  <c r="N219" i="5"/>
  <c r="P219" i="5" s="1"/>
  <c r="M211" i="5"/>
  <c r="N211" i="5"/>
  <c r="P211" i="5" s="1"/>
  <c r="M203" i="5"/>
  <c r="N203" i="5"/>
  <c r="M195" i="5"/>
  <c r="N195" i="5"/>
  <c r="P195" i="5" s="1"/>
  <c r="M187" i="5"/>
  <c r="N187" i="5"/>
  <c r="P187" i="5" s="1"/>
  <c r="M252" i="5"/>
  <c r="N252" i="5"/>
  <c r="P252" i="5" s="1"/>
  <c r="M244" i="5"/>
  <c r="N244" i="5"/>
  <c r="P244" i="5" s="1"/>
  <c r="M236" i="5"/>
  <c r="N236" i="5"/>
  <c r="P236" i="5" s="1"/>
  <c r="M176" i="5"/>
  <c r="N176" i="5"/>
  <c r="M233" i="5"/>
  <c r="N233" i="5"/>
  <c r="P233" i="5" s="1"/>
  <c r="M95" i="5"/>
  <c r="M145" i="5"/>
  <c r="P113" i="5"/>
  <c r="P81" i="5"/>
  <c r="P88" i="5"/>
  <c r="N84" i="5"/>
  <c r="P84" i="5" s="1"/>
  <c r="N151" i="5"/>
  <c r="N24" i="5"/>
  <c r="P24" i="5" s="1"/>
  <c r="N46" i="5"/>
  <c r="P46" i="5" s="1"/>
  <c r="N34" i="5"/>
  <c r="N279" i="5"/>
  <c r="N315" i="5"/>
  <c r="P315" i="5" s="1"/>
  <c r="P182" i="5"/>
  <c r="M13" i="5"/>
  <c r="M139" i="5"/>
  <c r="P79" i="5"/>
  <c r="P121" i="5"/>
  <c r="P160" i="5"/>
  <c r="P11" i="5"/>
  <c r="M87" i="5"/>
  <c r="M172" i="5"/>
  <c r="M123" i="5"/>
  <c r="M196" i="5"/>
  <c r="M253" i="5"/>
  <c r="P108" i="5"/>
  <c r="P66" i="5"/>
  <c r="P141" i="5"/>
  <c r="N92" i="5"/>
  <c r="P92" i="5" s="1"/>
  <c r="N159" i="5"/>
  <c r="P159" i="5" s="1"/>
  <c r="N170" i="5"/>
  <c r="N10" i="5"/>
  <c r="P10" i="5" s="1"/>
  <c r="N42" i="5"/>
  <c r="N335" i="5"/>
  <c r="P335" i="5" s="1"/>
  <c r="N323" i="5"/>
  <c r="P323" i="5" s="1"/>
  <c r="P256" i="5"/>
  <c r="M337" i="5"/>
  <c r="M274" i="5"/>
  <c r="P99" i="5"/>
  <c r="P150" i="5"/>
  <c r="P278" i="5"/>
  <c r="P270" i="5"/>
  <c r="P224" i="5"/>
  <c r="P216" i="5"/>
  <c r="P114" i="5"/>
  <c r="P106" i="5"/>
  <c r="P98" i="5"/>
  <c r="P90" i="5"/>
  <c r="P82" i="5"/>
  <c r="P74" i="5"/>
  <c r="P165" i="5"/>
  <c r="P149" i="5"/>
  <c r="P30" i="5"/>
  <c r="P16" i="5"/>
  <c r="P134" i="5"/>
  <c r="P126" i="5"/>
  <c r="P333" i="5"/>
  <c r="P269" i="5"/>
  <c r="P261" i="5"/>
  <c r="P321" i="5"/>
  <c r="P305" i="5"/>
  <c r="P291" i="5"/>
  <c r="P223" i="5"/>
  <c r="P215" i="5"/>
  <c r="P199" i="5"/>
  <c r="P191" i="5"/>
  <c r="P248" i="5"/>
  <c r="P240" i="5"/>
  <c r="P180" i="5"/>
  <c r="P229" i="5"/>
  <c r="K7" i="8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FD3B2-8356-441F-947B-6941990BB748}" keepAlive="1" name="Consulta - Errores en Tabla2 (2)" description="Conexión a la consulta 'Errores en Tabla2 (2)' en el libro." type="5" refreshedVersion="0" background="1">
    <dbPr connection="Provider=Microsoft.Mashup.OleDb.1;Data Source=$Workbook$;Location=&quot;Errores en Tabla2 (2)&quot;;Extended Properties=&quot;&quot;" command="SELECT * FROM [Errores en Tabla2 (2)]"/>
  </connection>
  <connection id="2" xr16:uid="{71BDF42B-3F4E-4244-9118-E9B987176825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3" xr16:uid="{1547C4EA-4CA0-48B9-8457-0A1BCB87B976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</connections>
</file>

<file path=xl/sharedStrings.xml><?xml version="1.0" encoding="utf-8"?>
<sst xmlns="http://schemas.openxmlformats.org/spreadsheetml/2006/main" count="12135" uniqueCount="298">
  <si>
    <t>EJECUCION DEL PLAN</t>
  </si>
  <si>
    <t>CIUDAD</t>
  </si>
  <si>
    <t>#PDV Obj.</t>
  </si>
  <si>
    <t>#PDV Eje.</t>
  </si>
  <si>
    <t>.% Ejecucion</t>
  </si>
  <si>
    <t>Obj Mystery</t>
  </si>
  <si>
    <t>Mystery Eje.</t>
  </si>
  <si>
    <t>% Efectividad.</t>
  </si>
  <si>
    <t>BOGOTA</t>
  </si>
  <si>
    <t>CALI</t>
  </si>
  <si>
    <t>Total general</t>
  </si>
  <si>
    <t>MYSTERY POR CLUSTER</t>
  </si>
  <si>
    <t>Suma de % MYSTERY</t>
  </si>
  <si>
    <t>Etiquetas de columna</t>
  </si>
  <si>
    <t>CLUSTER</t>
  </si>
  <si>
    <t>ESPECIALIZADO</t>
  </si>
  <si>
    <t>MODERNO</t>
  </si>
  <si>
    <t>HORARIO</t>
  </si>
  <si>
    <t>LABOR DE VENTA</t>
  </si>
  <si>
    <t>ABORDAJE</t>
  </si>
  <si>
    <t>UNIFORME</t>
  </si>
  <si>
    <t>PORTAFOLIO Y MANEJO DE OBJECIONES</t>
  </si>
  <si>
    <t>MYSTERY POR CLUSTER - CIUDAD</t>
  </si>
  <si>
    <t>MYSTERY EFECTIVO</t>
  </si>
  <si>
    <t>SI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</si>
  <si>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</si>
  <si>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</si>
  <si>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</si>
  <si>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</si>
  <si>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</si>
  <si>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</si>
  <si>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</si>
  <si>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RTA</t>
  </si>
  <si>
    <t>FECHA VISITA</t>
  </si>
  <si>
    <t>CODIGO RUTA</t>
  </si>
  <si>
    <t>USUARIO</t>
  </si>
  <si>
    <t>TOTAL PUNTAJE</t>
  </si>
  <si>
    <t>RTA CORRECTA</t>
  </si>
  <si>
    <t>PUNTAJE OBTENIDO</t>
  </si>
  <si>
    <t>NESTLE PURINA</t>
  </si>
  <si>
    <t>¿CUMPLE HORARIO DE ENTRADA O SALIDA DE LA TIENDA?</t>
  </si>
  <si>
    <t>SE PRESENTARON OBJECIONES</t>
  </si>
  <si>
    <t>DE QUE TIPO ES LA OBJECION</t>
  </si>
  <si>
    <t>EL UNIFORME Y ZAPATOS SE ENCUENTRAN LIMPIOS Y EN BUEN ESTADO</t>
  </si>
  <si>
    <t>CUENTA CON CALZADO DE ACUERDO AL UNIFORME</t>
  </si>
  <si>
    <t>CONSIDERO QUE INDEPENDIENTEMENTE DEL SPEECH, LA LABOR DE VENTA ES BUENA</t>
  </si>
  <si>
    <t>USA ACCESORIOS QUE NO CUMPLE CON EL CODIGO DE VESTIMENTA</t>
  </si>
  <si>
    <t>TIENE UÑAS LLAMATIVAS Y/O LARGAS QUE NO CUMPLE CON EL CODIGO DE VESTIMENTA</t>
  </si>
  <si>
    <t>TIENE TATUAJES O PIERCINGS VISIBLES QUE NO CUMPLE CON EL CODIGO DE VESTIMENTA</t>
  </si>
  <si>
    <t>SU CABELLO LUCE LIMPIO, ORGANIZADO O RECOGIDO</t>
  </si>
  <si>
    <t>SE ENCUENTRA LIMPIA EL AREA DE DEMOSTRACION</t>
  </si>
  <si>
    <t>RESUELVE LA OBJECION SATISFACTORIAMENTE</t>
  </si>
  <si>
    <t>PRESENTA EXCESO DE MAQUILLAJE QUE NO CUMPLE CON EL CODIGO DE VESTIMENTA</t>
  </si>
  <si>
    <t>NestleP.2</t>
  </si>
  <si>
    <t>VUM</t>
  </si>
  <si>
    <t>NOMBRE PDV</t>
  </si>
  <si>
    <t>DIRECCION</t>
  </si>
  <si>
    <t>Objetivo Mystery</t>
  </si>
  <si>
    <t>#PDV Objetivos</t>
  </si>
  <si>
    <t>#PDV Ejecutados</t>
  </si>
  <si>
    <t># Visitas</t>
  </si>
  <si>
    <t>Mystery Ejecutado</t>
  </si>
  <si>
    <t>BARRANQUILLA</t>
  </si>
  <si>
    <t>TRADICIONAL</t>
  </si>
  <si>
    <t>CR 29 # 19-64</t>
  </si>
  <si>
    <t>FECHA</t>
  </si>
  <si>
    <t>NOVEDAD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</si>
  <si>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</si>
  <si>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</si>
  <si>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</si>
  <si>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</si>
  <si>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</si>
  <si>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</si>
  <si>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</si>
  <si>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</si>
  <si>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</si>
  <si>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</si>
  <si>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</si>
  <si>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</si>
  <si>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</si>
  <si>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</si>
  <si>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</si>
  <si>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</si>
  <si>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</si>
  <si>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</si>
  <si>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</si>
  <si>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>Impulso</t>
  </si>
  <si>
    <t/>
  </si>
  <si>
    <t>PRODUCTIVIDAD</t>
  </si>
  <si>
    <t>CAMILO MONTAÑO RESTREPO</t>
  </si>
  <si>
    <t>camilo.montano</t>
  </si>
  <si>
    <t>N/A</t>
  </si>
  <si>
    <t>PACIFICO</t>
  </si>
  <si>
    <t>CENTRO</t>
  </si>
  <si>
    <t xml:space="preserve">User 2 </t>
  </si>
  <si>
    <t>PESO</t>
  </si>
  <si>
    <t>TIPO</t>
  </si>
  <si>
    <t>UNICA</t>
  </si>
  <si>
    <t>MULTIPLE</t>
  </si>
  <si>
    <t>OFRECIO ALGUN PRODUCTO DEL PORTAFOLIO PURINA DE PRODUCTOS HUMEDOS, SNACK U OTROS COMUNICANDO LOS BENEFICIOS DEL PRODUCTO</t>
  </si>
  <si>
    <t>CUENTA CON PANTALON DEL UNIFORME SEGUN EL CARGO (NEGRO / ROJO / TURQUESA / JEAN)</t>
  </si>
  <si>
    <t>OFRECIO ALGUN PRODUCTO DEL PORTAFOLIO PURINA DE PRODUCTOS SECOS COMUNICANDO LOS BENEFICIOS DEL PRODUCTO</t>
  </si>
  <si>
    <t>QUE CANAL VA A REALIZAR</t>
  </si>
  <si>
    <t>MERCAFAMILIAR LAS PALMAS S.A.S.</t>
  </si>
  <si>
    <t>NINGUNO</t>
  </si>
  <si>
    <t>OLIMPICA 405 PLAZA DE LAS AMERICAS</t>
  </si>
  <si>
    <t>CANAL MODERNO</t>
  </si>
  <si>
    <t>SERVICE CAN COLOMBIA</t>
  </si>
  <si>
    <t xml:space="preserve">CL CL 20A # 103A-15 </t>
  </si>
  <si>
    <t>TV 64A # 26-50</t>
  </si>
  <si>
    <t>AHORRE MAS</t>
  </si>
  <si>
    <t>CR 111A # 22A - 23</t>
  </si>
  <si>
    <t>TOTAL GENERAL</t>
  </si>
  <si>
    <t>PESO CLUSTER</t>
  </si>
  <si>
    <t xml:space="preserve">User 1 </t>
  </si>
  <si>
    <t>NestleP.1</t>
  </si>
  <si>
    <t>AGRO/PSHOP/VET</t>
  </si>
  <si>
    <t>Asesor no Encontrado en primera visita</t>
  </si>
  <si>
    <t>NO</t>
  </si>
  <si>
    <t>Columna1</t>
  </si>
  <si>
    <t>(Todas)</t>
  </si>
  <si>
    <t>COSTA</t>
  </si>
  <si>
    <t xml:space="preserve">v </t>
  </si>
  <si>
    <t>SI(O(G17="Dog Chow";G17="Cat Chow";G17="Alpo";G17="Gatsy";G17="Feliz");N17;0)</t>
  </si>
  <si>
    <t>SI(O(G29="Dog Chow húmedo";G29="Cat Chow húmedo";G29="Fancy Feast";G29="Felix";G29="Proplan húmedo";G29="One húmedo";G29="Snack Abrazzos";G29="Snak Dentalife";G29="Arenilla Tidy Cat");N29;0)</t>
  </si>
  <si>
    <t>SUPERETE</t>
  </si>
  <si>
    <t>SUPERETES</t>
  </si>
  <si>
    <t>LA CASA DE LOS TENDEROS</t>
  </si>
  <si>
    <t>0</t>
  </si>
  <si>
    <t>Mercadeo</t>
  </si>
  <si>
    <t>1</t>
  </si>
  <si>
    <t>MISTERY SHOPPER - IMPULSO MARZ0 2025 V0</t>
  </si>
  <si>
    <t>13/03/2025 18:51:58</t>
  </si>
  <si>
    <t>13/03/2025 18:58:17</t>
  </si>
  <si>
    <t xml:space="preserve">User 7 </t>
  </si>
  <si>
    <t>NestleP.7</t>
  </si>
  <si>
    <t>CUENTA CON CAMISA DEL UNIFORME Y LOGOS SEGÚN EL CARGO (NEGRA / GRIS / ROJA / TURQUESA) (PERMITIDO USAR DEBAJO DE CAMISA BUSO MANGA LARGA NEGRO)</t>
  </si>
  <si>
    <t>POSEE ALGUNA PRENDA ENCIMA DEL UNIFORME NO AUTORIZADA POR LA MARCA (SOLO PERMITIDO CHALECO DE SODIMAC Y EASY)</t>
  </si>
  <si>
    <t>SE PRODUCE ABORDO PROACTIVO (ANTES DE LOS 3 MIN)</t>
  </si>
  <si>
    <t>M. OFRECE PURINA ONE: (APLICA SOLO EN CANAL MODERNO, CADENAS, SI EL PRODUCTO ESTA EN EL PDV)</t>
  </si>
  <si>
    <t>M. MENCIONA QUE LOS RESULTADOS DE PURINA ONE SON VISIBLES EN 28 DIAS?</t>
  </si>
  <si>
    <t>M. MENCIONA QUE TIENE CARNE DE VERDAD COMO INGREDIENTE NO.1 E INGREDIENTES NATURALES Y FUNCIONALES?</t>
  </si>
  <si>
    <t>M. MENCIONA QUE PURINA ONE CUENTA CON ALIMENTO HUMEDO Y MENCIONA LAS 3 VARIADADES  ( SUPER FOODS, SUPER NUTRIENTES Y MULTI PROTEINAS);PERRO Y GATO</t>
  </si>
  <si>
    <t>M. MANEJA LA OBJECION DE ALTO PRECIO, COMUNICANDO LA BAJA DE PRECIOS DE LAS MARCAS O LAS OFERTAS DISPONIBLES EN EL PUNTO DE VENTA.</t>
  </si>
  <si>
    <t>M. AL PRESENTAR OBJECIÓN "PRECIO MUY COSTOSO", EL ASESOR OFRECE LOS PRODUCTOS EN ORDEN DE SEGMENTACIÓN: P: PURINA ONE - DOG CHOW - ALPO G: PURINA ONE - CAT CHOW - FELIX - GATSY ( "DICE AHORA ES MAS SABROSO")</t>
  </si>
  <si>
    <t>M. EL ASESOR COMUNICA SOBRE LA ACTIVIDAD "HOY GANAS MAÑANA TAMBIEN"</t>
  </si>
  <si>
    <t>M. EL ASESOR EXPLICA CON CLARIDAD LA DINAMICA DE PARTICIPACIÓN</t>
  </si>
  <si>
    <t xml:space="preserve"> NO TIENE DINERO</t>
  </si>
  <si>
    <t>REALIZA CIERRE  CON FRASES " DESEA LLEVARLO" ,"CUANTOS DESEARIA LLEVAR" ," LE GUSTARIA ADQUIRIRLO" , " CUANTAS UNIDADES DESEA LLEVAR" , " LE GUSTARIA LLEVARLO EN PRESENTACIÓN HUMEDA O SECA"</t>
  </si>
  <si>
    <t>CLINICA VETERINARIA DON PERRO BARRANQUILLA</t>
  </si>
  <si>
    <t>14/03/2025 15:28:05</t>
  </si>
  <si>
    <t>14/03/2025 15:32:16</t>
  </si>
  <si>
    <t xml:space="preserve">User 5 </t>
  </si>
  <si>
    <t>NestleP.5</t>
  </si>
  <si>
    <t>14/03/2025 15:32:18</t>
  </si>
  <si>
    <t>14/03/2025 15:32:21</t>
  </si>
  <si>
    <t>14/03/2025 15:32:22</t>
  </si>
  <si>
    <t>14/03/2025 15:32:24</t>
  </si>
  <si>
    <t>14/03/2025 15:32:26</t>
  </si>
  <si>
    <t>14/03/2025 15:32:28</t>
  </si>
  <si>
    <t>14/03/2025 15:32:30</t>
  </si>
  <si>
    <t>14/03/2025 15:32:32</t>
  </si>
  <si>
    <t>14/03/2025 15:32:34</t>
  </si>
  <si>
    <t>14/03/2025 15:32:35</t>
  </si>
  <si>
    <t>14/03/2025 15:32:40</t>
  </si>
  <si>
    <t>14/03/2025 15:32:43</t>
  </si>
  <si>
    <t>14/03/2025 15:32:46</t>
  </si>
  <si>
    <t xml:space="preserve"> CANAL ESPECIALIZADO</t>
  </si>
  <si>
    <t>14/03/2025 15:32:50</t>
  </si>
  <si>
    <t>EN CANAL E. LO PRIMERO QUE OFRECE EL ASESOR ES LA MARCA PRO PLAN?</t>
  </si>
  <si>
    <t>14/03/2025 15:32:54</t>
  </si>
  <si>
    <t>EN CANAL E. DESPUES DE OBJECION DE PRECIO, EL ASESOR OFRECIO LA MARCA EXCELLENT?</t>
  </si>
  <si>
    <t>14/03/2025 15:32:58</t>
  </si>
  <si>
    <t>EN CANAL E.  EL ASESOR COMUNICA QUE LA MARCA EXCELLENT ESTA DENTRO DE LA CATEGORIA SUPERPREMIUM PERO A UN COSTO MAS ACCESIBLE.</t>
  </si>
  <si>
    <t>14/03/2025 15:33:02</t>
  </si>
  <si>
    <t>EN CANAL E.  EL ASESOR COMUNICA LOS BENEFICIOS O CARACTERISTICAS DEL PRODUCTO EXCELLENT E INFORMA QUE EL PRODUCTO CAMBIO DE IMAGEN PERO CONTINUA CON LA MISMA FORMULA?</t>
  </si>
  <si>
    <t>14/03/2025 15:33:05</t>
  </si>
  <si>
    <t>EN CANAL E., EL ASESOR OFRECE PRODUCTO HUMEDO Y COMUNICA LA DINAMICA DE MULTIPRICE (POR LA COMPRA DE MAS CANTIDADES TIENE DESCUENTO).</t>
  </si>
  <si>
    <t>14/03/2025 15:33:06</t>
  </si>
  <si>
    <t>EN CANAL E., EL ASESOR COMUNICA PROACTIVAMENTE LA ACTIVIDAD DE "GANA AL INSTANTE" (A PARTIR DEL 17 DE MARZO)</t>
  </si>
  <si>
    <t>14/03/2025 15:33:08</t>
  </si>
  <si>
    <t>EN CANAL E., EL ASESOR EXPLICA CON CLARIDAD LA ACTIVIDAD DE "GANA AL INSTANTE" (A PARTIR DEL 17 DE MARZO)</t>
  </si>
  <si>
    <t>14/03/2025 15:33:09</t>
  </si>
  <si>
    <t>14/03/2025 15:33:15</t>
  </si>
  <si>
    <t>14/03/2025 15:33:17</t>
  </si>
  <si>
    <t>14/03/2025 15:33:18</t>
  </si>
  <si>
    <t>14/03/2025 15:33:20</t>
  </si>
  <si>
    <t>EXITO</t>
  </si>
  <si>
    <t>MISTERY SHOPPER - IMPULSO MARZ0 2025 V1</t>
  </si>
  <si>
    <t>PRESENTA ALGUNA NOVEDAD?</t>
  </si>
  <si>
    <t>SUPERMASCOTAS CIUDAD JARDIN</t>
  </si>
  <si>
    <t>15/03/2025 17:19:44</t>
  </si>
  <si>
    <t>15/03/2025 17:24:49</t>
  </si>
  <si>
    <t>ANTIOQUIA</t>
  </si>
  <si>
    <t>MEDELLIN</t>
  </si>
  <si>
    <t>037 EXITO LAURELES</t>
  </si>
  <si>
    <t>EXITO LAURELES.</t>
  </si>
  <si>
    <t>SAP7701001003702909919</t>
  </si>
  <si>
    <t>17/03/2025 10:05:43</t>
  </si>
  <si>
    <t>17/03/2025 10:07:10</t>
  </si>
  <si>
    <t xml:space="preserve">User 11 </t>
  </si>
  <si>
    <t>NestleP.11</t>
  </si>
  <si>
    <t>CUAL ES LA NOVEDAD</t>
  </si>
  <si>
    <t>No se encontró personal de purina, estuve en tienda desde antes de las 9 am y me retiro cerca de las 10 am.</t>
  </si>
  <si>
    <t>SODIMAC</t>
  </si>
  <si>
    <t>HOMECENTER AUTOPISTA NORTE BOGOTA</t>
  </si>
  <si>
    <t>7703670900702</t>
  </si>
  <si>
    <t>AGROCAMPO S.A.S.</t>
  </si>
  <si>
    <t>18/03/2025 20:08:05</t>
  </si>
  <si>
    <t>18/03/2025 20:16:54</t>
  </si>
  <si>
    <t xml:space="preserve">Se realiza la visita dos veces y la primera no se encuentra nadie y me atiende un asesor de agrocampo . </t>
  </si>
  <si>
    <t>PUPPIS CARRERA 15</t>
  </si>
  <si>
    <t>18/03/2025 20:24:10</t>
  </si>
  <si>
    <t>18/03/2025 20:26:36</t>
  </si>
  <si>
    <t>PUPPIS CALIMA</t>
  </si>
  <si>
    <t>18/03/2025 20:27:09</t>
  </si>
  <si>
    <t>18/03/2025 20:28:10</t>
  </si>
  <si>
    <t>Se visita el punto en dos ocasiones por más de 40 minutos y no se encuentra ningún asesor o asesora de purina, por lo tanto me atienden los asesores de Puppis</t>
  </si>
  <si>
    <t>CONCENTRADOS EL RANCHO LTDA DROGUERIA VETERINARIA</t>
  </si>
  <si>
    <t>18/03/2025 22:30:54</t>
  </si>
  <si>
    <t>18/03/2025 22:35:17</t>
  </si>
  <si>
    <t>PLAZA PETS S.A.S.</t>
  </si>
  <si>
    <t>18/03/2025 22:37:58</t>
  </si>
  <si>
    <t>18/03/2025 22:49:50</t>
  </si>
  <si>
    <t>081 EXITO COUNTRY</t>
  </si>
  <si>
    <t>EXITO COUNTRY</t>
  </si>
  <si>
    <t>SAP7701001008103180187</t>
  </si>
  <si>
    <t>19/03/2025 19:14:42</t>
  </si>
  <si>
    <t>19/03/2025 19:15:27</t>
  </si>
  <si>
    <t xml:space="preserve">No se encuentra asesor en punto de venta , se espera por más de 40 minutos </t>
  </si>
  <si>
    <t>ABIERTA</t>
  </si>
  <si>
    <t>Etiquetas de fila</t>
  </si>
  <si>
    <t>Suma de TOTAL PUNTAJE</t>
  </si>
  <si>
    <t>PERSONAL EN CURSO DE ALTURAS</t>
  </si>
  <si>
    <t>EVENTO DE APERTURA DIVERPOOL</t>
  </si>
  <si>
    <t>CAMBIO DE RUTA - PLAN CANGURO EN LAS VAQUITAS</t>
  </si>
  <si>
    <t>INDEPENDIENTE</t>
  </si>
  <si>
    <t>HOMECENTER CALLE 80 CR 68</t>
  </si>
  <si>
    <t>7703670900689</t>
  </si>
  <si>
    <t>21/03/2025 13:54:09</t>
  </si>
  <si>
    <t>21/03/2025 13:56:09</t>
  </si>
  <si>
    <t xml:space="preserve"> NINGUNO</t>
  </si>
  <si>
    <t>MERCAMIO CALLE 5</t>
  </si>
  <si>
    <t>PUPPIS CALLE 85</t>
  </si>
  <si>
    <t>21/03/2025 18:38:45</t>
  </si>
  <si>
    <t>21/03/2025 18:39:25</t>
  </si>
  <si>
    <t xml:space="preserve">No se encuentra asesora en punto de venta , se espera por más de 45 minutos </t>
  </si>
  <si>
    <t>MUNDIAL DE GRANOS Y PANELAS S.A.S.</t>
  </si>
  <si>
    <t>22/03/2025 09:08:47</t>
  </si>
  <si>
    <t>22/03/2025 09:17:57</t>
  </si>
  <si>
    <t xml:space="preserve">User 10 </t>
  </si>
  <si>
    <t>NestleP.10</t>
  </si>
  <si>
    <t xml:space="preserve">La asesora cuenta con buena presentacion personal tiene tatuajes y uñas largas pero no son muy alarmantes, ella tiene guantes, y tiene muy buena presentacion </t>
  </si>
  <si>
    <t>DEGANADO NORTE</t>
  </si>
  <si>
    <t>22/03/2025 16:48:58</t>
  </si>
  <si>
    <t>22/03/2025 16:57:24</t>
  </si>
  <si>
    <t xml:space="preserve"> NO LE INTERESA EL PRODUCTO</t>
  </si>
  <si>
    <t>4, 4</t>
  </si>
  <si>
    <t>4,8</t>
  </si>
  <si>
    <t>CAMBIO DE RUTA - IMPLEMENTACION GANA AL INSTANTE</t>
  </si>
  <si>
    <t>eliminado generico</t>
  </si>
  <si>
    <t>29714</t>
  </si>
  <si>
    <t>02/04/2025 15:53:13</t>
  </si>
  <si>
    <t>02/04/2025 15:57:09</t>
  </si>
  <si>
    <t>https://drive.google.com/file/d/1L94Xal8rBSqMOSN_gaUUukC8a2IRCnBt/view?usp=drive_link</t>
  </si>
  <si>
    <t>https://drive.google.com/file/d/1J2RwmsEJ6KQmRNb4NJ7km3iHKWuB674K/view?usp=drive_link</t>
  </si>
  <si>
    <t>https://drive.google.com/file/d/1UxBUCpGIs7Js5jgt8W_Vt0Uyo2foAmzm/view?usp=drive_link</t>
  </si>
  <si>
    <t>https://drive.google.com/file/d/12Aco7R0rMEmkXd65a55WkdCQv_3STEF1/view?usp=drive_link</t>
  </si>
  <si>
    <t>https://drive.google.com/file/d/1BrG4MHtSiM_2ZNf8xsQvK6aOIVB5aqm6/view?usp=drive_link</t>
  </si>
  <si>
    <t>https://drive.google.com/file/d/1ljUI_lnCpc2-SbOsvH03E1fx4JS54xVY/view?usp=drive_link</t>
  </si>
  <si>
    <t>https://drive.google.com/file/d/1l2qkzqvqd-zBG-tnCyPqgnKxCgga0Ac2/view?usp=drive_link</t>
  </si>
  <si>
    <t>https://drive.google.com/file/d/1nqGduGSqwsvOYr4D-W09T3hsPVHqfEAX/view?usp=drive_link</t>
  </si>
  <si>
    <t>https://drive.google.com/file/d/1grCa5EKfFhvayyMVnxgOgylHg2LG6k8A/view?usp=drive_link</t>
  </si>
  <si>
    <t>https://drive.google.com/file/d/1aroLMzUAo0E_mzfvoAd9tHSNPoiw5wvS/view?usp=drive_link</t>
  </si>
  <si>
    <t>https://drive.google.com/file/d/1AEGI8-BxfeO7iR4wNs44BXMumfOQVkp6/view?usp=drive_link</t>
  </si>
  <si>
    <t>https://drive.google.com/file/d/1-NutpgAScNBQoIaJScTeSIhSVYBKvOnr/view?usp=drive_link</t>
  </si>
  <si>
    <t>https://drive.google.com/file/d/1t94Yxm3Vf9iuIUp9vKytMJoEDHHmrwf4/view?usp=drive_link</t>
  </si>
  <si>
    <t>https://drive.google.com/file/d/1dJxfoE_vUxSahdw-az_5R2Y84xAeemD7/view?usp=drive_link</t>
  </si>
  <si>
    <t>https://drive.google.com/file/d/1OKHEBXQmDXiS4v0I0kSdTCPZ84Z1vZbp/view?usp=drive_link</t>
  </si>
  <si>
    <t>https://drive.google.com/file/d/17uyCkyq02OLI43aOGEXZnXc31TDbgnP1/view?usp=drive_link</t>
  </si>
  <si>
    <t>https://drive.google.com/file/d/1HG3zfZkUZ2oCgxhI19idftU6LHRpxQQ6/view?usp=drive_link</t>
  </si>
  <si>
    <t>https://drive.google.com/file/d/10Can88WBFtYz8-FLEJcjIlKIMafZT5_8/view?usp=drive_link</t>
  </si>
  <si>
    <t>https://drive.google.com/file/d/10RW1DRakbwUhhm7M7sRADCK7qOQXi0X0/view?usp=drive_link</t>
  </si>
  <si>
    <t>https://drive.google.com/file/d/1YL9UpMHiJTilf4jzMehw7t6hVkBuwvYS/view?usp=drive_link</t>
  </si>
  <si>
    <t>https://drive.google.com/file/d/1KXz_TUilebE10jKM4xcsJpv_-jFdbXd3/view?usp=drive_link</t>
  </si>
  <si>
    <t>https://drive.google.com/file/d/1HaJ-7XVtVzU6iLyoWfcZ8bqnS249fYHA/view?usp=drive_link</t>
  </si>
  <si>
    <t>https://drive.google.com/file/d/1X2kM8aKfRG6IDESM5kWFdyJYXT3MfSms/view?usp=drive_link</t>
  </si>
  <si>
    <t>https://drive.google.com/file/d/1I_83Tcy1Eo5VZlAAc4H1gtgfA175ec6x/view?usp=drive_link</t>
  </si>
  <si>
    <t>https://drive.google.com/file/d/1RRTofXpOTb7vs1iAyZ6mIpFQDUoES8iw/view?usp=drive_link</t>
  </si>
  <si>
    <t>https://drive.google.com/file/d/1tQ6hU_aoKFgSVChhj2wPSCqMtkzRy8eC/view?usp=drive_link</t>
  </si>
  <si>
    <t>https://drive.google.com/file/d/1lHcPHLjFNxjrzwK2wW7URnpdt-mJzTPp/view?usp=drive_link</t>
  </si>
  <si>
    <t>https://drive.google.com/file/d/1NSN6PYCyxB6pHEG-xGpCJY23j3VbSAqC/view?usp=drive_link</t>
  </si>
  <si>
    <t>https://drive.google.com/file/d/1jm67uv-mxUO84GtwnJ9hevxEot9gsJv4/view?usp=drive_link</t>
  </si>
  <si>
    <t>-</t>
  </si>
  <si>
    <t>https://drive.google.com/file/d/1kns1O4hCb6ruM3uToQ_ttxjO1TH66ngP/view?usp=drive_link</t>
  </si>
  <si>
    <t>CRONICAS PET</t>
  </si>
  <si>
    <t>CAMBIO DE RUTA POR IMPULSO DE GANA AL INSTANTE EN VETERINARIA DON PERRO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</si>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</sst>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Century Gothic"/>
      <family val="2"/>
    </font>
    <font>
      <sz val="9"/>
      <color indexed="8"/>
      <name val="Calibri"/>
      <family val="2"/>
    </font>
    <font>
      <sz val="11"/>
      <color theme="1"/>
      <name val="Aptos Display"/>
      <family val="2"/>
      <scheme val="major"/>
    </font>
    <font>
      <b/>
      <sz val="10"/>
      <color indexed="9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color indexed="8"/>
      <name val="Calibri"/>
      <family val="2"/>
    </font>
    <font>
      <sz val="8"/>
      <color theme="1"/>
      <name val="Aptos Display"/>
      <family val="2"/>
      <scheme val="major"/>
    </font>
    <font>
      <sz val="8"/>
      <color indexed="8"/>
      <name val="Aptos Display"/>
      <family val="2"/>
      <scheme val="major"/>
    </font>
    <font>
      <sz val="11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8"/>
      </top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5" fillId="9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/>
    </xf>
    <xf numFmtId="0" fontId="0" fillId="10" borderId="0" xfId="0" applyFill="1"/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5" fillId="8" borderId="1" xfId="1" applyFont="1" applyFill="1" applyBorder="1" applyAlignment="1">
      <alignment horizontal="left" vertical="center"/>
    </xf>
    <xf numFmtId="0" fontId="7" fillId="0" borderId="0" xfId="0" pivotButton="1" applyFont="1"/>
    <xf numFmtId="9" fontId="9" fillId="11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5" fillId="9" borderId="4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2" borderId="0" xfId="0" applyFont="1" applyFill="1"/>
    <xf numFmtId="0" fontId="9" fillId="12" borderId="0" xfId="0" applyFont="1" applyFill="1"/>
    <xf numFmtId="1" fontId="10" fillId="13" borderId="1" xfId="0" applyNumberFormat="1" applyFont="1" applyFill="1" applyBorder="1" applyAlignment="1">
      <alignment horizontal="center"/>
    </xf>
    <xf numFmtId="1" fontId="10" fillId="13" borderId="1" xfId="0" applyNumberFormat="1" applyFont="1" applyFill="1" applyBorder="1" applyAlignment="1">
      <alignment horizontal="left" vertical="center"/>
    </xf>
    <xf numFmtId="1" fontId="10" fillId="1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5" fillId="8" borderId="6" xfId="1" applyFont="1" applyFill="1" applyBorder="1" applyAlignment="1">
      <alignment horizontal="center" vertical="center"/>
    </xf>
    <xf numFmtId="0" fontId="5" fillId="8" borderId="6" xfId="1" applyFont="1" applyFill="1" applyBorder="1" applyAlignment="1">
      <alignment horizontal="left" vertical="center" wrapText="1"/>
    </xf>
    <xf numFmtId="0" fontId="5" fillId="8" borderId="6" xfId="1" applyFont="1" applyFill="1" applyBorder="1" applyAlignment="1">
      <alignment horizontal="left" vertical="center"/>
    </xf>
    <xf numFmtId="0" fontId="0" fillId="0" borderId="6" xfId="0" applyBorder="1"/>
    <xf numFmtId="0" fontId="0" fillId="14" borderId="6" xfId="0" applyFill="1" applyBorder="1" applyAlignment="1">
      <alignment horizontal="center"/>
    </xf>
    <xf numFmtId="0" fontId="0" fillId="14" borderId="6" xfId="0" applyFill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22" fontId="0" fillId="0" borderId="0" xfId="0" applyNumberFormat="1"/>
    <xf numFmtId="0" fontId="10" fillId="15" borderId="1" xfId="0" applyFont="1" applyFill="1" applyBorder="1"/>
    <xf numFmtId="1" fontId="2" fillId="15" borderId="1" xfId="0" applyNumberFormat="1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0" fillId="0" borderId="0" xfId="0" applyAlignment="1">
      <alignment horizontal="center"/>
    </xf>
    <xf numFmtId="9" fontId="0" fillId="16" borderId="1" xfId="2" applyFont="1" applyFill="1" applyBorder="1" applyAlignment="1">
      <alignment horizontal="center"/>
    </xf>
    <xf numFmtId="0" fontId="0" fillId="0" borderId="0" xfId="0" applyAlignment="1">
      <alignment horizontal="right"/>
    </xf>
    <xf numFmtId="14" fontId="0" fillId="0" borderId="8" xfId="0" applyNumberFormat="1" applyBorder="1" applyAlignment="1">
      <alignment horizontal="left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7" xfId="0" applyBorder="1"/>
    <xf numFmtId="0" fontId="0" fillId="0" borderId="10" xfId="0" applyBorder="1"/>
    <xf numFmtId="0" fontId="6" fillId="0" borderId="1" xfId="1" applyFont="1" applyBorder="1" applyAlignment="1">
      <alignment horizontal="center"/>
    </xf>
    <xf numFmtId="0" fontId="12" fillId="0" borderId="1" xfId="1" applyFont="1" applyBorder="1" applyAlignment="1">
      <alignment horizontal="left" vertical="center"/>
    </xf>
    <xf numFmtId="14" fontId="0" fillId="0" borderId="9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9" fillId="17" borderId="1" xfId="0" applyFont="1" applyFill="1" applyBorder="1" applyAlignment="1">
      <alignment horizontal="center" vertical="center"/>
    </xf>
    <xf numFmtId="1" fontId="9" fillId="17" borderId="1" xfId="0" applyNumberFormat="1" applyFont="1" applyFill="1" applyBorder="1" applyAlignment="1">
      <alignment horizontal="center"/>
    </xf>
    <xf numFmtId="0" fontId="10" fillId="13" borderId="1" xfId="0" applyFont="1" applyFill="1" applyBorder="1"/>
    <xf numFmtId="0" fontId="10" fillId="13" borderId="1" xfId="0" applyFont="1" applyFill="1" applyBorder="1" applyAlignment="1">
      <alignment vertical="top" wrapText="1"/>
    </xf>
    <xf numFmtId="0" fontId="0" fillId="17" borderId="1" xfId="0" applyFill="1" applyBorder="1"/>
    <xf numFmtId="0" fontId="0" fillId="0" borderId="7" xfId="0" applyBorder="1" applyAlignment="1">
      <alignment horizontal="left" vertical="center"/>
    </xf>
    <xf numFmtId="0" fontId="12" fillId="0" borderId="1" xfId="1" applyFont="1" applyBorder="1" applyAlignment="1">
      <alignment horizontal="left" vertical="center" wrapText="1"/>
    </xf>
    <xf numFmtId="14" fontId="0" fillId="0" borderId="8" xfId="0" applyNumberFormat="1" applyBorder="1"/>
    <xf numFmtId="14" fontId="0" fillId="0" borderId="9" xfId="0" applyNumberFormat="1" applyBorder="1"/>
    <xf numFmtId="0" fontId="0" fillId="0" borderId="5" xfId="0" applyBorder="1"/>
    <xf numFmtId="0" fontId="12" fillId="0" borderId="2" xfId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0" borderId="0" xfId="0" applyFont="1"/>
    <xf numFmtId="0" fontId="14" fillId="8" borderId="1" xfId="1" applyFont="1" applyFill="1" applyBorder="1" applyAlignment="1">
      <alignment horizontal="left" vertical="center"/>
    </xf>
    <xf numFmtId="0" fontId="14" fillId="8" borderId="1" xfId="1" applyFont="1" applyFill="1" applyBorder="1" applyAlignment="1">
      <alignment horizontal="left" vertical="center" wrapText="1"/>
    </xf>
    <xf numFmtId="0" fontId="14" fillId="9" borderId="2" xfId="1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1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4" fillId="8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6" fillId="0" borderId="0" xfId="1" applyFont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12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right"/>
    </xf>
    <xf numFmtId="0" fontId="17" fillId="0" borderId="1" xfId="0" applyFont="1" applyBorder="1" applyAlignment="1">
      <alignment horizontal="right" vertical="center"/>
    </xf>
    <xf numFmtId="0" fontId="17" fillId="0" borderId="1" xfId="1" applyFont="1" applyBorder="1" applyAlignment="1">
      <alignment horizontal="left" vertical="center" wrapText="1"/>
    </xf>
    <xf numFmtId="0" fontId="14" fillId="8" borderId="1" xfId="1" applyFont="1" applyFill="1" applyBorder="1" applyAlignment="1">
      <alignment horizontal="center" vertical="center" wrapText="1"/>
    </xf>
    <xf numFmtId="0" fontId="14" fillId="20" borderId="1" xfId="1" applyFont="1" applyFill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0" fillId="12" borderId="0" xfId="0" applyFill="1"/>
    <xf numFmtId="22" fontId="0" fillId="12" borderId="0" xfId="0" applyNumberFormat="1" applyFill="1"/>
    <xf numFmtId="1" fontId="20" fillId="12" borderId="0" xfId="0" applyNumberFormat="1" applyFont="1" applyFill="1"/>
    <xf numFmtId="0" fontId="15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11" xfId="1" applyFont="1" applyBorder="1" applyAlignment="1">
      <alignment horizontal="left" vertical="center" wrapText="1"/>
    </xf>
    <xf numFmtId="0" fontId="10" fillId="18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7" fillId="19" borderId="1" xfId="0" applyFont="1" applyFill="1" applyBorder="1"/>
    <xf numFmtId="0" fontId="7" fillId="0" borderId="1" xfId="0" applyFont="1" applyBorder="1"/>
    <xf numFmtId="0" fontId="19" fillId="0" borderId="1" xfId="0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0" borderId="0" xfId="0" pivotButton="1" applyFont="1"/>
    <xf numFmtId="0" fontId="0" fillId="0" borderId="0" xfId="0" applyAlignment="1">
      <alignment horizontal="left" vertical="center" wrapText="1"/>
    </xf>
    <xf numFmtId="0" fontId="0" fillId="10" borderId="0" xfId="0" applyFill="1" applyAlignment="1">
      <alignment horizontal="left" vertical="center"/>
    </xf>
  </cellXfs>
  <cellStyles count="3">
    <cellStyle name="Normal" xfId="0" builtinId="0"/>
    <cellStyle name="Normal 2" xfId="1" xr:uid="{4295055E-378D-4CC5-B2A4-84281D75DBBF}"/>
    <cellStyle name="Porcentaje" xfId="2" builtinId="5"/>
  </cellStyles>
  <dxfs count="2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color theme="0"/>
      </font>
    </dxf>
    <dxf>
      <font>
        <color auto="1"/>
      </font>
      <fill>
        <patternFill patternType="solid">
          <fgColor indexed="64"/>
          <bgColor theme="0" tint="-4.9989318521683403E-2"/>
        </patternFill>
      </fill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alignment vertical="center"/>
    </dxf>
    <dxf>
      <alignment vertical="center"/>
    </dxf>
    <dxf>
      <alignment horizontal="general"/>
    </dxf>
    <dxf>
      <alignment horizontal="general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alignment horizontal="center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b/>
      </font>
    </dxf>
    <dxf>
      <font>
        <b/>
      </font>
    </dxf>
    <dxf>
      <font>
        <b/>
      </font>
    </dxf>
    <dxf>
      <fill>
        <patternFill>
          <fgColor theme="6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221"/>
      <tableStyleElement type="totalRow" dxfId="220"/>
    </tableStyle>
  </tableStyles>
  <colors>
    <mruColors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Impulso Purina -Marzo 2025.xlsx]INFORME!TablaDinámica11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INFORME!$E$14:$E$15</c:f>
              <c:strCache>
                <c:ptCount val="1"/>
                <c:pt idx="0">
                  <c:v>ESPECIALIZADO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INFORME!$D$16:$D$21</c:f>
              <c:strCache>
                <c:ptCount val="5"/>
                <c:pt idx="0">
                  <c:v>ABORDAJE</c:v>
                </c:pt>
                <c:pt idx="1">
                  <c:v>HORARIO</c:v>
                </c:pt>
                <c:pt idx="2">
                  <c:v>UNIFORME</c:v>
                </c:pt>
                <c:pt idx="3">
                  <c:v>PORTAFOLIO Y MANEJO DE OBJECIONES</c:v>
                </c:pt>
                <c:pt idx="4">
                  <c:v>LABOR DE VENTA</c:v>
                </c:pt>
              </c:strCache>
            </c:strRef>
          </c:cat>
          <c:val>
            <c:numRef>
              <c:f>INFORME!$E$16:$E$21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0.9</c:v>
                </c:pt>
                <c:pt idx="3">
                  <c:v>0.83760683760683752</c:v>
                </c:pt>
                <c:pt idx="4">
                  <c:v>0.6428571428571429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INFORME!$F$14:$F$15</c:f>
              <c:strCache>
                <c:ptCount val="1"/>
                <c:pt idx="0">
                  <c:v>MODERNO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INFORME!$D$16:$D$21</c:f>
              <c:strCache>
                <c:ptCount val="5"/>
                <c:pt idx="0">
                  <c:v>ABORDAJE</c:v>
                </c:pt>
                <c:pt idx="1">
                  <c:v>HORARIO</c:v>
                </c:pt>
                <c:pt idx="2">
                  <c:v>UNIFORME</c:v>
                </c:pt>
                <c:pt idx="3">
                  <c:v>PORTAFOLIO Y MANEJO DE OBJECIONES</c:v>
                </c:pt>
                <c:pt idx="4">
                  <c:v>LABOR DE VENTA</c:v>
                </c:pt>
              </c:strCache>
            </c:strRef>
          </c:cat>
          <c:val>
            <c:numRef>
              <c:f>INFORME!$F$16:$F$21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0.93333333333333335</c:v>
                </c:pt>
                <c:pt idx="3">
                  <c:v>0.63143631436314351</c:v>
                </c:pt>
                <c:pt idx="4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4F-43A2-BF42-B1BEB334265E}"/>
            </c:ext>
          </c:extLst>
        </c:ser>
        <c:ser>
          <c:idx val="2"/>
          <c:order val="2"/>
          <c:tx>
            <c:strRef>
              <c:f>INFORME!$G$14:$G$15</c:f>
              <c:strCache>
                <c:ptCount val="1"/>
                <c:pt idx="0">
                  <c:v>TRADICIONAL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INFORME!$D$16:$D$21</c:f>
              <c:strCache>
                <c:ptCount val="5"/>
                <c:pt idx="0">
                  <c:v>ABORDAJE</c:v>
                </c:pt>
                <c:pt idx="1">
                  <c:v>HORARIO</c:v>
                </c:pt>
                <c:pt idx="2">
                  <c:v>UNIFORME</c:v>
                </c:pt>
                <c:pt idx="3">
                  <c:v>PORTAFOLIO Y MANEJO DE OBJECIONES</c:v>
                </c:pt>
                <c:pt idx="4">
                  <c:v>LABOR DE VENTA</c:v>
                </c:pt>
              </c:strCache>
            </c:strRef>
          </c:cat>
          <c:val>
            <c:numRef>
              <c:f>INFORME!$G$16:$G$21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0.6428571428571429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4F-43A2-BF42-B1BEB33426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Impulso Purina -Marzo 2025.xlsx]INFORME!TablaDinámica12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INFORME!$E$27:$E$28</c:f>
              <c:strCache>
                <c:ptCount val="1"/>
                <c:pt idx="0">
                  <c:v>BOGOTA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INFORME!$D$29:$D$34</c:f>
              <c:strCache>
                <c:ptCount val="5"/>
                <c:pt idx="0">
                  <c:v>ABORDAJE</c:v>
                </c:pt>
                <c:pt idx="1">
                  <c:v>HORARIO</c:v>
                </c:pt>
                <c:pt idx="2">
                  <c:v>UNIFORME</c:v>
                </c:pt>
                <c:pt idx="3">
                  <c:v>PORTAFOLIO Y MANEJO DE OBJECIONES</c:v>
                </c:pt>
                <c:pt idx="4">
                  <c:v>LABOR DE VENTA</c:v>
                </c:pt>
              </c:strCache>
            </c:strRef>
          </c:cat>
          <c:val>
            <c:numRef>
              <c:f>INFORME!$E$29:$E$34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0.9</c:v>
                </c:pt>
                <c:pt idx="3">
                  <c:v>0.83579881656804722</c:v>
                </c:pt>
                <c:pt idx="4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INFORME!$F$27:$F$28</c:f>
              <c:strCache>
                <c:ptCount val="1"/>
                <c:pt idx="0">
                  <c:v>CALI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INFORME!$D$29:$D$34</c:f>
              <c:strCache>
                <c:ptCount val="5"/>
                <c:pt idx="0">
                  <c:v>ABORDAJE</c:v>
                </c:pt>
                <c:pt idx="1">
                  <c:v>HORARIO</c:v>
                </c:pt>
                <c:pt idx="2">
                  <c:v>UNIFORME</c:v>
                </c:pt>
                <c:pt idx="3">
                  <c:v>PORTAFOLIO Y MANEJO DE OBJECIONES</c:v>
                </c:pt>
                <c:pt idx="4">
                  <c:v>LABOR DE VENTA</c:v>
                </c:pt>
              </c:strCache>
            </c:strRef>
          </c:cat>
          <c:val>
            <c:numRef>
              <c:f>INFORME!$F$29:$F$34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0.97499999999999998</c:v>
                </c:pt>
                <c:pt idx="3">
                  <c:v>0.64776119402985066</c:v>
                </c:pt>
                <c:pt idx="4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66-4AB1-BAF3-456584B4B925}"/>
            </c:ext>
          </c:extLst>
        </c:ser>
        <c:ser>
          <c:idx val="2"/>
          <c:order val="2"/>
          <c:tx>
            <c:strRef>
              <c:f>INFORME!$G$27:$G$28</c:f>
              <c:strCache>
                <c:ptCount val="1"/>
                <c:pt idx="0">
                  <c:v>MEDELLIN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0F0F0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INFORME!$D$29:$D$34</c:f>
              <c:strCache>
                <c:ptCount val="5"/>
                <c:pt idx="0">
                  <c:v>ABORDAJE</c:v>
                </c:pt>
                <c:pt idx="1">
                  <c:v>HORARIO</c:v>
                </c:pt>
                <c:pt idx="2">
                  <c:v>UNIFORME</c:v>
                </c:pt>
                <c:pt idx="3">
                  <c:v>PORTAFOLIO Y MANEJO DE OBJECIONES</c:v>
                </c:pt>
                <c:pt idx="4">
                  <c:v>LABOR DE VENTA</c:v>
                </c:pt>
              </c:strCache>
            </c:strRef>
          </c:cat>
          <c:val>
            <c:numRef>
              <c:f>INFORME!$G$29:$G$34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0.6470588235294118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66-4AB1-BAF3-456584B4B9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97517</xdr:colOff>
      <xdr:row>1</xdr:row>
      <xdr:rowOff>15875</xdr:rowOff>
    </xdr:from>
    <xdr:to>
      <xdr:col>1</xdr:col>
      <xdr:colOff>141</xdr:colOff>
      <xdr:row>3</xdr:row>
      <xdr:rowOff>64827</xdr:rowOff>
    </xdr:to>
    <xdr:pic>
      <xdr:nvPicPr>
        <xdr:cNvPr id="5" name="Imagen 4" descr="Icono&#10;&#10;Descripción generada automáticamente">
          <a:extLst>
            <a:ext uri="{FF2B5EF4-FFF2-40B4-BE49-F238E27FC236}">
              <a16:creationId xmlns:a16="http://schemas.microsoft.com/office/drawing/2014/main" id="{9EF84222-501B-4BB1-BA5F-4C2951FE0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17" y="206375"/>
          <a:ext cx="2560659" cy="499802"/>
        </a:xfrm>
        <a:prstGeom prst="rect">
          <a:avLst/>
        </a:prstGeom>
      </xdr:spPr>
    </xdr:pic>
    <xdr:clientData/>
  </xdr:twoCellAnchor>
  <xdr:twoCellAnchor>
    <xdr:from>
      <xdr:col>8</xdr:col>
      <xdr:colOff>195263</xdr:colOff>
      <xdr:row>9</xdr:row>
      <xdr:rowOff>154781</xdr:rowOff>
    </xdr:from>
    <xdr:to>
      <xdr:col>15</xdr:col>
      <xdr:colOff>464344</xdr:colOff>
      <xdr:row>20</xdr:row>
      <xdr:rowOff>184909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289718</xdr:colOff>
      <xdr:row>5</xdr:row>
      <xdr:rowOff>1059</xdr:rowOff>
    </xdr:from>
    <xdr:to>
      <xdr:col>0</xdr:col>
      <xdr:colOff>2432843</xdr:colOff>
      <xdr:row>12</xdr:row>
      <xdr:rowOff>97971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718" y="1132153"/>
              <a:ext cx="2143125" cy="1430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173849</xdr:colOff>
      <xdr:row>21</xdr:row>
      <xdr:rowOff>155722</xdr:rowOff>
    </xdr:from>
    <xdr:to>
      <xdr:col>0</xdr:col>
      <xdr:colOff>2355074</xdr:colOff>
      <xdr:row>34</xdr:row>
      <xdr:rowOff>25120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849" y="4215753"/>
              <a:ext cx="2181225" cy="22268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195792</xdr:colOff>
      <xdr:row>13</xdr:row>
      <xdr:rowOff>12701</xdr:rowOff>
    </xdr:from>
    <xdr:to>
      <xdr:col>0</xdr:col>
      <xdr:colOff>2364317</xdr:colOff>
      <xdr:row>21</xdr:row>
      <xdr:rowOff>50364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NAL">
              <a:extLst>
                <a:ext uri="{FF2B5EF4-FFF2-40B4-BE49-F238E27FC236}">
                  <a16:creationId xmlns:a16="http://schemas.microsoft.com/office/drawing/2014/main" id="{21B1F4BE-FFA0-8C57-5C13-DF2D003A2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967" y="2613026"/>
              <a:ext cx="2165350" cy="1128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192994</xdr:colOff>
      <xdr:row>21</xdr:row>
      <xdr:rowOff>73932</xdr:rowOff>
    </xdr:from>
    <xdr:to>
      <xdr:col>14</xdr:col>
      <xdr:colOff>690335</xdr:colOff>
      <xdr:row>33</xdr:row>
      <xdr:rowOff>50767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 Loren Gomez Romero" refreshedDate="45755.329447222219" createdVersion="8" refreshedVersion="8" minRefreshableVersion="3" recordCount="340" xr:uid="{FB106F23-78AF-4657-98AE-84D2CE3B6430}">
  <cacheSource type="worksheet">
    <worksheetSource name="Tabla2__2"/>
  </cacheSource>
  <cacheFields count="18">
    <cacheField name="ACTIVIDAD" numFmtId="0">
      <sharedItems/>
    </cacheField>
    <cacheField name="CIUDAD" numFmtId="0">
      <sharedItems containsBlank="1" count="8">
        <s v="CALI"/>
        <s v="BARRANQUILLA"/>
        <s v="BOGOTA"/>
        <s v="MEDELLIN"/>
        <m u="1"/>
        <s v="ITAGUI" u="1"/>
        <s v="ENVIGADO" u="1"/>
        <s v="CARTAGENA" u="1"/>
      </sharedItems>
    </cacheField>
    <cacheField name="CANAL" numFmtId="0">
      <sharedItems containsMixedTypes="1" containsNumber="1" containsInteger="1" minValue="0" maxValue="0" count="4">
        <s v="TRADICIONAL"/>
        <s v="ESPECIALIZADO"/>
        <s v="MODERNO"/>
        <n v="0" u="1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12130" maxValue="424893"/>
    </cacheField>
    <cacheField name="NOMBRE COMERCIAL" numFmtId="0">
      <sharedItems containsBlank="1" count="67">
        <s v="LA CASA DE LOS TENDEROS"/>
        <s v="CLINICA VETERINARIA DON PERRO BARRANQUILLA"/>
        <s v="AGROCAMPO S.A.S."/>
        <s v="HOMECENTER AUTOPISTA NORTE BOGOTA"/>
        <s v="PUPPIS CALIMA"/>
        <s v="SUPERMASCOTAS CIUDAD JARDIN"/>
        <s v="PUPPIS CARRERA 15"/>
        <s v="EXITO LAURELES."/>
        <s v="PLAZA PETS S.A.S."/>
        <s v="CONCENTRADOS EL RANCHO LTDA DROGUERIA VETERINARIA"/>
        <s v="EXITO COUNTRY"/>
        <s v="HOMECENTER CALLE 80 CR 68"/>
        <s v="PUPPIS CALLE 85"/>
        <s v="MUNDIAL DE GRANOS Y PANELAS S.A.S."/>
        <s v="MERCAMIO CALLE 5"/>
        <s v="DEGANADO NORTE"/>
        <s v="PDV GENERICO 1" u="1"/>
        <s v="MERCAFAMILIAR LAS PALMAS S.A.S." u="1"/>
        <s v="ZOOMARPETS" u="1"/>
        <s v="SERVICE CAN COLOMBIA" u="1"/>
        <s v="AHORRE MAS" u="1"/>
        <s v="OLIMPICA 405 PLAZA DE LAS AMERICAS" u="1"/>
        <s v="AGROGANADERO DEL CARIBE S.A.S." u="1"/>
        <m u="1"/>
        <s v="EURO  FLORIDA" u="1"/>
        <s v="CANAVERAL PANCE" u="1"/>
        <s v="CHALO 3" u="1"/>
        <s v="439301-AVENTURA PLAZA MASCOTAS MARSELLA" u="1"/>
        <s v="435146-KAMARI PETS S.A.S." u="1"/>
        <s v="424798-PETCOL CEDRITOS" u="1"/>
        <s v="12479-EXITO GRAN ESTACION" u="1"/>
        <s v="TIERRAGRO MEDELLIN" u="1"/>
        <s v="LA CARIÑOSA" u="1"/>
        <s v="424776-CEBA USAQUEN" u="1"/>
        <s v="425918-KUMPET S.A.S." u="1"/>
        <s v="425172-JUMBO AUTOPISTA SUR" u="1"/>
        <s v="EL RANCHO." u="1"/>
        <s v="421532-TIERRAGRO MEDELLIN" u="1"/>
        <s v="29714-MERCAMIO CALLE 5" u="1"/>
        <s v="12130-ÉXITO LAURELES" u="1"/>
        <s v="12108-OLIMPICA STO 053 PORTAL DEL PRADO" u="1"/>
        <s v="424887-TIERRAGRO ITAGUI" u="1"/>
        <s v="424893-HOMECENTER CALLE 80" u="1"/>
        <s v="442220-AGROCORRALES ITAGUI" u="1"/>
        <s v="ANIMAL CENTER S.A.S GALERIAS" u="1"/>
        <s v="CLINICA DOVER S.A.S." u="1"/>
        <s v="ANIMALS COLINA AV LAS VILLAS" u="1"/>
        <s v="ANIMAL CENTER S.A.S." u="1"/>
        <s v="SUPERTIENDAS CANAVERAL S.A.S." u="1"/>
        <s v="SURTICAMPO S.A." u="1"/>
        <s v="ALMACENES EXITO S.A." u="1"/>
        <s v="SUPERTIENDAS Y DROGUERIAS OLIMPICA S.A." u="1"/>
        <s v="DISTRIBUIDORA SUPER 80 S.A." u="1"/>
        <s v="SUPERMERCADO EURO - LC 6 Y 7" u="1"/>
        <s v="EXITO ENVIGADO" u="1"/>
        <s v="EXITO CHIPICHAPE" u="1"/>
        <s v="JUMBO VALLE DEL LILI" u="1"/>
        <s v="JUMBO CALLE 170" u="1"/>
        <s v="CARULLA CALLE 140" u="1"/>
        <s v="JUMBO SANTA ANA" u="1"/>
        <s v="JUMBO CALLE 80" u="1"/>
        <s v="JUMBO LAS VEGAS" u="1"/>
        <s v="EXITO VIVA LAURELES" u="1"/>
        <s v="MEGATIENDAS CABRERO" u="1"/>
        <s v="OLIMPICA STO 105 LA PLAZUELA CARTAGENA" u="1"/>
        <s v="FARMATODO CEDRITOS 2" u="1"/>
        <s v="OLIMPICA STO 105 LA PLAZUELA" u="1"/>
      </sharedItems>
    </cacheField>
    <cacheField name="PREGUNTA" numFmtId="0">
      <sharedItems/>
    </cacheField>
    <cacheField name="RTA" numFmtId="0">
      <sharedItems/>
    </cacheField>
    <cacheField name="FECHA VISITA" numFmtId="14">
      <sharedItems containsSemiMixedTypes="0" containsNonDate="0" containsDate="1" containsString="0" minDate="2025-03-13T00:00:00" maxDate="2025-03-23T00:00:00"/>
    </cacheField>
    <cacheField name="CODIGO RUTA" numFmtId="0">
      <sharedItems containsSemiMixedTypes="0" containsString="0" containsNumber="1" containsInteger="1" minValue="26388644" maxValue="26693598" count="18">
        <n v="26388644"/>
        <n v="26400532"/>
        <n v="26419994"/>
        <n v="26415788"/>
        <n v="26420000"/>
        <n v="26404720"/>
        <n v="26419998"/>
        <n v="26409010"/>
        <n v="26424986"/>
        <n v="26424985"/>
        <n v="26429011"/>
        <n v="26439536"/>
        <n v="26440851"/>
        <n v="26442456"/>
        <n v="26693598"/>
        <n v="26444245"/>
        <n v="26440153" u="1"/>
        <n v="26400581" u="1"/>
      </sharedItems>
    </cacheField>
    <cacheField name="USUARIO" numFmtId="0">
      <sharedItems/>
    </cacheField>
    <cacheField name="MYSTERY EFECTIVO" numFmtId="0">
      <sharedItems containsMixedTypes="1" containsNumber="1" containsInteger="1" minValue="0" maxValue="0" count="3">
        <s v="SI"/>
        <s v="NO"/>
        <n v="0" u="1"/>
      </sharedItems>
    </cacheField>
    <cacheField name="CLUSTER" numFmtId="0">
      <sharedItems containsMixedTypes="1" containsNumber="1" containsInteger="1" minValue="0" maxValue="0" count="7">
        <s v="HORARIO"/>
        <s v="PORTAFOLIO Y MANEJO DE OBJECIONES"/>
        <s v="N/A"/>
        <s v="ABORDAJE"/>
        <s v="UNIFORME"/>
        <s v="LABOR DE VENTA"/>
        <n v="0" u="1"/>
      </sharedItems>
    </cacheField>
    <cacheField name="TOTAL PUNTAJE" numFmtId="0">
      <sharedItems containsMixedTypes="1" containsNumber="1" minValue="0" maxValue="2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MixedTypes="1" containsNumber="1" minValue="0" maxValue="20"/>
    </cacheField>
    <cacheField name="Columna1" numFmtId="0">
      <sharedItems containsSemiMixedTypes="0" containsString="0" containsNumber="1" containsInteger="1" minValue="0" maxValue="0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60271762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 Loren Gomez Romero" refreshedDate="45755.329447800927" createdVersion="8" refreshedVersion="8" minRefreshableVersion="3" recordCount="16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4">
        <s v="BARRANQUILLA"/>
        <s v="BOGOTA"/>
        <s v="CALI"/>
        <s v="MEDELLIN"/>
        <m u="1"/>
        <s v="ITAGUI" u="1"/>
        <s v="ENVIGADO" u="1"/>
        <s v="PALMIRA" u="1"/>
        <s v="PEREIRA" u="1"/>
        <s v="BUCARAMANGA" u="1"/>
        <s v="BELLO" u="1"/>
        <s v="CARTAGENA" u="1"/>
        <s v="SOACHA" u="1"/>
        <s v="CHIA" u="1"/>
      </sharedItems>
    </cacheField>
    <cacheField name="CODIGO PDV" numFmtId="0">
      <sharedItems containsSemiMixedTypes="0" containsString="0" containsNumber="1" containsInteger="1" minValue="12130" maxValue="424893"/>
    </cacheField>
    <cacheField name="NOMBRE COMERCIAL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1" maxValue="1"/>
    </cacheField>
    <cacheField name="# Visitas" numFmtId="0">
      <sharedItems containsSemiMixedTypes="0" containsString="0" containsNumber="1" containsInteger="1" minValue="1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NESTLE PURINA"/>
    <x v="0"/>
    <x v="0"/>
    <s v="SUPERETE"/>
    <n v="66552"/>
    <x v="0"/>
    <s v="¿CUMPLE HORARIO DE ENTRADA O SALIDA DE LA TIENDA?"/>
    <s v="SI"/>
    <d v="2025-03-13T00:00:00"/>
    <x v="0"/>
    <s v="NestleP.7"/>
    <x v="0"/>
    <x v="0"/>
    <n v="20"/>
    <s v="SI"/>
    <n v="20"/>
    <n v="0"/>
  </r>
  <r>
    <s v="NESTLE PURINA"/>
    <x v="0"/>
    <x v="0"/>
    <s v="SUPERETE"/>
    <n v="66552"/>
    <x v="0"/>
    <s v="M. OFRECE PURINA ONE: (APLICA SOLO EN CANAL MODERNO, CADENAS, SI EL PRODUCTO ESTA EN EL PDV)"/>
    <s v="NO"/>
    <d v="2025-03-13T00:00:00"/>
    <x v="0"/>
    <s v="NestleP.7"/>
    <x v="0"/>
    <x v="1"/>
    <n v="0"/>
    <s v="SI"/>
    <n v="0"/>
    <n v="0"/>
  </r>
  <r>
    <s v="NESTLE PURINA"/>
    <x v="0"/>
    <x v="0"/>
    <s v="SUPERETE"/>
    <n v="66552"/>
    <x v="0"/>
    <s v="QUE CANAL VA A REALIZAR"/>
    <s v="TRADICIONAL"/>
    <d v="2025-03-13T00:00:00"/>
    <x v="0"/>
    <s v="NestleP.7"/>
    <x v="0"/>
    <x v="2"/>
    <n v="0"/>
    <n v="0"/>
    <n v="0"/>
    <n v="0"/>
  </r>
  <r>
    <s v="NESTLE PURINA"/>
    <x v="0"/>
    <x v="0"/>
    <s v="SUPERETE"/>
    <n v="66552"/>
    <x v="0"/>
    <s v="OFRECIO ALGUN PRODUCTO DEL PORTAFOLIO PURINA DE PRODUCTOS HUMEDOS, SNACK U OTROS COMUNICANDO LOS BENEFICIOS DEL PRODUCTO"/>
    <s v="NO"/>
    <d v="2025-03-13T00:00:00"/>
    <x v="0"/>
    <s v="NestleP.7"/>
    <x v="0"/>
    <x v="1"/>
    <n v="3"/>
    <s v="SI"/>
    <n v="0"/>
    <n v="0"/>
  </r>
  <r>
    <s v="NESTLE PURINA"/>
    <x v="0"/>
    <x v="0"/>
    <s v="SUPERETE"/>
    <n v="66552"/>
    <x v="0"/>
    <s v="OFRECIO ALGUN PRODUCTO DEL PORTAFOLIO PURINA DE PRODUCTOS SECOS COMUNICANDO LOS BENEFICIOS DEL PRODUCTO"/>
    <s v="SI"/>
    <d v="2025-03-13T00:00:00"/>
    <x v="0"/>
    <s v="NestleP.7"/>
    <x v="0"/>
    <x v="1"/>
    <n v="3"/>
    <s v="SI"/>
    <n v="3"/>
    <n v="0"/>
  </r>
  <r>
    <s v="NESTLE PURINA"/>
    <x v="0"/>
    <x v="0"/>
    <s v="SUPERETE"/>
    <n v="66552"/>
    <x v="0"/>
    <s v="SE PRODUCE ABORDO PROACTIVO (ANTES DE LOS 3 MIN)"/>
    <s v="SI"/>
    <d v="2025-03-13T00:00:00"/>
    <x v="0"/>
    <s v="NestleP.7"/>
    <x v="0"/>
    <x v="3"/>
    <n v="20"/>
    <s v="SI"/>
    <n v="20"/>
    <n v="0"/>
  </r>
  <r>
    <s v="NESTLE PURINA"/>
    <x v="0"/>
    <x v="0"/>
    <s v="SUPERETE"/>
    <n v="66552"/>
    <x v="0"/>
    <s v="M. MENCIONA QUE LOS RESULTADOS DE PURINA ONE SON VISIBLES EN 28 DIAS?"/>
    <s v="NO"/>
    <d v="2025-03-13T00:00:00"/>
    <x v="0"/>
    <s v="NestleP.7"/>
    <x v="0"/>
    <x v="1"/>
    <n v="0"/>
    <s v="SI"/>
    <n v="0"/>
    <n v="0"/>
  </r>
  <r>
    <s v="NESTLE PURINA"/>
    <x v="0"/>
    <x v="0"/>
    <s v="SUPERETE"/>
    <n v="66552"/>
    <x v="0"/>
    <s v="USA ACCESORIOS QUE NO CUMPLE CON EL CODIGO DE VESTIMENTA"/>
    <s v="NO"/>
    <d v="2025-03-13T00:00:00"/>
    <x v="0"/>
    <s v="NestleP.7"/>
    <x v="0"/>
    <x v="4"/>
    <n v="1.5"/>
    <s v="NO"/>
    <n v="1.5"/>
    <n v="0"/>
  </r>
  <r>
    <s v="NESTLE PURINA"/>
    <x v="0"/>
    <x v="0"/>
    <s v="SUPERETE"/>
    <n v="66552"/>
    <x v="0"/>
    <s v="TIENE TATUAJES O PIERCINGS VISIBLES QUE NO CUMPLE CON EL CODIGO DE VESTIMENTA"/>
    <s v="NO"/>
    <d v="2025-03-13T00:00:00"/>
    <x v="0"/>
    <s v="NestleP.7"/>
    <x v="0"/>
    <x v="4"/>
    <n v="1.5"/>
    <s v="NO"/>
    <n v="1.5"/>
    <n v="0"/>
  </r>
  <r>
    <s v="NESTLE PURINA"/>
    <x v="0"/>
    <x v="0"/>
    <s v="SUPERETE"/>
    <n v="66552"/>
    <x v="0"/>
    <s v="PRESENTA EXCESO DE MAQUILLAJE QUE NO CUMPLE CON EL CODIGO DE VESTIMENTA"/>
    <s v="NO"/>
    <d v="2025-03-13T00:00:00"/>
    <x v="0"/>
    <s v="NestleP.7"/>
    <x v="0"/>
    <x v="4"/>
    <n v="1.5"/>
    <s v="NO"/>
    <n v="1.5"/>
    <n v="0"/>
  </r>
  <r>
    <s v="NESTLE PURINA"/>
    <x v="0"/>
    <x v="0"/>
    <s v="SUPERETE"/>
    <n v="66552"/>
    <x v="0"/>
    <s v="SU CABELLO LUCE LIMPIO, ORGANIZADO O RECOGIDO"/>
    <s v="SI"/>
    <d v="2025-03-13T00:00:00"/>
    <x v="0"/>
    <s v="NestleP.7"/>
    <x v="0"/>
    <x v="4"/>
    <n v="1.5"/>
    <s v="SI"/>
    <n v="1.5"/>
    <n v="0"/>
  </r>
  <r>
    <s v="NESTLE PURINA"/>
    <x v="0"/>
    <x v="0"/>
    <s v="SUPERETE"/>
    <n v="66552"/>
    <x v="0"/>
    <s v="EL UNIFORME Y ZAPATOS SE ENCUENTRAN LIMPIOS Y EN BUEN ESTADO"/>
    <s v="SI"/>
    <d v="2025-03-13T00:00:00"/>
    <x v="0"/>
    <s v="NestleP.7"/>
    <x v="0"/>
    <x v="4"/>
    <n v="1.5"/>
    <s v="SI"/>
    <n v="1.5"/>
    <n v="0"/>
  </r>
  <r>
    <s v="NESTLE PURINA"/>
    <x v="0"/>
    <x v="0"/>
    <s v="SUPERETE"/>
    <n v="66552"/>
    <x v="0"/>
    <s v="POSEE ALGUNA PRENDA ENCIMA DEL UNIFORME NO AUTORIZADA POR LA MARCA (SOLO PERMITIDO CHALECO DE SODIMAC Y EASY)"/>
    <s v="NO"/>
    <d v="2025-03-13T00:00:00"/>
    <x v="0"/>
    <s v="NestleP.7"/>
    <x v="0"/>
    <x v="4"/>
    <n v="1.5"/>
    <s v="NO"/>
    <n v="1.5"/>
    <n v="0"/>
  </r>
  <r>
    <s v="NESTLE PURINA"/>
    <x v="0"/>
    <x v="0"/>
    <s v="SUPERETE"/>
    <n v="66552"/>
    <x v="0"/>
    <s v="CUENTA CON CALZADO DE ACUERDO AL UNIFORME"/>
    <s v="SI"/>
    <d v="2025-03-13T00:00:00"/>
    <x v="0"/>
    <s v="NestleP.7"/>
    <x v="0"/>
    <x v="4"/>
    <n v="1.5"/>
    <s v="SI"/>
    <n v="1.5"/>
    <n v="0"/>
  </r>
  <r>
    <s v="NESTLE PURINA"/>
    <x v="0"/>
    <x v="0"/>
    <s v="SUPERETE"/>
    <n v="66552"/>
    <x v="0"/>
    <s v="CUENTA CON CAMISA DEL UNIFORME Y LOGOS SEGÚN EL CARGO (NEGRA / GRIS / ROJA / TURQUESA) (PERMITIDO USAR DEBAJO DE CAMISA BUSO MANGA LARGA NEGRO)"/>
    <s v="SI"/>
    <d v="2025-03-13T00:00:00"/>
    <x v="0"/>
    <s v="NestleP.7"/>
    <x v="0"/>
    <x v="4"/>
    <n v="1.5"/>
    <s v="SI"/>
    <n v="1.5"/>
    <n v="0"/>
  </r>
  <r>
    <s v="NESTLE PURINA"/>
    <x v="0"/>
    <x v="0"/>
    <s v="SUPERETE"/>
    <n v="66552"/>
    <x v="0"/>
    <s v="CUENTA CON PANTALON DEL UNIFORME SEGUN EL CARGO (NEGRO / ROJO / TURQUESA / JEAN)"/>
    <s v="SI"/>
    <d v="2025-03-13T00:00:00"/>
    <x v="0"/>
    <s v="NestleP.7"/>
    <x v="0"/>
    <x v="4"/>
    <n v="1.5"/>
    <s v="SI"/>
    <n v="1.5"/>
    <n v="0"/>
  </r>
  <r>
    <s v="NESTLE PURINA"/>
    <x v="0"/>
    <x v="0"/>
    <s v="SUPERETE"/>
    <n v="66552"/>
    <x v="0"/>
    <s v="TIENE UÑAS LLAMATIVAS Y/O LARGAS QUE NO CUMPLE CON EL CODIGO DE VESTIMENTA"/>
    <s v="NO"/>
    <d v="2025-03-13T00:00:00"/>
    <x v="0"/>
    <s v="NestleP.7"/>
    <x v="0"/>
    <x v="4"/>
    <n v="1.5"/>
    <s v="NO"/>
    <n v="1.5"/>
    <n v="0"/>
  </r>
  <r>
    <s v="NESTLE PURINA"/>
    <x v="0"/>
    <x v="0"/>
    <s v="SUPERETE"/>
    <n v="66552"/>
    <x v="0"/>
    <s v="M. MENCIONA QUE TIENE CARNE DE VERDAD COMO INGREDIENTE NO.1 E INGREDIENTES NATURALES Y FUNCIONALES?"/>
    <s v="NO"/>
    <d v="2025-03-13T00:00:00"/>
    <x v="0"/>
    <s v="NestleP.7"/>
    <x v="0"/>
    <x v="1"/>
    <n v="0"/>
    <s v="SI"/>
    <n v="0"/>
    <n v="0"/>
  </r>
  <r>
    <s v="NESTLE PURINA"/>
    <x v="0"/>
    <x v="0"/>
    <s v="SUPERETE"/>
    <n v="66552"/>
    <x v="0"/>
    <s v="M. MANEJA LA OBJECION DE ALTO PRECIO, COMUNICANDO LA BAJA DE PRECIOS DE LAS MARCAS O LAS OFERTAS DISPONIBLES EN EL PUNTO DE VENTA."/>
    <s v="SI"/>
    <d v="2025-03-13T00:00:00"/>
    <x v="0"/>
    <s v="NestleP.7"/>
    <x v="0"/>
    <x v="1"/>
    <n v="0"/>
    <s v="SI"/>
    <n v="0"/>
    <n v="0"/>
  </r>
  <r>
    <s v="NESTLE PURINA"/>
    <x v="0"/>
    <x v="0"/>
    <s v="SUPERETE"/>
    <n v="66552"/>
    <x v="0"/>
    <s v="M. MENCIONA QUE PURINA ONE CUENTA CON ALIMENTO HUMEDO Y MENCIONA LAS 3 VARIADADES  ( SUPER FOODS, SUPER NUTRIENTES Y MULTI PROTEINAS);PERRO Y GATO"/>
    <s v="NO"/>
    <d v="2025-03-13T00:00:00"/>
    <x v="0"/>
    <s v="NestleP.7"/>
    <x v="0"/>
    <x v="1"/>
    <n v="0"/>
    <s v="SI"/>
    <n v="0"/>
    <n v="0"/>
  </r>
  <r>
    <s v="NESTLE PURINA"/>
    <x v="0"/>
    <x v="0"/>
    <s v="SUPERETE"/>
    <n v="66552"/>
    <x v="0"/>
    <s v="REALIZA CIERRE  CON FRASES &quot; DESEA LLEVARLO&quot; ,&quot;CUANTOS DESEARIA LLEVAR&quot; ,&quot; LE GUSTARIA ADQUIRIRLO&quot; , &quot; CUANTAS UNIDADES DESEA LLEVAR&quot; , &quot; LE GUSTARIA LLEVARLO EN PRESENTACIÓN HUMEDA O SECA&quot;"/>
    <s v="NO"/>
    <d v="2025-03-13T00:00:00"/>
    <x v="0"/>
    <s v="NestleP.7"/>
    <x v="0"/>
    <x v="5"/>
    <n v="7.5"/>
    <s v="SI"/>
    <n v="0"/>
    <n v="0"/>
  </r>
  <r>
    <s v="NESTLE PURINA"/>
    <x v="0"/>
    <x v="0"/>
    <s v="SUPERETE"/>
    <n v="66552"/>
    <x v="0"/>
    <s v="SE ENCUENTRA LIMPIA EL AREA DE DEMOSTRACION"/>
    <s v="SI"/>
    <d v="2025-03-13T00:00:00"/>
    <x v="0"/>
    <s v="NestleP.7"/>
    <x v="0"/>
    <x v="1"/>
    <n v="2.4"/>
    <s v="SI"/>
    <n v="2.4"/>
    <n v="0"/>
  </r>
  <r>
    <s v="NESTLE PURINA"/>
    <x v="0"/>
    <x v="0"/>
    <s v="SUPERETE"/>
    <n v="66552"/>
    <x v="0"/>
    <s v="RESUELVE LA OBJECION SATISFACTORIAMENTE"/>
    <s v="SI"/>
    <d v="2025-03-13T00:00:00"/>
    <x v="0"/>
    <s v="NestleP.7"/>
    <x v="0"/>
    <x v="1"/>
    <s v="4,8"/>
    <s v="SI"/>
    <s v="4,8"/>
    <n v="0"/>
  </r>
  <r>
    <s v="NESTLE PURINA"/>
    <x v="0"/>
    <x v="0"/>
    <s v="SUPERETE"/>
    <n v="66552"/>
    <x v="0"/>
    <s v="DE QUE TIPO ES LA OBJECION"/>
    <s v=" NO TIENE DINERO"/>
    <d v="2025-03-13T00:00:00"/>
    <x v="0"/>
    <s v="NestleP.7"/>
    <x v="0"/>
    <x v="2"/>
    <n v="0"/>
    <s v="SI"/>
    <n v="0"/>
    <n v="0"/>
  </r>
  <r>
    <s v="NESTLE PURINA"/>
    <x v="0"/>
    <x v="0"/>
    <s v="SUPERETE"/>
    <n v="66552"/>
    <x v="0"/>
    <s v="SE PRESENTARON OBJECIONES"/>
    <s v="SI"/>
    <d v="2025-03-13T00:00:00"/>
    <x v="0"/>
    <s v="NestleP.7"/>
    <x v="0"/>
    <x v="2"/>
    <n v="0"/>
    <s v="SI"/>
    <n v="0"/>
    <n v="0"/>
  </r>
  <r>
    <s v="NESTLE PURINA"/>
    <x v="0"/>
    <x v="0"/>
    <s v="SUPERETE"/>
    <n v="66552"/>
    <x v="0"/>
    <s v="M. EL ASESOR EXPLICA CON CLARIDAD LA DINAMICA DE PARTICIPACIÓN"/>
    <s v="SI"/>
    <d v="2025-03-13T00:00:00"/>
    <x v="0"/>
    <s v="NestleP.7"/>
    <x v="0"/>
    <x v="1"/>
    <n v="0"/>
    <s v="SI"/>
    <n v="0"/>
    <n v="0"/>
  </r>
  <r>
    <s v="NESTLE PURINA"/>
    <x v="0"/>
    <x v="0"/>
    <s v="SUPERETE"/>
    <n v="66552"/>
    <x v="0"/>
    <s v="M. EL ASESOR COMUNICA SOBRE LA ACTIVIDAD &quot;HOY GANAS MAÑANA TAMBIEN&quot;"/>
    <s v="NO"/>
    <d v="2025-03-13T00:00:00"/>
    <x v="0"/>
    <s v="NestleP.7"/>
    <x v="0"/>
    <x v="1"/>
    <n v="0"/>
    <s v="SI"/>
    <n v="0"/>
    <n v="0"/>
  </r>
  <r>
    <s v="NESTLE PURINA"/>
    <x v="0"/>
    <x v="0"/>
    <s v="SUPERETE"/>
    <n v="66552"/>
    <x v="0"/>
    <s v="M. AL PRESENTAR OBJECIÓN &quot;PRECIO MUY COSTOSO&quot;, EL ASESOR OFRECE LOS PRODUCTOS EN ORDEN DE SEGMENTACIÓN: P: PURINA ONE - DOG CHOW - ALPO G: PURINA ONE - CAT CHOW - FELIX - GATSY ( &quot;DICE AHORA ES MAS SABROSO&quot;)"/>
    <s v="SI"/>
    <d v="2025-03-13T00:00:00"/>
    <x v="0"/>
    <s v="NestleP.7"/>
    <x v="0"/>
    <x v="1"/>
    <n v="0"/>
    <s v="SI"/>
    <n v="0"/>
    <n v="0"/>
  </r>
  <r>
    <s v="NESTLE PURINA"/>
    <x v="0"/>
    <x v="0"/>
    <s v="SUPERETE"/>
    <n v="66552"/>
    <x v="0"/>
    <s v="CONSIDERO QUE INDEPENDIENTEMENTE DEL SPEECH, LA LABOR DE VENTA ES BUENA"/>
    <s v="SI"/>
    <d v="2025-03-13T00:00:00"/>
    <x v="0"/>
    <s v="NestleP.7"/>
    <x v="0"/>
    <x v="5"/>
    <n v="7.5"/>
    <s v="SI"/>
    <n v="7.5"/>
    <n v="0"/>
  </r>
  <r>
    <s v="NESTLE PURINA"/>
    <x v="1"/>
    <x v="1"/>
    <s v="AGRO/PSHOP/VET"/>
    <n v="424883"/>
    <x v="1"/>
    <s v="CONSIDERO QUE INDEPENDIENTEMENTE DEL SPEECH, LA LABOR DE VENTA ES BUENA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REALIZA CIERRE  CON FRASES &quot; DESEA LLEVARLO&quot; ,&quot;CUANTOS DESEARIA LLEVAR&quot; ,&quot; LE GUSTARIA ADQUIRIRLO&quot; , &quot; CUANTAS UNIDADES DESEA LLEVAR&quot; , &quot; LE GUSTARIA LLEVARLO EN PRESENTACIÓN HUMEDA O SECA&quot;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SE ENCUENTRA LIMPIA EL AREA DE DEMOSTRACION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SE PRESENTARON OBJECIONES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EN CANAL E., EL ASESOR COMUNICA PROACTIVAMENTE LA ACTIVIDAD DE &quot;GANA AL INSTANTE&quot; (A PARTIR DEL 17 DE MARZO)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EN CANAL E., EL ASESOR OFRECE PRODUCTO HUMEDO Y COMUNICA LA DINAMICA DE MULTIPRICE (POR LA COMPRA DE MAS CANTIDADES TIENE DESCUENTO).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EN CANAL E.  EL ASESOR COMUNICA LOS BENEFICIOS O CARACTERISTICAS DEL PRODUCTO EXCELLENT E INFORMA QUE EL PRODUCTO CAMBIO DE IMAGEN PERO CONTINUA CON LA MISMA FORMULA?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EN CANAL E.  EL ASESOR COMUNICA QUE LA MARCA EXCELLENT ESTA DENTRO DE LA CATEGORIA SUPERPREMIUM PERO A UN COSTO MAS ACCESIBLE.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EN CANAL E. DESPUES DE OBJECION DE PRECIO, EL ASESOR OFRECIO LA MARCA EXCELLENT?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EN CANAL E. LO PRIMERO QUE OFRECE EL ASESOR ES LA MARCA PRO PLAN?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QUE CANAL VA A REALIZAR"/>
    <s v=" CANAL ESPECIALIZADO"/>
    <d v="2025-03-14T00:00:00"/>
    <x v="1"/>
    <s v="NestleP.5"/>
    <x v="1"/>
    <x v="2"/>
    <n v="0"/>
    <n v="0"/>
    <n v="0"/>
    <n v="0"/>
  </r>
  <r>
    <s v="NESTLE PURINA"/>
    <x v="1"/>
    <x v="1"/>
    <s v="AGRO/PSHOP/VET"/>
    <n v="424883"/>
    <x v="1"/>
    <s v="OFRECIO ALGUN PRODUCTO DEL PORTAFOLIO PURINA DE PRODUCTOS HUMEDOS, SNACK U OTROS COMUNICANDO LOS BENEFICIOS DEL PRODUCTO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EN CANAL E., EL ASESOR EXPLICA CON CLARIDAD LA ACTIVIDAD DE &quot;GANA AL INSTANTE&quot; (A PARTIR DEL 17 DE MARZO)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OFRECIO ALGUN PRODUCTO DEL PORTAFOLIO PURINA DE PRODUCTOS SECOS COMUNICANDO LOS BENEFICIOS DEL PRODUCTO"/>
    <s v="NINGU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SE PRODUCE ABORDO PROACTIVO (ANTES DE LOS 3 MIN)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TIENE UÑAS LLAMATIVAS Y/O LARGAS QUE NO CUMPLE CON EL CODIGO DE VESTIMENTA"/>
    <s v="NO"/>
    <d v="2025-03-14T00:00:00"/>
    <x v="1"/>
    <s v="NestleP.5"/>
    <x v="1"/>
    <x v="2"/>
    <n v="0"/>
    <s v="NO"/>
    <n v="0"/>
    <n v="0"/>
  </r>
  <r>
    <s v="NESTLE PURINA"/>
    <x v="1"/>
    <x v="1"/>
    <s v="AGRO/PSHOP/VET"/>
    <n v="424883"/>
    <x v="1"/>
    <s v="USA ACCESORIOS QUE NO CUMPLE CON EL CODIGO DE VESTIMENTA"/>
    <s v="NO"/>
    <d v="2025-03-14T00:00:00"/>
    <x v="1"/>
    <s v="NestleP.5"/>
    <x v="1"/>
    <x v="2"/>
    <n v="0"/>
    <s v="NO"/>
    <n v="0"/>
    <n v="0"/>
  </r>
  <r>
    <s v="NESTLE PURINA"/>
    <x v="1"/>
    <x v="1"/>
    <s v="AGRO/PSHOP/VET"/>
    <n v="424883"/>
    <x v="1"/>
    <s v="TIENE TATUAJES O PIERCINGS VISIBLES QUE NO CUMPLE CON EL CODIGO DE VESTIMENTA"/>
    <s v="NO"/>
    <d v="2025-03-14T00:00:00"/>
    <x v="1"/>
    <s v="NestleP.5"/>
    <x v="1"/>
    <x v="2"/>
    <n v="0"/>
    <s v="NO"/>
    <n v="0"/>
    <n v="0"/>
  </r>
  <r>
    <s v="NESTLE PURINA"/>
    <x v="1"/>
    <x v="1"/>
    <s v="AGRO/PSHOP/VET"/>
    <n v="424883"/>
    <x v="1"/>
    <s v="PRESENTA EXCESO DE MAQUILLAJE QUE NO CUMPLE CON EL CODIGO DE VESTIMENTA"/>
    <s v="NO"/>
    <d v="2025-03-14T00:00:00"/>
    <x v="1"/>
    <s v="NestleP.5"/>
    <x v="1"/>
    <x v="2"/>
    <n v="0"/>
    <s v="NO"/>
    <n v="0"/>
    <n v="0"/>
  </r>
  <r>
    <s v="NESTLE PURINA"/>
    <x v="1"/>
    <x v="1"/>
    <s v="AGRO/PSHOP/VET"/>
    <n v="424883"/>
    <x v="1"/>
    <s v="SU CABELLO LUCE LIMPIO, ORGANIZADO O RECOGIDO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EL UNIFORME Y ZAPATOS SE ENCUENTRAN LIMPIOS Y EN BUEN ESTADO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POSEE ALGUNA PRENDA ENCIMA DEL UNIFORME NO AUTORIZADA POR LA MARCA (SOLO PERMITIDO CHALECO DE SODIMAC Y EASY)"/>
    <s v="NO"/>
    <d v="2025-03-14T00:00:00"/>
    <x v="1"/>
    <s v="NestleP.5"/>
    <x v="1"/>
    <x v="2"/>
    <n v="0"/>
    <s v="NO"/>
    <n v="0"/>
    <n v="0"/>
  </r>
  <r>
    <s v="NESTLE PURINA"/>
    <x v="1"/>
    <x v="1"/>
    <s v="AGRO/PSHOP/VET"/>
    <n v="424883"/>
    <x v="1"/>
    <s v="CUENTA CON CALZADO DE ACUERDO AL UNIFORME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CUENTA CON CAMISA DEL UNIFORME Y LOGOS SEGÚN EL CARGO (NEGRA / GRIS / ROJA / TURQUESA) (PERMITIDO USAR DEBAJO DE CAMISA BUSO MANGA LARGA NEGRO)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CUENTA CON PANTALON DEL UNIFORME SEGUN EL CARGO (NEGRO / ROJO / TURQUESA / JEAN)"/>
    <s v="NO"/>
    <d v="2025-03-14T00:00:00"/>
    <x v="1"/>
    <s v="NestleP.5"/>
    <x v="1"/>
    <x v="2"/>
    <n v="0"/>
    <s v="SI"/>
    <n v="0"/>
    <n v="0"/>
  </r>
  <r>
    <s v="NESTLE PURINA"/>
    <x v="1"/>
    <x v="1"/>
    <s v="AGRO/PSHOP/VET"/>
    <n v="424883"/>
    <x v="1"/>
    <s v="¿CUMPLE HORARIO DE ENTRADA O SALIDA DE LA TIENDA?"/>
    <s v="NO"/>
    <d v="2025-03-14T00:00:00"/>
    <x v="1"/>
    <s v="NestleP.5"/>
    <x v="1"/>
    <x v="2"/>
    <n v="0"/>
    <s v="SI"/>
    <n v="0"/>
    <n v="0"/>
  </r>
  <r>
    <s v="NESTLE PURINA"/>
    <x v="2"/>
    <x v="1"/>
    <s v="AGRO/PSHOP/VET"/>
    <n v="424858"/>
    <x v="2"/>
    <s v="CUAL ES LA NOVEDAD"/>
    <s v="Se realiza la visita dos veces y la primera no se encuentra nadie y me atiende un asesor de agrocampo . "/>
    <d v="2025-03-14T00:00:00"/>
    <x v="2"/>
    <s v="NestleP.1"/>
    <x v="0"/>
    <x v="2"/>
    <n v="0"/>
    <n v="0"/>
    <n v="0"/>
    <n v="0"/>
  </r>
  <r>
    <s v="NESTLE PURINA"/>
    <x v="2"/>
    <x v="1"/>
    <s v="AGRO/PSHOP/VET"/>
    <n v="424858"/>
    <x v="2"/>
    <s v="PRESENTA ALGUNA NOVEDAD?"/>
    <s v="SI"/>
    <d v="2025-03-14T00:00:00"/>
    <x v="2"/>
    <s v="NestleP.1"/>
    <x v="0"/>
    <x v="2"/>
    <n v="0"/>
    <n v="0"/>
    <n v="0"/>
    <n v="0"/>
  </r>
  <r>
    <s v="NESTLE PURINA"/>
    <x v="2"/>
    <x v="1"/>
    <s v="AGRO/PSHOP/VET"/>
    <n v="424858"/>
    <x v="2"/>
    <s v="CONSIDERO QUE INDEPENDIENTEMENTE DEL SPEECH, LA LABOR DE VENTA ES BUENA"/>
    <s v="SI"/>
    <d v="2025-03-14T00:00:00"/>
    <x v="2"/>
    <s v="NestleP.1"/>
    <x v="0"/>
    <x v="5"/>
    <n v="7.5"/>
    <s v="SI"/>
    <n v="7.5"/>
    <n v="0"/>
  </r>
  <r>
    <s v="NESTLE PURINA"/>
    <x v="2"/>
    <x v="1"/>
    <s v="AGRO/PSHOP/VET"/>
    <n v="424858"/>
    <x v="2"/>
    <s v="REALIZA CIERRE  CON FRASES &quot; DESEA LLEVARLO&quot; ,&quot;CUANTOS DESEARIA LLEVAR&quot; ,&quot; LE GUSTARIA ADQUIRIRLO&quot; , &quot; CUANTAS UNIDADES DESEA LLEVAR&quot; , &quot; LE GUSTARIA LLEVARLO EN PRESENTACIÓN HUMEDA O SECA&quot;"/>
    <s v="NO"/>
    <d v="2025-03-14T00:00:00"/>
    <x v="2"/>
    <s v="NestleP.1"/>
    <x v="0"/>
    <x v="5"/>
    <n v="7.5"/>
    <s v="SI"/>
    <n v="0"/>
    <n v="0"/>
  </r>
  <r>
    <s v="NESTLE PURINA"/>
    <x v="2"/>
    <x v="1"/>
    <s v="AGRO/PSHOP/VET"/>
    <n v="424858"/>
    <x v="2"/>
    <s v="SE ENCUENTRA LIMPIA EL AREA DE DEMOSTRACION"/>
    <s v="SI"/>
    <d v="2025-03-14T00:00:00"/>
    <x v="2"/>
    <s v="NestleP.1"/>
    <x v="0"/>
    <x v="1"/>
    <n v="2.4"/>
    <s v="SI"/>
    <n v="2.4"/>
    <n v="0"/>
  </r>
  <r>
    <s v="NESTLE PURINA"/>
    <x v="2"/>
    <x v="1"/>
    <s v="AGRO/PSHOP/VET"/>
    <n v="424858"/>
    <x v="2"/>
    <s v="SE PRESENTARON OBJECIONES"/>
    <s v="SI"/>
    <d v="2025-03-14T00:00:00"/>
    <x v="2"/>
    <s v="NestleP.1"/>
    <x v="0"/>
    <x v="2"/>
    <n v="0"/>
    <s v="SI"/>
    <n v="0"/>
    <n v="0"/>
  </r>
  <r>
    <s v="NESTLE PURINA"/>
    <x v="2"/>
    <x v="1"/>
    <s v="AGRO/PSHOP/VET"/>
    <n v="424858"/>
    <x v="2"/>
    <s v="EN CANAL E., EL ASESOR EXPLICA CON CLARIDAD LA ACTIVIDAD DE &quot;GANA AL INSTANTE&quot; (A PARTIR DEL 17 DE MARZO)"/>
    <s v="NO"/>
    <d v="2025-03-14T00:00:00"/>
    <x v="2"/>
    <s v="NestleP.1"/>
    <x v="0"/>
    <x v="1"/>
    <n v="2.4"/>
    <s v="SI"/>
    <n v="0"/>
    <n v="0"/>
  </r>
  <r>
    <s v="NESTLE PURINA"/>
    <x v="2"/>
    <x v="1"/>
    <s v="AGRO/PSHOP/VET"/>
    <n v="424858"/>
    <x v="2"/>
    <s v="EN CANAL E., EL ASESOR COMUNICA PROACTIVAMENTE LA ACTIVIDAD DE &quot;GANA AL INSTANTE&quot; (A PARTIR DEL 17 DE MARZO)"/>
    <s v="NO"/>
    <d v="2025-03-14T00:00:00"/>
    <x v="2"/>
    <s v="NestleP.1"/>
    <x v="0"/>
    <x v="1"/>
    <n v="2.4"/>
    <s v="SI"/>
    <n v="0"/>
    <n v="0"/>
  </r>
  <r>
    <s v="NESTLE PURINA"/>
    <x v="2"/>
    <x v="1"/>
    <s v="AGRO/PSHOP/VET"/>
    <n v="424858"/>
    <x v="2"/>
    <s v="EN CANAL E., EL ASESOR OFRECE PRODUCTO HUMEDO Y COMUNICA LA DINAMICA DE MULTIPRICE (POR LA COMPRA DE MAS CANTIDADES TIENE DESCUENTO)."/>
    <s v="NO"/>
    <d v="2025-03-14T00:00:00"/>
    <x v="2"/>
    <s v="NestleP.1"/>
    <x v="0"/>
    <x v="1"/>
    <n v="2.4"/>
    <s v="SI"/>
    <n v="0"/>
    <n v="0"/>
  </r>
  <r>
    <s v="NESTLE PURINA"/>
    <x v="2"/>
    <x v="1"/>
    <s v="AGRO/PSHOP/VET"/>
    <n v="424858"/>
    <x v="2"/>
    <s v="EN CANAL E.  EL ASESOR COMUNICA LOS BENEFICIOS O CARACTERISTICAS DEL PRODUCTO EXCELLENT E INFORMA QUE EL PRODUCTO CAMBIO DE IMAGEN PERO CONTINUA CON LA MISMA FORMULA?"/>
    <s v="SI"/>
    <d v="2025-03-14T00:00:00"/>
    <x v="2"/>
    <s v="NestleP.1"/>
    <x v="0"/>
    <x v="1"/>
    <n v="2.4"/>
    <s v="SI"/>
    <n v="2.4"/>
    <n v="0"/>
  </r>
  <r>
    <s v="NESTLE PURINA"/>
    <x v="2"/>
    <x v="1"/>
    <s v="AGRO/PSHOP/VET"/>
    <n v="424858"/>
    <x v="2"/>
    <s v="EN CANAL E.  EL ASESOR COMUNICA QUE LA MARCA EXCELLENT ESTA DENTRO DE LA CATEGORIA SUPERPREMIUM PERO A UN COSTO MAS ACCESIBLE."/>
    <s v="SI"/>
    <d v="2025-03-14T00:00:00"/>
    <x v="2"/>
    <s v="NestleP.1"/>
    <x v="0"/>
    <x v="1"/>
    <n v="2.4"/>
    <s v="SI"/>
    <n v="2.4"/>
    <n v="0"/>
  </r>
  <r>
    <s v="NESTLE PURINA"/>
    <x v="2"/>
    <x v="1"/>
    <s v="AGRO/PSHOP/VET"/>
    <n v="424858"/>
    <x v="2"/>
    <s v="EN CANAL E. DESPUES DE OBJECION DE PRECIO, EL ASESOR OFRECIO LA MARCA EXCELLENT?"/>
    <s v="SI"/>
    <d v="2025-03-14T00:00:00"/>
    <x v="2"/>
    <s v="NestleP.1"/>
    <x v="0"/>
    <x v="1"/>
    <n v="2.4"/>
    <s v="SI"/>
    <n v="2.4"/>
    <n v="0"/>
  </r>
  <r>
    <s v="NESTLE PURINA"/>
    <x v="2"/>
    <x v="1"/>
    <s v="AGRO/PSHOP/VET"/>
    <n v="424858"/>
    <x v="2"/>
    <s v="EN CANAL E. LO PRIMERO QUE OFRECE EL ASESOR ES LA MARCA PRO PLAN?"/>
    <s v="SI"/>
    <d v="2025-03-14T00:00:00"/>
    <x v="2"/>
    <s v="NestleP.1"/>
    <x v="0"/>
    <x v="1"/>
    <n v="2.4"/>
    <s v="SI"/>
    <n v="2.4"/>
    <n v="0"/>
  </r>
  <r>
    <s v="NESTLE PURINA"/>
    <x v="2"/>
    <x v="1"/>
    <s v="AGRO/PSHOP/VET"/>
    <n v="424858"/>
    <x v="2"/>
    <s v="RESUELVE LA OBJECION SATISFACTORIAMENTE"/>
    <s v="SI"/>
    <d v="2025-03-14T00:00:00"/>
    <x v="2"/>
    <s v="NestleP.1"/>
    <x v="0"/>
    <x v="1"/>
    <s v="4,8"/>
    <s v="SI"/>
    <s v="4,8"/>
    <n v="0"/>
  </r>
  <r>
    <s v="NESTLE PURINA"/>
    <x v="2"/>
    <x v="1"/>
    <s v="AGRO/PSHOP/VET"/>
    <n v="424858"/>
    <x v="2"/>
    <s v="QUE CANAL VA A REALIZAR"/>
    <s v=" CANAL ESPECIALIZADO"/>
    <d v="2025-03-14T00:00:00"/>
    <x v="2"/>
    <s v="NestleP.1"/>
    <x v="0"/>
    <x v="2"/>
    <n v="0"/>
    <n v="0"/>
    <n v="0"/>
    <n v="0"/>
  </r>
  <r>
    <s v="NESTLE PURINA"/>
    <x v="2"/>
    <x v="1"/>
    <s v="AGRO/PSHOP/VET"/>
    <n v="424858"/>
    <x v="2"/>
    <s v="OFRECIO ALGUN PRODUCTO DEL PORTAFOLIO PURINA DE PRODUCTOS HUMEDOS, SNACK U OTROS COMUNICANDO LOS BENEFICIOS DEL PRODUCTO"/>
    <s v="SI"/>
    <d v="2025-03-14T00:00:00"/>
    <x v="2"/>
    <s v="NestleP.1"/>
    <x v="0"/>
    <x v="1"/>
    <n v="3"/>
    <s v="SI"/>
    <n v="3"/>
    <n v="0"/>
  </r>
  <r>
    <s v="NESTLE PURINA"/>
    <x v="2"/>
    <x v="1"/>
    <s v="AGRO/PSHOP/VET"/>
    <n v="424858"/>
    <x v="2"/>
    <s v="SE PRODUCE ABORDO PROACTIVO (ANTES DE LOS 3 MIN)"/>
    <s v="SI"/>
    <d v="2025-03-14T00:00:00"/>
    <x v="2"/>
    <s v="NestleP.1"/>
    <x v="0"/>
    <x v="3"/>
    <n v="20"/>
    <s v="SI"/>
    <n v="20"/>
    <n v="0"/>
  </r>
  <r>
    <s v="NESTLE PURINA"/>
    <x v="2"/>
    <x v="2"/>
    <s v="SODIMAC"/>
    <n v="105381"/>
    <x v="3"/>
    <s v="M. MENCIONA QUE TIENE CARNE DE VERDAD COMO INGREDIENTE NO.1 E INGREDIENTES NATURALES Y FUNCIONALES?"/>
    <s v="SI"/>
    <d v="2025-03-14T00:00:00"/>
    <x v="3"/>
    <s v="NestleP.2"/>
    <x v="0"/>
    <x v="1"/>
    <n v="2.2000000000000002"/>
    <s v="SI"/>
    <n v="2.2000000000000002"/>
    <n v="0"/>
  </r>
  <r>
    <s v="NESTLE PURINA"/>
    <x v="2"/>
    <x v="2"/>
    <s v="SODIMAC"/>
    <n v="105381"/>
    <x v="3"/>
    <s v="M. MENCIONA QUE LOS RESULTADOS DE PURINA ONE SON VISIBLES EN 28 DIAS?"/>
    <s v="SI"/>
    <d v="2025-03-14T00:00:00"/>
    <x v="3"/>
    <s v="NestleP.2"/>
    <x v="0"/>
    <x v="1"/>
    <n v="2.2000000000000002"/>
    <s v="SI"/>
    <n v="2.2000000000000002"/>
    <n v="0"/>
  </r>
  <r>
    <s v="NESTLE PURINA"/>
    <x v="2"/>
    <x v="2"/>
    <s v="SODIMAC"/>
    <n v="105381"/>
    <x v="3"/>
    <s v="M. OFRECE PURINA ONE: (APLICA SOLO EN CANAL MODERNO, CADENAS, SI EL PRODUCTO ESTA EN EL PDV)"/>
    <s v="SI"/>
    <d v="2025-03-14T00:00:00"/>
    <x v="3"/>
    <s v="NestleP.2"/>
    <x v="0"/>
    <x v="1"/>
    <n v="2.2000000000000002"/>
    <s v="SI"/>
    <n v="2.2000000000000002"/>
    <n v="0"/>
  </r>
  <r>
    <s v="NESTLE PURINA"/>
    <x v="2"/>
    <x v="2"/>
    <s v="SODIMAC"/>
    <n v="105381"/>
    <x v="3"/>
    <s v="QUE CANAL VA A REALIZAR"/>
    <s v="CANAL MODERNO"/>
    <d v="2025-03-14T00:00:00"/>
    <x v="3"/>
    <s v="NestleP.2"/>
    <x v="0"/>
    <x v="2"/>
    <n v="0"/>
    <n v="0"/>
    <n v="0"/>
    <n v="0"/>
  </r>
  <r>
    <s v="NESTLE PURINA"/>
    <x v="2"/>
    <x v="2"/>
    <s v="SODIMAC"/>
    <n v="105381"/>
    <x v="3"/>
    <s v="OFRECIO ALGUN PRODUCTO DEL PORTAFOLIO PURINA DE PRODUCTOS HUMEDOS, SNACK U OTROS COMUNICANDO LOS BENEFICIOS DEL PRODUCTO"/>
    <s v="SI"/>
    <d v="2025-03-14T00:00:00"/>
    <x v="3"/>
    <s v="NestleP.2"/>
    <x v="0"/>
    <x v="1"/>
    <n v="3"/>
    <s v="SI"/>
    <n v="3"/>
    <n v="0"/>
  </r>
  <r>
    <s v="NESTLE PURINA"/>
    <x v="2"/>
    <x v="2"/>
    <s v="SODIMAC"/>
    <n v="105381"/>
    <x v="3"/>
    <s v="OFRECIO ALGUN PRODUCTO DEL PORTAFOLIO PURINA DE PRODUCTOS SECOS COMUNICANDO LOS BENEFICIOS DEL PRODUCTO"/>
    <s v="SI"/>
    <d v="2025-03-14T00:00:00"/>
    <x v="3"/>
    <s v="NestleP.2"/>
    <x v="0"/>
    <x v="1"/>
    <n v="3"/>
    <s v="SI"/>
    <n v="3"/>
    <n v="0"/>
  </r>
  <r>
    <s v="NESTLE PURINA"/>
    <x v="2"/>
    <x v="2"/>
    <s v="SODIMAC"/>
    <n v="105381"/>
    <x v="3"/>
    <s v="SE PRODUCE ABORDO PROACTIVO (ANTES DE LOS 3 MIN)"/>
    <s v="SI"/>
    <d v="2025-03-14T00:00:00"/>
    <x v="3"/>
    <s v="NestleP.2"/>
    <x v="0"/>
    <x v="3"/>
    <n v="20"/>
    <s v="SI"/>
    <n v="20"/>
    <n v="0"/>
  </r>
  <r>
    <s v="NESTLE PURINA"/>
    <x v="2"/>
    <x v="2"/>
    <s v="SODIMAC"/>
    <n v="105381"/>
    <x v="3"/>
    <s v="USA ACCESORIOS QUE NO CUMPLE CON EL CODIGO DE VESTIMENTA"/>
    <s v="NO"/>
    <d v="2025-03-14T00:00:00"/>
    <x v="3"/>
    <s v="NestleP.2"/>
    <x v="0"/>
    <x v="4"/>
    <n v="1.5"/>
    <s v="NO"/>
    <n v="1.5"/>
    <n v="0"/>
  </r>
  <r>
    <s v="NESTLE PURINA"/>
    <x v="2"/>
    <x v="2"/>
    <s v="SODIMAC"/>
    <n v="105381"/>
    <x v="3"/>
    <s v="M. MENCIONA QUE PURINA ONE CUENTA CON ALIMENTO HUMEDO Y MENCIONA LAS 3 VARIADADES  ( SUPER FOODS, SUPER NUTRIENTES Y MULTI PROTEINAS);PERRO Y GATO"/>
    <s v="SI"/>
    <d v="2025-03-14T00:00:00"/>
    <x v="3"/>
    <s v="NestleP.2"/>
    <x v="0"/>
    <x v="1"/>
    <n v="2.2000000000000002"/>
    <s v="SI"/>
    <n v="2.2000000000000002"/>
    <n v="0"/>
  </r>
  <r>
    <s v="NESTLE PURINA"/>
    <x v="2"/>
    <x v="2"/>
    <s v="SODIMAC"/>
    <n v="105381"/>
    <x v="3"/>
    <s v="TIENE UÑAS LLAMATIVAS Y/O LARGAS QUE NO CUMPLE CON EL CODIGO DE VESTIMENTA"/>
    <s v="NO"/>
    <d v="2025-03-14T00:00:00"/>
    <x v="3"/>
    <s v="NestleP.2"/>
    <x v="0"/>
    <x v="4"/>
    <n v="1.5"/>
    <s v="NO"/>
    <n v="1.5"/>
    <n v="0"/>
  </r>
  <r>
    <s v="NESTLE PURINA"/>
    <x v="2"/>
    <x v="2"/>
    <s v="SODIMAC"/>
    <n v="105381"/>
    <x v="3"/>
    <s v="PRESENTA EXCESO DE MAQUILLAJE QUE NO CUMPLE CON EL CODIGO DE VESTIMENTA"/>
    <s v="NO"/>
    <d v="2025-03-14T00:00:00"/>
    <x v="3"/>
    <s v="NestleP.2"/>
    <x v="0"/>
    <x v="4"/>
    <n v="1.5"/>
    <s v="NO"/>
    <n v="1.5"/>
    <n v="0"/>
  </r>
  <r>
    <s v="NESTLE PURINA"/>
    <x v="2"/>
    <x v="2"/>
    <s v="SODIMAC"/>
    <n v="105381"/>
    <x v="3"/>
    <s v="SU CABELLO LUCE LIMPIO, ORGANIZADO O RECOGIDO"/>
    <s v="SI"/>
    <d v="2025-03-14T00:00:00"/>
    <x v="3"/>
    <s v="NestleP.2"/>
    <x v="0"/>
    <x v="4"/>
    <n v="1.5"/>
    <s v="SI"/>
    <n v="1.5"/>
    <n v="0"/>
  </r>
  <r>
    <s v="NESTLE PURINA"/>
    <x v="2"/>
    <x v="2"/>
    <s v="SODIMAC"/>
    <n v="105381"/>
    <x v="3"/>
    <s v="EL UNIFORME Y ZAPATOS SE ENCUENTRAN LIMPIOS Y EN BUEN ESTADO"/>
    <s v="SI"/>
    <d v="2025-03-14T00:00:00"/>
    <x v="3"/>
    <s v="NestleP.2"/>
    <x v="0"/>
    <x v="4"/>
    <n v="1.5"/>
    <s v="SI"/>
    <n v="1.5"/>
    <n v="0"/>
  </r>
  <r>
    <s v="NESTLE PURINA"/>
    <x v="2"/>
    <x v="2"/>
    <s v="SODIMAC"/>
    <n v="105381"/>
    <x v="3"/>
    <s v="POSEE ALGUNA PRENDA ENCIMA DEL UNIFORME NO AUTORIZADA POR LA MARCA (SOLO PERMITIDO CHALECO DE SODIMAC Y EASY)"/>
    <s v="SI"/>
    <d v="2025-03-14T00:00:00"/>
    <x v="3"/>
    <s v="NestleP.2"/>
    <x v="0"/>
    <x v="4"/>
    <n v="1.5"/>
    <s v="NO"/>
    <n v="0"/>
    <n v="0"/>
  </r>
  <r>
    <s v="NESTLE PURINA"/>
    <x v="2"/>
    <x v="2"/>
    <s v="SODIMAC"/>
    <n v="105381"/>
    <x v="3"/>
    <s v="CUENTA CON CALZADO DE ACUERDO AL UNIFORME"/>
    <s v="SI"/>
    <d v="2025-03-14T00:00:00"/>
    <x v="3"/>
    <s v="NestleP.2"/>
    <x v="0"/>
    <x v="4"/>
    <n v="1.5"/>
    <s v="SI"/>
    <n v="1.5"/>
    <n v="0"/>
  </r>
  <r>
    <s v="NESTLE PURINA"/>
    <x v="2"/>
    <x v="2"/>
    <s v="SODIMAC"/>
    <n v="105381"/>
    <x v="3"/>
    <s v="CUENTA CON CAMISA DEL UNIFORME Y LOGOS SEGÚN EL CARGO (NEGRA / GRIS / ROJA / TURQUESA) (PERMITIDO USAR DEBAJO DE CAMISA BUSO MANGA LARGA NEGRO)"/>
    <s v="SI"/>
    <d v="2025-03-14T00:00:00"/>
    <x v="3"/>
    <s v="NestleP.2"/>
    <x v="0"/>
    <x v="4"/>
    <n v="1.5"/>
    <s v="SI"/>
    <n v="1.5"/>
    <n v="0"/>
  </r>
  <r>
    <s v="NESTLE PURINA"/>
    <x v="2"/>
    <x v="2"/>
    <s v="SODIMAC"/>
    <n v="105381"/>
    <x v="3"/>
    <s v="CUENTA CON PANTALON DEL UNIFORME SEGUN EL CARGO (NEGRO / ROJO / TURQUESA / JEAN)"/>
    <s v="SI"/>
    <d v="2025-03-14T00:00:00"/>
    <x v="3"/>
    <s v="NestleP.2"/>
    <x v="0"/>
    <x v="4"/>
    <n v="1.5"/>
    <s v="SI"/>
    <n v="1.5"/>
    <n v="0"/>
  </r>
  <r>
    <s v="NESTLE PURINA"/>
    <x v="2"/>
    <x v="2"/>
    <s v="SODIMAC"/>
    <n v="105381"/>
    <x v="3"/>
    <s v="¿CUMPLE HORARIO DE ENTRADA O SALIDA DE LA TIENDA?"/>
    <s v="SI"/>
    <d v="2025-03-14T00:00:00"/>
    <x v="3"/>
    <s v="NestleP.2"/>
    <x v="0"/>
    <x v="0"/>
    <n v="20"/>
    <s v="SI"/>
    <n v="20"/>
    <n v="0"/>
  </r>
  <r>
    <s v="NESTLE PURINA"/>
    <x v="2"/>
    <x v="2"/>
    <s v="SODIMAC"/>
    <n v="105381"/>
    <x v="3"/>
    <s v="TIENE TATUAJES O PIERCINGS VISIBLES QUE NO CUMPLE CON EL CODIGO DE VESTIMENTA"/>
    <s v="NO"/>
    <d v="2025-03-14T00:00:00"/>
    <x v="3"/>
    <s v="NestleP.2"/>
    <x v="0"/>
    <x v="4"/>
    <n v="1.5"/>
    <s v="NO"/>
    <n v="1.5"/>
    <n v="0"/>
  </r>
  <r>
    <s v="NESTLE PURINA"/>
    <x v="2"/>
    <x v="1"/>
    <s v="AGRO/PSHOP/VET"/>
    <n v="424858"/>
    <x v="2"/>
    <s v="OFRECIO ALGUN PRODUCTO DEL PORTAFOLIO PURINA DE PRODUCTOS SECOS COMUNICANDO LOS BENEFICIOS DEL PRODUCTO"/>
    <s v="SI"/>
    <d v="2025-03-14T00:00:00"/>
    <x v="2"/>
    <s v="NestleP.1"/>
    <x v="0"/>
    <x v="1"/>
    <n v="3"/>
    <s v="SI"/>
    <n v="3"/>
    <n v="0"/>
  </r>
  <r>
    <s v="NESTLE PURINA"/>
    <x v="2"/>
    <x v="2"/>
    <s v="SODIMAC"/>
    <n v="105381"/>
    <x v="3"/>
    <s v="M. MANEJA LA OBJECION DE ALTO PRECIO, COMUNICANDO LA BAJA DE PRECIOS DE LAS MARCAS O LAS OFERTAS DISPONIBLES EN EL PUNTO DE VENTA."/>
    <s v="SI"/>
    <d v="2025-03-14T00:00:00"/>
    <x v="3"/>
    <s v="NestleP.2"/>
    <x v="0"/>
    <x v="1"/>
    <n v="2.2000000000000002"/>
    <s v="SI"/>
    <n v="2.2000000000000002"/>
    <n v="0"/>
  </r>
  <r>
    <s v="NESTLE PURINA"/>
    <x v="2"/>
    <x v="2"/>
    <s v="SODIMAC"/>
    <n v="105381"/>
    <x v="3"/>
    <s v="M. EL ASESOR COMUNICA SOBRE LA ACTIVIDAD &quot;HOY GANAS MAÑANA TAMBIEN&quot;"/>
    <s v="SI"/>
    <d v="2025-03-14T00:00:00"/>
    <x v="3"/>
    <s v="NestleP.2"/>
    <x v="0"/>
    <x v="1"/>
    <n v="2.2000000000000002"/>
    <s v="SI"/>
    <n v="2.2000000000000002"/>
    <n v="0"/>
  </r>
  <r>
    <s v="NESTLE PURINA"/>
    <x v="2"/>
    <x v="1"/>
    <s v="AGRO/PSHOP/VET"/>
    <n v="424858"/>
    <x v="2"/>
    <s v="USA ACCESORIOS QUE NO CUMPLE CON EL CODIGO DE VESTIMENTA"/>
    <s v="NO"/>
    <d v="2025-03-14T00:00:00"/>
    <x v="2"/>
    <s v="NestleP.1"/>
    <x v="0"/>
    <x v="4"/>
    <n v="1.5"/>
    <s v="NO"/>
    <n v="1.5"/>
    <n v="0"/>
  </r>
  <r>
    <s v="NESTLE PURINA"/>
    <x v="2"/>
    <x v="1"/>
    <s v="AGRO/PSHOP/VET"/>
    <n v="424858"/>
    <x v="2"/>
    <s v="TIENE UÑAS LLAMATIVAS Y/O LARGAS QUE NO CUMPLE CON EL CODIGO DE VESTIMENTA"/>
    <s v="NO"/>
    <d v="2025-03-14T00:00:00"/>
    <x v="2"/>
    <s v="NestleP.1"/>
    <x v="0"/>
    <x v="4"/>
    <n v="1.5"/>
    <s v="NO"/>
    <n v="1.5"/>
    <n v="0"/>
  </r>
  <r>
    <s v="NESTLE PURINA"/>
    <x v="2"/>
    <x v="1"/>
    <s v="AGRO/PSHOP/VET"/>
    <n v="424858"/>
    <x v="2"/>
    <s v="TIENE TATUAJES O PIERCINGS VISIBLES QUE NO CUMPLE CON EL CODIGO DE VESTIMENTA"/>
    <s v="NO"/>
    <d v="2025-03-14T00:00:00"/>
    <x v="2"/>
    <s v="NestleP.1"/>
    <x v="0"/>
    <x v="4"/>
    <n v="1.5"/>
    <s v="NO"/>
    <n v="1.5"/>
    <n v="0"/>
  </r>
  <r>
    <s v="NESTLE PURINA"/>
    <x v="2"/>
    <x v="1"/>
    <s v="AGRO/PSHOP/VET"/>
    <n v="424858"/>
    <x v="2"/>
    <s v="PRESENTA EXCESO DE MAQUILLAJE QUE NO CUMPLE CON EL CODIGO DE VESTIMENTA"/>
    <s v="NO"/>
    <d v="2025-03-14T00:00:00"/>
    <x v="2"/>
    <s v="NestleP.1"/>
    <x v="0"/>
    <x v="4"/>
    <n v="1.5"/>
    <s v="NO"/>
    <n v="1.5"/>
    <n v="0"/>
  </r>
  <r>
    <s v="NESTLE PURINA"/>
    <x v="2"/>
    <x v="1"/>
    <s v="AGRO/PSHOP/VET"/>
    <n v="424858"/>
    <x v="2"/>
    <s v="SU CABELLO LUCE LIMPIO, ORGANIZADO O RECOGIDO"/>
    <s v="SI"/>
    <d v="2025-03-14T00:00:00"/>
    <x v="2"/>
    <s v="NestleP.1"/>
    <x v="0"/>
    <x v="4"/>
    <n v="1.5"/>
    <s v="SI"/>
    <n v="1.5"/>
    <n v="0"/>
  </r>
  <r>
    <s v="NESTLE PURINA"/>
    <x v="2"/>
    <x v="1"/>
    <s v="AGRO/PSHOP/VET"/>
    <n v="424858"/>
    <x v="2"/>
    <s v="EL UNIFORME Y ZAPATOS SE ENCUENTRAN LIMPIOS Y EN BUEN ESTADO"/>
    <s v="SI"/>
    <d v="2025-03-14T00:00:00"/>
    <x v="2"/>
    <s v="NestleP.1"/>
    <x v="0"/>
    <x v="4"/>
    <n v="1.5"/>
    <s v="SI"/>
    <n v="1.5"/>
    <n v="0"/>
  </r>
  <r>
    <s v="NESTLE PURINA"/>
    <x v="2"/>
    <x v="1"/>
    <s v="AGRO/PSHOP/VET"/>
    <n v="424858"/>
    <x v="2"/>
    <s v="POSEE ALGUNA PRENDA ENCIMA DEL UNIFORME NO AUTORIZADA POR LA MARCA (SOLO PERMITIDO CHALECO DE SODIMAC Y EASY)"/>
    <s v="NO"/>
    <d v="2025-03-14T00:00:00"/>
    <x v="2"/>
    <s v="NestleP.1"/>
    <x v="0"/>
    <x v="4"/>
    <n v="1.5"/>
    <s v="NO"/>
    <n v="1.5"/>
    <n v="0"/>
  </r>
  <r>
    <s v="NESTLE PURINA"/>
    <x v="2"/>
    <x v="1"/>
    <s v="AGRO/PSHOP/VET"/>
    <n v="424858"/>
    <x v="2"/>
    <s v="CUENTA CON CALZADO DE ACUERDO AL UNIFORME"/>
    <s v="SI"/>
    <d v="2025-03-14T00:00:00"/>
    <x v="2"/>
    <s v="NestleP.1"/>
    <x v="0"/>
    <x v="4"/>
    <n v="1.5"/>
    <s v="SI"/>
    <n v="1.5"/>
    <n v="0"/>
  </r>
  <r>
    <s v="NESTLE PURINA"/>
    <x v="2"/>
    <x v="2"/>
    <s v="SODIMAC"/>
    <n v="105381"/>
    <x v="3"/>
    <s v="M. AL PRESENTAR OBJECIÓN &quot;PRECIO MUY COSTOSO&quot;, EL ASESOR OFRECE LOS PRODUCTOS EN ORDEN DE SEGMENTACIÓN: P: PURINA ONE - DOG CHOW - ALPO G: PURINA ONE - CAT CHOW - FELIX - GATSY ( &quot;DICE AHORA ES MAS SABROSO&quot;)"/>
    <s v="SI"/>
    <d v="2025-03-14T00:00:00"/>
    <x v="3"/>
    <s v="NestleP.2"/>
    <x v="0"/>
    <x v="1"/>
    <n v="2.2000000000000002"/>
    <s v="SI"/>
    <n v="2.2000000000000002"/>
    <n v="0"/>
  </r>
  <r>
    <s v="NESTLE PURINA"/>
    <x v="2"/>
    <x v="1"/>
    <s v="AGRO/PSHOP/VET"/>
    <n v="424858"/>
    <x v="2"/>
    <s v="CUENTA CON CAMISA DEL UNIFORME Y LOGOS SEGÚN EL CARGO (NEGRA / GRIS / ROJA / TURQUESA) (PERMITIDO USAR DEBAJO DE CAMISA BUSO MANGA LARGA NEGRO)"/>
    <s v="SI"/>
    <d v="2025-03-14T00:00:00"/>
    <x v="2"/>
    <s v="NestleP.1"/>
    <x v="0"/>
    <x v="4"/>
    <n v="1.5"/>
    <s v="SI"/>
    <n v="1.5"/>
    <n v="0"/>
  </r>
  <r>
    <s v="NESTLE PURINA"/>
    <x v="2"/>
    <x v="1"/>
    <s v="AGRO/PSHOP/VET"/>
    <n v="424858"/>
    <x v="2"/>
    <s v="¿CUMPLE HORARIO DE ENTRADA O SALIDA DE LA TIENDA?"/>
    <s v="SI"/>
    <d v="2025-03-14T00:00:00"/>
    <x v="2"/>
    <s v="NestleP.1"/>
    <x v="0"/>
    <x v="0"/>
    <n v="20"/>
    <s v="SI"/>
    <n v="20"/>
    <n v="0"/>
  </r>
  <r>
    <s v="NESTLE PURINA"/>
    <x v="2"/>
    <x v="2"/>
    <s v="SODIMAC"/>
    <n v="105381"/>
    <x v="3"/>
    <s v="PRESENTA ALGUNA NOVEDAD?"/>
    <s v="NO"/>
    <d v="2025-03-14T00:00:00"/>
    <x v="3"/>
    <s v="NestleP.2"/>
    <x v="0"/>
    <x v="2"/>
    <n v="0"/>
    <n v="0"/>
    <n v="0"/>
    <n v="0"/>
  </r>
  <r>
    <s v="NESTLE PURINA"/>
    <x v="2"/>
    <x v="2"/>
    <s v="SODIMAC"/>
    <n v="105381"/>
    <x v="3"/>
    <s v="CONSIDERO QUE INDEPENDIENTEMENTE DEL SPEECH, LA LABOR DE VENTA ES BUENA"/>
    <s v="SI"/>
    <d v="2025-03-14T00:00:00"/>
    <x v="3"/>
    <s v="NestleP.2"/>
    <x v="0"/>
    <x v="5"/>
    <n v="7.5"/>
    <s v="SI"/>
    <n v="7.5"/>
    <n v="0"/>
  </r>
  <r>
    <s v="NESTLE PURINA"/>
    <x v="2"/>
    <x v="2"/>
    <s v="SODIMAC"/>
    <n v="105381"/>
    <x v="3"/>
    <s v="REALIZA CIERRE  CON FRASES &quot; DESEA LLEVARLO&quot; ,&quot;CUANTOS DESEARIA LLEVAR&quot; ,&quot; LE GUSTARIA ADQUIRIRLO&quot; , &quot; CUANTAS UNIDADES DESEA LLEVAR&quot; , &quot; LE GUSTARIA LLEVARLO EN PRESENTACIÓN HUMEDA O SECA&quot;"/>
    <s v="SI"/>
    <d v="2025-03-14T00:00:00"/>
    <x v="3"/>
    <s v="NestleP.2"/>
    <x v="0"/>
    <x v="5"/>
    <n v="7.5"/>
    <s v="SI"/>
    <n v="7.5"/>
    <n v="0"/>
  </r>
  <r>
    <s v="NESTLE PURINA"/>
    <x v="2"/>
    <x v="2"/>
    <s v="SODIMAC"/>
    <n v="105381"/>
    <x v="3"/>
    <s v="SE ENCUENTRA LIMPIA EL AREA DE DEMOSTRACION"/>
    <s v="SI"/>
    <d v="2025-03-14T00:00:00"/>
    <x v="3"/>
    <s v="NestleP.2"/>
    <x v="0"/>
    <x v="1"/>
    <n v="2"/>
    <s v="SI"/>
    <n v="2"/>
    <n v="0"/>
  </r>
  <r>
    <s v="NESTLE PURINA"/>
    <x v="2"/>
    <x v="2"/>
    <s v="SODIMAC"/>
    <n v="105381"/>
    <x v="3"/>
    <s v="RESUELVE LA OBJECION SATISFACTORIAMENTE"/>
    <s v="SI"/>
    <d v="2025-03-14T00:00:00"/>
    <x v="3"/>
    <s v="NestleP.2"/>
    <x v="0"/>
    <x v="1"/>
    <s v="4, 4"/>
    <s v="SI"/>
    <s v="4, 4"/>
    <n v="0"/>
  </r>
  <r>
    <s v="NESTLE PURINA"/>
    <x v="2"/>
    <x v="2"/>
    <s v="SODIMAC"/>
    <n v="105381"/>
    <x v="3"/>
    <s v="SE PRESENTARON OBJECIONES"/>
    <s v="SI"/>
    <d v="2025-03-14T00:00:00"/>
    <x v="3"/>
    <s v="NestleP.2"/>
    <x v="0"/>
    <x v="2"/>
    <n v="0"/>
    <s v="SI"/>
    <n v="0"/>
    <n v="0"/>
  </r>
  <r>
    <s v="NESTLE PURINA"/>
    <x v="2"/>
    <x v="2"/>
    <s v="SODIMAC"/>
    <n v="105381"/>
    <x v="3"/>
    <s v="M. EL ASESOR EXPLICA CON CLARIDAD LA DINAMICA DE PARTICIPACIÓN"/>
    <s v="SI"/>
    <d v="2025-03-14T00:00:00"/>
    <x v="3"/>
    <s v="NestleP.2"/>
    <x v="0"/>
    <x v="1"/>
    <n v="2.2000000000000002"/>
    <s v="SI"/>
    <n v="2.2000000000000002"/>
    <n v="0"/>
  </r>
  <r>
    <s v="NESTLE PURINA"/>
    <x v="2"/>
    <x v="1"/>
    <s v="AGRO/PSHOP/VET"/>
    <n v="424858"/>
    <x v="2"/>
    <s v="CUENTA CON PANTALON DEL UNIFORME SEGUN EL CARGO (NEGRO / ROJO / TURQUESA / JEAN)"/>
    <s v="SI"/>
    <d v="2025-03-14T00:00:00"/>
    <x v="2"/>
    <s v="NestleP.1"/>
    <x v="0"/>
    <x v="4"/>
    <n v="1.5"/>
    <s v="SI"/>
    <n v="1.5"/>
    <n v="0"/>
  </r>
  <r>
    <s v="NESTLE PURINA"/>
    <x v="2"/>
    <x v="1"/>
    <s v="AGRO/PSHOP/VET"/>
    <n v="180619"/>
    <x v="4"/>
    <s v="CUAL ES LA NOVEDAD"/>
    <s v="Se visita el punto en dos ocasiones por más de 40 minutos y no se encuentra ningún asesor o asesora de purina, por lo tanto me atienden los asesores de Puppis"/>
    <d v="2025-03-15T00:00:00"/>
    <x v="4"/>
    <s v="NestleP.1"/>
    <x v="1"/>
    <x v="2"/>
    <n v="0"/>
    <n v="0"/>
    <n v="0"/>
    <n v="0"/>
  </r>
  <r>
    <s v="NESTLE PURINA"/>
    <x v="2"/>
    <x v="1"/>
    <s v="AGRO/PSHOP/VET"/>
    <n v="180619"/>
    <x v="4"/>
    <s v="¿CUMPLE HORARIO DE ENTRADA O SALIDA DE LA TIENDA?"/>
    <s v="NO"/>
    <d v="2025-03-15T00:00:00"/>
    <x v="4"/>
    <s v="NestleP.1"/>
    <x v="1"/>
    <x v="2"/>
    <n v="0"/>
    <s v="SI"/>
    <n v="0"/>
    <n v="0"/>
  </r>
  <r>
    <s v="NESTLE PURINA"/>
    <x v="0"/>
    <x v="1"/>
    <s v="AGRO/PSHOP/VET"/>
    <n v="356594"/>
    <x v="5"/>
    <s v="POSEE ALGUNA PRENDA ENCIMA DEL UNIFORME NO AUTORIZADA POR LA MARCA (SOLO PERMITIDO CHALECO DE SODIMAC Y EASY)"/>
    <s v="NO"/>
    <d v="2025-03-15T00:00:00"/>
    <x v="5"/>
    <s v="NestleP.7"/>
    <x v="0"/>
    <x v="4"/>
    <n v="1.5"/>
    <s v="NO"/>
    <n v="1.5"/>
    <n v="0"/>
  </r>
  <r>
    <s v="NESTLE PURINA"/>
    <x v="0"/>
    <x v="1"/>
    <s v="AGRO/PSHOP/VET"/>
    <n v="356594"/>
    <x v="5"/>
    <s v="CUENTA CON CALZADO DE ACUERDO AL UNIFORME"/>
    <s v="SI"/>
    <d v="2025-03-15T00:00:00"/>
    <x v="5"/>
    <s v="NestleP.7"/>
    <x v="0"/>
    <x v="4"/>
    <n v="1.5"/>
    <s v="SI"/>
    <n v="1.5"/>
    <n v="0"/>
  </r>
  <r>
    <s v="NESTLE PURINA"/>
    <x v="0"/>
    <x v="1"/>
    <s v="AGRO/PSHOP/VET"/>
    <n v="356594"/>
    <x v="5"/>
    <s v="CUENTA CON CAMISA DEL UNIFORME Y LOGOS SEGÚN EL CARGO (NEGRA / GRIS / ROJA / TURQUESA) (PERMITIDO USAR DEBAJO DE CAMISA BUSO MANGA LARGA NEGRO)"/>
    <s v="SI"/>
    <d v="2025-03-15T00:00:00"/>
    <x v="5"/>
    <s v="NestleP.7"/>
    <x v="0"/>
    <x v="4"/>
    <n v="1.5"/>
    <s v="SI"/>
    <n v="1.5"/>
    <n v="0"/>
  </r>
  <r>
    <s v="NESTLE PURINA"/>
    <x v="0"/>
    <x v="1"/>
    <s v="AGRO/PSHOP/VET"/>
    <n v="356594"/>
    <x v="5"/>
    <s v="CUENTA CON PANTALON DEL UNIFORME SEGUN EL CARGO (NEGRO / ROJO / TURQUESA / JEAN)"/>
    <s v="SI"/>
    <d v="2025-03-15T00:00:00"/>
    <x v="5"/>
    <s v="NestleP.7"/>
    <x v="0"/>
    <x v="4"/>
    <n v="1.5"/>
    <s v="SI"/>
    <n v="1.5"/>
    <n v="0"/>
  </r>
  <r>
    <s v="NESTLE PURINA"/>
    <x v="0"/>
    <x v="1"/>
    <s v="AGRO/PSHOP/VET"/>
    <n v="356594"/>
    <x v="5"/>
    <s v="¿CUMPLE HORARIO DE ENTRADA O SALIDA DE LA TIENDA?"/>
    <s v="SI"/>
    <d v="2025-03-15T00:00:00"/>
    <x v="5"/>
    <s v="NestleP.7"/>
    <x v="0"/>
    <x v="0"/>
    <n v="20"/>
    <s v="SI"/>
    <n v="20"/>
    <n v="0"/>
  </r>
  <r>
    <s v="NESTLE PURINA"/>
    <x v="0"/>
    <x v="1"/>
    <s v="AGRO/PSHOP/VET"/>
    <n v="356594"/>
    <x v="5"/>
    <s v="EL UNIFORME Y ZAPATOS SE ENCUENTRAN LIMPIOS Y EN BUEN ESTADO"/>
    <s v="SI"/>
    <d v="2025-03-15T00:00:00"/>
    <x v="5"/>
    <s v="NestleP.7"/>
    <x v="0"/>
    <x v="4"/>
    <n v="1.5"/>
    <s v="SI"/>
    <n v="1.5"/>
    <n v="0"/>
  </r>
  <r>
    <s v="NESTLE PURINA"/>
    <x v="0"/>
    <x v="1"/>
    <s v="AGRO/PSHOP/VET"/>
    <n v="356594"/>
    <x v="5"/>
    <s v="SU CABELLO LUCE LIMPIO, ORGANIZADO O RECOGIDO"/>
    <s v="SI"/>
    <d v="2025-03-15T00:00:00"/>
    <x v="5"/>
    <s v="NestleP.7"/>
    <x v="0"/>
    <x v="4"/>
    <n v="1.5"/>
    <s v="SI"/>
    <n v="1.5"/>
    <n v="0"/>
  </r>
  <r>
    <s v="NESTLE PURINA"/>
    <x v="0"/>
    <x v="1"/>
    <s v="AGRO/PSHOP/VET"/>
    <n v="356594"/>
    <x v="5"/>
    <s v="TIENE TATUAJES O PIERCINGS VISIBLES QUE NO CUMPLE CON EL CODIGO DE VESTIMENTA"/>
    <s v="NO"/>
    <d v="2025-03-15T00:00:00"/>
    <x v="5"/>
    <s v="NestleP.7"/>
    <x v="0"/>
    <x v="4"/>
    <n v="1.5"/>
    <s v="NO"/>
    <n v="1.5"/>
    <n v="0"/>
  </r>
  <r>
    <s v="NESTLE PURINA"/>
    <x v="0"/>
    <x v="1"/>
    <s v="AGRO/PSHOP/VET"/>
    <n v="356594"/>
    <x v="5"/>
    <s v="CONSIDERO QUE INDEPENDIENTEMENTE DEL SPEECH, LA LABOR DE VENTA ES BUENA"/>
    <s v="SI"/>
    <d v="2025-03-15T00:00:00"/>
    <x v="5"/>
    <s v="NestleP.7"/>
    <x v="0"/>
    <x v="5"/>
    <n v="7.5"/>
    <s v="SI"/>
    <n v="7.5"/>
    <n v="0"/>
  </r>
  <r>
    <s v="NESTLE PURINA"/>
    <x v="0"/>
    <x v="1"/>
    <s v="AGRO/PSHOP/VET"/>
    <n v="356594"/>
    <x v="5"/>
    <s v="REALIZA CIERRE  CON FRASES &quot; DESEA LLEVARLO&quot; ,&quot;CUANTOS DESEARIA LLEVAR&quot; ,&quot; LE GUSTARIA ADQUIRIRLO&quot; , &quot; CUANTAS UNIDADES DESEA LLEVAR&quot; , &quot; LE GUSTARIA LLEVARLO EN PRESENTACIÓN HUMEDA O SECA&quot;"/>
    <s v="SI"/>
    <d v="2025-03-15T00:00:00"/>
    <x v="5"/>
    <s v="NestleP.7"/>
    <x v="0"/>
    <x v="5"/>
    <n v="7.5"/>
    <s v="SI"/>
    <n v="7.5"/>
    <n v="0"/>
  </r>
  <r>
    <s v="NESTLE PURINA"/>
    <x v="0"/>
    <x v="1"/>
    <s v="AGRO/PSHOP/VET"/>
    <n v="356594"/>
    <x v="5"/>
    <s v="SE ENCUENTRA LIMPIA EL AREA DE DEMOSTRACION"/>
    <s v="SI"/>
    <d v="2025-03-15T00:00:00"/>
    <x v="5"/>
    <s v="NestleP.7"/>
    <x v="0"/>
    <x v="1"/>
    <n v="2.4"/>
    <s v="SI"/>
    <n v="2.4"/>
    <n v="0"/>
  </r>
  <r>
    <s v="NESTLE PURINA"/>
    <x v="0"/>
    <x v="1"/>
    <s v="AGRO/PSHOP/VET"/>
    <n v="356594"/>
    <x v="5"/>
    <s v="RESUELVE LA OBJECION SATISFACTORIAMENTE"/>
    <s v="SI"/>
    <d v="2025-03-15T00:00:00"/>
    <x v="5"/>
    <s v="NestleP.7"/>
    <x v="0"/>
    <x v="1"/>
    <s v="4,8"/>
    <s v="SI"/>
    <s v="4,8"/>
    <n v="0"/>
  </r>
  <r>
    <s v="NESTLE PURINA"/>
    <x v="0"/>
    <x v="1"/>
    <s v="AGRO/PSHOP/VET"/>
    <n v="356594"/>
    <x v="5"/>
    <s v="DE QUE TIPO ES LA OBJECION"/>
    <s v=" NO TIENE DINERO"/>
    <d v="2025-03-15T00:00:00"/>
    <x v="5"/>
    <s v="NestleP.7"/>
    <x v="0"/>
    <x v="2"/>
    <n v="0"/>
    <s v="SI"/>
    <n v="0"/>
    <n v="0"/>
  </r>
  <r>
    <s v="NESTLE PURINA"/>
    <x v="0"/>
    <x v="1"/>
    <s v="AGRO/PSHOP/VET"/>
    <n v="356594"/>
    <x v="5"/>
    <s v="SE PRESENTARON OBJECIONES"/>
    <s v="SI"/>
    <d v="2025-03-15T00:00:00"/>
    <x v="5"/>
    <s v="NestleP.7"/>
    <x v="0"/>
    <x v="2"/>
    <n v="0"/>
    <s v="SI"/>
    <n v="0"/>
    <n v="0"/>
  </r>
  <r>
    <s v="NESTLE PURINA"/>
    <x v="0"/>
    <x v="1"/>
    <s v="AGRO/PSHOP/VET"/>
    <n v="356594"/>
    <x v="5"/>
    <s v="EN CANAL E.  EL ASESOR COMUNICA LOS BENEFICIOS O CARACTERISTICAS DEL PRODUCTO EXCELLENT E INFORMA QUE EL PRODUCTO CAMBIO DE IMAGEN PERO CONTINUA CON LA MISMA FORMULA?"/>
    <s v="SI"/>
    <d v="2025-03-15T00:00:00"/>
    <x v="5"/>
    <s v="NestleP.7"/>
    <x v="0"/>
    <x v="1"/>
    <n v="2.4"/>
    <s v="SI"/>
    <n v="2.4"/>
    <n v="0"/>
  </r>
  <r>
    <s v="NESTLE PURINA"/>
    <x v="0"/>
    <x v="1"/>
    <s v="AGRO/PSHOP/VET"/>
    <n v="356594"/>
    <x v="5"/>
    <s v="EN CANAL E.  EL ASESOR COMUNICA QUE LA MARCA EXCELLENT ESTA DENTRO DE LA CATEGORIA SUPERPREMIUM PERO A UN COSTO MAS ACCESIBLE."/>
    <s v="SI"/>
    <d v="2025-03-15T00:00:00"/>
    <x v="5"/>
    <s v="NestleP.7"/>
    <x v="0"/>
    <x v="1"/>
    <n v="2.4"/>
    <s v="SI"/>
    <n v="2.4"/>
    <n v="0"/>
  </r>
  <r>
    <s v="NESTLE PURINA"/>
    <x v="0"/>
    <x v="1"/>
    <s v="AGRO/PSHOP/VET"/>
    <n v="356594"/>
    <x v="5"/>
    <s v="PRESENTA EXCESO DE MAQUILLAJE QUE NO CUMPLE CON EL CODIGO DE VESTIMENTA"/>
    <s v="NO"/>
    <d v="2025-03-15T00:00:00"/>
    <x v="5"/>
    <s v="NestleP.7"/>
    <x v="0"/>
    <x v="4"/>
    <n v="1.5"/>
    <s v="NO"/>
    <n v="1.5"/>
    <n v="0"/>
  </r>
  <r>
    <s v="NESTLE PURINA"/>
    <x v="0"/>
    <x v="1"/>
    <s v="AGRO/PSHOP/VET"/>
    <n v="356594"/>
    <x v="5"/>
    <s v="EN CANAL E. DESPUES DE OBJECION DE PRECIO, EL ASESOR OFRECIO LA MARCA EXCELLENT?"/>
    <s v="SI"/>
    <d v="2025-03-15T00:00:00"/>
    <x v="5"/>
    <s v="NestleP.7"/>
    <x v="0"/>
    <x v="1"/>
    <n v="2.4"/>
    <s v="SI"/>
    <n v="2.4"/>
    <n v="0"/>
  </r>
  <r>
    <s v="NESTLE PURINA"/>
    <x v="0"/>
    <x v="1"/>
    <s v="AGRO/PSHOP/VET"/>
    <n v="356594"/>
    <x v="5"/>
    <s v="QUE CANAL VA A REALIZAR"/>
    <s v=" CANAL ESPECIALIZADO"/>
    <d v="2025-03-15T00:00:00"/>
    <x v="5"/>
    <s v="NestleP.7"/>
    <x v="0"/>
    <x v="2"/>
    <n v="0"/>
    <n v="0"/>
    <n v="0"/>
    <n v="0"/>
  </r>
  <r>
    <s v="NESTLE PURINA"/>
    <x v="0"/>
    <x v="1"/>
    <s v="AGRO/PSHOP/VET"/>
    <n v="356594"/>
    <x v="5"/>
    <s v="OFRECIO ALGUN PRODUCTO DEL PORTAFOLIO PURINA DE PRODUCTOS HUMEDOS, SNACK U OTROS COMUNICANDO LOS BENEFICIOS DEL PRODUCTO"/>
    <s v="SI"/>
    <d v="2025-03-15T00:00:00"/>
    <x v="5"/>
    <s v="NestleP.7"/>
    <x v="0"/>
    <x v="1"/>
    <n v="3"/>
    <s v="SI"/>
    <n v="3"/>
    <n v="0"/>
  </r>
  <r>
    <s v="NESTLE PURINA"/>
    <x v="0"/>
    <x v="1"/>
    <s v="AGRO/PSHOP/VET"/>
    <n v="356594"/>
    <x v="5"/>
    <s v="OFRECIO ALGUN PRODUCTO DEL PORTAFOLIO PURINA DE PRODUCTOS SECOS COMUNICANDO LOS BENEFICIOS DEL PRODUCTO"/>
    <s v="SI"/>
    <d v="2025-03-15T00:00:00"/>
    <x v="5"/>
    <s v="NestleP.7"/>
    <x v="0"/>
    <x v="1"/>
    <n v="3"/>
    <s v="SI"/>
    <n v="3"/>
    <n v="0"/>
  </r>
  <r>
    <s v="NESTLE PURINA"/>
    <x v="0"/>
    <x v="1"/>
    <s v="AGRO/PSHOP/VET"/>
    <n v="356594"/>
    <x v="5"/>
    <s v="SE PRODUCE ABORDO PROACTIVO (ANTES DE LOS 3 MIN)"/>
    <s v="SI"/>
    <d v="2025-03-15T00:00:00"/>
    <x v="5"/>
    <s v="NestleP.7"/>
    <x v="0"/>
    <x v="3"/>
    <n v="20"/>
    <s v="SI"/>
    <n v="20"/>
    <n v="0"/>
  </r>
  <r>
    <s v="NESTLE PURINA"/>
    <x v="0"/>
    <x v="1"/>
    <s v="AGRO/PSHOP/VET"/>
    <n v="356594"/>
    <x v="5"/>
    <s v="USA ACCESORIOS QUE NO CUMPLE CON EL CODIGO DE VESTIMENTA"/>
    <s v="SI"/>
    <d v="2025-03-15T00:00:00"/>
    <x v="5"/>
    <s v="NestleP.7"/>
    <x v="0"/>
    <x v="4"/>
    <n v="1.5"/>
    <s v="NO"/>
    <n v="0"/>
    <n v="0"/>
  </r>
  <r>
    <s v="NESTLE PURINA"/>
    <x v="0"/>
    <x v="1"/>
    <s v="AGRO/PSHOP/VET"/>
    <n v="356594"/>
    <x v="5"/>
    <s v="TIENE UÑAS LLAMATIVAS Y/O LARGAS QUE NO CUMPLE CON EL CODIGO DE VESTIMENTA"/>
    <s v="NO"/>
    <d v="2025-03-15T00:00:00"/>
    <x v="5"/>
    <s v="NestleP.7"/>
    <x v="0"/>
    <x v="4"/>
    <n v="1.5"/>
    <s v="NO"/>
    <n v="1.5"/>
    <n v="0"/>
  </r>
  <r>
    <s v="NESTLE PURINA"/>
    <x v="0"/>
    <x v="1"/>
    <s v="AGRO/PSHOP/VET"/>
    <n v="356594"/>
    <x v="5"/>
    <s v="EN CANAL E. LO PRIMERO QUE OFRECE EL ASESOR ES LA MARCA PRO PLAN?"/>
    <s v="SI"/>
    <d v="2025-03-15T00:00:00"/>
    <x v="5"/>
    <s v="NestleP.7"/>
    <x v="0"/>
    <x v="1"/>
    <n v="2.4"/>
    <s v="SI"/>
    <n v="2.4"/>
    <n v="0"/>
  </r>
  <r>
    <s v="NESTLE PURINA"/>
    <x v="0"/>
    <x v="1"/>
    <s v="AGRO/PSHOP/VET"/>
    <n v="356594"/>
    <x v="5"/>
    <s v="PRESENTA ALGUNA NOVEDAD?"/>
    <s v="NO"/>
    <d v="2025-03-15T00:00:00"/>
    <x v="5"/>
    <s v="NestleP.7"/>
    <x v="0"/>
    <x v="2"/>
    <n v="0"/>
    <n v="0"/>
    <n v="0"/>
    <n v="0"/>
  </r>
  <r>
    <s v="NESTLE PURINA"/>
    <x v="2"/>
    <x v="1"/>
    <s v="AGRO/PSHOP/VET"/>
    <n v="180619"/>
    <x v="4"/>
    <s v="PRESENTA ALGUNA NOVEDAD?"/>
    <s v="SI"/>
    <d v="2025-03-15T00:00:00"/>
    <x v="4"/>
    <s v="NestleP.1"/>
    <x v="1"/>
    <x v="2"/>
    <n v="0"/>
    <n v="0"/>
    <n v="0"/>
    <n v="0"/>
  </r>
  <r>
    <s v="NESTLE PURINA"/>
    <x v="2"/>
    <x v="1"/>
    <s v="AGRO/PSHOP/VET"/>
    <n v="180621"/>
    <x v="6"/>
    <s v="CUENTA CON CALZADO DE ACUERDO AL UNIFORME"/>
    <s v="SI"/>
    <d v="2025-03-15T00:00:00"/>
    <x v="6"/>
    <s v="NestleP.1"/>
    <x v="0"/>
    <x v="4"/>
    <n v="1.5"/>
    <s v="SI"/>
    <n v="1.5"/>
    <n v="0"/>
  </r>
  <r>
    <s v="NESTLE PURINA"/>
    <x v="2"/>
    <x v="1"/>
    <s v="AGRO/PSHOP/VET"/>
    <n v="180621"/>
    <x v="6"/>
    <s v="CUENTA CON CAMISA DEL UNIFORME Y LOGOS SEGÚN EL CARGO (NEGRA / GRIS / ROJA / TURQUESA) (PERMITIDO USAR DEBAJO DE CAMISA BUSO MANGA LARGA NEGRO)"/>
    <s v="SI"/>
    <d v="2025-03-15T00:00:00"/>
    <x v="6"/>
    <s v="NestleP.1"/>
    <x v="0"/>
    <x v="4"/>
    <n v="1.5"/>
    <s v="SI"/>
    <n v="1.5"/>
    <n v="0"/>
  </r>
  <r>
    <s v="NESTLE PURINA"/>
    <x v="2"/>
    <x v="1"/>
    <s v="AGRO/PSHOP/VET"/>
    <n v="180621"/>
    <x v="6"/>
    <s v="CUENTA CON PANTALON DEL UNIFORME SEGUN EL CARGO (NEGRO / ROJO / TURQUESA / JEAN)"/>
    <s v="SI"/>
    <d v="2025-03-15T00:00:00"/>
    <x v="6"/>
    <s v="NestleP.1"/>
    <x v="0"/>
    <x v="4"/>
    <n v="1.5"/>
    <s v="SI"/>
    <n v="1.5"/>
    <n v="0"/>
  </r>
  <r>
    <s v="NESTLE PURINA"/>
    <x v="2"/>
    <x v="1"/>
    <s v="AGRO/PSHOP/VET"/>
    <n v="180621"/>
    <x v="6"/>
    <s v="¿CUMPLE HORARIO DE ENTRADA O SALIDA DE LA TIENDA?"/>
    <s v="SI"/>
    <d v="2025-03-15T00:00:00"/>
    <x v="6"/>
    <s v="NestleP.1"/>
    <x v="0"/>
    <x v="0"/>
    <n v="20"/>
    <s v="SI"/>
    <n v="20"/>
    <n v="0"/>
  </r>
  <r>
    <s v="NESTLE PURINA"/>
    <x v="2"/>
    <x v="1"/>
    <s v="AGRO/PSHOP/VET"/>
    <n v="180621"/>
    <x v="6"/>
    <s v="POSEE ALGUNA PRENDA ENCIMA DEL UNIFORME NO AUTORIZADA POR LA MARCA (SOLO PERMITIDO CHALECO DE SODIMAC Y EASY)"/>
    <s v="NO"/>
    <d v="2025-03-15T00:00:00"/>
    <x v="6"/>
    <s v="NestleP.1"/>
    <x v="0"/>
    <x v="4"/>
    <n v="1.5"/>
    <s v="NO"/>
    <n v="1.5"/>
    <n v="0"/>
  </r>
  <r>
    <s v="NESTLE PURINA"/>
    <x v="2"/>
    <x v="1"/>
    <s v="AGRO/PSHOP/VET"/>
    <n v="180621"/>
    <x v="6"/>
    <s v="EL UNIFORME Y ZAPATOS SE ENCUENTRAN LIMPIOS Y EN BUEN ESTADO"/>
    <s v="SI"/>
    <d v="2025-03-15T00:00:00"/>
    <x v="6"/>
    <s v="NestleP.1"/>
    <x v="0"/>
    <x v="4"/>
    <n v="1.5"/>
    <s v="SI"/>
    <n v="1.5"/>
    <n v="0"/>
  </r>
  <r>
    <s v="NESTLE PURINA"/>
    <x v="2"/>
    <x v="1"/>
    <s v="AGRO/PSHOP/VET"/>
    <n v="180621"/>
    <x v="6"/>
    <s v="PRESENTA EXCESO DE MAQUILLAJE QUE NO CUMPLE CON EL CODIGO DE VESTIMENTA"/>
    <s v="NO"/>
    <d v="2025-03-15T00:00:00"/>
    <x v="6"/>
    <s v="NestleP.1"/>
    <x v="0"/>
    <x v="4"/>
    <n v="1.5"/>
    <s v="NO"/>
    <n v="1.5"/>
    <n v="0"/>
  </r>
  <r>
    <s v="NESTLE PURINA"/>
    <x v="2"/>
    <x v="1"/>
    <s v="AGRO/PSHOP/VET"/>
    <n v="180621"/>
    <x v="6"/>
    <s v="PRESENTA ALGUNA NOVEDAD?"/>
    <s v="NO"/>
    <d v="2025-03-15T00:00:00"/>
    <x v="6"/>
    <s v="NestleP.1"/>
    <x v="0"/>
    <x v="2"/>
    <n v="0"/>
    <n v="0"/>
    <n v="0"/>
    <n v="0"/>
  </r>
  <r>
    <s v="NESTLE PURINA"/>
    <x v="2"/>
    <x v="1"/>
    <s v="AGRO/PSHOP/VET"/>
    <n v="180621"/>
    <x v="6"/>
    <s v="CONSIDERO QUE INDEPENDIENTEMENTE DEL SPEECH, LA LABOR DE VENTA ES BUENA"/>
    <s v="SI"/>
    <d v="2025-03-15T00:00:00"/>
    <x v="6"/>
    <s v="NestleP.1"/>
    <x v="0"/>
    <x v="5"/>
    <n v="7.5"/>
    <s v="SI"/>
    <n v="7.5"/>
    <n v="0"/>
  </r>
  <r>
    <s v="NESTLE PURINA"/>
    <x v="2"/>
    <x v="1"/>
    <s v="AGRO/PSHOP/VET"/>
    <n v="180621"/>
    <x v="6"/>
    <s v="REALIZA CIERRE  CON FRASES &quot; DESEA LLEVARLO&quot; ,&quot;CUANTOS DESEARIA LLEVAR&quot; ,&quot; LE GUSTARIA ADQUIRIRLO&quot; , &quot; CUANTAS UNIDADES DESEA LLEVAR&quot; , &quot; LE GUSTARIA LLEVARLO EN PRESENTACIÓN HUMEDA O SECA&quot;"/>
    <s v="NO"/>
    <d v="2025-03-15T00:00:00"/>
    <x v="6"/>
    <s v="NestleP.1"/>
    <x v="0"/>
    <x v="5"/>
    <n v="7.5"/>
    <s v="SI"/>
    <n v="0"/>
    <n v="0"/>
  </r>
  <r>
    <s v="NESTLE PURINA"/>
    <x v="2"/>
    <x v="1"/>
    <s v="AGRO/PSHOP/VET"/>
    <n v="180621"/>
    <x v="6"/>
    <s v="SE ENCUENTRA LIMPIA EL AREA DE DEMOSTRACION"/>
    <s v="SI"/>
    <d v="2025-03-15T00:00:00"/>
    <x v="6"/>
    <s v="NestleP.1"/>
    <x v="0"/>
    <x v="1"/>
    <n v="2.4"/>
    <s v="SI"/>
    <n v="2.4"/>
    <n v="0"/>
  </r>
  <r>
    <s v="NESTLE PURINA"/>
    <x v="2"/>
    <x v="1"/>
    <s v="AGRO/PSHOP/VET"/>
    <n v="180621"/>
    <x v="6"/>
    <s v="RESUELVE LA OBJECION SATISFACTORIAMENTE"/>
    <s v="SI"/>
    <d v="2025-03-15T00:00:00"/>
    <x v="6"/>
    <s v="NestleP.1"/>
    <x v="0"/>
    <x v="1"/>
    <s v="4,8"/>
    <s v="SI"/>
    <s v="4,8"/>
    <n v="0"/>
  </r>
  <r>
    <s v="NESTLE PURINA"/>
    <x v="2"/>
    <x v="1"/>
    <s v="AGRO/PSHOP/VET"/>
    <n v="180621"/>
    <x v="6"/>
    <s v="SE PRESENTARON OBJECIONES"/>
    <s v="SI"/>
    <d v="2025-03-15T00:00:00"/>
    <x v="6"/>
    <s v="NestleP.1"/>
    <x v="0"/>
    <x v="2"/>
    <n v="0"/>
    <s v="SI"/>
    <n v="0"/>
    <n v="0"/>
  </r>
  <r>
    <s v="NESTLE PURINA"/>
    <x v="2"/>
    <x v="1"/>
    <s v="AGRO/PSHOP/VET"/>
    <n v="180621"/>
    <x v="6"/>
    <s v="EN CANAL E., EL ASESOR OFRECE PRODUCTO HUMEDO Y COMUNICA LA DINAMICA DE MULTIPRICE (POR LA COMPRA DE MAS CANTIDADES TIENE DESCUENTO)."/>
    <s v="NO"/>
    <d v="2025-03-15T00:00:00"/>
    <x v="6"/>
    <s v="NestleP.1"/>
    <x v="0"/>
    <x v="1"/>
    <n v="2.4"/>
    <s v="SI"/>
    <n v="0"/>
    <n v="0"/>
  </r>
  <r>
    <s v="NESTLE PURINA"/>
    <x v="2"/>
    <x v="1"/>
    <s v="AGRO/PSHOP/VET"/>
    <n v="180621"/>
    <x v="6"/>
    <s v="EN CANAL E.  EL ASESOR COMUNICA LOS BENEFICIOS O CARACTERISTICAS DEL PRODUCTO EXCELLENT E INFORMA QUE EL PRODUCTO CAMBIO DE IMAGEN PERO CONTINUA CON LA MISMA FORMULA?"/>
    <s v="SI"/>
    <d v="2025-03-15T00:00:00"/>
    <x v="6"/>
    <s v="NestleP.1"/>
    <x v="0"/>
    <x v="1"/>
    <n v="2.4"/>
    <s v="SI"/>
    <n v="2.4"/>
    <n v="0"/>
  </r>
  <r>
    <s v="NESTLE PURINA"/>
    <x v="2"/>
    <x v="1"/>
    <s v="AGRO/PSHOP/VET"/>
    <n v="180621"/>
    <x v="6"/>
    <s v="SU CABELLO LUCE LIMPIO, ORGANIZADO O RECOGIDO"/>
    <s v="SI"/>
    <d v="2025-03-15T00:00:00"/>
    <x v="6"/>
    <s v="NestleP.1"/>
    <x v="0"/>
    <x v="4"/>
    <n v="1.5"/>
    <s v="SI"/>
    <n v="1.5"/>
    <n v="0"/>
  </r>
  <r>
    <s v="NESTLE PURINA"/>
    <x v="2"/>
    <x v="1"/>
    <s v="AGRO/PSHOP/VET"/>
    <n v="180621"/>
    <x v="6"/>
    <s v="EN CANAL E.  EL ASESOR COMUNICA QUE LA MARCA EXCELLENT ESTA DENTRO DE LA CATEGORIA SUPERPREMIUM PERO A UN COSTO MAS ACCESIBLE."/>
    <s v="SI"/>
    <d v="2025-03-15T00:00:00"/>
    <x v="6"/>
    <s v="NestleP.1"/>
    <x v="0"/>
    <x v="1"/>
    <n v="2.4"/>
    <s v="SI"/>
    <n v="2.4"/>
    <n v="0"/>
  </r>
  <r>
    <s v="NESTLE PURINA"/>
    <x v="2"/>
    <x v="1"/>
    <s v="AGRO/PSHOP/VET"/>
    <n v="180621"/>
    <x v="6"/>
    <s v="EN CANAL E. LO PRIMERO QUE OFRECE EL ASESOR ES LA MARCA PRO PLAN?"/>
    <s v="SI"/>
    <d v="2025-03-15T00:00:00"/>
    <x v="6"/>
    <s v="NestleP.1"/>
    <x v="0"/>
    <x v="1"/>
    <n v="2.4"/>
    <s v="SI"/>
    <n v="2.4"/>
    <n v="0"/>
  </r>
  <r>
    <s v="NESTLE PURINA"/>
    <x v="2"/>
    <x v="1"/>
    <s v="AGRO/PSHOP/VET"/>
    <n v="180621"/>
    <x v="6"/>
    <s v="QUE CANAL VA A REALIZAR"/>
    <s v=" CANAL ESPECIALIZADO"/>
    <d v="2025-03-15T00:00:00"/>
    <x v="6"/>
    <s v="NestleP.1"/>
    <x v="0"/>
    <x v="2"/>
    <n v="0"/>
    <n v="0"/>
    <n v="0"/>
    <n v="0"/>
  </r>
  <r>
    <s v="NESTLE PURINA"/>
    <x v="2"/>
    <x v="1"/>
    <s v="AGRO/PSHOP/VET"/>
    <n v="180621"/>
    <x v="6"/>
    <s v="OFRECIO ALGUN PRODUCTO DEL PORTAFOLIO PURINA DE PRODUCTOS HUMEDOS, SNACK U OTROS COMUNICANDO LOS BENEFICIOS DEL PRODUCTO"/>
    <s v="SI"/>
    <d v="2025-03-15T00:00:00"/>
    <x v="6"/>
    <s v="NestleP.1"/>
    <x v="0"/>
    <x v="1"/>
    <n v="3"/>
    <s v="SI"/>
    <n v="3"/>
    <n v="0"/>
  </r>
  <r>
    <s v="NESTLE PURINA"/>
    <x v="2"/>
    <x v="1"/>
    <s v="AGRO/PSHOP/VET"/>
    <n v="180621"/>
    <x v="6"/>
    <s v="OFRECIO ALGUN PRODUCTO DEL PORTAFOLIO PURINA DE PRODUCTOS SECOS COMUNICANDO LOS BENEFICIOS DEL PRODUCTO"/>
    <s v="SI"/>
    <d v="2025-03-15T00:00:00"/>
    <x v="6"/>
    <s v="NestleP.1"/>
    <x v="0"/>
    <x v="1"/>
    <n v="3"/>
    <s v="SI"/>
    <n v="3"/>
    <n v="0"/>
  </r>
  <r>
    <s v="NESTLE PURINA"/>
    <x v="2"/>
    <x v="1"/>
    <s v="AGRO/PSHOP/VET"/>
    <n v="180621"/>
    <x v="6"/>
    <s v="SE PRODUCE ABORDO PROACTIVO (ANTES DE LOS 3 MIN)"/>
    <s v="SI"/>
    <d v="2025-03-15T00:00:00"/>
    <x v="6"/>
    <s v="NestleP.1"/>
    <x v="0"/>
    <x v="3"/>
    <n v="20"/>
    <s v="SI"/>
    <n v="20"/>
    <n v="0"/>
  </r>
  <r>
    <s v="NESTLE PURINA"/>
    <x v="2"/>
    <x v="1"/>
    <s v="AGRO/PSHOP/VET"/>
    <n v="180621"/>
    <x v="6"/>
    <s v="USA ACCESORIOS QUE NO CUMPLE CON EL CODIGO DE VESTIMENTA"/>
    <s v="SI"/>
    <d v="2025-03-15T00:00:00"/>
    <x v="6"/>
    <s v="NestleP.1"/>
    <x v="0"/>
    <x v="4"/>
    <n v="1.5"/>
    <s v="NO"/>
    <n v="0"/>
    <n v="0"/>
  </r>
  <r>
    <s v="NESTLE PURINA"/>
    <x v="2"/>
    <x v="1"/>
    <s v="AGRO/PSHOP/VET"/>
    <n v="180621"/>
    <x v="6"/>
    <s v="TIENE UÑAS LLAMATIVAS Y/O LARGAS QUE NO CUMPLE CON EL CODIGO DE VESTIMENTA"/>
    <s v="NO"/>
    <d v="2025-03-15T00:00:00"/>
    <x v="6"/>
    <s v="NestleP.1"/>
    <x v="0"/>
    <x v="4"/>
    <n v="1.5"/>
    <s v="NO"/>
    <n v="1.5"/>
    <n v="0"/>
  </r>
  <r>
    <s v="NESTLE PURINA"/>
    <x v="2"/>
    <x v="1"/>
    <s v="AGRO/PSHOP/VET"/>
    <n v="180621"/>
    <x v="6"/>
    <s v="TIENE TATUAJES O PIERCINGS VISIBLES QUE NO CUMPLE CON EL CODIGO DE VESTIMENTA"/>
    <s v="NO"/>
    <d v="2025-03-15T00:00:00"/>
    <x v="6"/>
    <s v="NestleP.1"/>
    <x v="0"/>
    <x v="4"/>
    <n v="1.5"/>
    <s v="NO"/>
    <n v="1.5"/>
    <n v="0"/>
  </r>
  <r>
    <s v="NESTLE PURINA"/>
    <x v="2"/>
    <x v="1"/>
    <s v="AGRO/PSHOP/VET"/>
    <n v="180621"/>
    <x v="6"/>
    <s v="EN CANAL E. DESPUES DE OBJECION DE PRECIO, EL ASESOR OFRECIO LA MARCA EXCELLENT?"/>
    <s v="SI"/>
    <d v="2025-03-15T00:00:00"/>
    <x v="6"/>
    <s v="NestleP.1"/>
    <x v="0"/>
    <x v="1"/>
    <n v="2.4"/>
    <s v="SI"/>
    <n v="2.4"/>
    <n v="0"/>
  </r>
  <r>
    <s v="NESTLE PURINA"/>
    <x v="3"/>
    <x v="2"/>
    <s v="EXITO"/>
    <n v="12130"/>
    <x v="7"/>
    <s v="¿CUMPLE HORARIO DE ENTRADA O SALIDA DE LA TIENDA?"/>
    <s v="NO"/>
    <d v="2025-03-17T00:00:00"/>
    <x v="7"/>
    <s v="NestleP.11"/>
    <x v="1"/>
    <x v="2"/>
    <n v="0"/>
    <s v="SI"/>
    <n v="0"/>
    <n v="0"/>
  </r>
  <r>
    <s v="NESTLE PURINA"/>
    <x v="3"/>
    <x v="2"/>
    <s v="EXITO"/>
    <n v="12130"/>
    <x v="7"/>
    <s v="CUAL ES LA NOVEDAD"/>
    <s v="No se encontró personal de purina, estuve en tienda desde antes de las 9 am y me retiro cerca de las 10 am."/>
    <d v="2025-03-17T00:00:00"/>
    <x v="7"/>
    <s v="NestleP.11"/>
    <x v="1"/>
    <x v="2"/>
    <n v="0"/>
    <n v="0"/>
    <n v="0"/>
    <n v="0"/>
  </r>
  <r>
    <s v="NESTLE PURINA"/>
    <x v="3"/>
    <x v="2"/>
    <s v="EXITO"/>
    <n v="12130"/>
    <x v="7"/>
    <s v="PRESENTA ALGUNA NOVEDAD?"/>
    <s v="SI"/>
    <d v="2025-03-17T00:00:00"/>
    <x v="7"/>
    <s v="NestleP.11"/>
    <x v="1"/>
    <x v="2"/>
    <n v="0"/>
    <n v="0"/>
    <n v="0"/>
    <n v="0"/>
  </r>
  <r>
    <s v="NESTLE PURINA"/>
    <x v="2"/>
    <x v="1"/>
    <s v="AGRO/PSHOP/VET"/>
    <n v="109096"/>
    <x v="8"/>
    <s v="CONSIDERO QUE INDEPENDIENTEMENTE DEL SPEECH, LA LABOR DE VENTA ES BUENA"/>
    <s v="NO"/>
    <d v="2025-03-18T00:00:00"/>
    <x v="8"/>
    <s v="NestleP.2"/>
    <x v="0"/>
    <x v="5"/>
    <n v="7.5"/>
    <s v="SI"/>
    <n v="0"/>
    <n v="0"/>
  </r>
  <r>
    <s v="NESTLE PURINA"/>
    <x v="2"/>
    <x v="1"/>
    <s v="AGRO/PSHOP/VET"/>
    <n v="109096"/>
    <x v="8"/>
    <s v="REALIZA CIERRE  CON FRASES &quot; DESEA LLEVARLO&quot; ,&quot;CUANTOS DESEARIA LLEVAR&quot; ,&quot; LE GUSTARIA ADQUIRIRLO&quot; , &quot; CUANTAS UNIDADES DESEA LLEVAR&quot; , &quot; LE GUSTARIA LLEVARLO EN PRESENTACIÓN HUMEDA O SECA&quot;"/>
    <s v="NO"/>
    <d v="2025-03-18T00:00:00"/>
    <x v="8"/>
    <s v="NestleP.2"/>
    <x v="0"/>
    <x v="5"/>
    <n v="7.5"/>
    <s v="SI"/>
    <n v="0"/>
    <n v="0"/>
  </r>
  <r>
    <s v="NESTLE PURINA"/>
    <x v="2"/>
    <x v="1"/>
    <s v="AGRO/PSHOP/VET"/>
    <n v="109096"/>
    <x v="8"/>
    <s v="SE ENCUENTRA LIMPIA EL AREA DE DEMOSTRACION"/>
    <s v="SI"/>
    <d v="2025-03-18T00:00:00"/>
    <x v="8"/>
    <s v="NestleP.2"/>
    <x v="0"/>
    <x v="1"/>
    <n v="2.4"/>
    <s v="SI"/>
    <n v="2.4"/>
    <n v="0"/>
  </r>
  <r>
    <s v="NESTLE PURINA"/>
    <x v="2"/>
    <x v="1"/>
    <s v="AGRO/PSHOP/VET"/>
    <n v="109096"/>
    <x v="8"/>
    <s v="RESUELVE LA OBJECION SATISFACTORIAMENTE"/>
    <s v="NO"/>
    <d v="2025-03-18T00:00:00"/>
    <x v="8"/>
    <s v="NestleP.2"/>
    <x v="0"/>
    <x v="1"/>
    <s v="4,8"/>
    <s v="SI"/>
    <n v="0"/>
    <n v="0"/>
  </r>
  <r>
    <s v="NESTLE PURINA"/>
    <x v="2"/>
    <x v="1"/>
    <s v="AGRO/PSHOP/VET"/>
    <n v="109096"/>
    <x v="8"/>
    <s v="SE PRESENTARON OBJECIONES"/>
    <s v="SI"/>
    <d v="2025-03-18T00:00:00"/>
    <x v="8"/>
    <s v="NestleP.2"/>
    <x v="0"/>
    <x v="2"/>
    <n v="0"/>
    <s v="SI"/>
    <n v="0"/>
    <n v="0"/>
  </r>
  <r>
    <s v="NESTLE PURINA"/>
    <x v="2"/>
    <x v="1"/>
    <s v="AGRO/PSHOP/VET"/>
    <n v="109096"/>
    <x v="8"/>
    <s v="EN CANAL E.  EL ASESOR COMUNICA LOS BENEFICIOS O CARACTERISTICAS DEL PRODUCTO EXCELLENT E INFORMA QUE EL PRODUCTO CAMBIO DE IMAGEN PERO CONTINUA CON LA MISMA FORMULA?"/>
    <s v="SI"/>
    <d v="2025-03-18T00:00:00"/>
    <x v="8"/>
    <s v="NestleP.2"/>
    <x v="0"/>
    <x v="1"/>
    <n v="2.4"/>
    <s v="SI"/>
    <n v="2.4"/>
    <n v="0"/>
  </r>
  <r>
    <s v="NESTLE PURINA"/>
    <x v="2"/>
    <x v="1"/>
    <s v="AGRO/PSHOP/VET"/>
    <n v="109096"/>
    <x v="8"/>
    <s v="EN CANAL E.  EL ASESOR COMUNICA QUE LA MARCA EXCELLENT ESTA DENTRO DE LA CATEGORIA SUPERPREMIUM PERO A UN COSTO MAS ACCESIBLE."/>
    <s v="SI"/>
    <d v="2025-03-18T00:00:00"/>
    <x v="8"/>
    <s v="NestleP.2"/>
    <x v="0"/>
    <x v="1"/>
    <n v="2.4"/>
    <s v="SI"/>
    <n v="2.4"/>
    <n v="0"/>
  </r>
  <r>
    <s v="NESTLE PURINA"/>
    <x v="2"/>
    <x v="1"/>
    <s v="AGRO/PSHOP/VET"/>
    <n v="109096"/>
    <x v="8"/>
    <s v="EN CANAL E. DESPUES DE OBJECION DE PRECIO, EL ASESOR OFRECIO LA MARCA EXCELLENT?"/>
    <s v="SI"/>
    <d v="2025-03-18T00:00:00"/>
    <x v="8"/>
    <s v="NestleP.2"/>
    <x v="0"/>
    <x v="1"/>
    <n v="2.4"/>
    <s v="SI"/>
    <n v="2.4"/>
    <n v="0"/>
  </r>
  <r>
    <s v="NESTLE PURINA"/>
    <x v="2"/>
    <x v="1"/>
    <s v="AGRO/PSHOP/VET"/>
    <n v="109096"/>
    <x v="8"/>
    <s v="PRESENTA ALGUNA NOVEDAD?"/>
    <s v="NO"/>
    <d v="2025-03-18T00:00:00"/>
    <x v="8"/>
    <s v="NestleP.2"/>
    <x v="0"/>
    <x v="2"/>
    <n v="0"/>
    <n v="0"/>
    <n v="0"/>
    <n v="0"/>
  </r>
  <r>
    <s v="NESTLE PURINA"/>
    <x v="2"/>
    <x v="1"/>
    <s v="AGRO/PSHOP/VET"/>
    <n v="109096"/>
    <x v="8"/>
    <s v="EN CANAL E. LO PRIMERO QUE OFRECE EL ASESOR ES LA MARCA PRO PLAN?"/>
    <s v="SI"/>
    <d v="2025-03-18T00:00:00"/>
    <x v="8"/>
    <s v="NestleP.2"/>
    <x v="0"/>
    <x v="1"/>
    <n v="2.4"/>
    <s v="SI"/>
    <n v="2.4"/>
    <n v="0"/>
  </r>
  <r>
    <s v="NESTLE PURINA"/>
    <x v="2"/>
    <x v="1"/>
    <s v="AGRO/PSHOP/VET"/>
    <n v="109096"/>
    <x v="8"/>
    <s v="QUE CANAL VA A REALIZAR"/>
    <s v=" CANAL ESPECIALIZADO"/>
    <d v="2025-03-18T00:00:00"/>
    <x v="8"/>
    <s v="NestleP.2"/>
    <x v="0"/>
    <x v="2"/>
    <n v="0"/>
    <n v="0"/>
    <n v="0"/>
    <n v="0"/>
  </r>
  <r>
    <s v="NESTLE PURINA"/>
    <x v="2"/>
    <x v="1"/>
    <s v="AGRO/PSHOP/VET"/>
    <n v="109096"/>
    <x v="8"/>
    <s v="OFRECIO ALGUN PRODUCTO DEL PORTAFOLIO PURINA DE PRODUCTOS SECOS COMUNICANDO LOS BENEFICIOS DEL PRODUCTO"/>
    <s v="SI"/>
    <d v="2025-03-18T00:00:00"/>
    <x v="8"/>
    <s v="NestleP.2"/>
    <x v="0"/>
    <x v="1"/>
    <n v="3"/>
    <s v="SI"/>
    <n v="3"/>
    <n v="0"/>
  </r>
  <r>
    <s v="NESTLE PURINA"/>
    <x v="2"/>
    <x v="1"/>
    <s v="AGRO/PSHOP/VET"/>
    <n v="188203"/>
    <x v="9"/>
    <s v="EN CANAL E.  EL ASESOR COMUNICA QUE LA MARCA EXCELLENT ESTA DENTRO DE LA CATEGORIA SUPERPREMIUM PERO A UN COSTO MAS ACCESIBLE."/>
    <s v="SI"/>
    <d v="2025-03-18T00:00:00"/>
    <x v="9"/>
    <s v="NestleP.2"/>
    <x v="0"/>
    <x v="1"/>
    <n v="2.4"/>
    <s v="SI"/>
    <n v="2.4"/>
    <n v="0"/>
  </r>
  <r>
    <s v="NESTLE PURINA"/>
    <x v="2"/>
    <x v="1"/>
    <s v="AGRO/PSHOP/VET"/>
    <n v="188203"/>
    <x v="9"/>
    <s v="EN CANAL E. DESPUES DE OBJECION DE PRECIO, EL ASESOR OFRECIO LA MARCA EXCELLENT?"/>
    <s v="SI"/>
    <d v="2025-03-18T00:00:00"/>
    <x v="9"/>
    <s v="NestleP.2"/>
    <x v="0"/>
    <x v="1"/>
    <n v="2.4"/>
    <s v="SI"/>
    <n v="2.4"/>
    <n v="0"/>
  </r>
  <r>
    <s v="NESTLE PURINA"/>
    <x v="2"/>
    <x v="1"/>
    <s v="AGRO/PSHOP/VET"/>
    <n v="188203"/>
    <x v="9"/>
    <s v="EN CANAL E. LO PRIMERO QUE OFRECE EL ASESOR ES LA MARCA PRO PLAN?"/>
    <s v="SI"/>
    <d v="2025-03-18T00:00:00"/>
    <x v="9"/>
    <s v="NestleP.2"/>
    <x v="0"/>
    <x v="1"/>
    <n v="2.4"/>
    <s v="SI"/>
    <n v="2.4"/>
    <n v="0"/>
  </r>
  <r>
    <s v="NESTLE PURINA"/>
    <x v="2"/>
    <x v="1"/>
    <s v="AGRO/PSHOP/VET"/>
    <n v="188203"/>
    <x v="9"/>
    <s v="QUE CANAL VA A REALIZAR"/>
    <s v=" CANAL ESPECIALIZADO"/>
    <d v="2025-03-18T00:00:00"/>
    <x v="9"/>
    <s v="NestleP.2"/>
    <x v="0"/>
    <x v="2"/>
    <n v="0"/>
    <n v="0"/>
    <n v="0"/>
    <n v="0"/>
  </r>
  <r>
    <s v="NESTLE PURINA"/>
    <x v="2"/>
    <x v="1"/>
    <s v="AGRO/PSHOP/VET"/>
    <n v="188203"/>
    <x v="9"/>
    <s v="OFRECIO ALGUN PRODUCTO DEL PORTAFOLIO PURINA DE PRODUCTOS HUMEDOS, SNACK U OTROS COMUNICANDO LOS BENEFICIOS DEL PRODUCTO"/>
    <s v="SI"/>
    <d v="2025-03-18T00:00:00"/>
    <x v="9"/>
    <s v="NestleP.2"/>
    <x v="0"/>
    <x v="1"/>
    <n v="3"/>
    <s v="SI"/>
    <n v="3"/>
    <n v="0"/>
  </r>
  <r>
    <s v="NESTLE PURINA"/>
    <x v="2"/>
    <x v="1"/>
    <s v="AGRO/PSHOP/VET"/>
    <n v="188203"/>
    <x v="9"/>
    <s v="OFRECIO ALGUN PRODUCTO DEL PORTAFOLIO PURINA DE PRODUCTOS SECOS COMUNICANDO LOS BENEFICIOS DEL PRODUCTO"/>
    <s v="SI"/>
    <d v="2025-03-18T00:00:00"/>
    <x v="9"/>
    <s v="NestleP.2"/>
    <x v="0"/>
    <x v="1"/>
    <n v="3"/>
    <s v="SI"/>
    <n v="3"/>
    <n v="0"/>
  </r>
  <r>
    <s v="NESTLE PURINA"/>
    <x v="2"/>
    <x v="1"/>
    <s v="AGRO/PSHOP/VET"/>
    <n v="188203"/>
    <x v="9"/>
    <s v="SE PRODUCE ABORDO PROACTIVO (ANTES DE LOS 3 MIN)"/>
    <s v="SI"/>
    <d v="2025-03-18T00:00:00"/>
    <x v="9"/>
    <s v="NestleP.2"/>
    <x v="0"/>
    <x v="3"/>
    <n v="20"/>
    <s v="SI"/>
    <n v="20"/>
    <n v="0"/>
  </r>
  <r>
    <s v="NESTLE PURINA"/>
    <x v="2"/>
    <x v="1"/>
    <s v="AGRO/PSHOP/VET"/>
    <n v="188203"/>
    <x v="9"/>
    <s v="EN CANAL E.  EL ASESOR COMUNICA LOS BENEFICIOS O CARACTERISTICAS DEL PRODUCTO EXCELLENT E INFORMA QUE EL PRODUCTO CAMBIO DE IMAGEN PERO CONTINUA CON LA MISMA FORMULA?"/>
    <s v="SI"/>
    <d v="2025-03-18T00:00:00"/>
    <x v="9"/>
    <s v="NestleP.2"/>
    <x v="0"/>
    <x v="1"/>
    <n v="2.4"/>
    <s v="SI"/>
    <n v="2.4"/>
    <n v="0"/>
  </r>
  <r>
    <s v="NESTLE PURINA"/>
    <x v="2"/>
    <x v="1"/>
    <s v="AGRO/PSHOP/VET"/>
    <n v="188203"/>
    <x v="9"/>
    <s v="USA ACCESORIOS QUE NO CUMPLE CON EL CODIGO DE VESTIMENTA"/>
    <s v="SI"/>
    <d v="2025-03-18T00:00:00"/>
    <x v="9"/>
    <s v="NestleP.2"/>
    <x v="0"/>
    <x v="4"/>
    <n v="1.5"/>
    <s v="NO"/>
    <n v="0"/>
    <n v="0"/>
  </r>
  <r>
    <s v="NESTLE PURINA"/>
    <x v="2"/>
    <x v="1"/>
    <s v="AGRO/PSHOP/VET"/>
    <n v="188203"/>
    <x v="9"/>
    <s v="TIENE TATUAJES O PIERCINGS VISIBLES QUE NO CUMPLE CON EL CODIGO DE VESTIMENTA"/>
    <s v="SI"/>
    <d v="2025-03-18T00:00:00"/>
    <x v="9"/>
    <s v="NestleP.2"/>
    <x v="0"/>
    <x v="4"/>
    <n v="1.5"/>
    <s v="NO"/>
    <n v="0"/>
    <n v="0"/>
  </r>
  <r>
    <s v="NESTLE PURINA"/>
    <x v="2"/>
    <x v="1"/>
    <s v="AGRO/PSHOP/VET"/>
    <n v="188203"/>
    <x v="9"/>
    <s v="PRESENTA EXCESO DE MAQUILLAJE QUE NO CUMPLE CON EL CODIGO DE VESTIMENTA"/>
    <s v="NO"/>
    <d v="2025-03-18T00:00:00"/>
    <x v="9"/>
    <s v="NestleP.2"/>
    <x v="0"/>
    <x v="4"/>
    <n v="1.5"/>
    <s v="NO"/>
    <n v="1.5"/>
    <n v="0"/>
  </r>
  <r>
    <s v="NESTLE PURINA"/>
    <x v="2"/>
    <x v="1"/>
    <s v="AGRO/PSHOP/VET"/>
    <n v="188203"/>
    <x v="9"/>
    <s v="SU CABELLO LUCE LIMPIO, ORGANIZADO O RECOGIDO"/>
    <s v="SI"/>
    <d v="2025-03-18T00:00:00"/>
    <x v="9"/>
    <s v="NestleP.2"/>
    <x v="0"/>
    <x v="4"/>
    <n v="1.5"/>
    <s v="SI"/>
    <n v="1.5"/>
    <n v="0"/>
  </r>
  <r>
    <s v="NESTLE PURINA"/>
    <x v="2"/>
    <x v="1"/>
    <s v="AGRO/PSHOP/VET"/>
    <n v="188203"/>
    <x v="9"/>
    <s v="EL UNIFORME Y ZAPATOS SE ENCUENTRAN LIMPIOS Y EN BUEN ESTADO"/>
    <s v="SI"/>
    <d v="2025-03-18T00:00:00"/>
    <x v="9"/>
    <s v="NestleP.2"/>
    <x v="0"/>
    <x v="4"/>
    <n v="1.5"/>
    <s v="SI"/>
    <n v="1.5"/>
    <n v="0"/>
  </r>
  <r>
    <s v="NESTLE PURINA"/>
    <x v="2"/>
    <x v="1"/>
    <s v="AGRO/PSHOP/VET"/>
    <n v="188203"/>
    <x v="9"/>
    <s v="POSEE ALGUNA PRENDA ENCIMA DEL UNIFORME NO AUTORIZADA POR LA MARCA (SOLO PERMITIDO CHALECO DE SODIMAC Y EASY)"/>
    <s v="NO"/>
    <d v="2025-03-18T00:00:00"/>
    <x v="9"/>
    <s v="NestleP.2"/>
    <x v="0"/>
    <x v="4"/>
    <n v="1.5"/>
    <s v="NO"/>
    <n v="1.5"/>
    <n v="0"/>
  </r>
  <r>
    <s v="NESTLE PURINA"/>
    <x v="2"/>
    <x v="1"/>
    <s v="AGRO/PSHOP/VET"/>
    <n v="188203"/>
    <x v="9"/>
    <s v="CUENTA CON CALZADO DE ACUERDO AL UNIFORME"/>
    <s v="SI"/>
    <d v="2025-03-18T00:00:00"/>
    <x v="9"/>
    <s v="NestleP.2"/>
    <x v="0"/>
    <x v="4"/>
    <n v="1.5"/>
    <s v="SI"/>
    <n v="1.5"/>
    <n v="0"/>
  </r>
  <r>
    <s v="NESTLE PURINA"/>
    <x v="2"/>
    <x v="1"/>
    <s v="AGRO/PSHOP/VET"/>
    <n v="188203"/>
    <x v="9"/>
    <s v="CUENTA CON CAMISA DEL UNIFORME Y LOGOS SEGÚN EL CARGO (NEGRA / GRIS / ROJA / TURQUESA) (PERMITIDO USAR DEBAJO DE CAMISA BUSO MANGA LARGA NEGRO)"/>
    <s v="SI"/>
    <d v="2025-03-18T00:00:00"/>
    <x v="9"/>
    <s v="NestleP.2"/>
    <x v="0"/>
    <x v="4"/>
    <n v="1.5"/>
    <s v="SI"/>
    <n v="1.5"/>
    <n v="0"/>
  </r>
  <r>
    <s v="NESTLE PURINA"/>
    <x v="2"/>
    <x v="1"/>
    <s v="AGRO/PSHOP/VET"/>
    <n v="188203"/>
    <x v="9"/>
    <s v="CUENTA CON PANTALON DEL UNIFORME SEGUN EL CARGO (NEGRO / ROJO / TURQUESA / JEAN)"/>
    <s v="SI"/>
    <d v="2025-03-18T00:00:00"/>
    <x v="9"/>
    <s v="NestleP.2"/>
    <x v="0"/>
    <x v="4"/>
    <n v="1.5"/>
    <s v="SI"/>
    <n v="1.5"/>
    <n v="0"/>
  </r>
  <r>
    <s v="NESTLE PURINA"/>
    <x v="2"/>
    <x v="1"/>
    <s v="AGRO/PSHOP/VET"/>
    <n v="188203"/>
    <x v="9"/>
    <s v="TIENE UÑAS LLAMATIVAS Y/O LARGAS QUE NO CUMPLE CON EL CODIGO DE VESTIMENTA"/>
    <s v="NO"/>
    <d v="2025-03-18T00:00:00"/>
    <x v="9"/>
    <s v="NestleP.2"/>
    <x v="0"/>
    <x v="4"/>
    <n v="1.5"/>
    <s v="NO"/>
    <n v="1.5"/>
    <n v="0"/>
  </r>
  <r>
    <s v="NESTLE PURINA"/>
    <x v="2"/>
    <x v="1"/>
    <s v="AGRO/PSHOP/VET"/>
    <n v="109096"/>
    <x v="8"/>
    <s v="OFRECIO ALGUN PRODUCTO DEL PORTAFOLIO PURINA DE PRODUCTOS HUMEDOS, SNACK U OTROS COMUNICANDO LOS BENEFICIOS DEL PRODUCTO"/>
    <s v="NO"/>
    <d v="2025-03-18T00:00:00"/>
    <x v="8"/>
    <s v="NestleP.2"/>
    <x v="0"/>
    <x v="1"/>
    <n v="3"/>
    <s v="SI"/>
    <n v="0"/>
    <n v="0"/>
  </r>
  <r>
    <s v="NESTLE PURINA"/>
    <x v="2"/>
    <x v="1"/>
    <s v="AGRO/PSHOP/VET"/>
    <n v="188203"/>
    <x v="9"/>
    <s v="EN CANAL E., EL ASESOR OFRECE PRODUCTO HUMEDO Y COMUNICA LA DINAMICA DE MULTIPRICE (POR LA COMPRA DE MAS CANTIDADES TIENE DESCUENTO)."/>
    <s v="SI"/>
    <d v="2025-03-18T00:00:00"/>
    <x v="9"/>
    <s v="NestleP.2"/>
    <x v="0"/>
    <x v="1"/>
    <n v="2.4"/>
    <s v="SI"/>
    <n v="2.4"/>
    <n v="0"/>
  </r>
  <r>
    <s v="NESTLE PURINA"/>
    <x v="2"/>
    <x v="1"/>
    <s v="AGRO/PSHOP/VET"/>
    <n v="188203"/>
    <x v="9"/>
    <s v="DE QUE TIPO ES LA OBJECION"/>
    <s v=" NO TIENE DINERO"/>
    <d v="2025-03-18T00:00:00"/>
    <x v="9"/>
    <s v="NestleP.2"/>
    <x v="0"/>
    <x v="2"/>
    <n v="0"/>
    <s v="SI"/>
    <n v="0"/>
    <n v="0"/>
  </r>
  <r>
    <s v="NESTLE PURINA"/>
    <x v="2"/>
    <x v="1"/>
    <s v="AGRO/PSHOP/VET"/>
    <n v="109096"/>
    <x v="8"/>
    <s v="SE PRODUCE ABORDO PROACTIVO (ANTES DE LOS 3 MIN)"/>
    <s v="SI"/>
    <d v="2025-03-18T00:00:00"/>
    <x v="8"/>
    <s v="NestleP.2"/>
    <x v="0"/>
    <x v="3"/>
    <n v="20"/>
    <s v="SI"/>
    <n v="20"/>
    <n v="0"/>
  </r>
  <r>
    <s v="NESTLE PURINA"/>
    <x v="2"/>
    <x v="1"/>
    <s v="AGRO/PSHOP/VET"/>
    <n v="109096"/>
    <x v="8"/>
    <s v="USA ACCESORIOS QUE NO CUMPLE CON EL CODIGO DE VESTIMENTA"/>
    <s v="SI"/>
    <d v="2025-03-18T00:00:00"/>
    <x v="8"/>
    <s v="NestleP.2"/>
    <x v="0"/>
    <x v="4"/>
    <n v="1.5"/>
    <s v="NO"/>
    <n v="0"/>
    <n v="0"/>
  </r>
  <r>
    <s v="NESTLE PURINA"/>
    <x v="2"/>
    <x v="1"/>
    <s v="AGRO/PSHOP/VET"/>
    <n v="109096"/>
    <x v="8"/>
    <s v="TIENE UÑAS LLAMATIVAS Y/O LARGAS QUE NO CUMPLE CON EL CODIGO DE VESTIMENTA"/>
    <s v="NO"/>
    <d v="2025-03-18T00:00:00"/>
    <x v="8"/>
    <s v="NestleP.2"/>
    <x v="0"/>
    <x v="4"/>
    <n v="1.5"/>
    <s v="NO"/>
    <n v="1.5"/>
    <n v="0"/>
  </r>
  <r>
    <s v="NESTLE PURINA"/>
    <x v="2"/>
    <x v="1"/>
    <s v="AGRO/PSHOP/VET"/>
    <n v="109096"/>
    <x v="8"/>
    <s v="TIENE TATUAJES O PIERCINGS VISIBLES QUE NO CUMPLE CON EL CODIGO DE VESTIMENTA"/>
    <s v="NO"/>
    <d v="2025-03-18T00:00:00"/>
    <x v="8"/>
    <s v="NestleP.2"/>
    <x v="0"/>
    <x v="4"/>
    <n v="1.5"/>
    <s v="NO"/>
    <n v="1.5"/>
    <n v="0"/>
  </r>
  <r>
    <s v="NESTLE PURINA"/>
    <x v="2"/>
    <x v="1"/>
    <s v="AGRO/PSHOP/VET"/>
    <n v="109096"/>
    <x v="8"/>
    <s v="PRESENTA EXCESO DE MAQUILLAJE QUE NO CUMPLE CON EL CODIGO DE VESTIMENTA"/>
    <s v="NO"/>
    <d v="2025-03-18T00:00:00"/>
    <x v="8"/>
    <s v="NestleP.2"/>
    <x v="0"/>
    <x v="4"/>
    <n v="1.5"/>
    <s v="NO"/>
    <n v="1.5"/>
    <n v="0"/>
  </r>
  <r>
    <s v="NESTLE PURINA"/>
    <x v="2"/>
    <x v="1"/>
    <s v="AGRO/PSHOP/VET"/>
    <n v="109096"/>
    <x v="8"/>
    <s v="SU CABELLO LUCE LIMPIO, ORGANIZADO O RECOGIDO"/>
    <s v="SI"/>
    <d v="2025-03-18T00:00:00"/>
    <x v="8"/>
    <s v="NestleP.2"/>
    <x v="0"/>
    <x v="4"/>
    <n v="1.5"/>
    <s v="SI"/>
    <n v="1.5"/>
    <n v="0"/>
  </r>
  <r>
    <s v="NESTLE PURINA"/>
    <x v="2"/>
    <x v="1"/>
    <s v="AGRO/PSHOP/VET"/>
    <n v="109096"/>
    <x v="8"/>
    <s v="EL UNIFORME Y ZAPATOS SE ENCUENTRAN LIMPIOS Y EN BUEN ESTADO"/>
    <s v="SI"/>
    <d v="2025-03-18T00:00:00"/>
    <x v="8"/>
    <s v="NestleP.2"/>
    <x v="0"/>
    <x v="4"/>
    <n v="1.5"/>
    <s v="SI"/>
    <n v="1.5"/>
    <n v="0"/>
  </r>
  <r>
    <s v="NESTLE PURINA"/>
    <x v="2"/>
    <x v="1"/>
    <s v="AGRO/PSHOP/VET"/>
    <n v="188203"/>
    <x v="9"/>
    <s v="SE PRESENTARON OBJECIONES"/>
    <s v="SI"/>
    <d v="2025-03-18T00:00:00"/>
    <x v="9"/>
    <s v="NestleP.2"/>
    <x v="0"/>
    <x v="2"/>
    <n v="0"/>
    <s v="SI"/>
    <n v="0"/>
    <n v="0"/>
  </r>
  <r>
    <s v="NESTLE PURINA"/>
    <x v="2"/>
    <x v="1"/>
    <s v="AGRO/PSHOP/VET"/>
    <n v="109096"/>
    <x v="8"/>
    <s v="POSEE ALGUNA PRENDA ENCIMA DEL UNIFORME NO AUTORIZADA POR LA MARCA (SOLO PERMITIDO CHALECO DE SODIMAC Y EASY)"/>
    <s v="NO"/>
    <d v="2025-03-18T00:00:00"/>
    <x v="8"/>
    <s v="NestleP.2"/>
    <x v="0"/>
    <x v="4"/>
    <n v="1.5"/>
    <s v="NO"/>
    <n v="1.5"/>
    <n v="0"/>
  </r>
  <r>
    <s v="NESTLE PURINA"/>
    <x v="2"/>
    <x v="1"/>
    <s v="AGRO/PSHOP/VET"/>
    <n v="109096"/>
    <x v="8"/>
    <s v="CUENTA CON CAMISA DEL UNIFORME Y LOGOS SEGÚN EL CARGO (NEGRA / GRIS / ROJA / TURQUESA) (PERMITIDO USAR DEBAJO DE CAMISA BUSO MANGA LARGA NEGRO)"/>
    <s v="SI"/>
    <d v="2025-03-18T00:00:00"/>
    <x v="8"/>
    <s v="NestleP.2"/>
    <x v="0"/>
    <x v="4"/>
    <n v="1.5"/>
    <s v="SI"/>
    <n v="1.5"/>
    <n v="0"/>
  </r>
  <r>
    <s v="NESTLE PURINA"/>
    <x v="2"/>
    <x v="1"/>
    <s v="AGRO/PSHOP/VET"/>
    <n v="109096"/>
    <x v="8"/>
    <s v="CUENTA CON PANTALON DEL UNIFORME SEGUN EL CARGO (NEGRO / ROJO / TURQUESA / JEAN)"/>
    <s v="SI"/>
    <d v="2025-03-18T00:00:00"/>
    <x v="8"/>
    <s v="NestleP.2"/>
    <x v="0"/>
    <x v="4"/>
    <n v="1.5"/>
    <s v="SI"/>
    <n v="1.5"/>
    <n v="0"/>
  </r>
  <r>
    <s v="NESTLE PURINA"/>
    <x v="2"/>
    <x v="1"/>
    <s v="AGRO/PSHOP/VET"/>
    <n v="109096"/>
    <x v="8"/>
    <s v="¿CUMPLE HORARIO DE ENTRADA O SALIDA DE LA TIENDA?"/>
    <s v="SI"/>
    <d v="2025-03-18T00:00:00"/>
    <x v="8"/>
    <s v="NestleP.2"/>
    <x v="0"/>
    <x v="0"/>
    <n v="20"/>
    <s v="SI"/>
    <n v="20"/>
    <n v="0"/>
  </r>
  <r>
    <s v="NESTLE PURINA"/>
    <x v="2"/>
    <x v="1"/>
    <s v="AGRO/PSHOP/VET"/>
    <n v="188203"/>
    <x v="9"/>
    <s v="PRESENTA ALGUNA NOVEDAD?"/>
    <s v="NO"/>
    <d v="2025-03-18T00:00:00"/>
    <x v="9"/>
    <s v="NestleP.2"/>
    <x v="0"/>
    <x v="2"/>
    <n v="0"/>
    <n v="0"/>
    <n v="0"/>
    <n v="0"/>
  </r>
  <r>
    <s v="NESTLE PURINA"/>
    <x v="2"/>
    <x v="1"/>
    <s v="AGRO/PSHOP/VET"/>
    <n v="188203"/>
    <x v="9"/>
    <s v="CONSIDERO QUE INDEPENDIENTEMENTE DEL SPEECH, LA LABOR DE VENTA ES BUENA"/>
    <s v="SI"/>
    <d v="2025-03-18T00:00:00"/>
    <x v="9"/>
    <s v="NestleP.2"/>
    <x v="0"/>
    <x v="5"/>
    <n v="7.5"/>
    <s v="SI"/>
    <n v="7.5"/>
    <n v="0"/>
  </r>
  <r>
    <s v="NESTLE PURINA"/>
    <x v="2"/>
    <x v="1"/>
    <s v="AGRO/PSHOP/VET"/>
    <n v="188203"/>
    <x v="9"/>
    <s v="REALIZA CIERRE  CON FRASES &quot; DESEA LLEVARLO&quot; ,&quot;CUANTOS DESEARIA LLEVAR&quot; ,&quot; LE GUSTARIA ADQUIRIRLO&quot; , &quot; CUANTAS UNIDADES DESEA LLEVAR&quot; , &quot; LE GUSTARIA LLEVARLO EN PRESENTACIÓN HUMEDA O SECA&quot;"/>
    <s v="SI"/>
    <d v="2025-03-18T00:00:00"/>
    <x v="9"/>
    <s v="NestleP.2"/>
    <x v="0"/>
    <x v="5"/>
    <n v="7.5"/>
    <s v="SI"/>
    <n v="7.5"/>
    <n v="0"/>
  </r>
  <r>
    <s v="NESTLE PURINA"/>
    <x v="2"/>
    <x v="1"/>
    <s v="AGRO/PSHOP/VET"/>
    <n v="188203"/>
    <x v="9"/>
    <s v="SE ENCUENTRA LIMPIA EL AREA DE DEMOSTRACION"/>
    <s v="SI"/>
    <d v="2025-03-18T00:00:00"/>
    <x v="9"/>
    <s v="NestleP.2"/>
    <x v="0"/>
    <x v="1"/>
    <n v="2.4"/>
    <s v="SI"/>
    <n v="2.4"/>
    <n v="0"/>
  </r>
  <r>
    <s v="NESTLE PURINA"/>
    <x v="2"/>
    <x v="1"/>
    <s v="AGRO/PSHOP/VET"/>
    <n v="188203"/>
    <x v="9"/>
    <s v="RESUELVE LA OBJECION SATISFACTORIAMENTE"/>
    <s v="SI"/>
    <d v="2025-03-18T00:00:00"/>
    <x v="9"/>
    <s v="NestleP.2"/>
    <x v="0"/>
    <x v="1"/>
    <s v="4,8"/>
    <s v="SI"/>
    <s v="4,8"/>
    <n v="0"/>
  </r>
  <r>
    <s v="NESTLE PURINA"/>
    <x v="2"/>
    <x v="1"/>
    <s v="AGRO/PSHOP/VET"/>
    <n v="109096"/>
    <x v="8"/>
    <s v="CUENTA CON CALZADO DE ACUERDO AL UNIFORME"/>
    <s v="SI"/>
    <d v="2025-03-18T00:00:00"/>
    <x v="8"/>
    <s v="NestleP.2"/>
    <x v="0"/>
    <x v="4"/>
    <n v="1.5"/>
    <s v="SI"/>
    <n v="1.5"/>
    <n v="0"/>
  </r>
  <r>
    <s v="NESTLE PURINA"/>
    <x v="2"/>
    <x v="1"/>
    <s v="AGRO/PSHOP/VET"/>
    <n v="188203"/>
    <x v="9"/>
    <s v="¿CUMPLE HORARIO DE ENTRADA O SALIDA DE LA TIENDA?"/>
    <s v="SI"/>
    <d v="2025-03-18T00:00:00"/>
    <x v="9"/>
    <s v="NestleP.2"/>
    <x v="0"/>
    <x v="0"/>
    <n v="20"/>
    <s v="SI"/>
    <n v="20"/>
    <n v="0"/>
  </r>
  <r>
    <s v="NESTLE PURINA"/>
    <x v="2"/>
    <x v="2"/>
    <s v="EXITO"/>
    <n v="12390"/>
    <x v="10"/>
    <s v="CUAL ES LA NOVEDAD"/>
    <s v="No se encuentra asesor en punto de venta , se espera por más de 40 minutos "/>
    <d v="2025-03-19T00:00:00"/>
    <x v="10"/>
    <s v="NestleP.1"/>
    <x v="1"/>
    <x v="2"/>
    <n v="0"/>
    <n v="0"/>
    <n v="0"/>
    <n v="0"/>
  </r>
  <r>
    <s v="NESTLE PURINA"/>
    <x v="2"/>
    <x v="2"/>
    <s v="EXITO"/>
    <n v="12390"/>
    <x v="10"/>
    <s v="PRESENTA ALGUNA NOVEDAD?"/>
    <s v="SI"/>
    <d v="2025-03-19T00:00:00"/>
    <x v="10"/>
    <s v="NestleP.1"/>
    <x v="1"/>
    <x v="2"/>
    <n v="0"/>
    <n v="0"/>
    <n v="0"/>
    <n v="0"/>
  </r>
  <r>
    <s v="NESTLE PURINA"/>
    <x v="2"/>
    <x v="2"/>
    <s v="EXITO"/>
    <n v="12390"/>
    <x v="10"/>
    <s v="¿CUMPLE HORARIO DE ENTRADA O SALIDA DE LA TIENDA?"/>
    <s v="NO"/>
    <d v="2025-03-19T00:00:00"/>
    <x v="10"/>
    <s v="NestleP.1"/>
    <x v="1"/>
    <x v="2"/>
    <n v="0"/>
    <s v="SI"/>
    <n v="0"/>
    <n v="0"/>
  </r>
  <r>
    <s v="NESTLE PURINA"/>
    <x v="2"/>
    <x v="2"/>
    <s v="MODERNO"/>
    <n v="424893"/>
    <x v="11"/>
    <s v="EL UNIFORME Y ZAPATOS SE ENCUENTRAN LIMPIOS Y EN BUEN ESTADO"/>
    <s v="SI"/>
    <d v="2025-03-20T00:00:00"/>
    <x v="11"/>
    <s v="NestleP.1"/>
    <x v="0"/>
    <x v="4"/>
    <n v="1.5"/>
    <s v="SI"/>
    <n v="1.5"/>
    <n v="0"/>
  </r>
  <r>
    <s v="NESTLE PURINA"/>
    <x v="2"/>
    <x v="2"/>
    <s v="MODERNO"/>
    <n v="424893"/>
    <x v="11"/>
    <s v="POSEE ALGUNA PRENDA ENCIMA DEL UNIFORME NO AUTORIZADA POR LA MARCA (SOLO PERMITIDO CHALECO DE SODIMAC Y EASY)"/>
    <s v="NO"/>
    <d v="2025-03-20T00:00:00"/>
    <x v="11"/>
    <s v="NestleP.1"/>
    <x v="0"/>
    <x v="4"/>
    <n v="1.5"/>
    <s v="NO"/>
    <n v="1.5"/>
    <n v="0"/>
  </r>
  <r>
    <s v="NESTLE PURINA"/>
    <x v="2"/>
    <x v="2"/>
    <s v="MODERNO"/>
    <n v="424893"/>
    <x v="11"/>
    <s v="CUENTA CON CALZADO DE ACUERDO AL UNIFORME"/>
    <s v="SI"/>
    <d v="2025-03-20T00:00:00"/>
    <x v="11"/>
    <s v="NestleP.1"/>
    <x v="0"/>
    <x v="4"/>
    <n v="1.5"/>
    <s v="SI"/>
    <n v="1.5"/>
    <n v="0"/>
  </r>
  <r>
    <s v="NESTLE PURINA"/>
    <x v="2"/>
    <x v="2"/>
    <s v="MODERNO"/>
    <n v="424893"/>
    <x v="11"/>
    <s v="CUENTA CON CAMISA DEL UNIFORME Y LOGOS SEGÚN EL CARGO (NEGRA / GRIS / ROJA / TURQUESA) (PERMITIDO USAR DEBAJO DE CAMISA BUSO MANGA LARGA NEGRO)"/>
    <s v="SI"/>
    <d v="2025-03-20T00:00:00"/>
    <x v="11"/>
    <s v="NestleP.1"/>
    <x v="0"/>
    <x v="4"/>
    <n v="1.5"/>
    <s v="SI"/>
    <n v="1.5"/>
    <n v="0"/>
  </r>
  <r>
    <s v="NESTLE PURINA"/>
    <x v="2"/>
    <x v="2"/>
    <s v="MODERNO"/>
    <n v="424893"/>
    <x v="11"/>
    <s v="CUENTA CON PANTALON DEL UNIFORME SEGUN EL CARGO (NEGRO / ROJO / TURQUESA / JEAN)"/>
    <s v="SI"/>
    <d v="2025-03-20T00:00:00"/>
    <x v="11"/>
    <s v="NestleP.1"/>
    <x v="0"/>
    <x v="4"/>
    <n v="1.5"/>
    <s v="SI"/>
    <n v="1.5"/>
    <n v="0"/>
  </r>
  <r>
    <s v="NESTLE PURINA"/>
    <x v="2"/>
    <x v="2"/>
    <s v="MODERNO"/>
    <n v="424893"/>
    <x v="11"/>
    <s v="¿CUMPLE HORARIO DE ENTRADA O SALIDA DE LA TIENDA?"/>
    <s v="SI"/>
    <d v="2025-03-20T00:00:00"/>
    <x v="11"/>
    <s v="NestleP.1"/>
    <x v="0"/>
    <x v="0"/>
    <n v="20"/>
    <s v="SI"/>
    <n v="20"/>
    <n v="0"/>
  </r>
  <r>
    <s v="NESTLE PURINA"/>
    <x v="2"/>
    <x v="2"/>
    <s v="MODERNO"/>
    <n v="424893"/>
    <x v="11"/>
    <s v="SU CABELLO LUCE LIMPIO, ORGANIZADO O RECOGIDO"/>
    <s v="SI"/>
    <d v="2025-03-20T00:00:00"/>
    <x v="11"/>
    <s v="NestleP.1"/>
    <x v="0"/>
    <x v="4"/>
    <n v="1.5"/>
    <s v="SI"/>
    <n v="1.5"/>
    <n v="0"/>
  </r>
  <r>
    <s v="NESTLE PURINA"/>
    <x v="2"/>
    <x v="2"/>
    <s v="MODERNO"/>
    <n v="424893"/>
    <x v="11"/>
    <s v="PRESENTA EXCESO DE MAQUILLAJE QUE NO CUMPLE CON EL CODIGO DE VESTIMENTA"/>
    <s v="NO"/>
    <d v="2025-03-20T00:00:00"/>
    <x v="11"/>
    <s v="NestleP.1"/>
    <x v="0"/>
    <x v="4"/>
    <n v="1.5"/>
    <s v="NO"/>
    <n v="1.5"/>
    <n v="0"/>
  </r>
  <r>
    <s v="NESTLE PURINA"/>
    <x v="2"/>
    <x v="2"/>
    <s v="MODERNO"/>
    <n v="424893"/>
    <x v="11"/>
    <s v="TIENE UÑAS LLAMATIVAS Y/O LARGAS QUE NO CUMPLE CON EL CODIGO DE VESTIMENTA"/>
    <s v="NO"/>
    <d v="2025-03-20T00:00:00"/>
    <x v="11"/>
    <s v="NestleP.1"/>
    <x v="0"/>
    <x v="4"/>
    <n v="1.5"/>
    <s v="NO"/>
    <n v="1.5"/>
    <n v="0"/>
  </r>
  <r>
    <s v="NESTLE PURINA"/>
    <x v="2"/>
    <x v="2"/>
    <s v="MODERNO"/>
    <n v="424893"/>
    <x v="11"/>
    <s v="CONSIDERO QUE INDEPENDIENTEMENTE DEL SPEECH, LA LABOR DE VENTA ES BUENA"/>
    <s v="SI"/>
    <d v="2025-03-20T00:00:00"/>
    <x v="11"/>
    <s v="NestleP.1"/>
    <x v="0"/>
    <x v="5"/>
    <n v="7.5"/>
    <s v="SI"/>
    <n v="7.5"/>
    <n v="0"/>
  </r>
  <r>
    <s v="NESTLE PURINA"/>
    <x v="2"/>
    <x v="2"/>
    <s v="MODERNO"/>
    <n v="424893"/>
    <x v="11"/>
    <s v="REALIZA CIERRE  CON FRASES &quot; DESEA LLEVARLO&quot; ,&quot;CUANTOS DESEARIA LLEVAR&quot; ,&quot; LE GUSTARIA ADQUIRIRLO&quot; , &quot; CUANTAS UNIDADES DESEA LLEVAR&quot; , &quot; LE GUSTARIA LLEVARLO EN PRESENTACIÓN HUMEDA O SECA&quot;"/>
    <s v="NO"/>
    <d v="2025-03-20T00:00:00"/>
    <x v="11"/>
    <s v="NestleP.1"/>
    <x v="0"/>
    <x v="5"/>
    <n v="7.5"/>
    <s v="SI"/>
    <n v="0"/>
    <n v="0"/>
  </r>
  <r>
    <s v="NESTLE PURINA"/>
    <x v="2"/>
    <x v="2"/>
    <s v="MODERNO"/>
    <n v="424893"/>
    <x v="11"/>
    <s v="SE ENCUENTRA LIMPIA EL AREA DE DEMOSTRACION"/>
    <s v="SI"/>
    <d v="2025-03-20T00:00:00"/>
    <x v="11"/>
    <s v="NestleP.1"/>
    <x v="0"/>
    <x v="1"/>
    <n v="2"/>
    <s v="SI"/>
    <n v="2"/>
    <n v="0"/>
  </r>
  <r>
    <s v="NESTLE PURINA"/>
    <x v="2"/>
    <x v="2"/>
    <s v="MODERNO"/>
    <n v="424893"/>
    <x v="11"/>
    <s v="SE PRESENTARON OBJECIONES"/>
    <s v="SI"/>
    <d v="2025-03-20T00:00:00"/>
    <x v="11"/>
    <s v="NestleP.1"/>
    <x v="0"/>
    <x v="2"/>
    <n v="0"/>
    <s v="SI"/>
    <n v="0"/>
    <n v="0"/>
  </r>
  <r>
    <s v="NESTLE PURINA"/>
    <x v="2"/>
    <x v="2"/>
    <s v="MODERNO"/>
    <n v="424893"/>
    <x v="11"/>
    <s v="M. EL ASESOR EXPLICA CON CLARIDAD LA DINAMICA DE PARTICIPACIÓN"/>
    <s v="NO"/>
    <d v="2025-03-20T00:00:00"/>
    <x v="11"/>
    <s v="NestleP.1"/>
    <x v="0"/>
    <x v="1"/>
    <n v="2.2000000000000002"/>
    <s v="SI"/>
    <n v="0"/>
    <n v="0"/>
  </r>
  <r>
    <s v="NESTLE PURINA"/>
    <x v="2"/>
    <x v="2"/>
    <s v="MODERNO"/>
    <n v="424893"/>
    <x v="11"/>
    <s v="M. EL ASESOR COMUNICA SOBRE LA ACTIVIDAD &quot;HOY GANAS MAÑANA TAMBIEN&quot;"/>
    <s v="NO"/>
    <d v="2025-03-20T00:00:00"/>
    <x v="11"/>
    <s v="NestleP.1"/>
    <x v="0"/>
    <x v="1"/>
    <n v="2.2000000000000002"/>
    <s v="SI"/>
    <n v="0"/>
    <n v="0"/>
  </r>
  <r>
    <s v="NESTLE PURINA"/>
    <x v="2"/>
    <x v="2"/>
    <s v="MODERNO"/>
    <n v="424893"/>
    <x v="11"/>
    <s v="M. AL PRESENTAR OBJECIÓN &quot;PRECIO MUY COSTOSO&quot;, EL ASESOR OFRECE LOS PRODUCTOS EN ORDEN DE SEGMENTACIÓN: P: PURINA ONE - DOG CHOW - ALPO G: PURINA ONE - CAT CHOW - FELIX - GATSY ( &quot;DICE AHORA ES MAS SABROSO&quot;)"/>
    <s v="SI"/>
    <d v="2025-03-20T00:00:00"/>
    <x v="11"/>
    <s v="NestleP.1"/>
    <x v="0"/>
    <x v="1"/>
    <n v="2.2000000000000002"/>
    <s v="SI"/>
    <n v="2.2000000000000002"/>
    <n v="0"/>
  </r>
  <r>
    <s v="NESTLE PURINA"/>
    <x v="2"/>
    <x v="2"/>
    <s v="MODERNO"/>
    <n v="424893"/>
    <x v="11"/>
    <s v="M. MANEJA LA OBJECION DE ALTO PRECIO, COMUNICANDO LA BAJA DE PRECIOS DE LAS MARCAS O LAS OFERTAS DISPONIBLES EN EL PUNTO DE VENTA."/>
    <s v="SI"/>
    <d v="2025-03-20T00:00:00"/>
    <x v="11"/>
    <s v="NestleP.1"/>
    <x v="0"/>
    <x v="1"/>
    <n v="2.2000000000000002"/>
    <s v="SI"/>
    <n v="2.2000000000000002"/>
    <n v="0"/>
  </r>
  <r>
    <s v="NESTLE PURINA"/>
    <x v="2"/>
    <x v="2"/>
    <s v="MODERNO"/>
    <n v="424893"/>
    <x v="11"/>
    <s v="TIENE TATUAJES O PIERCINGS VISIBLES QUE NO CUMPLE CON EL CODIGO DE VESTIMENTA"/>
    <s v="SI"/>
    <d v="2025-03-20T00:00:00"/>
    <x v="11"/>
    <s v="NestleP.1"/>
    <x v="0"/>
    <x v="4"/>
    <n v="1.5"/>
    <s v="NO"/>
    <n v="0"/>
    <n v="0"/>
  </r>
  <r>
    <s v="NESTLE PURINA"/>
    <x v="2"/>
    <x v="2"/>
    <s v="MODERNO"/>
    <n v="424893"/>
    <x v="11"/>
    <s v="M. MENCIONA QUE PURINA ONE CUENTA CON ALIMENTO HUMEDO Y MENCIONA LAS 3 VARIADADES  ( SUPER FOODS, SUPER NUTRIENTES Y MULTI PROTEINAS);PERRO Y GATO"/>
    <s v="NO"/>
    <d v="2025-03-20T00:00:00"/>
    <x v="11"/>
    <s v="NestleP.1"/>
    <x v="0"/>
    <x v="1"/>
    <n v="2.2000000000000002"/>
    <s v="SI"/>
    <n v="0"/>
    <n v="0"/>
  </r>
  <r>
    <s v="NESTLE PURINA"/>
    <x v="2"/>
    <x v="2"/>
    <s v="MODERNO"/>
    <n v="424893"/>
    <x v="11"/>
    <s v="M. MENCIONA QUE LOS RESULTADOS DE PURINA ONE SON VISIBLES EN 28 DIAS?"/>
    <s v="SI"/>
    <d v="2025-03-20T00:00:00"/>
    <x v="11"/>
    <s v="NestleP.1"/>
    <x v="0"/>
    <x v="1"/>
    <n v="2.2000000000000002"/>
    <s v="SI"/>
    <n v="2.2000000000000002"/>
    <n v="0"/>
  </r>
  <r>
    <s v="NESTLE PURINA"/>
    <x v="2"/>
    <x v="2"/>
    <s v="MODERNO"/>
    <n v="424893"/>
    <x v="11"/>
    <s v="M. OFRECE PURINA ONE: (APLICA SOLO EN CANAL MODERNO, CADENAS, SI EL PRODUCTO ESTA EN EL PDV)"/>
    <s v="SI"/>
    <d v="2025-03-20T00:00:00"/>
    <x v="11"/>
    <s v="NestleP.1"/>
    <x v="0"/>
    <x v="1"/>
    <n v="2.2000000000000002"/>
    <s v="SI"/>
    <n v="2.2000000000000002"/>
    <n v="0"/>
  </r>
  <r>
    <s v="NESTLE PURINA"/>
    <x v="2"/>
    <x v="2"/>
    <s v="MODERNO"/>
    <n v="424893"/>
    <x v="11"/>
    <s v="QUE CANAL VA A REALIZAR"/>
    <s v="CANAL MODERNO"/>
    <d v="2025-03-20T00:00:00"/>
    <x v="11"/>
    <s v="NestleP.1"/>
    <x v="0"/>
    <x v="2"/>
    <n v="0"/>
    <n v="0"/>
    <n v="0"/>
    <n v="0"/>
  </r>
  <r>
    <s v="NESTLE PURINA"/>
    <x v="2"/>
    <x v="2"/>
    <s v="MODERNO"/>
    <n v="424893"/>
    <x v="11"/>
    <s v="OFRECIO ALGUN PRODUCTO DEL PORTAFOLIO PURINA DE PRODUCTOS HUMEDOS, SNACK U OTROS COMUNICANDO LOS BENEFICIOS DEL PRODUCTO"/>
    <s v=" NINGUNO"/>
    <d v="2025-03-20T00:00:00"/>
    <x v="11"/>
    <s v="NestleP.1"/>
    <x v="0"/>
    <x v="1"/>
    <n v="3"/>
    <s v="SI"/>
    <n v="0"/>
    <n v="0"/>
  </r>
  <r>
    <s v="NESTLE PURINA"/>
    <x v="2"/>
    <x v="2"/>
    <s v="MODERNO"/>
    <n v="424893"/>
    <x v="11"/>
    <s v="OFRECIO ALGUN PRODUCTO DEL PORTAFOLIO PURINA DE PRODUCTOS SECOS COMUNICANDO LOS BENEFICIOS DEL PRODUCTO"/>
    <s v="SI"/>
    <d v="2025-03-20T00:00:00"/>
    <x v="11"/>
    <s v="NestleP.1"/>
    <x v="0"/>
    <x v="1"/>
    <n v="3"/>
    <s v="SI"/>
    <n v="3"/>
    <n v="0"/>
  </r>
  <r>
    <s v="NESTLE PURINA"/>
    <x v="2"/>
    <x v="2"/>
    <s v="MODERNO"/>
    <n v="424893"/>
    <x v="11"/>
    <s v="SE PRODUCE ABORDO PROACTIVO (ANTES DE LOS 3 MIN)"/>
    <s v="SI"/>
    <d v="2025-03-20T00:00:00"/>
    <x v="11"/>
    <s v="NestleP.1"/>
    <x v="0"/>
    <x v="3"/>
    <n v="20"/>
    <s v="SI"/>
    <n v="20"/>
    <n v="0"/>
  </r>
  <r>
    <s v="NESTLE PURINA"/>
    <x v="2"/>
    <x v="2"/>
    <s v="MODERNO"/>
    <n v="424893"/>
    <x v="11"/>
    <s v="USA ACCESORIOS QUE NO CUMPLE CON EL CODIGO DE VESTIMENTA"/>
    <s v="NO"/>
    <d v="2025-03-20T00:00:00"/>
    <x v="11"/>
    <s v="NestleP.1"/>
    <x v="0"/>
    <x v="4"/>
    <n v="1.5"/>
    <s v="NO"/>
    <n v="1.5"/>
    <n v="0"/>
  </r>
  <r>
    <s v="NESTLE PURINA"/>
    <x v="2"/>
    <x v="2"/>
    <s v="MODERNO"/>
    <n v="424893"/>
    <x v="11"/>
    <s v="M. MENCIONA QUE TIENE CARNE DE VERDAD COMO INGREDIENTE NO.1 E INGREDIENTES NATURALES Y FUNCIONALES?"/>
    <s v="SI"/>
    <d v="2025-03-20T00:00:00"/>
    <x v="11"/>
    <s v="NestleP.1"/>
    <x v="0"/>
    <x v="1"/>
    <n v="2.2000000000000002"/>
    <s v="SI"/>
    <n v="2.2000000000000002"/>
    <n v="0"/>
  </r>
  <r>
    <s v="NESTLE PURINA"/>
    <x v="2"/>
    <x v="2"/>
    <s v="MODERNO"/>
    <n v="424893"/>
    <x v="11"/>
    <s v="PRESENTA ALGUNA NOVEDAD?"/>
    <s v="NO"/>
    <d v="2025-03-20T00:00:00"/>
    <x v="11"/>
    <s v="NestleP.1"/>
    <x v="0"/>
    <x v="2"/>
    <n v="0"/>
    <n v="0"/>
    <n v="0"/>
    <n v="0"/>
  </r>
  <r>
    <s v="NESTLE PURINA"/>
    <x v="2"/>
    <x v="2"/>
    <s v="MODERNO"/>
    <n v="424893"/>
    <x v="11"/>
    <s v="RESUELVE LA OBJECION SATISFACTORIAMENTE"/>
    <s v="SI"/>
    <d v="2025-03-20T00:00:00"/>
    <x v="11"/>
    <s v="NestleP.1"/>
    <x v="0"/>
    <x v="1"/>
    <s v="4, 4"/>
    <s v="SI"/>
    <s v="4, 4"/>
    <n v="0"/>
  </r>
  <r>
    <s v="NESTLE PURINA"/>
    <x v="2"/>
    <x v="1"/>
    <s v="AGRO/PSHOP/VET"/>
    <n v="125788"/>
    <x v="12"/>
    <s v="¿CUMPLE HORARIO DE ENTRADA O SALIDA DE LA TIENDA?"/>
    <s v="NO"/>
    <d v="2025-03-21T00:00:00"/>
    <x v="12"/>
    <s v="NestleP.1"/>
    <x v="1"/>
    <x v="2"/>
    <n v="0"/>
    <s v="SI"/>
    <n v="0"/>
    <n v="0"/>
  </r>
  <r>
    <s v="NESTLE PURINA"/>
    <x v="2"/>
    <x v="1"/>
    <s v="AGRO/PSHOP/VET"/>
    <n v="125788"/>
    <x v="12"/>
    <s v="CUAL ES LA NOVEDAD"/>
    <s v="No se encuentra asesora en punto de venta , se espera por más de 45 minutos "/>
    <d v="2025-03-21T00:00:00"/>
    <x v="12"/>
    <s v="NestleP.1"/>
    <x v="1"/>
    <x v="2"/>
    <n v="0"/>
    <n v="0"/>
    <n v="0"/>
    <n v="0"/>
  </r>
  <r>
    <s v="NESTLE PURINA"/>
    <x v="3"/>
    <x v="1"/>
    <s v="AGRO/PSHOP/VET"/>
    <n v="424842"/>
    <x v="13"/>
    <s v="RESUELVE LA OBJECION SATISFACTORIAMENTE"/>
    <s v="NO"/>
    <d v="2025-03-21T00:00:00"/>
    <x v="13"/>
    <s v="NestleP.10"/>
    <x v="0"/>
    <x v="1"/>
    <s v="4,8"/>
    <s v="SI"/>
    <n v="0"/>
    <n v="0"/>
  </r>
  <r>
    <s v="NESTLE PURINA"/>
    <x v="2"/>
    <x v="1"/>
    <s v="AGRO/PSHOP/VET"/>
    <n v="125788"/>
    <x v="12"/>
    <s v="PRESENTA ALGUNA NOVEDAD?"/>
    <s v="SI"/>
    <d v="2025-03-21T00:00:00"/>
    <x v="12"/>
    <s v="NestleP.1"/>
    <x v="1"/>
    <x v="2"/>
    <n v="0"/>
    <n v="0"/>
    <n v="0"/>
    <n v="0"/>
  </r>
  <r>
    <s v="NESTLE PURINA"/>
    <x v="3"/>
    <x v="1"/>
    <s v="AGRO/PSHOP/VET"/>
    <n v="424842"/>
    <x v="13"/>
    <s v="EN CANAL E. LO PRIMERO QUE OFRECE EL ASESOR ES LA MARCA PRO PLAN?"/>
    <s v="SI"/>
    <d v="2025-03-21T00:00:00"/>
    <x v="13"/>
    <s v="NestleP.10"/>
    <x v="0"/>
    <x v="1"/>
    <n v="2.4"/>
    <s v="SI"/>
    <n v="2.4"/>
    <n v="0"/>
  </r>
  <r>
    <s v="NESTLE PURINA"/>
    <x v="3"/>
    <x v="1"/>
    <s v="AGRO/PSHOP/VET"/>
    <n v="424842"/>
    <x v="13"/>
    <s v="QUE CANAL VA A REALIZAR"/>
    <s v=" CANAL ESPECIALIZADO"/>
    <d v="2025-03-21T00:00:00"/>
    <x v="13"/>
    <s v="NestleP.10"/>
    <x v="0"/>
    <x v="2"/>
    <n v="0"/>
    <n v="0"/>
    <n v="0"/>
    <n v="0"/>
  </r>
  <r>
    <s v="NESTLE PURINA"/>
    <x v="3"/>
    <x v="1"/>
    <s v="AGRO/PSHOP/VET"/>
    <n v="424842"/>
    <x v="13"/>
    <s v="OFRECIO ALGUN PRODUCTO DEL PORTAFOLIO PURINA DE PRODUCTOS HUMEDOS, SNACK U OTROS COMUNICANDO LOS BENEFICIOS DEL PRODUCTO"/>
    <s v="SI"/>
    <d v="2025-03-21T00:00:00"/>
    <x v="13"/>
    <s v="NestleP.10"/>
    <x v="0"/>
    <x v="1"/>
    <n v="3"/>
    <s v="SI"/>
    <n v="3"/>
    <n v="0"/>
  </r>
  <r>
    <s v="NESTLE PURINA"/>
    <x v="3"/>
    <x v="1"/>
    <s v="AGRO/PSHOP/VET"/>
    <n v="424842"/>
    <x v="13"/>
    <s v="OFRECIO ALGUN PRODUCTO DEL PORTAFOLIO PURINA DE PRODUCTOS SECOS COMUNICANDO LOS BENEFICIOS DEL PRODUCTO"/>
    <s v="SI"/>
    <d v="2025-03-21T00:00:00"/>
    <x v="13"/>
    <s v="NestleP.10"/>
    <x v="0"/>
    <x v="1"/>
    <n v="3"/>
    <s v="SI"/>
    <n v="3"/>
    <n v="0"/>
  </r>
  <r>
    <s v="NESTLE PURINA"/>
    <x v="3"/>
    <x v="1"/>
    <s v="AGRO/PSHOP/VET"/>
    <n v="424842"/>
    <x v="13"/>
    <s v="SE PRODUCE ABORDO PROACTIVO (ANTES DE LOS 3 MIN)"/>
    <s v="SI"/>
    <d v="2025-03-21T00:00:00"/>
    <x v="13"/>
    <s v="NestleP.10"/>
    <x v="0"/>
    <x v="3"/>
    <n v="20"/>
    <s v="SI"/>
    <n v="20"/>
    <n v="0"/>
  </r>
  <r>
    <s v="NESTLE PURINA"/>
    <x v="3"/>
    <x v="1"/>
    <s v="AGRO/PSHOP/VET"/>
    <n v="424842"/>
    <x v="13"/>
    <s v="USA ACCESORIOS QUE NO CUMPLE CON EL CODIGO DE VESTIMENTA"/>
    <s v="NO"/>
    <d v="2025-03-21T00:00:00"/>
    <x v="13"/>
    <s v="NestleP.10"/>
    <x v="0"/>
    <x v="4"/>
    <n v="1.5"/>
    <s v="NO"/>
    <n v="1.5"/>
    <n v="0"/>
  </r>
  <r>
    <s v="NESTLE PURINA"/>
    <x v="3"/>
    <x v="1"/>
    <s v="AGRO/PSHOP/VET"/>
    <n v="424842"/>
    <x v="13"/>
    <s v="EN CANAL E. DESPUES DE OBJECION DE PRECIO, EL ASESOR OFRECIO LA MARCA EXCELLENT?"/>
    <s v="NO"/>
    <d v="2025-03-21T00:00:00"/>
    <x v="13"/>
    <s v="NestleP.10"/>
    <x v="0"/>
    <x v="1"/>
    <n v="2.4"/>
    <s v="SI"/>
    <n v="0"/>
    <n v="0"/>
  </r>
  <r>
    <s v="NESTLE PURINA"/>
    <x v="3"/>
    <x v="1"/>
    <s v="AGRO/PSHOP/VET"/>
    <n v="424842"/>
    <x v="13"/>
    <s v="TIENE UÑAS LLAMATIVAS Y/O LARGAS QUE NO CUMPLE CON EL CODIGO DE VESTIMENTA"/>
    <s v="SI"/>
    <d v="2025-03-21T00:00:00"/>
    <x v="13"/>
    <s v="NestleP.10"/>
    <x v="0"/>
    <x v="4"/>
    <n v="1.5"/>
    <s v="NO"/>
    <n v="0"/>
    <n v="0"/>
  </r>
  <r>
    <s v="NESTLE PURINA"/>
    <x v="3"/>
    <x v="1"/>
    <s v="AGRO/PSHOP/VET"/>
    <n v="424842"/>
    <x v="13"/>
    <s v="PRESENTA EXCESO DE MAQUILLAJE QUE NO CUMPLE CON EL CODIGO DE VESTIMENTA"/>
    <s v="NO"/>
    <d v="2025-03-21T00:00:00"/>
    <x v="13"/>
    <s v="NestleP.10"/>
    <x v="0"/>
    <x v="4"/>
    <n v="1.5"/>
    <s v="NO"/>
    <n v="1.5"/>
    <n v="0"/>
  </r>
  <r>
    <s v="NESTLE PURINA"/>
    <x v="3"/>
    <x v="1"/>
    <s v="AGRO/PSHOP/VET"/>
    <n v="424842"/>
    <x v="13"/>
    <s v="SU CABELLO LUCE LIMPIO, ORGANIZADO O RECOGIDO"/>
    <s v="SI"/>
    <d v="2025-03-21T00:00:00"/>
    <x v="13"/>
    <s v="NestleP.10"/>
    <x v="0"/>
    <x v="4"/>
    <n v="1.5"/>
    <s v="SI"/>
    <n v="1.5"/>
    <n v="0"/>
  </r>
  <r>
    <s v="NESTLE PURINA"/>
    <x v="3"/>
    <x v="1"/>
    <s v="AGRO/PSHOP/VET"/>
    <n v="424842"/>
    <x v="13"/>
    <s v="EL UNIFORME Y ZAPATOS SE ENCUENTRAN LIMPIOS Y EN BUEN ESTADO"/>
    <s v="SI"/>
    <d v="2025-03-21T00:00:00"/>
    <x v="13"/>
    <s v="NestleP.10"/>
    <x v="0"/>
    <x v="4"/>
    <n v="1.5"/>
    <s v="SI"/>
    <n v="1.5"/>
    <n v="0"/>
  </r>
  <r>
    <s v="NESTLE PURINA"/>
    <x v="3"/>
    <x v="1"/>
    <s v="AGRO/PSHOP/VET"/>
    <n v="424842"/>
    <x v="13"/>
    <s v="POSEE ALGUNA PRENDA ENCIMA DEL UNIFORME NO AUTORIZADA POR LA MARCA (SOLO PERMITIDO CHALECO DE SODIMAC Y EASY)"/>
    <s v="NO"/>
    <d v="2025-03-21T00:00:00"/>
    <x v="13"/>
    <s v="NestleP.10"/>
    <x v="0"/>
    <x v="4"/>
    <n v="1.5"/>
    <s v="NO"/>
    <n v="1.5"/>
    <n v="0"/>
  </r>
  <r>
    <s v="NESTLE PURINA"/>
    <x v="3"/>
    <x v="1"/>
    <s v="AGRO/PSHOP/VET"/>
    <n v="424842"/>
    <x v="13"/>
    <s v="CUENTA CON CALZADO DE ACUERDO AL UNIFORME"/>
    <s v="SI"/>
    <d v="2025-03-21T00:00:00"/>
    <x v="13"/>
    <s v="NestleP.10"/>
    <x v="0"/>
    <x v="4"/>
    <n v="1.5"/>
    <s v="SI"/>
    <n v="1.5"/>
    <n v="0"/>
  </r>
  <r>
    <s v="NESTLE PURINA"/>
    <x v="3"/>
    <x v="1"/>
    <s v="AGRO/PSHOP/VET"/>
    <n v="424842"/>
    <x v="13"/>
    <s v="CUENTA CON CAMISA DEL UNIFORME Y LOGOS SEGÚN EL CARGO (NEGRA / GRIS / ROJA / TURQUESA) (PERMITIDO USAR DEBAJO DE CAMISA BUSO MANGA LARGA NEGRO)"/>
    <s v="SI"/>
    <d v="2025-03-21T00:00:00"/>
    <x v="13"/>
    <s v="NestleP.10"/>
    <x v="0"/>
    <x v="4"/>
    <n v="1.5"/>
    <s v="SI"/>
    <n v="1.5"/>
    <n v="0"/>
  </r>
  <r>
    <s v="NESTLE PURINA"/>
    <x v="3"/>
    <x v="1"/>
    <s v="AGRO/PSHOP/VET"/>
    <n v="424842"/>
    <x v="13"/>
    <s v="CUENTA CON PANTALON DEL UNIFORME SEGUN EL CARGO (NEGRO / ROJO / TURQUESA / JEAN)"/>
    <s v="SI"/>
    <d v="2025-03-21T00:00:00"/>
    <x v="13"/>
    <s v="NestleP.10"/>
    <x v="0"/>
    <x v="4"/>
    <n v="1.5"/>
    <s v="SI"/>
    <n v="1.5"/>
    <n v="0"/>
  </r>
  <r>
    <s v="NESTLE PURINA"/>
    <x v="3"/>
    <x v="1"/>
    <s v="AGRO/PSHOP/VET"/>
    <n v="424842"/>
    <x v="13"/>
    <s v="¿CUMPLE HORARIO DE ENTRADA O SALIDA DE LA TIENDA?"/>
    <s v="SI"/>
    <d v="2025-03-21T00:00:00"/>
    <x v="13"/>
    <s v="NestleP.10"/>
    <x v="0"/>
    <x v="0"/>
    <n v="20"/>
    <s v="SI"/>
    <n v="20"/>
    <n v="0"/>
  </r>
  <r>
    <s v="NESTLE PURINA"/>
    <x v="3"/>
    <x v="1"/>
    <s v="AGRO/PSHOP/VET"/>
    <n v="424842"/>
    <x v="13"/>
    <s v="TIENE TATUAJES O PIERCINGS VISIBLES QUE NO CUMPLE CON EL CODIGO DE VESTIMENTA"/>
    <s v="SI"/>
    <d v="2025-03-21T00:00:00"/>
    <x v="13"/>
    <s v="NestleP.10"/>
    <x v="0"/>
    <x v="4"/>
    <n v="1.5"/>
    <s v="NO"/>
    <n v="0"/>
    <n v="0"/>
  </r>
  <r>
    <s v="NESTLE PURINA"/>
    <x v="3"/>
    <x v="1"/>
    <s v="AGRO/PSHOP/VET"/>
    <n v="424842"/>
    <x v="13"/>
    <s v="EN CANAL E.  EL ASESOR COMUNICA QUE LA MARCA EXCELLENT ESTA DENTRO DE LA CATEGORIA SUPERPREMIUM PERO A UN COSTO MAS ACCESIBLE."/>
    <s v="SI"/>
    <d v="2025-03-21T00:00:00"/>
    <x v="13"/>
    <s v="NestleP.10"/>
    <x v="0"/>
    <x v="1"/>
    <n v="2.4"/>
    <s v="SI"/>
    <n v="2.4"/>
    <n v="0"/>
  </r>
  <r>
    <s v="NESTLE PURINA"/>
    <x v="3"/>
    <x v="1"/>
    <s v="AGRO/PSHOP/VET"/>
    <n v="424842"/>
    <x v="13"/>
    <s v="EN CANAL E., EL ASESOR OFRECE PRODUCTO HUMEDO Y COMUNICA LA DINAMICA DE MULTIPRICE (POR LA COMPRA DE MAS CANTIDADES TIENE DESCUENTO)."/>
    <s v="NO"/>
    <d v="2025-03-21T00:00:00"/>
    <x v="13"/>
    <s v="NestleP.10"/>
    <x v="0"/>
    <x v="1"/>
    <n v="2.4"/>
    <s v="SI"/>
    <n v="0"/>
    <n v="0"/>
  </r>
  <r>
    <s v="NESTLE PURINA"/>
    <x v="3"/>
    <x v="1"/>
    <s v="AGRO/PSHOP/VET"/>
    <n v="424842"/>
    <x v="13"/>
    <s v="EN CANAL E.  EL ASESOR COMUNICA LOS BENEFICIOS O CARACTERISTICAS DEL PRODUCTO EXCELLENT E INFORMA QUE EL PRODUCTO CAMBIO DE IMAGEN PERO CONTINUA CON LA MISMA FORMULA?"/>
    <s v="NO"/>
    <d v="2025-03-21T00:00:00"/>
    <x v="13"/>
    <s v="NestleP.10"/>
    <x v="0"/>
    <x v="1"/>
    <n v="2.4"/>
    <s v="SI"/>
    <n v="0"/>
    <n v="0"/>
  </r>
  <r>
    <s v="NESTLE PURINA"/>
    <x v="3"/>
    <x v="1"/>
    <s v="AGRO/PSHOP/VET"/>
    <n v="424842"/>
    <x v="13"/>
    <s v="CUAL ES LA NOVEDAD"/>
    <s v="La asesora cuenta con buena presentacion personal tiene tatuajes y uñas largas pero no son muy alarmantes, ella tiene guantes, y tiene muy buena presentacion "/>
    <d v="2025-03-21T00:00:00"/>
    <x v="13"/>
    <s v="NestleP.10"/>
    <x v="0"/>
    <x v="2"/>
    <n v="0"/>
    <n v="0"/>
    <n v="0"/>
    <n v="0"/>
  </r>
  <r>
    <s v="NESTLE PURINA"/>
    <x v="3"/>
    <x v="1"/>
    <s v="AGRO/PSHOP/VET"/>
    <n v="424842"/>
    <x v="13"/>
    <s v="PRESENTA ALGUNA NOVEDAD?"/>
    <s v="SI"/>
    <d v="2025-03-21T00:00:00"/>
    <x v="13"/>
    <s v="NestleP.10"/>
    <x v="0"/>
    <x v="2"/>
    <n v="0"/>
    <n v="0"/>
    <n v="0"/>
    <n v="0"/>
  </r>
  <r>
    <s v="NESTLE PURINA"/>
    <x v="3"/>
    <x v="1"/>
    <s v="AGRO/PSHOP/VET"/>
    <n v="424842"/>
    <x v="13"/>
    <s v="CONSIDERO QUE INDEPENDIENTEMENTE DEL SPEECH, LA LABOR DE VENTA ES BUENA"/>
    <s v="SI"/>
    <d v="2025-03-21T00:00:00"/>
    <x v="13"/>
    <s v="NestleP.10"/>
    <x v="0"/>
    <x v="5"/>
    <n v="7.5"/>
    <s v="SI"/>
    <n v="7.5"/>
    <n v="0"/>
  </r>
  <r>
    <s v="NESTLE PURINA"/>
    <x v="3"/>
    <x v="1"/>
    <s v="AGRO/PSHOP/VET"/>
    <n v="424842"/>
    <x v="13"/>
    <s v="REALIZA CIERRE  CON FRASES &quot; DESEA LLEVARLO&quot; ,&quot;CUANTOS DESEARIA LLEVAR&quot; ,&quot; LE GUSTARIA ADQUIRIRLO&quot; , &quot; CUANTAS UNIDADES DESEA LLEVAR&quot; , &quot; LE GUSTARIA LLEVARLO EN PRESENTACIÓN HUMEDA O SECA&quot;"/>
    <s v="SI"/>
    <d v="2025-03-21T00:00:00"/>
    <x v="13"/>
    <s v="NestleP.10"/>
    <x v="0"/>
    <x v="5"/>
    <n v="7.5"/>
    <s v="SI"/>
    <n v="7.5"/>
    <n v="0"/>
  </r>
  <r>
    <s v="NESTLE PURINA"/>
    <x v="3"/>
    <x v="1"/>
    <s v="AGRO/PSHOP/VET"/>
    <n v="424842"/>
    <x v="13"/>
    <s v="SE ENCUENTRA LIMPIA EL AREA DE DEMOSTRACION"/>
    <s v="SI"/>
    <d v="2025-03-21T00:00:00"/>
    <x v="13"/>
    <s v="NestleP.10"/>
    <x v="0"/>
    <x v="1"/>
    <n v="2.4"/>
    <s v="SI"/>
    <n v="2.4"/>
    <n v="0"/>
  </r>
  <r>
    <s v="NESTLE PURINA"/>
    <x v="3"/>
    <x v="1"/>
    <s v="AGRO/PSHOP/VET"/>
    <n v="424842"/>
    <x v="13"/>
    <s v="SE PRESENTARON OBJECIONES"/>
    <s v="NO"/>
    <d v="2025-03-21T00:00:00"/>
    <x v="13"/>
    <s v="NestleP.10"/>
    <x v="0"/>
    <x v="2"/>
    <n v="0"/>
    <s v="SI"/>
    <n v="0"/>
    <n v="0"/>
  </r>
  <r>
    <s v="NESTLE PURINA"/>
    <x v="0"/>
    <x v="2"/>
    <s v="SUPERETE"/>
    <n v="29714"/>
    <x v="14"/>
    <s v="POSEE ALGUNA PRENDA ENCIMA DEL UNIFORME NO AUTORIZADA POR LA MARCA (SOLO PERMITIDO CHALECO DE SODIMAC Y EASY)"/>
    <s v="NO"/>
    <d v="2025-03-22T00:00:00"/>
    <x v="14"/>
    <s v="NestleP.7"/>
    <x v="0"/>
    <x v="4"/>
    <n v="1.5"/>
    <s v="NO"/>
    <n v="1.5"/>
    <n v="0"/>
  </r>
  <r>
    <s v="NESTLE PURINA"/>
    <x v="0"/>
    <x v="2"/>
    <s v="SUPERETE"/>
    <n v="29714"/>
    <x v="14"/>
    <s v="CUENTA CON CALZADO DE ACUERDO AL UNIFORME"/>
    <s v="SI"/>
    <d v="2025-03-22T00:00:00"/>
    <x v="14"/>
    <s v="NestleP.7"/>
    <x v="0"/>
    <x v="4"/>
    <n v="1.5"/>
    <s v="SI"/>
    <n v="1.5"/>
    <n v="0"/>
  </r>
  <r>
    <s v="NESTLE PURINA"/>
    <x v="0"/>
    <x v="2"/>
    <s v="SUPERETE"/>
    <n v="29714"/>
    <x v="14"/>
    <s v="CUENTA CON CAMISA DEL UNIFORME Y LOGOS SEGÚN EL CARGO (NEGRA / GRIS / ROJA / TURQUESA) (PERMITIDO USAR DEBAJO DE CAMISA BUSO MANGA LARGA NEGRO)"/>
    <s v="SI"/>
    <d v="2025-03-22T00:00:00"/>
    <x v="14"/>
    <s v="NestleP.7"/>
    <x v="0"/>
    <x v="4"/>
    <n v="1.5"/>
    <s v="SI"/>
    <n v="1.5"/>
    <n v="0"/>
  </r>
  <r>
    <s v="NESTLE PURINA"/>
    <x v="0"/>
    <x v="2"/>
    <s v="SUPERETE"/>
    <n v="29714"/>
    <x v="14"/>
    <s v="CUENTA CON PANTALON DEL UNIFORME SEGUN EL CARGO (NEGRO / ROJO / TURQUESA / JEAN)"/>
    <s v="SI"/>
    <d v="2025-03-22T00:00:00"/>
    <x v="14"/>
    <s v="NestleP.7"/>
    <x v="0"/>
    <x v="4"/>
    <n v="1.5"/>
    <s v="SI"/>
    <n v="1.5"/>
    <n v="0"/>
  </r>
  <r>
    <s v="NESTLE PURINA"/>
    <x v="0"/>
    <x v="2"/>
    <s v="SUPERETE"/>
    <n v="29714"/>
    <x v="14"/>
    <s v="¿CUMPLE HORARIO DE ENTRADA O SALIDA DE LA TIENDA?"/>
    <s v="SI"/>
    <d v="2025-03-22T00:00:00"/>
    <x v="14"/>
    <s v="NestleP.7"/>
    <x v="0"/>
    <x v="0"/>
    <n v="20"/>
    <s v="SI"/>
    <n v="20"/>
    <n v="0"/>
  </r>
  <r>
    <s v="NESTLE PURINA"/>
    <x v="0"/>
    <x v="1"/>
    <s v="AGRO/PSHOP/VET"/>
    <n v="191506"/>
    <x v="15"/>
    <s v="PRESENTA ALGUNA NOVEDAD?"/>
    <s v="NO"/>
    <d v="2025-03-22T00:00:00"/>
    <x v="15"/>
    <s v="NestleP.7"/>
    <x v="0"/>
    <x v="2"/>
    <n v="0"/>
    <n v="0"/>
    <n v="0"/>
    <n v="0"/>
  </r>
  <r>
    <s v="NESTLE PURINA"/>
    <x v="0"/>
    <x v="2"/>
    <s v="SUPERETE"/>
    <n v="29714"/>
    <x v="14"/>
    <s v="EL UNIFORME Y ZAPATOS SE ENCUENTRAN LIMPIOS Y EN BUEN ESTADO"/>
    <s v="SI"/>
    <d v="2025-03-22T00:00:00"/>
    <x v="14"/>
    <s v="NestleP.7"/>
    <x v="0"/>
    <x v="4"/>
    <n v="1.5"/>
    <s v="SI"/>
    <n v="1.5"/>
    <n v="0"/>
  </r>
  <r>
    <s v="NESTLE PURINA"/>
    <x v="0"/>
    <x v="1"/>
    <s v="AGRO/PSHOP/VET"/>
    <n v="191506"/>
    <x v="15"/>
    <s v="CONSIDERO QUE INDEPENDIENTEMENTE DEL SPEECH, LA LABOR DE VENTA ES BUENA"/>
    <s v="SI"/>
    <d v="2025-03-22T00:00:00"/>
    <x v="15"/>
    <s v="NestleP.7"/>
    <x v="0"/>
    <x v="5"/>
    <n v="7.5"/>
    <s v="SI"/>
    <n v="7.5"/>
    <n v="0"/>
  </r>
  <r>
    <s v="NESTLE PURINA"/>
    <x v="0"/>
    <x v="1"/>
    <s v="AGRO/PSHOP/VET"/>
    <n v="191506"/>
    <x v="15"/>
    <s v="SE ENCUENTRA LIMPIA EL AREA DE DEMOSTRACION"/>
    <s v="SI"/>
    <d v="2025-03-22T00:00:00"/>
    <x v="15"/>
    <s v="NestleP.7"/>
    <x v="0"/>
    <x v="1"/>
    <n v="2.4"/>
    <s v="SI"/>
    <n v="2.4"/>
    <n v="0"/>
  </r>
  <r>
    <s v="NESTLE PURINA"/>
    <x v="0"/>
    <x v="1"/>
    <s v="AGRO/PSHOP/VET"/>
    <n v="191506"/>
    <x v="15"/>
    <s v="RESUELVE LA OBJECION SATISFACTORIAMENTE"/>
    <s v="SI"/>
    <d v="2025-03-22T00:00:00"/>
    <x v="15"/>
    <s v="NestleP.7"/>
    <x v="0"/>
    <x v="1"/>
    <s v="4,8"/>
    <s v="SI"/>
    <s v="4,8"/>
    <n v="0"/>
  </r>
  <r>
    <s v="NESTLE PURINA"/>
    <x v="0"/>
    <x v="1"/>
    <s v="AGRO/PSHOP/VET"/>
    <n v="191506"/>
    <x v="15"/>
    <s v="DE QUE TIPO ES LA OBJECION"/>
    <s v=" NO LE INTERESA EL PRODUCTO"/>
    <d v="2025-03-22T00:00:00"/>
    <x v="15"/>
    <s v="NestleP.7"/>
    <x v="0"/>
    <x v="2"/>
    <n v="0"/>
    <s v="SI"/>
    <n v="0"/>
    <n v="0"/>
  </r>
  <r>
    <s v="NESTLE PURINA"/>
    <x v="0"/>
    <x v="1"/>
    <s v="AGRO/PSHOP/VET"/>
    <n v="191506"/>
    <x v="15"/>
    <s v="SE PRESENTARON OBJECIONES"/>
    <s v="SI"/>
    <d v="2025-03-22T00:00:00"/>
    <x v="15"/>
    <s v="NestleP.7"/>
    <x v="0"/>
    <x v="2"/>
    <n v="0"/>
    <s v="SI"/>
    <n v="0"/>
    <n v="0"/>
  </r>
  <r>
    <s v="NESTLE PURINA"/>
    <x v="0"/>
    <x v="1"/>
    <s v="AGRO/PSHOP/VET"/>
    <n v="191506"/>
    <x v="15"/>
    <s v="EN CANAL E.  EL ASESOR COMUNICA LOS BENEFICIOS O CARACTERISTICAS DEL PRODUCTO EXCELLENT E INFORMA QUE EL PRODUCTO CAMBIO DE IMAGEN PERO CONTINUA CON LA MISMA FORMULA?"/>
    <s v="SI"/>
    <d v="2025-03-22T00:00:00"/>
    <x v="15"/>
    <s v="NestleP.7"/>
    <x v="0"/>
    <x v="1"/>
    <n v="2.4"/>
    <s v="SI"/>
    <n v="2.4"/>
    <n v="0"/>
  </r>
  <r>
    <s v="NESTLE PURINA"/>
    <x v="0"/>
    <x v="1"/>
    <s v="AGRO/PSHOP/VET"/>
    <n v="191506"/>
    <x v="15"/>
    <s v="EN CANAL E.  EL ASESOR COMUNICA QUE LA MARCA EXCELLENT ESTA DENTRO DE LA CATEGORIA SUPERPREMIUM PERO A UN COSTO MAS ACCESIBLE."/>
    <s v="SI"/>
    <d v="2025-03-22T00:00:00"/>
    <x v="15"/>
    <s v="NestleP.7"/>
    <x v="0"/>
    <x v="1"/>
    <n v="2.4"/>
    <s v="SI"/>
    <n v="2.4"/>
    <n v="0"/>
  </r>
  <r>
    <s v="NESTLE PURINA"/>
    <x v="0"/>
    <x v="1"/>
    <s v="AGRO/PSHOP/VET"/>
    <n v="191506"/>
    <x v="15"/>
    <s v="EN CANAL E. DESPUES DE OBJECION DE PRECIO, EL ASESOR OFRECIO LA MARCA EXCELLENT?"/>
    <s v="SI"/>
    <d v="2025-03-22T00:00:00"/>
    <x v="15"/>
    <s v="NestleP.7"/>
    <x v="0"/>
    <x v="1"/>
    <n v="2.4"/>
    <s v="SI"/>
    <n v="2.4"/>
    <n v="0"/>
  </r>
  <r>
    <s v="NESTLE PURINA"/>
    <x v="0"/>
    <x v="1"/>
    <s v="AGRO/PSHOP/VET"/>
    <n v="191506"/>
    <x v="15"/>
    <s v="EN CANAL E. LO PRIMERO QUE OFRECE EL ASESOR ES LA MARCA PRO PLAN?"/>
    <s v="SI"/>
    <d v="2025-03-22T00:00:00"/>
    <x v="15"/>
    <s v="NestleP.7"/>
    <x v="0"/>
    <x v="1"/>
    <n v="2.4"/>
    <s v="SI"/>
    <n v="2.4"/>
    <n v="0"/>
  </r>
  <r>
    <s v="NESTLE PURINA"/>
    <x v="0"/>
    <x v="1"/>
    <s v="AGRO/PSHOP/VET"/>
    <n v="191506"/>
    <x v="15"/>
    <s v="REALIZA CIERRE  CON FRASES &quot; DESEA LLEVARLO&quot; ,&quot;CUANTOS DESEARIA LLEVAR&quot; ,&quot; LE GUSTARIA ADQUIRIRLO&quot; , &quot; CUANTAS UNIDADES DESEA LLEVAR&quot; , &quot; LE GUSTARIA LLEVARLO EN PRESENTACIÓN HUMEDA O SECA&quot;"/>
    <s v="NO"/>
    <d v="2025-03-22T00:00:00"/>
    <x v="15"/>
    <s v="NestleP.7"/>
    <x v="0"/>
    <x v="5"/>
    <n v="7.5"/>
    <s v="SI"/>
    <n v="0"/>
    <n v="0"/>
  </r>
  <r>
    <s v="NESTLE PURINA"/>
    <x v="0"/>
    <x v="1"/>
    <s v="AGRO/PSHOP/VET"/>
    <n v="191506"/>
    <x v="15"/>
    <s v="QUE CANAL VA A REALIZAR"/>
    <s v=" CANAL ESPECIALIZADO"/>
    <d v="2025-03-22T00:00:00"/>
    <x v="15"/>
    <s v="NestleP.7"/>
    <x v="0"/>
    <x v="2"/>
    <n v="0"/>
    <n v="0"/>
    <n v="0"/>
    <n v="0"/>
  </r>
  <r>
    <s v="NESTLE PURINA"/>
    <x v="0"/>
    <x v="2"/>
    <s v="SUPERETE"/>
    <n v="29714"/>
    <x v="14"/>
    <s v="SU CABELLO LUCE LIMPIO, ORGANIZADO O RECOGIDO"/>
    <s v="SI"/>
    <d v="2025-03-22T00:00:00"/>
    <x v="14"/>
    <s v="NestleP.7"/>
    <x v="0"/>
    <x v="4"/>
    <n v="1.5"/>
    <s v="SI"/>
    <n v="1.5"/>
    <n v="0"/>
  </r>
  <r>
    <s v="NESTLE PURINA"/>
    <x v="0"/>
    <x v="2"/>
    <s v="SUPERETE"/>
    <n v="29714"/>
    <x v="14"/>
    <s v="TIENE TATUAJES O PIERCINGS VISIBLES QUE NO CUMPLE CON EL CODIGO DE VESTIMENTA"/>
    <s v="NO"/>
    <d v="2025-03-22T00:00:00"/>
    <x v="14"/>
    <s v="NestleP.7"/>
    <x v="0"/>
    <x v="4"/>
    <n v="1.5"/>
    <s v="NO"/>
    <n v="1.5"/>
    <n v="0"/>
  </r>
  <r>
    <s v="NESTLE PURINA"/>
    <x v="0"/>
    <x v="2"/>
    <s v="SUPERETE"/>
    <n v="29714"/>
    <x v="14"/>
    <s v="REALIZA CIERRE  CON FRASES &quot; DESEA LLEVARLO&quot; ,&quot;CUANTOS DESEARIA LLEVAR&quot; ,&quot; LE GUSTARIA ADQUIRIRLO&quot; , &quot; CUANTAS UNIDADES DESEA LLEVAR&quot; , &quot; LE GUSTARIA LLEVARLO EN PRESENTACIÓN HUMEDA O SECA&quot;"/>
    <s v="NO"/>
    <d v="2025-03-22T00:00:00"/>
    <x v="14"/>
    <s v="NestleP.7"/>
    <x v="0"/>
    <x v="5"/>
    <n v="7.5"/>
    <s v="SI"/>
    <n v="0"/>
    <n v="0"/>
  </r>
  <r>
    <s v="NESTLE PURINA"/>
    <x v="0"/>
    <x v="2"/>
    <s v="SUPERETE"/>
    <n v="29714"/>
    <x v="14"/>
    <s v="SE ENCUENTRA LIMPIA EL AREA DE DEMOSTRACION"/>
    <s v="SI"/>
    <d v="2025-03-22T00:00:00"/>
    <x v="14"/>
    <s v="NestleP.7"/>
    <x v="0"/>
    <x v="1"/>
    <n v="2"/>
    <s v="SI"/>
    <n v="2"/>
    <n v="0"/>
  </r>
  <r>
    <s v="NESTLE PURINA"/>
    <x v="0"/>
    <x v="2"/>
    <s v="SUPERETE"/>
    <n v="29714"/>
    <x v="14"/>
    <s v="RESUELVE LA OBJECION SATISFACTORIAMENTE"/>
    <s v="SI"/>
    <d v="2025-03-22T00:00:00"/>
    <x v="14"/>
    <s v="NestleP.7"/>
    <x v="0"/>
    <x v="1"/>
    <s v="4, 4"/>
    <s v="SI"/>
    <s v="4, 4"/>
    <n v="0"/>
  </r>
  <r>
    <s v="NESTLE PURINA"/>
    <x v="0"/>
    <x v="2"/>
    <s v="SUPERETE"/>
    <n v="29714"/>
    <x v="14"/>
    <s v="DE QUE TIPO ES LA OBJECION"/>
    <s v=" NO TIENE DINERO"/>
    <d v="2025-03-22T00:00:00"/>
    <x v="14"/>
    <s v="NestleP.7"/>
    <x v="0"/>
    <x v="2"/>
    <n v="0"/>
    <s v="SI"/>
    <n v="0"/>
    <n v="0"/>
  </r>
  <r>
    <s v="NESTLE PURINA"/>
    <x v="0"/>
    <x v="2"/>
    <s v="SUPERETE"/>
    <n v="29714"/>
    <x v="14"/>
    <s v="SE PRESENTARON OBJECIONES"/>
    <s v="SI"/>
    <d v="2025-03-22T00:00:00"/>
    <x v="14"/>
    <s v="NestleP.7"/>
    <x v="0"/>
    <x v="2"/>
    <n v="0"/>
    <s v="SI"/>
    <n v="0"/>
    <n v="0"/>
  </r>
  <r>
    <s v="NESTLE PURINA"/>
    <x v="0"/>
    <x v="2"/>
    <s v="SUPERETE"/>
    <n v="29714"/>
    <x v="14"/>
    <s v="M. EL ASESOR EXPLICA CON CLARIDAD LA DINAMICA DE PARTICIPACIÓN"/>
    <s v="NO"/>
    <d v="2025-03-22T00:00:00"/>
    <x v="14"/>
    <s v="NestleP.7"/>
    <x v="0"/>
    <x v="1"/>
    <n v="2.2000000000000002"/>
    <s v="SI"/>
    <n v="0"/>
    <n v="0"/>
  </r>
  <r>
    <s v="NESTLE PURINA"/>
    <x v="0"/>
    <x v="2"/>
    <s v="SUPERETE"/>
    <n v="29714"/>
    <x v="14"/>
    <s v="M. EL ASESOR COMUNICA SOBRE LA ACTIVIDAD &quot;HOY GANAS MAÑANA TAMBIEN&quot;"/>
    <s v="NO"/>
    <d v="2025-03-22T00:00:00"/>
    <x v="14"/>
    <s v="NestleP.7"/>
    <x v="0"/>
    <x v="1"/>
    <n v="2.2000000000000002"/>
    <s v="SI"/>
    <n v="0"/>
    <n v="0"/>
  </r>
  <r>
    <s v="NESTLE PURINA"/>
    <x v="0"/>
    <x v="2"/>
    <s v="SUPERETE"/>
    <n v="29714"/>
    <x v="14"/>
    <s v="M. AL PRESENTAR OBJECIÓN &quot;PRECIO MUY COSTOSO&quot;, EL ASESOR OFRECE LOS PRODUCTOS EN ORDEN DE SEGMENTACIÓN: P: PURINA ONE - DOG CHOW - ALPO G: PURINA ONE - CAT CHOW - FELIX - GATSY ( &quot;DICE AHORA ES MAS SABROSO&quot;)"/>
    <s v="NO"/>
    <d v="2025-03-22T00:00:00"/>
    <x v="14"/>
    <s v="NestleP.7"/>
    <x v="0"/>
    <x v="1"/>
    <n v="2.2000000000000002"/>
    <s v="SI"/>
    <n v="0"/>
    <n v="0"/>
  </r>
  <r>
    <s v="NESTLE PURINA"/>
    <x v="0"/>
    <x v="2"/>
    <s v="SUPERETE"/>
    <n v="29714"/>
    <x v="14"/>
    <s v="PRESENTA EXCESO DE MAQUILLAJE QUE NO CUMPLE CON EL CODIGO DE VESTIMENTA"/>
    <s v="NO"/>
    <d v="2025-03-22T00:00:00"/>
    <x v="14"/>
    <s v="NestleP.7"/>
    <x v="0"/>
    <x v="4"/>
    <n v="1.5"/>
    <s v="NO"/>
    <n v="1.5"/>
    <n v="0"/>
  </r>
  <r>
    <s v="NESTLE PURINA"/>
    <x v="0"/>
    <x v="2"/>
    <s v="SUPERETE"/>
    <n v="29714"/>
    <x v="14"/>
    <s v="M. MANEJA LA OBJECION DE ALTO PRECIO, COMUNICANDO LA BAJA DE PRECIOS DE LAS MARCAS O LAS OFERTAS DISPONIBLES EN EL PUNTO DE VENTA."/>
    <s v="NO"/>
    <d v="2025-03-22T00:00:00"/>
    <x v="14"/>
    <s v="NestleP.7"/>
    <x v="0"/>
    <x v="1"/>
    <n v="2.2000000000000002"/>
    <s v="SI"/>
    <n v="0"/>
    <n v="0"/>
  </r>
  <r>
    <s v="NESTLE PURINA"/>
    <x v="0"/>
    <x v="2"/>
    <s v="SUPERETE"/>
    <n v="29714"/>
    <x v="14"/>
    <s v="M. MENCIONA QUE TIENE CARNE DE VERDAD COMO INGREDIENTE NO.1 E INGREDIENTES NATURALES Y FUNCIONALES?"/>
    <s v="NO"/>
    <d v="2025-03-22T00:00:00"/>
    <x v="14"/>
    <s v="NestleP.7"/>
    <x v="0"/>
    <x v="1"/>
    <n v="2.2000000000000002"/>
    <s v="SI"/>
    <n v="0"/>
    <n v="0"/>
  </r>
  <r>
    <s v="NESTLE PURINA"/>
    <x v="0"/>
    <x v="2"/>
    <s v="SUPERETE"/>
    <n v="29714"/>
    <x v="14"/>
    <s v="M. MENCIONA QUE LOS RESULTADOS DE PURINA ONE SON VISIBLES EN 28 DIAS?"/>
    <s v="NO"/>
    <d v="2025-03-22T00:00:00"/>
    <x v="14"/>
    <s v="NestleP.7"/>
    <x v="0"/>
    <x v="1"/>
    <n v="2.2000000000000002"/>
    <s v="SI"/>
    <n v="0"/>
    <n v="0"/>
  </r>
  <r>
    <s v="NESTLE PURINA"/>
    <x v="0"/>
    <x v="2"/>
    <s v="SUPERETE"/>
    <n v="29714"/>
    <x v="14"/>
    <s v="M. OFRECE PURINA ONE: (APLICA SOLO EN CANAL MODERNO, CADENAS, SI EL PRODUCTO ESTA EN EL PDV)"/>
    <s v="NO"/>
    <d v="2025-03-22T00:00:00"/>
    <x v="14"/>
    <s v="NestleP.7"/>
    <x v="0"/>
    <x v="1"/>
    <n v="2.2000000000000002"/>
    <s v="SI"/>
    <n v="0"/>
    <n v="0"/>
  </r>
  <r>
    <s v="NESTLE PURINA"/>
    <x v="0"/>
    <x v="2"/>
    <s v="SUPERETE"/>
    <n v="29714"/>
    <x v="14"/>
    <s v="QUE CANAL VA A REALIZAR"/>
    <s v="CANAL MODERNO"/>
    <d v="2025-03-22T00:00:00"/>
    <x v="14"/>
    <s v="NestleP.7"/>
    <x v="0"/>
    <x v="2"/>
    <n v="0"/>
    <n v="0"/>
    <n v="0"/>
    <n v="0"/>
  </r>
  <r>
    <s v="NESTLE PURINA"/>
    <x v="0"/>
    <x v="2"/>
    <s v="SUPERETE"/>
    <n v="29714"/>
    <x v="14"/>
    <s v="OFRECIO ALGUN PRODUCTO DEL PORTAFOLIO PURINA DE PRODUCTOS SECOS COMUNICANDO LOS BENEFICIOS DEL PRODUCTO"/>
    <s v="SI"/>
    <d v="2025-03-22T00:00:00"/>
    <x v="14"/>
    <s v="NestleP.7"/>
    <x v="0"/>
    <x v="1"/>
    <n v="3"/>
    <s v="SI"/>
    <n v="3"/>
    <n v="0"/>
  </r>
  <r>
    <s v="NESTLE PURINA"/>
    <x v="0"/>
    <x v="2"/>
    <s v="SUPERETE"/>
    <n v="29714"/>
    <x v="14"/>
    <s v="SE PRODUCE ABORDO PROACTIVO (ANTES DE LOS 3 MIN)"/>
    <s v="SI"/>
    <d v="2025-03-22T00:00:00"/>
    <x v="14"/>
    <s v="NestleP.7"/>
    <x v="0"/>
    <x v="3"/>
    <n v="20"/>
    <s v="SI"/>
    <n v="20"/>
    <n v="0"/>
  </r>
  <r>
    <s v="NESTLE PURINA"/>
    <x v="0"/>
    <x v="2"/>
    <s v="SUPERETE"/>
    <n v="29714"/>
    <x v="14"/>
    <s v="USA ACCESORIOS QUE NO CUMPLE CON EL CODIGO DE VESTIMENTA"/>
    <s v="NO"/>
    <d v="2025-03-22T00:00:00"/>
    <x v="14"/>
    <s v="NestleP.7"/>
    <x v="0"/>
    <x v="4"/>
    <n v="1.5"/>
    <s v="NO"/>
    <n v="1.5"/>
    <n v="0"/>
  </r>
  <r>
    <s v="NESTLE PURINA"/>
    <x v="0"/>
    <x v="2"/>
    <s v="SUPERETE"/>
    <n v="29714"/>
    <x v="14"/>
    <s v="TIENE UÑAS LLAMATIVAS Y/O LARGAS QUE NO CUMPLE CON EL CODIGO DE VESTIMENTA"/>
    <s v="NO"/>
    <d v="2025-03-22T00:00:00"/>
    <x v="14"/>
    <s v="NestleP.7"/>
    <x v="0"/>
    <x v="4"/>
    <n v="1.5"/>
    <s v="NO"/>
    <n v="1.5"/>
    <n v="0"/>
  </r>
  <r>
    <s v="NESTLE PURINA"/>
    <x v="0"/>
    <x v="2"/>
    <s v="SUPERETE"/>
    <n v="29714"/>
    <x v="14"/>
    <s v="M. MENCIONA QUE PURINA ONE CUENTA CON ALIMENTO HUMEDO Y MENCIONA LAS 3 VARIADADES  ( SUPER FOODS, SUPER NUTRIENTES Y MULTI PROTEINAS);PERRO Y GATO"/>
    <s v="NO"/>
    <d v="2025-03-22T00:00:00"/>
    <x v="14"/>
    <s v="NestleP.7"/>
    <x v="0"/>
    <x v="1"/>
    <n v="2.2000000000000002"/>
    <s v="SI"/>
    <n v="0"/>
    <n v="0"/>
  </r>
  <r>
    <s v="NESTLE PURINA"/>
    <x v="0"/>
    <x v="1"/>
    <s v="AGRO/PSHOP/VET"/>
    <n v="191506"/>
    <x v="15"/>
    <s v="OFRECIO ALGUN PRODUCTO DEL PORTAFOLIO PURINA DE PRODUCTOS HUMEDOS, SNACK U OTROS COMUNICANDO LOS BENEFICIOS DEL PRODUCTO"/>
    <s v=" NINGUNO"/>
    <d v="2025-03-22T00:00:00"/>
    <x v="15"/>
    <s v="NestleP.7"/>
    <x v="0"/>
    <x v="1"/>
    <n v="3"/>
    <s v="SI"/>
    <n v="0"/>
    <n v="0"/>
  </r>
  <r>
    <s v="NESTLE PURINA"/>
    <x v="0"/>
    <x v="1"/>
    <s v="AGRO/PSHOP/VET"/>
    <n v="191506"/>
    <x v="15"/>
    <s v="OFRECIO ALGUN PRODUCTO DEL PORTAFOLIO PURINA DE PRODUCTOS SECOS COMUNICANDO LOS BENEFICIOS DEL PRODUCTO"/>
    <s v="SI"/>
    <d v="2025-03-22T00:00:00"/>
    <x v="15"/>
    <s v="NestleP.7"/>
    <x v="0"/>
    <x v="1"/>
    <n v="3"/>
    <s v="SI"/>
    <n v="3"/>
    <n v="0"/>
  </r>
  <r>
    <s v="NESTLE PURINA"/>
    <x v="0"/>
    <x v="1"/>
    <s v="AGRO/PSHOP/VET"/>
    <n v="191506"/>
    <x v="15"/>
    <s v="SE PRODUCE ABORDO PROACTIVO (ANTES DE LOS 3 MIN)"/>
    <s v="SI"/>
    <d v="2025-03-22T00:00:00"/>
    <x v="15"/>
    <s v="NestleP.7"/>
    <x v="0"/>
    <x v="3"/>
    <n v="20"/>
    <s v="SI"/>
    <n v="20"/>
    <n v="0"/>
  </r>
  <r>
    <s v="NESTLE PURINA"/>
    <x v="0"/>
    <x v="1"/>
    <s v="AGRO/PSHOP/VET"/>
    <n v="191506"/>
    <x v="15"/>
    <s v="USA ACCESORIOS QUE NO CUMPLE CON EL CODIGO DE VESTIMENTA"/>
    <s v="NO"/>
    <d v="2025-03-22T00:00:00"/>
    <x v="15"/>
    <s v="NestleP.7"/>
    <x v="0"/>
    <x v="4"/>
    <n v="1.5"/>
    <s v="NO"/>
    <n v="1.5"/>
    <n v="0"/>
  </r>
  <r>
    <s v="NESTLE PURINA"/>
    <x v="0"/>
    <x v="1"/>
    <s v="AGRO/PSHOP/VET"/>
    <n v="191506"/>
    <x v="15"/>
    <s v="TIENE UÑAS LLAMATIVAS Y/O LARGAS QUE NO CUMPLE CON EL CODIGO DE VESTIMENTA"/>
    <s v="NO"/>
    <d v="2025-03-22T00:00:00"/>
    <x v="15"/>
    <s v="NestleP.7"/>
    <x v="0"/>
    <x v="4"/>
    <n v="1.5"/>
    <s v="NO"/>
    <n v="1.5"/>
    <n v="0"/>
  </r>
  <r>
    <s v="NESTLE PURINA"/>
    <x v="0"/>
    <x v="1"/>
    <s v="AGRO/PSHOP/VET"/>
    <n v="191506"/>
    <x v="15"/>
    <s v="TIENE TATUAJES O PIERCINGS VISIBLES QUE NO CUMPLE CON EL CODIGO DE VESTIMENTA"/>
    <s v="NO"/>
    <d v="2025-03-22T00:00:00"/>
    <x v="15"/>
    <s v="NestleP.7"/>
    <x v="0"/>
    <x v="4"/>
    <n v="1.5"/>
    <s v="NO"/>
    <n v="1.5"/>
    <n v="0"/>
  </r>
  <r>
    <s v="NESTLE PURINA"/>
    <x v="0"/>
    <x v="1"/>
    <s v="AGRO/PSHOP/VET"/>
    <n v="191506"/>
    <x v="15"/>
    <s v="PRESENTA EXCESO DE MAQUILLAJE QUE NO CUMPLE CON EL CODIGO DE VESTIMENTA"/>
    <s v="NO"/>
    <d v="2025-03-22T00:00:00"/>
    <x v="15"/>
    <s v="NestleP.7"/>
    <x v="0"/>
    <x v="4"/>
    <n v="1.5"/>
    <s v="NO"/>
    <n v="1.5"/>
    <n v="0"/>
  </r>
  <r>
    <s v="NESTLE PURINA"/>
    <x v="0"/>
    <x v="1"/>
    <s v="AGRO/PSHOP/VET"/>
    <n v="191506"/>
    <x v="15"/>
    <s v="SU CABELLO LUCE LIMPIO, ORGANIZADO O RECOGIDO"/>
    <s v="SI"/>
    <d v="2025-03-22T00:00:00"/>
    <x v="15"/>
    <s v="NestleP.7"/>
    <x v="0"/>
    <x v="4"/>
    <n v="1.5"/>
    <s v="SI"/>
    <n v="1.5"/>
    <n v="0"/>
  </r>
  <r>
    <s v="NESTLE PURINA"/>
    <x v="0"/>
    <x v="1"/>
    <s v="AGRO/PSHOP/VET"/>
    <n v="191506"/>
    <x v="15"/>
    <s v="EL UNIFORME Y ZAPATOS SE ENCUENTRAN LIMPIOS Y EN BUEN ESTADO"/>
    <s v="SI"/>
    <d v="2025-03-22T00:00:00"/>
    <x v="15"/>
    <s v="NestleP.7"/>
    <x v="0"/>
    <x v="4"/>
    <n v="1.5"/>
    <s v="SI"/>
    <n v="1.5"/>
    <n v="0"/>
  </r>
  <r>
    <s v="NESTLE PURINA"/>
    <x v="0"/>
    <x v="1"/>
    <s v="AGRO/PSHOP/VET"/>
    <n v="191506"/>
    <x v="15"/>
    <s v="POSEE ALGUNA PRENDA ENCIMA DEL UNIFORME NO AUTORIZADA POR LA MARCA (SOLO PERMITIDO CHALECO DE SODIMAC Y EASY)"/>
    <s v="NO"/>
    <d v="2025-03-22T00:00:00"/>
    <x v="15"/>
    <s v="NestleP.7"/>
    <x v="0"/>
    <x v="4"/>
    <n v="1.5"/>
    <s v="NO"/>
    <n v="1.5"/>
    <n v="0"/>
  </r>
  <r>
    <s v="NESTLE PURINA"/>
    <x v="0"/>
    <x v="1"/>
    <s v="AGRO/PSHOP/VET"/>
    <n v="191506"/>
    <x v="15"/>
    <s v="CUENTA CON CALZADO DE ACUERDO AL UNIFORME"/>
    <s v="SI"/>
    <d v="2025-03-22T00:00:00"/>
    <x v="15"/>
    <s v="NestleP.7"/>
    <x v="0"/>
    <x v="4"/>
    <n v="1.5"/>
    <s v="SI"/>
    <n v="1.5"/>
    <n v="0"/>
  </r>
  <r>
    <s v="NESTLE PURINA"/>
    <x v="0"/>
    <x v="1"/>
    <s v="AGRO/PSHOP/VET"/>
    <n v="191506"/>
    <x v="15"/>
    <s v="CUENTA CON PANTALON DEL UNIFORME SEGUN EL CARGO (NEGRO / ROJO / TURQUESA / JEAN)"/>
    <s v="SI"/>
    <d v="2025-03-22T00:00:00"/>
    <x v="15"/>
    <s v="NestleP.7"/>
    <x v="0"/>
    <x v="4"/>
    <n v="1.5"/>
    <s v="SI"/>
    <n v="1.5"/>
    <n v="0"/>
  </r>
  <r>
    <s v="NESTLE PURINA"/>
    <x v="0"/>
    <x v="1"/>
    <s v="AGRO/PSHOP/VET"/>
    <n v="191506"/>
    <x v="15"/>
    <s v="¿CUMPLE HORARIO DE ENTRADA O SALIDA DE LA TIENDA?"/>
    <s v="SI"/>
    <d v="2025-03-22T00:00:00"/>
    <x v="15"/>
    <s v="NestleP.7"/>
    <x v="0"/>
    <x v="0"/>
    <n v="20"/>
    <s v="SI"/>
    <n v="20"/>
    <n v="0"/>
  </r>
  <r>
    <s v="NESTLE PURINA"/>
    <x v="0"/>
    <x v="1"/>
    <s v="AGRO/PSHOP/VET"/>
    <n v="191506"/>
    <x v="15"/>
    <s v="CUENTA CON CAMISA DEL UNIFORME Y LOGOS SEGÚN EL CARGO (NEGRA / GRIS / ROJA / TURQUESA) (PERMITIDO USAR DEBAJO DE CAMISA BUSO MANGA LARGA NEGRO)"/>
    <s v="SI"/>
    <d v="2025-03-22T00:00:00"/>
    <x v="15"/>
    <s v="NestleP.7"/>
    <x v="0"/>
    <x v="4"/>
    <n v="1.5"/>
    <s v="SI"/>
    <n v="1.5"/>
    <n v="0"/>
  </r>
  <r>
    <s v="NESTLE PURINA"/>
    <x v="0"/>
    <x v="2"/>
    <s v="SUPERETE"/>
    <n v="29714"/>
    <x v="14"/>
    <s v="CONSIDERO QUE INDEPENDIENTEMENTE DEL SPEECH, LA LABOR DE VENTA ES BUENA"/>
    <s v="SI"/>
    <d v="2025-03-22T00:00:00"/>
    <x v="14"/>
    <s v="NestleP.7"/>
    <x v="0"/>
    <x v="5"/>
    <n v="7.5"/>
    <s v="SI"/>
    <n v="7.5"/>
    <n v="0"/>
  </r>
  <r>
    <s v="NESTLE PURINA"/>
    <x v="0"/>
    <x v="2"/>
    <s v="SUPERETE"/>
    <n v="29714"/>
    <x v="14"/>
    <s v="PRESENTA ALGUNA NOVEDAD?"/>
    <s v="NO"/>
    <d v="2025-03-22T00:00:00"/>
    <x v="14"/>
    <s v="NestleP.7"/>
    <x v="0"/>
    <x v="2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SPECIALIZADO"/>
    <x v="0"/>
    <n v="424883"/>
    <s v="CLINICA VETERINARIA DON PERRO BARRANQUILLA"/>
    <n v="1"/>
    <n v="1"/>
    <n v="1"/>
    <n v="1"/>
    <n v="0"/>
  </r>
  <r>
    <s v="ESPECIALIZADO"/>
    <x v="1"/>
    <n v="109096"/>
    <s v="PLAZA PETS S.A.S."/>
    <n v="1"/>
    <n v="1"/>
    <n v="1"/>
    <n v="1"/>
    <n v="1"/>
  </r>
  <r>
    <s v="ESPECIALIZADO"/>
    <x v="1"/>
    <n v="125788"/>
    <s v="PUPPIS CALLE 85"/>
    <n v="1"/>
    <n v="1"/>
    <n v="1"/>
    <n v="1"/>
    <n v="0"/>
  </r>
  <r>
    <s v="ESPECIALIZADO"/>
    <x v="1"/>
    <n v="180619"/>
    <s v="PUPPIS CALIMA"/>
    <n v="1"/>
    <n v="1"/>
    <n v="1"/>
    <n v="1"/>
    <n v="0"/>
  </r>
  <r>
    <s v="ESPECIALIZADO"/>
    <x v="1"/>
    <n v="180621"/>
    <s v="PUPPIS CARRERA 15"/>
    <n v="1"/>
    <n v="1"/>
    <n v="1"/>
    <n v="1"/>
    <n v="1"/>
  </r>
  <r>
    <s v="ESPECIALIZADO"/>
    <x v="1"/>
    <n v="188203"/>
    <s v="CONCENTRADOS EL RANCHO LTDA DROGUERIA VETERINARIA"/>
    <n v="1"/>
    <n v="1"/>
    <n v="1"/>
    <n v="1"/>
    <n v="1"/>
  </r>
  <r>
    <s v="ESPECIALIZADO"/>
    <x v="1"/>
    <n v="424858"/>
    <s v="AGROCAMPO S.A.S."/>
    <n v="1"/>
    <n v="1"/>
    <n v="1"/>
    <n v="1"/>
    <n v="1"/>
  </r>
  <r>
    <s v="MODERNO"/>
    <x v="1"/>
    <n v="12390"/>
    <s v="EXITO COUNTRY"/>
    <n v="1"/>
    <n v="1"/>
    <n v="1"/>
    <n v="1"/>
    <n v="0"/>
  </r>
  <r>
    <s v="MODERNO"/>
    <x v="1"/>
    <n v="424893"/>
    <s v="HOMECENTER CALLE 80 CR 68"/>
    <n v="1"/>
    <n v="1"/>
    <n v="1"/>
    <n v="1"/>
    <n v="1"/>
  </r>
  <r>
    <s v="MODERNO"/>
    <x v="1"/>
    <n v="105381"/>
    <s v="HOMECENTER AUTOPISTA NORTE BOGOTA"/>
    <n v="1"/>
    <n v="1"/>
    <n v="1"/>
    <n v="1"/>
    <n v="1"/>
  </r>
  <r>
    <s v="ESPECIALIZADO"/>
    <x v="2"/>
    <n v="191506"/>
    <s v="DEGANADO NORTE"/>
    <n v="1"/>
    <n v="1"/>
    <n v="1"/>
    <n v="1"/>
    <n v="1"/>
  </r>
  <r>
    <s v="ESPECIALIZADO"/>
    <x v="2"/>
    <n v="356594"/>
    <s v="SUPERMASCOTAS CIUDAD JARDIN"/>
    <n v="1"/>
    <n v="1"/>
    <n v="1"/>
    <n v="1"/>
    <n v="1"/>
  </r>
  <r>
    <s v="MODERNO"/>
    <x v="2"/>
    <n v="29714"/>
    <s v="MERCAMIO CALLE 5"/>
    <n v="1"/>
    <n v="1"/>
    <n v="1"/>
    <n v="1"/>
    <n v="1"/>
  </r>
  <r>
    <s v="TRADICIONAL"/>
    <x v="2"/>
    <n v="66552"/>
    <s v="LA CASA DE LOS TENDEROS"/>
    <n v="1"/>
    <n v="1"/>
    <n v="1"/>
    <n v="1"/>
    <n v="1"/>
  </r>
  <r>
    <s v="ESPECIALIZADO"/>
    <x v="3"/>
    <n v="424842"/>
    <s v="MUNDIAL DE GRANOS Y PANELAS S.A.S."/>
    <n v="1"/>
    <n v="1"/>
    <n v="1"/>
    <n v="1"/>
    <n v="1"/>
  </r>
  <r>
    <s v="MODERNO"/>
    <x v="3"/>
    <n v="12130"/>
    <s v="EXITO LAURELES."/>
    <n v="1"/>
    <n v="1"/>
    <n v="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2861-8B4F-4AB1-8DB9-3577766F9B6D}" name="TablaDinámica14" cacheId="2" applyNumberFormats="0" applyBorderFormats="0" applyFontFormats="0" applyPatternFormats="0" applyAlignmentFormats="0" applyWidthHeightFormats="1" dataCaption="Valores" grandTotalCaption="%" showError="1" updatedVersion="8" minRefreshableVersion="3" itemPrintTitles="1" createdVersion="8" indent="0" compact="0" compactData="0" multipleFieldFilters="0">
  <location ref="D38:L51" firstHeaderRow="1" firstDataRow="2" firstDataCol="3" rowPageCount="1" colPageCount="1"/>
  <pivotFields count="18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0"/>
        <item m="1" x="7"/>
        <item m="1" x="6"/>
        <item x="3"/>
        <item x="1"/>
        <item m="1" x="5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m="1"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>
      <items count="68">
        <item m="1" x="50"/>
        <item m="1" x="58"/>
        <item m="1" x="52"/>
        <item m="1" x="55"/>
        <item m="1" x="62"/>
        <item m="1" x="65"/>
        <item m="1" x="57"/>
        <item m="1" x="60"/>
        <item m="1" x="61"/>
        <item m="1" x="59"/>
        <item m="1" x="56"/>
        <item m="1" x="63"/>
        <item m="1" x="66"/>
        <item m="1" x="64"/>
        <item m="1" x="53"/>
        <item m="1" x="48"/>
        <item m="1" x="51"/>
        <item m="1" x="49"/>
        <item m="1" x="31"/>
        <item m="1" x="54"/>
        <item m="1" x="47"/>
        <item m="1" x="45"/>
        <item m="1" x="46"/>
        <item m="1" x="44"/>
        <item x="0"/>
        <item m="1" x="36"/>
        <item m="1" x="37"/>
        <item m="1" x="38"/>
        <item m="1" x="39"/>
        <item m="1" x="40"/>
        <item m="1" x="41"/>
        <item m="1" x="42"/>
        <item m="1" x="43"/>
        <item m="1" x="32"/>
        <item m="1" x="24"/>
        <item m="1" x="25"/>
        <item m="1" x="26"/>
        <item m="1" x="27"/>
        <item m="1" x="28"/>
        <item m="1" x="33"/>
        <item m="1" x="29"/>
        <item m="1" x="34"/>
        <item m="1" x="35"/>
        <item m="1" x="30"/>
        <item m="1" x="17"/>
        <item m="1" x="21"/>
        <item m="1" x="20"/>
        <item m="1" x="19"/>
        <item m="1" x="23"/>
        <item m="1" x="22"/>
        <item m="1" x="18"/>
        <item x="6"/>
        <item x="4"/>
        <item x="2"/>
        <item x="9"/>
        <item x="8"/>
        <item x="10"/>
        <item x="3"/>
        <item x="1"/>
        <item m="1" x="16"/>
        <item x="5"/>
        <item x="7"/>
        <item x="11"/>
        <item x="15"/>
        <item x="13"/>
        <item x="14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m="1"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8">
        <item m="1" x="6"/>
        <item x="3"/>
        <item x="0"/>
        <item x="5"/>
        <item h="1" x="2"/>
        <item x="1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12">
    <i>
      <x/>
      <x v="1"/>
      <x v="54"/>
    </i>
    <i r="2">
      <x v="51"/>
    </i>
    <i r="2">
      <x v="53"/>
    </i>
    <i r="2">
      <x v="55"/>
    </i>
    <i r="1">
      <x v="2"/>
      <x v="57"/>
    </i>
    <i r="2">
      <x v="62"/>
    </i>
    <i>
      <x v="1"/>
      <x v="1"/>
      <x v="60"/>
    </i>
    <i r="2">
      <x v="63"/>
    </i>
    <i r="1">
      <x v="2"/>
      <x v="65"/>
    </i>
    <i r="1">
      <x v="3"/>
      <x v="24"/>
    </i>
    <i>
      <x v="4"/>
      <x v="1"/>
      <x v="64"/>
    </i>
    <i t="grand">
      <x/>
    </i>
  </rowItems>
  <colFields count="1">
    <field x="12"/>
  </colFields>
  <colItems count="6">
    <i>
      <x v="1"/>
    </i>
    <i>
      <x v="2"/>
    </i>
    <i>
      <x v="3"/>
    </i>
    <i>
      <x v="5"/>
    </i>
    <i>
      <x v="6"/>
    </i>
    <i t="grand">
      <x/>
    </i>
  </colItems>
  <pageFields count="1">
    <pageField fld="11" hier="-1"/>
  </pageFields>
  <dataFields count="1">
    <dataField name="Suma de % MYSTERY" fld="17" baseField="0" baseItem="0" numFmtId="9"/>
  </dataFields>
  <formats count="42">
    <format dxfId="155">
      <pivotArea outline="0" collapsedLevelsAreSubtotals="1" fieldPosition="0"/>
    </format>
    <format dxfId="154">
      <pivotArea outline="0" collapsedLevelsAreSubtotals="1" fieldPosition="0"/>
    </format>
    <format dxfId="153">
      <pivotArea dataOnly="0" labelOnly="1" grandCol="1" outline="0" fieldPosition="0"/>
    </format>
    <format dxfId="152">
      <pivotArea outline="0" collapsedLevelsAreSubtotals="1" fieldPosition="0"/>
    </format>
    <format dxfId="151">
      <pivotArea dataOnly="0" labelOnly="1" grandCol="1" outline="0" fieldPosition="0"/>
    </format>
    <format dxfId="150">
      <pivotArea grandRow="1" outline="0" collapsedLevelsAreSubtotals="1" fieldPosition="0"/>
    </format>
    <format dxfId="149">
      <pivotArea grandRow="1" outline="0" collapsedLevelsAreSubtotals="1" fieldPosition="0"/>
    </format>
    <format dxfId="148">
      <pivotArea dataOnly="0" labelOnly="1" grandCol="1" outline="0" fieldPosition="0"/>
    </format>
    <format dxfId="147">
      <pivotArea grandRow="1" grandCol="1" outline="0" collapsedLevelsAreSubtotals="1" fieldPosition="0"/>
    </format>
    <format dxfId="146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45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44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43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42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41">
      <pivotArea field="1" type="button" dataOnly="0" labelOnly="1" outline="0" axis="axisRow" fieldPosition="0"/>
    </format>
    <format dxfId="140">
      <pivotArea field="5" type="button" dataOnly="0" labelOnly="1" outline="0" axis="axisRow" fieldPosition="2"/>
    </format>
    <format dxfId="139">
      <pivotArea dataOnly="0" labelOnly="1" outline="0" fieldPosition="0">
        <references count="1">
          <reference field="12" count="0"/>
        </references>
      </pivotArea>
    </format>
    <format dxfId="138">
      <pivotArea dataOnly="0" labelOnly="1" grandCol="1" outline="0" fieldPosition="0"/>
    </format>
    <format dxfId="137">
      <pivotArea field="1" type="button" dataOnly="0" labelOnly="1" outline="0" axis="axisRow" fieldPosition="0"/>
    </format>
    <format dxfId="136">
      <pivotArea field="5" type="button" dataOnly="0" labelOnly="1" outline="0" axis="axisRow" fieldPosition="2"/>
    </format>
    <format dxfId="135">
      <pivotArea dataOnly="0" labelOnly="1" outline="0" fieldPosition="0">
        <references count="1">
          <reference field="12" count="0"/>
        </references>
      </pivotArea>
    </format>
    <format dxfId="134">
      <pivotArea dataOnly="0" labelOnly="1" grandCol="1" outline="0" fieldPosition="0"/>
    </format>
    <format dxfId="133">
      <pivotArea field="2" type="button" dataOnly="0" labelOnly="1" outline="0" axis="axisRow" fieldPosition="1"/>
    </format>
    <format dxfId="132">
      <pivotArea field="1" type="button" dataOnly="0" labelOnly="1" outline="0" axis="axisRow" fieldPosition="0"/>
    </format>
    <format dxfId="131">
      <pivotArea field="2" type="button" dataOnly="0" labelOnly="1" outline="0" axis="axisRow" fieldPosition="1"/>
    </format>
    <format dxfId="130">
      <pivotArea field="5" type="button" dataOnly="0" labelOnly="1" outline="0" axis="axisRow" fieldPosition="2"/>
    </format>
    <format dxfId="129">
      <pivotArea dataOnly="0" labelOnly="1" outline="0" fieldPosition="0">
        <references count="1">
          <reference field="12" count="0"/>
        </references>
      </pivotArea>
    </format>
    <format dxfId="128">
      <pivotArea dataOnly="0" labelOnly="1" grandCol="1" outline="0" fieldPosition="0"/>
    </format>
    <format dxfId="127">
      <pivotArea field="1" type="button" dataOnly="0" labelOnly="1" outline="0" axis="axisRow" fieldPosition="0"/>
    </format>
    <format dxfId="126">
      <pivotArea field="2" type="button" dataOnly="0" labelOnly="1" outline="0" axis="axisRow" fieldPosition="1"/>
    </format>
    <format dxfId="125">
      <pivotArea field="5" type="button" dataOnly="0" labelOnly="1" outline="0" axis="axisRow" fieldPosition="2"/>
    </format>
    <format dxfId="124">
      <pivotArea dataOnly="0" labelOnly="1" outline="0" fieldPosition="0">
        <references count="1">
          <reference field="12" count="0"/>
        </references>
      </pivotArea>
    </format>
    <format dxfId="123">
      <pivotArea field="12" grandRow="1" outline="0" axis="axisCol" fieldPosition="0">
        <references count="1">
          <reference field="12" count="0" selected="0"/>
        </references>
      </pivotArea>
    </format>
    <format dxfId="122">
      <pivotArea field="12" grandRow="1" outline="0" axis="axisCol" fieldPosition="0">
        <references count="1">
          <reference field="12" count="0" selected="0"/>
        </references>
      </pivotArea>
    </format>
    <format dxfId="121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20">
      <pivotArea dataOnly="0" labelOnly="1" grandRow="1" outline="0" fieldPosition="0"/>
    </format>
    <format dxfId="119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18">
      <pivotArea dataOnly="0" labelOnly="1" grandRow="1" outline="0" fieldPosition="0"/>
    </format>
    <format dxfId="117">
      <pivotArea field="12" grandRow="1" outline="0" axis="axisCol" fieldPosition="0">
        <references count="1">
          <reference field="12" count="1" selected="0">
            <x v="2"/>
          </reference>
        </references>
      </pivotArea>
    </format>
    <format dxfId="116">
      <pivotArea field="11" type="button" dataOnly="0" labelOnly="1" outline="0" axis="axisPage" fieldPosition="0"/>
    </format>
    <format dxfId="115">
      <pivotArea field="12" grandRow="1" outline="0" axis="axisCol" fieldPosition="0">
        <references count="1">
          <reference field="12" count="1" selected="0">
            <x v="2"/>
          </reference>
        </references>
      </pivotArea>
    </format>
    <format dxfId="114">
      <pivotArea field="11" type="button" dataOnly="0" labelOnly="1" outline="0" axis="axisPage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5">
          <x14:conditionalFormat priority="6" id="{FD626CE3-A592-4F7E-9AD8-BB7A469CF452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2" count="1" selected="0">
                    <x v="5"/>
                  </reference>
                </references>
              </pivotArea>
            </x14:pivotAreas>
          </x14:conditionalFormat>
          <x14:conditionalFormat priority="8" id="{FC44E266-5A9E-47D1-BE9B-C107776E6837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2" count="1" selected="0">
                    <x v="3"/>
                  </reference>
                </references>
              </pivotArea>
            </x14:pivotAreas>
          </x14:conditionalFormat>
          <x14:conditionalFormat priority="9" id="{A67177D7-8139-4776-9502-EFD0E47D9F35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2" count="1" selected="0">
                    <x v="1"/>
                  </reference>
                </references>
              </pivotArea>
            </x14:pivotAreas>
          </x14:conditionalFormat>
          <x14:conditionalFormat priority="17" id="{A0A93A74-37F7-4237-8BAF-9957A71F19CC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2" count="1" selected="0">
                    <x v="2"/>
                  </reference>
                </references>
              </pivotArea>
            </x14:pivotAreas>
          </x14:conditionalFormat>
          <x14:conditionalFormat priority="35" id="{48ED08B5-7184-45CB-BEC6-1BAE2D117044}">
            <x14:pivotAreas count="2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2" count="1" selected="0">
                    <x v="6"/>
                  </reference>
                </references>
              </pivotArea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DB93-6B46-4C1C-881B-037C4912781B}" name="TablaDinámica12" cacheId="2" applyNumberFormats="0" applyBorderFormats="0" applyFontFormats="0" applyPatternFormats="0" applyAlignmentFormats="0" applyWidthHeightFormats="1" dataCaption="Valores" grandTotalCaption="%" errorCaption="0" showError="1" updatedVersion="8" minRefreshableVersion="3" itemPrintTitles="1" createdVersion="8" indent="0" outline="1" outlineData="1" multipleFieldFilters="0" chartFormat="1" rowHeaderCaption="CLUSTER">
  <location ref="D27:H34" firstHeaderRow="1" firstDataRow="2" firstDataCol="1"/>
  <pivotFields count="18">
    <pivotField showAll="0"/>
    <pivotField axis="axisCol" showAll="0">
      <items count="9">
        <item x="2"/>
        <item x="0"/>
        <item m="1" x="7"/>
        <item m="1" x="6"/>
        <item x="3"/>
        <item x="1"/>
        <item m="1" x="5"/>
        <item m="1" x="4"/>
        <item t="default"/>
      </items>
    </pivotField>
    <pivotField showAll="0">
      <items count="5">
        <item m="1" x="3"/>
        <item x="1"/>
        <item x="2"/>
        <item x="0"/>
        <item t="default"/>
      </items>
    </pivotField>
    <pivotField showAll="0"/>
    <pivotField showAll="0"/>
    <pivotField showAll="0">
      <items count="68">
        <item m="1" x="40"/>
        <item m="1" x="39"/>
        <item m="1" x="30"/>
        <item m="1" x="38"/>
        <item m="1" x="37"/>
        <item m="1" x="33"/>
        <item m="1" x="29"/>
        <item m="1" x="41"/>
        <item m="1" x="42"/>
        <item m="1" x="35"/>
        <item m="1" x="34"/>
        <item m="1" x="28"/>
        <item m="1" x="27"/>
        <item m="1" x="43"/>
        <item x="2"/>
        <item m="1" x="22"/>
        <item m="1" x="20"/>
        <item m="1" x="50"/>
        <item m="1" x="44"/>
        <item m="1" x="47"/>
        <item m="1" x="46"/>
        <item m="1" x="25"/>
        <item m="1" x="58"/>
        <item m="1" x="26"/>
        <item m="1" x="45"/>
        <item x="1"/>
        <item x="9"/>
        <item x="15"/>
        <item m="1" x="52"/>
        <item m="1" x="36"/>
        <item m="1" x="24"/>
        <item m="1" x="55"/>
        <item x="10"/>
        <item m="1" x="54"/>
        <item x="7"/>
        <item m="1" x="62"/>
        <item m="1" x="65"/>
        <item x="3"/>
        <item x="11"/>
        <item m="1" x="57"/>
        <item m="1" x="60"/>
        <item m="1" x="61"/>
        <item m="1" x="59"/>
        <item m="1" x="56"/>
        <item m="1" x="32"/>
        <item x="0"/>
        <item m="1" x="63"/>
        <item m="1" x="17"/>
        <item x="14"/>
        <item x="13"/>
        <item m="1" x="21"/>
        <item m="1" x="66"/>
        <item m="1" x="64"/>
        <item m="1" x="16"/>
        <item x="8"/>
        <item x="4"/>
        <item x="12"/>
        <item x="6"/>
        <item m="1" x="19"/>
        <item x="5"/>
        <item m="1" x="53"/>
        <item m="1" x="48"/>
        <item m="1" x="51"/>
        <item m="1" x="49"/>
        <item m="1" x="31"/>
        <item m="1" x="18"/>
        <item m="1" x="23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8">
        <item h="1" x="2"/>
        <item x="0"/>
        <item x="4"/>
        <item x="1"/>
        <item h="1" m="1" x="6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6">
    <i>
      <x v="5"/>
    </i>
    <i>
      <x v="1"/>
    </i>
    <i>
      <x v="2"/>
    </i>
    <i>
      <x v="3"/>
    </i>
    <i>
      <x v="6"/>
    </i>
    <i t="grand">
      <x/>
    </i>
  </rowItems>
  <colFields count="1">
    <field x="1"/>
  </colFields>
  <colItems count="4">
    <i>
      <x/>
    </i>
    <i>
      <x v="1"/>
    </i>
    <i>
      <x v="4"/>
    </i>
    <i t="grand">
      <x/>
    </i>
  </colItems>
  <dataFields count="1">
    <dataField name="Suma de % MYSTERY" fld="17" baseField="0" baseItem="0" numFmtId="9"/>
  </dataFields>
  <formats count="19">
    <format dxfId="174">
      <pivotArea outline="0" collapsedLevelsAreSubtotals="1" fieldPosition="0"/>
    </format>
    <format dxfId="173">
      <pivotArea dataOnly="0" labelOnly="1" grandCol="1" outline="0" fieldPosition="0"/>
    </format>
    <format dxfId="172">
      <pivotArea dataOnly="0" labelOnly="1" grandCol="1" outline="0" fieldPosition="0"/>
    </format>
    <format dxfId="171">
      <pivotArea grandRow="1" outline="0" collapsedLevelsAreSubtotals="1" fieldPosition="0"/>
    </format>
    <format dxfId="170">
      <pivotArea grandRow="1" outline="0" collapsedLevelsAreSubtotals="1" fieldPosition="0"/>
    </format>
    <format dxfId="169">
      <pivotArea dataOnly="0" labelOnly="1" grandCol="1" outline="0" fieldPosition="0"/>
    </format>
    <format dxfId="168">
      <pivotArea grandRow="1" grandCol="1" outline="0" collapsedLevelsAreSubtotals="1" fieldPosition="0"/>
    </format>
    <format dxfId="167">
      <pivotArea dataOnly="0" labelOnly="1" fieldPosition="0">
        <references count="1">
          <reference field="12" count="1">
            <x v="3"/>
          </reference>
        </references>
      </pivotArea>
    </format>
    <format dxfId="166">
      <pivotArea outline="0" collapsedLevelsAreSubtotals="1" fieldPosition="0"/>
    </format>
    <format dxfId="165">
      <pivotArea field="1" type="button" dataOnly="0" labelOnly="1" outline="0" axis="axisCol" fieldPosition="0"/>
    </format>
    <format dxfId="164">
      <pivotArea type="topRight" dataOnly="0" labelOnly="1" outline="0" fieldPosition="0"/>
    </format>
    <format dxfId="163">
      <pivotArea dataOnly="0" labelOnly="1" fieldPosition="0">
        <references count="1">
          <reference field="1" count="0"/>
        </references>
      </pivotArea>
    </format>
    <format dxfId="162">
      <pivotArea dataOnly="0" labelOnly="1" grandCol="1" outline="0" fieldPosition="0"/>
    </format>
    <format dxfId="161">
      <pivotArea outline="0" collapsedLevelsAreSubtotals="1" fieldPosition="0"/>
    </format>
    <format dxfId="160">
      <pivotArea field="1" type="button" dataOnly="0" labelOnly="1" outline="0" axis="axisCol" fieldPosition="0"/>
    </format>
    <format dxfId="159">
      <pivotArea type="topRight" dataOnly="0" labelOnly="1" outline="0" fieldPosition="0"/>
    </format>
    <format dxfId="158">
      <pivotArea dataOnly="0" labelOnly="1" fieldPosition="0">
        <references count="1">
          <reference field="1" count="0"/>
        </references>
      </pivotArea>
    </format>
    <format dxfId="157">
      <pivotArea dataOnly="0" labelOnly="1" grandCol="1" outline="0" fieldPosition="0"/>
    </format>
    <format dxfId="156">
      <pivotArea dataOnly="0" labelOnly="1" fieldPosition="0">
        <references count="1">
          <reference field="12" count="1">
            <x v="3"/>
          </reference>
        </references>
      </pivotArea>
    </format>
  </formats>
  <chartFormats count="4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5">
          <x14:conditionalFormat priority="1" id="{DC7400E6-EED9-4582-8B3D-212A3958E91B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1" count="1" selected="0">
                    <x v="4"/>
                  </reference>
                  <reference field="12" count="5">
                    <x v="1"/>
                    <x v="2"/>
                    <x v="3"/>
                    <x v="5"/>
                    <x v="6"/>
                  </reference>
                </references>
              </pivotArea>
            </x14:pivotAreas>
          </x14:conditionalFormat>
          <x14:conditionalFormat priority="11" id="{6571E398-2A4B-4FE6-9D02-728F12871DF1}">
            <x14:pivotAreas count="1">
              <pivotArea type="data" grandRow="1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2" selected="0">
                    <x v="1"/>
                    <x v="5"/>
                  </reference>
                </references>
              </pivotArea>
            </x14:pivotAreas>
          </x14:conditionalFormat>
          <x14:conditionalFormat priority="12" id="{B909DC72-15B9-47A5-B615-93EBFB407071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1" count="2" selected="0">
                    <x v="1"/>
                    <x v="5"/>
                  </reference>
                  <reference field="12" count="5">
                    <x v="1"/>
                    <x v="2"/>
                    <x v="3"/>
                    <x v="5"/>
                    <x v="6"/>
                  </reference>
                </references>
              </pivotArea>
            </x14:pivotAreas>
          </x14:conditionalFormat>
          <x14:conditionalFormat priority="77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70" id="{B74256D8-C2EA-4EA7-A1C5-07F3712318E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1FF4-9FC5-4CE5-9C4A-4C9C0C5884C6}" name="TablaDinámica11" cacheId="2" applyNumberFormats="0" applyBorderFormats="0" applyFontFormats="0" applyPatternFormats="0" applyAlignmentFormats="0" applyWidthHeightFormats="1" dataCaption="Valores" grandTotalCaption="%" errorCaption="0" showError="1" updatedVersion="8" minRefreshableVersion="3" itemPrintTitles="1" createdVersion="8" indent="0" outline="1" outlineData="1" multipleFieldFilters="0" chartFormat="1" rowHeaderCaption="CLUSTER">
  <location ref="D14:H21" firstHeaderRow="1" firstDataRow="2" firstDataCol="1"/>
  <pivotFields count="18">
    <pivotField showAll="0"/>
    <pivotField showAll="0">
      <items count="9">
        <item x="1"/>
        <item x="2"/>
        <item x="0"/>
        <item m="1" x="7"/>
        <item m="1" x="6"/>
        <item m="1" x="5"/>
        <item x="3"/>
        <item m="1" x="4"/>
        <item t="default"/>
      </items>
    </pivotField>
    <pivotField axis="axisCol" showAll="0">
      <items count="5">
        <item m="1" x="3"/>
        <item x="1"/>
        <item x="2"/>
        <item x="0"/>
        <item t="default"/>
      </items>
    </pivotField>
    <pivotField showAll="0"/>
    <pivotField showAll="0"/>
    <pivotField showAll="0">
      <items count="68">
        <item m="1" x="40"/>
        <item m="1" x="39"/>
        <item m="1" x="30"/>
        <item m="1" x="38"/>
        <item m="1" x="37"/>
        <item m="1" x="33"/>
        <item m="1" x="29"/>
        <item m="1" x="41"/>
        <item m="1" x="42"/>
        <item m="1" x="35"/>
        <item m="1" x="34"/>
        <item m="1" x="28"/>
        <item m="1" x="27"/>
        <item m="1" x="43"/>
        <item x="2"/>
        <item m="1" x="22"/>
        <item m="1" x="20"/>
        <item m="1" x="50"/>
        <item m="1" x="44"/>
        <item m="1" x="47"/>
        <item m="1" x="46"/>
        <item m="1" x="25"/>
        <item m="1" x="58"/>
        <item m="1" x="26"/>
        <item m="1" x="45"/>
        <item x="1"/>
        <item x="9"/>
        <item x="15"/>
        <item m="1" x="52"/>
        <item m="1" x="36"/>
        <item m="1" x="24"/>
        <item m="1" x="55"/>
        <item x="10"/>
        <item m="1" x="54"/>
        <item x="7"/>
        <item m="1" x="62"/>
        <item m="1" x="65"/>
        <item x="3"/>
        <item x="11"/>
        <item m="1" x="57"/>
        <item m="1" x="60"/>
        <item m="1" x="61"/>
        <item m="1" x="59"/>
        <item m="1" x="56"/>
        <item m="1" x="32"/>
        <item x="0"/>
        <item m="1" x="63"/>
        <item m="1" x="17"/>
        <item x="14"/>
        <item x="13"/>
        <item m="1" x="21"/>
        <item m="1" x="66"/>
        <item m="1" x="64"/>
        <item m="1" x="16"/>
        <item x="8"/>
        <item x="4"/>
        <item x="12"/>
        <item x="6"/>
        <item m="1" x="19"/>
        <item x="5"/>
        <item m="1" x="53"/>
        <item m="1" x="48"/>
        <item m="1" x="51"/>
        <item m="1" x="49"/>
        <item m="1" x="31"/>
        <item m="1" x="18"/>
        <item m="1" x="23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8">
        <item h="1" m="1" x="6"/>
        <item x="3"/>
        <item x="0"/>
        <item x="5"/>
        <item h="1"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6">
    <i>
      <x v="1"/>
    </i>
    <i>
      <x v="2"/>
    </i>
    <i>
      <x v="6"/>
    </i>
    <i>
      <x v="5"/>
    </i>
    <i>
      <x v="3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uma de % MYSTERY" fld="17" baseField="0" baseItem="0" numFmtId="9"/>
  </dataFields>
  <formats count="22">
    <format dxfId="196">
      <pivotArea outline="0" collapsedLevelsAreSubtotals="1" fieldPosition="0"/>
    </format>
    <format dxfId="195">
      <pivotArea dataOnly="0" labelOnly="1" grandCol="1" outline="0" fieldPosition="0"/>
    </format>
    <format dxfId="194">
      <pivotArea dataOnly="0" labelOnly="1" grandCol="1" outline="0" fieldPosition="0"/>
    </format>
    <format dxfId="193">
      <pivotArea grandRow="1" outline="0" collapsedLevelsAreSubtotals="1" fieldPosition="0"/>
    </format>
    <format dxfId="192">
      <pivotArea grandRow="1" outline="0" collapsedLevelsAreSubtotals="1" fieldPosition="0"/>
    </format>
    <format dxfId="191">
      <pivotArea dataOnly="0" labelOnly="1" grandCol="1" outline="0" fieldPosition="0"/>
    </format>
    <format dxfId="190">
      <pivotArea grandRow="1" grandCol="1" outline="0" collapsedLevelsAreSubtotals="1" fieldPosition="0"/>
    </format>
    <format dxfId="189">
      <pivotArea dataOnly="0" labelOnly="1" fieldPosition="0">
        <references count="1">
          <reference field="12" count="1">
            <x v="5"/>
          </reference>
        </references>
      </pivotArea>
    </format>
    <format dxfId="188">
      <pivotArea outline="0" collapsedLevelsAreSubtotals="1" fieldPosition="0"/>
    </format>
    <format dxfId="187">
      <pivotArea field="2" type="button" dataOnly="0" labelOnly="1" outline="0" axis="axisCol" fieldPosition="0"/>
    </format>
    <format dxfId="186">
      <pivotArea type="topRight" dataOnly="0" labelOnly="1" outline="0" fieldPosition="0"/>
    </format>
    <format dxfId="185">
      <pivotArea dataOnly="0" labelOnly="1" fieldPosition="0">
        <references count="1">
          <reference field="2" count="0"/>
        </references>
      </pivotArea>
    </format>
    <format dxfId="184">
      <pivotArea dataOnly="0" labelOnly="1" grandCol="1" outline="0" fieldPosition="0"/>
    </format>
    <format dxfId="183">
      <pivotArea outline="0" collapsedLevelsAreSubtotals="1" fieldPosition="0"/>
    </format>
    <format dxfId="182">
      <pivotArea field="2" type="button" dataOnly="0" labelOnly="1" outline="0" axis="axisCol" fieldPosition="0"/>
    </format>
    <format dxfId="181">
      <pivotArea type="topRight" dataOnly="0" labelOnly="1" outline="0" fieldPosition="0"/>
    </format>
    <format dxfId="180">
      <pivotArea dataOnly="0" labelOnly="1" fieldPosition="0">
        <references count="1">
          <reference field="2" count="0"/>
        </references>
      </pivotArea>
    </format>
    <format dxfId="179">
      <pivotArea dataOnly="0" labelOnly="1" grandCol="1" outline="0" fieldPosition="0"/>
    </format>
    <format dxfId="178">
      <pivotArea collapsedLevelsAreSubtotals="1" fieldPosition="0">
        <references count="1">
          <reference field="12" count="1">
            <x v="5"/>
          </reference>
        </references>
      </pivotArea>
    </format>
    <format dxfId="177">
      <pivotArea dataOnly="0" labelOnly="1" fieldPosition="0">
        <references count="1">
          <reference field="12" count="1">
            <x v="5"/>
          </reference>
        </references>
      </pivotArea>
    </format>
    <format dxfId="176">
      <pivotArea dataOnly="0" labelOnly="1" fieldPosition="0">
        <references count="1">
          <reference field="12" count="1">
            <x v="5"/>
          </reference>
        </references>
      </pivotArea>
    </format>
    <format dxfId="175">
      <pivotArea collapsedLevelsAreSubtotals="1" fieldPosition="0">
        <references count="1">
          <reference field="12" count="1">
            <x v="5"/>
          </reference>
        </references>
      </pivotArea>
    </format>
  </formats>
  <chartFormats count="3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5">
          <x14:conditionalFormat priority="2" id="{E5F5F36A-FDFE-4CFA-95ED-514ABA1D885D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2" count="1" selected="0">
                    <x v="3"/>
                  </reference>
                  <reference field="12" count="5">
                    <x v="1"/>
                    <x v="2"/>
                    <x v="3"/>
                    <x v="5"/>
                    <x v="6"/>
                  </reference>
                </references>
              </pivotArea>
            </x14:pivotAreas>
          </x14:conditionalFormat>
          <x14:conditionalFormat priority="3" id="{78C9A776-785D-400B-AB5E-E9C77C583732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2" count="1" selected="0">
                    <x v="2"/>
                  </reference>
                  <reference field="12" count="5">
                    <x v="1"/>
                    <x v="2"/>
                    <x v="3"/>
                    <x v="5"/>
                    <x v="6"/>
                  </reference>
                </references>
              </pivotArea>
            </x14:pivotAreas>
          </x14:conditionalFormat>
          <x14:conditionalFormat priority="4" id="{D555E547-43AB-4811-A92C-75D940052337}">
            <x14:pivotAreas count="1">
              <pivotArea type="data" grandRow="1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  <x14:conditionalFormat priority="5" id="{17CD69D2-CF88-4D0E-9257-858A99C7BF38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2" count="1" selected="0">
                    <x v="1"/>
                  </reference>
                  <reference field="12" count="5">
                    <x v="1"/>
                    <x v="2"/>
                    <x v="3"/>
                    <x v="5"/>
                    <x v="6"/>
                  </reference>
                </references>
              </pivotArea>
            </x14:pivotAreas>
          </x14:conditionalFormat>
          <x14:conditionalFormat priority="80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9" firstHeaderRow="0" firstDataRow="1" firstDataCol="1"/>
  <pivotFields count="11">
    <pivotField showAll="0"/>
    <pivotField axis="axisRow" showAll="0" sortType="descending">
      <items count="15">
        <item x="0"/>
        <item x="1"/>
        <item x="2"/>
        <item m="1" x="11"/>
        <item m="1" x="13"/>
        <item m="1" x="6"/>
        <item x="3"/>
        <item m="1" x="12"/>
        <item m="1" x="10"/>
        <item m="1" x="7"/>
        <item m="1" x="8"/>
        <item m="1" x="9"/>
        <item m="1" x="5"/>
        <item m="1" x="4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5">
    <i>
      <x v="2"/>
    </i>
    <i>
      <x v="1"/>
    </i>
    <i>
      <x v="6"/>
    </i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Mystery" fld="4" baseField="0" baseItem="0"/>
    <dataField name="Mystery Eje." fld="8" baseField="0" baseItem="0"/>
    <dataField name="% Efectividad." fld="10" baseField="0" baseItem="0" numFmtId="9"/>
  </dataFields>
  <formats count="23">
    <format dxfId="2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8">
      <pivotArea outline="0" collapsedLevelsAreSubtotals="1" fieldPosition="0"/>
    </format>
    <format dxfId="2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6">
      <pivotArea outline="0" collapsedLevelsAreSubtotals="1" fieldPosition="0"/>
    </format>
    <format dxfId="2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3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1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9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08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207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06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205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204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03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02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201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00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99">
      <pivotArea field="1" type="button" dataOnly="0" labelOnly="1" outline="0" axis="axisRow" fieldPosition="0"/>
    </format>
    <format dxfId="19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7">
      <pivotArea dataOnly="0" labelOnly="1" grandRow="1" outline="0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FBDF5-E57C-4383-8A84-D381E73133AC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6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0"/>
        <item x="1"/>
        <item m="1" x="17"/>
        <item x="5"/>
        <item x="7"/>
        <item x="3"/>
        <item x="2"/>
        <item x="6"/>
        <item x="4"/>
        <item x="9"/>
        <item x="8"/>
        <item x="10"/>
        <item x="11"/>
        <item x="15"/>
        <item x="13"/>
        <item m="1" x="16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4">
        <item m="1" x="2"/>
        <item x="0"/>
        <item h="1" x="1"/>
        <item t="default"/>
      </items>
    </pivotField>
    <pivotField axis="axisCol" showAll="0">
      <items count="8">
        <item m="1" x="6"/>
        <item x="3"/>
        <item x="0"/>
        <item x="5"/>
        <item x="2"/>
        <item x="1"/>
        <item x="4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9"/>
  </rowFields>
  <rowItems count="12">
    <i>
      <x v="5"/>
    </i>
    <i>
      <x v="12"/>
    </i>
    <i>
      <x v="6"/>
    </i>
    <i>
      <x v="17"/>
    </i>
    <i>
      <x v="14"/>
    </i>
    <i>
      <x v="7"/>
    </i>
    <i>
      <x v="9"/>
    </i>
    <i>
      <x v="3"/>
    </i>
    <i>
      <x v="10"/>
    </i>
    <i>
      <x v="13"/>
    </i>
    <i>
      <x/>
    </i>
    <i t="grand">
      <x/>
    </i>
  </rowItems>
  <colFields count="1">
    <field x="12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1" hier="-1"/>
  </pageFields>
  <dataFields count="1">
    <dataField name="Suma de TOTAL PUNTAJ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5319C1C-C683-4701-8640-F49E06C1EA50}" autoFormatId="16" applyNumberFormats="0" applyBorderFormats="0" applyFontFormats="0" applyPatternFormats="0" applyAlignmentFormats="0" applyWidthHeightFormats="0">
  <queryTableRefresh nextId="27" unboundColumnsRight="6">
    <queryTableFields count="17">
      <queryTableField id="1" name="ACTIVIDAD" tableColumnId="1"/>
      <queryTableField id="2" name="CIUDAD" tableColumnId="2"/>
      <queryTableField id="24" name="CANAL" tableColumnId="18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RTA" tableColumnId="7"/>
      <queryTableField id="8" name="FECHA VISITA" tableColumnId="8"/>
      <queryTableField id="9" name="CODIGO RUTA" tableColumnId="9"/>
      <queryTableField id="10" name="USUARIO" tableColumnId="10"/>
      <queryTableField id="17" dataBound="0" tableColumnId="13"/>
      <queryTableField id="16" dataBound="0" tableColumnId="16"/>
      <queryTableField id="12" dataBound="0" tableColumnId="12"/>
      <queryTableField id="21" dataBound="0" tableColumnId="14"/>
      <queryTableField id="15" dataBound="0" tableColumnId="15"/>
      <queryTableField id="23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83C87-B4DC-436D-9817-A62DA7CA64FC}" autoFormatId="16" applyNumberFormats="0" applyBorderFormats="0" applyFontFormats="0" applyPatternFormats="0" applyAlignmentFormats="0" applyWidthHeightFormats="0">
  <queryTableRefresh nextId="120">
    <queryTableFields count="48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CONSECUTIVO ENCUESTA" tableColumnId="6"/>
      <queryTableField id="7" name="NOMBRE ENCUESTA" tableColumnId="7"/>
      <queryTableField id="10" name="FECHA VISITA" tableColumnId="10"/>
      <queryTableField id="11" name="CODIGO RUTA" tableColumnId="11"/>
      <queryTableField id="12" name="USUARIO" tableColumnId="12"/>
      <queryTableField id="51" name="¿CUMPLE HORARIO DE ENTRADA O SALIDA DE LA TIENDA?" tableColumnId="13"/>
      <queryTableField id="52" name="CUENTA CON PANTALON DEL UNIFORME SEGUN EL CARGO (NEGRO / ROJO / TURQUESA / JEAN)" tableColumnId="14"/>
      <queryTableField id="53" name="CUENTA CON CAMISA DEL UNIFORME Y LOGOS SEGÚN EL CARGO (NEGRA / GRIS / ROJA / TURQUESA) (Permitido usar debajo de camisa buso manga larga Negro)" tableColumnId="15"/>
      <queryTableField id="54" name="CUENTA CON CALZADO DE ACUERDO AL UNIFORME" tableColumnId="16"/>
      <queryTableField id="55" name="POSEE ALGUNA PRENDA ENCIMA DEL UNIFORME NO AUTORIZADA POR LA MARCA (Solo permitido chaleco de Sodimac y Easy)" tableColumnId="17"/>
      <queryTableField id="56" name="EL UNIFORME Y ZAPATOS SE ENCUENTRAN LIMPIOS Y EN BUEN ESTADO" tableColumnId="18"/>
      <queryTableField id="57" name="SU CABELLO LUCE LIMPIO, ORGANIZADO O RECOGIDO" tableColumnId="19"/>
      <queryTableField id="58" name="PRESENTA EXCESO DE MAQUILLAJE QUE NO CUMPLE CON EL CODIGO DE VESTIMENTA" tableColumnId="20"/>
      <queryTableField id="59" name="TIENE TATUAJES O PIERCINGS VISIBLES QUE NO CUMPLE CON EL CODIGO DE VESTIMENTA" tableColumnId="21"/>
      <queryTableField id="60" name="TIENE UÑAS LLAMATIVAS Y/O LARGAS QUE NO CUMPLE CON EL CODIGO DE VESTIMENTA" tableColumnId="22"/>
      <queryTableField id="61" name="USA ACCESORIOS QUE NO CUMPLE CON EL CODIGO DE VESTIMENTA" tableColumnId="23"/>
      <queryTableField id="62" name="SE PRODUCE ABORDO PROACTIVO (antes de los 3 min)" tableColumnId="24"/>
      <queryTableField id="63" name="OFRECIO ALGUN PRODUCTO DEL PORTAFOLIO PURINA DE PRODUCTOS SECOS COMUNICANDO LOS BENEFICIOS DEL PRODUCTO" tableColumnId="25"/>
      <queryTableField id="64" name="OFRECIO ALGUN PRODUCTO DEL PORTAFOLIO PURINA DE PRODUCTOS HUMEDOS, SNACK U OTROS COMUNICANDO LOS BENEFICIOS DEL PRODUCTO" tableColumnId="26"/>
      <queryTableField id="65" name="QUE CANAL VA A REALIZAR" tableColumnId="27"/>
      <queryTableField id="85" name="M. OFRECE PURINA ONE: (APLICA SOLO EN CANAL MODERNO, CADENAS, SI EL PRODUCTO ESTA EN EL PDV)" tableColumnId="29"/>
      <queryTableField id="86" name="M. MENCIONA QUE LOS RESULTADOS DE PURINA ONE SON VISIBLES EN 28 DIAS?" tableColumnId="30"/>
      <queryTableField id="87" name="M. MENCIONA QUE TIENE CARNE DE VERDAD COMO INGREDIENTE NO.1 E INGREDIENTES NATURALES Y FUNCIONALES?" tableColumnId="31"/>
      <queryTableField id="88" name="M. MENCIONA QUE PURINA ONE CUENTA CON ALIMENTO HUMEDO Y MENCIONA LAS 3 VARIADADES  ( SUPER FOODS, SUPER NUTRIENTES Y MULTI PROTEINAS);PERRO Y GATO" tableColumnId="35"/>
      <queryTableField id="89" name="M. MANEJA LA OBJECION DE ALTO PRECIO, COMUNICANDO LA BAJA DE PRECIOS DE LAS MARCAS O LAS OFERTAS DISPONIBLES EN EL PUNTO DE VENTA." tableColumnId="37"/>
      <queryTableField id="90" name="M. AL PRESENTAR OBJECIÓN &quot;PRECIO MUY COSTOSO&quot;, EL ASESOR OFRECE LOS PRODUCTOS EN ORDEN DE SEGMENTACIÓN: P: PURINA ONE - DOG CHOW - ALPO G: PURINA ONE - CAT CHOW - FELIX - GATSY ( &quot;DICE AHORA ES MAS SABROSO&quot;)" tableColumnId="38"/>
      <queryTableField id="91" name="M. EL ASESOR COMUNICA SOBRE LA ACTIVIDAD &quot;HOY GANAS MAÑANA TAMBIEN&quot;" tableColumnId="39"/>
      <queryTableField id="92" name="M. EL ASESOR EXPLICA CON CLARIDAD LA DINAMICA DE PARTICIPACIÓN" tableColumnId="40"/>
      <queryTableField id="82" name="SE PRESENTARON OBJECIONES" tableColumnId="44"/>
      <queryTableField id="84" name="DE QUE TIPO ES LA OBJECION" tableColumnId="9"/>
      <queryTableField id="71" name="RESUELVE LA OBJECION SATISFACTORIAMENTE" tableColumnId="33"/>
      <queryTableField id="72" name="SE ENCUENTRA LIMPIA EL AREA DE DEMOSTRACION" tableColumnId="34"/>
      <queryTableField id="93" name="REALIZA CIERRE  CON FRASES &quot; DESEA LLEVARLO&quot; ,&quot;CUANTOS DESEARIA LLEVAR&quot; ,&quot; LE GUSTARIA ADQUIRIRLO&quot; , &quot; CUANTAS UNIDADES DESEA LLEVAR&quot; , &quot; LE GUSTARIA LLEVARLO EN PRESENTACIÓN HUMEDA O SECA&quot;" tableColumnId="41"/>
      <queryTableField id="74" name="CONSIDERO QUE INDEPENDIENTEMENTE DEL SPEECH, LA LABOR DE VENTA ES BUENA" tableColumnId="36"/>
      <queryTableField id="66" name="En canal E. lo primero que ofrece el asesor es la marca Pro Plan?" tableColumnId="28"/>
      <queryTableField id="94" name="EN CANAL E. DESPUES DE OBJECION DE PRECIO, EL ASESOR OFRECIO LA MARCA EXCELLENT?" tableColumnId="42"/>
      <queryTableField id="95" name="EN CANAL E.  EL ASESOR COMUNICA QUE LA MARCA EXCELLENT ESTA DENTRO DE LA CATEGORIA SUPERPREMIUM PERO A UN COSTO MAS ACCESIBLE." tableColumnId="43"/>
      <queryTableField id="96" name="EN CANAL E.  EL ASESOR COMUNICA LOS BENEFICIOS O CARACTERISTICAS DEL PRODUCTO EXCELLENT E INFORMA QUE EL PRODUCTO CAMBIO DE IMAGEN PERO CONTINUA CON LA MISMA FORMULA?" tableColumnId="47"/>
      <queryTableField id="70" name="En canal E., El asesor ofrece producto humedo y comunica la dinamica de multiprice (por la compra de mas cantidades tiene descuento)." tableColumnId="32"/>
      <queryTableField id="97" name="EN CANAL E., EL ASESOR COMUNICA PROACTIVAMENTE LA ACTIVIDAD DE &quot;GANA AL INSTANTE&quot; (A PARTIR DEL 17 DE MARZO)" tableColumnId="48"/>
      <queryTableField id="98" name="EN CANAL E., EL ASESOR EXPLICA CON CLARIDAD LA ACTIVIDAD DE &quot;GANA AL INSTANTE&quot; (A PARTIR DEL 17 DE MARZO)" tableColumnId="49"/>
      <queryTableField id="99" name="PRESENTA ALGUNA NOVEDAD?" tableColumnId="50"/>
      <queryTableField id="100" name="CUAL ES LA NOVEDAD" tableColumnId="5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602717627">
      <items count="8">
        <i x="2" s="1"/>
        <i x="0" s="1"/>
        <i x="3" s="1"/>
        <i x="1" s="1" nd="1"/>
        <i x="7" s="1" nd="1"/>
        <i x="6" s="1" nd="1"/>
        <i x="5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602717627">
      <items count="67">
        <i x="2" s="1"/>
        <i x="9" s="1"/>
        <i x="15" s="1"/>
        <i x="3" s="1"/>
        <i x="11" s="1"/>
        <i x="0" s="1"/>
        <i x="14" s="1"/>
        <i x="13" s="1"/>
        <i x="8" s="1"/>
        <i x="6" s="1"/>
        <i x="5" s="1"/>
        <i x="40" s="1" nd="1"/>
        <i x="39" s="1" nd="1"/>
        <i x="30" s="1" nd="1"/>
        <i x="38" s="1" nd="1"/>
        <i x="37" s="1" nd="1"/>
        <i x="33" s="1" nd="1"/>
        <i x="29" s="1" nd="1"/>
        <i x="41" s="1" nd="1"/>
        <i x="42" s="1" nd="1"/>
        <i x="35" s="1" nd="1"/>
        <i x="34" s="1" nd="1"/>
        <i x="28" s="1" nd="1"/>
        <i x="27" s="1" nd="1"/>
        <i x="43" s="1" nd="1"/>
        <i x="22" s="1" nd="1"/>
        <i x="20" s="1" nd="1"/>
        <i x="50" s="1" nd="1"/>
        <i x="44" s="1" nd="1"/>
        <i x="47" s="1" nd="1"/>
        <i x="46" s="1" nd="1"/>
        <i x="25" s="1" nd="1"/>
        <i x="58" s="1" nd="1"/>
        <i x="26" s="1" nd="1"/>
        <i x="45" s="1" nd="1"/>
        <i x="1" s="1" nd="1"/>
        <i x="52" s="1" nd="1"/>
        <i x="36" s="1" nd="1"/>
        <i x="24" s="1" nd="1"/>
        <i x="55" s="1" nd="1"/>
        <i x="10" s="1" nd="1"/>
        <i x="54" s="1" nd="1"/>
        <i x="7" s="1" nd="1"/>
        <i x="62" s="1" nd="1"/>
        <i x="65" s="1" nd="1"/>
        <i x="57" s="1" nd="1"/>
        <i x="60" s="1" nd="1"/>
        <i x="61" s="1" nd="1"/>
        <i x="59" s="1" nd="1"/>
        <i x="56" s="1" nd="1"/>
        <i x="32" s="1" nd="1"/>
        <i x="63" s="1" nd="1"/>
        <i x="17" s="1" nd="1"/>
        <i x="21" s="1" nd="1"/>
        <i x="66" s="1" nd="1"/>
        <i x="64" s="1" nd="1"/>
        <i x="16" s="1" nd="1"/>
        <i x="4" s="1" nd="1"/>
        <i x="12" s="1" nd="1"/>
        <i x="19" s="1" nd="1"/>
        <i x="53" s="1" nd="1"/>
        <i x="48" s="1" nd="1"/>
        <i x="51" s="1" nd="1"/>
        <i x="49" s="1" nd="1"/>
        <i x="31" s="1" nd="1"/>
        <i x="18" s="1" nd="1"/>
        <i x="2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161FC0A5-88EE-42C6-8EF8-DE6BC20BA2A2}" sourceName="CANAL">
  <pivotTables>
    <pivotTable tabId="4" name="TablaDinámica11"/>
    <pivotTable tabId="4" name="TablaDinámica12"/>
    <pivotTable tabId="4" name="TablaDinámica14"/>
  </pivotTables>
  <data>
    <tabular pivotCacheId="602717627">
      <items count="4">
        <i x="1" s="1"/>
        <i x="2" s="1"/>
        <i x="0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artItem="5" style="SlicerStyleOther1" rowHeight="251883"/>
  <slicer name="CANAL" xr10:uid="{10B371A4-24F7-4826-99FE-E6BAFA670F01}" cache="SegmentaciónDeDatos_CANAL" caption="CAN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BBA3F-C205-4AFF-A76D-34CFCE9A6BBA}" name="Tabla2__2" displayName="Tabla2__2" ref="A1:Q341" tableType="queryTable" totalsRowShown="0" dataDxfId="113">
  <autoFilter ref="A1:Q341" xr:uid="{97FBBA3F-C205-4AFF-A76D-34CFCE9A6BBA}"/>
  <sortState xmlns:xlrd2="http://schemas.microsoft.com/office/spreadsheetml/2017/richdata2" ref="A2:Q341">
    <sortCondition ref="I1:I341"/>
  </sortState>
  <tableColumns count="17">
    <tableColumn id="1" xr3:uid="{F8980204-6799-4FD6-9D3F-ACBAADC7880C}" uniqueName="1" name="ACTIVIDAD" queryTableFieldId="1" dataDxfId="112"/>
    <tableColumn id="2" xr3:uid="{1473C919-5D8D-427F-BA10-68EF03B2B653}" uniqueName="2" name="CIUDAD" queryTableFieldId="2" dataDxfId="111"/>
    <tableColumn id="18" xr3:uid="{20FCDFA3-8687-4CA1-9A5B-AEA6FCAD9592}" uniqueName="18" name="CANAL" queryTableFieldId="24" dataDxfId="110"/>
    <tableColumn id="3" xr3:uid="{271FB548-EFFC-45F2-8177-856C35C071DC}" uniqueName="3" name="CADENA" queryTableFieldId="3" dataDxfId="109"/>
    <tableColumn id="4" xr3:uid="{F71A0A19-15B2-4D1D-905C-70CEC9D6AF47}" uniqueName="4" name="CODIGO PDV" queryTableFieldId="4" dataDxfId="108"/>
    <tableColumn id="5" xr3:uid="{E4FEADCA-E2DE-4789-9C78-5F8FB6496823}" uniqueName="5" name="NOMBRE COMERCIAL" queryTableFieldId="5" dataDxfId="107"/>
    <tableColumn id="6" xr3:uid="{5C99D03B-478A-40A2-B3AE-437E7D31990C}" uniqueName="6" name="PREGUNTA" queryTableFieldId="6" dataDxfId="106"/>
    <tableColumn id="7" xr3:uid="{A5EA4B65-C844-4AE4-AE87-CD2AEFA3E4BD}" uniqueName="7" name="RTA" queryTableFieldId="7" dataDxfId="105"/>
    <tableColumn id="8" xr3:uid="{8D71EA04-388B-4C72-AD67-882BB5218CAB}" uniqueName="8" name="FECHA VISITA" queryTableFieldId="8" dataDxfId="104"/>
    <tableColumn id="9" xr3:uid="{11007230-BF6F-4DA6-9C0C-28D77621834B}" uniqueName="9" name="CODIGO RUTA" queryTableFieldId="9" dataDxfId="103"/>
    <tableColumn id="10" xr3:uid="{CF07A078-D8EF-4D63-9B89-6F593201E2E4}" uniqueName="10" name="USUARIO" queryTableFieldId="10" dataDxfId="102"/>
    <tableColumn id="13" xr3:uid="{F212FAAC-215E-43D0-BC9D-3AA543F277F7}" uniqueName="13" name="MYSTERY EFECTIVO" queryTableFieldId="17" dataDxfId="101">
      <calculatedColumnFormula>_xlfn.XLOOKUP(Tabla2__2[[#This Row],[CODIGO RUTA]],'DATA INFORME'!I:I,'DATA INFORME'!K:K)</calculatedColumnFormula>
    </tableColumn>
    <tableColumn id="16" xr3:uid="{21F854B2-004D-4505-9E1A-A9AC1F214887}" uniqueName="16" name="CLUSTER" queryTableFieldId="16" dataDxfId="100">
      <calculatedColumnFormula>IF(Tabla2__2[[#This Row],[MYSTERY EFECTIVO]]="SI",_xlfn.XLOOKUP(Tabla2__2[[#This Row],[PREGUNTA]],ENCUESTA!G:G,ENCUESTA!D:D),"N/A")</calculatedColumnFormula>
    </tableColumn>
    <tableColumn id="12" xr3:uid="{AFEBD2E2-BCC0-467F-B0E5-D144F68133B0}" uniqueName="12" name="TOTAL PUNTAJE" queryTableFieldId="12" dataDxfId="99">
      <calculatedColumnFormula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calculatedColumnFormula>
    </tableColumn>
    <tableColumn id="14" xr3:uid="{03EC5ACB-C771-49B5-A065-6C73F64EFDA4}" uniqueName="14" name="RTA CORRECTA" queryTableFieldId="21" dataDxfId="98">
      <calculatedColumnFormula>_xlfn.XLOOKUP(Tabla2__2[[#This Row],[PREGUNTA]],ENCUESTA!G:G,ENCUESTA!H:H)</calculatedColumnFormula>
    </tableColumn>
    <tableColumn id="15" xr3:uid="{E8D41959-0664-4224-BEF1-FD955A109471}" uniqueName="15" name="PUNTAJE OBTENIDO" queryTableFieldId="15" dataDxfId="97">
      <calculatedColumnFormula>IF(Tabla2__2[[#This Row],[RTA]]=Tabla2__2[[#This Row],[RTA CORRECTA]],Tabla2__2[[#This Row],[TOTAL PUNTAJE]],0)</calculatedColumnFormula>
    </tableColumn>
    <tableColumn id="17" xr3:uid="{448B051F-50DD-4A27-B120-BB93A9AFD029}" uniqueName="17" name="Columna1" queryTableFieldId="23" dataDxfId="96">
      <calculatedColumnFormula>IF(OR(H2="Dog Chow húmedo",H2="Cat Chow húmedo",H2="Fancy Feast",H2="Felix",H2="Proplan húmedo",H2="One húmedo",H2="Snack Abrazzos",H2="Snak Dentalife",H2="Arenilla Tidy Cat"),N2,0)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17" totalsRowShown="0" headerRowDxfId="95" dataDxfId="93" headerRowBorderDxfId="94" tableBorderDxfId="92" totalsRowBorderDxfId="91" headerRowCellStyle="Normal 2" dataCellStyle="Normal 2">
  <autoFilter ref="A1:I17" xr:uid="{A06AE8C8-5477-4852-991F-0FB4F9396ED6}">
    <filterColumn colId="8">
      <filters>
        <filter val="1"/>
      </filters>
    </filterColumn>
  </autoFilter>
  <tableColumns count="9">
    <tableColumn id="3" xr3:uid="{CEEFCC7D-2B45-4409-9FEE-36A6008A09E3}" name="CANAL" dataDxfId="90" dataCellStyle="Normal 2"/>
    <tableColumn id="1" xr3:uid="{D5DD6073-7452-4C56-A046-CF25B19FCB4F}" name="CIUDAD" dataDxfId="89" dataCellStyle="Normal 2"/>
    <tableColumn id="2" xr3:uid="{304FB0E8-7EB9-4B2E-BDF0-6B1E9D3DF639}" name="CODIGO PDV" dataDxfId="88"/>
    <tableColumn id="4" xr3:uid="{5FFEE965-7C33-4146-8749-C7E79BD9F083}" name="NOMBRE COMERCIAL" dataDxfId="87" dataCellStyle="Normal 2"/>
    <tableColumn id="9" xr3:uid="{56DA6644-1938-47DF-9205-928EAD17CD86}" name="Objetivo Mystery" dataDxfId="86" dataCellStyle="Normal 2"/>
    <tableColumn id="6" xr3:uid="{8587C1B8-25E9-47DF-96EC-0DE9EA854031}" name="#PDV Objetivos" dataDxfId="85"/>
    <tableColumn id="7" xr3:uid="{254582AE-0341-4027-9F60-A63C456EE6EE}" name="#PDV Ejecutados" dataDxfId="84">
      <calculatedColumnFormula>IF(COUNTIFS(Export!I:I,Tabla1[[#This Row],[CODIGO PDV]])&gt;0,1,0)</calculatedColumnFormula>
    </tableColumn>
    <tableColumn id="11" xr3:uid="{EA4A24E0-6A56-4A45-8F19-78AD6DCA277C}" name="# Visitas" dataDxfId="83" dataCellStyle="Normal 2">
      <calculatedColumnFormula>COUNTIFS('DATA INFORME'!D:D,Tabla1[[#This Row],[CODIGO PDV]])</calculatedColumnFormula>
    </tableColumn>
    <tableColumn id="12" xr3:uid="{F623D095-7356-4242-BFFB-11B8E769EF0F}" name="Mystery Ejecutado" dataDxfId="82" dataCellStyle="Normal 2">
      <calculatedColumnFormula>COUNTIFS('DATA INFORME'!D:D,Tabla1[[#This Row],[CODIGO PDV]],'DATA INFORME'!K:K,"SI")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2BD29-73FE-4027-BA12-621401EE7163}" name="Tabla2__3" displayName="Tabla2__3" ref="A1:AV17" tableType="queryTable" totalsRowShown="0">
  <autoFilter ref="A1:AV17" xr:uid="{0562BD29-73FE-4027-BA12-621401EE7163}"/>
  <tableColumns count="48">
    <tableColumn id="1" xr3:uid="{5E36F5EC-EFE4-416F-AE2A-0A34DABD1BE1}" uniqueName="1" name="ACTIVIDAD" queryTableFieldId="1" dataDxfId="81"/>
    <tableColumn id="2" xr3:uid="{2D91E598-A31D-4125-8581-3FD329B9D8A6}" uniqueName="2" name="CIUDAD" queryTableFieldId="2" dataDxfId="80"/>
    <tableColumn id="3" xr3:uid="{BE955660-67C1-4BC9-A7B2-76050F0F9717}" uniqueName="3" name="CADENA" queryTableFieldId="3" dataDxfId="79"/>
    <tableColumn id="4" xr3:uid="{584B1D0E-A845-487E-B24D-3F46D830A3DD}" uniqueName="4" name="CODIGO PDV" queryTableFieldId="4"/>
    <tableColumn id="5" xr3:uid="{5C21200B-0203-45FF-8479-0CBCF5834786}" uniqueName="5" name="NOMBRE COMERCIAL" queryTableFieldId="5" dataDxfId="78"/>
    <tableColumn id="6" xr3:uid="{AF5E9C40-1A6C-47AF-818E-E6BCE6E6B906}" uniqueName="6" name="CONSECUTIVO ENCUESTA" queryTableFieldId="6"/>
    <tableColumn id="7" xr3:uid="{3C3C5756-6C5B-4F83-A4BA-7370A5D3B586}" uniqueName="7" name="NOMBRE ENCUESTA" queryTableFieldId="7" dataDxfId="77"/>
    <tableColumn id="10" xr3:uid="{592470FD-FBDE-42A0-A47E-06AE15D2BD4D}" uniqueName="10" name="FECHA VISITA" queryTableFieldId="10" dataDxfId="76"/>
    <tableColumn id="11" xr3:uid="{2A1045B2-E0F3-426E-AF7C-91A0AAEEA606}" uniqueName="11" name="CODIGO RUTA" queryTableFieldId="11"/>
    <tableColumn id="12" xr3:uid="{7575ACE8-4DCC-44B4-BD89-97F5F6978813}" uniqueName="12" name="USUARIO" queryTableFieldId="12" dataDxfId="75"/>
    <tableColumn id="13" xr3:uid="{A3AC819D-33C8-441A-9F6D-3C33C6A4C6EC}" uniqueName="13" name="¿CUMPLE HORARIO DE ENTRADA O SALIDA DE LA TIENDA?" queryTableFieldId="51" dataDxfId="74"/>
    <tableColumn id="14" xr3:uid="{6830CCED-E8A3-49B7-9BDF-C84D1E804D48}" uniqueName="14" name="CUENTA CON PANTALON DEL UNIFORME SEGUN EL CARGO (NEGRO / ROJO / TURQUESA / JEAN)" queryTableFieldId="52" dataDxfId="73"/>
    <tableColumn id="15" xr3:uid="{5C08F77B-06BF-4278-AA09-98810B574057}" uniqueName="15" name="CUENTA CON CAMISA DEL UNIFORME Y LOGOS SEGÚN EL CARGO (NEGRA / GRIS / ROJA / TURQUESA) (PERMITIDO USAR DEBAJO DE CAMISA BUSO MANGA LARGA NEGRO)" queryTableFieldId="53" dataDxfId="72"/>
    <tableColumn id="16" xr3:uid="{D2371F42-BC07-4548-B6B4-80B991018D4D}" uniqueName="16" name="CUENTA CON CALZADO DE ACUERDO AL UNIFORME" queryTableFieldId="54" dataDxfId="71"/>
    <tableColumn id="17" xr3:uid="{273DD732-A33F-4A66-8EFB-0612B37B1876}" uniqueName="17" name="POSEE ALGUNA PRENDA ENCIMA DEL UNIFORME NO AUTORIZADA POR LA MARCA (SOLO PERMITIDO CHALECO DE SODIMAC Y EASY)" queryTableFieldId="55" dataDxfId="70"/>
    <tableColumn id="18" xr3:uid="{3D7A6C82-B4F1-4137-8E5C-B39796F42A01}" uniqueName="18" name="EL UNIFORME Y ZAPATOS SE ENCUENTRAN LIMPIOS Y EN BUEN ESTADO" queryTableFieldId="56" dataDxfId="69"/>
    <tableColumn id="19" xr3:uid="{F571F3E9-7223-4EA9-AA90-C1B22D8FE4BB}" uniqueName="19" name="SU CABELLO LUCE LIMPIO, ORGANIZADO O RECOGIDO" queryTableFieldId="57" dataDxfId="68"/>
    <tableColumn id="20" xr3:uid="{5E3AFDBF-1BFC-4E51-B65C-64E53BF62E8B}" uniqueName="20" name="PRESENTA EXCESO DE MAQUILLAJE QUE NO CUMPLE CON EL CODIGO DE VESTIMENTA" queryTableFieldId="58" dataDxfId="67"/>
    <tableColumn id="21" xr3:uid="{50BDC1B1-D905-4522-A663-D420B0652D92}" uniqueName="21" name="TIENE TATUAJES O PIERCINGS VISIBLES QUE NO CUMPLE CON EL CODIGO DE VESTIMENTA" queryTableFieldId="59" dataDxfId="66"/>
    <tableColumn id="22" xr3:uid="{458D1A2F-B39E-464C-8E19-62FDE7176AF3}" uniqueName="22" name="TIENE UÑAS LLAMATIVAS Y/O LARGAS QUE NO CUMPLE CON EL CODIGO DE VESTIMENTA" queryTableFieldId="60" dataDxfId="65"/>
    <tableColumn id="23" xr3:uid="{05E2D86F-F912-46EC-AC5F-FF2F657631F6}" uniqueName="23" name="USA ACCESORIOS QUE NO CUMPLE CON EL CODIGO DE VESTIMENTA" queryTableFieldId="61" dataDxfId="64"/>
    <tableColumn id="24" xr3:uid="{E14AFA8F-FAA1-4AB7-9AC0-F166A219FDCF}" uniqueName="24" name="SE PRODUCE ABORDO PROACTIVO (ANTES DE LOS 3 MIN)" queryTableFieldId="62" dataDxfId="63"/>
    <tableColumn id="25" xr3:uid="{A96B0EE8-CC82-4EDE-AB83-DC04BB924EFD}" uniqueName="25" name="OFRECIO ALGUN PRODUCTO DEL PORTAFOLIO PURINA DE PRODUCTOS SECOS COMUNICANDO LOS BENEFICIOS DEL PRODUCTO" queryTableFieldId="63" dataDxfId="62"/>
    <tableColumn id="26" xr3:uid="{84A6AF92-2F18-486D-962D-1FCB1C783FD4}" uniqueName="26" name="OFRECIO ALGUN PRODUCTO DEL PORTAFOLIO PURINA DE PRODUCTOS HUMEDOS, SNACK U OTROS COMUNICANDO LOS BENEFICIOS DEL PRODUCTO" queryTableFieldId="64" dataDxfId="61"/>
    <tableColumn id="27" xr3:uid="{CA82029D-F386-45F1-B390-8AD2364620E0}" uniqueName="27" name="QUE CANAL VA A REALIZAR" queryTableFieldId="65" dataDxfId="60"/>
    <tableColumn id="29" xr3:uid="{BE5FD887-A7DF-4B69-B4BA-80E2B9CBE536}" uniqueName="29" name="M. OFRECE PURINA ONE: (APLICA SOLO EN CANAL MODERNO, CADENAS, SI EL PRODUCTO ESTA EN EL PDV)" queryTableFieldId="85" dataDxfId="59"/>
    <tableColumn id="30" xr3:uid="{53E30927-B94C-415F-8459-69A33C96888E}" uniqueName="30" name="M. MENCIONA QUE LOS RESULTADOS DE PURINA ONE SON VISIBLES EN 28 DIAS?" queryTableFieldId="86" dataDxfId="58"/>
    <tableColumn id="31" xr3:uid="{E23F3BA3-ADCE-491A-80D9-148F9A9EFA06}" uniqueName="31" name="M. MENCIONA QUE TIENE CARNE DE VERDAD COMO INGREDIENTE NO.1 E INGREDIENTES NATURALES Y FUNCIONALES?" queryTableFieldId="87" dataDxfId="57"/>
    <tableColumn id="35" xr3:uid="{90DC2B28-0D5F-4161-A9B1-C987351C9F98}" uniqueName="35" name="M. MENCIONA QUE PURINA ONE CUENTA CON ALIMENTO HUMEDO Y MENCIONA LAS 3 VARIADADES  ( SUPER FOODS, SUPER NUTRIENTES Y MULTI PROTEINAS);PERRO Y GATO" queryTableFieldId="88" dataDxfId="56"/>
    <tableColumn id="37" xr3:uid="{1C66C755-E119-441B-9E22-FA05D11E62A5}" uniqueName="37" name="M. MANEJA LA OBJECION DE ALTO PRECIO, COMUNICANDO LA BAJA DE PRECIOS DE LAS MARCAS O LAS OFERTAS DISPONIBLES EN EL PUNTO DE VENTA." queryTableFieldId="89" dataDxfId="55"/>
    <tableColumn id="38" xr3:uid="{A2F3ABCC-30E4-4F60-90FF-97EF5F27804C}" uniqueName="38" name="M. AL PRESENTAR OBJECIÓN &quot;PRECIO MUY COSTOSO&quot;, EL ASESOR OFRECE LOS PRODUCTOS EN ORDEN DE SEGMENTACIÓN: P: PURINA ONE - DOG CHOW - ALPO G: PURINA ONE - CAT CHOW - FELIX - GATSY ( &quot;DICE AHORA ES MAS SABROSO&quot;)" queryTableFieldId="90" dataDxfId="54"/>
    <tableColumn id="39" xr3:uid="{62503C39-BAC2-4D73-8EE0-4BBE748FFD0B}" uniqueName="39" name="M. EL ASESOR COMUNICA SOBRE LA ACTIVIDAD &quot;HOY GANAS MAÑANA TAMBIEN&quot;" queryTableFieldId="91" dataDxfId="53"/>
    <tableColumn id="40" xr3:uid="{30A70FC6-B4A2-4E68-8D9A-CB4828ADA152}" uniqueName="40" name="M. EL ASESOR EXPLICA CON CLARIDAD LA DINAMICA DE PARTICIPACIÓN" queryTableFieldId="92" dataDxfId="52"/>
    <tableColumn id="44" xr3:uid="{D565EAE5-55BE-442E-89C8-3EA94CE41903}" uniqueName="44" name="SE PRESENTARON OBJECIONES" queryTableFieldId="82" dataDxfId="51"/>
    <tableColumn id="9" xr3:uid="{A72646AF-1F4B-495C-86CA-77E5ABCE8CB1}" uniqueName="9" name="DE QUE TIPO ES LA OBJECION" queryTableFieldId="84" dataDxfId="50"/>
    <tableColumn id="33" xr3:uid="{00304BE6-6815-46A1-9411-4B016E15FA07}" uniqueName="33" name="RESUELVE LA OBJECION SATISFACTORIAMENTE" queryTableFieldId="71" dataDxfId="49"/>
    <tableColumn id="34" xr3:uid="{406F8114-D24A-4E74-AB3E-3EDFC0C0C677}" uniqueName="34" name="SE ENCUENTRA LIMPIA EL AREA DE DEMOSTRACION" queryTableFieldId="72" dataDxfId="48"/>
    <tableColumn id="41" xr3:uid="{F4A5B07A-C71D-4EED-9BA0-D35E2C27BBA5}" uniqueName="41" name="REALIZA CIERRE  CON FRASES &quot; DESEA LLEVARLO&quot; ,&quot;CUANTOS DESEARIA LLEVAR&quot; ,&quot; LE GUSTARIA ADQUIRIRLO&quot; , &quot; CUANTAS UNIDADES DESEA LLEVAR&quot; , &quot; LE GUSTARIA LLEVARLO EN PRESENTACIÓN HUMEDA O SECA&quot;" queryTableFieldId="93" dataDxfId="47"/>
    <tableColumn id="36" xr3:uid="{F9D9767F-6D8E-4BD6-9AD5-F0A53BDBE8AE}" uniqueName="36" name="CONSIDERO QUE INDEPENDIENTEMENTE DEL SPEECH, LA LABOR DE VENTA ES BUENA" queryTableFieldId="74" dataDxfId="46"/>
    <tableColumn id="28" xr3:uid="{2F75B5C2-5B33-4C3B-B50E-CDF76B7CE100}" uniqueName="28" name="EN CANAL E. LO PRIMERO QUE OFRECE EL ASESOR ES LA MARCA PRO PLAN?" queryTableFieldId="66" dataDxfId="45"/>
    <tableColumn id="42" xr3:uid="{B8C9BC21-0FBC-408C-8DE1-591F22504E70}" uniqueName="42" name="EN CANAL E. DESPUES DE OBJECION DE PRECIO, EL ASESOR OFRECIO LA MARCA EXCELLENT?" queryTableFieldId="94" dataDxfId="44"/>
    <tableColumn id="43" xr3:uid="{9BB1B3C2-AEB8-49B6-9AEE-733DD96B16DA}" uniqueName="43" name="EN CANAL E.  EL ASESOR COMUNICA QUE LA MARCA EXCELLENT ESTA DENTRO DE LA CATEGORIA SUPERPREMIUM PERO A UN COSTO MAS ACCESIBLE." queryTableFieldId="95" dataDxfId="43"/>
    <tableColumn id="47" xr3:uid="{F0E194A5-AFF7-45D6-8F8A-97E8D730A3A0}" uniqueName="47" name="EN CANAL E.  EL ASESOR COMUNICA LOS BENEFICIOS O CARACTERISTICAS DEL PRODUCTO EXCELLENT E INFORMA QUE EL PRODUCTO CAMBIO DE IMAGEN PERO CONTINUA CON LA MISMA FORMULA?" queryTableFieldId="96" dataDxfId="42"/>
    <tableColumn id="32" xr3:uid="{5D4030DF-98A7-4A08-867C-3034289189B3}" uniqueName="32" name="EN CANAL E., EL ASESOR OFRECE PRODUCTO HUMEDO Y COMUNICA LA DINAMICA DE MULTIPRICE (POR LA COMPRA DE MAS CANTIDADES TIENE DESCUENTO)." queryTableFieldId="70" dataDxfId="41"/>
    <tableColumn id="48" xr3:uid="{21A9DA3A-F3AE-4502-8B08-EE414A96ED5B}" uniqueName="48" name="EN CANAL E., EL ASESOR COMUNICA PROACTIVAMENTE LA ACTIVIDAD DE &quot;GANA AL INSTANTE&quot; (A PARTIR DEL 17 DE MARZO)" queryTableFieldId="97" dataDxfId="40"/>
    <tableColumn id="49" xr3:uid="{7DFECDB9-C288-406A-B8C8-F1967FA0D879}" uniqueName="49" name="EN CANAL E., EL ASESOR EXPLICA CON CLARIDAD LA ACTIVIDAD DE &quot;GANA AL INSTANTE&quot; (A PARTIR DEL 17 DE MARZO)" queryTableFieldId="98" dataDxfId="39"/>
    <tableColumn id="50" xr3:uid="{0CCD9DFE-9550-4874-9CB3-0719A730B6E8}" uniqueName="50" name="PRESENTA ALGUNA NOVEDAD?" queryTableFieldId="99" dataDxfId="38"/>
    <tableColumn id="51" xr3:uid="{AD325CEB-2DCB-4AD1-B39D-9C282EBB2777}" uniqueName="51" name="CUAL ES LA NOVEDAD" queryTableFieldId="100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352" totalsRowShown="0" dataDxfId="36">
  <autoFilter ref="A1:AC352" xr:uid="{DF097FD5-2AE4-4313-BF77-CBF36E66D478}"/>
  <tableColumns count="29">
    <tableColumn id="1" xr3:uid="{EEAB5D40-1395-44AC-989B-7BEBDB594890}" name="ACTIVIDAD" dataDxfId="35"/>
    <tableColumn id="2" xr3:uid="{7135FC02-E21A-4459-956C-B095998917BA}" name="REGIONAL" dataDxfId="34"/>
    <tableColumn id="3" xr3:uid="{A676BE8F-9D25-4608-AFA9-335EE953599F}" name="CIUDAD" dataDxfId="33"/>
    <tableColumn id="4" xr3:uid="{8C438510-9FA2-4A67-81E2-F5A249D8C2D8}" name="CANAL" dataDxfId="32"/>
    <tableColumn id="5" xr3:uid="{55468C83-E61B-4AC3-8AB6-7842CA8A8685}" name="CADENA" dataDxfId="31"/>
    <tableColumn id="6" xr3:uid="{319677CB-3518-4692-9804-576A90B637C6}" name="SUBCADENA" dataDxfId="30"/>
    <tableColumn id="7" xr3:uid="{280B06EB-BEEB-41FF-BD4D-C86267C96B51}" name="ZONA" dataDxfId="29"/>
    <tableColumn id="8" xr3:uid="{38318117-E4E5-4BBD-BCB8-A0CF5740AD2E}" name="RV" dataDxfId="28"/>
    <tableColumn id="9" xr3:uid="{AE249958-DA07-4D5E-8893-DA47B2F89DBB}" name="CODIGO PDV" dataDxfId="27"/>
    <tableColumn id="10" xr3:uid="{5063BA25-7363-4804-9209-6EF1C7FD9552}" name="NOMBRE COMERCIAL" dataDxfId="26"/>
    <tableColumn id="11" xr3:uid="{1CA31434-5FCA-4588-9EF7-31A85DF89C42}" name="CODIGO EAN" dataDxfId="25"/>
    <tableColumn id="12" xr3:uid="{F4C77DD5-927D-43C6-A19F-C551C82B3D0D}" name="TIPO PUNTO VENTA" dataDxfId="24"/>
    <tableColumn id="13" xr3:uid="{EF48160A-97DF-4C9A-9BBF-2ECC73BF528F}" name="CONSECUTIVO ENCUESTA" dataDxfId="23"/>
    <tableColumn id="14" xr3:uid="{6FA0BAC5-63D5-4D95-B588-F0B164135E47}" name="NOMBRE ENCUESTA" dataDxfId="22"/>
    <tableColumn id="15" xr3:uid="{7C6BC3DB-B9BC-4C72-ADB7-0BB7A62378BB}" name="PREGUNTA" dataDxfId="21"/>
    <tableColumn id="16" xr3:uid="{AB325775-AFD1-4793-A618-BF02FE3029AE}" name="RESPUESTA" dataDxfId="20"/>
    <tableColumn id="17" xr3:uid="{85D12482-E7F3-4879-B4F0-D80F64421259}" name="CODIGO FOTO" dataDxfId="19"/>
    <tableColumn id="18" xr3:uid="{01036A0B-7510-4B37-96FC-1C395DEDC179}" name="OBSERVACION" dataDxfId="18"/>
    <tableColumn id="19" xr3:uid="{2F24E07E-80CB-4EA2-9555-9AEB9E02C9EF}" name="FECHA VISITA" dataDxfId="17"/>
    <tableColumn id="20" xr3:uid="{DC9D56CE-D3BF-4EEF-90B5-C3152AB2A8A8}" name="FECHA INICIO VISITA" dataDxfId="16"/>
    <tableColumn id="21" xr3:uid="{8DDE28A9-EDD9-412B-B7A2-DF2644A996E9}" name="FECHA CREACIÓN RESPUESTA" dataDxfId="15"/>
    <tableColumn id="22" xr3:uid="{3A74E72D-F4BF-4E54-8634-EEEC35A8C032}" name="CODIGO RUTA" dataDxfId="14"/>
    <tableColumn id="23" xr3:uid="{0ADFC93D-A4B4-4C17-8A6B-A6D563B99FCD}" name="CLIENTE" dataDxfId="13"/>
    <tableColumn id="24" xr3:uid="{6908F565-FB85-4368-B2F7-297DF2BEFBCD}" name="CODIGO EXHIBICION" dataDxfId="12"/>
    <tableColumn id="25" xr3:uid="{AA5CE162-90D2-43B1-96A0-970F0C412A96}" name="NOMBRE EXHIBICION" dataDxfId="11"/>
    <tableColumn id="26" xr3:uid="{D2023860-446B-430D-8595-9C2C1438BED3}" name="NOMBRE USUARIO" dataDxfId="10"/>
    <tableColumn id="27" xr3:uid="{F11E0B94-0622-411D-9CA7-B259829B8A9F}" name="USUARIO" dataDxfId="9"/>
    <tableColumn id="28" xr3:uid="{E1B013E5-0581-4476-9D6C-3AFBAC21C681}" name="NOMBRE SUPERVISOR " dataDxfId="8"/>
    <tableColumn id="29" xr3:uid="{B64E6504-C110-44E6-B203-6C06A1F0FFB1}" name="USUARIO SUPERVISOR" dataDxfId="7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dimension ref="A1:U58"/>
  <sheetViews>
    <sheetView showGridLines="0" zoomScale="85" zoomScaleNormal="85" workbookViewId="0">
      <selection activeCell="E45" sqref="E45"/>
    </sheetView>
  </sheetViews>
  <sheetFormatPr baseColWidth="10" defaultColWidth="11.42578125" defaultRowHeight="15" x14ac:dyDescent="0.25"/>
  <cols>
    <col min="1" max="1" width="38.140625" customWidth="1"/>
    <col min="2" max="2" width="1.85546875" style="10" customWidth="1"/>
    <col min="3" max="3" width="8.5703125" customWidth="1"/>
    <col min="4" max="4" width="38" customWidth="1"/>
    <col min="5" max="5" width="20.7109375" customWidth="1"/>
    <col min="6" max="8" width="15.85546875" customWidth="1"/>
    <col min="9" max="9" width="19.7109375" customWidth="1"/>
    <col min="10" max="10" width="22.140625" customWidth="1"/>
    <col min="11" max="11" width="14" customWidth="1"/>
    <col min="12" max="12" width="13.140625" customWidth="1"/>
    <col min="13" max="13" width="18.42578125" customWidth="1"/>
    <col min="14" max="14" width="11.85546875" customWidth="1"/>
  </cols>
  <sheetData>
    <row r="1" spans="4:10" ht="23.45" customHeight="1" x14ac:dyDescent="0.25"/>
    <row r="3" spans="4:10" ht="21" x14ac:dyDescent="0.35">
      <c r="D3" s="11" t="s">
        <v>0</v>
      </c>
      <c r="E3" s="3"/>
      <c r="F3" s="3"/>
      <c r="G3" s="3"/>
      <c r="H3" s="3"/>
      <c r="I3" s="3"/>
      <c r="J3" s="3"/>
    </row>
    <row r="4" spans="4:10" x14ac:dyDescent="0.25">
      <c r="D4" s="19" t="s">
        <v>1</v>
      </c>
      <c r="E4" s="21" t="s">
        <v>2</v>
      </c>
      <c r="F4" s="21" t="s">
        <v>3</v>
      </c>
      <c r="G4" s="22" t="s">
        <v>4</v>
      </c>
      <c r="H4" s="21" t="s">
        <v>5</v>
      </c>
      <c r="I4" s="21" t="s">
        <v>6</v>
      </c>
      <c r="J4" s="22" t="s">
        <v>7</v>
      </c>
    </row>
    <row r="5" spans="4:10" x14ac:dyDescent="0.25">
      <c r="D5" s="2" t="s">
        <v>9</v>
      </c>
      <c r="E5" s="3">
        <v>4</v>
      </c>
      <c r="F5" s="3">
        <v>4</v>
      </c>
      <c r="G5" s="4">
        <v>1</v>
      </c>
      <c r="H5" s="3">
        <v>4</v>
      </c>
      <c r="I5" s="3">
        <v>4</v>
      </c>
      <c r="J5" s="4">
        <v>1</v>
      </c>
    </row>
    <row r="6" spans="4:10" x14ac:dyDescent="0.25">
      <c r="D6" s="2" t="s">
        <v>8</v>
      </c>
      <c r="E6" s="3">
        <v>9</v>
      </c>
      <c r="F6" s="3">
        <v>9</v>
      </c>
      <c r="G6" s="4">
        <v>1</v>
      </c>
      <c r="H6" s="3">
        <v>9</v>
      </c>
      <c r="I6" s="3">
        <v>6</v>
      </c>
      <c r="J6" s="4">
        <v>0.66666666666666663</v>
      </c>
    </row>
    <row r="7" spans="4:10" x14ac:dyDescent="0.25">
      <c r="D7" s="2" t="s">
        <v>194</v>
      </c>
      <c r="E7" s="3">
        <v>2</v>
      </c>
      <c r="F7" s="3">
        <v>2</v>
      </c>
      <c r="G7" s="4">
        <v>1</v>
      </c>
      <c r="H7" s="3">
        <v>2</v>
      </c>
      <c r="I7" s="3">
        <v>1</v>
      </c>
      <c r="J7" s="4">
        <v>0.5</v>
      </c>
    </row>
    <row r="8" spans="4:10" x14ac:dyDescent="0.25">
      <c r="D8" s="2" t="s">
        <v>62</v>
      </c>
      <c r="E8" s="3">
        <v>1</v>
      </c>
      <c r="F8" s="3">
        <v>1</v>
      </c>
      <c r="G8" s="4">
        <v>1</v>
      </c>
      <c r="H8" s="3">
        <v>1</v>
      </c>
      <c r="I8" s="3">
        <v>0</v>
      </c>
      <c r="J8" s="4">
        <v>0</v>
      </c>
    </row>
    <row r="9" spans="4:10" x14ac:dyDescent="0.25">
      <c r="D9" s="23" t="s">
        <v>10</v>
      </c>
      <c r="E9" s="134">
        <v>16</v>
      </c>
      <c r="F9" s="134">
        <v>16</v>
      </c>
      <c r="G9" s="17">
        <v>1</v>
      </c>
      <c r="H9" s="134">
        <v>16</v>
      </c>
      <c r="I9" s="134">
        <v>11</v>
      </c>
      <c r="J9" s="20">
        <v>0.6875</v>
      </c>
    </row>
    <row r="12" spans="4:10" x14ac:dyDescent="0.25">
      <c r="E12" s="3"/>
      <c r="F12" s="3"/>
    </row>
    <row r="13" spans="4:10" ht="21" x14ac:dyDescent="0.35">
      <c r="D13" s="11" t="s">
        <v>11</v>
      </c>
      <c r="E13" s="3"/>
      <c r="F13" s="3"/>
      <c r="G13" s="3"/>
      <c r="H13" s="3"/>
    </row>
    <row r="14" spans="4:10" hidden="1" x14ac:dyDescent="0.25">
      <c r="D14" s="1" t="s">
        <v>12</v>
      </c>
      <c r="E14" s="41" t="s">
        <v>13</v>
      </c>
      <c r="F14" s="3"/>
      <c r="G14" s="3"/>
      <c r="H14" s="3"/>
    </row>
    <row r="15" spans="4:10" x14ac:dyDescent="0.25">
      <c r="D15" s="1" t="s">
        <v>14</v>
      </c>
      <c r="E15" s="3" t="s">
        <v>15</v>
      </c>
      <c r="F15" s="3" t="s">
        <v>16</v>
      </c>
      <c r="G15" s="3" t="s">
        <v>63</v>
      </c>
      <c r="H15" s="5" t="s">
        <v>297</v>
      </c>
    </row>
    <row r="16" spans="4:10" x14ac:dyDescent="0.25">
      <c r="D16" s="2" t="s">
        <v>19</v>
      </c>
      <c r="E16" s="4">
        <v>1</v>
      </c>
      <c r="F16" s="4">
        <v>1</v>
      </c>
      <c r="G16" s="4">
        <v>1</v>
      </c>
      <c r="H16" s="4">
        <v>1</v>
      </c>
    </row>
    <row r="17" spans="2:14" x14ac:dyDescent="0.25">
      <c r="D17" s="2" t="s">
        <v>17</v>
      </c>
      <c r="E17" s="4">
        <v>1</v>
      </c>
      <c r="F17" s="4">
        <v>1</v>
      </c>
      <c r="G17" s="4">
        <v>1</v>
      </c>
      <c r="H17" s="4">
        <v>1</v>
      </c>
    </row>
    <row r="18" spans="2:14" x14ac:dyDescent="0.25">
      <c r="D18" s="2" t="s">
        <v>20</v>
      </c>
      <c r="E18" s="4">
        <v>0.9</v>
      </c>
      <c r="F18" s="4">
        <v>0.93333333333333335</v>
      </c>
      <c r="G18" s="4">
        <v>1</v>
      </c>
      <c r="H18" s="4">
        <v>0.91818181818181821</v>
      </c>
    </row>
    <row r="19" spans="2:14" s="72" customFormat="1" x14ac:dyDescent="0.25">
      <c r="B19" s="137"/>
      <c r="D19" s="136" t="s">
        <v>21</v>
      </c>
      <c r="E19" s="4">
        <v>0.83760683760683752</v>
      </c>
      <c r="F19" s="4">
        <v>0.63143631436314351</v>
      </c>
      <c r="G19" s="4">
        <v>0.6428571428571429</v>
      </c>
      <c r="H19" s="4">
        <v>0.76190476190476231</v>
      </c>
    </row>
    <row r="20" spans="2:14" x14ac:dyDescent="0.25">
      <c r="D20" s="2" t="s">
        <v>18</v>
      </c>
      <c r="E20" s="4">
        <v>0.6428571428571429</v>
      </c>
      <c r="F20" s="4">
        <v>0.66666666666666663</v>
      </c>
      <c r="G20" s="4">
        <v>0.5</v>
      </c>
      <c r="H20" s="4">
        <v>0.63636363636363635</v>
      </c>
    </row>
    <row r="21" spans="2:14" x14ac:dyDescent="0.25">
      <c r="D21" s="2" t="s">
        <v>297</v>
      </c>
      <c r="E21" s="13">
        <v>0.88769035532994933</v>
      </c>
      <c r="F21" s="13">
        <v>0.8407329105003527</v>
      </c>
      <c r="G21" s="13">
        <v>0.8660714285714286</v>
      </c>
      <c r="H21" s="15">
        <v>0.8725569212170059</v>
      </c>
    </row>
    <row r="22" spans="2:14" x14ac:dyDescent="0.25">
      <c r="E22" s="3"/>
      <c r="F22" s="3"/>
      <c r="G22" s="3"/>
      <c r="H22" s="3"/>
    </row>
    <row r="23" spans="2:14" x14ac:dyDescent="0.25">
      <c r="E23" s="3"/>
      <c r="F23" s="3"/>
      <c r="G23" s="3"/>
      <c r="H23" s="3"/>
    </row>
    <row r="24" spans="2:14" x14ac:dyDescent="0.25">
      <c r="E24" s="3"/>
      <c r="F24" s="3"/>
      <c r="G24" s="3"/>
      <c r="H24" s="3"/>
    </row>
    <row r="25" spans="2:14" x14ac:dyDescent="0.25">
      <c r="E25" s="3"/>
      <c r="F25" s="42"/>
      <c r="G25" s="3"/>
      <c r="H25" s="3"/>
    </row>
    <row r="26" spans="2:14" ht="21" x14ac:dyDescent="0.25">
      <c r="D26" s="12" t="s">
        <v>22</v>
      </c>
      <c r="E26" s="3"/>
      <c r="F26" s="3"/>
      <c r="G26" s="3"/>
      <c r="H26" s="3"/>
    </row>
    <row r="27" spans="2:14" hidden="1" x14ac:dyDescent="0.25">
      <c r="D27" s="1" t="s">
        <v>12</v>
      </c>
      <c r="E27" s="41" t="s">
        <v>13</v>
      </c>
      <c r="F27" s="3"/>
      <c r="G27" s="3"/>
      <c r="H27" s="3"/>
    </row>
    <row r="28" spans="2:14" x14ac:dyDescent="0.25">
      <c r="D28" s="1" t="s">
        <v>14</v>
      </c>
      <c r="E28" s="3" t="s">
        <v>8</v>
      </c>
      <c r="F28" s="3" t="s">
        <v>9</v>
      </c>
      <c r="G28" s="3" t="s">
        <v>194</v>
      </c>
      <c r="H28" s="5" t="s">
        <v>297</v>
      </c>
    </row>
    <row r="29" spans="2:14" x14ac:dyDescent="0.25">
      <c r="D29" s="2" t="s">
        <v>19</v>
      </c>
      <c r="E29" s="4">
        <v>1</v>
      </c>
      <c r="F29" s="4">
        <v>1</v>
      </c>
      <c r="G29" s="4">
        <v>1</v>
      </c>
      <c r="H29" s="4">
        <v>1</v>
      </c>
    </row>
    <row r="30" spans="2:14" x14ac:dyDescent="0.25">
      <c r="D30" s="2" t="s">
        <v>17</v>
      </c>
      <c r="E30" s="4">
        <v>1</v>
      </c>
      <c r="F30" s="4">
        <v>1</v>
      </c>
      <c r="G30" s="4">
        <v>1</v>
      </c>
      <c r="H30" s="4">
        <v>1</v>
      </c>
    </row>
    <row r="31" spans="2:14" x14ac:dyDescent="0.25">
      <c r="D31" s="2" t="s">
        <v>20</v>
      </c>
      <c r="E31" s="4">
        <v>0.9</v>
      </c>
      <c r="F31" s="4">
        <v>0.97499999999999998</v>
      </c>
      <c r="G31" s="4">
        <v>0.8</v>
      </c>
      <c r="H31" s="4">
        <v>0.91818181818181821</v>
      </c>
      <c r="N31" s="2"/>
    </row>
    <row r="32" spans="2:14" x14ac:dyDescent="0.25">
      <c r="D32" s="79" t="s">
        <v>21</v>
      </c>
      <c r="E32" s="4">
        <v>0.83579881656804722</v>
      </c>
      <c r="F32" s="4">
        <v>0.64776119402985066</v>
      </c>
      <c r="G32" s="4">
        <v>0.6470588235294118</v>
      </c>
      <c r="H32" s="4">
        <v>0.7619047619047622</v>
      </c>
    </row>
    <row r="33" spans="1:12" x14ac:dyDescent="0.25">
      <c r="D33" s="2" t="s">
        <v>18</v>
      </c>
      <c r="E33" s="4">
        <v>0.58333333333333337</v>
      </c>
      <c r="F33" s="4">
        <v>0.625</v>
      </c>
      <c r="G33" s="4">
        <v>1</v>
      </c>
      <c r="H33" s="4">
        <v>0.63636363636363635</v>
      </c>
    </row>
    <row r="34" spans="1:12" x14ac:dyDescent="0.25">
      <c r="D34" s="2" t="s">
        <v>297</v>
      </c>
      <c r="E34" s="13">
        <v>0.8762608069164266</v>
      </c>
      <c r="F34" s="13">
        <v>0.86282420749279565</v>
      </c>
      <c r="G34" s="13">
        <v>0.88716814159292035</v>
      </c>
      <c r="H34" s="15">
        <v>0.8725569212170059</v>
      </c>
    </row>
    <row r="35" spans="1:12" x14ac:dyDescent="0.25">
      <c r="D35" s="2"/>
      <c r="E35" s="3"/>
      <c r="F35" s="3"/>
      <c r="G35" s="3"/>
      <c r="H35" s="3"/>
    </row>
    <row r="36" spans="1:12" x14ac:dyDescent="0.25">
      <c r="D36" s="135" t="s">
        <v>23</v>
      </c>
      <c r="E36" t="s">
        <v>120</v>
      </c>
    </row>
    <row r="37" spans="1:12" ht="21" x14ac:dyDescent="0.35">
      <c r="A37" t="s">
        <v>122</v>
      </c>
      <c r="D37" s="11" t="s">
        <v>25</v>
      </c>
    </row>
    <row r="38" spans="1:12" hidden="1" x14ac:dyDescent="0.25">
      <c r="D38" s="1" t="s">
        <v>12</v>
      </c>
      <c r="G38" s="1" t="s">
        <v>14</v>
      </c>
    </row>
    <row r="39" spans="1:12" ht="30" x14ac:dyDescent="0.25">
      <c r="D39" s="25" t="s">
        <v>1</v>
      </c>
      <c r="E39" s="25" t="s">
        <v>26</v>
      </c>
      <c r="F39" s="25" t="s">
        <v>27</v>
      </c>
      <c r="G39" s="65" t="s">
        <v>19</v>
      </c>
      <c r="H39" s="65" t="s">
        <v>17</v>
      </c>
      <c r="I39" s="65" t="s">
        <v>18</v>
      </c>
      <c r="J39" s="65" t="s">
        <v>21</v>
      </c>
      <c r="K39" s="65" t="s">
        <v>20</v>
      </c>
      <c r="L39" s="24" t="s">
        <v>297</v>
      </c>
    </row>
    <row r="40" spans="1:12" x14ac:dyDescent="0.25">
      <c r="D40" s="14" t="s">
        <v>8</v>
      </c>
      <c r="E40" t="s">
        <v>15</v>
      </c>
      <c r="F40" t="s">
        <v>218</v>
      </c>
      <c r="G40" s="4">
        <v>1</v>
      </c>
      <c r="H40" s="4">
        <v>1</v>
      </c>
      <c r="I40" s="4">
        <v>1</v>
      </c>
      <c r="J40" s="4">
        <v>1</v>
      </c>
      <c r="K40" s="4">
        <v>0.8</v>
      </c>
      <c r="L40" s="4">
        <v>0.9668141592920354</v>
      </c>
    </row>
    <row r="41" spans="1:12" x14ac:dyDescent="0.25">
      <c r="D41" s="14" t="s">
        <v>8</v>
      </c>
      <c r="E41" t="s">
        <v>15</v>
      </c>
      <c r="F41" t="s">
        <v>211</v>
      </c>
      <c r="G41" s="4">
        <v>1</v>
      </c>
      <c r="H41" s="4">
        <v>1</v>
      </c>
      <c r="I41" s="4">
        <v>0.5</v>
      </c>
      <c r="J41" s="4">
        <v>0.88235294117647067</v>
      </c>
      <c r="K41" s="4">
        <v>0.9</v>
      </c>
      <c r="L41" s="4">
        <v>0.87389380530973448</v>
      </c>
    </row>
    <row r="42" spans="1:12" x14ac:dyDescent="0.25">
      <c r="D42" s="14" t="s">
        <v>8</v>
      </c>
      <c r="E42" t="s">
        <v>15</v>
      </c>
      <c r="F42" t="s">
        <v>207</v>
      </c>
      <c r="G42" s="4">
        <v>1</v>
      </c>
      <c r="H42" s="4">
        <v>1</v>
      </c>
      <c r="I42" s="4">
        <v>0.5</v>
      </c>
      <c r="J42" s="4">
        <v>0.7142857142857143</v>
      </c>
      <c r="K42" s="4">
        <v>1</v>
      </c>
      <c r="L42" s="4">
        <v>0.84558823529411753</v>
      </c>
    </row>
    <row r="43" spans="1:12" x14ac:dyDescent="0.25">
      <c r="D43" s="14" t="s">
        <v>8</v>
      </c>
      <c r="E43" t="s">
        <v>15</v>
      </c>
      <c r="F43" t="s">
        <v>221</v>
      </c>
      <c r="G43" s="4">
        <v>1</v>
      </c>
      <c r="H43" s="4">
        <v>1</v>
      </c>
      <c r="I43" s="4">
        <v>0</v>
      </c>
      <c r="J43" s="4">
        <v>0.83333333333333337</v>
      </c>
      <c r="K43" s="4">
        <v>0.9</v>
      </c>
      <c r="L43" s="4">
        <v>0.77840909090909094</v>
      </c>
    </row>
    <row r="44" spans="1:12" x14ac:dyDescent="0.25">
      <c r="D44" s="14" t="s">
        <v>8</v>
      </c>
      <c r="E44" t="s">
        <v>16</v>
      </c>
      <c r="F44" t="s">
        <v>205</v>
      </c>
      <c r="G44" s="4">
        <v>1</v>
      </c>
      <c r="H44" s="4">
        <v>1</v>
      </c>
      <c r="I44" s="4">
        <v>1</v>
      </c>
      <c r="J44" s="4">
        <v>1</v>
      </c>
      <c r="K44" s="4">
        <v>0.9</v>
      </c>
      <c r="L44" s="4">
        <v>0.9843096234309624</v>
      </c>
    </row>
    <row r="45" spans="1:12" x14ac:dyDescent="0.25">
      <c r="D45" s="14" t="s">
        <v>8</v>
      </c>
      <c r="E45" t="s">
        <v>16</v>
      </c>
      <c r="F45" t="s">
        <v>237</v>
      </c>
      <c r="G45" s="4">
        <v>1</v>
      </c>
      <c r="H45" s="4">
        <v>1</v>
      </c>
      <c r="I45" s="4">
        <v>0.5</v>
      </c>
      <c r="J45" s="4">
        <v>0.625</v>
      </c>
      <c r="K45" s="4">
        <v>0.9</v>
      </c>
      <c r="L45" s="4">
        <v>0.80543933054393302</v>
      </c>
    </row>
    <row r="46" spans="1:12" x14ac:dyDescent="0.25">
      <c r="D46" t="s">
        <v>9</v>
      </c>
      <c r="E46" t="s">
        <v>15</v>
      </c>
      <c r="F46" t="s">
        <v>190</v>
      </c>
      <c r="G46" s="4">
        <v>1</v>
      </c>
      <c r="H46" s="4">
        <v>1</v>
      </c>
      <c r="I46" s="4">
        <v>1</v>
      </c>
      <c r="J46" s="4">
        <v>1</v>
      </c>
      <c r="K46" s="4">
        <v>0.9</v>
      </c>
      <c r="L46" s="4">
        <v>0.98295454545454541</v>
      </c>
    </row>
    <row r="47" spans="1:12" x14ac:dyDescent="0.25">
      <c r="D47" t="s">
        <v>9</v>
      </c>
      <c r="E47" t="s">
        <v>15</v>
      </c>
      <c r="F47" t="s">
        <v>253</v>
      </c>
      <c r="G47" s="4">
        <v>1</v>
      </c>
      <c r="H47" s="4">
        <v>1</v>
      </c>
      <c r="I47" s="4">
        <v>0.5</v>
      </c>
      <c r="J47" s="4">
        <v>0.83333333333333348</v>
      </c>
      <c r="K47" s="4">
        <v>1</v>
      </c>
      <c r="L47" s="4">
        <v>0.88068181818181801</v>
      </c>
    </row>
    <row r="48" spans="1:12" x14ac:dyDescent="0.25">
      <c r="D48" t="s">
        <v>9</v>
      </c>
      <c r="E48" t="s">
        <v>16</v>
      </c>
      <c r="F48" t="s">
        <v>242</v>
      </c>
      <c r="G48" s="4">
        <v>1</v>
      </c>
      <c r="H48" s="4">
        <v>1</v>
      </c>
      <c r="I48" s="4">
        <v>0.5</v>
      </c>
      <c r="J48" s="4">
        <v>0.22123893805309736</v>
      </c>
      <c r="K48" s="4">
        <v>1</v>
      </c>
      <c r="L48" s="4">
        <v>0.72894168466522657</v>
      </c>
    </row>
    <row r="49" spans="4:21" x14ac:dyDescent="0.25">
      <c r="D49" t="s">
        <v>9</v>
      </c>
      <c r="E49" t="s">
        <v>63</v>
      </c>
      <c r="F49" t="s">
        <v>127</v>
      </c>
      <c r="G49" s="4">
        <v>1</v>
      </c>
      <c r="H49" s="4">
        <v>1</v>
      </c>
      <c r="I49" s="4">
        <v>0.5</v>
      </c>
      <c r="J49" s="4">
        <v>0.6428571428571429</v>
      </c>
      <c r="K49" s="4">
        <v>1</v>
      </c>
      <c r="L49" s="4">
        <v>0.8660714285714286</v>
      </c>
    </row>
    <row r="50" spans="4:21" x14ac:dyDescent="0.25">
      <c r="D50" s="14" t="s">
        <v>194</v>
      </c>
      <c r="E50" t="s">
        <v>15</v>
      </c>
      <c r="F50" t="s">
        <v>247</v>
      </c>
      <c r="G50" s="4">
        <v>1</v>
      </c>
      <c r="H50" s="4">
        <v>1</v>
      </c>
      <c r="I50" s="4">
        <v>1</v>
      </c>
      <c r="J50" s="4">
        <v>0.6470588235294118</v>
      </c>
      <c r="K50" s="4">
        <v>0.8</v>
      </c>
      <c r="L50" s="4">
        <v>0.88716814159292012</v>
      </c>
    </row>
    <row r="51" spans="4:21" x14ac:dyDescent="0.25">
      <c r="D51" s="14" t="s">
        <v>297</v>
      </c>
      <c r="E51" s="14"/>
      <c r="F51" s="14"/>
      <c r="G51" s="13">
        <v>1</v>
      </c>
      <c r="H51" s="13">
        <v>1</v>
      </c>
      <c r="I51" s="13">
        <v>0.63636363636363635</v>
      </c>
      <c r="J51" s="13">
        <v>0.7619047619047622</v>
      </c>
      <c r="K51" s="13">
        <v>0.91818181818181821</v>
      </c>
      <c r="L51" s="15">
        <v>0.87255692121700568</v>
      </c>
    </row>
    <row r="58" spans="4:21" x14ac:dyDescent="0.25">
      <c r="U58" s="4"/>
    </row>
  </sheetData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80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H16:H21</xm:sqref>
        </x14:conditionalFormatting>
        <x14:conditionalFormatting xmlns:xm="http://schemas.microsoft.com/office/excel/2006/main" pivot="1">
          <x14:cfRule type="iconSet" priority="77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H29:H34</xm:sqref>
        </x14:conditionalFormatting>
        <x14:conditionalFormatting xmlns:xm="http://schemas.microsoft.com/office/excel/2006/main" pivot="1">
          <x14:cfRule type="iconSet" priority="70" id="{B74256D8-C2EA-4EA7-A1C5-07F3712318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E29:E34</xm:sqref>
        </x14:conditionalFormatting>
        <x14:conditionalFormatting xmlns:xm="http://schemas.microsoft.com/office/excel/2006/main">
          <x14:cfRule type="iconSet" priority="68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U58</xm:sqref>
        </x14:conditionalFormatting>
        <x14:conditionalFormatting xmlns:xm="http://schemas.microsoft.com/office/excel/2006/main" pivot="1">
          <x14:cfRule type="iconSet" priority="35" id="{48ED08B5-7184-45CB-BEC6-1BAE2D11704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K40:K51 L40:L51</xm:sqref>
        </x14:conditionalFormatting>
        <x14:conditionalFormatting xmlns:xm="http://schemas.microsoft.com/office/excel/2006/main" pivot="1">
          <x14:cfRule type="iconSet" priority="17" id="{A0A93A74-37F7-4237-8BAF-9957A71F19C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H40:H51</xm:sqref>
        </x14:conditionalFormatting>
        <x14:conditionalFormatting xmlns:xm="http://schemas.microsoft.com/office/excel/2006/main" pivot="1">
          <x14:cfRule type="iconSet" priority="12" id="{B909DC72-15B9-47A5-B615-93EBFB40707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F29:F33</xm:sqref>
        </x14:conditionalFormatting>
        <x14:conditionalFormatting xmlns:xm="http://schemas.microsoft.com/office/excel/2006/main" pivot="1">
          <x14:cfRule type="iconSet" priority="11" id="{6571E398-2A4B-4FE6-9D02-728F12871DF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F34</xm:sqref>
        </x14:conditionalFormatting>
        <x14:conditionalFormatting xmlns:xm="http://schemas.microsoft.com/office/excel/2006/main" pivot="1">
          <x14:cfRule type="iconSet" priority="9" id="{A67177D7-8139-4776-9502-EFD0E47D9F3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G40:G51</xm:sqref>
        </x14:conditionalFormatting>
        <x14:conditionalFormatting xmlns:xm="http://schemas.microsoft.com/office/excel/2006/main" pivot="1">
          <x14:cfRule type="iconSet" priority="8" id="{FC44E266-5A9E-47D1-BE9B-C107776E683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I40:I51</xm:sqref>
        </x14:conditionalFormatting>
        <x14:conditionalFormatting xmlns:xm="http://schemas.microsoft.com/office/excel/2006/main" pivot="1">
          <x14:cfRule type="iconSet" priority="6" id="{FD626CE3-A592-4F7E-9AD8-BB7A469CF45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J40:J51</xm:sqref>
        </x14:conditionalFormatting>
        <x14:conditionalFormatting xmlns:xm="http://schemas.microsoft.com/office/excel/2006/main" pivot="1">
          <x14:cfRule type="iconSet" priority="5" id="{17CD69D2-CF88-4D0E-9257-858A99C7BF3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E16:E20</xm:sqref>
        </x14:conditionalFormatting>
        <x14:conditionalFormatting xmlns:xm="http://schemas.microsoft.com/office/excel/2006/main" pivot="1">
          <x14:cfRule type="iconSet" priority="4" id="{D555E547-43AB-4811-A92C-75D94005233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E21</xm:sqref>
        </x14:conditionalFormatting>
        <x14:conditionalFormatting xmlns:xm="http://schemas.microsoft.com/office/excel/2006/main" pivot="1">
          <x14:cfRule type="iconSet" priority="3" id="{78C9A776-785D-400B-AB5E-E9C77C58373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F16:F20</xm:sqref>
        </x14:conditionalFormatting>
        <x14:conditionalFormatting xmlns:xm="http://schemas.microsoft.com/office/excel/2006/main" pivot="1">
          <x14:cfRule type="iconSet" priority="2" id="{E5F5F36A-FDFE-4CFA-95ED-514ABA1D885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G16:G20</xm:sqref>
        </x14:conditionalFormatting>
        <x14:conditionalFormatting xmlns:xm="http://schemas.microsoft.com/office/excel/2006/main" pivot="1">
          <x14:cfRule type="iconSet" priority="1" id="{DC7400E6-EED9-4582-8B3D-212A3958E91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G29:G33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dimension ref="A1:U342"/>
  <sheetViews>
    <sheetView showGridLines="0" zoomScale="98" zoomScaleNormal="130" workbookViewId="0">
      <selection activeCell="F5" sqref="F5"/>
    </sheetView>
  </sheetViews>
  <sheetFormatPr baseColWidth="10" defaultColWidth="11.42578125" defaultRowHeight="15" x14ac:dyDescent="0.25"/>
  <cols>
    <col min="1" max="1" width="14.42578125" bestFit="1" customWidth="1"/>
    <col min="2" max="3" width="14.28515625" bestFit="1" customWidth="1"/>
    <col min="4" max="4" width="16.7109375" bestFit="1" customWidth="1"/>
    <col min="5" max="5" width="15.140625" bestFit="1" customWidth="1"/>
    <col min="6" max="6" width="54.140625" bestFit="1" customWidth="1"/>
    <col min="7" max="8" width="81.140625" bestFit="1" customWidth="1"/>
    <col min="9" max="9" width="15.42578125" bestFit="1" customWidth="1"/>
    <col min="10" max="10" width="16.140625" bestFit="1" customWidth="1"/>
    <col min="11" max="11" width="11.42578125" customWidth="1"/>
    <col min="12" max="12" width="21.140625" bestFit="1" customWidth="1"/>
    <col min="13" max="13" width="35.85546875" bestFit="1" customWidth="1"/>
    <col min="14" max="14" width="17.140625" bestFit="1" customWidth="1"/>
    <col min="15" max="15" width="17.28515625" hidden="1" customWidth="1"/>
    <col min="16" max="16" width="21.28515625" bestFit="1" customWidth="1"/>
    <col min="17" max="17" width="12.42578125" hidden="1" customWidth="1"/>
    <col min="18" max="18" width="12.42578125" bestFit="1" customWidth="1" collapsed="1"/>
    <col min="19" max="19" width="12.42578125" bestFit="1" customWidth="1"/>
    <col min="22" max="23" width="0" hidden="1" customWidth="1"/>
  </cols>
  <sheetData>
    <row r="1" spans="1:21" x14ac:dyDescent="0.25">
      <c r="A1" t="s">
        <v>28</v>
      </c>
      <c r="B1" t="s">
        <v>1</v>
      </c>
      <c r="C1" t="s">
        <v>26</v>
      </c>
      <c r="D1" t="s">
        <v>29</v>
      </c>
      <c r="E1" t="s">
        <v>30</v>
      </c>
      <c r="F1" t="s">
        <v>27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s="33" t="s">
        <v>23</v>
      </c>
      <c r="M1" t="s">
        <v>14</v>
      </c>
      <c r="N1" t="s">
        <v>36</v>
      </c>
      <c r="O1" s="34" t="s">
        <v>37</v>
      </c>
      <c r="P1" t="s">
        <v>38</v>
      </c>
      <c r="Q1" t="s">
        <v>119</v>
      </c>
      <c r="T1" t="s">
        <v>123</v>
      </c>
      <c r="U1" t="s">
        <v>124</v>
      </c>
    </row>
    <row r="2" spans="1:21" x14ac:dyDescent="0.25">
      <c r="A2" s="72" t="s">
        <v>39</v>
      </c>
      <c r="B2" s="72" t="s">
        <v>9</v>
      </c>
      <c r="C2" t="s">
        <v>63</v>
      </c>
      <c r="D2" s="72" t="s">
        <v>125</v>
      </c>
      <c r="E2" s="72">
        <v>66552</v>
      </c>
      <c r="F2" s="72" t="s">
        <v>127</v>
      </c>
      <c r="G2" s="72" t="s">
        <v>40</v>
      </c>
      <c r="H2" s="72" t="s">
        <v>24</v>
      </c>
      <c r="I2" s="73">
        <v>45729</v>
      </c>
      <c r="J2" s="72">
        <v>26388644</v>
      </c>
      <c r="K2" s="72" t="s">
        <v>135</v>
      </c>
      <c r="L2" s="72" t="str">
        <f>_xlfn.XLOOKUP(Tabla2__2[[#This Row],[CODIGO RUTA]],'DATA INFORME'!I:I,'DATA INFORME'!K:K)</f>
        <v>SI</v>
      </c>
      <c r="M2" s="72" t="str">
        <f>IF(Tabla2__2[[#This Row],[MYSTERY EFECTIVO]]="SI",_xlfn.XLOOKUP(Tabla2__2[[#This Row],[PREGUNTA]],ENCUESTA!G:G,ENCUESTA!D:D),"N/A")</f>
        <v>HORARIO</v>
      </c>
      <c r="N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" s="72" t="str">
        <f>_xlfn.XLOOKUP(Tabla2__2[[#This Row],[PREGUNTA]],ENCUESTA!G:G,ENCUESTA!H:H)</f>
        <v>SI</v>
      </c>
      <c r="P2" s="72">
        <f>IF(Tabla2__2[[#This Row],[RTA]]=Tabla2__2[[#This Row],[RTA CORRECTA]],Tabla2__2[[#This Row],[TOTAL PUNTAJE]],0)</f>
        <v>20</v>
      </c>
      <c r="Q2" s="72">
        <f t="shared" ref="Q2:Q65" si="0">IF(OR(H2="Dog Chow húmedo",H2="Cat Chow húmedo",H2="Fancy Feast",H2="Felix",H2="Proplan húmedo",H2="One húmedo",H2="Snack Abrazzos",H2="Snak Dentalife",H2="Arenilla Tidy Cat"),N2,0)</f>
        <v>0</v>
      </c>
    </row>
    <row r="3" spans="1:21" x14ac:dyDescent="0.25">
      <c r="A3" s="72" t="s">
        <v>39</v>
      </c>
      <c r="B3" s="72" t="s">
        <v>9</v>
      </c>
      <c r="C3" t="s">
        <v>63</v>
      </c>
      <c r="D3" s="72" t="s">
        <v>125</v>
      </c>
      <c r="E3" s="72">
        <v>66552</v>
      </c>
      <c r="F3" s="72" t="s">
        <v>127</v>
      </c>
      <c r="G3" s="72" t="s">
        <v>139</v>
      </c>
      <c r="H3" s="72" t="s">
        <v>118</v>
      </c>
      <c r="I3" s="73">
        <v>45729</v>
      </c>
      <c r="J3" s="72">
        <v>26388644</v>
      </c>
      <c r="K3" s="72" t="s">
        <v>135</v>
      </c>
      <c r="L3" s="72" t="str">
        <f>_xlfn.XLOOKUP(Tabla2__2[[#This Row],[CODIGO RUTA]],'DATA INFORME'!I:I,'DATA INFORME'!K:K)</f>
        <v>SI</v>
      </c>
      <c r="M3" s="72" t="str">
        <f>IF(Tabla2__2[[#This Row],[MYSTERY EFECTIVO]]="SI",_xlfn.XLOOKUP(Tabla2__2[[#This Row],[PREGUNTA]],ENCUESTA!G:G,ENCUESTA!D:D),"N/A")</f>
        <v>PORTAFOLIO Y MANEJO DE OBJECIONES</v>
      </c>
      <c r="N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" s="72" t="str">
        <f>_xlfn.XLOOKUP(Tabla2__2[[#This Row],[PREGUNTA]],ENCUESTA!G:G,ENCUESTA!H:H)</f>
        <v>SI</v>
      </c>
      <c r="P3" s="72">
        <f>IF(Tabla2__2[[#This Row],[RTA]]=Tabla2__2[[#This Row],[RTA CORRECTA]],Tabla2__2[[#This Row],[TOTAL PUNTAJE]],0)</f>
        <v>0</v>
      </c>
      <c r="Q3" s="72">
        <f t="shared" si="0"/>
        <v>0</v>
      </c>
    </row>
    <row r="4" spans="1:21" x14ac:dyDescent="0.25">
      <c r="A4" s="72" t="s">
        <v>39</v>
      </c>
      <c r="B4" s="72" t="s">
        <v>9</v>
      </c>
      <c r="C4" t="s">
        <v>63</v>
      </c>
      <c r="D4" s="72" t="s">
        <v>125</v>
      </c>
      <c r="E4" s="72">
        <v>66552</v>
      </c>
      <c r="F4" s="72" t="s">
        <v>127</v>
      </c>
      <c r="G4" s="72" t="s">
        <v>102</v>
      </c>
      <c r="H4" s="72" t="s">
        <v>63</v>
      </c>
      <c r="I4" s="73">
        <v>45729</v>
      </c>
      <c r="J4" s="72">
        <v>26388644</v>
      </c>
      <c r="K4" s="72" t="s">
        <v>135</v>
      </c>
      <c r="L4" s="72" t="str">
        <f>_xlfn.XLOOKUP(Tabla2__2[[#This Row],[CODIGO RUTA]],'DATA INFORME'!I:I,'DATA INFORME'!K:K)</f>
        <v>SI</v>
      </c>
      <c r="M4" s="72" t="str">
        <f>IF(Tabla2__2[[#This Row],[MYSTERY EFECTIVO]]="SI",_xlfn.XLOOKUP(Tabla2__2[[#This Row],[PREGUNTA]],ENCUESTA!G:G,ENCUESTA!D:D),"N/A")</f>
        <v>N/A</v>
      </c>
      <c r="N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" s="72">
        <f>_xlfn.XLOOKUP(Tabla2__2[[#This Row],[PREGUNTA]],ENCUESTA!G:G,ENCUESTA!H:H)</f>
        <v>0</v>
      </c>
      <c r="P4" s="72">
        <f>IF(Tabla2__2[[#This Row],[RTA]]=Tabla2__2[[#This Row],[RTA CORRECTA]],Tabla2__2[[#This Row],[TOTAL PUNTAJE]],0)</f>
        <v>0</v>
      </c>
      <c r="Q4" s="72">
        <f t="shared" si="0"/>
        <v>0</v>
      </c>
    </row>
    <row r="5" spans="1:21" x14ac:dyDescent="0.25">
      <c r="A5" s="72" t="s">
        <v>39</v>
      </c>
      <c r="B5" s="72" t="s">
        <v>9</v>
      </c>
      <c r="C5" t="s">
        <v>63</v>
      </c>
      <c r="D5" s="72" t="s">
        <v>125</v>
      </c>
      <c r="E5" s="72">
        <v>66552</v>
      </c>
      <c r="F5" s="72" t="s">
        <v>127</v>
      </c>
      <c r="G5" s="72" t="s">
        <v>99</v>
      </c>
      <c r="H5" s="72" t="s">
        <v>118</v>
      </c>
      <c r="I5" s="73">
        <v>45729</v>
      </c>
      <c r="J5" s="72">
        <v>26388644</v>
      </c>
      <c r="K5" s="72" t="s">
        <v>135</v>
      </c>
      <c r="L5" s="72" t="str">
        <f>_xlfn.XLOOKUP(Tabla2__2[[#This Row],[CODIGO RUTA]],'DATA INFORME'!I:I,'DATA INFORME'!K:K)</f>
        <v>SI</v>
      </c>
      <c r="M5" s="72" t="str">
        <f>IF(Tabla2__2[[#This Row],[MYSTERY EFECTIVO]]="SI",_xlfn.XLOOKUP(Tabla2__2[[#This Row],[PREGUNTA]],ENCUESTA!G:G,ENCUESTA!D:D),"N/A")</f>
        <v>PORTAFOLIO Y MANEJO DE OBJECIONES</v>
      </c>
      <c r="N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5" s="72" t="str">
        <f>_xlfn.XLOOKUP(Tabla2__2[[#This Row],[PREGUNTA]],ENCUESTA!G:G,ENCUESTA!H:H)</f>
        <v>SI</v>
      </c>
      <c r="P5" s="72">
        <f>IF(Tabla2__2[[#This Row],[RTA]]=Tabla2__2[[#This Row],[RTA CORRECTA]],Tabla2__2[[#This Row],[TOTAL PUNTAJE]],0)</f>
        <v>0</v>
      </c>
      <c r="Q5" s="72">
        <f t="shared" si="0"/>
        <v>0</v>
      </c>
    </row>
    <row r="6" spans="1:21" x14ac:dyDescent="0.25">
      <c r="A6" s="72" t="s">
        <v>39</v>
      </c>
      <c r="B6" s="72" t="s">
        <v>9</v>
      </c>
      <c r="C6" t="s">
        <v>63</v>
      </c>
      <c r="D6" s="72" t="s">
        <v>125</v>
      </c>
      <c r="E6" s="72">
        <v>66552</v>
      </c>
      <c r="F6" s="72" t="s">
        <v>127</v>
      </c>
      <c r="G6" s="72" t="s">
        <v>101</v>
      </c>
      <c r="H6" s="72" t="s">
        <v>24</v>
      </c>
      <c r="I6" s="73">
        <v>45729</v>
      </c>
      <c r="J6" s="72">
        <v>26388644</v>
      </c>
      <c r="K6" s="72" t="s">
        <v>135</v>
      </c>
      <c r="L6" s="72" t="str">
        <f>_xlfn.XLOOKUP(Tabla2__2[[#This Row],[CODIGO RUTA]],'DATA INFORME'!I:I,'DATA INFORME'!K:K)</f>
        <v>SI</v>
      </c>
      <c r="M6" s="72" t="str">
        <f>IF(Tabla2__2[[#This Row],[MYSTERY EFECTIVO]]="SI",_xlfn.XLOOKUP(Tabla2__2[[#This Row],[PREGUNTA]],ENCUESTA!G:G,ENCUESTA!D:D),"N/A")</f>
        <v>PORTAFOLIO Y MANEJO DE OBJECIONES</v>
      </c>
      <c r="N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6" s="72" t="str">
        <f>_xlfn.XLOOKUP(Tabla2__2[[#This Row],[PREGUNTA]],ENCUESTA!G:G,ENCUESTA!H:H)</f>
        <v>SI</v>
      </c>
      <c r="P6" s="72">
        <f>IF(Tabla2__2[[#This Row],[RTA]]=Tabla2__2[[#This Row],[RTA CORRECTA]],Tabla2__2[[#This Row],[TOTAL PUNTAJE]],0)</f>
        <v>3</v>
      </c>
      <c r="Q6" s="72">
        <f t="shared" si="0"/>
        <v>0</v>
      </c>
    </row>
    <row r="7" spans="1:21" x14ac:dyDescent="0.25">
      <c r="A7" s="72" t="s">
        <v>39</v>
      </c>
      <c r="B7" s="72" t="s">
        <v>9</v>
      </c>
      <c r="C7" t="s">
        <v>63</v>
      </c>
      <c r="D7" s="72" t="s">
        <v>125</v>
      </c>
      <c r="E7" s="72">
        <v>66552</v>
      </c>
      <c r="F7" s="72" t="s">
        <v>127</v>
      </c>
      <c r="G7" s="72" t="s">
        <v>138</v>
      </c>
      <c r="H7" s="72" t="s">
        <v>24</v>
      </c>
      <c r="I7" s="73">
        <v>45729</v>
      </c>
      <c r="J7" s="72">
        <v>26388644</v>
      </c>
      <c r="K7" s="72" t="s">
        <v>135</v>
      </c>
      <c r="L7" s="72" t="str">
        <f>_xlfn.XLOOKUP(Tabla2__2[[#This Row],[CODIGO RUTA]],'DATA INFORME'!I:I,'DATA INFORME'!K:K)</f>
        <v>SI</v>
      </c>
      <c r="M7" s="72" t="str">
        <f>IF(Tabla2__2[[#This Row],[MYSTERY EFECTIVO]]="SI",_xlfn.XLOOKUP(Tabla2__2[[#This Row],[PREGUNTA]],ENCUESTA!G:G,ENCUESTA!D:D),"N/A")</f>
        <v>ABORDAJE</v>
      </c>
      <c r="N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7" s="72" t="str">
        <f>_xlfn.XLOOKUP(Tabla2__2[[#This Row],[PREGUNTA]],ENCUESTA!G:G,ENCUESTA!H:H)</f>
        <v>SI</v>
      </c>
      <c r="P7" s="72">
        <f>IF(Tabla2__2[[#This Row],[RTA]]=Tabla2__2[[#This Row],[RTA CORRECTA]],Tabla2__2[[#This Row],[TOTAL PUNTAJE]],0)</f>
        <v>20</v>
      </c>
      <c r="Q7" s="72">
        <f t="shared" si="0"/>
        <v>0</v>
      </c>
    </row>
    <row r="8" spans="1:21" x14ac:dyDescent="0.25">
      <c r="A8" s="72" t="s">
        <v>39</v>
      </c>
      <c r="B8" s="72" t="s">
        <v>9</v>
      </c>
      <c r="C8" t="s">
        <v>63</v>
      </c>
      <c r="D8" s="72" t="s">
        <v>125</v>
      </c>
      <c r="E8" s="72">
        <v>66552</v>
      </c>
      <c r="F8" s="72" t="s">
        <v>127</v>
      </c>
      <c r="G8" s="72" t="s">
        <v>140</v>
      </c>
      <c r="H8" s="72" t="s">
        <v>118</v>
      </c>
      <c r="I8" s="73">
        <v>45729</v>
      </c>
      <c r="J8" s="72">
        <v>26388644</v>
      </c>
      <c r="K8" s="72" t="s">
        <v>135</v>
      </c>
      <c r="L8" s="72" t="str">
        <f>_xlfn.XLOOKUP(Tabla2__2[[#This Row],[CODIGO RUTA]],'DATA INFORME'!I:I,'DATA INFORME'!K:K)</f>
        <v>SI</v>
      </c>
      <c r="M8" s="72" t="str">
        <f>IF(Tabla2__2[[#This Row],[MYSTERY EFECTIVO]]="SI",_xlfn.XLOOKUP(Tabla2__2[[#This Row],[PREGUNTA]],ENCUESTA!G:G,ENCUESTA!D:D),"N/A")</f>
        <v>PORTAFOLIO Y MANEJO DE OBJECIONES</v>
      </c>
      <c r="N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" s="72" t="str">
        <f>_xlfn.XLOOKUP(Tabla2__2[[#This Row],[PREGUNTA]],ENCUESTA!G:G,ENCUESTA!H:H)</f>
        <v>SI</v>
      </c>
      <c r="P8" s="72">
        <f>IF(Tabla2__2[[#This Row],[RTA]]=Tabla2__2[[#This Row],[RTA CORRECTA]],Tabla2__2[[#This Row],[TOTAL PUNTAJE]],0)</f>
        <v>0</v>
      </c>
      <c r="Q8" s="72">
        <f t="shared" si="0"/>
        <v>0</v>
      </c>
    </row>
    <row r="9" spans="1:21" x14ac:dyDescent="0.25">
      <c r="A9" s="72" t="s">
        <v>39</v>
      </c>
      <c r="B9" s="72" t="s">
        <v>9</v>
      </c>
      <c r="C9" t="s">
        <v>63</v>
      </c>
      <c r="D9" s="72" t="s">
        <v>125</v>
      </c>
      <c r="E9" s="72">
        <v>66552</v>
      </c>
      <c r="F9" s="72" t="s">
        <v>127</v>
      </c>
      <c r="G9" s="72" t="s">
        <v>46</v>
      </c>
      <c r="H9" s="72" t="s">
        <v>118</v>
      </c>
      <c r="I9" s="73">
        <v>45729</v>
      </c>
      <c r="J9" s="72">
        <v>26388644</v>
      </c>
      <c r="K9" s="72" t="s">
        <v>135</v>
      </c>
      <c r="L9" s="72" t="str">
        <f>_xlfn.XLOOKUP(Tabla2__2[[#This Row],[CODIGO RUTA]],'DATA INFORME'!I:I,'DATA INFORME'!K:K)</f>
        <v>SI</v>
      </c>
      <c r="M9" s="72" t="str">
        <f>IF(Tabla2__2[[#This Row],[MYSTERY EFECTIVO]]="SI",_xlfn.XLOOKUP(Tabla2__2[[#This Row],[PREGUNTA]],ENCUESTA!G:G,ENCUESTA!D:D),"N/A")</f>
        <v>UNIFORME</v>
      </c>
      <c r="N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9" s="72" t="str">
        <f>_xlfn.XLOOKUP(Tabla2__2[[#This Row],[PREGUNTA]],ENCUESTA!G:G,ENCUESTA!H:H)</f>
        <v>NO</v>
      </c>
      <c r="P9" s="72">
        <f>IF(Tabla2__2[[#This Row],[RTA]]=Tabla2__2[[#This Row],[RTA CORRECTA]],Tabla2__2[[#This Row],[TOTAL PUNTAJE]],0)</f>
        <v>1.5</v>
      </c>
      <c r="Q9" s="72">
        <f t="shared" si="0"/>
        <v>0</v>
      </c>
    </row>
    <row r="10" spans="1:21" x14ac:dyDescent="0.25">
      <c r="A10" s="72" t="s">
        <v>39</v>
      </c>
      <c r="B10" s="72" t="s">
        <v>9</v>
      </c>
      <c r="C10" t="s">
        <v>63</v>
      </c>
      <c r="D10" s="72" t="s">
        <v>125</v>
      </c>
      <c r="E10" s="72">
        <v>66552</v>
      </c>
      <c r="F10" s="72" t="s">
        <v>127</v>
      </c>
      <c r="G10" s="72" t="s">
        <v>48</v>
      </c>
      <c r="H10" s="72" t="s">
        <v>118</v>
      </c>
      <c r="I10" s="73">
        <v>45729</v>
      </c>
      <c r="J10" s="72">
        <v>26388644</v>
      </c>
      <c r="K10" s="72" t="s">
        <v>135</v>
      </c>
      <c r="L10" s="72" t="str">
        <f>_xlfn.XLOOKUP(Tabla2__2[[#This Row],[CODIGO RUTA]],'DATA INFORME'!I:I,'DATA INFORME'!K:K)</f>
        <v>SI</v>
      </c>
      <c r="M10" s="72" t="str">
        <f>IF(Tabla2__2[[#This Row],[MYSTERY EFECTIVO]]="SI",_xlfn.XLOOKUP(Tabla2__2[[#This Row],[PREGUNTA]],ENCUESTA!G:G,ENCUESTA!D:D),"N/A")</f>
        <v>UNIFORME</v>
      </c>
      <c r="N1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0" s="72" t="str">
        <f>_xlfn.XLOOKUP(Tabla2__2[[#This Row],[PREGUNTA]],ENCUESTA!G:G,ENCUESTA!H:H)</f>
        <v>NO</v>
      </c>
      <c r="P10" s="72">
        <f>IF(Tabla2__2[[#This Row],[RTA]]=Tabla2__2[[#This Row],[RTA CORRECTA]],Tabla2__2[[#This Row],[TOTAL PUNTAJE]],0)</f>
        <v>1.5</v>
      </c>
      <c r="Q10" s="72">
        <f t="shared" si="0"/>
        <v>0</v>
      </c>
    </row>
    <row r="11" spans="1:21" x14ac:dyDescent="0.25">
      <c r="A11" s="72" t="s">
        <v>39</v>
      </c>
      <c r="B11" s="72" t="s">
        <v>9</v>
      </c>
      <c r="C11" t="s">
        <v>63</v>
      </c>
      <c r="D11" s="72" t="s">
        <v>125</v>
      </c>
      <c r="E11" s="72">
        <v>66552</v>
      </c>
      <c r="F11" s="72" t="s">
        <v>127</v>
      </c>
      <c r="G11" s="72" t="s">
        <v>52</v>
      </c>
      <c r="H11" s="72" t="s">
        <v>118</v>
      </c>
      <c r="I11" s="73">
        <v>45729</v>
      </c>
      <c r="J11" s="72">
        <v>26388644</v>
      </c>
      <c r="K11" s="72" t="s">
        <v>135</v>
      </c>
      <c r="L11" s="72" t="str">
        <f>_xlfn.XLOOKUP(Tabla2__2[[#This Row],[CODIGO RUTA]],'DATA INFORME'!I:I,'DATA INFORME'!K:K)</f>
        <v>SI</v>
      </c>
      <c r="M11" s="72" t="str">
        <f>IF(Tabla2__2[[#This Row],[MYSTERY EFECTIVO]]="SI",_xlfn.XLOOKUP(Tabla2__2[[#This Row],[PREGUNTA]],ENCUESTA!G:G,ENCUESTA!D:D),"N/A")</f>
        <v>UNIFORME</v>
      </c>
      <c r="N1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1" s="72" t="str">
        <f>_xlfn.XLOOKUP(Tabla2__2[[#This Row],[PREGUNTA]],ENCUESTA!G:G,ENCUESTA!H:H)</f>
        <v>NO</v>
      </c>
      <c r="P11" s="72">
        <f>IF(Tabla2__2[[#This Row],[RTA]]=Tabla2__2[[#This Row],[RTA CORRECTA]],Tabla2__2[[#This Row],[TOTAL PUNTAJE]],0)</f>
        <v>1.5</v>
      </c>
      <c r="Q11" s="72">
        <f t="shared" si="0"/>
        <v>0</v>
      </c>
    </row>
    <row r="12" spans="1:21" x14ac:dyDescent="0.25">
      <c r="A12" s="72" t="s">
        <v>39</v>
      </c>
      <c r="B12" s="72" t="s">
        <v>9</v>
      </c>
      <c r="C12" t="s">
        <v>63</v>
      </c>
      <c r="D12" s="72" t="s">
        <v>125</v>
      </c>
      <c r="E12" s="72">
        <v>66552</v>
      </c>
      <c r="F12" s="72" t="s">
        <v>127</v>
      </c>
      <c r="G12" s="72" t="s">
        <v>49</v>
      </c>
      <c r="H12" s="72" t="s">
        <v>24</v>
      </c>
      <c r="I12" s="73">
        <v>45729</v>
      </c>
      <c r="J12" s="72">
        <v>26388644</v>
      </c>
      <c r="K12" s="72" t="s">
        <v>135</v>
      </c>
      <c r="L12" s="72" t="str">
        <f>_xlfn.XLOOKUP(Tabla2__2[[#This Row],[CODIGO RUTA]],'DATA INFORME'!I:I,'DATA INFORME'!K:K)</f>
        <v>SI</v>
      </c>
      <c r="M12" s="72" t="str">
        <f>IF(Tabla2__2[[#This Row],[MYSTERY EFECTIVO]]="SI",_xlfn.XLOOKUP(Tabla2__2[[#This Row],[PREGUNTA]],ENCUESTA!G:G,ENCUESTA!D:D),"N/A")</f>
        <v>UNIFORME</v>
      </c>
      <c r="N1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2" s="72" t="str">
        <f>_xlfn.XLOOKUP(Tabla2__2[[#This Row],[PREGUNTA]],ENCUESTA!G:G,ENCUESTA!H:H)</f>
        <v>SI</v>
      </c>
      <c r="P12" s="72">
        <f>IF(Tabla2__2[[#This Row],[RTA]]=Tabla2__2[[#This Row],[RTA CORRECTA]],Tabla2__2[[#This Row],[TOTAL PUNTAJE]],0)</f>
        <v>1.5</v>
      </c>
      <c r="Q12" s="72">
        <f t="shared" si="0"/>
        <v>0</v>
      </c>
    </row>
    <row r="13" spans="1:21" x14ac:dyDescent="0.25">
      <c r="A13" s="72" t="s">
        <v>39</v>
      </c>
      <c r="B13" s="72" t="s">
        <v>9</v>
      </c>
      <c r="C13" t="s">
        <v>63</v>
      </c>
      <c r="D13" s="72" t="s">
        <v>125</v>
      </c>
      <c r="E13" s="72">
        <v>66552</v>
      </c>
      <c r="F13" s="72" t="s">
        <v>127</v>
      </c>
      <c r="G13" s="72" t="s">
        <v>43</v>
      </c>
      <c r="H13" s="72" t="s">
        <v>24</v>
      </c>
      <c r="I13" s="73">
        <v>45729</v>
      </c>
      <c r="J13" s="72">
        <v>26388644</v>
      </c>
      <c r="K13" s="72" t="s">
        <v>135</v>
      </c>
      <c r="L13" s="72" t="str">
        <f>_xlfn.XLOOKUP(Tabla2__2[[#This Row],[CODIGO RUTA]],'DATA INFORME'!I:I,'DATA INFORME'!K:K)</f>
        <v>SI</v>
      </c>
      <c r="M13" s="72" t="str">
        <f>IF(Tabla2__2[[#This Row],[MYSTERY EFECTIVO]]="SI",_xlfn.XLOOKUP(Tabla2__2[[#This Row],[PREGUNTA]],ENCUESTA!G:G,ENCUESTA!D:D),"N/A")</f>
        <v>UNIFORME</v>
      </c>
      <c r="N1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3" s="72" t="str">
        <f>_xlfn.XLOOKUP(Tabla2__2[[#This Row],[PREGUNTA]],ENCUESTA!G:G,ENCUESTA!H:H)</f>
        <v>SI</v>
      </c>
      <c r="P13" s="72">
        <f>IF(Tabla2__2[[#This Row],[RTA]]=Tabla2__2[[#This Row],[RTA CORRECTA]],Tabla2__2[[#This Row],[TOTAL PUNTAJE]],0)</f>
        <v>1.5</v>
      </c>
      <c r="Q13" s="72">
        <f t="shared" si="0"/>
        <v>0</v>
      </c>
    </row>
    <row r="14" spans="1:21" x14ac:dyDescent="0.25">
      <c r="A14" s="72" t="s">
        <v>39</v>
      </c>
      <c r="B14" s="72" t="s">
        <v>9</v>
      </c>
      <c r="C14" t="s">
        <v>63</v>
      </c>
      <c r="D14" s="72" t="s">
        <v>125</v>
      </c>
      <c r="E14" s="72">
        <v>66552</v>
      </c>
      <c r="F14" s="72" t="s">
        <v>127</v>
      </c>
      <c r="G14" s="72" t="s">
        <v>137</v>
      </c>
      <c r="H14" s="72" t="s">
        <v>118</v>
      </c>
      <c r="I14" s="73">
        <v>45729</v>
      </c>
      <c r="J14" s="72">
        <v>26388644</v>
      </c>
      <c r="K14" s="72" t="s">
        <v>135</v>
      </c>
      <c r="L14" s="72" t="str">
        <f>_xlfn.XLOOKUP(Tabla2__2[[#This Row],[CODIGO RUTA]],'DATA INFORME'!I:I,'DATA INFORME'!K:K)</f>
        <v>SI</v>
      </c>
      <c r="M14" s="72" t="str">
        <f>IF(Tabla2__2[[#This Row],[MYSTERY EFECTIVO]]="SI",_xlfn.XLOOKUP(Tabla2__2[[#This Row],[PREGUNTA]],ENCUESTA!G:G,ENCUESTA!D:D),"N/A")</f>
        <v>UNIFORME</v>
      </c>
      <c r="N1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4" s="72" t="str">
        <f>_xlfn.XLOOKUP(Tabla2__2[[#This Row],[PREGUNTA]],ENCUESTA!G:G,ENCUESTA!H:H)</f>
        <v>NO</v>
      </c>
      <c r="P14" s="72">
        <f>IF(Tabla2__2[[#This Row],[RTA]]=Tabla2__2[[#This Row],[RTA CORRECTA]],Tabla2__2[[#This Row],[TOTAL PUNTAJE]],0)</f>
        <v>1.5</v>
      </c>
      <c r="Q14" s="72">
        <f t="shared" si="0"/>
        <v>0</v>
      </c>
    </row>
    <row r="15" spans="1:21" x14ac:dyDescent="0.25">
      <c r="A15" s="72" t="s">
        <v>39</v>
      </c>
      <c r="B15" s="72" t="s">
        <v>9</v>
      </c>
      <c r="C15" t="s">
        <v>63</v>
      </c>
      <c r="D15" s="72" t="s">
        <v>125</v>
      </c>
      <c r="E15" s="72">
        <v>66552</v>
      </c>
      <c r="F15" s="72" t="s">
        <v>127</v>
      </c>
      <c r="G15" s="72" t="s">
        <v>44</v>
      </c>
      <c r="H15" s="72" t="s">
        <v>24</v>
      </c>
      <c r="I15" s="73">
        <v>45729</v>
      </c>
      <c r="J15" s="72">
        <v>26388644</v>
      </c>
      <c r="K15" s="72" t="s">
        <v>135</v>
      </c>
      <c r="L15" s="72" t="str">
        <f>_xlfn.XLOOKUP(Tabla2__2[[#This Row],[CODIGO RUTA]],'DATA INFORME'!I:I,'DATA INFORME'!K:K)</f>
        <v>SI</v>
      </c>
      <c r="M15" s="72" t="str">
        <f>IF(Tabla2__2[[#This Row],[MYSTERY EFECTIVO]]="SI",_xlfn.XLOOKUP(Tabla2__2[[#This Row],[PREGUNTA]],ENCUESTA!G:G,ENCUESTA!D:D),"N/A")</f>
        <v>UNIFORME</v>
      </c>
      <c r="N1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5" s="72" t="str">
        <f>_xlfn.XLOOKUP(Tabla2__2[[#This Row],[PREGUNTA]],ENCUESTA!G:G,ENCUESTA!H:H)</f>
        <v>SI</v>
      </c>
      <c r="P15" s="72">
        <f>IF(Tabla2__2[[#This Row],[RTA]]=Tabla2__2[[#This Row],[RTA CORRECTA]],Tabla2__2[[#This Row],[TOTAL PUNTAJE]],0)</f>
        <v>1.5</v>
      </c>
      <c r="Q15" s="72">
        <f t="shared" si="0"/>
        <v>0</v>
      </c>
    </row>
    <row r="16" spans="1:21" x14ac:dyDescent="0.25">
      <c r="A16" s="72" t="s">
        <v>39</v>
      </c>
      <c r="B16" s="72" t="s">
        <v>9</v>
      </c>
      <c r="C16" t="s">
        <v>63</v>
      </c>
      <c r="D16" s="72" t="s">
        <v>125</v>
      </c>
      <c r="E16" s="72">
        <v>66552</v>
      </c>
      <c r="F16" s="72" t="s">
        <v>127</v>
      </c>
      <c r="G16" s="72" t="s">
        <v>136</v>
      </c>
      <c r="H16" s="72" t="s">
        <v>24</v>
      </c>
      <c r="I16" s="73">
        <v>45729</v>
      </c>
      <c r="J16" s="72">
        <v>26388644</v>
      </c>
      <c r="K16" s="72" t="s">
        <v>135</v>
      </c>
      <c r="L16" s="72" t="str">
        <f>_xlfn.XLOOKUP(Tabla2__2[[#This Row],[CODIGO RUTA]],'DATA INFORME'!I:I,'DATA INFORME'!K:K)</f>
        <v>SI</v>
      </c>
      <c r="M16" s="72" t="str">
        <f>IF(Tabla2__2[[#This Row],[MYSTERY EFECTIVO]]="SI",_xlfn.XLOOKUP(Tabla2__2[[#This Row],[PREGUNTA]],ENCUESTA!G:G,ENCUESTA!D:D),"N/A")</f>
        <v>UNIFORME</v>
      </c>
      <c r="N1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6" s="72" t="str">
        <f>_xlfn.XLOOKUP(Tabla2__2[[#This Row],[PREGUNTA]],ENCUESTA!G:G,ENCUESTA!H:H)</f>
        <v>SI</v>
      </c>
      <c r="P16" s="72">
        <f>IF(Tabla2__2[[#This Row],[RTA]]=Tabla2__2[[#This Row],[RTA CORRECTA]],Tabla2__2[[#This Row],[TOTAL PUNTAJE]],0)</f>
        <v>1.5</v>
      </c>
      <c r="Q16" s="72">
        <f t="shared" si="0"/>
        <v>0</v>
      </c>
    </row>
    <row r="17" spans="1:17" x14ac:dyDescent="0.25">
      <c r="A17" s="72" t="s">
        <v>39</v>
      </c>
      <c r="B17" s="72" t="s">
        <v>9</v>
      </c>
      <c r="C17" t="s">
        <v>63</v>
      </c>
      <c r="D17" s="72" t="s">
        <v>125</v>
      </c>
      <c r="E17" s="72">
        <v>66552</v>
      </c>
      <c r="F17" s="72" t="s">
        <v>127</v>
      </c>
      <c r="G17" s="72" t="s">
        <v>100</v>
      </c>
      <c r="H17" s="72" t="s">
        <v>24</v>
      </c>
      <c r="I17" s="73">
        <v>45729</v>
      </c>
      <c r="J17" s="72">
        <v>26388644</v>
      </c>
      <c r="K17" s="72" t="s">
        <v>135</v>
      </c>
      <c r="L17" s="72" t="str">
        <f>_xlfn.XLOOKUP(Tabla2__2[[#This Row],[CODIGO RUTA]],'DATA INFORME'!I:I,'DATA INFORME'!K:K)</f>
        <v>SI</v>
      </c>
      <c r="M17" s="72" t="str">
        <f>IF(Tabla2__2[[#This Row],[MYSTERY EFECTIVO]]="SI",_xlfn.XLOOKUP(Tabla2__2[[#This Row],[PREGUNTA]],ENCUESTA!G:G,ENCUESTA!D:D),"N/A")</f>
        <v>UNIFORME</v>
      </c>
      <c r="N1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7" s="72" t="str">
        <f>_xlfn.XLOOKUP(Tabla2__2[[#This Row],[PREGUNTA]],ENCUESTA!G:G,ENCUESTA!H:H)</f>
        <v>SI</v>
      </c>
      <c r="P17" s="72">
        <f>IF(Tabla2__2[[#This Row],[RTA]]=Tabla2__2[[#This Row],[RTA CORRECTA]],Tabla2__2[[#This Row],[TOTAL PUNTAJE]],0)</f>
        <v>1.5</v>
      </c>
      <c r="Q17" s="72">
        <f t="shared" si="0"/>
        <v>0</v>
      </c>
    </row>
    <row r="18" spans="1:17" x14ac:dyDescent="0.25">
      <c r="A18" s="72" t="s">
        <v>39</v>
      </c>
      <c r="B18" s="72" t="s">
        <v>9</v>
      </c>
      <c r="C18" t="s">
        <v>63</v>
      </c>
      <c r="D18" s="72" t="s">
        <v>125</v>
      </c>
      <c r="E18" s="72">
        <v>66552</v>
      </c>
      <c r="F18" s="72" t="s">
        <v>127</v>
      </c>
      <c r="G18" s="72" t="s">
        <v>47</v>
      </c>
      <c r="H18" s="72" t="s">
        <v>118</v>
      </c>
      <c r="I18" s="73">
        <v>45729</v>
      </c>
      <c r="J18" s="72">
        <v>26388644</v>
      </c>
      <c r="K18" s="72" t="s">
        <v>135</v>
      </c>
      <c r="L18" s="72" t="str">
        <f>_xlfn.XLOOKUP(Tabla2__2[[#This Row],[CODIGO RUTA]],'DATA INFORME'!I:I,'DATA INFORME'!K:K)</f>
        <v>SI</v>
      </c>
      <c r="M18" s="72" t="str">
        <f>IF(Tabla2__2[[#This Row],[MYSTERY EFECTIVO]]="SI",_xlfn.XLOOKUP(Tabla2__2[[#This Row],[PREGUNTA]],ENCUESTA!G:G,ENCUESTA!D:D),"N/A")</f>
        <v>UNIFORME</v>
      </c>
      <c r="N1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8" s="72" t="str">
        <f>_xlfn.XLOOKUP(Tabla2__2[[#This Row],[PREGUNTA]],ENCUESTA!G:G,ENCUESTA!H:H)</f>
        <v>NO</v>
      </c>
      <c r="P18" s="72">
        <f>IF(Tabla2__2[[#This Row],[RTA]]=Tabla2__2[[#This Row],[RTA CORRECTA]],Tabla2__2[[#This Row],[TOTAL PUNTAJE]],0)</f>
        <v>1.5</v>
      </c>
      <c r="Q18" s="72">
        <f t="shared" si="0"/>
        <v>0</v>
      </c>
    </row>
    <row r="19" spans="1:17" x14ac:dyDescent="0.25">
      <c r="A19" s="72" t="s">
        <v>39</v>
      </c>
      <c r="B19" s="72" t="s">
        <v>9</v>
      </c>
      <c r="C19" t="s">
        <v>63</v>
      </c>
      <c r="D19" s="72" t="s">
        <v>125</v>
      </c>
      <c r="E19" s="72">
        <v>66552</v>
      </c>
      <c r="F19" s="72" t="s">
        <v>127</v>
      </c>
      <c r="G19" s="72" t="s">
        <v>141</v>
      </c>
      <c r="H19" s="72" t="s">
        <v>118</v>
      </c>
      <c r="I19" s="73">
        <v>45729</v>
      </c>
      <c r="J19" s="72">
        <v>26388644</v>
      </c>
      <c r="K19" s="72" t="s">
        <v>135</v>
      </c>
      <c r="L19" s="72" t="str">
        <f>_xlfn.XLOOKUP(Tabla2__2[[#This Row],[CODIGO RUTA]],'DATA INFORME'!I:I,'DATA INFORME'!K:K)</f>
        <v>SI</v>
      </c>
      <c r="M19" s="72" t="str">
        <f>IF(Tabla2__2[[#This Row],[MYSTERY EFECTIVO]]="SI",_xlfn.XLOOKUP(Tabla2__2[[#This Row],[PREGUNTA]],ENCUESTA!G:G,ENCUESTA!D:D),"N/A")</f>
        <v>PORTAFOLIO Y MANEJO DE OBJECIONES</v>
      </c>
      <c r="N1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9" s="72" t="str">
        <f>_xlfn.XLOOKUP(Tabla2__2[[#This Row],[PREGUNTA]],ENCUESTA!G:G,ENCUESTA!H:H)</f>
        <v>SI</v>
      </c>
      <c r="P19" s="72">
        <f>IF(Tabla2__2[[#This Row],[RTA]]=Tabla2__2[[#This Row],[RTA CORRECTA]],Tabla2__2[[#This Row],[TOTAL PUNTAJE]],0)</f>
        <v>0</v>
      </c>
      <c r="Q19" s="72">
        <f t="shared" si="0"/>
        <v>0</v>
      </c>
    </row>
    <row r="20" spans="1:17" x14ac:dyDescent="0.25">
      <c r="A20" s="72" t="s">
        <v>39</v>
      </c>
      <c r="B20" s="72" t="s">
        <v>9</v>
      </c>
      <c r="C20" t="s">
        <v>63</v>
      </c>
      <c r="D20" s="72" t="s">
        <v>125</v>
      </c>
      <c r="E20" s="72">
        <v>66552</v>
      </c>
      <c r="F20" s="72" t="s">
        <v>127</v>
      </c>
      <c r="G20" s="72" t="s">
        <v>143</v>
      </c>
      <c r="H20" s="72" t="s">
        <v>24</v>
      </c>
      <c r="I20" s="73">
        <v>45729</v>
      </c>
      <c r="J20" s="72">
        <v>26388644</v>
      </c>
      <c r="K20" s="72" t="s">
        <v>135</v>
      </c>
      <c r="L20" s="72" t="str">
        <f>_xlfn.XLOOKUP(Tabla2__2[[#This Row],[CODIGO RUTA]],'DATA INFORME'!I:I,'DATA INFORME'!K:K)</f>
        <v>SI</v>
      </c>
      <c r="M20" s="72" t="str">
        <f>IF(Tabla2__2[[#This Row],[MYSTERY EFECTIVO]]="SI",_xlfn.XLOOKUP(Tabla2__2[[#This Row],[PREGUNTA]],ENCUESTA!G:G,ENCUESTA!D:D),"N/A")</f>
        <v>PORTAFOLIO Y MANEJO DE OBJECIONES</v>
      </c>
      <c r="N2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" s="72" t="str">
        <f>_xlfn.XLOOKUP(Tabla2__2[[#This Row],[PREGUNTA]],ENCUESTA!G:G,ENCUESTA!H:H)</f>
        <v>SI</v>
      </c>
      <c r="P20" s="72">
        <f>IF(Tabla2__2[[#This Row],[RTA]]=Tabla2__2[[#This Row],[RTA CORRECTA]],Tabla2__2[[#This Row],[TOTAL PUNTAJE]],0)</f>
        <v>0</v>
      </c>
      <c r="Q20" s="72">
        <f t="shared" si="0"/>
        <v>0</v>
      </c>
    </row>
    <row r="21" spans="1:17" x14ac:dyDescent="0.25">
      <c r="A21" s="72" t="s">
        <v>39</v>
      </c>
      <c r="B21" s="72" t="s">
        <v>9</v>
      </c>
      <c r="C21" t="s">
        <v>63</v>
      </c>
      <c r="D21" s="72" t="s">
        <v>125</v>
      </c>
      <c r="E21" s="72">
        <v>66552</v>
      </c>
      <c r="F21" s="72" t="s">
        <v>127</v>
      </c>
      <c r="G21" s="72" t="s">
        <v>142</v>
      </c>
      <c r="H21" s="72" t="s">
        <v>118</v>
      </c>
      <c r="I21" s="73">
        <v>45729</v>
      </c>
      <c r="J21" s="72">
        <v>26388644</v>
      </c>
      <c r="K21" s="72" t="s">
        <v>135</v>
      </c>
      <c r="L21" s="72" t="str">
        <f>_xlfn.XLOOKUP(Tabla2__2[[#This Row],[CODIGO RUTA]],'DATA INFORME'!I:I,'DATA INFORME'!K:K)</f>
        <v>SI</v>
      </c>
      <c r="M21" s="72" t="str">
        <f>IF(Tabla2__2[[#This Row],[MYSTERY EFECTIVO]]="SI",_xlfn.XLOOKUP(Tabla2__2[[#This Row],[PREGUNTA]],ENCUESTA!G:G,ENCUESTA!D:D),"N/A")</f>
        <v>PORTAFOLIO Y MANEJO DE OBJECIONES</v>
      </c>
      <c r="N2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" s="72" t="str">
        <f>_xlfn.XLOOKUP(Tabla2__2[[#This Row],[PREGUNTA]],ENCUESTA!G:G,ENCUESTA!H:H)</f>
        <v>SI</v>
      </c>
      <c r="P21" s="72">
        <f>IF(Tabla2__2[[#This Row],[RTA]]=Tabla2__2[[#This Row],[RTA CORRECTA]],Tabla2__2[[#This Row],[TOTAL PUNTAJE]],0)</f>
        <v>0</v>
      </c>
      <c r="Q21" s="72">
        <f t="shared" si="0"/>
        <v>0</v>
      </c>
    </row>
    <row r="22" spans="1:17" x14ac:dyDescent="0.25">
      <c r="A22" s="72" t="s">
        <v>39</v>
      </c>
      <c r="B22" s="72" t="s">
        <v>9</v>
      </c>
      <c r="C22" t="s">
        <v>63</v>
      </c>
      <c r="D22" s="72" t="s">
        <v>125</v>
      </c>
      <c r="E22" s="72">
        <v>66552</v>
      </c>
      <c r="F22" s="72" t="s">
        <v>127</v>
      </c>
      <c r="G22" s="72" t="s">
        <v>148</v>
      </c>
      <c r="H22" s="72" t="s">
        <v>118</v>
      </c>
      <c r="I22" s="73">
        <v>45729</v>
      </c>
      <c r="J22" s="72">
        <v>26388644</v>
      </c>
      <c r="K22" s="72" t="s">
        <v>135</v>
      </c>
      <c r="L22" s="72" t="str">
        <f>_xlfn.XLOOKUP(Tabla2__2[[#This Row],[CODIGO RUTA]],'DATA INFORME'!I:I,'DATA INFORME'!K:K)</f>
        <v>SI</v>
      </c>
      <c r="M22" s="72" t="str">
        <f>IF(Tabla2__2[[#This Row],[MYSTERY EFECTIVO]]="SI",_xlfn.XLOOKUP(Tabla2__2[[#This Row],[PREGUNTA]],ENCUESTA!G:G,ENCUESTA!D:D),"N/A")</f>
        <v>LABOR DE VENTA</v>
      </c>
      <c r="N2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22" s="72" t="str">
        <f>_xlfn.XLOOKUP(Tabla2__2[[#This Row],[PREGUNTA]],ENCUESTA!G:G,ENCUESTA!H:H)</f>
        <v>SI</v>
      </c>
      <c r="P22" s="72">
        <f>IF(Tabla2__2[[#This Row],[RTA]]=Tabla2__2[[#This Row],[RTA CORRECTA]],Tabla2__2[[#This Row],[TOTAL PUNTAJE]],0)</f>
        <v>0</v>
      </c>
      <c r="Q22" s="72">
        <f t="shared" si="0"/>
        <v>0</v>
      </c>
    </row>
    <row r="23" spans="1:17" x14ac:dyDescent="0.25">
      <c r="A23" s="72" t="s">
        <v>39</v>
      </c>
      <c r="B23" s="72" t="s">
        <v>9</v>
      </c>
      <c r="C23" t="s">
        <v>63</v>
      </c>
      <c r="D23" s="72" t="s">
        <v>125</v>
      </c>
      <c r="E23" s="72">
        <v>66552</v>
      </c>
      <c r="F23" s="72" t="s">
        <v>127</v>
      </c>
      <c r="G23" s="72" t="s">
        <v>50</v>
      </c>
      <c r="H23" s="72" t="s">
        <v>24</v>
      </c>
      <c r="I23" s="73">
        <v>45729</v>
      </c>
      <c r="J23" s="72">
        <v>26388644</v>
      </c>
      <c r="K23" s="72" t="s">
        <v>135</v>
      </c>
      <c r="L23" s="72" t="str">
        <f>_xlfn.XLOOKUP(Tabla2__2[[#This Row],[CODIGO RUTA]],'DATA INFORME'!I:I,'DATA INFORME'!K:K)</f>
        <v>SI</v>
      </c>
      <c r="M23" s="72" t="str">
        <f>IF(Tabla2__2[[#This Row],[MYSTERY EFECTIVO]]="SI",_xlfn.XLOOKUP(Tabla2__2[[#This Row],[PREGUNTA]],ENCUESTA!G:G,ENCUESTA!D:D),"N/A")</f>
        <v>PORTAFOLIO Y MANEJO DE OBJECIONES</v>
      </c>
      <c r="N2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3" s="72" t="str">
        <f>_xlfn.XLOOKUP(Tabla2__2[[#This Row],[PREGUNTA]],ENCUESTA!G:G,ENCUESTA!H:H)</f>
        <v>SI</v>
      </c>
      <c r="P23" s="72">
        <f>IF(Tabla2__2[[#This Row],[RTA]]=Tabla2__2[[#This Row],[RTA CORRECTA]],Tabla2__2[[#This Row],[TOTAL PUNTAJE]],0)</f>
        <v>2.4</v>
      </c>
      <c r="Q23" s="72">
        <f t="shared" si="0"/>
        <v>0</v>
      </c>
    </row>
    <row r="24" spans="1:17" x14ac:dyDescent="0.25">
      <c r="A24" s="72" t="s">
        <v>39</v>
      </c>
      <c r="B24" s="72" t="s">
        <v>9</v>
      </c>
      <c r="C24" t="s">
        <v>63</v>
      </c>
      <c r="D24" s="72" t="s">
        <v>125</v>
      </c>
      <c r="E24" s="72">
        <v>66552</v>
      </c>
      <c r="F24" s="72" t="s">
        <v>127</v>
      </c>
      <c r="G24" s="72" t="s">
        <v>51</v>
      </c>
      <c r="H24" s="72" t="s">
        <v>24</v>
      </c>
      <c r="I24" s="73">
        <v>45729</v>
      </c>
      <c r="J24" s="72">
        <v>26388644</v>
      </c>
      <c r="K24" s="72" t="s">
        <v>135</v>
      </c>
      <c r="L24" s="72" t="str">
        <f>_xlfn.XLOOKUP(Tabla2__2[[#This Row],[CODIGO RUTA]],'DATA INFORME'!I:I,'DATA INFORME'!K:K)</f>
        <v>SI</v>
      </c>
      <c r="M24" s="72" t="str">
        <f>IF(Tabla2__2[[#This Row],[MYSTERY EFECTIVO]]="SI",_xlfn.XLOOKUP(Tabla2__2[[#This Row],[PREGUNTA]],ENCUESTA!G:G,ENCUESTA!D:D),"N/A")</f>
        <v>PORTAFOLIO Y MANEJO DE OBJECIONES</v>
      </c>
      <c r="N24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4,8</v>
      </c>
      <c r="O24" s="72" t="str">
        <f>_xlfn.XLOOKUP(Tabla2__2[[#This Row],[PREGUNTA]],ENCUESTA!G:G,ENCUESTA!H:H)</f>
        <v>SI</v>
      </c>
      <c r="P24" s="72" t="str">
        <f>IF(Tabla2__2[[#This Row],[RTA]]=Tabla2__2[[#This Row],[RTA CORRECTA]],Tabla2__2[[#This Row],[TOTAL PUNTAJE]],0)</f>
        <v>4,8</v>
      </c>
      <c r="Q24" s="72">
        <f t="shared" si="0"/>
        <v>0</v>
      </c>
    </row>
    <row r="25" spans="1:17" x14ac:dyDescent="0.25">
      <c r="A25" s="72" t="s">
        <v>39</v>
      </c>
      <c r="B25" s="72" t="s">
        <v>9</v>
      </c>
      <c r="C25" t="s">
        <v>63</v>
      </c>
      <c r="D25" s="72" t="s">
        <v>125</v>
      </c>
      <c r="E25" s="72">
        <v>66552</v>
      </c>
      <c r="F25" s="72" t="s">
        <v>127</v>
      </c>
      <c r="G25" s="72" t="s">
        <v>42</v>
      </c>
      <c r="H25" s="72" t="s">
        <v>147</v>
      </c>
      <c r="I25" s="73">
        <v>45729</v>
      </c>
      <c r="J25" s="72">
        <v>26388644</v>
      </c>
      <c r="K25" s="72" t="s">
        <v>135</v>
      </c>
      <c r="L25" s="72" t="str">
        <f>_xlfn.XLOOKUP(Tabla2__2[[#This Row],[CODIGO RUTA]],'DATA INFORME'!I:I,'DATA INFORME'!K:K)</f>
        <v>SI</v>
      </c>
      <c r="M25" s="72" t="str">
        <f>IF(Tabla2__2[[#This Row],[MYSTERY EFECTIVO]]="SI",_xlfn.XLOOKUP(Tabla2__2[[#This Row],[PREGUNTA]],ENCUESTA!G:G,ENCUESTA!D:D),"N/A")</f>
        <v>N/A</v>
      </c>
      <c r="N2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" s="72" t="str">
        <f>_xlfn.XLOOKUP(Tabla2__2[[#This Row],[PREGUNTA]],ENCUESTA!G:G,ENCUESTA!H:H)</f>
        <v>SI</v>
      </c>
      <c r="P25" s="72">
        <f>IF(Tabla2__2[[#This Row],[RTA]]=Tabla2__2[[#This Row],[RTA CORRECTA]],Tabla2__2[[#This Row],[TOTAL PUNTAJE]],0)</f>
        <v>0</v>
      </c>
      <c r="Q25" s="72">
        <f t="shared" si="0"/>
        <v>0</v>
      </c>
    </row>
    <row r="26" spans="1:17" x14ac:dyDescent="0.25">
      <c r="A26" s="72" t="s">
        <v>39</v>
      </c>
      <c r="B26" s="72" t="s">
        <v>9</v>
      </c>
      <c r="C26" t="s">
        <v>63</v>
      </c>
      <c r="D26" s="72" t="s">
        <v>125</v>
      </c>
      <c r="E26" s="72">
        <v>66552</v>
      </c>
      <c r="F26" s="72" t="s">
        <v>127</v>
      </c>
      <c r="G26" s="72" t="s">
        <v>41</v>
      </c>
      <c r="H26" s="72" t="s">
        <v>24</v>
      </c>
      <c r="I26" s="73">
        <v>45729</v>
      </c>
      <c r="J26" s="72">
        <v>26388644</v>
      </c>
      <c r="K26" s="72" t="s">
        <v>135</v>
      </c>
      <c r="L26" s="72" t="str">
        <f>_xlfn.XLOOKUP(Tabla2__2[[#This Row],[CODIGO RUTA]],'DATA INFORME'!I:I,'DATA INFORME'!K:K)</f>
        <v>SI</v>
      </c>
      <c r="M26" s="72" t="str">
        <f>IF(Tabla2__2[[#This Row],[MYSTERY EFECTIVO]]="SI",_xlfn.XLOOKUP(Tabla2__2[[#This Row],[PREGUNTA]],ENCUESTA!G:G,ENCUESTA!D:D),"N/A")</f>
        <v>N/A</v>
      </c>
      <c r="N2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6" s="72" t="str">
        <f>_xlfn.XLOOKUP(Tabla2__2[[#This Row],[PREGUNTA]],ENCUESTA!G:G,ENCUESTA!H:H)</f>
        <v>SI</v>
      </c>
      <c r="P26" s="72">
        <f>IF(Tabla2__2[[#This Row],[RTA]]=Tabla2__2[[#This Row],[RTA CORRECTA]],Tabla2__2[[#This Row],[TOTAL PUNTAJE]],0)</f>
        <v>0</v>
      </c>
      <c r="Q26" s="72">
        <f t="shared" si="0"/>
        <v>0</v>
      </c>
    </row>
    <row r="27" spans="1:17" x14ac:dyDescent="0.25">
      <c r="A27" s="72" t="s">
        <v>39</v>
      </c>
      <c r="B27" s="72" t="s">
        <v>9</v>
      </c>
      <c r="C27" t="s">
        <v>63</v>
      </c>
      <c r="D27" s="72" t="s">
        <v>125</v>
      </c>
      <c r="E27" s="72">
        <v>66552</v>
      </c>
      <c r="F27" s="72" t="s">
        <v>127</v>
      </c>
      <c r="G27" s="72" t="s">
        <v>146</v>
      </c>
      <c r="H27" s="72" t="s">
        <v>24</v>
      </c>
      <c r="I27" s="73">
        <v>45729</v>
      </c>
      <c r="J27" s="72">
        <v>26388644</v>
      </c>
      <c r="K27" s="72" t="s">
        <v>135</v>
      </c>
      <c r="L27" s="72" t="str">
        <f>_xlfn.XLOOKUP(Tabla2__2[[#This Row],[CODIGO RUTA]],'DATA INFORME'!I:I,'DATA INFORME'!K:K)</f>
        <v>SI</v>
      </c>
      <c r="M27" s="72" t="str">
        <f>IF(Tabla2__2[[#This Row],[MYSTERY EFECTIVO]]="SI",_xlfn.XLOOKUP(Tabla2__2[[#This Row],[PREGUNTA]],ENCUESTA!G:G,ENCUESTA!D:D),"N/A")</f>
        <v>PORTAFOLIO Y MANEJO DE OBJECIONES</v>
      </c>
      <c r="N2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7" s="72" t="str">
        <f>_xlfn.XLOOKUP(Tabla2__2[[#This Row],[PREGUNTA]],ENCUESTA!G:G,ENCUESTA!H:H)</f>
        <v>SI</v>
      </c>
      <c r="P27" s="72">
        <f>IF(Tabla2__2[[#This Row],[RTA]]=Tabla2__2[[#This Row],[RTA CORRECTA]],Tabla2__2[[#This Row],[TOTAL PUNTAJE]],0)</f>
        <v>0</v>
      </c>
      <c r="Q27" s="72">
        <f t="shared" si="0"/>
        <v>0</v>
      </c>
    </row>
    <row r="28" spans="1:17" x14ac:dyDescent="0.25">
      <c r="A28" s="72" t="s">
        <v>39</v>
      </c>
      <c r="B28" s="72" t="s">
        <v>9</v>
      </c>
      <c r="C28" t="s">
        <v>63</v>
      </c>
      <c r="D28" s="72" t="s">
        <v>125</v>
      </c>
      <c r="E28" s="72">
        <v>66552</v>
      </c>
      <c r="F28" s="72" t="s">
        <v>127</v>
      </c>
      <c r="G28" s="72" t="s">
        <v>145</v>
      </c>
      <c r="H28" s="72" t="s">
        <v>118</v>
      </c>
      <c r="I28" s="73">
        <v>45729</v>
      </c>
      <c r="J28" s="72">
        <v>26388644</v>
      </c>
      <c r="K28" s="72" t="s">
        <v>135</v>
      </c>
      <c r="L28" s="72" t="str">
        <f>_xlfn.XLOOKUP(Tabla2__2[[#This Row],[CODIGO RUTA]],'DATA INFORME'!I:I,'DATA INFORME'!K:K)</f>
        <v>SI</v>
      </c>
      <c r="M28" s="72" t="str">
        <f>IF(Tabla2__2[[#This Row],[MYSTERY EFECTIVO]]="SI",_xlfn.XLOOKUP(Tabla2__2[[#This Row],[PREGUNTA]],ENCUESTA!G:G,ENCUESTA!D:D),"N/A")</f>
        <v>PORTAFOLIO Y MANEJO DE OBJECIONES</v>
      </c>
      <c r="N2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" s="72" t="str">
        <f>_xlfn.XLOOKUP(Tabla2__2[[#This Row],[PREGUNTA]],ENCUESTA!G:G,ENCUESTA!H:H)</f>
        <v>SI</v>
      </c>
      <c r="P28" s="72">
        <f>IF(Tabla2__2[[#This Row],[RTA]]=Tabla2__2[[#This Row],[RTA CORRECTA]],Tabla2__2[[#This Row],[TOTAL PUNTAJE]],0)</f>
        <v>0</v>
      </c>
      <c r="Q28" s="72">
        <f t="shared" si="0"/>
        <v>0</v>
      </c>
    </row>
    <row r="29" spans="1:17" x14ac:dyDescent="0.25">
      <c r="A29" s="72" t="s">
        <v>39</v>
      </c>
      <c r="B29" s="72" t="s">
        <v>9</v>
      </c>
      <c r="C29" t="s">
        <v>63</v>
      </c>
      <c r="D29" s="72" t="s">
        <v>125</v>
      </c>
      <c r="E29" s="72">
        <v>66552</v>
      </c>
      <c r="F29" s="72" t="s">
        <v>127</v>
      </c>
      <c r="G29" s="72" t="s">
        <v>144</v>
      </c>
      <c r="H29" s="72" t="s">
        <v>24</v>
      </c>
      <c r="I29" s="73">
        <v>45729</v>
      </c>
      <c r="J29" s="72">
        <v>26388644</v>
      </c>
      <c r="K29" s="72" t="s">
        <v>135</v>
      </c>
      <c r="L29" s="72" t="str">
        <f>_xlfn.XLOOKUP(Tabla2__2[[#This Row],[CODIGO RUTA]],'DATA INFORME'!I:I,'DATA INFORME'!K:K)</f>
        <v>SI</v>
      </c>
      <c r="M29" s="72" t="str">
        <f>IF(Tabla2__2[[#This Row],[MYSTERY EFECTIVO]]="SI",_xlfn.XLOOKUP(Tabla2__2[[#This Row],[PREGUNTA]],ENCUESTA!G:G,ENCUESTA!D:D),"N/A")</f>
        <v>PORTAFOLIO Y MANEJO DE OBJECIONES</v>
      </c>
      <c r="N2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" s="72" t="str">
        <f>_xlfn.XLOOKUP(Tabla2__2[[#This Row],[PREGUNTA]],ENCUESTA!G:G,ENCUESTA!H:H)</f>
        <v>SI</v>
      </c>
      <c r="P29" s="72">
        <f>IF(Tabla2__2[[#This Row],[RTA]]=Tabla2__2[[#This Row],[RTA CORRECTA]],Tabla2__2[[#This Row],[TOTAL PUNTAJE]],0)</f>
        <v>0</v>
      </c>
      <c r="Q29" s="72">
        <f t="shared" si="0"/>
        <v>0</v>
      </c>
    </row>
    <row r="30" spans="1:17" x14ac:dyDescent="0.25">
      <c r="A30" s="72" t="s">
        <v>39</v>
      </c>
      <c r="B30" s="72" t="s">
        <v>9</v>
      </c>
      <c r="C30" t="s">
        <v>63</v>
      </c>
      <c r="D30" s="72" t="s">
        <v>125</v>
      </c>
      <c r="E30" s="72">
        <v>66552</v>
      </c>
      <c r="F30" s="72" t="s">
        <v>127</v>
      </c>
      <c r="G30" s="72" t="s">
        <v>45</v>
      </c>
      <c r="H30" s="72" t="s">
        <v>24</v>
      </c>
      <c r="I30" s="73">
        <v>45729</v>
      </c>
      <c r="J30" s="72">
        <v>26388644</v>
      </c>
      <c r="K30" s="72" t="s">
        <v>135</v>
      </c>
      <c r="L30" s="72" t="str">
        <f>_xlfn.XLOOKUP(Tabla2__2[[#This Row],[CODIGO RUTA]],'DATA INFORME'!I:I,'DATA INFORME'!K:K)</f>
        <v>SI</v>
      </c>
      <c r="M30" s="72" t="str">
        <f>IF(Tabla2__2[[#This Row],[MYSTERY EFECTIVO]]="SI",_xlfn.XLOOKUP(Tabla2__2[[#This Row],[PREGUNTA]],ENCUESTA!G:G,ENCUESTA!D:D),"N/A")</f>
        <v>LABOR DE VENTA</v>
      </c>
      <c r="N3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30" s="72" t="str">
        <f>_xlfn.XLOOKUP(Tabla2__2[[#This Row],[PREGUNTA]],ENCUESTA!G:G,ENCUESTA!H:H)</f>
        <v>SI</v>
      </c>
      <c r="P30" s="72">
        <f>IF(Tabla2__2[[#This Row],[RTA]]=Tabla2__2[[#This Row],[RTA CORRECTA]],Tabla2__2[[#This Row],[TOTAL PUNTAJE]],0)</f>
        <v>7.5</v>
      </c>
      <c r="Q30" s="72">
        <f t="shared" si="0"/>
        <v>0</v>
      </c>
    </row>
    <row r="31" spans="1:17" x14ac:dyDescent="0.25">
      <c r="A31" s="72" t="s">
        <v>39</v>
      </c>
      <c r="B31" s="72" t="s">
        <v>62</v>
      </c>
      <c r="C31" t="s">
        <v>15</v>
      </c>
      <c r="D31" s="72" t="s">
        <v>116</v>
      </c>
      <c r="E31" s="72">
        <v>424883</v>
      </c>
      <c r="F31" s="72" t="s">
        <v>149</v>
      </c>
      <c r="G31" s="72" t="s">
        <v>45</v>
      </c>
      <c r="H31" s="72" t="s">
        <v>118</v>
      </c>
      <c r="I31" s="73">
        <v>45730</v>
      </c>
      <c r="J31" s="72">
        <v>26400532</v>
      </c>
      <c r="K31" s="72" t="s">
        <v>153</v>
      </c>
      <c r="L31" s="72" t="str">
        <f>_xlfn.XLOOKUP(Tabla2__2[[#This Row],[CODIGO RUTA]],'DATA INFORME'!I:I,'DATA INFORME'!K:K)</f>
        <v>NO</v>
      </c>
      <c r="M31" s="72" t="str">
        <f>IF(Tabla2__2[[#This Row],[MYSTERY EFECTIVO]]="SI",_xlfn.XLOOKUP(Tabla2__2[[#This Row],[PREGUNTA]],ENCUESTA!G:G,ENCUESTA!D:D),"N/A")</f>
        <v>N/A</v>
      </c>
      <c r="N3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1" s="72" t="str">
        <f>_xlfn.XLOOKUP(Tabla2__2[[#This Row],[PREGUNTA]],ENCUESTA!G:G,ENCUESTA!H:H)</f>
        <v>SI</v>
      </c>
      <c r="P31" s="72">
        <f>IF(Tabla2__2[[#This Row],[RTA]]=Tabla2__2[[#This Row],[RTA CORRECTA]],Tabla2__2[[#This Row],[TOTAL PUNTAJE]],0)</f>
        <v>0</v>
      </c>
      <c r="Q31" s="72">
        <f t="shared" si="0"/>
        <v>0</v>
      </c>
    </row>
    <row r="32" spans="1:17" x14ac:dyDescent="0.25">
      <c r="A32" s="72" t="s">
        <v>39</v>
      </c>
      <c r="B32" s="72" t="s">
        <v>62</v>
      </c>
      <c r="C32" t="s">
        <v>15</v>
      </c>
      <c r="D32" s="72" t="s">
        <v>116</v>
      </c>
      <c r="E32" s="72">
        <v>424883</v>
      </c>
      <c r="F32" s="72" t="s">
        <v>149</v>
      </c>
      <c r="G32" s="72" t="s">
        <v>148</v>
      </c>
      <c r="H32" s="72" t="s">
        <v>118</v>
      </c>
      <c r="I32" s="73">
        <v>45730</v>
      </c>
      <c r="J32" s="72">
        <v>26400532</v>
      </c>
      <c r="K32" s="72" t="s">
        <v>153</v>
      </c>
      <c r="L32" s="72" t="str">
        <f>_xlfn.XLOOKUP(Tabla2__2[[#This Row],[CODIGO RUTA]],'DATA INFORME'!I:I,'DATA INFORME'!K:K)</f>
        <v>NO</v>
      </c>
      <c r="M32" s="72" t="str">
        <f>IF(Tabla2__2[[#This Row],[MYSTERY EFECTIVO]]="SI",_xlfn.XLOOKUP(Tabla2__2[[#This Row],[PREGUNTA]],ENCUESTA!G:G,ENCUESTA!D:D),"N/A")</f>
        <v>N/A</v>
      </c>
      <c r="N3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" s="72" t="str">
        <f>_xlfn.XLOOKUP(Tabla2__2[[#This Row],[PREGUNTA]],ENCUESTA!G:G,ENCUESTA!H:H)</f>
        <v>SI</v>
      </c>
      <c r="P32" s="72">
        <f>IF(Tabla2__2[[#This Row],[RTA]]=Tabla2__2[[#This Row],[RTA CORRECTA]],Tabla2__2[[#This Row],[TOTAL PUNTAJE]],0)</f>
        <v>0</v>
      </c>
      <c r="Q32" s="72">
        <f t="shared" si="0"/>
        <v>0</v>
      </c>
    </row>
    <row r="33" spans="1:17" x14ac:dyDescent="0.25">
      <c r="A33" s="72" t="s">
        <v>39</v>
      </c>
      <c r="B33" s="72" t="s">
        <v>62</v>
      </c>
      <c r="C33" t="s">
        <v>15</v>
      </c>
      <c r="D33" s="72" t="s">
        <v>116</v>
      </c>
      <c r="E33" s="72">
        <v>424883</v>
      </c>
      <c r="F33" s="72" t="s">
        <v>149</v>
      </c>
      <c r="G33" s="72" t="s">
        <v>50</v>
      </c>
      <c r="H33" s="72" t="s">
        <v>118</v>
      </c>
      <c r="I33" s="73">
        <v>45730</v>
      </c>
      <c r="J33" s="72">
        <v>26400532</v>
      </c>
      <c r="K33" s="72" t="s">
        <v>153</v>
      </c>
      <c r="L33" s="72" t="str">
        <f>_xlfn.XLOOKUP(Tabla2__2[[#This Row],[CODIGO RUTA]],'DATA INFORME'!I:I,'DATA INFORME'!K:K)</f>
        <v>NO</v>
      </c>
      <c r="M33" s="72" t="str">
        <f>IF(Tabla2__2[[#This Row],[MYSTERY EFECTIVO]]="SI",_xlfn.XLOOKUP(Tabla2__2[[#This Row],[PREGUNTA]],ENCUESTA!G:G,ENCUESTA!D:D),"N/A")</f>
        <v>N/A</v>
      </c>
      <c r="N3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" s="72" t="str">
        <f>_xlfn.XLOOKUP(Tabla2__2[[#This Row],[PREGUNTA]],ENCUESTA!G:G,ENCUESTA!H:H)</f>
        <v>SI</v>
      </c>
      <c r="P33" s="72">
        <f>IF(Tabla2__2[[#This Row],[RTA]]=Tabla2__2[[#This Row],[RTA CORRECTA]],Tabla2__2[[#This Row],[TOTAL PUNTAJE]],0)</f>
        <v>0</v>
      </c>
      <c r="Q33" s="72">
        <f t="shared" si="0"/>
        <v>0</v>
      </c>
    </row>
    <row r="34" spans="1:17" x14ac:dyDescent="0.25">
      <c r="A34" s="72" t="s">
        <v>39</v>
      </c>
      <c r="B34" s="72" t="s">
        <v>62</v>
      </c>
      <c r="C34" t="s">
        <v>15</v>
      </c>
      <c r="D34" s="72" t="s">
        <v>116</v>
      </c>
      <c r="E34" s="72">
        <v>424883</v>
      </c>
      <c r="F34" s="72" t="s">
        <v>149</v>
      </c>
      <c r="G34" s="72" t="s">
        <v>41</v>
      </c>
      <c r="H34" s="72" t="s">
        <v>118</v>
      </c>
      <c r="I34" s="73">
        <v>45730</v>
      </c>
      <c r="J34" s="72">
        <v>26400532</v>
      </c>
      <c r="K34" s="72" t="s">
        <v>153</v>
      </c>
      <c r="L34" s="72" t="str">
        <f>_xlfn.XLOOKUP(Tabla2__2[[#This Row],[CODIGO RUTA]],'DATA INFORME'!I:I,'DATA INFORME'!K:K)</f>
        <v>NO</v>
      </c>
      <c r="M34" s="72" t="str">
        <f>IF(Tabla2__2[[#This Row],[MYSTERY EFECTIVO]]="SI",_xlfn.XLOOKUP(Tabla2__2[[#This Row],[PREGUNTA]],ENCUESTA!G:G,ENCUESTA!D:D),"N/A")</f>
        <v>N/A</v>
      </c>
      <c r="N3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" s="72" t="str">
        <f>_xlfn.XLOOKUP(Tabla2__2[[#This Row],[PREGUNTA]],ENCUESTA!G:G,ENCUESTA!H:H)</f>
        <v>SI</v>
      </c>
      <c r="P34" s="72">
        <f>IF(Tabla2__2[[#This Row],[RTA]]=Tabla2__2[[#This Row],[RTA CORRECTA]],Tabla2__2[[#This Row],[TOTAL PUNTAJE]],0)</f>
        <v>0</v>
      </c>
      <c r="Q34" s="72">
        <f t="shared" si="0"/>
        <v>0</v>
      </c>
    </row>
    <row r="35" spans="1:17" x14ac:dyDescent="0.25">
      <c r="A35" s="72" t="s">
        <v>39</v>
      </c>
      <c r="B35" s="72" t="s">
        <v>62</v>
      </c>
      <c r="C35" t="s">
        <v>15</v>
      </c>
      <c r="D35" s="72" t="s">
        <v>116</v>
      </c>
      <c r="E35" s="72">
        <v>424883</v>
      </c>
      <c r="F35" s="72" t="s">
        <v>149</v>
      </c>
      <c r="G35" s="72" t="s">
        <v>179</v>
      </c>
      <c r="H35" s="72" t="s">
        <v>118</v>
      </c>
      <c r="I35" s="73">
        <v>45730</v>
      </c>
      <c r="J35" s="72">
        <v>26400532</v>
      </c>
      <c r="K35" s="72" t="s">
        <v>153</v>
      </c>
      <c r="L35" s="72" t="str">
        <f>_xlfn.XLOOKUP(Tabla2__2[[#This Row],[CODIGO RUTA]],'DATA INFORME'!I:I,'DATA INFORME'!K:K)</f>
        <v>NO</v>
      </c>
      <c r="M35" s="72" t="str">
        <f>IF(Tabla2__2[[#This Row],[MYSTERY EFECTIVO]]="SI",_xlfn.XLOOKUP(Tabla2__2[[#This Row],[PREGUNTA]],ENCUESTA!G:G,ENCUESTA!D:D),"N/A")</f>
        <v>N/A</v>
      </c>
      <c r="N3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" s="72" t="str">
        <f>_xlfn.XLOOKUP(Tabla2__2[[#This Row],[PREGUNTA]],ENCUESTA!G:G,ENCUESTA!H:H)</f>
        <v>SI</v>
      </c>
      <c r="P35" s="72">
        <f>IF(Tabla2__2[[#This Row],[RTA]]=Tabla2__2[[#This Row],[RTA CORRECTA]],Tabla2__2[[#This Row],[TOTAL PUNTAJE]],0)</f>
        <v>0</v>
      </c>
      <c r="Q35" s="72">
        <f t="shared" si="0"/>
        <v>0</v>
      </c>
    </row>
    <row r="36" spans="1:17" x14ac:dyDescent="0.25">
      <c r="A36" s="72" t="s">
        <v>39</v>
      </c>
      <c r="B36" s="72" t="s">
        <v>62</v>
      </c>
      <c r="C36" t="s">
        <v>15</v>
      </c>
      <c r="D36" s="72" t="s">
        <v>116</v>
      </c>
      <c r="E36" s="72">
        <v>424883</v>
      </c>
      <c r="F36" s="72" t="s">
        <v>149</v>
      </c>
      <c r="G36" s="72" t="s">
        <v>177</v>
      </c>
      <c r="H36" s="72" t="s">
        <v>118</v>
      </c>
      <c r="I36" s="73">
        <v>45730</v>
      </c>
      <c r="J36" s="72">
        <v>26400532</v>
      </c>
      <c r="K36" s="72" t="s">
        <v>153</v>
      </c>
      <c r="L36" s="72" t="str">
        <f>_xlfn.XLOOKUP(Tabla2__2[[#This Row],[CODIGO RUTA]],'DATA INFORME'!I:I,'DATA INFORME'!K:K)</f>
        <v>NO</v>
      </c>
      <c r="M36" s="72" t="str">
        <f>IF(Tabla2__2[[#This Row],[MYSTERY EFECTIVO]]="SI",_xlfn.XLOOKUP(Tabla2__2[[#This Row],[PREGUNTA]],ENCUESTA!G:G,ENCUESTA!D:D),"N/A")</f>
        <v>N/A</v>
      </c>
      <c r="N3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" s="72" t="str">
        <f>_xlfn.XLOOKUP(Tabla2__2[[#This Row],[PREGUNTA]],ENCUESTA!G:G,ENCUESTA!H:H)</f>
        <v>SI</v>
      </c>
      <c r="P36" s="72">
        <f>IF(Tabla2__2[[#This Row],[RTA]]=Tabla2__2[[#This Row],[RTA CORRECTA]],Tabla2__2[[#This Row],[TOTAL PUNTAJE]],0)</f>
        <v>0</v>
      </c>
      <c r="Q36" s="72">
        <f t="shared" si="0"/>
        <v>0</v>
      </c>
    </row>
    <row r="37" spans="1:17" x14ac:dyDescent="0.25">
      <c r="A37" s="72" t="s">
        <v>39</v>
      </c>
      <c r="B37" s="72" t="s">
        <v>62</v>
      </c>
      <c r="C37" t="s">
        <v>15</v>
      </c>
      <c r="D37" s="72" t="s">
        <v>116</v>
      </c>
      <c r="E37" s="72">
        <v>424883</v>
      </c>
      <c r="F37" s="72" t="s">
        <v>149</v>
      </c>
      <c r="G37" s="72" t="s">
        <v>175</v>
      </c>
      <c r="H37" s="72" t="s">
        <v>118</v>
      </c>
      <c r="I37" s="73">
        <v>45730</v>
      </c>
      <c r="J37" s="72">
        <v>26400532</v>
      </c>
      <c r="K37" s="72" t="s">
        <v>153</v>
      </c>
      <c r="L37" s="72" t="str">
        <f>_xlfn.XLOOKUP(Tabla2__2[[#This Row],[CODIGO RUTA]],'DATA INFORME'!I:I,'DATA INFORME'!K:K)</f>
        <v>NO</v>
      </c>
      <c r="M37" s="72" t="str">
        <f>IF(Tabla2__2[[#This Row],[MYSTERY EFECTIVO]]="SI",_xlfn.XLOOKUP(Tabla2__2[[#This Row],[PREGUNTA]],ENCUESTA!G:G,ENCUESTA!D:D),"N/A")</f>
        <v>N/A</v>
      </c>
      <c r="N3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7" s="72" t="str">
        <f>_xlfn.XLOOKUP(Tabla2__2[[#This Row],[PREGUNTA]],ENCUESTA!G:G,ENCUESTA!H:H)</f>
        <v>SI</v>
      </c>
      <c r="P37" s="72">
        <f>IF(Tabla2__2[[#This Row],[RTA]]=Tabla2__2[[#This Row],[RTA CORRECTA]],Tabla2__2[[#This Row],[TOTAL PUNTAJE]],0)</f>
        <v>0</v>
      </c>
      <c r="Q37" s="72">
        <f t="shared" si="0"/>
        <v>0</v>
      </c>
    </row>
    <row r="38" spans="1:17" x14ac:dyDescent="0.25">
      <c r="A38" s="72" t="s">
        <v>39</v>
      </c>
      <c r="B38" s="72" t="s">
        <v>62</v>
      </c>
      <c r="C38" t="s">
        <v>15</v>
      </c>
      <c r="D38" s="72" t="s">
        <v>116</v>
      </c>
      <c r="E38" s="72">
        <v>424883</v>
      </c>
      <c r="F38" s="72" t="s">
        <v>149</v>
      </c>
      <c r="G38" s="72" t="s">
        <v>173</v>
      </c>
      <c r="H38" s="72" t="s">
        <v>118</v>
      </c>
      <c r="I38" s="73">
        <v>45730</v>
      </c>
      <c r="J38" s="72">
        <v>26400532</v>
      </c>
      <c r="K38" s="72" t="s">
        <v>153</v>
      </c>
      <c r="L38" s="72" t="str">
        <f>_xlfn.XLOOKUP(Tabla2__2[[#This Row],[CODIGO RUTA]],'DATA INFORME'!I:I,'DATA INFORME'!K:K)</f>
        <v>NO</v>
      </c>
      <c r="M38" s="72" t="str">
        <f>IF(Tabla2__2[[#This Row],[MYSTERY EFECTIVO]]="SI",_xlfn.XLOOKUP(Tabla2__2[[#This Row],[PREGUNTA]],ENCUESTA!G:G,ENCUESTA!D:D),"N/A")</f>
        <v>N/A</v>
      </c>
      <c r="N3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8" s="72" t="str">
        <f>_xlfn.XLOOKUP(Tabla2__2[[#This Row],[PREGUNTA]],ENCUESTA!G:G,ENCUESTA!H:H)</f>
        <v>SI</v>
      </c>
      <c r="P38" s="72">
        <f>IF(Tabla2__2[[#This Row],[RTA]]=Tabla2__2[[#This Row],[RTA CORRECTA]],Tabla2__2[[#This Row],[TOTAL PUNTAJE]],0)</f>
        <v>0</v>
      </c>
      <c r="Q38" s="72">
        <f t="shared" si="0"/>
        <v>0</v>
      </c>
    </row>
    <row r="39" spans="1:17" x14ac:dyDescent="0.25">
      <c r="A39" s="72" t="s">
        <v>39</v>
      </c>
      <c r="B39" s="72" t="s">
        <v>62</v>
      </c>
      <c r="C39" t="s">
        <v>15</v>
      </c>
      <c r="D39" s="72" t="s">
        <v>116</v>
      </c>
      <c r="E39" s="72">
        <v>424883</v>
      </c>
      <c r="F39" s="72" t="s">
        <v>149</v>
      </c>
      <c r="G39" s="72" t="s">
        <v>171</v>
      </c>
      <c r="H39" s="72" t="s">
        <v>118</v>
      </c>
      <c r="I39" s="73">
        <v>45730</v>
      </c>
      <c r="J39" s="72">
        <v>26400532</v>
      </c>
      <c r="K39" s="72" t="s">
        <v>153</v>
      </c>
      <c r="L39" s="72" t="str">
        <f>_xlfn.XLOOKUP(Tabla2__2[[#This Row],[CODIGO RUTA]],'DATA INFORME'!I:I,'DATA INFORME'!K:K)</f>
        <v>NO</v>
      </c>
      <c r="M39" s="72" t="str">
        <f>IF(Tabla2__2[[#This Row],[MYSTERY EFECTIVO]]="SI",_xlfn.XLOOKUP(Tabla2__2[[#This Row],[PREGUNTA]],ENCUESTA!G:G,ENCUESTA!D:D),"N/A")</f>
        <v>N/A</v>
      </c>
      <c r="N3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9" s="72" t="str">
        <f>_xlfn.XLOOKUP(Tabla2__2[[#This Row],[PREGUNTA]],ENCUESTA!G:G,ENCUESTA!H:H)</f>
        <v>SI</v>
      </c>
      <c r="P39" s="72">
        <f>IF(Tabla2__2[[#This Row],[RTA]]=Tabla2__2[[#This Row],[RTA CORRECTA]],Tabla2__2[[#This Row],[TOTAL PUNTAJE]],0)</f>
        <v>0</v>
      </c>
      <c r="Q39" s="72">
        <f t="shared" si="0"/>
        <v>0</v>
      </c>
    </row>
    <row r="40" spans="1:17" x14ac:dyDescent="0.25">
      <c r="A40" s="72" t="s">
        <v>39</v>
      </c>
      <c r="B40" s="72" t="s">
        <v>62</v>
      </c>
      <c r="C40" t="s">
        <v>15</v>
      </c>
      <c r="D40" s="72" t="s">
        <v>116</v>
      </c>
      <c r="E40" s="72">
        <v>424883</v>
      </c>
      <c r="F40" s="72" t="s">
        <v>149</v>
      </c>
      <c r="G40" s="72" t="s">
        <v>169</v>
      </c>
      <c r="H40" s="72" t="s">
        <v>118</v>
      </c>
      <c r="I40" s="73">
        <v>45730</v>
      </c>
      <c r="J40" s="72">
        <v>26400532</v>
      </c>
      <c r="K40" s="72" t="s">
        <v>153</v>
      </c>
      <c r="L40" s="72" t="str">
        <f>_xlfn.XLOOKUP(Tabla2__2[[#This Row],[CODIGO RUTA]],'DATA INFORME'!I:I,'DATA INFORME'!K:K)</f>
        <v>NO</v>
      </c>
      <c r="M40" s="72" t="str">
        <f>IF(Tabla2__2[[#This Row],[MYSTERY EFECTIVO]]="SI",_xlfn.XLOOKUP(Tabla2__2[[#This Row],[PREGUNTA]],ENCUESTA!G:G,ENCUESTA!D:D),"N/A")</f>
        <v>N/A</v>
      </c>
      <c r="N4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0" s="72" t="str">
        <f>_xlfn.XLOOKUP(Tabla2__2[[#This Row],[PREGUNTA]],ENCUESTA!G:G,ENCUESTA!H:H)</f>
        <v>SI</v>
      </c>
      <c r="P40" s="72">
        <f>IF(Tabla2__2[[#This Row],[RTA]]=Tabla2__2[[#This Row],[RTA CORRECTA]],Tabla2__2[[#This Row],[TOTAL PUNTAJE]],0)</f>
        <v>0</v>
      </c>
      <c r="Q40" s="72">
        <f t="shared" si="0"/>
        <v>0</v>
      </c>
    </row>
    <row r="41" spans="1:17" x14ac:dyDescent="0.25">
      <c r="A41" s="72" t="s">
        <v>39</v>
      </c>
      <c r="B41" s="72" t="s">
        <v>62</v>
      </c>
      <c r="C41" t="s">
        <v>15</v>
      </c>
      <c r="D41" s="72" t="s">
        <v>116</v>
      </c>
      <c r="E41" s="72">
        <v>424883</v>
      </c>
      <c r="F41" s="72" t="s">
        <v>149</v>
      </c>
      <c r="G41" s="72" t="s">
        <v>102</v>
      </c>
      <c r="H41" s="72" t="s">
        <v>167</v>
      </c>
      <c r="I41" s="73">
        <v>45730</v>
      </c>
      <c r="J41" s="72">
        <v>26400532</v>
      </c>
      <c r="K41" s="72" t="s">
        <v>153</v>
      </c>
      <c r="L41" s="72" t="str">
        <f>_xlfn.XLOOKUP(Tabla2__2[[#This Row],[CODIGO RUTA]],'DATA INFORME'!I:I,'DATA INFORME'!K:K)</f>
        <v>NO</v>
      </c>
      <c r="M41" s="72" t="str">
        <f>IF(Tabla2__2[[#This Row],[MYSTERY EFECTIVO]]="SI",_xlfn.XLOOKUP(Tabla2__2[[#This Row],[PREGUNTA]],ENCUESTA!G:G,ENCUESTA!D:D),"N/A")</f>
        <v>N/A</v>
      </c>
      <c r="N4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1" s="72">
        <f>_xlfn.XLOOKUP(Tabla2__2[[#This Row],[PREGUNTA]],ENCUESTA!G:G,ENCUESTA!H:H)</f>
        <v>0</v>
      </c>
      <c r="P41" s="72">
        <f>IF(Tabla2__2[[#This Row],[RTA]]=Tabla2__2[[#This Row],[RTA CORRECTA]],Tabla2__2[[#This Row],[TOTAL PUNTAJE]],0)</f>
        <v>0</v>
      </c>
      <c r="Q41" s="72">
        <f t="shared" si="0"/>
        <v>0</v>
      </c>
    </row>
    <row r="42" spans="1:17" x14ac:dyDescent="0.25">
      <c r="A42" s="72" t="s">
        <v>39</v>
      </c>
      <c r="B42" s="72" t="s">
        <v>62</v>
      </c>
      <c r="C42" t="s">
        <v>15</v>
      </c>
      <c r="D42" s="72" t="s">
        <v>116</v>
      </c>
      <c r="E42" s="72">
        <v>424883</v>
      </c>
      <c r="F42" s="72" t="s">
        <v>149</v>
      </c>
      <c r="G42" s="72" t="s">
        <v>99</v>
      </c>
      <c r="H42" s="72" t="s">
        <v>118</v>
      </c>
      <c r="I42" s="73">
        <v>45730</v>
      </c>
      <c r="J42" s="72">
        <v>26400532</v>
      </c>
      <c r="K42" s="72" t="s">
        <v>153</v>
      </c>
      <c r="L42" s="72" t="str">
        <f>_xlfn.XLOOKUP(Tabla2__2[[#This Row],[CODIGO RUTA]],'DATA INFORME'!I:I,'DATA INFORME'!K:K)</f>
        <v>NO</v>
      </c>
      <c r="M42" s="72" t="str">
        <f>IF(Tabla2__2[[#This Row],[MYSTERY EFECTIVO]]="SI",_xlfn.XLOOKUP(Tabla2__2[[#This Row],[PREGUNTA]],ENCUESTA!G:G,ENCUESTA!D:D),"N/A")</f>
        <v>N/A</v>
      </c>
      <c r="N4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2" s="72" t="str">
        <f>_xlfn.XLOOKUP(Tabla2__2[[#This Row],[PREGUNTA]],ENCUESTA!G:G,ENCUESTA!H:H)</f>
        <v>SI</v>
      </c>
      <c r="P42" s="72">
        <f>IF(Tabla2__2[[#This Row],[RTA]]=Tabla2__2[[#This Row],[RTA CORRECTA]],Tabla2__2[[#This Row],[TOTAL PUNTAJE]],0)</f>
        <v>0</v>
      </c>
      <c r="Q42" s="72">
        <f t="shared" si="0"/>
        <v>0</v>
      </c>
    </row>
    <row r="43" spans="1:17" x14ac:dyDescent="0.25">
      <c r="A43" s="72" t="s">
        <v>39</v>
      </c>
      <c r="B43" s="72" t="s">
        <v>62</v>
      </c>
      <c r="C43" t="s">
        <v>15</v>
      </c>
      <c r="D43" s="72" t="s">
        <v>116</v>
      </c>
      <c r="E43" s="72">
        <v>424883</v>
      </c>
      <c r="F43" s="72" t="s">
        <v>149</v>
      </c>
      <c r="G43" s="72" t="s">
        <v>181</v>
      </c>
      <c r="H43" s="72" t="s">
        <v>118</v>
      </c>
      <c r="I43" s="73">
        <v>45730</v>
      </c>
      <c r="J43" s="72">
        <v>26400532</v>
      </c>
      <c r="K43" s="72" t="s">
        <v>153</v>
      </c>
      <c r="L43" s="72" t="str">
        <f>_xlfn.XLOOKUP(Tabla2__2[[#This Row],[CODIGO RUTA]],'DATA INFORME'!I:I,'DATA INFORME'!K:K)</f>
        <v>NO</v>
      </c>
      <c r="M43" s="72" t="str">
        <f>IF(Tabla2__2[[#This Row],[MYSTERY EFECTIVO]]="SI",_xlfn.XLOOKUP(Tabla2__2[[#This Row],[PREGUNTA]],ENCUESTA!G:G,ENCUESTA!D:D),"N/A")</f>
        <v>N/A</v>
      </c>
      <c r="N4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3" s="72" t="str">
        <f>_xlfn.XLOOKUP(Tabla2__2[[#This Row],[PREGUNTA]],ENCUESTA!G:G,ENCUESTA!H:H)</f>
        <v>SI</v>
      </c>
      <c r="P43" s="72">
        <f>IF(Tabla2__2[[#This Row],[RTA]]=Tabla2__2[[#This Row],[RTA CORRECTA]],Tabla2__2[[#This Row],[TOTAL PUNTAJE]],0)</f>
        <v>0</v>
      </c>
      <c r="Q43" s="72">
        <f t="shared" si="0"/>
        <v>0</v>
      </c>
    </row>
    <row r="44" spans="1:17" x14ac:dyDescent="0.25">
      <c r="A44" s="72" t="s">
        <v>39</v>
      </c>
      <c r="B44" s="72" t="s">
        <v>62</v>
      </c>
      <c r="C44" t="s">
        <v>15</v>
      </c>
      <c r="D44" s="72" t="s">
        <v>116</v>
      </c>
      <c r="E44" s="72">
        <v>424883</v>
      </c>
      <c r="F44" s="72" t="s">
        <v>149</v>
      </c>
      <c r="G44" s="72" t="s">
        <v>101</v>
      </c>
      <c r="H44" s="72" t="s">
        <v>104</v>
      </c>
      <c r="I44" s="73">
        <v>45730</v>
      </c>
      <c r="J44" s="72">
        <v>26400532</v>
      </c>
      <c r="K44" s="72" t="s">
        <v>153</v>
      </c>
      <c r="L44" s="72" t="str">
        <f>_xlfn.XLOOKUP(Tabla2__2[[#This Row],[CODIGO RUTA]],'DATA INFORME'!I:I,'DATA INFORME'!K:K)</f>
        <v>NO</v>
      </c>
      <c r="M44" s="72" t="str">
        <f>IF(Tabla2__2[[#This Row],[MYSTERY EFECTIVO]]="SI",_xlfn.XLOOKUP(Tabla2__2[[#This Row],[PREGUNTA]],ENCUESTA!G:G,ENCUESTA!D:D),"N/A")</f>
        <v>N/A</v>
      </c>
      <c r="N4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4" s="72" t="str">
        <f>_xlfn.XLOOKUP(Tabla2__2[[#This Row],[PREGUNTA]],ENCUESTA!G:G,ENCUESTA!H:H)</f>
        <v>SI</v>
      </c>
      <c r="P44" s="72">
        <f>IF(Tabla2__2[[#This Row],[RTA]]=Tabla2__2[[#This Row],[RTA CORRECTA]],Tabla2__2[[#This Row],[TOTAL PUNTAJE]],0)</f>
        <v>0</v>
      </c>
      <c r="Q44" s="72">
        <f t="shared" si="0"/>
        <v>0</v>
      </c>
    </row>
    <row r="45" spans="1:17" x14ac:dyDescent="0.25">
      <c r="A45" s="72" t="s">
        <v>39</v>
      </c>
      <c r="B45" s="72" t="s">
        <v>62</v>
      </c>
      <c r="C45" t="s">
        <v>15</v>
      </c>
      <c r="D45" s="72" t="s">
        <v>116</v>
      </c>
      <c r="E45" s="72">
        <v>424883</v>
      </c>
      <c r="F45" s="72" t="s">
        <v>149</v>
      </c>
      <c r="G45" s="72" t="s">
        <v>138</v>
      </c>
      <c r="H45" s="72" t="s">
        <v>118</v>
      </c>
      <c r="I45" s="73">
        <v>45730</v>
      </c>
      <c r="J45" s="72">
        <v>26400532</v>
      </c>
      <c r="K45" s="72" t="s">
        <v>153</v>
      </c>
      <c r="L45" s="72" t="str">
        <f>_xlfn.XLOOKUP(Tabla2__2[[#This Row],[CODIGO RUTA]],'DATA INFORME'!I:I,'DATA INFORME'!K:K)</f>
        <v>NO</v>
      </c>
      <c r="M45" s="72" t="str">
        <f>IF(Tabla2__2[[#This Row],[MYSTERY EFECTIVO]]="SI",_xlfn.XLOOKUP(Tabla2__2[[#This Row],[PREGUNTA]],ENCUESTA!G:G,ENCUESTA!D:D),"N/A")</f>
        <v>N/A</v>
      </c>
      <c r="N4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5" s="72" t="str">
        <f>_xlfn.XLOOKUP(Tabla2__2[[#This Row],[PREGUNTA]],ENCUESTA!G:G,ENCUESTA!H:H)</f>
        <v>SI</v>
      </c>
      <c r="P45" s="72">
        <f>IF(Tabla2__2[[#This Row],[RTA]]=Tabla2__2[[#This Row],[RTA CORRECTA]],Tabla2__2[[#This Row],[TOTAL PUNTAJE]],0)</f>
        <v>0</v>
      </c>
      <c r="Q45" s="72">
        <f t="shared" si="0"/>
        <v>0</v>
      </c>
    </row>
    <row r="46" spans="1:17" x14ac:dyDescent="0.25">
      <c r="A46" s="72" t="s">
        <v>39</v>
      </c>
      <c r="B46" s="72" t="s">
        <v>62</v>
      </c>
      <c r="C46" t="s">
        <v>15</v>
      </c>
      <c r="D46" s="72" t="s">
        <v>116</v>
      </c>
      <c r="E46" s="72">
        <v>424883</v>
      </c>
      <c r="F46" s="72" t="s">
        <v>149</v>
      </c>
      <c r="G46" s="72" t="s">
        <v>47</v>
      </c>
      <c r="H46" s="72" t="s">
        <v>118</v>
      </c>
      <c r="I46" s="73">
        <v>45730</v>
      </c>
      <c r="J46" s="72">
        <v>26400532</v>
      </c>
      <c r="K46" s="72" t="s">
        <v>153</v>
      </c>
      <c r="L46" s="72" t="str">
        <f>_xlfn.XLOOKUP(Tabla2__2[[#This Row],[CODIGO RUTA]],'DATA INFORME'!I:I,'DATA INFORME'!K:K)</f>
        <v>NO</v>
      </c>
      <c r="M46" s="72" t="str">
        <f>IF(Tabla2__2[[#This Row],[MYSTERY EFECTIVO]]="SI",_xlfn.XLOOKUP(Tabla2__2[[#This Row],[PREGUNTA]],ENCUESTA!G:G,ENCUESTA!D:D),"N/A")</f>
        <v>N/A</v>
      </c>
      <c r="N4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6" s="72" t="str">
        <f>_xlfn.XLOOKUP(Tabla2__2[[#This Row],[PREGUNTA]],ENCUESTA!G:G,ENCUESTA!H:H)</f>
        <v>NO</v>
      </c>
      <c r="P46" s="72">
        <f>IF(Tabla2__2[[#This Row],[RTA]]=Tabla2__2[[#This Row],[RTA CORRECTA]],Tabla2__2[[#This Row],[TOTAL PUNTAJE]],0)</f>
        <v>0</v>
      </c>
      <c r="Q46" s="72">
        <f t="shared" si="0"/>
        <v>0</v>
      </c>
    </row>
    <row r="47" spans="1:17" x14ac:dyDescent="0.25">
      <c r="A47" s="72" t="s">
        <v>39</v>
      </c>
      <c r="B47" s="72" t="s">
        <v>62</v>
      </c>
      <c r="C47" t="s">
        <v>15</v>
      </c>
      <c r="D47" s="72" t="s">
        <v>116</v>
      </c>
      <c r="E47" s="72">
        <v>424883</v>
      </c>
      <c r="F47" s="72" t="s">
        <v>149</v>
      </c>
      <c r="G47" s="72" t="s">
        <v>46</v>
      </c>
      <c r="H47" s="72" t="s">
        <v>118</v>
      </c>
      <c r="I47" s="73">
        <v>45730</v>
      </c>
      <c r="J47" s="72">
        <v>26400532</v>
      </c>
      <c r="K47" s="72" t="s">
        <v>153</v>
      </c>
      <c r="L47" s="72" t="str">
        <f>_xlfn.XLOOKUP(Tabla2__2[[#This Row],[CODIGO RUTA]],'DATA INFORME'!I:I,'DATA INFORME'!K:K)</f>
        <v>NO</v>
      </c>
      <c r="M47" s="72" t="str">
        <f>IF(Tabla2__2[[#This Row],[MYSTERY EFECTIVO]]="SI",_xlfn.XLOOKUP(Tabla2__2[[#This Row],[PREGUNTA]],ENCUESTA!G:G,ENCUESTA!D:D),"N/A")</f>
        <v>N/A</v>
      </c>
      <c r="N4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7" s="72" t="str">
        <f>_xlfn.XLOOKUP(Tabla2__2[[#This Row],[PREGUNTA]],ENCUESTA!G:G,ENCUESTA!H:H)</f>
        <v>NO</v>
      </c>
      <c r="P47" s="72">
        <f>IF(Tabla2__2[[#This Row],[RTA]]=Tabla2__2[[#This Row],[RTA CORRECTA]],Tabla2__2[[#This Row],[TOTAL PUNTAJE]],0)</f>
        <v>0</v>
      </c>
      <c r="Q47" s="72">
        <f t="shared" si="0"/>
        <v>0</v>
      </c>
    </row>
    <row r="48" spans="1:17" x14ac:dyDescent="0.25">
      <c r="A48" s="72" t="s">
        <v>39</v>
      </c>
      <c r="B48" s="72" t="s">
        <v>62</v>
      </c>
      <c r="C48" t="s">
        <v>15</v>
      </c>
      <c r="D48" s="72" t="s">
        <v>116</v>
      </c>
      <c r="E48" s="72">
        <v>424883</v>
      </c>
      <c r="F48" s="72" t="s">
        <v>149</v>
      </c>
      <c r="G48" s="72" t="s">
        <v>48</v>
      </c>
      <c r="H48" s="72" t="s">
        <v>118</v>
      </c>
      <c r="I48" s="73">
        <v>45730</v>
      </c>
      <c r="J48" s="72">
        <v>26400532</v>
      </c>
      <c r="K48" s="72" t="s">
        <v>153</v>
      </c>
      <c r="L48" s="72" t="str">
        <f>_xlfn.XLOOKUP(Tabla2__2[[#This Row],[CODIGO RUTA]],'DATA INFORME'!I:I,'DATA INFORME'!K:K)</f>
        <v>NO</v>
      </c>
      <c r="M48" s="72" t="str">
        <f>IF(Tabla2__2[[#This Row],[MYSTERY EFECTIVO]]="SI",_xlfn.XLOOKUP(Tabla2__2[[#This Row],[PREGUNTA]],ENCUESTA!G:G,ENCUESTA!D:D),"N/A")</f>
        <v>N/A</v>
      </c>
      <c r="N4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8" s="72" t="str">
        <f>_xlfn.XLOOKUP(Tabla2__2[[#This Row],[PREGUNTA]],ENCUESTA!G:G,ENCUESTA!H:H)</f>
        <v>NO</v>
      </c>
      <c r="P48" s="72">
        <f>IF(Tabla2__2[[#This Row],[RTA]]=Tabla2__2[[#This Row],[RTA CORRECTA]],Tabla2__2[[#This Row],[TOTAL PUNTAJE]],0)</f>
        <v>0</v>
      </c>
      <c r="Q48" s="72">
        <f t="shared" si="0"/>
        <v>0</v>
      </c>
    </row>
    <row r="49" spans="1:17" x14ac:dyDescent="0.25">
      <c r="A49" s="72" t="s">
        <v>39</v>
      </c>
      <c r="B49" s="72" t="s">
        <v>62</v>
      </c>
      <c r="C49" t="s">
        <v>15</v>
      </c>
      <c r="D49" s="72" t="s">
        <v>116</v>
      </c>
      <c r="E49" s="72">
        <v>424883</v>
      </c>
      <c r="F49" s="72" t="s">
        <v>149</v>
      </c>
      <c r="G49" s="72" t="s">
        <v>52</v>
      </c>
      <c r="H49" s="72" t="s">
        <v>118</v>
      </c>
      <c r="I49" s="73">
        <v>45730</v>
      </c>
      <c r="J49" s="72">
        <v>26400532</v>
      </c>
      <c r="K49" s="72" t="s">
        <v>153</v>
      </c>
      <c r="L49" s="72" t="str">
        <f>_xlfn.XLOOKUP(Tabla2__2[[#This Row],[CODIGO RUTA]],'DATA INFORME'!I:I,'DATA INFORME'!K:K)</f>
        <v>NO</v>
      </c>
      <c r="M49" s="72" t="str">
        <f>IF(Tabla2__2[[#This Row],[MYSTERY EFECTIVO]]="SI",_xlfn.XLOOKUP(Tabla2__2[[#This Row],[PREGUNTA]],ENCUESTA!G:G,ENCUESTA!D:D),"N/A")</f>
        <v>N/A</v>
      </c>
      <c r="N4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9" s="72" t="str">
        <f>_xlfn.XLOOKUP(Tabla2__2[[#This Row],[PREGUNTA]],ENCUESTA!G:G,ENCUESTA!H:H)</f>
        <v>NO</v>
      </c>
      <c r="P49" s="72">
        <f>IF(Tabla2__2[[#This Row],[RTA]]=Tabla2__2[[#This Row],[RTA CORRECTA]],Tabla2__2[[#This Row],[TOTAL PUNTAJE]],0)</f>
        <v>0</v>
      </c>
      <c r="Q49" s="72">
        <f t="shared" si="0"/>
        <v>0</v>
      </c>
    </row>
    <row r="50" spans="1:17" x14ac:dyDescent="0.25">
      <c r="A50" s="72" t="s">
        <v>39</v>
      </c>
      <c r="B50" s="72" t="s">
        <v>62</v>
      </c>
      <c r="C50" t="s">
        <v>15</v>
      </c>
      <c r="D50" s="72" t="s">
        <v>116</v>
      </c>
      <c r="E50" s="72">
        <v>424883</v>
      </c>
      <c r="F50" s="72" t="s">
        <v>149</v>
      </c>
      <c r="G50" s="72" t="s">
        <v>49</v>
      </c>
      <c r="H50" s="72" t="s">
        <v>118</v>
      </c>
      <c r="I50" s="73">
        <v>45730</v>
      </c>
      <c r="J50" s="72">
        <v>26400532</v>
      </c>
      <c r="K50" s="72" t="s">
        <v>153</v>
      </c>
      <c r="L50" s="72" t="str">
        <f>_xlfn.XLOOKUP(Tabla2__2[[#This Row],[CODIGO RUTA]],'DATA INFORME'!I:I,'DATA INFORME'!K:K)</f>
        <v>NO</v>
      </c>
      <c r="M50" s="72" t="str">
        <f>IF(Tabla2__2[[#This Row],[MYSTERY EFECTIVO]]="SI",_xlfn.XLOOKUP(Tabla2__2[[#This Row],[PREGUNTA]],ENCUESTA!G:G,ENCUESTA!D:D),"N/A")</f>
        <v>N/A</v>
      </c>
      <c r="N5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0" s="72" t="str">
        <f>_xlfn.XLOOKUP(Tabla2__2[[#This Row],[PREGUNTA]],ENCUESTA!G:G,ENCUESTA!H:H)</f>
        <v>SI</v>
      </c>
      <c r="P50" s="72">
        <f>IF(Tabla2__2[[#This Row],[RTA]]=Tabla2__2[[#This Row],[RTA CORRECTA]],Tabla2__2[[#This Row],[TOTAL PUNTAJE]],0)</f>
        <v>0</v>
      </c>
      <c r="Q50" s="72">
        <f t="shared" si="0"/>
        <v>0</v>
      </c>
    </row>
    <row r="51" spans="1:17" x14ac:dyDescent="0.25">
      <c r="A51" s="72" t="s">
        <v>39</v>
      </c>
      <c r="B51" s="72" t="s">
        <v>62</v>
      </c>
      <c r="C51" t="s">
        <v>15</v>
      </c>
      <c r="D51" s="72" t="s">
        <v>116</v>
      </c>
      <c r="E51" s="72">
        <v>424883</v>
      </c>
      <c r="F51" s="72" t="s">
        <v>149</v>
      </c>
      <c r="G51" s="72" t="s">
        <v>43</v>
      </c>
      <c r="H51" s="72" t="s">
        <v>118</v>
      </c>
      <c r="I51" s="73">
        <v>45730</v>
      </c>
      <c r="J51" s="72">
        <v>26400532</v>
      </c>
      <c r="K51" s="72" t="s">
        <v>153</v>
      </c>
      <c r="L51" s="72" t="str">
        <f>_xlfn.XLOOKUP(Tabla2__2[[#This Row],[CODIGO RUTA]],'DATA INFORME'!I:I,'DATA INFORME'!K:K)</f>
        <v>NO</v>
      </c>
      <c r="M51" s="72" t="str">
        <f>IF(Tabla2__2[[#This Row],[MYSTERY EFECTIVO]]="SI",_xlfn.XLOOKUP(Tabla2__2[[#This Row],[PREGUNTA]],ENCUESTA!G:G,ENCUESTA!D:D),"N/A")</f>
        <v>N/A</v>
      </c>
      <c r="N5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1" s="72" t="str">
        <f>_xlfn.XLOOKUP(Tabla2__2[[#This Row],[PREGUNTA]],ENCUESTA!G:G,ENCUESTA!H:H)</f>
        <v>SI</v>
      </c>
      <c r="P51" s="72">
        <f>IF(Tabla2__2[[#This Row],[RTA]]=Tabla2__2[[#This Row],[RTA CORRECTA]],Tabla2__2[[#This Row],[TOTAL PUNTAJE]],0)</f>
        <v>0</v>
      </c>
      <c r="Q51" s="72">
        <f t="shared" si="0"/>
        <v>0</v>
      </c>
    </row>
    <row r="52" spans="1:17" x14ac:dyDescent="0.25">
      <c r="A52" s="72" t="s">
        <v>39</v>
      </c>
      <c r="B52" s="72" t="s">
        <v>62</v>
      </c>
      <c r="C52" t="s">
        <v>15</v>
      </c>
      <c r="D52" s="72" t="s">
        <v>116</v>
      </c>
      <c r="E52" s="72">
        <v>424883</v>
      </c>
      <c r="F52" s="72" t="s">
        <v>149</v>
      </c>
      <c r="G52" s="72" t="s">
        <v>137</v>
      </c>
      <c r="H52" s="72" t="s">
        <v>118</v>
      </c>
      <c r="I52" s="73">
        <v>45730</v>
      </c>
      <c r="J52" s="72">
        <v>26400532</v>
      </c>
      <c r="K52" s="72" t="s">
        <v>153</v>
      </c>
      <c r="L52" s="72" t="str">
        <f>_xlfn.XLOOKUP(Tabla2__2[[#This Row],[CODIGO RUTA]],'DATA INFORME'!I:I,'DATA INFORME'!K:K)</f>
        <v>NO</v>
      </c>
      <c r="M52" s="72" t="str">
        <f>IF(Tabla2__2[[#This Row],[MYSTERY EFECTIVO]]="SI",_xlfn.XLOOKUP(Tabla2__2[[#This Row],[PREGUNTA]],ENCUESTA!G:G,ENCUESTA!D:D),"N/A")</f>
        <v>N/A</v>
      </c>
      <c r="N5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2" s="72" t="str">
        <f>_xlfn.XLOOKUP(Tabla2__2[[#This Row],[PREGUNTA]],ENCUESTA!G:G,ENCUESTA!H:H)</f>
        <v>NO</v>
      </c>
      <c r="P52" s="72">
        <f>IF(Tabla2__2[[#This Row],[RTA]]=Tabla2__2[[#This Row],[RTA CORRECTA]],Tabla2__2[[#This Row],[TOTAL PUNTAJE]],0)</f>
        <v>0</v>
      </c>
      <c r="Q52" s="72">
        <f t="shared" si="0"/>
        <v>0</v>
      </c>
    </row>
    <row r="53" spans="1:17" x14ac:dyDescent="0.25">
      <c r="A53" s="72" t="s">
        <v>39</v>
      </c>
      <c r="B53" s="72" t="s">
        <v>62</v>
      </c>
      <c r="C53" t="s">
        <v>15</v>
      </c>
      <c r="D53" s="72" t="s">
        <v>116</v>
      </c>
      <c r="E53" s="72">
        <v>424883</v>
      </c>
      <c r="F53" s="72" t="s">
        <v>149</v>
      </c>
      <c r="G53" s="72" t="s">
        <v>44</v>
      </c>
      <c r="H53" s="72" t="s">
        <v>118</v>
      </c>
      <c r="I53" s="73">
        <v>45730</v>
      </c>
      <c r="J53" s="72">
        <v>26400532</v>
      </c>
      <c r="K53" s="72" t="s">
        <v>153</v>
      </c>
      <c r="L53" s="72" t="str">
        <f>_xlfn.XLOOKUP(Tabla2__2[[#This Row],[CODIGO RUTA]],'DATA INFORME'!I:I,'DATA INFORME'!K:K)</f>
        <v>NO</v>
      </c>
      <c r="M53" s="72" t="str">
        <f>IF(Tabla2__2[[#This Row],[MYSTERY EFECTIVO]]="SI",_xlfn.XLOOKUP(Tabla2__2[[#This Row],[PREGUNTA]],ENCUESTA!G:G,ENCUESTA!D:D),"N/A")</f>
        <v>N/A</v>
      </c>
      <c r="N5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3" s="72" t="str">
        <f>_xlfn.XLOOKUP(Tabla2__2[[#This Row],[PREGUNTA]],ENCUESTA!G:G,ENCUESTA!H:H)</f>
        <v>SI</v>
      </c>
      <c r="P53" s="72">
        <f>IF(Tabla2__2[[#This Row],[RTA]]=Tabla2__2[[#This Row],[RTA CORRECTA]],Tabla2__2[[#This Row],[TOTAL PUNTAJE]],0)</f>
        <v>0</v>
      </c>
      <c r="Q53" s="72">
        <f t="shared" si="0"/>
        <v>0</v>
      </c>
    </row>
    <row r="54" spans="1:17" x14ac:dyDescent="0.25">
      <c r="A54" s="72" t="s">
        <v>39</v>
      </c>
      <c r="B54" s="72" t="s">
        <v>62</v>
      </c>
      <c r="C54" t="s">
        <v>15</v>
      </c>
      <c r="D54" s="72" t="s">
        <v>116</v>
      </c>
      <c r="E54" s="72">
        <v>424883</v>
      </c>
      <c r="F54" s="72" t="s">
        <v>149</v>
      </c>
      <c r="G54" s="72" t="s">
        <v>136</v>
      </c>
      <c r="H54" s="72" t="s">
        <v>118</v>
      </c>
      <c r="I54" s="73">
        <v>45730</v>
      </c>
      <c r="J54" s="72">
        <v>26400532</v>
      </c>
      <c r="K54" s="72" t="s">
        <v>153</v>
      </c>
      <c r="L54" s="72" t="str">
        <f>_xlfn.XLOOKUP(Tabla2__2[[#This Row],[CODIGO RUTA]],'DATA INFORME'!I:I,'DATA INFORME'!K:K)</f>
        <v>NO</v>
      </c>
      <c r="M54" s="72" t="str">
        <f>IF(Tabla2__2[[#This Row],[MYSTERY EFECTIVO]]="SI",_xlfn.XLOOKUP(Tabla2__2[[#This Row],[PREGUNTA]],ENCUESTA!G:G,ENCUESTA!D:D),"N/A")</f>
        <v>N/A</v>
      </c>
      <c r="N5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4" s="72" t="str">
        <f>_xlfn.XLOOKUP(Tabla2__2[[#This Row],[PREGUNTA]],ENCUESTA!G:G,ENCUESTA!H:H)</f>
        <v>SI</v>
      </c>
      <c r="P54" s="72">
        <f>IF(Tabla2__2[[#This Row],[RTA]]=Tabla2__2[[#This Row],[RTA CORRECTA]],Tabla2__2[[#This Row],[TOTAL PUNTAJE]],0)</f>
        <v>0</v>
      </c>
      <c r="Q54" s="72">
        <f t="shared" si="0"/>
        <v>0</v>
      </c>
    </row>
    <row r="55" spans="1:17" x14ac:dyDescent="0.25">
      <c r="A55" s="72" t="s">
        <v>39</v>
      </c>
      <c r="B55" s="72" t="s">
        <v>62</v>
      </c>
      <c r="C55" t="s">
        <v>15</v>
      </c>
      <c r="D55" s="72" t="s">
        <v>116</v>
      </c>
      <c r="E55" s="72">
        <v>424883</v>
      </c>
      <c r="F55" s="72" t="s">
        <v>149</v>
      </c>
      <c r="G55" s="72" t="s">
        <v>100</v>
      </c>
      <c r="H55" s="72" t="s">
        <v>118</v>
      </c>
      <c r="I55" s="73">
        <v>45730</v>
      </c>
      <c r="J55" s="72">
        <v>26400532</v>
      </c>
      <c r="K55" s="72" t="s">
        <v>153</v>
      </c>
      <c r="L55" s="72" t="str">
        <f>_xlfn.XLOOKUP(Tabla2__2[[#This Row],[CODIGO RUTA]],'DATA INFORME'!I:I,'DATA INFORME'!K:K)</f>
        <v>NO</v>
      </c>
      <c r="M55" s="72" t="str">
        <f>IF(Tabla2__2[[#This Row],[MYSTERY EFECTIVO]]="SI",_xlfn.XLOOKUP(Tabla2__2[[#This Row],[PREGUNTA]],ENCUESTA!G:G,ENCUESTA!D:D),"N/A")</f>
        <v>N/A</v>
      </c>
      <c r="N5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5" s="72" t="str">
        <f>_xlfn.XLOOKUP(Tabla2__2[[#This Row],[PREGUNTA]],ENCUESTA!G:G,ENCUESTA!H:H)</f>
        <v>SI</v>
      </c>
      <c r="P55" s="72">
        <f>IF(Tabla2__2[[#This Row],[RTA]]=Tabla2__2[[#This Row],[RTA CORRECTA]],Tabla2__2[[#This Row],[TOTAL PUNTAJE]],0)</f>
        <v>0</v>
      </c>
      <c r="Q55" s="72">
        <f t="shared" si="0"/>
        <v>0</v>
      </c>
    </row>
    <row r="56" spans="1:17" x14ac:dyDescent="0.25">
      <c r="A56" s="72" t="s">
        <v>39</v>
      </c>
      <c r="B56" s="72" t="s">
        <v>62</v>
      </c>
      <c r="C56" t="s">
        <v>15</v>
      </c>
      <c r="D56" s="72" t="s">
        <v>116</v>
      </c>
      <c r="E56" s="72">
        <v>424883</v>
      </c>
      <c r="F56" s="72" t="s">
        <v>149</v>
      </c>
      <c r="G56" s="72" t="s">
        <v>40</v>
      </c>
      <c r="H56" s="72" t="s">
        <v>118</v>
      </c>
      <c r="I56" s="73">
        <v>45730</v>
      </c>
      <c r="J56" s="72">
        <v>26400532</v>
      </c>
      <c r="K56" s="72" t="s">
        <v>153</v>
      </c>
      <c r="L56" s="72" t="str">
        <f>_xlfn.XLOOKUP(Tabla2__2[[#This Row],[CODIGO RUTA]],'DATA INFORME'!I:I,'DATA INFORME'!K:K)</f>
        <v>NO</v>
      </c>
      <c r="M56" s="72" t="str">
        <f>IF(Tabla2__2[[#This Row],[MYSTERY EFECTIVO]]="SI",_xlfn.XLOOKUP(Tabla2__2[[#This Row],[PREGUNTA]],ENCUESTA!G:G,ENCUESTA!D:D),"N/A")</f>
        <v>N/A</v>
      </c>
      <c r="N5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6" s="72" t="str">
        <f>_xlfn.XLOOKUP(Tabla2__2[[#This Row],[PREGUNTA]],ENCUESTA!G:G,ENCUESTA!H:H)</f>
        <v>SI</v>
      </c>
      <c r="P56" s="72">
        <f>IF(Tabla2__2[[#This Row],[RTA]]=Tabla2__2[[#This Row],[RTA CORRECTA]],Tabla2__2[[#This Row],[TOTAL PUNTAJE]],0)</f>
        <v>0</v>
      </c>
      <c r="Q56" s="72">
        <f t="shared" si="0"/>
        <v>0</v>
      </c>
    </row>
    <row r="57" spans="1:17" x14ac:dyDescent="0.25">
      <c r="A57" s="72" t="s">
        <v>39</v>
      </c>
      <c r="B57" s="72" t="s">
        <v>8</v>
      </c>
      <c r="C57" t="s">
        <v>15</v>
      </c>
      <c r="D57" s="72" t="s">
        <v>116</v>
      </c>
      <c r="E57" s="72">
        <v>424858</v>
      </c>
      <c r="F57" s="72" t="s">
        <v>207</v>
      </c>
      <c r="G57" s="72" t="s">
        <v>202</v>
      </c>
      <c r="H57" s="72" t="s">
        <v>210</v>
      </c>
      <c r="I57" s="73">
        <v>45730</v>
      </c>
      <c r="J57" s="72">
        <v>26419994</v>
      </c>
      <c r="K57" s="72" t="s">
        <v>115</v>
      </c>
      <c r="L57" s="72" t="str">
        <f>_xlfn.XLOOKUP(Tabla2__2[[#This Row],[CODIGO RUTA]],'DATA INFORME'!I:I,'DATA INFORME'!K:K)</f>
        <v>SI</v>
      </c>
      <c r="M57" s="72" t="str">
        <f>IF(Tabla2__2[[#This Row],[MYSTERY EFECTIVO]]="SI",_xlfn.XLOOKUP(Tabla2__2[[#This Row],[PREGUNTA]],ENCUESTA!G:G,ENCUESTA!D:D),"N/A")</f>
        <v>N/A</v>
      </c>
      <c r="N5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7" s="72">
        <f>_xlfn.XLOOKUP(Tabla2__2[[#This Row],[PREGUNTA]],ENCUESTA!G:G,ENCUESTA!H:H)</f>
        <v>0</v>
      </c>
      <c r="P57" s="72">
        <f>IF(Tabla2__2[[#This Row],[RTA]]=Tabla2__2[[#This Row],[RTA CORRECTA]],Tabla2__2[[#This Row],[TOTAL PUNTAJE]],0)</f>
        <v>0</v>
      </c>
      <c r="Q57" s="72">
        <f t="shared" si="0"/>
        <v>0</v>
      </c>
    </row>
    <row r="58" spans="1:17" x14ac:dyDescent="0.25">
      <c r="A58" s="72" t="s">
        <v>39</v>
      </c>
      <c r="B58" s="72" t="s">
        <v>8</v>
      </c>
      <c r="C58" t="s">
        <v>15</v>
      </c>
      <c r="D58" s="72" t="s">
        <v>116</v>
      </c>
      <c r="E58" s="72">
        <v>424858</v>
      </c>
      <c r="F58" s="72" t="s">
        <v>207</v>
      </c>
      <c r="G58" s="72" t="s">
        <v>189</v>
      </c>
      <c r="H58" s="72" t="s">
        <v>24</v>
      </c>
      <c r="I58" s="73">
        <v>45730</v>
      </c>
      <c r="J58" s="72">
        <v>26419994</v>
      </c>
      <c r="K58" s="72" t="s">
        <v>115</v>
      </c>
      <c r="L58" s="72" t="str">
        <f>_xlfn.XLOOKUP(Tabla2__2[[#This Row],[CODIGO RUTA]],'DATA INFORME'!I:I,'DATA INFORME'!K:K)</f>
        <v>SI</v>
      </c>
      <c r="M58" s="72" t="str">
        <f>IF(Tabla2__2[[#This Row],[MYSTERY EFECTIVO]]="SI",_xlfn.XLOOKUP(Tabla2__2[[#This Row],[PREGUNTA]],ENCUESTA!G:G,ENCUESTA!D:D),"N/A")</f>
        <v>N/A</v>
      </c>
      <c r="N5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8" s="72">
        <f>_xlfn.XLOOKUP(Tabla2__2[[#This Row],[PREGUNTA]],ENCUESTA!G:G,ENCUESTA!H:H)</f>
        <v>0</v>
      </c>
      <c r="P58" s="72">
        <f>IF(Tabla2__2[[#This Row],[RTA]]=Tabla2__2[[#This Row],[RTA CORRECTA]],Tabla2__2[[#This Row],[TOTAL PUNTAJE]],0)</f>
        <v>0</v>
      </c>
      <c r="Q58" s="72">
        <f t="shared" si="0"/>
        <v>0</v>
      </c>
    </row>
    <row r="59" spans="1:17" x14ac:dyDescent="0.25">
      <c r="A59" s="72" t="s">
        <v>39</v>
      </c>
      <c r="B59" s="72" t="s">
        <v>8</v>
      </c>
      <c r="C59" t="s">
        <v>15</v>
      </c>
      <c r="D59" s="72" t="s">
        <v>116</v>
      </c>
      <c r="E59" s="72">
        <v>424858</v>
      </c>
      <c r="F59" s="72" t="s">
        <v>207</v>
      </c>
      <c r="G59" s="72" t="s">
        <v>45</v>
      </c>
      <c r="H59" s="72" t="s">
        <v>24</v>
      </c>
      <c r="I59" s="73">
        <v>45730</v>
      </c>
      <c r="J59" s="72">
        <v>26419994</v>
      </c>
      <c r="K59" s="72" t="s">
        <v>115</v>
      </c>
      <c r="L59" s="72" t="str">
        <f>_xlfn.XLOOKUP(Tabla2__2[[#This Row],[CODIGO RUTA]],'DATA INFORME'!I:I,'DATA INFORME'!K:K)</f>
        <v>SI</v>
      </c>
      <c r="M59" s="72" t="str">
        <f>IF(Tabla2__2[[#This Row],[MYSTERY EFECTIVO]]="SI",_xlfn.XLOOKUP(Tabla2__2[[#This Row],[PREGUNTA]],ENCUESTA!G:G,ENCUESTA!D:D),"N/A")</f>
        <v>LABOR DE VENTA</v>
      </c>
      <c r="N5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59" s="72" t="str">
        <f>_xlfn.XLOOKUP(Tabla2__2[[#This Row],[PREGUNTA]],ENCUESTA!G:G,ENCUESTA!H:H)</f>
        <v>SI</v>
      </c>
      <c r="P59" s="72">
        <f>IF(Tabla2__2[[#This Row],[RTA]]=Tabla2__2[[#This Row],[RTA CORRECTA]],Tabla2__2[[#This Row],[TOTAL PUNTAJE]],0)</f>
        <v>7.5</v>
      </c>
      <c r="Q59" s="72">
        <f t="shared" si="0"/>
        <v>0</v>
      </c>
    </row>
    <row r="60" spans="1:17" x14ac:dyDescent="0.25">
      <c r="A60" s="72" t="s">
        <v>39</v>
      </c>
      <c r="B60" s="72" t="s">
        <v>8</v>
      </c>
      <c r="C60" t="s">
        <v>15</v>
      </c>
      <c r="D60" s="72" t="s">
        <v>116</v>
      </c>
      <c r="E60" s="72">
        <v>424858</v>
      </c>
      <c r="F60" s="72" t="s">
        <v>207</v>
      </c>
      <c r="G60" s="72" t="s">
        <v>148</v>
      </c>
      <c r="H60" s="72" t="s">
        <v>118</v>
      </c>
      <c r="I60" s="73">
        <v>45730</v>
      </c>
      <c r="J60" s="72">
        <v>26419994</v>
      </c>
      <c r="K60" s="72" t="s">
        <v>115</v>
      </c>
      <c r="L60" s="72" t="str">
        <f>_xlfn.XLOOKUP(Tabla2__2[[#This Row],[CODIGO RUTA]],'DATA INFORME'!I:I,'DATA INFORME'!K:K)</f>
        <v>SI</v>
      </c>
      <c r="M60" s="72" t="str">
        <f>IF(Tabla2__2[[#This Row],[MYSTERY EFECTIVO]]="SI",_xlfn.XLOOKUP(Tabla2__2[[#This Row],[PREGUNTA]],ENCUESTA!G:G,ENCUESTA!D:D),"N/A")</f>
        <v>LABOR DE VENTA</v>
      </c>
      <c r="N6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60" s="72" t="str">
        <f>_xlfn.XLOOKUP(Tabla2__2[[#This Row],[PREGUNTA]],ENCUESTA!G:G,ENCUESTA!H:H)</f>
        <v>SI</v>
      </c>
      <c r="P60" s="72">
        <f>IF(Tabla2__2[[#This Row],[RTA]]=Tabla2__2[[#This Row],[RTA CORRECTA]],Tabla2__2[[#This Row],[TOTAL PUNTAJE]],0)</f>
        <v>0</v>
      </c>
      <c r="Q60" s="72">
        <f t="shared" si="0"/>
        <v>0</v>
      </c>
    </row>
    <row r="61" spans="1:17" x14ac:dyDescent="0.25">
      <c r="A61" s="72" t="s">
        <v>39</v>
      </c>
      <c r="B61" s="72" t="s">
        <v>8</v>
      </c>
      <c r="C61" t="s">
        <v>15</v>
      </c>
      <c r="D61" s="72" t="s">
        <v>116</v>
      </c>
      <c r="E61" s="72">
        <v>424858</v>
      </c>
      <c r="F61" s="72" t="s">
        <v>207</v>
      </c>
      <c r="G61" s="72" t="s">
        <v>50</v>
      </c>
      <c r="H61" s="72" t="s">
        <v>24</v>
      </c>
      <c r="I61" s="73">
        <v>45730</v>
      </c>
      <c r="J61" s="72">
        <v>26419994</v>
      </c>
      <c r="K61" s="72" t="s">
        <v>115</v>
      </c>
      <c r="L61" s="72" t="str">
        <f>_xlfn.XLOOKUP(Tabla2__2[[#This Row],[CODIGO RUTA]],'DATA INFORME'!I:I,'DATA INFORME'!K:K)</f>
        <v>SI</v>
      </c>
      <c r="M61" s="72" t="str">
        <f>IF(Tabla2__2[[#This Row],[MYSTERY EFECTIVO]]="SI",_xlfn.XLOOKUP(Tabla2__2[[#This Row],[PREGUNTA]],ENCUESTA!G:G,ENCUESTA!D:D),"N/A")</f>
        <v>PORTAFOLIO Y MANEJO DE OBJECIONES</v>
      </c>
      <c r="N6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61" s="72" t="str">
        <f>_xlfn.XLOOKUP(Tabla2__2[[#This Row],[PREGUNTA]],ENCUESTA!G:G,ENCUESTA!H:H)</f>
        <v>SI</v>
      </c>
      <c r="P61" s="72">
        <f>IF(Tabla2__2[[#This Row],[RTA]]=Tabla2__2[[#This Row],[RTA CORRECTA]],Tabla2__2[[#This Row],[TOTAL PUNTAJE]],0)</f>
        <v>2.4</v>
      </c>
      <c r="Q61" s="72">
        <f t="shared" si="0"/>
        <v>0</v>
      </c>
    </row>
    <row r="62" spans="1:17" x14ac:dyDescent="0.25">
      <c r="A62" s="72" t="s">
        <v>39</v>
      </c>
      <c r="B62" s="72" t="s">
        <v>8</v>
      </c>
      <c r="C62" t="s">
        <v>15</v>
      </c>
      <c r="D62" s="72" t="s">
        <v>116</v>
      </c>
      <c r="E62" s="72">
        <v>424858</v>
      </c>
      <c r="F62" s="72" t="s">
        <v>207</v>
      </c>
      <c r="G62" s="72" t="s">
        <v>41</v>
      </c>
      <c r="H62" s="72" t="s">
        <v>24</v>
      </c>
      <c r="I62" s="73">
        <v>45730</v>
      </c>
      <c r="J62" s="72">
        <v>26419994</v>
      </c>
      <c r="K62" s="72" t="s">
        <v>115</v>
      </c>
      <c r="L62" s="72" t="str">
        <f>_xlfn.XLOOKUP(Tabla2__2[[#This Row],[CODIGO RUTA]],'DATA INFORME'!I:I,'DATA INFORME'!K:K)</f>
        <v>SI</v>
      </c>
      <c r="M62" s="72" t="str">
        <f>IF(Tabla2__2[[#This Row],[MYSTERY EFECTIVO]]="SI",_xlfn.XLOOKUP(Tabla2__2[[#This Row],[PREGUNTA]],ENCUESTA!G:G,ENCUESTA!D:D),"N/A")</f>
        <v>N/A</v>
      </c>
      <c r="N6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2" s="72" t="str">
        <f>_xlfn.XLOOKUP(Tabla2__2[[#This Row],[PREGUNTA]],ENCUESTA!G:G,ENCUESTA!H:H)</f>
        <v>SI</v>
      </c>
      <c r="P62" s="72">
        <f>IF(Tabla2__2[[#This Row],[RTA]]=Tabla2__2[[#This Row],[RTA CORRECTA]],Tabla2__2[[#This Row],[TOTAL PUNTAJE]],0)</f>
        <v>0</v>
      </c>
      <c r="Q62" s="72">
        <f t="shared" si="0"/>
        <v>0</v>
      </c>
    </row>
    <row r="63" spans="1:17" x14ac:dyDescent="0.25">
      <c r="A63" s="72" t="s">
        <v>39</v>
      </c>
      <c r="B63" s="72" t="s">
        <v>8</v>
      </c>
      <c r="C63" t="s">
        <v>15</v>
      </c>
      <c r="D63" s="72" t="s">
        <v>116</v>
      </c>
      <c r="E63" s="72">
        <v>424858</v>
      </c>
      <c r="F63" s="72" t="s">
        <v>207</v>
      </c>
      <c r="G63" s="72" t="s">
        <v>181</v>
      </c>
      <c r="H63" s="72" t="s">
        <v>118</v>
      </c>
      <c r="I63" s="73">
        <v>45730</v>
      </c>
      <c r="J63" s="72">
        <v>26419994</v>
      </c>
      <c r="K63" s="72" t="s">
        <v>115</v>
      </c>
      <c r="L63" s="72" t="str">
        <f>_xlfn.XLOOKUP(Tabla2__2[[#This Row],[CODIGO RUTA]],'DATA INFORME'!I:I,'DATA INFORME'!K:K)</f>
        <v>SI</v>
      </c>
      <c r="M63" s="72" t="str">
        <f>IF(Tabla2__2[[#This Row],[MYSTERY EFECTIVO]]="SI",_xlfn.XLOOKUP(Tabla2__2[[#This Row],[PREGUNTA]],ENCUESTA!G:G,ENCUESTA!D:D),"N/A")</f>
        <v>PORTAFOLIO Y MANEJO DE OBJECIONES</v>
      </c>
      <c r="N6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63" s="72" t="str">
        <f>_xlfn.XLOOKUP(Tabla2__2[[#This Row],[PREGUNTA]],ENCUESTA!G:G,ENCUESTA!H:H)</f>
        <v>SI</v>
      </c>
      <c r="P63" s="72">
        <f>IF(Tabla2__2[[#This Row],[RTA]]=Tabla2__2[[#This Row],[RTA CORRECTA]],Tabla2__2[[#This Row],[TOTAL PUNTAJE]],0)</f>
        <v>0</v>
      </c>
      <c r="Q63" s="72">
        <f t="shared" si="0"/>
        <v>0</v>
      </c>
    </row>
    <row r="64" spans="1:17" x14ac:dyDescent="0.25">
      <c r="A64" s="72" t="s">
        <v>39</v>
      </c>
      <c r="B64" s="72" t="s">
        <v>8</v>
      </c>
      <c r="C64" t="s">
        <v>15</v>
      </c>
      <c r="D64" s="72" t="s">
        <v>116</v>
      </c>
      <c r="E64" s="72">
        <v>424858</v>
      </c>
      <c r="F64" s="72" t="s">
        <v>207</v>
      </c>
      <c r="G64" s="72" t="s">
        <v>179</v>
      </c>
      <c r="H64" s="72" t="s">
        <v>118</v>
      </c>
      <c r="I64" s="73">
        <v>45730</v>
      </c>
      <c r="J64" s="72">
        <v>26419994</v>
      </c>
      <c r="K64" s="72" t="s">
        <v>115</v>
      </c>
      <c r="L64" s="72" t="str">
        <f>_xlfn.XLOOKUP(Tabla2__2[[#This Row],[CODIGO RUTA]],'DATA INFORME'!I:I,'DATA INFORME'!K:K)</f>
        <v>SI</v>
      </c>
      <c r="M64" s="72" t="str">
        <f>IF(Tabla2__2[[#This Row],[MYSTERY EFECTIVO]]="SI",_xlfn.XLOOKUP(Tabla2__2[[#This Row],[PREGUNTA]],ENCUESTA!G:G,ENCUESTA!D:D),"N/A")</f>
        <v>PORTAFOLIO Y MANEJO DE OBJECIONES</v>
      </c>
      <c r="N6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64" s="72" t="str">
        <f>_xlfn.XLOOKUP(Tabla2__2[[#This Row],[PREGUNTA]],ENCUESTA!G:G,ENCUESTA!H:H)</f>
        <v>SI</v>
      </c>
      <c r="P64" s="72">
        <f>IF(Tabla2__2[[#This Row],[RTA]]=Tabla2__2[[#This Row],[RTA CORRECTA]],Tabla2__2[[#This Row],[TOTAL PUNTAJE]],0)</f>
        <v>0</v>
      </c>
      <c r="Q64" s="72">
        <f t="shared" si="0"/>
        <v>0</v>
      </c>
    </row>
    <row r="65" spans="1:17" x14ac:dyDescent="0.25">
      <c r="A65" s="72" t="s">
        <v>39</v>
      </c>
      <c r="B65" s="72" t="s">
        <v>8</v>
      </c>
      <c r="C65" t="s">
        <v>15</v>
      </c>
      <c r="D65" s="72" t="s">
        <v>116</v>
      </c>
      <c r="E65" s="72">
        <v>424858</v>
      </c>
      <c r="F65" s="72" t="s">
        <v>207</v>
      </c>
      <c r="G65" s="72" t="s">
        <v>177</v>
      </c>
      <c r="H65" s="72" t="s">
        <v>118</v>
      </c>
      <c r="I65" s="73">
        <v>45730</v>
      </c>
      <c r="J65" s="72">
        <v>26419994</v>
      </c>
      <c r="K65" s="72" t="s">
        <v>115</v>
      </c>
      <c r="L65" s="72" t="str">
        <f>_xlfn.XLOOKUP(Tabla2__2[[#This Row],[CODIGO RUTA]],'DATA INFORME'!I:I,'DATA INFORME'!K:K)</f>
        <v>SI</v>
      </c>
      <c r="M65" s="72" t="str">
        <f>IF(Tabla2__2[[#This Row],[MYSTERY EFECTIVO]]="SI",_xlfn.XLOOKUP(Tabla2__2[[#This Row],[PREGUNTA]],ENCUESTA!G:G,ENCUESTA!D:D),"N/A")</f>
        <v>PORTAFOLIO Y MANEJO DE OBJECIONES</v>
      </c>
      <c r="N6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65" s="72" t="str">
        <f>_xlfn.XLOOKUP(Tabla2__2[[#This Row],[PREGUNTA]],ENCUESTA!G:G,ENCUESTA!H:H)</f>
        <v>SI</v>
      </c>
      <c r="P65" s="72">
        <f>IF(Tabla2__2[[#This Row],[RTA]]=Tabla2__2[[#This Row],[RTA CORRECTA]],Tabla2__2[[#This Row],[TOTAL PUNTAJE]],0)</f>
        <v>0</v>
      </c>
      <c r="Q65" s="72">
        <f t="shared" si="0"/>
        <v>0</v>
      </c>
    </row>
    <row r="66" spans="1:17" x14ac:dyDescent="0.25">
      <c r="A66" s="72" t="s">
        <v>39</v>
      </c>
      <c r="B66" s="72" t="s">
        <v>8</v>
      </c>
      <c r="C66" t="s">
        <v>15</v>
      </c>
      <c r="D66" s="72" t="s">
        <v>116</v>
      </c>
      <c r="E66" s="72">
        <v>424858</v>
      </c>
      <c r="F66" s="72" t="s">
        <v>207</v>
      </c>
      <c r="G66" s="72" t="s">
        <v>175</v>
      </c>
      <c r="H66" s="72" t="s">
        <v>24</v>
      </c>
      <c r="I66" s="73">
        <v>45730</v>
      </c>
      <c r="J66" s="72">
        <v>26419994</v>
      </c>
      <c r="K66" s="72" t="s">
        <v>115</v>
      </c>
      <c r="L66" s="72" t="str">
        <f>_xlfn.XLOOKUP(Tabla2__2[[#This Row],[CODIGO RUTA]],'DATA INFORME'!I:I,'DATA INFORME'!K:K)</f>
        <v>SI</v>
      </c>
      <c r="M66" s="72" t="str">
        <f>IF(Tabla2__2[[#This Row],[MYSTERY EFECTIVO]]="SI",_xlfn.XLOOKUP(Tabla2__2[[#This Row],[PREGUNTA]],ENCUESTA!G:G,ENCUESTA!D:D),"N/A")</f>
        <v>PORTAFOLIO Y MANEJO DE OBJECIONES</v>
      </c>
      <c r="N6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66" s="72" t="str">
        <f>_xlfn.XLOOKUP(Tabla2__2[[#This Row],[PREGUNTA]],ENCUESTA!G:G,ENCUESTA!H:H)</f>
        <v>SI</v>
      </c>
      <c r="P66" s="72">
        <f>IF(Tabla2__2[[#This Row],[RTA]]=Tabla2__2[[#This Row],[RTA CORRECTA]],Tabla2__2[[#This Row],[TOTAL PUNTAJE]],0)</f>
        <v>2.4</v>
      </c>
      <c r="Q66" s="72">
        <f t="shared" ref="Q66:Q129" si="1">IF(OR(H66="Dog Chow húmedo",H66="Cat Chow húmedo",H66="Fancy Feast",H66="Felix",H66="Proplan húmedo",H66="One húmedo",H66="Snack Abrazzos",H66="Snak Dentalife",H66="Arenilla Tidy Cat"),N66,0)</f>
        <v>0</v>
      </c>
    </row>
    <row r="67" spans="1:17" x14ac:dyDescent="0.25">
      <c r="A67" s="72" t="s">
        <v>39</v>
      </c>
      <c r="B67" s="72" t="s">
        <v>8</v>
      </c>
      <c r="C67" t="s">
        <v>15</v>
      </c>
      <c r="D67" s="72" t="s">
        <v>116</v>
      </c>
      <c r="E67" s="72">
        <v>424858</v>
      </c>
      <c r="F67" s="72" t="s">
        <v>207</v>
      </c>
      <c r="G67" s="72" t="s">
        <v>173</v>
      </c>
      <c r="H67" s="72" t="s">
        <v>24</v>
      </c>
      <c r="I67" s="73">
        <v>45730</v>
      </c>
      <c r="J67" s="72">
        <v>26419994</v>
      </c>
      <c r="K67" s="72" t="s">
        <v>115</v>
      </c>
      <c r="L67" s="72" t="str">
        <f>_xlfn.XLOOKUP(Tabla2__2[[#This Row],[CODIGO RUTA]],'DATA INFORME'!I:I,'DATA INFORME'!K:K)</f>
        <v>SI</v>
      </c>
      <c r="M67" s="72" t="str">
        <f>IF(Tabla2__2[[#This Row],[MYSTERY EFECTIVO]]="SI",_xlfn.XLOOKUP(Tabla2__2[[#This Row],[PREGUNTA]],ENCUESTA!G:G,ENCUESTA!D:D),"N/A")</f>
        <v>PORTAFOLIO Y MANEJO DE OBJECIONES</v>
      </c>
      <c r="N6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67" s="72" t="str">
        <f>_xlfn.XLOOKUP(Tabla2__2[[#This Row],[PREGUNTA]],ENCUESTA!G:G,ENCUESTA!H:H)</f>
        <v>SI</v>
      </c>
      <c r="P67" s="72">
        <f>IF(Tabla2__2[[#This Row],[RTA]]=Tabla2__2[[#This Row],[RTA CORRECTA]],Tabla2__2[[#This Row],[TOTAL PUNTAJE]],0)</f>
        <v>2.4</v>
      </c>
      <c r="Q67" s="72">
        <f t="shared" si="1"/>
        <v>0</v>
      </c>
    </row>
    <row r="68" spans="1:17" x14ac:dyDescent="0.25">
      <c r="A68" s="72" t="s">
        <v>39</v>
      </c>
      <c r="B68" s="72" t="s">
        <v>8</v>
      </c>
      <c r="C68" t="s">
        <v>15</v>
      </c>
      <c r="D68" s="72" t="s">
        <v>116</v>
      </c>
      <c r="E68" s="72">
        <v>424858</v>
      </c>
      <c r="F68" s="72" t="s">
        <v>207</v>
      </c>
      <c r="G68" s="72" t="s">
        <v>171</v>
      </c>
      <c r="H68" s="72" t="s">
        <v>24</v>
      </c>
      <c r="I68" s="73">
        <v>45730</v>
      </c>
      <c r="J68" s="72">
        <v>26419994</v>
      </c>
      <c r="K68" s="72" t="s">
        <v>115</v>
      </c>
      <c r="L68" s="72" t="str">
        <f>_xlfn.XLOOKUP(Tabla2__2[[#This Row],[CODIGO RUTA]],'DATA INFORME'!I:I,'DATA INFORME'!K:K)</f>
        <v>SI</v>
      </c>
      <c r="M68" s="72" t="str">
        <f>IF(Tabla2__2[[#This Row],[MYSTERY EFECTIVO]]="SI",_xlfn.XLOOKUP(Tabla2__2[[#This Row],[PREGUNTA]],ENCUESTA!G:G,ENCUESTA!D:D),"N/A")</f>
        <v>PORTAFOLIO Y MANEJO DE OBJECIONES</v>
      </c>
      <c r="N6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68" s="72" t="str">
        <f>_xlfn.XLOOKUP(Tabla2__2[[#This Row],[PREGUNTA]],ENCUESTA!G:G,ENCUESTA!H:H)</f>
        <v>SI</v>
      </c>
      <c r="P68" s="72">
        <f>IF(Tabla2__2[[#This Row],[RTA]]=Tabla2__2[[#This Row],[RTA CORRECTA]],Tabla2__2[[#This Row],[TOTAL PUNTAJE]],0)</f>
        <v>2.4</v>
      </c>
      <c r="Q68" s="72">
        <f t="shared" si="1"/>
        <v>0</v>
      </c>
    </row>
    <row r="69" spans="1:17" x14ac:dyDescent="0.25">
      <c r="A69" s="72" t="s">
        <v>39</v>
      </c>
      <c r="B69" s="72" t="s">
        <v>8</v>
      </c>
      <c r="C69" t="s">
        <v>15</v>
      </c>
      <c r="D69" s="72" t="s">
        <v>116</v>
      </c>
      <c r="E69" s="72">
        <v>424858</v>
      </c>
      <c r="F69" s="72" t="s">
        <v>207</v>
      </c>
      <c r="G69" s="72" t="s">
        <v>169</v>
      </c>
      <c r="H69" s="72" t="s">
        <v>24</v>
      </c>
      <c r="I69" s="73">
        <v>45730</v>
      </c>
      <c r="J69" s="72">
        <v>26419994</v>
      </c>
      <c r="K69" s="72" t="s">
        <v>115</v>
      </c>
      <c r="L69" s="72" t="str">
        <f>_xlfn.XLOOKUP(Tabla2__2[[#This Row],[CODIGO RUTA]],'DATA INFORME'!I:I,'DATA INFORME'!K:K)</f>
        <v>SI</v>
      </c>
      <c r="M69" s="72" t="str">
        <f>IF(Tabla2__2[[#This Row],[MYSTERY EFECTIVO]]="SI",_xlfn.XLOOKUP(Tabla2__2[[#This Row],[PREGUNTA]],ENCUESTA!G:G,ENCUESTA!D:D),"N/A")</f>
        <v>PORTAFOLIO Y MANEJO DE OBJECIONES</v>
      </c>
      <c r="N6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69" s="72" t="str">
        <f>_xlfn.XLOOKUP(Tabla2__2[[#This Row],[PREGUNTA]],ENCUESTA!G:G,ENCUESTA!H:H)</f>
        <v>SI</v>
      </c>
      <c r="P69" s="72">
        <f>IF(Tabla2__2[[#This Row],[RTA]]=Tabla2__2[[#This Row],[RTA CORRECTA]],Tabla2__2[[#This Row],[TOTAL PUNTAJE]],0)</f>
        <v>2.4</v>
      </c>
      <c r="Q69" s="72">
        <f t="shared" si="1"/>
        <v>0</v>
      </c>
    </row>
    <row r="70" spans="1:17" x14ac:dyDescent="0.25">
      <c r="A70" s="72" t="s">
        <v>39</v>
      </c>
      <c r="B70" s="72" t="s">
        <v>8</v>
      </c>
      <c r="C70" t="s">
        <v>15</v>
      </c>
      <c r="D70" s="72" t="s">
        <v>116</v>
      </c>
      <c r="E70" s="72">
        <v>424858</v>
      </c>
      <c r="F70" s="72" t="s">
        <v>207</v>
      </c>
      <c r="G70" s="72" t="s">
        <v>51</v>
      </c>
      <c r="H70" s="72" t="s">
        <v>24</v>
      </c>
      <c r="I70" s="73">
        <v>45730</v>
      </c>
      <c r="J70" s="72">
        <v>26419994</v>
      </c>
      <c r="K70" s="72" t="s">
        <v>115</v>
      </c>
      <c r="L70" s="72" t="str">
        <f>_xlfn.XLOOKUP(Tabla2__2[[#This Row],[CODIGO RUTA]],'DATA INFORME'!I:I,'DATA INFORME'!K:K)</f>
        <v>SI</v>
      </c>
      <c r="M70" s="72" t="str">
        <f>IF(Tabla2__2[[#This Row],[MYSTERY EFECTIVO]]="SI",_xlfn.XLOOKUP(Tabla2__2[[#This Row],[PREGUNTA]],ENCUESTA!G:G,ENCUESTA!D:D),"N/A")</f>
        <v>PORTAFOLIO Y MANEJO DE OBJECIONES</v>
      </c>
      <c r="N70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4,8</v>
      </c>
      <c r="O70" s="72" t="str">
        <f>_xlfn.XLOOKUP(Tabla2__2[[#This Row],[PREGUNTA]],ENCUESTA!G:G,ENCUESTA!H:H)</f>
        <v>SI</v>
      </c>
      <c r="P70" s="72" t="str">
        <f>IF(Tabla2__2[[#This Row],[RTA]]=Tabla2__2[[#This Row],[RTA CORRECTA]],Tabla2__2[[#This Row],[TOTAL PUNTAJE]],0)</f>
        <v>4,8</v>
      </c>
      <c r="Q70" s="72">
        <f t="shared" si="1"/>
        <v>0</v>
      </c>
    </row>
    <row r="71" spans="1:17" x14ac:dyDescent="0.25">
      <c r="A71" s="72" t="s">
        <v>39</v>
      </c>
      <c r="B71" s="72" t="s">
        <v>8</v>
      </c>
      <c r="C71" t="s">
        <v>15</v>
      </c>
      <c r="D71" s="72" t="s">
        <v>116</v>
      </c>
      <c r="E71" s="72">
        <v>424858</v>
      </c>
      <c r="F71" s="72" t="s">
        <v>207</v>
      </c>
      <c r="G71" s="72" t="s">
        <v>102</v>
      </c>
      <c r="H71" s="72" t="s">
        <v>167</v>
      </c>
      <c r="I71" s="73">
        <v>45730</v>
      </c>
      <c r="J71" s="72">
        <v>26419994</v>
      </c>
      <c r="K71" s="72" t="s">
        <v>115</v>
      </c>
      <c r="L71" s="72" t="str">
        <f>_xlfn.XLOOKUP(Tabla2__2[[#This Row],[CODIGO RUTA]],'DATA INFORME'!I:I,'DATA INFORME'!K:K)</f>
        <v>SI</v>
      </c>
      <c r="M71" s="72" t="str">
        <f>IF(Tabla2__2[[#This Row],[MYSTERY EFECTIVO]]="SI",_xlfn.XLOOKUP(Tabla2__2[[#This Row],[PREGUNTA]],ENCUESTA!G:G,ENCUESTA!D:D),"N/A")</f>
        <v>N/A</v>
      </c>
      <c r="N7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1" s="72">
        <f>_xlfn.XLOOKUP(Tabla2__2[[#This Row],[PREGUNTA]],ENCUESTA!G:G,ENCUESTA!H:H)</f>
        <v>0</v>
      </c>
      <c r="P71" s="72">
        <f>IF(Tabla2__2[[#This Row],[RTA]]=Tabla2__2[[#This Row],[RTA CORRECTA]],Tabla2__2[[#This Row],[TOTAL PUNTAJE]],0)</f>
        <v>0</v>
      </c>
      <c r="Q71" s="72">
        <f t="shared" si="1"/>
        <v>0</v>
      </c>
    </row>
    <row r="72" spans="1:17" x14ac:dyDescent="0.25">
      <c r="A72" s="72" t="s">
        <v>39</v>
      </c>
      <c r="B72" s="72" t="s">
        <v>8</v>
      </c>
      <c r="C72" t="s">
        <v>15</v>
      </c>
      <c r="D72" s="72" t="s">
        <v>116</v>
      </c>
      <c r="E72" s="72">
        <v>424858</v>
      </c>
      <c r="F72" s="72" t="s">
        <v>207</v>
      </c>
      <c r="G72" s="72" t="s">
        <v>99</v>
      </c>
      <c r="H72" s="72" t="s">
        <v>24</v>
      </c>
      <c r="I72" s="73">
        <v>45730</v>
      </c>
      <c r="J72" s="72">
        <v>26419994</v>
      </c>
      <c r="K72" s="72" t="s">
        <v>115</v>
      </c>
      <c r="L72" s="72" t="str">
        <f>_xlfn.XLOOKUP(Tabla2__2[[#This Row],[CODIGO RUTA]],'DATA INFORME'!I:I,'DATA INFORME'!K:K)</f>
        <v>SI</v>
      </c>
      <c r="M72" s="72" t="str">
        <f>IF(Tabla2__2[[#This Row],[MYSTERY EFECTIVO]]="SI",_xlfn.XLOOKUP(Tabla2__2[[#This Row],[PREGUNTA]],ENCUESTA!G:G,ENCUESTA!D:D),"N/A")</f>
        <v>PORTAFOLIO Y MANEJO DE OBJECIONES</v>
      </c>
      <c r="N7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72" s="72" t="str">
        <f>_xlfn.XLOOKUP(Tabla2__2[[#This Row],[PREGUNTA]],ENCUESTA!G:G,ENCUESTA!H:H)</f>
        <v>SI</v>
      </c>
      <c r="P72" s="72">
        <f>IF(Tabla2__2[[#This Row],[RTA]]=Tabla2__2[[#This Row],[RTA CORRECTA]],Tabla2__2[[#This Row],[TOTAL PUNTAJE]],0)</f>
        <v>3</v>
      </c>
      <c r="Q72" s="72">
        <f t="shared" si="1"/>
        <v>0</v>
      </c>
    </row>
    <row r="73" spans="1:17" x14ac:dyDescent="0.25">
      <c r="A73" s="72" t="s">
        <v>39</v>
      </c>
      <c r="B73" s="72" t="s">
        <v>8</v>
      </c>
      <c r="C73" t="s">
        <v>15</v>
      </c>
      <c r="D73" s="72" t="s">
        <v>116</v>
      </c>
      <c r="E73" s="72">
        <v>424858</v>
      </c>
      <c r="F73" s="72" t="s">
        <v>207</v>
      </c>
      <c r="G73" s="72" t="s">
        <v>138</v>
      </c>
      <c r="H73" s="72" t="s">
        <v>24</v>
      </c>
      <c r="I73" s="73">
        <v>45730</v>
      </c>
      <c r="J73" s="72">
        <v>26419994</v>
      </c>
      <c r="K73" s="72" t="s">
        <v>115</v>
      </c>
      <c r="L73" s="72" t="str">
        <f>_xlfn.XLOOKUP(Tabla2__2[[#This Row],[CODIGO RUTA]],'DATA INFORME'!I:I,'DATA INFORME'!K:K)</f>
        <v>SI</v>
      </c>
      <c r="M73" s="72" t="str">
        <f>IF(Tabla2__2[[#This Row],[MYSTERY EFECTIVO]]="SI",_xlfn.XLOOKUP(Tabla2__2[[#This Row],[PREGUNTA]],ENCUESTA!G:G,ENCUESTA!D:D),"N/A")</f>
        <v>ABORDAJE</v>
      </c>
      <c r="N7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73" s="72" t="str">
        <f>_xlfn.XLOOKUP(Tabla2__2[[#This Row],[PREGUNTA]],ENCUESTA!G:G,ENCUESTA!H:H)</f>
        <v>SI</v>
      </c>
      <c r="P73" s="72">
        <f>IF(Tabla2__2[[#This Row],[RTA]]=Tabla2__2[[#This Row],[RTA CORRECTA]],Tabla2__2[[#This Row],[TOTAL PUNTAJE]],0)</f>
        <v>20</v>
      </c>
      <c r="Q73" s="72">
        <f t="shared" si="1"/>
        <v>0</v>
      </c>
    </row>
    <row r="74" spans="1:17" x14ac:dyDescent="0.25">
      <c r="A74" s="72" t="s">
        <v>39</v>
      </c>
      <c r="B74" s="72" t="s">
        <v>8</v>
      </c>
      <c r="C74" t="s">
        <v>16</v>
      </c>
      <c r="D74" s="72" t="s">
        <v>204</v>
      </c>
      <c r="E74" s="72">
        <v>105381</v>
      </c>
      <c r="F74" s="72" t="s">
        <v>205</v>
      </c>
      <c r="G74" s="72" t="s">
        <v>141</v>
      </c>
      <c r="H74" s="72" t="s">
        <v>24</v>
      </c>
      <c r="I74" s="73">
        <v>45730</v>
      </c>
      <c r="J74" s="72">
        <v>26415788</v>
      </c>
      <c r="K74" s="72" t="s">
        <v>53</v>
      </c>
      <c r="L74" s="72" t="str">
        <f>_xlfn.XLOOKUP(Tabla2__2[[#This Row],[CODIGO RUTA]],'DATA INFORME'!I:I,'DATA INFORME'!K:K)</f>
        <v>SI</v>
      </c>
      <c r="M74" s="72" t="str">
        <f>IF(Tabla2__2[[#This Row],[MYSTERY EFECTIVO]]="SI",_xlfn.XLOOKUP(Tabla2__2[[#This Row],[PREGUNTA]],ENCUESTA!G:G,ENCUESTA!D:D),"N/A")</f>
        <v>PORTAFOLIO Y MANEJO DE OBJECIONES</v>
      </c>
      <c r="N7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74" s="72" t="str">
        <f>_xlfn.XLOOKUP(Tabla2__2[[#This Row],[PREGUNTA]],ENCUESTA!G:G,ENCUESTA!H:H)</f>
        <v>SI</v>
      </c>
      <c r="P74" s="72">
        <f>IF(Tabla2__2[[#This Row],[RTA]]=Tabla2__2[[#This Row],[RTA CORRECTA]],Tabla2__2[[#This Row],[TOTAL PUNTAJE]],0)</f>
        <v>2.2000000000000002</v>
      </c>
      <c r="Q74" s="72">
        <f t="shared" si="1"/>
        <v>0</v>
      </c>
    </row>
    <row r="75" spans="1:17" x14ac:dyDescent="0.25">
      <c r="A75" s="72" t="s">
        <v>39</v>
      </c>
      <c r="B75" s="72" t="s">
        <v>8</v>
      </c>
      <c r="C75" t="s">
        <v>16</v>
      </c>
      <c r="D75" s="72" t="s">
        <v>204</v>
      </c>
      <c r="E75" s="72">
        <v>105381</v>
      </c>
      <c r="F75" s="72" t="s">
        <v>205</v>
      </c>
      <c r="G75" s="72" t="s">
        <v>140</v>
      </c>
      <c r="H75" s="72" t="s">
        <v>24</v>
      </c>
      <c r="I75" s="73">
        <v>45730</v>
      </c>
      <c r="J75" s="72">
        <v>26415788</v>
      </c>
      <c r="K75" s="72" t="s">
        <v>53</v>
      </c>
      <c r="L75" s="72" t="str">
        <f>_xlfn.XLOOKUP(Tabla2__2[[#This Row],[CODIGO RUTA]],'DATA INFORME'!I:I,'DATA INFORME'!K:K)</f>
        <v>SI</v>
      </c>
      <c r="M75" s="72" t="str">
        <f>IF(Tabla2__2[[#This Row],[MYSTERY EFECTIVO]]="SI",_xlfn.XLOOKUP(Tabla2__2[[#This Row],[PREGUNTA]],ENCUESTA!G:G,ENCUESTA!D:D),"N/A")</f>
        <v>PORTAFOLIO Y MANEJO DE OBJECIONES</v>
      </c>
      <c r="N7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75" s="72" t="str">
        <f>_xlfn.XLOOKUP(Tabla2__2[[#This Row],[PREGUNTA]],ENCUESTA!G:G,ENCUESTA!H:H)</f>
        <v>SI</v>
      </c>
      <c r="P75" s="72">
        <f>IF(Tabla2__2[[#This Row],[RTA]]=Tabla2__2[[#This Row],[RTA CORRECTA]],Tabla2__2[[#This Row],[TOTAL PUNTAJE]],0)</f>
        <v>2.2000000000000002</v>
      </c>
      <c r="Q75" s="72">
        <f t="shared" si="1"/>
        <v>0</v>
      </c>
    </row>
    <row r="76" spans="1:17" x14ac:dyDescent="0.25">
      <c r="A76" s="72" t="s">
        <v>39</v>
      </c>
      <c r="B76" s="72" t="s">
        <v>8</v>
      </c>
      <c r="C76" t="s">
        <v>16</v>
      </c>
      <c r="D76" s="72" t="s">
        <v>204</v>
      </c>
      <c r="E76" s="72">
        <v>105381</v>
      </c>
      <c r="F76" s="72" t="s">
        <v>205</v>
      </c>
      <c r="G76" s="72" t="s">
        <v>139</v>
      </c>
      <c r="H76" s="72" t="s">
        <v>24</v>
      </c>
      <c r="I76" s="73">
        <v>45730</v>
      </c>
      <c r="J76" s="72">
        <v>26415788</v>
      </c>
      <c r="K76" s="72" t="s">
        <v>53</v>
      </c>
      <c r="L76" s="72" t="str">
        <f>_xlfn.XLOOKUP(Tabla2__2[[#This Row],[CODIGO RUTA]],'DATA INFORME'!I:I,'DATA INFORME'!K:K)</f>
        <v>SI</v>
      </c>
      <c r="M76" s="72" t="str">
        <f>IF(Tabla2__2[[#This Row],[MYSTERY EFECTIVO]]="SI",_xlfn.XLOOKUP(Tabla2__2[[#This Row],[PREGUNTA]],ENCUESTA!G:G,ENCUESTA!D:D),"N/A")</f>
        <v>PORTAFOLIO Y MANEJO DE OBJECIONES</v>
      </c>
      <c r="N7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76" s="72" t="str">
        <f>_xlfn.XLOOKUP(Tabla2__2[[#This Row],[PREGUNTA]],ENCUESTA!G:G,ENCUESTA!H:H)</f>
        <v>SI</v>
      </c>
      <c r="P76" s="72">
        <f>IF(Tabla2__2[[#This Row],[RTA]]=Tabla2__2[[#This Row],[RTA CORRECTA]],Tabla2__2[[#This Row],[TOTAL PUNTAJE]],0)</f>
        <v>2.2000000000000002</v>
      </c>
      <c r="Q76" s="72">
        <f t="shared" si="1"/>
        <v>0</v>
      </c>
    </row>
    <row r="77" spans="1:17" x14ac:dyDescent="0.25">
      <c r="A77" s="72" t="s">
        <v>39</v>
      </c>
      <c r="B77" s="72" t="s">
        <v>8</v>
      </c>
      <c r="C77" t="s">
        <v>16</v>
      </c>
      <c r="D77" s="72" t="s">
        <v>204</v>
      </c>
      <c r="E77" s="72">
        <v>105381</v>
      </c>
      <c r="F77" s="72" t="s">
        <v>205</v>
      </c>
      <c r="G77" s="72" t="s">
        <v>102</v>
      </c>
      <c r="H77" s="72" t="s">
        <v>106</v>
      </c>
      <c r="I77" s="73">
        <v>45730</v>
      </c>
      <c r="J77" s="72">
        <v>26415788</v>
      </c>
      <c r="K77" s="72" t="s">
        <v>53</v>
      </c>
      <c r="L77" s="72" t="str">
        <f>_xlfn.XLOOKUP(Tabla2__2[[#This Row],[CODIGO RUTA]],'DATA INFORME'!I:I,'DATA INFORME'!K:K)</f>
        <v>SI</v>
      </c>
      <c r="M77" s="72" t="str">
        <f>IF(Tabla2__2[[#This Row],[MYSTERY EFECTIVO]]="SI",_xlfn.XLOOKUP(Tabla2__2[[#This Row],[PREGUNTA]],ENCUESTA!G:G,ENCUESTA!D:D),"N/A")</f>
        <v>N/A</v>
      </c>
      <c r="N7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7" s="72">
        <f>_xlfn.XLOOKUP(Tabla2__2[[#This Row],[PREGUNTA]],ENCUESTA!G:G,ENCUESTA!H:H)</f>
        <v>0</v>
      </c>
      <c r="P77" s="72">
        <f>IF(Tabla2__2[[#This Row],[RTA]]=Tabla2__2[[#This Row],[RTA CORRECTA]],Tabla2__2[[#This Row],[TOTAL PUNTAJE]],0)</f>
        <v>0</v>
      </c>
      <c r="Q77" s="72">
        <f t="shared" si="1"/>
        <v>0</v>
      </c>
    </row>
    <row r="78" spans="1:17" x14ac:dyDescent="0.25">
      <c r="A78" s="72" t="s">
        <v>39</v>
      </c>
      <c r="B78" s="72" t="s">
        <v>8</v>
      </c>
      <c r="C78" t="s">
        <v>16</v>
      </c>
      <c r="D78" s="72" t="s">
        <v>204</v>
      </c>
      <c r="E78" s="72">
        <v>105381</v>
      </c>
      <c r="F78" s="72" t="s">
        <v>205</v>
      </c>
      <c r="G78" s="72" t="s">
        <v>99</v>
      </c>
      <c r="H78" s="72" t="s">
        <v>24</v>
      </c>
      <c r="I78" s="73">
        <v>45730</v>
      </c>
      <c r="J78" s="72">
        <v>26415788</v>
      </c>
      <c r="K78" s="72" t="s">
        <v>53</v>
      </c>
      <c r="L78" s="72" t="str">
        <f>_xlfn.XLOOKUP(Tabla2__2[[#This Row],[CODIGO RUTA]],'DATA INFORME'!I:I,'DATA INFORME'!K:K)</f>
        <v>SI</v>
      </c>
      <c r="M78" s="72" t="str">
        <f>IF(Tabla2__2[[#This Row],[MYSTERY EFECTIVO]]="SI",_xlfn.XLOOKUP(Tabla2__2[[#This Row],[PREGUNTA]],ENCUESTA!G:G,ENCUESTA!D:D),"N/A")</f>
        <v>PORTAFOLIO Y MANEJO DE OBJECIONES</v>
      </c>
      <c r="N7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78" s="72" t="str">
        <f>_xlfn.XLOOKUP(Tabla2__2[[#This Row],[PREGUNTA]],ENCUESTA!G:G,ENCUESTA!H:H)</f>
        <v>SI</v>
      </c>
      <c r="P78" s="72">
        <f>IF(Tabla2__2[[#This Row],[RTA]]=Tabla2__2[[#This Row],[RTA CORRECTA]],Tabla2__2[[#This Row],[TOTAL PUNTAJE]],0)</f>
        <v>3</v>
      </c>
      <c r="Q78" s="72">
        <f t="shared" si="1"/>
        <v>0</v>
      </c>
    </row>
    <row r="79" spans="1:17" x14ac:dyDescent="0.25">
      <c r="A79" s="72" t="s">
        <v>39</v>
      </c>
      <c r="B79" s="72" t="s">
        <v>8</v>
      </c>
      <c r="C79" t="s">
        <v>16</v>
      </c>
      <c r="D79" s="72" t="s">
        <v>204</v>
      </c>
      <c r="E79" s="72">
        <v>105381</v>
      </c>
      <c r="F79" s="72" t="s">
        <v>205</v>
      </c>
      <c r="G79" s="72" t="s">
        <v>101</v>
      </c>
      <c r="H79" s="72" t="s">
        <v>24</v>
      </c>
      <c r="I79" s="73">
        <v>45730</v>
      </c>
      <c r="J79" s="72">
        <v>26415788</v>
      </c>
      <c r="K79" s="72" t="s">
        <v>53</v>
      </c>
      <c r="L79" s="72" t="str">
        <f>_xlfn.XLOOKUP(Tabla2__2[[#This Row],[CODIGO RUTA]],'DATA INFORME'!I:I,'DATA INFORME'!K:K)</f>
        <v>SI</v>
      </c>
      <c r="M79" s="72" t="str">
        <f>IF(Tabla2__2[[#This Row],[MYSTERY EFECTIVO]]="SI",_xlfn.XLOOKUP(Tabla2__2[[#This Row],[PREGUNTA]],ENCUESTA!G:G,ENCUESTA!D:D),"N/A")</f>
        <v>PORTAFOLIO Y MANEJO DE OBJECIONES</v>
      </c>
      <c r="N7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79" s="72" t="str">
        <f>_xlfn.XLOOKUP(Tabla2__2[[#This Row],[PREGUNTA]],ENCUESTA!G:G,ENCUESTA!H:H)</f>
        <v>SI</v>
      </c>
      <c r="P79" s="72">
        <f>IF(Tabla2__2[[#This Row],[RTA]]=Tabla2__2[[#This Row],[RTA CORRECTA]],Tabla2__2[[#This Row],[TOTAL PUNTAJE]],0)</f>
        <v>3</v>
      </c>
      <c r="Q79" s="72">
        <f t="shared" si="1"/>
        <v>0</v>
      </c>
    </row>
    <row r="80" spans="1:17" x14ac:dyDescent="0.25">
      <c r="A80" s="72" t="s">
        <v>39</v>
      </c>
      <c r="B80" s="72" t="s">
        <v>8</v>
      </c>
      <c r="C80" t="s">
        <v>16</v>
      </c>
      <c r="D80" s="72" t="s">
        <v>204</v>
      </c>
      <c r="E80" s="72">
        <v>105381</v>
      </c>
      <c r="F80" s="72" t="s">
        <v>205</v>
      </c>
      <c r="G80" s="72" t="s">
        <v>138</v>
      </c>
      <c r="H80" s="72" t="s">
        <v>24</v>
      </c>
      <c r="I80" s="73">
        <v>45730</v>
      </c>
      <c r="J80" s="72">
        <v>26415788</v>
      </c>
      <c r="K80" s="72" t="s">
        <v>53</v>
      </c>
      <c r="L80" s="72" t="str">
        <f>_xlfn.XLOOKUP(Tabla2__2[[#This Row],[CODIGO RUTA]],'DATA INFORME'!I:I,'DATA INFORME'!K:K)</f>
        <v>SI</v>
      </c>
      <c r="M80" s="72" t="str">
        <f>IF(Tabla2__2[[#This Row],[MYSTERY EFECTIVO]]="SI",_xlfn.XLOOKUP(Tabla2__2[[#This Row],[PREGUNTA]],ENCUESTA!G:G,ENCUESTA!D:D),"N/A")</f>
        <v>ABORDAJE</v>
      </c>
      <c r="N8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80" s="72" t="str">
        <f>_xlfn.XLOOKUP(Tabla2__2[[#This Row],[PREGUNTA]],ENCUESTA!G:G,ENCUESTA!H:H)</f>
        <v>SI</v>
      </c>
      <c r="P80" s="72">
        <f>IF(Tabla2__2[[#This Row],[RTA]]=Tabla2__2[[#This Row],[RTA CORRECTA]],Tabla2__2[[#This Row],[TOTAL PUNTAJE]],0)</f>
        <v>20</v>
      </c>
      <c r="Q80" s="72">
        <f t="shared" si="1"/>
        <v>0</v>
      </c>
    </row>
    <row r="81" spans="1:17" x14ac:dyDescent="0.25">
      <c r="A81" s="72" t="s">
        <v>39</v>
      </c>
      <c r="B81" s="72" t="s">
        <v>8</v>
      </c>
      <c r="C81" t="s">
        <v>16</v>
      </c>
      <c r="D81" s="72" t="s">
        <v>204</v>
      </c>
      <c r="E81" s="72">
        <v>105381</v>
      </c>
      <c r="F81" s="72" t="s">
        <v>205</v>
      </c>
      <c r="G81" s="72" t="s">
        <v>46</v>
      </c>
      <c r="H81" s="72" t="s">
        <v>118</v>
      </c>
      <c r="I81" s="73">
        <v>45730</v>
      </c>
      <c r="J81" s="72">
        <v>26415788</v>
      </c>
      <c r="K81" s="72" t="s">
        <v>53</v>
      </c>
      <c r="L81" s="72" t="str">
        <f>_xlfn.XLOOKUP(Tabla2__2[[#This Row],[CODIGO RUTA]],'DATA INFORME'!I:I,'DATA INFORME'!K:K)</f>
        <v>SI</v>
      </c>
      <c r="M81" s="72" t="str">
        <f>IF(Tabla2__2[[#This Row],[MYSTERY EFECTIVO]]="SI",_xlfn.XLOOKUP(Tabla2__2[[#This Row],[PREGUNTA]],ENCUESTA!G:G,ENCUESTA!D:D),"N/A")</f>
        <v>UNIFORME</v>
      </c>
      <c r="N8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81" s="72" t="str">
        <f>_xlfn.XLOOKUP(Tabla2__2[[#This Row],[PREGUNTA]],ENCUESTA!G:G,ENCUESTA!H:H)</f>
        <v>NO</v>
      </c>
      <c r="P81" s="72">
        <f>IF(Tabla2__2[[#This Row],[RTA]]=Tabla2__2[[#This Row],[RTA CORRECTA]],Tabla2__2[[#This Row],[TOTAL PUNTAJE]],0)</f>
        <v>1.5</v>
      </c>
      <c r="Q81" s="72">
        <f t="shared" si="1"/>
        <v>0</v>
      </c>
    </row>
    <row r="82" spans="1:17" x14ac:dyDescent="0.25">
      <c r="A82" s="72" t="s">
        <v>39</v>
      </c>
      <c r="B82" s="72" t="s">
        <v>8</v>
      </c>
      <c r="C82" t="s">
        <v>16</v>
      </c>
      <c r="D82" s="72" t="s">
        <v>204</v>
      </c>
      <c r="E82" s="72">
        <v>105381</v>
      </c>
      <c r="F82" s="72" t="s">
        <v>205</v>
      </c>
      <c r="G82" s="72" t="s">
        <v>142</v>
      </c>
      <c r="H82" s="72" t="s">
        <v>24</v>
      </c>
      <c r="I82" s="73">
        <v>45730</v>
      </c>
      <c r="J82" s="72">
        <v>26415788</v>
      </c>
      <c r="K82" s="72" t="s">
        <v>53</v>
      </c>
      <c r="L82" s="72" t="str">
        <f>_xlfn.XLOOKUP(Tabla2__2[[#This Row],[CODIGO RUTA]],'DATA INFORME'!I:I,'DATA INFORME'!K:K)</f>
        <v>SI</v>
      </c>
      <c r="M82" s="72" t="str">
        <f>IF(Tabla2__2[[#This Row],[MYSTERY EFECTIVO]]="SI",_xlfn.XLOOKUP(Tabla2__2[[#This Row],[PREGUNTA]],ENCUESTA!G:G,ENCUESTA!D:D),"N/A")</f>
        <v>PORTAFOLIO Y MANEJO DE OBJECIONES</v>
      </c>
      <c r="N8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82" s="72" t="str">
        <f>_xlfn.XLOOKUP(Tabla2__2[[#This Row],[PREGUNTA]],ENCUESTA!G:G,ENCUESTA!H:H)</f>
        <v>SI</v>
      </c>
      <c r="P82" s="72">
        <f>IF(Tabla2__2[[#This Row],[RTA]]=Tabla2__2[[#This Row],[RTA CORRECTA]],Tabla2__2[[#This Row],[TOTAL PUNTAJE]],0)</f>
        <v>2.2000000000000002</v>
      </c>
      <c r="Q82" s="72">
        <f t="shared" si="1"/>
        <v>0</v>
      </c>
    </row>
    <row r="83" spans="1:17" x14ac:dyDescent="0.25">
      <c r="A83" s="72" t="s">
        <v>39</v>
      </c>
      <c r="B83" s="72" t="s">
        <v>8</v>
      </c>
      <c r="C83" t="s">
        <v>16</v>
      </c>
      <c r="D83" s="72" t="s">
        <v>204</v>
      </c>
      <c r="E83" s="72">
        <v>105381</v>
      </c>
      <c r="F83" s="72" t="s">
        <v>205</v>
      </c>
      <c r="G83" s="72" t="s">
        <v>47</v>
      </c>
      <c r="H83" s="72" t="s">
        <v>118</v>
      </c>
      <c r="I83" s="73">
        <v>45730</v>
      </c>
      <c r="J83" s="72">
        <v>26415788</v>
      </c>
      <c r="K83" s="72" t="s">
        <v>53</v>
      </c>
      <c r="L83" s="72" t="str">
        <f>_xlfn.XLOOKUP(Tabla2__2[[#This Row],[CODIGO RUTA]],'DATA INFORME'!I:I,'DATA INFORME'!K:K)</f>
        <v>SI</v>
      </c>
      <c r="M83" s="72" t="str">
        <f>IF(Tabla2__2[[#This Row],[MYSTERY EFECTIVO]]="SI",_xlfn.XLOOKUP(Tabla2__2[[#This Row],[PREGUNTA]],ENCUESTA!G:G,ENCUESTA!D:D),"N/A")</f>
        <v>UNIFORME</v>
      </c>
      <c r="N8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83" s="72" t="str">
        <f>_xlfn.XLOOKUP(Tabla2__2[[#This Row],[PREGUNTA]],ENCUESTA!G:G,ENCUESTA!H:H)</f>
        <v>NO</v>
      </c>
      <c r="P83" s="72">
        <f>IF(Tabla2__2[[#This Row],[RTA]]=Tabla2__2[[#This Row],[RTA CORRECTA]],Tabla2__2[[#This Row],[TOTAL PUNTAJE]],0)</f>
        <v>1.5</v>
      </c>
      <c r="Q83" s="72">
        <f t="shared" si="1"/>
        <v>0</v>
      </c>
    </row>
    <row r="84" spans="1:17" x14ac:dyDescent="0.25">
      <c r="A84" s="72" t="s">
        <v>39</v>
      </c>
      <c r="B84" s="72" t="s">
        <v>8</v>
      </c>
      <c r="C84" t="s">
        <v>16</v>
      </c>
      <c r="D84" s="72" t="s">
        <v>204</v>
      </c>
      <c r="E84" s="72">
        <v>105381</v>
      </c>
      <c r="F84" s="72" t="s">
        <v>205</v>
      </c>
      <c r="G84" s="72" t="s">
        <v>52</v>
      </c>
      <c r="H84" s="72" t="s">
        <v>118</v>
      </c>
      <c r="I84" s="73">
        <v>45730</v>
      </c>
      <c r="J84" s="72">
        <v>26415788</v>
      </c>
      <c r="K84" s="72" t="s">
        <v>53</v>
      </c>
      <c r="L84" s="72" t="str">
        <f>_xlfn.XLOOKUP(Tabla2__2[[#This Row],[CODIGO RUTA]],'DATA INFORME'!I:I,'DATA INFORME'!K:K)</f>
        <v>SI</v>
      </c>
      <c r="M84" s="72" t="str">
        <f>IF(Tabla2__2[[#This Row],[MYSTERY EFECTIVO]]="SI",_xlfn.XLOOKUP(Tabla2__2[[#This Row],[PREGUNTA]],ENCUESTA!G:G,ENCUESTA!D:D),"N/A")</f>
        <v>UNIFORME</v>
      </c>
      <c r="N8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84" s="72" t="str">
        <f>_xlfn.XLOOKUP(Tabla2__2[[#This Row],[PREGUNTA]],ENCUESTA!G:G,ENCUESTA!H:H)</f>
        <v>NO</v>
      </c>
      <c r="P84" s="72">
        <f>IF(Tabla2__2[[#This Row],[RTA]]=Tabla2__2[[#This Row],[RTA CORRECTA]],Tabla2__2[[#This Row],[TOTAL PUNTAJE]],0)</f>
        <v>1.5</v>
      </c>
      <c r="Q84" s="72">
        <f t="shared" si="1"/>
        <v>0</v>
      </c>
    </row>
    <row r="85" spans="1:17" x14ac:dyDescent="0.25">
      <c r="A85" s="72" t="s">
        <v>39</v>
      </c>
      <c r="B85" s="72" t="s">
        <v>8</v>
      </c>
      <c r="C85" t="s">
        <v>16</v>
      </c>
      <c r="D85" s="72" t="s">
        <v>204</v>
      </c>
      <c r="E85" s="72">
        <v>105381</v>
      </c>
      <c r="F85" s="72" t="s">
        <v>205</v>
      </c>
      <c r="G85" s="72" t="s">
        <v>49</v>
      </c>
      <c r="H85" s="72" t="s">
        <v>24</v>
      </c>
      <c r="I85" s="73">
        <v>45730</v>
      </c>
      <c r="J85" s="72">
        <v>26415788</v>
      </c>
      <c r="K85" s="72" t="s">
        <v>53</v>
      </c>
      <c r="L85" s="72" t="str">
        <f>_xlfn.XLOOKUP(Tabla2__2[[#This Row],[CODIGO RUTA]],'DATA INFORME'!I:I,'DATA INFORME'!K:K)</f>
        <v>SI</v>
      </c>
      <c r="M85" s="72" t="str">
        <f>IF(Tabla2__2[[#This Row],[MYSTERY EFECTIVO]]="SI",_xlfn.XLOOKUP(Tabla2__2[[#This Row],[PREGUNTA]],ENCUESTA!G:G,ENCUESTA!D:D),"N/A")</f>
        <v>UNIFORME</v>
      </c>
      <c r="N8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85" s="72" t="str">
        <f>_xlfn.XLOOKUP(Tabla2__2[[#This Row],[PREGUNTA]],ENCUESTA!G:G,ENCUESTA!H:H)</f>
        <v>SI</v>
      </c>
      <c r="P85" s="72">
        <f>IF(Tabla2__2[[#This Row],[RTA]]=Tabla2__2[[#This Row],[RTA CORRECTA]],Tabla2__2[[#This Row],[TOTAL PUNTAJE]],0)</f>
        <v>1.5</v>
      </c>
      <c r="Q85" s="72">
        <f t="shared" si="1"/>
        <v>0</v>
      </c>
    </row>
    <row r="86" spans="1:17" x14ac:dyDescent="0.25">
      <c r="A86" s="72" t="s">
        <v>39</v>
      </c>
      <c r="B86" s="72" t="s">
        <v>8</v>
      </c>
      <c r="C86" t="s">
        <v>16</v>
      </c>
      <c r="D86" s="72" t="s">
        <v>204</v>
      </c>
      <c r="E86" s="72">
        <v>105381</v>
      </c>
      <c r="F86" s="72" t="s">
        <v>205</v>
      </c>
      <c r="G86" s="72" t="s">
        <v>43</v>
      </c>
      <c r="H86" s="72" t="s">
        <v>24</v>
      </c>
      <c r="I86" s="73">
        <v>45730</v>
      </c>
      <c r="J86" s="72">
        <v>26415788</v>
      </c>
      <c r="K86" s="72" t="s">
        <v>53</v>
      </c>
      <c r="L86" s="72" t="str">
        <f>_xlfn.XLOOKUP(Tabla2__2[[#This Row],[CODIGO RUTA]],'DATA INFORME'!I:I,'DATA INFORME'!K:K)</f>
        <v>SI</v>
      </c>
      <c r="M86" s="72" t="str">
        <f>IF(Tabla2__2[[#This Row],[MYSTERY EFECTIVO]]="SI",_xlfn.XLOOKUP(Tabla2__2[[#This Row],[PREGUNTA]],ENCUESTA!G:G,ENCUESTA!D:D),"N/A")</f>
        <v>UNIFORME</v>
      </c>
      <c r="N8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86" s="72" t="str">
        <f>_xlfn.XLOOKUP(Tabla2__2[[#This Row],[PREGUNTA]],ENCUESTA!G:G,ENCUESTA!H:H)</f>
        <v>SI</v>
      </c>
      <c r="P86" s="72">
        <f>IF(Tabla2__2[[#This Row],[RTA]]=Tabla2__2[[#This Row],[RTA CORRECTA]],Tabla2__2[[#This Row],[TOTAL PUNTAJE]],0)</f>
        <v>1.5</v>
      </c>
      <c r="Q86" s="72">
        <f t="shared" si="1"/>
        <v>0</v>
      </c>
    </row>
    <row r="87" spans="1:17" x14ac:dyDescent="0.25">
      <c r="A87" s="72" t="s">
        <v>39</v>
      </c>
      <c r="B87" s="72" t="s">
        <v>8</v>
      </c>
      <c r="C87" t="s">
        <v>16</v>
      </c>
      <c r="D87" s="72" t="s">
        <v>204</v>
      </c>
      <c r="E87" s="72">
        <v>105381</v>
      </c>
      <c r="F87" s="72" t="s">
        <v>205</v>
      </c>
      <c r="G87" s="72" t="s">
        <v>137</v>
      </c>
      <c r="H87" s="72" t="s">
        <v>24</v>
      </c>
      <c r="I87" s="73">
        <v>45730</v>
      </c>
      <c r="J87" s="72">
        <v>26415788</v>
      </c>
      <c r="K87" s="72" t="s">
        <v>53</v>
      </c>
      <c r="L87" s="72" t="str">
        <f>_xlfn.XLOOKUP(Tabla2__2[[#This Row],[CODIGO RUTA]],'DATA INFORME'!I:I,'DATA INFORME'!K:K)</f>
        <v>SI</v>
      </c>
      <c r="M87" s="72" t="str">
        <f>IF(Tabla2__2[[#This Row],[MYSTERY EFECTIVO]]="SI",_xlfn.XLOOKUP(Tabla2__2[[#This Row],[PREGUNTA]],ENCUESTA!G:G,ENCUESTA!D:D),"N/A")</f>
        <v>UNIFORME</v>
      </c>
      <c r="N8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87" s="72" t="str">
        <f>_xlfn.XLOOKUP(Tabla2__2[[#This Row],[PREGUNTA]],ENCUESTA!G:G,ENCUESTA!H:H)</f>
        <v>NO</v>
      </c>
      <c r="P87" s="72">
        <f>IF(Tabla2__2[[#This Row],[RTA]]=Tabla2__2[[#This Row],[RTA CORRECTA]],Tabla2__2[[#This Row],[TOTAL PUNTAJE]],0)</f>
        <v>0</v>
      </c>
      <c r="Q87" s="72">
        <f t="shared" si="1"/>
        <v>0</v>
      </c>
    </row>
    <row r="88" spans="1:17" x14ac:dyDescent="0.25">
      <c r="A88" s="72" t="s">
        <v>39</v>
      </c>
      <c r="B88" s="72" t="s">
        <v>8</v>
      </c>
      <c r="C88" t="s">
        <v>16</v>
      </c>
      <c r="D88" s="72" t="s">
        <v>204</v>
      </c>
      <c r="E88" s="72">
        <v>105381</v>
      </c>
      <c r="F88" s="72" t="s">
        <v>205</v>
      </c>
      <c r="G88" s="72" t="s">
        <v>44</v>
      </c>
      <c r="H88" s="72" t="s">
        <v>24</v>
      </c>
      <c r="I88" s="73">
        <v>45730</v>
      </c>
      <c r="J88" s="72">
        <v>26415788</v>
      </c>
      <c r="K88" s="72" t="s">
        <v>53</v>
      </c>
      <c r="L88" s="72" t="str">
        <f>_xlfn.XLOOKUP(Tabla2__2[[#This Row],[CODIGO RUTA]],'DATA INFORME'!I:I,'DATA INFORME'!K:K)</f>
        <v>SI</v>
      </c>
      <c r="M88" s="72" t="str">
        <f>IF(Tabla2__2[[#This Row],[MYSTERY EFECTIVO]]="SI",_xlfn.XLOOKUP(Tabla2__2[[#This Row],[PREGUNTA]],ENCUESTA!G:G,ENCUESTA!D:D),"N/A")</f>
        <v>UNIFORME</v>
      </c>
      <c r="N8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88" s="72" t="str">
        <f>_xlfn.XLOOKUP(Tabla2__2[[#This Row],[PREGUNTA]],ENCUESTA!G:G,ENCUESTA!H:H)</f>
        <v>SI</v>
      </c>
      <c r="P88" s="72">
        <f>IF(Tabla2__2[[#This Row],[RTA]]=Tabla2__2[[#This Row],[RTA CORRECTA]],Tabla2__2[[#This Row],[TOTAL PUNTAJE]],0)</f>
        <v>1.5</v>
      </c>
      <c r="Q88" s="72">
        <f t="shared" si="1"/>
        <v>0</v>
      </c>
    </row>
    <row r="89" spans="1:17" x14ac:dyDescent="0.25">
      <c r="A89" s="72" t="s">
        <v>39</v>
      </c>
      <c r="B89" s="72" t="s">
        <v>8</v>
      </c>
      <c r="C89" t="s">
        <v>16</v>
      </c>
      <c r="D89" s="72" t="s">
        <v>204</v>
      </c>
      <c r="E89" s="72">
        <v>105381</v>
      </c>
      <c r="F89" s="72" t="s">
        <v>205</v>
      </c>
      <c r="G89" s="72" t="s">
        <v>136</v>
      </c>
      <c r="H89" s="72" t="s">
        <v>24</v>
      </c>
      <c r="I89" s="73">
        <v>45730</v>
      </c>
      <c r="J89" s="72">
        <v>26415788</v>
      </c>
      <c r="K89" s="72" t="s">
        <v>53</v>
      </c>
      <c r="L89" s="72" t="str">
        <f>_xlfn.XLOOKUP(Tabla2__2[[#This Row],[CODIGO RUTA]],'DATA INFORME'!I:I,'DATA INFORME'!K:K)</f>
        <v>SI</v>
      </c>
      <c r="M89" s="72" t="str">
        <f>IF(Tabla2__2[[#This Row],[MYSTERY EFECTIVO]]="SI",_xlfn.XLOOKUP(Tabla2__2[[#This Row],[PREGUNTA]],ENCUESTA!G:G,ENCUESTA!D:D),"N/A")</f>
        <v>UNIFORME</v>
      </c>
      <c r="N8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89" s="72" t="str">
        <f>_xlfn.XLOOKUP(Tabla2__2[[#This Row],[PREGUNTA]],ENCUESTA!G:G,ENCUESTA!H:H)</f>
        <v>SI</v>
      </c>
      <c r="P89" s="72">
        <f>IF(Tabla2__2[[#This Row],[RTA]]=Tabla2__2[[#This Row],[RTA CORRECTA]],Tabla2__2[[#This Row],[TOTAL PUNTAJE]],0)</f>
        <v>1.5</v>
      </c>
      <c r="Q89" s="72">
        <f t="shared" si="1"/>
        <v>0</v>
      </c>
    </row>
    <row r="90" spans="1:17" x14ac:dyDescent="0.25">
      <c r="A90" s="72" t="s">
        <v>39</v>
      </c>
      <c r="B90" s="72" t="s">
        <v>8</v>
      </c>
      <c r="C90" t="s">
        <v>16</v>
      </c>
      <c r="D90" s="72" t="s">
        <v>204</v>
      </c>
      <c r="E90" s="72">
        <v>105381</v>
      </c>
      <c r="F90" s="72" t="s">
        <v>205</v>
      </c>
      <c r="G90" s="72" t="s">
        <v>100</v>
      </c>
      <c r="H90" s="72" t="s">
        <v>24</v>
      </c>
      <c r="I90" s="73">
        <v>45730</v>
      </c>
      <c r="J90" s="72">
        <v>26415788</v>
      </c>
      <c r="K90" s="72" t="s">
        <v>53</v>
      </c>
      <c r="L90" s="72" t="str">
        <f>_xlfn.XLOOKUP(Tabla2__2[[#This Row],[CODIGO RUTA]],'DATA INFORME'!I:I,'DATA INFORME'!K:K)</f>
        <v>SI</v>
      </c>
      <c r="M90" s="72" t="str">
        <f>IF(Tabla2__2[[#This Row],[MYSTERY EFECTIVO]]="SI",_xlfn.XLOOKUP(Tabla2__2[[#This Row],[PREGUNTA]],ENCUESTA!G:G,ENCUESTA!D:D),"N/A")</f>
        <v>UNIFORME</v>
      </c>
      <c r="N9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90" s="72" t="str">
        <f>_xlfn.XLOOKUP(Tabla2__2[[#This Row],[PREGUNTA]],ENCUESTA!G:G,ENCUESTA!H:H)</f>
        <v>SI</v>
      </c>
      <c r="P90" s="72">
        <f>IF(Tabla2__2[[#This Row],[RTA]]=Tabla2__2[[#This Row],[RTA CORRECTA]],Tabla2__2[[#This Row],[TOTAL PUNTAJE]],0)</f>
        <v>1.5</v>
      </c>
      <c r="Q90" s="72">
        <f t="shared" si="1"/>
        <v>0</v>
      </c>
    </row>
    <row r="91" spans="1:17" x14ac:dyDescent="0.25">
      <c r="A91" s="72" t="s">
        <v>39</v>
      </c>
      <c r="B91" s="72" t="s">
        <v>8</v>
      </c>
      <c r="C91" t="s">
        <v>16</v>
      </c>
      <c r="D91" s="72" t="s">
        <v>204</v>
      </c>
      <c r="E91" s="72">
        <v>105381</v>
      </c>
      <c r="F91" s="72" t="s">
        <v>205</v>
      </c>
      <c r="G91" s="72" t="s">
        <v>40</v>
      </c>
      <c r="H91" s="72" t="s">
        <v>24</v>
      </c>
      <c r="I91" s="73">
        <v>45730</v>
      </c>
      <c r="J91" s="72">
        <v>26415788</v>
      </c>
      <c r="K91" s="72" t="s">
        <v>53</v>
      </c>
      <c r="L91" s="72" t="str">
        <f>_xlfn.XLOOKUP(Tabla2__2[[#This Row],[CODIGO RUTA]],'DATA INFORME'!I:I,'DATA INFORME'!K:K)</f>
        <v>SI</v>
      </c>
      <c r="M91" s="72" t="str">
        <f>IF(Tabla2__2[[#This Row],[MYSTERY EFECTIVO]]="SI",_xlfn.XLOOKUP(Tabla2__2[[#This Row],[PREGUNTA]],ENCUESTA!G:G,ENCUESTA!D:D),"N/A")</f>
        <v>HORARIO</v>
      </c>
      <c r="N9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91" s="72" t="str">
        <f>_xlfn.XLOOKUP(Tabla2__2[[#This Row],[PREGUNTA]],ENCUESTA!G:G,ENCUESTA!H:H)</f>
        <v>SI</v>
      </c>
      <c r="P91" s="72">
        <f>IF(Tabla2__2[[#This Row],[RTA]]=Tabla2__2[[#This Row],[RTA CORRECTA]],Tabla2__2[[#This Row],[TOTAL PUNTAJE]],0)</f>
        <v>20</v>
      </c>
      <c r="Q91" s="72">
        <f t="shared" si="1"/>
        <v>0</v>
      </c>
    </row>
    <row r="92" spans="1:17" x14ac:dyDescent="0.25">
      <c r="A92" s="72" t="s">
        <v>39</v>
      </c>
      <c r="B92" s="72" t="s">
        <v>8</v>
      </c>
      <c r="C92" t="s">
        <v>16</v>
      </c>
      <c r="D92" s="72" t="s">
        <v>204</v>
      </c>
      <c r="E92" s="72">
        <v>105381</v>
      </c>
      <c r="F92" s="72" t="s">
        <v>205</v>
      </c>
      <c r="G92" s="72" t="s">
        <v>48</v>
      </c>
      <c r="H92" s="72" t="s">
        <v>118</v>
      </c>
      <c r="I92" s="73">
        <v>45730</v>
      </c>
      <c r="J92" s="72">
        <v>26415788</v>
      </c>
      <c r="K92" s="72" t="s">
        <v>53</v>
      </c>
      <c r="L92" s="72" t="str">
        <f>_xlfn.XLOOKUP(Tabla2__2[[#This Row],[CODIGO RUTA]],'DATA INFORME'!I:I,'DATA INFORME'!K:K)</f>
        <v>SI</v>
      </c>
      <c r="M92" s="72" t="str">
        <f>IF(Tabla2__2[[#This Row],[MYSTERY EFECTIVO]]="SI",_xlfn.XLOOKUP(Tabla2__2[[#This Row],[PREGUNTA]],ENCUESTA!G:G,ENCUESTA!D:D),"N/A")</f>
        <v>UNIFORME</v>
      </c>
      <c r="N9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92" s="72" t="str">
        <f>_xlfn.XLOOKUP(Tabla2__2[[#This Row],[PREGUNTA]],ENCUESTA!G:G,ENCUESTA!H:H)</f>
        <v>NO</v>
      </c>
      <c r="P92" s="72">
        <f>IF(Tabla2__2[[#This Row],[RTA]]=Tabla2__2[[#This Row],[RTA CORRECTA]],Tabla2__2[[#This Row],[TOTAL PUNTAJE]],0)</f>
        <v>1.5</v>
      </c>
      <c r="Q92" s="72">
        <f t="shared" si="1"/>
        <v>0</v>
      </c>
    </row>
    <row r="93" spans="1:17" x14ac:dyDescent="0.25">
      <c r="A93" s="72" t="s">
        <v>39</v>
      </c>
      <c r="B93" s="72" t="s">
        <v>8</v>
      </c>
      <c r="C93" t="s">
        <v>15</v>
      </c>
      <c r="D93" s="72" t="s">
        <v>116</v>
      </c>
      <c r="E93" s="72">
        <v>424858</v>
      </c>
      <c r="F93" s="72" t="s">
        <v>207</v>
      </c>
      <c r="G93" s="72" t="s">
        <v>101</v>
      </c>
      <c r="H93" s="72" t="s">
        <v>24</v>
      </c>
      <c r="I93" s="73">
        <v>45730</v>
      </c>
      <c r="J93" s="72">
        <v>26419994</v>
      </c>
      <c r="K93" s="72" t="s">
        <v>115</v>
      </c>
      <c r="L93" s="72" t="str">
        <f>_xlfn.XLOOKUP(Tabla2__2[[#This Row],[CODIGO RUTA]],'DATA INFORME'!I:I,'DATA INFORME'!K:K)</f>
        <v>SI</v>
      </c>
      <c r="M93" s="72" t="str">
        <f>IF(Tabla2__2[[#This Row],[MYSTERY EFECTIVO]]="SI",_xlfn.XLOOKUP(Tabla2__2[[#This Row],[PREGUNTA]],ENCUESTA!G:G,ENCUESTA!D:D),"N/A")</f>
        <v>PORTAFOLIO Y MANEJO DE OBJECIONES</v>
      </c>
      <c r="N9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93" s="72" t="str">
        <f>_xlfn.XLOOKUP(Tabla2__2[[#This Row],[PREGUNTA]],ENCUESTA!G:G,ENCUESTA!H:H)</f>
        <v>SI</v>
      </c>
      <c r="P93" s="72">
        <f>IF(Tabla2__2[[#This Row],[RTA]]=Tabla2__2[[#This Row],[RTA CORRECTA]],Tabla2__2[[#This Row],[TOTAL PUNTAJE]],0)</f>
        <v>3</v>
      </c>
      <c r="Q93" s="72">
        <f t="shared" si="1"/>
        <v>0</v>
      </c>
    </row>
    <row r="94" spans="1:17" x14ac:dyDescent="0.25">
      <c r="A94" s="72" t="s">
        <v>39</v>
      </c>
      <c r="B94" s="72" t="s">
        <v>8</v>
      </c>
      <c r="C94" t="s">
        <v>16</v>
      </c>
      <c r="D94" s="72" t="s">
        <v>204</v>
      </c>
      <c r="E94" s="72">
        <v>105381</v>
      </c>
      <c r="F94" s="72" t="s">
        <v>205</v>
      </c>
      <c r="G94" s="72" t="s">
        <v>143</v>
      </c>
      <c r="H94" s="72" t="s">
        <v>24</v>
      </c>
      <c r="I94" s="73">
        <v>45730</v>
      </c>
      <c r="J94" s="72">
        <v>26415788</v>
      </c>
      <c r="K94" s="72" t="s">
        <v>53</v>
      </c>
      <c r="L94" s="72" t="str">
        <f>_xlfn.XLOOKUP(Tabla2__2[[#This Row],[CODIGO RUTA]],'DATA INFORME'!I:I,'DATA INFORME'!K:K)</f>
        <v>SI</v>
      </c>
      <c r="M94" s="72" t="str">
        <f>IF(Tabla2__2[[#This Row],[MYSTERY EFECTIVO]]="SI",_xlfn.XLOOKUP(Tabla2__2[[#This Row],[PREGUNTA]],ENCUESTA!G:G,ENCUESTA!D:D),"N/A")</f>
        <v>PORTAFOLIO Y MANEJO DE OBJECIONES</v>
      </c>
      <c r="N9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94" s="72" t="str">
        <f>_xlfn.XLOOKUP(Tabla2__2[[#This Row],[PREGUNTA]],ENCUESTA!G:G,ENCUESTA!H:H)</f>
        <v>SI</v>
      </c>
      <c r="P94" s="72">
        <f>IF(Tabla2__2[[#This Row],[RTA]]=Tabla2__2[[#This Row],[RTA CORRECTA]],Tabla2__2[[#This Row],[TOTAL PUNTAJE]],0)</f>
        <v>2.2000000000000002</v>
      </c>
      <c r="Q94" s="72">
        <f t="shared" si="1"/>
        <v>0</v>
      </c>
    </row>
    <row r="95" spans="1:17" x14ac:dyDescent="0.25">
      <c r="A95" s="72" t="s">
        <v>39</v>
      </c>
      <c r="B95" s="72" t="s">
        <v>8</v>
      </c>
      <c r="C95" t="s">
        <v>16</v>
      </c>
      <c r="D95" s="72" t="s">
        <v>204</v>
      </c>
      <c r="E95" s="72">
        <v>105381</v>
      </c>
      <c r="F95" s="72" t="s">
        <v>205</v>
      </c>
      <c r="G95" s="72" t="s">
        <v>145</v>
      </c>
      <c r="H95" s="72" t="s">
        <v>24</v>
      </c>
      <c r="I95" s="73">
        <v>45730</v>
      </c>
      <c r="J95" s="72">
        <v>26415788</v>
      </c>
      <c r="K95" s="72" t="s">
        <v>53</v>
      </c>
      <c r="L95" s="72" t="str">
        <f>_xlfn.XLOOKUP(Tabla2__2[[#This Row],[CODIGO RUTA]],'DATA INFORME'!I:I,'DATA INFORME'!K:K)</f>
        <v>SI</v>
      </c>
      <c r="M95" s="72" t="str">
        <f>IF(Tabla2__2[[#This Row],[MYSTERY EFECTIVO]]="SI",_xlfn.XLOOKUP(Tabla2__2[[#This Row],[PREGUNTA]],ENCUESTA!G:G,ENCUESTA!D:D),"N/A")</f>
        <v>PORTAFOLIO Y MANEJO DE OBJECIONES</v>
      </c>
      <c r="N9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95" s="72" t="str">
        <f>_xlfn.XLOOKUP(Tabla2__2[[#This Row],[PREGUNTA]],ENCUESTA!G:G,ENCUESTA!H:H)</f>
        <v>SI</v>
      </c>
      <c r="P95" s="72">
        <f>IF(Tabla2__2[[#This Row],[RTA]]=Tabla2__2[[#This Row],[RTA CORRECTA]],Tabla2__2[[#This Row],[TOTAL PUNTAJE]],0)</f>
        <v>2.2000000000000002</v>
      </c>
      <c r="Q95" s="72">
        <f t="shared" si="1"/>
        <v>0</v>
      </c>
    </row>
    <row r="96" spans="1:17" x14ac:dyDescent="0.25">
      <c r="A96" s="72" t="s">
        <v>39</v>
      </c>
      <c r="B96" s="72" t="s">
        <v>8</v>
      </c>
      <c r="C96" t="s">
        <v>15</v>
      </c>
      <c r="D96" s="72" t="s">
        <v>116</v>
      </c>
      <c r="E96" s="72">
        <v>424858</v>
      </c>
      <c r="F96" s="72" t="s">
        <v>207</v>
      </c>
      <c r="G96" s="72" t="s">
        <v>46</v>
      </c>
      <c r="H96" s="72" t="s">
        <v>118</v>
      </c>
      <c r="I96" s="73">
        <v>45730</v>
      </c>
      <c r="J96" s="72">
        <v>26419994</v>
      </c>
      <c r="K96" s="72" t="s">
        <v>115</v>
      </c>
      <c r="L96" s="72" t="str">
        <f>_xlfn.XLOOKUP(Tabla2__2[[#This Row],[CODIGO RUTA]],'DATA INFORME'!I:I,'DATA INFORME'!K:K)</f>
        <v>SI</v>
      </c>
      <c r="M96" s="72" t="str">
        <f>IF(Tabla2__2[[#This Row],[MYSTERY EFECTIVO]]="SI",_xlfn.XLOOKUP(Tabla2__2[[#This Row],[PREGUNTA]],ENCUESTA!G:G,ENCUESTA!D:D),"N/A")</f>
        <v>UNIFORME</v>
      </c>
      <c r="N9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96" s="72" t="str">
        <f>_xlfn.XLOOKUP(Tabla2__2[[#This Row],[PREGUNTA]],ENCUESTA!G:G,ENCUESTA!H:H)</f>
        <v>NO</v>
      </c>
      <c r="P96" s="72">
        <f>IF(Tabla2__2[[#This Row],[RTA]]=Tabla2__2[[#This Row],[RTA CORRECTA]],Tabla2__2[[#This Row],[TOTAL PUNTAJE]],0)</f>
        <v>1.5</v>
      </c>
      <c r="Q96" s="72">
        <f t="shared" si="1"/>
        <v>0</v>
      </c>
    </row>
    <row r="97" spans="1:17" x14ac:dyDescent="0.25">
      <c r="A97" s="72" t="s">
        <v>39</v>
      </c>
      <c r="B97" s="72" t="s">
        <v>8</v>
      </c>
      <c r="C97" t="s">
        <v>15</v>
      </c>
      <c r="D97" s="72" t="s">
        <v>116</v>
      </c>
      <c r="E97" s="72">
        <v>424858</v>
      </c>
      <c r="F97" s="72" t="s">
        <v>207</v>
      </c>
      <c r="G97" s="72" t="s">
        <v>47</v>
      </c>
      <c r="H97" s="72" t="s">
        <v>118</v>
      </c>
      <c r="I97" s="73">
        <v>45730</v>
      </c>
      <c r="J97" s="72">
        <v>26419994</v>
      </c>
      <c r="K97" s="72" t="s">
        <v>115</v>
      </c>
      <c r="L97" s="72" t="str">
        <f>_xlfn.XLOOKUP(Tabla2__2[[#This Row],[CODIGO RUTA]],'DATA INFORME'!I:I,'DATA INFORME'!K:K)</f>
        <v>SI</v>
      </c>
      <c r="M97" s="72" t="str">
        <f>IF(Tabla2__2[[#This Row],[MYSTERY EFECTIVO]]="SI",_xlfn.XLOOKUP(Tabla2__2[[#This Row],[PREGUNTA]],ENCUESTA!G:G,ENCUESTA!D:D),"N/A")</f>
        <v>UNIFORME</v>
      </c>
      <c r="N9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97" s="72" t="str">
        <f>_xlfn.XLOOKUP(Tabla2__2[[#This Row],[PREGUNTA]],ENCUESTA!G:G,ENCUESTA!H:H)</f>
        <v>NO</v>
      </c>
      <c r="P97" s="72">
        <f>IF(Tabla2__2[[#This Row],[RTA]]=Tabla2__2[[#This Row],[RTA CORRECTA]],Tabla2__2[[#This Row],[TOTAL PUNTAJE]],0)</f>
        <v>1.5</v>
      </c>
      <c r="Q97" s="72">
        <f t="shared" si="1"/>
        <v>0</v>
      </c>
    </row>
    <row r="98" spans="1:17" x14ac:dyDescent="0.25">
      <c r="A98" s="72" t="s">
        <v>39</v>
      </c>
      <c r="B98" s="72" t="s">
        <v>8</v>
      </c>
      <c r="C98" t="s">
        <v>15</v>
      </c>
      <c r="D98" s="72" t="s">
        <v>116</v>
      </c>
      <c r="E98" s="72">
        <v>424858</v>
      </c>
      <c r="F98" s="72" t="s">
        <v>207</v>
      </c>
      <c r="G98" s="72" t="s">
        <v>48</v>
      </c>
      <c r="H98" s="72" t="s">
        <v>118</v>
      </c>
      <c r="I98" s="73">
        <v>45730</v>
      </c>
      <c r="J98" s="72">
        <v>26419994</v>
      </c>
      <c r="K98" s="72" t="s">
        <v>115</v>
      </c>
      <c r="L98" s="72" t="str">
        <f>_xlfn.XLOOKUP(Tabla2__2[[#This Row],[CODIGO RUTA]],'DATA INFORME'!I:I,'DATA INFORME'!K:K)</f>
        <v>SI</v>
      </c>
      <c r="M98" s="72" t="str">
        <f>IF(Tabla2__2[[#This Row],[MYSTERY EFECTIVO]]="SI",_xlfn.XLOOKUP(Tabla2__2[[#This Row],[PREGUNTA]],ENCUESTA!G:G,ENCUESTA!D:D),"N/A")</f>
        <v>UNIFORME</v>
      </c>
      <c r="N9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98" s="72" t="str">
        <f>_xlfn.XLOOKUP(Tabla2__2[[#This Row],[PREGUNTA]],ENCUESTA!G:G,ENCUESTA!H:H)</f>
        <v>NO</v>
      </c>
      <c r="P98" s="72">
        <f>IF(Tabla2__2[[#This Row],[RTA]]=Tabla2__2[[#This Row],[RTA CORRECTA]],Tabla2__2[[#This Row],[TOTAL PUNTAJE]],0)</f>
        <v>1.5</v>
      </c>
      <c r="Q98" s="72">
        <f t="shared" si="1"/>
        <v>0</v>
      </c>
    </row>
    <row r="99" spans="1:17" x14ac:dyDescent="0.25">
      <c r="A99" s="72" t="s">
        <v>39</v>
      </c>
      <c r="B99" s="72" t="s">
        <v>8</v>
      </c>
      <c r="C99" t="s">
        <v>15</v>
      </c>
      <c r="D99" s="72" t="s">
        <v>116</v>
      </c>
      <c r="E99" s="72">
        <v>424858</v>
      </c>
      <c r="F99" s="72" t="s">
        <v>207</v>
      </c>
      <c r="G99" s="72" t="s">
        <v>52</v>
      </c>
      <c r="H99" s="72" t="s">
        <v>118</v>
      </c>
      <c r="I99" s="73">
        <v>45730</v>
      </c>
      <c r="J99" s="72">
        <v>26419994</v>
      </c>
      <c r="K99" s="72" t="s">
        <v>115</v>
      </c>
      <c r="L99" s="72" t="str">
        <f>_xlfn.XLOOKUP(Tabla2__2[[#This Row],[CODIGO RUTA]],'DATA INFORME'!I:I,'DATA INFORME'!K:K)</f>
        <v>SI</v>
      </c>
      <c r="M99" s="72" t="str">
        <f>IF(Tabla2__2[[#This Row],[MYSTERY EFECTIVO]]="SI",_xlfn.XLOOKUP(Tabla2__2[[#This Row],[PREGUNTA]],ENCUESTA!G:G,ENCUESTA!D:D),"N/A")</f>
        <v>UNIFORME</v>
      </c>
      <c r="N9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99" s="72" t="str">
        <f>_xlfn.XLOOKUP(Tabla2__2[[#This Row],[PREGUNTA]],ENCUESTA!G:G,ENCUESTA!H:H)</f>
        <v>NO</v>
      </c>
      <c r="P99" s="72">
        <f>IF(Tabla2__2[[#This Row],[RTA]]=Tabla2__2[[#This Row],[RTA CORRECTA]],Tabla2__2[[#This Row],[TOTAL PUNTAJE]],0)</f>
        <v>1.5</v>
      </c>
      <c r="Q99" s="72">
        <f t="shared" si="1"/>
        <v>0</v>
      </c>
    </row>
    <row r="100" spans="1:17" x14ac:dyDescent="0.25">
      <c r="A100" s="72" t="s">
        <v>39</v>
      </c>
      <c r="B100" s="72" t="s">
        <v>8</v>
      </c>
      <c r="C100" t="s">
        <v>15</v>
      </c>
      <c r="D100" s="72" t="s">
        <v>116</v>
      </c>
      <c r="E100" s="72">
        <v>424858</v>
      </c>
      <c r="F100" s="72" t="s">
        <v>207</v>
      </c>
      <c r="G100" s="72" t="s">
        <v>49</v>
      </c>
      <c r="H100" s="72" t="s">
        <v>24</v>
      </c>
      <c r="I100" s="73">
        <v>45730</v>
      </c>
      <c r="J100" s="72">
        <v>26419994</v>
      </c>
      <c r="K100" s="72" t="s">
        <v>115</v>
      </c>
      <c r="L100" s="72" t="str">
        <f>_xlfn.XLOOKUP(Tabla2__2[[#This Row],[CODIGO RUTA]],'DATA INFORME'!I:I,'DATA INFORME'!K:K)</f>
        <v>SI</v>
      </c>
      <c r="M100" s="72" t="str">
        <f>IF(Tabla2__2[[#This Row],[MYSTERY EFECTIVO]]="SI",_xlfn.XLOOKUP(Tabla2__2[[#This Row],[PREGUNTA]],ENCUESTA!G:G,ENCUESTA!D:D),"N/A")</f>
        <v>UNIFORME</v>
      </c>
      <c r="N10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00" s="72" t="str">
        <f>_xlfn.XLOOKUP(Tabla2__2[[#This Row],[PREGUNTA]],ENCUESTA!G:G,ENCUESTA!H:H)</f>
        <v>SI</v>
      </c>
      <c r="P100" s="72">
        <f>IF(Tabla2__2[[#This Row],[RTA]]=Tabla2__2[[#This Row],[RTA CORRECTA]],Tabla2__2[[#This Row],[TOTAL PUNTAJE]],0)</f>
        <v>1.5</v>
      </c>
      <c r="Q100" s="72">
        <f t="shared" si="1"/>
        <v>0</v>
      </c>
    </row>
    <row r="101" spans="1:17" x14ac:dyDescent="0.25">
      <c r="A101" s="72" t="s">
        <v>39</v>
      </c>
      <c r="B101" s="72" t="s">
        <v>8</v>
      </c>
      <c r="C101" t="s">
        <v>15</v>
      </c>
      <c r="D101" s="72" t="s">
        <v>116</v>
      </c>
      <c r="E101" s="72">
        <v>424858</v>
      </c>
      <c r="F101" s="72" t="s">
        <v>207</v>
      </c>
      <c r="G101" s="72" t="s">
        <v>43</v>
      </c>
      <c r="H101" s="72" t="s">
        <v>24</v>
      </c>
      <c r="I101" s="73">
        <v>45730</v>
      </c>
      <c r="J101" s="72">
        <v>26419994</v>
      </c>
      <c r="K101" s="72" t="s">
        <v>115</v>
      </c>
      <c r="L101" s="72" t="str">
        <f>_xlfn.XLOOKUP(Tabla2__2[[#This Row],[CODIGO RUTA]],'DATA INFORME'!I:I,'DATA INFORME'!K:K)</f>
        <v>SI</v>
      </c>
      <c r="M101" s="72" t="str">
        <f>IF(Tabla2__2[[#This Row],[MYSTERY EFECTIVO]]="SI",_xlfn.XLOOKUP(Tabla2__2[[#This Row],[PREGUNTA]],ENCUESTA!G:G,ENCUESTA!D:D),"N/A")</f>
        <v>UNIFORME</v>
      </c>
      <c r="N10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01" s="72" t="str">
        <f>_xlfn.XLOOKUP(Tabla2__2[[#This Row],[PREGUNTA]],ENCUESTA!G:G,ENCUESTA!H:H)</f>
        <v>SI</v>
      </c>
      <c r="P101" s="72">
        <f>IF(Tabla2__2[[#This Row],[RTA]]=Tabla2__2[[#This Row],[RTA CORRECTA]],Tabla2__2[[#This Row],[TOTAL PUNTAJE]],0)</f>
        <v>1.5</v>
      </c>
      <c r="Q101" s="72">
        <f t="shared" si="1"/>
        <v>0</v>
      </c>
    </row>
    <row r="102" spans="1:17" x14ac:dyDescent="0.25">
      <c r="A102" s="72" t="s">
        <v>39</v>
      </c>
      <c r="B102" s="72" t="s">
        <v>8</v>
      </c>
      <c r="C102" t="s">
        <v>15</v>
      </c>
      <c r="D102" s="72" t="s">
        <v>116</v>
      </c>
      <c r="E102" s="72">
        <v>424858</v>
      </c>
      <c r="F102" s="72" t="s">
        <v>207</v>
      </c>
      <c r="G102" s="72" t="s">
        <v>137</v>
      </c>
      <c r="H102" s="72" t="s">
        <v>118</v>
      </c>
      <c r="I102" s="73">
        <v>45730</v>
      </c>
      <c r="J102" s="72">
        <v>26419994</v>
      </c>
      <c r="K102" s="72" t="s">
        <v>115</v>
      </c>
      <c r="L102" s="72" t="str">
        <f>_xlfn.XLOOKUP(Tabla2__2[[#This Row],[CODIGO RUTA]],'DATA INFORME'!I:I,'DATA INFORME'!K:K)</f>
        <v>SI</v>
      </c>
      <c r="M102" s="72" t="str">
        <f>IF(Tabla2__2[[#This Row],[MYSTERY EFECTIVO]]="SI",_xlfn.XLOOKUP(Tabla2__2[[#This Row],[PREGUNTA]],ENCUESTA!G:G,ENCUESTA!D:D),"N/A")</f>
        <v>UNIFORME</v>
      </c>
      <c r="N10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02" s="72" t="str">
        <f>_xlfn.XLOOKUP(Tabla2__2[[#This Row],[PREGUNTA]],ENCUESTA!G:G,ENCUESTA!H:H)</f>
        <v>NO</v>
      </c>
      <c r="P102" s="72">
        <f>IF(Tabla2__2[[#This Row],[RTA]]=Tabla2__2[[#This Row],[RTA CORRECTA]],Tabla2__2[[#This Row],[TOTAL PUNTAJE]],0)</f>
        <v>1.5</v>
      </c>
      <c r="Q102" s="72">
        <f t="shared" si="1"/>
        <v>0</v>
      </c>
    </row>
    <row r="103" spans="1:17" x14ac:dyDescent="0.25">
      <c r="A103" s="72" t="s">
        <v>39</v>
      </c>
      <c r="B103" s="72" t="s">
        <v>8</v>
      </c>
      <c r="C103" t="s">
        <v>15</v>
      </c>
      <c r="D103" s="72" t="s">
        <v>116</v>
      </c>
      <c r="E103" s="72">
        <v>424858</v>
      </c>
      <c r="F103" s="72" t="s">
        <v>207</v>
      </c>
      <c r="G103" s="72" t="s">
        <v>44</v>
      </c>
      <c r="H103" s="72" t="s">
        <v>24</v>
      </c>
      <c r="I103" s="73">
        <v>45730</v>
      </c>
      <c r="J103" s="72">
        <v>26419994</v>
      </c>
      <c r="K103" s="72" t="s">
        <v>115</v>
      </c>
      <c r="L103" s="72" t="str">
        <f>_xlfn.XLOOKUP(Tabla2__2[[#This Row],[CODIGO RUTA]],'DATA INFORME'!I:I,'DATA INFORME'!K:K)</f>
        <v>SI</v>
      </c>
      <c r="M103" s="72" t="str">
        <f>IF(Tabla2__2[[#This Row],[MYSTERY EFECTIVO]]="SI",_xlfn.XLOOKUP(Tabla2__2[[#This Row],[PREGUNTA]],ENCUESTA!G:G,ENCUESTA!D:D),"N/A")</f>
        <v>UNIFORME</v>
      </c>
      <c r="N10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03" s="72" t="str">
        <f>_xlfn.XLOOKUP(Tabla2__2[[#This Row],[PREGUNTA]],ENCUESTA!G:G,ENCUESTA!H:H)</f>
        <v>SI</v>
      </c>
      <c r="P103" s="72">
        <f>IF(Tabla2__2[[#This Row],[RTA]]=Tabla2__2[[#This Row],[RTA CORRECTA]],Tabla2__2[[#This Row],[TOTAL PUNTAJE]],0)</f>
        <v>1.5</v>
      </c>
      <c r="Q103" s="72">
        <f t="shared" si="1"/>
        <v>0</v>
      </c>
    </row>
    <row r="104" spans="1:17" x14ac:dyDescent="0.25">
      <c r="A104" s="72" t="s">
        <v>39</v>
      </c>
      <c r="B104" s="72" t="s">
        <v>8</v>
      </c>
      <c r="C104" t="s">
        <v>16</v>
      </c>
      <c r="D104" s="72" t="s">
        <v>204</v>
      </c>
      <c r="E104" s="72">
        <v>105381</v>
      </c>
      <c r="F104" s="72" t="s">
        <v>205</v>
      </c>
      <c r="G104" s="72" t="s">
        <v>144</v>
      </c>
      <c r="H104" s="72" t="s">
        <v>24</v>
      </c>
      <c r="I104" s="73">
        <v>45730</v>
      </c>
      <c r="J104" s="72">
        <v>26415788</v>
      </c>
      <c r="K104" s="72" t="s">
        <v>53</v>
      </c>
      <c r="L104" s="72" t="str">
        <f>_xlfn.XLOOKUP(Tabla2__2[[#This Row],[CODIGO RUTA]],'DATA INFORME'!I:I,'DATA INFORME'!K:K)</f>
        <v>SI</v>
      </c>
      <c r="M104" s="72" t="str">
        <f>IF(Tabla2__2[[#This Row],[MYSTERY EFECTIVO]]="SI",_xlfn.XLOOKUP(Tabla2__2[[#This Row],[PREGUNTA]],ENCUESTA!G:G,ENCUESTA!D:D),"N/A")</f>
        <v>PORTAFOLIO Y MANEJO DE OBJECIONES</v>
      </c>
      <c r="N10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104" s="72" t="str">
        <f>_xlfn.XLOOKUP(Tabla2__2[[#This Row],[PREGUNTA]],ENCUESTA!G:G,ENCUESTA!H:H)</f>
        <v>SI</v>
      </c>
      <c r="P104" s="72">
        <f>IF(Tabla2__2[[#This Row],[RTA]]=Tabla2__2[[#This Row],[RTA CORRECTA]],Tabla2__2[[#This Row],[TOTAL PUNTAJE]],0)</f>
        <v>2.2000000000000002</v>
      </c>
      <c r="Q104" s="72">
        <f t="shared" si="1"/>
        <v>0</v>
      </c>
    </row>
    <row r="105" spans="1:17" x14ac:dyDescent="0.25">
      <c r="A105" s="72" t="s">
        <v>39</v>
      </c>
      <c r="B105" s="72" t="s">
        <v>8</v>
      </c>
      <c r="C105" t="s">
        <v>15</v>
      </c>
      <c r="D105" s="72" t="s">
        <v>116</v>
      </c>
      <c r="E105" s="72">
        <v>424858</v>
      </c>
      <c r="F105" s="72" t="s">
        <v>207</v>
      </c>
      <c r="G105" s="72" t="s">
        <v>136</v>
      </c>
      <c r="H105" s="72" t="s">
        <v>24</v>
      </c>
      <c r="I105" s="73">
        <v>45730</v>
      </c>
      <c r="J105" s="72">
        <v>26419994</v>
      </c>
      <c r="K105" s="72" t="s">
        <v>115</v>
      </c>
      <c r="L105" s="72" t="str">
        <f>_xlfn.XLOOKUP(Tabla2__2[[#This Row],[CODIGO RUTA]],'DATA INFORME'!I:I,'DATA INFORME'!K:K)</f>
        <v>SI</v>
      </c>
      <c r="M105" s="72" t="str">
        <f>IF(Tabla2__2[[#This Row],[MYSTERY EFECTIVO]]="SI",_xlfn.XLOOKUP(Tabla2__2[[#This Row],[PREGUNTA]],ENCUESTA!G:G,ENCUESTA!D:D),"N/A")</f>
        <v>UNIFORME</v>
      </c>
      <c r="N10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05" s="72" t="str">
        <f>_xlfn.XLOOKUP(Tabla2__2[[#This Row],[PREGUNTA]],ENCUESTA!G:G,ENCUESTA!H:H)</f>
        <v>SI</v>
      </c>
      <c r="P105" s="72">
        <f>IF(Tabla2__2[[#This Row],[RTA]]=Tabla2__2[[#This Row],[RTA CORRECTA]],Tabla2__2[[#This Row],[TOTAL PUNTAJE]],0)</f>
        <v>1.5</v>
      </c>
      <c r="Q105" s="72">
        <f t="shared" si="1"/>
        <v>0</v>
      </c>
    </row>
    <row r="106" spans="1:17" x14ac:dyDescent="0.25">
      <c r="A106" s="72" t="s">
        <v>39</v>
      </c>
      <c r="B106" s="72" t="s">
        <v>8</v>
      </c>
      <c r="C106" t="s">
        <v>15</v>
      </c>
      <c r="D106" s="72" t="s">
        <v>116</v>
      </c>
      <c r="E106" s="72">
        <v>424858</v>
      </c>
      <c r="F106" s="72" t="s">
        <v>207</v>
      </c>
      <c r="G106" s="72" t="s">
        <v>40</v>
      </c>
      <c r="H106" s="72" t="s">
        <v>24</v>
      </c>
      <c r="I106" s="73">
        <v>45730</v>
      </c>
      <c r="J106" s="72">
        <v>26419994</v>
      </c>
      <c r="K106" s="72" t="s">
        <v>115</v>
      </c>
      <c r="L106" s="72" t="str">
        <f>_xlfn.XLOOKUP(Tabla2__2[[#This Row],[CODIGO RUTA]],'DATA INFORME'!I:I,'DATA INFORME'!K:K)</f>
        <v>SI</v>
      </c>
      <c r="M106" s="72" t="str">
        <f>IF(Tabla2__2[[#This Row],[MYSTERY EFECTIVO]]="SI",_xlfn.XLOOKUP(Tabla2__2[[#This Row],[PREGUNTA]],ENCUESTA!G:G,ENCUESTA!D:D),"N/A")</f>
        <v>HORARIO</v>
      </c>
      <c r="N10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06" s="72" t="str">
        <f>_xlfn.XLOOKUP(Tabla2__2[[#This Row],[PREGUNTA]],ENCUESTA!G:G,ENCUESTA!H:H)</f>
        <v>SI</v>
      </c>
      <c r="P106" s="72">
        <f>IF(Tabla2__2[[#This Row],[RTA]]=Tabla2__2[[#This Row],[RTA CORRECTA]],Tabla2__2[[#This Row],[TOTAL PUNTAJE]],0)</f>
        <v>20</v>
      </c>
      <c r="Q106" s="72">
        <f t="shared" si="1"/>
        <v>0</v>
      </c>
    </row>
    <row r="107" spans="1:17" x14ac:dyDescent="0.25">
      <c r="A107" s="72" t="s">
        <v>39</v>
      </c>
      <c r="B107" s="72" t="s">
        <v>8</v>
      </c>
      <c r="C107" t="s">
        <v>16</v>
      </c>
      <c r="D107" s="72" t="s">
        <v>204</v>
      </c>
      <c r="E107" s="72">
        <v>105381</v>
      </c>
      <c r="F107" s="72" t="s">
        <v>205</v>
      </c>
      <c r="G107" s="72" t="s">
        <v>189</v>
      </c>
      <c r="H107" s="72" t="s">
        <v>118</v>
      </c>
      <c r="I107" s="73">
        <v>45730</v>
      </c>
      <c r="J107" s="72">
        <v>26415788</v>
      </c>
      <c r="K107" s="72" t="s">
        <v>53</v>
      </c>
      <c r="L107" s="72" t="str">
        <f>_xlfn.XLOOKUP(Tabla2__2[[#This Row],[CODIGO RUTA]],'DATA INFORME'!I:I,'DATA INFORME'!K:K)</f>
        <v>SI</v>
      </c>
      <c r="M107" s="72" t="str">
        <f>IF(Tabla2__2[[#This Row],[MYSTERY EFECTIVO]]="SI",_xlfn.XLOOKUP(Tabla2__2[[#This Row],[PREGUNTA]],ENCUESTA!G:G,ENCUESTA!D:D),"N/A")</f>
        <v>N/A</v>
      </c>
      <c r="N10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7" s="72">
        <f>_xlfn.XLOOKUP(Tabla2__2[[#This Row],[PREGUNTA]],ENCUESTA!G:G,ENCUESTA!H:H)</f>
        <v>0</v>
      </c>
      <c r="P107" s="72">
        <f>IF(Tabla2__2[[#This Row],[RTA]]=Tabla2__2[[#This Row],[RTA CORRECTA]],Tabla2__2[[#This Row],[TOTAL PUNTAJE]],0)</f>
        <v>0</v>
      </c>
      <c r="Q107" s="72">
        <f t="shared" si="1"/>
        <v>0</v>
      </c>
    </row>
    <row r="108" spans="1:17" x14ac:dyDescent="0.25">
      <c r="A108" s="72" t="s">
        <v>39</v>
      </c>
      <c r="B108" s="72" t="s">
        <v>8</v>
      </c>
      <c r="C108" t="s">
        <v>16</v>
      </c>
      <c r="D108" s="72" t="s">
        <v>204</v>
      </c>
      <c r="E108" s="72">
        <v>105381</v>
      </c>
      <c r="F108" s="72" t="s">
        <v>205</v>
      </c>
      <c r="G108" s="72" t="s">
        <v>45</v>
      </c>
      <c r="H108" s="72" t="s">
        <v>24</v>
      </c>
      <c r="I108" s="73">
        <v>45730</v>
      </c>
      <c r="J108" s="72">
        <v>26415788</v>
      </c>
      <c r="K108" s="72" t="s">
        <v>53</v>
      </c>
      <c r="L108" s="72" t="str">
        <f>_xlfn.XLOOKUP(Tabla2__2[[#This Row],[CODIGO RUTA]],'DATA INFORME'!I:I,'DATA INFORME'!K:K)</f>
        <v>SI</v>
      </c>
      <c r="M108" s="72" t="str">
        <f>IF(Tabla2__2[[#This Row],[MYSTERY EFECTIVO]]="SI",_xlfn.XLOOKUP(Tabla2__2[[#This Row],[PREGUNTA]],ENCUESTA!G:G,ENCUESTA!D:D),"N/A")</f>
        <v>LABOR DE VENTA</v>
      </c>
      <c r="N10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108" s="72" t="str">
        <f>_xlfn.XLOOKUP(Tabla2__2[[#This Row],[PREGUNTA]],ENCUESTA!G:G,ENCUESTA!H:H)</f>
        <v>SI</v>
      </c>
      <c r="P108" s="72">
        <f>IF(Tabla2__2[[#This Row],[RTA]]=Tabla2__2[[#This Row],[RTA CORRECTA]],Tabla2__2[[#This Row],[TOTAL PUNTAJE]],0)</f>
        <v>7.5</v>
      </c>
      <c r="Q108" s="72">
        <f t="shared" si="1"/>
        <v>0</v>
      </c>
    </row>
    <row r="109" spans="1:17" x14ac:dyDescent="0.25">
      <c r="A109" s="72" t="s">
        <v>39</v>
      </c>
      <c r="B109" s="72" t="s">
        <v>8</v>
      </c>
      <c r="C109" t="s">
        <v>16</v>
      </c>
      <c r="D109" s="72" t="s">
        <v>204</v>
      </c>
      <c r="E109" s="72">
        <v>105381</v>
      </c>
      <c r="F109" s="72" t="s">
        <v>205</v>
      </c>
      <c r="G109" s="72" t="s">
        <v>148</v>
      </c>
      <c r="H109" s="72" t="s">
        <v>24</v>
      </c>
      <c r="I109" s="73">
        <v>45730</v>
      </c>
      <c r="J109" s="72">
        <v>26415788</v>
      </c>
      <c r="K109" s="72" t="s">
        <v>53</v>
      </c>
      <c r="L109" s="72" t="str">
        <f>_xlfn.XLOOKUP(Tabla2__2[[#This Row],[CODIGO RUTA]],'DATA INFORME'!I:I,'DATA INFORME'!K:K)</f>
        <v>SI</v>
      </c>
      <c r="M109" s="72" t="str">
        <f>IF(Tabla2__2[[#This Row],[MYSTERY EFECTIVO]]="SI",_xlfn.XLOOKUP(Tabla2__2[[#This Row],[PREGUNTA]],ENCUESTA!G:G,ENCUESTA!D:D),"N/A")</f>
        <v>LABOR DE VENTA</v>
      </c>
      <c r="N10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109" s="72" t="str">
        <f>_xlfn.XLOOKUP(Tabla2__2[[#This Row],[PREGUNTA]],ENCUESTA!G:G,ENCUESTA!H:H)</f>
        <v>SI</v>
      </c>
      <c r="P109" s="72">
        <f>IF(Tabla2__2[[#This Row],[RTA]]=Tabla2__2[[#This Row],[RTA CORRECTA]],Tabla2__2[[#This Row],[TOTAL PUNTAJE]],0)</f>
        <v>7.5</v>
      </c>
      <c r="Q109" s="72">
        <f t="shared" si="1"/>
        <v>0</v>
      </c>
    </row>
    <row r="110" spans="1:17" x14ac:dyDescent="0.25">
      <c r="A110" s="72" t="s">
        <v>39</v>
      </c>
      <c r="B110" s="72" t="s">
        <v>8</v>
      </c>
      <c r="C110" t="s">
        <v>16</v>
      </c>
      <c r="D110" s="72" t="s">
        <v>204</v>
      </c>
      <c r="E110" s="72">
        <v>105381</v>
      </c>
      <c r="F110" s="72" t="s">
        <v>205</v>
      </c>
      <c r="G110" s="72" t="s">
        <v>50</v>
      </c>
      <c r="H110" s="72" t="s">
        <v>24</v>
      </c>
      <c r="I110" s="73">
        <v>45730</v>
      </c>
      <c r="J110" s="72">
        <v>26415788</v>
      </c>
      <c r="K110" s="72" t="s">
        <v>53</v>
      </c>
      <c r="L110" s="72" t="str">
        <f>_xlfn.XLOOKUP(Tabla2__2[[#This Row],[CODIGO RUTA]],'DATA INFORME'!I:I,'DATA INFORME'!K:K)</f>
        <v>SI</v>
      </c>
      <c r="M110" s="72" t="str">
        <f>IF(Tabla2__2[[#This Row],[MYSTERY EFECTIVO]]="SI",_xlfn.XLOOKUP(Tabla2__2[[#This Row],[PREGUNTA]],ENCUESTA!G:G,ENCUESTA!D:D),"N/A")</f>
        <v>PORTAFOLIO Y MANEJO DE OBJECIONES</v>
      </c>
      <c r="N11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</v>
      </c>
      <c r="O110" s="72" t="str">
        <f>_xlfn.XLOOKUP(Tabla2__2[[#This Row],[PREGUNTA]],ENCUESTA!G:G,ENCUESTA!H:H)</f>
        <v>SI</v>
      </c>
      <c r="P110" s="72">
        <f>IF(Tabla2__2[[#This Row],[RTA]]=Tabla2__2[[#This Row],[RTA CORRECTA]],Tabla2__2[[#This Row],[TOTAL PUNTAJE]],0)</f>
        <v>2</v>
      </c>
      <c r="Q110" s="72">
        <f t="shared" si="1"/>
        <v>0</v>
      </c>
    </row>
    <row r="111" spans="1:17" x14ac:dyDescent="0.25">
      <c r="A111" s="72" t="s">
        <v>39</v>
      </c>
      <c r="B111" s="72" t="s">
        <v>8</v>
      </c>
      <c r="C111" t="s">
        <v>16</v>
      </c>
      <c r="D111" s="72" t="s">
        <v>204</v>
      </c>
      <c r="E111" s="72">
        <v>105381</v>
      </c>
      <c r="F111" s="72" t="s">
        <v>205</v>
      </c>
      <c r="G111" s="72" t="s">
        <v>51</v>
      </c>
      <c r="H111" s="72" t="s">
        <v>24</v>
      </c>
      <c r="I111" s="73">
        <v>45730</v>
      </c>
      <c r="J111" s="72">
        <v>26415788</v>
      </c>
      <c r="K111" s="72" t="s">
        <v>53</v>
      </c>
      <c r="L111" s="72" t="str">
        <f>_xlfn.XLOOKUP(Tabla2__2[[#This Row],[CODIGO RUTA]],'DATA INFORME'!I:I,'DATA INFORME'!K:K)</f>
        <v>SI</v>
      </c>
      <c r="M111" s="72" t="str">
        <f>IF(Tabla2__2[[#This Row],[MYSTERY EFECTIVO]]="SI",_xlfn.XLOOKUP(Tabla2__2[[#This Row],[PREGUNTA]],ENCUESTA!G:G,ENCUESTA!D:D),"N/A")</f>
        <v>PORTAFOLIO Y MANEJO DE OBJECIONES</v>
      </c>
      <c r="N111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4, 4</v>
      </c>
      <c r="O111" s="72" t="str">
        <f>_xlfn.XLOOKUP(Tabla2__2[[#This Row],[PREGUNTA]],ENCUESTA!G:G,ENCUESTA!H:H)</f>
        <v>SI</v>
      </c>
      <c r="P111" s="72" t="str">
        <f>IF(Tabla2__2[[#This Row],[RTA]]=Tabla2__2[[#This Row],[RTA CORRECTA]],Tabla2__2[[#This Row],[TOTAL PUNTAJE]],0)</f>
        <v>4, 4</v>
      </c>
      <c r="Q111" s="72">
        <f t="shared" si="1"/>
        <v>0</v>
      </c>
    </row>
    <row r="112" spans="1:17" x14ac:dyDescent="0.25">
      <c r="A112" s="72" t="s">
        <v>39</v>
      </c>
      <c r="B112" s="72" t="s">
        <v>8</v>
      </c>
      <c r="C112" t="s">
        <v>16</v>
      </c>
      <c r="D112" s="72" t="s">
        <v>204</v>
      </c>
      <c r="E112" s="72">
        <v>105381</v>
      </c>
      <c r="F112" s="72" t="s">
        <v>205</v>
      </c>
      <c r="G112" s="72" t="s">
        <v>41</v>
      </c>
      <c r="H112" s="72" t="s">
        <v>24</v>
      </c>
      <c r="I112" s="73">
        <v>45730</v>
      </c>
      <c r="J112" s="72">
        <v>26415788</v>
      </c>
      <c r="K112" s="72" t="s">
        <v>53</v>
      </c>
      <c r="L112" s="72" t="str">
        <f>_xlfn.XLOOKUP(Tabla2__2[[#This Row],[CODIGO RUTA]],'DATA INFORME'!I:I,'DATA INFORME'!K:K)</f>
        <v>SI</v>
      </c>
      <c r="M112" s="72" t="str">
        <f>IF(Tabla2__2[[#This Row],[MYSTERY EFECTIVO]]="SI",_xlfn.XLOOKUP(Tabla2__2[[#This Row],[PREGUNTA]],ENCUESTA!G:G,ENCUESTA!D:D),"N/A")</f>
        <v>N/A</v>
      </c>
      <c r="N11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2" s="72" t="str">
        <f>_xlfn.XLOOKUP(Tabla2__2[[#This Row],[PREGUNTA]],ENCUESTA!G:G,ENCUESTA!H:H)</f>
        <v>SI</v>
      </c>
      <c r="P112" s="72">
        <f>IF(Tabla2__2[[#This Row],[RTA]]=Tabla2__2[[#This Row],[RTA CORRECTA]],Tabla2__2[[#This Row],[TOTAL PUNTAJE]],0)</f>
        <v>0</v>
      </c>
      <c r="Q112" s="72">
        <f t="shared" si="1"/>
        <v>0</v>
      </c>
    </row>
    <row r="113" spans="1:17" x14ac:dyDescent="0.25">
      <c r="A113" s="72" t="s">
        <v>39</v>
      </c>
      <c r="B113" s="72" t="s">
        <v>8</v>
      </c>
      <c r="C113" t="s">
        <v>16</v>
      </c>
      <c r="D113" s="72" t="s">
        <v>204</v>
      </c>
      <c r="E113" s="72">
        <v>105381</v>
      </c>
      <c r="F113" s="72" t="s">
        <v>205</v>
      </c>
      <c r="G113" s="72" t="s">
        <v>146</v>
      </c>
      <c r="H113" s="72" t="s">
        <v>24</v>
      </c>
      <c r="I113" s="73">
        <v>45730</v>
      </c>
      <c r="J113" s="72">
        <v>26415788</v>
      </c>
      <c r="K113" s="72" t="s">
        <v>53</v>
      </c>
      <c r="L113" s="72" t="str">
        <f>_xlfn.XLOOKUP(Tabla2__2[[#This Row],[CODIGO RUTA]],'DATA INFORME'!I:I,'DATA INFORME'!K:K)</f>
        <v>SI</v>
      </c>
      <c r="M113" s="72" t="str">
        <f>IF(Tabla2__2[[#This Row],[MYSTERY EFECTIVO]]="SI",_xlfn.XLOOKUP(Tabla2__2[[#This Row],[PREGUNTA]],ENCUESTA!G:G,ENCUESTA!D:D),"N/A")</f>
        <v>PORTAFOLIO Y MANEJO DE OBJECIONES</v>
      </c>
      <c r="N11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113" s="72" t="str">
        <f>_xlfn.XLOOKUP(Tabla2__2[[#This Row],[PREGUNTA]],ENCUESTA!G:G,ENCUESTA!H:H)</f>
        <v>SI</v>
      </c>
      <c r="P113" s="72">
        <f>IF(Tabla2__2[[#This Row],[RTA]]=Tabla2__2[[#This Row],[RTA CORRECTA]],Tabla2__2[[#This Row],[TOTAL PUNTAJE]],0)</f>
        <v>2.2000000000000002</v>
      </c>
      <c r="Q113" s="72">
        <f t="shared" si="1"/>
        <v>0</v>
      </c>
    </row>
    <row r="114" spans="1:17" x14ac:dyDescent="0.25">
      <c r="A114" s="72" t="s">
        <v>39</v>
      </c>
      <c r="B114" s="72" t="s">
        <v>8</v>
      </c>
      <c r="C114" t="s">
        <v>15</v>
      </c>
      <c r="D114" s="72" t="s">
        <v>116</v>
      </c>
      <c r="E114" s="72">
        <v>424858</v>
      </c>
      <c r="F114" s="72" t="s">
        <v>207</v>
      </c>
      <c r="G114" s="72" t="s">
        <v>100</v>
      </c>
      <c r="H114" s="72" t="s">
        <v>24</v>
      </c>
      <c r="I114" s="73">
        <v>45730</v>
      </c>
      <c r="J114" s="72">
        <v>26419994</v>
      </c>
      <c r="K114" s="72" t="s">
        <v>115</v>
      </c>
      <c r="L114" s="72" t="str">
        <f>_xlfn.XLOOKUP(Tabla2__2[[#This Row],[CODIGO RUTA]],'DATA INFORME'!I:I,'DATA INFORME'!K:K)</f>
        <v>SI</v>
      </c>
      <c r="M114" s="72" t="str">
        <f>IF(Tabla2__2[[#This Row],[MYSTERY EFECTIVO]]="SI",_xlfn.XLOOKUP(Tabla2__2[[#This Row],[PREGUNTA]],ENCUESTA!G:G,ENCUESTA!D:D),"N/A")</f>
        <v>UNIFORME</v>
      </c>
      <c r="N11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14" s="72" t="str">
        <f>_xlfn.XLOOKUP(Tabla2__2[[#This Row],[PREGUNTA]],ENCUESTA!G:G,ENCUESTA!H:H)</f>
        <v>SI</v>
      </c>
      <c r="P114" s="72">
        <f>IF(Tabla2__2[[#This Row],[RTA]]=Tabla2__2[[#This Row],[RTA CORRECTA]],Tabla2__2[[#This Row],[TOTAL PUNTAJE]],0)</f>
        <v>1.5</v>
      </c>
      <c r="Q114" s="72">
        <f t="shared" si="1"/>
        <v>0</v>
      </c>
    </row>
    <row r="115" spans="1:17" x14ac:dyDescent="0.25">
      <c r="A115" s="72" t="s">
        <v>39</v>
      </c>
      <c r="B115" s="72" t="s">
        <v>8</v>
      </c>
      <c r="C115" t="s">
        <v>15</v>
      </c>
      <c r="D115" s="72" t="s">
        <v>116</v>
      </c>
      <c r="E115" s="72">
        <v>180619</v>
      </c>
      <c r="F115" s="72" t="s">
        <v>214</v>
      </c>
      <c r="G115" s="72" t="s">
        <v>202</v>
      </c>
      <c r="H115" s="72" t="s">
        <v>217</v>
      </c>
      <c r="I115" s="73">
        <v>45731</v>
      </c>
      <c r="J115" s="72">
        <v>26420000</v>
      </c>
      <c r="K115" s="72" t="s">
        <v>115</v>
      </c>
      <c r="L115" s="72" t="str">
        <f>_xlfn.XLOOKUP(Tabla2__2[[#This Row],[CODIGO RUTA]],'DATA INFORME'!I:I,'DATA INFORME'!K:K)</f>
        <v>NO</v>
      </c>
      <c r="M115" s="72" t="str">
        <f>IF(Tabla2__2[[#This Row],[MYSTERY EFECTIVO]]="SI",_xlfn.XLOOKUP(Tabla2__2[[#This Row],[PREGUNTA]],ENCUESTA!G:G,ENCUESTA!D:D),"N/A")</f>
        <v>N/A</v>
      </c>
      <c r="N11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5" s="72">
        <f>_xlfn.XLOOKUP(Tabla2__2[[#This Row],[PREGUNTA]],ENCUESTA!G:G,ENCUESTA!H:H)</f>
        <v>0</v>
      </c>
      <c r="P115" s="72">
        <f>IF(Tabla2__2[[#This Row],[RTA]]=Tabla2__2[[#This Row],[RTA CORRECTA]],Tabla2__2[[#This Row],[TOTAL PUNTAJE]],0)</f>
        <v>0</v>
      </c>
      <c r="Q115" s="72">
        <f t="shared" si="1"/>
        <v>0</v>
      </c>
    </row>
    <row r="116" spans="1:17" x14ac:dyDescent="0.25">
      <c r="A116" s="72" t="s">
        <v>39</v>
      </c>
      <c r="B116" s="72" t="s">
        <v>8</v>
      </c>
      <c r="C116" t="s">
        <v>15</v>
      </c>
      <c r="D116" s="72" t="s">
        <v>116</v>
      </c>
      <c r="E116" s="72">
        <v>180619</v>
      </c>
      <c r="F116" s="72" t="s">
        <v>214</v>
      </c>
      <c r="G116" s="72" t="s">
        <v>40</v>
      </c>
      <c r="H116" s="72" t="s">
        <v>118</v>
      </c>
      <c r="I116" s="73">
        <v>45731</v>
      </c>
      <c r="J116" s="72">
        <v>26420000</v>
      </c>
      <c r="K116" s="72" t="s">
        <v>115</v>
      </c>
      <c r="L116" s="72" t="str">
        <f>_xlfn.XLOOKUP(Tabla2__2[[#This Row],[CODIGO RUTA]],'DATA INFORME'!I:I,'DATA INFORME'!K:K)</f>
        <v>NO</v>
      </c>
      <c r="M116" s="72" t="str">
        <f>IF(Tabla2__2[[#This Row],[MYSTERY EFECTIVO]]="SI",_xlfn.XLOOKUP(Tabla2__2[[#This Row],[PREGUNTA]],ENCUESTA!G:G,ENCUESTA!D:D),"N/A")</f>
        <v>N/A</v>
      </c>
      <c r="N11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6" s="72" t="str">
        <f>_xlfn.XLOOKUP(Tabla2__2[[#This Row],[PREGUNTA]],ENCUESTA!G:G,ENCUESTA!H:H)</f>
        <v>SI</v>
      </c>
      <c r="P116" s="72">
        <f>IF(Tabla2__2[[#This Row],[RTA]]=Tabla2__2[[#This Row],[RTA CORRECTA]],Tabla2__2[[#This Row],[TOTAL PUNTAJE]],0)</f>
        <v>0</v>
      </c>
      <c r="Q116" s="72">
        <f t="shared" si="1"/>
        <v>0</v>
      </c>
    </row>
    <row r="117" spans="1:17" x14ac:dyDescent="0.25">
      <c r="A117" s="72" t="s">
        <v>39</v>
      </c>
      <c r="B117" s="72" t="s">
        <v>9</v>
      </c>
      <c r="C117" t="s">
        <v>15</v>
      </c>
      <c r="D117" s="72" t="s">
        <v>116</v>
      </c>
      <c r="E117" s="72">
        <v>356594</v>
      </c>
      <c r="F117" s="72" t="s">
        <v>190</v>
      </c>
      <c r="G117" s="72" t="s">
        <v>137</v>
      </c>
      <c r="H117" s="72" t="s">
        <v>118</v>
      </c>
      <c r="I117" s="73">
        <v>45731</v>
      </c>
      <c r="J117" s="72">
        <v>26404720</v>
      </c>
      <c r="K117" s="72" t="s">
        <v>135</v>
      </c>
      <c r="L117" s="72" t="str">
        <f>_xlfn.XLOOKUP(Tabla2__2[[#This Row],[CODIGO RUTA]],'DATA INFORME'!I:I,'DATA INFORME'!K:K)</f>
        <v>SI</v>
      </c>
      <c r="M117" s="72" t="str">
        <f>IF(Tabla2__2[[#This Row],[MYSTERY EFECTIVO]]="SI",_xlfn.XLOOKUP(Tabla2__2[[#This Row],[PREGUNTA]],ENCUESTA!G:G,ENCUESTA!D:D),"N/A")</f>
        <v>UNIFORME</v>
      </c>
      <c r="N11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17" s="72" t="str">
        <f>_xlfn.XLOOKUP(Tabla2__2[[#This Row],[PREGUNTA]],ENCUESTA!G:G,ENCUESTA!H:H)</f>
        <v>NO</v>
      </c>
      <c r="P117" s="72">
        <f>IF(Tabla2__2[[#This Row],[RTA]]=Tabla2__2[[#This Row],[RTA CORRECTA]],Tabla2__2[[#This Row],[TOTAL PUNTAJE]],0)</f>
        <v>1.5</v>
      </c>
      <c r="Q117" s="72">
        <f t="shared" si="1"/>
        <v>0</v>
      </c>
    </row>
    <row r="118" spans="1:17" x14ac:dyDescent="0.25">
      <c r="A118" s="72" t="s">
        <v>39</v>
      </c>
      <c r="B118" s="72" t="s">
        <v>9</v>
      </c>
      <c r="C118" t="s">
        <v>15</v>
      </c>
      <c r="D118" s="72" t="s">
        <v>116</v>
      </c>
      <c r="E118" s="72">
        <v>356594</v>
      </c>
      <c r="F118" s="72" t="s">
        <v>190</v>
      </c>
      <c r="G118" s="72" t="s">
        <v>44</v>
      </c>
      <c r="H118" s="72" t="s">
        <v>24</v>
      </c>
      <c r="I118" s="73">
        <v>45731</v>
      </c>
      <c r="J118" s="72">
        <v>26404720</v>
      </c>
      <c r="K118" s="72" t="s">
        <v>135</v>
      </c>
      <c r="L118" s="72" t="str">
        <f>_xlfn.XLOOKUP(Tabla2__2[[#This Row],[CODIGO RUTA]],'DATA INFORME'!I:I,'DATA INFORME'!K:K)</f>
        <v>SI</v>
      </c>
      <c r="M118" s="72" t="str">
        <f>IF(Tabla2__2[[#This Row],[MYSTERY EFECTIVO]]="SI",_xlfn.XLOOKUP(Tabla2__2[[#This Row],[PREGUNTA]],ENCUESTA!G:G,ENCUESTA!D:D),"N/A")</f>
        <v>UNIFORME</v>
      </c>
      <c r="N11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18" s="72" t="str">
        <f>_xlfn.XLOOKUP(Tabla2__2[[#This Row],[PREGUNTA]],ENCUESTA!G:G,ENCUESTA!H:H)</f>
        <v>SI</v>
      </c>
      <c r="P118" s="72">
        <f>IF(Tabla2__2[[#This Row],[RTA]]=Tabla2__2[[#This Row],[RTA CORRECTA]],Tabla2__2[[#This Row],[TOTAL PUNTAJE]],0)</f>
        <v>1.5</v>
      </c>
      <c r="Q118" s="72">
        <f t="shared" si="1"/>
        <v>0</v>
      </c>
    </row>
    <row r="119" spans="1:17" x14ac:dyDescent="0.25">
      <c r="A119" s="72" t="s">
        <v>39</v>
      </c>
      <c r="B119" s="72" t="s">
        <v>9</v>
      </c>
      <c r="C119" t="s">
        <v>15</v>
      </c>
      <c r="D119" s="72" t="s">
        <v>116</v>
      </c>
      <c r="E119" s="72">
        <v>356594</v>
      </c>
      <c r="F119" s="72" t="s">
        <v>190</v>
      </c>
      <c r="G119" s="72" t="s">
        <v>136</v>
      </c>
      <c r="H119" s="72" t="s">
        <v>24</v>
      </c>
      <c r="I119" s="73">
        <v>45731</v>
      </c>
      <c r="J119" s="72">
        <v>26404720</v>
      </c>
      <c r="K119" s="72" t="s">
        <v>135</v>
      </c>
      <c r="L119" s="72" t="str">
        <f>_xlfn.XLOOKUP(Tabla2__2[[#This Row],[CODIGO RUTA]],'DATA INFORME'!I:I,'DATA INFORME'!K:K)</f>
        <v>SI</v>
      </c>
      <c r="M119" s="72" t="str">
        <f>IF(Tabla2__2[[#This Row],[MYSTERY EFECTIVO]]="SI",_xlfn.XLOOKUP(Tabla2__2[[#This Row],[PREGUNTA]],ENCUESTA!G:G,ENCUESTA!D:D),"N/A")</f>
        <v>UNIFORME</v>
      </c>
      <c r="N11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19" s="72" t="str">
        <f>_xlfn.XLOOKUP(Tabla2__2[[#This Row],[PREGUNTA]],ENCUESTA!G:G,ENCUESTA!H:H)</f>
        <v>SI</v>
      </c>
      <c r="P119" s="72">
        <f>IF(Tabla2__2[[#This Row],[RTA]]=Tabla2__2[[#This Row],[RTA CORRECTA]],Tabla2__2[[#This Row],[TOTAL PUNTAJE]],0)</f>
        <v>1.5</v>
      </c>
      <c r="Q119" s="72">
        <f t="shared" si="1"/>
        <v>0</v>
      </c>
    </row>
    <row r="120" spans="1:17" x14ac:dyDescent="0.25">
      <c r="A120" s="72" t="s">
        <v>39</v>
      </c>
      <c r="B120" s="72" t="s">
        <v>9</v>
      </c>
      <c r="C120" t="s">
        <v>15</v>
      </c>
      <c r="D120" s="72" t="s">
        <v>116</v>
      </c>
      <c r="E120" s="72">
        <v>356594</v>
      </c>
      <c r="F120" s="72" t="s">
        <v>190</v>
      </c>
      <c r="G120" s="72" t="s">
        <v>100</v>
      </c>
      <c r="H120" s="72" t="s">
        <v>24</v>
      </c>
      <c r="I120" s="73">
        <v>45731</v>
      </c>
      <c r="J120" s="72">
        <v>26404720</v>
      </c>
      <c r="K120" s="72" t="s">
        <v>135</v>
      </c>
      <c r="L120" s="72" t="str">
        <f>_xlfn.XLOOKUP(Tabla2__2[[#This Row],[CODIGO RUTA]],'DATA INFORME'!I:I,'DATA INFORME'!K:K)</f>
        <v>SI</v>
      </c>
      <c r="M120" s="72" t="str">
        <f>IF(Tabla2__2[[#This Row],[MYSTERY EFECTIVO]]="SI",_xlfn.XLOOKUP(Tabla2__2[[#This Row],[PREGUNTA]],ENCUESTA!G:G,ENCUESTA!D:D),"N/A")</f>
        <v>UNIFORME</v>
      </c>
      <c r="N12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20" s="72" t="str">
        <f>_xlfn.XLOOKUP(Tabla2__2[[#This Row],[PREGUNTA]],ENCUESTA!G:G,ENCUESTA!H:H)</f>
        <v>SI</v>
      </c>
      <c r="P120" s="72">
        <f>IF(Tabla2__2[[#This Row],[RTA]]=Tabla2__2[[#This Row],[RTA CORRECTA]],Tabla2__2[[#This Row],[TOTAL PUNTAJE]],0)</f>
        <v>1.5</v>
      </c>
      <c r="Q120" s="72">
        <f t="shared" si="1"/>
        <v>0</v>
      </c>
    </row>
    <row r="121" spans="1:17" x14ac:dyDescent="0.25">
      <c r="A121" s="72" t="s">
        <v>39</v>
      </c>
      <c r="B121" s="72" t="s">
        <v>9</v>
      </c>
      <c r="C121" t="s">
        <v>15</v>
      </c>
      <c r="D121" s="72" t="s">
        <v>116</v>
      </c>
      <c r="E121" s="72">
        <v>356594</v>
      </c>
      <c r="F121" s="72" t="s">
        <v>190</v>
      </c>
      <c r="G121" s="72" t="s">
        <v>40</v>
      </c>
      <c r="H121" s="72" t="s">
        <v>24</v>
      </c>
      <c r="I121" s="73">
        <v>45731</v>
      </c>
      <c r="J121" s="72">
        <v>26404720</v>
      </c>
      <c r="K121" s="72" t="s">
        <v>135</v>
      </c>
      <c r="L121" s="72" t="str">
        <f>_xlfn.XLOOKUP(Tabla2__2[[#This Row],[CODIGO RUTA]],'DATA INFORME'!I:I,'DATA INFORME'!K:K)</f>
        <v>SI</v>
      </c>
      <c r="M121" s="72" t="str">
        <f>IF(Tabla2__2[[#This Row],[MYSTERY EFECTIVO]]="SI",_xlfn.XLOOKUP(Tabla2__2[[#This Row],[PREGUNTA]],ENCUESTA!G:G,ENCUESTA!D:D),"N/A")</f>
        <v>HORARIO</v>
      </c>
      <c r="N12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21" s="72" t="str">
        <f>_xlfn.XLOOKUP(Tabla2__2[[#This Row],[PREGUNTA]],ENCUESTA!G:G,ENCUESTA!H:H)</f>
        <v>SI</v>
      </c>
      <c r="P121" s="72">
        <f>IF(Tabla2__2[[#This Row],[RTA]]=Tabla2__2[[#This Row],[RTA CORRECTA]],Tabla2__2[[#This Row],[TOTAL PUNTAJE]],0)</f>
        <v>20</v>
      </c>
      <c r="Q121" s="72">
        <f t="shared" si="1"/>
        <v>0</v>
      </c>
    </row>
    <row r="122" spans="1:17" x14ac:dyDescent="0.25">
      <c r="A122" s="72" t="s">
        <v>39</v>
      </c>
      <c r="B122" s="72" t="s">
        <v>9</v>
      </c>
      <c r="C122" t="s">
        <v>15</v>
      </c>
      <c r="D122" s="72" t="s">
        <v>116</v>
      </c>
      <c r="E122" s="72">
        <v>356594</v>
      </c>
      <c r="F122" s="72" t="s">
        <v>190</v>
      </c>
      <c r="G122" s="72" t="s">
        <v>43</v>
      </c>
      <c r="H122" s="72" t="s">
        <v>24</v>
      </c>
      <c r="I122" s="73">
        <v>45731</v>
      </c>
      <c r="J122" s="72">
        <v>26404720</v>
      </c>
      <c r="K122" s="72" t="s">
        <v>135</v>
      </c>
      <c r="L122" s="72" t="str">
        <f>_xlfn.XLOOKUP(Tabla2__2[[#This Row],[CODIGO RUTA]],'DATA INFORME'!I:I,'DATA INFORME'!K:K)</f>
        <v>SI</v>
      </c>
      <c r="M122" s="72" t="str">
        <f>IF(Tabla2__2[[#This Row],[MYSTERY EFECTIVO]]="SI",_xlfn.XLOOKUP(Tabla2__2[[#This Row],[PREGUNTA]],ENCUESTA!G:G,ENCUESTA!D:D),"N/A")</f>
        <v>UNIFORME</v>
      </c>
      <c r="N12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22" s="72" t="str">
        <f>_xlfn.XLOOKUP(Tabla2__2[[#This Row],[PREGUNTA]],ENCUESTA!G:G,ENCUESTA!H:H)</f>
        <v>SI</v>
      </c>
      <c r="P122" s="72">
        <f>IF(Tabla2__2[[#This Row],[RTA]]=Tabla2__2[[#This Row],[RTA CORRECTA]],Tabla2__2[[#This Row],[TOTAL PUNTAJE]],0)</f>
        <v>1.5</v>
      </c>
      <c r="Q122" s="72">
        <f t="shared" si="1"/>
        <v>0</v>
      </c>
    </row>
    <row r="123" spans="1:17" x14ac:dyDescent="0.25">
      <c r="A123" s="72" t="s">
        <v>39</v>
      </c>
      <c r="B123" s="72" t="s">
        <v>9</v>
      </c>
      <c r="C123" t="s">
        <v>15</v>
      </c>
      <c r="D123" s="72" t="s">
        <v>116</v>
      </c>
      <c r="E123" s="72">
        <v>356594</v>
      </c>
      <c r="F123" s="72" t="s">
        <v>190</v>
      </c>
      <c r="G123" s="72" t="s">
        <v>49</v>
      </c>
      <c r="H123" s="72" t="s">
        <v>24</v>
      </c>
      <c r="I123" s="73">
        <v>45731</v>
      </c>
      <c r="J123" s="72">
        <v>26404720</v>
      </c>
      <c r="K123" s="72" t="s">
        <v>135</v>
      </c>
      <c r="L123" s="72" t="str">
        <f>_xlfn.XLOOKUP(Tabla2__2[[#This Row],[CODIGO RUTA]],'DATA INFORME'!I:I,'DATA INFORME'!K:K)</f>
        <v>SI</v>
      </c>
      <c r="M123" s="72" t="str">
        <f>IF(Tabla2__2[[#This Row],[MYSTERY EFECTIVO]]="SI",_xlfn.XLOOKUP(Tabla2__2[[#This Row],[PREGUNTA]],ENCUESTA!G:G,ENCUESTA!D:D),"N/A")</f>
        <v>UNIFORME</v>
      </c>
      <c r="N12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23" s="72" t="str">
        <f>_xlfn.XLOOKUP(Tabla2__2[[#This Row],[PREGUNTA]],ENCUESTA!G:G,ENCUESTA!H:H)</f>
        <v>SI</v>
      </c>
      <c r="P123" s="72">
        <f>IF(Tabla2__2[[#This Row],[RTA]]=Tabla2__2[[#This Row],[RTA CORRECTA]],Tabla2__2[[#This Row],[TOTAL PUNTAJE]],0)</f>
        <v>1.5</v>
      </c>
      <c r="Q123" s="72">
        <f t="shared" si="1"/>
        <v>0</v>
      </c>
    </row>
    <row r="124" spans="1:17" x14ac:dyDescent="0.25">
      <c r="A124" s="72" t="s">
        <v>39</v>
      </c>
      <c r="B124" s="72" t="s">
        <v>9</v>
      </c>
      <c r="C124" t="s">
        <v>15</v>
      </c>
      <c r="D124" s="72" t="s">
        <v>116</v>
      </c>
      <c r="E124" s="72">
        <v>356594</v>
      </c>
      <c r="F124" s="72" t="s">
        <v>190</v>
      </c>
      <c r="G124" s="72" t="s">
        <v>48</v>
      </c>
      <c r="H124" s="72" t="s">
        <v>118</v>
      </c>
      <c r="I124" s="73">
        <v>45731</v>
      </c>
      <c r="J124" s="72">
        <v>26404720</v>
      </c>
      <c r="K124" s="72" t="s">
        <v>135</v>
      </c>
      <c r="L124" s="72" t="str">
        <f>_xlfn.XLOOKUP(Tabla2__2[[#This Row],[CODIGO RUTA]],'DATA INFORME'!I:I,'DATA INFORME'!K:K)</f>
        <v>SI</v>
      </c>
      <c r="M124" s="72" t="str">
        <f>IF(Tabla2__2[[#This Row],[MYSTERY EFECTIVO]]="SI",_xlfn.XLOOKUP(Tabla2__2[[#This Row],[PREGUNTA]],ENCUESTA!G:G,ENCUESTA!D:D),"N/A")</f>
        <v>UNIFORME</v>
      </c>
      <c r="N12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24" s="72" t="str">
        <f>_xlfn.XLOOKUP(Tabla2__2[[#This Row],[PREGUNTA]],ENCUESTA!G:G,ENCUESTA!H:H)</f>
        <v>NO</v>
      </c>
      <c r="P124" s="72">
        <f>IF(Tabla2__2[[#This Row],[RTA]]=Tabla2__2[[#This Row],[RTA CORRECTA]],Tabla2__2[[#This Row],[TOTAL PUNTAJE]],0)</f>
        <v>1.5</v>
      </c>
      <c r="Q124" s="72">
        <f t="shared" si="1"/>
        <v>0</v>
      </c>
    </row>
    <row r="125" spans="1:17" x14ac:dyDescent="0.25">
      <c r="A125" s="72" t="s">
        <v>39</v>
      </c>
      <c r="B125" s="72" t="s">
        <v>9</v>
      </c>
      <c r="C125" t="s">
        <v>15</v>
      </c>
      <c r="D125" s="72" t="s">
        <v>116</v>
      </c>
      <c r="E125" s="72">
        <v>356594</v>
      </c>
      <c r="F125" s="72" t="s">
        <v>190</v>
      </c>
      <c r="G125" s="72" t="s">
        <v>45</v>
      </c>
      <c r="H125" s="72" t="s">
        <v>24</v>
      </c>
      <c r="I125" s="73">
        <v>45731</v>
      </c>
      <c r="J125" s="72">
        <v>26404720</v>
      </c>
      <c r="K125" s="72" t="s">
        <v>135</v>
      </c>
      <c r="L125" s="72" t="str">
        <f>_xlfn.XLOOKUP(Tabla2__2[[#This Row],[CODIGO RUTA]],'DATA INFORME'!I:I,'DATA INFORME'!K:K)</f>
        <v>SI</v>
      </c>
      <c r="M125" s="72" t="str">
        <f>IF(Tabla2__2[[#This Row],[MYSTERY EFECTIVO]]="SI",_xlfn.XLOOKUP(Tabla2__2[[#This Row],[PREGUNTA]],ENCUESTA!G:G,ENCUESTA!D:D),"N/A")</f>
        <v>LABOR DE VENTA</v>
      </c>
      <c r="N12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125" s="72" t="str">
        <f>_xlfn.XLOOKUP(Tabla2__2[[#This Row],[PREGUNTA]],ENCUESTA!G:G,ENCUESTA!H:H)</f>
        <v>SI</v>
      </c>
      <c r="P125" s="72">
        <f>IF(Tabla2__2[[#This Row],[RTA]]=Tabla2__2[[#This Row],[RTA CORRECTA]],Tabla2__2[[#This Row],[TOTAL PUNTAJE]],0)</f>
        <v>7.5</v>
      </c>
      <c r="Q125" s="72">
        <f t="shared" si="1"/>
        <v>0</v>
      </c>
    </row>
    <row r="126" spans="1:17" x14ac:dyDescent="0.25">
      <c r="A126" s="72" t="s">
        <v>39</v>
      </c>
      <c r="B126" s="72" t="s">
        <v>9</v>
      </c>
      <c r="C126" t="s">
        <v>15</v>
      </c>
      <c r="D126" s="72" t="s">
        <v>116</v>
      </c>
      <c r="E126" s="72">
        <v>356594</v>
      </c>
      <c r="F126" s="72" t="s">
        <v>190</v>
      </c>
      <c r="G126" s="72" t="s">
        <v>148</v>
      </c>
      <c r="H126" s="72" t="s">
        <v>24</v>
      </c>
      <c r="I126" s="73">
        <v>45731</v>
      </c>
      <c r="J126" s="72">
        <v>26404720</v>
      </c>
      <c r="K126" s="72" t="s">
        <v>135</v>
      </c>
      <c r="L126" s="72" t="str">
        <f>_xlfn.XLOOKUP(Tabla2__2[[#This Row],[CODIGO RUTA]],'DATA INFORME'!I:I,'DATA INFORME'!K:K)</f>
        <v>SI</v>
      </c>
      <c r="M126" s="72" t="str">
        <f>IF(Tabla2__2[[#This Row],[MYSTERY EFECTIVO]]="SI",_xlfn.XLOOKUP(Tabla2__2[[#This Row],[PREGUNTA]],ENCUESTA!G:G,ENCUESTA!D:D),"N/A")</f>
        <v>LABOR DE VENTA</v>
      </c>
      <c r="N12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126" s="72" t="str">
        <f>_xlfn.XLOOKUP(Tabla2__2[[#This Row],[PREGUNTA]],ENCUESTA!G:G,ENCUESTA!H:H)</f>
        <v>SI</v>
      </c>
      <c r="P126" s="72">
        <f>IF(Tabla2__2[[#This Row],[RTA]]=Tabla2__2[[#This Row],[RTA CORRECTA]],Tabla2__2[[#This Row],[TOTAL PUNTAJE]],0)</f>
        <v>7.5</v>
      </c>
      <c r="Q126" s="72">
        <f t="shared" si="1"/>
        <v>0</v>
      </c>
    </row>
    <row r="127" spans="1:17" x14ac:dyDescent="0.25">
      <c r="A127" s="72" t="s">
        <v>39</v>
      </c>
      <c r="B127" s="72" t="s">
        <v>9</v>
      </c>
      <c r="C127" t="s">
        <v>15</v>
      </c>
      <c r="D127" s="72" t="s">
        <v>116</v>
      </c>
      <c r="E127" s="72">
        <v>356594</v>
      </c>
      <c r="F127" s="72" t="s">
        <v>190</v>
      </c>
      <c r="G127" s="72" t="s">
        <v>50</v>
      </c>
      <c r="H127" s="72" t="s">
        <v>24</v>
      </c>
      <c r="I127" s="73">
        <v>45731</v>
      </c>
      <c r="J127" s="72">
        <v>26404720</v>
      </c>
      <c r="K127" s="72" t="s">
        <v>135</v>
      </c>
      <c r="L127" s="72" t="str">
        <f>_xlfn.XLOOKUP(Tabla2__2[[#This Row],[CODIGO RUTA]],'DATA INFORME'!I:I,'DATA INFORME'!K:K)</f>
        <v>SI</v>
      </c>
      <c r="M127" s="72" t="str">
        <f>IF(Tabla2__2[[#This Row],[MYSTERY EFECTIVO]]="SI",_xlfn.XLOOKUP(Tabla2__2[[#This Row],[PREGUNTA]],ENCUESTA!G:G,ENCUESTA!D:D),"N/A")</f>
        <v>PORTAFOLIO Y MANEJO DE OBJECIONES</v>
      </c>
      <c r="N12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27" s="72" t="str">
        <f>_xlfn.XLOOKUP(Tabla2__2[[#This Row],[PREGUNTA]],ENCUESTA!G:G,ENCUESTA!H:H)</f>
        <v>SI</v>
      </c>
      <c r="P127" s="72">
        <f>IF(Tabla2__2[[#This Row],[RTA]]=Tabla2__2[[#This Row],[RTA CORRECTA]],Tabla2__2[[#This Row],[TOTAL PUNTAJE]],0)</f>
        <v>2.4</v>
      </c>
      <c r="Q127" s="72">
        <f t="shared" si="1"/>
        <v>0</v>
      </c>
    </row>
    <row r="128" spans="1:17" x14ac:dyDescent="0.25">
      <c r="A128" s="72" t="s">
        <v>39</v>
      </c>
      <c r="B128" s="72" t="s">
        <v>9</v>
      </c>
      <c r="C128" t="s">
        <v>15</v>
      </c>
      <c r="D128" s="72" t="s">
        <v>116</v>
      </c>
      <c r="E128" s="72">
        <v>356594</v>
      </c>
      <c r="F128" s="72" t="s">
        <v>190</v>
      </c>
      <c r="G128" s="72" t="s">
        <v>51</v>
      </c>
      <c r="H128" s="72" t="s">
        <v>24</v>
      </c>
      <c r="I128" s="73">
        <v>45731</v>
      </c>
      <c r="J128" s="72">
        <v>26404720</v>
      </c>
      <c r="K128" s="72" t="s">
        <v>135</v>
      </c>
      <c r="L128" s="72" t="str">
        <f>_xlfn.XLOOKUP(Tabla2__2[[#This Row],[CODIGO RUTA]],'DATA INFORME'!I:I,'DATA INFORME'!K:K)</f>
        <v>SI</v>
      </c>
      <c r="M128" s="72" t="str">
        <f>IF(Tabla2__2[[#This Row],[MYSTERY EFECTIVO]]="SI",_xlfn.XLOOKUP(Tabla2__2[[#This Row],[PREGUNTA]],ENCUESTA!G:G,ENCUESTA!D:D),"N/A")</f>
        <v>PORTAFOLIO Y MANEJO DE OBJECIONES</v>
      </c>
      <c r="N128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4,8</v>
      </c>
      <c r="O128" s="72" t="str">
        <f>_xlfn.XLOOKUP(Tabla2__2[[#This Row],[PREGUNTA]],ENCUESTA!G:G,ENCUESTA!H:H)</f>
        <v>SI</v>
      </c>
      <c r="P128" s="72" t="str">
        <f>IF(Tabla2__2[[#This Row],[RTA]]=Tabla2__2[[#This Row],[RTA CORRECTA]],Tabla2__2[[#This Row],[TOTAL PUNTAJE]],0)</f>
        <v>4,8</v>
      </c>
      <c r="Q128" s="72">
        <f t="shared" si="1"/>
        <v>0</v>
      </c>
    </row>
    <row r="129" spans="1:17" x14ac:dyDescent="0.25">
      <c r="A129" s="72" t="s">
        <v>39</v>
      </c>
      <c r="B129" s="72" t="s">
        <v>9</v>
      </c>
      <c r="C129" t="s">
        <v>15</v>
      </c>
      <c r="D129" s="72" t="s">
        <v>116</v>
      </c>
      <c r="E129" s="72">
        <v>356594</v>
      </c>
      <c r="F129" s="72" t="s">
        <v>190</v>
      </c>
      <c r="G129" s="72" t="s">
        <v>42</v>
      </c>
      <c r="H129" s="72" t="s">
        <v>147</v>
      </c>
      <c r="I129" s="73">
        <v>45731</v>
      </c>
      <c r="J129" s="72">
        <v>26404720</v>
      </c>
      <c r="K129" s="72" t="s">
        <v>135</v>
      </c>
      <c r="L129" s="72" t="str">
        <f>_xlfn.XLOOKUP(Tabla2__2[[#This Row],[CODIGO RUTA]],'DATA INFORME'!I:I,'DATA INFORME'!K:K)</f>
        <v>SI</v>
      </c>
      <c r="M129" s="72" t="str">
        <f>IF(Tabla2__2[[#This Row],[MYSTERY EFECTIVO]]="SI",_xlfn.XLOOKUP(Tabla2__2[[#This Row],[PREGUNTA]],ENCUESTA!G:G,ENCUESTA!D:D),"N/A")</f>
        <v>N/A</v>
      </c>
      <c r="N12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9" s="72" t="str">
        <f>_xlfn.XLOOKUP(Tabla2__2[[#This Row],[PREGUNTA]],ENCUESTA!G:G,ENCUESTA!H:H)</f>
        <v>SI</v>
      </c>
      <c r="P129" s="72">
        <f>IF(Tabla2__2[[#This Row],[RTA]]=Tabla2__2[[#This Row],[RTA CORRECTA]],Tabla2__2[[#This Row],[TOTAL PUNTAJE]],0)</f>
        <v>0</v>
      </c>
      <c r="Q129" s="72">
        <f t="shared" si="1"/>
        <v>0</v>
      </c>
    </row>
    <row r="130" spans="1:17" x14ac:dyDescent="0.25">
      <c r="A130" s="72" t="s">
        <v>39</v>
      </c>
      <c r="B130" s="72" t="s">
        <v>9</v>
      </c>
      <c r="C130" t="s">
        <v>15</v>
      </c>
      <c r="D130" s="72" t="s">
        <v>116</v>
      </c>
      <c r="E130" s="72">
        <v>356594</v>
      </c>
      <c r="F130" s="72" t="s">
        <v>190</v>
      </c>
      <c r="G130" s="72" t="s">
        <v>41</v>
      </c>
      <c r="H130" s="72" t="s">
        <v>24</v>
      </c>
      <c r="I130" s="73">
        <v>45731</v>
      </c>
      <c r="J130" s="72">
        <v>26404720</v>
      </c>
      <c r="K130" s="72" t="s">
        <v>135</v>
      </c>
      <c r="L130" s="72" t="str">
        <f>_xlfn.XLOOKUP(Tabla2__2[[#This Row],[CODIGO RUTA]],'DATA INFORME'!I:I,'DATA INFORME'!K:K)</f>
        <v>SI</v>
      </c>
      <c r="M130" s="72" t="str">
        <f>IF(Tabla2__2[[#This Row],[MYSTERY EFECTIVO]]="SI",_xlfn.XLOOKUP(Tabla2__2[[#This Row],[PREGUNTA]],ENCUESTA!G:G,ENCUESTA!D:D),"N/A")</f>
        <v>N/A</v>
      </c>
      <c r="N13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0" s="72" t="str">
        <f>_xlfn.XLOOKUP(Tabla2__2[[#This Row],[PREGUNTA]],ENCUESTA!G:G,ENCUESTA!H:H)</f>
        <v>SI</v>
      </c>
      <c r="P130" s="72">
        <f>IF(Tabla2__2[[#This Row],[RTA]]=Tabla2__2[[#This Row],[RTA CORRECTA]],Tabla2__2[[#This Row],[TOTAL PUNTAJE]],0)</f>
        <v>0</v>
      </c>
      <c r="Q130" s="72">
        <f t="shared" ref="Q130:Q193" si="2">IF(OR(H130="Dog Chow húmedo",H130="Cat Chow húmedo",H130="Fancy Feast",H130="Felix",H130="Proplan húmedo",H130="One húmedo",H130="Snack Abrazzos",H130="Snak Dentalife",H130="Arenilla Tidy Cat"),N130,0)</f>
        <v>0</v>
      </c>
    </row>
    <row r="131" spans="1:17" x14ac:dyDescent="0.25">
      <c r="A131" s="72" t="s">
        <v>39</v>
      </c>
      <c r="B131" s="72" t="s">
        <v>9</v>
      </c>
      <c r="C131" t="s">
        <v>15</v>
      </c>
      <c r="D131" s="72" t="s">
        <v>116</v>
      </c>
      <c r="E131" s="72">
        <v>356594</v>
      </c>
      <c r="F131" s="72" t="s">
        <v>190</v>
      </c>
      <c r="G131" s="72" t="s">
        <v>175</v>
      </c>
      <c r="H131" s="72" t="s">
        <v>24</v>
      </c>
      <c r="I131" s="73">
        <v>45731</v>
      </c>
      <c r="J131" s="72">
        <v>26404720</v>
      </c>
      <c r="K131" s="72" t="s">
        <v>135</v>
      </c>
      <c r="L131" s="72" t="str">
        <f>_xlfn.XLOOKUP(Tabla2__2[[#This Row],[CODIGO RUTA]],'DATA INFORME'!I:I,'DATA INFORME'!K:K)</f>
        <v>SI</v>
      </c>
      <c r="M131" s="72" t="str">
        <f>IF(Tabla2__2[[#This Row],[MYSTERY EFECTIVO]]="SI",_xlfn.XLOOKUP(Tabla2__2[[#This Row],[PREGUNTA]],ENCUESTA!G:G,ENCUESTA!D:D),"N/A")</f>
        <v>PORTAFOLIO Y MANEJO DE OBJECIONES</v>
      </c>
      <c r="N13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31" s="72" t="str">
        <f>_xlfn.XLOOKUP(Tabla2__2[[#This Row],[PREGUNTA]],ENCUESTA!G:G,ENCUESTA!H:H)</f>
        <v>SI</v>
      </c>
      <c r="P131" s="72">
        <f>IF(Tabla2__2[[#This Row],[RTA]]=Tabla2__2[[#This Row],[RTA CORRECTA]],Tabla2__2[[#This Row],[TOTAL PUNTAJE]],0)</f>
        <v>2.4</v>
      </c>
      <c r="Q131" s="72">
        <f t="shared" si="2"/>
        <v>0</v>
      </c>
    </row>
    <row r="132" spans="1:17" x14ac:dyDescent="0.25">
      <c r="A132" s="72" t="s">
        <v>39</v>
      </c>
      <c r="B132" s="72" t="s">
        <v>9</v>
      </c>
      <c r="C132" t="s">
        <v>15</v>
      </c>
      <c r="D132" s="72" t="s">
        <v>116</v>
      </c>
      <c r="E132" s="72">
        <v>356594</v>
      </c>
      <c r="F132" s="72" t="s">
        <v>190</v>
      </c>
      <c r="G132" s="72" t="s">
        <v>173</v>
      </c>
      <c r="H132" s="72" t="s">
        <v>24</v>
      </c>
      <c r="I132" s="73">
        <v>45731</v>
      </c>
      <c r="J132" s="72">
        <v>26404720</v>
      </c>
      <c r="K132" s="72" t="s">
        <v>135</v>
      </c>
      <c r="L132" s="72" t="str">
        <f>_xlfn.XLOOKUP(Tabla2__2[[#This Row],[CODIGO RUTA]],'DATA INFORME'!I:I,'DATA INFORME'!K:K)</f>
        <v>SI</v>
      </c>
      <c r="M132" s="72" t="str">
        <f>IF(Tabla2__2[[#This Row],[MYSTERY EFECTIVO]]="SI",_xlfn.XLOOKUP(Tabla2__2[[#This Row],[PREGUNTA]],ENCUESTA!G:G,ENCUESTA!D:D),"N/A")</f>
        <v>PORTAFOLIO Y MANEJO DE OBJECIONES</v>
      </c>
      <c r="N13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32" s="72" t="str">
        <f>_xlfn.XLOOKUP(Tabla2__2[[#This Row],[PREGUNTA]],ENCUESTA!G:G,ENCUESTA!H:H)</f>
        <v>SI</v>
      </c>
      <c r="P132" s="72">
        <f>IF(Tabla2__2[[#This Row],[RTA]]=Tabla2__2[[#This Row],[RTA CORRECTA]],Tabla2__2[[#This Row],[TOTAL PUNTAJE]],0)</f>
        <v>2.4</v>
      </c>
      <c r="Q132" s="72">
        <f t="shared" si="2"/>
        <v>0</v>
      </c>
    </row>
    <row r="133" spans="1:17" x14ac:dyDescent="0.25">
      <c r="A133" s="72" t="s">
        <v>39</v>
      </c>
      <c r="B133" s="72" t="s">
        <v>9</v>
      </c>
      <c r="C133" t="s">
        <v>15</v>
      </c>
      <c r="D133" s="72" t="s">
        <v>116</v>
      </c>
      <c r="E133" s="72">
        <v>356594</v>
      </c>
      <c r="F133" s="72" t="s">
        <v>190</v>
      </c>
      <c r="G133" s="72" t="s">
        <v>52</v>
      </c>
      <c r="H133" s="72" t="s">
        <v>118</v>
      </c>
      <c r="I133" s="73">
        <v>45731</v>
      </c>
      <c r="J133" s="72">
        <v>26404720</v>
      </c>
      <c r="K133" s="72" t="s">
        <v>135</v>
      </c>
      <c r="L133" s="72" t="str">
        <f>_xlfn.XLOOKUP(Tabla2__2[[#This Row],[CODIGO RUTA]],'DATA INFORME'!I:I,'DATA INFORME'!K:K)</f>
        <v>SI</v>
      </c>
      <c r="M133" s="72" t="str">
        <f>IF(Tabla2__2[[#This Row],[MYSTERY EFECTIVO]]="SI",_xlfn.XLOOKUP(Tabla2__2[[#This Row],[PREGUNTA]],ENCUESTA!G:G,ENCUESTA!D:D),"N/A")</f>
        <v>UNIFORME</v>
      </c>
      <c r="N13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33" s="72" t="str">
        <f>_xlfn.XLOOKUP(Tabla2__2[[#This Row],[PREGUNTA]],ENCUESTA!G:G,ENCUESTA!H:H)</f>
        <v>NO</v>
      </c>
      <c r="P133" s="72">
        <f>IF(Tabla2__2[[#This Row],[RTA]]=Tabla2__2[[#This Row],[RTA CORRECTA]],Tabla2__2[[#This Row],[TOTAL PUNTAJE]],0)</f>
        <v>1.5</v>
      </c>
      <c r="Q133" s="72">
        <f t="shared" si="2"/>
        <v>0</v>
      </c>
    </row>
    <row r="134" spans="1:17" x14ac:dyDescent="0.25">
      <c r="A134" s="72" t="s">
        <v>39</v>
      </c>
      <c r="B134" s="72" t="s">
        <v>9</v>
      </c>
      <c r="C134" t="s">
        <v>15</v>
      </c>
      <c r="D134" s="72" t="s">
        <v>116</v>
      </c>
      <c r="E134" s="72">
        <v>356594</v>
      </c>
      <c r="F134" s="72" t="s">
        <v>190</v>
      </c>
      <c r="G134" s="72" t="s">
        <v>171</v>
      </c>
      <c r="H134" s="72" t="s">
        <v>24</v>
      </c>
      <c r="I134" s="73">
        <v>45731</v>
      </c>
      <c r="J134" s="72">
        <v>26404720</v>
      </c>
      <c r="K134" s="72" t="s">
        <v>135</v>
      </c>
      <c r="L134" s="72" t="str">
        <f>_xlfn.XLOOKUP(Tabla2__2[[#This Row],[CODIGO RUTA]],'DATA INFORME'!I:I,'DATA INFORME'!K:K)</f>
        <v>SI</v>
      </c>
      <c r="M134" s="72" t="str">
        <f>IF(Tabla2__2[[#This Row],[MYSTERY EFECTIVO]]="SI",_xlfn.XLOOKUP(Tabla2__2[[#This Row],[PREGUNTA]],ENCUESTA!G:G,ENCUESTA!D:D),"N/A")</f>
        <v>PORTAFOLIO Y MANEJO DE OBJECIONES</v>
      </c>
      <c r="N13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34" s="72" t="str">
        <f>_xlfn.XLOOKUP(Tabla2__2[[#This Row],[PREGUNTA]],ENCUESTA!G:G,ENCUESTA!H:H)</f>
        <v>SI</v>
      </c>
      <c r="P134" s="72">
        <f>IF(Tabla2__2[[#This Row],[RTA]]=Tabla2__2[[#This Row],[RTA CORRECTA]],Tabla2__2[[#This Row],[TOTAL PUNTAJE]],0)</f>
        <v>2.4</v>
      </c>
      <c r="Q134" s="72">
        <f t="shared" si="2"/>
        <v>0</v>
      </c>
    </row>
    <row r="135" spans="1:17" x14ac:dyDescent="0.25">
      <c r="A135" s="72" t="s">
        <v>39</v>
      </c>
      <c r="B135" s="72" t="s">
        <v>9</v>
      </c>
      <c r="C135" t="s">
        <v>15</v>
      </c>
      <c r="D135" s="72" t="s">
        <v>116</v>
      </c>
      <c r="E135" s="72">
        <v>356594</v>
      </c>
      <c r="F135" s="72" t="s">
        <v>190</v>
      </c>
      <c r="G135" s="72" t="s">
        <v>102</v>
      </c>
      <c r="H135" s="72" t="s">
        <v>167</v>
      </c>
      <c r="I135" s="73">
        <v>45731</v>
      </c>
      <c r="J135" s="72">
        <v>26404720</v>
      </c>
      <c r="K135" s="72" t="s">
        <v>135</v>
      </c>
      <c r="L135" s="72" t="str">
        <f>_xlfn.XLOOKUP(Tabla2__2[[#This Row],[CODIGO RUTA]],'DATA INFORME'!I:I,'DATA INFORME'!K:K)</f>
        <v>SI</v>
      </c>
      <c r="M135" s="72" t="str">
        <f>IF(Tabla2__2[[#This Row],[MYSTERY EFECTIVO]]="SI",_xlfn.XLOOKUP(Tabla2__2[[#This Row],[PREGUNTA]],ENCUESTA!G:G,ENCUESTA!D:D),"N/A")</f>
        <v>N/A</v>
      </c>
      <c r="N13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5" s="72">
        <f>_xlfn.XLOOKUP(Tabla2__2[[#This Row],[PREGUNTA]],ENCUESTA!G:G,ENCUESTA!H:H)</f>
        <v>0</v>
      </c>
      <c r="P135" s="72">
        <f>IF(Tabla2__2[[#This Row],[RTA]]=Tabla2__2[[#This Row],[RTA CORRECTA]],Tabla2__2[[#This Row],[TOTAL PUNTAJE]],0)</f>
        <v>0</v>
      </c>
      <c r="Q135" s="72">
        <f t="shared" si="2"/>
        <v>0</v>
      </c>
    </row>
    <row r="136" spans="1:17" x14ac:dyDescent="0.25">
      <c r="A136" s="72" t="s">
        <v>39</v>
      </c>
      <c r="B136" s="72" t="s">
        <v>9</v>
      </c>
      <c r="C136" t="s">
        <v>15</v>
      </c>
      <c r="D136" s="72" t="s">
        <v>116</v>
      </c>
      <c r="E136" s="72">
        <v>356594</v>
      </c>
      <c r="F136" s="72" t="s">
        <v>190</v>
      </c>
      <c r="G136" s="72" t="s">
        <v>99</v>
      </c>
      <c r="H136" s="72" t="s">
        <v>24</v>
      </c>
      <c r="I136" s="73">
        <v>45731</v>
      </c>
      <c r="J136" s="72">
        <v>26404720</v>
      </c>
      <c r="K136" s="72" t="s">
        <v>135</v>
      </c>
      <c r="L136" s="72" t="str">
        <f>_xlfn.XLOOKUP(Tabla2__2[[#This Row],[CODIGO RUTA]],'DATA INFORME'!I:I,'DATA INFORME'!K:K)</f>
        <v>SI</v>
      </c>
      <c r="M136" s="72" t="str">
        <f>IF(Tabla2__2[[#This Row],[MYSTERY EFECTIVO]]="SI",_xlfn.XLOOKUP(Tabla2__2[[#This Row],[PREGUNTA]],ENCUESTA!G:G,ENCUESTA!D:D),"N/A")</f>
        <v>PORTAFOLIO Y MANEJO DE OBJECIONES</v>
      </c>
      <c r="N13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136" s="72" t="str">
        <f>_xlfn.XLOOKUP(Tabla2__2[[#This Row],[PREGUNTA]],ENCUESTA!G:G,ENCUESTA!H:H)</f>
        <v>SI</v>
      </c>
      <c r="P136" s="72">
        <f>IF(Tabla2__2[[#This Row],[RTA]]=Tabla2__2[[#This Row],[RTA CORRECTA]],Tabla2__2[[#This Row],[TOTAL PUNTAJE]],0)</f>
        <v>3</v>
      </c>
      <c r="Q136" s="72">
        <f t="shared" si="2"/>
        <v>0</v>
      </c>
    </row>
    <row r="137" spans="1:17" x14ac:dyDescent="0.25">
      <c r="A137" s="72" t="s">
        <v>39</v>
      </c>
      <c r="B137" s="72" t="s">
        <v>9</v>
      </c>
      <c r="C137" t="s">
        <v>15</v>
      </c>
      <c r="D137" s="72" t="s">
        <v>116</v>
      </c>
      <c r="E137" s="72">
        <v>356594</v>
      </c>
      <c r="F137" s="72" t="s">
        <v>190</v>
      </c>
      <c r="G137" s="72" t="s">
        <v>101</v>
      </c>
      <c r="H137" s="72" t="s">
        <v>24</v>
      </c>
      <c r="I137" s="73">
        <v>45731</v>
      </c>
      <c r="J137" s="72">
        <v>26404720</v>
      </c>
      <c r="K137" s="72" t="s">
        <v>135</v>
      </c>
      <c r="L137" s="72" t="str">
        <f>_xlfn.XLOOKUP(Tabla2__2[[#This Row],[CODIGO RUTA]],'DATA INFORME'!I:I,'DATA INFORME'!K:K)</f>
        <v>SI</v>
      </c>
      <c r="M137" s="72" t="str">
        <f>IF(Tabla2__2[[#This Row],[MYSTERY EFECTIVO]]="SI",_xlfn.XLOOKUP(Tabla2__2[[#This Row],[PREGUNTA]],ENCUESTA!G:G,ENCUESTA!D:D),"N/A")</f>
        <v>PORTAFOLIO Y MANEJO DE OBJECIONES</v>
      </c>
      <c r="N13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137" s="72" t="str">
        <f>_xlfn.XLOOKUP(Tabla2__2[[#This Row],[PREGUNTA]],ENCUESTA!G:G,ENCUESTA!H:H)</f>
        <v>SI</v>
      </c>
      <c r="P137" s="72">
        <f>IF(Tabla2__2[[#This Row],[RTA]]=Tabla2__2[[#This Row],[RTA CORRECTA]],Tabla2__2[[#This Row],[TOTAL PUNTAJE]],0)</f>
        <v>3</v>
      </c>
      <c r="Q137" s="72">
        <f t="shared" si="2"/>
        <v>0</v>
      </c>
    </row>
    <row r="138" spans="1:17" x14ac:dyDescent="0.25">
      <c r="A138" s="72" t="s">
        <v>39</v>
      </c>
      <c r="B138" s="72" t="s">
        <v>9</v>
      </c>
      <c r="C138" t="s">
        <v>15</v>
      </c>
      <c r="D138" s="72" t="s">
        <v>116</v>
      </c>
      <c r="E138" s="72">
        <v>356594</v>
      </c>
      <c r="F138" s="72" t="s">
        <v>190</v>
      </c>
      <c r="G138" s="72" t="s">
        <v>138</v>
      </c>
      <c r="H138" s="72" t="s">
        <v>24</v>
      </c>
      <c r="I138" s="73">
        <v>45731</v>
      </c>
      <c r="J138" s="72">
        <v>26404720</v>
      </c>
      <c r="K138" s="72" t="s">
        <v>135</v>
      </c>
      <c r="L138" s="72" t="str">
        <f>_xlfn.XLOOKUP(Tabla2__2[[#This Row],[CODIGO RUTA]],'DATA INFORME'!I:I,'DATA INFORME'!K:K)</f>
        <v>SI</v>
      </c>
      <c r="M138" s="72" t="str">
        <f>IF(Tabla2__2[[#This Row],[MYSTERY EFECTIVO]]="SI",_xlfn.XLOOKUP(Tabla2__2[[#This Row],[PREGUNTA]],ENCUESTA!G:G,ENCUESTA!D:D),"N/A")</f>
        <v>ABORDAJE</v>
      </c>
      <c r="N13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38" s="72" t="str">
        <f>_xlfn.XLOOKUP(Tabla2__2[[#This Row],[PREGUNTA]],ENCUESTA!G:G,ENCUESTA!H:H)</f>
        <v>SI</v>
      </c>
      <c r="P138" s="72">
        <f>IF(Tabla2__2[[#This Row],[RTA]]=Tabla2__2[[#This Row],[RTA CORRECTA]],Tabla2__2[[#This Row],[TOTAL PUNTAJE]],0)</f>
        <v>20</v>
      </c>
      <c r="Q138" s="72">
        <f t="shared" si="2"/>
        <v>0</v>
      </c>
    </row>
    <row r="139" spans="1:17" x14ac:dyDescent="0.25">
      <c r="A139" s="72" t="s">
        <v>39</v>
      </c>
      <c r="B139" s="72" t="s">
        <v>9</v>
      </c>
      <c r="C139" t="s">
        <v>15</v>
      </c>
      <c r="D139" s="72" t="s">
        <v>116</v>
      </c>
      <c r="E139" s="72">
        <v>356594</v>
      </c>
      <c r="F139" s="72" t="s">
        <v>190</v>
      </c>
      <c r="G139" s="72" t="s">
        <v>46</v>
      </c>
      <c r="H139" s="72" t="s">
        <v>24</v>
      </c>
      <c r="I139" s="73">
        <v>45731</v>
      </c>
      <c r="J139" s="72">
        <v>26404720</v>
      </c>
      <c r="K139" s="72" t="s">
        <v>135</v>
      </c>
      <c r="L139" s="72" t="str">
        <f>_xlfn.XLOOKUP(Tabla2__2[[#This Row],[CODIGO RUTA]],'DATA INFORME'!I:I,'DATA INFORME'!K:K)</f>
        <v>SI</v>
      </c>
      <c r="M139" s="72" t="str">
        <f>IF(Tabla2__2[[#This Row],[MYSTERY EFECTIVO]]="SI",_xlfn.XLOOKUP(Tabla2__2[[#This Row],[PREGUNTA]],ENCUESTA!G:G,ENCUESTA!D:D),"N/A")</f>
        <v>UNIFORME</v>
      </c>
      <c r="N13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39" s="72" t="str">
        <f>_xlfn.XLOOKUP(Tabla2__2[[#This Row],[PREGUNTA]],ENCUESTA!G:G,ENCUESTA!H:H)</f>
        <v>NO</v>
      </c>
      <c r="P139" s="72">
        <f>IF(Tabla2__2[[#This Row],[RTA]]=Tabla2__2[[#This Row],[RTA CORRECTA]],Tabla2__2[[#This Row],[TOTAL PUNTAJE]],0)</f>
        <v>0</v>
      </c>
      <c r="Q139" s="72">
        <f t="shared" si="2"/>
        <v>0</v>
      </c>
    </row>
    <row r="140" spans="1:17" x14ac:dyDescent="0.25">
      <c r="A140" s="72" t="s">
        <v>39</v>
      </c>
      <c r="B140" s="72" t="s">
        <v>9</v>
      </c>
      <c r="C140" t="s">
        <v>15</v>
      </c>
      <c r="D140" s="72" t="s">
        <v>116</v>
      </c>
      <c r="E140" s="72">
        <v>356594</v>
      </c>
      <c r="F140" s="72" t="s">
        <v>190</v>
      </c>
      <c r="G140" s="72" t="s">
        <v>47</v>
      </c>
      <c r="H140" s="72" t="s">
        <v>118</v>
      </c>
      <c r="I140" s="73">
        <v>45731</v>
      </c>
      <c r="J140" s="72">
        <v>26404720</v>
      </c>
      <c r="K140" s="72" t="s">
        <v>135</v>
      </c>
      <c r="L140" s="72" t="str">
        <f>_xlfn.XLOOKUP(Tabla2__2[[#This Row],[CODIGO RUTA]],'DATA INFORME'!I:I,'DATA INFORME'!K:K)</f>
        <v>SI</v>
      </c>
      <c r="M140" s="72" t="str">
        <f>IF(Tabla2__2[[#This Row],[MYSTERY EFECTIVO]]="SI",_xlfn.XLOOKUP(Tabla2__2[[#This Row],[PREGUNTA]],ENCUESTA!G:G,ENCUESTA!D:D),"N/A")</f>
        <v>UNIFORME</v>
      </c>
      <c r="N14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40" s="72" t="str">
        <f>_xlfn.XLOOKUP(Tabla2__2[[#This Row],[PREGUNTA]],ENCUESTA!G:G,ENCUESTA!H:H)</f>
        <v>NO</v>
      </c>
      <c r="P140" s="72">
        <f>IF(Tabla2__2[[#This Row],[RTA]]=Tabla2__2[[#This Row],[RTA CORRECTA]],Tabla2__2[[#This Row],[TOTAL PUNTAJE]],0)</f>
        <v>1.5</v>
      </c>
      <c r="Q140" s="72">
        <f t="shared" si="2"/>
        <v>0</v>
      </c>
    </row>
    <row r="141" spans="1:17" x14ac:dyDescent="0.25">
      <c r="A141" s="72" t="s">
        <v>39</v>
      </c>
      <c r="B141" s="72" t="s">
        <v>9</v>
      </c>
      <c r="C141" t="s">
        <v>15</v>
      </c>
      <c r="D141" s="72" t="s">
        <v>116</v>
      </c>
      <c r="E141" s="72">
        <v>356594</v>
      </c>
      <c r="F141" s="72" t="s">
        <v>190</v>
      </c>
      <c r="G141" s="72" t="s">
        <v>169</v>
      </c>
      <c r="H141" s="72" t="s">
        <v>24</v>
      </c>
      <c r="I141" s="73">
        <v>45731</v>
      </c>
      <c r="J141" s="72">
        <v>26404720</v>
      </c>
      <c r="K141" s="72" t="s">
        <v>135</v>
      </c>
      <c r="L141" s="72" t="str">
        <f>_xlfn.XLOOKUP(Tabla2__2[[#This Row],[CODIGO RUTA]],'DATA INFORME'!I:I,'DATA INFORME'!K:K)</f>
        <v>SI</v>
      </c>
      <c r="M141" s="72" t="str">
        <f>IF(Tabla2__2[[#This Row],[MYSTERY EFECTIVO]]="SI",_xlfn.XLOOKUP(Tabla2__2[[#This Row],[PREGUNTA]],ENCUESTA!G:G,ENCUESTA!D:D),"N/A")</f>
        <v>PORTAFOLIO Y MANEJO DE OBJECIONES</v>
      </c>
      <c r="N14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41" s="72" t="str">
        <f>_xlfn.XLOOKUP(Tabla2__2[[#This Row],[PREGUNTA]],ENCUESTA!G:G,ENCUESTA!H:H)</f>
        <v>SI</v>
      </c>
      <c r="P141" s="72">
        <f>IF(Tabla2__2[[#This Row],[RTA]]=Tabla2__2[[#This Row],[RTA CORRECTA]],Tabla2__2[[#This Row],[TOTAL PUNTAJE]],0)</f>
        <v>2.4</v>
      </c>
      <c r="Q141" s="72">
        <f t="shared" si="2"/>
        <v>0</v>
      </c>
    </row>
    <row r="142" spans="1:17" x14ac:dyDescent="0.25">
      <c r="A142" s="72" t="s">
        <v>39</v>
      </c>
      <c r="B142" s="72" t="s">
        <v>9</v>
      </c>
      <c r="C142" t="s">
        <v>15</v>
      </c>
      <c r="D142" s="72" t="s">
        <v>116</v>
      </c>
      <c r="E142" s="72">
        <v>356594</v>
      </c>
      <c r="F142" s="72" t="s">
        <v>190</v>
      </c>
      <c r="G142" s="72" t="s">
        <v>189</v>
      </c>
      <c r="H142" s="72" t="s">
        <v>118</v>
      </c>
      <c r="I142" s="73">
        <v>45731</v>
      </c>
      <c r="J142" s="72">
        <v>26404720</v>
      </c>
      <c r="K142" s="72" t="s">
        <v>135</v>
      </c>
      <c r="L142" s="72" t="str">
        <f>_xlfn.XLOOKUP(Tabla2__2[[#This Row],[CODIGO RUTA]],'DATA INFORME'!I:I,'DATA INFORME'!K:K)</f>
        <v>SI</v>
      </c>
      <c r="M142" s="72" t="str">
        <f>IF(Tabla2__2[[#This Row],[MYSTERY EFECTIVO]]="SI",_xlfn.XLOOKUP(Tabla2__2[[#This Row],[PREGUNTA]],ENCUESTA!G:G,ENCUESTA!D:D),"N/A")</f>
        <v>N/A</v>
      </c>
      <c r="N14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2" s="72">
        <f>_xlfn.XLOOKUP(Tabla2__2[[#This Row],[PREGUNTA]],ENCUESTA!G:G,ENCUESTA!H:H)</f>
        <v>0</v>
      </c>
      <c r="P142" s="72">
        <f>IF(Tabla2__2[[#This Row],[RTA]]=Tabla2__2[[#This Row],[RTA CORRECTA]],Tabla2__2[[#This Row],[TOTAL PUNTAJE]],0)</f>
        <v>0</v>
      </c>
      <c r="Q142" s="72">
        <f t="shared" si="2"/>
        <v>0</v>
      </c>
    </row>
    <row r="143" spans="1:17" x14ac:dyDescent="0.25">
      <c r="A143" s="72" t="s">
        <v>39</v>
      </c>
      <c r="B143" s="72" t="s">
        <v>8</v>
      </c>
      <c r="C143" t="s">
        <v>15</v>
      </c>
      <c r="D143" s="72" t="s">
        <v>116</v>
      </c>
      <c r="E143" s="72">
        <v>180619</v>
      </c>
      <c r="F143" s="72" t="s">
        <v>214</v>
      </c>
      <c r="G143" s="72" t="s">
        <v>189</v>
      </c>
      <c r="H143" s="72" t="s">
        <v>24</v>
      </c>
      <c r="I143" s="73">
        <v>45731</v>
      </c>
      <c r="J143" s="72">
        <v>26420000</v>
      </c>
      <c r="K143" s="72" t="s">
        <v>115</v>
      </c>
      <c r="L143" s="72" t="str">
        <f>_xlfn.XLOOKUP(Tabla2__2[[#This Row],[CODIGO RUTA]],'DATA INFORME'!I:I,'DATA INFORME'!K:K)</f>
        <v>NO</v>
      </c>
      <c r="M143" s="72" t="str">
        <f>IF(Tabla2__2[[#This Row],[MYSTERY EFECTIVO]]="SI",_xlfn.XLOOKUP(Tabla2__2[[#This Row],[PREGUNTA]],ENCUESTA!G:G,ENCUESTA!D:D),"N/A")</f>
        <v>N/A</v>
      </c>
      <c r="N14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3" s="72">
        <f>_xlfn.XLOOKUP(Tabla2__2[[#This Row],[PREGUNTA]],ENCUESTA!G:G,ENCUESTA!H:H)</f>
        <v>0</v>
      </c>
      <c r="P143" s="72">
        <f>IF(Tabla2__2[[#This Row],[RTA]]=Tabla2__2[[#This Row],[RTA CORRECTA]],Tabla2__2[[#This Row],[TOTAL PUNTAJE]],0)</f>
        <v>0</v>
      </c>
      <c r="Q143" s="72">
        <f t="shared" si="2"/>
        <v>0</v>
      </c>
    </row>
    <row r="144" spans="1:17" x14ac:dyDescent="0.25">
      <c r="A144" s="72" t="s">
        <v>39</v>
      </c>
      <c r="B144" s="72" t="s">
        <v>8</v>
      </c>
      <c r="C144" t="s">
        <v>15</v>
      </c>
      <c r="D144" s="72" t="s">
        <v>116</v>
      </c>
      <c r="E144" s="72">
        <v>180621</v>
      </c>
      <c r="F144" s="72" t="s">
        <v>211</v>
      </c>
      <c r="G144" s="72" t="s">
        <v>44</v>
      </c>
      <c r="H144" s="72" t="s">
        <v>24</v>
      </c>
      <c r="I144" s="73">
        <v>45731</v>
      </c>
      <c r="J144" s="72">
        <v>26419998</v>
      </c>
      <c r="K144" s="72" t="s">
        <v>115</v>
      </c>
      <c r="L144" s="72" t="str">
        <f>_xlfn.XLOOKUP(Tabla2__2[[#This Row],[CODIGO RUTA]],'DATA INFORME'!I:I,'DATA INFORME'!K:K)</f>
        <v>SI</v>
      </c>
      <c r="M144" s="72" t="str">
        <f>IF(Tabla2__2[[#This Row],[MYSTERY EFECTIVO]]="SI",_xlfn.XLOOKUP(Tabla2__2[[#This Row],[PREGUNTA]],ENCUESTA!G:G,ENCUESTA!D:D),"N/A")</f>
        <v>UNIFORME</v>
      </c>
      <c r="N14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44" s="72" t="str">
        <f>_xlfn.XLOOKUP(Tabla2__2[[#This Row],[PREGUNTA]],ENCUESTA!G:G,ENCUESTA!H:H)</f>
        <v>SI</v>
      </c>
      <c r="P144" s="72">
        <f>IF(Tabla2__2[[#This Row],[RTA]]=Tabla2__2[[#This Row],[RTA CORRECTA]],Tabla2__2[[#This Row],[TOTAL PUNTAJE]],0)</f>
        <v>1.5</v>
      </c>
      <c r="Q144" s="72">
        <f t="shared" si="2"/>
        <v>0</v>
      </c>
    </row>
    <row r="145" spans="1:17" x14ac:dyDescent="0.25">
      <c r="A145" s="72" t="s">
        <v>39</v>
      </c>
      <c r="B145" s="72" t="s">
        <v>8</v>
      </c>
      <c r="C145" t="s">
        <v>15</v>
      </c>
      <c r="D145" s="72" t="s">
        <v>116</v>
      </c>
      <c r="E145" s="72">
        <v>180621</v>
      </c>
      <c r="F145" s="72" t="s">
        <v>211</v>
      </c>
      <c r="G145" s="72" t="s">
        <v>136</v>
      </c>
      <c r="H145" s="72" t="s">
        <v>24</v>
      </c>
      <c r="I145" s="73">
        <v>45731</v>
      </c>
      <c r="J145" s="72">
        <v>26419998</v>
      </c>
      <c r="K145" s="72" t="s">
        <v>115</v>
      </c>
      <c r="L145" s="72" t="str">
        <f>_xlfn.XLOOKUP(Tabla2__2[[#This Row],[CODIGO RUTA]],'DATA INFORME'!I:I,'DATA INFORME'!K:K)</f>
        <v>SI</v>
      </c>
      <c r="M145" s="72" t="str">
        <f>IF(Tabla2__2[[#This Row],[MYSTERY EFECTIVO]]="SI",_xlfn.XLOOKUP(Tabla2__2[[#This Row],[PREGUNTA]],ENCUESTA!G:G,ENCUESTA!D:D),"N/A")</f>
        <v>UNIFORME</v>
      </c>
      <c r="N14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45" s="72" t="str">
        <f>_xlfn.XLOOKUP(Tabla2__2[[#This Row],[PREGUNTA]],ENCUESTA!G:G,ENCUESTA!H:H)</f>
        <v>SI</v>
      </c>
      <c r="P145" s="72">
        <f>IF(Tabla2__2[[#This Row],[RTA]]=Tabla2__2[[#This Row],[RTA CORRECTA]],Tabla2__2[[#This Row],[TOTAL PUNTAJE]],0)</f>
        <v>1.5</v>
      </c>
      <c r="Q145" s="72">
        <f t="shared" si="2"/>
        <v>0</v>
      </c>
    </row>
    <row r="146" spans="1:17" x14ac:dyDescent="0.25">
      <c r="A146" s="72" t="s">
        <v>39</v>
      </c>
      <c r="B146" s="72" t="s">
        <v>8</v>
      </c>
      <c r="C146" t="s">
        <v>15</v>
      </c>
      <c r="D146" s="72" t="s">
        <v>116</v>
      </c>
      <c r="E146" s="72">
        <v>180621</v>
      </c>
      <c r="F146" s="72" t="s">
        <v>211</v>
      </c>
      <c r="G146" s="72" t="s">
        <v>100</v>
      </c>
      <c r="H146" s="72" t="s">
        <v>24</v>
      </c>
      <c r="I146" s="73">
        <v>45731</v>
      </c>
      <c r="J146" s="72">
        <v>26419998</v>
      </c>
      <c r="K146" s="72" t="s">
        <v>115</v>
      </c>
      <c r="L146" s="72" t="str">
        <f>_xlfn.XLOOKUP(Tabla2__2[[#This Row],[CODIGO RUTA]],'DATA INFORME'!I:I,'DATA INFORME'!K:K)</f>
        <v>SI</v>
      </c>
      <c r="M146" s="72" t="str">
        <f>IF(Tabla2__2[[#This Row],[MYSTERY EFECTIVO]]="SI",_xlfn.XLOOKUP(Tabla2__2[[#This Row],[PREGUNTA]],ENCUESTA!G:G,ENCUESTA!D:D),"N/A")</f>
        <v>UNIFORME</v>
      </c>
      <c r="N14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46" s="72" t="str">
        <f>_xlfn.XLOOKUP(Tabla2__2[[#This Row],[PREGUNTA]],ENCUESTA!G:G,ENCUESTA!H:H)</f>
        <v>SI</v>
      </c>
      <c r="P146" s="72">
        <f>IF(Tabla2__2[[#This Row],[RTA]]=Tabla2__2[[#This Row],[RTA CORRECTA]],Tabla2__2[[#This Row],[TOTAL PUNTAJE]],0)</f>
        <v>1.5</v>
      </c>
      <c r="Q146" s="72">
        <f t="shared" si="2"/>
        <v>0</v>
      </c>
    </row>
    <row r="147" spans="1:17" x14ac:dyDescent="0.25">
      <c r="A147" s="72" t="s">
        <v>39</v>
      </c>
      <c r="B147" s="72" t="s">
        <v>8</v>
      </c>
      <c r="C147" t="s">
        <v>15</v>
      </c>
      <c r="D147" s="72" t="s">
        <v>116</v>
      </c>
      <c r="E147" s="72">
        <v>180621</v>
      </c>
      <c r="F147" s="72" t="s">
        <v>211</v>
      </c>
      <c r="G147" s="72" t="s">
        <v>40</v>
      </c>
      <c r="H147" s="72" t="s">
        <v>24</v>
      </c>
      <c r="I147" s="73">
        <v>45731</v>
      </c>
      <c r="J147" s="72">
        <v>26419998</v>
      </c>
      <c r="K147" s="72" t="s">
        <v>115</v>
      </c>
      <c r="L147" s="72" t="str">
        <f>_xlfn.XLOOKUP(Tabla2__2[[#This Row],[CODIGO RUTA]],'DATA INFORME'!I:I,'DATA INFORME'!K:K)</f>
        <v>SI</v>
      </c>
      <c r="M147" s="72" t="str">
        <f>IF(Tabla2__2[[#This Row],[MYSTERY EFECTIVO]]="SI",_xlfn.XLOOKUP(Tabla2__2[[#This Row],[PREGUNTA]],ENCUESTA!G:G,ENCUESTA!D:D),"N/A")</f>
        <v>HORARIO</v>
      </c>
      <c r="N14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47" s="72" t="str">
        <f>_xlfn.XLOOKUP(Tabla2__2[[#This Row],[PREGUNTA]],ENCUESTA!G:G,ENCUESTA!H:H)</f>
        <v>SI</v>
      </c>
      <c r="P147" s="72">
        <f>IF(Tabla2__2[[#This Row],[RTA]]=Tabla2__2[[#This Row],[RTA CORRECTA]],Tabla2__2[[#This Row],[TOTAL PUNTAJE]],0)</f>
        <v>20</v>
      </c>
      <c r="Q147" s="72">
        <f t="shared" si="2"/>
        <v>0</v>
      </c>
    </row>
    <row r="148" spans="1:17" x14ac:dyDescent="0.25">
      <c r="A148" s="72" t="s">
        <v>39</v>
      </c>
      <c r="B148" s="72" t="s">
        <v>8</v>
      </c>
      <c r="C148" t="s">
        <v>15</v>
      </c>
      <c r="D148" s="72" t="s">
        <v>116</v>
      </c>
      <c r="E148" s="72">
        <v>180621</v>
      </c>
      <c r="F148" s="72" t="s">
        <v>211</v>
      </c>
      <c r="G148" s="72" t="s">
        <v>137</v>
      </c>
      <c r="H148" s="72" t="s">
        <v>118</v>
      </c>
      <c r="I148" s="73">
        <v>45731</v>
      </c>
      <c r="J148" s="72">
        <v>26419998</v>
      </c>
      <c r="K148" s="72" t="s">
        <v>115</v>
      </c>
      <c r="L148" s="72" t="str">
        <f>_xlfn.XLOOKUP(Tabla2__2[[#This Row],[CODIGO RUTA]],'DATA INFORME'!I:I,'DATA INFORME'!K:K)</f>
        <v>SI</v>
      </c>
      <c r="M148" s="72" t="str">
        <f>IF(Tabla2__2[[#This Row],[MYSTERY EFECTIVO]]="SI",_xlfn.XLOOKUP(Tabla2__2[[#This Row],[PREGUNTA]],ENCUESTA!G:G,ENCUESTA!D:D),"N/A")</f>
        <v>UNIFORME</v>
      </c>
      <c r="N14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48" s="72" t="str">
        <f>_xlfn.XLOOKUP(Tabla2__2[[#This Row],[PREGUNTA]],ENCUESTA!G:G,ENCUESTA!H:H)</f>
        <v>NO</v>
      </c>
      <c r="P148" s="72">
        <f>IF(Tabla2__2[[#This Row],[RTA]]=Tabla2__2[[#This Row],[RTA CORRECTA]],Tabla2__2[[#This Row],[TOTAL PUNTAJE]],0)</f>
        <v>1.5</v>
      </c>
      <c r="Q148" s="72">
        <f t="shared" si="2"/>
        <v>0</v>
      </c>
    </row>
    <row r="149" spans="1:17" x14ac:dyDescent="0.25">
      <c r="A149" s="72" t="s">
        <v>39</v>
      </c>
      <c r="B149" s="72" t="s">
        <v>8</v>
      </c>
      <c r="C149" t="s">
        <v>15</v>
      </c>
      <c r="D149" s="72" t="s">
        <v>116</v>
      </c>
      <c r="E149" s="72">
        <v>180621</v>
      </c>
      <c r="F149" s="72" t="s">
        <v>211</v>
      </c>
      <c r="G149" s="72" t="s">
        <v>43</v>
      </c>
      <c r="H149" s="72" t="s">
        <v>24</v>
      </c>
      <c r="I149" s="73">
        <v>45731</v>
      </c>
      <c r="J149" s="72">
        <v>26419998</v>
      </c>
      <c r="K149" s="72" t="s">
        <v>115</v>
      </c>
      <c r="L149" s="72" t="str">
        <f>_xlfn.XLOOKUP(Tabla2__2[[#This Row],[CODIGO RUTA]],'DATA INFORME'!I:I,'DATA INFORME'!K:K)</f>
        <v>SI</v>
      </c>
      <c r="M149" s="72" t="str">
        <f>IF(Tabla2__2[[#This Row],[MYSTERY EFECTIVO]]="SI",_xlfn.XLOOKUP(Tabla2__2[[#This Row],[PREGUNTA]],ENCUESTA!G:G,ENCUESTA!D:D),"N/A")</f>
        <v>UNIFORME</v>
      </c>
      <c r="N14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49" s="72" t="str">
        <f>_xlfn.XLOOKUP(Tabla2__2[[#This Row],[PREGUNTA]],ENCUESTA!G:G,ENCUESTA!H:H)</f>
        <v>SI</v>
      </c>
      <c r="P149" s="72">
        <f>IF(Tabla2__2[[#This Row],[RTA]]=Tabla2__2[[#This Row],[RTA CORRECTA]],Tabla2__2[[#This Row],[TOTAL PUNTAJE]],0)</f>
        <v>1.5</v>
      </c>
      <c r="Q149" s="72">
        <f t="shared" si="2"/>
        <v>0</v>
      </c>
    </row>
    <row r="150" spans="1:17" x14ac:dyDescent="0.25">
      <c r="A150" s="72" t="s">
        <v>39</v>
      </c>
      <c r="B150" s="72" t="s">
        <v>8</v>
      </c>
      <c r="C150" t="s">
        <v>15</v>
      </c>
      <c r="D150" s="72" t="s">
        <v>116</v>
      </c>
      <c r="E150" s="72">
        <v>180621</v>
      </c>
      <c r="F150" s="72" t="s">
        <v>211</v>
      </c>
      <c r="G150" s="72" t="s">
        <v>52</v>
      </c>
      <c r="H150" s="72" t="s">
        <v>118</v>
      </c>
      <c r="I150" s="73">
        <v>45731</v>
      </c>
      <c r="J150" s="72">
        <v>26419998</v>
      </c>
      <c r="K150" s="72" t="s">
        <v>115</v>
      </c>
      <c r="L150" s="72" t="str">
        <f>_xlfn.XLOOKUP(Tabla2__2[[#This Row],[CODIGO RUTA]],'DATA INFORME'!I:I,'DATA INFORME'!K:K)</f>
        <v>SI</v>
      </c>
      <c r="M150" s="72" t="str">
        <f>IF(Tabla2__2[[#This Row],[MYSTERY EFECTIVO]]="SI",_xlfn.XLOOKUP(Tabla2__2[[#This Row],[PREGUNTA]],ENCUESTA!G:G,ENCUESTA!D:D),"N/A")</f>
        <v>UNIFORME</v>
      </c>
      <c r="N15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50" s="72" t="str">
        <f>_xlfn.XLOOKUP(Tabla2__2[[#This Row],[PREGUNTA]],ENCUESTA!G:G,ENCUESTA!H:H)</f>
        <v>NO</v>
      </c>
      <c r="P150" s="72">
        <f>IF(Tabla2__2[[#This Row],[RTA]]=Tabla2__2[[#This Row],[RTA CORRECTA]],Tabla2__2[[#This Row],[TOTAL PUNTAJE]],0)</f>
        <v>1.5</v>
      </c>
      <c r="Q150" s="72">
        <f t="shared" si="2"/>
        <v>0</v>
      </c>
    </row>
    <row r="151" spans="1:17" x14ac:dyDescent="0.25">
      <c r="A151" s="72" t="s">
        <v>39</v>
      </c>
      <c r="B151" s="72" t="s">
        <v>8</v>
      </c>
      <c r="C151" t="s">
        <v>15</v>
      </c>
      <c r="D151" s="72" t="s">
        <v>116</v>
      </c>
      <c r="E151" s="72">
        <v>180621</v>
      </c>
      <c r="F151" s="72" t="s">
        <v>211</v>
      </c>
      <c r="G151" s="72" t="s">
        <v>189</v>
      </c>
      <c r="H151" s="72" t="s">
        <v>118</v>
      </c>
      <c r="I151" s="73">
        <v>45731</v>
      </c>
      <c r="J151" s="72">
        <v>26419998</v>
      </c>
      <c r="K151" s="72" t="s">
        <v>115</v>
      </c>
      <c r="L151" s="72" t="str">
        <f>_xlfn.XLOOKUP(Tabla2__2[[#This Row],[CODIGO RUTA]],'DATA INFORME'!I:I,'DATA INFORME'!K:K)</f>
        <v>SI</v>
      </c>
      <c r="M151" s="72" t="str">
        <f>IF(Tabla2__2[[#This Row],[MYSTERY EFECTIVO]]="SI",_xlfn.XLOOKUP(Tabla2__2[[#This Row],[PREGUNTA]],ENCUESTA!G:G,ENCUESTA!D:D),"N/A")</f>
        <v>N/A</v>
      </c>
      <c r="N15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51" s="72">
        <f>_xlfn.XLOOKUP(Tabla2__2[[#This Row],[PREGUNTA]],ENCUESTA!G:G,ENCUESTA!H:H)</f>
        <v>0</v>
      </c>
      <c r="P151" s="72">
        <f>IF(Tabla2__2[[#This Row],[RTA]]=Tabla2__2[[#This Row],[RTA CORRECTA]],Tabla2__2[[#This Row],[TOTAL PUNTAJE]],0)</f>
        <v>0</v>
      </c>
      <c r="Q151" s="72">
        <f t="shared" si="2"/>
        <v>0</v>
      </c>
    </row>
    <row r="152" spans="1:17" x14ac:dyDescent="0.25">
      <c r="A152" s="72" t="s">
        <v>39</v>
      </c>
      <c r="B152" s="72" t="s">
        <v>8</v>
      </c>
      <c r="C152" t="s">
        <v>15</v>
      </c>
      <c r="D152" s="72" t="s">
        <v>116</v>
      </c>
      <c r="E152" s="72">
        <v>180621</v>
      </c>
      <c r="F152" s="72" t="s">
        <v>211</v>
      </c>
      <c r="G152" s="72" t="s">
        <v>45</v>
      </c>
      <c r="H152" s="72" t="s">
        <v>24</v>
      </c>
      <c r="I152" s="73">
        <v>45731</v>
      </c>
      <c r="J152" s="72">
        <v>26419998</v>
      </c>
      <c r="K152" s="72" t="s">
        <v>115</v>
      </c>
      <c r="L152" s="72" t="str">
        <f>_xlfn.XLOOKUP(Tabla2__2[[#This Row],[CODIGO RUTA]],'DATA INFORME'!I:I,'DATA INFORME'!K:K)</f>
        <v>SI</v>
      </c>
      <c r="M152" s="72" t="str">
        <f>IF(Tabla2__2[[#This Row],[MYSTERY EFECTIVO]]="SI",_xlfn.XLOOKUP(Tabla2__2[[#This Row],[PREGUNTA]],ENCUESTA!G:G,ENCUESTA!D:D),"N/A")</f>
        <v>LABOR DE VENTA</v>
      </c>
      <c r="N15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152" s="72" t="str">
        <f>_xlfn.XLOOKUP(Tabla2__2[[#This Row],[PREGUNTA]],ENCUESTA!G:G,ENCUESTA!H:H)</f>
        <v>SI</v>
      </c>
      <c r="P152" s="72">
        <f>IF(Tabla2__2[[#This Row],[RTA]]=Tabla2__2[[#This Row],[RTA CORRECTA]],Tabla2__2[[#This Row],[TOTAL PUNTAJE]],0)</f>
        <v>7.5</v>
      </c>
      <c r="Q152" s="72">
        <f t="shared" si="2"/>
        <v>0</v>
      </c>
    </row>
    <row r="153" spans="1:17" x14ac:dyDescent="0.25">
      <c r="A153" s="72" t="s">
        <v>39</v>
      </c>
      <c r="B153" s="72" t="s">
        <v>8</v>
      </c>
      <c r="C153" t="s">
        <v>15</v>
      </c>
      <c r="D153" s="72" t="s">
        <v>116</v>
      </c>
      <c r="E153" s="72">
        <v>180621</v>
      </c>
      <c r="F153" s="72" t="s">
        <v>211</v>
      </c>
      <c r="G153" s="72" t="s">
        <v>148</v>
      </c>
      <c r="H153" s="72" t="s">
        <v>118</v>
      </c>
      <c r="I153" s="73">
        <v>45731</v>
      </c>
      <c r="J153" s="72">
        <v>26419998</v>
      </c>
      <c r="K153" s="72" t="s">
        <v>115</v>
      </c>
      <c r="L153" s="72" t="str">
        <f>_xlfn.XLOOKUP(Tabla2__2[[#This Row],[CODIGO RUTA]],'DATA INFORME'!I:I,'DATA INFORME'!K:K)</f>
        <v>SI</v>
      </c>
      <c r="M153" s="72" t="str">
        <f>IF(Tabla2__2[[#This Row],[MYSTERY EFECTIVO]]="SI",_xlfn.XLOOKUP(Tabla2__2[[#This Row],[PREGUNTA]],ENCUESTA!G:G,ENCUESTA!D:D),"N/A")</f>
        <v>LABOR DE VENTA</v>
      </c>
      <c r="N15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153" s="72" t="str">
        <f>_xlfn.XLOOKUP(Tabla2__2[[#This Row],[PREGUNTA]],ENCUESTA!G:G,ENCUESTA!H:H)</f>
        <v>SI</v>
      </c>
      <c r="P153" s="72">
        <f>IF(Tabla2__2[[#This Row],[RTA]]=Tabla2__2[[#This Row],[RTA CORRECTA]],Tabla2__2[[#This Row],[TOTAL PUNTAJE]],0)</f>
        <v>0</v>
      </c>
      <c r="Q153" s="72">
        <f t="shared" si="2"/>
        <v>0</v>
      </c>
    </row>
    <row r="154" spans="1:17" x14ac:dyDescent="0.25">
      <c r="A154" s="72" t="s">
        <v>39</v>
      </c>
      <c r="B154" s="72" t="s">
        <v>8</v>
      </c>
      <c r="C154" t="s">
        <v>15</v>
      </c>
      <c r="D154" s="72" t="s">
        <v>116</v>
      </c>
      <c r="E154" s="72">
        <v>180621</v>
      </c>
      <c r="F154" s="72" t="s">
        <v>211</v>
      </c>
      <c r="G154" s="72" t="s">
        <v>50</v>
      </c>
      <c r="H154" s="72" t="s">
        <v>24</v>
      </c>
      <c r="I154" s="73">
        <v>45731</v>
      </c>
      <c r="J154" s="72">
        <v>26419998</v>
      </c>
      <c r="K154" s="72" t="s">
        <v>115</v>
      </c>
      <c r="L154" s="72" t="str">
        <f>_xlfn.XLOOKUP(Tabla2__2[[#This Row],[CODIGO RUTA]],'DATA INFORME'!I:I,'DATA INFORME'!K:K)</f>
        <v>SI</v>
      </c>
      <c r="M154" s="72" t="str">
        <f>IF(Tabla2__2[[#This Row],[MYSTERY EFECTIVO]]="SI",_xlfn.XLOOKUP(Tabla2__2[[#This Row],[PREGUNTA]],ENCUESTA!G:G,ENCUESTA!D:D),"N/A")</f>
        <v>PORTAFOLIO Y MANEJO DE OBJECIONES</v>
      </c>
      <c r="N15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54" s="72" t="str">
        <f>_xlfn.XLOOKUP(Tabla2__2[[#This Row],[PREGUNTA]],ENCUESTA!G:G,ENCUESTA!H:H)</f>
        <v>SI</v>
      </c>
      <c r="P154" s="72">
        <f>IF(Tabla2__2[[#This Row],[RTA]]=Tabla2__2[[#This Row],[RTA CORRECTA]],Tabla2__2[[#This Row],[TOTAL PUNTAJE]],0)</f>
        <v>2.4</v>
      </c>
      <c r="Q154" s="72">
        <f t="shared" si="2"/>
        <v>0</v>
      </c>
    </row>
    <row r="155" spans="1:17" x14ac:dyDescent="0.25">
      <c r="A155" s="72" t="s">
        <v>39</v>
      </c>
      <c r="B155" s="72" t="s">
        <v>8</v>
      </c>
      <c r="C155" t="s">
        <v>15</v>
      </c>
      <c r="D155" s="72" t="s">
        <v>116</v>
      </c>
      <c r="E155" s="72">
        <v>180621</v>
      </c>
      <c r="F155" s="72" t="s">
        <v>211</v>
      </c>
      <c r="G155" s="72" t="s">
        <v>51</v>
      </c>
      <c r="H155" s="72" t="s">
        <v>24</v>
      </c>
      <c r="I155" s="73">
        <v>45731</v>
      </c>
      <c r="J155" s="72">
        <v>26419998</v>
      </c>
      <c r="K155" s="72" t="s">
        <v>115</v>
      </c>
      <c r="L155" s="72" t="str">
        <f>_xlfn.XLOOKUP(Tabla2__2[[#This Row],[CODIGO RUTA]],'DATA INFORME'!I:I,'DATA INFORME'!K:K)</f>
        <v>SI</v>
      </c>
      <c r="M155" s="72" t="str">
        <f>IF(Tabla2__2[[#This Row],[MYSTERY EFECTIVO]]="SI",_xlfn.XLOOKUP(Tabla2__2[[#This Row],[PREGUNTA]],ENCUESTA!G:G,ENCUESTA!D:D),"N/A")</f>
        <v>PORTAFOLIO Y MANEJO DE OBJECIONES</v>
      </c>
      <c r="N155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4,8</v>
      </c>
      <c r="O155" s="72" t="str">
        <f>_xlfn.XLOOKUP(Tabla2__2[[#This Row],[PREGUNTA]],ENCUESTA!G:G,ENCUESTA!H:H)</f>
        <v>SI</v>
      </c>
      <c r="P155" s="72" t="str">
        <f>IF(Tabla2__2[[#This Row],[RTA]]=Tabla2__2[[#This Row],[RTA CORRECTA]],Tabla2__2[[#This Row],[TOTAL PUNTAJE]],0)</f>
        <v>4,8</v>
      </c>
      <c r="Q155" s="72">
        <f t="shared" si="2"/>
        <v>0</v>
      </c>
    </row>
    <row r="156" spans="1:17" x14ac:dyDescent="0.25">
      <c r="A156" s="72" t="s">
        <v>39</v>
      </c>
      <c r="B156" s="72" t="s">
        <v>8</v>
      </c>
      <c r="C156" t="s">
        <v>15</v>
      </c>
      <c r="D156" s="72" t="s">
        <v>116</v>
      </c>
      <c r="E156" s="72">
        <v>180621</v>
      </c>
      <c r="F156" s="72" t="s">
        <v>211</v>
      </c>
      <c r="G156" s="72" t="s">
        <v>41</v>
      </c>
      <c r="H156" s="72" t="s">
        <v>24</v>
      </c>
      <c r="I156" s="73">
        <v>45731</v>
      </c>
      <c r="J156" s="72">
        <v>26419998</v>
      </c>
      <c r="K156" s="72" t="s">
        <v>115</v>
      </c>
      <c r="L156" s="72" t="str">
        <f>_xlfn.XLOOKUP(Tabla2__2[[#This Row],[CODIGO RUTA]],'DATA INFORME'!I:I,'DATA INFORME'!K:K)</f>
        <v>SI</v>
      </c>
      <c r="M156" s="72" t="str">
        <f>IF(Tabla2__2[[#This Row],[MYSTERY EFECTIVO]]="SI",_xlfn.XLOOKUP(Tabla2__2[[#This Row],[PREGUNTA]],ENCUESTA!G:G,ENCUESTA!D:D),"N/A")</f>
        <v>N/A</v>
      </c>
      <c r="N15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56" s="72" t="str">
        <f>_xlfn.XLOOKUP(Tabla2__2[[#This Row],[PREGUNTA]],ENCUESTA!G:G,ENCUESTA!H:H)</f>
        <v>SI</v>
      </c>
      <c r="P156" s="72">
        <f>IF(Tabla2__2[[#This Row],[RTA]]=Tabla2__2[[#This Row],[RTA CORRECTA]],Tabla2__2[[#This Row],[TOTAL PUNTAJE]],0)</f>
        <v>0</v>
      </c>
      <c r="Q156" s="72">
        <f t="shared" si="2"/>
        <v>0</v>
      </c>
    </row>
    <row r="157" spans="1:17" x14ac:dyDescent="0.25">
      <c r="A157" s="72" t="s">
        <v>39</v>
      </c>
      <c r="B157" s="72" t="s">
        <v>8</v>
      </c>
      <c r="C157" t="s">
        <v>15</v>
      </c>
      <c r="D157" s="72" t="s">
        <v>116</v>
      </c>
      <c r="E157" s="72">
        <v>180621</v>
      </c>
      <c r="F157" s="72" t="s">
        <v>211</v>
      </c>
      <c r="G157" s="72" t="s">
        <v>177</v>
      </c>
      <c r="H157" s="72" t="s">
        <v>118</v>
      </c>
      <c r="I157" s="73">
        <v>45731</v>
      </c>
      <c r="J157" s="72">
        <v>26419998</v>
      </c>
      <c r="K157" s="72" t="s">
        <v>115</v>
      </c>
      <c r="L157" s="72" t="str">
        <f>_xlfn.XLOOKUP(Tabla2__2[[#This Row],[CODIGO RUTA]],'DATA INFORME'!I:I,'DATA INFORME'!K:K)</f>
        <v>SI</v>
      </c>
      <c r="M157" s="72" t="str">
        <f>IF(Tabla2__2[[#This Row],[MYSTERY EFECTIVO]]="SI",_xlfn.XLOOKUP(Tabla2__2[[#This Row],[PREGUNTA]],ENCUESTA!G:G,ENCUESTA!D:D),"N/A")</f>
        <v>PORTAFOLIO Y MANEJO DE OBJECIONES</v>
      </c>
      <c r="N15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57" s="72" t="str">
        <f>_xlfn.XLOOKUP(Tabla2__2[[#This Row],[PREGUNTA]],ENCUESTA!G:G,ENCUESTA!H:H)</f>
        <v>SI</v>
      </c>
      <c r="P157" s="72">
        <f>IF(Tabla2__2[[#This Row],[RTA]]=Tabla2__2[[#This Row],[RTA CORRECTA]],Tabla2__2[[#This Row],[TOTAL PUNTAJE]],0)</f>
        <v>0</v>
      </c>
      <c r="Q157" s="72">
        <f t="shared" si="2"/>
        <v>0</v>
      </c>
    </row>
    <row r="158" spans="1:17" x14ac:dyDescent="0.25">
      <c r="A158" s="72" t="s">
        <v>39</v>
      </c>
      <c r="B158" s="72" t="s">
        <v>8</v>
      </c>
      <c r="C158" t="s">
        <v>15</v>
      </c>
      <c r="D158" s="72" t="s">
        <v>116</v>
      </c>
      <c r="E158" s="72">
        <v>180621</v>
      </c>
      <c r="F158" s="72" t="s">
        <v>211</v>
      </c>
      <c r="G158" s="72" t="s">
        <v>175</v>
      </c>
      <c r="H158" s="72" t="s">
        <v>24</v>
      </c>
      <c r="I158" s="73">
        <v>45731</v>
      </c>
      <c r="J158" s="72">
        <v>26419998</v>
      </c>
      <c r="K158" s="72" t="s">
        <v>115</v>
      </c>
      <c r="L158" s="72" t="str">
        <f>_xlfn.XLOOKUP(Tabla2__2[[#This Row],[CODIGO RUTA]],'DATA INFORME'!I:I,'DATA INFORME'!K:K)</f>
        <v>SI</v>
      </c>
      <c r="M158" s="72" t="str">
        <f>IF(Tabla2__2[[#This Row],[MYSTERY EFECTIVO]]="SI",_xlfn.XLOOKUP(Tabla2__2[[#This Row],[PREGUNTA]],ENCUESTA!G:G,ENCUESTA!D:D),"N/A")</f>
        <v>PORTAFOLIO Y MANEJO DE OBJECIONES</v>
      </c>
      <c r="N15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58" s="72" t="str">
        <f>_xlfn.XLOOKUP(Tabla2__2[[#This Row],[PREGUNTA]],ENCUESTA!G:G,ENCUESTA!H:H)</f>
        <v>SI</v>
      </c>
      <c r="P158" s="72">
        <f>IF(Tabla2__2[[#This Row],[RTA]]=Tabla2__2[[#This Row],[RTA CORRECTA]],Tabla2__2[[#This Row],[TOTAL PUNTAJE]],0)</f>
        <v>2.4</v>
      </c>
      <c r="Q158" s="72">
        <f t="shared" si="2"/>
        <v>0</v>
      </c>
    </row>
    <row r="159" spans="1:17" x14ac:dyDescent="0.25">
      <c r="A159" s="72" t="s">
        <v>39</v>
      </c>
      <c r="B159" s="72" t="s">
        <v>8</v>
      </c>
      <c r="C159" t="s">
        <v>15</v>
      </c>
      <c r="D159" s="72" t="s">
        <v>116</v>
      </c>
      <c r="E159" s="72">
        <v>180621</v>
      </c>
      <c r="F159" s="72" t="s">
        <v>211</v>
      </c>
      <c r="G159" s="72" t="s">
        <v>49</v>
      </c>
      <c r="H159" s="72" t="s">
        <v>24</v>
      </c>
      <c r="I159" s="73">
        <v>45731</v>
      </c>
      <c r="J159" s="72">
        <v>26419998</v>
      </c>
      <c r="K159" s="72" t="s">
        <v>115</v>
      </c>
      <c r="L159" s="72" t="str">
        <f>_xlfn.XLOOKUP(Tabla2__2[[#This Row],[CODIGO RUTA]],'DATA INFORME'!I:I,'DATA INFORME'!K:K)</f>
        <v>SI</v>
      </c>
      <c r="M159" s="72" t="str">
        <f>IF(Tabla2__2[[#This Row],[MYSTERY EFECTIVO]]="SI",_xlfn.XLOOKUP(Tabla2__2[[#This Row],[PREGUNTA]],ENCUESTA!G:G,ENCUESTA!D:D),"N/A")</f>
        <v>UNIFORME</v>
      </c>
      <c r="N15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59" s="72" t="str">
        <f>_xlfn.XLOOKUP(Tabla2__2[[#This Row],[PREGUNTA]],ENCUESTA!G:G,ENCUESTA!H:H)</f>
        <v>SI</v>
      </c>
      <c r="P159" s="72">
        <f>IF(Tabla2__2[[#This Row],[RTA]]=Tabla2__2[[#This Row],[RTA CORRECTA]],Tabla2__2[[#This Row],[TOTAL PUNTAJE]],0)</f>
        <v>1.5</v>
      </c>
      <c r="Q159" s="72">
        <f t="shared" si="2"/>
        <v>0</v>
      </c>
    </row>
    <row r="160" spans="1:17" x14ac:dyDescent="0.25">
      <c r="A160" s="72" t="s">
        <v>39</v>
      </c>
      <c r="B160" s="72" t="s">
        <v>8</v>
      </c>
      <c r="C160" t="s">
        <v>15</v>
      </c>
      <c r="D160" s="72" t="s">
        <v>116</v>
      </c>
      <c r="E160" s="72">
        <v>180621</v>
      </c>
      <c r="F160" s="72" t="s">
        <v>211</v>
      </c>
      <c r="G160" s="72" t="s">
        <v>173</v>
      </c>
      <c r="H160" s="72" t="s">
        <v>24</v>
      </c>
      <c r="I160" s="73">
        <v>45731</v>
      </c>
      <c r="J160" s="72">
        <v>26419998</v>
      </c>
      <c r="K160" s="72" t="s">
        <v>115</v>
      </c>
      <c r="L160" s="72" t="str">
        <f>_xlfn.XLOOKUP(Tabla2__2[[#This Row],[CODIGO RUTA]],'DATA INFORME'!I:I,'DATA INFORME'!K:K)</f>
        <v>SI</v>
      </c>
      <c r="M160" s="72" t="str">
        <f>IF(Tabla2__2[[#This Row],[MYSTERY EFECTIVO]]="SI",_xlfn.XLOOKUP(Tabla2__2[[#This Row],[PREGUNTA]],ENCUESTA!G:G,ENCUESTA!D:D),"N/A")</f>
        <v>PORTAFOLIO Y MANEJO DE OBJECIONES</v>
      </c>
      <c r="N16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60" s="72" t="str">
        <f>_xlfn.XLOOKUP(Tabla2__2[[#This Row],[PREGUNTA]],ENCUESTA!G:G,ENCUESTA!H:H)</f>
        <v>SI</v>
      </c>
      <c r="P160" s="72">
        <f>IF(Tabla2__2[[#This Row],[RTA]]=Tabla2__2[[#This Row],[RTA CORRECTA]],Tabla2__2[[#This Row],[TOTAL PUNTAJE]],0)</f>
        <v>2.4</v>
      </c>
      <c r="Q160" s="72">
        <f t="shared" si="2"/>
        <v>0</v>
      </c>
    </row>
    <row r="161" spans="1:17" x14ac:dyDescent="0.25">
      <c r="A161" s="72" t="s">
        <v>39</v>
      </c>
      <c r="B161" s="72" t="s">
        <v>8</v>
      </c>
      <c r="C161" t="s">
        <v>15</v>
      </c>
      <c r="D161" s="72" t="s">
        <v>116</v>
      </c>
      <c r="E161" s="72">
        <v>180621</v>
      </c>
      <c r="F161" s="72" t="s">
        <v>211</v>
      </c>
      <c r="G161" s="72" t="s">
        <v>169</v>
      </c>
      <c r="H161" s="72" t="s">
        <v>24</v>
      </c>
      <c r="I161" s="73">
        <v>45731</v>
      </c>
      <c r="J161" s="72">
        <v>26419998</v>
      </c>
      <c r="K161" s="72" t="s">
        <v>115</v>
      </c>
      <c r="L161" s="72" t="str">
        <f>_xlfn.XLOOKUP(Tabla2__2[[#This Row],[CODIGO RUTA]],'DATA INFORME'!I:I,'DATA INFORME'!K:K)</f>
        <v>SI</v>
      </c>
      <c r="M161" s="72" t="str">
        <f>IF(Tabla2__2[[#This Row],[MYSTERY EFECTIVO]]="SI",_xlfn.XLOOKUP(Tabla2__2[[#This Row],[PREGUNTA]],ENCUESTA!G:G,ENCUESTA!D:D),"N/A")</f>
        <v>PORTAFOLIO Y MANEJO DE OBJECIONES</v>
      </c>
      <c r="N16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61" s="72" t="str">
        <f>_xlfn.XLOOKUP(Tabla2__2[[#This Row],[PREGUNTA]],ENCUESTA!G:G,ENCUESTA!H:H)</f>
        <v>SI</v>
      </c>
      <c r="P161" s="72">
        <f>IF(Tabla2__2[[#This Row],[RTA]]=Tabla2__2[[#This Row],[RTA CORRECTA]],Tabla2__2[[#This Row],[TOTAL PUNTAJE]],0)</f>
        <v>2.4</v>
      </c>
      <c r="Q161" s="72">
        <f t="shared" si="2"/>
        <v>0</v>
      </c>
    </row>
    <row r="162" spans="1:17" x14ac:dyDescent="0.25">
      <c r="A162" s="72" t="s">
        <v>39</v>
      </c>
      <c r="B162" s="72" t="s">
        <v>8</v>
      </c>
      <c r="C162" t="s">
        <v>15</v>
      </c>
      <c r="D162" s="72" t="s">
        <v>116</v>
      </c>
      <c r="E162" s="72">
        <v>180621</v>
      </c>
      <c r="F162" s="72" t="s">
        <v>211</v>
      </c>
      <c r="G162" s="72" t="s">
        <v>102</v>
      </c>
      <c r="H162" s="72" t="s">
        <v>167</v>
      </c>
      <c r="I162" s="73">
        <v>45731</v>
      </c>
      <c r="J162" s="72">
        <v>26419998</v>
      </c>
      <c r="K162" s="72" t="s">
        <v>115</v>
      </c>
      <c r="L162" s="72" t="str">
        <f>_xlfn.XLOOKUP(Tabla2__2[[#This Row],[CODIGO RUTA]],'DATA INFORME'!I:I,'DATA INFORME'!K:K)</f>
        <v>SI</v>
      </c>
      <c r="M162" s="72" t="str">
        <f>IF(Tabla2__2[[#This Row],[MYSTERY EFECTIVO]]="SI",_xlfn.XLOOKUP(Tabla2__2[[#This Row],[PREGUNTA]],ENCUESTA!G:G,ENCUESTA!D:D),"N/A")</f>
        <v>N/A</v>
      </c>
      <c r="N16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2" s="72">
        <f>_xlfn.XLOOKUP(Tabla2__2[[#This Row],[PREGUNTA]],ENCUESTA!G:G,ENCUESTA!H:H)</f>
        <v>0</v>
      </c>
      <c r="P162" s="72">
        <f>IF(Tabla2__2[[#This Row],[RTA]]=Tabla2__2[[#This Row],[RTA CORRECTA]],Tabla2__2[[#This Row],[TOTAL PUNTAJE]],0)</f>
        <v>0</v>
      </c>
      <c r="Q162" s="72">
        <f t="shared" si="2"/>
        <v>0</v>
      </c>
    </row>
    <row r="163" spans="1:17" x14ac:dyDescent="0.25">
      <c r="A163" s="72" t="s">
        <v>39</v>
      </c>
      <c r="B163" s="72" t="s">
        <v>8</v>
      </c>
      <c r="C163" t="s">
        <v>15</v>
      </c>
      <c r="D163" s="72" t="s">
        <v>116</v>
      </c>
      <c r="E163" s="72">
        <v>180621</v>
      </c>
      <c r="F163" s="72" t="s">
        <v>211</v>
      </c>
      <c r="G163" s="72" t="s">
        <v>99</v>
      </c>
      <c r="H163" s="72" t="s">
        <v>24</v>
      </c>
      <c r="I163" s="73">
        <v>45731</v>
      </c>
      <c r="J163" s="72">
        <v>26419998</v>
      </c>
      <c r="K163" s="72" t="s">
        <v>115</v>
      </c>
      <c r="L163" s="72" t="str">
        <f>_xlfn.XLOOKUP(Tabla2__2[[#This Row],[CODIGO RUTA]],'DATA INFORME'!I:I,'DATA INFORME'!K:K)</f>
        <v>SI</v>
      </c>
      <c r="M163" s="72" t="str">
        <f>IF(Tabla2__2[[#This Row],[MYSTERY EFECTIVO]]="SI",_xlfn.XLOOKUP(Tabla2__2[[#This Row],[PREGUNTA]],ENCUESTA!G:G,ENCUESTA!D:D),"N/A")</f>
        <v>PORTAFOLIO Y MANEJO DE OBJECIONES</v>
      </c>
      <c r="N16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163" s="72" t="str">
        <f>_xlfn.XLOOKUP(Tabla2__2[[#This Row],[PREGUNTA]],ENCUESTA!G:G,ENCUESTA!H:H)</f>
        <v>SI</v>
      </c>
      <c r="P163" s="72">
        <f>IF(Tabla2__2[[#This Row],[RTA]]=Tabla2__2[[#This Row],[RTA CORRECTA]],Tabla2__2[[#This Row],[TOTAL PUNTAJE]],0)</f>
        <v>3</v>
      </c>
      <c r="Q163" s="72">
        <f t="shared" si="2"/>
        <v>0</v>
      </c>
    </row>
    <row r="164" spans="1:17" x14ac:dyDescent="0.25">
      <c r="A164" s="72" t="s">
        <v>39</v>
      </c>
      <c r="B164" s="72" t="s">
        <v>8</v>
      </c>
      <c r="C164" t="s">
        <v>15</v>
      </c>
      <c r="D164" s="72" t="s">
        <v>116</v>
      </c>
      <c r="E164" s="72">
        <v>180621</v>
      </c>
      <c r="F164" s="72" t="s">
        <v>211</v>
      </c>
      <c r="G164" s="72" t="s">
        <v>101</v>
      </c>
      <c r="H164" s="72" t="s">
        <v>24</v>
      </c>
      <c r="I164" s="73">
        <v>45731</v>
      </c>
      <c r="J164" s="72">
        <v>26419998</v>
      </c>
      <c r="K164" s="72" t="s">
        <v>115</v>
      </c>
      <c r="L164" s="72" t="str">
        <f>_xlfn.XLOOKUP(Tabla2__2[[#This Row],[CODIGO RUTA]],'DATA INFORME'!I:I,'DATA INFORME'!K:K)</f>
        <v>SI</v>
      </c>
      <c r="M164" s="72" t="str">
        <f>IF(Tabla2__2[[#This Row],[MYSTERY EFECTIVO]]="SI",_xlfn.XLOOKUP(Tabla2__2[[#This Row],[PREGUNTA]],ENCUESTA!G:G,ENCUESTA!D:D),"N/A")</f>
        <v>PORTAFOLIO Y MANEJO DE OBJECIONES</v>
      </c>
      <c r="N16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164" s="72" t="str">
        <f>_xlfn.XLOOKUP(Tabla2__2[[#This Row],[PREGUNTA]],ENCUESTA!G:G,ENCUESTA!H:H)</f>
        <v>SI</v>
      </c>
      <c r="P164" s="72">
        <f>IF(Tabla2__2[[#This Row],[RTA]]=Tabla2__2[[#This Row],[RTA CORRECTA]],Tabla2__2[[#This Row],[TOTAL PUNTAJE]],0)</f>
        <v>3</v>
      </c>
      <c r="Q164" s="72">
        <f t="shared" si="2"/>
        <v>0</v>
      </c>
    </row>
    <row r="165" spans="1:17" x14ac:dyDescent="0.25">
      <c r="A165" s="72" t="s">
        <v>39</v>
      </c>
      <c r="B165" s="72" t="s">
        <v>8</v>
      </c>
      <c r="C165" t="s">
        <v>15</v>
      </c>
      <c r="D165" s="72" t="s">
        <v>116</v>
      </c>
      <c r="E165" s="72">
        <v>180621</v>
      </c>
      <c r="F165" s="72" t="s">
        <v>211</v>
      </c>
      <c r="G165" s="72" t="s">
        <v>138</v>
      </c>
      <c r="H165" s="72" t="s">
        <v>24</v>
      </c>
      <c r="I165" s="73">
        <v>45731</v>
      </c>
      <c r="J165" s="72">
        <v>26419998</v>
      </c>
      <c r="K165" s="72" t="s">
        <v>115</v>
      </c>
      <c r="L165" s="72" t="str">
        <f>_xlfn.XLOOKUP(Tabla2__2[[#This Row],[CODIGO RUTA]],'DATA INFORME'!I:I,'DATA INFORME'!K:K)</f>
        <v>SI</v>
      </c>
      <c r="M165" s="72" t="str">
        <f>IF(Tabla2__2[[#This Row],[MYSTERY EFECTIVO]]="SI",_xlfn.XLOOKUP(Tabla2__2[[#This Row],[PREGUNTA]],ENCUESTA!G:G,ENCUESTA!D:D),"N/A")</f>
        <v>ABORDAJE</v>
      </c>
      <c r="N16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65" s="72" t="str">
        <f>_xlfn.XLOOKUP(Tabla2__2[[#This Row],[PREGUNTA]],ENCUESTA!G:G,ENCUESTA!H:H)</f>
        <v>SI</v>
      </c>
      <c r="P165" s="72">
        <f>IF(Tabla2__2[[#This Row],[RTA]]=Tabla2__2[[#This Row],[RTA CORRECTA]],Tabla2__2[[#This Row],[TOTAL PUNTAJE]],0)</f>
        <v>20</v>
      </c>
      <c r="Q165" s="72">
        <f t="shared" si="2"/>
        <v>0</v>
      </c>
    </row>
    <row r="166" spans="1:17" x14ac:dyDescent="0.25">
      <c r="A166" s="72" t="s">
        <v>39</v>
      </c>
      <c r="B166" s="72" t="s">
        <v>8</v>
      </c>
      <c r="C166" t="s">
        <v>15</v>
      </c>
      <c r="D166" s="72" t="s">
        <v>116</v>
      </c>
      <c r="E166" s="72">
        <v>180621</v>
      </c>
      <c r="F166" s="72" t="s">
        <v>211</v>
      </c>
      <c r="G166" s="72" t="s">
        <v>46</v>
      </c>
      <c r="H166" s="72" t="s">
        <v>24</v>
      </c>
      <c r="I166" s="73">
        <v>45731</v>
      </c>
      <c r="J166" s="72">
        <v>26419998</v>
      </c>
      <c r="K166" s="72" t="s">
        <v>115</v>
      </c>
      <c r="L166" s="72" t="str">
        <f>_xlfn.XLOOKUP(Tabla2__2[[#This Row],[CODIGO RUTA]],'DATA INFORME'!I:I,'DATA INFORME'!K:K)</f>
        <v>SI</v>
      </c>
      <c r="M166" s="72" t="str">
        <f>IF(Tabla2__2[[#This Row],[MYSTERY EFECTIVO]]="SI",_xlfn.XLOOKUP(Tabla2__2[[#This Row],[PREGUNTA]],ENCUESTA!G:G,ENCUESTA!D:D),"N/A")</f>
        <v>UNIFORME</v>
      </c>
      <c r="N16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66" s="72" t="str">
        <f>_xlfn.XLOOKUP(Tabla2__2[[#This Row],[PREGUNTA]],ENCUESTA!G:G,ENCUESTA!H:H)</f>
        <v>NO</v>
      </c>
      <c r="P166" s="72">
        <f>IF(Tabla2__2[[#This Row],[RTA]]=Tabla2__2[[#This Row],[RTA CORRECTA]],Tabla2__2[[#This Row],[TOTAL PUNTAJE]],0)</f>
        <v>0</v>
      </c>
      <c r="Q166" s="72">
        <f t="shared" si="2"/>
        <v>0</v>
      </c>
    </row>
    <row r="167" spans="1:17" x14ac:dyDescent="0.25">
      <c r="A167" s="72" t="s">
        <v>39</v>
      </c>
      <c r="B167" s="72" t="s">
        <v>8</v>
      </c>
      <c r="C167" t="s">
        <v>15</v>
      </c>
      <c r="D167" s="72" t="s">
        <v>116</v>
      </c>
      <c r="E167" s="72">
        <v>180621</v>
      </c>
      <c r="F167" s="72" t="s">
        <v>211</v>
      </c>
      <c r="G167" s="72" t="s">
        <v>47</v>
      </c>
      <c r="H167" s="72" t="s">
        <v>118</v>
      </c>
      <c r="I167" s="73">
        <v>45731</v>
      </c>
      <c r="J167" s="72">
        <v>26419998</v>
      </c>
      <c r="K167" s="72" t="s">
        <v>115</v>
      </c>
      <c r="L167" s="72" t="str">
        <f>_xlfn.XLOOKUP(Tabla2__2[[#This Row],[CODIGO RUTA]],'DATA INFORME'!I:I,'DATA INFORME'!K:K)</f>
        <v>SI</v>
      </c>
      <c r="M167" s="72" t="str">
        <f>IF(Tabla2__2[[#This Row],[MYSTERY EFECTIVO]]="SI",_xlfn.XLOOKUP(Tabla2__2[[#This Row],[PREGUNTA]],ENCUESTA!G:G,ENCUESTA!D:D),"N/A")</f>
        <v>UNIFORME</v>
      </c>
      <c r="N16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67" s="72" t="str">
        <f>_xlfn.XLOOKUP(Tabla2__2[[#This Row],[PREGUNTA]],ENCUESTA!G:G,ENCUESTA!H:H)</f>
        <v>NO</v>
      </c>
      <c r="P167" s="72">
        <f>IF(Tabla2__2[[#This Row],[RTA]]=Tabla2__2[[#This Row],[RTA CORRECTA]],Tabla2__2[[#This Row],[TOTAL PUNTAJE]],0)</f>
        <v>1.5</v>
      </c>
      <c r="Q167" s="72">
        <f t="shared" si="2"/>
        <v>0</v>
      </c>
    </row>
    <row r="168" spans="1:17" x14ac:dyDescent="0.25">
      <c r="A168" s="72" t="s">
        <v>39</v>
      </c>
      <c r="B168" s="72" t="s">
        <v>8</v>
      </c>
      <c r="C168" t="s">
        <v>15</v>
      </c>
      <c r="D168" s="72" t="s">
        <v>116</v>
      </c>
      <c r="E168" s="72">
        <v>180621</v>
      </c>
      <c r="F168" s="72" t="s">
        <v>211</v>
      </c>
      <c r="G168" s="72" t="s">
        <v>48</v>
      </c>
      <c r="H168" s="72" t="s">
        <v>118</v>
      </c>
      <c r="I168" s="73">
        <v>45731</v>
      </c>
      <c r="J168" s="72">
        <v>26419998</v>
      </c>
      <c r="K168" s="72" t="s">
        <v>115</v>
      </c>
      <c r="L168" s="72" t="str">
        <f>_xlfn.XLOOKUP(Tabla2__2[[#This Row],[CODIGO RUTA]],'DATA INFORME'!I:I,'DATA INFORME'!K:K)</f>
        <v>SI</v>
      </c>
      <c r="M168" s="72" t="str">
        <f>IF(Tabla2__2[[#This Row],[MYSTERY EFECTIVO]]="SI",_xlfn.XLOOKUP(Tabla2__2[[#This Row],[PREGUNTA]],ENCUESTA!G:G,ENCUESTA!D:D),"N/A")</f>
        <v>UNIFORME</v>
      </c>
      <c r="N16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68" s="72" t="str">
        <f>_xlfn.XLOOKUP(Tabla2__2[[#This Row],[PREGUNTA]],ENCUESTA!G:G,ENCUESTA!H:H)</f>
        <v>NO</v>
      </c>
      <c r="P168" s="72">
        <f>IF(Tabla2__2[[#This Row],[RTA]]=Tabla2__2[[#This Row],[RTA CORRECTA]],Tabla2__2[[#This Row],[TOTAL PUNTAJE]],0)</f>
        <v>1.5</v>
      </c>
      <c r="Q168" s="72">
        <f t="shared" si="2"/>
        <v>0</v>
      </c>
    </row>
    <row r="169" spans="1:17" x14ac:dyDescent="0.25">
      <c r="A169" s="72" t="s">
        <v>39</v>
      </c>
      <c r="B169" s="72" t="s">
        <v>8</v>
      </c>
      <c r="C169" t="s">
        <v>15</v>
      </c>
      <c r="D169" s="72" t="s">
        <v>116</v>
      </c>
      <c r="E169" s="72">
        <v>180621</v>
      </c>
      <c r="F169" s="72" t="s">
        <v>211</v>
      </c>
      <c r="G169" s="72" t="s">
        <v>171</v>
      </c>
      <c r="H169" s="72" t="s">
        <v>24</v>
      </c>
      <c r="I169" s="73">
        <v>45731</v>
      </c>
      <c r="J169" s="72">
        <v>26419998</v>
      </c>
      <c r="K169" s="72" t="s">
        <v>115</v>
      </c>
      <c r="L169" s="72" t="str">
        <f>_xlfn.XLOOKUP(Tabla2__2[[#This Row],[CODIGO RUTA]],'DATA INFORME'!I:I,'DATA INFORME'!K:K)</f>
        <v>SI</v>
      </c>
      <c r="M169" s="72" t="str">
        <f>IF(Tabla2__2[[#This Row],[MYSTERY EFECTIVO]]="SI",_xlfn.XLOOKUP(Tabla2__2[[#This Row],[PREGUNTA]],ENCUESTA!G:G,ENCUESTA!D:D),"N/A")</f>
        <v>PORTAFOLIO Y MANEJO DE OBJECIONES</v>
      </c>
      <c r="N16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69" s="72" t="str">
        <f>_xlfn.XLOOKUP(Tabla2__2[[#This Row],[PREGUNTA]],ENCUESTA!G:G,ENCUESTA!H:H)</f>
        <v>SI</v>
      </c>
      <c r="P169" s="72">
        <f>IF(Tabla2__2[[#This Row],[RTA]]=Tabla2__2[[#This Row],[RTA CORRECTA]],Tabla2__2[[#This Row],[TOTAL PUNTAJE]],0)</f>
        <v>2.4</v>
      </c>
      <c r="Q169" s="72">
        <f t="shared" si="2"/>
        <v>0</v>
      </c>
    </row>
    <row r="170" spans="1:17" x14ac:dyDescent="0.25">
      <c r="A170" s="72" t="s">
        <v>39</v>
      </c>
      <c r="B170" s="72" t="s">
        <v>194</v>
      </c>
      <c r="C170" t="s">
        <v>16</v>
      </c>
      <c r="D170" s="72" t="s">
        <v>187</v>
      </c>
      <c r="E170" s="72">
        <v>12130</v>
      </c>
      <c r="F170" s="72" t="s">
        <v>196</v>
      </c>
      <c r="G170" s="72" t="s">
        <v>40</v>
      </c>
      <c r="H170" s="72" t="s">
        <v>118</v>
      </c>
      <c r="I170" s="73">
        <v>45733</v>
      </c>
      <c r="J170" s="72">
        <v>26409010</v>
      </c>
      <c r="K170" s="72" t="s">
        <v>201</v>
      </c>
      <c r="L170" s="72" t="str">
        <f>_xlfn.XLOOKUP(Tabla2__2[[#This Row],[CODIGO RUTA]],'DATA INFORME'!I:I,'DATA INFORME'!K:K)</f>
        <v>NO</v>
      </c>
      <c r="M170" s="72" t="str">
        <f>IF(Tabla2__2[[#This Row],[MYSTERY EFECTIVO]]="SI",_xlfn.XLOOKUP(Tabla2__2[[#This Row],[PREGUNTA]],ENCUESTA!G:G,ENCUESTA!D:D),"N/A")</f>
        <v>N/A</v>
      </c>
      <c r="N17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0" s="72" t="str">
        <f>_xlfn.XLOOKUP(Tabla2__2[[#This Row],[PREGUNTA]],ENCUESTA!G:G,ENCUESTA!H:H)</f>
        <v>SI</v>
      </c>
      <c r="P170" s="72">
        <f>IF(Tabla2__2[[#This Row],[RTA]]=Tabla2__2[[#This Row],[RTA CORRECTA]],Tabla2__2[[#This Row],[TOTAL PUNTAJE]],0)</f>
        <v>0</v>
      </c>
      <c r="Q170" s="72">
        <f t="shared" si="2"/>
        <v>0</v>
      </c>
    </row>
    <row r="171" spans="1:17" x14ac:dyDescent="0.25">
      <c r="A171" s="72" t="s">
        <v>39</v>
      </c>
      <c r="B171" s="72" t="s">
        <v>194</v>
      </c>
      <c r="C171" t="s">
        <v>16</v>
      </c>
      <c r="D171" s="72" t="s">
        <v>187</v>
      </c>
      <c r="E171" s="72">
        <v>12130</v>
      </c>
      <c r="F171" s="72" t="s">
        <v>196</v>
      </c>
      <c r="G171" s="72" t="s">
        <v>202</v>
      </c>
      <c r="H171" s="72" t="s">
        <v>203</v>
      </c>
      <c r="I171" s="73">
        <v>45733</v>
      </c>
      <c r="J171" s="72">
        <v>26409010</v>
      </c>
      <c r="K171" s="72" t="s">
        <v>201</v>
      </c>
      <c r="L171" s="72" t="str">
        <f>_xlfn.XLOOKUP(Tabla2__2[[#This Row],[CODIGO RUTA]],'DATA INFORME'!I:I,'DATA INFORME'!K:K)</f>
        <v>NO</v>
      </c>
      <c r="M171" s="72" t="str">
        <f>IF(Tabla2__2[[#This Row],[MYSTERY EFECTIVO]]="SI",_xlfn.XLOOKUP(Tabla2__2[[#This Row],[PREGUNTA]],ENCUESTA!G:G,ENCUESTA!D:D),"N/A")</f>
        <v>N/A</v>
      </c>
      <c r="N17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1" s="72">
        <f>_xlfn.XLOOKUP(Tabla2__2[[#This Row],[PREGUNTA]],ENCUESTA!G:G,ENCUESTA!H:H)</f>
        <v>0</v>
      </c>
      <c r="P171" s="72">
        <f>IF(Tabla2__2[[#This Row],[RTA]]=Tabla2__2[[#This Row],[RTA CORRECTA]],Tabla2__2[[#This Row],[TOTAL PUNTAJE]],0)</f>
        <v>0</v>
      </c>
      <c r="Q171" s="72">
        <f t="shared" si="2"/>
        <v>0</v>
      </c>
    </row>
    <row r="172" spans="1:17" x14ac:dyDescent="0.25">
      <c r="A172" s="72" t="s">
        <v>39</v>
      </c>
      <c r="B172" s="72" t="s">
        <v>194</v>
      </c>
      <c r="C172" t="s">
        <v>16</v>
      </c>
      <c r="D172" s="72" t="s">
        <v>187</v>
      </c>
      <c r="E172" s="72">
        <v>12130</v>
      </c>
      <c r="F172" s="72" t="s">
        <v>196</v>
      </c>
      <c r="G172" s="72" t="s">
        <v>189</v>
      </c>
      <c r="H172" s="72" t="s">
        <v>24</v>
      </c>
      <c r="I172" s="73">
        <v>45733</v>
      </c>
      <c r="J172" s="72">
        <v>26409010</v>
      </c>
      <c r="K172" s="72" t="s">
        <v>201</v>
      </c>
      <c r="L172" s="72" t="str">
        <f>_xlfn.XLOOKUP(Tabla2__2[[#This Row],[CODIGO RUTA]],'DATA INFORME'!I:I,'DATA INFORME'!K:K)</f>
        <v>NO</v>
      </c>
      <c r="M172" s="72" t="str">
        <f>IF(Tabla2__2[[#This Row],[MYSTERY EFECTIVO]]="SI",_xlfn.XLOOKUP(Tabla2__2[[#This Row],[PREGUNTA]],ENCUESTA!G:G,ENCUESTA!D:D),"N/A")</f>
        <v>N/A</v>
      </c>
      <c r="N17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2" s="72">
        <f>_xlfn.XLOOKUP(Tabla2__2[[#This Row],[PREGUNTA]],ENCUESTA!G:G,ENCUESTA!H:H)</f>
        <v>0</v>
      </c>
      <c r="P172" s="72">
        <f>IF(Tabla2__2[[#This Row],[RTA]]=Tabla2__2[[#This Row],[RTA CORRECTA]],Tabla2__2[[#This Row],[TOTAL PUNTAJE]],0)</f>
        <v>0</v>
      </c>
      <c r="Q172" s="72">
        <f t="shared" si="2"/>
        <v>0</v>
      </c>
    </row>
    <row r="173" spans="1:17" x14ac:dyDescent="0.25">
      <c r="A173" s="72" t="s">
        <v>39</v>
      </c>
      <c r="B173" s="72" t="s">
        <v>8</v>
      </c>
      <c r="C173" t="s">
        <v>15</v>
      </c>
      <c r="D173" s="72" t="s">
        <v>116</v>
      </c>
      <c r="E173" s="72">
        <v>109096</v>
      </c>
      <c r="F173" s="72" t="s">
        <v>221</v>
      </c>
      <c r="G173" s="72" t="s">
        <v>45</v>
      </c>
      <c r="H173" s="72" t="s">
        <v>118</v>
      </c>
      <c r="I173" s="73">
        <v>45734</v>
      </c>
      <c r="J173" s="72">
        <v>26424986</v>
      </c>
      <c r="K173" s="72" t="s">
        <v>53</v>
      </c>
      <c r="L173" s="72" t="str">
        <f>_xlfn.XLOOKUP(Tabla2__2[[#This Row],[CODIGO RUTA]],'DATA INFORME'!I:I,'DATA INFORME'!K:K)</f>
        <v>SI</v>
      </c>
      <c r="M173" s="72" t="str">
        <f>IF(Tabla2__2[[#This Row],[MYSTERY EFECTIVO]]="SI",_xlfn.XLOOKUP(Tabla2__2[[#This Row],[PREGUNTA]],ENCUESTA!G:G,ENCUESTA!D:D),"N/A")</f>
        <v>LABOR DE VENTA</v>
      </c>
      <c r="N17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173" s="72" t="str">
        <f>_xlfn.XLOOKUP(Tabla2__2[[#This Row],[PREGUNTA]],ENCUESTA!G:G,ENCUESTA!H:H)</f>
        <v>SI</v>
      </c>
      <c r="P173" s="72">
        <f>IF(Tabla2__2[[#This Row],[RTA]]=Tabla2__2[[#This Row],[RTA CORRECTA]],Tabla2__2[[#This Row],[TOTAL PUNTAJE]],0)</f>
        <v>0</v>
      </c>
      <c r="Q173" s="72">
        <f t="shared" si="2"/>
        <v>0</v>
      </c>
    </row>
    <row r="174" spans="1:17" x14ac:dyDescent="0.25">
      <c r="A174" s="72" t="s">
        <v>39</v>
      </c>
      <c r="B174" s="72" t="s">
        <v>8</v>
      </c>
      <c r="C174" t="s">
        <v>15</v>
      </c>
      <c r="D174" s="72" t="s">
        <v>116</v>
      </c>
      <c r="E174" s="72">
        <v>109096</v>
      </c>
      <c r="F174" s="72" t="s">
        <v>221</v>
      </c>
      <c r="G174" s="72" t="s">
        <v>148</v>
      </c>
      <c r="H174" s="72" t="s">
        <v>118</v>
      </c>
      <c r="I174" s="73">
        <v>45734</v>
      </c>
      <c r="J174" s="72">
        <v>26424986</v>
      </c>
      <c r="K174" s="72" t="s">
        <v>53</v>
      </c>
      <c r="L174" s="72" t="str">
        <f>_xlfn.XLOOKUP(Tabla2__2[[#This Row],[CODIGO RUTA]],'DATA INFORME'!I:I,'DATA INFORME'!K:K)</f>
        <v>SI</v>
      </c>
      <c r="M174" s="72" t="str">
        <f>IF(Tabla2__2[[#This Row],[MYSTERY EFECTIVO]]="SI",_xlfn.XLOOKUP(Tabla2__2[[#This Row],[PREGUNTA]],ENCUESTA!G:G,ENCUESTA!D:D),"N/A")</f>
        <v>LABOR DE VENTA</v>
      </c>
      <c r="N17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174" s="72" t="str">
        <f>_xlfn.XLOOKUP(Tabla2__2[[#This Row],[PREGUNTA]],ENCUESTA!G:G,ENCUESTA!H:H)</f>
        <v>SI</v>
      </c>
      <c r="P174" s="72">
        <f>IF(Tabla2__2[[#This Row],[RTA]]=Tabla2__2[[#This Row],[RTA CORRECTA]],Tabla2__2[[#This Row],[TOTAL PUNTAJE]],0)</f>
        <v>0</v>
      </c>
      <c r="Q174" s="72">
        <f t="shared" si="2"/>
        <v>0</v>
      </c>
    </row>
    <row r="175" spans="1:17" x14ac:dyDescent="0.25">
      <c r="A175" s="72" t="s">
        <v>39</v>
      </c>
      <c r="B175" s="72" t="s">
        <v>8</v>
      </c>
      <c r="C175" t="s">
        <v>15</v>
      </c>
      <c r="D175" s="72" t="s">
        <v>116</v>
      </c>
      <c r="E175" s="72">
        <v>109096</v>
      </c>
      <c r="F175" s="72" t="s">
        <v>221</v>
      </c>
      <c r="G175" s="72" t="s">
        <v>50</v>
      </c>
      <c r="H175" s="72" t="s">
        <v>24</v>
      </c>
      <c r="I175" s="73">
        <v>45734</v>
      </c>
      <c r="J175" s="72">
        <v>26424986</v>
      </c>
      <c r="K175" s="72" t="s">
        <v>53</v>
      </c>
      <c r="L175" s="72" t="str">
        <f>_xlfn.XLOOKUP(Tabla2__2[[#This Row],[CODIGO RUTA]],'DATA INFORME'!I:I,'DATA INFORME'!K:K)</f>
        <v>SI</v>
      </c>
      <c r="M175" s="72" t="str">
        <f>IF(Tabla2__2[[#This Row],[MYSTERY EFECTIVO]]="SI",_xlfn.XLOOKUP(Tabla2__2[[#This Row],[PREGUNTA]],ENCUESTA!G:G,ENCUESTA!D:D),"N/A")</f>
        <v>PORTAFOLIO Y MANEJO DE OBJECIONES</v>
      </c>
      <c r="N17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75" s="72" t="str">
        <f>_xlfn.XLOOKUP(Tabla2__2[[#This Row],[PREGUNTA]],ENCUESTA!G:G,ENCUESTA!H:H)</f>
        <v>SI</v>
      </c>
      <c r="P175" s="72">
        <f>IF(Tabla2__2[[#This Row],[RTA]]=Tabla2__2[[#This Row],[RTA CORRECTA]],Tabla2__2[[#This Row],[TOTAL PUNTAJE]],0)</f>
        <v>2.4</v>
      </c>
      <c r="Q175" s="72">
        <f t="shared" si="2"/>
        <v>0</v>
      </c>
    </row>
    <row r="176" spans="1:17" x14ac:dyDescent="0.25">
      <c r="A176" s="72" t="s">
        <v>39</v>
      </c>
      <c r="B176" s="72" t="s">
        <v>8</v>
      </c>
      <c r="C176" t="s">
        <v>15</v>
      </c>
      <c r="D176" s="72" t="s">
        <v>116</v>
      </c>
      <c r="E176" s="72">
        <v>109096</v>
      </c>
      <c r="F176" s="72" t="s">
        <v>221</v>
      </c>
      <c r="G176" s="72" t="s">
        <v>51</v>
      </c>
      <c r="H176" s="72" t="s">
        <v>118</v>
      </c>
      <c r="I176" s="73">
        <v>45734</v>
      </c>
      <c r="J176" s="72">
        <v>26424986</v>
      </c>
      <c r="K176" s="72" t="s">
        <v>53</v>
      </c>
      <c r="L176" s="72" t="str">
        <f>_xlfn.XLOOKUP(Tabla2__2[[#This Row],[CODIGO RUTA]],'DATA INFORME'!I:I,'DATA INFORME'!K:K)</f>
        <v>SI</v>
      </c>
      <c r="M176" s="72" t="str">
        <f>IF(Tabla2__2[[#This Row],[MYSTERY EFECTIVO]]="SI",_xlfn.XLOOKUP(Tabla2__2[[#This Row],[PREGUNTA]],ENCUESTA!G:G,ENCUESTA!D:D),"N/A")</f>
        <v>PORTAFOLIO Y MANEJO DE OBJECIONES</v>
      </c>
      <c r="N176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4,8</v>
      </c>
      <c r="O176" s="72" t="str">
        <f>_xlfn.XLOOKUP(Tabla2__2[[#This Row],[PREGUNTA]],ENCUESTA!G:G,ENCUESTA!H:H)</f>
        <v>SI</v>
      </c>
      <c r="P176" s="72">
        <f>IF(Tabla2__2[[#This Row],[RTA]]=Tabla2__2[[#This Row],[RTA CORRECTA]],Tabla2__2[[#This Row],[TOTAL PUNTAJE]],0)</f>
        <v>0</v>
      </c>
      <c r="Q176" s="72">
        <f t="shared" si="2"/>
        <v>0</v>
      </c>
    </row>
    <row r="177" spans="1:17" x14ac:dyDescent="0.25">
      <c r="A177" s="72" t="s">
        <v>39</v>
      </c>
      <c r="B177" s="72" t="s">
        <v>8</v>
      </c>
      <c r="C177" t="s">
        <v>15</v>
      </c>
      <c r="D177" s="72" t="s">
        <v>116</v>
      </c>
      <c r="E177" s="72">
        <v>109096</v>
      </c>
      <c r="F177" s="72" t="s">
        <v>221</v>
      </c>
      <c r="G177" s="72" t="s">
        <v>41</v>
      </c>
      <c r="H177" s="72" t="s">
        <v>24</v>
      </c>
      <c r="I177" s="73">
        <v>45734</v>
      </c>
      <c r="J177" s="72">
        <v>26424986</v>
      </c>
      <c r="K177" s="72" t="s">
        <v>53</v>
      </c>
      <c r="L177" s="72" t="str">
        <f>_xlfn.XLOOKUP(Tabla2__2[[#This Row],[CODIGO RUTA]],'DATA INFORME'!I:I,'DATA INFORME'!K:K)</f>
        <v>SI</v>
      </c>
      <c r="M177" s="72" t="str">
        <f>IF(Tabla2__2[[#This Row],[MYSTERY EFECTIVO]]="SI",_xlfn.XLOOKUP(Tabla2__2[[#This Row],[PREGUNTA]],ENCUESTA!G:G,ENCUESTA!D:D),"N/A")</f>
        <v>N/A</v>
      </c>
      <c r="N17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7" s="72" t="str">
        <f>_xlfn.XLOOKUP(Tabla2__2[[#This Row],[PREGUNTA]],ENCUESTA!G:G,ENCUESTA!H:H)</f>
        <v>SI</v>
      </c>
      <c r="P177" s="72">
        <f>IF(Tabla2__2[[#This Row],[RTA]]=Tabla2__2[[#This Row],[RTA CORRECTA]],Tabla2__2[[#This Row],[TOTAL PUNTAJE]],0)</f>
        <v>0</v>
      </c>
      <c r="Q177" s="72">
        <f t="shared" si="2"/>
        <v>0</v>
      </c>
    </row>
    <row r="178" spans="1:17" x14ac:dyDescent="0.25">
      <c r="A178" s="72" t="s">
        <v>39</v>
      </c>
      <c r="B178" s="72" t="s">
        <v>8</v>
      </c>
      <c r="C178" t="s">
        <v>15</v>
      </c>
      <c r="D178" s="72" t="s">
        <v>116</v>
      </c>
      <c r="E178" s="72">
        <v>109096</v>
      </c>
      <c r="F178" s="72" t="s">
        <v>221</v>
      </c>
      <c r="G178" s="72" t="s">
        <v>175</v>
      </c>
      <c r="H178" s="72" t="s">
        <v>24</v>
      </c>
      <c r="I178" s="73">
        <v>45734</v>
      </c>
      <c r="J178" s="72">
        <v>26424986</v>
      </c>
      <c r="K178" s="72" t="s">
        <v>53</v>
      </c>
      <c r="L178" s="72" t="str">
        <f>_xlfn.XLOOKUP(Tabla2__2[[#This Row],[CODIGO RUTA]],'DATA INFORME'!I:I,'DATA INFORME'!K:K)</f>
        <v>SI</v>
      </c>
      <c r="M178" s="72" t="str">
        <f>IF(Tabla2__2[[#This Row],[MYSTERY EFECTIVO]]="SI",_xlfn.XLOOKUP(Tabla2__2[[#This Row],[PREGUNTA]],ENCUESTA!G:G,ENCUESTA!D:D),"N/A")</f>
        <v>PORTAFOLIO Y MANEJO DE OBJECIONES</v>
      </c>
      <c r="N17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78" s="72" t="str">
        <f>_xlfn.XLOOKUP(Tabla2__2[[#This Row],[PREGUNTA]],ENCUESTA!G:G,ENCUESTA!H:H)</f>
        <v>SI</v>
      </c>
      <c r="P178" s="72">
        <f>IF(Tabla2__2[[#This Row],[RTA]]=Tabla2__2[[#This Row],[RTA CORRECTA]],Tabla2__2[[#This Row],[TOTAL PUNTAJE]],0)</f>
        <v>2.4</v>
      </c>
      <c r="Q178" s="72">
        <f t="shared" si="2"/>
        <v>0</v>
      </c>
    </row>
    <row r="179" spans="1:17" x14ac:dyDescent="0.25">
      <c r="A179" s="72" t="s">
        <v>39</v>
      </c>
      <c r="B179" s="72" t="s">
        <v>8</v>
      </c>
      <c r="C179" t="s">
        <v>15</v>
      </c>
      <c r="D179" s="72" t="s">
        <v>116</v>
      </c>
      <c r="E179" s="72">
        <v>109096</v>
      </c>
      <c r="F179" s="72" t="s">
        <v>221</v>
      </c>
      <c r="G179" s="72" t="s">
        <v>173</v>
      </c>
      <c r="H179" s="72" t="s">
        <v>24</v>
      </c>
      <c r="I179" s="73">
        <v>45734</v>
      </c>
      <c r="J179" s="72">
        <v>26424986</v>
      </c>
      <c r="K179" s="72" t="s">
        <v>53</v>
      </c>
      <c r="L179" s="72" t="str">
        <f>_xlfn.XLOOKUP(Tabla2__2[[#This Row],[CODIGO RUTA]],'DATA INFORME'!I:I,'DATA INFORME'!K:K)</f>
        <v>SI</v>
      </c>
      <c r="M179" s="72" t="str">
        <f>IF(Tabla2__2[[#This Row],[MYSTERY EFECTIVO]]="SI",_xlfn.XLOOKUP(Tabla2__2[[#This Row],[PREGUNTA]],ENCUESTA!G:G,ENCUESTA!D:D),"N/A")</f>
        <v>PORTAFOLIO Y MANEJO DE OBJECIONES</v>
      </c>
      <c r="N17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79" s="72" t="str">
        <f>_xlfn.XLOOKUP(Tabla2__2[[#This Row],[PREGUNTA]],ENCUESTA!G:G,ENCUESTA!H:H)</f>
        <v>SI</v>
      </c>
      <c r="P179" s="72">
        <f>IF(Tabla2__2[[#This Row],[RTA]]=Tabla2__2[[#This Row],[RTA CORRECTA]],Tabla2__2[[#This Row],[TOTAL PUNTAJE]],0)</f>
        <v>2.4</v>
      </c>
      <c r="Q179" s="72">
        <f t="shared" si="2"/>
        <v>0</v>
      </c>
    </row>
    <row r="180" spans="1:17" x14ac:dyDescent="0.25">
      <c r="A180" s="72" t="s">
        <v>39</v>
      </c>
      <c r="B180" s="72" t="s">
        <v>8</v>
      </c>
      <c r="C180" t="s">
        <v>15</v>
      </c>
      <c r="D180" s="72" t="s">
        <v>116</v>
      </c>
      <c r="E180" s="72">
        <v>109096</v>
      </c>
      <c r="F180" s="72" t="s">
        <v>221</v>
      </c>
      <c r="G180" s="72" t="s">
        <v>171</v>
      </c>
      <c r="H180" s="72" t="s">
        <v>24</v>
      </c>
      <c r="I180" s="73">
        <v>45734</v>
      </c>
      <c r="J180" s="72">
        <v>26424986</v>
      </c>
      <c r="K180" s="72" t="s">
        <v>53</v>
      </c>
      <c r="L180" s="72" t="str">
        <f>_xlfn.XLOOKUP(Tabla2__2[[#This Row],[CODIGO RUTA]],'DATA INFORME'!I:I,'DATA INFORME'!K:K)</f>
        <v>SI</v>
      </c>
      <c r="M180" s="72" t="str">
        <f>IF(Tabla2__2[[#This Row],[MYSTERY EFECTIVO]]="SI",_xlfn.XLOOKUP(Tabla2__2[[#This Row],[PREGUNTA]],ENCUESTA!G:G,ENCUESTA!D:D),"N/A")</f>
        <v>PORTAFOLIO Y MANEJO DE OBJECIONES</v>
      </c>
      <c r="N18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80" s="72" t="str">
        <f>_xlfn.XLOOKUP(Tabla2__2[[#This Row],[PREGUNTA]],ENCUESTA!G:G,ENCUESTA!H:H)</f>
        <v>SI</v>
      </c>
      <c r="P180" s="72">
        <f>IF(Tabla2__2[[#This Row],[RTA]]=Tabla2__2[[#This Row],[RTA CORRECTA]],Tabla2__2[[#This Row],[TOTAL PUNTAJE]],0)</f>
        <v>2.4</v>
      </c>
      <c r="Q180" s="72">
        <f t="shared" si="2"/>
        <v>0</v>
      </c>
    </row>
    <row r="181" spans="1:17" x14ac:dyDescent="0.25">
      <c r="A181" s="72" t="s">
        <v>39</v>
      </c>
      <c r="B181" s="72" t="s">
        <v>8</v>
      </c>
      <c r="C181" t="s">
        <v>15</v>
      </c>
      <c r="D181" s="72" t="s">
        <v>116</v>
      </c>
      <c r="E181" s="72">
        <v>109096</v>
      </c>
      <c r="F181" s="72" t="s">
        <v>221</v>
      </c>
      <c r="G181" s="72" t="s">
        <v>189</v>
      </c>
      <c r="H181" s="72" t="s">
        <v>118</v>
      </c>
      <c r="I181" s="73">
        <v>45734</v>
      </c>
      <c r="J181" s="72">
        <v>26424986</v>
      </c>
      <c r="K181" s="72" t="s">
        <v>53</v>
      </c>
      <c r="L181" s="72" t="str">
        <f>_xlfn.XLOOKUP(Tabla2__2[[#This Row],[CODIGO RUTA]],'DATA INFORME'!I:I,'DATA INFORME'!K:K)</f>
        <v>SI</v>
      </c>
      <c r="M181" s="72" t="str">
        <f>IF(Tabla2__2[[#This Row],[MYSTERY EFECTIVO]]="SI",_xlfn.XLOOKUP(Tabla2__2[[#This Row],[PREGUNTA]],ENCUESTA!G:G,ENCUESTA!D:D),"N/A")</f>
        <v>N/A</v>
      </c>
      <c r="N18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1" s="72">
        <f>_xlfn.XLOOKUP(Tabla2__2[[#This Row],[PREGUNTA]],ENCUESTA!G:G,ENCUESTA!H:H)</f>
        <v>0</v>
      </c>
      <c r="P181" s="72">
        <f>IF(Tabla2__2[[#This Row],[RTA]]=Tabla2__2[[#This Row],[RTA CORRECTA]],Tabla2__2[[#This Row],[TOTAL PUNTAJE]],0)</f>
        <v>0</v>
      </c>
      <c r="Q181" s="72">
        <f t="shared" si="2"/>
        <v>0</v>
      </c>
    </row>
    <row r="182" spans="1:17" x14ac:dyDescent="0.25">
      <c r="A182" s="72" t="s">
        <v>39</v>
      </c>
      <c r="B182" s="72" t="s">
        <v>8</v>
      </c>
      <c r="C182" t="s">
        <v>15</v>
      </c>
      <c r="D182" s="72" t="s">
        <v>116</v>
      </c>
      <c r="E182" s="72">
        <v>109096</v>
      </c>
      <c r="F182" s="72" t="s">
        <v>221</v>
      </c>
      <c r="G182" s="72" t="s">
        <v>169</v>
      </c>
      <c r="H182" s="72" t="s">
        <v>24</v>
      </c>
      <c r="I182" s="73">
        <v>45734</v>
      </c>
      <c r="J182" s="72">
        <v>26424986</v>
      </c>
      <c r="K182" s="72" t="s">
        <v>53</v>
      </c>
      <c r="L182" s="72" t="str">
        <f>_xlfn.XLOOKUP(Tabla2__2[[#This Row],[CODIGO RUTA]],'DATA INFORME'!I:I,'DATA INFORME'!K:K)</f>
        <v>SI</v>
      </c>
      <c r="M182" s="72" t="str">
        <f>IF(Tabla2__2[[#This Row],[MYSTERY EFECTIVO]]="SI",_xlfn.XLOOKUP(Tabla2__2[[#This Row],[PREGUNTA]],ENCUESTA!G:G,ENCUESTA!D:D),"N/A")</f>
        <v>PORTAFOLIO Y MANEJO DE OBJECIONES</v>
      </c>
      <c r="N18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82" s="72" t="str">
        <f>_xlfn.XLOOKUP(Tabla2__2[[#This Row],[PREGUNTA]],ENCUESTA!G:G,ENCUESTA!H:H)</f>
        <v>SI</v>
      </c>
      <c r="P182" s="72">
        <f>IF(Tabla2__2[[#This Row],[RTA]]=Tabla2__2[[#This Row],[RTA CORRECTA]],Tabla2__2[[#This Row],[TOTAL PUNTAJE]],0)</f>
        <v>2.4</v>
      </c>
      <c r="Q182" s="72">
        <f t="shared" si="2"/>
        <v>0</v>
      </c>
    </row>
    <row r="183" spans="1:17" x14ac:dyDescent="0.25">
      <c r="A183" s="72" t="s">
        <v>39</v>
      </c>
      <c r="B183" s="72" t="s">
        <v>8</v>
      </c>
      <c r="C183" t="s">
        <v>15</v>
      </c>
      <c r="D183" s="72" t="s">
        <v>116</v>
      </c>
      <c r="E183" s="72">
        <v>109096</v>
      </c>
      <c r="F183" s="72" t="s">
        <v>221</v>
      </c>
      <c r="G183" s="72" t="s">
        <v>102</v>
      </c>
      <c r="H183" s="72" t="s">
        <v>167</v>
      </c>
      <c r="I183" s="73">
        <v>45734</v>
      </c>
      <c r="J183" s="72">
        <v>26424986</v>
      </c>
      <c r="K183" s="72" t="s">
        <v>53</v>
      </c>
      <c r="L183" s="72" t="str">
        <f>_xlfn.XLOOKUP(Tabla2__2[[#This Row],[CODIGO RUTA]],'DATA INFORME'!I:I,'DATA INFORME'!K:K)</f>
        <v>SI</v>
      </c>
      <c r="M183" s="72" t="str">
        <f>IF(Tabla2__2[[#This Row],[MYSTERY EFECTIVO]]="SI",_xlfn.XLOOKUP(Tabla2__2[[#This Row],[PREGUNTA]],ENCUESTA!G:G,ENCUESTA!D:D),"N/A")</f>
        <v>N/A</v>
      </c>
      <c r="N18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3" s="72">
        <f>_xlfn.XLOOKUP(Tabla2__2[[#This Row],[PREGUNTA]],ENCUESTA!G:G,ENCUESTA!H:H)</f>
        <v>0</v>
      </c>
      <c r="P183" s="72">
        <f>IF(Tabla2__2[[#This Row],[RTA]]=Tabla2__2[[#This Row],[RTA CORRECTA]],Tabla2__2[[#This Row],[TOTAL PUNTAJE]],0)</f>
        <v>0</v>
      </c>
      <c r="Q183" s="72">
        <f t="shared" si="2"/>
        <v>0</v>
      </c>
    </row>
    <row r="184" spans="1:17" x14ac:dyDescent="0.25">
      <c r="A184" s="72" t="s">
        <v>39</v>
      </c>
      <c r="B184" s="72" t="s">
        <v>8</v>
      </c>
      <c r="C184" t="s">
        <v>15</v>
      </c>
      <c r="D184" s="72" t="s">
        <v>116</v>
      </c>
      <c r="E184" s="72">
        <v>109096</v>
      </c>
      <c r="F184" s="72" t="s">
        <v>221</v>
      </c>
      <c r="G184" s="72" t="s">
        <v>101</v>
      </c>
      <c r="H184" s="72" t="s">
        <v>24</v>
      </c>
      <c r="I184" s="73">
        <v>45734</v>
      </c>
      <c r="J184" s="72">
        <v>26424986</v>
      </c>
      <c r="K184" s="72" t="s">
        <v>53</v>
      </c>
      <c r="L184" s="72" t="str">
        <f>_xlfn.XLOOKUP(Tabla2__2[[#This Row],[CODIGO RUTA]],'DATA INFORME'!I:I,'DATA INFORME'!K:K)</f>
        <v>SI</v>
      </c>
      <c r="M184" s="72" t="str">
        <f>IF(Tabla2__2[[#This Row],[MYSTERY EFECTIVO]]="SI",_xlfn.XLOOKUP(Tabla2__2[[#This Row],[PREGUNTA]],ENCUESTA!G:G,ENCUESTA!D:D),"N/A")</f>
        <v>PORTAFOLIO Y MANEJO DE OBJECIONES</v>
      </c>
      <c r="N18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184" s="72" t="str">
        <f>_xlfn.XLOOKUP(Tabla2__2[[#This Row],[PREGUNTA]],ENCUESTA!G:G,ENCUESTA!H:H)</f>
        <v>SI</v>
      </c>
      <c r="P184" s="72">
        <f>IF(Tabla2__2[[#This Row],[RTA]]=Tabla2__2[[#This Row],[RTA CORRECTA]],Tabla2__2[[#This Row],[TOTAL PUNTAJE]],0)</f>
        <v>3</v>
      </c>
      <c r="Q184" s="72">
        <f t="shared" si="2"/>
        <v>0</v>
      </c>
    </row>
    <row r="185" spans="1:17" x14ac:dyDescent="0.25">
      <c r="A185" s="72" t="s">
        <v>39</v>
      </c>
      <c r="B185" s="72" t="s">
        <v>8</v>
      </c>
      <c r="C185" t="s">
        <v>15</v>
      </c>
      <c r="D185" s="72" t="s">
        <v>116</v>
      </c>
      <c r="E185" s="72">
        <v>188203</v>
      </c>
      <c r="F185" s="72" t="s">
        <v>218</v>
      </c>
      <c r="G185" s="72" t="s">
        <v>173</v>
      </c>
      <c r="H185" s="72" t="s">
        <v>24</v>
      </c>
      <c r="I185" s="73">
        <v>45734</v>
      </c>
      <c r="J185" s="72">
        <v>26424985</v>
      </c>
      <c r="K185" s="72" t="s">
        <v>53</v>
      </c>
      <c r="L185" s="72" t="str">
        <f>_xlfn.XLOOKUP(Tabla2__2[[#This Row],[CODIGO RUTA]],'DATA INFORME'!I:I,'DATA INFORME'!K:K)</f>
        <v>SI</v>
      </c>
      <c r="M185" s="72" t="str">
        <f>IF(Tabla2__2[[#This Row],[MYSTERY EFECTIVO]]="SI",_xlfn.XLOOKUP(Tabla2__2[[#This Row],[PREGUNTA]],ENCUESTA!G:G,ENCUESTA!D:D),"N/A")</f>
        <v>PORTAFOLIO Y MANEJO DE OBJECIONES</v>
      </c>
      <c r="N18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85" s="72" t="str">
        <f>_xlfn.XLOOKUP(Tabla2__2[[#This Row],[PREGUNTA]],ENCUESTA!G:G,ENCUESTA!H:H)</f>
        <v>SI</v>
      </c>
      <c r="P185" s="72">
        <f>IF(Tabla2__2[[#This Row],[RTA]]=Tabla2__2[[#This Row],[RTA CORRECTA]],Tabla2__2[[#This Row],[TOTAL PUNTAJE]],0)</f>
        <v>2.4</v>
      </c>
      <c r="Q185" s="72">
        <f t="shared" si="2"/>
        <v>0</v>
      </c>
    </row>
    <row r="186" spans="1:17" x14ac:dyDescent="0.25">
      <c r="A186" s="72" t="s">
        <v>39</v>
      </c>
      <c r="B186" s="72" t="s">
        <v>8</v>
      </c>
      <c r="C186" t="s">
        <v>15</v>
      </c>
      <c r="D186" s="72" t="s">
        <v>116</v>
      </c>
      <c r="E186" s="72">
        <v>188203</v>
      </c>
      <c r="F186" s="72" t="s">
        <v>218</v>
      </c>
      <c r="G186" s="72" t="s">
        <v>171</v>
      </c>
      <c r="H186" s="72" t="s">
        <v>24</v>
      </c>
      <c r="I186" s="73">
        <v>45734</v>
      </c>
      <c r="J186" s="72">
        <v>26424985</v>
      </c>
      <c r="K186" s="72" t="s">
        <v>53</v>
      </c>
      <c r="L186" s="72" t="str">
        <f>_xlfn.XLOOKUP(Tabla2__2[[#This Row],[CODIGO RUTA]],'DATA INFORME'!I:I,'DATA INFORME'!K:K)</f>
        <v>SI</v>
      </c>
      <c r="M186" s="72" t="str">
        <f>IF(Tabla2__2[[#This Row],[MYSTERY EFECTIVO]]="SI",_xlfn.XLOOKUP(Tabla2__2[[#This Row],[PREGUNTA]],ENCUESTA!G:G,ENCUESTA!D:D),"N/A")</f>
        <v>PORTAFOLIO Y MANEJO DE OBJECIONES</v>
      </c>
      <c r="N18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86" s="72" t="str">
        <f>_xlfn.XLOOKUP(Tabla2__2[[#This Row],[PREGUNTA]],ENCUESTA!G:G,ENCUESTA!H:H)</f>
        <v>SI</v>
      </c>
      <c r="P186" s="72">
        <f>IF(Tabla2__2[[#This Row],[RTA]]=Tabla2__2[[#This Row],[RTA CORRECTA]],Tabla2__2[[#This Row],[TOTAL PUNTAJE]],0)</f>
        <v>2.4</v>
      </c>
      <c r="Q186" s="72">
        <f t="shared" si="2"/>
        <v>0</v>
      </c>
    </row>
    <row r="187" spans="1:17" x14ac:dyDescent="0.25">
      <c r="A187" s="72" t="s">
        <v>39</v>
      </c>
      <c r="B187" s="72" t="s">
        <v>8</v>
      </c>
      <c r="C187" t="s">
        <v>15</v>
      </c>
      <c r="D187" s="72" t="s">
        <v>116</v>
      </c>
      <c r="E187" s="72">
        <v>188203</v>
      </c>
      <c r="F187" s="72" t="s">
        <v>218</v>
      </c>
      <c r="G187" s="72" t="s">
        <v>169</v>
      </c>
      <c r="H187" s="72" t="s">
        <v>24</v>
      </c>
      <c r="I187" s="73">
        <v>45734</v>
      </c>
      <c r="J187" s="72">
        <v>26424985</v>
      </c>
      <c r="K187" s="72" t="s">
        <v>53</v>
      </c>
      <c r="L187" s="72" t="str">
        <f>_xlfn.XLOOKUP(Tabla2__2[[#This Row],[CODIGO RUTA]],'DATA INFORME'!I:I,'DATA INFORME'!K:K)</f>
        <v>SI</v>
      </c>
      <c r="M187" s="72" t="str">
        <f>IF(Tabla2__2[[#This Row],[MYSTERY EFECTIVO]]="SI",_xlfn.XLOOKUP(Tabla2__2[[#This Row],[PREGUNTA]],ENCUESTA!G:G,ENCUESTA!D:D),"N/A")</f>
        <v>PORTAFOLIO Y MANEJO DE OBJECIONES</v>
      </c>
      <c r="N18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87" s="72" t="str">
        <f>_xlfn.XLOOKUP(Tabla2__2[[#This Row],[PREGUNTA]],ENCUESTA!G:G,ENCUESTA!H:H)</f>
        <v>SI</v>
      </c>
      <c r="P187" s="72">
        <f>IF(Tabla2__2[[#This Row],[RTA]]=Tabla2__2[[#This Row],[RTA CORRECTA]],Tabla2__2[[#This Row],[TOTAL PUNTAJE]],0)</f>
        <v>2.4</v>
      </c>
      <c r="Q187" s="72">
        <f t="shared" si="2"/>
        <v>0</v>
      </c>
    </row>
    <row r="188" spans="1:17" x14ac:dyDescent="0.25">
      <c r="A188" s="72" t="s">
        <v>39</v>
      </c>
      <c r="B188" s="72" t="s">
        <v>8</v>
      </c>
      <c r="C188" t="s">
        <v>15</v>
      </c>
      <c r="D188" s="72" t="s">
        <v>116</v>
      </c>
      <c r="E188" s="72">
        <v>188203</v>
      </c>
      <c r="F188" s="72" t="s">
        <v>218</v>
      </c>
      <c r="G188" s="72" t="s">
        <v>102</v>
      </c>
      <c r="H188" s="72" t="s">
        <v>167</v>
      </c>
      <c r="I188" s="73">
        <v>45734</v>
      </c>
      <c r="J188" s="72">
        <v>26424985</v>
      </c>
      <c r="K188" s="72" t="s">
        <v>53</v>
      </c>
      <c r="L188" s="72" t="str">
        <f>_xlfn.XLOOKUP(Tabla2__2[[#This Row],[CODIGO RUTA]],'DATA INFORME'!I:I,'DATA INFORME'!K:K)</f>
        <v>SI</v>
      </c>
      <c r="M188" s="72" t="str">
        <f>IF(Tabla2__2[[#This Row],[MYSTERY EFECTIVO]]="SI",_xlfn.XLOOKUP(Tabla2__2[[#This Row],[PREGUNTA]],ENCUESTA!G:G,ENCUESTA!D:D),"N/A")</f>
        <v>N/A</v>
      </c>
      <c r="N18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8" s="72">
        <f>_xlfn.XLOOKUP(Tabla2__2[[#This Row],[PREGUNTA]],ENCUESTA!G:G,ENCUESTA!H:H)</f>
        <v>0</v>
      </c>
      <c r="P188" s="72">
        <f>IF(Tabla2__2[[#This Row],[RTA]]=Tabla2__2[[#This Row],[RTA CORRECTA]],Tabla2__2[[#This Row],[TOTAL PUNTAJE]],0)</f>
        <v>0</v>
      </c>
      <c r="Q188" s="72">
        <f t="shared" si="2"/>
        <v>0</v>
      </c>
    </row>
    <row r="189" spans="1:17" x14ac:dyDescent="0.25">
      <c r="A189" s="72" t="s">
        <v>39</v>
      </c>
      <c r="B189" s="72" t="s">
        <v>8</v>
      </c>
      <c r="C189" t="s">
        <v>15</v>
      </c>
      <c r="D189" s="72" t="s">
        <v>116</v>
      </c>
      <c r="E189" s="72">
        <v>188203</v>
      </c>
      <c r="F189" s="72" t="s">
        <v>218</v>
      </c>
      <c r="G189" s="72" t="s">
        <v>99</v>
      </c>
      <c r="H189" s="72" t="s">
        <v>24</v>
      </c>
      <c r="I189" s="73">
        <v>45734</v>
      </c>
      <c r="J189" s="72">
        <v>26424985</v>
      </c>
      <c r="K189" s="72" t="s">
        <v>53</v>
      </c>
      <c r="L189" s="72" t="str">
        <f>_xlfn.XLOOKUP(Tabla2__2[[#This Row],[CODIGO RUTA]],'DATA INFORME'!I:I,'DATA INFORME'!K:K)</f>
        <v>SI</v>
      </c>
      <c r="M189" s="72" t="str">
        <f>IF(Tabla2__2[[#This Row],[MYSTERY EFECTIVO]]="SI",_xlfn.XLOOKUP(Tabla2__2[[#This Row],[PREGUNTA]],ENCUESTA!G:G,ENCUESTA!D:D),"N/A")</f>
        <v>PORTAFOLIO Y MANEJO DE OBJECIONES</v>
      </c>
      <c r="N18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189" s="72" t="str">
        <f>_xlfn.XLOOKUP(Tabla2__2[[#This Row],[PREGUNTA]],ENCUESTA!G:G,ENCUESTA!H:H)</f>
        <v>SI</v>
      </c>
      <c r="P189" s="72">
        <f>IF(Tabla2__2[[#This Row],[RTA]]=Tabla2__2[[#This Row],[RTA CORRECTA]],Tabla2__2[[#This Row],[TOTAL PUNTAJE]],0)</f>
        <v>3</v>
      </c>
      <c r="Q189" s="72">
        <f t="shared" si="2"/>
        <v>0</v>
      </c>
    </row>
    <row r="190" spans="1:17" x14ac:dyDescent="0.25">
      <c r="A190" s="72" t="s">
        <v>39</v>
      </c>
      <c r="B190" s="72" t="s">
        <v>8</v>
      </c>
      <c r="C190" t="s">
        <v>15</v>
      </c>
      <c r="D190" s="72" t="s">
        <v>116</v>
      </c>
      <c r="E190" s="72">
        <v>188203</v>
      </c>
      <c r="F190" s="72" t="s">
        <v>218</v>
      </c>
      <c r="G190" s="72" t="s">
        <v>101</v>
      </c>
      <c r="H190" s="72" t="s">
        <v>24</v>
      </c>
      <c r="I190" s="73">
        <v>45734</v>
      </c>
      <c r="J190" s="72">
        <v>26424985</v>
      </c>
      <c r="K190" s="72" t="s">
        <v>53</v>
      </c>
      <c r="L190" s="72" t="str">
        <f>_xlfn.XLOOKUP(Tabla2__2[[#This Row],[CODIGO RUTA]],'DATA INFORME'!I:I,'DATA INFORME'!K:K)</f>
        <v>SI</v>
      </c>
      <c r="M190" s="72" t="str">
        <f>IF(Tabla2__2[[#This Row],[MYSTERY EFECTIVO]]="SI",_xlfn.XLOOKUP(Tabla2__2[[#This Row],[PREGUNTA]],ENCUESTA!G:G,ENCUESTA!D:D),"N/A")</f>
        <v>PORTAFOLIO Y MANEJO DE OBJECIONES</v>
      </c>
      <c r="N19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190" s="72" t="str">
        <f>_xlfn.XLOOKUP(Tabla2__2[[#This Row],[PREGUNTA]],ENCUESTA!G:G,ENCUESTA!H:H)</f>
        <v>SI</v>
      </c>
      <c r="P190" s="72">
        <f>IF(Tabla2__2[[#This Row],[RTA]]=Tabla2__2[[#This Row],[RTA CORRECTA]],Tabla2__2[[#This Row],[TOTAL PUNTAJE]],0)</f>
        <v>3</v>
      </c>
      <c r="Q190" s="72">
        <f t="shared" si="2"/>
        <v>0</v>
      </c>
    </row>
    <row r="191" spans="1:17" x14ac:dyDescent="0.25">
      <c r="A191" s="72" t="s">
        <v>39</v>
      </c>
      <c r="B191" s="72" t="s">
        <v>8</v>
      </c>
      <c r="C191" t="s">
        <v>15</v>
      </c>
      <c r="D191" s="72" t="s">
        <v>116</v>
      </c>
      <c r="E191" s="72">
        <v>188203</v>
      </c>
      <c r="F191" s="72" t="s">
        <v>218</v>
      </c>
      <c r="G191" s="72" t="s">
        <v>138</v>
      </c>
      <c r="H191" s="72" t="s">
        <v>24</v>
      </c>
      <c r="I191" s="73">
        <v>45734</v>
      </c>
      <c r="J191" s="72">
        <v>26424985</v>
      </c>
      <c r="K191" s="72" t="s">
        <v>53</v>
      </c>
      <c r="L191" s="72" t="str">
        <f>_xlfn.XLOOKUP(Tabla2__2[[#This Row],[CODIGO RUTA]],'DATA INFORME'!I:I,'DATA INFORME'!K:K)</f>
        <v>SI</v>
      </c>
      <c r="M191" s="72" t="str">
        <f>IF(Tabla2__2[[#This Row],[MYSTERY EFECTIVO]]="SI",_xlfn.XLOOKUP(Tabla2__2[[#This Row],[PREGUNTA]],ENCUESTA!G:G,ENCUESTA!D:D),"N/A")</f>
        <v>ABORDAJE</v>
      </c>
      <c r="N19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91" s="72" t="str">
        <f>_xlfn.XLOOKUP(Tabla2__2[[#This Row],[PREGUNTA]],ENCUESTA!G:G,ENCUESTA!H:H)</f>
        <v>SI</v>
      </c>
      <c r="P191" s="72">
        <f>IF(Tabla2__2[[#This Row],[RTA]]=Tabla2__2[[#This Row],[RTA CORRECTA]],Tabla2__2[[#This Row],[TOTAL PUNTAJE]],0)</f>
        <v>20</v>
      </c>
      <c r="Q191" s="72">
        <f t="shared" si="2"/>
        <v>0</v>
      </c>
    </row>
    <row r="192" spans="1:17" x14ac:dyDescent="0.25">
      <c r="A192" s="72" t="s">
        <v>39</v>
      </c>
      <c r="B192" s="72" t="s">
        <v>8</v>
      </c>
      <c r="C192" t="s">
        <v>15</v>
      </c>
      <c r="D192" s="72" t="s">
        <v>116</v>
      </c>
      <c r="E192" s="72">
        <v>188203</v>
      </c>
      <c r="F192" s="72" t="s">
        <v>218</v>
      </c>
      <c r="G192" s="72" t="s">
        <v>175</v>
      </c>
      <c r="H192" s="72" t="s">
        <v>24</v>
      </c>
      <c r="I192" s="73">
        <v>45734</v>
      </c>
      <c r="J192" s="72">
        <v>26424985</v>
      </c>
      <c r="K192" s="72" t="s">
        <v>53</v>
      </c>
      <c r="L192" s="72" t="str">
        <f>_xlfn.XLOOKUP(Tabla2__2[[#This Row],[CODIGO RUTA]],'DATA INFORME'!I:I,'DATA INFORME'!K:K)</f>
        <v>SI</v>
      </c>
      <c r="M192" s="72" t="str">
        <f>IF(Tabla2__2[[#This Row],[MYSTERY EFECTIVO]]="SI",_xlfn.XLOOKUP(Tabla2__2[[#This Row],[PREGUNTA]],ENCUESTA!G:G,ENCUESTA!D:D),"N/A")</f>
        <v>PORTAFOLIO Y MANEJO DE OBJECIONES</v>
      </c>
      <c r="N19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192" s="72" t="str">
        <f>_xlfn.XLOOKUP(Tabla2__2[[#This Row],[PREGUNTA]],ENCUESTA!G:G,ENCUESTA!H:H)</f>
        <v>SI</v>
      </c>
      <c r="P192" s="72">
        <f>IF(Tabla2__2[[#This Row],[RTA]]=Tabla2__2[[#This Row],[RTA CORRECTA]],Tabla2__2[[#This Row],[TOTAL PUNTAJE]],0)</f>
        <v>2.4</v>
      </c>
      <c r="Q192" s="72">
        <f t="shared" si="2"/>
        <v>0</v>
      </c>
    </row>
    <row r="193" spans="1:17" x14ac:dyDescent="0.25">
      <c r="A193" s="72" t="s">
        <v>39</v>
      </c>
      <c r="B193" s="72" t="s">
        <v>8</v>
      </c>
      <c r="C193" t="s">
        <v>15</v>
      </c>
      <c r="D193" s="72" t="s">
        <v>116</v>
      </c>
      <c r="E193" s="72">
        <v>188203</v>
      </c>
      <c r="F193" s="72" t="s">
        <v>218</v>
      </c>
      <c r="G193" s="72" t="s">
        <v>46</v>
      </c>
      <c r="H193" s="72" t="s">
        <v>24</v>
      </c>
      <c r="I193" s="73">
        <v>45734</v>
      </c>
      <c r="J193" s="72">
        <v>26424985</v>
      </c>
      <c r="K193" s="72" t="s">
        <v>53</v>
      </c>
      <c r="L193" s="72" t="str">
        <f>_xlfn.XLOOKUP(Tabla2__2[[#This Row],[CODIGO RUTA]],'DATA INFORME'!I:I,'DATA INFORME'!K:K)</f>
        <v>SI</v>
      </c>
      <c r="M193" s="72" t="str">
        <f>IF(Tabla2__2[[#This Row],[MYSTERY EFECTIVO]]="SI",_xlfn.XLOOKUP(Tabla2__2[[#This Row],[PREGUNTA]],ENCUESTA!G:G,ENCUESTA!D:D),"N/A")</f>
        <v>UNIFORME</v>
      </c>
      <c r="N19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93" s="72" t="str">
        <f>_xlfn.XLOOKUP(Tabla2__2[[#This Row],[PREGUNTA]],ENCUESTA!G:G,ENCUESTA!H:H)</f>
        <v>NO</v>
      </c>
      <c r="P193" s="72">
        <f>IF(Tabla2__2[[#This Row],[RTA]]=Tabla2__2[[#This Row],[RTA CORRECTA]],Tabla2__2[[#This Row],[TOTAL PUNTAJE]],0)</f>
        <v>0</v>
      </c>
      <c r="Q193" s="72">
        <f t="shared" si="2"/>
        <v>0</v>
      </c>
    </row>
    <row r="194" spans="1:17" x14ac:dyDescent="0.25">
      <c r="A194" s="72" t="s">
        <v>39</v>
      </c>
      <c r="B194" s="72" t="s">
        <v>8</v>
      </c>
      <c r="C194" t="s">
        <v>15</v>
      </c>
      <c r="D194" s="72" t="s">
        <v>116</v>
      </c>
      <c r="E194" s="72">
        <v>188203</v>
      </c>
      <c r="F194" s="72" t="s">
        <v>218</v>
      </c>
      <c r="G194" s="72" t="s">
        <v>48</v>
      </c>
      <c r="H194" s="72" t="s">
        <v>24</v>
      </c>
      <c r="I194" s="73">
        <v>45734</v>
      </c>
      <c r="J194" s="72">
        <v>26424985</v>
      </c>
      <c r="K194" s="72" t="s">
        <v>53</v>
      </c>
      <c r="L194" s="72" t="str">
        <f>_xlfn.XLOOKUP(Tabla2__2[[#This Row],[CODIGO RUTA]],'DATA INFORME'!I:I,'DATA INFORME'!K:K)</f>
        <v>SI</v>
      </c>
      <c r="M194" s="72" t="str">
        <f>IF(Tabla2__2[[#This Row],[MYSTERY EFECTIVO]]="SI",_xlfn.XLOOKUP(Tabla2__2[[#This Row],[PREGUNTA]],ENCUESTA!G:G,ENCUESTA!D:D),"N/A")</f>
        <v>UNIFORME</v>
      </c>
      <c r="N19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94" s="72" t="str">
        <f>_xlfn.XLOOKUP(Tabla2__2[[#This Row],[PREGUNTA]],ENCUESTA!G:G,ENCUESTA!H:H)</f>
        <v>NO</v>
      </c>
      <c r="P194" s="72">
        <f>IF(Tabla2__2[[#This Row],[RTA]]=Tabla2__2[[#This Row],[RTA CORRECTA]],Tabla2__2[[#This Row],[TOTAL PUNTAJE]],0)</f>
        <v>0</v>
      </c>
      <c r="Q194" s="72">
        <f t="shared" ref="Q194:Q257" si="3">IF(OR(H194="Dog Chow húmedo",H194="Cat Chow húmedo",H194="Fancy Feast",H194="Felix",H194="Proplan húmedo",H194="One húmedo",H194="Snack Abrazzos",H194="Snak Dentalife",H194="Arenilla Tidy Cat"),N194,0)</f>
        <v>0</v>
      </c>
    </row>
    <row r="195" spans="1:17" x14ac:dyDescent="0.25">
      <c r="A195" s="72" t="s">
        <v>39</v>
      </c>
      <c r="B195" s="72" t="s">
        <v>8</v>
      </c>
      <c r="C195" t="s">
        <v>15</v>
      </c>
      <c r="D195" s="72" t="s">
        <v>116</v>
      </c>
      <c r="E195" s="72">
        <v>188203</v>
      </c>
      <c r="F195" s="72" t="s">
        <v>218</v>
      </c>
      <c r="G195" s="72" t="s">
        <v>52</v>
      </c>
      <c r="H195" s="72" t="s">
        <v>118</v>
      </c>
      <c r="I195" s="73">
        <v>45734</v>
      </c>
      <c r="J195" s="72">
        <v>26424985</v>
      </c>
      <c r="K195" s="72" t="s">
        <v>53</v>
      </c>
      <c r="L195" s="72" t="str">
        <f>_xlfn.XLOOKUP(Tabla2__2[[#This Row],[CODIGO RUTA]],'DATA INFORME'!I:I,'DATA INFORME'!K:K)</f>
        <v>SI</v>
      </c>
      <c r="M195" s="72" t="str">
        <f>IF(Tabla2__2[[#This Row],[MYSTERY EFECTIVO]]="SI",_xlfn.XLOOKUP(Tabla2__2[[#This Row],[PREGUNTA]],ENCUESTA!G:G,ENCUESTA!D:D),"N/A")</f>
        <v>UNIFORME</v>
      </c>
      <c r="N19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95" s="72" t="str">
        <f>_xlfn.XLOOKUP(Tabla2__2[[#This Row],[PREGUNTA]],ENCUESTA!G:G,ENCUESTA!H:H)</f>
        <v>NO</v>
      </c>
      <c r="P195" s="72">
        <f>IF(Tabla2__2[[#This Row],[RTA]]=Tabla2__2[[#This Row],[RTA CORRECTA]],Tabla2__2[[#This Row],[TOTAL PUNTAJE]],0)</f>
        <v>1.5</v>
      </c>
      <c r="Q195" s="72">
        <f t="shared" si="3"/>
        <v>0</v>
      </c>
    </row>
    <row r="196" spans="1:17" x14ac:dyDescent="0.25">
      <c r="A196" s="72" t="s">
        <v>39</v>
      </c>
      <c r="B196" s="72" t="s">
        <v>8</v>
      </c>
      <c r="C196" t="s">
        <v>15</v>
      </c>
      <c r="D196" s="72" t="s">
        <v>116</v>
      </c>
      <c r="E196" s="72">
        <v>188203</v>
      </c>
      <c r="F196" s="72" t="s">
        <v>218</v>
      </c>
      <c r="G196" s="72" t="s">
        <v>49</v>
      </c>
      <c r="H196" s="72" t="s">
        <v>24</v>
      </c>
      <c r="I196" s="73">
        <v>45734</v>
      </c>
      <c r="J196" s="72">
        <v>26424985</v>
      </c>
      <c r="K196" s="72" t="s">
        <v>53</v>
      </c>
      <c r="L196" s="72" t="str">
        <f>_xlfn.XLOOKUP(Tabla2__2[[#This Row],[CODIGO RUTA]],'DATA INFORME'!I:I,'DATA INFORME'!K:K)</f>
        <v>SI</v>
      </c>
      <c r="M196" s="72" t="str">
        <f>IF(Tabla2__2[[#This Row],[MYSTERY EFECTIVO]]="SI",_xlfn.XLOOKUP(Tabla2__2[[#This Row],[PREGUNTA]],ENCUESTA!G:G,ENCUESTA!D:D),"N/A")</f>
        <v>UNIFORME</v>
      </c>
      <c r="N19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96" s="72" t="str">
        <f>_xlfn.XLOOKUP(Tabla2__2[[#This Row],[PREGUNTA]],ENCUESTA!G:G,ENCUESTA!H:H)</f>
        <v>SI</v>
      </c>
      <c r="P196" s="72">
        <f>IF(Tabla2__2[[#This Row],[RTA]]=Tabla2__2[[#This Row],[RTA CORRECTA]],Tabla2__2[[#This Row],[TOTAL PUNTAJE]],0)</f>
        <v>1.5</v>
      </c>
      <c r="Q196" s="72">
        <f t="shared" si="3"/>
        <v>0</v>
      </c>
    </row>
    <row r="197" spans="1:17" x14ac:dyDescent="0.25">
      <c r="A197" s="72" t="s">
        <v>39</v>
      </c>
      <c r="B197" s="72" t="s">
        <v>8</v>
      </c>
      <c r="C197" t="s">
        <v>15</v>
      </c>
      <c r="D197" s="72" t="s">
        <v>116</v>
      </c>
      <c r="E197" s="72">
        <v>188203</v>
      </c>
      <c r="F197" s="72" t="s">
        <v>218</v>
      </c>
      <c r="G197" s="72" t="s">
        <v>43</v>
      </c>
      <c r="H197" s="72" t="s">
        <v>24</v>
      </c>
      <c r="I197" s="73">
        <v>45734</v>
      </c>
      <c r="J197" s="72">
        <v>26424985</v>
      </c>
      <c r="K197" s="72" t="s">
        <v>53</v>
      </c>
      <c r="L197" s="72" t="str">
        <f>_xlfn.XLOOKUP(Tabla2__2[[#This Row],[CODIGO RUTA]],'DATA INFORME'!I:I,'DATA INFORME'!K:K)</f>
        <v>SI</v>
      </c>
      <c r="M197" s="72" t="str">
        <f>IF(Tabla2__2[[#This Row],[MYSTERY EFECTIVO]]="SI",_xlfn.XLOOKUP(Tabla2__2[[#This Row],[PREGUNTA]],ENCUESTA!G:G,ENCUESTA!D:D),"N/A")</f>
        <v>UNIFORME</v>
      </c>
      <c r="N19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97" s="72" t="str">
        <f>_xlfn.XLOOKUP(Tabla2__2[[#This Row],[PREGUNTA]],ENCUESTA!G:G,ENCUESTA!H:H)</f>
        <v>SI</v>
      </c>
      <c r="P197" s="72">
        <f>IF(Tabla2__2[[#This Row],[RTA]]=Tabla2__2[[#This Row],[RTA CORRECTA]],Tabla2__2[[#This Row],[TOTAL PUNTAJE]],0)</f>
        <v>1.5</v>
      </c>
      <c r="Q197" s="72">
        <f t="shared" si="3"/>
        <v>0</v>
      </c>
    </row>
    <row r="198" spans="1:17" x14ac:dyDescent="0.25">
      <c r="A198" s="72" t="s">
        <v>39</v>
      </c>
      <c r="B198" s="72" t="s">
        <v>8</v>
      </c>
      <c r="C198" t="s">
        <v>15</v>
      </c>
      <c r="D198" s="72" t="s">
        <v>116</v>
      </c>
      <c r="E198" s="72">
        <v>188203</v>
      </c>
      <c r="F198" s="72" t="s">
        <v>218</v>
      </c>
      <c r="G198" s="72" t="s">
        <v>137</v>
      </c>
      <c r="H198" s="72" t="s">
        <v>118</v>
      </c>
      <c r="I198" s="73">
        <v>45734</v>
      </c>
      <c r="J198" s="72">
        <v>26424985</v>
      </c>
      <c r="K198" s="72" t="s">
        <v>53</v>
      </c>
      <c r="L198" s="72" t="str">
        <f>_xlfn.XLOOKUP(Tabla2__2[[#This Row],[CODIGO RUTA]],'DATA INFORME'!I:I,'DATA INFORME'!K:K)</f>
        <v>SI</v>
      </c>
      <c r="M198" s="72" t="str">
        <f>IF(Tabla2__2[[#This Row],[MYSTERY EFECTIVO]]="SI",_xlfn.XLOOKUP(Tabla2__2[[#This Row],[PREGUNTA]],ENCUESTA!G:G,ENCUESTA!D:D),"N/A")</f>
        <v>UNIFORME</v>
      </c>
      <c r="N19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98" s="72" t="str">
        <f>_xlfn.XLOOKUP(Tabla2__2[[#This Row],[PREGUNTA]],ENCUESTA!G:G,ENCUESTA!H:H)</f>
        <v>NO</v>
      </c>
      <c r="P198" s="72">
        <f>IF(Tabla2__2[[#This Row],[RTA]]=Tabla2__2[[#This Row],[RTA CORRECTA]],Tabla2__2[[#This Row],[TOTAL PUNTAJE]],0)</f>
        <v>1.5</v>
      </c>
      <c r="Q198" s="72">
        <f t="shared" si="3"/>
        <v>0</v>
      </c>
    </row>
    <row r="199" spans="1:17" x14ac:dyDescent="0.25">
      <c r="A199" s="72" t="s">
        <v>39</v>
      </c>
      <c r="B199" s="72" t="s">
        <v>8</v>
      </c>
      <c r="C199" t="s">
        <v>15</v>
      </c>
      <c r="D199" s="72" t="s">
        <v>116</v>
      </c>
      <c r="E199" s="72">
        <v>188203</v>
      </c>
      <c r="F199" s="72" t="s">
        <v>218</v>
      </c>
      <c r="G199" s="72" t="s">
        <v>44</v>
      </c>
      <c r="H199" s="72" t="s">
        <v>24</v>
      </c>
      <c r="I199" s="73">
        <v>45734</v>
      </c>
      <c r="J199" s="72">
        <v>26424985</v>
      </c>
      <c r="K199" s="72" t="s">
        <v>53</v>
      </c>
      <c r="L199" s="72" t="str">
        <f>_xlfn.XLOOKUP(Tabla2__2[[#This Row],[CODIGO RUTA]],'DATA INFORME'!I:I,'DATA INFORME'!K:K)</f>
        <v>SI</v>
      </c>
      <c r="M199" s="72" t="str">
        <f>IF(Tabla2__2[[#This Row],[MYSTERY EFECTIVO]]="SI",_xlfn.XLOOKUP(Tabla2__2[[#This Row],[PREGUNTA]],ENCUESTA!G:G,ENCUESTA!D:D),"N/A")</f>
        <v>UNIFORME</v>
      </c>
      <c r="N19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199" s="72" t="str">
        <f>_xlfn.XLOOKUP(Tabla2__2[[#This Row],[PREGUNTA]],ENCUESTA!G:G,ENCUESTA!H:H)</f>
        <v>SI</v>
      </c>
      <c r="P199" s="72">
        <f>IF(Tabla2__2[[#This Row],[RTA]]=Tabla2__2[[#This Row],[RTA CORRECTA]],Tabla2__2[[#This Row],[TOTAL PUNTAJE]],0)</f>
        <v>1.5</v>
      </c>
      <c r="Q199" s="72">
        <f t="shared" si="3"/>
        <v>0</v>
      </c>
    </row>
    <row r="200" spans="1:17" x14ac:dyDescent="0.25">
      <c r="A200" s="72" t="s">
        <v>39</v>
      </c>
      <c r="B200" s="72" t="s">
        <v>8</v>
      </c>
      <c r="C200" t="s">
        <v>15</v>
      </c>
      <c r="D200" s="72" t="s">
        <v>116</v>
      </c>
      <c r="E200" s="72">
        <v>188203</v>
      </c>
      <c r="F200" s="72" t="s">
        <v>218</v>
      </c>
      <c r="G200" s="72" t="s">
        <v>136</v>
      </c>
      <c r="H200" s="72" t="s">
        <v>24</v>
      </c>
      <c r="I200" s="73">
        <v>45734</v>
      </c>
      <c r="J200" s="72">
        <v>26424985</v>
      </c>
      <c r="K200" s="72" t="s">
        <v>53</v>
      </c>
      <c r="L200" s="72" t="str">
        <f>_xlfn.XLOOKUP(Tabla2__2[[#This Row],[CODIGO RUTA]],'DATA INFORME'!I:I,'DATA INFORME'!K:K)</f>
        <v>SI</v>
      </c>
      <c r="M200" s="72" t="str">
        <f>IF(Tabla2__2[[#This Row],[MYSTERY EFECTIVO]]="SI",_xlfn.XLOOKUP(Tabla2__2[[#This Row],[PREGUNTA]],ENCUESTA!G:G,ENCUESTA!D:D),"N/A")</f>
        <v>UNIFORME</v>
      </c>
      <c r="N20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00" s="72" t="str">
        <f>_xlfn.XLOOKUP(Tabla2__2[[#This Row],[PREGUNTA]],ENCUESTA!G:G,ENCUESTA!H:H)</f>
        <v>SI</v>
      </c>
      <c r="P200" s="72">
        <f>IF(Tabla2__2[[#This Row],[RTA]]=Tabla2__2[[#This Row],[RTA CORRECTA]],Tabla2__2[[#This Row],[TOTAL PUNTAJE]],0)</f>
        <v>1.5</v>
      </c>
      <c r="Q200" s="72">
        <f t="shared" si="3"/>
        <v>0</v>
      </c>
    </row>
    <row r="201" spans="1:17" x14ac:dyDescent="0.25">
      <c r="A201" s="72" t="s">
        <v>39</v>
      </c>
      <c r="B201" s="72" t="s">
        <v>8</v>
      </c>
      <c r="C201" t="s">
        <v>15</v>
      </c>
      <c r="D201" s="72" t="s">
        <v>116</v>
      </c>
      <c r="E201" s="72">
        <v>188203</v>
      </c>
      <c r="F201" s="72" t="s">
        <v>218</v>
      </c>
      <c r="G201" s="72" t="s">
        <v>100</v>
      </c>
      <c r="H201" s="72" t="s">
        <v>24</v>
      </c>
      <c r="I201" s="73">
        <v>45734</v>
      </c>
      <c r="J201" s="72">
        <v>26424985</v>
      </c>
      <c r="K201" s="72" t="s">
        <v>53</v>
      </c>
      <c r="L201" s="72" t="str">
        <f>_xlfn.XLOOKUP(Tabla2__2[[#This Row],[CODIGO RUTA]],'DATA INFORME'!I:I,'DATA INFORME'!K:K)</f>
        <v>SI</v>
      </c>
      <c r="M201" s="72" t="str">
        <f>IF(Tabla2__2[[#This Row],[MYSTERY EFECTIVO]]="SI",_xlfn.XLOOKUP(Tabla2__2[[#This Row],[PREGUNTA]],ENCUESTA!G:G,ENCUESTA!D:D),"N/A")</f>
        <v>UNIFORME</v>
      </c>
      <c r="N20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01" s="72" t="str">
        <f>_xlfn.XLOOKUP(Tabla2__2[[#This Row],[PREGUNTA]],ENCUESTA!G:G,ENCUESTA!H:H)</f>
        <v>SI</v>
      </c>
      <c r="P201" s="72">
        <f>IF(Tabla2__2[[#This Row],[RTA]]=Tabla2__2[[#This Row],[RTA CORRECTA]],Tabla2__2[[#This Row],[TOTAL PUNTAJE]],0)</f>
        <v>1.5</v>
      </c>
      <c r="Q201" s="72">
        <f t="shared" si="3"/>
        <v>0</v>
      </c>
    </row>
    <row r="202" spans="1:17" x14ac:dyDescent="0.25">
      <c r="A202" s="72" t="s">
        <v>39</v>
      </c>
      <c r="B202" s="72" t="s">
        <v>8</v>
      </c>
      <c r="C202" t="s">
        <v>15</v>
      </c>
      <c r="D202" s="72" t="s">
        <v>116</v>
      </c>
      <c r="E202" s="72">
        <v>188203</v>
      </c>
      <c r="F202" s="72" t="s">
        <v>218</v>
      </c>
      <c r="G202" s="72" t="s">
        <v>47</v>
      </c>
      <c r="H202" s="72" t="s">
        <v>118</v>
      </c>
      <c r="I202" s="73">
        <v>45734</v>
      </c>
      <c r="J202" s="72">
        <v>26424985</v>
      </c>
      <c r="K202" s="72" t="s">
        <v>53</v>
      </c>
      <c r="L202" s="72" t="str">
        <f>_xlfn.XLOOKUP(Tabla2__2[[#This Row],[CODIGO RUTA]],'DATA INFORME'!I:I,'DATA INFORME'!K:K)</f>
        <v>SI</v>
      </c>
      <c r="M202" s="72" t="str">
        <f>IF(Tabla2__2[[#This Row],[MYSTERY EFECTIVO]]="SI",_xlfn.XLOOKUP(Tabla2__2[[#This Row],[PREGUNTA]],ENCUESTA!G:G,ENCUESTA!D:D),"N/A")</f>
        <v>UNIFORME</v>
      </c>
      <c r="N20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02" s="72" t="str">
        <f>_xlfn.XLOOKUP(Tabla2__2[[#This Row],[PREGUNTA]],ENCUESTA!G:G,ENCUESTA!H:H)</f>
        <v>NO</v>
      </c>
      <c r="P202" s="72">
        <f>IF(Tabla2__2[[#This Row],[RTA]]=Tabla2__2[[#This Row],[RTA CORRECTA]],Tabla2__2[[#This Row],[TOTAL PUNTAJE]],0)</f>
        <v>1.5</v>
      </c>
      <c r="Q202" s="72">
        <f t="shared" si="3"/>
        <v>0</v>
      </c>
    </row>
    <row r="203" spans="1:17" x14ac:dyDescent="0.25">
      <c r="A203" s="72" t="s">
        <v>39</v>
      </c>
      <c r="B203" s="72" t="s">
        <v>8</v>
      </c>
      <c r="C203" t="s">
        <v>15</v>
      </c>
      <c r="D203" s="72" t="s">
        <v>116</v>
      </c>
      <c r="E203" s="72">
        <v>109096</v>
      </c>
      <c r="F203" s="72" t="s">
        <v>221</v>
      </c>
      <c r="G203" s="72" t="s">
        <v>99</v>
      </c>
      <c r="H203" s="72" t="s">
        <v>118</v>
      </c>
      <c r="I203" s="73">
        <v>45734</v>
      </c>
      <c r="J203" s="72">
        <v>26424986</v>
      </c>
      <c r="K203" s="72" t="s">
        <v>53</v>
      </c>
      <c r="L203" s="72" t="str">
        <f>_xlfn.XLOOKUP(Tabla2__2[[#This Row],[CODIGO RUTA]],'DATA INFORME'!I:I,'DATA INFORME'!K:K)</f>
        <v>SI</v>
      </c>
      <c r="M203" s="72" t="str">
        <f>IF(Tabla2__2[[#This Row],[MYSTERY EFECTIVO]]="SI",_xlfn.XLOOKUP(Tabla2__2[[#This Row],[PREGUNTA]],ENCUESTA!G:G,ENCUESTA!D:D),"N/A")</f>
        <v>PORTAFOLIO Y MANEJO DE OBJECIONES</v>
      </c>
      <c r="N20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203" s="72" t="str">
        <f>_xlfn.XLOOKUP(Tabla2__2[[#This Row],[PREGUNTA]],ENCUESTA!G:G,ENCUESTA!H:H)</f>
        <v>SI</v>
      </c>
      <c r="P203" s="72">
        <f>IF(Tabla2__2[[#This Row],[RTA]]=Tabla2__2[[#This Row],[RTA CORRECTA]],Tabla2__2[[#This Row],[TOTAL PUNTAJE]],0)</f>
        <v>0</v>
      </c>
      <c r="Q203" s="72">
        <f t="shared" si="3"/>
        <v>0</v>
      </c>
    </row>
    <row r="204" spans="1:17" x14ac:dyDescent="0.25">
      <c r="A204" s="72" t="s">
        <v>39</v>
      </c>
      <c r="B204" s="72" t="s">
        <v>8</v>
      </c>
      <c r="C204" t="s">
        <v>15</v>
      </c>
      <c r="D204" s="72" t="s">
        <v>116</v>
      </c>
      <c r="E204" s="72">
        <v>188203</v>
      </c>
      <c r="F204" s="72" t="s">
        <v>218</v>
      </c>
      <c r="G204" s="72" t="s">
        <v>177</v>
      </c>
      <c r="H204" s="72" t="s">
        <v>24</v>
      </c>
      <c r="I204" s="73">
        <v>45734</v>
      </c>
      <c r="J204" s="72">
        <v>26424985</v>
      </c>
      <c r="K204" s="72" t="s">
        <v>53</v>
      </c>
      <c r="L204" s="72" t="str">
        <f>_xlfn.XLOOKUP(Tabla2__2[[#This Row],[CODIGO RUTA]],'DATA INFORME'!I:I,'DATA INFORME'!K:K)</f>
        <v>SI</v>
      </c>
      <c r="M204" s="72" t="str">
        <f>IF(Tabla2__2[[#This Row],[MYSTERY EFECTIVO]]="SI",_xlfn.XLOOKUP(Tabla2__2[[#This Row],[PREGUNTA]],ENCUESTA!G:G,ENCUESTA!D:D),"N/A")</f>
        <v>PORTAFOLIO Y MANEJO DE OBJECIONES</v>
      </c>
      <c r="N20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04" s="72" t="str">
        <f>_xlfn.XLOOKUP(Tabla2__2[[#This Row],[PREGUNTA]],ENCUESTA!G:G,ENCUESTA!H:H)</f>
        <v>SI</v>
      </c>
      <c r="P204" s="72">
        <f>IF(Tabla2__2[[#This Row],[RTA]]=Tabla2__2[[#This Row],[RTA CORRECTA]],Tabla2__2[[#This Row],[TOTAL PUNTAJE]],0)</f>
        <v>2.4</v>
      </c>
      <c r="Q204" s="72">
        <f t="shared" si="3"/>
        <v>0</v>
      </c>
    </row>
    <row r="205" spans="1:17" x14ac:dyDescent="0.25">
      <c r="A205" s="72" t="s">
        <v>39</v>
      </c>
      <c r="B205" s="72" t="s">
        <v>8</v>
      </c>
      <c r="C205" t="s">
        <v>15</v>
      </c>
      <c r="D205" s="72" t="s">
        <v>116</v>
      </c>
      <c r="E205" s="72">
        <v>188203</v>
      </c>
      <c r="F205" s="72" t="s">
        <v>218</v>
      </c>
      <c r="G205" s="72" t="s">
        <v>42</v>
      </c>
      <c r="H205" s="72" t="s">
        <v>147</v>
      </c>
      <c r="I205" s="73">
        <v>45734</v>
      </c>
      <c r="J205" s="72">
        <v>26424985</v>
      </c>
      <c r="K205" s="72" t="s">
        <v>53</v>
      </c>
      <c r="L205" s="72" t="str">
        <f>_xlfn.XLOOKUP(Tabla2__2[[#This Row],[CODIGO RUTA]],'DATA INFORME'!I:I,'DATA INFORME'!K:K)</f>
        <v>SI</v>
      </c>
      <c r="M205" s="72" t="str">
        <f>IF(Tabla2__2[[#This Row],[MYSTERY EFECTIVO]]="SI",_xlfn.XLOOKUP(Tabla2__2[[#This Row],[PREGUNTA]],ENCUESTA!G:G,ENCUESTA!D:D),"N/A")</f>
        <v>N/A</v>
      </c>
      <c r="N20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5" s="72" t="str">
        <f>_xlfn.XLOOKUP(Tabla2__2[[#This Row],[PREGUNTA]],ENCUESTA!G:G,ENCUESTA!H:H)</f>
        <v>SI</v>
      </c>
      <c r="P205" s="72">
        <f>IF(Tabla2__2[[#This Row],[RTA]]=Tabla2__2[[#This Row],[RTA CORRECTA]],Tabla2__2[[#This Row],[TOTAL PUNTAJE]],0)</f>
        <v>0</v>
      </c>
      <c r="Q205" s="72">
        <f t="shared" si="3"/>
        <v>0</v>
      </c>
    </row>
    <row r="206" spans="1:17" x14ac:dyDescent="0.25">
      <c r="A206" s="72" t="s">
        <v>39</v>
      </c>
      <c r="B206" s="72" t="s">
        <v>8</v>
      </c>
      <c r="C206" t="s">
        <v>15</v>
      </c>
      <c r="D206" s="72" t="s">
        <v>116</v>
      </c>
      <c r="E206" s="72">
        <v>109096</v>
      </c>
      <c r="F206" s="72" t="s">
        <v>221</v>
      </c>
      <c r="G206" s="72" t="s">
        <v>138</v>
      </c>
      <c r="H206" s="72" t="s">
        <v>24</v>
      </c>
      <c r="I206" s="73">
        <v>45734</v>
      </c>
      <c r="J206" s="72">
        <v>26424986</v>
      </c>
      <c r="K206" s="72" t="s">
        <v>53</v>
      </c>
      <c r="L206" s="72" t="str">
        <f>_xlfn.XLOOKUP(Tabla2__2[[#This Row],[CODIGO RUTA]],'DATA INFORME'!I:I,'DATA INFORME'!K:K)</f>
        <v>SI</v>
      </c>
      <c r="M206" s="72" t="str">
        <f>IF(Tabla2__2[[#This Row],[MYSTERY EFECTIVO]]="SI",_xlfn.XLOOKUP(Tabla2__2[[#This Row],[PREGUNTA]],ENCUESTA!G:G,ENCUESTA!D:D),"N/A")</f>
        <v>ABORDAJE</v>
      </c>
      <c r="N20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06" s="72" t="str">
        <f>_xlfn.XLOOKUP(Tabla2__2[[#This Row],[PREGUNTA]],ENCUESTA!G:G,ENCUESTA!H:H)</f>
        <v>SI</v>
      </c>
      <c r="P206" s="72">
        <f>IF(Tabla2__2[[#This Row],[RTA]]=Tabla2__2[[#This Row],[RTA CORRECTA]],Tabla2__2[[#This Row],[TOTAL PUNTAJE]],0)</f>
        <v>20</v>
      </c>
      <c r="Q206" s="72">
        <f t="shared" si="3"/>
        <v>0</v>
      </c>
    </row>
    <row r="207" spans="1:17" x14ac:dyDescent="0.25">
      <c r="A207" s="72" t="s">
        <v>39</v>
      </c>
      <c r="B207" s="72" t="s">
        <v>8</v>
      </c>
      <c r="C207" t="s">
        <v>15</v>
      </c>
      <c r="D207" s="72" t="s">
        <v>116</v>
      </c>
      <c r="E207" s="72">
        <v>109096</v>
      </c>
      <c r="F207" s="72" t="s">
        <v>221</v>
      </c>
      <c r="G207" s="72" t="s">
        <v>46</v>
      </c>
      <c r="H207" s="72" t="s">
        <v>24</v>
      </c>
      <c r="I207" s="73">
        <v>45734</v>
      </c>
      <c r="J207" s="72">
        <v>26424986</v>
      </c>
      <c r="K207" s="72" t="s">
        <v>53</v>
      </c>
      <c r="L207" s="72" t="str">
        <f>_xlfn.XLOOKUP(Tabla2__2[[#This Row],[CODIGO RUTA]],'DATA INFORME'!I:I,'DATA INFORME'!K:K)</f>
        <v>SI</v>
      </c>
      <c r="M207" s="72" t="str">
        <f>IF(Tabla2__2[[#This Row],[MYSTERY EFECTIVO]]="SI",_xlfn.XLOOKUP(Tabla2__2[[#This Row],[PREGUNTA]],ENCUESTA!G:G,ENCUESTA!D:D),"N/A")</f>
        <v>UNIFORME</v>
      </c>
      <c r="N20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07" s="72" t="str">
        <f>_xlfn.XLOOKUP(Tabla2__2[[#This Row],[PREGUNTA]],ENCUESTA!G:G,ENCUESTA!H:H)</f>
        <v>NO</v>
      </c>
      <c r="P207" s="72">
        <f>IF(Tabla2__2[[#This Row],[RTA]]=Tabla2__2[[#This Row],[RTA CORRECTA]],Tabla2__2[[#This Row],[TOTAL PUNTAJE]],0)</f>
        <v>0</v>
      </c>
      <c r="Q207" s="72">
        <f t="shared" si="3"/>
        <v>0</v>
      </c>
    </row>
    <row r="208" spans="1:17" x14ac:dyDescent="0.25">
      <c r="A208" s="72" t="s">
        <v>39</v>
      </c>
      <c r="B208" s="72" t="s">
        <v>8</v>
      </c>
      <c r="C208" t="s">
        <v>15</v>
      </c>
      <c r="D208" s="72" t="s">
        <v>116</v>
      </c>
      <c r="E208" s="72">
        <v>109096</v>
      </c>
      <c r="F208" s="72" t="s">
        <v>221</v>
      </c>
      <c r="G208" s="72" t="s">
        <v>47</v>
      </c>
      <c r="H208" s="72" t="s">
        <v>118</v>
      </c>
      <c r="I208" s="73">
        <v>45734</v>
      </c>
      <c r="J208" s="72">
        <v>26424986</v>
      </c>
      <c r="K208" s="72" t="s">
        <v>53</v>
      </c>
      <c r="L208" s="72" t="str">
        <f>_xlfn.XLOOKUP(Tabla2__2[[#This Row],[CODIGO RUTA]],'DATA INFORME'!I:I,'DATA INFORME'!K:K)</f>
        <v>SI</v>
      </c>
      <c r="M208" s="72" t="str">
        <f>IF(Tabla2__2[[#This Row],[MYSTERY EFECTIVO]]="SI",_xlfn.XLOOKUP(Tabla2__2[[#This Row],[PREGUNTA]],ENCUESTA!G:G,ENCUESTA!D:D),"N/A")</f>
        <v>UNIFORME</v>
      </c>
      <c r="N20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08" s="72" t="str">
        <f>_xlfn.XLOOKUP(Tabla2__2[[#This Row],[PREGUNTA]],ENCUESTA!G:G,ENCUESTA!H:H)</f>
        <v>NO</v>
      </c>
      <c r="P208" s="72">
        <f>IF(Tabla2__2[[#This Row],[RTA]]=Tabla2__2[[#This Row],[RTA CORRECTA]],Tabla2__2[[#This Row],[TOTAL PUNTAJE]],0)</f>
        <v>1.5</v>
      </c>
      <c r="Q208" s="72">
        <f t="shared" si="3"/>
        <v>0</v>
      </c>
    </row>
    <row r="209" spans="1:17" x14ac:dyDescent="0.25">
      <c r="A209" s="72" t="s">
        <v>39</v>
      </c>
      <c r="B209" s="72" t="s">
        <v>8</v>
      </c>
      <c r="C209" t="s">
        <v>15</v>
      </c>
      <c r="D209" s="72" t="s">
        <v>116</v>
      </c>
      <c r="E209" s="72">
        <v>109096</v>
      </c>
      <c r="F209" s="72" t="s">
        <v>221</v>
      </c>
      <c r="G209" s="72" t="s">
        <v>48</v>
      </c>
      <c r="H209" s="72" t="s">
        <v>118</v>
      </c>
      <c r="I209" s="73">
        <v>45734</v>
      </c>
      <c r="J209" s="72">
        <v>26424986</v>
      </c>
      <c r="K209" s="72" t="s">
        <v>53</v>
      </c>
      <c r="L209" s="72" t="str">
        <f>_xlfn.XLOOKUP(Tabla2__2[[#This Row],[CODIGO RUTA]],'DATA INFORME'!I:I,'DATA INFORME'!K:K)</f>
        <v>SI</v>
      </c>
      <c r="M209" s="72" t="str">
        <f>IF(Tabla2__2[[#This Row],[MYSTERY EFECTIVO]]="SI",_xlfn.XLOOKUP(Tabla2__2[[#This Row],[PREGUNTA]],ENCUESTA!G:G,ENCUESTA!D:D),"N/A")</f>
        <v>UNIFORME</v>
      </c>
      <c r="N20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09" s="72" t="str">
        <f>_xlfn.XLOOKUP(Tabla2__2[[#This Row],[PREGUNTA]],ENCUESTA!G:G,ENCUESTA!H:H)</f>
        <v>NO</v>
      </c>
      <c r="P209" s="72">
        <f>IF(Tabla2__2[[#This Row],[RTA]]=Tabla2__2[[#This Row],[RTA CORRECTA]],Tabla2__2[[#This Row],[TOTAL PUNTAJE]],0)</f>
        <v>1.5</v>
      </c>
      <c r="Q209" s="72">
        <f t="shared" si="3"/>
        <v>0</v>
      </c>
    </row>
    <row r="210" spans="1:17" x14ac:dyDescent="0.25">
      <c r="A210" s="72" t="s">
        <v>39</v>
      </c>
      <c r="B210" s="72" t="s">
        <v>8</v>
      </c>
      <c r="C210" t="s">
        <v>15</v>
      </c>
      <c r="D210" s="72" t="s">
        <v>116</v>
      </c>
      <c r="E210" s="72">
        <v>109096</v>
      </c>
      <c r="F210" s="72" t="s">
        <v>221</v>
      </c>
      <c r="G210" s="72" t="s">
        <v>52</v>
      </c>
      <c r="H210" s="72" t="s">
        <v>118</v>
      </c>
      <c r="I210" s="73">
        <v>45734</v>
      </c>
      <c r="J210" s="72">
        <v>26424986</v>
      </c>
      <c r="K210" s="72" t="s">
        <v>53</v>
      </c>
      <c r="L210" s="72" t="str">
        <f>_xlfn.XLOOKUP(Tabla2__2[[#This Row],[CODIGO RUTA]],'DATA INFORME'!I:I,'DATA INFORME'!K:K)</f>
        <v>SI</v>
      </c>
      <c r="M210" s="72" t="str">
        <f>IF(Tabla2__2[[#This Row],[MYSTERY EFECTIVO]]="SI",_xlfn.XLOOKUP(Tabla2__2[[#This Row],[PREGUNTA]],ENCUESTA!G:G,ENCUESTA!D:D),"N/A")</f>
        <v>UNIFORME</v>
      </c>
      <c r="N21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10" s="72" t="str">
        <f>_xlfn.XLOOKUP(Tabla2__2[[#This Row],[PREGUNTA]],ENCUESTA!G:G,ENCUESTA!H:H)</f>
        <v>NO</v>
      </c>
      <c r="P210" s="72">
        <f>IF(Tabla2__2[[#This Row],[RTA]]=Tabla2__2[[#This Row],[RTA CORRECTA]],Tabla2__2[[#This Row],[TOTAL PUNTAJE]],0)</f>
        <v>1.5</v>
      </c>
      <c r="Q210" s="72">
        <f t="shared" si="3"/>
        <v>0</v>
      </c>
    </row>
    <row r="211" spans="1:17" x14ac:dyDescent="0.25">
      <c r="A211" s="72" t="s">
        <v>39</v>
      </c>
      <c r="B211" s="72" t="s">
        <v>8</v>
      </c>
      <c r="C211" t="s">
        <v>15</v>
      </c>
      <c r="D211" s="72" t="s">
        <v>116</v>
      </c>
      <c r="E211" s="72">
        <v>109096</v>
      </c>
      <c r="F211" s="72" t="s">
        <v>221</v>
      </c>
      <c r="G211" s="72" t="s">
        <v>49</v>
      </c>
      <c r="H211" s="72" t="s">
        <v>24</v>
      </c>
      <c r="I211" s="73">
        <v>45734</v>
      </c>
      <c r="J211" s="72">
        <v>26424986</v>
      </c>
      <c r="K211" s="72" t="s">
        <v>53</v>
      </c>
      <c r="L211" s="72" t="str">
        <f>_xlfn.XLOOKUP(Tabla2__2[[#This Row],[CODIGO RUTA]],'DATA INFORME'!I:I,'DATA INFORME'!K:K)</f>
        <v>SI</v>
      </c>
      <c r="M211" s="72" t="str">
        <f>IF(Tabla2__2[[#This Row],[MYSTERY EFECTIVO]]="SI",_xlfn.XLOOKUP(Tabla2__2[[#This Row],[PREGUNTA]],ENCUESTA!G:G,ENCUESTA!D:D),"N/A")</f>
        <v>UNIFORME</v>
      </c>
      <c r="N21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11" s="72" t="str">
        <f>_xlfn.XLOOKUP(Tabla2__2[[#This Row],[PREGUNTA]],ENCUESTA!G:G,ENCUESTA!H:H)</f>
        <v>SI</v>
      </c>
      <c r="P211" s="72">
        <f>IF(Tabla2__2[[#This Row],[RTA]]=Tabla2__2[[#This Row],[RTA CORRECTA]],Tabla2__2[[#This Row],[TOTAL PUNTAJE]],0)</f>
        <v>1.5</v>
      </c>
      <c r="Q211" s="72">
        <f t="shared" si="3"/>
        <v>0</v>
      </c>
    </row>
    <row r="212" spans="1:17" x14ac:dyDescent="0.25">
      <c r="A212" s="72" t="s">
        <v>39</v>
      </c>
      <c r="B212" s="72" t="s">
        <v>8</v>
      </c>
      <c r="C212" t="s">
        <v>15</v>
      </c>
      <c r="D212" s="72" t="s">
        <v>116</v>
      </c>
      <c r="E212" s="72">
        <v>109096</v>
      </c>
      <c r="F212" s="72" t="s">
        <v>221</v>
      </c>
      <c r="G212" s="72" t="s">
        <v>43</v>
      </c>
      <c r="H212" s="72" t="s">
        <v>24</v>
      </c>
      <c r="I212" s="73">
        <v>45734</v>
      </c>
      <c r="J212" s="72">
        <v>26424986</v>
      </c>
      <c r="K212" s="72" t="s">
        <v>53</v>
      </c>
      <c r="L212" s="72" t="str">
        <f>_xlfn.XLOOKUP(Tabla2__2[[#This Row],[CODIGO RUTA]],'DATA INFORME'!I:I,'DATA INFORME'!K:K)</f>
        <v>SI</v>
      </c>
      <c r="M212" s="72" t="str">
        <f>IF(Tabla2__2[[#This Row],[MYSTERY EFECTIVO]]="SI",_xlfn.XLOOKUP(Tabla2__2[[#This Row],[PREGUNTA]],ENCUESTA!G:G,ENCUESTA!D:D),"N/A")</f>
        <v>UNIFORME</v>
      </c>
      <c r="N21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12" s="72" t="str">
        <f>_xlfn.XLOOKUP(Tabla2__2[[#This Row],[PREGUNTA]],ENCUESTA!G:G,ENCUESTA!H:H)</f>
        <v>SI</v>
      </c>
      <c r="P212" s="72">
        <f>IF(Tabla2__2[[#This Row],[RTA]]=Tabla2__2[[#This Row],[RTA CORRECTA]],Tabla2__2[[#This Row],[TOTAL PUNTAJE]],0)</f>
        <v>1.5</v>
      </c>
      <c r="Q212" s="72">
        <f t="shared" si="3"/>
        <v>0</v>
      </c>
    </row>
    <row r="213" spans="1:17" x14ac:dyDescent="0.25">
      <c r="A213" s="72" t="s">
        <v>39</v>
      </c>
      <c r="B213" s="72" t="s">
        <v>8</v>
      </c>
      <c r="C213" t="s">
        <v>15</v>
      </c>
      <c r="D213" s="72" t="s">
        <v>116</v>
      </c>
      <c r="E213" s="72">
        <v>188203</v>
      </c>
      <c r="F213" s="72" t="s">
        <v>218</v>
      </c>
      <c r="G213" s="72" t="s">
        <v>41</v>
      </c>
      <c r="H213" s="72" t="s">
        <v>24</v>
      </c>
      <c r="I213" s="73">
        <v>45734</v>
      </c>
      <c r="J213" s="72">
        <v>26424985</v>
      </c>
      <c r="K213" s="72" t="s">
        <v>53</v>
      </c>
      <c r="L213" s="72" t="str">
        <f>_xlfn.XLOOKUP(Tabla2__2[[#This Row],[CODIGO RUTA]],'DATA INFORME'!I:I,'DATA INFORME'!K:K)</f>
        <v>SI</v>
      </c>
      <c r="M213" s="72" t="str">
        <f>IF(Tabla2__2[[#This Row],[MYSTERY EFECTIVO]]="SI",_xlfn.XLOOKUP(Tabla2__2[[#This Row],[PREGUNTA]],ENCUESTA!G:G,ENCUESTA!D:D),"N/A")</f>
        <v>N/A</v>
      </c>
      <c r="N21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3" s="72" t="str">
        <f>_xlfn.XLOOKUP(Tabla2__2[[#This Row],[PREGUNTA]],ENCUESTA!G:G,ENCUESTA!H:H)</f>
        <v>SI</v>
      </c>
      <c r="P213" s="72">
        <f>IF(Tabla2__2[[#This Row],[RTA]]=Tabla2__2[[#This Row],[RTA CORRECTA]],Tabla2__2[[#This Row],[TOTAL PUNTAJE]],0)</f>
        <v>0</v>
      </c>
      <c r="Q213" s="72">
        <f t="shared" si="3"/>
        <v>0</v>
      </c>
    </row>
    <row r="214" spans="1:17" x14ac:dyDescent="0.25">
      <c r="A214" s="72" t="s">
        <v>39</v>
      </c>
      <c r="B214" s="72" t="s">
        <v>8</v>
      </c>
      <c r="C214" t="s">
        <v>15</v>
      </c>
      <c r="D214" s="72" t="s">
        <v>116</v>
      </c>
      <c r="E214" s="72">
        <v>109096</v>
      </c>
      <c r="F214" s="72" t="s">
        <v>221</v>
      </c>
      <c r="G214" s="72" t="s">
        <v>137</v>
      </c>
      <c r="H214" s="72" t="s">
        <v>118</v>
      </c>
      <c r="I214" s="73">
        <v>45734</v>
      </c>
      <c r="J214" s="72">
        <v>26424986</v>
      </c>
      <c r="K214" s="72" t="s">
        <v>53</v>
      </c>
      <c r="L214" s="72" t="str">
        <f>_xlfn.XLOOKUP(Tabla2__2[[#This Row],[CODIGO RUTA]],'DATA INFORME'!I:I,'DATA INFORME'!K:K)</f>
        <v>SI</v>
      </c>
      <c r="M214" s="72" t="str">
        <f>IF(Tabla2__2[[#This Row],[MYSTERY EFECTIVO]]="SI",_xlfn.XLOOKUP(Tabla2__2[[#This Row],[PREGUNTA]],ENCUESTA!G:G,ENCUESTA!D:D),"N/A")</f>
        <v>UNIFORME</v>
      </c>
      <c r="N21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14" s="72" t="str">
        <f>_xlfn.XLOOKUP(Tabla2__2[[#This Row],[PREGUNTA]],ENCUESTA!G:G,ENCUESTA!H:H)</f>
        <v>NO</v>
      </c>
      <c r="P214" s="72">
        <f>IF(Tabla2__2[[#This Row],[RTA]]=Tabla2__2[[#This Row],[RTA CORRECTA]],Tabla2__2[[#This Row],[TOTAL PUNTAJE]],0)</f>
        <v>1.5</v>
      </c>
      <c r="Q214" s="72">
        <f t="shared" si="3"/>
        <v>0</v>
      </c>
    </row>
    <row r="215" spans="1:17" x14ac:dyDescent="0.25">
      <c r="A215" s="72" t="s">
        <v>39</v>
      </c>
      <c r="B215" s="72" t="s">
        <v>8</v>
      </c>
      <c r="C215" t="s">
        <v>15</v>
      </c>
      <c r="D215" s="72" t="s">
        <v>116</v>
      </c>
      <c r="E215" s="72">
        <v>109096</v>
      </c>
      <c r="F215" s="72" t="s">
        <v>221</v>
      </c>
      <c r="G215" s="72" t="s">
        <v>136</v>
      </c>
      <c r="H215" s="72" t="s">
        <v>24</v>
      </c>
      <c r="I215" s="73">
        <v>45734</v>
      </c>
      <c r="J215" s="72">
        <v>26424986</v>
      </c>
      <c r="K215" s="72" t="s">
        <v>53</v>
      </c>
      <c r="L215" s="72" t="str">
        <f>_xlfn.XLOOKUP(Tabla2__2[[#This Row],[CODIGO RUTA]],'DATA INFORME'!I:I,'DATA INFORME'!K:K)</f>
        <v>SI</v>
      </c>
      <c r="M215" s="72" t="str">
        <f>IF(Tabla2__2[[#This Row],[MYSTERY EFECTIVO]]="SI",_xlfn.XLOOKUP(Tabla2__2[[#This Row],[PREGUNTA]],ENCUESTA!G:G,ENCUESTA!D:D),"N/A")</f>
        <v>UNIFORME</v>
      </c>
      <c r="N21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15" s="72" t="str">
        <f>_xlfn.XLOOKUP(Tabla2__2[[#This Row],[PREGUNTA]],ENCUESTA!G:G,ENCUESTA!H:H)</f>
        <v>SI</v>
      </c>
      <c r="P215" s="72">
        <f>IF(Tabla2__2[[#This Row],[RTA]]=Tabla2__2[[#This Row],[RTA CORRECTA]],Tabla2__2[[#This Row],[TOTAL PUNTAJE]],0)</f>
        <v>1.5</v>
      </c>
      <c r="Q215" s="72">
        <f t="shared" si="3"/>
        <v>0</v>
      </c>
    </row>
    <row r="216" spans="1:17" x14ac:dyDescent="0.25">
      <c r="A216" s="72" t="s">
        <v>39</v>
      </c>
      <c r="B216" s="72" t="s">
        <v>8</v>
      </c>
      <c r="C216" t="s">
        <v>15</v>
      </c>
      <c r="D216" s="72" t="s">
        <v>116</v>
      </c>
      <c r="E216" s="72">
        <v>109096</v>
      </c>
      <c r="F216" s="72" t="s">
        <v>221</v>
      </c>
      <c r="G216" s="72" t="s">
        <v>100</v>
      </c>
      <c r="H216" s="72" t="s">
        <v>24</v>
      </c>
      <c r="I216" s="73">
        <v>45734</v>
      </c>
      <c r="J216" s="72">
        <v>26424986</v>
      </c>
      <c r="K216" s="72" t="s">
        <v>53</v>
      </c>
      <c r="L216" s="72" t="str">
        <f>_xlfn.XLOOKUP(Tabla2__2[[#This Row],[CODIGO RUTA]],'DATA INFORME'!I:I,'DATA INFORME'!K:K)</f>
        <v>SI</v>
      </c>
      <c r="M216" s="72" t="str">
        <f>IF(Tabla2__2[[#This Row],[MYSTERY EFECTIVO]]="SI",_xlfn.XLOOKUP(Tabla2__2[[#This Row],[PREGUNTA]],ENCUESTA!G:G,ENCUESTA!D:D),"N/A")</f>
        <v>UNIFORME</v>
      </c>
      <c r="N21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16" s="72" t="str">
        <f>_xlfn.XLOOKUP(Tabla2__2[[#This Row],[PREGUNTA]],ENCUESTA!G:G,ENCUESTA!H:H)</f>
        <v>SI</v>
      </c>
      <c r="P216" s="72">
        <f>IF(Tabla2__2[[#This Row],[RTA]]=Tabla2__2[[#This Row],[RTA CORRECTA]],Tabla2__2[[#This Row],[TOTAL PUNTAJE]],0)</f>
        <v>1.5</v>
      </c>
      <c r="Q216" s="72">
        <f t="shared" si="3"/>
        <v>0</v>
      </c>
    </row>
    <row r="217" spans="1:17" x14ac:dyDescent="0.25">
      <c r="A217" s="72" t="s">
        <v>39</v>
      </c>
      <c r="B217" s="72" t="s">
        <v>8</v>
      </c>
      <c r="C217" t="s">
        <v>15</v>
      </c>
      <c r="D217" s="72" t="s">
        <v>116</v>
      </c>
      <c r="E217" s="72">
        <v>109096</v>
      </c>
      <c r="F217" s="72" t="s">
        <v>221</v>
      </c>
      <c r="G217" s="72" t="s">
        <v>40</v>
      </c>
      <c r="H217" s="72" t="s">
        <v>24</v>
      </c>
      <c r="I217" s="73">
        <v>45734</v>
      </c>
      <c r="J217" s="72">
        <v>26424986</v>
      </c>
      <c r="K217" s="72" t="s">
        <v>53</v>
      </c>
      <c r="L217" s="72" t="str">
        <f>_xlfn.XLOOKUP(Tabla2__2[[#This Row],[CODIGO RUTA]],'DATA INFORME'!I:I,'DATA INFORME'!K:K)</f>
        <v>SI</v>
      </c>
      <c r="M217" s="72" t="str">
        <f>IF(Tabla2__2[[#This Row],[MYSTERY EFECTIVO]]="SI",_xlfn.XLOOKUP(Tabla2__2[[#This Row],[PREGUNTA]],ENCUESTA!G:G,ENCUESTA!D:D),"N/A")</f>
        <v>HORARIO</v>
      </c>
      <c r="N21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17" s="72" t="str">
        <f>_xlfn.XLOOKUP(Tabla2__2[[#This Row],[PREGUNTA]],ENCUESTA!G:G,ENCUESTA!H:H)</f>
        <v>SI</v>
      </c>
      <c r="P217" s="72">
        <f>IF(Tabla2__2[[#This Row],[RTA]]=Tabla2__2[[#This Row],[RTA CORRECTA]],Tabla2__2[[#This Row],[TOTAL PUNTAJE]],0)</f>
        <v>20</v>
      </c>
      <c r="Q217" s="72">
        <f t="shared" si="3"/>
        <v>0</v>
      </c>
    </row>
    <row r="218" spans="1:17" x14ac:dyDescent="0.25">
      <c r="A218" s="72" t="s">
        <v>39</v>
      </c>
      <c r="B218" s="72" t="s">
        <v>8</v>
      </c>
      <c r="C218" t="s">
        <v>15</v>
      </c>
      <c r="D218" s="72" t="s">
        <v>116</v>
      </c>
      <c r="E218" s="72">
        <v>188203</v>
      </c>
      <c r="F218" s="72" t="s">
        <v>218</v>
      </c>
      <c r="G218" s="72" t="s">
        <v>189</v>
      </c>
      <c r="H218" s="72" t="s">
        <v>118</v>
      </c>
      <c r="I218" s="73">
        <v>45734</v>
      </c>
      <c r="J218" s="72">
        <v>26424985</v>
      </c>
      <c r="K218" s="72" t="s">
        <v>53</v>
      </c>
      <c r="L218" s="72" t="str">
        <f>_xlfn.XLOOKUP(Tabla2__2[[#This Row],[CODIGO RUTA]],'DATA INFORME'!I:I,'DATA INFORME'!K:K)</f>
        <v>SI</v>
      </c>
      <c r="M218" s="72" t="str">
        <f>IF(Tabla2__2[[#This Row],[MYSTERY EFECTIVO]]="SI",_xlfn.XLOOKUP(Tabla2__2[[#This Row],[PREGUNTA]],ENCUESTA!G:G,ENCUESTA!D:D),"N/A")</f>
        <v>N/A</v>
      </c>
      <c r="N21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8" s="72">
        <f>_xlfn.XLOOKUP(Tabla2__2[[#This Row],[PREGUNTA]],ENCUESTA!G:G,ENCUESTA!H:H)</f>
        <v>0</v>
      </c>
      <c r="P218" s="72">
        <f>IF(Tabla2__2[[#This Row],[RTA]]=Tabla2__2[[#This Row],[RTA CORRECTA]],Tabla2__2[[#This Row],[TOTAL PUNTAJE]],0)</f>
        <v>0</v>
      </c>
      <c r="Q218" s="72">
        <f t="shared" si="3"/>
        <v>0</v>
      </c>
    </row>
    <row r="219" spans="1:17" x14ac:dyDescent="0.25">
      <c r="A219" s="72" t="s">
        <v>39</v>
      </c>
      <c r="B219" s="72" t="s">
        <v>8</v>
      </c>
      <c r="C219" t="s">
        <v>15</v>
      </c>
      <c r="D219" s="72" t="s">
        <v>116</v>
      </c>
      <c r="E219" s="72">
        <v>188203</v>
      </c>
      <c r="F219" s="72" t="s">
        <v>218</v>
      </c>
      <c r="G219" s="72" t="s">
        <v>45</v>
      </c>
      <c r="H219" s="72" t="s">
        <v>24</v>
      </c>
      <c r="I219" s="73">
        <v>45734</v>
      </c>
      <c r="J219" s="72">
        <v>26424985</v>
      </c>
      <c r="K219" s="72" t="s">
        <v>53</v>
      </c>
      <c r="L219" s="72" t="str">
        <f>_xlfn.XLOOKUP(Tabla2__2[[#This Row],[CODIGO RUTA]],'DATA INFORME'!I:I,'DATA INFORME'!K:K)</f>
        <v>SI</v>
      </c>
      <c r="M219" s="72" t="str">
        <f>IF(Tabla2__2[[#This Row],[MYSTERY EFECTIVO]]="SI",_xlfn.XLOOKUP(Tabla2__2[[#This Row],[PREGUNTA]],ENCUESTA!G:G,ENCUESTA!D:D),"N/A")</f>
        <v>LABOR DE VENTA</v>
      </c>
      <c r="N21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219" s="72" t="str">
        <f>_xlfn.XLOOKUP(Tabla2__2[[#This Row],[PREGUNTA]],ENCUESTA!G:G,ENCUESTA!H:H)</f>
        <v>SI</v>
      </c>
      <c r="P219" s="72">
        <f>IF(Tabla2__2[[#This Row],[RTA]]=Tabla2__2[[#This Row],[RTA CORRECTA]],Tabla2__2[[#This Row],[TOTAL PUNTAJE]],0)</f>
        <v>7.5</v>
      </c>
      <c r="Q219" s="72">
        <f t="shared" si="3"/>
        <v>0</v>
      </c>
    </row>
    <row r="220" spans="1:17" x14ac:dyDescent="0.25">
      <c r="A220" s="72" t="s">
        <v>39</v>
      </c>
      <c r="B220" s="72" t="s">
        <v>8</v>
      </c>
      <c r="C220" t="s">
        <v>15</v>
      </c>
      <c r="D220" s="72" t="s">
        <v>116</v>
      </c>
      <c r="E220" s="72">
        <v>188203</v>
      </c>
      <c r="F220" s="72" t="s">
        <v>218</v>
      </c>
      <c r="G220" s="72" t="s">
        <v>148</v>
      </c>
      <c r="H220" s="72" t="s">
        <v>24</v>
      </c>
      <c r="I220" s="73">
        <v>45734</v>
      </c>
      <c r="J220" s="72">
        <v>26424985</v>
      </c>
      <c r="K220" s="72" t="s">
        <v>53</v>
      </c>
      <c r="L220" s="72" t="str">
        <f>_xlfn.XLOOKUP(Tabla2__2[[#This Row],[CODIGO RUTA]],'DATA INFORME'!I:I,'DATA INFORME'!K:K)</f>
        <v>SI</v>
      </c>
      <c r="M220" s="72" t="str">
        <f>IF(Tabla2__2[[#This Row],[MYSTERY EFECTIVO]]="SI",_xlfn.XLOOKUP(Tabla2__2[[#This Row],[PREGUNTA]],ENCUESTA!G:G,ENCUESTA!D:D),"N/A")</f>
        <v>LABOR DE VENTA</v>
      </c>
      <c r="N22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220" s="72" t="str">
        <f>_xlfn.XLOOKUP(Tabla2__2[[#This Row],[PREGUNTA]],ENCUESTA!G:G,ENCUESTA!H:H)</f>
        <v>SI</v>
      </c>
      <c r="P220" s="72">
        <f>IF(Tabla2__2[[#This Row],[RTA]]=Tabla2__2[[#This Row],[RTA CORRECTA]],Tabla2__2[[#This Row],[TOTAL PUNTAJE]],0)</f>
        <v>7.5</v>
      </c>
      <c r="Q220" s="72">
        <f t="shared" si="3"/>
        <v>0</v>
      </c>
    </row>
    <row r="221" spans="1:17" x14ac:dyDescent="0.25">
      <c r="A221" s="72" t="s">
        <v>39</v>
      </c>
      <c r="B221" s="72" t="s">
        <v>8</v>
      </c>
      <c r="C221" t="s">
        <v>15</v>
      </c>
      <c r="D221" s="72" t="s">
        <v>116</v>
      </c>
      <c r="E221" s="72">
        <v>188203</v>
      </c>
      <c r="F221" s="72" t="s">
        <v>218</v>
      </c>
      <c r="G221" s="72" t="s">
        <v>50</v>
      </c>
      <c r="H221" s="72" t="s">
        <v>24</v>
      </c>
      <c r="I221" s="73">
        <v>45734</v>
      </c>
      <c r="J221" s="72">
        <v>26424985</v>
      </c>
      <c r="K221" s="72" t="s">
        <v>53</v>
      </c>
      <c r="L221" s="72" t="str">
        <f>_xlfn.XLOOKUP(Tabla2__2[[#This Row],[CODIGO RUTA]],'DATA INFORME'!I:I,'DATA INFORME'!K:K)</f>
        <v>SI</v>
      </c>
      <c r="M221" s="72" t="str">
        <f>IF(Tabla2__2[[#This Row],[MYSTERY EFECTIVO]]="SI",_xlfn.XLOOKUP(Tabla2__2[[#This Row],[PREGUNTA]],ENCUESTA!G:G,ENCUESTA!D:D),"N/A")</f>
        <v>PORTAFOLIO Y MANEJO DE OBJECIONES</v>
      </c>
      <c r="N22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21" s="72" t="str">
        <f>_xlfn.XLOOKUP(Tabla2__2[[#This Row],[PREGUNTA]],ENCUESTA!G:G,ENCUESTA!H:H)</f>
        <v>SI</v>
      </c>
      <c r="P221" s="72">
        <f>IF(Tabla2__2[[#This Row],[RTA]]=Tabla2__2[[#This Row],[RTA CORRECTA]],Tabla2__2[[#This Row],[TOTAL PUNTAJE]],0)</f>
        <v>2.4</v>
      </c>
      <c r="Q221" s="72">
        <f t="shared" si="3"/>
        <v>0</v>
      </c>
    </row>
    <row r="222" spans="1:17" x14ac:dyDescent="0.25">
      <c r="A222" s="72" t="s">
        <v>39</v>
      </c>
      <c r="B222" s="72" t="s">
        <v>8</v>
      </c>
      <c r="C222" t="s">
        <v>15</v>
      </c>
      <c r="D222" s="72" t="s">
        <v>116</v>
      </c>
      <c r="E222" s="72">
        <v>188203</v>
      </c>
      <c r="F222" s="72" t="s">
        <v>218</v>
      </c>
      <c r="G222" s="72" t="s">
        <v>51</v>
      </c>
      <c r="H222" s="72" t="s">
        <v>24</v>
      </c>
      <c r="I222" s="73">
        <v>45734</v>
      </c>
      <c r="J222" s="72">
        <v>26424985</v>
      </c>
      <c r="K222" s="72" t="s">
        <v>53</v>
      </c>
      <c r="L222" s="72" t="str">
        <f>_xlfn.XLOOKUP(Tabla2__2[[#This Row],[CODIGO RUTA]],'DATA INFORME'!I:I,'DATA INFORME'!K:K)</f>
        <v>SI</v>
      </c>
      <c r="M222" s="72" t="str">
        <f>IF(Tabla2__2[[#This Row],[MYSTERY EFECTIVO]]="SI",_xlfn.XLOOKUP(Tabla2__2[[#This Row],[PREGUNTA]],ENCUESTA!G:G,ENCUESTA!D:D),"N/A")</f>
        <v>PORTAFOLIO Y MANEJO DE OBJECIONES</v>
      </c>
      <c r="N222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4,8</v>
      </c>
      <c r="O222" s="72" t="str">
        <f>_xlfn.XLOOKUP(Tabla2__2[[#This Row],[PREGUNTA]],ENCUESTA!G:G,ENCUESTA!H:H)</f>
        <v>SI</v>
      </c>
      <c r="P222" s="72" t="str">
        <f>IF(Tabla2__2[[#This Row],[RTA]]=Tabla2__2[[#This Row],[RTA CORRECTA]],Tabla2__2[[#This Row],[TOTAL PUNTAJE]],0)</f>
        <v>4,8</v>
      </c>
      <c r="Q222" s="72">
        <f t="shared" si="3"/>
        <v>0</v>
      </c>
    </row>
    <row r="223" spans="1:17" x14ac:dyDescent="0.25">
      <c r="A223" s="72" t="s">
        <v>39</v>
      </c>
      <c r="B223" s="72" t="s">
        <v>8</v>
      </c>
      <c r="C223" t="s">
        <v>15</v>
      </c>
      <c r="D223" s="72" t="s">
        <v>116</v>
      </c>
      <c r="E223" s="72">
        <v>109096</v>
      </c>
      <c r="F223" s="72" t="s">
        <v>221</v>
      </c>
      <c r="G223" s="72" t="s">
        <v>44</v>
      </c>
      <c r="H223" s="72" t="s">
        <v>24</v>
      </c>
      <c r="I223" s="73">
        <v>45734</v>
      </c>
      <c r="J223" s="72">
        <v>26424986</v>
      </c>
      <c r="K223" s="72" t="s">
        <v>53</v>
      </c>
      <c r="L223" s="72" t="str">
        <f>_xlfn.XLOOKUP(Tabla2__2[[#This Row],[CODIGO RUTA]],'DATA INFORME'!I:I,'DATA INFORME'!K:K)</f>
        <v>SI</v>
      </c>
      <c r="M223" s="72" t="str">
        <f>IF(Tabla2__2[[#This Row],[MYSTERY EFECTIVO]]="SI",_xlfn.XLOOKUP(Tabla2__2[[#This Row],[PREGUNTA]],ENCUESTA!G:G,ENCUESTA!D:D),"N/A")</f>
        <v>UNIFORME</v>
      </c>
      <c r="N22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23" s="72" t="str">
        <f>_xlfn.XLOOKUP(Tabla2__2[[#This Row],[PREGUNTA]],ENCUESTA!G:G,ENCUESTA!H:H)</f>
        <v>SI</v>
      </c>
      <c r="P223" s="72">
        <f>IF(Tabla2__2[[#This Row],[RTA]]=Tabla2__2[[#This Row],[RTA CORRECTA]],Tabla2__2[[#This Row],[TOTAL PUNTAJE]],0)</f>
        <v>1.5</v>
      </c>
      <c r="Q223" s="72">
        <f t="shared" si="3"/>
        <v>0</v>
      </c>
    </row>
    <row r="224" spans="1:17" x14ac:dyDescent="0.25">
      <c r="A224" s="72" t="s">
        <v>39</v>
      </c>
      <c r="B224" s="72" t="s">
        <v>8</v>
      </c>
      <c r="C224" t="s">
        <v>15</v>
      </c>
      <c r="D224" s="72" t="s">
        <v>116</v>
      </c>
      <c r="E224" s="72">
        <v>188203</v>
      </c>
      <c r="F224" s="72" t="s">
        <v>218</v>
      </c>
      <c r="G224" s="72" t="s">
        <v>40</v>
      </c>
      <c r="H224" s="72" t="s">
        <v>24</v>
      </c>
      <c r="I224" s="73">
        <v>45734</v>
      </c>
      <c r="J224" s="72">
        <v>26424985</v>
      </c>
      <c r="K224" s="72" t="s">
        <v>53</v>
      </c>
      <c r="L224" s="72" t="str">
        <f>_xlfn.XLOOKUP(Tabla2__2[[#This Row],[CODIGO RUTA]],'DATA INFORME'!I:I,'DATA INFORME'!K:K)</f>
        <v>SI</v>
      </c>
      <c r="M224" s="72" t="str">
        <f>IF(Tabla2__2[[#This Row],[MYSTERY EFECTIVO]]="SI",_xlfn.XLOOKUP(Tabla2__2[[#This Row],[PREGUNTA]],ENCUESTA!G:G,ENCUESTA!D:D),"N/A")</f>
        <v>HORARIO</v>
      </c>
      <c r="N22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24" s="72" t="str">
        <f>_xlfn.XLOOKUP(Tabla2__2[[#This Row],[PREGUNTA]],ENCUESTA!G:G,ENCUESTA!H:H)</f>
        <v>SI</v>
      </c>
      <c r="P224" s="72">
        <f>IF(Tabla2__2[[#This Row],[RTA]]=Tabla2__2[[#This Row],[RTA CORRECTA]],Tabla2__2[[#This Row],[TOTAL PUNTAJE]],0)</f>
        <v>20</v>
      </c>
      <c r="Q224" s="72">
        <f t="shared" si="3"/>
        <v>0</v>
      </c>
    </row>
    <row r="225" spans="1:17" x14ac:dyDescent="0.25">
      <c r="A225" s="72" t="s">
        <v>39</v>
      </c>
      <c r="B225" s="72" t="s">
        <v>8</v>
      </c>
      <c r="C225" t="s">
        <v>16</v>
      </c>
      <c r="D225" s="72" t="s">
        <v>187</v>
      </c>
      <c r="E225" s="72">
        <v>12390</v>
      </c>
      <c r="F225" s="72" t="s">
        <v>225</v>
      </c>
      <c r="G225" s="72" t="s">
        <v>202</v>
      </c>
      <c r="H225" s="72" t="s">
        <v>229</v>
      </c>
      <c r="I225" s="73">
        <v>45735</v>
      </c>
      <c r="J225" s="72">
        <v>26429011</v>
      </c>
      <c r="K225" s="72" t="s">
        <v>115</v>
      </c>
      <c r="L225" s="72" t="str">
        <f>_xlfn.XLOOKUP(Tabla2__2[[#This Row],[CODIGO RUTA]],'DATA INFORME'!I:I,'DATA INFORME'!K:K)</f>
        <v>NO</v>
      </c>
      <c r="M225" s="72" t="str">
        <f>IF(Tabla2__2[[#This Row],[MYSTERY EFECTIVO]]="SI",_xlfn.XLOOKUP(Tabla2__2[[#This Row],[PREGUNTA]],ENCUESTA!G:G,ENCUESTA!D:D),"N/A")</f>
        <v>N/A</v>
      </c>
      <c r="N22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25" s="72">
        <f>_xlfn.XLOOKUP(Tabla2__2[[#This Row],[PREGUNTA]],ENCUESTA!G:G,ENCUESTA!H:H)</f>
        <v>0</v>
      </c>
      <c r="P225" s="72">
        <f>IF(Tabla2__2[[#This Row],[RTA]]=Tabla2__2[[#This Row],[RTA CORRECTA]],Tabla2__2[[#This Row],[TOTAL PUNTAJE]],0)</f>
        <v>0</v>
      </c>
      <c r="Q225" s="72">
        <f t="shared" si="3"/>
        <v>0</v>
      </c>
    </row>
    <row r="226" spans="1:17" x14ac:dyDescent="0.25">
      <c r="A226" s="72" t="s">
        <v>39</v>
      </c>
      <c r="B226" s="72" t="s">
        <v>8</v>
      </c>
      <c r="C226" t="s">
        <v>16</v>
      </c>
      <c r="D226" s="72" t="s">
        <v>187</v>
      </c>
      <c r="E226" s="72">
        <v>12390</v>
      </c>
      <c r="F226" s="72" t="s">
        <v>225</v>
      </c>
      <c r="G226" s="72" t="s">
        <v>189</v>
      </c>
      <c r="H226" s="72" t="s">
        <v>24</v>
      </c>
      <c r="I226" s="73">
        <v>45735</v>
      </c>
      <c r="J226" s="72">
        <v>26429011</v>
      </c>
      <c r="K226" s="72" t="s">
        <v>115</v>
      </c>
      <c r="L226" s="72" t="str">
        <f>_xlfn.XLOOKUP(Tabla2__2[[#This Row],[CODIGO RUTA]],'DATA INFORME'!I:I,'DATA INFORME'!K:K)</f>
        <v>NO</v>
      </c>
      <c r="M226" s="72" t="str">
        <f>IF(Tabla2__2[[#This Row],[MYSTERY EFECTIVO]]="SI",_xlfn.XLOOKUP(Tabla2__2[[#This Row],[PREGUNTA]],ENCUESTA!G:G,ENCUESTA!D:D),"N/A")</f>
        <v>N/A</v>
      </c>
      <c r="N22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26" s="72">
        <f>_xlfn.XLOOKUP(Tabla2__2[[#This Row],[PREGUNTA]],ENCUESTA!G:G,ENCUESTA!H:H)</f>
        <v>0</v>
      </c>
      <c r="P226" s="72">
        <f>IF(Tabla2__2[[#This Row],[RTA]]=Tabla2__2[[#This Row],[RTA CORRECTA]],Tabla2__2[[#This Row],[TOTAL PUNTAJE]],0)</f>
        <v>0</v>
      </c>
      <c r="Q226" s="72">
        <f t="shared" si="3"/>
        <v>0</v>
      </c>
    </row>
    <row r="227" spans="1:17" x14ac:dyDescent="0.25">
      <c r="A227" s="72" t="s">
        <v>39</v>
      </c>
      <c r="B227" s="72" t="s">
        <v>8</v>
      </c>
      <c r="C227" t="s">
        <v>16</v>
      </c>
      <c r="D227" s="72" t="s">
        <v>187</v>
      </c>
      <c r="E227" s="72">
        <v>12390</v>
      </c>
      <c r="F227" s="72" t="s">
        <v>225</v>
      </c>
      <c r="G227" s="72" t="s">
        <v>40</v>
      </c>
      <c r="H227" s="72" t="s">
        <v>118</v>
      </c>
      <c r="I227" s="73">
        <v>45735</v>
      </c>
      <c r="J227" s="72">
        <v>26429011</v>
      </c>
      <c r="K227" s="72" t="s">
        <v>115</v>
      </c>
      <c r="L227" s="72" t="str">
        <f>_xlfn.XLOOKUP(Tabla2__2[[#This Row],[CODIGO RUTA]],'DATA INFORME'!I:I,'DATA INFORME'!K:K)</f>
        <v>NO</v>
      </c>
      <c r="M227" s="72" t="str">
        <f>IF(Tabla2__2[[#This Row],[MYSTERY EFECTIVO]]="SI",_xlfn.XLOOKUP(Tabla2__2[[#This Row],[PREGUNTA]],ENCUESTA!G:G,ENCUESTA!D:D),"N/A")</f>
        <v>N/A</v>
      </c>
      <c r="N22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27" s="72" t="str">
        <f>_xlfn.XLOOKUP(Tabla2__2[[#This Row],[PREGUNTA]],ENCUESTA!G:G,ENCUESTA!H:H)</f>
        <v>SI</v>
      </c>
      <c r="P227" s="72">
        <f>IF(Tabla2__2[[#This Row],[RTA]]=Tabla2__2[[#This Row],[RTA CORRECTA]],Tabla2__2[[#This Row],[TOTAL PUNTAJE]],0)</f>
        <v>0</v>
      </c>
      <c r="Q227" s="72">
        <f t="shared" si="3"/>
        <v>0</v>
      </c>
    </row>
    <row r="228" spans="1:17" x14ac:dyDescent="0.25">
      <c r="A228" s="72" t="s">
        <v>39</v>
      </c>
      <c r="B228" s="72" t="s">
        <v>8</v>
      </c>
      <c r="C228" t="s">
        <v>16</v>
      </c>
      <c r="D228" s="72" t="s">
        <v>16</v>
      </c>
      <c r="E228" s="72">
        <v>424893</v>
      </c>
      <c r="F228" s="72" t="s">
        <v>237</v>
      </c>
      <c r="G228" s="72" t="s">
        <v>43</v>
      </c>
      <c r="H228" s="72" t="s">
        <v>24</v>
      </c>
      <c r="I228" s="73">
        <v>45736</v>
      </c>
      <c r="J228" s="72">
        <v>26439536</v>
      </c>
      <c r="K228" s="72" t="s">
        <v>115</v>
      </c>
      <c r="L228" s="72" t="str">
        <f>_xlfn.XLOOKUP(Tabla2__2[[#This Row],[CODIGO RUTA]],'DATA INFORME'!I:I,'DATA INFORME'!K:K)</f>
        <v>SI</v>
      </c>
      <c r="M228" s="72" t="str">
        <f>IF(Tabla2__2[[#This Row],[MYSTERY EFECTIVO]]="SI",_xlfn.XLOOKUP(Tabla2__2[[#This Row],[PREGUNTA]],ENCUESTA!G:G,ENCUESTA!D:D),"N/A")</f>
        <v>UNIFORME</v>
      </c>
      <c r="N22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28" s="72" t="str">
        <f>_xlfn.XLOOKUP(Tabla2__2[[#This Row],[PREGUNTA]],ENCUESTA!G:G,ENCUESTA!H:H)</f>
        <v>SI</v>
      </c>
      <c r="P228" s="72">
        <f>IF(Tabla2__2[[#This Row],[RTA]]=Tabla2__2[[#This Row],[RTA CORRECTA]],Tabla2__2[[#This Row],[TOTAL PUNTAJE]],0)</f>
        <v>1.5</v>
      </c>
      <c r="Q228" s="72">
        <f t="shared" si="3"/>
        <v>0</v>
      </c>
    </row>
    <row r="229" spans="1:17" x14ac:dyDescent="0.25">
      <c r="A229" s="72" t="s">
        <v>39</v>
      </c>
      <c r="B229" s="72" t="s">
        <v>8</v>
      </c>
      <c r="C229" t="s">
        <v>16</v>
      </c>
      <c r="D229" s="72" t="s">
        <v>16</v>
      </c>
      <c r="E229" s="72">
        <v>424893</v>
      </c>
      <c r="F229" s="72" t="s">
        <v>237</v>
      </c>
      <c r="G229" s="72" t="s">
        <v>137</v>
      </c>
      <c r="H229" s="72" t="s">
        <v>118</v>
      </c>
      <c r="I229" s="73">
        <v>45736</v>
      </c>
      <c r="J229" s="72">
        <v>26439536</v>
      </c>
      <c r="K229" s="72" t="s">
        <v>115</v>
      </c>
      <c r="L229" s="72" t="str">
        <f>_xlfn.XLOOKUP(Tabla2__2[[#This Row],[CODIGO RUTA]],'DATA INFORME'!I:I,'DATA INFORME'!K:K)</f>
        <v>SI</v>
      </c>
      <c r="M229" s="72" t="str">
        <f>IF(Tabla2__2[[#This Row],[MYSTERY EFECTIVO]]="SI",_xlfn.XLOOKUP(Tabla2__2[[#This Row],[PREGUNTA]],ENCUESTA!G:G,ENCUESTA!D:D),"N/A")</f>
        <v>UNIFORME</v>
      </c>
      <c r="N22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29" s="72" t="str">
        <f>_xlfn.XLOOKUP(Tabla2__2[[#This Row],[PREGUNTA]],ENCUESTA!G:G,ENCUESTA!H:H)</f>
        <v>NO</v>
      </c>
      <c r="P229" s="72">
        <f>IF(Tabla2__2[[#This Row],[RTA]]=Tabla2__2[[#This Row],[RTA CORRECTA]],Tabla2__2[[#This Row],[TOTAL PUNTAJE]],0)</f>
        <v>1.5</v>
      </c>
      <c r="Q229" s="72">
        <f t="shared" si="3"/>
        <v>0</v>
      </c>
    </row>
    <row r="230" spans="1:17" x14ac:dyDescent="0.25">
      <c r="A230" s="72" t="s">
        <v>39</v>
      </c>
      <c r="B230" s="72" t="s">
        <v>8</v>
      </c>
      <c r="C230" t="s">
        <v>16</v>
      </c>
      <c r="D230" s="72" t="s">
        <v>16</v>
      </c>
      <c r="E230" s="72">
        <v>424893</v>
      </c>
      <c r="F230" s="72" t="s">
        <v>237</v>
      </c>
      <c r="G230" s="72" t="s">
        <v>44</v>
      </c>
      <c r="H230" s="72" t="s">
        <v>24</v>
      </c>
      <c r="I230" s="73">
        <v>45736</v>
      </c>
      <c r="J230" s="72">
        <v>26439536</v>
      </c>
      <c r="K230" s="72" t="s">
        <v>115</v>
      </c>
      <c r="L230" s="72" t="str">
        <f>_xlfn.XLOOKUP(Tabla2__2[[#This Row],[CODIGO RUTA]],'DATA INFORME'!I:I,'DATA INFORME'!K:K)</f>
        <v>SI</v>
      </c>
      <c r="M230" s="72" t="str">
        <f>IF(Tabla2__2[[#This Row],[MYSTERY EFECTIVO]]="SI",_xlfn.XLOOKUP(Tabla2__2[[#This Row],[PREGUNTA]],ENCUESTA!G:G,ENCUESTA!D:D),"N/A")</f>
        <v>UNIFORME</v>
      </c>
      <c r="N23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30" s="72" t="str">
        <f>_xlfn.XLOOKUP(Tabla2__2[[#This Row],[PREGUNTA]],ENCUESTA!G:G,ENCUESTA!H:H)</f>
        <v>SI</v>
      </c>
      <c r="P230" s="72">
        <f>IF(Tabla2__2[[#This Row],[RTA]]=Tabla2__2[[#This Row],[RTA CORRECTA]],Tabla2__2[[#This Row],[TOTAL PUNTAJE]],0)</f>
        <v>1.5</v>
      </c>
      <c r="Q230" s="72">
        <f t="shared" si="3"/>
        <v>0</v>
      </c>
    </row>
    <row r="231" spans="1:17" x14ac:dyDescent="0.25">
      <c r="A231" s="72" t="s">
        <v>39</v>
      </c>
      <c r="B231" s="72" t="s">
        <v>8</v>
      </c>
      <c r="C231" t="s">
        <v>16</v>
      </c>
      <c r="D231" s="72" t="s">
        <v>16</v>
      </c>
      <c r="E231" s="72">
        <v>424893</v>
      </c>
      <c r="F231" s="72" t="s">
        <v>237</v>
      </c>
      <c r="G231" s="72" t="s">
        <v>136</v>
      </c>
      <c r="H231" s="72" t="s">
        <v>24</v>
      </c>
      <c r="I231" s="73">
        <v>45736</v>
      </c>
      <c r="J231" s="72">
        <v>26439536</v>
      </c>
      <c r="K231" s="72" t="s">
        <v>115</v>
      </c>
      <c r="L231" s="72" t="str">
        <f>_xlfn.XLOOKUP(Tabla2__2[[#This Row],[CODIGO RUTA]],'DATA INFORME'!I:I,'DATA INFORME'!K:K)</f>
        <v>SI</v>
      </c>
      <c r="M231" s="72" t="str">
        <f>IF(Tabla2__2[[#This Row],[MYSTERY EFECTIVO]]="SI",_xlfn.XLOOKUP(Tabla2__2[[#This Row],[PREGUNTA]],ENCUESTA!G:G,ENCUESTA!D:D),"N/A")</f>
        <v>UNIFORME</v>
      </c>
      <c r="N23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31" s="72" t="str">
        <f>_xlfn.XLOOKUP(Tabla2__2[[#This Row],[PREGUNTA]],ENCUESTA!G:G,ENCUESTA!H:H)</f>
        <v>SI</v>
      </c>
      <c r="P231" s="72">
        <f>IF(Tabla2__2[[#This Row],[RTA]]=Tabla2__2[[#This Row],[RTA CORRECTA]],Tabla2__2[[#This Row],[TOTAL PUNTAJE]],0)</f>
        <v>1.5</v>
      </c>
      <c r="Q231" s="72">
        <f t="shared" si="3"/>
        <v>0</v>
      </c>
    </row>
    <row r="232" spans="1:17" x14ac:dyDescent="0.25">
      <c r="A232" s="72" t="s">
        <v>39</v>
      </c>
      <c r="B232" s="72" t="s">
        <v>8</v>
      </c>
      <c r="C232" t="s">
        <v>16</v>
      </c>
      <c r="D232" s="72" t="s">
        <v>16</v>
      </c>
      <c r="E232" s="72">
        <v>424893</v>
      </c>
      <c r="F232" s="72" t="s">
        <v>237</v>
      </c>
      <c r="G232" s="72" t="s">
        <v>100</v>
      </c>
      <c r="H232" s="72" t="s">
        <v>24</v>
      </c>
      <c r="I232" s="73">
        <v>45736</v>
      </c>
      <c r="J232" s="72">
        <v>26439536</v>
      </c>
      <c r="K232" s="72" t="s">
        <v>115</v>
      </c>
      <c r="L232" s="72" t="str">
        <f>_xlfn.XLOOKUP(Tabla2__2[[#This Row],[CODIGO RUTA]],'DATA INFORME'!I:I,'DATA INFORME'!K:K)</f>
        <v>SI</v>
      </c>
      <c r="M232" s="72" t="str">
        <f>IF(Tabla2__2[[#This Row],[MYSTERY EFECTIVO]]="SI",_xlfn.XLOOKUP(Tabla2__2[[#This Row],[PREGUNTA]],ENCUESTA!G:G,ENCUESTA!D:D),"N/A")</f>
        <v>UNIFORME</v>
      </c>
      <c r="N23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32" s="72" t="str">
        <f>_xlfn.XLOOKUP(Tabla2__2[[#This Row],[PREGUNTA]],ENCUESTA!G:G,ENCUESTA!H:H)</f>
        <v>SI</v>
      </c>
      <c r="P232" s="72">
        <f>IF(Tabla2__2[[#This Row],[RTA]]=Tabla2__2[[#This Row],[RTA CORRECTA]],Tabla2__2[[#This Row],[TOTAL PUNTAJE]],0)</f>
        <v>1.5</v>
      </c>
      <c r="Q232" s="72">
        <f t="shared" si="3"/>
        <v>0</v>
      </c>
    </row>
    <row r="233" spans="1:17" x14ac:dyDescent="0.25">
      <c r="A233" s="72" t="s">
        <v>39</v>
      </c>
      <c r="B233" s="72" t="s">
        <v>8</v>
      </c>
      <c r="C233" t="s">
        <v>16</v>
      </c>
      <c r="D233" s="72" t="s">
        <v>16</v>
      </c>
      <c r="E233" s="72">
        <v>424893</v>
      </c>
      <c r="F233" s="72" t="s">
        <v>237</v>
      </c>
      <c r="G233" s="72" t="s">
        <v>40</v>
      </c>
      <c r="H233" s="72" t="s">
        <v>24</v>
      </c>
      <c r="I233" s="73">
        <v>45736</v>
      </c>
      <c r="J233" s="72">
        <v>26439536</v>
      </c>
      <c r="K233" s="72" t="s">
        <v>115</v>
      </c>
      <c r="L233" s="72" t="str">
        <f>_xlfn.XLOOKUP(Tabla2__2[[#This Row],[CODIGO RUTA]],'DATA INFORME'!I:I,'DATA INFORME'!K:K)</f>
        <v>SI</v>
      </c>
      <c r="M233" s="72" t="str">
        <f>IF(Tabla2__2[[#This Row],[MYSTERY EFECTIVO]]="SI",_xlfn.XLOOKUP(Tabla2__2[[#This Row],[PREGUNTA]],ENCUESTA!G:G,ENCUESTA!D:D),"N/A")</f>
        <v>HORARIO</v>
      </c>
      <c r="N23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33" s="72" t="str">
        <f>_xlfn.XLOOKUP(Tabla2__2[[#This Row],[PREGUNTA]],ENCUESTA!G:G,ENCUESTA!H:H)</f>
        <v>SI</v>
      </c>
      <c r="P233" s="72">
        <f>IF(Tabla2__2[[#This Row],[RTA]]=Tabla2__2[[#This Row],[RTA CORRECTA]],Tabla2__2[[#This Row],[TOTAL PUNTAJE]],0)</f>
        <v>20</v>
      </c>
      <c r="Q233" s="72">
        <f t="shared" si="3"/>
        <v>0</v>
      </c>
    </row>
    <row r="234" spans="1:17" x14ac:dyDescent="0.25">
      <c r="A234" s="72" t="s">
        <v>39</v>
      </c>
      <c r="B234" s="72" t="s">
        <v>8</v>
      </c>
      <c r="C234" t="s">
        <v>16</v>
      </c>
      <c r="D234" s="72" t="s">
        <v>16</v>
      </c>
      <c r="E234" s="72">
        <v>424893</v>
      </c>
      <c r="F234" s="72" t="s">
        <v>237</v>
      </c>
      <c r="G234" s="72" t="s">
        <v>49</v>
      </c>
      <c r="H234" s="72" t="s">
        <v>24</v>
      </c>
      <c r="I234" s="73">
        <v>45736</v>
      </c>
      <c r="J234" s="72">
        <v>26439536</v>
      </c>
      <c r="K234" s="72" t="s">
        <v>115</v>
      </c>
      <c r="L234" s="72" t="str">
        <f>_xlfn.XLOOKUP(Tabla2__2[[#This Row],[CODIGO RUTA]],'DATA INFORME'!I:I,'DATA INFORME'!K:K)</f>
        <v>SI</v>
      </c>
      <c r="M234" s="72" t="str">
        <f>IF(Tabla2__2[[#This Row],[MYSTERY EFECTIVO]]="SI",_xlfn.XLOOKUP(Tabla2__2[[#This Row],[PREGUNTA]],ENCUESTA!G:G,ENCUESTA!D:D),"N/A")</f>
        <v>UNIFORME</v>
      </c>
      <c r="N23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34" s="72" t="str">
        <f>_xlfn.XLOOKUP(Tabla2__2[[#This Row],[PREGUNTA]],ENCUESTA!G:G,ENCUESTA!H:H)</f>
        <v>SI</v>
      </c>
      <c r="P234" s="72">
        <f>IF(Tabla2__2[[#This Row],[RTA]]=Tabla2__2[[#This Row],[RTA CORRECTA]],Tabla2__2[[#This Row],[TOTAL PUNTAJE]],0)</f>
        <v>1.5</v>
      </c>
      <c r="Q234" s="72">
        <f t="shared" si="3"/>
        <v>0</v>
      </c>
    </row>
    <row r="235" spans="1:17" x14ac:dyDescent="0.25">
      <c r="A235" s="72" t="s">
        <v>39</v>
      </c>
      <c r="B235" s="72" t="s">
        <v>8</v>
      </c>
      <c r="C235" t="s">
        <v>16</v>
      </c>
      <c r="D235" s="72" t="s">
        <v>16</v>
      </c>
      <c r="E235" s="72">
        <v>424893</v>
      </c>
      <c r="F235" s="72" t="s">
        <v>237</v>
      </c>
      <c r="G235" s="72" t="s">
        <v>52</v>
      </c>
      <c r="H235" s="72" t="s">
        <v>118</v>
      </c>
      <c r="I235" s="73">
        <v>45736</v>
      </c>
      <c r="J235" s="72">
        <v>26439536</v>
      </c>
      <c r="K235" s="72" t="s">
        <v>115</v>
      </c>
      <c r="L235" s="72" t="str">
        <f>_xlfn.XLOOKUP(Tabla2__2[[#This Row],[CODIGO RUTA]],'DATA INFORME'!I:I,'DATA INFORME'!K:K)</f>
        <v>SI</v>
      </c>
      <c r="M235" s="72" t="str">
        <f>IF(Tabla2__2[[#This Row],[MYSTERY EFECTIVO]]="SI",_xlfn.XLOOKUP(Tabla2__2[[#This Row],[PREGUNTA]],ENCUESTA!G:G,ENCUESTA!D:D),"N/A")</f>
        <v>UNIFORME</v>
      </c>
      <c r="N23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35" s="72" t="str">
        <f>_xlfn.XLOOKUP(Tabla2__2[[#This Row],[PREGUNTA]],ENCUESTA!G:G,ENCUESTA!H:H)</f>
        <v>NO</v>
      </c>
      <c r="P235" s="72">
        <f>IF(Tabla2__2[[#This Row],[RTA]]=Tabla2__2[[#This Row],[RTA CORRECTA]],Tabla2__2[[#This Row],[TOTAL PUNTAJE]],0)</f>
        <v>1.5</v>
      </c>
      <c r="Q235" s="72">
        <f t="shared" si="3"/>
        <v>0</v>
      </c>
    </row>
    <row r="236" spans="1:17" x14ac:dyDescent="0.25">
      <c r="A236" s="72" t="s">
        <v>39</v>
      </c>
      <c r="B236" s="72" t="s">
        <v>8</v>
      </c>
      <c r="C236" t="s">
        <v>16</v>
      </c>
      <c r="D236" s="72" t="s">
        <v>16</v>
      </c>
      <c r="E236" s="72">
        <v>424893</v>
      </c>
      <c r="F236" s="72" t="s">
        <v>237</v>
      </c>
      <c r="G236" s="72" t="s">
        <v>47</v>
      </c>
      <c r="H236" s="72" t="s">
        <v>118</v>
      </c>
      <c r="I236" s="73">
        <v>45736</v>
      </c>
      <c r="J236" s="72">
        <v>26439536</v>
      </c>
      <c r="K236" s="72" t="s">
        <v>115</v>
      </c>
      <c r="L236" s="72" t="str">
        <f>_xlfn.XLOOKUP(Tabla2__2[[#This Row],[CODIGO RUTA]],'DATA INFORME'!I:I,'DATA INFORME'!K:K)</f>
        <v>SI</v>
      </c>
      <c r="M236" s="72" t="str">
        <f>IF(Tabla2__2[[#This Row],[MYSTERY EFECTIVO]]="SI",_xlfn.XLOOKUP(Tabla2__2[[#This Row],[PREGUNTA]],ENCUESTA!G:G,ENCUESTA!D:D),"N/A")</f>
        <v>UNIFORME</v>
      </c>
      <c r="N23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36" s="72" t="str">
        <f>_xlfn.XLOOKUP(Tabla2__2[[#This Row],[PREGUNTA]],ENCUESTA!G:G,ENCUESTA!H:H)</f>
        <v>NO</v>
      </c>
      <c r="P236" s="72">
        <f>IF(Tabla2__2[[#This Row],[RTA]]=Tabla2__2[[#This Row],[RTA CORRECTA]],Tabla2__2[[#This Row],[TOTAL PUNTAJE]],0)</f>
        <v>1.5</v>
      </c>
      <c r="Q236" s="72">
        <f t="shared" si="3"/>
        <v>0</v>
      </c>
    </row>
    <row r="237" spans="1:17" x14ac:dyDescent="0.25">
      <c r="A237" s="72" t="s">
        <v>39</v>
      </c>
      <c r="B237" s="72" t="s">
        <v>8</v>
      </c>
      <c r="C237" t="s">
        <v>16</v>
      </c>
      <c r="D237" s="72" t="s">
        <v>16</v>
      </c>
      <c r="E237" s="72">
        <v>424893</v>
      </c>
      <c r="F237" s="72" t="s">
        <v>237</v>
      </c>
      <c r="G237" s="72" t="s">
        <v>45</v>
      </c>
      <c r="H237" s="72" t="s">
        <v>24</v>
      </c>
      <c r="I237" s="73">
        <v>45736</v>
      </c>
      <c r="J237" s="72">
        <v>26439536</v>
      </c>
      <c r="K237" s="72" t="s">
        <v>115</v>
      </c>
      <c r="L237" s="72" t="str">
        <f>_xlfn.XLOOKUP(Tabla2__2[[#This Row],[CODIGO RUTA]],'DATA INFORME'!I:I,'DATA INFORME'!K:K)</f>
        <v>SI</v>
      </c>
      <c r="M237" s="72" t="str">
        <f>IF(Tabla2__2[[#This Row],[MYSTERY EFECTIVO]]="SI",_xlfn.XLOOKUP(Tabla2__2[[#This Row],[PREGUNTA]],ENCUESTA!G:G,ENCUESTA!D:D),"N/A")</f>
        <v>LABOR DE VENTA</v>
      </c>
      <c r="N23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237" s="72" t="str">
        <f>_xlfn.XLOOKUP(Tabla2__2[[#This Row],[PREGUNTA]],ENCUESTA!G:G,ENCUESTA!H:H)</f>
        <v>SI</v>
      </c>
      <c r="P237" s="72">
        <f>IF(Tabla2__2[[#This Row],[RTA]]=Tabla2__2[[#This Row],[RTA CORRECTA]],Tabla2__2[[#This Row],[TOTAL PUNTAJE]],0)</f>
        <v>7.5</v>
      </c>
      <c r="Q237" s="72">
        <f t="shared" si="3"/>
        <v>0</v>
      </c>
    </row>
    <row r="238" spans="1:17" x14ac:dyDescent="0.25">
      <c r="A238" s="72" t="s">
        <v>39</v>
      </c>
      <c r="B238" s="72" t="s">
        <v>8</v>
      </c>
      <c r="C238" t="s">
        <v>16</v>
      </c>
      <c r="D238" s="72" t="s">
        <v>16</v>
      </c>
      <c r="E238" s="72">
        <v>424893</v>
      </c>
      <c r="F238" s="72" t="s">
        <v>237</v>
      </c>
      <c r="G238" s="72" t="s">
        <v>148</v>
      </c>
      <c r="H238" s="72" t="s">
        <v>118</v>
      </c>
      <c r="I238" s="73">
        <v>45736</v>
      </c>
      <c r="J238" s="72">
        <v>26439536</v>
      </c>
      <c r="K238" s="72" t="s">
        <v>115</v>
      </c>
      <c r="L238" s="72" t="str">
        <f>_xlfn.XLOOKUP(Tabla2__2[[#This Row],[CODIGO RUTA]],'DATA INFORME'!I:I,'DATA INFORME'!K:K)</f>
        <v>SI</v>
      </c>
      <c r="M238" s="72" t="str">
        <f>IF(Tabla2__2[[#This Row],[MYSTERY EFECTIVO]]="SI",_xlfn.XLOOKUP(Tabla2__2[[#This Row],[PREGUNTA]],ENCUESTA!G:G,ENCUESTA!D:D),"N/A")</f>
        <v>LABOR DE VENTA</v>
      </c>
      <c r="N23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238" s="72" t="str">
        <f>_xlfn.XLOOKUP(Tabla2__2[[#This Row],[PREGUNTA]],ENCUESTA!G:G,ENCUESTA!H:H)</f>
        <v>SI</v>
      </c>
      <c r="P238" s="72">
        <f>IF(Tabla2__2[[#This Row],[RTA]]=Tabla2__2[[#This Row],[RTA CORRECTA]],Tabla2__2[[#This Row],[TOTAL PUNTAJE]],0)</f>
        <v>0</v>
      </c>
      <c r="Q238" s="72">
        <f t="shared" si="3"/>
        <v>0</v>
      </c>
    </row>
    <row r="239" spans="1:17" x14ac:dyDescent="0.25">
      <c r="A239" s="72" t="s">
        <v>39</v>
      </c>
      <c r="B239" s="72" t="s">
        <v>8</v>
      </c>
      <c r="C239" t="s">
        <v>16</v>
      </c>
      <c r="D239" s="72" t="s">
        <v>16</v>
      </c>
      <c r="E239" s="72">
        <v>424893</v>
      </c>
      <c r="F239" s="72" t="s">
        <v>237</v>
      </c>
      <c r="G239" s="72" t="s">
        <v>50</v>
      </c>
      <c r="H239" s="72" t="s">
        <v>24</v>
      </c>
      <c r="I239" s="73">
        <v>45736</v>
      </c>
      <c r="J239" s="72">
        <v>26439536</v>
      </c>
      <c r="K239" s="72" t="s">
        <v>115</v>
      </c>
      <c r="L239" s="72" t="str">
        <f>_xlfn.XLOOKUP(Tabla2__2[[#This Row],[CODIGO RUTA]],'DATA INFORME'!I:I,'DATA INFORME'!K:K)</f>
        <v>SI</v>
      </c>
      <c r="M239" s="72" t="str">
        <f>IF(Tabla2__2[[#This Row],[MYSTERY EFECTIVO]]="SI",_xlfn.XLOOKUP(Tabla2__2[[#This Row],[PREGUNTA]],ENCUESTA!G:G,ENCUESTA!D:D),"N/A")</f>
        <v>PORTAFOLIO Y MANEJO DE OBJECIONES</v>
      </c>
      <c r="N23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</v>
      </c>
      <c r="O239" s="72" t="str">
        <f>_xlfn.XLOOKUP(Tabla2__2[[#This Row],[PREGUNTA]],ENCUESTA!G:G,ENCUESTA!H:H)</f>
        <v>SI</v>
      </c>
      <c r="P239" s="72">
        <f>IF(Tabla2__2[[#This Row],[RTA]]=Tabla2__2[[#This Row],[RTA CORRECTA]],Tabla2__2[[#This Row],[TOTAL PUNTAJE]],0)</f>
        <v>2</v>
      </c>
      <c r="Q239" s="72">
        <f t="shared" si="3"/>
        <v>0</v>
      </c>
    </row>
    <row r="240" spans="1:17" x14ac:dyDescent="0.25">
      <c r="A240" s="72" t="s">
        <v>39</v>
      </c>
      <c r="B240" s="72" t="s">
        <v>8</v>
      </c>
      <c r="C240" t="s">
        <v>16</v>
      </c>
      <c r="D240" s="72" t="s">
        <v>16</v>
      </c>
      <c r="E240" s="72">
        <v>424893</v>
      </c>
      <c r="F240" s="72" t="s">
        <v>237</v>
      </c>
      <c r="G240" s="72" t="s">
        <v>41</v>
      </c>
      <c r="H240" s="72" t="s">
        <v>24</v>
      </c>
      <c r="I240" s="73">
        <v>45736</v>
      </c>
      <c r="J240" s="72">
        <v>26439536</v>
      </c>
      <c r="K240" s="72" t="s">
        <v>115</v>
      </c>
      <c r="L240" s="72" t="str">
        <f>_xlfn.XLOOKUP(Tabla2__2[[#This Row],[CODIGO RUTA]],'DATA INFORME'!I:I,'DATA INFORME'!K:K)</f>
        <v>SI</v>
      </c>
      <c r="M240" s="72" t="str">
        <f>IF(Tabla2__2[[#This Row],[MYSTERY EFECTIVO]]="SI",_xlfn.XLOOKUP(Tabla2__2[[#This Row],[PREGUNTA]],ENCUESTA!G:G,ENCUESTA!D:D),"N/A")</f>
        <v>N/A</v>
      </c>
      <c r="N24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40" s="72" t="str">
        <f>_xlfn.XLOOKUP(Tabla2__2[[#This Row],[PREGUNTA]],ENCUESTA!G:G,ENCUESTA!H:H)</f>
        <v>SI</v>
      </c>
      <c r="P240" s="72">
        <f>IF(Tabla2__2[[#This Row],[RTA]]=Tabla2__2[[#This Row],[RTA CORRECTA]],Tabla2__2[[#This Row],[TOTAL PUNTAJE]],0)</f>
        <v>0</v>
      </c>
      <c r="Q240" s="72">
        <f t="shared" si="3"/>
        <v>0</v>
      </c>
    </row>
    <row r="241" spans="1:17" x14ac:dyDescent="0.25">
      <c r="A241" s="72" t="s">
        <v>39</v>
      </c>
      <c r="B241" s="72" t="s">
        <v>8</v>
      </c>
      <c r="C241" t="s">
        <v>16</v>
      </c>
      <c r="D241" s="72" t="s">
        <v>16</v>
      </c>
      <c r="E241" s="72">
        <v>424893</v>
      </c>
      <c r="F241" s="72" t="s">
        <v>237</v>
      </c>
      <c r="G241" s="72" t="s">
        <v>146</v>
      </c>
      <c r="H241" s="72" t="s">
        <v>118</v>
      </c>
      <c r="I241" s="73">
        <v>45736</v>
      </c>
      <c r="J241" s="72">
        <v>26439536</v>
      </c>
      <c r="K241" s="72" t="s">
        <v>115</v>
      </c>
      <c r="L241" s="72" t="str">
        <f>_xlfn.XLOOKUP(Tabla2__2[[#This Row],[CODIGO RUTA]],'DATA INFORME'!I:I,'DATA INFORME'!K:K)</f>
        <v>SI</v>
      </c>
      <c r="M241" s="72" t="str">
        <f>IF(Tabla2__2[[#This Row],[MYSTERY EFECTIVO]]="SI",_xlfn.XLOOKUP(Tabla2__2[[#This Row],[PREGUNTA]],ENCUESTA!G:G,ENCUESTA!D:D),"N/A")</f>
        <v>PORTAFOLIO Y MANEJO DE OBJECIONES</v>
      </c>
      <c r="N24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241" s="72" t="str">
        <f>_xlfn.XLOOKUP(Tabla2__2[[#This Row],[PREGUNTA]],ENCUESTA!G:G,ENCUESTA!H:H)</f>
        <v>SI</v>
      </c>
      <c r="P241" s="72">
        <f>IF(Tabla2__2[[#This Row],[RTA]]=Tabla2__2[[#This Row],[RTA CORRECTA]],Tabla2__2[[#This Row],[TOTAL PUNTAJE]],0)</f>
        <v>0</v>
      </c>
      <c r="Q241" s="72">
        <f t="shared" si="3"/>
        <v>0</v>
      </c>
    </row>
    <row r="242" spans="1:17" x14ac:dyDescent="0.25">
      <c r="A242" s="72" t="s">
        <v>39</v>
      </c>
      <c r="B242" s="72" t="s">
        <v>8</v>
      </c>
      <c r="C242" t="s">
        <v>16</v>
      </c>
      <c r="D242" s="72" t="s">
        <v>16</v>
      </c>
      <c r="E242" s="72">
        <v>424893</v>
      </c>
      <c r="F242" s="72" t="s">
        <v>237</v>
      </c>
      <c r="G242" s="72" t="s">
        <v>145</v>
      </c>
      <c r="H242" s="72" t="s">
        <v>118</v>
      </c>
      <c r="I242" s="73">
        <v>45736</v>
      </c>
      <c r="J242" s="72">
        <v>26439536</v>
      </c>
      <c r="K242" s="72" t="s">
        <v>115</v>
      </c>
      <c r="L242" s="72" t="str">
        <f>_xlfn.XLOOKUP(Tabla2__2[[#This Row],[CODIGO RUTA]],'DATA INFORME'!I:I,'DATA INFORME'!K:K)</f>
        <v>SI</v>
      </c>
      <c r="M242" s="72" t="str">
        <f>IF(Tabla2__2[[#This Row],[MYSTERY EFECTIVO]]="SI",_xlfn.XLOOKUP(Tabla2__2[[#This Row],[PREGUNTA]],ENCUESTA!G:G,ENCUESTA!D:D),"N/A")</f>
        <v>PORTAFOLIO Y MANEJO DE OBJECIONES</v>
      </c>
      <c r="N24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242" s="72" t="str">
        <f>_xlfn.XLOOKUP(Tabla2__2[[#This Row],[PREGUNTA]],ENCUESTA!G:G,ENCUESTA!H:H)</f>
        <v>SI</v>
      </c>
      <c r="P242" s="72">
        <f>IF(Tabla2__2[[#This Row],[RTA]]=Tabla2__2[[#This Row],[RTA CORRECTA]],Tabla2__2[[#This Row],[TOTAL PUNTAJE]],0)</f>
        <v>0</v>
      </c>
      <c r="Q242" s="72">
        <f t="shared" si="3"/>
        <v>0</v>
      </c>
    </row>
    <row r="243" spans="1:17" x14ac:dyDescent="0.25">
      <c r="A243" s="72" t="s">
        <v>39</v>
      </c>
      <c r="B243" s="72" t="s">
        <v>8</v>
      </c>
      <c r="C243" t="s">
        <v>16</v>
      </c>
      <c r="D243" s="72" t="s">
        <v>16</v>
      </c>
      <c r="E243" s="72">
        <v>424893</v>
      </c>
      <c r="F243" s="72" t="s">
        <v>237</v>
      </c>
      <c r="G243" s="72" t="s">
        <v>144</v>
      </c>
      <c r="H243" s="72" t="s">
        <v>24</v>
      </c>
      <c r="I243" s="73">
        <v>45736</v>
      </c>
      <c r="J243" s="72">
        <v>26439536</v>
      </c>
      <c r="K243" s="72" t="s">
        <v>115</v>
      </c>
      <c r="L243" s="72" t="str">
        <f>_xlfn.XLOOKUP(Tabla2__2[[#This Row],[CODIGO RUTA]],'DATA INFORME'!I:I,'DATA INFORME'!K:K)</f>
        <v>SI</v>
      </c>
      <c r="M243" s="72" t="str">
        <f>IF(Tabla2__2[[#This Row],[MYSTERY EFECTIVO]]="SI",_xlfn.XLOOKUP(Tabla2__2[[#This Row],[PREGUNTA]],ENCUESTA!G:G,ENCUESTA!D:D),"N/A")</f>
        <v>PORTAFOLIO Y MANEJO DE OBJECIONES</v>
      </c>
      <c r="N24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243" s="72" t="str">
        <f>_xlfn.XLOOKUP(Tabla2__2[[#This Row],[PREGUNTA]],ENCUESTA!G:G,ENCUESTA!H:H)</f>
        <v>SI</v>
      </c>
      <c r="P243" s="72">
        <f>IF(Tabla2__2[[#This Row],[RTA]]=Tabla2__2[[#This Row],[RTA CORRECTA]],Tabla2__2[[#This Row],[TOTAL PUNTAJE]],0)</f>
        <v>2.2000000000000002</v>
      </c>
      <c r="Q243" s="72">
        <f t="shared" si="3"/>
        <v>0</v>
      </c>
    </row>
    <row r="244" spans="1:17" x14ac:dyDescent="0.25">
      <c r="A244" s="72" t="s">
        <v>39</v>
      </c>
      <c r="B244" s="72" t="s">
        <v>8</v>
      </c>
      <c r="C244" t="s">
        <v>16</v>
      </c>
      <c r="D244" s="72" t="s">
        <v>16</v>
      </c>
      <c r="E244" s="72">
        <v>424893</v>
      </c>
      <c r="F244" s="72" t="s">
        <v>237</v>
      </c>
      <c r="G244" s="72" t="s">
        <v>143</v>
      </c>
      <c r="H244" s="72" t="s">
        <v>24</v>
      </c>
      <c r="I244" s="73">
        <v>45736</v>
      </c>
      <c r="J244" s="72">
        <v>26439536</v>
      </c>
      <c r="K244" s="72" t="s">
        <v>115</v>
      </c>
      <c r="L244" s="72" t="str">
        <f>_xlfn.XLOOKUP(Tabla2__2[[#This Row],[CODIGO RUTA]],'DATA INFORME'!I:I,'DATA INFORME'!K:K)</f>
        <v>SI</v>
      </c>
      <c r="M244" s="72" t="str">
        <f>IF(Tabla2__2[[#This Row],[MYSTERY EFECTIVO]]="SI",_xlfn.XLOOKUP(Tabla2__2[[#This Row],[PREGUNTA]],ENCUESTA!G:G,ENCUESTA!D:D),"N/A")</f>
        <v>PORTAFOLIO Y MANEJO DE OBJECIONES</v>
      </c>
      <c r="N24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244" s="72" t="str">
        <f>_xlfn.XLOOKUP(Tabla2__2[[#This Row],[PREGUNTA]],ENCUESTA!G:G,ENCUESTA!H:H)</f>
        <v>SI</v>
      </c>
      <c r="P244" s="72">
        <f>IF(Tabla2__2[[#This Row],[RTA]]=Tabla2__2[[#This Row],[RTA CORRECTA]],Tabla2__2[[#This Row],[TOTAL PUNTAJE]],0)</f>
        <v>2.2000000000000002</v>
      </c>
      <c r="Q244" s="72">
        <f t="shared" si="3"/>
        <v>0</v>
      </c>
    </row>
    <row r="245" spans="1:17" x14ac:dyDescent="0.25">
      <c r="A245" s="72" t="s">
        <v>39</v>
      </c>
      <c r="B245" s="72" t="s">
        <v>8</v>
      </c>
      <c r="C245" t="s">
        <v>16</v>
      </c>
      <c r="D245" s="72" t="s">
        <v>16</v>
      </c>
      <c r="E245" s="72">
        <v>424893</v>
      </c>
      <c r="F245" s="72" t="s">
        <v>237</v>
      </c>
      <c r="G245" s="72" t="s">
        <v>48</v>
      </c>
      <c r="H245" s="72" t="s">
        <v>24</v>
      </c>
      <c r="I245" s="73">
        <v>45736</v>
      </c>
      <c r="J245" s="72">
        <v>26439536</v>
      </c>
      <c r="K245" s="72" t="s">
        <v>115</v>
      </c>
      <c r="L245" s="72" t="str">
        <f>_xlfn.XLOOKUP(Tabla2__2[[#This Row],[CODIGO RUTA]],'DATA INFORME'!I:I,'DATA INFORME'!K:K)</f>
        <v>SI</v>
      </c>
      <c r="M245" s="72" t="str">
        <f>IF(Tabla2__2[[#This Row],[MYSTERY EFECTIVO]]="SI",_xlfn.XLOOKUP(Tabla2__2[[#This Row],[PREGUNTA]],ENCUESTA!G:G,ENCUESTA!D:D),"N/A")</f>
        <v>UNIFORME</v>
      </c>
      <c r="N24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45" s="72" t="str">
        <f>_xlfn.XLOOKUP(Tabla2__2[[#This Row],[PREGUNTA]],ENCUESTA!G:G,ENCUESTA!H:H)</f>
        <v>NO</v>
      </c>
      <c r="P245" s="72">
        <f>IF(Tabla2__2[[#This Row],[RTA]]=Tabla2__2[[#This Row],[RTA CORRECTA]],Tabla2__2[[#This Row],[TOTAL PUNTAJE]],0)</f>
        <v>0</v>
      </c>
      <c r="Q245" s="72">
        <f t="shared" si="3"/>
        <v>0</v>
      </c>
    </row>
    <row r="246" spans="1:17" x14ac:dyDescent="0.25">
      <c r="A246" s="72" t="s">
        <v>39</v>
      </c>
      <c r="B246" s="72" t="s">
        <v>8</v>
      </c>
      <c r="C246" t="s">
        <v>16</v>
      </c>
      <c r="D246" s="72" t="s">
        <v>16</v>
      </c>
      <c r="E246" s="72">
        <v>424893</v>
      </c>
      <c r="F246" s="72" t="s">
        <v>237</v>
      </c>
      <c r="G246" s="72" t="s">
        <v>142</v>
      </c>
      <c r="H246" s="72" t="s">
        <v>118</v>
      </c>
      <c r="I246" s="73">
        <v>45736</v>
      </c>
      <c r="J246" s="72">
        <v>26439536</v>
      </c>
      <c r="K246" s="72" t="s">
        <v>115</v>
      </c>
      <c r="L246" s="72" t="str">
        <f>_xlfn.XLOOKUP(Tabla2__2[[#This Row],[CODIGO RUTA]],'DATA INFORME'!I:I,'DATA INFORME'!K:K)</f>
        <v>SI</v>
      </c>
      <c r="M246" s="72" t="str">
        <f>IF(Tabla2__2[[#This Row],[MYSTERY EFECTIVO]]="SI",_xlfn.XLOOKUP(Tabla2__2[[#This Row],[PREGUNTA]],ENCUESTA!G:G,ENCUESTA!D:D),"N/A")</f>
        <v>PORTAFOLIO Y MANEJO DE OBJECIONES</v>
      </c>
      <c r="N24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246" s="72" t="str">
        <f>_xlfn.XLOOKUP(Tabla2__2[[#This Row],[PREGUNTA]],ENCUESTA!G:G,ENCUESTA!H:H)</f>
        <v>SI</v>
      </c>
      <c r="P246" s="72">
        <f>IF(Tabla2__2[[#This Row],[RTA]]=Tabla2__2[[#This Row],[RTA CORRECTA]],Tabla2__2[[#This Row],[TOTAL PUNTAJE]],0)</f>
        <v>0</v>
      </c>
      <c r="Q246" s="72">
        <f t="shared" si="3"/>
        <v>0</v>
      </c>
    </row>
    <row r="247" spans="1:17" x14ac:dyDescent="0.25">
      <c r="A247" s="72" t="s">
        <v>39</v>
      </c>
      <c r="B247" s="72" t="s">
        <v>8</v>
      </c>
      <c r="C247" t="s">
        <v>16</v>
      </c>
      <c r="D247" s="72" t="s">
        <v>16</v>
      </c>
      <c r="E247" s="72">
        <v>424893</v>
      </c>
      <c r="F247" s="72" t="s">
        <v>237</v>
      </c>
      <c r="G247" s="72" t="s">
        <v>140</v>
      </c>
      <c r="H247" s="72" t="s">
        <v>24</v>
      </c>
      <c r="I247" s="73">
        <v>45736</v>
      </c>
      <c r="J247" s="72">
        <v>26439536</v>
      </c>
      <c r="K247" s="72" t="s">
        <v>115</v>
      </c>
      <c r="L247" s="72" t="str">
        <f>_xlfn.XLOOKUP(Tabla2__2[[#This Row],[CODIGO RUTA]],'DATA INFORME'!I:I,'DATA INFORME'!K:K)</f>
        <v>SI</v>
      </c>
      <c r="M247" s="72" t="str">
        <f>IF(Tabla2__2[[#This Row],[MYSTERY EFECTIVO]]="SI",_xlfn.XLOOKUP(Tabla2__2[[#This Row],[PREGUNTA]],ENCUESTA!G:G,ENCUESTA!D:D),"N/A")</f>
        <v>PORTAFOLIO Y MANEJO DE OBJECIONES</v>
      </c>
      <c r="N24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247" s="72" t="str">
        <f>_xlfn.XLOOKUP(Tabla2__2[[#This Row],[PREGUNTA]],ENCUESTA!G:G,ENCUESTA!H:H)</f>
        <v>SI</v>
      </c>
      <c r="P247" s="72">
        <f>IF(Tabla2__2[[#This Row],[RTA]]=Tabla2__2[[#This Row],[RTA CORRECTA]],Tabla2__2[[#This Row],[TOTAL PUNTAJE]],0)</f>
        <v>2.2000000000000002</v>
      </c>
      <c r="Q247" s="72">
        <f t="shared" si="3"/>
        <v>0</v>
      </c>
    </row>
    <row r="248" spans="1:17" x14ac:dyDescent="0.25">
      <c r="A248" s="72" t="s">
        <v>39</v>
      </c>
      <c r="B248" s="72" t="s">
        <v>8</v>
      </c>
      <c r="C248" t="s">
        <v>16</v>
      </c>
      <c r="D248" s="72" t="s">
        <v>16</v>
      </c>
      <c r="E248" s="72">
        <v>424893</v>
      </c>
      <c r="F248" s="72" t="s">
        <v>237</v>
      </c>
      <c r="G248" s="72" t="s">
        <v>139</v>
      </c>
      <c r="H248" s="72" t="s">
        <v>24</v>
      </c>
      <c r="I248" s="73">
        <v>45736</v>
      </c>
      <c r="J248" s="72">
        <v>26439536</v>
      </c>
      <c r="K248" s="72" t="s">
        <v>115</v>
      </c>
      <c r="L248" s="72" t="str">
        <f>_xlfn.XLOOKUP(Tabla2__2[[#This Row],[CODIGO RUTA]],'DATA INFORME'!I:I,'DATA INFORME'!K:K)</f>
        <v>SI</v>
      </c>
      <c r="M248" s="72" t="str">
        <f>IF(Tabla2__2[[#This Row],[MYSTERY EFECTIVO]]="SI",_xlfn.XLOOKUP(Tabla2__2[[#This Row],[PREGUNTA]],ENCUESTA!G:G,ENCUESTA!D:D),"N/A")</f>
        <v>PORTAFOLIO Y MANEJO DE OBJECIONES</v>
      </c>
      <c r="N24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248" s="72" t="str">
        <f>_xlfn.XLOOKUP(Tabla2__2[[#This Row],[PREGUNTA]],ENCUESTA!G:G,ENCUESTA!H:H)</f>
        <v>SI</v>
      </c>
      <c r="P248" s="72">
        <f>IF(Tabla2__2[[#This Row],[RTA]]=Tabla2__2[[#This Row],[RTA CORRECTA]],Tabla2__2[[#This Row],[TOTAL PUNTAJE]],0)</f>
        <v>2.2000000000000002</v>
      </c>
      <c r="Q248" s="72">
        <f t="shared" si="3"/>
        <v>0</v>
      </c>
    </row>
    <row r="249" spans="1:17" x14ac:dyDescent="0.25">
      <c r="A249" s="72" t="s">
        <v>39</v>
      </c>
      <c r="B249" s="72" t="s">
        <v>8</v>
      </c>
      <c r="C249" t="s">
        <v>16</v>
      </c>
      <c r="D249" s="72" t="s">
        <v>16</v>
      </c>
      <c r="E249" s="72">
        <v>424893</v>
      </c>
      <c r="F249" s="72" t="s">
        <v>237</v>
      </c>
      <c r="G249" s="72" t="s">
        <v>102</v>
      </c>
      <c r="H249" s="72" t="s">
        <v>106</v>
      </c>
      <c r="I249" s="73">
        <v>45736</v>
      </c>
      <c r="J249" s="72">
        <v>26439536</v>
      </c>
      <c r="K249" s="72" t="s">
        <v>115</v>
      </c>
      <c r="L249" s="72" t="str">
        <f>_xlfn.XLOOKUP(Tabla2__2[[#This Row],[CODIGO RUTA]],'DATA INFORME'!I:I,'DATA INFORME'!K:K)</f>
        <v>SI</v>
      </c>
      <c r="M249" s="72" t="str">
        <f>IF(Tabla2__2[[#This Row],[MYSTERY EFECTIVO]]="SI",_xlfn.XLOOKUP(Tabla2__2[[#This Row],[PREGUNTA]],ENCUESTA!G:G,ENCUESTA!D:D),"N/A")</f>
        <v>N/A</v>
      </c>
      <c r="N24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49" s="72">
        <f>_xlfn.XLOOKUP(Tabla2__2[[#This Row],[PREGUNTA]],ENCUESTA!G:G,ENCUESTA!H:H)</f>
        <v>0</v>
      </c>
      <c r="P249" s="72">
        <f>IF(Tabla2__2[[#This Row],[RTA]]=Tabla2__2[[#This Row],[RTA CORRECTA]],Tabla2__2[[#This Row],[TOTAL PUNTAJE]],0)</f>
        <v>0</v>
      </c>
      <c r="Q249" s="72">
        <f t="shared" si="3"/>
        <v>0</v>
      </c>
    </row>
    <row r="250" spans="1:17" x14ac:dyDescent="0.25">
      <c r="A250" s="72" t="s">
        <v>39</v>
      </c>
      <c r="B250" s="72" t="s">
        <v>8</v>
      </c>
      <c r="C250" t="s">
        <v>16</v>
      </c>
      <c r="D250" s="72" t="s">
        <v>16</v>
      </c>
      <c r="E250" s="72">
        <v>424893</v>
      </c>
      <c r="F250" s="72" t="s">
        <v>237</v>
      </c>
      <c r="G250" s="72" t="s">
        <v>99</v>
      </c>
      <c r="H250" s="72" t="s">
        <v>241</v>
      </c>
      <c r="I250" s="73">
        <v>45736</v>
      </c>
      <c r="J250" s="72">
        <v>26439536</v>
      </c>
      <c r="K250" s="72" t="s">
        <v>115</v>
      </c>
      <c r="L250" s="72" t="str">
        <f>_xlfn.XLOOKUP(Tabla2__2[[#This Row],[CODIGO RUTA]],'DATA INFORME'!I:I,'DATA INFORME'!K:K)</f>
        <v>SI</v>
      </c>
      <c r="M250" s="72" t="str">
        <f>IF(Tabla2__2[[#This Row],[MYSTERY EFECTIVO]]="SI",_xlfn.XLOOKUP(Tabla2__2[[#This Row],[PREGUNTA]],ENCUESTA!G:G,ENCUESTA!D:D),"N/A")</f>
        <v>PORTAFOLIO Y MANEJO DE OBJECIONES</v>
      </c>
      <c r="N25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250" s="72" t="str">
        <f>_xlfn.XLOOKUP(Tabla2__2[[#This Row],[PREGUNTA]],ENCUESTA!G:G,ENCUESTA!H:H)</f>
        <v>SI</v>
      </c>
      <c r="P250" s="72">
        <f>IF(Tabla2__2[[#This Row],[RTA]]=Tabla2__2[[#This Row],[RTA CORRECTA]],Tabla2__2[[#This Row],[TOTAL PUNTAJE]],0)</f>
        <v>0</v>
      </c>
      <c r="Q250" s="72">
        <f t="shared" si="3"/>
        <v>0</v>
      </c>
    </row>
    <row r="251" spans="1:17" x14ac:dyDescent="0.25">
      <c r="A251" s="72" t="s">
        <v>39</v>
      </c>
      <c r="B251" s="72" t="s">
        <v>8</v>
      </c>
      <c r="C251" t="s">
        <v>16</v>
      </c>
      <c r="D251" s="72" t="s">
        <v>16</v>
      </c>
      <c r="E251" s="72">
        <v>424893</v>
      </c>
      <c r="F251" s="72" t="s">
        <v>237</v>
      </c>
      <c r="G251" s="72" t="s">
        <v>101</v>
      </c>
      <c r="H251" s="72" t="s">
        <v>24</v>
      </c>
      <c r="I251" s="73">
        <v>45736</v>
      </c>
      <c r="J251" s="72">
        <v>26439536</v>
      </c>
      <c r="K251" s="72" t="s">
        <v>115</v>
      </c>
      <c r="L251" s="72" t="str">
        <f>_xlfn.XLOOKUP(Tabla2__2[[#This Row],[CODIGO RUTA]],'DATA INFORME'!I:I,'DATA INFORME'!K:K)</f>
        <v>SI</v>
      </c>
      <c r="M251" s="72" t="str">
        <f>IF(Tabla2__2[[#This Row],[MYSTERY EFECTIVO]]="SI",_xlfn.XLOOKUP(Tabla2__2[[#This Row],[PREGUNTA]],ENCUESTA!G:G,ENCUESTA!D:D),"N/A")</f>
        <v>PORTAFOLIO Y MANEJO DE OBJECIONES</v>
      </c>
      <c r="N25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251" s="72" t="str">
        <f>_xlfn.XLOOKUP(Tabla2__2[[#This Row],[PREGUNTA]],ENCUESTA!G:G,ENCUESTA!H:H)</f>
        <v>SI</v>
      </c>
      <c r="P251" s="72">
        <f>IF(Tabla2__2[[#This Row],[RTA]]=Tabla2__2[[#This Row],[RTA CORRECTA]],Tabla2__2[[#This Row],[TOTAL PUNTAJE]],0)</f>
        <v>3</v>
      </c>
      <c r="Q251" s="72">
        <f t="shared" si="3"/>
        <v>0</v>
      </c>
    </row>
    <row r="252" spans="1:17" x14ac:dyDescent="0.25">
      <c r="A252" s="72" t="s">
        <v>39</v>
      </c>
      <c r="B252" s="72" t="s">
        <v>8</v>
      </c>
      <c r="C252" t="s">
        <v>16</v>
      </c>
      <c r="D252" s="72" t="s">
        <v>16</v>
      </c>
      <c r="E252" s="72">
        <v>424893</v>
      </c>
      <c r="F252" s="72" t="s">
        <v>237</v>
      </c>
      <c r="G252" s="72" t="s">
        <v>138</v>
      </c>
      <c r="H252" s="72" t="s">
        <v>24</v>
      </c>
      <c r="I252" s="73">
        <v>45736</v>
      </c>
      <c r="J252" s="72">
        <v>26439536</v>
      </c>
      <c r="K252" s="72" t="s">
        <v>115</v>
      </c>
      <c r="L252" s="72" t="str">
        <f>_xlfn.XLOOKUP(Tabla2__2[[#This Row],[CODIGO RUTA]],'DATA INFORME'!I:I,'DATA INFORME'!K:K)</f>
        <v>SI</v>
      </c>
      <c r="M252" s="72" t="str">
        <f>IF(Tabla2__2[[#This Row],[MYSTERY EFECTIVO]]="SI",_xlfn.XLOOKUP(Tabla2__2[[#This Row],[PREGUNTA]],ENCUESTA!G:G,ENCUESTA!D:D),"N/A")</f>
        <v>ABORDAJE</v>
      </c>
      <c r="N25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52" s="72" t="str">
        <f>_xlfn.XLOOKUP(Tabla2__2[[#This Row],[PREGUNTA]],ENCUESTA!G:G,ENCUESTA!H:H)</f>
        <v>SI</v>
      </c>
      <c r="P252" s="72">
        <f>IF(Tabla2__2[[#This Row],[RTA]]=Tabla2__2[[#This Row],[RTA CORRECTA]],Tabla2__2[[#This Row],[TOTAL PUNTAJE]],0)</f>
        <v>20</v>
      </c>
      <c r="Q252" s="72">
        <f t="shared" si="3"/>
        <v>0</v>
      </c>
    </row>
    <row r="253" spans="1:17" x14ac:dyDescent="0.25">
      <c r="A253" s="72" t="s">
        <v>39</v>
      </c>
      <c r="B253" s="72" t="s">
        <v>8</v>
      </c>
      <c r="C253" t="s">
        <v>16</v>
      </c>
      <c r="D253" s="72" t="s">
        <v>16</v>
      </c>
      <c r="E253" s="72">
        <v>424893</v>
      </c>
      <c r="F253" s="72" t="s">
        <v>237</v>
      </c>
      <c r="G253" s="72" t="s">
        <v>46</v>
      </c>
      <c r="H253" s="72" t="s">
        <v>118</v>
      </c>
      <c r="I253" s="73">
        <v>45736</v>
      </c>
      <c r="J253" s="72">
        <v>26439536</v>
      </c>
      <c r="K253" s="72" t="s">
        <v>115</v>
      </c>
      <c r="L253" s="72" t="str">
        <f>_xlfn.XLOOKUP(Tabla2__2[[#This Row],[CODIGO RUTA]],'DATA INFORME'!I:I,'DATA INFORME'!K:K)</f>
        <v>SI</v>
      </c>
      <c r="M253" s="72" t="str">
        <f>IF(Tabla2__2[[#This Row],[MYSTERY EFECTIVO]]="SI",_xlfn.XLOOKUP(Tabla2__2[[#This Row],[PREGUNTA]],ENCUESTA!G:G,ENCUESTA!D:D),"N/A")</f>
        <v>UNIFORME</v>
      </c>
      <c r="N25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53" s="72" t="str">
        <f>_xlfn.XLOOKUP(Tabla2__2[[#This Row],[PREGUNTA]],ENCUESTA!G:G,ENCUESTA!H:H)</f>
        <v>NO</v>
      </c>
      <c r="P253" s="72">
        <f>IF(Tabla2__2[[#This Row],[RTA]]=Tabla2__2[[#This Row],[RTA CORRECTA]],Tabla2__2[[#This Row],[TOTAL PUNTAJE]],0)</f>
        <v>1.5</v>
      </c>
      <c r="Q253" s="72">
        <f t="shared" si="3"/>
        <v>0</v>
      </c>
    </row>
    <row r="254" spans="1:17" x14ac:dyDescent="0.25">
      <c r="A254" s="72" t="s">
        <v>39</v>
      </c>
      <c r="B254" s="72" t="s">
        <v>8</v>
      </c>
      <c r="C254" t="s">
        <v>16</v>
      </c>
      <c r="D254" s="72" t="s">
        <v>16</v>
      </c>
      <c r="E254" s="72">
        <v>424893</v>
      </c>
      <c r="F254" s="72" t="s">
        <v>237</v>
      </c>
      <c r="G254" s="72" t="s">
        <v>141</v>
      </c>
      <c r="H254" s="72" t="s">
        <v>24</v>
      </c>
      <c r="I254" s="73">
        <v>45736</v>
      </c>
      <c r="J254" s="72">
        <v>26439536</v>
      </c>
      <c r="K254" s="72" t="s">
        <v>115</v>
      </c>
      <c r="L254" s="72" t="str">
        <f>_xlfn.XLOOKUP(Tabla2__2[[#This Row],[CODIGO RUTA]],'DATA INFORME'!I:I,'DATA INFORME'!K:K)</f>
        <v>SI</v>
      </c>
      <c r="M254" s="72" t="str">
        <f>IF(Tabla2__2[[#This Row],[MYSTERY EFECTIVO]]="SI",_xlfn.XLOOKUP(Tabla2__2[[#This Row],[PREGUNTA]],ENCUESTA!G:G,ENCUESTA!D:D),"N/A")</f>
        <v>PORTAFOLIO Y MANEJO DE OBJECIONES</v>
      </c>
      <c r="N25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254" s="72" t="str">
        <f>_xlfn.XLOOKUP(Tabla2__2[[#This Row],[PREGUNTA]],ENCUESTA!G:G,ENCUESTA!H:H)</f>
        <v>SI</v>
      </c>
      <c r="P254" s="72">
        <f>IF(Tabla2__2[[#This Row],[RTA]]=Tabla2__2[[#This Row],[RTA CORRECTA]],Tabla2__2[[#This Row],[TOTAL PUNTAJE]],0)</f>
        <v>2.2000000000000002</v>
      </c>
      <c r="Q254" s="72">
        <f t="shared" si="3"/>
        <v>0</v>
      </c>
    </row>
    <row r="255" spans="1:17" x14ac:dyDescent="0.25">
      <c r="A255" s="72" t="s">
        <v>39</v>
      </c>
      <c r="B255" s="72" t="s">
        <v>8</v>
      </c>
      <c r="C255" t="s">
        <v>16</v>
      </c>
      <c r="D255" s="72" t="s">
        <v>16</v>
      </c>
      <c r="E255" s="72">
        <v>424893</v>
      </c>
      <c r="F255" s="72" t="s">
        <v>237</v>
      </c>
      <c r="G255" s="72" t="s">
        <v>189</v>
      </c>
      <c r="H255" s="72" t="s">
        <v>118</v>
      </c>
      <c r="I255" s="73">
        <v>45736</v>
      </c>
      <c r="J255" s="72">
        <v>26439536</v>
      </c>
      <c r="K255" s="72" t="s">
        <v>115</v>
      </c>
      <c r="L255" s="72" t="str">
        <f>_xlfn.XLOOKUP(Tabla2__2[[#This Row],[CODIGO RUTA]],'DATA INFORME'!I:I,'DATA INFORME'!K:K)</f>
        <v>SI</v>
      </c>
      <c r="M255" s="72" t="str">
        <f>IF(Tabla2__2[[#This Row],[MYSTERY EFECTIVO]]="SI",_xlfn.XLOOKUP(Tabla2__2[[#This Row],[PREGUNTA]],ENCUESTA!G:G,ENCUESTA!D:D),"N/A")</f>
        <v>N/A</v>
      </c>
      <c r="N25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5" s="72">
        <f>_xlfn.XLOOKUP(Tabla2__2[[#This Row],[PREGUNTA]],ENCUESTA!G:G,ENCUESTA!H:H)</f>
        <v>0</v>
      </c>
      <c r="P255" s="72">
        <f>IF(Tabla2__2[[#This Row],[RTA]]=Tabla2__2[[#This Row],[RTA CORRECTA]],Tabla2__2[[#This Row],[TOTAL PUNTAJE]],0)</f>
        <v>0</v>
      </c>
      <c r="Q255" s="72">
        <f t="shared" si="3"/>
        <v>0</v>
      </c>
    </row>
    <row r="256" spans="1:17" x14ac:dyDescent="0.25">
      <c r="A256" s="72" t="s">
        <v>39</v>
      </c>
      <c r="B256" s="72" t="s">
        <v>8</v>
      </c>
      <c r="C256" t="s">
        <v>16</v>
      </c>
      <c r="D256" s="72" t="s">
        <v>16</v>
      </c>
      <c r="E256" s="72">
        <v>424893</v>
      </c>
      <c r="F256" s="72" t="s">
        <v>237</v>
      </c>
      <c r="G256" s="72" t="s">
        <v>51</v>
      </c>
      <c r="H256" s="72" t="s">
        <v>24</v>
      </c>
      <c r="I256" s="73">
        <v>45736</v>
      </c>
      <c r="J256" s="72">
        <v>26439536</v>
      </c>
      <c r="K256" s="72" t="s">
        <v>115</v>
      </c>
      <c r="L256" s="72" t="str">
        <f>_xlfn.XLOOKUP(Tabla2__2[[#This Row],[CODIGO RUTA]],'DATA INFORME'!I:I,'DATA INFORME'!K:K)</f>
        <v>SI</v>
      </c>
      <c r="M256" s="72" t="str">
        <f>IF(Tabla2__2[[#This Row],[MYSTERY EFECTIVO]]="SI",_xlfn.XLOOKUP(Tabla2__2[[#This Row],[PREGUNTA]],ENCUESTA!G:G,ENCUESTA!D:D),"N/A")</f>
        <v>PORTAFOLIO Y MANEJO DE OBJECIONES</v>
      </c>
      <c r="N256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4, 4</v>
      </c>
      <c r="O256" s="72" t="str">
        <f>_xlfn.XLOOKUP(Tabla2__2[[#This Row],[PREGUNTA]],ENCUESTA!G:G,ENCUESTA!H:H)</f>
        <v>SI</v>
      </c>
      <c r="P256" s="72" t="str">
        <f>IF(Tabla2__2[[#This Row],[RTA]]=Tabla2__2[[#This Row],[RTA CORRECTA]],Tabla2__2[[#This Row],[TOTAL PUNTAJE]],0)</f>
        <v>4, 4</v>
      </c>
      <c r="Q256" s="72">
        <f t="shared" si="3"/>
        <v>0</v>
      </c>
    </row>
    <row r="257" spans="1:17" x14ac:dyDescent="0.25">
      <c r="A257" s="72" t="s">
        <v>39</v>
      </c>
      <c r="B257" s="72" t="s">
        <v>8</v>
      </c>
      <c r="C257" t="s">
        <v>15</v>
      </c>
      <c r="D257" s="72" t="s">
        <v>116</v>
      </c>
      <c r="E257" s="72">
        <v>125788</v>
      </c>
      <c r="F257" s="72" t="s">
        <v>243</v>
      </c>
      <c r="G257" s="72" t="s">
        <v>40</v>
      </c>
      <c r="H257" s="72" t="s">
        <v>118</v>
      </c>
      <c r="I257" s="73">
        <v>45737</v>
      </c>
      <c r="J257" s="72">
        <v>26440851</v>
      </c>
      <c r="K257" s="72" t="s">
        <v>115</v>
      </c>
      <c r="L257" s="72" t="str">
        <f>_xlfn.XLOOKUP(Tabla2__2[[#This Row],[CODIGO RUTA]],'DATA INFORME'!I:I,'DATA INFORME'!K:K)</f>
        <v>NO</v>
      </c>
      <c r="M257" s="72" t="str">
        <f>IF(Tabla2__2[[#This Row],[MYSTERY EFECTIVO]]="SI",_xlfn.XLOOKUP(Tabla2__2[[#This Row],[PREGUNTA]],ENCUESTA!G:G,ENCUESTA!D:D),"N/A")</f>
        <v>N/A</v>
      </c>
      <c r="N25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7" s="72" t="str">
        <f>_xlfn.XLOOKUP(Tabla2__2[[#This Row],[PREGUNTA]],ENCUESTA!G:G,ENCUESTA!H:H)</f>
        <v>SI</v>
      </c>
      <c r="P257" s="72">
        <f>IF(Tabla2__2[[#This Row],[RTA]]=Tabla2__2[[#This Row],[RTA CORRECTA]],Tabla2__2[[#This Row],[TOTAL PUNTAJE]],0)</f>
        <v>0</v>
      </c>
      <c r="Q257" s="72">
        <f t="shared" si="3"/>
        <v>0</v>
      </c>
    </row>
    <row r="258" spans="1:17" x14ac:dyDescent="0.25">
      <c r="A258" s="72" t="s">
        <v>39</v>
      </c>
      <c r="B258" s="72" t="s">
        <v>8</v>
      </c>
      <c r="C258" t="s">
        <v>15</v>
      </c>
      <c r="D258" s="72" t="s">
        <v>116</v>
      </c>
      <c r="E258" s="72">
        <v>125788</v>
      </c>
      <c r="F258" s="72" t="s">
        <v>243</v>
      </c>
      <c r="G258" s="72" t="s">
        <v>202</v>
      </c>
      <c r="H258" s="72" t="s">
        <v>246</v>
      </c>
      <c r="I258" s="73">
        <v>45737</v>
      </c>
      <c r="J258" s="72">
        <v>26440851</v>
      </c>
      <c r="K258" s="72" t="s">
        <v>115</v>
      </c>
      <c r="L258" s="72" t="str">
        <f>_xlfn.XLOOKUP(Tabla2__2[[#This Row],[CODIGO RUTA]],'DATA INFORME'!I:I,'DATA INFORME'!K:K)</f>
        <v>NO</v>
      </c>
      <c r="M258" s="72" t="str">
        <f>IF(Tabla2__2[[#This Row],[MYSTERY EFECTIVO]]="SI",_xlfn.XLOOKUP(Tabla2__2[[#This Row],[PREGUNTA]],ENCUESTA!G:G,ENCUESTA!D:D),"N/A")</f>
        <v>N/A</v>
      </c>
      <c r="N25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8" s="72">
        <f>_xlfn.XLOOKUP(Tabla2__2[[#This Row],[PREGUNTA]],ENCUESTA!G:G,ENCUESTA!H:H)</f>
        <v>0</v>
      </c>
      <c r="P258" s="72">
        <f>IF(Tabla2__2[[#This Row],[RTA]]=Tabla2__2[[#This Row],[RTA CORRECTA]],Tabla2__2[[#This Row],[TOTAL PUNTAJE]],0)</f>
        <v>0</v>
      </c>
      <c r="Q258" s="72">
        <f t="shared" ref="Q258:Q321" si="4">IF(OR(H258="Dog Chow húmedo",H258="Cat Chow húmedo",H258="Fancy Feast",H258="Felix",H258="Proplan húmedo",H258="One húmedo",H258="Snack Abrazzos",H258="Snak Dentalife",H258="Arenilla Tidy Cat"),N258,0)</f>
        <v>0</v>
      </c>
    </row>
    <row r="259" spans="1:17" x14ac:dyDescent="0.25">
      <c r="A259" s="72" t="s">
        <v>39</v>
      </c>
      <c r="B259" s="72" t="s">
        <v>194</v>
      </c>
      <c r="C259" t="s">
        <v>15</v>
      </c>
      <c r="D259" s="72" t="s">
        <v>116</v>
      </c>
      <c r="E259" s="72">
        <v>424842</v>
      </c>
      <c r="F259" s="72" t="s">
        <v>247</v>
      </c>
      <c r="G259" s="72" t="s">
        <v>51</v>
      </c>
      <c r="H259" s="72" t="s">
        <v>118</v>
      </c>
      <c r="I259" s="73">
        <v>45737</v>
      </c>
      <c r="J259" s="72">
        <v>26442456</v>
      </c>
      <c r="K259" s="72" t="s">
        <v>251</v>
      </c>
      <c r="L259" s="72" t="str">
        <f>_xlfn.XLOOKUP(Tabla2__2[[#This Row],[CODIGO RUTA]],'DATA INFORME'!I:I,'DATA INFORME'!K:K)</f>
        <v>SI</v>
      </c>
      <c r="M259" s="72" t="str">
        <f>IF(Tabla2__2[[#This Row],[MYSTERY EFECTIVO]]="SI",_xlfn.XLOOKUP(Tabla2__2[[#This Row],[PREGUNTA]],ENCUESTA!G:G,ENCUESTA!D:D),"N/A")</f>
        <v>PORTAFOLIO Y MANEJO DE OBJECIONES</v>
      </c>
      <c r="N259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4,8</v>
      </c>
      <c r="O259" s="72" t="str">
        <f>_xlfn.XLOOKUP(Tabla2__2[[#This Row],[PREGUNTA]],ENCUESTA!G:G,ENCUESTA!H:H)</f>
        <v>SI</v>
      </c>
      <c r="P259" s="72">
        <f>IF(Tabla2__2[[#This Row],[RTA]]=Tabla2__2[[#This Row],[RTA CORRECTA]],Tabla2__2[[#This Row],[TOTAL PUNTAJE]],0)</f>
        <v>0</v>
      </c>
      <c r="Q259" s="72">
        <f t="shared" si="4"/>
        <v>0</v>
      </c>
    </row>
    <row r="260" spans="1:17" x14ac:dyDescent="0.25">
      <c r="A260" s="72" t="s">
        <v>39</v>
      </c>
      <c r="B260" s="72" t="s">
        <v>8</v>
      </c>
      <c r="C260" t="s">
        <v>15</v>
      </c>
      <c r="D260" s="72" t="s">
        <v>116</v>
      </c>
      <c r="E260" s="72">
        <v>125788</v>
      </c>
      <c r="F260" s="72" t="s">
        <v>243</v>
      </c>
      <c r="G260" s="72" t="s">
        <v>189</v>
      </c>
      <c r="H260" s="72" t="s">
        <v>24</v>
      </c>
      <c r="I260" s="73">
        <v>45737</v>
      </c>
      <c r="J260" s="72">
        <v>26440851</v>
      </c>
      <c r="K260" s="72" t="s">
        <v>115</v>
      </c>
      <c r="L260" s="72" t="str">
        <f>_xlfn.XLOOKUP(Tabla2__2[[#This Row],[CODIGO RUTA]],'DATA INFORME'!I:I,'DATA INFORME'!K:K)</f>
        <v>NO</v>
      </c>
      <c r="M260" s="72" t="str">
        <f>IF(Tabla2__2[[#This Row],[MYSTERY EFECTIVO]]="SI",_xlfn.XLOOKUP(Tabla2__2[[#This Row],[PREGUNTA]],ENCUESTA!G:G,ENCUESTA!D:D),"N/A")</f>
        <v>N/A</v>
      </c>
      <c r="N26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60" s="72">
        <f>_xlfn.XLOOKUP(Tabla2__2[[#This Row],[PREGUNTA]],ENCUESTA!G:G,ENCUESTA!H:H)</f>
        <v>0</v>
      </c>
      <c r="P260" s="72">
        <f>IF(Tabla2__2[[#This Row],[RTA]]=Tabla2__2[[#This Row],[RTA CORRECTA]],Tabla2__2[[#This Row],[TOTAL PUNTAJE]],0)</f>
        <v>0</v>
      </c>
      <c r="Q260" s="72">
        <f t="shared" si="4"/>
        <v>0</v>
      </c>
    </row>
    <row r="261" spans="1:17" x14ac:dyDescent="0.25">
      <c r="A261" s="72" t="s">
        <v>39</v>
      </c>
      <c r="B261" s="72" t="s">
        <v>194</v>
      </c>
      <c r="C261" t="s">
        <v>15</v>
      </c>
      <c r="D261" s="72" t="s">
        <v>116</v>
      </c>
      <c r="E261" s="72">
        <v>424842</v>
      </c>
      <c r="F261" s="72" t="s">
        <v>247</v>
      </c>
      <c r="G261" s="72" t="s">
        <v>169</v>
      </c>
      <c r="H261" s="72" t="s">
        <v>24</v>
      </c>
      <c r="I261" s="73">
        <v>45737</v>
      </c>
      <c r="J261" s="72">
        <v>26442456</v>
      </c>
      <c r="K261" s="72" t="s">
        <v>251</v>
      </c>
      <c r="L261" s="72" t="str">
        <f>_xlfn.XLOOKUP(Tabla2__2[[#This Row],[CODIGO RUTA]],'DATA INFORME'!I:I,'DATA INFORME'!K:K)</f>
        <v>SI</v>
      </c>
      <c r="M261" s="72" t="str">
        <f>IF(Tabla2__2[[#This Row],[MYSTERY EFECTIVO]]="SI",_xlfn.XLOOKUP(Tabla2__2[[#This Row],[PREGUNTA]],ENCUESTA!G:G,ENCUESTA!D:D),"N/A")</f>
        <v>PORTAFOLIO Y MANEJO DE OBJECIONES</v>
      </c>
      <c r="N26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61" s="72" t="str">
        <f>_xlfn.XLOOKUP(Tabla2__2[[#This Row],[PREGUNTA]],ENCUESTA!G:G,ENCUESTA!H:H)</f>
        <v>SI</v>
      </c>
      <c r="P261" s="72">
        <f>IF(Tabla2__2[[#This Row],[RTA]]=Tabla2__2[[#This Row],[RTA CORRECTA]],Tabla2__2[[#This Row],[TOTAL PUNTAJE]],0)</f>
        <v>2.4</v>
      </c>
      <c r="Q261" s="72">
        <f t="shared" si="4"/>
        <v>0</v>
      </c>
    </row>
    <row r="262" spans="1:17" x14ac:dyDescent="0.25">
      <c r="A262" s="72" t="s">
        <v>39</v>
      </c>
      <c r="B262" s="72" t="s">
        <v>194</v>
      </c>
      <c r="C262" t="s">
        <v>15</v>
      </c>
      <c r="D262" s="72" t="s">
        <v>116</v>
      </c>
      <c r="E262" s="72">
        <v>424842</v>
      </c>
      <c r="F262" s="72" t="s">
        <v>247</v>
      </c>
      <c r="G262" s="72" t="s">
        <v>102</v>
      </c>
      <c r="H262" s="72" t="s">
        <v>167</v>
      </c>
      <c r="I262" s="73">
        <v>45737</v>
      </c>
      <c r="J262" s="72">
        <v>26442456</v>
      </c>
      <c r="K262" s="72" t="s">
        <v>251</v>
      </c>
      <c r="L262" s="72" t="str">
        <f>_xlfn.XLOOKUP(Tabla2__2[[#This Row],[CODIGO RUTA]],'DATA INFORME'!I:I,'DATA INFORME'!K:K)</f>
        <v>SI</v>
      </c>
      <c r="M262" s="72" t="str">
        <f>IF(Tabla2__2[[#This Row],[MYSTERY EFECTIVO]]="SI",_xlfn.XLOOKUP(Tabla2__2[[#This Row],[PREGUNTA]],ENCUESTA!G:G,ENCUESTA!D:D),"N/A")</f>
        <v>N/A</v>
      </c>
      <c r="N26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62" s="72">
        <f>_xlfn.XLOOKUP(Tabla2__2[[#This Row],[PREGUNTA]],ENCUESTA!G:G,ENCUESTA!H:H)</f>
        <v>0</v>
      </c>
      <c r="P262" s="72">
        <f>IF(Tabla2__2[[#This Row],[RTA]]=Tabla2__2[[#This Row],[RTA CORRECTA]],Tabla2__2[[#This Row],[TOTAL PUNTAJE]],0)</f>
        <v>0</v>
      </c>
      <c r="Q262" s="72">
        <f t="shared" si="4"/>
        <v>0</v>
      </c>
    </row>
    <row r="263" spans="1:17" x14ac:dyDescent="0.25">
      <c r="A263" s="72" t="s">
        <v>39</v>
      </c>
      <c r="B263" s="72" t="s">
        <v>194</v>
      </c>
      <c r="C263" t="s">
        <v>15</v>
      </c>
      <c r="D263" s="72" t="s">
        <v>116</v>
      </c>
      <c r="E263" s="72">
        <v>424842</v>
      </c>
      <c r="F263" s="72" t="s">
        <v>247</v>
      </c>
      <c r="G263" s="72" t="s">
        <v>99</v>
      </c>
      <c r="H263" s="72" t="s">
        <v>24</v>
      </c>
      <c r="I263" s="73">
        <v>45737</v>
      </c>
      <c r="J263" s="72">
        <v>26442456</v>
      </c>
      <c r="K263" s="72" t="s">
        <v>251</v>
      </c>
      <c r="L263" s="72" t="str">
        <f>_xlfn.XLOOKUP(Tabla2__2[[#This Row],[CODIGO RUTA]],'DATA INFORME'!I:I,'DATA INFORME'!K:K)</f>
        <v>SI</v>
      </c>
      <c r="M263" s="72" t="str">
        <f>IF(Tabla2__2[[#This Row],[MYSTERY EFECTIVO]]="SI",_xlfn.XLOOKUP(Tabla2__2[[#This Row],[PREGUNTA]],ENCUESTA!G:G,ENCUESTA!D:D),"N/A")</f>
        <v>PORTAFOLIO Y MANEJO DE OBJECIONES</v>
      </c>
      <c r="N26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263" s="72" t="str">
        <f>_xlfn.XLOOKUP(Tabla2__2[[#This Row],[PREGUNTA]],ENCUESTA!G:G,ENCUESTA!H:H)</f>
        <v>SI</v>
      </c>
      <c r="P263" s="72">
        <f>IF(Tabla2__2[[#This Row],[RTA]]=Tabla2__2[[#This Row],[RTA CORRECTA]],Tabla2__2[[#This Row],[TOTAL PUNTAJE]],0)</f>
        <v>3</v>
      </c>
      <c r="Q263" s="72">
        <f t="shared" si="4"/>
        <v>0</v>
      </c>
    </row>
    <row r="264" spans="1:17" x14ac:dyDescent="0.25">
      <c r="A264" s="72" t="s">
        <v>39</v>
      </c>
      <c r="B264" s="72" t="s">
        <v>194</v>
      </c>
      <c r="C264" t="s">
        <v>15</v>
      </c>
      <c r="D264" s="72" t="s">
        <v>116</v>
      </c>
      <c r="E264" s="72">
        <v>424842</v>
      </c>
      <c r="F264" s="72" t="s">
        <v>247</v>
      </c>
      <c r="G264" s="72" t="s">
        <v>101</v>
      </c>
      <c r="H264" s="72" t="s">
        <v>24</v>
      </c>
      <c r="I264" s="73">
        <v>45737</v>
      </c>
      <c r="J264" s="72">
        <v>26442456</v>
      </c>
      <c r="K264" s="72" t="s">
        <v>251</v>
      </c>
      <c r="L264" s="72" t="str">
        <f>_xlfn.XLOOKUP(Tabla2__2[[#This Row],[CODIGO RUTA]],'DATA INFORME'!I:I,'DATA INFORME'!K:K)</f>
        <v>SI</v>
      </c>
      <c r="M264" s="72" t="str">
        <f>IF(Tabla2__2[[#This Row],[MYSTERY EFECTIVO]]="SI",_xlfn.XLOOKUP(Tabla2__2[[#This Row],[PREGUNTA]],ENCUESTA!G:G,ENCUESTA!D:D),"N/A")</f>
        <v>PORTAFOLIO Y MANEJO DE OBJECIONES</v>
      </c>
      <c r="N26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264" s="72" t="str">
        <f>_xlfn.XLOOKUP(Tabla2__2[[#This Row],[PREGUNTA]],ENCUESTA!G:G,ENCUESTA!H:H)</f>
        <v>SI</v>
      </c>
      <c r="P264" s="72">
        <f>IF(Tabla2__2[[#This Row],[RTA]]=Tabla2__2[[#This Row],[RTA CORRECTA]],Tabla2__2[[#This Row],[TOTAL PUNTAJE]],0)</f>
        <v>3</v>
      </c>
      <c r="Q264" s="72">
        <f t="shared" si="4"/>
        <v>0</v>
      </c>
    </row>
    <row r="265" spans="1:17" x14ac:dyDescent="0.25">
      <c r="A265" s="72" t="s">
        <v>39</v>
      </c>
      <c r="B265" s="72" t="s">
        <v>194</v>
      </c>
      <c r="C265" t="s">
        <v>15</v>
      </c>
      <c r="D265" s="72" t="s">
        <v>116</v>
      </c>
      <c r="E265" s="72">
        <v>424842</v>
      </c>
      <c r="F265" s="72" t="s">
        <v>247</v>
      </c>
      <c r="G265" s="72" t="s">
        <v>138</v>
      </c>
      <c r="H265" s="72" t="s">
        <v>24</v>
      </c>
      <c r="I265" s="73">
        <v>45737</v>
      </c>
      <c r="J265" s="72">
        <v>26442456</v>
      </c>
      <c r="K265" s="72" t="s">
        <v>251</v>
      </c>
      <c r="L265" s="72" t="str">
        <f>_xlfn.XLOOKUP(Tabla2__2[[#This Row],[CODIGO RUTA]],'DATA INFORME'!I:I,'DATA INFORME'!K:K)</f>
        <v>SI</v>
      </c>
      <c r="M265" s="72" t="str">
        <f>IF(Tabla2__2[[#This Row],[MYSTERY EFECTIVO]]="SI",_xlfn.XLOOKUP(Tabla2__2[[#This Row],[PREGUNTA]],ENCUESTA!G:G,ENCUESTA!D:D),"N/A")</f>
        <v>ABORDAJE</v>
      </c>
      <c r="N26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65" s="72" t="str">
        <f>_xlfn.XLOOKUP(Tabla2__2[[#This Row],[PREGUNTA]],ENCUESTA!G:G,ENCUESTA!H:H)</f>
        <v>SI</v>
      </c>
      <c r="P265" s="72">
        <f>IF(Tabla2__2[[#This Row],[RTA]]=Tabla2__2[[#This Row],[RTA CORRECTA]],Tabla2__2[[#This Row],[TOTAL PUNTAJE]],0)</f>
        <v>20</v>
      </c>
      <c r="Q265" s="72">
        <f t="shared" si="4"/>
        <v>0</v>
      </c>
    </row>
    <row r="266" spans="1:17" x14ac:dyDescent="0.25">
      <c r="A266" s="72" t="s">
        <v>39</v>
      </c>
      <c r="B266" s="72" t="s">
        <v>194</v>
      </c>
      <c r="C266" t="s">
        <v>15</v>
      </c>
      <c r="D266" s="72" t="s">
        <v>116</v>
      </c>
      <c r="E266" s="72">
        <v>424842</v>
      </c>
      <c r="F266" s="72" t="s">
        <v>247</v>
      </c>
      <c r="G266" s="72" t="s">
        <v>46</v>
      </c>
      <c r="H266" s="72" t="s">
        <v>118</v>
      </c>
      <c r="I266" s="73">
        <v>45737</v>
      </c>
      <c r="J266" s="72">
        <v>26442456</v>
      </c>
      <c r="K266" s="72" t="s">
        <v>251</v>
      </c>
      <c r="L266" s="72" t="str">
        <f>_xlfn.XLOOKUP(Tabla2__2[[#This Row],[CODIGO RUTA]],'DATA INFORME'!I:I,'DATA INFORME'!K:K)</f>
        <v>SI</v>
      </c>
      <c r="M266" s="72" t="str">
        <f>IF(Tabla2__2[[#This Row],[MYSTERY EFECTIVO]]="SI",_xlfn.XLOOKUP(Tabla2__2[[#This Row],[PREGUNTA]],ENCUESTA!G:G,ENCUESTA!D:D),"N/A")</f>
        <v>UNIFORME</v>
      </c>
      <c r="N26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66" s="72" t="str">
        <f>_xlfn.XLOOKUP(Tabla2__2[[#This Row],[PREGUNTA]],ENCUESTA!G:G,ENCUESTA!H:H)</f>
        <v>NO</v>
      </c>
      <c r="P266" s="72">
        <f>IF(Tabla2__2[[#This Row],[RTA]]=Tabla2__2[[#This Row],[RTA CORRECTA]],Tabla2__2[[#This Row],[TOTAL PUNTAJE]],0)</f>
        <v>1.5</v>
      </c>
      <c r="Q266" s="72">
        <f t="shared" si="4"/>
        <v>0</v>
      </c>
    </row>
    <row r="267" spans="1:17" x14ac:dyDescent="0.25">
      <c r="A267" s="72" t="s">
        <v>39</v>
      </c>
      <c r="B267" s="72" t="s">
        <v>194</v>
      </c>
      <c r="C267" t="s">
        <v>15</v>
      </c>
      <c r="D267" s="72" t="s">
        <v>116</v>
      </c>
      <c r="E267" s="72">
        <v>424842</v>
      </c>
      <c r="F267" s="72" t="s">
        <v>247</v>
      </c>
      <c r="G267" s="72" t="s">
        <v>171</v>
      </c>
      <c r="H267" s="72" t="s">
        <v>118</v>
      </c>
      <c r="I267" s="73">
        <v>45737</v>
      </c>
      <c r="J267" s="72">
        <v>26442456</v>
      </c>
      <c r="K267" s="72" t="s">
        <v>251</v>
      </c>
      <c r="L267" s="72" t="str">
        <f>_xlfn.XLOOKUP(Tabla2__2[[#This Row],[CODIGO RUTA]],'DATA INFORME'!I:I,'DATA INFORME'!K:K)</f>
        <v>SI</v>
      </c>
      <c r="M267" s="72" t="str">
        <f>IF(Tabla2__2[[#This Row],[MYSTERY EFECTIVO]]="SI",_xlfn.XLOOKUP(Tabla2__2[[#This Row],[PREGUNTA]],ENCUESTA!G:G,ENCUESTA!D:D),"N/A")</f>
        <v>PORTAFOLIO Y MANEJO DE OBJECIONES</v>
      </c>
      <c r="N26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67" s="72" t="str">
        <f>_xlfn.XLOOKUP(Tabla2__2[[#This Row],[PREGUNTA]],ENCUESTA!G:G,ENCUESTA!H:H)</f>
        <v>SI</v>
      </c>
      <c r="P267" s="72">
        <f>IF(Tabla2__2[[#This Row],[RTA]]=Tabla2__2[[#This Row],[RTA CORRECTA]],Tabla2__2[[#This Row],[TOTAL PUNTAJE]],0)</f>
        <v>0</v>
      </c>
      <c r="Q267" s="72">
        <f t="shared" si="4"/>
        <v>0</v>
      </c>
    </row>
    <row r="268" spans="1:17" x14ac:dyDescent="0.25">
      <c r="A268" s="72" t="s">
        <v>39</v>
      </c>
      <c r="B268" s="72" t="s">
        <v>194</v>
      </c>
      <c r="C268" t="s">
        <v>15</v>
      </c>
      <c r="D268" s="72" t="s">
        <v>116</v>
      </c>
      <c r="E268" s="72">
        <v>424842</v>
      </c>
      <c r="F268" s="72" t="s">
        <v>247</v>
      </c>
      <c r="G268" s="72" t="s">
        <v>47</v>
      </c>
      <c r="H268" s="72" t="s">
        <v>24</v>
      </c>
      <c r="I268" s="73">
        <v>45737</v>
      </c>
      <c r="J268" s="72">
        <v>26442456</v>
      </c>
      <c r="K268" s="72" t="s">
        <v>251</v>
      </c>
      <c r="L268" s="72" t="str">
        <f>_xlfn.XLOOKUP(Tabla2__2[[#This Row],[CODIGO RUTA]],'DATA INFORME'!I:I,'DATA INFORME'!K:K)</f>
        <v>SI</v>
      </c>
      <c r="M268" s="72" t="str">
        <f>IF(Tabla2__2[[#This Row],[MYSTERY EFECTIVO]]="SI",_xlfn.XLOOKUP(Tabla2__2[[#This Row],[PREGUNTA]],ENCUESTA!G:G,ENCUESTA!D:D),"N/A")</f>
        <v>UNIFORME</v>
      </c>
      <c r="N26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68" s="72" t="str">
        <f>_xlfn.XLOOKUP(Tabla2__2[[#This Row],[PREGUNTA]],ENCUESTA!G:G,ENCUESTA!H:H)</f>
        <v>NO</v>
      </c>
      <c r="P268" s="72">
        <f>IF(Tabla2__2[[#This Row],[RTA]]=Tabla2__2[[#This Row],[RTA CORRECTA]],Tabla2__2[[#This Row],[TOTAL PUNTAJE]],0)</f>
        <v>0</v>
      </c>
      <c r="Q268" s="72">
        <f t="shared" si="4"/>
        <v>0</v>
      </c>
    </row>
    <row r="269" spans="1:17" x14ac:dyDescent="0.25">
      <c r="A269" s="72" t="s">
        <v>39</v>
      </c>
      <c r="B269" s="72" t="s">
        <v>194</v>
      </c>
      <c r="C269" t="s">
        <v>15</v>
      </c>
      <c r="D269" s="72" t="s">
        <v>116</v>
      </c>
      <c r="E269" s="72">
        <v>424842</v>
      </c>
      <c r="F269" s="72" t="s">
        <v>247</v>
      </c>
      <c r="G269" s="72" t="s">
        <v>52</v>
      </c>
      <c r="H269" s="72" t="s">
        <v>118</v>
      </c>
      <c r="I269" s="73">
        <v>45737</v>
      </c>
      <c r="J269" s="72">
        <v>26442456</v>
      </c>
      <c r="K269" s="72" t="s">
        <v>251</v>
      </c>
      <c r="L269" s="72" t="str">
        <f>_xlfn.XLOOKUP(Tabla2__2[[#This Row],[CODIGO RUTA]],'DATA INFORME'!I:I,'DATA INFORME'!K:K)</f>
        <v>SI</v>
      </c>
      <c r="M269" s="72" t="str">
        <f>IF(Tabla2__2[[#This Row],[MYSTERY EFECTIVO]]="SI",_xlfn.XLOOKUP(Tabla2__2[[#This Row],[PREGUNTA]],ENCUESTA!G:G,ENCUESTA!D:D),"N/A")</f>
        <v>UNIFORME</v>
      </c>
      <c r="N26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69" s="72" t="str">
        <f>_xlfn.XLOOKUP(Tabla2__2[[#This Row],[PREGUNTA]],ENCUESTA!G:G,ENCUESTA!H:H)</f>
        <v>NO</v>
      </c>
      <c r="P269" s="72">
        <f>IF(Tabla2__2[[#This Row],[RTA]]=Tabla2__2[[#This Row],[RTA CORRECTA]],Tabla2__2[[#This Row],[TOTAL PUNTAJE]],0)</f>
        <v>1.5</v>
      </c>
      <c r="Q269" s="72">
        <f t="shared" si="4"/>
        <v>0</v>
      </c>
    </row>
    <row r="270" spans="1:17" x14ac:dyDescent="0.25">
      <c r="A270" s="72" t="s">
        <v>39</v>
      </c>
      <c r="B270" s="72" t="s">
        <v>194</v>
      </c>
      <c r="C270" t="s">
        <v>15</v>
      </c>
      <c r="D270" s="72" t="s">
        <v>116</v>
      </c>
      <c r="E270" s="72">
        <v>424842</v>
      </c>
      <c r="F270" s="72" t="s">
        <v>247</v>
      </c>
      <c r="G270" s="72" t="s">
        <v>49</v>
      </c>
      <c r="H270" s="72" t="s">
        <v>24</v>
      </c>
      <c r="I270" s="73">
        <v>45737</v>
      </c>
      <c r="J270" s="72">
        <v>26442456</v>
      </c>
      <c r="K270" s="72" t="s">
        <v>251</v>
      </c>
      <c r="L270" s="72" t="str">
        <f>_xlfn.XLOOKUP(Tabla2__2[[#This Row],[CODIGO RUTA]],'DATA INFORME'!I:I,'DATA INFORME'!K:K)</f>
        <v>SI</v>
      </c>
      <c r="M270" s="72" t="str">
        <f>IF(Tabla2__2[[#This Row],[MYSTERY EFECTIVO]]="SI",_xlfn.XLOOKUP(Tabla2__2[[#This Row],[PREGUNTA]],ENCUESTA!G:G,ENCUESTA!D:D),"N/A")</f>
        <v>UNIFORME</v>
      </c>
      <c r="N27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70" s="72" t="str">
        <f>_xlfn.XLOOKUP(Tabla2__2[[#This Row],[PREGUNTA]],ENCUESTA!G:G,ENCUESTA!H:H)</f>
        <v>SI</v>
      </c>
      <c r="P270" s="72">
        <f>IF(Tabla2__2[[#This Row],[RTA]]=Tabla2__2[[#This Row],[RTA CORRECTA]],Tabla2__2[[#This Row],[TOTAL PUNTAJE]],0)</f>
        <v>1.5</v>
      </c>
      <c r="Q270" s="72">
        <f t="shared" si="4"/>
        <v>0</v>
      </c>
    </row>
    <row r="271" spans="1:17" x14ac:dyDescent="0.25">
      <c r="A271" s="72" t="s">
        <v>39</v>
      </c>
      <c r="B271" s="72" t="s">
        <v>194</v>
      </c>
      <c r="C271" t="s">
        <v>15</v>
      </c>
      <c r="D271" s="72" t="s">
        <v>116</v>
      </c>
      <c r="E271" s="72">
        <v>424842</v>
      </c>
      <c r="F271" s="72" t="s">
        <v>247</v>
      </c>
      <c r="G271" s="72" t="s">
        <v>43</v>
      </c>
      <c r="H271" s="72" t="s">
        <v>24</v>
      </c>
      <c r="I271" s="73">
        <v>45737</v>
      </c>
      <c r="J271" s="72">
        <v>26442456</v>
      </c>
      <c r="K271" s="72" t="s">
        <v>251</v>
      </c>
      <c r="L271" s="72" t="str">
        <f>_xlfn.XLOOKUP(Tabla2__2[[#This Row],[CODIGO RUTA]],'DATA INFORME'!I:I,'DATA INFORME'!K:K)</f>
        <v>SI</v>
      </c>
      <c r="M271" s="72" t="str">
        <f>IF(Tabla2__2[[#This Row],[MYSTERY EFECTIVO]]="SI",_xlfn.XLOOKUP(Tabla2__2[[#This Row],[PREGUNTA]],ENCUESTA!G:G,ENCUESTA!D:D),"N/A")</f>
        <v>UNIFORME</v>
      </c>
      <c r="N27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71" s="72" t="str">
        <f>_xlfn.XLOOKUP(Tabla2__2[[#This Row],[PREGUNTA]],ENCUESTA!G:G,ENCUESTA!H:H)</f>
        <v>SI</v>
      </c>
      <c r="P271" s="72">
        <f>IF(Tabla2__2[[#This Row],[RTA]]=Tabla2__2[[#This Row],[RTA CORRECTA]],Tabla2__2[[#This Row],[TOTAL PUNTAJE]],0)</f>
        <v>1.5</v>
      </c>
      <c r="Q271" s="72">
        <f t="shared" si="4"/>
        <v>0</v>
      </c>
    </row>
    <row r="272" spans="1:17" x14ac:dyDescent="0.25">
      <c r="A272" s="72" t="s">
        <v>39</v>
      </c>
      <c r="B272" s="72" t="s">
        <v>194</v>
      </c>
      <c r="C272" t="s">
        <v>15</v>
      </c>
      <c r="D272" s="72" t="s">
        <v>116</v>
      </c>
      <c r="E272" s="72">
        <v>424842</v>
      </c>
      <c r="F272" s="72" t="s">
        <v>247</v>
      </c>
      <c r="G272" s="72" t="s">
        <v>137</v>
      </c>
      <c r="H272" s="72" t="s">
        <v>118</v>
      </c>
      <c r="I272" s="73">
        <v>45737</v>
      </c>
      <c r="J272" s="72">
        <v>26442456</v>
      </c>
      <c r="K272" s="72" t="s">
        <v>251</v>
      </c>
      <c r="L272" s="72" t="str">
        <f>_xlfn.XLOOKUP(Tabla2__2[[#This Row],[CODIGO RUTA]],'DATA INFORME'!I:I,'DATA INFORME'!K:K)</f>
        <v>SI</v>
      </c>
      <c r="M272" s="72" t="str">
        <f>IF(Tabla2__2[[#This Row],[MYSTERY EFECTIVO]]="SI",_xlfn.XLOOKUP(Tabla2__2[[#This Row],[PREGUNTA]],ENCUESTA!G:G,ENCUESTA!D:D),"N/A")</f>
        <v>UNIFORME</v>
      </c>
      <c r="N27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72" s="72" t="str">
        <f>_xlfn.XLOOKUP(Tabla2__2[[#This Row],[PREGUNTA]],ENCUESTA!G:G,ENCUESTA!H:H)</f>
        <v>NO</v>
      </c>
      <c r="P272" s="72">
        <f>IF(Tabla2__2[[#This Row],[RTA]]=Tabla2__2[[#This Row],[RTA CORRECTA]],Tabla2__2[[#This Row],[TOTAL PUNTAJE]],0)</f>
        <v>1.5</v>
      </c>
      <c r="Q272" s="72">
        <f t="shared" si="4"/>
        <v>0</v>
      </c>
    </row>
    <row r="273" spans="1:17" x14ac:dyDescent="0.25">
      <c r="A273" s="72" t="s">
        <v>39</v>
      </c>
      <c r="B273" s="72" t="s">
        <v>194</v>
      </c>
      <c r="C273" t="s">
        <v>15</v>
      </c>
      <c r="D273" s="72" t="s">
        <v>116</v>
      </c>
      <c r="E273" s="72">
        <v>424842</v>
      </c>
      <c r="F273" s="72" t="s">
        <v>247</v>
      </c>
      <c r="G273" s="72" t="s">
        <v>44</v>
      </c>
      <c r="H273" s="72" t="s">
        <v>24</v>
      </c>
      <c r="I273" s="73">
        <v>45737</v>
      </c>
      <c r="J273" s="72">
        <v>26442456</v>
      </c>
      <c r="K273" s="72" t="s">
        <v>251</v>
      </c>
      <c r="L273" s="72" t="str">
        <f>_xlfn.XLOOKUP(Tabla2__2[[#This Row],[CODIGO RUTA]],'DATA INFORME'!I:I,'DATA INFORME'!K:K)</f>
        <v>SI</v>
      </c>
      <c r="M273" s="72" t="str">
        <f>IF(Tabla2__2[[#This Row],[MYSTERY EFECTIVO]]="SI",_xlfn.XLOOKUP(Tabla2__2[[#This Row],[PREGUNTA]],ENCUESTA!G:G,ENCUESTA!D:D),"N/A")</f>
        <v>UNIFORME</v>
      </c>
      <c r="N27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73" s="72" t="str">
        <f>_xlfn.XLOOKUP(Tabla2__2[[#This Row],[PREGUNTA]],ENCUESTA!G:G,ENCUESTA!H:H)</f>
        <v>SI</v>
      </c>
      <c r="P273" s="72">
        <f>IF(Tabla2__2[[#This Row],[RTA]]=Tabla2__2[[#This Row],[RTA CORRECTA]],Tabla2__2[[#This Row],[TOTAL PUNTAJE]],0)</f>
        <v>1.5</v>
      </c>
      <c r="Q273" s="72">
        <f t="shared" si="4"/>
        <v>0</v>
      </c>
    </row>
    <row r="274" spans="1:17" x14ac:dyDescent="0.25">
      <c r="A274" s="72" t="s">
        <v>39</v>
      </c>
      <c r="B274" s="72" t="s">
        <v>194</v>
      </c>
      <c r="C274" t="s">
        <v>15</v>
      </c>
      <c r="D274" s="72" t="s">
        <v>116</v>
      </c>
      <c r="E274" s="72">
        <v>424842</v>
      </c>
      <c r="F274" s="72" t="s">
        <v>247</v>
      </c>
      <c r="G274" s="72" t="s">
        <v>136</v>
      </c>
      <c r="H274" s="72" t="s">
        <v>24</v>
      </c>
      <c r="I274" s="73">
        <v>45737</v>
      </c>
      <c r="J274" s="72">
        <v>26442456</v>
      </c>
      <c r="K274" s="72" t="s">
        <v>251</v>
      </c>
      <c r="L274" s="72" t="str">
        <f>_xlfn.XLOOKUP(Tabla2__2[[#This Row],[CODIGO RUTA]],'DATA INFORME'!I:I,'DATA INFORME'!K:K)</f>
        <v>SI</v>
      </c>
      <c r="M274" s="72" t="str">
        <f>IF(Tabla2__2[[#This Row],[MYSTERY EFECTIVO]]="SI",_xlfn.XLOOKUP(Tabla2__2[[#This Row],[PREGUNTA]],ENCUESTA!G:G,ENCUESTA!D:D),"N/A")</f>
        <v>UNIFORME</v>
      </c>
      <c r="N27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74" s="72" t="str">
        <f>_xlfn.XLOOKUP(Tabla2__2[[#This Row],[PREGUNTA]],ENCUESTA!G:G,ENCUESTA!H:H)</f>
        <v>SI</v>
      </c>
      <c r="P274" s="72">
        <f>IF(Tabla2__2[[#This Row],[RTA]]=Tabla2__2[[#This Row],[RTA CORRECTA]],Tabla2__2[[#This Row],[TOTAL PUNTAJE]],0)</f>
        <v>1.5</v>
      </c>
      <c r="Q274" s="72">
        <f t="shared" si="4"/>
        <v>0</v>
      </c>
    </row>
    <row r="275" spans="1:17" x14ac:dyDescent="0.25">
      <c r="A275" s="72" t="s">
        <v>39</v>
      </c>
      <c r="B275" s="72" t="s">
        <v>194</v>
      </c>
      <c r="C275" t="s">
        <v>15</v>
      </c>
      <c r="D275" s="72" t="s">
        <v>116</v>
      </c>
      <c r="E275" s="72">
        <v>424842</v>
      </c>
      <c r="F275" s="72" t="s">
        <v>247</v>
      </c>
      <c r="G275" s="72" t="s">
        <v>100</v>
      </c>
      <c r="H275" s="72" t="s">
        <v>24</v>
      </c>
      <c r="I275" s="73">
        <v>45737</v>
      </c>
      <c r="J275" s="72">
        <v>26442456</v>
      </c>
      <c r="K275" s="72" t="s">
        <v>251</v>
      </c>
      <c r="L275" s="72" t="str">
        <f>_xlfn.XLOOKUP(Tabla2__2[[#This Row],[CODIGO RUTA]],'DATA INFORME'!I:I,'DATA INFORME'!K:K)</f>
        <v>SI</v>
      </c>
      <c r="M275" s="72" t="str">
        <f>IF(Tabla2__2[[#This Row],[MYSTERY EFECTIVO]]="SI",_xlfn.XLOOKUP(Tabla2__2[[#This Row],[PREGUNTA]],ENCUESTA!G:G,ENCUESTA!D:D),"N/A")</f>
        <v>UNIFORME</v>
      </c>
      <c r="N27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75" s="72" t="str">
        <f>_xlfn.XLOOKUP(Tabla2__2[[#This Row],[PREGUNTA]],ENCUESTA!G:G,ENCUESTA!H:H)</f>
        <v>SI</v>
      </c>
      <c r="P275" s="72">
        <f>IF(Tabla2__2[[#This Row],[RTA]]=Tabla2__2[[#This Row],[RTA CORRECTA]],Tabla2__2[[#This Row],[TOTAL PUNTAJE]],0)</f>
        <v>1.5</v>
      </c>
      <c r="Q275" s="72">
        <f t="shared" si="4"/>
        <v>0</v>
      </c>
    </row>
    <row r="276" spans="1:17" x14ac:dyDescent="0.25">
      <c r="A276" s="72" t="s">
        <v>39</v>
      </c>
      <c r="B276" s="72" t="s">
        <v>194</v>
      </c>
      <c r="C276" t="s">
        <v>15</v>
      </c>
      <c r="D276" s="72" t="s">
        <v>116</v>
      </c>
      <c r="E276" s="72">
        <v>424842</v>
      </c>
      <c r="F276" s="72" t="s">
        <v>247</v>
      </c>
      <c r="G276" s="72" t="s">
        <v>40</v>
      </c>
      <c r="H276" s="72" t="s">
        <v>24</v>
      </c>
      <c r="I276" s="73">
        <v>45737</v>
      </c>
      <c r="J276" s="72">
        <v>26442456</v>
      </c>
      <c r="K276" s="72" t="s">
        <v>251</v>
      </c>
      <c r="L276" s="72" t="str">
        <f>_xlfn.XLOOKUP(Tabla2__2[[#This Row],[CODIGO RUTA]],'DATA INFORME'!I:I,'DATA INFORME'!K:K)</f>
        <v>SI</v>
      </c>
      <c r="M276" s="72" t="str">
        <f>IF(Tabla2__2[[#This Row],[MYSTERY EFECTIVO]]="SI",_xlfn.XLOOKUP(Tabla2__2[[#This Row],[PREGUNTA]],ENCUESTA!G:G,ENCUESTA!D:D),"N/A")</f>
        <v>HORARIO</v>
      </c>
      <c r="N27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76" s="72" t="str">
        <f>_xlfn.XLOOKUP(Tabla2__2[[#This Row],[PREGUNTA]],ENCUESTA!G:G,ENCUESTA!H:H)</f>
        <v>SI</v>
      </c>
      <c r="P276" s="72">
        <f>IF(Tabla2__2[[#This Row],[RTA]]=Tabla2__2[[#This Row],[RTA CORRECTA]],Tabla2__2[[#This Row],[TOTAL PUNTAJE]],0)</f>
        <v>20</v>
      </c>
      <c r="Q276" s="72">
        <f t="shared" si="4"/>
        <v>0</v>
      </c>
    </row>
    <row r="277" spans="1:17" x14ac:dyDescent="0.25">
      <c r="A277" s="72" t="s">
        <v>39</v>
      </c>
      <c r="B277" s="72" t="s">
        <v>194</v>
      </c>
      <c r="C277" t="s">
        <v>15</v>
      </c>
      <c r="D277" s="72" t="s">
        <v>116</v>
      </c>
      <c r="E277" s="72">
        <v>424842</v>
      </c>
      <c r="F277" s="72" t="s">
        <v>247</v>
      </c>
      <c r="G277" s="72" t="s">
        <v>48</v>
      </c>
      <c r="H277" s="72" t="s">
        <v>24</v>
      </c>
      <c r="I277" s="73">
        <v>45737</v>
      </c>
      <c r="J277" s="72">
        <v>26442456</v>
      </c>
      <c r="K277" s="72" t="s">
        <v>251</v>
      </c>
      <c r="L277" s="72" t="str">
        <f>_xlfn.XLOOKUP(Tabla2__2[[#This Row],[CODIGO RUTA]],'DATA INFORME'!I:I,'DATA INFORME'!K:K)</f>
        <v>SI</v>
      </c>
      <c r="M277" s="72" t="str">
        <f>IF(Tabla2__2[[#This Row],[MYSTERY EFECTIVO]]="SI",_xlfn.XLOOKUP(Tabla2__2[[#This Row],[PREGUNTA]],ENCUESTA!G:G,ENCUESTA!D:D),"N/A")</f>
        <v>UNIFORME</v>
      </c>
      <c r="N27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77" s="72" t="str">
        <f>_xlfn.XLOOKUP(Tabla2__2[[#This Row],[PREGUNTA]],ENCUESTA!G:G,ENCUESTA!H:H)</f>
        <v>NO</v>
      </c>
      <c r="P277" s="72">
        <f>IF(Tabla2__2[[#This Row],[RTA]]=Tabla2__2[[#This Row],[RTA CORRECTA]],Tabla2__2[[#This Row],[TOTAL PUNTAJE]],0)</f>
        <v>0</v>
      </c>
      <c r="Q277" s="72">
        <f t="shared" si="4"/>
        <v>0</v>
      </c>
    </row>
    <row r="278" spans="1:17" x14ac:dyDescent="0.25">
      <c r="A278" s="72" t="s">
        <v>39</v>
      </c>
      <c r="B278" s="72" t="s">
        <v>194</v>
      </c>
      <c r="C278" t="s">
        <v>15</v>
      </c>
      <c r="D278" s="72" t="s">
        <v>116</v>
      </c>
      <c r="E278" s="72">
        <v>424842</v>
      </c>
      <c r="F278" s="72" t="s">
        <v>247</v>
      </c>
      <c r="G278" s="72" t="s">
        <v>173</v>
      </c>
      <c r="H278" s="72" t="s">
        <v>24</v>
      </c>
      <c r="I278" s="73">
        <v>45737</v>
      </c>
      <c r="J278" s="72">
        <v>26442456</v>
      </c>
      <c r="K278" s="72" t="s">
        <v>251</v>
      </c>
      <c r="L278" s="72" t="str">
        <f>_xlfn.XLOOKUP(Tabla2__2[[#This Row],[CODIGO RUTA]],'DATA INFORME'!I:I,'DATA INFORME'!K:K)</f>
        <v>SI</v>
      </c>
      <c r="M278" s="72" t="str">
        <f>IF(Tabla2__2[[#This Row],[MYSTERY EFECTIVO]]="SI",_xlfn.XLOOKUP(Tabla2__2[[#This Row],[PREGUNTA]],ENCUESTA!G:G,ENCUESTA!D:D),"N/A")</f>
        <v>PORTAFOLIO Y MANEJO DE OBJECIONES</v>
      </c>
      <c r="N27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78" s="72" t="str">
        <f>_xlfn.XLOOKUP(Tabla2__2[[#This Row],[PREGUNTA]],ENCUESTA!G:G,ENCUESTA!H:H)</f>
        <v>SI</v>
      </c>
      <c r="P278" s="72">
        <f>IF(Tabla2__2[[#This Row],[RTA]]=Tabla2__2[[#This Row],[RTA CORRECTA]],Tabla2__2[[#This Row],[TOTAL PUNTAJE]],0)</f>
        <v>2.4</v>
      </c>
      <c r="Q278" s="72">
        <f t="shared" si="4"/>
        <v>0</v>
      </c>
    </row>
    <row r="279" spans="1:17" x14ac:dyDescent="0.25">
      <c r="A279" s="72" t="s">
        <v>39</v>
      </c>
      <c r="B279" s="72" t="s">
        <v>194</v>
      </c>
      <c r="C279" t="s">
        <v>15</v>
      </c>
      <c r="D279" s="72" t="s">
        <v>116</v>
      </c>
      <c r="E279" s="72">
        <v>424842</v>
      </c>
      <c r="F279" s="72" t="s">
        <v>247</v>
      </c>
      <c r="G279" s="72" t="s">
        <v>177</v>
      </c>
      <c r="H279" s="72" t="s">
        <v>118</v>
      </c>
      <c r="I279" s="73">
        <v>45737</v>
      </c>
      <c r="J279" s="72">
        <v>26442456</v>
      </c>
      <c r="K279" s="72" t="s">
        <v>251</v>
      </c>
      <c r="L279" s="72" t="str">
        <f>_xlfn.XLOOKUP(Tabla2__2[[#This Row],[CODIGO RUTA]],'DATA INFORME'!I:I,'DATA INFORME'!K:K)</f>
        <v>SI</v>
      </c>
      <c r="M279" s="72" t="str">
        <f>IF(Tabla2__2[[#This Row],[MYSTERY EFECTIVO]]="SI",_xlfn.XLOOKUP(Tabla2__2[[#This Row],[PREGUNTA]],ENCUESTA!G:G,ENCUESTA!D:D),"N/A")</f>
        <v>PORTAFOLIO Y MANEJO DE OBJECIONES</v>
      </c>
      <c r="N27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79" s="72" t="str">
        <f>_xlfn.XLOOKUP(Tabla2__2[[#This Row],[PREGUNTA]],ENCUESTA!G:G,ENCUESTA!H:H)</f>
        <v>SI</v>
      </c>
      <c r="P279" s="72">
        <f>IF(Tabla2__2[[#This Row],[RTA]]=Tabla2__2[[#This Row],[RTA CORRECTA]],Tabla2__2[[#This Row],[TOTAL PUNTAJE]],0)</f>
        <v>0</v>
      </c>
      <c r="Q279" s="72">
        <f t="shared" si="4"/>
        <v>0</v>
      </c>
    </row>
    <row r="280" spans="1:17" x14ac:dyDescent="0.25">
      <c r="A280" s="72" t="s">
        <v>39</v>
      </c>
      <c r="B280" s="72" t="s">
        <v>194</v>
      </c>
      <c r="C280" t="s">
        <v>15</v>
      </c>
      <c r="D280" s="72" t="s">
        <v>116</v>
      </c>
      <c r="E280" s="72">
        <v>424842</v>
      </c>
      <c r="F280" s="72" t="s">
        <v>247</v>
      </c>
      <c r="G280" s="72" t="s">
        <v>175</v>
      </c>
      <c r="H280" s="72" t="s">
        <v>118</v>
      </c>
      <c r="I280" s="73">
        <v>45737</v>
      </c>
      <c r="J280" s="72">
        <v>26442456</v>
      </c>
      <c r="K280" s="72" t="s">
        <v>251</v>
      </c>
      <c r="L280" s="72" t="str">
        <f>_xlfn.XLOOKUP(Tabla2__2[[#This Row],[CODIGO RUTA]],'DATA INFORME'!I:I,'DATA INFORME'!K:K)</f>
        <v>SI</v>
      </c>
      <c r="M280" s="72" t="str">
        <f>IF(Tabla2__2[[#This Row],[MYSTERY EFECTIVO]]="SI",_xlfn.XLOOKUP(Tabla2__2[[#This Row],[PREGUNTA]],ENCUESTA!G:G,ENCUESTA!D:D),"N/A")</f>
        <v>PORTAFOLIO Y MANEJO DE OBJECIONES</v>
      </c>
      <c r="N28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80" s="72" t="str">
        <f>_xlfn.XLOOKUP(Tabla2__2[[#This Row],[PREGUNTA]],ENCUESTA!G:G,ENCUESTA!H:H)</f>
        <v>SI</v>
      </c>
      <c r="P280" s="72">
        <f>IF(Tabla2__2[[#This Row],[RTA]]=Tabla2__2[[#This Row],[RTA CORRECTA]],Tabla2__2[[#This Row],[TOTAL PUNTAJE]],0)</f>
        <v>0</v>
      </c>
      <c r="Q280" s="72">
        <f t="shared" si="4"/>
        <v>0</v>
      </c>
    </row>
    <row r="281" spans="1:17" x14ac:dyDescent="0.25">
      <c r="A281" s="72" t="s">
        <v>39</v>
      </c>
      <c r="B281" s="72" t="s">
        <v>194</v>
      </c>
      <c r="C281" t="s">
        <v>15</v>
      </c>
      <c r="D281" s="72" t="s">
        <v>116</v>
      </c>
      <c r="E281" s="72">
        <v>424842</v>
      </c>
      <c r="F281" s="72" t="s">
        <v>247</v>
      </c>
      <c r="G281" s="72" t="s">
        <v>202</v>
      </c>
      <c r="H281" s="72" t="s">
        <v>252</v>
      </c>
      <c r="I281" s="73">
        <v>45737</v>
      </c>
      <c r="J281" s="72">
        <v>26442456</v>
      </c>
      <c r="K281" s="72" t="s">
        <v>251</v>
      </c>
      <c r="L281" s="72" t="str">
        <f>_xlfn.XLOOKUP(Tabla2__2[[#This Row],[CODIGO RUTA]],'DATA INFORME'!I:I,'DATA INFORME'!K:K)</f>
        <v>SI</v>
      </c>
      <c r="M281" s="72" t="str">
        <f>IF(Tabla2__2[[#This Row],[MYSTERY EFECTIVO]]="SI",_xlfn.XLOOKUP(Tabla2__2[[#This Row],[PREGUNTA]],ENCUESTA!G:G,ENCUESTA!D:D),"N/A")</f>
        <v>N/A</v>
      </c>
      <c r="N28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1" s="72">
        <f>_xlfn.XLOOKUP(Tabla2__2[[#This Row],[PREGUNTA]],ENCUESTA!G:G,ENCUESTA!H:H)</f>
        <v>0</v>
      </c>
      <c r="P281" s="72">
        <f>IF(Tabla2__2[[#This Row],[RTA]]=Tabla2__2[[#This Row],[RTA CORRECTA]],Tabla2__2[[#This Row],[TOTAL PUNTAJE]],0)</f>
        <v>0</v>
      </c>
      <c r="Q281" s="72">
        <f t="shared" si="4"/>
        <v>0</v>
      </c>
    </row>
    <row r="282" spans="1:17" x14ac:dyDescent="0.25">
      <c r="A282" s="72" t="s">
        <v>39</v>
      </c>
      <c r="B282" s="72" t="s">
        <v>194</v>
      </c>
      <c r="C282" t="s">
        <v>15</v>
      </c>
      <c r="D282" s="72" t="s">
        <v>116</v>
      </c>
      <c r="E282" s="72">
        <v>424842</v>
      </c>
      <c r="F282" s="72" t="s">
        <v>247</v>
      </c>
      <c r="G282" s="72" t="s">
        <v>189</v>
      </c>
      <c r="H282" s="72" t="s">
        <v>24</v>
      </c>
      <c r="I282" s="73">
        <v>45737</v>
      </c>
      <c r="J282" s="72">
        <v>26442456</v>
      </c>
      <c r="K282" s="72" t="s">
        <v>251</v>
      </c>
      <c r="L282" s="72" t="str">
        <f>_xlfn.XLOOKUP(Tabla2__2[[#This Row],[CODIGO RUTA]],'DATA INFORME'!I:I,'DATA INFORME'!K:K)</f>
        <v>SI</v>
      </c>
      <c r="M282" s="72" t="str">
        <f>IF(Tabla2__2[[#This Row],[MYSTERY EFECTIVO]]="SI",_xlfn.XLOOKUP(Tabla2__2[[#This Row],[PREGUNTA]],ENCUESTA!G:G,ENCUESTA!D:D),"N/A")</f>
        <v>N/A</v>
      </c>
      <c r="N28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2" s="72">
        <f>_xlfn.XLOOKUP(Tabla2__2[[#This Row],[PREGUNTA]],ENCUESTA!G:G,ENCUESTA!H:H)</f>
        <v>0</v>
      </c>
      <c r="P282" s="72">
        <f>IF(Tabla2__2[[#This Row],[RTA]]=Tabla2__2[[#This Row],[RTA CORRECTA]],Tabla2__2[[#This Row],[TOTAL PUNTAJE]],0)</f>
        <v>0</v>
      </c>
      <c r="Q282" s="72">
        <f t="shared" si="4"/>
        <v>0</v>
      </c>
    </row>
    <row r="283" spans="1:17" x14ac:dyDescent="0.25">
      <c r="A283" s="72" t="s">
        <v>39</v>
      </c>
      <c r="B283" s="72" t="s">
        <v>194</v>
      </c>
      <c r="C283" t="s">
        <v>15</v>
      </c>
      <c r="D283" s="72" t="s">
        <v>116</v>
      </c>
      <c r="E283" s="72">
        <v>424842</v>
      </c>
      <c r="F283" s="72" t="s">
        <v>247</v>
      </c>
      <c r="G283" s="72" t="s">
        <v>45</v>
      </c>
      <c r="H283" s="72" t="s">
        <v>24</v>
      </c>
      <c r="I283" s="73">
        <v>45737</v>
      </c>
      <c r="J283" s="72">
        <v>26442456</v>
      </c>
      <c r="K283" s="72" t="s">
        <v>251</v>
      </c>
      <c r="L283" s="72" t="str">
        <f>_xlfn.XLOOKUP(Tabla2__2[[#This Row],[CODIGO RUTA]],'DATA INFORME'!I:I,'DATA INFORME'!K:K)</f>
        <v>SI</v>
      </c>
      <c r="M283" s="72" t="str">
        <f>IF(Tabla2__2[[#This Row],[MYSTERY EFECTIVO]]="SI",_xlfn.XLOOKUP(Tabla2__2[[#This Row],[PREGUNTA]],ENCUESTA!G:G,ENCUESTA!D:D),"N/A")</f>
        <v>LABOR DE VENTA</v>
      </c>
      <c r="N28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283" s="72" t="str">
        <f>_xlfn.XLOOKUP(Tabla2__2[[#This Row],[PREGUNTA]],ENCUESTA!G:G,ENCUESTA!H:H)</f>
        <v>SI</v>
      </c>
      <c r="P283" s="72">
        <f>IF(Tabla2__2[[#This Row],[RTA]]=Tabla2__2[[#This Row],[RTA CORRECTA]],Tabla2__2[[#This Row],[TOTAL PUNTAJE]],0)</f>
        <v>7.5</v>
      </c>
      <c r="Q283" s="72">
        <f t="shared" si="4"/>
        <v>0</v>
      </c>
    </row>
    <row r="284" spans="1:17" x14ac:dyDescent="0.25">
      <c r="A284" s="72" t="s">
        <v>39</v>
      </c>
      <c r="B284" s="72" t="s">
        <v>194</v>
      </c>
      <c r="C284" t="s">
        <v>15</v>
      </c>
      <c r="D284" s="72" t="s">
        <v>116</v>
      </c>
      <c r="E284" s="72">
        <v>424842</v>
      </c>
      <c r="F284" s="72" t="s">
        <v>247</v>
      </c>
      <c r="G284" s="72" t="s">
        <v>148</v>
      </c>
      <c r="H284" s="72" t="s">
        <v>24</v>
      </c>
      <c r="I284" s="73">
        <v>45737</v>
      </c>
      <c r="J284" s="72">
        <v>26442456</v>
      </c>
      <c r="K284" s="72" t="s">
        <v>251</v>
      </c>
      <c r="L284" s="72" t="str">
        <f>_xlfn.XLOOKUP(Tabla2__2[[#This Row],[CODIGO RUTA]],'DATA INFORME'!I:I,'DATA INFORME'!K:K)</f>
        <v>SI</v>
      </c>
      <c r="M284" s="72" t="str">
        <f>IF(Tabla2__2[[#This Row],[MYSTERY EFECTIVO]]="SI",_xlfn.XLOOKUP(Tabla2__2[[#This Row],[PREGUNTA]],ENCUESTA!G:G,ENCUESTA!D:D),"N/A")</f>
        <v>LABOR DE VENTA</v>
      </c>
      <c r="N28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284" s="72" t="str">
        <f>_xlfn.XLOOKUP(Tabla2__2[[#This Row],[PREGUNTA]],ENCUESTA!G:G,ENCUESTA!H:H)</f>
        <v>SI</v>
      </c>
      <c r="P284" s="72">
        <f>IF(Tabla2__2[[#This Row],[RTA]]=Tabla2__2[[#This Row],[RTA CORRECTA]],Tabla2__2[[#This Row],[TOTAL PUNTAJE]],0)</f>
        <v>7.5</v>
      </c>
      <c r="Q284" s="72">
        <f t="shared" si="4"/>
        <v>0</v>
      </c>
    </row>
    <row r="285" spans="1:17" x14ac:dyDescent="0.25">
      <c r="A285" s="72" t="s">
        <v>39</v>
      </c>
      <c r="B285" s="72" t="s">
        <v>194</v>
      </c>
      <c r="C285" t="s">
        <v>15</v>
      </c>
      <c r="D285" s="72" t="s">
        <v>116</v>
      </c>
      <c r="E285" s="72">
        <v>424842</v>
      </c>
      <c r="F285" s="72" t="s">
        <v>247</v>
      </c>
      <c r="G285" s="72" t="s">
        <v>50</v>
      </c>
      <c r="H285" s="72" t="s">
        <v>24</v>
      </c>
      <c r="I285" s="73">
        <v>45737</v>
      </c>
      <c r="J285" s="72">
        <v>26442456</v>
      </c>
      <c r="K285" s="72" t="s">
        <v>251</v>
      </c>
      <c r="L285" s="72" t="str">
        <f>_xlfn.XLOOKUP(Tabla2__2[[#This Row],[CODIGO RUTA]],'DATA INFORME'!I:I,'DATA INFORME'!K:K)</f>
        <v>SI</v>
      </c>
      <c r="M285" s="72" t="str">
        <f>IF(Tabla2__2[[#This Row],[MYSTERY EFECTIVO]]="SI",_xlfn.XLOOKUP(Tabla2__2[[#This Row],[PREGUNTA]],ENCUESTA!G:G,ENCUESTA!D:D),"N/A")</f>
        <v>PORTAFOLIO Y MANEJO DE OBJECIONES</v>
      </c>
      <c r="N28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85" s="72" t="str">
        <f>_xlfn.XLOOKUP(Tabla2__2[[#This Row],[PREGUNTA]],ENCUESTA!G:G,ENCUESTA!H:H)</f>
        <v>SI</v>
      </c>
      <c r="P285" s="72">
        <f>IF(Tabla2__2[[#This Row],[RTA]]=Tabla2__2[[#This Row],[RTA CORRECTA]],Tabla2__2[[#This Row],[TOTAL PUNTAJE]],0)</f>
        <v>2.4</v>
      </c>
      <c r="Q285" s="72">
        <f t="shared" si="4"/>
        <v>0</v>
      </c>
    </row>
    <row r="286" spans="1:17" x14ac:dyDescent="0.25">
      <c r="A286" s="72" t="s">
        <v>39</v>
      </c>
      <c r="B286" s="72" t="s">
        <v>194</v>
      </c>
      <c r="C286" t="s">
        <v>15</v>
      </c>
      <c r="D286" s="72" t="s">
        <v>116</v>
      </c>
      <c r="E286" s="72">
        <v>424842</v>
      </c>
      <c r="F286" s="72" t="s">
        <v>247</v>
      </c>
      <c r="G286" s="72" t="s">
        <v>41</v>
      </c>
      <c r="H286" s="72" t="s">
        <v>118</v>
      </c>
      <c r="I286" s="73">
        <v>45737</v>
      </c>
      <c r="J286" s="72">
        <v>26442456</v>
      </c>
      <c r="K286" s="72" t="s">
        <v>251</v>
      </c>
      <c r="L286" s="72" t="str">
        <f>_xlfn.XLOOKUP(Tabla2__2[[#This Row],[CODIGO RUTA]],'DATA INFORME'!I:I,'DATA INFORME'!K:K)</f>
        <v>SI</v>
      </c>
      <c r="M286" s="72" t="str">
        <f>IF(Tabla2__2[[#This Row],[MYSTERY EFECTIVO]]="SI",_xlfn.XLOOKUP(Tabla2__2[[#This Row],[PREGUNTA]],ENCUESTA!G:G,ENCUESTA!D:D),"N/A")</f>
        <v>N/A</v>
      </c>
      <c r="N28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6" s="72" t="str">
        <f>_xlfn.XLOOKUP(Tabla2__2[[#This Row],[PREGUNTA]],ENCUESTA!G:G,ENCUESTA!H:H)</f>
        <v>SI</v>
      </c>
      <c r="P286" s="72">
        <f>IF(Tabla2__2[[#This Row],[RTA]]=Tabla2__2[[#This Row],[RTA CORRECTA]],Tabla2__2[[#This Row],[TOTAL PUNTAJE]],0)</f>
        <v>0</v>
      </c>
      <c r="Q286" s="72">
        <f t="shared" si="4"/>
        <v>0</v>
      </c>
    </row>
    <row r="287" spans="1:17" x14ac:dyDescent="0.25">
      <c r="A287" s="72" t="s">
        <v>39</v>
      </c>
      <c r="B287" s="72" t="s">
        <v>9</v>
      </c>
      <c r="C287" t="s">
        <v>16</v>
      </c>
      <c r="D287" s="72" t="s">
        <v>125</v>
      </c>
      <c r="E287" s="72">
        <v>29714</v>
      </c>
      <c r="F287" s="72" t="s">
        <v>242</v>
      </c>
      <c r="G287" s="72" t="s">
        <v>137</v>
      </c>
      <c r="H287" s="72" t="s">
        <v>118</v>
      </c>
      <c r="I287" s="73">
        <v>45738</v>
      </c>
      <c r="J287" s="72">
        <v>26693598</v>
      </c>
      <c r="K287" s="72" t="s">
        <v>135</v>
      </c>
      <c r="L287" s="72" t="str">
        <f>_xlfn.XLOOKUP(Tabla2__2[[#This Row],[CODIGO RUTA]],'DATA INFORME'!I:I,'DATA INFORME'!K:K)</f>
        <v>SI</v>
      </c>
      <c r="M287" s="72" t="str">
        <f>IF(Tabla2__2[[#This Row],[MYSTERY EFECTIVO]]="SI",_xlfn.XLOOKUP(Tabla2__2[[#This Row],[PREGUNTA]],ENCUESTA!G:G,ENCUESTA!D:D),"N/A")</f>
        <v>UNIFORME</v>
      </c>
      <c r="N28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87" s="72" t="str">
        <f>_xlfn.XLOOKUP(Tabla2__2[[#This Row],[PREGUNTA]],ENCUESTA!G:G,ENCUESTA!H:H)</f>
        <v>NO</v>
      </c>
      <c r="P287" s="72">
        <f>IF(Tabla2__2[[#This Row],[RTA]]=Tabla2__2[[#This Row],[RTA CORRECTA]],Tabla2__2[[#This Row],[TOTAL PUNTAJE]],0)</f>
        <v>1.5</v>
      </c>
      <c r="Q287" s="72">
        <f t="shared" si="4"/>
        <v>0</v>
      </c>
    </row>
    <row r="288" spans="1:17" x14ac:dyDescent="0.25">
      <c r="A288" s="72" t="s">
        <v>39</v>
      </c>
      <c r="B288" s="72" t="s">
        <v>9</v>
      </c>
      <c r="C288" t="s">
        <v>16</v>
      </c>
      <c r="D288" s="72" t="s">
        <v>125</v>
      </c>
      <c r="E288" s="72">
        <v>29714</v>
      </c>
      <c r="F288" s="72" t="s">
        <v>242</v>
      </c>
      <c r="G288" s="72" t="s">
        <v>44</v>
      </c>
      <c r="H288" s="72" t="s">
        <v>24</v>
      </c>
      <c r="I288" s="73">
        <v>45738</v>
      </c>
      <c r="J288" s="72">
        <v>26693598</v>
      </c>
      <c r="K288" s="72" t="s">
        <v>135</v>
      </c>
      <c r="L288" s="72" t="str">
        <f>_xlfn.XLOOKUP(Tabla2__2[[#This Row],[CODIGO RUTA]],'DATA INFORME'!I:I,'DATA INFORME'!K:K)</f>
        <v>SI</v>
      </c>
      <c r="M288" s="72" t="str">
        <f>IF(Tabla2__2[[#This Row],[MYSTERY EFECTIVO]]="SI",_xlfn.XLOOKUP(Tabla2__2[[#This Row],[PREGUNTA]],ENCUESTA!G:G,ENCUESTA!D:D),"N/A")</f>
        <v>UNIFORME</v>
      </c>
      <c r="N28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88" s="72" t="str">
        <f>_xlfn.XLOOKUP(Tabla2__2[[#This Row],[PREGUNTA]],ENCUESTA!G:G,ENCUESTA!H:H)</f>
        <v>SI</v>
      </c>
      <c r="P288" s="72">
        <f>IF(Tabla2__2[[#This Row],[RTA]]=Tabla2__2[[#This Row],[RTA CORRECTA]],Tabla2__2[[#This Row],[TOTAL PUNTAJE]],0)</f>
        <v>1.5</v>
      </c>
      <c r="Q288" s="72">
        <f t="shared" si="4"/>
        <v>0</v>
      </c>
    </row>
    <row r="289" spans="1:17" x14ac:dyDescent="0.25">
      <c r="A289" s="72" t="s">
        <v>39</v>
      </c>
      <c r="B289" s="72" t="s">
        <v>9</v>
      </c>
      <c r="C289" t="s">
        <v>16</v>
      </c>
      <c r="D289" s="72" t="s">
        <v>125</v>
      </c>
      <c r="E289" s="72">
        <v>29714</v>
      </c>
      <c r="F289" s="72" t="s">
        <v>242</v>
      </c>
      <c r="G289" s="72" t="s">
        <v>136</v>
      </c>
      <c r="H289" s="72" t="s">
        <v>24</v>
      </c>
      <c r="I289" s="73">
        <v>45738</v>
      </c>
      <c r="J289" s="72">
        <v>26693598</v>
      </c>
      <c r="K289" s="72" t="s">
        <v>135</v>
      </c>
      <c r="L289" s="72" t="str">
        <f>_xlfn.XLOOKUP(Tabla2__2[[#This Row],[CODIGO RUTA]],'DATA INFORME'!I:I,'DATA INFORME'!K:K)</f>
        <v>SI</v>
      </c>
      <c r="M289" s="72" t="str">
        <f>IF(Tabla2__2[[#This Row],[MYSTERY EFECTIVO]]="SI",_xlfn.XLOOKUP(Tabla2__2[[#This Row],[PREGUNTA]],ENCUESTA!G:G,ENCUESTA!D:D),"N/A")</f>
        <v>UNIFORME</v>
      </c>
      <c r="N28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89" s="72" t="str">
        <f>_xlfn.XLOOKUP(Tabla2__2[[#This Row],[PREGUNTA]],ENCUESTA!G:G,ENCUESTA!H:H)</f>
        <v>SI</v>
      </c>
      <c r="P289" s="72">
        <f>IF(Tabla2__2[[#This Row],[RTA]]=Tabla2__2[[#This Row],[RTA CORRECTA]],Tabla2__2[[#This Row],[TOTAL PUNTAJE]],0)</f>
        <v>1.5</v>
      </c>
      <c r="Q289" s="72">
        <f t="shared" si="4"/>
        <v>0</v>
      </c>
    </row>
    <row r="290" spans="1:17" x14ac:dyDescent="0.25">
      <c r="A290" s="72" t="s">
        <v>39</v>
      </c>
      <c r="B290" s="72" t="s">
        <v>9</v>
      </c>
      <c r="C290" t="s">
        <v>16</v>
      </c>
      <c r="D290" s="72" t="s">
        <v>125</v>
      </c>
      <c r="E290" s="72">
        <v>29714</v>
      </c>
      <c r="F290" s="72" t="s">
        <v>242</v>
      </c>
      <c r="G290" s="72" t="s">
        <v>100</v>
      </c>
      <c r="H290" s="72" t="s">
        <v>24</v>
      </c>
      <c r="I290" s="73">
        <v>45738</v>
      </c>
      <c r="J290" s="72">
        <v>26693598</v>
      </c>
      <c r="K290" s="72" t="s">
        <v>135</v>
      </c>
      <c r="L290" s="72" t="str">
        <f>_xlfn.XLOOKUP(Tabla2__2[[#This Row],[CODIGO RUTA]],'DATA INFORME'!I:I,'DATA INFORME'!K:K)</f>
        <v>SI</v>
      </c>
      <c r="M290" s="72" t="str">
        <f>IF(Tabla2__2[[#This Row],[MYSTERY EFECTIVO]]="SI",_xlfn.XLOOKUP(Tabla2__2[[#This Row],[PREGUNTA]],ENCUESTA!G:G,ENCUESTA!D:D),"N/A")</f>
        <v>UNIFORME</v>
      </c>
      <c r="N29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90" s="72" t="str">
        <f>_xlfn.XLOOKUP(Tabla2__2[[#This Row],[PREGUNTA]],ENCUESTA!G:G,ENCUESTA!H:H)</f>
        <v>SI</v>
      </c>
      <c r="P290" s="72">
        <f>IF(Tabla2__2[[#This Row],[RTA]]=Tabla2__2[[#This Row],[RTA CORRECTA]],Tabla2__2[[#This Row],[TOTAL PUNTAJE]],0)</f>
        <v>1.5</v>
      </c>
      <c r="Q290" s="72">
        <f t="shared" si="4"/>
        <v>0</v>
      </c>
    </row>
    <row r="291" spans="1:17" x14ac:dyDescent="0.25">
      <c r="A291" s="72" t="s">
        <v>39</v>
      </c>
      <c r="B291" s="72" t="s">
        <v>9</v>
      </c>
      <c r="C291" t="s">
        <v>16</v>
      </c>
      <c r="D291" s="72" t="s">
        <v>125</v>
      </c>
      <c r="E291" s="72">
        <v>29714</v>
      </c>
      <c r="F291" s="72" t="s">
        <v>242</v>
      </c>
      <c r="G291" s="72" t="s">
        <v>40</v>
      </c>
      <c r="H291" s="72" t="s">
        <v>24</v>
      </c>
      <c r="I291" s="73">
        <v>45738</v>
      </c>
      <c r="J291" s="72">
        <v>26693598</v>
      </c>
      <c r="K291" s="72" t="s">
        <v>135</v>
      </c>
      <c r="L291" s="72" t="str">
        <f>_xlfn.XLOOKUP(Tabla2__2[[#This Row],[CODIGO RUTA]],'DATA INFORME'!I:I,'DATA INFORME'!K:K)</f>
        <v>SI</v>
      </c>
      <c r="M291" s="72" t="str">
        <f>IF(Tabla2__2[[#This Row],[MYSTERY EFECTIVO]]="SI",_xlfn.XLOOKUP(Tabla2__2[[#This Row],[PREGUNTA]],ENCUESTA!G:G,ENCUESTA!D:D),"N/A")</f>
        <v>HORARIO</v>
      </c>
      <c r="N29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91" s="72" t="str">
        <f>_xlfn.XLOOKUP(Tabla2__2[[#This Row],[PREGUNTA]],ENCUESTA!G:G,ENCUESTA!H:H)</f>
        <v>SI</v>
      </c>
      <c r="P291" s="72">
        <f>IF(Tabla2__2[[#This Row],[RTA]]=Tabla2__2[[#This Row],[RTA CORRECTA]],Tabla2__2[[#This Row],[TOTAL PUNTAJE]],0)</f>
        <v>20</v>
      </c>
      <c r="Q291" s="72">
        <f t="shared" si="4"/>
        <v>0</v>
      </c>
    </row>
    <row r="292" spans="1:17" x14ac:dyDescent="0.25">
      <c r="A292" s="72" t="s">
        <v>39</v>
      </c>
      <c r="B292" s="72" t="s">
        <v>9</v>
      </c>
      <c r="C292" t="s">
        <v>15</v>
      </c>
      <c r="D292" s="72" t="s">
        <v>116</v>
      </c>
      <c r="E292" s="72">
        <v>191506</v>
      </c>
      <c r="F292" s="72" t="s">
        <v>253</v>
      </c>
      <c r="G292" s="72" t="s">
        <v>189</v>
      </c>
      <c r="H292" s="72" t="s">
        <v>118</v>
      </c>
      <c r="I292" s="73">
        <v>45738</v>
      </c>
      <c r="J292" s="72">
        <v>26444245</v>
      </c>
      <c r="K292" s="72" t="s">
        <v>135</v>
      </c>
      <c r="L292" s="72" t="str">
        <f>_xlfn.XLOOKUP(Tabla2__2[[#This Row],[CODIGO RUTA]],'DATA INFORME'!I:I,'DATA INFORME'!K:K)</f>
        <v>SI</v>
      </c>
      <c r="M292" s="72" t="str">
        <f>IF(Tabla2__2[[#This Row],[MYSTERY EFECTIVO]]="SI",_xlfn.XLOOKUP(Tabla2__2[[#This Row],[PREGUNTA]],ENCUESTA!G:G,ENCUESTA!D:D),"N/A")</f>
        <v>N/A</v>
      </c>
      <c r="N29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2" s="72">
        <f>_xlfn.XLOOKUP(Tabla2__2[[#This Row],[PREGUNTA]],ENCUESTA!G:G,ENCUESTA!H:H)</f>
        <v>0</v>
      </c>
      <c r="P292" s="72">
        <f>IF(Tabla2__2[[#This Row],[RTA]]=Tabla2__2[[#This Row],[RTA CORRECTA]],Tabla2__2[[#This Row],[TOTAL PUNTAJE]],0)</f>
        <v>0</v>
      </c>
      <c r="Q292" s="72">
        <f t="shared" si="4"/>
        <v>0</v>
      </c>
    </row>
    <row r="293" spans="1:17" x14ac:dyDescent="0.25">
      <c r="A293" s="72" t="s">
        <v>39</v>
      </c>
      <c r="B293" s="72" t="s">
        <v>9</v>
      </c>
      <c r="C293" t="s">
        <v>16</v>
      </c>
      <c r="D293" s="72" t="s">
        <v>125</v>
      </c>
      <c r="E293" s="72">
        <v>29714</v>
      </c>
      <c r="F293" s="72" t="s">
        <v>242</v>
      </c>
      <c r="G293" s="72" t="s">
        <v>43</v>
      </c>
      <c r="H293" s="72" t="s">
        <v>24</v>
      </c>
      <c r="I293" s="73">
        <v>45738</v>
      </c>
      <c r="J293" s="72">
        <v>26693598</v>
      </c>
      <c r="K293" s="72" t="s">
        <v>135</v>
      </c>
      <c r="L293" s="72" t="str">
        <f>_xlfn.XLOOKUP(Tabla2__2[[#This Row],[CODIGO RUTA]],'DATA INFORME'!I:I,'DATA INFORME'!K:K)</f>
        <v>SI</v>
      </c>
      <c r="M293" s="72" t="str">
        <f>IF(Tabla2__2[[#This Row],[MYSTERY EFECTIVO]]="SI",_xlfn.XLOOKUP(Tabla2__2[[#This Row],[PREGUNTA]],ENCUESTA!G:G,ENCUESTA!D:D),"N/A")</f>
        <v>UNIFORME</v>
      </c>
      <c r="N29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293" s="72" t="str">
        <f>_xlfn.XLOOKUP(Tabla2__2[[#This Row],[PREGUNTA]],ENCUESTA!G:G,ENCUESTA!H:H)</f>
        <v>SI</v>
      </c>
      <c r="P293" s="72">
        <f>IF(Tabla2__2[[#This Row],[RTA]]=Tabla2__2[[#This Row],[RTA CORRECTA]],Tabla2__2[[#This Row],[TOTAL PUNTAJE]],0)</f>
        <v>1.5</v>
      </c>
      <c r="Q293" s="72">
        <f t="shared" si="4"/>
        <v>0</v>
      </c>
    </row>
    <row r="294" spans="1:17" x14ac:dyDescent="0.25">
      <c r="A294" s="72" t="s">
        <v>39</v>
      </c>
      <c r="B294" s="72" t="s">
        <v>9</v>
      </c>
      <c r="C294" t="s">
        <v>15</v>
      </c>
      <c r="D294" s="72" t="s">
        <v>116</v>
      </c>
      <c r="E294" s="72">
        <v>191506</v>
      </c>
      <c r="F294" s="72" t="s">
        <v>253</v>
      </c>
      <c r="G294" s="72" t="s">
        <v>45</v>
      </c>
      <c r="H294" s="72" t="s">
        <v>24</v>
      </c>
      <c r="I294" s="73">
        <v>45738</v>
      </c>
      <c r="J294" s="72">
        <v>26444245</v>
      </c>
      <c r="K294" s="72" t="s">
        <v>135</v>
      </c>
      <c r="L294" s="72" t="str">
        <f>_xlfn.XLOOKUP(Tabla2__2[[#This Row],[CODIGO RUTA]],'DATA INFORME'!I:I,'DATA INFORME'!K:K)</f>
        <v>SI</v>
      </c>
      <c r="M294" s="72" t="str">
        <f>IF(Tabla2__2[[#This Row],[MYSTERY EFECTIVO]]="SI",_xlfn.XLOOKUP(Tabla2__2[[#This Row],[PREGUNTA]],ENCUESTA!G:G,ENCUESTA!D:D),"N/A")</f>
        <v>LABOR DE VENTA</v>
      </c>
      <c r="N29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294" s="72" t="str">
        <f>_xlfn.XLOOKUP(Tabla2__2[[#This Row],[PREGUNTA]],ENCUESTA!G:G,ENCUESTA!H:H)</f>
        <v>SI</v>
      </c>
      <c r="P294" s="72">
        <f>IF(Tabla2__2[[#This Row],[RTA]]=Tabla2__2[[#This Row],[RTA CORRECTA]],Tabla2__2[[#This Row],[TOTAL PUNTAJE]],0)</f>
        <v>7.5</v>
      </c>
      <c r="Q294" s="72">
        <f t="shared" si="4"/>
        <v>0</v>
      </c>
    </row>
    <row r="295" spans="1:17" x14ac:dyDescent="0.25">
      <c r="A295" s="72" t="s">
        <v>39</v>
      </c>
      <c r="B295" s="72" t="s">
        <v>9</v>
      </c>
      <c r="C295" t="s">
        <v>15</v>
      </c>
      <c r="D295" s="72" t="s">
        <v>116</v>
      </c>
      <c r="E295" s="72">
        <v>191506</v>
      </c>
      <c r="F295" s="72" t="s">
        <v>253</v>
      </c>
      <c r="G295" s="72" t="s">
        <v>50</v>
      </c>
      <c r="H295" s="72" t="s">
        <v>24</v>
      </c>
      <c r="I295" s="73">
        <v>45738</v>
      </c>
      <c r="J295" s="72">
        <v>26444245</v>
      </c>
      <c r="K295" s="72" t="s">
        <v>135</v>
      </c>
      <c r="L295" s="72" t="str">
        <f>_xlfn.XLOOKUP(Tabla2__2[[#This Row],[CODIGO RUTA]],'DATA INFORME'!I:I,'DATA INFORME'!K:K)</f>
        <v>SI</v>
      </c>
      <c r="M295" s="72" t="str">
        <f>IF(Tabla2__2[[#This Row],[MYSTERY EFECTIVO]]="SI",_xlfn.XLOOKUP(Tabla2__2[[#This Row],[PREGUNTA]],ENCUESTA!G:G,ENCUESTA!D:D),"N/A")</f>
        <v>PORTAFOLIO Y MANEJO DE OBJECIONES</v>
      </c>
      <c r="N29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95" s="72" t="str">
        <f>_xlfn.XLOOKUP(Tabla2__2[[#This Row],[PREGUNTA]],ENCUESTA!G:G,ENCUESTA!H:H)</f>
        <v>SI</v>
      </c>
      <c r="P295" s="72">
        <f>IF(Tabla2__2[[#This Row],[RTA]]=Tabla2__2[[#This Row],[RTA CORRECTA]],Tabla2__2[[#This Row],[TOTAL PUNTAJE]],0)</f>
        <v>2.4</v>
      </c>
      <c r="Q295" s="72">
        <f t="shared" si="4"/>
        <v>0</v>
      </c>
    </row>
    <row r="296" spans="1:17" x14ac:dyDescent="0.25">
      <c r="A296" s="72" t="s">
        <v>39</v>
      </c>
      <c r="B296" s="72" t="s">
        <v>9</v>
      </c>
      <c r="C296" t="s">
        <v>15</v>
      </c>
      <c r="D296" s="72" t="s">
        <v>116</v>
      </c>
      <c r="E296" s="72">
        <v>191506</v>
      </c>
      <c r="F296" s="72" t="s">
        <v>253</v>
      </c>
      <c r="G296" s="72" t="s">
        <v>51</v>
      </c>
      <c r="H296" s="72" t="s">
        <v>24</v>
      </c>
      <c r="I296" s="73">
        <v>45738</v>
      </c>
      <c r="J296" s="72">
        <v>26444245</v>
      </c>
      <c r="K296" s="72" t="s">
        <v>135</v>
      </c>
      <c r="L296" s="72" t="str">
        <f>_xlfn.XLOOKUP(Tabla2__2[[#This Row],[CODIGO RUTA]],'DATA INFORME'!I:I,'DATA INFORME'!K:K)</f>
        <v>SI</v>
      </c>
      <c r="M296" s="72" t="str">
        <f>IF(Tabla2__2[[#This Row],[MYSTERY EFECTIVO]]="SI",_xlfn.XLOOKUP(Tabla2__2[[#This Row],[PREGUNTA]],ENCUESTA!G:G,ENCUESTA!D:D),"N/A")</f>
        <v>PORTAFOLIO Y MANEJO DE OBJECIONES</v>
      </c>
      <c r="N296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4,8</v>
      </c>
      <c r="O296" s="72" t="str">
        <f>_xlfn.XLOOKUP(Tabla2__2[[#This Row],[PREGUNTA]],ENCUESTA!G:G,ENCUESTA!H:H)</f>
        <v>SI</v>
      </c>
      <c r="P296" s="72" t="str">
        <f>IF(Tabla2__2[[#This Row],[RTA]]=Tabla2__2[[#This Row],[RTA CORRECTA]],Tabla2__2[[#This Row],[TOTAL PUNTAJE]],0)</f>
        <v>4,8</v>
      </c>
      <c r="Q296" s="72">
        <f t="shared" si="4"/>
        <v>0</v>
      </c>
    </row>
    <row r="297" spans="1:17" x14ac:dyDescent="0.25">
      <c r="A297" s="72" t="s">
        <v>39</v>
      </c>
      <c r="B297" s="72" t="s">
        <v>9</v>
      </c>
      <c r="C297" t="s">
        <v>15</v>
      </c>
      <c r="D297" s="72" t="s">
        <v>116</v>
      </c>
      <c r="E297" s="72">
        <v>191506</v>
      </c>
      <c r="F297" s="72" t="s">
        <v>253</v>
      </c>
      <c r="G297" s="72" t="s">
        <v>42</v>
      </c>
      <c r="H297" s="72" t="s">
        <v>256</v>
      </c>
      <c r="I297" s="73">
        <v>45738</v>
      </c>
      <c r="J297" s="72">
        <v>26444245</v>
      </c>
      <c r="K297" s="72" t="s">
        <v>135</v>
      </c>
      <c r="L297" s="72" t="str">
        <f>_xlfn.XLOOKUP(Tabla2__2[[#This Row],[CODIGO RUTA]],'DATA INFORME'!I:I,'DATA INFORME'!K:K)</f>
        <v>SI</v>
      </c>
      <c r="M297" s="72" t="str">
        <f>IF(Tabla2__2[[#This Row],[MYSTERY EFECTIVO]]="SI",_xlfn.XLOOKUP(Tabla2__2[[#This Row],[PREGUNTA]],ENCUESTA!G:G,ENCUESTA!D:D),"N/A")</f>
        <v>N/A</v>
      </c>
      <c r="N29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7" s="72" t="str">
        <f>_xlfn.XLOOKUP(Tabla2__2[[#This Row],[PREGUNTA]],ENCUESTA!G:G,ENCUESTA!H:H)</f>
        <v>SI</v>
      </c>
      <c r="P297" s="72">
        <f>IF(Tabla2__2[[#This Row],[RTA]]=Tabla2__2[[#This Row],[RTA CORRECTA]],Tabla2__2[[#This Row],[TOTAL PUNTAJE]],0)</f>
        <v>0</v>
      </c>
      <c r="Q297" s="72">
        <f t="shared" si="4"/>
        <v>0</v>
      </c>
    </row>
    <row r="298" spans="1:17" x14ac:dyDescent="0.25">
      <c r="A298" s="72" t="s">
        <v>39</v>
      </c>
      <c r="B298" s="72" t="s">
        <v>9</v>
      </c>
      <c r="C298" t="s">
        <v>15</v>
      </c>
      <c r="D298" s="72" t="s">
        <v>116</v>
      </c>
      <c r="E298" s="72">
        <v>191506</v>
      </c>
      <c r="F298" s="72" t="s">
        <v>253</v>
      </c>
      <c r="G298" s="72" t="s">
        <v>41</v>
      </c>
      <c r="H298" s="72" t="s">
        <v>24</v>
      </c>
      <c r="I298" s="73">
        <v>45738</v>
      </c>
      <c r="J298" s="72">
        <v>26444245</v>
      </c>
      <c r="K298" s="72" t="s">
        <v>135</v>
      </c>
      <c r="L298" s="72" t="str">
        <f>_xlfn.XLOOKUP(Tabla2__2[[#This Row],[CODIGO RUTA]],'DATA INFORME'!I:I,'DATA INFORME'!K:K)</f>
        <v>SI</v>
      </c>
      <c r="M298" s="72" t="str">
        <f>IF(Tabla2__2[[#This Row],[MYSTERY EFECTIVO]]="SI",_xlfn.XLOOKUP(Tabla2__2[[#This Row],[PREGUNTA]],ENCUESTA!G:G,ENCUESTA!D:D),"N/A")</f>
        <v>N/A</v>
      </c>
      <c r="N29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8" s="72" t="str">
        <f>_xlfn.XLOOKUP(Tabla2__2[[#This Row],[PREGUNTA]],ENCUESTA!G:G,ENCUESTA!H:H)</f>
        <v>SI</v>
      </c>
      <c r="P298" s="72">
        <f>IF(Tabla2__2[[#This Row],[RTA]]=Tabla2__2[[#This Row],[RTA CORRECTA]],Tabla2__2[[#This Row],[TOTAL PUNTAJE]],0)</f>
        <v>0</v>
      </c>
      <c r="Q298" s="72">
        <f t="shared" si="4"/>
        <v>0</v>
      </c>
    </row>
    <row r="299" spans="1:17" x14ac:dyDescent="0.25">
      <c r="A299" s="72" t="s">
        <v>39</v>
      </c>
      <c r="B299" s="72" t="s">
        <v>9</v>
      </c>
      <c r="C299" t="s">
        <v>15</v>
      </c>
      <c r="D299" s="72" t="s">
        <v>116</v>
      </c>
      <c r="E299" s="72">
        <v>191506</v>
      </c>
      <c r="F299" s="72" t="s">
        <v>253</v>
      </c>
      <c r="G299" s="72" t="s">
        <v>175</v>
      </c>
      <c r="H299" s="72" t="s">
        <v>24</v>
      </c>
      <c r="I299" s="73">
        <v>45738</v>
      </c>
      <c r="J299" s="72">
        <v>26444245</v>
      </c>
      <c r="K299" s="72" t="s">
        <v>135</v>
      </c>
      <c r="L299" s="72" t="str">
        <f>_xlfn.XLOOKUP(Tabla2__2[[#This Row],[CODIGO RUTA]],'DATA INFORME'!I:I,'DATA INFORME'!K:K)</f>
        <v>SI</v>
      </c>
      <c r="M299" s="72" t="str">
        <f>IF(Tabla2__2[[#This Row],[MYSTERY EFECTIVO]]="SI",_xlfn.XLOOKUP(Tabla2__2[[#This Row],[PREGUNTA]],ENCUESTA!G:G,ENCUESTA!D:D),"N/A")</f>
        <v>PORTAFOLIO Y MANEJO DE OBJECIONES</v>
      </c>
      <c r="N29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299" s="72" t="str">
        <f>_xlfn.XLOOKUP(Tabla2__2[[#This Row],[PREGUNTA]],ENCUESTA!G:G,ENCUESTA!H:H)</f>
        <v>SI</v>
      </c>
      <c r="P299" s="72">
        <f>IF(Tabla2__2[[#This Row],[RTA]]=Tabla2__2[[#This Row],[RTA CORRECTA]],Tabla2__2[[#This Row],[TOTAL PUNTAJE]],0)</f>
        <v>2.4</v>
      </c>
      <c r="Q299" s="72">
        <f t="shared" si="4"/>
        <v>0</v>
      </c>
    </row>
    <row r="300" spans="1:17" x14ac:dyDescent="0.25">
      <c r="A300" s="72" t="s">
        <v>39</v>
      </c>
      <c r="B300" s="72" t="s">
        <v>9</v>
      </c>
      <c r="C300" t="s">
        <v>15</v>
      </c>
      <c r="D300" s="72" t="s">
        <v>116</v>
      </c>
      <c r="E300" s="72">
        <v>191506</v>
      </c>
      <c r="F300" s="72" t="s">
        <v>253</v>
      </c>
      <c r="G300" s="72" t="s">
        <v>173</v>
      </c>
      <c r="H300" s="72" t="s">
        <v>24</v>
      </c>
      <c r="I300" s="73">
        <v>45738</v>
      </c>
      <c r="J300" s="72">
        <v>26444245</v>
      </c>
      <c r="K300" s="72" t="s">
        <v>135</v>
      </c>
      <c r="L300" s="72" t="str">
        <f>_xlfn.XLOOKUP(Tabla2__2[[#This Row],[CODIGO RUTA]],'DATA INFORME'!I:I,'DATA INFORME'!K:K)</f>
        <v>SI</v>
      </c>
      <c r="M300" s="72" t="str">
        <f>IF(Tabla2__2[[#This Row],[MYSTERY EFECTIVO]]="SI",_xlfn.XLOOKUP(Tabla2__2[[#This Row],[PREGUNTA]],ENCUESTA!G:G,ENCUESTA!D:D),"N/A")</f>
        <v>PORTAFOLIO Y MANEJO DE OBJECIONES</v>
      </c>
      <c r="N30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300" s="72" t="str">
        <f>_xlfn.XLOOKUP(Tabla2__2[[#This Row],[PREGUNTA]],ENCUESTA!G:G,ENCUESTA!H:H)</f>
        <v>SI</v>
      </c>
      <c r="P300" s="72">
        <f>IF(Tabla2__2[[#This Row],[RTA]]=Tabla2__2[[#This Row],[RTA CORRECTA]],Tabla2__2[[#This Row],[TOTAL PUNTAJE]],0)</f>
        <v>2.4</v>
      </c>
      <c r="Q300" s="72">
        <f t="shared" si="4"/>
        <v>0</v>
      </c>
    </row>
    <row r="301" spans="1:17" x14ac:dyDescent="0.25">
      <c r="A301" s="72" t="s">
        <v>39</v>
      </c>
      <c r="B301" s="72" t="s">
        <v>9</v>
      </c>
      <c r="C301" t="s">
        <v>15</v>
      </c>
      <c r="D301" s="72" t="s">
        <v>116</v>
      </c>
      <c r="E301" s="72">
        <v>191506</v>
      </c>
      <c r="F301" s="72" t="s">
        <v>253</v>
      </c>
      <c r="G301" s="72" t="s">
        <v>171</v>
      </c>
      <c r="H301" s="72" t="s">
        <v>24</v>
      </c>
      <c r="I301" s="73">
        <v>45738</v>
      </c>
      <c r="J301" s="72">
        <v>26444245</v>
      </c>
      <c r="K301" s="72" t="s">
        <v>135</v>
      </c>
      <c r="L301" s="72" t="str">
        <f>_xlfn.XLOOKUP(Tabla2__2[[#This Row],[CODIGO RUTA]],'DATA INFORME'!I:I,'DATA INFORME'!K:K)</f>
        <v>SI</v>
      </c>
      <c r="M301" s="72" t="str">
        <f>IF(Tabla2__2[[#This Row],[MYSTERY EFECTIVO]]="SI",_xlfn.XLOOKUP(Tabla2__2[[#This Row],[PREGUNTA]],ENCUESTA!G:G,ENCUESTA!D:D),"N/A")</f>
        <v>PORTAFOLIO Y MANEJO DE OBJECIONES</v>
      </c>
      <c r="N30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301" s="72" t="str">
        <f>_xlfn.XLOOKUP(Tabla2__2[[#This Row],[PREGUNTA]],ENCUESTA!G:G,ENCUESTA!H:H)</f>
        <v>SI</v>
      </c>
      <c r="P301" s="72">
        <f>IF(Tabla2__2[[#This Row],[RTA]]=Tabla2__2[[#This Row],[RTA CORRECTA]],Tabla2__2[[#This Row],[TOTAL PUNTAJE]],0)</f>
        <v>2.4</v>
      </c>
      <c r="Q301" s="72">
        <f t="shared" si="4"/>
        <v>0</v>
      </c>
    </row>
    <row r="302" spans="1:17" x14ac:dyDescent="0.25">
      <c r="A302" s="72" t="s">
        <v>39</v>
      </c>
      <c r="B302" s="72" t="s">
        <v>9</v>
      </c>
      <c r="C302" t="s">
        <v>15</v>
      </c>
      <c r="D302" s="72" t="s">
        <v>116</v>
      </c>
      <c r="E302" s="72">
        <v>191506</v>
      </c>
      <c r="F302" s="72" t="s">
        <v>253</v>
      </c>
      <c r="G302" s="72" t="s">
        <v>169</v>
      </c>
      <c r="H302" s="72" t="s">
        <v>24</v>
      </c>
      <c r="I302" s="73">
        <v>45738</v>
      </c>
      <c r="J302" s="72">
        <v>26444245</v>
      </c>
      <c r="K302" s="72" t="s">
        <v>135</v>
      </c>
      <c r="L302" s="72" t="str">
        <f>_xlfn.XLOOKUP(Tabla2__2[[#This Row],[CODIGO RUTA]],'DATA INFORME'!I:I,'DATA INFORME'!K:K)</f>
        <v>SI</v>
      </c>
      <c r="M302" s="72" t="str">
        <f>IF(Tabla2__2[[#This Row],[MYSTERY EFECTIVO]]="SI",_xlfn.XLOOKUP(Tabla2__2[[#This Row],[PREGUNTA]],ENCUESTA!G:G,ENCUESTA!D:D),"N/A")</f>
        <v>PORTAFOLIO Y MANEJO DE OBJECIONES</v>
      </c>
      <c r="N30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2.4</v>
      </c>
      <c r="O302" s="72" t="str">
        <f>_xlfn.XLOOKUP(Tabla2__2[[#This Row],[PREGUNTA]],ENCUESTA!G:G,ENCUESTA!H:H)</f>
        <v>SI</v>
      </c>
      <c r="P302" s="72">
        <f>IF(Tabla2__2[[#This Row],[RTA]]=Tabla2__2[[#This Row],[RTA CORRECTA]],Tabla2__2[[#This Row],[TOTAL PUNTAJE]],0)</f>
        <v>2.4</v>
      </c>
      <c r="Q302" s="72">
        <f t="shared" si="4"/>
        <v>0</v>
      </c>
    </row>
    <row r="303" spans="1:17" x14ac:dyDescent="0.25">
      <c r="A303" s="72" t="s">
        <v>39</v>
      </c>
      <c r="B303" s="72" t="s">
        <v>9</v>
      </c>
      <c r="C303" t="s">
        <v>15</v>
      </c>
      <c r="D303" s="72" t="s">
        <v>116</v>
      </c>
      <c r="E303" s="72">
        <v>191506</v>
      </c>
      <c r="F303" s="72" t="s">
        <v>253</v>
      </c>
      <c r="G303" s="72" t="s">
        <v>148</v>
      </c>
      <c r="H303" s="72" t="s">
        <v>118</v>
      </c>
      <c r="I303" s="73">
        <v>45738</v>
      </c>
      <c r="J303" s="72">
        <v>26444245</v>
      </c>
      <c r="K303" s="72" t="s">
        <v>135</v>
      </c>
      <c r="L303" s="72" t="str">
        <f>_xlfn.XLOOKUP(Tabla2__2[[#This Row],[CODIGO RUTA]],'DATA INFORME'!I:I,'DATA INFORME'!K:K)</f>
        <v>SI</v>
      </c>
      <c r="M303" s="72" t="str">
        <f>IF(Tabla2__2[[#This Row],[MYSTERY EFECTIVO]]="SI",_xlfn.XLOOKUP(Tabla2__2[[#This Row],[PREGUNTA]],ENCUESTA!G:G,ENCUESTA!D:D),"N/A")</f>
        <v>LABOR DE VENTA</v>
      </c>
      <c r="N30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303" s="72" t="str">
        <f>_xlfn.XLOOKUP(Tabla2__2[[#This Row],[PREGUNTA]],ENCUESTA!G:G,ENCUESTA!H:H)</f>
        <v>SI</v>
      </c>
      <c r="P303" s="72">
        <f>IF(Tabla2__2[[#This Row],[RTA]]=Tabla2__2[[#This Row],[RTA CORRECTA]],Tabla2__2[[#This Row],[TOTAL PUNTAJE]],0)</f>
        <v>0</v>
      </c>
      <c r="Q303" s="72">
        <f t="shared" si="4"/>
        <v>0</v>
      </c>
    </row>
    <row r="304" spans="1:17" x14ac:dyDescent="0.25">
      <c r="A304" s="72" t="s">
        <v>39</v>
      </c>
      <c r="B304" s="72" t="s">
        <v>9</v>
      </c>
      <c r="C304" t="s">
        <v>15</v>
      </c>
      <c r="D304" s="72" t="s">
        <v>116</v>
      </c>
      <c r="E304" s="72">
        <v>191506</v>
      </c>
      <c r="F304" s="72" t="s">
        <v>253</v>
      </c>
      <c r="G304" s="72" t="s">
        <v>102</v>
      </c>
      <c r="H304" s="72" t="s">
        <v>167</v>
      </c>
      <c r="I304" s="73">
        <v>45738</v>
      </c>
      <c r="J304" s="72">
        <v>26444245</v>
      </c>
      <c r="K304" s="72" t="s">
        <v>135</v>
      </c>
      <c r="L304" s="72" t="str">
        <f>_xlfn.XLOOKUP(Tabla2__2[[#This Row],[CODIGO RUTA]],'DATA INFORME'!I:I,'DATA INFORME'!K:K)</f>
        <v>SI</v>
      </c>
      <c r="M304" s="72" t="str">
        <f>IF(Tabla2__2[[#This Row],[MYSTERY EFECTIVO]]="SI",_xlfn.XLOOKUP(Tabla2__2[[#This Row],[PREGUNTA]],ENCUESTA!G:G,ENCUESTA!D:D),"N/A")</f>
        <v>N/A</v>
      </c>
      <c r="N30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4" s="72">
        <f>_xlfn.XLOOKUP(Tabla2__2[[#This Row],[PREGUNTA]],ENCUESTA!G:G,ENCUESTA!H:H)</f>
        <v>0</v>
      </c>
      <c r="P304" s="72">
        <f>IF(Tabla2__2[[#This Row],[RTA]]=Tabla2__2[[#This Row],[RTA CORRECTA]],Tabla2__2[[#This Row],[TOTAL PUNTAJE]],0)</f>
        <v>0</v>
      </c>
      <c r="Q304" s="72">
        <f t="shared" si="4"/>
        <v>0</v>
      </c>
    </row>
    <row r="305" spans="1:17" x14ac:dyDescent="0.25">
      <c r="A305" s="72" t="s">
        <v>39</v>
      </c>
      <c r="B305" s="72" t="s">
        <v>9</v>
      </c>
      <c r="C305" t="s">
        <v>16</v>
      </c>
      <c r="D305" s="72" t="s">
        <v>125</v>
      </c>
      <c r="E305" s="72">
        <v>29714</v>
      </c>
      <c r="F305" s="72" t="s">
        <v>242</v>
      </c>
      <c r="G305" s="72" t="s">
        <v>49</v>
      </c>
      <c r="H305" s="72" t="s">
        <v>24</v>
      </c>
      <c r="I305" s="73">
        <v>45738</v>
      </c>
      <c r="J305" s="72">
        <v>26693598</v>
      </c>
      <c r="K305" s="72" t="s">
        <v>135</v>
      </c>
      <c r="L305" s="72" t="str">
        <f>_xlfn.XLOOKUP(Tabla2__2[[#This Row],[CODIGO RUTA]],'DATA INFORME'!I:I,'DATA INFORME'!K:K)</f>
        <v>SI</v>
      </c>
      <c r="M305" s="72" t="str">
        <f>IF(Tabla2__2[[#This Row],[MYSTERY EFECTIVO]]="SI",_xlfn.XLOOKUP(Tabla2__2[[#This Row],[PREGUNTA]],ENCUESTA!G:G,ENCUESTA!D:D),"N/A")</f>
        <v>UNIFORME</v>
      </c>
      <c r="N30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05" s="72" t="str">
        <f>_xlfn.XLOOKUP(Tabla2__2[[#This Row],[PREGUNTA]],ENCUESTA!G:G,ENCUESTA!H:H)</f>
        <v>SI</v>
      </c>
      <c r="P305" s="72">
        <f>IF(Tabla2__2[[#This Row],[RTA]]=Tabla2__2[[#This Row],[RTA CORRECTA]],Tabla2__2[[#This Row],[TOTAL PUNTAJE]],0)</f>
        <v>1.5</v>
      </c>
      <c r="Q305" s="72">
        <f t="shared" si="4"/>
        <v>0</v>
      </c>
    </row>
    <row r="306" spans="1:17" x14ac:dyDescent="0.25">
      <c r="A306" s="72" t="s">
        <v>39</v>
      </c>
      <c r="B306" s="72" t="s">
        <v>9</v>
      </c>
      <c r="C306" t="s">
        <v>16</v>
      </c>
      <c r="D306" s="72" t="s">
        <v>125</v>
      </c>
      <c r="E306" s="72">
        <v>29714</v>
      </c>
      <c r="F306" s="72" t="s">
        <v>242</v>
      </c>
      <c r="G306" s="72" t="s">
        <v>48</v>
      </c>
      <c r="H306" s="72" t="s">
        <v>118</v>
      </c>
      <c r="I306" s="73">
        <v>45738</v>
      </c>
      <c r="J306" s="72">
        <v>26693598</v>
      </c>
      <c r="K306" s="72" t="s">
        <v>135</v>
      </c>
      <c r="L306" s="72" t="str">
        <f>_xlfn.XLOOKUP(Tabla2__2[[#This Row],[CODIGO RUTA]],'DATA INFORME'!I:I,'DATA INFORME'!K:K)</f>
        <v>SI</v>
      </c>
      <c r="M306" s="72" t="str">
        <f>IF(Tabla2__2[[#This Row],[MYSTERY EFECTIVO]]="SI",_xlfn.XLOOKUP(Tabla2__2[[#This Row],[PREGUNTA]],ENCUESTA!G:G,ENCUESTA!D:D),"N/A")</f>
        <v>UNIFORME</v>
      </c>
      <c r="N30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06" s="72" t="str">
        <f>_xlfn.XLOOKUP(Tabla2__2[[#This Row],[PREGUNTA]],ENCUESTA!G:G,ENCUESTA!H:H)</f>
        <v>NO</v>
      </c>
      <c r="P306" s="72">
        <f>IF(Tabla2__2[[#This Row],[RTA]]=Tabla2__2[[#This Row],[RTA CORRECTA]],Tabla2__2[[#This Row],[TOTAL PUNTAJE]],0)</f>
        <v>1.5</v>
      </c>
      <c r="Q306" s="72">
        <f t="shared" si="4"/>
        <v>0</v>
      </c>
    </row>
    <row r="307" spans="1:17" x14ac:dyDescent="0.25">
      <c r="A307" s="72" t="s">
        <v>39</v>
      </c>
      <c r="B307" s="72" t="s">
        <v>9</v>
      </c>
      <c r="C307" t="s">
        <v>16</v>
      </c>
      <c r="D307" s="72" t="s">
        <v>125</v>
      </c>
      <c r="E307" s="72">
        <v>29714</v>
      </c>
      <c r="F307" s="72" t="s">
        <v>242</v>
      </c>
      <c r="G307" s="72" t="s">
        <v>148</v>
      </c>
      <c r="H307" s="72" t="s">
        <v>118</v>
      </c>
      <c r="I307" s="73">
        <v>45738</v>
      </c>
      <c r="J307" s="72">
        <v>26693598</v>
      </c>
      <c r="K307" s="72" t="s">
        <v>135</v>
      </c>
      <c r="L307" s="72" t="str">
        <f>_xlfn.XLOOKUP(Tabla2__2[[#This Row],[CODIGO RUTA]],'DATA INFORME'!I:I,'DATA INFORME'!K:K)</f>
        <v>SI</v>
      </c>
      <c r="M307" s="72" t="str">
        <f>IF(Tabla2__2[[#This Row],[MYSTERY EFECTIVO]]="SI",_xlfn.XLOOKUP(Tabla2__2[[#This Row],[PREGUNTA]],ENCUESTA!G:G,ENCUESTA!D:D),"N/A")</f>
        <v>LABOR DE VENTA</v>
      </c>
      <c r="N30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307" s="72" t="str">
        <f>_xlfn.XLOOKUP(Tabla2__2[[#This Row],[PREGUNTA]],ENCUESTA!G:G,ENCUESTA!H:H)</f>
        <v>SI</v>
      </c>
      <c r="P307" s="72">
        <f>IF(Tabla2__2[[#This Row],[RTA]]=Tabla2__2[[#This Row],[RTA CORRECTA]],Tabla2__2[[#This Row],[TOTAL PUNTAJE]],0)</f>
        <v>0</v>
      </c>
      <c r="Q307" s="72">
        <f t="shared" si="4"/>
        <v>0</v>
      </c>
    </row>
    <row r="308" spans="1:17" x14ac:dyDescent="0.25">
      <c r="A308" s="72" t="s">
        <v>39</v>
      </c>
      <c r="B308" s="72" t="s">
        <v>9</v>
      </c>
      <c r="C308" t="s">
        <v>16</v>
      </c>
      <c r="D308" s="72" t="s">
        <v>125</v>
      </c>
      <c r="E308" s="72">
        <v>29714</v>
      </c>
      <c r="F308" s="72" t="s">
        <v>242</v>
      </c>
      <c r="G308" s="72" t="s">
        <v>50</v>
      </c>
      <c r="H308" s="72" t="s">
        <v>24</v>
      </c>
      <c r="I308" s="73">
        <v>45738</v>
      </c>
      <c r="J308" s="72">
        <v>26693598</v>
      </c>
      <c r="K308" s="72" t="s">
        <v>135</v>
      </c>
      <c r="L308" s="72" t="str">
        <f>_xlfn.XLOOKUP(Tabla2__2[[#This Row],[CODIGO RUTA]],'DATA INFORME'!I:I,'DATA INFORME'!K:K)</f>
        <v>SI</v>
      </c>
      <c r="M308" s="72" t="str">
        <f>IF(Tabla2__2[[#This Row],[MYSTERY EFECTIVO]]="SI",_xlfn.XLOOKUP(Tabla2__2[[#This Row],[PREGUNTA]],ENCUESTA!G:G,ENCUESTA!D:D),"N/A")</f>
        <v>PORTAFOLIO Y MANEJO DE OBJECIONES</v>
      </c>
      <c r="N30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</v>
      </c>
      <c r="O308" s="72" t="str">
        <f>_xlfn.XLOOKUP(Tabla2__2[[#This Row],[PREGUNTA]],ENCUESTA!G:G,ENCUESTA!H:H)</f>
        <v>SI</v>
      </c>
      <c r="P308" s="72">
        <f>IF(Tabla2__2[[#This Row],[RTA]]=Tabla2__2[[#This Row],[RTA CORRECTA]],Tabla2__2[[#This Row],[TOTAL PUNTAJE]],0)</f>
        <v>2</v>
      </c>
      <c r="Q308" s="72">
        <f t="shared" si="4"/>
        <v>0</v>
      </c>
    </row>
    <row r="309" spans="1:17" x14ac:dyDescent="0.25">
      <c r="A309" s="72" t="s">
        <v>39</v>
      </c>
      <c r="B309" s="72" t="s">
        <v>9</v>
      </c>
      <c r="C309" t="s">
        <v>16</v>
      </c>
      <c r="D309" s="72" t="s">
        <v>125</v>
      </c>
      <c r="E309" s="72">
        <v>29714</v>
      </c>
      <c r="F309" s="72" t="s">
        <v>242</v>
      </c>
      <c r="G309" s="72" t="s">
        <v>51</v>
      </c>
      <c r="H309" s="72" t="s">
        <v>24</v>
      </c>
      <c r="I309" s="73">
        <v>45738</v>
      </c>
      <c r="J309" s="72">
        <v>26693598</v>
      </c>
      <c r="K309" s="72" t="s">
        <v>135</v>
      </c>
      <c r="L309" s="72" t="str">
        <f>_xlfn.XLOOKUP(Tabla2__2[[#This Row],[CODIGO RUTA]],'DATA INFORME'!I:I,'DATA INFORME'!K:K)</f>
        <v>SI</v>
      </c>
      <c r="M309" s="72" t="str">
        <f>IF(Tabla2__2[[#This Row],[MYSTERY EFECTIVO]]="SI",_xlfn.XLOOKUP(Tabla2__2[[#This Row],[PREGUNTA]],ENCUESTA!G:G,ENCUESTA!D:D),"N/A")</f>
        <v>PORTAFOLIO Y MANEJO DE OBJECIONES</v>
      </c>
      <c r="N309" s="72" t="str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4, 4</v>
      </c>
      <c r="O309" s="72" t="str">
        <f>_xlfn.XLOOKUP(Tabla2__2[[#This Row],[PREGUNTA]],ENCUESTA!G:G,ENCUESTA!H:H)</f>
        <v>SI</v>
      </c>
      <c r="P309" s="72" t="str">
        <f>IF(Tabla2__2[[#This Row],[RTA]]=Tabla2__2[[#This Row],[RTA CORRECTA]],Tabla2__2[[#This Row],[TOTAL PUNTAJE]],0)</f>
        <v>4, 4</v>
      </c>
      <c r="Q309" s="72">
        <f t="shared" si="4"/>
        <v>0</v>
      </c>
    </row>
    <row r="310" spans="1:17" x14ac:dyDescent="0.25">
      <c r="A310" s="72" t="s">
        <v>39</v>
      </c>
      <c r="B310" s="72" t="s">
        <v>9</v>
      </c>
      <c r="C310" t="s">
        <v>16</v>
      </c>
      <c r="D310" s="72" t="s">
        <v>125</v>
      </c>
      <c r="E310" s="72">
        <v>29714</v>
      </c>
      <c r="F310" s="72" t="s">
        <v>242</v>
      </c>
      <c r="G310" s="72" t="s">
        <v>42</v>
      </c>
      <c r="H310" s="72" t="s">
        <v>147</v>
      </c>
      <c r="I310" s="73">
        <v>45738</v>
      </c>
      <c r="J310" s="72">
        <v>26693598</v>
      </c>
      <c r="K310" s="72" t="s">
        <v>135</v>
      </c>
      <c r="L310" s="72" t="str">
        <f>_xlfn.XLOOKUP(Tabla2__2[[#This Row],[CODIGO RUTA]],'DATA INFORME'!I:I,'DATA INFORME'!K:K)</f>
        <v>SI</v>
      </c>
      <c r="M310" s="72" t="str">
        <f>IF(Tabla2__2[[#This Row],[MYSTERY EFECTIVO]]="SI",_xlfn.XLOOKUP(Tabla2__2[[#This Row],[PREGUNTA]],ENCUESTA!G:G,ENCUESTA!D:D),"N/A")</f>
        <v>N/A</v>
      </c>
      <c r="N31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10" s="72" t="str">
        <f>_xlfn.XLOOKUP(Tabla2__2[[#This Row],[PREGUNTA]],ENCUESTA!G:G,ENCUESTA!H:H)</f>
        <v>SI</v>
      </c>
      <c r="P310" s="72">
        <f>IF(Tabla2__2[[#This Row],[RTA]]=Tabla2__2[[#This Row],[RTA CORRECTA]],Tabla2__2[[#This Row],[TOTAL PUNTAJE]],0)</f>
        <v>0</v>
      </c>
      <c r="Q310" s="72">
        <f t="shared" si="4"/>
        <v>0</v>
      </c>
    </row>
    <row r="311" spans="1:17" x14ac:dyDescent="0.25">
      <c r="A311" s="72" t="s">
        <v>39</v>
      </c>
      <c r="B311" s="72" t="s">
        <v>9</v>
      </c>
      <c r="C311" t="s">
        <v>16</v>
      </c>
      <c r="D311" s="72" t="s">
        <v>125</v>
      </c>
      <c r="E311" s="72">
        <v>29714</v>
      </c>
      <c r="F311" s="72" t="s">
        <v>242</v>
      </c>
      <c r="G311" s="72" t="s">
        <v>41</v>
      </c>
      <c r="H311" s="72" t="s">
        <v>24</v>
      </c>
      <c r="I311" s="73">
        <v>45738</v>
      </c>
      <c r="J311" s="72">
        <v>26693598</v>
      </c>
      <c r="K311" s="72" t="s">
        <v>135</v>
      </c>
      <c r="L311" s="72" t="str">
        <f>_xlfn.XLOOKUP(Tabla2__2[[#This Row],[CODIGO RUTA]],'DATA INFORME'!I:I,'DATA INFORME'!K:K)</f>
        <v>SI</v>
      </c>
      <c r="M311" s="72" t="str">
        <f>IF(Tabla2__2[[#This Row],[MYSTERY EFECTIVO]]="SI",_xlfn.XLOOKUP(Tabla2__2[[#This Row],[PREGUNTA]],ENCUESTA!G:G,ENCUESTA!D:D),"N/A")</f>
        <v>N/A</v>
      </c>
      <c r="N31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11" s="72" t="str">
        <f>_xlfn.XLOOKUP(Tabla2__2[[#This Row],[PREGUNTA]],ENCUESTA!G:G,ENCUESTA!H:H)</f>
        <v>SI</v>
      </c>
      <c r="P311" s="72">
        <f>IF(Tabla2__2[[#This Row],[RTA]]=Tabla2__2[[#This Row],[RTA CORRECTA]],Tabla2__2[[#This Row],[TOTAL PUNTAJE]],0)</f>
        <v>0</v>
      </c>
      <c r="Q311" s="72">
        <f t="shared" si="4"/>
        <v>0</v>
      </c>
    </row>
    <row r="312" spans="1:17" x14ac:dyDescent="0.25">
      <c r="A312" s="72" t="s">
        <v>39</v>
      </c>
      <c r="B312" s="72" t="s">
        <v>9</v>
      </c>
      <c r="C312" t="s">
        <v>16</v>
      </c>
      <c r="D312" s="72" t="s">
        <v>125</v>
      </c>
      <c r="E312" s="72">
        <v>29714</v>
      </c>
      <c r="F312" s="72" t="s">
        <v>242</v>
      </c>
      <c r="G312" s="72" t="s">
        <v>146</v>
      </c>
      <c r="H312" s="72" t="s">
        <v>118</v>
      </c>
      <c r="I312" s="73">
        <v>45738</v>
      </c>
      <c r="J312" s="72">
        <v>26693598</v>
      </c>
      <c r="K312" s="72" t="s">
        <v>135</v>
      </c>
      <c r="L312" s="72" t="str">
        <f>_xlfn.XLOOKUP(Tabla2__2[[#This Row],[CODIGO RUTA]],'DATA INFORME'!I:I,'DATA INFORME'!K:K)</f>
        <v>SI</v>
      </c>
      <c r="M312" s="72" t="str">
        <f>IF(Tabla2__2[[#This Row],[MYSTERY EFECTIVO]]="SI",_xlfn.XLOOKUP(Tabla2__2[[#This Row],[PREGUNTA]],ENCUESTA!G:G,ENCUESTA!D:D),"N/A")</f>
        <v>PORTAFOLIO Y MANEJO DE OBJECIONES</v>
      </c>
      <c r="N31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312" s="72" t="str">
        <f>_xlfn.XLOOKUP(Tabla2__2[[#This Row],[PREGUNTA]],ENCUESTA!G:G,ENCUESTA!H:H)</f>
        <v>SI</v>
      </c>
      <c r="P312" s="72">
        <f>IF(Tabla2__2[[#This Row],[RTA]]=Tabla2__2[[#This Row],[RTA CORRECTA]],Tabla2__2[[#This Row],[TOTAL PUNTAJE]],0)</f>
        <v>0</v>
      </c>
      <c r="Q312" s="72">
        <f t="shared" si="4"/>
        <v>0</v>
      </c>
    </row>
    <row r="313" spans="1:17" x14ac:dyDescent="0.25">
      <c r="A313" s="72" t="s">
        <v>39</v>
      </c>
      <c r="B313" s="72" t="s">
        <v>9</v>
      </c>
      <c r="C313" t="s">
        <v>16</v>
      </c>
      <c r="D313" s="72" t="s">
        <v>125</v>
      </c>
      <c r="E313" s="72">
        <v>29714</v>
      </c>
      <c r="F313" s="72" t="s">
        <v>242</v>
      </c>
      <c r="G313" s="72" t="s">
        <v>145</v>
      </c>
      <c r="H313" s="72" t="s">
        <v>118</v>
      </c>
      <c r="I313" s="73">
        <v>45738</v>
      </c>
      <c r="J313" s="72">
        <v>26693598</v>
      </c>
      <c r="K313" s="72" t="s">
        <v>135</v>
      </c>
      <c r="L313" s="72" t="str">
        <f>_xlfn.XLOOKUP(Tabla2__2[[#This Row],[CODIGO RUTA]],'DATA INFORME'!I:I,'DATA INFORME'!K:K)</f>
        <v>SI</v>
      </c>
      <c r="M313" s="72" t="str">
        <f>IF(Tabla2__2[[#This Row],[MYSTERY EFECTIVO]]="SI",_xlfn.XLOOKUP(Tabla2__2[[#This Row],[PREGUNTA]],ENCUESTA!G:G,ENCUESTA!D:D),"N/A")</f>
        <v>PORTAFOLIO Y MANEJO DE OBJECIONES</v>
      </c>
      <c r="N31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313" s="72" t="str">
        <f>_xlfn.XLOOKUP(Tabla2__2[[#This Row],[PREGUNTA]],ENCUESTA!G:G,ENCUESTA!H:H)</f>
        <v>SI</v>
      </c>
      <c r="P313" s="72">
        <f>IF(Tabla2__2[[#This Row],[RTA]]=Tabla2__2[[#This Row],[RTA CORRECTA]],Tabla2__2[[#This Row],[TOTAL PUNTAJE]],0)</f>
        <v>0</v>
      </c>
      <c r="Q313" s="72">
        <f t="shared" si="4"/>
        <v>0</v>
      </c>
    </row>
    <row r="314" spans="1:17" x14ac:dyDescent="0.25">
      <c r="A314" s="72" t="s">
        <v>39</v>
      </c>
      <c r="B314" s="72" t="s">
        <v>9</v>
      </c>
      <c r="C314" t="s">
        <v>16</v>
      </c>
      <c r="D314" s="72" t="s">
        <v>125</v>
      </c>
      <c r="E314" s="72">
        <v>29714</v>
      </c>
      <c r="F314" s="72" t="s">
        <v>242</v>
      </c>
      <c r="G314" s="72" t="s">
        <v>144</v>
      </c>
      <c r="H314" s="72" t="s">
        <v>118</v>
      </c>
      <c r="I314" s="73">
        <v>45738</v>
      </c>
      <c r="J314" s="72">
        <v>26693598</v>
      </c>
      <c r="K314" s="72" t="s">
        <v>135</v>
      </c>
      <c r="L314" s="72" t="str">
        <f>_xlfn.XLOOKUP(Tabla2__2[[#This Row],[CODIGO RUTA]],'DATA INFORME'!I:I,'DATA INFORME'!K:K)</f>
        <v>SI</v>
      </c>
      <c r="M314" s="72" t="str">
        <f>IF(Tabla2__2[[#This Row],[MYSTERY EFECTIVO]]="SI",_xlfn.XLOOKUP(Tabla2__2[[#This Row],[PREGUNTA]],ENCUESTA!G:G,ENCUESTA!D:D),"N/A")</f>
        <v>PORTAFOLIO Y MANEJO DE OBJECIONES</v>
      </c>
      <c r="N31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314" s="72" t="str">
        <f>_xlfn.XLOOKUP(Tabla2__2[[#This Row],[PREGUNTA]],ENCUESTA!G:G,ENCUESTA!H:H)</f>
        <v>SI</v>
      </c>
      <c r="P314" s="72">
        <f>IF(Tabla2__2[[#This Row],[RTA]]=Tabla2__2[[#This Row],[RTA CORRECTA]],Tabla2__2[[#This Row],[TOTAL PUNTAJE]],0)</f>
        <v>0</v>
      </c>
      <c r="Q314" s="72">
        <f t="shared" si="4"/>
        <v>0</v>
      </c>
    </row>
    <row r="315" spans="1:17" x14ac:dyDescent="0.25">
      <c r="A315" s="72" t="s">
        <v>39</v>
      </c>
      <c r="B315" s="72" t="s">
        <v>9</v>
      </c>
      <c r="C315" t="s">
        <v>16</v>
      </c>
      <c r="D315" s="72" t="s">
        <v>125</v>
      </c>
      <c r="E315" s="72">
        <v>29714</v>
      </c>
      <c r="F315" s="72" t="s">
        <v>242</v>
      </c>
      <c r="G315" s="72" t="s">
        <v>52</v>
      </c>
      <c r="H315" s="72" t="s">
        <v>118</v>
      </c>
      <c r="I315" s="73">
        <v>45738</v>
      </c>
      <c r="J315" s="72">
        <v>26693598</v>
      </c>
      <c r="K315" s="72" t="s">
        <v>135</v>
      </c>
      <c r="L315" s="72" t="str">
        <f>_xlfn.XLOOKUP(Tabla2__2[[#This Row],[CODIGO RUTA]],'DATA INFORME'!I:I,'DATA INFORME'!K:K)</f>
        <v>SI</v>
      </c>
      <c r="M315" s="72" t="str">
        <f>IF(Tabla2__2[[#This Row],[MYSTERY EFECTIVO]]="SI",_xlfn.XLOOKUP(Tabla2__2[[#This Row],[PREGUNTA]],ENCUESTA!G:G,ENCUESTA!D:D),"N/A")</f>
        <v>UNIFORME</v>
      </c>
      <c r="N31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15" s="72" t="str">
        <f>_xlfn.XLOOKUP(Tabla2__2[[#This Row],[PREGUNTA]],ENCUESTA!G:G,ENCUESTA!H:H)</f>
        <v>NO</v>
      </c>
      <c r="P315" s="72">
        <f>IF(Tabla2__2[[#This Row],[RTA]]=Tabla2__2[[#This Row],[RTA CORRECTA]],Tabla2__2[[#This Row],[TOTAL PUNTAJE]],0)</f>
        <v>1.5</v>
      </c>
      <c r="Q315" s="72">
        <f t="shared" si="4"/>
        <v>0</v>
      </c>
    </row>
    <row r="316" spans="1:17" x14ac:dyDescent="0.25">
      <c r="A316" s="72" t="s">
        <v>39</v>
      </c>
      <c r="B316" s="72" t="s">
        <v>9</v>
      </c>
      <c r="C316" t="s">
        <v>16</v>
      </c>
      <c r="D316" s="72" t="s">
        <v>125</v>
      </c>
      <c r="E316" s="72">
        <v>29714</v>
      </c>
      <c r="F316" s="72" t="s">
        <v>242</v>
      </c>
      <c r="G316" s="72" t="s">
        <v>143</v>
      </c>
      <c r="H316" s="72" t="s">
        <v>118</v>
      </c>
      <c r="I316" s="73">
        <v>45738</v>
      </c>
      <c r="J316" s="72">
        <v>26693598</v>
      </c>
      <c r="K316" s="72" t="s">
        <v>135</v>
      </c>
      <c r="L316" s="72" t="str">
        <f>_xlfn.XLOOKUP(Tabla2__2[[#This Row],[CODIGO RUTA]],'DATA INFORME'!I:I,'DATA INFORME'!K:K)</f>
        <v>SI</v>
      </c>
      <c r="M316" s="72" t="str">
        <f>IF(Tabla2__2[[#This Row],[MYSTERY EFECTIVO]]="SI",_xlfn.XLOOKUP(Tabla2__2[[#This Row],[PREGUNTA]],ENCUESTA!G:G,ENCUESTA!D:D),"N/A")</f>
        <v>PORTAFOLIO Y MANEJO DE OBJECIONES</v>
      </c>
      <c r="N31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316" s="72" t="str">
        <f>_xlfn.XLOOKUP(Tabla2__2[[#This Row],[PREGUNTA]],ENCUESTA!G:G,ENCUESTA!H:H)</f>
        <v>SI</v>
      </c>
      <c r="P316" s="72">
        <f>IF(Tabla2__2[[#This Row],[RTA]]=Tabla2__2[[#This Row],[RTA CORRECTA]],Tabla2__2[[#This Row],[TOTAL PUNTAJE]],0)</f>
        <v>0</v>
      </c>
      <c r="Q316" s="72">
        <f t="shared" si="4"/>
        <v>0</v>
      </c>
    </row>
    <row r="317" spans="1:17" x14ac:dyDescent="0.25">
      <c r="A317" s="72" t="s">
        <v>39</v>
      </c>
      <c r="B317" s="72" t="s">
        <v>9</v>
      </c>
      <c r="C317" t="s">
        <v>16</v>
      </c>
      <c r="D317" s="72" t="s">
        <v>125</v>
      </c>
      <c r="E317" s="72">
        <v>29714</v>
      </c>
      <c r="F317" s="72" t="s">
        <v>242</v>
      </c>
      <c r="G317" s="72" t="s">
        <v>141</v>
      </c>
      <c r="H317" s="72" t="s">
        <v>118</v>
      </c>
      <c r="I317" s="73">
        <v>45738</v>
      </c>
      <c r="J317" s="72">
        <v>26693598</v>
      </c>
      <c r="K317" s="72" t="s">
        <v>135</v>
      </c>
      <c r="L317" s="72" t="str">
        <f>_xlfn.XLOOKUP(Tabla2__2[[#This Row],[CODIGO RUTA]],'DATA INFORME'!I:I,'DATA INFORME'!K:K)</f>
        <v>SI</v>
      </c>
      <c r="M317" s="72" t="str">
        <f>IF(Tabla2__2[[#This Row],[MYSTERY EFECTIVO]]="SI",_xlfn.XLOOKUP(Tabla2__2[[#This Row],[PREGUNTA]],ENCUESTA!G:G,ENCUESTA!D:D),"N/A")</f>
        <v>PORTAFOLIO Y MANEJO DE OBJECIONES</v>
      </c>
      <c r="N31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317" s="72" t="str">
        <f>_xlfn.XLOOKUP(Tabla2__2[[#This Row],[PREGUNTA]],ENCUESTA!G:G,ENCUESTA!H:H)</f>
        <v>SI</v>
      </c>
      <c r="P317" s="72">
        <f>IF(Tabla2__2[[#This Row],[RTA]]=Tabla2__2[[#This Row],[RTA CORRECTA]],Tabla2__2[[#This Row],[TOTAL PUNTAJE]],0)</f>
        <v>0</v>
      </c>
      <c r="Q317" s="72">
        <f t="shared" si="4"/>
        <v>0</v>
      </c>
    </row>
    <row r="318" spans="1:17" x14ac:dyDescent="0.25">
      <c r="A318" s="72" t="s">
        <v>39</v>
      </c>
      <c r="B318" s="72" t="s">
        <v>9</v>
      </c>
      <c r="C318" t="s">
        <v>16</v>
      </c>
      <c r="D318" s="72" t="s">
        <v>125</v>
      </c>
      <c r="E318" s="72">
        <v>29714</v>
      </c>
      <c r="F318" s="72" t="s">
        <v>242</v>
      </c>
      <c r="G318" s="72" t="s">
        <v>140</v>
      </c>
      <c r="H318" s="72" t="s">
        <v>118</v>
      </c>
      <c r="I318" s="73">
        <v>45738</v>
      </c>
      <c r="J318" s="72">
        <v>26693598</v>
      </c>
      <c r="K318" s="72" t="s">
        <v>135</v>
      </c>
      <c r="L318" s="72" t="str">
        <f>_xlfn.XLOOKUP(Tabla2__2[[#This Row],[CODIGO RUTA]],'DATA INFORME'!I:I,'DATA INFORME'!K:K)</f>
        <v>SI</v>
      </c>
      <c r="M318" s="72" t="str">
        <f>IF(Tabla2__2[[#This Row],[MYSTERY EFECTIVO]]="SI",_xlfn.XLOOKUP(Tabla2__2[[#This Row],[PREGUNTA]],ENCUESTA!G:G,ENCUESTA!D:D),"N/A")</f>
        <v>PORTAFOLIO Y MANEJO DE OBJECIONES</v>
      </c>
      <c r="N31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318" s="72" t="str">
        <f>_xlfn.XLOOKUP(Tabla2__2[[#This Row],[PREGUNTA]],ENCUESTA!G:G,ENCUESTA!H:H)</f>
        <v>SI</v>
      </c>
      <c r="P318" s="72">
        <f>IF(Tabla2__2[[#This Row],[RTA]]=Tabla2__2[[#This Row],[RTA CORRECTA]],Tabla2__2[[#This Row],[TOTAL PUNTAJE]],0)</f>
        <v>0</v>
      </c>
      <c r="Q318" s="72">
        <f t="shared" si="4"/>
        <v>0</v>
      </c>
    </row>
    <row r="319" spans="1:17" x14ac:dyDescent="0.25">
      <c r="A319" s="72" t="s">
        <v>39</v>
      </c>
      <c r="B319" s="72" t="s">
        <v>9</v>
      </c>
      <c r="C319" t="s">
        <v>16</v>
      </c>
      <c r="D319" s="72" t="s">
        <v>125</v>
      </c>
      <c r="E319" s="72">
        <v>29714</v>
      </c>
      <c r="F319" s="72" t="s">
        <v>242</v>
      </c>
      <c r="G319" s="72" t="s">
        <v>139</v>
      </c>
      <c r="H319" s="72" t="s">
        <v>118</v>
      </c>
      <c r="I319" s="73">
        <v>45738</v>
      </c>
      <c r="J319" s="72">
        <v>26693598</v>
      </c>
      <c r="K319" s="72" t="s">
        <v>135</v>
      </c>
      <c r="L319" s="72" t="str">
        <f>_xlfn.XLOOKUP(Tabla2__2[[#This Row],[CODIGO RUTA]],'DATA INFORME'!I:I,'DATA INFORME'!K:K)</f>
        <v>SI</v>
      </c>
      <c r="M319" s="72" t="str">
        <f>IF(Tabla2__2[[#This Row],[MYSTERY EFECTIVO]]="SI",_xlfn.XLOOKUP(Tabla2__2[[#This Row],[PREGUNTA]],ENCUESTA!G:G,ENCUESTA!D:D),"N/A")</f>
        <v>PORTAFOLIO Y MANEJO DE OBJECIONES</v>
      </c>
      <c r="N31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319" s="72" t="str">
        <f>_xlfn.XLOOKUP(Tabla2__2[[#This Row],[PREGUNTA]],ENCUESTA!G:G,ENCUESTA!H:H)</f>
        <v>SI</v>
      </c>
      <c r="P319" s="72">
        <f>IF(Tabla2__2[[#This Row],[RTA]]=Tabla2__2[[#This Row],[RTA CORRECTA]],Tabla2__2[[#This Row],[TOTAL PUNTAJE]],0)</f>
        <v>0</v>
      </c>
      <c r="Q319" s="72">
        <f t="shared" si="4"/>
        <v>0</v>
      </c>
    </row>
    <row r="320" spans="1:17" x14ac:dyDescent="0.25">
      <c r="A320" s="72" t="s">
        <v>39</v>
      </c>
      <c r="B320" s="72" t="s">
        <v>9</v>
      </c>
      <c r="C320" t="s">
        <v>16</v>
      </c>
      <c r="D320" s="72" t="s">
        <v>125</v>
      </c>
      <c r="E320" s="72">
        <v>29714</v>
      </c>
      <c r="F320" s="72" t="s">
        <v>242</v>
      </c>
      <c r="G320" s="72" t="s">
        <v>102</v>
      </c>
      <c r="H320" s="72" t="s">
        <v>106</v>
      </c>
      <c r="I320" s="73">
        <v>45738</v>
      </c>
      <c r="J320" s="72">
        <v>26693598</v>
      </c>
      <c r="K320" s="72" t="s">
        <v>135</v>
      </c>
      <c r="L320" s="72" t="str">
        <f>_xlfn.XLOOKUP(Tabla2__2[[#This Row],[CODIGO RUTA]],'DATA INFORME'!I:I,'DATA INFORME'!K:K)</f>
        <v>SI</v>
      </c>
      <c r="M320" s="72" t="str">
        <f>IF(Tabla2__2[[#This Row],[MYSTERY EFECTIVO]]="SI",_xlfn.XLOOKUP(Tabla2__2[[#This Row],[PREGUNTA]],ENCUESTA!G:G,ENCUESTA!D:D),"N/A")</f>
        <v>N/A</v>
      </c>
      <c r="N32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0" s="72">
        <f>_xlfn.XLOOKUP(Tabla2__2[[#This Row],[PREGUNTA]],ENCUESTA!G:G,ENCUESTA!H:H)</f>
        <v>0</v>
      </c>
      <c r="P320" s="72">
        <f>IF(Tabla2__2[[#This Row],[RTA]]=Tabla2__2[[#This Row],[RTA CORRECTA]],Tabla2__2[[#This Row],[TOTAL PUNTAJE]],0)</f>
        <v>0</v>
      </c>
      <c r="Q320" s="72">
        <f t="shared" si="4"/>
        <v>0</v>
      </c>
    </row>
    <row r="321" spans="1:18" x14ac:dyDescent="0.25">
      <c r="A321" s="72" t="s">
        <v>39</v>
      </c>
      <c r="B321" s="72" t="s">
        <v>9</v>
      </c>
      <c r="C321" t="s">
        <v>16</v>
      </c>
      <c r="D321" s="72" t="s">
        <v>125</v>
      </c>
      <c r="E321" s="72">
        <v>29714</v>
      </c>
      <c r="F321" s="72" t="s">
        <v>242</v>
      </c>
      <c r="G321" s="72" t="s">
        <v>101</v>
      </c>
      <c r="H321" s="72" t="s">
        <v>24</v>
      </c>
      <c r="I321" s="73">
        <v>45738</v>
      </c>
      <c r="J321" s="72">
        <v>26693598</v>
      </c>
      <c r="K321" s="72" t="s">
        <v>135</v>
      </c>
      <c r="L321" s="72" t="str">
        <f>_xlfn.XLOOKUP(Tabla2__2[[#This Row],[CODIGO RUTA]],'DATA INFORME'!I:I,'DATA INFORME'!K:K)</f>
        <v>SI</v>
      </c>
      <c r="M321" s="72" t="str">
        <f>IF(Tabla2__2[[#This Row],[MYSTERY EFECTIVO]]="SI",_xlfn.XLOOKUP(Tabla2__2[[#This Row],[PREGUNTA]],ENCUESTA!G:G,ENCUESTA!D:D),"N/A")</f>
        <v>PORTAFOLIO Y MANEJO DE OBJECIONES</v>
      </c>
      <c r="N32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321" s="72" t="str">
        <f>_xlfn.XLOOKUP(Tabla2__2[[#This Row],[PREGUNTA]],ENCUESTA!G:G,ENCUESTA!H:H)</f>
        <v>SI</v>
      </c>
      <c r="P321" s="72">
        <f>IF(Tabla2__2[[#This Row],[RTA]]=Tabla2__2[[#This Row],[RTA CORRECTA]],Tabla2__2[[#This Row],[TOTAL PUNTAJE]],0)</f>
        <v>3</v>
      </c>
      <c r="Q321" s="72">
        <f t="shared" si="4"/>
        <v>0</v>
      </c>
    </row>
    <row r="322" spans="1:18" x14ac:dyDescent="0.25">
      <c r="A322" s="72" t="s">
        <v>39</v>
      </c>
      <c r="B322" s="72" t="s">
        <v>9</v>
      </c>
      <c r="C322" t="s">
        <v>16</v>
      </c>
      <c r="D322" s="72" t="s">
        <v>125</v>
      </c>
      <c r="E322" s="72">
        <v>29714</v>
      </c>
      <c r="F322" s="72" t="s">
        <v>242</v>
      </c>
      <c r="G322" s="72" t="s">
        <v>138</v>
      </c>
      <c r="H322" s="72" t="s">
        <v>24</v>
      </c>
      <c r="I322" s="73">
        <v>45738</v>
      </c>
      <c r="J322" s="72">
        <v>26693598</v>
      </c>
      <c r="K322" s="72" t="s">
        <v>135</v>
      </c>
      <c r="L322" s="72" t="str">
        <f>_xlfn.XLOOKUP(Tabla2__2[[#This Row],[CODIGO RUTA]],'DATA INFORME'!I:I,'DATA INFORME'!K:K)</f>
        <v>SI</v>
      </c>
      <c r="M322" s="72" t="str">
        <f>IF(Tabla2__2[[#This Row],[MYSTERY EFECTIVO]]="SI",_xlfn.XLOOKUP(Tabla2__2[[#This Row],[PREGUNTA]],ENCUESTA!G:G,ENCUESTA!D:D),"N/A")</f>
        <v>ABORDAJE</v>
      </c>
      <c r="N32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322" s="72" t="str">
        <f>_xlfn.XLOOKUP(Tabla2__2[[#This Row],[PREGUNTA]],ENCUESTA!G:G,ENCUESTA!H:H)</f>
        <v>SI</v>
      </c>
      <c r="P322" s="72">
        <f>IF(Tabla2__2[[#This Row],[RTA]]=Tabla2__2[[#This Row],[RTA CORRECTA]],Tabla2__2[[#This Row],[TOTAL PUNTAJE]],0)</f>
        <v>20</v>
      </c>
      <c r="Q322" s="72">
        <f t="shared" ref="Q322:Q341" si="5">IF(OR(H322="Dog Chow húmedo",H322="Cat Chow húmedo",H322="Fancy Feast",H322="Felix",H322="Proplan húmedo",H322="One húmedo",H322="Snack Abrazzos",H322="Snak Dentalife",H322="Arenilla Tidy Cat"),N322,0)</f>
        <v>0</v>
      </c>
    </row>
    <row r="323" spans="1:18" x14ac:dyDescent="0.25">
      <c r="A323" s="72" t="s">
        <v>39</v>
      </c>
      <c r="B323" s="72" t="s">
        <v>9</v>
      </c>
      <c r="C323" t="s">
        <v>16</v>
      </c>
      <c r="D323" s="72" t="s">
        <v>125</v>
      </c>
      <c r="E323" s="72">
        <v>29714</v>
      </c>
      <c r="F323" s="72" t="s">
        <v>242</v>
      </c>
      <c r="G323" s="72" t="s">
        <v>46</v>
      </c>
      <c r="H323" s="72" t="s">
        <v>118</v>
      </c>
      <c r="I323" s="73">
        <v>45738</v>
      </c>
      <c r="J323" s="72">
        <v>26693598</v>
      </c>
      <c r="K323" s="72" t="s">
        <v>135</v>
      </c>
      <c r="L323" s="72" t="str">
        <f>_xlfn.XLOOKUP(Tabla2__2[[#This Row],[CODIGO RUTA]],'DATA INFORME'!I:I,'DATA INFORME'!K:K)</f>
        <v>SI</v>
      </c>
      <c r="M323" s="72" t="str">
        <f>IF(Tabla2__2[[#This Row],[MYSTERY EFECTIVO]]="SI",_xlfn.XLOOKUP(Tabla2__2[[#This Row],[PREGUNTA]],ENCUESTA!G:G,ENCUESTA!D:D),"N/A")</f>
        <v>UNIFORME</v>
      </c>
      <c r="N32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23" s="72" t="str">
        <f>_xlfn.XLOOKUP(Tabla2__2[[#This Row],[PREGUNTA]],ENCUESTA!G:G,ENCUESTA!H:H)</f>
        <v>NO</v>
      </c>
      <c r="P323" s="72">
        <f>IF(Tabla2__2[[#This Row],[RTA]]=Tabla2__2[[#This Row],[RTA CORRECTA]],Tabla2__2[[#This Row],[TOTAL PUNTAJE]],0)</f>
        <v>1.5</v>
      </c>
      <c r="Q323" s="72">
        <f t="shared" si="5"/>
        <v>0</v>
      </c>
    </row>
    <row r="324" spans="1:18" x14ac:dyDescent="0.25">
      <c r="A324" s="72" t="s">
        <v>39</v>
      </c>
      <c r="B324" s="72" t="s">
        <v>9</v>
      </c>
      <c r="C324" t="s">
        <v>16</v>
      </c>
      <c r="D324" s="72" t="s">
        <v>125</v>
      </c>
      <c r="E324" s="72">
        <v>29714</v>
      </c>
      <c r="F324" s="72" t="s">
        <v>242</v>
      </c>
      <c r="G324" s="72" t="s">
        <v>47</v>
      </c>
      <c r="H324" s="72" t="s">
        <v>118</v>
      </c>
      <c r="I324" s="73">
        <v>45738</v>
      </c>
      <c r="J324" s="72">
        <v>26693598</v>
      </c>
      <c r="K324" s="72" t="s">
        <v>135</v>
      </c>
      <c r="L324" s="72" t="str">
        <f>_xlfn.XLOOKUP(Tabla2__2[[#This Row],[CODIGO RUTA]],'DATA INFORME'!I:I,'DATA INFORME'!K:K)</f>
        <v>SI</v>
      </c>
      <c r="M324" s="72" t="str">
        <f>IF(Tabla2__2[[#This Row],[MYSTERY EFECTIVO]]="SI",_xlfn.XLOOKUP(Tabla2__2[[#This Row],[PREGUNTA]],ENCUESTA!G:G,ENCUESTA!D:D),"N/A")</f>
        <v>UNIFORME</v>
      </c>
      <c r="N32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24" s="72" t="str">
        <f>_xlfn.XLOOKUP(Tabla2__2[[#This Row],[PREGUNTA]],ENCUESTA!G:G,ENCUESTA!H:H)</f>
        <v>NO</v>
      </c>
      <c r="P324" s="72">
        <f>IF(Tabla2__2[[#This Row],[RTA]]=Tabla2__2[[#This Row],[RTA CORRECTA]],Tabla2__2[[#This Row],[TOTAL PUNTAJE]],0)</f>
        <v>1.5</v>
      </c>
      <c r="Q324" s="72">
        <f t="shared" si="5"/>
        <v>0</v>
      </c>
    </row>
    <row r="325" spans="1:18" x14ac:dyDescent="0.25">
      <c r="A325" s="72" t="s">
        <v>39</v>
      </c>
      <c r="B325" s="72" t="s">
        <v>9</v>
      </c>
      <c r="C325" t="s">
        <v>16</v>
      </c>
      <c r="D325" s="72" t="s">
        <v>125</v>
      </c>
      <c r="E325" s="72">
        <v>29714</v>
      </c>
      <c r="F325" s="72" t="s">
        <v>242</v>
      </c>
      <c r="G325" s="72" t="s">
        <v>142</v>
      </c>
      <c r="H325" s="72" t="s">
        <v>118</v>
      </c>
      <c r="I325" s="73">
        <v>45738</v>
      </c>
      <c r="J325" s="72">
        <v>26693598</v>
      </c>
      <c r="K325" s="72" t="s">
        <v>135</v>
      </c>
      <c r="L325" s="72" t="str">
        <f>_xlfn.XLOOKUP(Tabla2__2[[#This Row],[CODIGO RUTA]],'DATA INFORME'!I:I,'DATA INFORME'!K:K)</f>
        <v>SI</v>
      </c>
      <c r="M325" s="72" t="str">
        <f>IF(Tabla2__2[[#This Row],[MYSTERY EFECTIVO]]="SI",_xlfn.XLOOKUP(Tabla2__2[[#This Row],[PREGUNTA]],ENCUESTA!G:G,ENCUESTA!D:D),"N/A")</f>
        <v>PORTAFOLIO Y MANEJO DE OBJECIONES</v>
      </c>
      <c r="N32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2.2000000000000002</v>
      </c>
      <c r="O325" s="72" t="str">
        <f>_xlfn.XLOOKUP(Tabla2__2[[#This Row],[PREGUNTA]],ENCUESTA!G:G,ENCUESTA!H:H)</f>
        <v>SI</v>
      </c>
      <c r="P325" s="72">
        <f>IF(Tabla2__2[[#This Row],[RTA]]=Tabla2__2[[#This Row],[RTA CORRECTA]],Tabla2__2[[#This Row],[TOTAL PUNTAJE]],0)</f>
        <v>0</v>
      </c>
      <c r="Q325" s="72">
        <f t="shared" si="5"/>
        <v>0</v>
      </c>
    </row>
    <row r="326" spans="1:18" x14ac:dyDescent="0.25">
      <c r="A326" s="72" t="s">
        <v>39</v>
      </c>
      <c r="B326" s="72" t="s">
        <v>9</v>
      </c>
      <c r="C326" t="s">
        <v>15</v>
      </c>
      <c r="D326" s="72" t="s">
        <v>116</v>
      </c>
      <c r="E326" s="72">
        <v>191506</v>
      </c>
      <c r="F326" s="72" t="s">
        <v>253</v>
      </c>
      <c r="G326" s="72" t="s">
        <v>99</v>
      </c>
      <c r="H326" s="72" t="s">
        <v>241</v>
      </c>
      <c r="I326" s="73">
        <v>45738</v>
      </c>
      <c r="J326" s="72">
        <v>26444245</v>
      </c>
      <c r="K326" s="72" t="s">
        <v>135</v>
      </c>
      <c r="L326" s="72" t="str">
        <f>_xlfn.XLOOKUP(Tabla2__2[[#This Row],[CODIGO RUTA]],'DATA INFORME'!I:I,'DATA INFORME'!K:K)</f>
        <v>SI</v>
      </c>
      <c r="M326" s="72" t="str">
        <f>IF(Tabla2__2[[#This Row],[MYSTERY EFECTIVO]]="SI",_xlfn.XLOOKUP(Tabla2__2[[#This Row],[PREGUNTA]],ENCUESTA!G:G,ENCUESTA!D:D),"N/A")</f>
        <v>PORTAFOLIO Y MANEJO DE OBJECIONES</v>
      </c>
      <c r="N32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326" s="72" t="str">
        <f>_xlfn.XLOOKUP(Tabla2__2[[#This Row],[PREGUNTA]],ENCUESTA!G:G,ENCUESTA!H:H)</f>
        <v>SI</v>
      </c>
      <c r="P326" s="72">
        <f>IF(Tabla2__2[[#This Row],[RTA]]=Tabla2__2[[#This Row],[RTA CORRECTA]],Tabla2__2[[#This Row],[TOTAL PUNTAJE]],0)</f>
        <v>0</v>
      </c>
      <c r="Q326" s="72">
        <f t="shared" si="5"/>
        <v>0</v>
      </c>
    </row>
    <row r="327" spans="1:18" x14ac:dyDescent="0.25">
      <c r="A327" s="72" t="s">
        <v>39</v>
      </c>
      <c r="B327" s="72" t="s">
        <v>9</v>
      </c>
      <c r="C327" t="s">
        <v>15</v>
      </c>
      <c r="D327" s="72" t="s">
        <v>116</v>
      </c>
      <c r="E327" s="72">
        <v>191506</v>
      </c>
      <c r="F327" s="72" t="s">
        <v>253</v>
      </c>
      <c r="G327" s="72" t="s">
        <v>101</v>
      </c>
      <c r="H327" s="72" t="s">
        <v>24</v>
      </c>
      <c r="I327" s="73">
        <v>45738</v>
      </c>
      <c r="J327" s="72">
        <v>26444245</v>
      </c>
      <c r="K327" s="72" t="s">
        <v>135</v>
      </c>
      <c r="L327" s="72" t="str">
        <f>_xlfn.XLOOKUP(Tabla2__2[[#This Row],[CODIGO RUTA]],'DATA INFORME'!I:I,'DATA INFORME'!K:K)</f>
        <v>SI</v>
      </c>
      <c r="M327" s="72" t="str">
        <f>IF(Tabla2__2[[#This Row],[MYSTERY EFECTIVO]]="SI",_xlfn.XLOOKUP(Tabla2__2[[#This Row],[PREGUNTA]],ENCUESTA!G:G,ENCUESTA!D:D),"N/A")</f>
        <v>PORTAFOLIO Y MANEJO DE OBJECIONES</v>
      </c>
      <c r="N32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</v>
      </c>
      <c r="O327" s="72" t="str">
        <f>_xlfn.XLOOKUP(Tabla2__2[[#This Row],[PREGUNTA]],ENCUESTA!G:G,ENCUESTA!H:H)</f>
        <v>SI</v>
      </c>
      <c r="P327" s="72">
        <f>IF(Tabla2__2[[#This Row],[RTA]]=Tabla2__2[[#This Row],[RTA CORRECTA]],Tabla2__2[[#This Row],[TOTAL PUNTAJE]],0)</f>
        <v>3</v>
      </c>
      <c r="Q327" s="72">
        <f t="shared" si="5"/>
        <v>0</v>
      </c>
    </row>
    <row r="328" spans="1:18" x14ac:dyDescent="0.25">
      <c r="A328" s="72" t="s">
        <v>39</v>
      </c>
      <c r="B328" s="72" t="s">
        <v>9</v>
      </c>
      <c r="C328" t="s">
        <v>15</v>
      </c>
      <c r="D328" s="72" t="s">
        <v>116</v>
      </c>
      <c r="E328" s="72">
        <v>191506</v>
      </c>
      <c r="F328" s="72" t="s">
        <v>253</v>
      </c>
      <c r="G328" s="72" t="s">
        <v>138</v>
      </c>
      <c r="H328" s="72" t="s">
        <v>24</v>
      </c>
      <c r="I328" s="73">
        <v>45738</v>
      </c>
      <c r="J328" s="72">
        <v>26444245</v>
      </c>
      <c r="K328" s="72" t="s">
        <v>135</v>
      </c>
      <c r="L328" s="72" t="str">
        <f>_xlfn.XLOOKUP(Tabla2__2[[#This Row],[CODIGO RUTA]],'DATA INFORME'!I:I,'DATA INFORME'!K:K)</f>
        <v>SI</v>
      </c>
      <c r="M328" s="72" t="str">
        <f>IF(Tabla2__2[[#This Row],[MYSTERY EFECTIVO]]="SI",_xlfn.XLOOKUP(Tabla2__2[[#This Row],[PREGUNTA]],ENCUESTA!G:G,ENCUESTA!D:D),"N/A")</f>
        <v>ABORDAJE</v>
      </c>
      <c r="N32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328" s="72" t="str">
        <f>_xlfn.XLOOKUP(Tabla2__2[[#This Row],[PREGUNTA]],ENCUESTA!G:G,ENCUESTA!H:H)</f>
        <v>SI</v>
      </c>
      <c r="P328" s="72">
        <f>IF(Tabla2__2[[#This Row],[RTA]]=Tabla2__2[[#This Row],[RTA CORRECTA]],Tabla2__2[[#This Row],[TOTAL PUNTAJE]],0)</f>
        <v>20</v>
      </c>
      <c r="Q328" s="72">
        <f t="shared" si="5"/>
        <v>0</v>
      </c>
    </row>
    <row r="329" spans="1:18" x14ac:dyDescent="0.25">
      <c r="A329" s="72" t="s">
        <v>39</v>
      </c>
      <c r="B329" s="72" t="s">
        <v>9</v>
      </c>
      <c r="C329" t="s">
        <v>15</v>
      </c>
      <c r="D329" s="72" t="s">
        <v>116</v>
      </c>
      <c r="E329" s="72">
        <v>191506</v>
      </c>
      <c r="F329" s="72" t="s">
        <v>253</v>
      </c>
      <c r="G329" s="72" t="s">
        <v>46</v>
      </c>
      <c r="H329" s="72" t="s">
        <v>118</v>
      </c>
      <c r="I329" s="73">
        <v>45738</v>
      </c>
      <c r="J329" s="72">
        <v>26444245</v>
      </c>
      <c r="K329" s="72" t="s">
        <v>135</v>
      </c>
      <c r="L329" s="72" t="str">
        <f>_xlfn.XLOOKUP(Tabla2__2[[#This Row],[CODIGO RUTA]],'DATA INFORME'!I:I,'DATA INFORME'!K:K)</f>
        <v>SI</v>
      </c>
      <c r="M329" s="72" t="str">
        <f>IF(Tabla2__2[[#This Row],[MYSTERY EFECTIVO]]="SI",_xlfn.XLOOKUP(Tabla2__2[[#This Row],[PREGUNTA]],ENCUESTA!G:G,ENCUESTA!D:D),"N/A")</f>
        <v>UNIFORME</v>
      </c>
      <c r="N32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29" s="72" t="str">
        <f>_xlfn.XLOOKUP(Tabla2__2[[#This Row],[PREGUNTA]],ENCUESTA!G:G,ENCUESTA!H:H)</f>
        <v>NO</v>
      </c>
      <c r="P329" s="72">
        <f>IF(Tabla2__2[[#This Row],[RTA]]=Tabla2__2[[#This Row],[RTA CORRECTA]],Tabla2__2[[#This Row],[TOTAL PUNTAJE]],0)</f>
        <v>1.5</v>
      </c>
      <c r="Q329" s="72">
        <f t="shared" si="5"/>
        <v>0</v>
      </c>
    </row>
    <row r="330" spans="1:18" x14ac:dyDescent="0.25">
      <c r="A330" s="72" t="s">
        <v>39</v>
      </c>
      <c r="B330" s="72" t="s">
        <v>9</v>
      </c>
      <c r="C330" t="s">
        <v>15</v>
      </c>
      <c r="D330" s="72" t="s">
        <v>116</v>
      </c>
      <c r="E330" s="72">
        <v>191506</v>
      </c>
      <c r="F330" s="72" t="s">
        <v>253</v>
      </c>
      <c r="G330" s="72" t="s">
        <v>47</v>
      </c>
      <c r="H330" s="72" t="s">
        <v>118</v>
      </c>
      <c r="I330" s="73">
        <v>45738</v>
      </c>
      <c r="J330" s="72">
        <v>26444245</v>
      </c>
      <c r="K330" s="72" t="s">
        <v>135</v>
      </c>
      <c r="L330" s="72" t="str">
        <f>_xlfn.XLOOKUP(Tabla2__2[[#This Row],[CODIGO RUTA]],'DATA INFORME'!I:I,'DATA INFORME'!K:K)</f>
        <v>SI</v>
      </c>
      <c r="M330" s="72" t="str">
        <f>IF(Tabla2__2[[#This Row],[MYSTERY EFECTIVO]]="SI",_xlfn.XLOOKUP(Tabla2__2[[#This Row],[PREGUNTA]],ENCUESTA!G:G,ENCUESTA!D:D),"N/A")</f>
        <v>UNIFORME</v>
      </c>
      <c r="N33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30" s="72" t="str">
        <f>_xlfn.XLOOKUP(Tabla2__2[[#This Row],[PREGUNTA]],ENCUESTA!G:G,ENCUESTA!H:H)</f>
        <v>NO</v>
      </c>
      <c r="P330" s="72">
        <f>IF(Tabla2__2[[#This Row],[RTA]]=Tabla2__2[[#This Row],[RTA CORRECTA]],Tabla2__2[[#This Row],[TOTAL PUNTAJE]],0)</f>
        <v>1.5</v>
      </c>
      <c r="Q330" s="72">
        <f t="shared" si="5"/>
        <v>0</v>
      </c>
    </row>
    <row r="331" spans="1:18" x14ac:dyDescent="0.25">
      <c r="A331" s="72" t="s">
        <v>39</v>
      </c>
      <c r="B331" s="72" t="s">
        <v>9</v>
      </c>
      <c r="C331" t="s">
        <v>15</v>
      </c>
      <c r="D331" s="72" t="s">
        <v>116</v>
      </c>
      <c r="E331" s="72">
        <v>191506</v>
      </c>
      <c r="F331" s="72" t="s">
        <v>253</v>
      </c>
      <c r="G331" s="72" t="s">
        <v>48</v>
      </c>
      <c r="H331" s="72" t="s">
        <v>118</v>
      </c>
      <c r="I331" s="73">
        <v>45738</v>
      </c>
      <c r="J331" s="72">
        <v>26444245</v>
      </c>
      <c r="K331" s="72" t="s">
        <v>135</v>
      </c>
      <c r="L331" s="72" t="str">
        <f>_xlfn.XLOOKUP(Tabla2__2[[#This Row],[CODIGO RUTA]],'DATA INFORME'!I:I,'DATA INFORME'!K:K)</f>
        <v>SI</v>
      </c>
      <c r="M331" s="72" t="str">
        <f>IF(Tabla2__2[[#This Row],[MYSTERY EFECTIVO]]="SI",_xlfn.XLOOKUP(Tabla2__2[[#This Row],[PREGUNTA]],ENCUESTA!G:G,ENCUESTA!D:D),"N/A")</f>
        <v>UNIFORME</v>
      </c>
      <c r="N33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31" s="72" t="str">
        <f>_xlfn.XLOOKUP(Tabla2__2[[#This Row],[PREGUNTA]],ENCUESTA!G:G,ENCUESTA!H:H)</f>
        <v>NO</v>
      </c>
      <c r="P331" s="72">
        <f>IF(Tabla2__2[[#This Row],[RTA]]=Tabla2__2[[#This Row],[RTA CORRECTA]],Tabla2__2[[#This Row],[TOTAL PUNTAJE]],0)</f>
        <v>1.5</v>
      </c>
      <c r="Q331" s="72">
        <f t="shared" si="5"/>
        <v>0</v>
      </c>
      <c r="R331" s="72"/>
    </row>
    <row r="332" spans="1:18" x14ac:dyDescent="0.25">
      <c r="A332" s="72" t="s">
        <v>39</v>
      </c>
      <c r="B332" s="72" t="s">
        <v>9</v>
      </c>
      <c r="C332" t="s">
        <v>15</v>
      </c>
      <c r="D332" s="72" t="s">
        <v>116</v>
      </c>
      <c r="E332" s="72">
        <v>191506</v>
      </c>
      <c r="F332" s="72" t="s">
        <v>253</v>
      </c>
      <c r="G332" s="72" t="s">
        <v>52</v>
      </c>
      <c r="H332" s="72" t="s">
        <v>118</v>
      </c>
      <c r="I332" s="73">
        <v>45738</v>
      </c>
      <c r="J332" s="72">
        <v>26444245</v>
      </c>
      <c r="K332" s="72" t="s">
        <v>135</v>
      </c>
      <c r="L332" s="72" t="str">
        <f>_xlfn.XLOOKUP(Tabla2__2[[#This Row],[CODIGO RUTA]],'DATA INFORME'!I:I,'DATA INFORME'!K:K)</f>
        <v>SI</v>
      </c>
      <c r="M332" s="72" t="str">
        <f>IF(Tabla2__2[[#This Row],[MYSTERY EFECTIVO]]="SI",_xlfn.XLOOKUP(Tabla2__2[[#This Row],[PREGUNTA]],ENCUESTA!G:G,ENCUESTA!D:D),"N/A")</f>
        <v>UNIFORME</v>
      </c>
      <c r="N332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32" s="72" t="str">
        <f>_xlfn.XLOOKUP(Tabla2__2[[#This Row],[PREGUNTA]],ENCUESTA!G:G,ENCUESTA!H:H)</f>
        <v>NO</v>
      </c>
      <c r="P332" s="72">
        <f>IF(Tabla2__2[[#This Row],[RTA]]=Tabla2__2[[#This Row],[RTA CORRECTA]],Tabla2__2[[#This Row],[TOTAL PUNTAJE]],0)</f>
        <v>1.5</v>
      </c>
      <c r="Q332" s="72">
        <f t="shared" si="5"/>
        <v>0</v>
      </c>
    </row>
    <row r="333" spans="1:18" x14ac:dyDescent="0.25">
      <c r="A333" s="72" t="s">
        <v>39</v>
      </c>
      <c r="B333" s="72" t="s">
        <v>9</v>
      </c>
      <c r="C333" t="s">
        <v>15</v>
      </c>
      <c r="D333" s="72" t="s">
        <v>116</v>
      </c>
      <c r="E333" s="72">
        <v>191506</v>
      </c>
      <c r="F333" s="72" t="s">
        <v>253</v>
      </c>
      <c r="G333" s="72" t="s">
        <v>49</v>
      </c>
      <c r="H333" s="72" t="s">
        <v>24</v>
      </c>
      <c r="I333" s="73">
        <v>45738</v>
      </c>
      <c r="J333" s="72">
        <v>26444245</v>
      </c>
      <c r="K333" s="72" t="s">
        <v>135</v>
      </c>
      <c r="L333" s="72" t="str">
        <f>_xlfn.XLOOKUP(Tabla2__2[[#This Row],[CODIGO RUTA]],'DATA INFORME'!I:I,'DATA INFORME'!K:K)</f>
        <v>SI</v>
      </c>
      <c r="M333" s="72" t="str">
        <f>IF(Tabla2__2[[#This Row],[MYSTERY EFECTIVO]]="SI",_xlfn.XLOOKUP(Tabla2__2[[#This Row],[PREGUNTA]],ENCUESTA!G:G,ENCUESTA!D:D),"N/A")</f>
        <v>UNIFORME</v>
      </c>
      <c r="N333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33" s="72" t="str">
        <f>_xlfn.XLOOKUP(Tabla2__2[[#This Row],[PREGUNTA]],ENCUESTA!G:G,ENCUESTA!H:H)</f>
        <v>SI</v>
      </c>
      <c r="P333" s="72">
        <f>IF(Tabla2__2[[#This Row],[RTA]]=Tabla2__2[[#This Row],[RTA CORRECTA]],Tabla2__2[[#This Row],[TOTAL PUNTAJE]],0)</f>
        <v>1.5</v>
      </c>
      <c r="Q333" s="72">
        <f t="shared" si="5"/>
        <v>0</v>
      </c>
    </row>
    <row r="334" spans="1:18" x14ac:dyDescent="0.25">
      <c r="A334" s="72" t="s">
        <v>39</v>
      </c>
      <c r="B334" s="72" t="s">
        <v>9</v>
      </c>
      <c r="C334" t="s">
        <v>15</v>
      </c>
      <c r="D334" s="72" t="s">
        <v>116</v>
      </c>
      <c r="E334" s="72">
        <v>191506</v>
      </c>
      <c r="F334" s="72" t="s">
        <v>253</v>
      </c>
      <c r="G334" s="72" t="s">
        <v>43</v>
      </c>
      <c r="H334" s="72" t="s">
        <v>24</v>
      </c>
      <c r="I334" s="73">
        <v>45738</v>
      </c>
      <c r="J334" s="72">
        <v>26444245</v>
      </c>
      <c r="K334" s="72" t="s">
        <v>135</v>
      </c>
      <c r="L334" s="72" t="str">
        <f>_xlfn.XLOOKUP(Tabla2__2[[#This Row],[CODIGO RUTA]],'DATA INFORME'!I:I,'DATA INFORME'!K:K)</f>
        <v>SI</v>
      </c>
      <c r="M334" s="72" t="str">
        <f>IF(Tabla2__2[[#This Row],[MYSTERY EFECTIVO]]="SI",_xlfn.XLOOKUP(Tabla2__2[[#This Row],[PREGUNTA]],ENCUESTA!G:G,ENCUESTA!D:D),"N/A")</f>
        <v>UNIFORME</v>
      </c>
      <c r="N334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34" s="72" t="str">
        <f>_xlfn.XLOOKUP(Tabla2__2[[#This Row],[PREGUNTA]],ENCUESTA!G:G,ENCUESTA!H:H)</f>
        <v>SI</v>
      </c>
      <c r="P334" s="72">
        <f>IF(Tabla2__2[[#This Row],[RTA]]=Tabla2__2[[#This Row],[RTA CORRECTA]],Tabla2__2[[#This Row],[TOTAL PUNTAJE]],0)</f>
        <v>1.5</v>
      </c>
      <c r="Q334" s="72">
        <f t="shared" si="5"/>
        <v>0</v>
      </c>
    </row>
    <row r="335" spans="1:18" x14ac:dyDescent="0.25">
      <c r="A335" s="72" t="s">
        <v>39</v>
      </c>
      <c r="B335" s="72" t="s">
        <v>9</v>
      </c>
      <c r="C335" t="s">
        <v>15</v>
      </c>
      <c r="D335" s="72" t="s">
        <v>116</v>
      </c>
      <c r="E335" s="72">
        <v>191506</v>
      </c>
      <c r="F335" s="72" t="s">
        <v>253</v>
      </c>
      <c r="G335" s="72" t="s">
        <v>137</v>
      </c>
      <c r="H335" s="72" t="s">
        <v>118</v>
      </c>
      <c r="I335" s="73">
        <v>45738</v>
      </c>
      <c r="J335" s="72">
        <v>26444245</v>
      </c>
      <c r="K335" s="72" t="s">
        <v>135</v>
      </c>
      <c r="L335" s="72" t="str">
        <f>_xlfn.XLOOKUP(Tabla2__2[[#This Row],[CODIGO RUTA]],'DATA INFORME'!I:I,'DATA INFORME'!K:K)</f>
        <v>SI</v>
      </c>
      <c r="M335" s="72" t="str">
        <f>IF(Tabla2__2[[#This Row],[MYSTERY EFECTIVO]]="SI",_xlfn.XLOOKUP(Tabla2__2[[#This Row],[PREGUNTA]],ENCUESTA!G:G,ENCUESTA!D:D),"N/A")</f>
        <v>UNIFORME</v>
      </c>
      <c r="N335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35" s="72" t="str">
        <f>_xlfn.XLOOKUP(Tabla2__2[[#This Row],[PREGUNTA]],ENCUESTA!G:G,ENCUESTA!H:H)</f>
        <v>NO</v>
      </c>
      <c r="P335" s="72">
        <f>IF(Tabla2__2[[#This Row],[RTA]]=Tabla2__2[[#This Row],[RTA CORRECTA]],Tabla2__2[[#This Row],[TOTAL PUNTAJE]],0)</f>
        <v>1.5</v>
      </c>
      <c r="Q335" s="72">
        <f t="shared" si="5"/>
        <v>0</v>
      </c>
    </row>
    <row r="336" spans="1:18" x14ac:dyDescent="0.25">
      <c r="A336" s="72" t="s">
        <v>39</v>
      </c>
      <c r="B336" s="72" t="s">
        <v>9</v>
      </c>
      <c r="C336" t="s">
        <v>15</v>
      </c>
      <c r="D336" s="72" t="s">
        <v>116</v>
      </c>
      <c r="E336" s="72">
        <v>191506</v>
      </c>
      <c r="F336" s="72" t="s">
        <v>253</v>
      </c>
      <c r="G336" s="72" t="s">
        <v>44</v>
      </c>
      <c r="H336" s="72" t="s">
        <v>24</v>
      </c>
      <c r="I336" s="73">
        <v>45738</v>
      </c>
      <c r="J336" s="72">
        <v>26444245</v>
      </c>
      <c r="K336" s="72" t="s">
        <v>135</v>
      </c>
      <c r="L336" s="72" t="str">
        <f>_xlfn.XLOOKUP(Tabla2__2[[#This Row],[CODIGO RUTA]],'DATA INFORME'!I:I,'DATA INFORME'!K:K)</f>
        <v>SI</v>
      </c>
      <c r="M336" s="72" t="str">
        <f>IF(Tabla2__2[[#This Row],[MYSTERY EFECTIVO]]="SI",_xlfn.XLOOKUP(Tabla2__2[[#This Row],[PREGUNTA]],ENCUESTA!G:G,ENCUESTA!D:D),"N/A")</f>
        <v>UNIFORME</v>
      </c>
      <c r="N336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36" s="72" t="str">
        <f>_xlfn.XLOOKUP(Tabla2__2[[#This Row],[PREGUNTA]],ENCUESTA!G:G,ENCUESTA!H:H)</f>
        <v>SI</v>
      </c>
      <c r="P336" s="72">
        <f>IF(Tabla2__2[[#This Row],[RTA]]=Tabla2__2[[#This Row],[RTA CORRECTA]],Tabla2__2[[#This Row],[TOTAL PUNTAJE]],0)</f>
        <v>1.5</v>
      </c>
      <c r="Q336" s="72">
        <f t="shared" si="5"/>
        <v>0</v>
      </c>
    </row>
    <row r="337" spans="1:17" x14ac:dyDescent="0.25">
      <c r="A337" s="72" t="s">
        <v>39</v>
      </c>
      <c r="B337" s="72" t="s">
        <v>9</v>
      </c>
      <c r="C337" t="s">
        <v>15</v>
      </c>
      <c r="D337" s="72" t="s">
        <v>116</v>
      </c>
      <c r="E337" s="72">
        <v>191506</v>
      </c>
      <c r="F337" s="72" t="s">
        <v>253</v>
      </c>
      <c r="G337" s="72" t="s">
        <v>100</v>
      </c>
      <c r="H337" s="72" t="s">
        <v>24</v>
      </c>
      <c r="I337" s="73">
        <v>45738</v>
      </c>
      <c r="J337" s="72">
        <v>26444245</v>
      </c>
      <c r="K337" s="72" t="s">
        <v>135</v>
      </c>
      <c r="L337" s="72" t="str">
        <f>_xlfn.XLOOKUP(Tabla2__2[[#This Row],[CODIGO RUTA]],'DATA INFORME'!I:I,'DATA INFORME'!K:K)</f>
        <v>SI</v>
      </c>
      <c r="M337" s="72" t="str">
        <f>IF(Tabla2__2[[#This Row],[MYSTERY EFECTIVO]]="SI",_xlfn.XLOOKUP(Tabla2__2[[#This Row],[PREGUNTA]],ENCUESTA!G:G,ENCUESTA!D:D),"N/A")</f>
        <v>UNIFORME</v>
      </c>
      <c r="N337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37" s="72" t="str">
        <f>_xlfn.XLOOKUP(Tabla2__2[[#This Row],[PREGUNTA]],ENCUESTA!G:G,ENCUESTA!H:H)</f>
        <v>SI</v>
      </c>
      <c r="P337" s="72">
        <f>IF(Tabla2__2[[#This Row],[RTA]]=Tabla2__2[[#This Row],[RTA CORRECTA]],Tabla2__2[[#This Row],[TOTAL PUNTAJE]],0)</f>
        <v>1.5</v>
      </c>
      <c r="Q337" s="72">
        <f t="shared" si="5"/>
        <v>0</v>
      </c>
    </row>
    <row r="338" spans="1:17" x14ac:dyDescent="0.25">
      <c r="A338" s="72" t="s">
        <v>39</v>
      </c>
      <c r="B338" s="72" t="s">
        <v>9</v>
      </c>
      <c r="C338" t="s">
        <v>15</v>
      </c>
      <c r="D338" s="72" t="s">
        <v>116</v>
      </c>
      <c r="E338" s="72">
        <v>191506</v>
      </c>
      <c r="F338" s="72" t="s">
        <v>253</v>
      </c>
      <c r="G338" s="72" t="s">
        <v>40</v>
      </c>
      <c r="H338" s="72" t="s">
        <v>24</v>
      </c>
      <c r="I338" s="73">
        <v>45738</v>
      </c>
      <c r="J338" s="72">
        <v>26444245</v>
      </c>
      <c r="K338" s="72" t="s">
        <v>135</v>
      </c>
      <c r="L338" s="72" t="str">
        <f>_xlfn.XLOOKUP(Tabla2__2[[#This Row],[CODIGO RUTA]],'DATA INFORME'!I:I,'DATA INFORME'!K:K)</f>
        <v>SI</v>
      </c>
      <c r="M338" s="72" t="str">
        <f>IF(Tabla2__2[[#This Row],[MYSTERY EFECTIVO]]="SI",_xlfn.XLOOKUP(Tabla2__2[[#This Row],[PREGUNTA]],ENCUESTA!G:G,ENCUESTA!D:D),"N/A")</f>
        <v>HORARIO</v>
      </c>
      <c r="N338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338" s="72" t="str">
        <f>_xlfn.XLOOKUP(Tabla2__2[[#This Row],[PREGUNTA]],ENCUESTA!G:G,ENCUESTA!H:H)</f>
        <v>SI</v>
      </c>
      <c r="P338" s="72">
        <f>IF(Tabla2__2[[#This Row],[RTA]]=Tabla2__2[[#This Row],[RTA CORRECTA]],Tabla2__2[[#This Row],[TOTAL PUNTAJE]],0)</f>
        <v>20</v>
      </c>
      <c r="Q338" s="72">
        <f t="shared" si="5"/>
        <v>0</v>
      </c>
    </row>
    <row r="339" spans="1:17" x14ac:dyDescent="0.25">
      <c r="A339" s="72" t="s">
        <v>39</v>
      </c>
      <c r="B339" s="72" t="s">
        <v>9</v>
      </c>
      <c r="C339" t="s">
        <v>15</v>
      </c>
      <c r="D339" s="72" t="s">
        <v>116</v>
      </c>
      <c r="E339" s="72">
        <v>191506</v>
      </c>
      <c r="F339" s="72" t="s">
        <v>253</v>
      </c>
      <c r="G339" s="72" t="s">
        <v>136</v>
      </c>
      <c r="H339" s="72" t="s">
        <v>24</v>
      </c>
      <c r="I339" s="73">
        <v>45738</v>
      </c>
      <c r="J339" s="72">
        <v>26444245</v>
      </c>
      <c r="K339" s="72" t="s">
        <v>135</v>
      </c>
      <c r="L339" s="72" t="str">
        <f>_xlfn.XLOOKUP(Tabla2__2[[#This Row],[CODIGO RUTA]],'DATA INFORME'!I:I,'DATA INFORME'!K:K)</f>
        <v>SI</v>
      </c>
      <c r="M339" s="72" t="str">
        <f>IF(Tabla2__2[[#This Row],[MYSTERY EFECTIVO]]="SI",_xlfn.XLOOKUP(Tabla2__2[[#This Row],[PREGUNTA]],ENCUESTA!G:G,ENCUESTA!D:D),"N/A")</f>
        <v>UNIFORME</v>
      </c>
      <c r="N339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1.5</v>
      </c>
      <c r="O339" s="72" t="str">
        <f>_xlfn.XLOOKUP(Tabla2__2[[#This Row],[PREGUNTA]],ENCUESTA!G:G,ENCUESTA!H:H)</f>
        <v>SI</v>
      </c>
      <c r="P339" s="72">
        <f>IF(Tabla2__2[[#This Row],[RTA]]=Tabla2__2[[#This Row],[RTA CORRECTA]],Tabla2__2[[#This Row],[TOTAL PUNTAJE]],0)</f>
        <v>1.5</v>
      </c>
      <c r="Q339" s="72">
        <f t="shared" si="5"/>
        <v>0</v>
      </c>
    </row>
    <row r="340" spans="1:17" x14ac:dyDescent="0.25">
      <c r="A340" s="72" t="s">
        <v>39</v>
      </c>
      <c r="B340" s="72" t="s">
        <v>9</v>
      </c>
      <c r="C340" t="s">
        <v>16</v>
      </c>
      <c r="D340" s="72" t="s">
        <v>125</v>
      </c>
      <c r="E340" s="72">
        <v>29714</v>
      </c>
      <c r="F340" s="72" t="s">
        <v>242</v>
      </c>
      <c r="G340" s="72" t="s">
        <v>45</v>
      </c>
      <c r="H340" s="72" t="s">
        <v>24</v>
      </c>
      <c r="I340" s="73">
        <v>45738</v>
      </c>
      <c r="J340" s="72">
        <v>26693598</v>
      </c>
      <c r="K340" s="72" t="s">
        <v>135</v>
      </c>
      <c r="L340" s="72" t="str">
        <f>_xlfn.XLOOKUP(Tabla2__2[[#This Row],[CODIGO RUTA]],'DATA INFORME'!I:I,'DATA INFORME'!K:K)</f>
        <v>SI</v>
      </c>
      <c r="M340" s="72" t="str">
        <f>IF(Tabla2__2[[#This Row],[MYSTERY EFECTIVO]]="SI",_xlfn.XLOOKUP(Tabla2__2[[#This Row],[PREGUNTA]],ENCUESTA!G:G,ENCUESTA!D:D),"N/A")</f>
        <v>LABOR DE VENTA</v>
      </c>
      <c r="N340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7.5</v>
      </c>
      <c r="O340" s="72" t="str">
        <f>_xlfn.XLOOKUP(Tabla2__2[[#This Row],[PREGUNTA]],ENCUESTA!G:G,ENCUESTA!H:H)</f>
        <v>SI</v>
      </c>
      <c r="P340" s="72">
        <f>IF(Tabla2__2[[#This Row],[RTA]]=Tabla2__2[[#This Row],[RTA CORRECTA]],Tabla2__2[[#This Row],[TOTAL PUNTAJE]],0)</f>
        <v>7.5</v>
      </c>
      <c r="Q340" s="72">
        <f t="shared" si="5"/>
        <v>0</v>
      </c>
    </row>
    <row r="341" spans="1:17" x14ac:dyDescent="0.25">
      <c r="A341" s="72" t="s">
        <v>39</v>
      </c>
      <c r="B341" s="72" t="s">
        <v>9</v>
      </c>
      <c r="C341" t="s">
        <v>16</v>
      </c>
      <c r="D341" s="72" t="s">
        <v>125</v>
      </c>
      <c r="E341" s="72">
        <v>29714</v>
      </c>
      <c r="F341" s="72" t="s">
        <v>242</v>
      </c>
      <c r="G341" s="72" t="s">
        <v>189</v>
      </c>
      <c r="H341" s="72" t="s">
        <v>118</v>
      </c>
      <c r="I341" s="73">
        <v>45738</v>
      </c>
      <c r="J341" s="72">
        <v>26693598</v>
      </c>
      <c r="K341" s="72" t="s">
        <v>135</v>
      </c>
      <c r="L341" s="72" t="str">
        <f>_xlfn.XLOOKUP(Tabla2__2[[#This Row],[CODIGO RUTA]],'DATA INFORME'!I:I,'DATA INFORME'!K:K)</f>
        <v>SI</v>
      </c>
      <c r="M341" s="72" t="str">
        <f>IF(Tabla2__2[[#This Row],[MYSTERY EFECTIVO]]="SI",_xlfn.XLOOKUP(Tabla2__2[[#This Row],[PREGUNTA]],ENCUESTA!G:G,ENCUESTA!D:D),"N/A")</f>
        <v>N/A</v>
      </c>
      <c r="N341" s="72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1" s="72">
        <f>_xlfn.XLOOKUP(Tabla2__2[[#This Row],[PREGUNTA]],ENCUESTA!G:G,ENCUESTA!H:H)</f>
        <v>0</v>
      </c>
      <c r="P341" s="72">
        <f>IF(Tabla2__2[[#This Row],[RTA]]=Tabla2__2[[#This Row],[RTA CORRECTA]],Tabla2__2[[#This Row],[TOTAL PUNTAJE]],0)</f>
        <v>0</v>
      </c>
      <c r="Q341" s="72">
        <f t="shared" si="5"/>
        <v>0</v>
      </c>
    </row>
    <row r="342" spans="1:17" x14ac:dyDescent="0.25">
      <c r="A342" s="72"/>
      <c r="B342" s="72"/>
      <c r="C342" s="72"/>
      <c r="D342" s="72"/>
      <c r="E342" s="72"/>
      <c r="F342" s="72"/>
      <c r="G342" s="72"/>
      <c r="H342" s="73"/>
      <c r="I342" s="72"/>
      <c r="J342" s="72"/>
      <c r="K342" s="72"/>
      <c r="L342" s="72"/>
      <c r="M342" s="72"/>
      <c r="N342" s="72"/>
      <c r="O342" s="72"/>
      <c r="P342" s="72"/>
      <c r="Q342" s="7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dimension ref="A1:I41"/>
  <sheetViews>
    <sheetView showGridLines="0" zoomScaleNormal="100" workbookViewId="0">
      <selection activeCell="G21" sqref="G21"/>
    </sheetView>
  </sheetViews>
  <sheetFormatPr baseColWidth="10" defaultColWidth="11.42578125" defaultRowHeight="15" x14ac:dyDescent="0.25"/>
  <cols>
    <col min="1" max="1" width="15.7109375" style="98" bestFit="1" customWidth="1"/>
    <col min="2" max="2" width="15.5703125" style="98" bestFit="1" customWidth="1"/>
    <col min="3" max="3" width="13.42578125" style="103" hidden="1" customWidth="1"/>
    <col min="4" max="4" width="20.28515625" style="105" customWidth="1"/>
    <col min="5" max="5" width="37.28515625" style="98" customWidth="1"/>
    <col min="6" max="6" width="11.85546875" customWidth="1"/>
    <col min="7" max="7" width="12.42578125" customWidth="1"/>
    <col min="8" max="8" width="11.140625" customWidth="1"/>
    <col min="9" max="9" width="14.28515625" customWidth="1"/>
    <col min="10" max="10" width="10.85546875" customWidth="1"/>
  </cols>
  <sheetData>
    <row r="1" spans="1:9" ht="24" x14ac:dyDescent="0.25">
      <c r="A1" s="95" t="s">
        <v>26</v>
      </c>
      <c r="B1" s="95" t="s">
        <v>1</v>
      </c>
      <c r="C1" s="95" t="s">
        <v>30</v>
      </c>
      <c r="D1" s="96" t="s">
        <v>27</v>
      </c>
      <c r="E1" s="97" t="s">
        <v>57</v>
      </c>
      <c r="F1" s="8" t="s">
        <v>58</v>
      </c>
      <c r="G1" s="8" t="s">
        <v>59</v>
      </c>
      <c r="H1" s="9" t="s">
        <v>60</v>
      </c>
      <c r="I1" s="26" t="s">
        <v>61</v>
      </c>
    </row>
    <row r="2" spans="1:9" s="6" customFormat="1" ht="13.5" hidden="1" x14ac:dyDescent="0.25">
      <c r="A2" s="109" t="s">
        <v>15</v>
      </c>
      <c r="B2" s="110" t="s">
        <v>62</v>
      </c>
      <c r="C2" s="111">
        <v>424883</v>
      </c>
      <c r="D2" s="110" t="s">
        <v>149</v>
      </c>
      <c r="E2" s="99">
        <v>1</v>
      </c>
      <c r="F2" s="30">
        <v>1</v>
      </c>
      <c r="G2" s="30">
        <f>IF(COUNTIFS(Export!I:I,Tabla1[[#This Row],[CODIGO PDV]])&gt;0,1,0)</f>
        <v>1</v>
      </c>
      <c r="H2" s="31">
        <f>COUNTIFS('DATA INFORME'!D:D,Tabla1[[#This Row],[CODIGO PDV]])</f>
        <v>1</v>
      </c>
      <c r="I2" s="7">
        <f>COUNTIFS('DATA INFORME'!D:D,Tabla1[[#This Row],[CODIGO PDV]],'DATA INFORME'!K:K,"SI")</f>
        <v>0</v>
      </c>
    </row>
    <row r="3" spans="1:9" s="6" customFormat="1" x14ac:dyDescent="0.25">
      <c r="A3" s="106" t="s">
        <v>15</v>
      </c>
      <c r="B3" s="106" t="s">
        <v>8</v>
      </c>
      <c r="C3" s="106">
        <v>109096</v>
      </c>
      <c r="D3" s="106" t="s">
        <v>221</v>
      </c>
      <c r="E3" s="29">
        <v>1</v>
      </c>
      <c r="F3" s="30">
        <v>1</v>
      </c>
      <c r="G3" s="30">
        <f>IF(COUNTIFS(Export!I:I,Tabla1[[#This Row],[CODIGO PDV]])&gt;0,1,0)</f>
        <v>1</v>
      </c>
      <c r="H3" s="31">
        <f>COUNTIFS('DATA INFORME'!D:D,Tabla1[[#This Row],[CODIGO PDV]])</f>
        <v>1</v>
      </c>
      <c r="I3" s="7">
        <f>COUNTIFS('DATA INFORME'!D:D,Tabla1[[#This Row],[CODIGO PDV]],'DATA INFORME'!K:K,"SI")</f>
        <v>1</v>
      </c>
    </row>
    <row r="4" spans="1:9" s="6" customFormat="1" ht="13.5" hidden="1" x14ac:dyDescent="0.25">
      <c r="A4" s="109" t="s">
        <v>15</v>
      </c>
      <c r="B4" s="110" t="s">
        <v>8</v>
      </c>
      <c r="C4" s="111">
        <v>125788</v>
      </c>
      <c r="D4" s="110" t="s">
        <v>243</v>
      </c>
      <c r="E4" s="99">
        <v>1</v>
      </c>
      <c r="F4" s="30">
        <v>1</v>
      </c>
      <c r="G4" s="30">
        <f>IF(COUNTIFS(Export!I:I,Tabla1[[#This Row],[CODIGO PDV]])&gt;0,1,0)</f>
        <v>1</v>
      </c>
      <c r="H4" s="31">
        <f>COUNTIFS('DATA INFORME'!D:D,Tabla1[[#This Row],[CODIGO PDV]])</f>
        <v>1</v>
      </c>
      <c r="I4" s="7">
        <f>COUNTIFS('DATA INFORME'!D:D,Tabla1[[#This Row],[CODIGO PDV]],'DATA INFORME'!K:K,"SI")</f>
        <v>0</v>
      </c>
    </row>
    <row r="5" spans="1:9" s="6" customFormat="1" ht="13.5" hidden="1" x14ac:dyDescent="0.25">
      <c r="A5" s="109" t="s">
        <v>15</v>
      </c>
      <c r="B5" s="110" t="s">
        <v>8</v>
      </c>
      <c r="C5" s="111">
        <v>180619</v>
      </c>
      <c r="D5" s="110" t="s">
        <v>214</v>
      </c>
      <c r="E5" s="100">
        <v>1</v>
      </c>
      <c r="F5" s="55">
        <v>1</v>
      </c>
      <c r="G5" s="30">
        <f>IF(COUNTIFS(Export!I:I,Tabla1[[#This Row],[CODIGO PDV]])&gt;0,1,0)</f>
        <v>1</v>
      </c>
      <c r="H5" s="31">
        <f>COUNTIFS('DATA INFORME'!D:D,Tabla1[[#This Row],[CODIGO PDV]])</f>
        <v>1</v>
      </c>
      <c r="I5" s="7">
        <f>COUNTIFS('DATA INFORME'!D:D,Tabla1[[#This Row],[CODIGO PDV]],'DATA INFORME'!K:K,"SI")</f>
        <v>0</v>
      </c>
    </row>
    <row r="6" spans="1:9" x14ac:dyDescent="0.25">
      <c r="A6" s="106" t="s">
        <v>15</v>
      </c>
      <c r="B6" s="106" t="s">
        <v>8</v>
      </c>
      <c r="C6" s="106">
        <v>180621</v>
      </c>
      <c r="D6" s="107" t="s">
        <v>211</v>
      </c>
      <c r="E6" s="29">
        <v>1</v>
      </c>
      <c r="F6" s="55">
        <v>1</v>
      </c>
      <c r="G6" s="30">
        <f>IF(COUNTIFS(Export!I:I,Tabla1[[#This Row],[CODIGO PDV]])&gt;0,1,0)</f>
        <v>1</v>
      </c>
      <c r="H6" s="31">
        <f>COUNTIFS('DATA INFORME'!D:D,Tabla1[[#This Row],[CODIGO PDV]])</f>
        <v>1</v>
      </c>
      <c r="I6" s="7">
        <f>COUNTIFS('DATA INFORME'!D:D,Tabla1[[#This Row],[CODIGO PDV]],'DATA INFORME'!K:K,"SI")</f>
        <v>1</v>
      </c>
    </row>
    <row r="7" spans="1:9" ht="48" x14ac:dyDescent="0.25">
      <c r="A7" s="32" t="s">
        <v>15</v>
      </c>
      <c r="B7" s="32" t="s">
        <v>8</v>
      </c>
      <c r="C7" s="91">
        <v>188203</v>
      </c>
      <c r="D7" s="86" t="s">
        <v>218</v>
      </c>
      <c r="E7" s="29">
        <v>1</v>
      </c>
      <c r="F7" s="30">
        <v>1</v>
      </c>
      <c r="G7" s="30">
        <f>IF(COUNTIFS(Export!I:I,Tabla1[[#This Row],[CODIGO PDV]])&gt;0,1,0)</f>
        <v>1</v>
      </c>
      <c r="H7" s="31">
        <f>COUNTIFS('DATA INFORME'!D:D,Tabla1[[#This Row],[CODIGO PDV]])</f>
        <v>1</v>
      </c>
      <c r="I7" s="7">
        <f>COUNTIFS('DATA INFORME'!D:D,Tabla1[[#This Row],[CODIGO PDV]],'DATA INFORME'!K:K,"SI")</f>
        <v>1</v>
      </c>
    </row>
    <row r="8" spans="1:9" x14ac:dyDescent="0.25">
      <c r="A8" s="32" t="s">
        <v>15</v>
      </c>
      <c r="B8" s="32" t="s">
        <v>8</v>
      </c>
      <c r="C8" s="91">
        <v>424858</v>
      </c>
      <c r="D8" s="86" t="s">
        <v>207</v>
      </c>
      <c r="E8" s="29">
        <v>1</v>
      </c>
      <c r="F8" s="30">
        <v>1</v>
      </c>
      <c r="G8" s="30">
        <f>IF(COUNTIFS(Export!I:I,Tabla1[[#This Row],[CODIGO PDV]])&gt;0,1,0)</f>
        <v>1</v>
      </c>
      <c r="H8" s="31">
        <f>COUNTIFS('DATA INFORME'!D:D,Tabla1[[#This Row],[CODIGO PDV]])</f>
        <v>1</v>
      </c>
      <c r="I8" s="7">
        <f>COUNTIFS('DATA INFORME'!D:D,Tabla1[[#This Row],[CODIGO PDV]],'DATA INFORME'!K:K,"SI")</f>
        <v>1</v>
      </c>
    </row>
    <row r="9" spans="1:9" hidden="1" x14ac:dyDescent="0.25">
      <c r="A9" s="109" t="s">
        <v>16</v>
      </c>
      <c r="B9" s="110" t="s">
        <v>8</v>
      </c>
      <c r="C9" s="112">
        <v>12390</v>
      </c>
      <c r="D9" s="113" t="s">
        <v>225</v>
      </c>
      <c r="E9" s="99">
        <v>1</v>
      </c>
      <c r="F9" s="30">
        <v>1</v>
      </c>
      <c r="G9" s="30">
        <f>IF(COUNTIFS(Export!I:I,Tabla1[[#This Row],[CODIGO PDV]])&gt;0,1,0)</f>
        <v>1</v>
      </c>
      <c r="H9" s="31">
        <f>COUNTIFS('DATA INFORME'!D:D,Tabla1[[#This Row],[CODIGO PDV]])</f>
        <v>1</v>
      </c>
      <c r="I9" s="7">
        <f>COUNTIFS('DATA INFORME'!D:D,Tabla1[[#This Row],[CODIGO PDV]],'DATA INFORME'!K:K,"SI")</f>
        <v>0</v>
      </c>
    </row>
    <row r="10" spans="1:9" ht="24" x14ac:dyDescent="0.25">
      <c r="A10" s="106" t="s">
        <v>16</v>
      </c>
      <c r="B10" s="106" t="s">
        <v>8</v>
      </c>
      <c r="C10" s="108">
        <v>424893</v>
      </c>
      <c r="D10" s="90" t="s">
        <v>237</v>
      </c>
      <c r="E10" s="29">
        <v>1</v>
      </c>
      <c r="F10" s="30">
        <v>1</v>
      </c>
      <c r="G10" s="30">
        <f>IF(COUNTIFS(Export!I:I,Tabla1[[#This Row],[CODIGO PDV]])&gt;0,1,0)</f>
        <v>1</v>
      </c>
      <c r="H10" s="31">
        <f>COUNTIFS('DATA INFORME'!D:D,Tabla1[[#This Row],[CODIGO PDV]])</f>
        <v>1</v>
      </c>
      <c r="I10" s="7">
        <f>COUNTIFS('DATA INFORME'!D:D,Tabla1[[#This Row],[CODIGO PDV]],'DATA INFORME'!K:K,"SI")</f>
        <v>1</v>
      </c>
    </row>
    <row r="11" spans="1:9" ht="24" x14ac:dyDescent="0.25">
      <c r="A11" s="32" t="s">
        <v>16</v>
      </c>
      <c r="B11" s="32" t="s">
        <v>8</v>
      </c>
      <c r="C11" s="91">
        <v>105381</v>
      </c>
      <c r="D11" s="86" t="s">
        <v>205</v>
      </c>
      <c r="E11" s="29">
        <v>1</v>
      </c>
      <c r="F11" s="30">
        <v>1</v>
      </c>
      <c r="G11" s="30">
        <f>IF(COUNTIFS(Export!I:I,Tabla1[[#This Row],[CODIGO PDV]])&gt;0,1,0)</f>
        <v>1</v>
      </c>
      <c r="H11" s="31">
        <f>COUNTIFS('DATA INFORME'!D:D,Tabla1[[#This Row],[CODIGO PDV]])</f>
        <v>1</v>
      </c>
      <c r="I11" s="7">
        <f>COUNTIFS('DATA INFORME'!D:D,Tabla1[[#This Row],[CODIGO PDV]],'DATA INFORME'!K:K,"SI")</f>
        <v>1</v>
      </c>
    </row>
    <row r="12" spans="1:9" x14ac:dyDescent="0.25">
      <c r="A12" s="32" t="s">
        <v>15</v>
      </c>
      <c r="B12" s="32" t="s">
        <v>9</v>
      </c>
      <c r="C12" s="91">
        <v>191506</v>
      </c>
      <c r="D12" s="86" t="s">
        <v>253</v>
      </c>
      <c r="E12" s="29">
        <v>1</v>
      </c>
      <c r="F12" s="30">
        <v>1</v>
      </c>
      <c r="G12" s="30">
        <f>IF(COUNTIFS(Export!I:I,Tabla1[[#This Row],[CODIGO PDV]])&gt;0,1,0)</f>
        <v>1</v>
      </c>
      <c r="H12" s="31">
        <f>COUNTIFS('DATA INFORME'!D:D,Tabla1[[#This Row],[CODIGO PDV]])</f>
        <v>1</v>
      </c>
      <c r="I12" s="7">
        <f>COUNTIFS('DATA INFORME'!D:D,Tabla1[[#This Row],[CODIGO PDV]],'DATA INFORME'!K:K,"SI")</f>
        <v>1</v>
      </c>
    </row>
    <row r="13" spans="1:9" ht="24" x14ac:dyDescent="0.25">
      <c r="A13" s="32" t="s">
        <v>15</v>
      </c>
      <c r="B13" s="32" t="s">
        <v>9</v>
      </c>
      <c r="C13" s="91">
        <v>356594</v>
      </c>
      <c r="D13" s="86" t="s">
        <v>190</v>
      </c>
      <c r="E13" s="29">
        <v>1</v>
      </c>
      <c r="F13" s="30">
        <v>1</v>
      </c>
      <c r="G13" s="30">
        <f>IF(COUNTIFS(Export!I:I,Tabla1[[#This Row],[CODIGO PDV]])&gt;0,1,0)</f>
        <v>1</v>
      </c>
      <c r="H13" s="31">
        <f>COUNTIFS('DATA INFORME'!D:D,Tabla1[[#This Row],[CODIGO PDV]])</f>
        <v>1</v>
      </c>
      <c r="I13" s="7">
        <f>COUNTIFS('DATA INFORME'!D:D,Tabla1[[#This Row],[CODIGO PDV]],'DATA INFORME'!K:K,"SI")</f>
        <v>1</v>
      </c>
    </row>
    <row r="14" spans="1:9" x14ac:dyDescent="0.25">
      <c r="A14" s="109" t="s">
        <v>16</v>
      </c>
      <c r="B14" s="110" t="s">
        <v>9</v>
      </c>
      <c r="C14" s="112">
        <v>29714</v>
      </c>
      <c r="D14" s="113" t="s">
        <v>242</v>
      </c>
      <c r="E14" s="99">
        <v>1</v>
      </c>
      <c r="F14" s="30">
        <v>1</v>
      </c>
      <c r="G14" s="30">
        <f>IF(COUNTIFS(Export!I:I,Tabla1[[#This Row],[CODIGO PDV]])&gt;0,1,0)</f>
        <v>1</v>
      </c>
      <c r="H14" s="31">
        <f>COUNTIFS('DATA INFORME'!D:D,Tabla1[[#This Row],[CODIGO PDV]])</f>
        <v>1</v>
      </c>
      <c r="I14" s="7">
        <f>COUNTIFS('DATA INFORME'!D:D,Tabla1[[#This Row],[CODIGO PDV]],'DATA INFORME'!K:K,"SI")</f>
        <v>1</v>
      </c>
    </row>
    <row r="15" spans="1:9" ht="24" x14ac:dyDescent="0.25">
      <c r="A15" s="106" t="s">
        <v>63</v>
      </c>
      <c r="B15" s="106" t="s">
        <v>9</v>
      </c>
      <c r="C15" s="108">
        <v>66552</v>
      </c>
      <c r="D15" s="90" t="s">
        <v>127</v>
      </c>
      <c r="E15" s="29">
        <v>1</v>
      </c>
      <c r="F15" s="30">
        <v>1</v>
      </c>
      <c r="G15" s="30">
        <f>IF(COUNTIFS(Export!I:I,Tabla1[[#This Row],[CODIGO PDV]])&gt;0,1,0)</f>
        <v>1</v>
      </c>
      <c r="H15" s="31">
        <f>COUNTIFS('DATA INFORME'!D:D,Tabla1[[#This Row],[CODIGO PDV]])</f>
        <v>1</v>
      </c>
      <c r="I15" s="7">
        <f>COUNTIFS('DATA INFORME'!D:D,Tabla1[[#This Row],[CODIGO PDV]],'DATA INFORME'!K:K,"SI")</f>
        <v>1</v>
      </c>
    </row>
    <row r="16" spans="1:9" ht="24" x14ac:dyDescent="0.25">
      <c r="A16" s="32" t="s">
        <v>15</v>
      </c>
      <c r="B16" s="32" t="s">
        <v>194</v>
      </c>
      <c r="C16" s="91">
        <v>424842</v>
      </c>
      <c r="D16" s="86" t="s">
        <v>247</v>
      </c>
      <c r="E16" s="29">
        <v>1</v>
      </c>
      <c r="F16" s="30">
        <v>1</v>
      </c>
      <c r="G16" s="30">
        <f>IF(COUNTIFS(Export!I:I,Tabla1[[#This Row],[CODIGO PDV]])&gt;0,1,0)</f>
        <v>1</v>
      </c>
      <c r="H16" s="31">
        <f>COUNTIFS('DATA INFORME'!D:D,Tabla1[[#This Row],[CODIGO PDV]])</f>
        <v>1</v>
      </c>
      <c r="I16" s="7">
        <f>COUNTIFS('DATA INFORME'!D:D,Tabla1[[#This Row],[CODIGO PDV]],'DATA INFORME'!K:K,"SI")</f>
        <v>1</v>
      </c>
    </row>
    <row r="17" spans="1:9" hidden="1" x14ac:dyDescent="0.25">
      <c r="A17" s="109" t="s">
        <v>16</v>
      </c>
      <c r="B17" s="110" t="s">
        <v>194</v>
      </c>
      <c r="C17" s="112">
        <v>12130</v>
      </c>
      <c r="D17" s="113" t="s">
        <v>196</v>
      </c>
      <c r="E17" s="99">
        <v>1</v>
      </c>
      <c r="F17" s="30">
        <v>1</v>
      </c>
      <c r="G17" s="30">
        <f>IF(COUNTIFS(Export!I:I,Tabla1[[#This Row],[CODIGO PDV]])&gt;0,1,0)</f>
        <v>1</v>
      </c>
      <c r="H17" s="31">
        <f>COUNTIFS('DATA INFORME'!D:D,Tabla1[[#This Row],[CODIGO PDV]])</f>
        <v>1</v>
      </c>
      <c r="I17" s="7">
        <f>COUNTIFS('DATA INFORME'!D:D,Tabla1[[#This Row],[CODIGO PDV]],'DATA INFORME'!K:K,"SI")</f>
        <v>0</v>
      </c>
    </row>
    <row r="20" spans="1:9" x14ac:dyDescent="0.25">
      <c r="A20" s="101" t="s">
        <v>26</v>
      </c>
      <c r="B20" s="101" t="s">
        <v>1</v>
      </c>
      <c r="C20" s="101" t="s">
        <v>54</v>
      </c>
      <c r="D20" s="114" t="s">
        <v>55</v>
      </c>
      <c r="E20" s="115" t="s">
        <v>66</v>
      </c>
    </row>
    <row r="21" spans="1:9" s="94" customFormat="1" ht="22.5" x14ac:dyDescent="0.25">
      <c r="A21" s="133" t="s">
        <v>15</v>
      </c>
      <c r="B21" s="133" t="s">
        <v>62</v>
      </c>
      <c r="C21" s="133">
        <v>424883</v>
      </c>
      <c r="D21" s="133" t="s">
        <v>295</v>
      </c>
      <c r="E21" s="116" t="s">
        <v>296</v>
      </c>
      <c r="F21"/>
      <c r="G21" s="92"/>
      <c r="H21" s="92"/>
      <c r="I21" s="93"/>
    </row>
    <row r="22" spans="1:9" s="94" customFormat="1" ht="22.5" x14ac:dyDescent="0.25">
      <c r="A22" s="133" t="s">
        <v>15</v>
      </c>
      <c r="B22" s="133" t="s">
        <v>8</v>
      </c>
      <c r="C22" s="133">
        <v>125788</v>
      </c>
      <c r="D22" s="133" t="s">
        <v>243</v>
      </c>
      <c r="E22" s="116" t="s">
        <v>259</v>
      </c>
      <c r="F22" s="92"/>
      <c r="G22" s="92"/>
      <c r="H22" s="93"/>
      <c r="I22" s="93"/>
    </row>
    <row r="23" spans="1:9" s="94" customFormat="1" x14ac:dyDescent="0.25">
      <c r="A23" s="133" t="s">
        <v>15</v>
      </c>
      <c r="B23" s="133" t="s">
        <v>8</v>
      </c>
      <c r="C23" s="133">
        <v>180619</v>
      </c>
      <c r="D23" s="133" t="s">
        <v>214</v>
      </c>
      <c r="E23" s="116" t="s">
        <v>234</v>
      </c>
      <c r="F23" s="92"/>
      <c r="G23" s="92"/>
      <c r="H23" s="93"/>
      <c r="I23" s="93"/>
    </row>
    <row r="24" spans="1:9" s="94" customFormat="1" x14ac:dyDescent="0.25">
      <c r="A24" s="133" t="s">
        <v>16</v>
      </c>
      <c r="B24" s="133" t="s">
        <v>8</v>
      </c>
      <c r="C24" s="131">
        <v>12390</v>
      </c>
      <c r="D24" s="132" t="s">
        <v>225</v>
      </c>
      <c r="E24" s="116" t="s">
        <v>233</v>
      </c>
      <c r="F24" s="92"/>
      <c r="G24" s="92"/>
      <c r="H24" s="93"/>
      <c r="I24" s="93"/>
    </row>
    <row r="25" spans="1:9" s="94" customFormat="1" x14ac:dyDescent="0.25">
      <c r="A25" s="133" t="s">
        <v>16</v>
      </c>
      <c r="B25" s="133" t="s">
        <v>194</v>
      </c>
      <c r="C25" s="131">
        <v>12130</v>
      </c>
      <c r="D25" s="132" t="s">
        <v>196</v>
      </c>
      <c r="E25" s="116" t="s">
        <v>235</v>
      </c>
      <c r="F25" s="92"/>
      <c r="G25" s="92"/>
      <c r="H25" s="93"/>
      <c r="I25" s="93"/>
    </row>
    <row r="26" spans="1:9" x14ac:dyDescent="0.25">
      <c r="A26" s="102"/>
      <c r="D26" s="98"/>
      <c r="E26" s="104"/>
      <c r="F26" s="74"/>
      <c r="G26" s="74"/>
      <c r="H26" s="75"/>
      <c r="I26" s="75"/>
    </row>
    <row r="27" spans="1:9" x14ac:dyDescent="0.25">
      <c r="A27" s="102"/>
      <c r="D27" s="98"/>
      <c r="F27" s="74"/>
      <c r="G27" s="74"/>
      <c r="H27" s="75"/>
      <c r="I27" s="75"/>
    </row>
    <row r="29" spans="1:9" s="6" customFormat="1" x14ac:dyDescent="0.25">
      <c r="A29" s="98"/>
      <c r="B29" s="98"/>
      <c r="C29" s="103"/>
      <c r="D29" s="105"/>
      <c r="E29" s="98"/>
      <c r="F29"/>
      <c r="G29"/>
      <c r="H29"/>
      <c r="I29"/>
    </row>
    <row r="30" spans="1:9" ht="27.95" customHeight="1" x14ac:dyDescent="0.25">
      <c r="A30" s="101" t="s">
        <v>26</v>
      </c>
      <c r="B30" s="101" t="s">
        <v>1</v>
      </c>
      <c r="C30" s="101" t="s">
        <v>54</v>
      </c>
      <c r="D30" s="114" t="s">
        <v>55</v>
      </c>
    </row>
    <row r="31" spans="1:9" ht="14.25" customHeight="1" x14ac:dyDescent="0.25">
      <c r="A31" s="120" t="s">
        <v>15</v>
      </c>
      <c r="B31" s="120" t="s">
        <v>8</v>
      </c>
      <c r="C31" s="120">
        <v>109096</v>
      </c>
      <c r="D31" s="120" t="s">
        <v>221</v>
      </c>
    </row>
    <row r="32" spans="1:9" ht="14.25" customHeight="1" x14ac:dyDescent="0.25">
      <c r="A32" s="120" t="s">
        <v>15</v>
      </c>
      <c r="B32" s="120" t="s">
        <v>8</v>
      </c>
      <c r="C32" s="120">
        <v>180621</v>
      </c>
      <c r="D32" s="121" t="s">
        <v>211</v>
      </c>
    </row>
    <row r="33" spans="1:4" ht="14.25" customHeight="1" x14ac:dyDescent="0.25">
      <c r="A33" s="122" t="s">
        <v>15</v>
      </c>
      <c r="B33" s="122" t="s">
        <v>8</v>
      </c>
      <c r="C33" s="123">
        <v>188203</v>
      </c>
      <c r="D33" s="113" t="s">
        <v>218</v>
      </c>
    </row>
    <row r="34" spans="1:4" ht="14.25" customHeight="1" x14ac:dyDescent="0.25">
      <c r="A34" s="122" t="s">
        <v>15</v>
      </c>
      <c r="B34" s="122" t="s">
        <v>8</v>
      </c>
      <c r="C34" s="123">
        <v>424858</v>
      </c>
      <c r="D34" s="113" t="s">
        <v>207</v>
      </c>
    </row>
    <row r="35" spans="1:4" ht="14.25" customHeight="1" x14ac:dyDescent="0.25">
      <c r="A35" s="120" t="s">
        <v>16</v>
      </c>
      <c r="B35" s="120" t="s">
        <v>8</v>
      </c>
      <c r="C35" s="124">
        <v>424893</v>
      </c>
      <c r="D35" s="125" t="s">
        <v>237</v>
      </c>
    </row>
    <row r="36" spans="1:4" ht="14.25" customHeight="1" x14ac:dyDescent="0.25">
      <c r="A36" s="122" t="s">
        <v>16</v>
      </c>
      <c r="B36" s="122" t="s">
        <v>8</v>
      </c>
      <c r="C36" s="123">
        <v>105381</v>
      </c>
      <c r="D36" s="113" t="s">
        <v>205</v>
      </c>
    </row>
    <row r="37" spans="1:4" ht="14.25" customHeight="1" x14ac:dyDescent="0.25">
      <c r="A37" s="122" t="s">
        <v>15</v>
      </c>
      <c r="B37" s="122" t="s">
        <v>9</v>
      </c>
      <c r="C37" s="123">
        <v>191506</v>
      </c>
      <c r="D37" s="113" t="s">
        <v>253</v>
      </c>
    </row>
    <row r="38" spans="1:4" ht="14.25" customHeight="1" x14ac:dyDescent="0.25">
      <c r="A38" s="122" t="s">
        <v>15</v>
      </c>
      <c r="B38" s="122" t="s">
        <v>9</v>
      </c>
      <c r="C38" s="123">
        <v>356594</v>
      </c>
      <c r="D38" s="113" t="s">
        <v>190</v>
      </c>
    </row>
    <row r="39" spans="1:4" ht="14.25" customHeight="1" x14ac:dyDescent="0.25">
      <c r="A39" s="122" t="s">
        <v>16</v>
      </c>
      <c r="B39" s="122" t="s">
        <v>9</v>
      </c>
      <c r="C39" s="123">
        <v>29714</v>
      </c>
      <c r="D39" s="113" t="s">
        <v>242</v>
      </c>
    </row>
    <row r="40" spans="1:4" ht="14.25" customHeight="1" x14ac:dyDescent="0.25">
      <c r="A40" s="120" t="s">
        <v>63</v>
      </c>
      <c r="B40" s="120" t="s">
        <v>9</v>
      </c>
      <c r="C40" s="124">
        <v>66552</v>
      </c>
      <c r="D40" s="125" t="s">
        <v>127</v>
      </c>
    </row>
    <row r="41" spans="1:4" ht="14.25" customHeight="1" x14ac:dyDescent="0.25">
      <c r="A41" s="122" t="s">
        <v>15</v>
      </c>
      <c r="B41" s="122" t="s">
        <v>194</v>
      </c>
      <c r="C41" s="123">
        <v>424842</v>
      </c>
      <c r="D41" s="113" t="s">
        <v>247</v>
      </c>
    </row>
  </sheetData>
  <phoneticPr fontId="3" type="noConversion"/>
  <conditionalFormatting sqref="D1">
    <cfRule type="duplicateValues" dxfId="6" priority="29"/>
  </conditionalFormatting>
  <conditionalFormatting sqref="D20">
    <cfRule type="duplicateValues" dxfId="5" priority="2"/>
  </conditionalFormatting>
  <conditionalFormatting sqref="D30">
    <cfRule type="duplicateValues" dxfId="4" priority="1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AD-F1CE-4E4C-BF86-A78BF80D79A3}">
  <dimension ref="A1:AV17"/>
  <sheetViews>
    <sheetView workbookViewId="0">
      <selection activeCell="E10" sqref="E10"/>
    </sheetView>
  </sheetViews>
  <sheetFormatPr baseColWidth="10" defaultRowHeight="15" x14ac:dyDescent="0.25"/>
  <cols>
    <col min="1" max="1" width="14.5703125" bestFit="1" customWidth="1"/>
    <col min="2" max="2" width="14.42578125" bestFit="1" customWidth="1"/>
    <col min="3" max="3" width="16.85546875" bestFit="1" customWidth="1"/>
    <col min="4" max="4" width="15.28515625" bestFit="1" customWidth="1"/>
    <col min="5" max="5" width="54.28515625" bestFit="1" customWidth="1"/>
    <col min="6" max="6" width="27.28515625" hidden="1" customWidth="1"/>
    <col min="7" max="7" width="40.42578125" hidden="1" customWidth="1"/>
    <col min="8" max="8" width="15.5703125" bestFit="1" customWidth="1"/>
    <col min="9" max="9" width="16.28515625" bestFit="1" customWidth="1"/>
    <col min="10" max="10" width="11.5703125" bestFit="1" customWidth="1"/>
    <col min="11" max="11" width="56.5703125" bestFit="1" customWidth="1"/>
    <col min="12" max="13" width="81.140625" bestFit="1" customWidth="1"/>
    <col min="14" max="14" width="50.85546875" bestFit="1" customWidth="1"/>
    <col min="15" max="15" width="81.140625" bestFit="1" customWidth="1"/>
    <col min="16" max="16" width="68.5703125" bestFit="1" customWidth="1"/>
    <col min="17" max="17" width="53.28515625" bestFit="1" customWidth="1"/>
    <col min="18" max="20" width="81.140625" bestFit="1" customWidth="1"/>
    <col min="21" max="21" width="66.7109375" bestFit="1" customWidth="1"/>
    <col min="22" max="22" width="55.85546875" bestFit="1" customWidth="1"/>
    <col min="23" max="24" width="81.140625" bestFit="1" customWidth="1"/>
    <col min="25" max="25" width="27.42578125" bestFit="1" customWidth="1"/>
    <col min="26" max="26" width="81.140625" bestFit="1" customWidth="1"/>
    <col min="27" max="27" width="77.140625" bestFit="1" customWidth="1"/>
    <col min="28" max="31" width="81.140625" bestFit="1" customWidth="1"/>
    <col min="32" max="32" width="77.28515625" bestFit="1" customWidth="1"/>
    <col min="33" max="33" width="70" bestFit="1" customWidth="1"/>
    <col min="34" max="34" width="32.140625" bestFit="1" customWidth="1"/>
    <col min="35" max="35" width="30.28515625" bestFit="1" customWidth="1"/>
    <col min="36" max="36" width="46.5703125" bestFit="1" customWidth="1"/>
    <col min="37" max="37" width="51" bestFit="1" customWidth="1"/>
    <col min="38" max="38" width="81.140625" bestFit="1" customWidth="1"/>
    <col min="39" max="39" width="81.140625" customWidth="1"/>
    <col min="40" max="40" width="73.140625" bestFit="1" customWidth="1"/>
    <col min="41" max="41" width="81.140625" bestFit="1" customWidth="1"/>
    <col min="42" max="46" width="81.140625" customWidth="1"/>
    <col min="47" max="47" width="31.7109375" bestFit="1" customWidth="1"/>
    <col min="48" max="48" width="81.140625" bestFit="1" customWidth="1"/>
    <col min="49" max="49" width="81.140625" customWidth="1"/>
    <col min="50" max="50" width="10.42578125" bestFit="1" customWidth="1"/>
    <col min="51" max="51" width="12.28515625" bestFit="1" customWidth="1"/>
    <col min="52" max="52" width="12.5703125" bestFit="1" customWidth="1"/>
    <col min="53" max="53" width="67.5703125" customWidth="1"/>
    <col min="54" max="58" width="80.7109375" customWidth="1"/>
    <col min="59" max="59" width="29.140625" customWidth="1"/>
    <col min="60" max="60" width="27.28515625" customWidth="1"/>
    <col min="61" max="61" width="9.7109375" customWidth="1"/>
    <col min="62" max="62" width="11.42578125" bestFit="1" customWidth="1"/>
    <col min="63" max="63" width="11.7109375" bestFit="1" customWidth="1"/>
    <col min="64" max="64" width="11.42578125" bestFit="1" customWidth="1"/>
    <col min="65" max="65" width="56" bestFit="1" customWidth="1"/>
    <col min="66" max="66" width="46.140625" bestFit="1" customWidth="1"/>
    <col min="67" max="68" width="56" bestFit="1" customWidth="1"/>
    <col min="69" max="69" width="48.28515625" bestFit="1" customWidth="1"/>
    <col min="70" max="73" width="56" bestFit="1" customWidth="1"/>
    <col min="74" max="74" width="48.85546875" bestFit="1" customWidth="1"/>
    <col min="75" max="76" width="56" bestFit="1" customWidth="1"/>
    <col min="77" max="77" width="25.28515625" bestFit="1" customWidth="1"/>
    <col min="78" max="82" width="56" bestFit="1" customWidth="1"/>
    <col min="83" max="83" width="42.42578125" bestFit="1" customWidth="1"/>
    <col min="84" max="84" width="46.140625" bestFit="1" customWidth="1"/>
    <col min="85" max="85" width="25.140625" bestFit="1" customWidth="1"/>
    <col min="86" max="93" width="56" bestFit="1" customWidth="1"/>
    <col min="94" max="94" width="29.140625" bestFit="1" customWidth="1"/>
    <col min="95" max="95" width="9.85546875" bestFit="1" customWidth="1"/>
    <col min="96" max="96" width="11.42578125" bestFit="1" customWidth="1"/>
  </cols>
  <sheetData>
    <row r="1" spans="1:48" x14ac:dyDescent="0.25">
      <c r="A1" t="s">
        <v>28</v>
      </c>
      <c r="B1" t="s">
        <v>1</v>
      </c>
      <c r="C1" t="s">
        <v>29</v>
      </c>
      <c r="D1" t="s">
        <v>30</v>
      </c>
      <c r="E1" t="s">
        <v>27</v>
      </c>
      <c r="F1" t="s">
        <v>73</v>
      </c>
      <c r="G1" t="s">
        <v>74</v>
      </c>
      <c r="H1" t="s">
        <v>33</v>
      </c>
      <c r="I1" t="s">
        <v>34</v>
      </c>
      <c r="J1" t="s">
        <v>35</v>
      </c>
      <c r="K1" t="s">
        <v>40</v>
      </c>
      <c r="L1" t="s">
        <v>100</v>
      </c>
      <c r="M1" t="s">
        <v>136</v>
      </c>
      <c r="N1" t="s">
        <v>44</v>
      </c>
      <c r="O1" t="s">
        <v>137</v>
      </c>
      <c r="P1" t="s">
        <v>43</v>
      </c>
      <c r="Q1" t="s">
        <v>49</v>
      </c>
      <c r="R1" t="s">
        <v>52</v>
      </c>
      <c r="S1" t="s">
        <v>48</v>
      </c>
      <c r="T1" t="s">
        <v>47</v>
      </c>
      <c r="U1" t="s">
        <v>46</v>
      </c>
      <c r="V1" t="s">
        <v>138</v>
      </c>
      <c r="W1" t="s">
        <v>101</v>
      </c>
      <c r="X1" t="s">
        <v>99</v>
      </c>
      <c r="Y1" t="s">
        <v>102</v>
      </c>
      <c r="Z1" t="s">
        <v>139</v>
      </c>
      <c r="AA1" t="s">
        <v>140</v>
      </c>
      <c r="AB1" t="s">
        <v>141</v>
      </c>
      <c r="AC1" t="s">
        <v>142</v>
      </c>
      <c r="AD1" t="s">
        <v>143</v>
      </c>
      <c r="AE1" t="s">
        <v>144</v>
      </c>
      <c r="AF1" t="s">
        <v>145</v>
      </c>
      <c r="AG1" t="s">
        <v>146</v>
      </c>
      <c r="AH1" t="s">
        <v>41</v>
      </c>
      <c r="AI1" t="s">
        <v>42</v>
      </c>
      <c r="AJ1" t="s">
        <v>51</v>
      </c>
      <c r="AK1" t="s">
        <v>50</v>
      </c>
      <c r="AL1" t="s">
        <v>148</v>
      </c>
      <c r="AM1" t="s">
        <v>45</v>
      </c>
      <c r="AN1" t="s">
        <v>169</v>
      </c>
      <c r="AO1" t="s">
        <v>171</v>
      </c>
      <c r="AP1" t="s">
        <v>173</v>
      </c>
      <c r="AQ1" t="s">
        <v>175</v>
      </c>
      <c r="AR1" t="s">
        <v>177</v>
      </c>
      <c r="AS1" t="s">
        <v>179</v>
      </c>
      <c r="AT1" t="s">
        <v>181</v>
      </c>
      <c r="AU1" t="s">
        <v>189</v>
      </c>
      <c r="AV1" t="s">
        <v>202</v>
      </c>
    </row>
    <row r="2" spans="1:48" x14ac:dyDescent="0.25">
      <c r="A2" t="s">
        <v>39</v>
      </c>
      <c r="B2" t="s">
        <v>62</v>
      </c>
      <c r="C2" t="s">
        <v>116</v>
      </c>
      <c r="D2">
        <v>424883</v>
      </c>
      <c r="E2" t="s">
        <v>149</v>
      </c>
      <c r="F2">
        <v>1</v>
      </c>
      <c r="G2" t="s">
        <v>131</v>
      </c>
      <c r="H2" s="56">
        <v>45730</v>
      </c>
      <c r="I2">
        <v>26400532</v>
      </c>
      <c r="J2" t="s">
        <v>153</v>
      </c>
      <c r="K2" t="s">
        <v>118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104</v>
      </c>
      <c r="X2" t="s">
        <v>118</v>
      </c>
      <c r="Y2" t="s">
        <v>167</v>
      </c>
      <c r="AH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</row>
    <row r="3" spans="1:48" x14ac:dyDescent="0.25">
      <c r="A3" t="s">
        <v>39</v>
      </c>
      <c r="B3" t="s">
        <v>8</v>
      </c>
      <c r="C3" t="s">
        <v>116</v>
      </c>
      <c r="D3">
        <v>109096</v>
      </c>
      <c r="E3" t="s">
        <v>221</v>
      </c>
      <c r="F3">
        <v>1</v>
      </c>
      <c r="G3" t="s">
        <v>188</v>
      </c>
      <c r="H3" s="56">
        <v>45734</v>
      </c>
      <c r="I3">
        <v>26424986</v>
      </c>
      <c r="J3" t="s">
        <v>53</v>
      </c>
      <c r="K3" t="s">
        <v>24</v>
      </c>
      <c r="L3" t="s">
        <v>24</v>
      </c>
      <c r="M3" t="s">
        <v>24</v>
      </c>
      <c r="N3" t="s">
        <v>24</v>
      </c>
      <c r="O3" t="s">
        <v>118</v>
      </c>
      <c r="P3" t="s">
        <v>24</v>
      </c>
      <c r="Q3" t="s">
        <v>24</v>
      </c>
      <c r="R3" t="s">
        <v>118</v>
      </c>
      <c r="S3" t="s">
        <v>118</v>
      </c>
      <c r="T3" t="s">
        <v>118</v>
      </c>
      <c r="U3" t="s">
        <v>24</v>
      </c>
      <c r="V3" t="s">
        <v>24</v>
      </c>
      <c r="X3" t="s">
        <v>118</v>
      </c>
      <c r="Y3" t="s">
        <v>167</v>
      </c>
      <c r="AH3" t="s">
        <v>24</v>
      </c>
      <c r="AJ3" t="s">
        <v>118</v>
      </c>
      <c r="AK3" t="s">
        <v>24</v>
      </c>
      <c r="AL3" t="s">
        <v>118</v>
      </c>
      <c r="AM3" t="s">
        <v>118</v>
      </c>
      <c r="AN3" t="s">
        <v>24</v>
      </c>
      <c r="AO3" t="s">
        <v>24</v>
      </c>
      <c r="AP3" t="s">
        <v>24</v>
      </c>
      <c r="AQ3" t="s">
        <v>24</v>
      </c>
      <c r="AU3" t="s">
        <v>118</v>
      </c>
    </row>
    <row r="4" spans="1:48" x14ac:dyDescent="0.25">
      <c r="A4" s="117" t="s">
        <v>39</v>
      </c>
      <c r="B4" s="117" t="s">
        <v>8</v>
      </c>
      <c r="C4" s="117" t="s">
        <v>116</v>
      </c>
      <c r="D4" s="117">
        <v>125788</v>
      </c>
      <c r="E4" s="117" t="s">
        <v>243</v>
      </c>
      <c r="F4" s="117">
        <v>1</v>
      </c>
      <c r="G4" s="117" t="s">
        <v>188</v>
      </c>
      <c r="H4" s="118">
        <v>45737</v>
      </c>
      <c r="I4" s="117">
        <v>26440851</v>
      </c>
      <c r="J4" s="117" t="s">
        <v>115</v>
      </c>
      <c r="K4" s="117" t="s">
        <v>118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 t="s">
        <v>24</v>
      </c>
      <c r="AV4" s="117" t="s">
        <v>246</v>
      </c>
    </row>
    <row r="5" spans="1:48" x14ac:dyDescent="0.25">
      <c r="A5" t="s">
        <v>39</v>
      </c>
      <c r="B5" t="s">
        <v>8</v>
      </c>
      <c r="C5" t="s">
        <v>116</v>
      </c>
      <c r="D5">
        <v>180619</v>
      </c>
      <c r="E5" t="s">
        <v>214</v>
      </c>
      <c r="F5">
        <v>1</v>
      </c>
      <c r="G5" t="s">
        <v>188</v>
      </c>
      <c r="H5" s="56">
        <v>45731</v>
      </c>
      <c r="I5">
        <v>26420000</v>
      </c>
      <c r="J5" t="s">
        <v>115</v>
      </c>
      <c r="K5" t="s">
        <v>118</v>
      </c>
      <c r="AU5" t="s">
        <v>24</v>
      </c>
      <c r="AV5" t="s">
        <v>217</v>
      </c>
    </row>
    <row r="6" spans="1:48" x14ac:dyDescent="0.25">
      <c r="A6" s="117" t="s">
        <v>39</v>
      </c>
      <c r="B6" s="117" t="s">
        <v>8</v>
      </c>
      <c r="C6" s="117" t="s">
        <v>116</v>
      </c>
      <c r="D6" s="117">
        <v>180621</v>
      </c>
      <c r="E6" s="117" t="s">
        <v>211</v>
      </c>
      <c r="F6" s="117">
        <v>1</v>
      </c>
      <c r="G6" s="117" t="s">
        <v>188</v>
      </c>
      <c r="H6" s="118">
        <v>45731</v>
      </c>
      <c r="I6" s="117">
        <v>26419998</v>
      </c>
      <c r="J6" s="117" t="s">
        <v>115</v>
      </c>
      <c r="K6" s="117" t="s">
        <v>24</v>
      </c>
      <c r="L6" s="117" t="s">
        <v>24</v>
      </c>
      <c r="M6" s="117" t="s">
        <v>24</v>
      </c>
      <c r="N6" s="117" t="s">
        <v>24</v>
      </c>
      <c r="O6" s="117" t="s">
        <v>118</v>
      </c>
      <c r="P6" s="117" t="s">
        <v>24</v>
      </c>
      <c r="Q6" s="117" t="s">
        <v>24</v>
      </c>
      <c r="R6" s="117" t="s">
        <v>118</v>
      </c>
      <c r="S6" s="117" t="s">
        <v>118</v>
      </c>
      <c r="T6" s="117" t="s">
        <v>118</v>
      </c>
      <c r="U6" s="117" t="s">
        <v>24</v>
      </c>
      <c r="V6" s="117" t="s">
        <v>24</v>
      </c>
      <c r="W6" s="117" t="s">
        <v>24</v>
      </c>
      <c r="X6" s="117" t="s">
        <v>24</v>
      </c>
      <c r="Y6" s="117" t="s">
        <v>167</v>
      </c>
      <c r="Z6" s="117"/>
      <c r="AA6" s="117"/>
      <c r="AB6" s="117"/>
      <c r="AC6" s="117"/>
      <c r="AD6" s="117"/>
      <c r="AE6" s="117"/>
      <c r="AF6" s="117"/>
      <c r="AG6" s="117"/>
      <c r="AH6" s="117" t="s">
        <v>24</v>
      </c>
      <c r="AI6" s="117"/>
      <c r="AJ6" s="117" t="s">
        <v>24</v>
      </c>
      <c r="AK6" s="117" t="s">
        <v>24</v>
      </c>
      <c r="AL6" s="117" t="s">
        <v>118</v>
      </c>
      <c r="AM6" s="117" t="s">
        <v>24</v>
      </c>
      <c r="AN6" s="117" t="s">
        <v>24</v>
      </c>
      <c r="AO6" s="117" t="s">
        <v>24</v>
      </c>
      <c r="AP6" s="117" t="s">
        <v>24</v>
      </c>
      <c r="AQ6" s="117" t="s">
        <v>24</v>
      </c>
      <c r="AR6" s="117" t="s">
        <v>118</v>
      </c>
      <c r="AS6" s="117"/>
      <c r="AT6" s="117"/>
      <c r="AU6" s="117" t="s">
        <v>118</v>
      </c>
      <c r="AV6" s="117"/>
    </row>
    <row r="7" spans="1:48" x14ac:dyDescent="0.25">
      <c r="A7" t="s">
        <v>39</v>
      </c>
      <c r="B7" t="s">
        <v>8</v>
      </c>
      <c r="C7" t="s">
        <v>116</v>
      </c>
      <c r="D7">
        <v>188203</v>
      </c>
      <c r="E7" t="s">
        <v>218</v>
      </c>
      <c r="F7">
        <v>1</v>
      </c>
      <c r="G7" t="s">
        <v>188</v>
      </c>
      <c r="H7" s="56">
        <v>45734</v>
      </c>
      <c r="I7">
        <v>26424985</v>
      </c>
      <c r="J7" t="s">
        <v>53</v>
      </c>
      <c r="K7" t="s">
        <v>24</v>
      </c>
      <c r="L7" t="s">
        <v>24</v>
      </c>
      <c r="M7" t="s">
        <v>24</v>
      </c>
      <c r="N7" t="s">
        <v>24</v>
      </c>
      <c r="O7" t="s">
        <v>118</v>
      </c>
      <c r="P7" t="s">
        <v>24</v>
      </c>
      <c r="Q7" t="s">
        <v>24</v>
      </c>
      <c r="R7" t="s">
        <v>118</v>
      </c>
      <c r="S7" t="s">
        <v>24</v>
      </c>
      <c r="T7" t="s">
        <v>118</v>
      </c>
      <c r="U7" t="s">
        <v>24</v>
      </c>
      <c r="V7" t="s">
        <v>24</v>
      </c>
      <c r="X7" t="s">
        <v>24</v>
      </c>
      <c r="Y7" t="s">
        <v>167</v>
      </c>
      <c r="AH7" t="s">
        <v>24</v>
      </c>
      <c r="AI7" t="s">
        <v>147</v>
      </c>
      <c r="AJ7" t="s">
        <v>24</v>
      </c>
      <c r="AK7" t="s">
        <v>24</v>
      </c>
      <c r="AL7" t="s">
        <v>24</v>
      </c>
      <c r="AM7" t="s">
        <v>24</v>
      </c>
      <c r="AN7" t="s">
        <v>24</v>
      </c>
      <c r="AO7" t="s">
        <v>24</v>
      </c>
      <c r="AP7" t="s">
        <v>24</v>
      </c>
      <c r="AQ7" t="s">
        <v>24</v>
      </c>
      <c r="AR7" t="s">
        <v>24</v>
      </c>
      <c r="AU7" t="s">
        <v>118</v>
      </c>
    </row>
    <row r="8" spans="1:48" x14ac:dyDescent="0.25">
      <c r="A8" t="s">
        <v>39</v>
      </c>
      <c r="B8" t="s">
        <v>8</v>
      </c>
      <c r="C8" t="s">
        <v>116</v>
      </c>
      <c r="D8">
        <v>424858</v>
      </c>
      <c r="E8" t="s">
        <v>207</v>
      </c>
      <c r="F8">
        <v>1</v>
      </c>
      <c r="G8" t="s">
        <v>188</v>
      </c>
      <c r="H8" s="56">
        <v>45730</v>
      </c>
      <c r="I8">
        <v>26419994</v>
      </c>
      <c r="J8" t="s">
        <v>115</v>
      </c>
      <c r="K8" t="s">
        <v>24</v>
      </c>
      <c r="L8" t="s">
        <v>24</v>
      </c>
      <c r="M8" t="s">
        <v>24</v>
      </c>
      <c r="N8" t="s">
        <v>24</v>
      </c>
      <c r="O8" t="s">
        <v>118</v>
      </c>
      <c r="P8" t="s">
        <v>24</v>
      </c>
      <c r="Q8" t="s">
        <v>24</v>
      </c>
      <c r="R8" t="s">
        <v>118</v>
      </c>
      <c r="S8" t="s">
        <v>118</v>
      </c>
      <c r="T8" t="s">
        <v>118</v>
      </c>
      <c r="U8" t="s">
        <v>118</v>
      </c>
      <c r="V8" t="s">
        <v>24</v>
      </c>
      <c r="W8" t="s">
        <v>24</v>
      </c>
      <c r="X8" t="s">
        <v>24</v>
      </c>
      <c r="Y8" t="s">
        <v>167</v>
      </c>
      <c r="AH8" t="s">
        <v>24</v>
      </c>
      <c r="AJ8" t="s">
        <v>24</v>
      </c>
      <c r="AK8" t="s">
        <v>24</v>
      </c>
      <c r="AL8" t="s">
        <v>118</v>
      </c>
      <c r="AM8" t="s">
        <v>24</v>
      </c>
      <c r="AN8" t="s">
        <v>24</v>
      </c>
      <c r="AO8" t="s">
        <v>24</v>
      </c>
      <c r="AP8" t="s">
        <v>24</v>
      </c>
      <c r="AQ8" t="s">
        <v>24</v>
      </c>
      <c r="AR8" t="s">
        <v>118</v>
      </c>
      <c r="AS8" t="s">
        <v>118</v>
      </c>
      <c r="AT8" t="s">
        <v>118</v>
      </c>
      <c r="AU8" t="s">
        <v>24</v>
      </c>
      <c r="AV8" t="s">
        <v>210</v>
      </c>
    </row>
    <row r="9" spans="1:48" x14ac:dyDescent="0.25">
      <c r="A9" t="s">
        <v>39</v>
      </c>
      <c r="B9" t="s">
        <v>8</v>
      </c>
      <c r="C9" t="s">
        <v>187</v>
      </c>
      <c r="D9">
        <v>12390</v>
      </c>
      <c r="E9" t="s">
        <v>225</v>
      </c>
      <c r="F9">
        <v>1</v>
      </c>
      <c r="G9" t="s">
        <v>188</v>
      </c>
      <c r="H9" s="56">
        <v>45735</v>
      </c>
      <c r="I9">
        <v>26429011</v>
      </c>
      <c r="J9" t="s">
        <v>115</v>
      </c>
      <c r="K9" t="s">
        <v>118</v>
      </c>
      <c r="AU9" t="s">
        <v>24</v>
      </c>
      <c r="AV9" t="s">
        <v>229</v>
      </c>
    </row>
    <row r="10" spans="1:48" x14ac:dyDescent="0.25">
      <c r="A10" t="s">
        <v>39</v>
      </c>
      <c r="B10" t="s">
        <v>8</v>
      </c>
      <c r="C10" t="s">
        <v>16</v>
      </c>
      <c r="D10">
        <v>424893</v>
      </c>
      <c r="E10" t="s">
        <v>237</v>
      </c>
      <c r="F10">
        <v>1</v>
      </c>
      <c r="G10" t="s">
        <v>188</v>
      </c>
      <c r="H10" s="56">
        <v>45736</v>
      </c>
      <c r="I10">
        <v>26439536</v>
      </c>
      <c r="J10" t="s">
        <v>115</v>
      </c>
      <c r="K10" t="s">
        <v>24</v>
      </c>
      <c r="L10" t="s">
        <v>24</v>
      </c>
      <c r="M10" t="s">
        <v>24</v>
      </c>
      <c r="N10" t="s">
        <v>24</v>
      </c>
      <c r="O10" t="s">
        <v>118</v>
      </c>
      <c r="P10" t="s">
        <v>24</v>
      </c>
      <c r="Q10" t="s">
        <v>24</v>
      </c>
      <c r="R10" t="s">
        <v>118</v>
      </c>
      <c r="S10" t="s">
        <v>24</v>
      </c>
      <c r="T10" t="s">
        <v>118</v>
      </c>
      <c r="U10" t="s">
        <v>118</v>
      </c>
      <c r="V10" t="s">
        <v>24</v>
      </c>
      <c r="X10" t="s">
        <v>241</v>
      </c>
      <c r="Y10" t="s">
        <v>106</v>
      </c>
      <c r="Z10" t="s">
        <v>24</v>
      </c>
      <c r="AA10" t="s">
        <v>24</v>
      </c>
      <c r="AB10" t="s">
        <v>24</v>
      </c>
      <c r="AC10" t="s">
        <v>118</v>
      </c>
      <c r="AD10" t="s">
        <v>24</v>
      </c>
      <c r="AE10" t="s">
        <v>24</v>
      </c>
      <c r="AF10" t="s">
        <v>118</v>
      </c>
      <c r="AG10" t="s">
        <v>118</v>
      </c>
      <c r="AH10" t="s">
        <v>24</v>
      </c>
      <c r="AJ10" t="s">
        <v>24</v>
      </c>
      <c r="AK10" t="s">
        <v>24</v>
      </c>
      <c r="AL10" t="s">
        <v>118</v>
      </c>
      <c r="AM10" t="s">
        <v>24</v>
      </c>
      <c r="AU10" t="s">
        <v>118</v>
      </c>
    </row>
    <row r="11" spans="1:48" x14ac:dyDescent="0.25">
      <c r="A11" t="s">
        <v>39</v>
      </c>
      <c r="B11" t="s">
        <v>8</v>
      </c>
      <c r="C11" t="s">
        <v>204</v>
      </c>
      <c r="D11">
        <v>105381</v>
      </c>
      <c r="E11" t="s">
        <v>205</v>
      </c>
      <c r="F11">
        <v>1</v>
      </c>
      <c r="G11" t="s">
        <v>188</v>
      </c>
      <c r="H11" s="56">
        <v>45730</v>
      </c>
      <c r="I11">
        <v>26415788</v>
      </c>
      <c r="J11" t="s">
        <v>53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118</v>
      </c>
      <c r="S11" t="s">
        <v>118</v>
      </c>
      <c r="T11" t="s">
        <v>118</v>
      </c>
      <c r="U11" t="s">
        <v>118</v>
      </c>
      <c r="V11" t="s">
        <v>24</v>
      </c>
      <c r="W11" t="s">
        <v>24</v>
      </c>
      <c r="X11" t="s">
        <v>24</v>
      </c>
      <c r="Y11" t="s">
        <v>106</v>
      </c>
      <c r="Z11" t="s">
        <v>24</v>
      </c>
      <c r="AA11" t="s">
        <v>24</v>
      </c>
      <c r="AB11" t="s">
        <v>24</v>
      </c>
      <c r="AC11" t="s">
        <v>24</v>
      </c>
      <c r="AD11" t="s">
        <v>24</v>
      </c>
      <c r="AE11" t="s">
        <v>24</v>
      </c>
      <c r="AF11" t="s">
        <v>24</v>
      </c>
      <c r="AG11" t="s">
        <v>24</v>
      </c>
      <c r="AH11" t="s">
        <v>24</v>
      </c>
      <c r="AJ11" t="s">
        <v>24</v>
      </c>
      <c r="AK11" t="s">
        <v>24</v>
      </c>
      <c r="AL11" t="s">
        <v>24</v>
      </c>
      <c r="AM11" t="s">
        <v>24</v>
      </c>
      <c r="AU11" t="s">
        <v>118</v>
      </c>
    </row>
    <row r="12" spans="1:48" x14ac:dyDescent="0.25">
      <c r="A12" t="s">
        <v>39</v>
      </c>
      <c r="B12" t="s">
        <v>9</v>
      </c>
      <c r="C12" t="s">
        <v>116</v>
      </c>
      <c r="D12">
        <v>191506</v>
      </c>
      <c r="E12" t="s">
        <v>253</v>
      </c>
      <c r="F12">
        <v>1</v>
      </c>
      <c r="G12" t="s">
        <v>188</v>
      </c>
      <c r="H12" s="56">
        <v>45738</v>
      </c>
      <c r="I12">
        <v>26444245</v>
      </c>
      <c r="J12" t="s">
        <v>135</v>
      </c>
      <c r="K12" t="s">
        <v>24</v>
      </c>
      <c r="L12" t="s">
        <v>24</v>
      </c>
      <c r="M12" t="s">
        <v>24</v>
      </c>
      <c r="N12" t="s">
        <v>24</v>
      </c>
      <c r="O12" t="s">
        <v>118</v>
      </c>
      <c r="P12" t="s">
        <v>24</v>
      </c>
      <c r="Q12" t="s">
        <v>24</v>
      </c>
      <c r="R12" t="s">
        <v>118</v>
      </c>
      <c r="S12" t="s">
        <v>118</v>
      </c>
      <c r="T12" t="s">
        <v>118</v>
      </c>
      <c r="U12" t="s">
        <v>118</v>
      </c>
      <c r="V12" t="s">
        <v>24</v>
      </c>
      <c r="X12" t="s">
        <v>241</v>
      </c>
      <c r="Y12" t="s">
        <v>167</v>
      </c>
      <c r="AH12" t="s">
        <v>24</v>
      </c>
      <c r="AI12" t="s">
        <v>256</v>
      </c>
      <c r="AJ12" t="s">
        <v>24</v>
      </c>
      <c r="AK12" t="s">
        <v>24</v>
      </c>
      <c r="AL12" t="s">
        <v>118</v>
      </c>
      <c r="AM12" t="s">
        <v>24</v>
      </c>
      <c r="AN12" t="s">
        <v>24</v>
      </c>
      <c r="AO12" t="s">
        <v>24</v>
      </c>
      <c r="AP12" t="s">
        <v>24</v>
      </c>
      <c r="AQ12" t="s">
        <v>24</v>
      </c>
      <c r="AU12" t="s">
        <v>118</v>
      </c>
    </row>
    <row r="13" spans="1:48" x14ac:dyDescent="0.25">
      <c r="A13" t="s">
        <v>39</v>
      </c>
      <c r="B13" t="s">
        <v>9</v>
      </c>
      <c r="C13" t="s">
        <v>116</v>
      </c>
      <c r="D13">
        <v>356594</v>
      </c>
      <c r="E13" t="s">
        <v>190</v>
      </c>
      <c r="F13">
        <v>1</v>
      </c>
      <c r="G13" t="s">
        <v>188</v>
      </c>
      <c r="H13" s="56">
        <v>45731</v>
      </c>
      <c r="I13">
        <v>26404720</v>
      </c>
      <c r="J13" t="s">
        <v>135</v>
      </c>
      <c r="K13" t="s">
        <v>24</v>
      </c>
      <c r="L13" t="s">
        <v>24</v>
      </c>
      <c r="M13" t="s">
        <v>24</v>
      </c>
      <c r="N13" t="s">
        <v>24</v>
      </c>
      <c r="O13" t="s">
        <v>118</v>
      </c>
      <c r="P13" t="s">
        <v>24</v>
      </c>
      <c r="Q13" t="s">
        <v>24</v>
      </c>
      <c r="R13" t="s">
        <v>118</v>
      </c>
      <c r="S13" t="s">
        <v>118</v>
      </c>
      <c r="T13" t="s">
        <v>118</v>
      </c>
      <c r="U13" t="s">
        <v>24</v>
      </c>
      <c r="V13" t="s">
        <v>24</v>
      </c>
      <c r="X13" t="s">
        <v>24</v>
      </c>
      <c r="Y13" t="s">
        <v>167</v>
      </c>
      <c r="AH13" t="s">
        <v>24</v>
      </c>
      <c r="AI13" t="s">
        <v>147</v>
      </c>
      <c r="AJ13" t="s">
        <v>24</v>
      </c>
      <c r="AK13" t="s">
        <v>24</v>
      </c>
      <c r="AL13" t="s">
        <v>24</v>
      </c>
      <c r="AM13" t="s">
        <v>24</v>
      </c>
      <c r="AN13" t="s">
        <v>24</v>
      </c>
      <c r="AO13" t="s">
        <v>24</v>
      </c>
      <c r="AP13" t="s">
        <v>24</v>
      </c>
      <c r="AQ13" t="s">
        <v>24</v>
      </c>
      <c r="AU13" t="s">
        <v>118</v>
      </c>
    </row>
    <row r="14" spans="1:48" x14ac:dyDescent="0.25">
      <c r="A14" t="s">
        <v>39</v>
      </c>
      <c r="B14" t="s">
        <v>9</v>
      </c>
      <c r="C14" t="s">
        <v>125</v>
      </c>
      <c r="D14">
        <v>29714</v>
      </c>
      <c r="E14" t="s">
        <v>242</v>
      </c>
      <c r="F14">
        <v>1</v>
      </c>
      <c r="G14" t="s">
        <v>188</v>
      </c>
      <c r="H14" s="56">
        <v>45738</v>
      </c>
      <c r="I14">
        <v>26693598</v>
      </c>
      <c r="J14" t="s">
        <v>135</v>
      </c>
      <c r="K14" t="s">
        <v>24</v>
      </c>
      <c r="L14" t="s">
        <v>24</v>
      </c>
      <c r="M14" t="s">
        <v>24</v>
      </c>
      <c r="N14" t="s">
        <v>24</v>
      </c>
      <c r="O14" t="s">
        <v>118</v>
      </c>
      <c r="P14" t="s">
        <v>24</v>
      </c>
      <c r="Q14" t="s">
        <v>24</v>
      </c>
      <c r="R14" t="s">
        <v>118</v>
      </c>
      <c r="S14" t="s">
        <v>118</v>
      </c>
      <c r="T14" t="s">
        <v>118</v>
      </c>
      <c r="U14" t="s">
        <v>118</v>
      </c>
      <c r="V14" t="s">
        <v>24</v>
      </c>
      <c r="W14" t="s">
        <v>24</v>
      </c>
      <c r="Y14" t="s">
        <v>106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24</v>
      </c>
      <c r="AI14" t="s">
        <v>147</v>
      </c>
      <c r="AJ14" t="s">
        <v>24</v>
      </c>
      <c r="AK14" t="s">
        <v>24</v>
      </c>
      <c r="AL14" t="s">
        <v>118</v>
      </c>
      <c r="AM14" t="s">
        <v>24</v>
      </c>
      <c r="AU14" t="s">
        <v>118</v>
      </c>
    </row>
    <row r="15" spans="1:48" x14ac:dyDescent="0.25">
      <c r="A15" t="s">
        <v>39</v>
      </c>
      <c r="B15" t="s">
        <v>9</v>
      </c>
      <c r="C15" t="s">
        <v>125</v>
      </c>
      <c r="D15">
        <v>66552</v>
      </c>
      <c r="E15" t="s">
        <v>127</v>
      </c>
      <c r="F15">
        <v>1</v>
      </c>
      <c r="G15" t="s">
        <v>131</v>
      </c>
      <c r="H15" s="56">
        <v>45729</v>
      </c>
      <c r="I15">
        <v>26388644</v>
      </c>
      <c r="J15" t="s">
        <v>135</v>
      </c>
      <c r="K15" t="s">
        <v>24</v>
      </c>
      <c r="L15" t="s">
        <v>24</v>
      </c>
      <c r="M15" t="s">
        <v>24</v>
      </c>
      <c r="N15" t="s">
        <v>24</v>
      </c>
      <c r="O15" t="s">
        <v>118</v>
      </c>
      <c r="P15" t="s">
        <v>24</v>
      </c>
      <c r="Q15" t="s">
        <v>24</v>
      </c>
      <c r="R15" t="s">
        <v>118</v>
      </c>
      <c r="S15" t="s">
        <v>118</v>
      </c>
      <c r="T15" t="s">
        <v>118</v>
      </c>
      <c r="U15" t="s">
        <v>118</v>
      </c>
      <c r="V15" t="s">
        <v>24</v>
      </c>
      <c r="X15" t="s">
        <v>118</v>
      </c>
      <c r="Y15" t="s">
        <v>63</v>
      </c>
      <c r="Z15" t="s">
        <v>118</v>
      </c>
      <c r="AA15" t="s">
        <v>118</v>
      </c>
      <c r="AB15" t="s">
        <v>118</v>
      </c>
      <c r="AC15" t="s">
        <v>118</v>
      </c>
      <c r="AD15" t="s">
        <v>24</v>
      </c>
      <c r="AE15" t="s">
        <v>24</v>
      </c>
      <c r="AF15" t="s">
        <v>118</v>
      </c>
      <c r="AG15" t="s">
        <v>24</v>
      </c>
      <c r="AH15" t="s">
        <v>24</v>
      </c>
      <c r="AI15" t="s">
        <v>147</v>
      </c>
      <c r="AJ15" t="s">
        <v>24</v>
      </c>
      <c r="AK15" t="s">
        <v>24</v>
      </c>
      <c r="AL15" t="s">
        <v>118</v>
      </c>
      <c r="AM15" t="s">
        <v>24</v>
      </c>
    </row>
    <row r="16" spans="1:48" x14ac:dyDescent="0.25">
      <c r="A16" t="s">
        <v>39</v>
      </c>
      <c r="B16" t="s">
        <v>194</v>
      </c>
      <c r="C16" t="s">
        <v>116</v>
      </c>
      <c r="D16">
        <v>424842</v>
      </c>
      <c r="E16" t="s">
        <v>247</v>
      </c>
      <c r="F16">
        <v>1</v>
      </c>
      <c r="G16" t="s">
        <v>188</v>
      </c>
      <c r="H16" s="56">
        <v>45737</v>
      </c>
      <c r="I16">
        <v>26442456</v>
      </c>
      <c r="J16" t="s">
        <v>251</v>
      </c>
      <c r="K16" t="s">
        <v>24</v>
      </c>
      <c r="L16" t="s">
        <v>24</v>
      </c>
      <c r="M16" t="s">
        <v>24</v>
      </c>
      <c r="N16" t="s">
        <v>24</v>
      </c>
      <c r="O16" t="s">
        <v>118</v>
      </c>
      <c r="P16" t="s">
        <v>24</v>
      </c>
      <c r="Q16" t="s">
        <v>24</v>
      </c>
      <c r="R16" t="s">
        <v>118</v>
      </c>
      <c r="S16" t="s">
        <v>24</v>
      </c>
      <c r="T16" t="s">
        <v>24</v>
      </c>
      <c r="U16" t="s">
        <v>118</v>
      </c>
      <c r="V16" t="s">
        <v>24</v>
      </c>
      <c r="X16" t="s">
        <v>24</v>
      </c>
      <c r="Y16" t="s">
        <v>167</v>
      </c>
      <c r="AH16" t="s">
        <v>118</v>
      </c>
      <c r="AJ16" t="s">
        <v>118</v>
      </c>
      <c r="AK16" t="s">
        <v>24</v>
      </c>
      <c r="AL16" t="s">
        <v>24</v>
      </c>
      <c r="AM16" t="s">
        <v>24</v>
      </c>
      <c r="AN16" t="s">
        <v>24</v>
      </c>
      <c r="AO16" t="s">
        <v>118</v>
      </c>
      <c r="AP16" t="s">
        <v>24</v>
      </c>
      <c r="AQ16" t="s">
        <v>118</v>
      </c>
      <c r="AR16" t="s">
        <v>118</v>
      </c>
      <c r="AU16" t="s">
        <v>24</v>
      </c>
      <c r="AV16" t="s">
        <v>252</v>
      </c>
    </row>
    <row r="17" spans="1:48" x14ac:dyDescent="0.25">
      <c r="A17" t="s">
        <v>39</v>
      </c>
      <c r="B17" t="s">
        <v>194</v>
      </c>
      <c r="C17" t="s">
        <v>187</v>
      </c>
      <c r="D17">
        <v>12130</v>
      </c>
      <c r="E17" t="s">
        <v>196</v>
      </c>
      <c r="F17">
        <v>1</v>
      </c>
      <c r="G17" t="s">
        <v>188</v>
      </c>
      <c r="H17" s="56">
        <v>45733</v>
      </c>
      <c r="I17">
        <v>26409010</v>
      </c>
      <c r="J17" t="s">
        <v>201</v>
      </c>
      <c r="K17" t="s">
        <v>118</v>
      </c>
      <c r="AU17" t="s">
        <v>24</v>
      </c>
      <c r="AV17" t="s">
        <v>203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C9D-50A1-466F-A4CF-A3BF379C3F7F}">
  <dimension ref="A1:I17"/>
  <sheetViews>
    <sheetView workbookViewId="0">
      <selection activeCell="G21" sqref="G21"/>
    </sheetView>
  </sheetViews>
  <sheetFormatPr baseColWidth="10" defaultRowHeight="15" x14ac:dyDescent="0.25"/>
  <cols>
    <col min="2" max="2" width="45" bestFit="1" customWidth="1"/>
  </cols>
  <sheetData>
    <row r="1" spans="1:9" x14ac:dyDescent="0.25">
      <c r="A1" s="126" t="s">
        <v>1</v>
      </c>
      <c r="B1" s="126" t="s">
        <v>27</v>
      </c>
      <c r="C1" s="127">
        <v>1</v>
      </c>
      <c r="D1" s="127">
        <v>2</v>
      </c>
      <c r="E1" s="127">
        <v>3</v>
      </c>
      <c r="F1" s="127">
        <v>4</v>
      </c>
      <c r="G1" s="127">
        <v>5</v>
      </c>
      <c r="H1" s="127">
        <v>6</v>
      </c>
      <c r="I1" s="127">
        <v>7</v>
      </c>
    </row>
    <row r="2" spans="1:9" x14ac:dyDescent="0.25">
      <c r="A2" s="128" t="s">
        <v>62</v>
      </c>
      <c r="B2" s="129" t="s">
        <v>149</v>
      </c>
      <c r="C2" s="27" t="s">
        <v>277</v>
      </c>
      <c r="D2" s="27" t="s">
        <v>293</v>
      </c>
      <c r="E2" s="27"/>
      <c r="F2" s="27"/>
      <c r="G2" s="27"/>
      <c r="H2" s="27"/>
      <c r="I2" s="27"/>
    </row>
    <row r="3" spans="1:9" x14ac:dyDescent="0.25">
      <c r="A3" s="27" t="s">
        <v>8</v>
      </c>
      <c r="B3" s="130" t="s">
        <v>243</v>
      </c>
      <c r="C3" s="27" t="s">
        <v>269</v>
      </c>
      <c r="D3" s="27" t="s">
        <v>293</v>
      </c>
      <c r="E3" s="27"/>
      <c r="F3" s="27"/>
      <c r="G3" s="27"/>
      <c r="H3" s="27"/>
      <c r="I3" s="27"/>
    </row>
    <row r="4" spans="1:9" x14ac:dyDescent="0.25">
      <c r="A4" s="128" t="s">
        <v>8</v>
      </c>
      <c r="B4" s="129" t="s">
        <v>214</v>
      </c>
      <c r="C4" s="27" t="s">
        <v>268</v>
      </c>
      <c r="D4" s="27" t="s">
        <v>293</v>
      </c>
      <c r="E4" s="27"/>
      <c r="F4" s="27"/>
      <c r="G4" s="27"/>
      <c r="H4" s="27"/>
      <c r="I4" s="27"/>
    </row>
    <row r="5" spans="1:9" x14ac:dyDescent="0.25">
      <c r="A5" s="27" t="s">
        <v>8</v>
      </c>
      <c r="B5" s="130" t="s">
        <v>225</v>
      </c>
      <c r="C5" s="27" t="s">
        <v>271</v>
      </c>
      <c r="D5" s="27" t="s">
        <v>272</v>
      </c>
      <c r="E5" s="27" t="s">
        <v>293</v>
      </c>
      <c r="F5" s="27"/>
      <c r="G5" s="27"/>
      <c r="H5" s="27"/>
      <c r="I5" s="27"/>
    </row>
    <row r="6" spans="1:9" x14ac:dyDescent="0.25">
      <c r="A6" s="128" t="s">
        <v>9</v>
      </c>
      <c r="B6" s="129" t="s">
        <v>242</v>
      </c>
      <c r="C6" s="27" t="s">
        <v>273</v>
      </c>
      <c r="D6" s="27" t="s">
        <v>293</v>
      </c>
      <c r="E6" s="27"/>
      <c r="F6" s="27"/>
      <c r="G6" s="27"/>
      <c r="H6" s="27"/>
      <c r="I6" s="27"/>
    </row>
    <row r="7" spans="1:9" x14ac:dyDescent="0.25">
      <c r="A7" s="27" t="s">
        <v>194</v>
      </c>
      <c r="B7" s="27" t="s">
        <v>196</v>
      </c>
      <c r="C7" s="27" t="s">
        <v>294</v>
      </c>
      <c r="D7" s="27" t="s">
        <v>293</v>
      </c>
      <c r="E7" s="27"/>
      <c r="F7" s="27"/>
      <c r="G7" s="27"/>
      <c r="H7" s="27"/>
      <c r="I7" s="27"/>
    </row>
    <row r="8" spans="1:9" x14ac:dyDescent="0.25">
      <c r="A8" s="128" t="s">
        <v>8</v>
      </c>
      <c r="B8" s="129" t="s">
        <v>221</v>
      </c>
      <c r="C8" s="27" t="s">
        <v>264</v>
      </c>
      <c r="D8" s="27" t="s">
        <v>265</v>
      </c>
      <c r="E8" s="27" t="s">
        <v>266</v>
      </c>
      <c r="F8" s="27" t="s">
        <v>267</v>
      </c>
      <c r="G8" s="27" t="s">
        <v>293</v>
      </c>
      <c r="H8" s="27"/>
      <c r="I8" s="27"/>
    </row>
    <row r="9" spans="1:9" x14ac:dyDescent="0.25">
      <c r="A9" s="27" t="s">
        <v>8</v>
      </c>
      <c r="B9" s="130" t="s">
        <v>211</v>
      </c>
      <c r="C9" s="27" t="s">
        <v>291</v>
      </c>
      <c r="D9" s="27" t="s">
        <v>292</v>
      </c>
      <c r="E9" s="27" t="s">
        <v>293</v>
      </c>
      <c r="G9" s="27"/>
      <c r="H9" s="27"/>
      <c r="I9" s="27"/>
    </row>
    <row r="10" spans="1:9" x14ac:dyDescent="0.25">
      <c r="A10" s="128" t="s">
        <v>8</v>
      </c>
      <c r="B10" s="129" t="s">
        <v>218</v>
      </c>
      <c r="C10" s="27" t="s">
        <v>280</v>
      </c>
      <c r="D10" s="27" t="s">
        <v>281</v>
      </c>
      <c r="E10" s="27" t="s">
        <v>282</v>
      </c>
      <c r="F10" s="27" t="s">
        <v>283</v>
      </c>
      <c r="G10" s="27" t="s">
        <v>284</v>
      </c>
      <c r="H10" s="27" t="s">
        <v>285</v>
      </c>
      <c r="I10" s="27" t="s">
        <v>286</v>
      </c>
    </row>
    <row r="11" spans="1:9" x14ac:dyDescent="0.25">
      <c r="A11" s="27" t="s">
        <v>8</v>
      </c>
      <c r="B11" s="130" t="s">
        <v>207</v>
      </c>
      <c r="C11" s="27" t="s">
        <v>279</v>
      </c>
      <c r="D11" s="27" t="s">
        <v>293</v>
      </c>
      <c r="E11" s="27"/>
      <c r="F11" s="27"/>
      <c r="G11" s="27"/>
      <c r="H11" s="27"/>
      <c r="I11" s="27"/>
    </row>
    <row r="12" spans="1:9" x14ac:dyDescent="0.25">
      <c r="A12" s="128" t="s">
        <v>8</v>
      </c>
      <c r="B12" s="129" t="s">
        <v>237</v>
      </c>
      <c r="C12" s="27" t="s">
        <v>270</v>
      </c>
      <c r="D12" s="27" t="s">
        <v>293</v>
      </c>
      <c r="E12" s="27"/>
      <c r="F12" s="27"/>
      <c r="G12" s="27"/>
      <c r="H12" s="27"/>
      <c r="I12" s="27"/>
    </row>
    <row r="13" spans="1:9" x14ac:dyDescent="0.25">
      <c r="A13" s="27" t="s">
        <v>8</v>
      </c>
      <c r="B13" s="130" t="s">
        <v>205</v>
      </c>
      <c r="C13" s="27" t="s">
        <v>287</v>
      </c>
      <c r="D13" s="27" t="s">
        <v>288</v>
      </c>
      <c r="E13" s="27" t="s">
        <v>289</v>
      </c>
      <c r="F13" s="27" t="s">
        <v>290</v>
      </c>
      <c r="G13" s="27" t="s">
        <v>293</v>
      </c>
      <c r="H13" s="27"/>
      <c r="I13" s="27"/>
    </row>
    <row r="14" spans="1:9" x14ac:dyDescent="0.25">
      <c r="A14" s="128" t="s">
        <v>9</v>
      </c>
      <c r="B14" s="129" t="s">
        <v>253</v>
      </c>
      <c r="C14" s="27" t="s">
        <v>276</v>
      </c>
      <c r="D14" s="27" t="s">
        <v>293</v>
      </c>
      <c r="E14" s="27"/>
      <c r="F14" s="27"/>
      <c r="G14" s="27"/>
      <c r="H14" s="27"/>
      <c r="I14" s="27"/>
    </row>
    <row r="15" spans="1:9" x14ac:dyDescent="0.25">
      <c r="A15" s="27" t="s">
        <v>9</v>
      </c>
      <c r="B15" s="130" t="s">
        <v>190</v>
      </c>
      <c r="C15" s="27" t="s">
        <v>274</v>
      </c>
      <c r="D15" s="27" t="s">
        <v>293</v>
      </c>
      <c r="E15" s="27"/>
      <c r="F15" s="27"/>
      <c r="G15" s="27"/>
      <c r="H15" s="27"/>
      <c r="I15" s="27"/>
    </row>
    <row r="16" spans="1:9" x14ac:dyDescent="0.25">
      <c r="A16" s="128" t="s">
        <v>9</v>
      </c>
      <c r="B16" s="129" t="s">
        <v>127</v>
      </c>
      <c r="C16" s="27" t="s">
        <v>275</v>
      </c>
      <c r="D16" s="27" t="s">
        <v>293</v>
      </c>
      <c r="E16" s="27"/>
      <c r="F16" s="27"/>
      <c r="G16" s="27"/>
      <c r="H16" s="27"/>
      <c r="I16" s="27"/>
    </row>
    <row r="17" spans="1:9" x14ac:dyDescent="0.25">
      <c r="A17" s="27" t="s">
        <v>194</v>
      </c>
      <c r="B17" s="130" t="s">
        <v>247</v>
      </c>
      <c r="C17" s="27" t="s">
        <v>278</v>
      </c>
      <c r="D17" s="27" t="s">
        <v>293</v>
      </c>
      <c r="E17" s="27"/>
      <c r="F17" s="27"/>
      <c r="G17" s="27"/>
      <c r="H17" s="27"/>
      <c r="I17" s="27"/>
    </row>
  </sheetData>
  <autoFilter ref="A1:I17" xr:uid="{31D98C9D-50A1-466F-A4CF-A3BF379C3F7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49FB-1930-49A9-8C75-D153B7BEC35D}">
  <dimension ref="A1:R26"/>
  <sheetViews>
    <sheetView showGridLines="0" topLeftCell="A3" workbookViewId="0">
      <selection activeCell="G21" sqref="G21"/>
    </sheetView>
  </sheetViews>
  <sheetFormatPr baseColWidth="10" defaultRowHeight="15" x14ac:dyDescent="0.25"/>
  <cols>
    <col min="1" max="1" width="23.28515625" bestFit="1" customWidth="1"/>
    <col min="2" max="2" width="22.85546875" bestFit="1" customWidth="1"/>
    <col min="3" max="3" width="9.5703125" bestFit="1" customWidth="1"/>
    <col min="4" max="4" width="16.42578125" bestFit="1" customWidth="1"/>
    <col min="5" max="5" width="4.28515625" bestFit="1" customWidth="1"/>
    <col min="6" max="6" width="37.5703125" bestFit="1" customWidth="1"/>
    <col min="7" max="7" width="10.7109375" bestFit="1" customWidth="1"/>
    <col min="8" max="8" width="12.5703125" bestFit="1" customWidth="1"/>
  </cols>
  <sheetData>
    <row r="1" spans="1:18" x14ac:dyDescent="0.25">
      <c r="A1" s="1" t="s">
        <v>23</v>
      </c>
      <c r="B1" t="s">
        <v>24</v>
      </c>
    </row>
    <row r="2" spans="1:18" ht="24" x14ac:dyDescent="0.25">
      <c r="L2" s="46" t="s">
        <v>26</v>
      </c>
      <c r="M2" s="46" t="s">
        <v>1</v>
      </c>
      <c r="N2" s="46" t="s">
        <v>54</v>
      </c>
      <c r="O2" s="47" t="s">
        <v>55</v>
      </c>
      <c r="P2" s="48" t="s">
        <v>56</v>
      </c>
      <c r="Q2" s="51" t="s">
        <v>65</v>
      </c>
      <c r="R2" s="50" t="s">
        <v>66</v>
      </c>
    </row>
    <row r="3" spans="1:18" x14ac:dyDescent="0.25">
      <c r="A3" s="1" t="s">
        <v>232</v>
      </c>
      <c r="B3" s="1" t="s">
        <v>13</v>
      </c>
      <c r="L3" s="45" t="s">
        <v>15</v>
      </c>
      <c r="M3" s="27" t="s">
        <v>8</v>
      </c>
      <c r="N3" s="27">
        <v>425937</v>
      </c>
      <c r="O3" s="67" t="s">
        <v>107</v>
      </c>
      <c r="P3" s="67" t="s">
        <v>108</v>
      </c>
      <c r="Q3" s="71">
        <v>45712</v>
      </c>
      <c r="R3" s="49" t="s">
        <v>117</v>
      </c>
    </row>
    <row r="4" spans="1:18" x14ac:dyDescent="0.25">
      <c r="A4" s="1" t="s">
        <v>231</v>
      </c>
      <c r="B4" t="s">
        <v>19</v>
      </c>
      <c r="C4" t="s">
        <v>17</v>
      </c>
      <c r="D4" t="s">
        <v>18</v>
      </c>
      <c r="E4" t="s">
        <v>91</v>
      </c>
      <c r="F4" t="s">
        <v>21</v>
      </c>
      <c r="G4" t="s">
        <v>20</v>
      </c>
      <c r="H4" t="s">
        <v>10</v>
      </c>
      <c r="L4" s="45" t="s">
        <v>16</v>
      </c>
      <c r="M4" s="27" t="s">
        <v>8</v>
      </c>
      <c r="N4" s="27">
        <v>442601</v>
      </c>
      <c r="O4" s="67" t="s">
        <v>105</v>
      </c>
      <c r="P4" s="67" t="s">
        <v>109</v>
      </c>
      <c r="Q4" s="64">
        <v>45708</v>
      </c>
      <c r="R4" s="49" t="s">
        <v>117</v>
      </c>
    </row>
    <row r="5" spans="1:18" x14ac:dyDescent="0.25">
      <c r="A5" s="2">
        <v>26415788</v>
      </c>
      <c r="B5">
        <v>20</v>
      </c>
      <c r="C5">
        <v>20</v>
      </c>
      <c r="D5">
        <v>15</v>
      </c>
      <c r="E5">
        <v>0</v>
      </c>
      <c r="F5">
        <v>25.599999999999998</v>
      </c>
      <c r="G5">
        <v>15</v>
      </c>
      <c r="H5">
        <v>95.6</v>
      </c>
      <c r="L5" s="45" t="s">
        <v>16</v>
      </c>
      <c r="M5" s="27" t="s">
        <v>8</v>
      </c>
      <c r="N5" s="67">
        <v>443809</v>
      </c>
      <c r="O5" s="67" t="s">
        <v>110</v>
      </c>
      <c r="P5" s="67" t="s">
        <v>111</v>
      </c>
      <c r="Q5" s="64">
        <v>45709</v>
      </c>
      <c r="R5" s="49" t="s">
        <v>117</v>
      </c>
    </row>
    <row r="6" spans="1:18" x14ac:dyDescent="0.25">
      <c r="A6" s="2">
        <v>26439536</v>
      </c>
      <c r="B6">
        <v>20</v>
      </c>
      <c r="C6">
        <v>20</v>
      </c>
      <c r="D6">
        <v>15</v>
      </c>
      <c r="E6">
        <v>0</v>
      </c>
      <c r="F6">
        <v>25.599999999999998</v>
      </c>
      <c r="G6">
        <v>15</v>
      </c>
      <c r="H6">
        <v>95.6</v>
      </c>
      <c r="L6" s="69" t="s">
        <v>63</v>
      </c>
      <c r="M6" s="70" t="s">
        <v>9</v>
      </c>
      <c r="N6" s="68">
        <v>127066</v>
      </c>
      <c r="O6" s="68" t="s">
        <v>103</v>
      </c>
      <c r="P6" s="68" t="s">
        <v>64</v>
      </c>
      <c r="Q6" s="64">
        <v>45708</v>
      </c>
      <c r="R6" s="49" t="s">
        <v>117</v>
      </c>
    </row>
    <row r="7" spans="1:18" x14ac:dyDescent="0.25">
      <c r="A7" s="2">
        <v>26419994</v>
      </c>
      <c r="B7">
        <v>20</v>
      </c>
      <c r="C7">
        <v>20</v>
      </c>
      <c r="D7">
        <v>15</v>
      </c>
      <c r="E7">
        <v>0</v>
      </c>
      <c r="F7">
        <v>25.2</v>
      </c>
      <c r="G7">
        <v>15</v>
      </c>
      <c r="H7">
        <v>95.2</v>
      </c>
      <c r="Q7" s="2"/>
    </row>
    <row r="8" spans="1:18" ht="24" x14ac:dyDescent="0.25">
      <c r="A8" s="2">
        <v>26693598</v>
      </c>
      <c r="B8">
        <v>20</v>
      </c>
      <c r="C8">
        <v>20</v>
      </c>
      <c r="D8">
        <v>15</v>
      </c>
      <c r="E8">
        <v>0</v>
      </c>
      <c r="F8">
        <v>22.599999999999998</v>
      </c>
      <c r="G8">
        <v>15</v>
      </c>
      <c r="H8">
        <v>92.6</v>
      </c>
      <c r="L8" s="43" t="s">
        <v>26</v>
      </c>
      <c r="M8" s="43" t="s">
        <v>1</v>
      </c>
      <c r="N8" s="43" t="s">
        <v>54</v>
      </c>
      <c r="O8" s="44" t="s">
        <v>55</v>
      </c>
      <c r="P8" s="18" t="s">
        <v>56</v>
      </c>
      <c r="Q8" s="51" t="s">
        <v>65</v>
      </c>
    </row>
    <row r="9" spans="1:18" x14ac:dyDescent="0.25">
      <c r="A9" s="2">
        <v>26442456</v>
      </c>
      <c r="B9">
        <v>20</v>
      </c>
      <c r="C9">
        <v>20</v>
      </c>
      <c r="D9">
        <v>15</v>
      </c>
      <c r="E9">
        <v>0</v>
      </c>
      <c r="F9">
        <v>20.399999999999999</v>
      </c>
      <c r="G9">
        <v>15</v>
      </c>
      <c r="H9">
        <v>90.4</v>
      </c>
      <c r="L9" s="45"/>
      <c r="M9" s="27"/>
      <c r="N9" s="27"/>
      <c r="O9" s="28"/>
      <c r="P9" s="32"/>
      <c r="Q9" s="52"/>
    </row>
    <row r="10" spans="1:18" x14ac:dyDescent="0.25">
      <c r="A10" s="2">
        <v>26419998</v>
      </c>
      <c r="B10">
        <v>20</v>
      </c>
      <c r="C10">
        <v>20</v>
      </c>
      <c r="D10">
        <v>15</v>
      </c>
      <c r="E10">
        <v>0</v>
      </c>
      <c r="F10">
        <v>20.399999999999999</v>
      </c>
      <c r="G10">
        <v>15</v>
      </c>
      <c r="H10">
        <v>90.4</v>
      </c>
      <c r="L10" s="45"/>
      <c r="M10" s="27"/>
      <c r="N10" s="27"/>
      <c r="O10" s="28"/>
      <c r="P10" s="32"/>
      <c r="Q10" s="52"/>
    </row>
    <row r="11" spans="1:18" x14ac:dyDescent="0.25">
      <c r="A11" s="2">
        <v>26424985</v>
      </c>
      <c r="B11">
        <v>20</v>
      </c>
      <c r="C11">
        <v>20</v>
      </c>
      <c r="D11">
        <v>15</v>
      </c>
      <c r="E11">
        <v>0</v>
      </c>
      <c r="F11">
        <v>20.399999999999999</v>
      </c>
      <c r="G11">
        <v>15</v>
      </c>
      <c r="H11">
        <v>90.4</v>
      </c>
      <c r="L11" s="45"/>
      <c r="M11" s="27"/>
      <c r="N11" s="27"/>
      <c r="O11" s="28"/>
      <c r="P11" s="32"/>
      <c r="Q11" s="52"/>
    </row>
    <row r="12" spans="1:18" x14ac:dyDescent="0.25">
      <c r="A12" s="2">
        <v>26404720</v>
      </c>
      <c r="B12">
        <v>20</v>
      </c>
      <c r="C12">
        <v>20</v>
      </c>
      <c r="D12">
        <v>15</v>
      </c>
      <c r="E12">
        <v>0</v>
      </c>
      <c r="F12">
        <v>18</v>
      </c>
      <c r="G12">
        <v>15</v>
      </c>
      <c r="H12">
        <v>88</v>
      </c>
      <c r="Q12" s="52"/>
    </row>
    <row r="13" spans="1:18" x14ac:dyDescent="0.25">
      <c r="A13" s="2">
        <v>26424986</v>
      </c>
      <c r="B13">
        <v>20</v>
      </c>
      <c r="C13">
        <v>20</v>
      </c>
      <c r="D13">
        <v>15</v>
      </c>
      <c r="E13">
        <v>0</v>
      </c>
      <c r="F13">
        <v>18</v>
      </c>
      <c r="G13">
        <v>15</v>
      </c>
      <c r="H13">
        <v>88</v>
      </c>
    </row>
    <row r="14" spans="1:18" x14ac:dyDescent="0.25">
      <c r="A14" s="2">
        <v>26444245</v>
      </c>
      <c r="B14">
        <v>20</v>
      </c>
      <c r="C14">
        <v>20</v>
      </c>
      <c r="D14">
        <v>15</v>
      </c>
      <c r="E14">
        <v>0</v>
      </c>
      <c r="F14">
        <v>18</v>
      </c>
      <c r="G14">
        <v>15</v>
      </c>
      <c r="H14">
        <v>88</v>
      </c>
    </row>
    <row r="15" spans="1:18" x14ac:dyDescent="0.25">
      <c r="A15" s="2">
        <v>26388644</v>
      </c>
      <c r="B15">
        <v>20</v>
      </c>
      <c r="C15">
        <v>20</v>
      </c>
      <c r="D15">
        <v>15</v>
      </c>
      <c r="E15">
        <v>0</v>
      </c>
      <c r="F15">
        <v>8.4</v>
      </c>
      <c r="G15">
        <v>15</v>
      </c>
      <c r="H15">
        <v>78.400000000000006</v>
      </c>
    </row>
    <row r="16" spans="1:18" x14ac:dyDescent="0.25">
      <c r="A16" s="2" t="s">
        <v>10</v>
      </c>
      <c r="B16">
        <v>220</v>
      </c>
      <c r="C16">
        <v>220</v>
      </c>
      <c r="D16">
        <v>165</v>
      </c>
      <c r="E16">
        <v>0</v>
      </c>
      <c r="F16">
        <v>222.6</v>
      </c>
      <c r="G16">
        <v>165</v>
      </c>
      <c r="H16">
        <v>992.6</v>
      </c>
    </row>
    <row r="18" spans="1:2" x14ac:dyDescent="0.25">
      <c r="A18" s="119">
        <v>26400581</v>
      </c>
      <c r="B18" t="s">
        <v>260</v>
      </c>
    </row>
    <row r="23" spans="1:2" x14ac:dyDescent="0.25">
      <c r="A23" s="2"/>
    </row>
    <row r="24" spans="1:2" x14ac:dyDescent="0.25">
      <c r="A24" s="2"/>
    </row>
    <row r="25" spans="1:2" x14ac:dyDescent="0.25">
      <c r="A25" s="2"/>
    </row>
    <row r="26" spans="1:2" x14ac:dyDescent="0.25">
      <c r="A26" s="2"/>
    </row>
  </sheetData>
  <conditionalFormatting sqref="A18">
    <cfRule type="duplicateValues" dxfId="3" priority="1"/>
  </conditionalFormatting>
  <conditionalFormatting sqref="O2">
    <cfRule type="duplicateValues" dxfId="2" priority="3"/>
  </conditionalFormatting>
  <conditionalFormatting sqref="O8">
    <cfRule type="duplicateValues" dxfId="1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dimension ref="A1:AC352"/>
  <sheetViews>
    <sheetView zoomScale="70" zoomScaleNormal="70" workbookViewId="0">
      <selection activeCell="G21" sqref="G21"/>
    </sheetView>
  </sheetViews>
  <sheetFormatPr baseColWidth="10" defaultColWidth="11.42578125" defaultRowHeight="15" x14ac:dyDescent="0.25"/>
  <cols>
    <col min="1" max="1" width="11.85546875" customWidth="1"/>
    <col min="2" max="2" width="11.42578125" customWidth="1"/>
    <col min="4" max="5" width="11.42578125" customWidth="1"/>
    <col min="6" max="6" width="13.140625" customWidth="1"/>
    <col min="7" max="7" width="11.42578125" style="2" customWidth="1"/>
    <col min="8" max="8" width="11.42578125" customWidth="1"/>
    <col min="9" max="9" width="13.5703125" style="63" customWidth="1"/>
    <col min="10" max="10" width="20.42578125" style="2" customWidth="1"/>
    <col min="11" max="11" width="13.42578125" customWidth="1"/>
    <col min="12" max="12" width="18.5703125" customWidth="1"/>
    <col min="13" max="13" width="9.140625" style="2" customWidth="1"/>
    <col min="14" max="14" width="32.140625" customWidth="1"/>
    <col min="15" max="15" width="66.140625" customWidth="1"/>
    <col min="16" max="16" width="30.28515625" customWidth="1"/>
    <col min="17" max="17" width="14.5703125" customWidth="1"/>
    <col min="18" max="18" width="15" customWidth="1"/>
    <col min="19" max="19" width="18.7109375" style="66" customWidth="1"/>
    <col min="20" max="20" width="18.28515625" style="2" customWidth="1"/>
    <col min="21" max="21" width="24.42578125" style="2" customWidth="1"/>
    <col min="22" max="22" width="14.5703125" style="2" customWidth="1"/>
    <col min="23" max="23" width="11.42578125" style="2"/>
    <col min="24" max="24" width="20" style="2" customWidth="1"/>
    <col min="25" max="25" width="20.42578125" style="2" customWidth="1"/>
    <col min="26" max="26" width="18.140625" style="2" customWidth="1"/>
    <col min="27" max="27" width="11.42578125" style="2"/>
    <col min="28" max="28" width="21.5703125" style="2" customWidth="1"/>
    <col min="29" max="29" width="21.85546875" style="2" customWidth="1"/>
  </cols>
  <sheetData>
    <row r="1" spans="1:29" x14ac:dyDescent="0.25">
      <c r="A1" t="s">
        <v>28</v>
      </c>
      <c r="B1" t="s">
        <v>67</v>
      </c>
      <c r="C1" t="s">
        <v>1</v>
      </c>
      <c r="D1" t="s">
        <v>26</v>
      </c>
      <c r="E1" t="s">
        <v>29</v>
      </c>
      <c r="F1" t="s">
        <v>68</v>
      </c>
      <c r="G1" s="2" t="s">
        <v>69</v>
      </c>
      <c r="H1" t="s">
        <v>70</v>
      </c>
      <c r="I1" s="63" t="s">
        <v>30</v>
      </c>
      <c r="J1" s="2" t="s">
        <v>27</v>
      </c>
      <c r="K1" t="s">
        <v>71</v>
      </c>
      <c r="L1" t="s">
        <v>72</v>
      </c>
      <c r="M1" s="2" t="s">
        <v>73</v>
      </c>
      <c r="N1" t="s">
        <v>74</v>
      </c>
      <c r="O1" t="s">
        <v>31</v>
      </c>
      <c r="P1" t="s">
        <v>75</v>
      </c>
      <c r="Q1" t="s">
        <v>76</v>
      </c>
      <c r="R1" t="s">
        <v>77</v>
      </c>
      <c r="S1" s="66" t="s">
        <v>33</v>
      </c>
      <c r="T1" s="2" t="s">
        <v>78</v>
      </c>
      <c r="U1" s="2" t="s">
        <v>79</v>
      </c>
      <c r="V1" s="2" t="s">
        <v>34</v>
      </c>
      <c r="W1" s="2" t="s">
        <v>80</v>
      </c>
      <c r="X1" s="2" t="s">
        <v>81</v>
      </c>
      <c r="Y1" s="2" t="s">
        <v>82</v>
      </c>
      <c r="Z1" s="2" t="s">
        <v>83</v>
      </c>
      <c r="AA1" s="2" t="s">
        <v>35</v>
      </c>
      <c r="AB1" s="2" t="s">
        <v>84</v>
      </c>
      <c r="AC1" s="2" t="s">
        <v>85</v>
      </c>
    </row>
    <row r="2" spans="1:29" s="2" customFormat="1" x14ac:dyDescent="0.25">
      <c r="A2" t="s">
        <v>39</v>
      </c>
      <c r="B2" t="s">
        <v>92</v>
      </c>
      <c r="C2" t="s">
        <v>9</v>
      </c>
      <c r="D2" t="s">
        <v>63</v>
      </c>
      <c r="E2" t="s">
        <v>125</v>
      </c>
      <c r="F2" t="s">
        <v>126</v>
      </c>
      <c r="G2" t="s">
        <v>9</v>
      </c>
      <c r="H2" t="s">
        <v>87</v>
      </c>
      <c r="I2">
        <v>66552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40</v>
      </c>
      <c r="P2" t="s">
        <v>24</v>
      </c>
      <c r="Q2" t="s">
        <v>87</v>
      </c>
      <c r="R2" t="s">
        <v>87</v>
      </c>
      <c r="S2" s="87">
        <v>45729</v>
      </c>
      <c r="T2" t="s">
        <v>132</v>
      </c>
      <c r="U2" t="s">
        <v>133</v>
      </c>
      <c r="V2">
        <v>26388644</v>
      </c>
      <c r="W2" t="s">
        <v>88</v>
      </c>
      <c r="X2"/>
      <c r="Y2"/>
      <c r="Z2" t="s">
        <v>134</v>
      </c>
      <c r="AA2" t="s">
        <v>135</v>
      </c>
      <c r="AB2" t="s">
        <v>89</v>
      </c>
      <c r="AC2" t="s">
        <v>90</v>
      </c>
    </row>
    <row r="3" spans="1:29" s="2" customFormat="1" x14ac:dyDescent="0.25">
      <c r="A3" t="s">
        <v>39</v>
      </c>
      <c r="B3" t="s">
        <v>92</v>
      </c>
      <c r="C3" t="s">
        <v>9</v>
      </c>
      <c r="D3" t="s">
        <v>63</v>
      </c>
      <c r="E3" t="s">
        <v>125</v>
      </c>
      <c r="F3" t="s">
        <v>126</v>
      </c>
      <c r="G3" t="s">
        <v>9</v>
      </c>
      <c r="H3" t="s">
        <v>87</v>
      </c>
      <c r="I3">
        <v>66552</v>
      </c>
      <c r="J3" t="s">
        <v>127</v>
      </c>
      <c r="K3" t="s">
        <v>128</v>
      </c>
      <c r="L3" t="s">
        <v>129</v>
      </c>
      <c r="M3" t="s">
        <v>130</v>
      </c>
      <c r="N3" t="s">
        <v>131</v>
      </c>
      <c r="O3" t="s">
        <v>100</v>
      </c>
      <c r="P3" t="s">
        <v>24</v>
      </c>
      <c r="Q3" t="s">
        <v>87</v>
      </c>
      <c r="R3" t="s">
        <v>87</v>
      </c>
      <c r="S3" s="87">
        <v>45729</v>
      </c>
      <c r="T3" t="s">
        <v>132</v>
      </c>
      <c r="U3" t="s">
        <v>133</v>
      </c>
      <c r="V3">
        <v>26388644</v>
      </c>
      <c r="W3" t="s">
        <v>88</v>
      </c>
      <c r="X3"/>
      <c r="Y3"/>
      <c r="Z3" t="s">
        <v>134</v>
      </c>
      <c r="AA3" t="s">
        <v>135</v>
      </c>
      <c r="AB3" t="s">
        <v>89</v>
      </c>
      <c r="AC3" t="s">
        <v>90</v>
      </c>
    </row>
    <row r="4" spans="1:29" s="2" customFormat="1" x14ac:dyDescent="0.25">
      <c r="A4" t="s">
        <v>39</v>
      </c>
      <c r="B4" t="s">
        <v>92</v>
      </c>
      <c r="C4" t="s">
        <v>9</v>
      </c>
      <c r="D4" t="s">
        <v>63</v>
      </c>
      <c r="E4" t="s">
        <v>125</v>
      </c>
      <c r="F4" t="s">
        <v>126</v>
      </c>
      <c r="G4" t="s">
        <v>9</v>
      </c>
      <c r="H4" t="s">
        <v>87</v>
      </c>
      <c r="I4">
        <v>66552</v>
      </c>
      <c r="J4" t="s">
        <v>127</v>
      </c>
      <c r="K4" t="s">
        <v>128</v>
      </c>
      <c r="L4" t="s">
        <v>129</v>
      </c>
      <c r="M4" t="s">
        <v>130</v>
      </c>
      <c r="N4" t="s">
        <v>131</v>
      </c>
      <c r="O4" t="s">
        <v>136</v>
      </c>
      <c r="P4" t="s">
        <v>24</v>
      </c>
      <c r="Q4" t="s">
        <v>87</v>
      </c>
      <c r="R4" t="s">
        <v>87</v>
      </c>
      <c r="S4" s="87">
        <v>45729</v>
      </c>
      <c r="T4" t="s">
        <v>132</v>
      </c>
      <c r="U4" t="s">
        <v>133</v>
      </c>
      <c r="V4">
        <v>26388644</v>
      </c>
      <c r="W4" t="s">
        <v>88</v>
      </c>
      <c r="X4"/>
      <c r="Y4"/>
      <c r="Z4" t="s">
        <v>134</v>
      </c>
      <c r="AA4" t="s">
        <v>135</v>
      </c>
      <c r="AB4" t="s">
        <v>89</v>
      </c>
      <c r="AC4" t="s">
        <v>90</v>
      </c>
    </row>
    <row r="5" spans="1:29" s="2" customFormat="1" x14ac:dyDescent="0.25">
      <c r="A5" t="s">
        <v>39</v>
      </c>
      <c r="B5" t="s">
        <v>92</v>
      </c>
      <c r="C5" t="s">
        <v>9</v>
      </c>
      <c r="D5" t="s">
        <v>63</v>
      </c>
      <c r="E5" t="s">
        <v>125</v>
      </c>
      <c r="F5" t="s">
        <v>126</v>
      </c>
      <c r="G5" t="s">
        <v>9</v>
      </c>
      <c r="H5" t="s">
        <v>87</v>
      </c>
      <c r="I5">
        <v>66552</v>
      </c>
      <c r="J5" t="s">
        <v>127</v>
      </c>
      <c r="K5" t="s">
        <v>128</v>
      </c>
      <c r="L5" t="s">
        <v>129</v>
      </c>
      <c r="M5" t="s">
        <v>130</v>
      </c>
      <c r="N5" t="s">
        <v>131</v>
      </c>
      <c r="O5" t="s">
        <v>44</v>
      </c>
      <c r="P5" t="s">
        <v>24</v>
      </c>
      <c r="Q5" t="s">
        <v>87</v>
      </c>
      <c r="R5" t="s">
        <v>87</v>
      </c>
      <c r="S5" s="87">
        <v>45729</v>
      </c>
      <c r="T5" t="s">
        <v>132</v>
      </c>
      <c r="U5" t="s">
        <v>133</v>
      </c>
      <c r="V5">
        <v>26388644</v>
      </c>
      <c r="W5" t="s">
        <v>88</v>
      </c>
      <c r="X5"/>
      <c r="Y5"/>
      <c r="Z5" t="s">
        <v>134</v>
      </c>
      <c r="AA5" t="s">
        <v>135</v>
      </c>
      <c r="AB5" t="s">
        <v>89</v>
      </c>
      <c r="AC5" t="s">
        <v>90</v>
      </c>
    </row>
    <row r="6" spans="1:29" s="2" customFormat="1" x14ac:dyDescent="0.25">
      <c r="A6" t="s">
        <v>39</v>
      </c>
      <c r="B6" t="s">
        <v>92</v>
      </c>
      <c r="C6" t="s">
        <v>9</v>
      </c>
      <c r="D6" t="s">
        <v>63</v>
      </c>
      <c r="E6" t="s">
        <v>125</v>
      </c>
      <c r="F6" t="s">
        <v>126</v>
      </c>
      <c r="G6" t="s">
        <v>9</v>
      </c>
      <c r="H6" t="s">
        <v>87</v>
      </c>
      <c r="I6">
        <v>66552</v>
      </c>
      <c r="J6" t="s">
        <v>127</v>
      </c>
      <c r="K6" t="s">
        <v>128</v>
      </c>
      <c r="L6" t="s">
        <v>129</v>
      </c>
      <c r="M6" t="s">
        <v>130</v>
      </c>
      <c r="N6" t="s">
        <v>131</v>
      </c>
      <c r="O6" t="s">
        <v>137</v>
      </c>
      <c r="P6" t="s">
        <v>118</v>
      </c>
      <c r="Q6" t="s">
        <v>87</v>
      </c>
      <c r="R6" t="s">
        <v>87</v>
      </c>
      <c r="S6" s="87">
        <v>45729</v>
      </c>
      <c r="T6" t="s">
        <v>132</v>
      </c>
      <c r="U6" t="s">
        <v>133</v>
      </c>
      <c r="V6">
        <v>26388644</v>
      </c>
      <c r="W6" t="s">
        <v>88</v>
      </c>
      <c r="X6"/>
      <c r="Y6"/>
      <c r="Z6" t="s">
        <v>134</v>
      </c>
      <c r="AA6" t="s">
        <v>135</v>
      </c>
      <c r="AB6" t="s">
        <v>89</v>
      </c>
      <c r="AC6" t="s">
        <v>90</v>
      </c>
    </row>
    <row r="7" spans="1:29" s="2" customFormat="1" x14ac:dyDescent="0.25">
      <c r="A7" t="s">
        <v>39</v>
      </c>
      <c r="B7" t="s">
        <v>92</v>
      </c>
      <c r="C7" t="s">
        <v>9</v>
      </c>
      <c r="D7" t="s">
        <v>63</v>
      </c>
      <c r="E7" t="s">
        <v>125</v>
      </c>
      <c r="F7" t="s">
        <v>126</v>
      </c>
      <c r="G7" t="s">
        <v>9</v>
      </c>
      <c r="H7" t="s">
        <v>87</v>
      </c>
      <c r="I7">
        <v>66552</v>
      </c>
      <c r="J7" t="s">
        <v>127</v>
      </c>
      <c r="K7" t="s">
        <v>128</v>
      </c>
      <c r="L7" t="s">
        <v>129</v>
      </c>
      <c r="M7" t="s">
        <v>130</v>
      </c>
      <c r="N7" t="s">
        <v>131</v>
      </c>
      <c r="O7" t="s">
        <v>43</v>
      </c>
      <c r="P7" t="s">
        <v>24</v>
      </c>
      <c r="Q7" t="s">
        <v>87</v>
      </c>
      <c r="R7" t="s">
        <v>87</v>
      </c>
      <c r="S7" s="87">
        <v>45729</v>
      </c>
      <c r="T7" t="s">
        <v>132</v>
      </c>
      <c r="U7" t="s">
        <v>133</v>
      </c>
      <c r="V7">
        <v>26388644</v>
      </c>
      <c r="W7" t="s">
        <v>88</v>
      </c>
      <c r="X7"/>
      <c r="Y7"/>
      <c r="Z7" t="s">
        <v>134</v>
      </c>
      <c r="AA7" t="s">
        <v>135</v>
      </c>
      <c r="AB7" t="s">
        <v>89</v>
      </c>
      <c r="AC7" t="s">
        <v>90</v>
      </c>
    </row>
    <row r="8" spans="1:29" s="2" customFormat="1" x14ac:dyDescent="0.25">
      <c r="A8" t="s">
        <v>39</v>
      </c>
      <c r="B8" t="s">
        <v>92</v>
      </c>
      <c r="C8" t="s">
        <v>9</v>
      </c>
      <c r="D8" t="s">
        <v>63</v>
      </c>
      <c r="E8" t="s">
        <v>125</v>
      </c>
      <c r="F8" t="s">
        <v>126</v>
      </c>
      <c r="G8" t="s">
        <v>9</v>
      </c>
      <c r="H8" t="s">
        <v>87</v>
      </c>
      <c r="I8">
        <v>66552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49</v>
      </c>
      <c r="P8" t="s">
        <v>24</v>
      </c>
      <c r="Q8" t="s">
        <v>87</v>
      </c>
      <c r="R8" t="s">
        <v>87</v>
      </c>
      <c r="S8" s="87">
        <v>45729</v>
      </c>
      <c r="T8" t="s">
        <v>132</v>
      </c>
      <c r="U8" t="s">
        <v>133</v>
      </c>
      <c r="V8">
        <v>26388644</v>
      </c>
      <c r="W8" t="s">
        <v>88</v>
      </c>
      <c r="X8"/>
      <c r="Y8"/>
      <c r="Z8" t="s">
        <v>134</v>
      </c>
      <c r="AA8" t="s">
        <v>135</v>
      </c>
      <c r="AB8" t="s">
        <v>89</v>
      </c>
      <c r="AC8" t="s">
        <v>90</v>
      </c>
    </row>
    <row r="9" spans="1:29" s="2" customFormat="1" x14ac:dyDescent="0.25">
      <c r="A9" t="s">
        <v>39</v>
      </c>
      <c r="B9" t="s">
        <v>92</v>
      </c>
      <c r="C9" t="s">
        <v>9</v>
      </c>
      <c r="D9" t="s">
        <v>63</v>
      </c>
      <c r="E9" t="s">
        <v>125</v>
      </c>
      <c r="F9" t="s">
        <v>126</v>
      </c>
      <c r="G9" t="s">
        <v>9</v>
      </c>
      <c r="H9" t="s">
        <v>87</v>
      </c>
      <c r="I9">
        <v>66552</v>
      </c>
      <c r="J9" t="s">
        <v>127</v>
      </c>
      <c r="K9" t="s">
        <v>128</v>
      </c>
      <c r="L9" t="s">
        <v>129</v>
      </c>
      <c r="M9" t="s">
        <v>130</v>
      </c>
      <c r="N9" t="s">
        <v>131</v>
      </c>
      <c r="O9" t="s">
        <v>52</v>
      </c>
      <c r="P9" t="s">
        <v>118</v>
      </c>
      <c r="Q9" t="s">
        <v>87</v>
      </c>
      <c r="R9" t="s">
        <v>87</v>
      </c>
      <c r="S9" s="87">
        <v>45729</v>
      </c>
      <c r="T9" t="s">
        <v>132</v>
      </c>
      <c r="U9" t="s">
        <v>133</v>
      </c>
      <c r="V9">
        <v>26388644</v>
      </c>
      <c r="W9" t="s">
        <v>88</v>
      </c>
      <c r="X9"/>
      <c r="Y9"/>
      <c r="Z9" t="s">
        <v>134</v>
      </c>
      <c r="AA9" t="s">
        <v>135</v>
      </c>
      <c r="AB9" t="s">
        <v>89</v>
      </c>
      <c r="AC9" t="s">
        <v>90</v>
      </c>
    </row>
    <row r="10" spans="1:29" s="2" customFormat="1" x14ac:dyDescent="0.25">
      <c r="A10" t="s">
        <v>39</v>
      </c>
      <c r="B10" t="s">
        <v>92</v>
      </c>
      <c r="C10" t="s">
        <v>9</v>
      </c>
      <c r="D10" t="s">
        <v>63</v>
      </c>
      <c r="E10" t="s">
        <v>125</v>
      </c>
      <c r="F10" t="s">
        <v>126</v>
      </c>
      <c r="G10" t="s">
        <v>9</v>
      </c>
      <c r="H10" t="s">
        <v>87</v>
      </c>
      <c r="I10">
        <v>66552</v>
      </c>
      <c r="J10" t="s">
        <v>127</v>
      </c>
      <c r="K10" t="s">
        <v>128</v>
      </c>
      <c r="L10" t="s">
        <v>129</v>
      </c>
      <c r="M10" t="s">
        <v>130</v>
      </c>
      <c r="N10" t="s">
        <v>131</v>
      </c>
      <c r="O10" t="s">
        <v>48</v>
      </c>
      <c r="P10" t="s">
        <v>118</v>
      </c>
      <c r="Q10" t="s">
        <v>87</v>
      </c>
      <c r="R10" t="s">
        <v>87</v>
      </c>
      <c r="S10" s="87">
        <v>45729</v>
      </c>
      <c r="T10" t="s">
        <v>132</v>
      </c>
      <c r="U10" t="s">
        <v>133</v>
      </c>
      <c r="V10">
        <v>26388644</v>
      </c>
      <c r="W10" t="s">
        <v>88</v>
      </c>
      <c r="X10"/>
      <c r="Y10"/>
      <c r="Z10" t="s">
        <v>134</v>
      </c>
      <c r="AA10" t="s">
        <v>135</v>
      </c>
      <c r="AB10" t="s">
        <v>89</v>
      </c>
      <c r="AC10" t="s">
        <v>90</v>
      </c>
    </row>
    <row r="11" spans="1:29" s="2" customFormat="1" x14ac:dyDescent="0.25">
      <c r="A11" t="s">
        <v>39</v>
      </c>
      <c r="B11" t="s">
        <v>92</v>
      </c>
      <c r="C11" t="s">
        <v>9</v>
      </c>
      <c r="D11" t="s">
        <v>63</v>
      </c>
      <c r="E11" t="s">
        <v>125</v>
      </c>
      <c r="F11" t="s">
        <v>126</v>
      </c>
      <c r="G11" t="s">
        <v>9</v>
      </c>
      <c r="H11" t="s">
        <v>87</v>
      </c>
      <c r="I11">
        <v>66552</v>
      </c>
      <c r="J11" t="s">
        <v>127</v>
      </c>
      <c r="K11" t="s">
        <v>128</v>
      </c>
      <c r="L11" t="s">
        <v>129</v>
      </c>
      <c r="M11" t="s">
        <v>130</v>
      </c>
      <c r="N11" t="s">
        <v>131</v>
      </c>
      <c r="O11" t="s">
        <v>47</v>
      </c>
      <c r="P11" t="s">
        <v>118</v>
      </c>
      <c r="Q11" t="s">
        <v>87</v>
      </c>
      <c r="R11" t="s">
        <v>87</v>
      </c>
      <c r="S11" s="87">
        <v>45729</v>
      </c>
      <c r="T11" t="s">
        <v>132</v>
      </c>
      <c r="U11" t="s">
        <v>133</v>
      </c>
      <c r="V11">
        <v>26388644</v>
      </c>
      <c r="W11" t="s">
        <v>88</v>
      </c>
      <c r="X11"/>
      <c r="Y11"/>
      <c r="Z11" t="s">
        <v>134</v>
      </c>
      <c r="AA11" t="s">
        <v>135</v>
      </c>
      <c r="AB11" t="s">
        <v>89</v>
      </c>
      <c r="AC11" t="s">
        <v>90</v>
      </c>
    </row>
    <row r="12" spans="1:29" s="2" customFormat="1" x14ac:dyDescent="0.25">
      <c r="A12" t="s">
        <v>39</v>
      </c>
      <c r="B12" t="s">
        <v>92</v>
      </c>
      <c r="C12" t="s">
        <v>9</v>
      </c>
      <c r="D12" t="s">
        <v>63</v>
      </c>
      <c r="E12" t="s">
        <v>125</v>
      </c>
      <c r="F12" t="s">
        <v>126</v>
      </c>
      <c r="G12" t="s">
        <v>9</v>
      </c>
      <c r="H12" t="s">
        <v>87</v>
      </c>
      <c r="I12">
        <v>66552</v>
      </c>
      <c r="J12" t="s">
        <v>127</v>
      </c>
      <c r="K12" t="s">
        <v>128</v>
      </c>
      <c r="L12" t="s">
        <v>129</v>
      </c>
      <c r="M12" t="s">
        <v>130</v>
      </c>
      <c r="N12" t="s">
        <v>131</v>
      </c>
      <c r="O12" t="s">
        <v>46</v>
      </c>
      <c r="P12" t="s">
        <v>118</v>
      </c>
      <c r="Q12" t="s">
        <v>87</v>
      </c>
      <c r="R12" t="s">
        <v>87</v>
      </c>
      <c r="S12" s="87">
        <v>45729</v>
      </c>
      <c r="T12" t="s">
        <v>132</v>
      </c>
      <c r="U12" t="s">
        <v>133</v>
      </c>
      <c r="V12">
        <v>26388644</v>
      </c>
      <c r="W12" t="s">
        <v>88</v>
      </c>
      <c r="X12"/>
      <c r="Y12"/>
      <c r="Z12" t="s">
        <v>134</v>
      </c>
      <c r="AA12" t="s">
        <v>135</v>
      </c>
      <c r="AB12" t="s">
        <v>89</v>
      </c>
      <c r="AC12" t="s">
        <v>90</v>
      </c>
    </row>
    <row r="13" spans="1:29" s="2" customFormat="1" x14ac:dyDescent="0.25">
      <c r="A13" t="s">
        <v>39</v>
      </c>
      <c r="B13" t="s">
        <v>92</v>
      </c>
      <c r="C13" t="s">
        <v>9</v>
      </c>
      <c r="D13" t="s">
        <v>63</v>
      </c>
      <c r="E13" t="s">
        <v>125</v>
      </c>
      <c r="F13" t="s">
        <v>126</v>
      </c>
      <c r="G13" t="s">
        <v>9</v>
      </c>
      <c r="H13" t="s">
        <v>87</v>
      </c>
      <c r="I13">
        <v>66552</v>
      </c>
      <c r="J13" t="s">
        <v>127</v>
      </c>
      <c r="K13" t="s">
        <v>128</v>
      </c>
      <c r="L13" t="s">
        <v>129</v>
      </c>
      <c r="M13" t="s">
        <v>130</v>
      </c>
      <c r="N13" t="s">
        <v>131</v>
      </c>
      <c r="O13" t="s">
        <v>138</v>
      </c>
      <c r="P13" t="s">
        <v>24</v>
      </c>
      <c r="Q13" t="s">
        <v>87</v>
      </c>
      <c r="R13" t="s">
        <v>87</v>
      </c>
      <c r="S13" s="87">
        <v>45729</v>
      </c>
      <c r="T13" t="s">
        <v>132</v>
      </c>
      <c r="U13" t="s">
        <v>133</v>
      </c>
      <c r="V13">
        <v>26388644</v>
      </c>
      <c r="W13" t="s">
        <v>88</v>
      </c>
      <c r="X13"/>
      <c r="Y13"/>
      <c r="Z13" t="s">
        <v>134</v>
      </c>
      <c r="AA13" t="s">
        <v>135</v>
      </c>
      <c r="AB13" t="s">
        <v>89</v>
      </c>
      <c r="AC13" t="s">
        <v>90</v>
      </c>
    </row>
    <row r="14" spans="1:29" s="2" customFormat="1" x14ac:dyDescent="0.25">
      <c r="A14" t="s">
        <v>39</v>
      </c>
      <c r="B14" t="s">
        <v>92</v>
      </c>
      <c r="C14" t="s">
        <v>9</v>
      </c>
      <c r="D14" t="s">
        <v>63</v>
      </c>
      <c r="E14" t="s">
        <v>125</v>
      </c>
      <c r="F14" t="s">
        <v>126</v>
      </c>
      <c r="G14" t="s">
        <v>9</v>
      </c>
      <c r="H14" t="s">
        <v>87</v>
      </c>
      <c r="I14">
        <v>66552</v>
      </c>
      <c r="J14" t="s">
        <v>127</v>
      </c>
      <c r="K14" t="s">
        <v>128</v>
      </c>
      <c r="L14" t="s">
        <v>129</v>
      </c>
      <c r="M14" t="s">
        <v>130</v>
      </c>
      <c r="N14" t="s">
        <v>131</v>
      </c>
      <c r="O14" t="s">
        <v>101</v>
      </c>
      <c r="P14" t="s">
        <v>24</v>
      </c>
      <c r="Q14" t="s">
        <v>87</v>
      </c>
      <c r="R14" t="s">
        <v>87</v>
      </c>
      <c r="S14" s="87">
        <v>45729</v>
      </c>
      <c r="T14" t="s">
        <v>132</v>
      </c>
      <c r="U14" t="s">
        <v>133</v>
      </c>
      <c r="V14">
        <v>26388644</v>
      </c>
      <c r="W14" t="s">
        <v>88</v>
      </c>
      <c r="X14"/>
      <c r="Y14"/>
      <c r="Z14" t="s">
        <v>134</v>
      </c>
      <c r="AA14" t="s">
        <v>135</v>
      </c>
      <c r="AB14" t="s">
        <v>89</v>
      </c>
      <c r="AC14" t="s">
        <v>90</v>
      </c>
    </row>
    <row r="15" spans="1:29" s="2" customFormat="1" x14ac:dyDescent="0.25">
      <c r="A15" t="s">
        <v>39</v>
      </c>
      <c r="B15" t="s">
        <v>92</v>
      </c>
      <c r="C15" t="s">
        <v>9</v>
      </c>
      <c r="D15" t="s">
        <v>63</v>
      </c>
      <c r="E15" t="s">
        <v>125</v>
      </c>
      <c r="F15" t="s">
        <v>126</v>
      </c>
      <c r="G15" t="s">
        <v>9</v>
      </c>
      <c r="H15" t="s">
        <v>87</v>
      </c>
      <c r="I15">
        <v>66552</v>
      </c>
      <c r="J15" t="s">
        <v>127</v>
      </c>
      <c r="K15" t="s">
        <v>128</v>
      </c>
      <c r="L15" t="s">
        <v>129</v>
      </c>
      <c r="M15" t="s">
        <v>130</v>
      </c>
      <c r="N15" t="s">
        <v>131</v>
      </c>
      <c r="O15" t="s">
        <v>101</v>
      </c>
      <c r="P15" t="s">
        <v>24</v>
      </c>
      <c r="Q15" t="s">
        <v>87</v>
      </c>
      <c r="R15" t="s">
        <v>87</v>
      </c>
      <c r="S15" s="87">
        <v>45729</v>
      </c>
      <c r="T15" t="s">
        <v>132</v>
      </c>
      <c r="U15" t="s">
        <v>133</v>
      </c>
      <c r="V15">
        <v>26388644</v>
      </c>
      <c r="W15" t="s">
        <v>88</v>
      </c>
      <c r="X15"/>
      <c r="Y15"/>
      <c r="Z15" t="s">
        <v>134</v>
      </c>
      <c r="AA15" t="s">
        <v>135</v>
      </c>
      <c r="AB15" t="s">
        <v>89</v>
      </c>
      <c r="AC15" t="s">
        <v>90</v>
      </c>
    </row>
    <row r="16" spans="1:29" s="2" customFormat="1" x14ac:dyDescent="0.25">
      <c r="A16" t="s">
        <v>39</v>
      </c>
      <c r="B16" t="s">
        <v>92</v>
      </c>
      <c r="C16" t="s">
        <v>9</v>
      </c>
      <c r="D16" t="s">
        <v>63</v>
      </c>
      <c r="E16" t="s">
        <v>125</v>
      </c>
      <c r="F16" t="s">
        <v>126</v>
      </c>
      <c r="G16" t="s">
        <v>9</v>
      </c>
      <c r="H16" t="s">
        <v>87</v>
      </c>
      <c r="I16">
        <v>66552</v>
      </c>
      <c r="J16" t="s">
        <v>127</v>
      </c>
      <c r="K16" t="s">
        <v>128</v>
      </c>
      <c r="L16" t="s">
        <v>129</v>
      </c>
      <c r="M16" t="s">
        <v>130</v>
      </c>
      <c r="N16" t="s">
        <v>131</v>
      </c>
      <c r="O16" t="s">
        <v>101</v>
      </c>
      <c r="P16" t="s">
        <v>24</v>
      </c>
      <c r="Q16" t="s">
        <v>87</v>
      </c>
      <c r="R16" t="s">
        <v>87</v>
      </c>
      <c r="S16" s="87">
        <v>45729</v>
      </c>
      <c r="T16" t="s">
        <v>132</v>
      </c>
      <c r="U16" t="s">
        <v>133</v>
      </c>
      <c r="V16">
        <v>26388644</v>
      </c>
      <c r="W16" t="s">
        <v>88</v>
      </c>
      <c r="X16"/>
      <c r="Y16"/>
      <c r="Z16" t="s">
        <v>134</v>
      </c>
      <c r="AA16" t="s">
        <v>135</v>
      </c>
      <c r="AB16" t="s">
        <v>89</v>
      </c>
      <c r="AC16" t="s">
        <v>90</v>
      </c>
    </row>
    <row r="17" spans="1:29" s="2" customFormat="1" x14ac:dyDescent="0.25">
      <c r="A17" t="s">
        <v>39</v>
      </c>
      <c r="B17" t="s">
        <v>92</v>
      </c>
      <c r="C17" t="s">
        <v>9</v>
      </c>
      <c r="D17" t="s">
        <v>63</v>
      </c>
      <c r="E17" t="s">
        <v>125</v>
      </c>
      <c r="F17" t="s">
        <v>126</v>
      </c>
      <c r="G17" t="s">
        <v>9</v>
      </c>
      <c r="H17" t="s">
        <v>87</v>
      </c>
      <c r="I17">
        <v>66552</v>
      </c>
      <c r="J17" t="s">
        <v>127</v>
      </c>
      <c r="K17" t="s">
        <v>128</v>
      </c>
      <c r="L17" t="s">
        <v>129</v>
      </c>
      <c r="M17" t="s">
        <v>130</v>
      </c>
      <c r="N17" t="s">
        <v>131</v>
      </c>
      <c r="O17" t="s">
        <v>101</v>
      </c>
      <c r="P17" t="s">
        <v>24</v>
      </c>
      <c r="Q17" t="s">
        <v>87</v>
      </c>
      <c r="R17" t="s">
        <v>87</v>
      </c>
      <c r="S17" s="87">
        <v>45729</v>
      </c>
      <c r="T17" t="s">
        <v>132</v>
      </c>
      <c r="U17" t="s">
        <v>133</v>
      </c>
      <c r="V17">
        <v>26388644</v>
      </c>
      <c r="W17" t="s">
        <v>88</v>
      </c>
      <c r="X17"/>
      <c r="Y17"/>
      <c r="Z17" t="s">
        <v>134</v>
      </c>
      <c r="AA17" t="s">
        <v>135</v>
      </c>
      <c r="AB17" t="s">
        <v>89</v>
      </c>
      <c r="AC17" t="s">
        <v>90</v>
      </c>
    </row>
    <row r="18" spans="1:29" s="2" customFormat="1" x14ac:dyDescent="0.25">
      <c r="A18" t="s">
        <v>39</v>
      </c>
      <c r="B18" t="s">
        <v>92</v>
      </c>
      <c r="C18" t="s">
        <v>9</v>
      </c>
      <c r="D18" t="s">
        <v>63</v>
      </c>
      <c r="E18" t="s">
        <v>125</v>
      </c>
      <c r="F18" t="s">
        <v>126</v>
      </c>
      <c r="G18" t="s">
        <v>9</v>
      </c>
      <c r="H18" t="s">
        <v>87</v>
      </c>
      <c r="I18">
        <v>66552</v>
      </c>
      <c r="J18" t="s">
        <v>127</v>
      </c>
      <c r="K18" t="s">
        <v>128</v>
      </c>
      <c r="L18" t="s">
        <v>129</v>
      </c>
      <c r="M18" t="s">
        <v>130</v>
      </c>
      <c r="N18" t="s">
        <v>131</v>
      </c>
      <c r="O18" t="s">
        <v>99</v>
      </c>
      <c r="P18" t="s">
        <v>118</v>
      </c>
      <c r="Q18" t="s">
        <v>87</v>
      </c>
      <c r="R18" t="s">
        <v>87</v>
      </c>
      <c r="S18" s="87">
        <v>45729</v>
      </c>
      <c r="T18" t="s">
        <v>132</v>
      </c>
      <c r="U18" t="s">
        <v>133</v>
      </c>
      <c r="V18">
        <v>26388644</v>
      </c>
      <c r="W18" t="s">
        <v>88</v>
      </c>
      <c r="X18"/>
      <c r="Y18"/>
      <c r="Z18" t="s">
        <v>134</v>
      </c>
      <c r="AA18" t="s">
        <v>135</v>
      </c>
      <c r="AB18" t="s">
        <v>89</v>
      </c>
      <c r="AC18" t="s">
        <v>90</v>
      </c>
    </row>
    <row r="19" spans="1:29" s="2" customFormat="1" x14ac:dyDescent="0.25">
      <c r="A19" t="s">
        <v>39</v>
      </c>
      <c r="B19" t="s">
        <v>92</v>
      </c>
      <c r="C19" t="s">
        <v>9</v>
      </c>
      <c r="D19" t="s">
        <v>63</v>
      </c>
      <c r="E19" t="s">
        <v>125</v>
      </c>
      <c r="F19" t="s">
        <v>126</v>
      </c>
      <c r="G19" t="s">
        <v>9</v>
      </c>
      <c r="H19" t="s">
        <v>87</v>
      </c>
      <c r="I19">
        <v>66552</v>
      </c>
      <c r="J19" t="s">
        <v>127</v>
      </c>
      <c r="K19" t="s">
        <v>128</v>
      </c>
      <c r="L19" t="s">
        <v>129</v>
      </c>
      <c r="M19" t="s">
        <v>130</v>
      </c>
      <c r="N19" t="s">
        <v>131</v>
      </c>
      <c r="O19" t="s">
        <v>102</v>
      </c>
      <c r="P19" t="s">
        <v>63</v>
      </c>
      <c r="Q19" t="s">
        <v>87</v>
      </c>
      <c r="R19" t="s">
        <v>87</v>
      </c>
      <c r="S19" s="87">
        <v>45729</v>
      </c>
      <c r="T19" t="s">
        <v>132</v>
      </c>
      <c r="U19" t="s">
        <v>133</v>
      </c>
      <c r="V19">
        <v>26388644</v>
      </c>
      <c r="W19" t="s">
        <v>88</v>
      </c>
      <c r="X19"/>
      <c r="Y19"/>
      <c r="Z19" t="s">
        <v>134</v>
      </c>
      <c r="AA19" t="s">
        <v>135</v>
      </c>
      <c r="AB19" t="s">
        <v>89</v>
      </c>
      <c r="AC19" t="s">
        <v>90</v>
      </c>
    </row>
    <row r="20" spans="1:29" s="2" customFormat="1" x14ac:dyDescent="0.25">
      <c r="A20" t="s">
        <v>39</v>
      </c>
      <c r="B20" t="s">
        <v>92</v>
      </c>
      <c r="C20" t="s">
        <v>9</v>
      </c>
      <c r="D20" t="s">
        <v>63</v>
      </c>
      <c r="E20" t="s">
        <v>125</v>
      </c>
      <c r="F20" t="s">
        <v>126</v>
      </c>
      <c r="G20" t="s">
        <v>9</v>
      </c>
      <c r="H20" t="s">
        <v>87</v>
      </c>
      <c r="I20">
        <v>66552</v>
      </c>
      <c r="J20" t="s">
        <v>127</v>
      </c>
      <c r="K20" t="s">
        <v>128</v>
      </c>
      <c r="L20" t="s">
        <v>129</v>
      </c>
      <c r="M20" t="s">
        <v>130</v>
      </c>
      <c r="N20" t="s">
        <v>131</v>
      </c>
      <c r="O20" t="s">
        <v>139</v>
      </c>
      <c r="P20" t="s">
        <v>118</v>
      </c>
      <c r="Q20" t="s">
        <v>87</v>
      </c>
      <c r="R20" t="s">
        <v>87</v>
      </c>
      <c r="S20" s="87">
        <v>45729</v>
      </c>
      <c r="T20" t="s">
        <v>132</v>
      </c>
      <c r="U20" t="s">
        <v>133</v>
      </c>
      <c r="V20">
        <v>26388644</v>
      </c>
      <c r="W20" t="s">
        <v>88</v>
      </c>
      <c r="X20"/>
      <c r="Y20"/>
      <c r="Z20" t="s">
        <v>134</v>
      </c>
      <c r="AA20" t="s">
        <v>135</v>
      </c>
      <c r="AB20" t="s">
        <v>89</v>
      </c>
      <c r="AC20" t="s">
        <v>90</v>
      </c>
    </row>
    <row r="21" spans="1:29" s="2" customFormat="1" x14ac:dyDescent="0.25">
      <c r="A21" t="s">
        <v>39</v>
      </c>
      <c r="B21" t="s">
        <v>92</v>
      </c>
      <c r="C21" t="s">
        <v>9</v>
      </c>
      <c r="D21" t="s">
        <v>63</v>
      </c>
      <c r="E21" t="s">
        <v>125</v>
      </c>
      <c r="F21" t="s">
        <v>126</v>
      </c>
      <c r="G21" t="s">
        <v>9</v>
      </c>
      <c r="H21" t="s">
        <v>87</v>
      </c>
      <c r="I21">
        <v>66552</v>
      </c>
      <c r="J21" t="s">
        <v>127</v>
      </c>
      <c r="K21" t="s">
        <v>128</v>
      </c>
      <c r="L21" t="s">
        <v>129</v>
      </c>
      <c r="M21" t="s">
        <v>130</v>
      </c>
      <c r="N21" t="s">
        <v>131</v>
      </c>
      <c r="O21" t="s">
        <v>140</v>
      </c>
      <c r="P21" t="s">
        <v>118</v>
      </c>
      <c r="Q21" t="s">
        <v>87</v>
      </c>
      <c r="R21" t="s">
        <v>87</v>
      </c>
      <c r="S21" s="87">
        <v>45729</v>
      </c>
      <c r="T21" t="s">
        <v>132</v>
      </c>
      <c r="U21" t="s">
        <v>133</v>
      </c>
      <c r="V21">
        <v>26388644</v>
      </c>
      <c r="W21" t="s">
        <v>88</v>
      </c>
      <c r="X21"/>
      <c r="Y21"/>
      <c r="Z21" t="s">
        <v>134</v>
      </c>
      <c r="AA21" t="s">
        <v>135</v>
      </c>
      <c r="AB21" t="s">
        <v>89</v>
      </c>
      <c r="AC21" t="s">
        <v>90</v>
      </c>
    </row>
    <row r="22" spans="1:29" s="2" customFormat="1" x14ac:dyDescent="0.25">
      <c r="A22" t="s">
        <v>39</v>
      </c>
      <c r="B22" t="s">
        <v>92</v>
      </c>
      <c r="C22" t="s">
        <v>9</v>
      </c>
      <c r="D22" t="s">
        <v>63</v>
      </c>
      <c r="E22" t="s">
        <v>125</v>
      </c>
      <c r="F22" t="s">
        <v>126</v>
      </c>
      <c r="G22" t="s">
        <v>9</v>
      </c>
      <c r="H22" t="s">
        <v>87</v>
      </c>
      <c r="I22">
        <v>66552</v>
      </c>
      <c r="J22" t="s">
        <v>127</v>
      </c>
      <c r="K22" t="s">
        <v>128</v>
      </c>
      <c r="L22" t="s">
        <v>129</v>
      </c>
      <c r="M22" t="s">
        <v>130</v>
      </c>
      <c r="N22" t="s">
        <v>131</v>
      </c>
      <c r="O22" t="s">
        <v>141</v>
      </c>
      <c r="P22" t="s">
        <v>118</v>
      </c>
      <c r="Q22" t="s">
        <v>87</v>
      </c>
      <c r="R22" t="s">
        <v>87</v>
      </c>
      <c r="S22" s="87">
        <v>45729</v>
      </c>
      <c r="T22" t="s">
        <v>132</v>
      </c>
      <c r="U22" t="s">
        <v>133</v>
      </c>
      <c r="V22">
        <v>26388644</v>
      </c>
      <c r="W22" t="s">
        <v>88</v>
      </c>
      <c r="X22"/>
      <c r="Y22"/>
      <c r="Z22" t="s">
        <v>134</v>
      </c>
      <c r="AA22" t="s">
        <v>135</v>
      </c>
      <c r="AB22" t="s">
        <v>89</v>
      </c>
      <c r="AC22" t="s">
        <v>90</v>
      </c>
    </row>
    <row r="23" spans="1:29" s="2" customFormat="1" x14ac:dyDescent="0.25">
      <c r="A23" t="s">
        <v>39</v>
      </c>
      <c r="B23" t="s">
        <v>92</v>
      </c>
      <c r="C23" t="s">
        <v>9</v>
      </c>
      <c r="D23" t="s">
        <v>63</v>
      </c>
      <c r="E23" t="s">
        <v>125</v>
      </c>
      <c r="F23" t="s">
        <v>126</v>
      </c>
      <c r="G23" t="s">
        <v>9</v>
      </c>
      <c r="H23" t="s">
        <v>87</v>
      </c>
      <c r="I23">
        <v>66552</v>
      </c>
      <c r="J23" t="s">
        <v>127</v>
      </c>
      <c r="K23" t="s">
        <v>128</v>
      </c>
      <c r="L23" t="s">
        <v>129</v>
      </c>
      <c r="M23" t="s">
        <v>130</v>
      </c>
      <c r="N23" t="s">
        <v>131</v>
      </c>
      <c r="O23" t="s">
        <v>142</v>
      </c>
      <c r="P23" t="s">
        <v>118</v>
      </c>
      <c r="Q23" t="s">
        <v>87</v>
      </c>
      <c r="R23" t="s">
        <v>87</v>
      </c>
      <c r="S23" s="87">
        <v>45729</v>
      </c>
      <c r="T23" t="s">
        <v>132</v>
      </c>
      <c r="U23" t="s">
        <v>133</v>
      </c>
      <c r="V23">
        <v>26388644</v>
      </c>
      <c r="W23" t="s">
        <v>88</v>
      </c>
      <c r="X23"/>
      <c r="Y23"/>
      <c r="Z23" t="s">
        <v>134</v>
      </c>
      <c r="AA23" t="s">
        <v>135</v>
      </c>
      <c r="AB23" t="s">
        <v>89</v>
      </c>
      <c r="AC23" t="s">
        <v>90</v>
      </c>
    </row>
    <row r="24" spans="1:29" s="2" customFormat="1" x14ac:dyDescent="0.25">
      <c r="A24" t="s">
        <v>39</v>
      </c>
      <c r="B24" t="s">
        <v>92</v>
      </c>
      <c r="C24" t="s">
        <v>9</v>
      </c>
      <c r="D24" t="s">
        <v>63</v>
      </c>
      <c r="E24" t="s">
        <v>125</v>
      </c>
      <c r="F24" t="s">
        <v>126</v>
      </c>
      <c r="G24" t="s">
        <v>9</v>
      </c>
      <c r="H24" t="s">
        <v>87</v>
      </c>
      <c r="I24">
        <v>66552</v>
      </c>
      <c r="J24" t="s">
        <v>127</v>
      </c>
      <c r="K24" t="s">
        <v>128</v>
      </c>
      <c r="L24" t="s">
        <v>129</v>
      </c>
      <c r="M24" t="s">
        <v>130</v>
      </c>
      <c r="N24" t="s">
        <v>131</v>
      </c>
      <c r="O24" t="s">
        <v>143</v>
      </c>
      <c r="P24" t="s">
        <v>24</v>
      </c>
      <c r="Q24" t="s">
        <v>87</v>
      </c>
      <c r="R24" t="s">
        <v>87</v>
      </c>
      <c r="S24" s="87">
        <v>45729</v>
      </c>
      <c r="T24" t="s">
        <v>132</v>
      </c>
      <c r="U24" t="s">
        <v>133</v>
      </c>
      <c r="V24">
        <v>26388644</v>
      </c>
      <c r="W24" t="s">
        <v>88</v>
      </c>
      <c r="X24"/>
      <c r="Y24"/>
      <c r="Z24" t="s">
        <v>134</v>
      </c>
      <c r="AA24" t="s">
        <v>135</v>
      </c>
      <c r="AB24" t="s">
        <v>89</v>
      </c>
      <c r="AC24" t="s">
        <v>90</v>
      </c>
    </row>
    <row r="25" spans="1:29" s="2" customFormat="1" x14ac:dyDescent="0.25">
      <c r="A25" t="s">
        <v>39</v>
      </c>
      <c r="B25" t="s">
        <v>92</v>
      </c>
      <c r="C25" t="s">
        <v>9</v>
      </c>
      <c r="D25" t="s">
        <v>63</v>
      </c>
      <c r="E25" t="s">
        <v>125</v>
      </c>
      <c r="F25" t="s">
        <v>126</v>
      </c>
      <c r="G25" t="s">
        <v>9</v>
      </c>
      <c r="H25" t="s">
        <v>87</v>
      </c>
      <c r="I25">
        <v>66552</v>
      </c>
      <c r="J25" t="s">
        <v>127</v>
      </c>
      <c r="K25" t="s">
        <v>128</v>
      </c>
      <c r="L25" t="s">
        <v>129</v>
      </c>
      <c r="M25" t="s">
        <v>130</v>
      </c>
      <c r="N25" t="s">
        <v>131</v>
      </c>
      <c r="O25" t="s">
        <v>144</v>
      </c>
      <c r="P25" t="s">
        <v>24</v>
      </c>
      <c r="Q25" t="s">
        <v>87</v>
      </c>
      <c r="R25" t="s">
        <v>87</v>
      </c>
      <c r="S25" s="87">
        <v>45729</v>
      </c>
      <c r="T25" t="s">
        <v>132</v>
      </c>
      <c r="U25" t="s">
        <v>133</v>
      </c>
      <c r="V25">
        <v>26388644</v>
      </c>
      <c r="W25" t="s">
        <v>88</v>
      </c>
      <c r="X25"/>
      <c r="Y25"/>
      <c r="Z25" t="s">
        <v>134</v>
      </c>
      <c r="AA25" t="s">
        <v>135</v>
      </c>
      <c r="AB25" t="s">
        <v>89</v>
      </c>
      <c r="AC25" t="s">
        <v>90</v>
      </c>
    </row>
    <row r="26" spans="1:29" s="2" customFormat="1" x14ac:dyDescent="0.25">
      <c r="A26" t="s">
        <v>39</v>
      </c>
      <c r="B26" t="s">
        <v>92</v>
      </c>
      <c r="C26" t="s">
        <v>9</v>
      </c>
      <c r="D26" t="s">
        <v>63</v>
      </c>
      <c r="E26" t="s">
        <v>125</v>
      </c>
      <c r="F26" t="s">
        <v>126</v>
      </c>
      <c r="G26" t="s">
        <v>9</v>
      </c>
      <c r="H26" t="s">
        <v>87</v>
      </c>
      <c r="I26">
        <v>66552</v>
      </c>
      <c r="J26" t="s">
        <v>127</v>
      </c>
      <c r="K26" t="s">
        <v>128</v>
      </c>
      <c r="L26" t="s">
        <v>129</v>
      </c>
      <c r="M26" t="s">
        <v>130</v>
      </c>
      <c r="N26" t="s">
        <v>131</v>
      </c>
      <c r="O26" t="s">
        <v>145</v>
      </c>
      <c r="P26" t="s">
        <v>118</v>
      </c>
      <c r="Q26" t="s">
        <v>87</v>
      </c>
      <c r="R26" t="s">
        <v>87</v>
      </c>
      <c r="S26" s="87">
        <v>45729</v>
      </c>
      <c r="T26" t="s">
        <v>132</v>
      </c>
      <c r="U26" t="s">
        <v>133</v>
      </c>
      <c r="V26">
        <v>26388644</v>
      </c>
      <c r="W26" t="s">
        <v>88</v>
      </c>
      <c r="X26"/>
      <c r="Y26"/>
      <c r="Z26" t="s">
        <v>134</v>
      </c>
      <c r="AA26" t="s">
        <v>135</v>
      </c>
      <c r="AB26" t="s">
        <v>89</v>
      </c>
      <c r="AC26" t="s">
        <v>90</v>
      </c>
    </row>
    <row r="27" spans="1:29" s="2" customFormat="1" x14ac:dyDescent="0.25">
      <c r="A27" t="s">
        <v>39</v>
      </c>
      <c r="B27" t="s">
        <v>92</v>
      </c>
      <c r="C27" t="s">
        <v>9</v>
      </c>
      <c r="D27" t="s">
        <v>63</v>
      </c>
      <c r="E27" t="s">
        <v>125</v>
      </c>
      <c r="F27" t="s">
        <v>126</v>
      </c>
      <c r="G27" t="s">
        <v>9</v>
      </c>
      <c r="H27" t="s">
        <v>87</v>
      </c>
      <c r="I27">
        <v>66552</v>
      </c>
      <c r="J27" t="s">
        <v>127</v>
      </c>
      <c r="K27" t="s">
        <v>128</v>
      </c>
      <c r="L27" t="s">
        <v>129</v>
      </c>
      <c r="M27" t="s">
        <v>130</v>
      </c>
      <c r="N27" t="s">
        <v>131</v>
      </c>
      <c r="O27" t="s">
        <v>146</v>
      </c>
      <c r="P27" t="s">
        <v>24</v>
      </c>
      <c r="Q27" t="s">
        <v>87</v>
      </c>
      <c r="R27" t="s">
        <v>87</v>
      </c>
      <c r="S27" s="87">
        <v>45729</v>
      </c>
      <c r="T27" t="s">
        <v>132</v>
      </c>
      <c r="U27" t="s">
        <v>133</v>
      </c>
      <c r="V27">
        <v>26388644</v>
      </c>
      <c r="W27" t="s">
        <v>88</v>
      </c>
      <c r="X27"/>
      <c r="Y27"/>
      <c r="Z27" t="s">
        <v>134</v>
      </c>
      <c r="AA27" t="s">
        <v>135</v>
      </c>
      <c r="AB27" t="s">
        <v>89</v>
      </c>
      <c r="AC27" t="s">
        <v>90</v>
      </c>
    </row>
    <row r="28" spans="1:29" s="2" customFormat="1" x14ac:dyDescent="0.25">
      <c r="A28" t="s">
        <v>39</v>
      </c>
      <c r="B28" t="s">
        <v>92</v>
      </c>
      <c r="C28" t="s">
        <v>9</v>
      </c>
      <c r="D28" t="s">
        <v>63</v>
      </c>
      <c r="E28" t="s">
        <v>125</v>
      </c>
      <c r="F28" t="s">
        <v>126</v>
      </c>
      <c r="G28" t="s">
        <v>9</v>
      </c>
      <c r="H28" t="s">
        <v>87</v>
      </c>
      <c r="I28">
        <v>66552</v>
      </c>
      <c r="J28" t="s">
        <v>127</v>
      </c>
      <c r="K28" t="s">
        <v>128</v>
      </c>
      <c r="L28" t="s">
        <v>129</v>
      </c>
      <c r="M28" t="s">
        <v>130</v>
      </c>
      <c r="N28" t="s">
        <v>131</v>
      </c>
      <c r="O28" t="s">
        <v>41</v>
      </c>
      <c r="P28" t="s">
        <v>24</v>
      </c>
      <c r="Q28" t="s">
        <v>87</v>
      </c>
      <c r="R28" t="s">
        <v>87</v>
      </c>
      <c r="S28" s="87">
        <v>45729</v>
      </c>
      <c r="T28" t="s">
        <v>132</v>
      </c>
      <c r="U28" t="s">
        <v>133</v>
      </c>
      <c r="V28">
        <v>26388644</v>
      </c>
      <c r="W28" t="s">
        <v>88</v>
      </c>
      <c r="X28"/>
      <c r="Y28"/>
      <c r="Z28" t="s">
        <v>134</v>
      </c>
      <c r="AA28" t="s">
        <v>135</v>
      </c>
      <c r="AB28" t="s">
        <v>89</v>
      </c>
      <c r="AC28" t="s">
        <v>90</v>
      </c>
    </row>
    <row r="29" spans="1:29" s="2" customFormat="1" x14ac:dyDescent="0.25">
      <c r="A29" t="s">
        <v>39</v>
      </c>
      <c r="B29" t="s">
        <v>92</v>
      </c>
      <c r="C29" t="s">
        <v>9</v>
      </c>
      <c r="D29" t="s">
        <v>63</v>
      </c>
      <c r="E29" t="s">
        <v>125</v>
      </c>
      <c r="F29" t="s">
        <v>126</v>
      </c>
      <c r="G29" t="s">
        <v>9</v>
      </c>
      <c r="H29" t="s">
        <v>87</v>
      </c>
      <c r="I29">
        <v>66552</v>
      </c>
      <c r="J29" t="s">
        <v>127</v>
      </c>
      <c r="K29" t="s">
        <v>128</v>
      </c>
      <c r="L29" t="s">
        <v>129</v>
      </c>
      <c r="M29" t="s">
        <v>130</v>
      </c>
      <c r="N29" t="s">
        <v>131</v>
      </c>
      <c r="O29" t="s">
        <v>42</v>
      </c>
      <c r="P29" t="s">
        <v>147</v>
      </c>
      <c r="Q29" t="s">
        <v>87</v>
      </c>
      <c r="R29" t="s">
        <v>87</v>
      </c>
      <c r="S29" s="87">
        <v>45729</v>
      </c>
      <c r="T29" t="s">
        <v>132</v>
      </c>
      <c r="U29" t="s">
        <v>133</v>
      </c>
      <c r="V29">
        <v>26388644</v>
      </c>
      <c r="W29" t="s">
        <v>88</v>
      </c>
      <c r="X29"/>
      <c r="Y29"/>
      <c r="Z29" t="s">
        <v>134</v>
      </c>
      <c r="AA29" t="s">
        <v>135</v>
      </c>
      <c r="AB29" t="s">
        <v>89</v>
      </c>
      <c r="AC29" t="s">
        <v>90</v>
      </c>
    </row>
    <row r="30" spans="1:29" s="2" customFormat="1" x14ac:dyDescent="0.25">
      <c r="A30" t="s">
        <v>39</v>
      </c>
      <c r="B30" t="s">
        <v>92</v>
      </c>
      <c r="C30" t="s">
        <v>9</v>
      </c>
      <c r="D30" t="s">
        <v>63</v>
      </c>
      <c r="E30" t="s">
        <v>125</v>
      </c>
      <c r="F30" t="s">
        <v>126</v>
      </c>
      <c r="G30" t="s">
        <v>9</v>
      </c>
      <c r="H30" t="s">
        <v>87</v>
      </c>
      <c r="I30">
        <v>66552</v>
      </c>
      <c r="J30" t="s">
        <v>127</v>
      </c>
      <c r="K30" t="s">
        <v>128</v>
      </c>
      <c r="L30" t="s">
        <v>129</v>
      </c>
      <c r="M30" t="s">
        <v>130</v>
      </c>
      <c r="N30" t="s">
        <v>131</v>
      </c>
      <c r="O30" t="s">
        <v>51</v>
      </c>
      <c r="P30" t="s">
        <v>24</v>
      </c>
      <c r="Q30" t="s">
        <v>87</v>
      </c>
      <c r="R30" t="s">
        <v>87</v>
      </c>
      <c r="S30" s="87">
        <v>45729</v>
      </c>
      <c r="T30" t="s">
        <v>132</v>
      </c>
      <c r="U30" t="s">
        <v>133</v>
      </c>
      <c r="V30">
        <v>26388644</v>
      </c>
      <c r="W30" t="s">
        <v>88</v>
      </c>
      <c r="X30"/>
      <c r="Y30"/>
      <c r="Z30" t="s">
        <v>134</v>
      </c>
      <c r="AA30" t="s">
        <v>135</v>
      </c>
      <c r="AB30" t="s">
        <v>89</v>
      </c>
      <c r="AC30" t="s">
        <v>90</v>
      </c>
    </row>
    <row r="31" spans="1:29" s="2" customFormat="1" x14ac:dyDescent="0.25">
      <c r="A31" t="s">
        <v>39</v>
      </c>
      <c r="B31" t="s">
        <v>92</v>
      </c>
      <c r="C31" t="s">
        <v>9</v>
      </c>
      <c r="D31" t="s">
        <v>63</v>
      </c>
      <c r="E31" t="s">
        <v>125</v>
      </c>
      <c r="F31" t="s">
        <v>126</v>
      </c>
      <c r="G31" t="s">
        <v>9</v>
      </c>
      <c r="H31" t="s">
        <v>87</v>
      </c>
      <c r="I31">
        <v>66552</v>
      </c>
      <c r="J31" t="s">
        <v>127</v>
      </c>
      <c r="K31" t="s">
        <v>128</v>
      </c>
      <c r="L31" t="s">
        <v>129</v>
      </c>
      <c r="M31" t="s">
        <v>130</v>
      </c>
      <c r="N31" t="s">
        <v>131</v>
      </c>
      <c r="O31" t="s">
        <v>50</v>
      </c>
      <c r="P31" t="s">
        <v>24</v>
      </c>
      <c r="Q31" t="s">
        <v>87</v>
      </c>
      <c r="R31" t="s">
        <v>87</v>
      </c>
      <c r="S31" s="87">
        <v>45729</v>
      </c>
      <c r="T31" t="s">
        <v>132</v>
      </c>
      <c r="U31" t="s">
        <v>133</v>
      </c>
      <c r="V31">
        <v>26388644</v>
      </c>
      <c r="W31" t="s">
        <v>88</v>
      </c>
      <c r="X31"/>
      <c r="Y31"/>
      <c r="Z31" t="s">
        <v>134</v>
      </c>
      <c r="AA31" t="s">
        <v>135</v>
      </c>
      <c r="AB31" t="s">
        <v>89</v>
      </c>
      <c r="AC31" t="s">
        <v>90</v>
      </c>
    </row>
    <row r="32" spans="1:29" s="2" customFormat="1" x14ac:dyDescent="0.25">
      <c r="A32" t="s">
        <v>39</v>
      </c>
      <c r="B32" t="s">
        <v>92</v>
      </c>
      <c r="C32" t="s">
        <v>9</v>
      </c>
      <c r="D32" t="s">
        <v>63</v>
      </c>
      <c r="E32" t="s">
        <v>125</v>
      </c>
      <c r="F32" t="s">
        <v>126</v>
      </c>
      <c r="G32" t="s">
        <v>9</v>
      </c>
      <c r="H32" t="s">
        <v>87</v>
      </c>
      <c r="I32">
        <v>66552</v>
      </c>
      <c r="J32" t="s">
        <v>127</v>
      </c>
      <c r="K32" t="s">
        <v>128</v>
      </c>
      <c r="L32" t="s">
        <v>129</v>
      </c>
      <c r="M32" t="s">
        <v>130</v>
      </c>
      <c r="N32" t="s">
        <v>131</v>
      </c>
      <c r="O32" t="s">
        <v>148</v>
      </c>
      <c r="P32" t="s">
        <v>118</v>
      </c>
      <c r="Q32" t="s">
        <v>87</v>
      </c>
      <c r="R32" t="s">
        <v>87</v>
      </c>
      <c r="S32" s="87">
        <v>45729</v>
      </c>
      <c r="T32" t="s">
        <v>132</v>
      </c>
      <c r="U32" t="s">
        <v>133</v>
      </c>
      <c r="V32">
        <v>26388644</v>
      </c>
      <c r="W32" t="s">
        <v>88</v>
      </c>
      <c r="X32"/>
      <c r="Y32"/>
      <c r="Z32" t="s">
        <v>134</v>
      </c>
      <c r="AA32" t="s">
        <v>135</v>
      </c>
      <c r="AB32" t="s">
        <v>89</v>
      </c>
      <c r="AC32" t="s">
        <v>90</v>
      </c>
    </row>
    <row r="33" spans="1:29" s="2" customFormat="1" x14ac:dyDescent="0.25">
      <c r="A33" t="s">
        <v>39</v>
      </c>
      <c r="B33" t="s">
        <v>92</v>
      </c>
      <c r="C33" t="s">
        <v>9</v>
      </c>
      <c r="D33" t="s">
        <v>63</v>
      </c>
      <c r="E33" t="s">
        <v>125</v>
      </c>
      <c r="F33" t="s">
        <v>126</v>
      </c>
      <c r="G33" t="s">
        <v>9</v>
      </c>
      <c r="H33" t="s">
        <v>87</v>
      </c>
      <c r="I33">
        <v>66552</v>
      </c>
      <c r="J33" t="s">
        <v>127</v>
      </c>
      <c r="K33" t="s">
        <v>128</v>
      </c>
      <c r="L33" t="s">
        <v>129</v>
      </c>
      <c r="M33" t="s">
        <v>130</v>
      </c>
      <c r="N33" t="s">
        <v>131</v>
      </c>
      <c r="O33" t="s">
        <v>45</v>
      </c>
      <c r="P33" t="s">
        <v>24</v>
      </c>
      <c r="Q33" t="s">
        <v>87</v>
      </c>
      <c r="R33" t="s">
        <v>87</v>
      </c>
      <c r="S33" s="87">
        <v>45729</v>
      </c>
      <c r="T33" t="s">
        <v>132</v>
      </c>
      <c r="U33" t="s">
        <v>133</v>
      </c>
      <c r="V33">
        <v>26388644</v>
      </c>
      <c r="W33" t="s">
        <v>88</v>
      </c>
      <c r="X33"/>
      <c r="Y33"/>
      <c r="Z33" t="s">
        <v>134</v>
      </c>
      <c r="AA33" t="s">
        <v>135</v>
      </c>
      <c r="AB33" t="s">
        <v>89</v>
      </c>
      <c r="AC33" t="s">
        <v>90</v>
      </c>
    </row>
    <row r="34" spans="1:29" s="2" customFormat="1" x14ac:dyDescent="0.25">
      <c r="A34" t="s">
        <v>39</v>
      </c>
      <c r="B34" t="s">
        <v>121</v>
      </c>
      <c r="C34" t="s">
        <v>62</v>
      </c>
      <c r="D34" t="s">
        <v>15</v>
      </c>
      <c r="E34" t="s">
        <v>116</v>
      </c>
      <c r="F34" t="s">
        <v>116</v>
      </c>
      <c r="G34" t="s">
        <v>62</v>
      </c>
      <c r="H34" t="s">
        <v>87</v>
      </c>
      <c r="I34">
        <v>424883</v>
      </c>
      <c r="J34" t="s">
        <v>149</v>
      </c>
      <c r="K34" t="s">
        <v>128</v>
      </c>
      <c r="L34" t="s">
        <v>86</v>
      </c>
      <c r="M34" t="s">
        <v>130</v>
      </c>
      <c r="N34" t="s">
        <v>131</v>
      </c>
      <c r="O34" t="s">
        <v>40</v>
      </c>
      <c r="P34" t="s">
        <v>118</v>
      </c>
      <c r="Q34" t="s">
        <v>87</v>
      </c>
      <c r="R34" t="s">
        <v>87</v>
      </c>
      <c r="S34" s="87">
        <v>45730</v>
      </c>
      <c r="T34" t="s">
        <v>150</v>
      </c>
      <c r="U34" t="s">
        <v>151</v>
      </c>
      <c r="V34">
        <v>26400532</v>
      </c>
      <c r="W34" t="s">
        <v>88</v>
      </c>
      <c r="X34"/>
      <c r="Y34"/>
      <c r="Z34" t="s">
        <v>152</v>
      </c>
      <c r="AA34" t="s">
        <v>153</v>
      </c>
      <c r="AB34" t="s">
        <v>89</v>
      </c>
      <c r="AC34" t="s">
        <v>90</v>
      </c>
    </row>
    <row r="35" spans="1:29" s="2" customFormat="1" x14ac:dyDescent="0.25">
      <c r="A35" t="s">
        <v>39</v>
      </c>
      <c r="B35" t="s">
        <v>121</v>
      </c>
      <c r="C35" t="s">
        <v>62</v>
      </c>
      <c r="D35" t="s">
        <v>15</v>
      </c>
      <c r="E35" t="s">
        <v>116</v>
      </c>
      <c r="F35" t="s">
        <v>116</v>
      </c>
      <c r="G35" t="s">
        <v>62</v>
      </c>
      <c r="H35" t="s">
        <v>87</v>
      </c>
      <c r="I35">
        <v>424883</v>
      </c>
      <c r="J35" t="s">
        <v>149</v>
      </c>
      <c r="K35" t="s">
        <v>128</v>
      </c>
      <c r="L35" t="s">
        <v>86</v>
      </c>
      <c r="M35" t="s">
        <v>130</v>
      </c>
      <c r="N35" t="s">
        <v>131</v>
      </c>
      <c r="O35" t="s">
        <v>100</v>
      </c>
      <c r="P35" t="s">
        <v>118</v>
      </c>
      <c r="Q35" t="s">
        <v>87</v>
      </c>
      <c r="R35" t="s">
        <v>87</v>
      </c>
      <c r="S35" s="87">
        <v>45730</v>
      </c>
      <c r="T35" t="s">
        <v>150</v>
      </c>
      <c r="U35" t="s">
        <v>154</v>
      </c>
      <c r="V35">
        <v>26400532</v>
      </c>
      <c r="W35" t="s">
        <v>88</v>
      </c>
      <c r="X35"/>
      <c r="Y35"/>
      <c r="Z35" t="s">
        <v>152</v>
      </c>
      <c r="AA35" t="s">
        <v>153</v>
      </c>
      <c r="AB35" t="s">
        <v>89</v>
      </c>
      <c r="AC35" t="s">
        <v>90</v>
      </c>
    </row>
    <row r="36" spans="1:29" s="2" customFormat="1" x14ac:dyDescent="0.25">
      <c r="A36" t="s">
        <v>39</v>
      </c>
      <c r="B36" t="s">
        <v>121</v>
      </c>
      <c r="C36" t="s">
        <v>62</v>
      </c>
      <c r="D36" t="s">
        <v>15</v>
      </c>
      <c r="E36" t="s">
        <v>116</v>
      </c>
      <c r="F36" t="s">
        <v>116</v>
      </c>
      <c r="G36" t="s">
        <v>62</v>
      </c>
      <c r="H36" t="s">
        <v>87</v>
      </c>
      <c r="I36">
        <v>424883</v>
      </c>
      <c r="J36" t="s">
        <v>149</v>
      </c>
      <c r="K36" t="s">
        <v>128</v>
      </c>
      <c r="L36" t="s">
        <v>86</v>
      </c>
      <c r="M36" t="s">
        <v>130</v>
      </c>
      <c r="N36" t="s">
        <v>131</v>
      </c>
      <c r="O36" t="s">
        <v>136</v>
      </c>
      <c r="P36" t="s">
        <v>118</v>
      </c>
      <c r="Q36" t="s">
        <v>87</v>
      </c>
      <c r="R36" t="s">
        <v>87</v>
      </c>
      <c r="S36" s="87">
        <v>45730</v>
      </c>
      <c r="T36" t="s">
        <v>150</v>
      </c>
      <c r="U36" t="s">
        <v>155</v>
      </c>
      <c r="V36">
        <v>26400532</v>
      </c>
      <c r="W36" t="s">
        <v>88</v>
      </c>
      <c r="X36"/>
      <c r="Y36"/>
      <c r="Z36" t="s">
        <v>152</v>
      </c>
      <c r="AA36" t="s">
        <v>153</v>
      </c>
      <c r="AB36" t="s">
        <v>89</v>
      </c>
      <c r="AC36" t="s">
        <v>90</v>
      </c>
    </row>
    <row r="37" spans="1:29" s="2" customFormat="1" x14ac:dyDescent="0.25">
      <c r="A37" t="s">
        <v>39</v>
      </c>
      <c r="B37" t="s">
        <v>121</v>
      </c>
      <c r="C37" t="s">
        <v>62</v>
      </c>
      <c r="D37" t="s">
        <v>15</v>
      </c>
      <c r="E37" t="s">
        <v>116</v>
      </c>
      <c r="F37" t="s">
        <v>116</v>
      </c>
      <c r="G37" t="s">
        <v>62</v>
      </c>
      <c r="H37" t="s">
        <v>87</v>
      </c>
      <c r="I37">
        <v>424883</v>
      </c>
      <c r="J37" t="s">
        <v>149</v>
      </c>
      <c r="K37" t="s">
        <v>128</v>
      </c>
      <c r="L37" t="s">
        <v>86</v>
      </c>
      <c r="M37" t="s">
        <v>130</v>
      </c>
      <c r="N37" t="s">
        <v>131</v>
      </c>
      <c r="O37" t="s">
        <v>44</v>
      </c>
      <c r="P37" t="s">
        <v>118</v>
      </c>
      <c r="Q37" t="s">
        <v>87</v>
      </c>
      <c r="R37" t="s">
        <v>87</v>
      </c>
      <c r="S37" s="87">
        <v>45730</v>
      </c>
      <c r="T37" t="s">
        <v>150</v>
      </c>
      <c r="U37" t="s">
        <v>156</v>
      </c>
      <c r="V37">
        <v>26400532</v>
      </c>
      <c r="W37" t="s">
        <v>88</v>
      </c>
      <c r="X37"/>
      <c r="Y37"/>
      <c r="Z37" t="s">
        <v>152</v>
      </c>
      <c r="AA37" t="s">
        <v>153</v>
      </c>
      <c r="AB37" t="s">
        <v>89</v>
      </c>
      <c r="AC37" t="s">
        <v>90</v>
      </c>
    </row>
    <row r="38" spans="1:29" s="2" customFormat="1" x14ac:dyDescent="0.25">
      <c r="A38" t="s">
        <v>39</v>
      </c>
      <c r="B38" t="s">
        <v>121</v>
      </c>
      <c r="C38" t="s">
        <v>62</v>
      </c>
      <c r="D38" t="s">
        <v>15</v>
      </c>
      <c r="E38" t="s">
        <v>116</v>
      </c>
      <c r="F38" t="s">
        <v>116</v>
      </c>
      <c r="G38" t="s">
        <v>62</v>
      </c>
      <c r="H38" t="s">
        <v>87</v>
      </c>
      <c r="I38">
        <v>424883</v>
      </c>
      <c r="J38" t="s">
        <v>149</v>
      </c>
      <c r="K38" t="s">
        <v>128</v>
      </c>
      <c r="L38" t="s">
        <v>86</v>
      </c>
      <c r="M38" t="s">
        <v>130</v>
      </c>
      <c r="N38" t="s">
        <v>131</v>
      </c>
      <c r="O38" t="s">
        <v>137</v>
      </c>
      <c r="P38" t="s">
        <v>118</v>
      </c>
      <c r="Q38" t="s">
        <v>87</v>
      </c>
      <c r="R38" t="s">
        <v>87</v>
      </c>
      <c r="S38" s="87">
        <v>45730</v>
      </c>
      <c r="T38" t="s">
        <v>150</v>
      </c>
      <c r="U38" t="s">
        <v>157</v>
      </c>
      <c r="V38">
        <v>26400532</v>
      </c>
      <c r="W38" t="s">
        <v>88</v>
      </c>
      <c r="X38"/>
      <c r="Y38"/>
      <c r="Z38" t="s">
        <v>152</v>
      </c>
      <c r="AA38" t="s">
        <v>153</v>
      </c>
      <c r="AB38" t="s">
        <v>89</v>
      </c>
      <c r="AC38" t="s">
        <v>90</v>
      </c>
    </row>
    <row r="39" spans="1:29" s="2" customFormat="1" x14ac:dyDescent="0.25">
      <c r="A39" t="s">
        <v>39</v>
      </c>
      <c r="B39" t="s">
        <v>121</v>
      </c>
      <c r="C39" t="s">
        <v>62</v>
      </c>
      <c r="D39" t="s">
        <v>15</v>
      </c>
      <c r="E39" t="s">
        <v>116</v>
      </c>
      <c r="F39" t="s">
        <v>116</v>
      </c>
      <c r="G39" t="s">
        <v>62</v>
      </c>
      <c r="H39" t="s">
        <v>87</v>
      </c>
      <c r="I39">
        <v>424883</v>
      </c>
      <c r="J39" t="s">
        <v>149</v>
      </c>
      <c r="K39" t="s">
        <v>128</v>
      </c>
      <c r="L39" t="s">
        <v>86</v>
      </c>
      <c r="M39" t="s">
        <v>130</v>
      </c>
      <c r="N39" t="s">
        <v>131</v>
      </c>
      <c r="O39" t="s">
        <v>43</v>
      </c>
      <c r="P39" t="s">
        <v>118</v>
      </c>
      <c r="Q39" t="s">
        <v>87</v>
      </c>
      <c r="R39" t="s">
        <v>87</v>
      </c>
      <c r="S39" s="87">
        <v>45730</v>
      </c>
      <c r="T39" t="s">
        <v>150</v>
      </c>
      <c r="U39" t="s">
        <v>158</v>
      </c>
      <c r="V39">
        <v>26400532</v>
      </c>
      <c r="W39" t="s">
        <v>88</v>
      </c>
      <c r="X39"/>
      <c r="Y39"/>
      <c r="Z39" t="s">
        <v>152</v>
      </c>
      <c r="AA39" t="s">
        <v>153</v>
      </c>
      <c r="AB39" t="s">
        <v>89</v>
      </c>
      <c r="AC39" t="s">
        <v>90</v>
      </c>
    </row>
    <row r="40" spans="1:29" s="2" customFormat="1" x14ac:dyDescent="0.25">
      <c r="A40" t="s">
        <v>39</v>
      </c>
      <c r="B40" t="s">
        <v>121</v>
      </c>
      <c r="C40" t="s">
        <v>62</v>
      </c>
      <c r="D40" t="s">
        <v>15</v>
      </c>
      <c r="E40" t="s">
        <v>116</v>
      </c>
      <c r="F40" t="s">
        <v>116</v>
      </c>
      <c r="G40" t="s">
        <v>62</v>
      </c>
      <c r="H40" t="s">
        <v>87</v>
      </c>
      <c r="I40">
        <v>424883</v>
      </c>
      <c r="J40" t="s">
        <v>149</v>
      </c>
      <c r="K40" t="s">
        <v>128</v>
      </c>
      <c r="L40" t="s">
        <v>86</v>
      </c>
      <c r="M40" t="s">
        <v>130</v>
      </c>
      <c r="N40" t="s">
        <v>131</v>
      </c>
      <c r="O40" t="s">
        <v>49</v>
      </c>
      <c r="P40" t="s">
        <v>118</v>
      </c>
      <c r="Q40" t="s">
        <v>87</v>
      </c>
      <c r="R40" t="s">
        <v>87</v>
      </c>
      <c r="S40" s="87">
        <v>45730</v>
      </c>
      <c r="T40" t="s">
        <v>150</v>
      </c>
      <c r="U40" t="s">
        <v>159</v>
      </c>
      <c r="V40">
        <v>26400532</v>
      </c>
      <c r="W40" t="s">
        <v>88</v>
      </c>
      <c r="X40"/>
      <c r="Y40"/>
      <c r="Z40" t="s">
        <v>152</v>
      </c>
      <c r="AA40" t="s">
        <v>153</v>
      </c>
      <c r="AB40" t="s">
        <v>89</v>
      </c>
      <c r="AC40" t="s">
        <v>90</v>
      </c>
    </row>
    <row r="41" spans="1:29" s="2" customFormat="1" x14ac:dyDescent="0.25">
      <c r="A41" t="s">
        <v>39</v>
      </c>
      <c r="B41" t="s">
        <v>121</v>
      </c>
      <c r="C41" t="s">
        <v>62</v>
      </c>
      <c r="D41" t="s">
        <v>15</v>
      </c>
      <c r="E41" t="s">
        <v>116</v>
      </c>
      <c r="F41" t="s">
        <v>116</v>
      </c>
      <c r="G41" t="s">
        <v>62</v>
      </c>
      <c r="H41" t="s">
        <v>87</v>
      </c>
      <c r="I41">
        <v>424883</v>
      </c>
      <c r="J41" t="s">
        <v>149</v>
      </c>
      <c r="K41" t="s">
        <v>128</v>
      </c>
      <c r="L41" t="s">
        <v>86</v>
      </c>
      <c r="M41" t="s">
        <v>130</v>
      </c>
      <c r="N41" t="s">
        <v>131</v>
      </c>
      <c r="O41" t="s">
        <v>52</v>
      </c>
      <c r="P41" t="s">
        <v>118</v>
      </c>
      <c r="Q41" t="s">
        <v>87</v>
      </c>
      <c r="R41" t="s">
        <v>87</v>
      </c>
      <c r="S41" s="87">
        <v>45730</v>
      </c>
      <c r="T41" t="s">
        <v>150</v>
      </c>
      <c r="U41" t="s">
        <v>160</v>
      </c>
      <c r="V41">
        <v>26400532</v>
      </c>
      <c r="W41" t="s">
        <v>88</v>
      </c>
      <c r="X41"/>
      <c r="Y41"/>
      <c r="Z41" t="s">
        <v>152</v>
      </c>
      <c r="AA41" t="s">
        <v>153</v>
      </c>
      <c r="AB41" t="s">
        <v>89</v>
      </c>
      <c r="AC41" t="s">
        <v>90</v>
      </c>
    </row>
    <row r="42" spans="1:29" s="2" customFormat="1" x14ac:dyDescent="0.25">
      <c r="A42" t="s">
        <v>39</v>
      </c>
      <c r="B42" t="s">
        <v>121</v>
      </c>
      <c r="C42" t="s">
        <v>62</v>
      </c>
      <c r="D42" t="s">
        <v>15</v>
      </c>
      <c r="E42" t="s">
        <v>116</v>
      </c>
      <c r="F42" t="s">
        <v>116</v>
      </c>
      <c r="G42" t="s">
        <v>62</v>
      </c>
      <c r="H42" t="s">
        <v>87</v>
      </c>
      <c r="I42">
        <v>424883</v>
      </c>
      <c r="J42" t="s">
        <v>149</v>
      </c>
      <c r="K42" t="s">
        <v>128</v>
      </c>
      <c r="L42" t="s">
        <v>86</v>
      </c>
      <c r="M42" t="s">
        <v>130</v>
      </c>
      <c r="N42" t="s">
        <v>131</v>
      </c>
      <c r="O42" t="s">
        <v>48</v>
      </c>
      <c r="P42" t="s">
        <v>118</v>
      </c>
      <c r="Q42" t="s">
        <v>87</v>
      </c>
      <c r="R42" t="s">
        <v>87</v>
      </c>
      <c r="S42" s="87">
        <v>45730</v>
      </c>
      <c r="T42" t="s">
        <v>150</v>
      </c>
      <c r="U42" t="s">
        <v>161</v>
      </c>
      <c r="V42">
        <v>26400532</v>
      </c>
      <c r="W42" t="s">
        <v>88</v>
      </c>
      <c r="X42"/>
      <c r="Y42"/>
      <c r="Z42" t="s">
        <v>152</v>
      </c>
      <c r="AA42" t="s">
        <v>153</v>
      </c>
      <c r="AB42" t="s">
        <v>89</v>
      </c>
      <c r="AC42" t="s">
        <v>90</v>
      </c>
    </row>
    <row r="43" spans="1:29" s="2" customFormat="1" x14ac:dyDescent="0.25">
      <c r="A43" t="s">
        <v>39</v>
      </c>
      <c r="B43" t="s">
        <v>121</v>
      </c>
      <c r="C43" t="s">
        <v>62</v>
      </c>
      <c r="D43" t="s">
        <v>15</v>
      </c>
      <c r="E43" t="s">
        <v>116</v>
      </c>
      <c r="F43" t="s">
        <v>116</v>
      </c>
      <c r="G43" t="s">
        <v>62</v>
      </c>
      <c r="H43" t="s">
        <v>87</v>
      </c>
      <c r="I43">
        <v>424883</v>
      </c>
      <c r="J43" t="s">
        <v>149</v>
      </c>
      <c r="K43" t="s">
        <v>128</v>
      </c>
      <c r="L43" t="s">
        <v>86</v>
      </c>
      <c r="M43" t="s">
        <v>130</v>
      </c>
      <c r="N43" t="s">
        <v>131</v>
      </c>
      <c r="O43" t="s">
        <v>47</v>
      </c>
      <c r="P43" t="s">
        <v>118</v>
      </c>
      <c r="Q43" t="s">
        <v>87</v>
      </c>
      <c r="R43" t="s">
        <v>87</v>
      </c>
      <c r="S43" s="87">
        <v>45730</v>
      </c>
      <c r="T43" t="s">
        <v>150</v>
      </c>
      <c r="U43" t="s">
        <v>162</v>
      </c>
      <c r="V43">
        <v>26400532</v>
      </c>
      <c r="W43" t="s">
        <v>88</v>
      </c>
      <c r="X43"/>
      <c r="Y43"/>
      <c r="Z43" t="s">
        <v>152</v>
      </c>
      <c r="AA43" t="s">
        <v>153</v>
      </c>
      <c r="AB43" t="s">
        <v>89</v>
      </c>
      <c r="AC43" t="s">
        <v>90</v>
      </c>
    </row>
    <row r="44" spans="1:29" s="2" customFormat="1" x14ac:dyDescent="0.25">
      <c r="A44" t="s">
        <v>39</v>
      </c>
      <c r="B44" t="s">
        <v>121</v>
      </c>
      <c r="C44" t="s">
        <v>62</v>
      </c>
      <c r="D44" t="s">
        <v>15</v>
      </c>
      <c r="E44" t="s">
        <v>116</v>
      </c>
      <c r="F44" t="s">
        <v>116</v>
      </c>
      <c r="G44" t="s">
        <v>62</v>
      </c>
      <c r="H44" t="s">
        <v>87</v>
      </c>
      <c r="I44">
        <v>424883</v>
      </c>
      <c r="J44" t="s">
        <v>149</v>
      </c>
      <c r="K44" t="s">
        <v>128</v>
      </c>
      <c r="L44" t="s">
        <v>86</v>
      </c>
      <c r="M44" t="s">
        <v>130</v>
      </c>
      <c r="N44" t="s">
        <v>131</v>
      </c>
      <c r="O44" t="s">
        <v>46</v>
      </c>
      <c r="P44" t="s">
        <v>118</v>
      </c>
      <c r="Q44" t="s">
        <v>87</v>
      </c>
      <c r="R44" t="s">
        <v>87</v>
      </c>
      <c r="S44" s="87">
        <v>45730</v>
      </c>
      <c r="T44" t="s">
        <v>150</v>
      </c>
      <c r="U44" t="s">
        <v>163</v>
      </c>
      <c r="V44">
        <v>26400532</v>
      </c>
      <c r="W44" t="s">
        <v>88</v>
      </c>
      <c r="X44"/>
      <c r="Y44"/>
      <c r="Z44" t="s">
        <v>152</v>
      </c>
      <c r="AA44" t="s">
        <v>153</v>
      </c>
      <c r="AB44" t="s">
        <v>89</v>
      </c>
      <c r="AC44" t="s">
        <v>90</v>
      </c>
    </row>
    <row r="45" spans="1:29" s="2" customFormat="1" x14ac:dyDescent="0.25">
      <c r="A45" t="s">
        <v>39</v>
      </c>
      <c r="B45" t="s">
        <v>121</v>
      </c>
      <c r="C45" t="s">
        <v>62</v>
      </c>
      <c r="D45" t="s">
        <v>15</v>
      </c>
      <c r="E45" t="s">
        <v>116</v>
      </c>
      <c r="F45" t="s">
        <v>116</v>
      </c>
      <c r="G45" t="s">
        <v>62</v>
      </c>
      <c r="H45" t="s">
        <v>87</v>
      </c>
      <c r="I45">
        <v>424883</v>
      </c>
      <c r="J45" t="s">
        <v>149</v>
      </c>
      <c r="K45" t="s">
        <v>128</v>
      </c>
      <c r="L45" t="s">
        <v>86</v>
      </c>
      <c r="M45" t="s">
        <v>130</v>
      </c>
      <c r="N45" t="s">
        <v>131</v>
      </c>
      <c r="O45" t="s">
        <v>138</v>
      </c>
      <c r="P45" t="s">
        <v>118</v>
      </c>
      <c r="Q45" t="s">
        <v>87</v>
      </c>
      <c r="R45" t="s">
        <v>87</v>
      </c>
      <c r="S45" s="87">
        <v>45730</v>
      </c>
      <c r="T45" t="s">
        <v>150</v>
      </c>
      <c r="U45" t="s">
        <v>164</v>
      </c>
      <c r="V45">
        <v>26400532</v>
      </c>
      <c r="W45" t="s">
        <v>88</v>
      </c>
      <c r="X45"/>
      <c r="Y45"/>
      <c r="Z45" t="s">
        <v>152</v>
      </c>
      <c r="AA45" t="s">
        <v>153</v>
      </c>
      <c r="AB45" t="s">
        <v>89</v>
      </c>
      <c r="AC45" t="s">
        <v>90</v>
      </c>
    </row>
    <row r="46" spans="1:29" s="2" customFormat="1" x14ac:dyDescent="0.25">
      <c r="A46" t="s">
        <v>39</v>
      </c>
      <c r="B46" t="s">
        <v>121</v>
      </c>
      <c r="C46" t="s">
        <v>62</v>
      </c>
      <c r="D46" t="s">
        <v>15</v>
      </c>
      <c r="E46" t="s">
        <v>116</v>
      </c>
      <c r="F46" t="s">
        <v>116</v>
      </c>
      <c r="G46" t="s">
        <v>62</v>
      </c>
      <c r="H46" t="s">
        <v>87</v>
      </c>
      <c r="I46">
        <v>424883</v>
      </c>
      <c r="J46" t="s">
        <v>149</v>
      </c>
      <c r="K46" t="s">
        <v>128</v>
      </c>
      <c r="L46" t="s">
        <v>86</v>
      </c>
      <c r="M46" t="s">
        <v>130</v>
      </c>
      <c r="N46" t="s">
        <v>131</v>
      </c>
      <c r="O46" t="s">
        <v>101</v>
      </c>
      <c r="P46" t="s">
        <v>104</v>
      </c>
      <c r="Q46" t="s">
        <v>87</v>
      </c>
      <c r="R46" t="s">
        <v>87</v>
      </c>
      <c r="S46" s="87">
        <v>45730</v>
      </c>
      <c r="T46" t="s">
        <v>150</v>
      </c>
      <c r="U46" t="s">
        <v>165</v>
      </c>
      <c r="V46">
        <v>26400532</v>
      </c>
      <c r="W46" t="s">
        <v>88</v>
      </c>
      <c r="X46"/>
      <c r="Y46"/>
      <c r="Z46" t="s">
        <v>152</v>
      </c>
      <c r="AA46" t="s">
        <v>153</v>
      </c>
      <c r="AB46" t="s">
        <v>89</v>
      </c>
      <c r="AC46" t="s">
        <v>90</v>
      </c>
    </row>
    <row r="47" spans="1:29" s="2" customFormat="1" x14ac:dyDescent="0.25">
      <c r="A47" t="s">
        <v>39</v>
      </c>
      <c r="B47" t="s">
        <v>121</v>
      </c>
      <c r="C47" t="s">
        <v>62</v>
      </c>
      <c r="D47" t="s">
        <v>15</v>
      </c>
      <c r="E47" t="s">
        <v>116</v>
      </c>
      <c r="F47" t="s">
        <v>116</v>
      </c>
      <c r="G47" t="s">
        <v>62</v>
      </c>
      <c r="H47" t="s">
        <v>87</v>
      </c>
      <c r="I47">
        <v>424883</v>
      </c>
      <c r="J47" t="s">
        <v>149</v>
      </c>
      <c r="K47" t="s">
        <v>128</v>
      </c>
      <c r="L47" t="s">
        <v>86</v>
      </c>
      <c r="M47" t="s">
        <v>130</v>
      </c>
      <c r="N47" t="s">
        <v>131</v>
      </c>
      <c r="O47" t="s">
        <v>99</v>
      </c>
      <c r="P47" t="s">
        <v>118</v>
      </c>
      <c r="Q47" t="s">
        <v>87</v>
      </c>
      <c r="R47" t="s">
        <v>87</v>
      </c>
      <c r="S47" s="87">
        <v>45730</v>
      </c>
      <c r="T47" t="s">
        <v>150</v>
      </c>
      <c r="U47" t="s">
        <v>166</v>
      </c>
      <c r="V47">
        <v>26400532</v>
      </c>
      <c r="W47" t="s">
        <v>88</v>
      </c>
      <c r="X47"/>
      <c r="Y47"/>
      <c r="Z47" t="s">
        <v>152</v>
      </c>
      <c r="AA47" t="s">
        <v>153</v>
      </c>
      <c r="AB47" t="s">
        <v>89</v>
      </c>
      <c r="AC47" t="s">
        <v>90</v>
      </c>
    </row>
    <row r="48" spans="1:29" s="2" customFormat="1" x14ac:dyDescent="0.25">
      <c r="A48" t="s">
        <v>39</v>
      </c>
      <c r="B48" t="s">
        <v>121</v>
      </c>
      <c r="C48" t="s">
        <v>62</v>
      </c>
      <c r="D48" t="s">
        <v>15</v>
      </c>
      <c r="E48" t="s">
        <v>116</v>
      </c>
      <c r="F48" t="s">
        <v>116</v>
      </c>
      <c r="G48" t="s">
        <v>62</v>
      </c>
      <c r="H48" t="s">
        <v>87</v>
      </c>
      <c r="I48">
        <v>424883</v>
      </c>
      <c r="J48" t="s">
        <v>149</v>
      </c>
      <c r="K48" t="s">
        <v>128</v>
      </c>
      <c r="L48" t="s">
        <v>86</v>
      </c>
      <c r="M48" t="s">
        <v>130</v>
      </c>
      <c r="N48" t="s">
        <v>131</v>
      </c>
      <c r="O48" t="s">
        <v>102</v>
      </c>
      <c r="P48" t="s">
        <v>167</v>
      </c>
      <c r="Q48" t="s">
        <v>87</v>
      </c>
      <c r="R48" t="s">
        <v>87</v>
      </c>
      <c r="S48" s="87">
        <v>45730</v>
      </c>
      <c r="T48" t="s">
        <v>150</v>
      </c>
      <c r="U48" t="s">
        <v>168</v>
      </c>
      <c r="V48">
        <v>26400532</v>
      </c>
      <c r="W48" t="s">
        <v>88</v>
      </c>
      <c r="X48"/>
      <c r="Y48"/>
      <c r="Z48" t="s">
        <v>152</v>
      </c>
      <c r="AA48" t="s">
        <v>153</v>
      </c>
      <c r="AB48" t="s">
        <v>89</v>
      </c>
      <c r="AC48" t="s">
        <v>90</v>
      </c>
    </row>
    <row r="49" spans="1:29" s="2" customFormat="1" x14ac:dyDescent="0.25">
      <c r="A49" t="s">
        <v>39</v>
      </c>
      <c r="B49" t="s">
        <v>121</v>
      </c>
      <c r="C49" t="s">
        <v>62</v>
      </c>
      <c r="D49" t="s">
        <v>15</v>
      </c>
      <c r="E49" t="s">
        <v>116</v>
      </c>
      <c r="F49" t="s">
        <v>116</v>
      </c>
      <c r="G49" t="s">
        <v>62</v>
      </c>
      <c r="H49" t="s">
        <v>87</v>
      </c>
      <c r="I49">
        <v>424883</v>
      </c>
      <c r="J49" t="s">
        <v>149</v>
      </c>
      <c r="K49" t="s">
        <v>128</v>
      </c>
      <c r="L49" t="s">
        <v>86</v>
      </c>
      <c r="M49" t="s">
        <v>130</v>
      </c>
      <c r="N49" t="s">
        <v>131</v>
      </c>
      <c r="O49" t="s">
        <v>169</v>
      </c>
      <c r="P49" t="s">
        <v>118</v>
      </c>
      <c r="Q49" t="s">
        <v>87</v>
      </c>
      <c r="R49" t="s">
        <v>87</v>
      </c>
      <c r="S49" s="87">
        <v>45730</v>
      </c>
      <c r="T49" t="s">
        <v>150</v>
      </c>
      <c r="U49" t="s">
        <v>170</v>
      </c>
      <c r="V49">
        <v>26400532</v>
      </c>
      <c r="W49" t="s">
        <v>88</v>
      </c>
      <c r="X49"/>
      <c r="Y49"/>
      <c r="Z49" t="s">
        <v>152</v>
      </c>
      <c r="AA49" t="s">
        <v>153</v>
      </c>
      <c r="AB49" t="s">
        <v>89</v>
      </c>
      <c r="AC49" t="s">
        <v>90</v>
      </c>
    </row>
    <row r="50" spans="1:29" s="2" customFormat="1" x14ac:dyDescent="0.25">
      <c r="A50" t="s">
        <v>39</v>
      </c>
      <c r="B50" t="s">
        <v>121</v>
      </c>
      <c r="C50" t="s">
        <v>62</v>
      </c>
      <c r="D50" t="s">
        <v>15</v>
      </c>
      <c r="E50" t="s">
        <v>116</v>
      </c>
      <c r="F50" t="s">
        <v>116</v>
      </c>
      <c r="G50" t="s">
        <v>62</v>
      </c>
      <c r="H50" t="s">
        <v>87</v>
      </c>
      <c r="I50">
        <v>424883</v>
      </c>
      <c r="J50" t="s">
        <v>149</v>
      </c>
      <c r="K50" t="s">
        <v>128</v>
      </c>
      <c r="L50" t="s">
        <v>86</v>
      </c>
      <c r="M50" t="s">
        <v>130</v>
      </c>
      <c r="N50" t="s">
        <v>131</v>
      </c>
      <c r="O50" t="s">
        <v>171</v>
      </c>
      <c r="P50" t="s">
        <v>118</v>
      </c>
      <c r="Q50" t="s">
        <v>87</v>
      </c>
      <c r="R50" t="s">
        <v>87</v>
      </c>
      <c r="S50" s="87">
        <v>45730</v>
      </c>
      <c r="T50" t="s">
        <v>150</v>
      </c>
      <c r="U50" t="s">
        <v>172</v>
      </c>
      <c r="V50">
        <v>26400532</v>
      </c>
      <c r="W50" t="s">
        <v>88</v>
      </c>
      <c r="X50"/>
      <c r="Y50"/>
      <c r="Z50" t="s">
        <v>152</v>
      </c>
      <c r="AA50" t="s">
        <v>153</v>
      </c>
      <c r="AB50" t="s">
        <v>89</v>
      </c>
      <c r="AC50" t="s">
        <v>90</v>
      </c>
    </row>
    <row r="51" spans="1:29" s="2" customFormat="1" x14ac:dyDescent="0.25">
      <c r="A51" t="s">
        <v>39</v>
      </c>
      <c r="B51" t="s">
        <v>121</v>
      </c>
      <c r="C51" t="s">
        <v>62</v>
      </c>
      <c r="D51" t="s">
        <v>15</v>
      </c>
      <c r="E51" t="s">
        <v>116</v>
      </c>
      <c r="F51" t="s">
        <v>116</v>
      </c>
      <c r="G51" t="s">
        <v>62</v>
      </c>
      <c r="H51" t="s">
        <v>87</v>
      </c>
      <c r="I51">
        <v>424883</v>
      </c>
      <c r="J51" t="s">
        <v>149</v>
      </c>
      <c r="K51" t="s">
        <v>128</v>
      </c>
      <c r="L51" t="s">
        <v>86</v>
      </c>
      <c r="M51" t="s">
        <v>130</v>
      </c>
      <c r="N51" t="s">
        <v>131</v>
      </c>
      <c r="O51" t="s">
        <v>173</v>
      </c>
      <c r="P51" t="s">
        <v>118</v>
      </c>
      <c r="Q51" t="s">
        <v>87</v>
      </c>
      <c r="R51" t="s">
        <v>87</v>
      </c>
      <c r="S51" s="87">
        <v>45730</v>
      </c>
      <c r="T51" t="s">
        <v>150</v>
      </c>
      <c r="U51" t="s">
        <v>174</v>
      </c>
      <c r="V51">
        <v>26400532</v>
      </c>
      <c r="W51" t="s">
        <v>88</v>
      </c>
      <c r="X51"/>
      <c r="Y51"/>
      <c r="Z51" t="s">
        <v>152</v>
      </c>
      <c r="AA51" t="s">
        <v>153</v>
      </c>
      <c r="AB51" t="s">
        <v>89</v>
      </c>
      <c r="AC51" t="s">
        <v>90</v>
      </c>
    </row>
    <row r="52" spans="1:29" s="2" customFormat="1" x14ac:dyDescent="0.25">
      <c r="A52" t="s">
        <v>39</v>
      </c>
      <c r="B52" t="s">
        <v>121</v>
      </c>
      <c r="C52" t="s">
        <v>62</v>
      </c>
      <c r="D52" t="s">
        <v>15</v>
      </c>
      <c r="E52" t="s">
        <v>116</v>
      </c>
      <c r="F52" t="s">
        <v>116</v>
      </c>
      <c r="G52" t="s">
        <v>62</v>
      </c>
      <c r="H52" t="s">
        <v>87</v>
      </c>
      <c r="I52">
        <v>424883</v>
      </c>
      <c r="J52" t="s">
        <v>149</v>
      </c>
      <c r="K52" t="s">
        <v>128</v>
      </c>
      <c r="L52" t="s">
        <v>86</v>
      </c>
      <c r="M52" t="s">
        <v>130</v>
      </c>
      <c r="N52" t="s">
        <v>131</v>
      </c>
      <c r="O52" t="s">
        <v>175</v>
      </c>
      <c r="P52" t="s">
        <v>118</v>
      </c>
      <c r="Q52" t="s">
        <v>87</v>
      </c>
      <c r="R52" t="s">
        <v>87</v>
      </c>
      <c r="S52" s="87">
        <v>45730</v>
      </c>
      <c r="T52" t="s">
        <v>150</v>
      </c>
      <c r="U52" t="s">
        <v>176</v>
      </c>
      <c r="V52">
        <v>26400532</v>
      </c>
      <c r="W52" t="s">
        <v>88</v>
      </c>
      <c r="X52"/>
      <c r="Y52"/>
      <c r="Z52" t="s">
        <v>152</v>
      </c>
      <c r="AA52" t="s">
        <v>153</v>
      </c>
      <c r="AB52" t="s">
        <v>89</v>
      </c>
      <c r="AC52" t="s">
        <v>90</v>
      </c>
    </row>
    <row r="53" spans="1:29" s="2" customFormat="1" x14ac:dyDescent="0.25">
      <c r="A53" t="s">
        <v>39</v>
      </c>
      <c r="B53" t="s">
        <v>121</v>
      </c>
      <c r="C53" t="s">
        <v>62</v>
      </c>
      <c r="D53" t="s">
        <v>15</v>
      </c>
      <c r="E53" t="s">
        <v>116</v>
      </c>
      <c r="F53" t="s">
        <v>116</v>
      </c>
      <c r="G53" t="s">
        <v>62</v>
      </c>
      <c r="H53" t="s">
        <v>87</v>
      </c>
      <c r="I53">
        <v>424883</v>
      </c>
      <c r="J53" t="s">
        <v>149</v>
      </c>
      <c r="K53" t="s">
        <v>128</v>
      </c>
      <c r="L53" t="s">
        <v>86</v>
      </c>
      <c r="M53" t="s">
        <v>130</v>
      </c>
      <c r="N53" t="s">
        <v>131</v>
      </c>
      <c r="O53" t="s">
        <v>177</v>
      </c>
      <c r="P53" t="s">
        <v>118</v>
      </c>
      <c r="Q53" t="s">
        <v>87</v>
      </c>
      <c r="R53" t="s">
        <v>87</v>
      </c>
      <c r="S53" s="87">
        <v>45730</v>
      </c>
      <c r="T53" t="s">
        <v>150</v>
      </c>
      <c r="U53" t="s">
        <v>178</v>
      </c>
      <c r="V53">
        <v>26400532</v>
      </c>
      <c r="W53" t="s">
        <v>88</v>
      </c>
      <c r="X53"/>
      <c r="Y53"/>
      <c r="Z53" t="s">
        <v>152</v>
      </c>
      <c r="AA53" t="s">
        <v>153</v>
      </c>
      <c r="AB53" t="s">
        <v>89</v>
      </c>
      <c r="AC53" t="s">
        <v>90</v>
      </c>
    </row>
    <row r="54" spans="1:29" s="2" customFormat="1" x14ac:dyDescent="0.25">
      <c r="A54" t="s">
        <v>39</v>
      </c>
      <c r="B54" t="s">
        <v>121</v>
      </c>
      <c r="C54" t="s">
        <v>62</v>
      </c>
      <c r="D54" t="s">
        <v>15</v>
      </c>
      <c r="E54" t="s">
        <v>116</v>
      </c>
      <c r="F54" t="s">
        <v>116</v>
      </c>
      <c r="G54" t="s">
        <v>62</v>
      </c>
      <c r="H54" t="s">
        <v>87</v>
      </c>
      <c r="I54">
        <v>424883</v>
      </c>
      <c r="J54" t="s">
        <v>149</v>
      </c>
      <c r="K54" t="s">
        <v>128</v>
      </c>
      <c r="L54" t="s">
        <v>86</v>
      </c>
      <c r="M54" t="s">
        <v>130</v>
      </c>
      <c r="N54" t="s">
        <v>131</v>
      </c>
      <c r="O54" t="s">
        <v>179</v>
      </c>
      <c r="P54" t="s">
        <v>118</v>
      </c>
      <c r="Q54" t="s">
        <v>87</v>
      </c>
      <c r="R54" t="s">
        <v>87</v>
      </c>
      <c r="S54" s="87">
        <v>45730</v>
      </c>
      <c r="T54" t="s">
        <v>150</v>
      </c>
      <c r="U54" t="s">
        <v>180</v>
      </c>
      <c r="V54">
        <v>26400532</v>
      </c>
      <c r="W54" t="s">
        <v>88</v>
      </c>
      <c r="X54"/>
      <c r="Y54"/>
      <c r="Z54" t="s">
        <v>152</v>
      </c>
      <c r="AA54" t="s">
        <v>153</v>
      </c>
      <c r="AB54" t="s">
        <v>89</v>
      </c>
      <c r="AC54" t="s">
        <v>90</v>
      </c>
    </row>
    <row r="55" spans="1:29" s="2" customFormat="1" x14ac:dyDescent="0.25">
      <c r="A55" t="s">
        <v>39</v>
      </c>
      <c r="B55" t="s">
        <v>121</v>
      </c>
      <c r="C55" t="s">
        <v>62</v>
      </c>
      <c r="D55" t="s">
        <v>15</v>
      </c>
      <c r="E55" t="s">
        <v>116</v>
      </c>
      <c r="F55" t="s">
        <v>116</v>
      </c>
      <c r="G55" t="s">
        <v>62</v>
      </c>
      <c r="H55" t="s">
        <v>87</v>
      </c>
      <c r="I55">
        <v>424883</v>
      </c>
      <c r="J55" t="s">
        <v>149</v>
      </c>
      <c r="K55" t="s">
        <v>128</v>
      </c>
      <c r="L55" t="s">
        <v>86</v>
      </c>
      <c r="M55" t="s">
        <v>130</v>
      </c>
      <c r="N55" t="s">
        <v>131</v>
      </c>
      <c r="O55" t="s">
        <v>181</v>
      </c>
      <c r="P55" t="s">
        <v>118</v>
      </c>
      <c r="Q55" t="s">
        <v>87</v>
      </c>
      <c r="R55" t="s">
        <v>87</v>
      </c>
      <c r="S55" s="87">
        <v>45730</v>
      </c>
      <c r="T55" t="s">
        <v>150</v>
      </c>
      <c r="U55" t="s">
        <v>182</v>
      </c>
      <c r="V55">
        <v>26400532</v>
      </c>
      <c r="W55" t="s">
        <v>88</v>
      </c>
      <c r="X55"/>
      <c r="Y55"/>
      <c r="Z55" t="s">
        <v>152</v>
      </c>
      <c r="AA55" t="s">
        <v>153</v>
      </c>
      <c r="AB55" t="s">
        <v>89</v>
      </c>
      <c r="AC55" t="s">
        <v>90</v>
      </c>
    </row>
    <row r="56" spans="1:29" s="2" customFormat="1" x14ac:dyDescent="0.25">
      <c r="A56" t="s">
        <v>39</v>
      </c>
      <c r="B56" t="s">
        <v>121</v>
      </c>
      <c r="C56" t="s">
        <v>62</v>
      </c>
      <c r="D56" t="s">
        <v>15</v>
      </c>
      <c r="E56" t="s">
        <v>116</v>
      </c>
      <c r="F56" t="s">
        <v>116</v>
      </c>
      <c r="G56" t="s">
        <v>62</v>
      </c>
      <c r="H56" t="s">
        <v>87</v>
      </c>
      <c r="I56">
        <v>424883</v>
      </c>
      <c r="J56" t="s">
        <v>149</v>
      </c>
      <c r="K56" t="s">
        <v>128</v>
      </c>
      <c r="L56" t="s">
        <v>86</v>
      </c>
      <c r="M56" t="s">
        <v>130</v>
      </c>
      <c r="N56" t="s">
        <v>131</v>
      </c>
      <c r="O56" t="s">
        <v>41</v>
      </c>
      <c r="P56" t="s">
        <v>118</v>
      </c>
      <c r="Q56" t="s">
        <v>87</v>
      </c>
      <c r="R56" t="s">
        <v>87</v>
      </c>
      <c r="S56" s="87">
        <v>45730</v>
      </c>
      <c r="T56" t="s">
        <v>150</v>
      </c>
      <c r="U56" t="s">
        <v>183</v>
      </c>
      <c r="V56">
        <v>26400532</v>
      </c>
      <c r="W56" t="s">
        <v>88</v>
      </c>
      <c r="X56"/>
      <c r="Y56"/>
      <c r="Z56" t="s">
        <v>152</v>
      </c>
      <c r="AA56" t="s">
        <v>153</v>
      </c>
      <c r="AB56" t="s">
        <v>89</v>
      </c>
      <c r="AC56" t="s">
        <v>90</v>
      </c>
    </row>
    <row r="57" spans="1:29" s="2" customFormat="1" x14ac:dyDescent="0.25">
      <c r="A57" t="s">
        <v>39</v>
      </c>
      <c r="B57" t="s">
        <v>121</v>
      </c>
      <c r="C57" t="s">
        <v>62</v>
      </c>
      <c r="D57" t="s">
        <v>15</v>
      </c>
      <c r="E57" t="s">
        <v>116</v>
      </c>
      <c r="F57" t="s">
        <v>116</v>
      </c>
      <c r="G57" t="s">
        <v>62</v>
      </c>
      <c r="H57" t="s">
        <v>87</v>
      </c>
      <c r="I57">
        <v>424883</v>
      </c>
      <c r="J57" t="s">
        <v>149</v>
      </c>
      <c r="K57" t="s">
        <v>128</v>
      </c>
      <c r="L57" t="s">
        <v>86</v>
      </c>
      <c r="M57" t="s">
        <v>130</v>
      </c>
      <c r="N57" t="s">
        <v>131</v>
      </c>
      <c r="O57" t="s">
        <v>50</v>
      </c>
      <c r="P57" t="s">
        <v>118</v>
      </c>
      <c r="Q57" t="s">
        <v>87</v>
      </c>
      <c r="R57" t="s">
        <v>87</v>
      </c>
      <c r="S57" s="87">
        <v>45730</v>
      </c>
      <c r="T57" t="s">
        <v>150</v>
      </c>
      <c r="U57" t="s">
        <v>184</v>
      </c>
      <c r="V57">
        <v>26400532</v>
      </c>
      <c r="W57" t="s">
        <v>88</v>
      </c>
      <c r="X57"/>
      <c r="Y57"/>
      <c r="Z57" t="s">
        <v>152</v>
      </c>
      <c r="AA57" t="s">
        <v>153</v>
      </c>
      <c r="AB57" t="s">
        <v>89</v>
      </c>
      <c r="AC57" t="s">
        <v>90</v>
      </c>
    </row>
    <row r="58" spans="1:29" s="2" customFormat="1" x14ac:dyDescent="0.25">
      <c r="A58" t="s">
        <v>39</v>
      </c>
      <c r="B58" t="s">
        <v>121</v>
      </c>
      <c r="C58" t="s">
        <v>62</v>
      </c>
      <c r="D58" t="s">
        <v>15</v>
      </c>
      <c r="E58" t="s">
        <v>116</v>
      </c>
      <c r="F58" t="s">
        <v>116</v>
      </c>
      <c r="G58" t="s">
        <v>62</v>
      </c>
      <c r="H58" t="s">
        <v>87</v>
      </c>
      <c r="I58">
        <v>424883</v>
      </c>
      <c r="J58" t="s">
        <v>149</v>
      </c>
      <c r="K58" t="s">
        <v>128</v>
      </c>
      <c r="L58" t="s">
        <v>86</v>
      </c>
      <c r="M58" t="s">
        <v>130</v>
      </c>
      <c r="N58" t="s">
        <v>131</v>
      </c>
      <c r="O58" t="s">
        <v>148</v>
      </c>
      <c r="P58" t="s">
        <v>118</v>
      </c>
      <c r="Q58" t="s">
        <v>87</v>
      </c>
      <c r="R58" t="s">
        <v>87</v>
      </c>
      <c r="S58" s="87">
        <v>45730</v>
      </c>
      <c r="T58" t="s">
        <v>150</v>
      </c>
      <c r="U58" t="s">
        <v>185</v>
      </c>
      <c r="V58">
        <v>26400532</v>
      </c>
      <c r="W58" t="s">
        <v>88</v>
      </c>
      <c r="X58"/>
      <c r="Y58"/>
      <c r="Z58" t="s">
        <v>152</v>
      </c>
      <c r="AA58" t="s">
        <v>153</v>
      </c>
      <c r="AB58" t="s">
        <v>89</v>
      </c>
      <c r="AC58" t="s">
        <v>90</v>
      </c>
    </row>
    <row r="59" spans="1:29" s="2" customFormat="1" x14ac:dyDescent="0.25">
      <c r="A59" t="s">
        <v>39</v>
      </c>
      <c r="B59" t="s">
        <v>121</v>
      </c>
      <c r="C59" t="s">
        <v>62</v>
      </c>
      <c r="D59" t="s">
        <v>15</v>
      </c>
      <c r="E59" t="s">
        <v>116</v>
      </c>
      <c r="F59" t="s">
        <v>116</v>
      </c>
      <c r="G59" t="s">
        <v>62</v>
      </c>
      <c r="H59" t="s">
        <v>87</v>
      </c>
      <c r="I59">
        <v>424883</v>
      </c>
      <c r="J59" t="s">
        <v>149</v>
      </c>
      <c r="K59" t="s">
        <v>128</v>
      </c>
      <c r="L59" t="s">
        <v>86</v>
      </c>
      <c r="M59" t="s">
        <v>130</v>
      </c>
      <c r="N59" t="s">
        <v>131</v>
      </c>
      <c r="O59" t="s">
        <v>45</v>
      </c>
      <c r="P59" t="s">
        <v>118</v>
      </c>
      <c r="Q59" t="s">
        <v>87</v>
      </c>
      <c r="R59" t="s">
        <v>87</v>
      </c>
      <c r="S59" s="87">
        <v>45730</v>
      </c>
      <c r="T59" t="s">
        <v>150</v>
      </c>
      <c r="U59" t="s">
        <v>186</v>
      </c>
      <c r="V59">
        <v>26400532</v>
      </c>
      <c r="W59" t="s">
        <v>88</v>
      </c>
      <c r="X59"/>
      <c r="Y59"/>
      <c r="Z59" t="s">
        <v>152</v>
      </c>
      <c r="AA59" t="s">
        <v>153</v>
      </c>
      <c r="AB59" t="s">
        <v>89</v>
      </c>
      <c r="AC59" t="s">
        <v>90</v>
      </c>
    </row>
    <row r="60" spans="1:29" s="2" customFormat="1" x14ac:dyDescent="0.25">
      <c r="A60" t="s">
        <v>39</v>
      </c>
      <c r="B60" t="s">
        <v>92</v>
      </c>
      <c r="C60" t="s">
        <v>9</v>
      </c>
      <c r="D60" t="s">
        <v>15</v>
      </c>
      <c r="E60" t="s">
        <v>116</v>
      </c>
      <c r="F60" t="s">
        <v>116</v>
      </c>
      <c r="G60" t="s">
        <v>9</v>
      </c>
      <c r="H60" t="s">
        <v>87</v>
      </c>
      <c r="I60">
        <v>356594</v>
      </c>
      <c r="J60" t="s">
        <v>190</v>
      </c>
      <c r="K60" t="s">
        <v>128</v>
      </c>
      <c r="L60" t="s">
        <v>86</v>
      </c>
      <c r="M60" t="s">
        <v>130</v>
      </c>
      <c r="N60" t="s">
        <v>188</v>
      </c>
      <c r="O60" t="s">
        <v>40</v>
      </c>
      <c r="P60" t="s">
        <v>24</v>
      </c>
      <c r="Q60" t="s">
        <v>87</v>
      </c>
      <c r="R60" t="s">
        <v>87</v>
      </c>
      <c r="S60" s="87">
        <v>45731</v>
      </c>
      <c r="T60" t="s">
        <v>191</v>
      </c>
      <c r="U60" t="s">
        <v>192</v>
      </c>
      <c r="V60">
        <v>26404720</v>
      </c>
      <c r="W60" t="s">
        <v>88</v>
      </c>
      <c r="X60"/>
      <c r="Y60"/>
      <c r="Z60" t="s">
        <v>134</v>
      </c>
      <c r="AA60" t="s">
        <v>135</v>
      </c>
      <c r="AB60" t="s">
        <v>89</v>
      </c>
      <c r="AC60" t="s">
        <v>90</v>
      </c>
    </row>
    <row r="61" spans="1:29" s="2" customFormat="1" x14ac:dyDescent="0.25">
      <c r="A61" t="s">
        <v>39</v>
      </c>
      <c r="B61" t="s">
        <v>92</v>
      </c>
      <c r="C61" t="s">
        <v>9</v>
      </c>
      <c r="D61" t="s">
        <v>15</v>
      </c>
      <c r="E61" t="s">
        <v>116</v>
      </c>
      <c r="F61" t="s">
        <v>116</v>
      </c>
      <c r="G61" t="s">
        <v>9</v>
      </c>
      <c r="H61" t="s">
        <v>87</v>
      </c>
      <c r="I61">
        <v>356594</v>
      </c>
      <c r="J61" t="s">
        <v>190</v>
      </c>
      <c r="K61" t="s">
        <v>128</v>
      </c>
      <c r="L61" t="s">
        <v>86</v>
      </c>
      <c r="M61" t="s">
        <v>130</v>
      </c>
      <c r="N61" t="s">
        <v>188</v>
      </c>
      <c r="O61" t="s">
        <v>100</v>
      </c>
      <c r="P61" t="s">
        <v>24</v>
      </c>
      <c r="Q61" t="s">
        <v>87</v>
      </c>
      <c r="R61" t="s">
        <v>87</v>
      </c>
      <c r="S61" s="87">
        <v>45731</v>
      </c>
      <c r="T61" t="s">
        <v>191</v>
      </c>
      <c r="U61" t="s">
        <v>192</v>
      </c>
      <c r="V61">
        <v>26404720</v>
      </c>
      <c r="W61" t="s">
        <v>88</v>
      </c>
      <c r="X61"/>
      <c r="Y61"/>
      <c r="Z61" t="s">
        <v>134</v>
      </c>
      <c r="AA61" t="s">
        <v>135</v>
      </c>
      <c r="AB61" t="s">
        <v>89</v>
      </c>
      <c r="AC61" t="s">
        <v>90</v>
      </c>
    </row>
    <row r="62" spans="1:29" s="2" customFormat="1" x14ac:dyDescent="0.25">
      <c r="A62" t="s">
        <v>39</v>
      </c>
      <c r="B62" t="s">
        <v>92</v>
      </c>
      <c r="C62" t="s">
        <v>9</v>
      </c>
      <c r="D62" t="s">
        <v>15</v>
      </c>
      <c r="E62" t="s">
        <v>116</v>
      </c>
      <c r="F62" t="s">
        <v>116</v>
      </c>
      <c r="G62" t="s">
        <v>9</v>
      </c>
      <c r="H62" t="s">
        <v>87</v>
      </c>
      <c r="I62">
        <v>356594</v>
      </c>
      <c r="J62" t="s">
        <v>190</v>
      </c>
      <c r="K62" t="s">
        <v>128</v>
      </c>
      <c r="L62" t="s">
        <v>86</v>
      </c>
      <c r="M62" t="s">
        <v>130</v>
      </c>
      <c r="N62" t="s">
        <v>188</v>
      </c>
      <c r="O62" t="s">
        <v>136</v>
      </c>
      <c r="P62" t="s">
        <v>24</v>
      </c>
      <c r="Q62" t="s">
        <v>87</v>
      </c>
      <c r="R62" t="s">
        <v>87</v>
      </c>
      <c r="S62" s="87">
        <v>45731</v>
      </c>
      <c r="T62" t="s">
        <v>191</v>
      </c>
      <c r="U62" t="s">
        <v>192</v>
      </c>
      <c r="V62">
        <v>26404720</v>
      </c>
      <c r="W62" t="s">
        <v>88</v>
      </c>
      <c r="X62"/>
      <c r="Y62"/>
      <c r="Z62" t="s">
        <v>134</v>
      </c>
      <c r="AA62" t="s">
        <v>135</v>
      </c>
      <c r="AB62" t="s">
        <v>89</v>
      </c>
      <c r="AC62" t="s">
        <v>90</v>
      </c>
    </row>
    <row r="63" spans="1:29" s="2" customFormat="1" x14ac:dyDescent="0.25">
      <c r="A63" t="s">
        <v>39</v>
      </c>
      <c r="B63" t="s">
        <v>92</v>
      </c>
      <c r="C63" t="s">
        <v>9</v>
      </c>
      <c r="D63" t="s">
        <v>15</v>
      </c>
      <c r="E63" t="s">
        <v>116</v>
      </c>
      <c r="F63" t="s">
        <v>116</v>
      </c>
      <c r="G63" t="s">
        <v>9</v>
      </c>
      <c r="H63" t="s">
        <v>87</v>
      </c>
      <c r="I63">
        <v>356594</v>
      </c>
      <c r="J63" t="s">
        <v>190</v>
      </c>
      <c r="K63" t="s">
        <v>128</v>
      </c>
      <c r="L63" t="s">
        <v>86</v>
      </c>
      <c r="M63" t="s">
        <v>130</v>
      </c>
      <c r="N63" t="s">
        <v>188</v>
      </c>
      <c r="O63" t="s">
        <v>44</v>
      </c>
      <c r="P63" t="s">
        <v>24</v>
      </c>
      <c r="Q63" t="s">
        <v>87</v>
      </c>
      <c r="R63" t="s">
        <v>87</v>
      </c>
      <c r="S63" s="87">
        <v>45731</v>
      </c>
      <c r="T63" t="s">
        <v>191</v>
      </c>
      <c r="U63" t="s">
        <v>192</v>
      </c>
      <c r="V63">
        <v>26404720</v>
      </c>
      <c r="W63" t="s">
        <v>88</v>
      </c>
      <c r="X63"/>
      <c r="Y63"/>
      <c r="Z63" t="s">
        <v>134</v>
      </c>
      <c r="AA63" t="s">
        <v>135</v>
      </c>
      <c r="AB63" t="s">
        <v>89</v>
      </c>
      <c r="AC63" t="s">
        <v>90</v>
      </c>
    </row>
    <row r="64" spans="1:29" s="2" customFormat="1" x14ac:dyDescent="0.25">
      <c r="A64" t="s">
        <v>39</v>
      </c>
      <c r="B64" t="s">
        <v>92</v>
      </c>
      <c r="C64" t="s">
        <v>9</v>
      </c>
      <c r="D64" t="s">
        <v>15</v>
      </c>
      <c r="E64" t="s">
        <v>116</v>
      </c>
      <c r="F64" t="s">
        <v>116</v>
      </c>
      <c r="G64" t="s">
        <v>9</v>
      </c>
      <c r="H64" t="s">
        <v>87</v>
      </c>
      <c r="I64">
        <v>356594</v>
      </c>
      <c r="J64" t="s">
        <v>190</v>
      </c>
      <c r="K64" t="s">
        <v>128</v>
      </c>
      <c r="L64" t="s">
        <v>86</v>
      </c>
      <c r="M64" t="s">
        <v>130</v>
      </c>
      <c r="N64" t="s">
        <v>188</v>
      </c>
      <c r="O64" t="s">
        <v>137</v>
      </c>
      <c r="P64" t="s">
        <v>118</v>
      </c>
      <c r="Q64" t="s">
        <v>87</v>
      </c>
      <c r="R64" t="s">
        <v>87</v>
      </c>
      <c r="S64" s="87">
        <v>45731</v>
      </c>
      <c r="T64" t="s">
        <v>191</v>
      </c>
      <c r="U64" t="s">
        <v>192</v>
      </c>
      <c r="V64">
        <v>26404720</v>
      </c>
      <c r="W64" t="s">
        <v>88</v>
      </c>
      <c r="X64"/>
      <c r="Y64"/>
      <c r="Z64" t="s">
        <v>134</v>
      </c>
      <c r="AA64" t="s">
        <v>135</v>
      </c>
      <c r="AB64" t="s">
        <v>89</v>
      </c>
      <c r="AC64" t="s">
        <v>90</v>
      </c>
    </row>
    <row r="65" spans="1:29" s="2" customFormat="1" x14ac:dyDescent="0.25">
      <c r="A65" t="s">
        <v>39</v>
      </c>
      <c r="B65" t="s">
        <v>92</v>
      </c>
      <c r="C65" t="s">
        <v>9</v>
      </c>
      <c r="D65" t="s">
        <v>15</v>
      </c>
      <c r="E65" t="s">
        <v>116</v>
      </c>
      <c r="F65" t="s">
        <v>116</v>
      </c>
      <c r="G65" t="s">
        <v>9</v>
      </c>
      <c r="H65" t="s">
        <v>87</v>
      </c>
      <c r="I65">
        <v>356594</v>
      </c>
      <c r="J65" t="s">
        <v>190</v>
      </c>
      <c r="K65" t="s">
        <v>128</v>
      </c>
      <c r="L65" t="s">
        <v>86</v>
      </c>
      <c r="M65" t="s">
        <v>130</v>
      </c>
      <c r="N65" t="s">
        <v>188</v>
      </c>
      <c r="O65" t="s">
        <v>43</v>
      </c>
      <c r="P65" t="s">
        <v>24</v>
      </c>
      <c r="Q65" t="s">
        <v>87</v>
      </c>
      <c r="R65" t="s">
        <v>87</v>
      </c>
      <c r="S65" s="87">
        <v>45731</v>
      </c>
      <c r="T65" t="s">
        <v>191</v>
      </c>
      <c r="U65" t="s">
        <v>192</v>
      </c>
      <c r="V65">
        <v>26404720</v>
      </c>
      <c r="W65" t="s">
        <v>88</v>
      </c>
      <c r="X65"/>
      <c r="Y65"/>
      <c r="Z65" t="s">
        <v>134</v>
      </c>
      <c r="AA65" t="s">
        <v>135</v>
      </c>
      <c r="AB65" t="s">
        <v>89</v>
      </c>
      <c r="AC65" t="s">
        <v>90</v>
      </c>
    </row>
    <row r="66" spans="1:29" s="2" customFormat="1" x14ac:dyDescent="0.25">
      <c r="A66" t="s">
        <v>39</v>
      </c>
      <c r="B66" t="s">
        <v>92</v>
      </c>
      <c r="C66" t="s">
        <v>9</v>
      </c>
      <c r="D66" t="s">
        <v>15</v>
      </c>
      <c r="E66" t="s">
        <v>116</v>
      </c>
      <c r="F66" t="s">
        <v>116</v>
      </c>
      <c r="G66" t="s">
        <v>9</v>
      </c>
      <c r="H66" t="s">
        <v>87</v>
      </c>
      <c r="I66">
        <v>356594</v>
      </c>
      <c r="J66" t="s">
        <v>190</v>
      </c>
      <c r="K66" t="s">
        <v>128</v>
      </c>
      <c r="L66" t="s">
        <v>86</v>
      </c>
      <c r="M66" t="s">
        <v>130</v>
      </c>
      <c r="N66" t="s">
        <v>188</v>
      </c>
      <c r="O66" t="s">
        <v>49</v>
      </c>
      <c r="P66" t="s">
        <v>24</v>
      </c>
      <c r="Q66" t="s">
        <v>87</v>
      </c>
      <c r="R66" t="s">
        <v>87</v>
      </c>
      <c r="S66" s="87">
        <v>45731</v>
      </c>
      <c r="T66" t="s">
        <v>191</v>
      </c>
      <c r="U66" t="s">
        <v>192</v>
      </c>
      <c r="V66">
        <v>26404720</v>
      </c>
      <c r="W66" t="s">
        <v>88</v>
      </c>
      <c r="X66"/>
      <c r="Y66"/>
      <c r="Z66" t="s">
        <v>134</v>
      </c>
      <c r="AA66" t="s">
        <v>135</v>
      </c>
      <c r="AB66" t="s">
        <v>89</v>
      </c>
      <c r="AC66" t="s">
        <v>90</v>
      </c>
    </row>
    <row r="67" spans="1:29" s="2" customFormat="1" x14ac:dyDescent="0.25">
      <c r="A67" t="s">
        <v>39</v>
      </c>
      <c r="B67" t="s">
        <v>92</v>
      </c>
      <c r="C67" t="s">
        <v>9</v>
      </c>
      <c r="D67" t="s">
        <v>15</v>
      </c>
      <c r="E67" t="s">
        <v>116</v>
      </c>
      <c r="F67" t="s">
        <v>116</v>
      </c>
      <c r="G67" t="s">
        <v>9</v>
      </c>
      <c r="H67" t="s">
        <v>87</v>
      </c>
      <c r="I67">
        <v>356594</v>
      </c>
      <c r="J67" t="s">
        <v>190</v>
      </c>
      <c r="K67" t="s">
        <v>128</v>
      </c>
      <c r="L67" t="s">
        <v>86</v>
      </c>
      <c r="M67" t="s">
        <v>130</v>
      </c>
      <c r="N67" t="s">
        <v>188</v>
      </c>
      <c r="O67" t="s">
        <v>52</v>
      </c>
      <c r="P67" t="s">
        <v>118</v>
      </c>
      <c r="Q67" t="s">
        <v>87</v>
      </c>
      <c r="R67" t="s">
        <v>87</v>
      </c>
      <c r="S67" s="87">
        <v>45731</v>
      </c>
      <c r="T67" t="s">
        <v>191</v>
      </c>
      <c r="U67" t="s">
        <v>192</v>
      </c>
      <c r="V67">
        <v>26404720</v>
      </c>
      <c r="W67" t="s">
        <v>88</v>
      </c>
      <c r="X67"/>
      <c r="Y67"/>
      <c r="Z67" t="s">
        <v>134</v>
      </c>
      <c r="AA67" t="s">
        <v>135</v>
      </c>
      <c r="AB67" t="s">
        <v>89</v>
      </c>
      <c r="AC67" t="s">
        <v>90</v>
      </c>
    </row>
    <row r="68" spans="1:29" s="2" customFormat="1" x14ac:dyDescent="0.25">
      <c r="A68" t="s">
        <v>39</v>
      </c>
      <c r="B68" t="s">
        <v>92</v>
      </c>
      <c r="C68" t="s">
        <v>9</v>
      </c>
      <c r="D68" t="s">
        <v>15</v>
      </c>
      <c r="E68" t="s">
        <v>116</v>
      </c>
      <c r="F68" t="s">
        <v>116</v>
      </c>
      <c r="G68" t="s">
        <v>9</v>
      </c>
      <c r="H68" t="s">
        <v>87</v>
      </c>
      <c r="I68">
        <v>356594</v>
      </c>
      <c r="J68" t="s">
        <v>190</v>
      </c>
      <c r="K68" t="s">
        <v>128</v>
      </c>
      <c r="L68" t="s">
        <v>86</v>
      </c>
      <c r="M68" t="s">
        <v>130</v>
      </c>
      <c r="N68" t="s">
        <v>188</v>
      </c>
      <c r="O68" t="s">
        <v>48</v>
      </c>
      <c r="P68" t="s">
        <v>118</v>
      </c>
      <c r="Q68" t="s">
        <v>87</v>
      </c>
      <c r="R68" t="s">
        <v>87</v>
      </c>
      <c r="S68" s="87">
        <v>45731</v>
      </c>
      <c r="T68" t="s">
        <v>191</v>
      </c>
      <c r="U68" t="s">
        <v>192</v>
      </c>
      <c r="V68">
        <v>26404720</v>
      </c>
      <c r="W68" t="s">
        <v>88</v>
      </c>
      <c r="X68"/>
      <c r="Y68"/>
      <c r="Z68" t="s">
        <v>134</v>
      </c>
      <c r="AA68" t="s">
        <v>135</v>
      </c>
      <c r="AB68" t="s">
        <v>89</v>
      </c>
      <c r="AC68" t="s">
        <v>90</v>
      </c>
    </row>
    <row r="69" spans="1:29" s="2" customFormat="1" x14ac:dyDescent="0.25">
      <c r="A69" t="s">
        <v>39</v>
      </c>
      <c r="B69" t="s">
        <v>92</v>
      </c>
      <c r="C69" t="s">
        <v>9</v>
      </c>
      <c r="D69" t="s">
        <v>15</v>
      </c>
      <c r="E69" t="s">
        <v>116</v>
      </c>
      <c r="F69" t="s">
        <v>116</v>
      </c>
      <c r="G69" t="s">
        <v>9</v>
      </c>
      <c r="H69" t="s">
        <v>87</v>
      </c>
      <c r="I69">
        <v>356594</v>
      </c>
      <c r="J69" t="s">
        <v>190</v>
      </c>
      <c r="K69" t="s">
        <v>128</v>
      </c>
      <c r="L69" t="s">
        <v>86</v>
      </c>
      <c r="M69" t="s">
        <v>130</v>
      </c>
      <c r="N69" t="s">
        <v>188</v>
      </c>
      <c r="O69" t="s">
        <v>47</v>
      </c>
      <c r="P69" t="s">
        <v>118</v>
      </c>
      <c r="Q69" t="s">
        <v>87</v>
      </c>
      <c r="R69" t="s">
        <v>87</v>
      </c>
      <c r="S69" s="87">
        <v>45731</v>
      </c>
      <c r="T69" t="s">
        <v>191</v>
      </c>
      <c r="U69" t="s">
        <v>192</v>
      </c>
      <c r="V69">
        <v>26404720</v>
      </c>
      <c r="W69" t="s">
        <v>88</v>
      </c>
      <c r="X69"/>
      <c r="Y69"/>
      <c r="Z69" t="s">
        <v>134</v>
      </c>
      <c r="AA69" t="s">
        <v>135</v>
      </c>
      <c r="AB69" t="s">
        <v>89</v>
      </c>
      <c r="AC69" t="s">
        <v>90</v>
      </c>
    </row>
    <row r="70" spans="1:29" s="2" customFormat="1" x14ac:dyDescent="0.25">
      <c r="A70" t="s">
        <v>39</v>
      </c>
      <c r="B70" t="s">
        <v>92</v>
      </c>
      <c r="C70" t="s">
        <v>9</v>
      </c>
      <c r="D70" t="s">
        <v>15</v>
      </c>
      <c r="E70" t="s">
        <v>116</v>
      </c>
      <c r="F70" t="s">
        <v>116</v>
      </c>
      <c r="G70" t="s">
        <v>9</v>
      </c>
      <c r="H70" t="s">
        <v>87</v>
      </c>
      <c r="I70">
        <v>356594</v>
      </c>
      <c r="J70" t="s">
        <v>190</v>
      </c>
      <c r="K70" t="s">
        <v>128</v>
      </c>
      <c r="L70" t="s">
        <v>86</v>
      </c>
      <c r="M70" t="s">
        <v>130</v>
      </c>
      <c r="N70" t="s">
        <v>188</v>
      </c>
      <c r="O70" t="s">
        <v>46</v>
      </c>
      <c r="P70" t="s">
        <v>24</v>
      </c>
      <c r="Q70" t="s">
        <v>87</v>
      </c>
      <c r="R70" t="s">
        <v>87</v>
      </c>
      <c r="S70" s="87">
        <v>45731</v>
      </c>
      <c r="T70" t="s">
        <v>191</v>
      </c>
      <c r="U70" t="s">
        <v>192</v>
      </c>
      <c r="V70">
        <v>26404720</v>
      </c>
      <c r="W70" t="s">
        <v>88</v>
      </c>
      <c r="X70"/>
      <c r="Y70"/>
      <c r="Z70" t="s">
        <v>134</v>
      </c>
      <c r="AA70" t="s">
        <v>135</v>
      </c>
      <c r="AB70" t="s">
        <v>89</v>
      </c>
      <c r="AC70" t="s">
        <v>90</v>
      </c>
    </row>
    <row r="71" spans="1:29" s="2" customFormat="1" x14ac:dyDescent="0.25">
      <c r="A71" t="s">
        <v>39</v>
      </c>
      <c r="B71" t="s">
        <v>92</v>
      </c>
      <c r="C71" t="s">
        <v>9</v>
      </c>
      <c r="D71" t="s">
        <v>15</v>
      </c>
      <c r="E71" t="s">
        <v>116</v>
      </c>
      <c r="F71" t="s">
        <v>116</v>
      </c>
      <c r="G71" t="s">
        <v>9</v>
      </c>
      <c r="H71" t="s">
        <v>87</v>
      </c>
      <c r="I71">
        <v>356594</v>
      </c>
      <c r="J71" t="s">
        <v>190</v>
      </c>
      <c r="K71" t="s">
        <v>128</v>
      </c>
      <c r="L71" t="s">
        <v>86</v>
      </c>
      <c r="M71" t="s">
        <v>130</v>
      </c>
      <c r="N71" t="s">
        <v>188</v>
      </c>
      <c r="O71" t="s">
        <v>138</v>
      </c>
      <c r="P71" t="s">
        <v>24</v>
      </c>
      <c r="Q71" t="s">
        <v>87</v>
      </c>
      <c r="R71" t="s">
        <v>87</v>
      </c>
      <c r="S71" s="87">
        <v>45731</v>
      </c>
      <c r="T71" t="s">
        <v>191</v>
      </c>
      <c r="U71" t="s">
        <v>192</v>
      </c>
      <c r="V71">
        <v>26404720</v>
      </c>
      <c r="W71" t="s">
        <v>88</v>
      </c>
      <c r="X71"/>
      <c r="Y71"/>
      <c r="Z71" t="s">
        <v>134</v>
      </c>
      <c r="AA71" t="s">
        <v>135</v>
      </c>
      <c r="AB71" t="s">
        <v>89</v>
      </c>
      <c r="AC71" t="s">
        <v>90</v>
      </c>
    </row>
    <row r="72" spans="1:29" s="2" customFormat="1" x14ac:dyDescent="0.25">
      <c r="A72" t="s">
        <v>39</v>
      </c>
      <c r="B72" t="s">
        <v>92</v>
      </c>
      <c r="C72" t="s">
        <v>9</v>
      </c>
      <c r="D72" t="s">
        <v>15</v>
      </c>
      <c r="E72" t="s">
        <v>116</v>
      </c>
      <c r="F72" t="s">
        <v>116</v>
      </c>
      <c r="G72" t="s">
        <v>9</v>
      </c>
      <c r="H72" t="s">
        <v>87</v>
      </c>
      <c r="I72">
        <v>356594</v>
      </c>
      <c r="J72" t="s">
        <v>190</v>
      </c>
      <c r="K72" t="s">
        <v>128</v>
      </c>
      <c r="L72" t="s">
        <v>86</v>
      </c>
      <c r="M72" t="s">
        <v>130</v>
      </c>
      <c r="N72" t="s">
        <v>188</v>
      </c>
      <c r="O72" t="s">
        <v>101</v>
      </c>
      <c r="P72" t="s">
        <v>24</v>
      </c>
      <c r="Q72" t="s">
        <v>87</v>
      </c>
      <c r="R72" t="s">
        <v>87</v>
      </c>
      <c r="S72" s="87">
        <v>45731</v>
      </c>
      <c r="T72" t="s">
        <v>191</v>
      </c>
      <c r="U72" t="s">
        <v>192</v>
      </c>
      <c r="V72">
        <v>26404720</v>
      </c>
      <c r="W72" t="s">
        <v>88</v>
      </c>
      <c r="X72"/>
      <c r="Y72"/>
      <c r="Z72" t="s">
        <v>134</v>
      </c>
      <c r="AA72" t="s">
        <v>135</v>
      </c>
      <c r="AB72" t="s">
        <v>89</v>
      </c>
      <c r="AC72" t="s">
        <v>90</v>
      </c>
    </row>
    <row r="73" spans="1:29" s="2" customFormat="1" x14ac:dyDescent="0.25">
      <c r="A73" t="s">
        <v>39</v>
      </c>
      <c r="B73" t="s">
        <v>92</v>
      </c>
      <c r="C73" t="s">
        <v>9</v>
      </c>
      <c r="D73" t="s">
        <v>15</v>
      </c>
      <c r="E73" t="s">
        <v>116</v>
      </c>
      <c r="F73" t="s">
        <v>116</v>
      </c>
      <c r="G73" t="s">
        <v>9</v>
      </c>
      <c r="H73" t="s">
        <v>87</v>
      </c>
      <c r="I73">
        <v>356594</v>
      </c>
      <c r="J73" t="s">
        <v>190</v>
      </c>
      <c r="K73" t="s">
        <v>128</v>
      </c>
      <c r="L73" t="s">
        <v>86</v>
      </c>
      <c r="M73" t="s">
        <v>130</v>
      </c>
      <c r="N73" t="s">
        <v>188</v>
      </c>
      <c r="O73" t="s">
        <v>101</v>
      </c>
      <c r="P73" t="s">
        <v>24</v>
      </c>
      <c r="Q73" t="s">
        <v>87</v>
      </c>
      <c r="R73" t="s">
        <v>87</v>
      </c>
      <c r="S73" s="87">
        <v>45731</v>
      </c>
      <c r="T73" t="s">
        <v>191</v>
      </c>
      <c r="U73" t="s">
        <v>192</v>
      </c>
      <c r="V73">
        <v>26404720</v>
      </c>
      <c r="W73" t="s">
        <v>88</v>
      </c>
      <c r="X73"/>
      <c r="Y73"/>
      <c r="Z73" t="s">
        <v>134</v>
      </c>
      <c r="AA73" t="s">
        <v>135</v>
      </c>
      <c r="AB73" t="s">
        <v>89</v>
      </c>
      <c r="AC73" t="s">
        <v>90</v>
      </c>
    </row>
    <row r="74" spans="1:29" s="2" customFormat="1" x14ac:dyDescent="0.25">
      <c r="A74" t="s">
        <v>39</v>
      </c>
      <c r="B74" t="s">
        <v>92</v>
      </c>
      <c r="C74" t="s">
        <v>9</v>
      </c>
      <c r="D74" t="s">
        <v>15</v>
      </c>
      <c r="E74" t="s">
        <v>116</v>
      </c>
      <c r="F74" t="s">
        <v>116</v>
      </c>
      <c r="G74" t="s">
        <v>9</v>
      </c>
      <c r="H74" t="s">
        <v>87</v>
      </c>
      <c r="I74">
        <v>356594</v>
      </c>
      <c r="J74" t="s">
        <v>190</v>
      </c>
      <c r="K74" t="s">
        <v>128</v>
      </c>
      <c r="L74" t="s">
        <v>86</v>
      </c>
      <c r="M74" t="s">
        <v>130</v>
      </c>
      <c r="N74" t="s">
        <v>188</v>
      </c>
      <c r="O74" t="s">
        <v>101</v>
      </c>
      <c r="P74" t="s">
        <v>24</v>
      </c>
      <c r="Q74" t="s">
        <v>87</v>
      </c>
      <c r="R74" t="s">
        <v>87</v>
      </c>
      <c r="S74" s="87">
        <v>45731</v>
      </c>
      <c r="T74" t="s">
        <v>191</v>
      </c>
      <c r="U74" t="s">
        <v>192</v>
      </c>
      <c r="V74">
        <v>26404720</v>
      </c>
      <c r="W74" t="s">
        <v>88</v>
      </c>
      <c r="X74"/>
      <c r="Y74"/>
      <c r="Z74" t="s">
        <v>134</v>
      </c>
      <c r="AA74" t="s">
        <v>135</v>
      </c>
      <c r="AB74" t="s">
        <v>89</v>
      </c>
      <c r="AC74" t="s">
        <v>90</v>
      </c>
    </row>
    <row r="75" spans="1:29" s="2" customFormat="1" x14ac:dyDescent="0.25">
      <c r="A75" t="s">
        <v>39</v>
      </c>
      <c r="B75" t="s">
        <v>92</v>
      </c>
      <c r="C75" t="s">
        <v>9</v>
      </c>
      <c r="D75" t="s">
        <v>15</v>
      </c>
      <c r="E75" t="s">
        <v>116</v>
      </c>
      <c r="F75" t="s">
        <v>116</v>
      </c>
      <c r="G75" t="s">
        <v>9</v>
      </c>
      <c r="H75" t="s">
        <v>87</v>
      </c>
      <c r="I75">
        <v>356594</v>
      </c>
      <c r="J75" t="s">
        <v>190</v>
      </c>
      <c r="K75" t="s">
        <v>128</v>
      </c>
      <c r="L75" t="s">
        <v>86</v>
      </c>
      <c r="M75" t="s">
        <v>130</v>
      </c>
      <c r="N75" t="s">
        <v>188</v>
      </c>
      <c r="O75" t="s">
        <v>99</v>
      </c>
      <c r="P75" t="s">
        <v>24</v>
      </c>
      <c r="Q75" t="s">
        <v>87</v>
      </c>
      <c r="R75" t="s">
        <v>87</v>
      </c>
      <c r="S75" s="87">
        <v>45731</v>
      </c>
      <c r="T75" t="s">
        <v>191</v>
      </c>
      <c r="U75" t="s">
        <v>192</v>
      </c>
      <c r="V75">
        <v>26404720</v>
      </c>
      <c r="W75" t="s">
        <v>88</v>
      </c>
      <c r="X75"/>
      <c r="Y75"/>
      <c r="Z75" t="s">
        <v>134</v>
      </c>
      <c r="AA75" t="s">
        <v>135</v>
      </c>
      <c r="AB75" t="s">
        <v>89</v>
      </c>
      <c r="AC75" t="s">
        <v>90</v>
      </c>
    </row>
    <row r="76" spans="1:29" s="2" customFormat="1" x14ac:dyDescent="0.25">
      <c r="A76" t="s">
        <v>39</v>
      </c>
      <c r="B76" t="s">
        <v>92</v>
      </c>
      <c r="C76" t="s">
        <v>9</v>
      </c>
      <c r="D76" t="s">
        <v>15</v>
      </c>
      <c r="E76" t="s">
        <v>116</v>
      </c>
      <c r="F76" t="s">
        <v>116</v>
      </c>
      <c r="G76" t="s">
        <v>9</v>
      </c>
      <c r="H76" t="s">
        <v>87</v>
      </c>
      <c r="I76">
        <v>356594</v>
      </c>
      <c r="J76" t="s">
        <v>190</v>
      </c>
      <c r="K76" t="s">
        <v>128</v>
      </c>
      <c r="L76" t="s">
        <v>86</v>
      </c>
      <c r="M76" t="s">
        <v>130</v>
      </c>
      <c r="N76" t="s">
        <v>188</v>
      </c>
      <c r="O76" t="s">
        <v>102</v>
      </c>
      <c r="P76" t="s">
        <v>167</v>
      </c>
      <c r="Q76" t="s">
        <v>87</v>
      </c>
      <c r="R76" t="s">
        <v>87</v>
      </c>
      <c r="S76" s="87">
        <v>45731</v>
      </c>
      <c r="T76" t="s">
        <v>191</v>
      </c>
      <c r="U76" t="s">
        <v>192</v>
      </c>
      <c r="V76">
        <v>26404720</v>
      </c>
      <c r="W76" t="s">
        <v>88</v>
      </c>
      <c r="X76"/>
      <c r="Y76"/>
      <c r="Z76" t="s">
        <v>134</v>
      </c>
      <c r="AA76" t="s">
        <v>135</v>
      </c>
      <c r="AB76" t="s">
        <v>89</v>
      </c>
      <c r="AC76" t="s">
        <v>90</v>
      </c>
    </row>
    <row r="77" spans="1:29" s="2" customFormat="1" x14ac:dyDescent="0.25">
      <c r="A77" t="s">
        <v>39</v>
      </c>
      <c r="B77" t="s">
        <v>92</v>
      </c>
      <c r="C77" t="s">
        <v>9</v>
      </c>
      <c r="D77" t="s">
        <v>15</v>
      </c>
      <c r="E77" t="s">
        <v>116</v>
      </c>
      <c r="F77" t="s">
        <v>116</v>
      </c>
      <c r="G77" t="s">
        <v>9</v>
      </c>
      <c r="H77" t="s">
        <v>87</v>
      </c>
      <c r="I77">
        <v>356594</v>
      </c>
      <c r="J77" t="s">
        <v>190</v>
      </c>
      <c r="K77" t="s">
        <v>128</v>
      </c>
      <c r="L77" t="s">
        <v>86</v>
      </c>
      <c r="M77" t="s">
        <v>130</v>
      </c>
      <c r="N77" t="s">
        <v>188</v>
      </c>
      <c r="O77" t="s">
        <v>169</v>
      </c>
      <c r="P77" t="s">
        <v>24</v>
      </c>
      <c r="Q77" t="s">
        <v>87</v>
      </c>
      <c r="R77" t="s">
        <v>87</v>
      </c>
      <c r="S77" s="87">
        <v>45731</v>
      </c>
      <c r="T77" t="s">
        <v>191</v>
      </c>
      <c r="U77" t="s">
        <v>192</v>
      </c>
      <c r="V77">
        <v>26404720</v>
      </c>
      <c r="W77" t="s">
        <v>88</v>
      </c>
      <c r="X77"/>
      <c r="Y77"/>
      <c r="Z77" t="s">
        <v>134</v>
      </c>
      <c r="AA77" t="s">
        <v>135</v>
      </c>
      <c r="AB77" t="s">
        <v>89</v>
      </c>
      <c r="AC77" t="s">
        <v>90</v>
      </c>
    </row>
    <row r="78" spans="1:29" s="2" customFormat="1" x14ac:dyDescent="0.25">
      <c r="A78" t="s">
        <v>39</v>
      </c>
      <c r="B78" t="s">
        <v>92</v>
      </c>
      <c r="C78" t="s">
        <v>9</v>
      </c>
      <c r="D78" t="s">
        <v>15</v>
      </c>
      <c r="E78" t="s">
        <v>116</v>
      </c>
      <c r="F78" t="s">
        <v>116</v>
      </c>
      <c r="G78" t="s">
        <v>9</v>
      </c>
      <c r="H78" t="s">
        <v>87</v>
      </c>
      <c r="I78">
        <v>356594</v>
      </c>
      <c r="J78" t="s">
        <v>190</v>
      </c>
      <c r="K78" t="s">
        <v>128</v>
      </c>
      <c r="L78" t="s">
        <v>86</v>
      </c>
      <c r="M78" t="s">
        <v>130</v>
      </c>
      <c r="N78" t="s">
        <v>188</v>
      </c>
      <c r="O78" t="s">
        <v>171</v>
      </c>
      <c r="P78" t="s">
        <v>24</v>
      </c>
      <c r="Q78" t="s">
        <v>87</v>
      </c>
      <c r="R78" t="s">
        <v>87</v>
      </c>
      <c r="S78" s="87">
        <v>45731</v>
      </c>
      <c r="T78" t="s">
        <v>191</v>
      </c>
      <c r="U78" t="s">
        <v>192</v>
      </c>
      <c r="V78">
        <v>26404720</v>
      </c>
      <c r="W78" t="s">
        <v>88</v>
      </c>
      <c r="X78"/>
      <c r="Y78"/>
      <c r="Z78" t="s">
        <v>134</v>
      </c>
      <c r="AA78" t="s">
        <v>135</v>
      </c>
      <c r="AB78" t="s">
        <v>89</v>
      </c>
      <c r="AC78" t="s">
        <v>90</v>
      </c>
    </row>
    <row r="79" spans="1:29" s="2" customFormat="1" x14ac:dyDescent="0.25">
      <c r="A79" t="s">
        <v>39</v>
      </c>
      <c r="B79" t="s">
        <v>92</v>
      </c>
      <c r="C79" t="s">
        <v>9</v>
      </c>
      <c r="D79" t="s">
        <v>15</v>
      </c>
      <c r="E79" t="s">
        <v>116</v>
      </c>
      <c r="F79" t="s">
        <v>116</v>
      </c>
      <c r="G79" t="s">
        <v>9</v>
      </c>
      <c r="H79" t="s">
        <v>87</v>
      </c>
      <c r="I79">
        <v>356594</v>
      </c>
      <c r="J79" t="s">
        <v>190</v>
      </c>
      <c r="K79" t="s">
        <v>128</v>
      </c>
      <c r="L79" t="s">
        <v>86</v>
      </c>
      <c r="M79" t="s">
        <v>130</v>
      </c>
      <c r="N79" t="s">
        <v>188</v>
      </c>
      <c r="O79" t="s">
        <v>173</v>
      </c>
      <c r="P79" t="s">
        <v>24</v>
      </c>
      <c r="Q79" t="s">
        <v>87</v>
      </c>
      <c r="R79" t="s">
        <v>87</v>
      </c>
      <c r="S79" s="87">
        <v>45731</v>
      </c>
      <c r="T79" t="s">
        <v>191</v>
      </c>
      <c r="U79" t="s">
        <v>192</v>
      </c>
      <c r="V79">
        <v>26404720</v>
      </c>
      <c r="W79" t="s">
        <v>88</v>
      </c>
      <c r="X79"/>
      <c r="Y79"/>
      <c r="Z79" t="s">
        <v>134</v>
      </c>
      <c r="AA79" t="s">
        <v>135</v>
      </c>
      <c r="AB79" t="s">
        <v>89</v>
      </c>
      <c r="AC79" t="s">
        <v>90</v>
      </c>
    </row>
    <row r="80" spans="1:29" s="2" customFormat="1" x14ac:dyDescent="0.25">
      <c r="A80" t="s">
        <v>39</v>
      </c>
      <c r="B80" t="s">
        <v>92</v>
      </c>
      <c r="C80" t="s">
        <v>9</v>
      </c>
      <c r="D80" t="s">
        <v>15</v>
      </c>
      <c r="E80" t="s">
        <v>116</v>
      </c>
      <c r="F80" t="s">
        <v>116</v>
      </c>
      <c r="G80" t="s">
        <v>9</v>
      </c>
      <c r="H80" t="s">
        <v>87</v>
      </c>
      <c r="I80">
        <v>356594</v>
      </c>
      <c r="J80" t="s">
        <v>190</v>
      </c>
      <c r="K80" t="s">
        <v>128</v>
      </c>
      <c r="L80" t="s">
        <v>86</v>
      </c>
      <c r="M80" t="s">
        <v>130</v>
      </c>
      <c r="N80" t="s">
        <v>188</v>
      </c>
      <c r="O80" t="s">
        <v>175</v>
      </c>
      <c r="P80" t="s">
        <v>24</v>
      </c>
      <c r="Q80" t="s">
        <v>87</v>
      </c>
      <c r="R80" t="s">
        <v>87</v>
      </c>
      <c r="S80" s="87">
        <v>45731</v>
      </c>
      <c r="T80" t="s">
        <v>191</v>
      </c>
      <c r="U80" t="s">
        <v>192</v>
      </c>
      <c r="V80">
        <v>26404720</v>
      </c>
      <c r="W80" t="s">
        <v>88</v>
      </c>
      <c r="X80"/>
      <c r="Y80"/>
      <c r="Z80" t="s">
        <v>134</v>
      </c>
      <c r="AA80" t="s">
        <v>135</v>
      </c>
      <c r="AB80" t="s">
        <v>89</v>
      </c>
      <c r="AC80" t="s">
        <v>90</v>
      </c>
    </row>
    <row r="81" spans="1:29" s="2" customFormat="1" x14ac:dyDescent="0.25">
      <c r="A81" t="s">
        <v>39</v>
      </c>
      <c r="B81" t="s">
        <v>92</v>
      </c>
      <c r="C81" t="s">
        <v>9</v>
      </c>
      <c r="D81" t="s">
        <v>15</v>
      </c>
      <c r="E81" t="s">
        <v>116</v>
      </c>
      <c r="F81" t="s">
        <v>116</v>
      </c>
      <c r="G81" t="s">
        <v>9</v>
      </c>
      <c r="H81" t="s">
        <v>87</v>
      </c>
      <c r="I81">
        <v>356594</v>
      </c>
      <c r="J81" t="s">
        <v>190</v>
      </c>
      <c r="K81" t="s">
        <v>128</v>
      </c>
      <c r="L81" t="s">
        <v>86</v>
      </c>
      <c r="M81" t="s">
        <v>130</v>
      </c>
      <c r="N81" t="s">
        <v>188</v>
      </c>
      <c r="O81" t="s">
        <v>41</v>
      </c>
      <c r="P81" t="s">
        <v>24</v>
      </c>
      <c r="Q81" t="s">
        <v>87</v>
      </c>
      <c r="R81" t="s">
        <v>87</v>
      </c>
      <c r="S81" s="87">
        <v>45731</v>
      </c>
      <c r="T81" t="s">
        <v>191</v>
      </c>
      <c r="U81" t="s">
        <v>192</v>
      </c>
      <c r="V81">
        <v>26404720</v>
      </c>
      <c r="W81" t="s">
        <v>88</v>
      </c>
      <c r="X81"/>
      <c r="Y81"/>
      <c r="Z81" t="s">
        <v>134</v>
      </c>
      <c r="AA81" t="s">
        <v>135</v>
      </c>
      <c r="AB81" t="s">
        <v>89</v>
      </c>
      <c r="AC81" t="s">
        <v>90</v>
      </c>
    </row>
    <row r="82" spans="1:29" s="2" customFormat="1" x14ac:dyDescent="0.25">
      <c r="A82" t="s">
        <v>39</v>
      </c>
      <c r="B82" t="s">
        <v>92</v>
      </c>
      <c r="C82" t="s">
        <v>9</v>
      </c>
      <c r="D82" t="s">
        <v>15</v>
      </c>
      <c r="E82" t="s">
        <v>116</v>
      </c>
      <c r="F82" t="s">
        <v>116</v>
      </c>
      <c r="G82" t="s">
        <v>9</v>
      </c>
      <c r="H82" t="s">
        <v>87</v>
      </c>
      <c r="I82">
        <v>356594</v>
      </c>
      <c r="J82" t="s">
        <v>190</v>
      </c>
      <c r="K82" t="s">
        <v>128</v>
      </c>
      <c r="L82" t="s">
        <v>86</v>
      </c>
      <c r="M82" t="s">
        <v>130</v>
      </c>
      <c r="N82" t="s">
        <v>188</v>
      </c>
      <c r="O82" t="s">
        <v>42</v>
      </c>
      <c r="P82" t="s">
        <v>147</v>
      </c>
      <c r="Q82" t="s">
        <v>87</v>
      </c>
      <c r="R82" t="s">
        <v>87</v>
      </c>
      <c r="S82" s="87">
        <v>45731</v>
      </c>
      <c r="T82" t="s">
        <v>191</v>
      </c>
      <c r="U82" t="s">
        <v>192</v>
      </c>
      <c r="V82">
        <v>26404720</v>
      </c>
      <c r="W82" t="s">
        <v>88</v>
      </c>
      <c r="X82"/>
      <c r="Y82"/>
      <c r="Z82" t="s">
        <v>134</v>
      </c>
      <c r="AA82" t="s">
        <v>135</v>
      </c>
      <c r="AB82" t="s">
        <v>89</v>
      </c>
      <c r="AC82" t="s">
        <v>90</v>
      </c>
    </row>
    <row r="83" spans="1:29" s="2" customFormat="1" x14ac:dyDescent="0.25">
      <c r="A83" t="s">
        <v>39</v>
      </c>
      <c r="B83" t="s">
        <v>92</v>
      </c>
      <c r="C83" t="s">
        <v>9</v>
      </c>
      <c r="D83" t="s">
        <v>15</v>
      </c>
      <c r="E83" t="s">
        <v>116</v>
      </c>
      <c r="F83" t="s">
        <v>116</v>
      </c>
      <c r="G83" t="s">
        <v>9</v>
      </c>
      <c r="H83" t="s">
        <v>87</v>
      </c>
      <c r="I83">
        <v>356594</v>
      </c>
      <c r="J83" t="s">
        <v>190</v>
      </c>
      <c r="K83" t="s">
        <v>128</v>
      </c>
      <c r="L83" t="s">
        <v>86</v>
      </c>
      <c r="M83" t="s">
        <v>130</v>
      </c>
      <c r="N83" t="s">
        <v>188</v>
      </c>
      <c r="O83" t="s">
        <v>51</v>
      </c>
      <c r="P83" t="s">
        <v>24</v>
      </c>
      <c r="Q83" t="s">
        <v>87</v>
      </c>
      <c r="R83" t="s">
        <v>87</v>
      </c>
      <c r="S83" s="87">
        <v>45731</v>
      </c>
      <c r="T83" t="s">
        <v>191</v>
      </c>
      <c r="U83" t="s">
        <v>192</v>
      </c>
      <c r="V83">
        <v>26404720</v>
      </c>
      <c r="W83" t="s">
        <v>88</v>
      </c>
      <c r="X83"/>
      <c r="Y83"/>
      <c r="Z83" t="s">
        <v>134</v>
      </c>
      <c r="AA83" t="s">
        <v>135</v>
      </c>
      <c r="AB83" t="s">
        <v>89</v>
      </c>
      <c r="AC83" t="s">
        <v>90</v>
      </c>
    </row>
    <row r="84" spans="1:29" s="2" customFormat="1" x14ac:dyDescent="0.25">
      <c r="A84" t="s">
        <v>39</v>
      </c>
      <c r="B84" t="s">
        <v>92</v>
      </c>
      <c r="C84" t="s">
        <v>9</v>
      </c>
      <c r="D84" t="s">
        <v>15</v>
      </c>
      <c r="E84" t="s">
        <v>116</v>
      </c>
      <c r="F84" t="s">
        <v>116</v>
      </c>
      <c r="G84" t="s">
        <v>9</v>
      </c>
      <c r="H84" t="s">
        <v>87</v>
      </c>
      <c r="I84">
        <v>356594</v>
      </c>
      <c r="J84" t="s">
        <v>190</v>
      </c>
      <c r="K84" t="s">
        <v>128</v>
      </c>
      <c r="L84" t="s">
        <v>86</v>
      </c>
      <c r="M84" t="s">
        <v>130</v>
      </c>
      <c r="N84" t="s">
        <v>188</v>
      </c>
      <c r="O84" t="s">
        <v>50</v>
      </c>
      <c r="P84" t="s">
        <v>24</v>
      </c>
      <c r="Q84" t="s">
        <v>87</v>
      </c>
      <c r="R84" t="s">
        <v>87</v>
      </c>
      <c r="S84" s="87">
        <v>45731</v>
      </c>
      <c r="T84" t="s">
        <v>191</v>
      </c>
      <c r="U84" t="s">
        <v>192</v>
      </c>
      <c r="V84">
        <v>26404720</v>
      </c>
      <c r="W84" t="s">
        <v>88</v>
      </c>
      <c r="X84"/>
      <c r="Y84"/>
      <c r="Z84" t="s">
        <v>134</v>
      </c>
      <c r="AA84" t="s">
        <v>135</v>
      </c>
      <c r="AB84" t="s">
        <v>89</v>
      </c>
      <c r="AC84" t="s">
        <v>90</v>
      </c>
    </row>
    <row r="85" spans="1:29" s="2" customFormat="1" x14ac:dyDescent="0.25">
      <c r="A85" t="s">
        <v>39</v>
      </c>
      <c r="B85" t="s">
        <v>92</v>
      </c>
      <c r="C85" t="s">
        <v>9</v>
      </c>
      <c r="D85" t="s">
        <v>15</v>
      </c>
      <c r="E85" t="s">
        <v>116</v>
      </c>
      <c r="F85" t="s">
        <v>116</v>
      </c>
      <c r="G85" t="s">
        <v>9</v>
      </c>
      <c r="H85" t="s">
        <v>87</v>
      </c>
      <c r="I85">
        <v>356594</v>
      </c>
      <c r="J85" t="s">
        <v>190</v>
      </c>
      <c r="K85" t="s">
        <v>128</v>
      </c>
      <c r="L85" t="s">
        <v>86</v>
      </c>
      <c r="M85" t="s">
        <v>130</v>
      </c>
      <c r="N85" t="s">
        <v>188</v>
      </c>
      <c r="O85" t="s">
        <v>148</v>
      </c>
      <c r="P85" t="s">
        <v>24</v>
      </c>
      <c r="Q85" t="s">
        <v>87</v>
      </c>
      <c r="R85" t="s">
        <v>87</v>
      </c>
      <c r="S85" s="87">
        <v>45731</v>
      </c>
      <c r="T85" t="s">
        <v>191</v>
      </c>
      <c r="U85" t="s">
        <v>192</v>
      </c>
      <c r="V85">
        <v>26404720</v>
      </c>
      <c r="W85" t="s">
        <v>88</v>
      </c>
      <c r="X85"/>
      <c r="Y85"/>
      <c r="Z85" t="s">
        <v>134</v>
      </c>
      <c r="AA85" t="s">
        <v>135</v>
      </c>
      <c r="AB85" t="s">
        <v>89</v>
      </c>
      <c r="AC85" t="s">
        <v>90</v>
      </c>
    </row>
    <row r="86" spans="1:29" s="2" customFormat="1" x14ac:dyDescent="0.25">
      <c r="A86" t="s">
        <v>39</v>
      </c>
      <c r="B86" t="s">
        <v>92</v>
      </c>
      <c r="C86" t="s">
        <v>9</v>
      </c>
      <c r="D86" t="s">
        <v>15</v>
      </c>
      <c r="E86" t="s">
        <v>116</v>
      </c>
      <c r="F86" t="s">
        <v>116</v>
      </c>
      <c r="G86" t="s">
        <v>9</v>
      </c>
      <c r="H86" t="s">
        <v>87</v>
      </c>
      <c r="I86">
        <v>356594</v>
      </c>
      <c r="J86" t="s">
        <v>190</v>
      </c>
      <c r="K86" t="s">
        <v>128</v>
      </c>
      <c r="L86" t="s">
        <v>86</v>
      </c>
      <c r="M86" t="s">
        <v>130</v>
      </c>
      <c r="N86" t="s">
        <v>188</v>
      </c>
      <c r="O86" t="s">
        <v>45</v>
      </c>
      <c r="P86" t="s">
        <v>24</v>
      </c>
      <c r="Q86" t="s">
        <v>87</v>
      </c>
      <c r="R86" t="s">
        <v>87</v>
      </c>
      <c r="S86" s="87">
        <v>45731</v>
      </c>
      <c r="T86" t="s">
        <v>191</v>
      </c>
      <c r="U86" t="s">
        <v>192</v>
      </c>
      <c r="V86">
        <v>26404720</v>
      </c>
      <c r="W86" t="s">
        <v>88</v>
      </c>
      <c r="X86"/>
      <c r="Y86"/>
      <c r="Z86" t="s">
        <v>134</v>
      </c>
      <c r="AA86" t="s">
        <v>135</v>
      </c>
      <c r="AB86" t="s">
        <v>89</v>
      </c>
      <c r="AC86" t="s">
        <v>90</v>
      </c>
    </row>
    <row r="87" spans="1:29" s="2" customFormat="1" x14ac:dyDescent="0.25">
      <c r="A87" t="s">
        <v>39</v>
      </c>
      <c r="B87" t="s">
        <v>92</v>
      </c>
      <c r="C87" t="s">
        <v>9</v>
      </c>
      <c r="D87" t="s">
        <v>15</v>
      </c>
      <c r="E87" t="s">
        <v>116</v>
      </c>
      <c r="F87" t="s">
        <v>116</v>
      </c>
      <c r="G87" t="s">
        <v>9</v>
      </c>
      <c r="H87" t="s">
        <v>87</v>
      </c>
      <c r="I87">
        <v>356594</v>
      </c>
      <c r="J87" t="s">
        <v>190</v>
      </c>
      <c r="K87" t="s">
        <v>128</v>
      </c>
      <c r="L87" t="s">
        <v>86</v>
      </c>
      <c r="M87" t="s">
        <v>130</v>
      </c>
      <c r="N87" t="s">
        <v>188</v>
      </c>
      <c r="O87" t="s">
        <v>189</v>
      </c>
      <c r="P87" t="s">
        <v>118</v>
      </c>
      <c r="Q87" t="s">
        <v>87</v>
      </c>
      <c r="R87" t="s">
        <v>87</v>
      </c>
      <c r="S87" s="87">
        <v>45731</v>
      </c>
      <c r="T87" t="s">
        <v>191</v>
      </c>
      <c r="U87" t="s">
        <v>192</v>
      </c>
      <c r="V87">
        <v>26404720</v>
      </c>
      <c r="W87" t="s">
        <v>88</v>
      </c>
      <c r="X87"/>
      <c r="Y87"/>
      <c r="Z87" t="s">
        <v>134</v>
      </c>
      <c r="AA87" t="s">
        <v>135</v>
      </c>
      <c r="AB87" t="s">
        <v>89</v>
      </c>
      <c r="AC87" t="s">
        <v>90</v>
      </c>
    </row>
    <row r="88" spans="1:29" s="2" customFormat="1" x14ac:dyDescent="0.25">
      <c r="A88" t="s">
        <v>39</v>
      </c>
      <c r="B88" t="s">
        <v>193</v>
      </c>
      <c r="C88" t="s">
        <v>194</v>
      </c>
      <c r="D88" t="s">
        <v>16</v>
      </c>
      <c r="E88" t="s">
        <v>187</v>
      </c>
      <c r="F88" t="s">
        <v>195</v>
      </c>
      <c r="G88" t="s">
        <v>194</v>
      </c>
      <c r="H88" t="s">
        <v>87</v>
      </c>
      <c r="I88">
        <v>12130</v>
      </c>
      <c r="J88" t="s">
        <v>196</v>
      </c>
      <c r="K88" t="s">
        <v>197</v>
      </c>
      <c r="L88" t="s">
        <v>86</v>
      </c>
      <c r="M88" t="s">
        <v>130</v>
      </c>
      <c r="N88" t="s">
        <v>188</v>
      </c>
      <c r="O88" t="s">
        <v>40</v>
      </c>
      <c r="P88" t="s">
        <v>118</v>
      </c>
      <c r="Q88" t="s">
        <v>87</v>
      </c>
      <c r="R88" t="s">
        <v>87</v>
      </c>
      <c r="S88" s="87">
        <v>45733</v>
      </c>
      <c r="T88" t="s">
        <v>198</v>
      </c>
      <c r="U88" t="s">
        <v>199</v>
      </c>
      <c r="V88">
        <v>26409010</v>
      </c>
      <c r="W88" t="s">
        <v>88</v>
      </c>
      <c r="X88"/>
      <c r="Y88"/>
      <c r="Z88" t="s">
        <v>200</v>
      </c>
      <c r="AA88" t="s">
        <v>201</v>
      </c>
      <c r="AB88" t="s">
        <v>89</v>
      </c>
      <c r="AC88" t="s">
        <v>90</v>
      </c>
    </row>
    <row r="89" spans="1:29" s="2" customFormat="1" x14ac:dyDescent="0.25">
      <c r="A89" t="s">
        <v>39</v>
      </c>
      <c r="B89" t="s">
        <v>193</v>
      </c>
      <c r="C89" t="s">
        <v>194</v>
      </c>
      <c r="D89" t="s">
        <v>16</v>
      </c>
      <c r="E89" t="s">
        <v>187</v>
      </c>
      <c r="F89" t="s">
        <v>195</v>
      </c>
      <c r="G89" t="s">
        <v>194</v>
      </c>
      <c r="H89" t="s">
        <v>87</v>
      </c>
      <c r="I89">
        <v>12130</v>
      </c>
      <c r="J89" t="s">
        <v>196</v>
      </c>
      <c r="K89" t="s">
        <v>197</v>
      </c>
      <c r="L89" t="s">
        <v>86</v>
      </c>
      <c r="M89" t="s">
        <v>130</v>
      </c>
      <c r="N89" t="s">
        <v>188</v>
      </c>
      <c r="O89" t="s">
        <v>189</v>
      </c>
      <c r="P89" t="s">
        <v>24</v>
      </c>
      <c r="Q89" t="s">
        <v>87</v>
      </c>
      <c r="R89" t="s">
        <v>87</v>
      </c>
      <c r="S89" s="87">
        <v>45733</v>
      </c>
      <c r="T89" t="s">
        <v>198</v>
      </c>
      <c r="U89" t="s">
        <v>199</v>
      </c>
      <c r="V89">
        <v>26409010</v>
      </c>
      <c r="W89" t="s">
        <v>88</v>
      </c>
      <c r="X89"/>
      <c r="Y89"/>
      <c r="Z89" t="s">
        <v>200</v>
      </c>
      <c r="AA89" t="s">
        <v>201</v>
      </c>
      <c r="AB89" t="s">
        <v>89</v>
      </c>
      <c r="AC89" t="s">
        <v>90</v>
      </c>
    </row>
    <row r="90" spans="1:29" s="2" customFormat="1" x14ac:dyDescent="0.25">
      <c r="A90" t="s">
        <v>39</v>
      </c>
      <c r="B90" t="s">
        <v>193</v>
      </c>
      <c r="C90" t="s">
        <v>194</v>
      </c>
      <c r="D90" t="s">
        <v>16</v>
      </c>
      <c r="E90" t="s">
        <v>187</v>
      </c>
      <c r="F90" t="s">
        <v>195</v>
      </c>
      <c r="G90" t="s">
        <v>194</v>
      </c>
      <c r="H90" t="s">
        <v>87</v>
      </c>
      <c r="I90">
        <v>12130</v>
      </c>
      <c r="J90" t="s">
        <v>196</v>
      </c>
      <c r="K90" t="s">
        <v>197</v>
      </c>
      <c r="L90" t="s">
        <v>86</v>
      </c>
      <c r="M90" t="s">
        <v>130</v>
      </c>
      <c r="N90" t="s">
        <v>188</v>
      </c>
      <c r="O90" t="s">
        <v>202</v>
      </c>
      <c r="P90" t="s">
        <v>203</v>
      </c>
      <c r="Q90" t="s">
        <v>87</v>
      </c>
      <c r="R90" t="s">
        <v>87</v>
      </c>
      <c r="S90" s="87">
        <v>45733</v>
      </c>
      <c r="T90" t="s">
        <v>198</v>
      </c>
      <c r="U90" t="s">
        <v>199</v>
      </c>
      <c r="V90">
        <v>26409010</v>
      </c>
      <c r="W90" t="s">
        <v>88</v>
      </c>
      <c r="X90"/>
      <c r="Y90"/>
      <c r="Z90" t="s">
        <v>200</v>
      </c>
      <c r="AA90" t="s">
        <v>201</v>
      </c>
      <c r="AB90" t="s">
        <v>89</v>
      </c>
      <c r="AC90" t="s">
        <v>90</v>
      </c>
    </row>
    <row r="91" spans="1:29" s="2" customFormat="1" x14ac:dyDescent="0.25">
      <c r="A91" t="s">
        <v>39</v>
      </c>
      <c r="B91" t="s">
        <v>93</v>
      </c>
      <c r="C91" t="s">
        <v>8</v>
      </c>
      <c r="D91" t="s">
        <v>16</v>
      </c>
      <c r="E91" t="s">
        <v>204</v>
      </c>
      <c r="F91" t="s">
        <v>204</v>
      </c>
      <c r="G91" t="s">
        <v>93</v>
      </c>
      <c r="H91" t="s">
        <v>87</v>
      </c>
      <c r="I91">
        <v>105381</v>
      </c>
      <c r="J91" t="s">
        <v>205</v>
      </c>
      <c r="K91" t="s">
        <v>206</v>
      </c>
      <c r="L91" t="s">
        <v>86</v>
      </c>
      <c r="M91" t="s">
        <v>130</v>
      </c>
      <c r="N91" t="s">
        <v>188</v>
      </c>
      <c r="O91" t="s">
        <v>40</v>
      </c>
      <c r="P91" t="s">
        <v>24</v>
      </c>
      <c r="Q91" t="s">
        <v>87</v>
      </c>
      <c r="R91" t="s">
        <v>87</v>
      </c>
      <c r="S91" s="87">
        <v>45730</v>
      </c>
      <c r="T91" s="56">
        <v>45730.385254629633</v>
      </c>
      <c r="U91" s="56">
        <v>45730.397372685184</v>
      </c>
      <c r="V91">
        <v>26415788</v>
      </c>
      <c r="W91" t="s">
        <v>88</v>
      </c>
      <c r="X91"/>
      <c r="Y91"/>
      <c r="Z91" t="s">
        <v>94</v>
      </c>
      <c r="AA91" t="s">
        <v>53</v>
      </c>
      <c r="AB91" t="s">
        <v>89</v>
      </c>
      <c r="AC91" t="s">
        <v>90</v>
      </c>
    </row>
    <row r="92" spans="1:29" s="2" customFormat="1" x14ac:dyDescent="0.25">
      <c r="A92" t="s">
        <v>39</v>
      </c>
      <c r="B92" t="s">
        <v>93</v>
      </c>
      <c r="C92" t="s">
        <v>8</v>
      </c>
      <c r="D92" t="s">
        <v>16</v>
      </c>
      <c r="E92" t="s">
        <v>204</v>
      </c>
      <c r="F92" t="s">
        <v>204</v>
      </c>
      <c r="G92" t="s">
        <v>93</v>
      </c>
      <c r="H92" t="s">
        <v>87</v>
      </c>
      <c r="I92">
        <v>105381</v>
      </c>
      <c r="J92" t="s">
        <v>205</v>
      </c>
      <c r="K92" t="s">
        <v>206</v>
      </c>
      <c r="L92" t="s">
        <v>86</v>
      </c>
      <c r="M92" t="s">
        <v>130</v>
      </c>
      <c r="N92" t="s">
        <v>188</v>
      </c>
      <c r="O92" t="s">
        <v>100</v>
      </c>
      <c r="P92" t="s">
        <v>24</v>
      </c>
      <c r="Q92" t="s">
        <v>87</v>
      </c>
      <c r="R92" t="s">
        <v>87</v>
      </c>
      <c r="S92" s="87">
        <v>45730</v>
      </c>
      <c r="T92" s="56">
        <v>45730.385254629633</v>
      </c>
      <c r="U92" s="56">
        <v>45730.397372685184</v>
      </c>
      <c r="V92">
        <v>26415788</v>
      </c>
      <c r="W92" t="s">
        <v>88</v>
      </c>
      <c r="X92"/>
      <c r="Y92"/>
      <c r="Z92" t="s">
        <v>94</v>
      </c>
      <c r="AA92" t="s">
        <v>53</v>
      </c>
      <c r="AB92" t="s">
        <v>89</v>
      </c>
      <c r="AC92" t="s">
        <v>90</v>
      </c>
    </row>
    <row r="93" spans="1:29" s="2" customFormat="1" x14ac:dyDescent="0.25">
      <c r="A93" t="s">
        <v>39</v>
      </c>
      <c r="B93" t="s">
        <v>93</v>
      </c>
      <c r="C93" t="s">
        <v>8</v>
      </c>
      <c r="D93" t="s">
        <v>16</v>
      </c>
      <c r="E93" t="s">
        <v>204</v>
      </c>
      <c r="F93" t="s">
        <v>204</v>
      </c>
      <c r="G93" t="s">
        <v>93</v>
      </c>
      <c r="H93" t="s">
        <v>87</v>
      </c>
      <c r="I93">
        <v>105381</v>
      </c>
      <c r="J93" t="s">
        <v>205</v>
      </c>
      <c r="K93" t="s">
        <v>206</v>
      </c>
      <c r="L93" t="s">
        <v>86</v>
      </c>
      <c r="M93" t="s">
        <v>130</v>
      </c>
      <c r="N93" t="s">
        <v>188</v>
      </c>
      <c r="O93" t="s">
        <v>136</v>
      </c>
      <c r="P93" t="s">
        <v>24</v>
      </c>
      <c r="Q93" t="s">
        <v>87</v>
      </c>
      <c r="R93" t="s">
        <v>87</v>
      </c>
      <c r="S93" s="87">
        <v>45730</v>
      </c>
      <c r="T93" s="56">
        <v>45730.385254629633</v>
      </c>
      <c r="U93" s="56">
        <v>45730.397372685184</v>
      </c>
      <c r="V93">
        <v>26415788</v>
      </c>
      <c r="W93" t="s">
        <v>88</v>
      </c>
      <c r="X93"/>
      <c r="Y93"/>
      <c r="Z93" t="s">
        <v>94</v>
      </c>
      <c r="AA93" t="s">
        <v>53</v>
      </c>
      <c r="AB93" t="s">
        <v>89</v>
      </c>
      <c r="AC93" t="s">
        <v>90</v>
      </c>
    </row>
    <row r="94" spans="1:29" s="2" customFormat="1" x14ac:dyDescent="0.25">
      <c r="A94" t="s">
        <v>39</v>
      </c>
      <c r="B94" t="s">
        <v>93</v>
      </c>
      <c r="C94" t="s">
        <v>8</v>
      </c>
      <c r="D94" t="s">
        <v>16</v>
      </c>
      <c r="E94" t="s">
        <v>204</v>
      </c>
      <c r="F94" t="s">
        <v>204</v>
      </c>
      <c r="G94" t="s">
        <v>93</v>
      </c>
      <c r="H94" t="s">
        <v>87</v>
      </c>
      <c r="I94">
        <v>105381</v>
      </c>
      <c r="J94" t="s">
        <v>205</v>
      </c>
      <c r="K94" t="s">
        <v>206</v>
      </c>
      <c r="L94" t="s">
        <v>86</v>
      </c>
      <c r="M94" t="s">
        <v>130</v>
      </c>
      <c r="N94" t="s">
        <v>188</v>
      </c>
      <c r="O94" t="s">
        <v>44</v>
      </c>
      <c r="P94" t="s">
        <v>24</v>
      </c>
      <c r="Q94" t="s">
        <v>87</v>
      </c>
      <c r="R94" t="s">
        <v>87</v>
      </c>
      <c r="S94" s="87">
        <v>45730</v>
      </c>
      <c r="T94" s="56">
        <v>45730.385254629633</v>
      </c>
      <c r="U94" s="56">
        <v>45730.397372685184</v>
      </c>
      <c r="V94">
        <v>26415788</v>
      </c>
      <c r="W94" t="s">
        <v>88</v>
      </c>
      <c r="X94"/>
      <c r="Y94"/>
      <c r="Z94" t="s">
        <v>94</v>
      </c>
      <c r="AA94" t="s">
        <v>53</v>
      </c>
      <c r="AB94" t="s">
        <v>89</v>
      </c>
      <c r="AC94" t="s">
        <v>90</v>
      </c>
    </row>
    <row r="95" spans="1:29" s="2" customFormat="1" x14ac:dyDescent="0.25">
      <c r="A95" t="s">
        <v>39</v>
      </c>
      <c r="B95" t="s">
        <v>93</v>
      </c>
      <c r="C95" t="s">
        <v>8</v>
      </c>
      <c r="D95" t="s">
        <v>16</v>
      </c>
      <c r="E95" t="s">
        <v>204</v>
      </c>
      <c r="F95" t="s">
        <v>204</v>
      </c>
      <c r="G95" t="s">
        <v>93</v>
      </c>
      <c r="H95" t="s">
        <v>87</v>
      </c>
      <c r="I95">
        <v>105381</v>
      </c>
      <c r="J95" t="s">
        <v>205</v>
      </c>
      <c r="K95" t="s">
        <v>206</v>
      </c>
      <c r="L95" t="s">
        <v>86</v>
      </c>
      <c r="M95" t="s">
        <v>130</v>
      </c>
      <c r="N95" t="s">
        <v>188</v>
      </c>
      <c r="O95" t="s">
        <v>137</v>
      </c>
      <c r="P95" t="s">
        <v>24</v>
      </c>
      <c r="Q95" t="s">
        <v>87</v>
      </c>
      <c r="R95" t="s">
        <v>87</v>
      </c>
      <c r="S95" s="87">
        <v>45730</v>
      </c>
      <c r="T95" s="56">
        <v>45730.385254629633</v>
      </c>
      <c r="U95" s="56">
        <v>45730.397372685184</v>
      </c>
      <c r="V95">
        <v>26415788</v>
      </c>
      <c r="W95" t="s">
        <v>88</v>
      </c>
      <c r="X95"/>
      <c r="Y95"/>
      <c r="Z95" t="s">
        <v>94</v>
      </c>
      <c r="AA95" t="s">
        <v>53</v>
      </c>
      <c r="AB95" t="s">
        <v>89</v>
      </c>
      <c r="AC95" t="s">
        <v>90</v>
      </c>
    </row>
    <row r="96" spans="1:29" s="2" customFormat="1" x14ac:dyDescent="0.25">
      <c r="A96" t="s">
        <v>39</v>
      </c>
      <c r="B96" t="s">
        <v>93</v>
      </c>
      <c r="C96" t="s">
        <v>8</v>
      </c>
      <c r="D96" t="s">
        <v>16</v>
      </c>
      <c r="E96" t="s">
        <v>204</v>
      </c>
      <c r="F96" t="s">
        <v>204</v>
      </c>
      <c r="G96" t="s">
        <v>93</v>
      </c>
      <c r="H96" t="s">
        <v>87</v>
      </c>
      <c r="I96">
        <v>105381</v>
      </c>
      <c r="J96" t="s">
        <v>205</v>
      </c>
      <c r="K96" t="s">
        <v>206</v>
      </c>
      <c r="L96" t="s">
        <v>86</v>
      </c>
      <c r="M96" t="s">
        <v>130</v>
      </c>
      <c r="N96" t="s">
        <v>188</v>
      </c>
      <c r="O96" t="s">
        <v>43</v>
      </c>
      <c r="P96" t="s">
        <v>24</v>
      </c>
      <c r="Q96" t="s">
        <v>87</v>
      </c>
      <c r="R96" t="s">
        <v>87</v>
      </c>
      <c r="S96" s="87">
        <v>45730</v>
      </c>
      <c r="T96" s="56">
        <v>45730.385254629633</v>
      </c>
      <c r="U96" s="56">
        <v>45730.397372685184</v>
      </c>
      <c r="V96">
        <v>26415788</v>
      </c>
      <c r="W96" t="s">
        <v>88</v>
      </c>
      <c r="X96"/>
      <c r="Y96"/>
      <c r="Z96" t="s">
        <v>94</v>
      </c>
      <c r="AA96" t="s">
        <v>53</v>
      </c>
      <c r="AB96" t="s">
        <v>89</v>
      </c>
      <c r="AC96" t="s">
        <v>90</v>
      </c>
    </row>
    <row r="97" spans="1:29" s="2" customFormat="1" x14ac:dyDescent="0.25">
      <c r="A97" t="s">
        <v>39</v>
      </c>
      <c r="B97" t="s">
        <v>93</v>
      </c>
      <c r="C97" t="s">
        <v>8</v>
      </c>
      <c r="D97" t="s">
        <v>16</v>
      </c>
      <c r="E97" t="s">
        <v>204</v>
      </c>
      <c r="F97" t="s">
        <v>204</v>
      </c>
      <c r="G97" t="s">
        <v>93</v>
      </c>
      <c r="H97" t="s">
        <v>87</v>
      </c>
      <c r="I97">
        <v>105381</v>
      </c>
      <c r="J97" t="s">
        <v>205</v>
      </c>
      <c r="K97" t="s">
        <v>206</v>
      </c>
      <c r="L97" t="s">
        <v>86</v>
      </c>
      <c r="M97" t="s">
        <v>130</v>
      </c>
      <c r="N97" t="s">
        <v>188</v>
      </c>
      <c r="O97" t="s">
        <v>49</v>
      </c>
      <c r="P97" t="s">
        <v>24</v>
      </c>
      <c r="Q97" t="s">
        <v>87</v>
      </c>
      <c r="R97" t="s">
        <v>87</v>
      </c>
      <c r="S97" s="87">
        <v>45730</v>
      </c>
      <c r="T97" s="56">
        <v>45730.385254629633</v>
      </c>
      <c r="U97" s="56">
        <v>45730.397372685184</v>
      </c>
      <c r="V97">
        <v>26415788</v>
      </c>
      <c r="W97" t="s">
        <v>88</v>
      </c>
      <c r="X97"/>
      <c r="Y97"/>
      <c r="Z97" t="s">
        <v>94</v>
      </c>
      <c r="AA97" t="s">
        <v>53</v>
      </c>
      <c r="AB97" t="s">
        <v>89</v>
      </c>
      <c r="AC97" t="s">
        <v>90</v>
      </c>
    </row>
    <row r="98" spans="1:29" s="2" customFormat="1" x14ac:dyDescent="0.25">
      <c r="A98" t="s">
        <v>39</v>
      </c>
      <c r="B98" t="s">
        <v>93</v>
      </c>
      <c r="C98" t="s">
        <v>8</v>
      </c>
      <c r="D98" t="s">
        <v>16</v>
      </c>
      <c r="E98" t="s">
        <v>204</v>
      </c>
      <c r="F98" t="s">
        <v>204</v>
      </c>
      <c r="G98" t="s">
        <v>93</v>
      </c>
      <c r="H98" t="s">
        <v>87</v>
      </c>
      <c r="I98">
        <v>105381</v>
      </c>
      <c r="J98" t="s">
        <v>205</v>
      </c>
      <c r="K98" t="s">
        <v>206</v>
      </c>
      <c r="L98" t="s">
        <v>86</v>
      </c>
      <c r="M98" t="s">
        <v>130</v>
      </c>
      <c r="N98" t="s">
        <v>188</v>
      </c>
      <c r="O98" t="s">
        <v>52</v>
      </c>
      <c r="P98" t="s">
        <v>118</v>
      </c>
      <c r="Q98" t="s">
        <v>87</v>
      </c>
      <c r="R98" t="s">
        <v>87</v>
      </c>
      <c r="S98" s="87">
        <v>45730</v>
      </c>
      <c r="T98" s="56">
        <v>45730.385254629633</v>
      </c>
      <c r="U98" s="56">
        <v>45730.397372685184</v>
      </c>
      <c r="V98">
        <v>26415788</v>
      </c>
      <c r="W98" t="s">
        <v>88</v>
      </c>
      <c r="X98"/>
      <c r="Y98"/>
      <c r="Z98" t="s">
        <v>94</v>
      </c>
      <c r="AA98" t="s">
        <v>53</v>
      </c>
      <c r="AB98" t="s">
        <v>89</v>
      </c>
      <c r="AC98" t="s">
        <v>90</v>
      </c>
    </row>
    <row r="99" spans="1:29" s="2" customFormat="1" x14ac:dyDescent="0.25">
      <c r="A99" t="s">
        <v>39</v>
      </c>
      <c r="B99" t="s">
        <v>93</v>
      </c>
      <c r="C99" t="s">
        <v>8</v>
      </c>
      <c r="D99" t="s">
        <v>16</v>
      </c>
      <c r="E99" t="s">
        <v>204</v>
      </c>
      <c r="F99" t="s">
        <v>204</v>
      </c>
      <c r="G99" t="s">
        <v>93</v>
      </c>
      <c r="H99" t="s">
        <v>87</v>
      </c>
      <c r="I99">
        <v>105381</v>
      </c>
      <c r="J99" t="s">
        <v>205</v>
      </c>
      <c r="K99" t="s">
        <v>206</v>
      </c>
      <c r="L99" t="s">
        <v>86</v>
      </c>
      <c r="M99" t="s">
        <v>130</v>
      </c>
      <c r="N99" t="s">
        <v>188</v>
      </c>
      <c r="O99" t="s">
        <v>48</v>
      </c>
      <c r="P99" t="s">
        <v>118</v>
      </c>
      <c r="Q99" t="s">
        <v>87</v>
      </c>
      <c r="R99" t="s">
        <v>87</v>
      </c>
      <c r="S99" s="87">
        <v>45730</v>
      </c>
      <c r="T99" s="56">
        <v>45730.385254629633</v>
      </c>
      <c r="U99" s="56">
        <v>45730.397372685184</v>
      </c>
      <c r="V99">
        <v>26415788</v>
      </c>
      <c r="W99" t="s">
        <v>88</v>
      </c>
      <c r="X99"/>
      <c r="Y99"/>
      <c r="Z99" t="s">
        <v>94</v>
      </c>
      <c r="AA99" t="s">
        <v>53</v>
      </c>
      <c r="AB99" t="s">
        <v>89</v>
      </c>
      <c r="AC99" t="s">
        <v>90</v>
      </c>
    </row>
    <row r="100" spans="1:29" s="2" customFormat="1" x14ac:dyDescent="0.25">
      <c r="A100" t="s">
        <v>39</v>
      </c>
      <c r="B100" t="s">
        <v>93</v>
      </c>
      <c r="C100" t="s">
        <v>8</v>
      </c>
      <c r="D100" t="s">
        <v>16</v>
      </c>
      <c r="E100" t="s">
        <v>204</v>
      </c>
      <c r="F100" t="s">
        <v>204</v>
      </c>
      <c r="G100" t="s">
        <v>93</v>
      </c>
      <c r="H100" t="s">
        <v>87</v>
      </c>
      <c r="I100">
        <v>105381</v>
      </c>
      <c r="J100" t="s">
        <v>205</v>
      </c>
      <c r="K100" t="s">
        <v>206</v>
      </c>
      <c r="L100" t="s">
        <v>86</v>
      </c>
      <c r="M100" t="s">
        <v>130</v>
      </c>
      <c r="N100" t="s">
        <v>188</v>
      </c>
      <c r="O100" t="s">
        <v>47</v>
      </c>
      <c r="P100" t="s">
        <v>118</v>
      </c>
      <c r="Q100" t="s">
        <v>87</v>
      </c>
      <c r="R100" t="s">
        <v>87</v>
      </c>
      <c r="S100" s="87">
        <v>45730</v>
      </c>
      <c r="T100" s="56">
        <v>45730.385254629633</v>
      </c>
      <c r="U100" s="56">
        <v>45730.397372685184</v>
      </c>
      <c r="V100">
        <v>26415788</v>
      </c>
      <c r="W100" t="s">
        <v>88</v>
      </c>
      <c r="X100"/>
      <c r="Y100"/>
      <c r="Z100" t="s">
        <v>94</v>
      </c>
      <c r="AA100" t="s">
        <v>53</v>
      </c>
      <c r="AB100" t="s">
        <v>89</v>
      </c>
      <c r="AC100" t="s">
        <v>90</v>
      </c>
    </row>
    <row r="101" spans="1:29" s="2" customFormat="1" x14ac:dyDescent="0.25">
      <c r="A101" t="s">
        <v>39</v>
      </c>
      <c r="B101" t="s">
        <v>93</v>
      </c>
      <c r="C101" t="s">
        <v>8</v>
      </c>
      <c r="D101" t="s">
        <v>16</v>
      </c>
      <c r="E101" t="s">
        <v>204</v>
      </c>
      <c r="F101" t="s">
        <v>204</v>
      </c>
      <c r="G101" t="s">
        <v>93</v>
      </c>
      <c r="H101" t="s">
        <v>87</v>
      </c>
      <c r="I101">
        <v>105381</v>
      </c>
      <c r="J101" t="s">
        <v>205</v>
      </c>
      <c r="K101" t="s">
        <v>206</v>
      </c>
      <c r="L101" t="s">
        <v>86</v>
      </c>
      <c r="M101" t="s">
        <v>130</v>
      </c>
      <c r="N101" t="s">
        <v>188</v>
      </c>
      <c r="O101" t="s">
        <v>46</v>
      </c>
      <c r="P101" t="s">
        <v>118</v>
      </c>
      <c r="Q101" t="s">
        <v>87</v>
      </c>
      <c r="R101" t="s">
        <v>87</v>
      </c>
      <c r="S101" s="87">
        <v>45730</v>
      </c>
      <c r="T101" s="56">
        <v>45730.385254629633</v>
      </c>
      <c r="U101" s="56">
        <v>45730.397372685184</v>
      </c>
      <c r="V101">
        <v>26415788</v>
      </c>
      <c r="W101" t="s">
        <v>88</v>
      </c>
      <c r="X101"/>
      <c r="Y101"/>
      <c r="Z101" t="s">
        <v>94</v>
      </c>
      <c r="AA101" t="s">
        <v>53</v>
      </c>
      <c r="AB101" t="s">
        <v>89</v>
      </c>
      <c r="AC101" t="s">
        <v>90</v>
      </c>
    </row>
    <row r="102" spans="1:29" s="2" customFormat="1" x14ac:dyDescent="0.25">
      <c r="A102" t="s">
        <v>39</v>
      </c>
      <c r="B102" t="s">
        <v>93</v>
      </c>
      <c r="C102" t="s">
        <v>8</v>
      </c>
      <c r="D102" t="s">
        <v>16</v>
      </c>
      <c r="E102" t="s">
        <v>204</v>
      </c>
      <c r="F102" t="s">
        <v>204</v>
      </c>
      <c r="G102" t="s">
        <v>93</v>
      </c>
      <c r="H102" t="s">
        <v>87</v>
      </c>
      <c r="I102">
        <v>105381</v>
      </c>
      <c r="J102" t="s">
        <v>205</v>
      </c>
      <c r="K102" t="s">
        <v>206</v>
      </c>
      <c r="L102" t="s">
        <v>86</v>
      </c>
      <c r="M102" t="s">
        <v>130</v>
      </c>
      <c r="N102" t="s">
        <v>188</v>
      </c>
      <c r="O102" t="s">
        <v>138</v>
      </c>
      <c r="P102" t="s">
        <v>24</v>
      </c>
      <c r="Q102" t="s">
        <v>87</v>
      </c>
      <c r="R102" t="s">
        <v>87</v>
      </c>
      <c r="S102" s="87">
        <v>45730</v>
      </c>
      <c r="T102" s="56">
        <v>45730.385254629633</v>
      </c>
      <c r="U102" s="56">
        <v>45730.397372685184</v>
      </c>
      <c r="V102">
        <v>26415788</v>
      </c>
      <c r="W102" t="s">
        <v>88</v>
      </c>
      <c r="X102"/>
      <c r="Y102"/>
      <c r="Z102" t="s">
        <v>94</v>
      </c>
      <c r="AA102" t="s">
        <v>53</v>
      </c>
      <c r="AB102" t="s">
        <v>89</v>
      </c>
      <c r="AC102" t="s">
        <v>90</v>
      </c>
    </row>
    <row r="103" spans="1:29" s="2" customFormat="1" x14ac:dyDescent="0.25">
      <c r="A103" t="s">
        <v>39</v>
      </c>
      <c r="B103" t="s">
        <v>93</v>
      </c>
      <c r="C103" t="s">
        <v>8</v>
      </c>
      <c r="D103" t="s">
        <v>16</v>
      </c>
      <c r="E103" t="s">
        <v>204</v>
      </c>
      <c r="F103" t="s">
        <v>204</v>
      </c>
      <c r="G103" t="s">
        <v>93</v>
      </c>
      <c r="H103" t="s">
        <v>87</v>
      </c>
      <c r="I103">
        <v>105381</v>
      </c>
      <c r="J103" t="s">
        <v>205</v>
      </c>
      <c r="K103" t="s">
        <v>206</v>
      </c>
      <c r="L103" t="s">
        <v>86</v>
      </c>
      <c r="M103" t="s">
        <v>130</v>
      </c>
      <c r="N103" t="s">
        <v>188</v>
      </c>
      <c r="O103" t="s">
        <v>101</v>
      </c>
      <c r="P103" t="s">
        <v>24</v>
      </c>
      <c r="Q103" t="s">
        <v>87</v>
      </c>
      <c r="R103" t="s">
        <v>87</v>
      </c>
      <c r="S103" s="87">
        <v>45730</v>
      </c>
      <c r="T103" s="56">
        <v>45730.385254629633</v>
      </c>
      <c r="U103" s="56">
        <v>45730.397372685184</v>
      </c>
      <c r="V103">
        <v>26415788</v>
      </c>
      <c r="W103" t="s">
        <v>88</v>
      </c>
      <c r="X103"/>
      <c r="Y103"/>
      <c r="Z103" t="s">
        <v>94</v>
      </c>
      <c r="AA103" t="s">
        <v>53</v>
      </c>
      <c r="AB103" t="s">
        <v>89</v>
      </c>
      <c r="AC103" t="s">
        <v>90</v>
      </c>
    </row>
    <row r="104" spans="1:29" s="2" customFormat="1" x14ac:dyDescent="0.25">
      <c r="A104" t="s">
        <v>39</v>
      </c>
      <c r="B104" t="s">
        <v>93</v>
      </c>
      <c r="C104" t="s">
        <v>8</v>
      </c>
      <c r="D104" t="s">
        <v>16</v>
      </c>
      <c r="E104" t="s">
        <v>204</v>
      </c>
      <c r="F104" t="s">
        <v>204</v>
      </c>
      <c r="G104" t="s">
        <v>93</v>
      </c>
      <c r="H104" t="s">
        <v>87</v>
      </c>
      <c r="I104">
        <v>105381</v>
      </c>
      <c r="J104" t="s">
        <v>205</v>
      </c>
      <c r="K104" t="s">
        <v>206</v>
      </c>
      <c r="L104" t="s">
        <v>86</v>
      </c>
      <c r="M104" t="s">
        <v>130</v>
      </c>
      <c r="N104" t="s">
        <v>188</v>
      </c>
      <c r="O104" t="s">
        <v>99</v>
      </c>
      <c r="P104" t="s">
        <v>24</v>
      </c>
      <c r="Q104" t="s">
        <v>87</v>
      </c>
      <c r="R104" t="s">
        <v>87</v>
      </c>
      <c r="S104" s="87">
        <v>45730</v>
      </c>
      <c r="T104" s="56">
        <v>45730.385254629633</v>
      </c>
      <c r="U104" s="56">
        <v>45730.397372685184</v>
      </c>
      <c r="V104">
        <v>26415788</v>
      </c>
      <c r="W104" t="s">
        <v>88</v>
      </c>
      <c r="X104"/>
      <c r="Y104"/>
      <c r="Z104" t="s">
        <v>94</v>
      </c>
      <c r="AA104" t="s">
        <v>53</v>
      </c>
      <c r="AB104" t="s">
        <v>89</v>
      </c>
      <c r="AC104" t="s">
        <v>90</v>
      </c>
    </row>
    <row r="105" spans="1:29" s="2" customFormat="1" x14ac:dyDescent="0.25">
      <c r="A105" t="s">
        <v>39</v>
      </c>
      <c r="B105" t="s">
        <v>93</v>
      </c>
      <c r="C105" t="s">
        <v>8</v>
      </c>
      <c r="D105" t="s">
        <v>16</v>
      </c>
      <c r="E105" t="s">
        <v>204</v>
      </c>
      <c r="F105" t="s">
        <v>204</v>
      </c>
      <c r="G105" t="s">
        <v>93</v>
      </c>
      <c r="H105" t="s">
        <v>87</v>
      </c>
      <c r="I105">
        <v>105381</v>
      </c>
      <c r="J105" t="s">
        <v>205</v>
      </c>
      <c r="K105" t="s">
        <v>206</v>
      </c>
      <c r="L105" t="s">
        <v>86</v>
      </c>
      <c r="M105" t="s">
        <v>130</v>
      </c>
      <c r="N105" t="s">
        <v>188</v>
      </c>
      <c r="O105" t="s">
        <v>102</v>
      </c>
      <c r="P105" t="s">
        <v>106</v>
      </c>
      <c r="Q105" t="s">
        <v>87</v>
      </c>
      <c r="R105" t="s">
        <v>87</v>
      </c>
      <c r="S105" s="87">
        <v>45730</v>
      </c>
      <c r="T105" s="56">
        <v>45730.385254629633</v>
      </c>
      <c r="U105" s="56">
        <v>45730.397372685184</v>
      </c>
      <c r="V105">
        <v>26415788</v>
      </c>
      <c r="W105" t="s">
        <v>88</v>
      </c>
      <c r="X105"/>
      <c r="Y105"/>
      <c r="Z105" t="s">
        <v>94</v>
      </c>
      <c r="AA105" t="s">
        <v>53</v>
      </c>
      <c r="AB105" t="s">
        <v>89</v>
      </c>
      <c r="AC105" t="s">
        <v>90</v>
      </c>
    </row>
    <row r="106" spans="1:29" s="2" customFormat="1" x14ac:dyDescent="0.25">
      <c r="A106" t="s">
        <v>39</v>
      </c>
      <c r="B106" t="s">
        <v>93</v>
      </c>
      <c r="C106" t="s">
        <v>8</v>
      </c>
      <c r="D106" t="s">
        <v>16</v>
      </c>
      <c r="E106" t="s">
        <v>204</v>
      </c>
      <c r="F106" t="s">
        <v>204</v>
      </c>
      <c r="G106" t="s">
        <v>93</v>
      </c>
      <c r="H106" t="s">
        <v>87</v>
      </c>
      <c r="I106">
        <v>105381</v>
      </c>
      <c r="J106" t="s">
        <v>205</v>
      </c>
      <c r="K106" t="s">
        <v>206</v>
      </c>
      <c r="L106" t="s">
        <v>86</v>
      </c>
      <c r="M106" t="s">
        <v>130</v>
      </c>
      <c r="N106" t="s">
        <v>188</v>
      </c>
      <c r="O106" t="s">
        <v>139</v>
      </c>
      <c r="P106" t="s">
        <v>24</v>
      </c>
      <c r="Q106" t="s">
        <v>87</v>
      </c>
      <c r="R106" t="s">
        <v>87</v>
      </c>
      <c r="S106" s="87">
        <v>45730</v>
      </c>
      <c r="T106" s="56">
        <v>45730.385254629633</v>
      </c>
      <c r="U106" s="56">
        <v>45730.397372685184</v>
      </c>
      <c r="V106">
        <v>26415788</v>
      </c>
      <c r="W106" t="s">
        <v>88</v>
      </c>
      <c r="X106"/>
      <c r="Y106"/>
      <c r="Z106" t="s">
        <v>94</v>
      </c>
      <c r="AA106" t="s">
        <v>53</v>
      </c>
      <c r="AB106" t="s">
        <v>89</v>
      </c>
      <c r="AC106" t="s">
        <v>90</v>
      </c>
    </row>
    <row r="107" spans="1:29" s="2" customFormat="1" x14ac:dyDescent="0.25">
      <c r="A107" t="s">
        <v>39</v>
      </c>
      <c r="B107" t="s">
        <v>93</v>
      </c>
      <c r="C107" t="s">
        <v>8</v>
      </c>
      <c r="D107" t="s">
        <v>16</v>
      </c>
      <c r="E107" t="s">
        <v>204</v>
      </c>
      <c r="F107" t="s">
        <v>204</v>
      </c>
      <c r="G107" t="s">
        <v>93</v>
      </c>
      <c r="H107" t="s">
        <v>87</v>
      </c>
      <c r="I107">
        <v>105381</v>
      </c>
      <c r="J107" t="s">
        <v>205</v>
      </c>
      <c r="K107" t="s">
        <v>206</v>
      </c>
      <c r="L107" t="s">
        <v>86</v>
      </c>
      <c r="M107" t="s">
        <v>130</v>
      </c>
      <c r="N107" t="s">
        <v>188</v>
      </c>
      <c r="O107" t="s">
        <v>140</v>
      </c>
      <c r="P107" t="s">
        <v>24</v>
      </c>
      <c r="Q107" t="s">
        <v>87</v>
      </c>
      <c r="R107" t="s">
        <v>87</v>
      </c>
      <c r="S107" s="87">
        <v>45730</v>
      </c>
      <c r="T107" s="56">
        <v>45730.385254629633</v>
      </c>
      <c r="U107" s="56">
        <v>45730.397372685184</v>
      </c>
      <c r="V107">
        <v>26415788</v>
      </c>
      <c r="W107" t="s">
        <v>88</v>
      </c>
      <c r="X107"/>
      <c r="Y107"/>
      <c r="Z107" t="s">
        <v>94</v>
      </c>
      <c r="AA107" t="s">
        <v>53</v>
      </c>
      <c r="AB107" t="s">
        <v>89</v>
      </c>
      <c r="AC107" t="s">
        <v>90</v>
      </c>
    </row>
    <row r="108" spans="1:29" s="2" customFormat="1" x14ac:dyDescent="0.25">
      <c r="A108" t="s">
        <v>39</v>
      </c>
      <c r="B108" t="s">
        <v>93</v>
      </c>
      <c r="C108" t="s">
        <v>8</v>
      </c>
      <c r="D108" t="s">
        <v>16</v>
      </c>
      <c r="E108" t="s">
        <v>204</v>
      </c>
      <c r="F108" t="s">
        <v>204</v>
      </c>
      <c r="G108" t="s">
        <v>93</v>
      </c>
      <c r="H108" t="s">
        <v>87</v>
      </c>
      <c r="I108">
        <v>105381</v>
      </c>
      <c r="J108" t="s">
        <v>205</v>
      </c>
      <c r="K108" t="s">
        <v>206</v>
      </c>
      <c r="L108" t="s">
        <v>86</v>
      </c>
      <c r="M108" t="s">
        <v>130</v>
      </c>
      <c r="N108" t="s">
        <v>188</v>
      </c>
      <c r="O108" t="s">
        <v>141</v>
      </c>
      <c r="P108" t="s">
        <v>24</v>
      </c>
      <c r="Q108" t="s">
        <v>87</v>
      </c>
      <c r="R108" t="s">
        <v>87</v>
      </c>
      <c r="S108" s="87">
        <v>45730</v>
      </c>
      <c r="T108" s="56">
        <v>45730.385254629633</v>
      </c>
      <c r="U108" s="56">
        <v>45730.397372685184</v>
      </c>
      <c r="V108">
        <v>26415788</v>
      </c>
      <c r="W108" t="s">
        <v>88</v>
      </c>
      <c r="X108"/>
      <c r="Y108"/>
      <c r="Z108" t="s">
        <v>94</v>
      </c>
      <c r="AA108" t="s">
        <v>53</v>
      </c>
      <c r="AB108" t="s">
        <v>89</v>
      </c>
      <c r="AC108" t="s">
        <v>90</v>
      </c>
    </row>
    <row r="109" spans="1:29" s="2" customFormat="1" x14ac:dyDescent="0.25">
      <c r="A109" t="s">
        <v>39</v>
      </c>
      <c r="B109" t="s">
        <v>93</v>
      </c>
      <c r="C109" t="s">
        <v>8</v>
      </c>
      <c r="D109" t="s">
        <v>16</v>
      </c>
      <c r="E109" t="s">
        <v>204</v>
      </c>
      <c r="F109" t="s">
        <v>204</v>
      </c>
      <c r="G109" t="s">
        <v>93</v>
      </c>
      <c r="H109" t="s">
        <v>87</v>
      </c>
      <c r="I109">
        <v>105381</v>
      </c>
      <c r="J109" t="s">
        <v>205</v>
      </c>
      <c r="K109" t="s">
        <v>206</v>
      </c>
      <c r="L109" t="s">
        <v>86</v>
      </c>
      <c r="M109" t="s">
        <v>130</v>
      </c>
      <c r="N109" t="s">
        <v>188</v>
      </c>
      <c r="O109" t="s">
        <v>142</v>
      </c>
      <c r="P109" t="s">
        <v>24</v>
      </c>
      <c r="Q109" t="s">
        <v>87</v>
      </c>
      <c r="R109" t="s">
        <v>87</v>
      </c>
      <c r="S109" s="87">
        <v>45730</v>
      </c>
      <c r="T109" s="56">
        <v>45730.385254629633</v>
      </c>
      <c r="U109" s="56">
        <v>45730.397372685184</v>
      </c>
      <c r="V109">
        <v>26415788</v>
      </c>
      <c r="W109" t="s">
        <v>88</v>
      </c>
      <c r="X109"/>
      <c r="Y109"/>
      <c r="Z109" t="s">
        <v>94</v>
      </c>
      <c r="AA109" t="s">
        <v>53</v>
      </c>
      <c r="AB109" t="s">
        <v>89</v>
      </c>
      <c r="AC109" t="s">
        <v>90</v>
      </c>
    </row>
    <row r="110" spans="1:29" s="2" customFormat="1" x14ac:dyDescent="0.25">
      <c r="A110" t="s">
        <v>39</v>
      </c>
      <c r="B110" t="s">
        <v>93</v>
      </c>
      <c r="C110" t="s">
        <v>8</v>
      </c>
      <c r="D110" t="s">
        <v>16</v>
      </c>
      <c r="E110" t="s">
        <v>204</v>
      </c>
      <c r="F110" t="s">
        <v>204</v>
      </c>
      <c r="G110" t="s">
        <v>93</v>
      </c>
      <c r="H110" t="s">
        <v>87</v>
      </c>
      <c r="I110">
        <v>105381</v>
      </c>
      <c r="J110" t="s">
        <v>205</v>
      </c>
      <c r="K110" t="s">
        <v>206</v>
      </c>
      <c r="L110" t="s">
        <v>86</v>
      </c>
      <c r="M110" t="s">
        <v>130</v>
      </c>
      <c r="N110" t="s">
        <v>188</v>
      </c>
      <c r="O110" t="s">
        <v>143</v>
      </c>
      <c r="P110" t="s">
        <v>24</v>
      </c>
      <c r="Q110" t="s">
        <v>87</v>
      </c>
      <c r="R110" t="s">
        <v>87</v>
      </c>
      <c r="S110" s="87">
        <v>45730</v>
      </c>
      <c r="T110" s="56">
        <v>45730.385254629633</v>
      </c>
      <c r="U110" s="56">
        <v>45730.397372685184</v>
      </c>
      <c r="V110">
        <v>26415788</v>
      </c>
      <c r="W110" t="s">
        <v>88</v>
      </c>
      <c r="X110"/>
      <c r="Y110"/>
      <c r="Z110" t="s">
        <v>94</v>
      </c>
      <c r="AA110" t="s">
        <v>53</v>
      </c>
      <c r="AB110" t="s">
        <v>89</v>
      </c>
      <c r="AC110" t="s">
        <v>90</v>
      </c>
    </row>
    <row r="111" spans="1:29" s="2" customFormat="1" x14ac:dyDescent="0.25">
      <c r="A111" t="s">
        <v>39</v>
      </c>
      <c r="B111" t="s">
        <v>93</v>
      </c>
      <c r="C111" t="s">
        <v>8</v>
      </c>
      <c r="D111" t="s">
        <v>16</v>
      </c>
      <c r="E111" t="s">
        <v>204</v>
      </c>
      <c r="F111" t="s">
        <v>204</v>
      </c>
      <c r="G111" t="s">
        <v>93</v>
      </c>
      <c r="H111" t="s">
        <v>87</v>
      </c>
      <c r="I111">
        <v>105381</v>
      </c>
      <c r="J111" t="s">
        <v>205</v>
      </c>
      <c r="K111" t="s">
        <v>206</v>
      </c>
      <c r="L111" t="s">
        <v>86</v>
      </c>
      <c r="M111" t="s">
        <v>130</v>
      </c>
      <c r="N111" t="s">
        <v>188</v>
      </c>
      <c r="O111" t="s">
        <v>144</v>
      </c>
      <c r="P111" t="s">
        <v>24</v>
      </c>
      <c r="Q111" t="s">
        <v>87</v>
      </c>
      <c r="R111" t="s">
        <v>87</v>
      </c>
      <c r="S111" s="87">
        <v>45730</v>
      </c>
      <c r="T111" s="56">
        <v>45730.385254629633</v>
      </c>
      <c r="U111" s="56">
        <v>45730.397372685184</v>
      </c>
      <c r="V111">
        <v>26415788</v>
      </c>
      <c r="W111" t="s">
        <v>88</v>
      </c>
      <c r="X111"/>
      <c r="Y111"/>
      <c r="Z111" t="s">
        <v>94</v>
      </c>
      <c r="AA111" t="s">
        <v>53</v>
      </c>
      <c r="AB111" t="s">
        <v>89</v>
      </c>
      <c r="AC111" t="s">
        <v>90</v>
      </c>
    </row>
    <row r="112" spans="1:29" s="2" customFormat="1" x14ac:dyDescent="0.25">
      <c r="A112" t="s">
        <v>39</v>
      </c>
      <c r="B112" t="s">
        <v>93</v>
      </c>
      <c r="C112" t="s">
        <v>8</v>
      </c>
      <c r="D112" t="s">
        <v>16</v>
      </c>
      <c r="E112" t="s">
        <v>204</v>
      </c>
      <c r="F112" t="s">
        <v>204</v>
      </c>
      <c r="G112" t="s">
        <v>93</v>
      </c>
      <c r="H112" t="s">
        <v>87</v>
      </c>
      <c r="I112">
        <v>105381</v>
      </c>
      <c r="J112" t="s">
        <v>205</v>
      </c>
      <c r="K112" t="s">
        <v>206</v>
      </c>
      <c r="L112" t="s">
        <v>86</v>
      </c>
      <c r="M112" t="s">
        <v>130</v>
      </c>
      <c r="N112" t="s">
        <v>188</v>
      </c>
      <c r="O112" t="s">
        <v>145</v>
      </c>
      <c r="P112" t="s">
        <v>24</v>
      </c>
      <c r="Q112" t="s">
        <v>87</v>
      </c>
      <c r="R112" t="s">
        <v>87</v>
      </c>
      <c r="S112" s="87">
        <v>45730</v>
      </c>
      <c r="T112" s="56">
        <v>45730.385254629633</v>
      </c>
      <c r="U112" s="56">
        <v>45730.397372685184</v>
      </c>
      <c r="V112">
        <v>26415788</v>
      </c>
      <c r="W112" t="s">
        <v>88</v>
      </c>
      <c r="X112"/>
      <c r="Y112"/>
      <c r="Z112" t="s">
        <v>94</v>
      </c>
      <c r="AA112" t="s">
        <v>53</v>
      </c>
      <c r="AB112" t="s">
        <v>89</v>
      </c>
      <c r="AC112" t="s">
        <v>90</v>
      </c>
    </row>
    <row r="113" spans="1:29" s="2" customFormat="1" x14ac:dyDescent="0.25">
      <c r="A113" t="s">
        <v>39</v>
      </c>
      <c r="B113" t="s">
        <v>93</v>
      </c>
      <c r="C113" t="s">
        <v>8</v>
      </c>
      <c r="D113" t="s">
        <v>16</v>
      </c>
      <c r="E113" t="s">
        <v>204</v>
      </c>
      <c r="F113" t="s">
        <v>204</v>
      </c>
      <c r="G113" t="s">
        <v>93</v>
      </c>
      <c r="H113" t="s">
        <v>87</v>
      </c>
      <c r="I113">
        <v>105381</v>
      </c>
      <c r="J113" t="s">
        <v>205</v>
      </c>
      <c r="K113" t="s">
        <v>206</v>
      </c>
      <c r="L113" t="s">
        <v>86</v>
      </c>
      <c r="M113" t="s">
        <v>130</v>
      </c>
      <c r="N113" t="s">
        <v>188</v>
      </c>
      <c r="O113" t="s">
        <v>146</v>
      </c>
      <c r="P113" t="s">
        <v>24</v>
      </c>
      <c r="Q113" t="s">
        <v>87</v>
      </c>
      <c r="R113" t="s">
        <v>87</v>
      </c>
      <c r="S113" s="87">
        <v>45730</v>
      </c>
      <c r="T113" s="56">
        <v>45730.385254629633</v>
      </c>
      <c r="U113" s="56">
        <v>45730.397372685184</v>
      </c>
      <c r="V113">
        <v>26415788</v>
      </c>
      <c r="W113" t="s">
        <v>88</v>
      </c>
      <c r="X113"/>
      <c r="Y113"/>
      <c r="Z113" t="s">
        <v>94</v>
      </c>
      <c r="AA113" t="s">
        <v>53</v>
      </c>
      <c r="AB113" t="s">
        <v>89</v>
      </c>
      <c r="AC113" t="s">
        <v>90</v>
      </c>
    </row>
    <row r="114" spans="1:29" s="2" customFormat="1" x14ac:dyDescent="0.25">
      <c r="A114" t="s">
        <v>39</v>
      </c>
      <c r="B114" t="s">
        <v>93</v>
      </c>
      <c r="C114" t="s">
        <v>8</v>
      </c>
      <c r="D114" t="s">
        <v>16</v>
      </c>
      <c r="E114" t="s">
        <v>204</v>
      </c>
      <c r="F114" t="s">
        <v>204</v>
      </c>
      <c r="G114" t="s">
        <v>93</v>
      </c>
      <c r="H114" t="s">
        <v>87</v>
      </c>
      <c r="I114">
        <v>105381</v>
      </c>
      <c r="J114" t="s">
        <v>205</v>
      </c>
      <c r="K114" t="s">
        <v>206</v>
      </c>
      <c r="L114" t="s">
        <v>86</v>
      </c>
      <c r="M114" t="s">
        <v>130</v>
      </c>
      <c r="N114" t="s">
        <v>188</v>
      </c>
      <c r="O114" t="s">
        <v>41</v>
      </c>
      <c r="P114" t="s">
        <v>24</v>
      </c>
      <c r="Q114" t="s">
        <v>87</v>
      </c>
      <c r="R114" t="s">
        <v>87</v>
      </c>
      <c r="S114" s="87">
        <v>45730</v>
      </c>
      <c r="T114" s="56">
        <v>45730.385254629633</v>
      </c>
      <c r="U114" s="56">
        <v>45730.397372685184</v>
      </c>
      <c r="V114">
        <v>26415788</v>
      </c>
      <c r="W114" t="s">
        <v>88</v>
      </c>
      <c r="X114"/>
      <c r="Y114"/>
      <c r="Z114" t="s">
        <v>94</v>
      </c>
      <c r="AA114" t="s">
        <v>53</v>
      </c>
      <c r="AB114" t="s">
        <v>89</v>
      </c>
      <c r="AC114" t="s">
        <v>90</v>
      </c>
    </row>
    <row r="115" spans="1:29" s="2" customFormat="1" x14ac:dyDescent="0.25">
      <c r="A115" t="s">
        <v>39</v>
      </c>
      <c r="B115" t="s">
        <v>93</v>
      </c>
      <c r="C115" t="s">
        <v>8</v>
      </c>
      <c r="D115" t="s">
        <v>16</v>
      </c>
      <c r="E115" t="s">
        <v>204</v>
      </c>
      <c r="F115" t="s">
        <v>204</v>
      </c>
      <c r="G115" t="s">
        <v>93</v>
      </c>
      <c r="H115" t="s">
        <v>87</v>
      </c>
      <c r="I115">
        <v>105381</v>
      </c>
      <c r="J115" t="s">
        <v>205</v>
      </c>
      <c r="K115" t="s">
        <v>206</v>
      </c>
      <c r="L115" t="s">
        <v>86</v>
      </c>
      <c r="M115" t="s">
        <v>130</v>
      </c>
      <c r="N115" t="s">
        <v>188</v>
      </c>
      <c r="O115" s="84" t="s">
        <v>51</v>
      </c>
      <c r="P115" t="s">
        <v>24</v>
      </c>
      <c r="Q115"/>
      <c r="R115"/>
      <c r="S115" s="87">
        <v>45730</v>
      </c>
      <c r="T115" s="56">
        <v>45730.385254629633</v>
      </c>
      <c r="U115" s="56">
        <v>45730.397372685184</v>
      </c>
      <c r="V115">
        <v>26415788</v>
      </c>
      <c r="W115" t="s">
        <v>88</v>
      </c>
      <c r="X115"/>
      <c r="Y115"/>
      <c r="Z115" t="s">
        <v>94</v>
      </c>
      <c r="AA115" t="s">
        <v>53</v>
      </c>
      <c r="AB115" t="s">
        <v>89</v>
      </c>
      <c r="AC115" t="s">
        <v>90</v>
      </c>
    </row>
    <row r="116" spans="1:29" s="2" customFormat="1" x14ac:dyDescent="0.25">
      <c r="A116" t="s">
        <v>39</v>
      </c>
      <c r="B116" t="s">
        <v>93</v>
      </c>
      <c r="C116" t="s">
        <v>8</v>
      </c>
      <c r="D116" t="s">
        <v>16</v>
      </c>
      <c r="E116" t="s">
        <v>204</v>
      </c>
      <c r="F116" t="s">
        <v>204</v>
      </c>
      <c r="G116" t="s">
        <v>93</v>
      </c>
      <c r="H116" t="s">
        <v>87</v>
      </c>
      <c r="I116">
        <v>105381</v>
      </c>
      <c r="J116" t="s">
        <v>205</v>
      </c>
      <c r="K116" t="s">
        <v>206</v>
      </c>
      <c r="L116" t="s">
        <v>86</v>
      </c>
      <c r="M116" t="s">
        <v>130</v>
      </c>
      <c r="N116" t="s">
        <v>188</v>
      </c>
      <c r="O116" t="s">
        <v>50</v>
      </c>
      <c r="P116" t="s">
        <v>24</v>
      </c>
      <c r="Q116" t="s">
        <v>87</v>
      </c>
      <c r="R116" t="s">
        <v>87</v>
      </c>
      <c r="S116" s="87">
        <v>45730</v>
      </c>
      <c r="T116" s="56">
        <v>45730.385254629633</v>
      </c>
      <c r="U116" s="56">
        <v>45730.397372685184</v>
      </c>
      <c r="V116">
        <v>26415788</v>
      </c>
      <c r="W116" t="s">
        <v>88</v>
      </c>
      <c r="X116"/>
      <c r="Y116"/>
      <c r="Z116" t="s">
        <v>94</v>
      </c>
      <c r="AA116" t="s">
        <v>53</v>
      </c>
      <c r="AB116" t="s">
        <v>89</v>
      </c>
      <c r="AC116" t="s">
        <v>90</v>
      </c>
    </row>
    <row r="117" spans="1:29" s="2" customFormat="1" x14ac:dyDescent="0.25">
      <c r="A117" t="s">
        <v>39</v>
      </c>
      <c r="B117" t="s">
        <v>93</v>
      </c>
      <c r="C117" t="s">
        <v>8</v>
      </c>
      <c r="D117" t="s">
        <v>16</v>
      </c>
      <c r="E117" t="s">
        <v>204</v>
      </c>
      <c r="F117" t="s">
        <v>204</v>
      </c>
      <c r="G117" t="s">
        <v>93</v>
      </c>
      <c r="H117" t="s">
        <v>87</v>
      </c>
      <c r="I117">
        <v>105381</v>
      </c>
      <c r="J117" t="s">
        <v>205</v>
      </c>
      <c r="K117" t="s">
        <v>206</v>
      </c>
      <c r="L117" t="s">
        <v>86</v>
      </c>
      <c r="M117" t="s">
        <v>130</v>
      </c>
      <c r="N117" t="s">
        <v>188</v>
      </c>
      <c r="O117" t="s">
        <v>148</v>
      </c>
      <c r="P117" t="s">
        <v>24</v>
      </c>
      <c r="Q117" t="s">
        <v>87</v>
      </c>
      <c r="R117" t="s">
        <v>87</v>
      </c>
      <c r="S117" s="87">
        <v>45730</v>
      </c>
      <c r="T117" s="56">
        <v>45730.385254629633</v>
      </c>
      <c r="U117" s="56">
        <v>45730.397372685184</v>
      </c>
      <c r="V117">
        <v>26415788</v>
      </c>
      <c r="W117" t="s">
        <v>88</v>
      </c>
      <c r="X117"/>
      <c r="Y117"/>
      <c r="Z117" t="s">
        <v>94</v>
      </c>
      <c r="AA117" t="s">
        <v>53</v>
      </c>
      <c r="AB117" t="s">
        <v>89</v>
      </c>
      <c r="AC117" t="s">
        <v>90</v>
      </c>
    </row>
    <row r="118" spans="1:29" s="2" customFormat="1" x14ac:dyDescent="0.25">
      <c r="A118" t="s">
        <v>39</v>
      </c>
      <c r="B118" t="s">
        <v>93</v>
      </c>
      <c r="C118" t="s">
        <v>8</v>
      </c>
      <c r="D118" t="s">
        <v>16</v>
      </c>
      <c r="E118" t="s">
        <v>204</v>
      </c>
      <c r="F118" t="s">
        <v>204</v>
      </c>
      <c r="G118" t="s">
        <v>93</v>
      </c>
      <c r="H118" t="s">
        <v>87</v>
      </c>
      <c r="I118">
        <v>105381</v>
      </c>
      <c r="J118" t="s">
        <v>205</v>
      </c>
      <c r="K118" t="s">
        <v>206</v>
      </c>
      <c r="L118" t="s">
        <v>86</v>
      </c>
      <c r="M118" t="s">
        <v>130</v>
      </c>
      <c r="N118" t="s">
        <v>188</v>
      </c>
      <c r="O118" t="s">
        <v>45</v>
      </c>
      <c r="P118" t="s">
        <v>24</v>
      </c>
      <c r="Q118" t="s">
        <v>87</v>
      </c>
      <c r="R118" t="s">
        <v>87</v>
      </c>
      <c r="S118" s="87">
        <v>45730</v>
      </c>
      <c r="T118" s="56">
        <v>45730.385254629633</v>
      </c>
      <c r="U118" s="56">
        <v>45730.397372685184</v>
      </c>
      <c r="V118">
        <v>26415788</v>
      </c>
      <c r="W118" t="s">
        <v>88</v>
      </c>
      <c r="X118"/>
      <c r="Y118"/>
      <c r="Z118" t="s">
        <v>94</v>
      </c>
      <c r="AA118" t="s">
        <v>53</v>
      </c>
      <c r="AB118" t="s">
        <v>89</v>
      </c>
      <c r="AC118" t="s">
        <v>90</v>
      </c>
    </row>
    <row r="119" spans="1:29" s="2" customFormat="1" x14ac:dyDescent="0.25">
      <c r="A119" t="s">
        <v>39</v>
      </c>
      <c r="B119" t="s">
        <v>93</v>
      </c>
      <c r="C119" t="s">
        <v>8</v>
      </c>
      <c r="D119" t="s">
        <v>16</v>
      </c>
      <c r="E119" t="s">
        <v>204</v>
      </c>
      <c r="F119" t="s">
        <v>204</v>
      </c>
      <c r="G119" t="s">
        <v>93</v>
      </c>
      <c r="H119" t="s">
        <v>87</v>
      </c>
      <c r="I119">
        <v>105381</v>
      </c>
      <c r="J119" t="s">
        <v>205</v>
      </c>
      <c r="K119" t="s">
        <v>206</v>
      </c>
      <c r="L119" t="s">
        <v>86</v>
      </c>
      <c r="M119" t="s">
        <v>130</v>
      </c>
      <c r="N119" t="s">
        <v>188</v>
      </c>
      <c r="O119" t="s">
        <v>189</v>
      </c>
      <c r="P119" t="s">
        <v>118</v>
      </c>
      <c r="Q119" t="s">
        <v>87</v>
      </c>
      <c r="R119" t="s">
        <v>87</v>
      </c>
      <c r="S119" s="87">
        <v>45730</v>
      </c>
      <c r="T119" s="56">
        <v>45730.385254629633</v>
      </c>
      <c r="U119" s="56">
        <v>45730.397372685184</v>
      </c>
      <c r="V119">
        <v>26415788</v>
      </c>
      <c r="W119" t="s">
        <v>88</v>
      </c>
      <c r="X119"/>
      <c r="Y119"/>
      <c r="Z119" t="s">
        <v>94</v>
      </c>
      <c r="AA119" t="s">
        <v>53</v>
      </c>
      <c r="AB119" t="s">
        <v>89</v>
      </c>
      <c r="AC119" t="s">
        <v>90</v>
      </c>
    </row>
    <row r="120" spans="1:29" s="2" customFormat="1" x14ac:dyDescent="0.25">
      <c r="A120" t="s">
        <v>39</v>
      </c>
      <c r="B120" t="s">
        <v>93</v>
      </c>
      <c r="C120" t="s">
        <v>8</v>
      </c>
      <c r="D120" t="s">
        <v>15</v>
      </c>
      <c r="E120" t="s">
        <v>116</v>
      </c>
      <c r="F120" t="s">
        <v>116</v>
      </c>
      <c r="G120" t="s">
        <v>93</v>
      </c>
      <c r="H120" t="s">
        <v>87</v>
      </c>
      <c r="I120">
        <v>424858</v>
      </c>
      <c r="J120" t="s">
        <v>207</v>
      </c>
      <c r="K120" t="s">
        <v>128</v>
      </c>
      <c r="L120" t="s">
        <v>86</v>
      </c>
      <c r="M120" t="s">
        <v>130</v>
      </c>
      <c r="N120" t="s">
        <v>188</v>
      </c>
      <c r="O120" t="s">
        <v>40</v>
      </c>
      <c r="P120" t="s">
        <v>24</v>
      </c>
      <c r="Q120" t="s">
        <v>87</v>
      </c>
      <c r="R120" t="s">
        <v>87</v>
      </c>
      <c r="S120" s="87">
        <v>45730</v>
      </c>
      <c r="T120" t="s">
        <v>208</v>
      </c>
      <c r="U120" t="s">
        <v>209</v>
      </c>
      <c r="V120">
        <v>26419994</v>
      </c>
      <c r="W120" t="s">
        <v>88</v>
      </c>
      <c r="X120"/>
      <c r="Y120"/>
      <c r="Z120" t="s">
        <v>114</v>
      </c>
      <c r="AA120" t="s">
        <v>115</v>
      </c>
      <c r="AB120" t="s">
        <v>89</v>
      </c>
      <c r="AC120" t="s">
        <v>90</v>
      </c>
    </row>
    <row r="121" spans="1:29" s="2" customFormat="1" x14ac:dyDescent="0.25">
      <c r="A121" t="s">
        <v>39</v>
      </c>
      <c r="B121" t="s">
        <v>93</v>
      </c>
      <c r="C121" t="s">
        <v>8</v>
      </c>
      <c r="D121" t="s">
        <v>15</v>
      </c>
      <c r="E121" t="s">
        <v>116</v>
      </c>
      <c r="F121" t="s">
        <v>116</v>
      </c>
      <c r="G121" t="s">
        <v>93</v>
      </c>
      <c r="H121" t="s">
        <v>87</v>
      </c>
      <c r="I121">
        <v>424858</v>
      </c>
      <c r="J121" t="s">
        <v>207</v>
      </c>
      <c r="K121" t="s">
        <v>128</v>
      </c>
      <c r="L121" t="s">
        <v>86</v>
      </c>
      <c r="M121" t="s">
        <v>130</v>
      </c>
      <c r="N121" t="s">
        <v>188</v>
      </c>
      <c r="O121" t="s">
        <v>100</v>
      </c>
      <c r="P121" t="s">
        <v>24</v>
      </c>
      <c r="Q121" t="s">
        <v>87</v>
      </c>
      <c r="R121" t="s">
        <v>87</v>
      </c>
      <c r="S121" s="87">
        <v>45730</v>
      </c>
      <c r="T121" t="s">
        <v>208</v>
      </c>
      <c r="U121" t="s">
        <v>209</v>
      </c>
      <c r="V121">
        <v>26419994</v>
      </c>
      <c r="W121" t="s">
        <v>88</v>
      </c>
      <c r="X121"/>
      <c r="Y121"/>
      <c r="Z121" t="s">
        <v>114</v>
      </c>
      <c r="AA121" t="s">
        <v>115</v>
      </c>
      <c r="AB121" t="s">
        <v>89</v>
      </c>
      <c r="AC121" t="s">
        <v>90</v>
      </c>
    </row>
    <row r="122" spans="1:29" s="2" customFormat="1" x14ac:dyDescent="0.25">
      <c r="A122" t="s">
        <v>39</v>
      </c>
      <c r="B122" t="s">
        <v>93</v>
      </c>
      <c r="C122" t="s">
        <v>8</v>
      </c>
      <c r="D122" t="s">
        <v>15</v>
      </c>
      <c r="E122" t="s">
        <v>116</v>
      </c>
      <c r="F122" t="s">
        <v>116</v>
      </c>
      <c r="G122" t="s">
        <v>93</v>
      </c>
      <c r="H122" t="s">
        <v>87</v>
      </c>
      <c r="I122">
        <v>424858</v>
      </c>
      <c r="J122" t="s">
        <v>207</v>
      </c>
      <c r="K122" t="s">
        <v>128</v>
      </c>
      <c r="L122" t="s">
        <v>86</v>
      </c>
      <c r="M122" t="s">
        <v>130</v>
      </c>
      <c r="N122" t="s">
        <v>188</v>
      </c>
      <c r="O122" t="s">
        <v>136</v>
      </c>
      <c r="P122" t="s">
        <v>24</v>
      </c>
      <c r="Q122" t="s">
        <v>87</v>
      </c>
      <c r="R122" t="s">
        <v>87</v>
      </c>
      <c r="S122" s="87">
        <v>45730</v>
      </c>
      <c r="T122" t="s">
        <v>208</v>
      </c>
      <c r="U122" t="s">
        <v>209</v>
      </c>
      <c r="V122">
        <v>26419994</v>
      </c>
      <c r="W122" t="s">
        <v>88</v>
      </c>
      <c r="X122"/>
      <c r="Y122"/>
      <c r="Z122" t="s">
        <v>114</v>
      </c>
      <c r="AA122" t="s">
        <v>115</v>
      </c>
      <c r="AB122" t="s">
        <v>89</v>
      </c>
      <c r="AC122" t="s">
        <v>90</v>
      </c>
    </row>
    <row r="123" spans="1:29" s="2" customFormat="1" x14ac:dyDescent="0.25">
      <c r="A123" t="s">
        <v>39</v>
      </c>
      <c r="B123" t="s">
        <v>93</v>
      </c>
      <c r="C123" t="s">
        <v>8</v>
      </c>
      <c r="D123" t="s">
        <v>15</v>
      </c>
      <c r="E123" t="s">
        <v>116</v>
      </c>
      <c r="F123" t="s">
        <v>116</v>
      </c>
      <c r="G123" t="s">
        <v>93</v>
      </c>
      <c r="H123" t="s">
        <v>87</v>
      </c>
      <c r="I123">
        <v>424858</v>
      </c>
      <c r="J123" t="s">
        <v>207</v>
      </c>
      <c r="K123" t="s">
        <v>128</v>
      </c>
      <c r="L123" t="s">
        <v>86</v>
      </c>
      <c r="M123" t="s">
        <v>130</v>
      </c>
      <c r="N123" t="s">
        <v>188</v>
      </c>
      <c r="O123" t="s">
        <v>44</v>
      </c>
      <c r="P123" t="s">
        <v>24</v>
      </c>
      <c r="Q123" t="s">
        <v>87</v>
      </c>
      <c r="R123" t="s">
        <v>87</v>
      </c>
      <c r="S123" s="87">
        <v>45730</v>
      </c>
      <c r="T123" t="s">
        <v>208</v>
      </c>
      <c r="U123" t="s">
        <v>209</v>
      </c>
      <c r="V123">
        <v>26419994</v>
      </c>
      <c r="W123" t="s">
        <v>88</v>
      </c>
      <c r="X123"/>
      <c r="Y123"/>
      <c r="Z123" t="s">
        <v>114</v>
      </c>
      <c r="AA123" t="s">
        <v>115</v>
      </c>
      <c r="AB123" t="s">
        <v>89</v>
      </c>
      <c r="AC123" t="s">
        <v>90</v>
      </c>
    </row>
    <row r="124" spans="1:29" s="2" customFormat="1" x14ac:dyDescent="0.25">
      <c r="A124" t="s">
        <v>39</v>
      </c>
      <c r="B124" t="s">
        <v>93</v>
      </c>
      <c r="C124" t="s">
        <v>8</v>
      </c>
      <c r="D124" t="s">
        <v>15</v>
      </c>
      <c r="E124" t="s">
        <v>116</v>
      </c>
      <c r="F124" t="s">
        <v>116</v>
      </c>
      <c r="G124" t="s">
        <v>93</v>
      </c>
      <c r="H124" t="s">
        <v>87</v>
      </c>
      <c r="I124">
        <v>424858</v>
      </c>
      <c r="J124" t="s">
        <v>207</v>
      </c>
      <c r="K124" t="s">
        <v>128</v>
      </c>
      <c r="L124" t="s">
        <v>86</v>
      </c>
      <c r="M124" t="s">
        <v>130</v>
      </c>
      <c r="N124" t="s">
        <v>188</v>
      </c>
      <c r="O124" t="s">
        <v>137</v>
      </c>
      <c r="P124" t="s">
        <v>118</v>
      </c>
      <c r="Q124" t="s">
        <v>87</v>
      </c>
      <c r="R124" t="s">
        <v>87</v>
      </c>
      <c r="S124" s="87">
        <v>45730</v>
      </c>
      <c r="T124" t="s">
        <v>208</v>
      </c>
      <c r="U124" t="s">
        <v>209</v>
      </c>
      <c r="V124">
        <v>26419994</v>
      </c>
      <c r="W124" t="s">
        <v>88</v>
      </c>
      <c r="X124"/>
      <c r="Y124"/>
      <c r="Z124" t="s">
        <v>114</v>
      </c>
      <c r="AA124" t="s">
        <v>115</v>
      </c>
      <c r="AB124" t="s">
        <v>89</v>
      </c>
      <c r="AC124" t="s">
        <v>90</v>
      </c>
    </row>
    <row r="125" spans="1:29" s="2" customFormat="1" x14ac:dyDescent="0.25">
      <c r="A125" t="s">
        <v>39</v>
      </c>
      <c r="B125" t="s">
        <v>93</v>
      </c>
      <c r="C125" t="s">
        <v>8</v>
      </c>
      <c r="D125" t="s">
        <v>15</v>
      </c>
      <c r="E125" t="s">
        <v>116</v>
      </c>
      <c r="F125" t="s">
        <v>116</v>
      </c>
      <c r="G125" t="s">
        <v>93</v>
      </c>
      <c r="H125" t="s">
        <v>87</v>
      </c>
      <c r="I125">
        <v>424858</v>
      </c>
      <c r="J125" t="s">
        <v>207</v>
      </c>
      <c r="K125" t="s">
        <v>128</v>
      </c>
      <c r="L125" t="s">
        <v>86</v>
      </c>
      <c r="M125" t="s">
        <v>130</v>
      </c>
      <c r="N125" t="s">
        <v>188</v>
      </c>
      <c r="O125" t="s">
        <v>43</v>
      </c>
      <c r="P125" t="s">
        <v>24</v>
      </c>
      <c r="Q125" t="s">
        <v>87</v>
      </c>
      <c r="R125" t="s">
        <v>87</v>
      </c>
      <c r="S125" s="87">
        <v>45730</v>
      </c>
      <c r="T125" t="s">
        <v>208</v>
      </c>
      <c r="U125" t="s">
        <v>209</v>
      </c>
      <c r="V125">
        <v>26419994</v>
      </c>
      <c r="W125" t="s">
        <v>88</v>
      </c>
      <c r="X125"/>
      <c r="Y125"/>
      <c r="Z125" t="s">
        <v>114</v>
      </c>
      <c r="AA125" t="s">
        <v>115</v>
      </c>
      <c r="AB125" t="s">
        <v>89</v>
      </c>
      <c r="AC125" t="s">
        <v>90</v>
      </c>
    </row>
    <row r="126" spans="1:29" s="2" customFormat="1" x14ac:dyDescent="0.25">
      <c r="A126" t="s">
        <v>39</v>
      </c>
      <c r="B126" t="s">
        <v>93</v>
      </c>
      <c r="C126" t="s">
        <v>8</v>
      </c>
      <c r="D126" t="s">
        <v>15</v>
      </c>
      <c r="E126" t="s">
        <v>116</v>
      </c>
      <c r="F126" t="s">
        <v>116</v>
      </c>
      <c r="G126" t="s">
        <v>93</v>
      </c>
      <c r="H126" t="s">
        <v>87</v>
      </c>
      <c r="I126">
        <v>424858</v>
      </c>
      <c r="J126" t="s">
        <v>207</v>
      </c>
      <c r="K126" t="s">
        <v>128</v>
      </c>
      <c r="L126" t="s">
        <v>86</v>
      </c>
      <c r="M126" t="s">
        <v>130</v>
      </c>
      <c r="N126" t="s">
        <v>188</v>
      </c>
      <c r="O126" t="s">
        <v>49</v>
      </c>
      <c r="P126" t="s">
        <v>24</v>
      </c>
      <c r="Q126" t="s">
        <v>87</v>
      </c>
      <c r="R126" t="s">
        <v>87</v>
      </c>
      <c r="S126" s="87">
        <v>45730</v>
      </c>
      <c r="T126" t="s">
        <v>208</v>
      </c>
      <c r="U126" t="s">
        <v>209</v>
      </c>
      <c r="V126">
        <v>26419994</v>
      </c>
      <c r="W126" t="s">
        <v>88</v>
      </c>
      <c r="X126"/>
      <c r="Y126"/>
      <c r="Z126" t="s">
        <v>114</v>
      </c>
      <c r="AA126" t="s">
        <v>115</v>
      </c>
      <c r="AB126" t="s">
        <v>89</v>
      </c>
      <c r="AC126" t="s">
        <v>90</v>
      </c>
    </row>
    <row r="127" spans="1:29" s="2" customFormat="1" x14ac:dyDescent="0.25">
      <c r="A127" t="s">
        <v>39</v>
      </c>
      <c r="B127" t="s">
        <v>93</v>
      </c>
      <c r="C127" t="s">
        <v>8</v>
      </c>
      <c r="D127" t="s">
        <v>15</v>
      </c>
      <c r="E127" t="s">
        <v>116</v>
      </c>
      <c r="F127" t="s">
        <v>116</v>
      </c>
      <c r="G127" t="s">
        <v>93</v>
      </c>
      <c r="H127" t="s">
        <v>87</v>
      </c>
      <c r="I127">
        <v>424858</v>
      </c>
      <c r="J127" t="s">
        <v>207</v>
      </c>
      <c r="K127" t="s">
        <v>128</v>
      </c>
      <c r="L127" t="s">
        <v>86</v>
      </c>
      <c r="M127" t="s">
        <v>130</v>
      </c>
      <c r="N127" t="s">
        <v>188</v>
      </c>
      <c r="O127" t="s">
        <v>52</v>
      </c>
      <c r="P127" t="s">
        <v>118</v>
      </c>
      <c r="Q127" t="s">
        <v>87</v>
      </c>
      <c r="R127" t="s">
        <v>87</v>
      </c>
      <c r="S127" s="87">
        <v>45730</v>
      </c>
      <c r="T127" t="s">
        <v>208</v>
      </c>
      <c r="U127" t="s">
        <v>209</v>
      </c>
      <c r="V127">
        <v>26419994</v>
      </c>
      <c r="W127" t="s">
        <v>88</v>
      </c>
      <c r="X127"/>
      <c r="Y127"/>
      <c r="Z127" t="s">
        <v>114</v>
      </c>
      <c r="AA127" t="s">
        <v>115</v>
      </c>
      <c r="AB127" t="s">
        <v>89</v>
      </c>
      <c r="AC127" t="s">
        <v>90</v>
      </c>
    </row>
    <row r="128" spans="1:29" s="2" customFormat="1" x14ac:dyDescent="0.25">
      <c r="A128" t="s">
        <v>39</v>
      </c>
      <c r="B128" t="s">
        <v>93</v>
      </c>
      <c r="C128" t="s">
        <v>8</v>
      </c>
      <c r="D128" t="s">
        <v>15</v>
      </c>
      <c r="E128" t="s">
        <v>116</v>
      </c>
      <c r="F128" t="s">
        <v>116</v>
      </c>
      <c r="G128" t="s">
        <v>93</v>
      </c>
      <c r="H128" t="s">
        <v>87</v>
      </c>
      <c r="I128">
        <v>424858</v>
      </c>
      <c r="J128" t="s">
        <v>207</v>
      </c>
      <c r="K128" t="s">
        <v>128</v>
      </c>
      <c r="L128" t="s">
        <v>86</v>
      </c>
      <c r="M128" t="s">
        <v>130</v>
      </c>
      <c r="N128" t="s">
        <v>188</v>
      </c>
      <c r="O128" t="s">
        <v>48</v>
      </c>
      <c r="P128" t="s">
        <v>118</v>
      </c>
      <c r="Q128" t="s">
        <v>87</v>
      </c>
      <c r="R128" t="s">
        <v>87</v>
      </c>
      <c r="S128" s="87">
        <v>45730</v>
      </c>
      <c r="T128" t="s">
        <v>208</v>
      </c>
      <c r="U128" t="s">
        <v>209</v>
      </c>
      <c r="V128">
        <v>26419994</v>
      </c>
      <c r="W128" t="s">
        <v>88</v>
      </c>
      <c r="X128"/>
      <c r="Y128"/>
      <c r="Z128" t="s">
        <v>114</v>
      </c>
      <c r="AA128" t="s">
        <v>115</v>
      </c>
      <c r="AB128" t="s">
        <v>89</v>
      </c>
      <c r="AC128" t="s">
        <v>90</v>
      </c>
    </row>
    <row r="129" spans="1:29" s="2" customFormat="1" x14ac:dyDescent="0.25">
      <c r="A129" t="s">
        <v>39</v>
      </c>
      <c r="B129" t="s">
        <v>93</v>
      </c>
      <c r="C129" t="s">
        <v>8</v>
      </c>
      <c r="D129" t="s">
        <v>15</v>
      </c>
      <c r="E129" t="s">
        <v>116</v>
      </c>
      <c r="F129" t="s">
        <v>116</v>
      </c>
      <c r="G129" t="s">
        <v>93</v>
      </c>
      <c r="H129" t="s">
        <v>87</v>
      </c>
      <c r="I129">
        <v>424858</v>
      </c>
      <c r="J129" t="s">
        <v>207</v>
      </c>
      <c r="K129" t="s">
        <v>128</v>
      </c>
      <c r="L129" t="s">
        <v>86</v>
      </c>
      <c r="M129" t="s">
        <v>130</v>
      </c>
      <c r="N129" t="s">
        <v>188</v>
      </c>
      <c r="O129" t="s">
        <v>47</v>
      </c>
      <c r="P129" t="s">
        <v>118</v>
      </c>
      <c r="Q129" t="s">
        <v>87</v>
      </c>
      <c r="R129" t="s">
        <v>87</v>
      </c>
      <c r="S129" s="87">
        <v>45730</v>
      </c>
      <c r="T129" t="s">
        <v>208</v>
      </c>
      <c r="U129" t="s">
        <v>209</v>
      </c>
      <c r="V129">
        <v>26419994</v>
      </c>
      <c r="W129" t="s">
        <v>88</v>
      </c>
      <c r="X129"/>
      <c r="Y129"/>
      <c r="Z129" t="s">
        <v>114</v>
      </c>
      <c r="AA129" t="s">
        <v>115</v>
      </c>
      <c r="AB129" t="s">
        <v>89</v>
      </c>
      <c r="AC129" t="s">
        <v>90</v>
      </c>
    </row>
    <row r="130" spans="1:29" s="2" customFormat="1" x14ac:dyDescent="0.25">
      <c r="A130" t="s">
        <v>39</v>
      </c>
      <c r="B130" t="s">
        <v>93</v>
      </c>
      <c r="C130" t="s">
        <v>8</v>
      </c>
      <c r="D130" t="s">
        <v>15</v>
      </c>
      <c r="E130" t="s">
        <v>116</v>
      </c>
      <c r="F130" t="s">
        <v>116</v>
      </c>
      <c r="G130" t="s">
        <v>93</v>
      </c>
      <c r="H130" t="s">
        <v>87</v>
      </c>
      <c r="I130">
        <v>424858</v>
      </c>
      <c r="J130" t="s">
        <v>207</v>
      </c>
      <c r="K130" t="s">
        <v>128</v>
      </c>
      <c r="L130" t="s">
        <v>86</v>
      </c>
      <c r="M130" t="s">
        <v>130</v>
      </c>
      <c r="N130" t="s">
        <v>188</v>
      </c>
      <c r="O130" t="s">
        <v>46</v>
      </c>
      <c r="P130" t="s">
        <v>118</v>
      </c>
      <c r="Q130" t="s">
        <v>87</v>
      </c>
      <c r="R130" t="s">
        <v>87</v>
      </c>
      <c r="S130" s="87">
        <v>45730</v>
      </c>
      <c r="T130" t="s">
        <v>208</v>
      </c>
      <c r="U130" t="s">
        <v>209</v>
      </c>
      <c r="V130">
        <v>26419994</v>
      </c>
      <c r="W130" t="s">
        <v>88</v>
      </c>
      <c r="X130"/>
      <c r="Y130"/>
      <c r="Z130" t="s">
        <v>114</v>
      </c>
      <c r="AA130" t="s">
        <v>115</v>
      </c>
      <c r="AB130" t="s">
        <v>89</v>
      </c>
      <c r="AC130" t="s">
        <v>90</v>
      </c>
    </row>
    <row r="131" spans="1:29" s="2" customFormat="1" x14ac:dyDescent="0.25">
      <c r="A131" t="s">
        <v>39</v>
      </c>
      <c r="B131" t="s">
        <v>93</v>
      </c>
      <c r="C131" t="s">
        <v>8</v>
      </c>
      <c r="D131" t="s">
        <v>15</v>
      </c>
      <c r="E131" t="s">
        <v>116</v>
      </c>
      <c r="F131" t="s">
        <v>116</v>
      </c>
      <c r="G131" t="s">
        <v>93</v>
      </c>
      <c r="H131" t="s">
        <v>87</v>
      </c>
      <c r="I131">
        <v>424858</v>
      </c>
      <c r="J131" t="s">
        <v>207</v>
      </c>
      <c r="K131" t="s">
        <v>128</v>
      </c>
      <c r="L131" t="s">
        <v>86</v>
      </c>
      <c r="M131" t="s">
        <v>130</v>
      </c>
      <c r="N131" t="s">
        <v>188</v>
      </c>
      <c r="O131" t="s">
        <v>138</v>
      </c>
      <c r="P131" t="s">
        <v>24</v>
      </c>
      <c r="Q131" t="s">
        <v>87</v>
      </c>
      <c r="R131" t="s">
        <v>87</v>
      </c>
      <c r="S131" s="87">
        <v>45730</v>
      </c>
      <c r="T131" t="s">
        <v>208</v>
      </c>
      <c r="U131" t="s">
        <v>209</v>
      </c>
      <c r="V131">
        <v>26419994</v>
      </c>
      <c r="W131" t="s">
        <v>88</v>
      </c>
      <c r="X131"/>
      <c r="Y131"/>
      <c r="Z131" t="s">
        <v>114</v>
      </c>
      <c r="AA131" t="s">
        <v>115</v>
      </c>
      <c r="AB131" t="s">
        <v>89</v>
      </c>
      <c r="AC131" t="s">
        <v>90</v>
      </c>
    </row>
    <row r="132" spans="1:29" s="2" customFormat="1" x14ac:dyDescent="0.25">
      <c r="A132" t="s">
        <v>39</v>
      </c>
      <c r="B132" t="s">
        <v>93</v>
      </c>
      <c r="C132" t="s">
        <v>8</v>
      </c>
      <c r="D132" t="s">
        <v>15</v>
      </c>
      <c r="E132" t="s">
        <v>116</v>
      </c>
      <c r="F132" t="s">
        <v>116</v>
      </c>
      <c r="G132" t="s">
        <v>93</v>
      </c>
      <c r="H132" t="s">
        <v>87</v>
      </c>
      <c r="I132">
        <v>424858</v>
      </c>
      <c r="J132" t="s">
        <v>207</v>
      </c>
      <c r="K132" t="s">
        <v>128</v>
      </c>
      <c r="L132" t="s">
        <v>86</v>
      </c>
      <c r="M132" t="s">
        <v>130</v>
      </c>
      <c r="N132" t="s">
        <v>188</v>
      </c>
      <c r="O132" t="s">
        <v>101</v>
      </c>
      <c r="P132" t="s">
        <v>24</v>
      </c>
      <c r="Q132" t="s">
        <v>87</v>
      </c>
      <c r="R132" t="s">
        <v>87</v>
      </c>
      <c r="S132" s="87">
        <v>45730</v>
      </c>
      <c r="T132" t="s">
        <v>208</v>
      </c>
      <c r="U132" t="s">
        <v>209</v>
      </c>
      <c r="V132">
        <v>26419994</v>
      </c>
      <c r="W132" t="s">
        <v>88</v>
      </c>
      <c r="X132"/>
      <c r="Y132"/>
      <c r="Z132" t="s">
        <v>114</v>
      </c>
      <c r="AA132" t="s">
        <v>115</v>
      </c>
      <c r="AB132" t="s">
        <v>89</v>
      </c>
      <c r="AC132" t="s">
        <v>90</v>
      </c>
    </row>
    <row r="133" spans="1:29" s="2" customFormat="1" x14ac:dyDescent="0.25">
      <c r="A133" t="s">
        <v>39</v>
      </c>
      <c r="B133" t="s">
        <v>93</v>
      </c>
      <c r="C133" t="s">
        <v>8</v>
      </c>
      <c r="D133" t="s">
        <v>15</v>
      </c>
      <c r="E133" t="s">
        <v>116</v>
      </c>
      <c r="F133" t="s">
        <v>116</v>
      </c>
      <c r="G133" t="s">
        <v>93</v>
      </c>
      <c r="H133" t="s">
        <v>87</v>
      </c>
      <c r="I133">
        <v>424858</v>
      </c>
      <c r="J133" t="s">
        <v>207</v>
      </c>
      <c r="K133" t="s">
        <v>128</v>
      </c>
      <c r="L133" t="s">
        <v>86</v>
      </c>
      <c r="M133" t="s">
        <v>130</v>
      </c>
      <c r="N133" t="s">
        <v>188</v>
      </c>
      <c r="O133" t="s">
        <v>99</v>
      </c>
      <c r="P133" t="s">
        <v>24</v>
      </c>
      <c r="Q133" t="s">
        <v>87</v>
      </c>
      <c r="R133" t="s">
        <v>87</v>
      </c>
      <c r="S133" s="87">
        <v>45730</v>
      </c>
      <c r="T133" t="s">
        <v>208</v>
      </c>
      <c r="U133" t="s">
        <v>209</v>
      </c>
      <c r="V133">
        <v>26419994</v>
      </c>
      <c r="W133" t="s">
        <v>88</v>
      </c>
      <c r="X133"/>
      <c r="Y133"/>
      <c r="Z133" t="s">
        <v>114</v>
      </c>
      <c r="AA133" t="s">
        <v>115</v>
      </c>
      <c r="AB133" t="s">
        <v>89</v>
      </c>
      <c r="AC133" t="s">
        <v>90</v>
      </c>
    </row>
    <row r="134" spans="1:29" s="2" customFormat="1" x14ac:dyDescent="0.25">
      <c r="A134" t="s">
        <v>39</v>
      </c>
      <c r="B134" t="s">
        <v>93</v>
      </c>
      <c r="C134" t="s">
        <v>8</v>
      </c>
      <c r="D134" t="s">
        <v>15</v>
      </c>
      <c r="E134" t="s">
        <v>116</v>
      </c>
      <c r="F134" t="s">
        <v>116</v>
      </c>
      <c r="G134" t="s">
        <v>93</v>
      </c>
      <c r="H134" t="s">
        <v>87</v>
      </c>
      <c r="I134">
        <v>424858</v>
      </c>
      <c r="J134" t="s">
        <v>207</v>
      </c>
      <c r="K134" t="s">
        <v>128</v>
      </c>
      <c r="L134" t="s">
        <v>86</v>
      </c>
      <c r="M134" t="s">
        <v>130</v>
      </c>
      <c r="N134" t="s">
        <v>188</v>
      </c>
      <c r="O134" t="s">
        <v>102</v>
      </c>
      <c r="P134" t="s">
        <v>167</v>
      </c>
      <c r="Q134" t="s">
        <v>87</v>
      </c>
      <c r="R134" t="s">
        <v>87</v>
      </c>
      <c r="S134" s="87">
        <v>45730</v>
      </c>
      <c r="T134" t="s">
        <v>208</v>
      </c>
      <c r="U134" t="s">
        <v>209</v>
      </c>
      <c r="V134">
        <v>26419994</v>
      </c>
      <c r="W134" t="s">
        <v>88</v>
      </c>
      <c r="X134"/>
      <c r="Y134"/>
      <c r="Z134" t="s">
        <v>114</v>
      </c>
      <c r="AA134" t="s">
        <v>115</v>
      </c>
      <c r="AB134" t="s">
        <v>89</v>
      </c>
      <c r="AC134" t="s">
        <v>90</v>
      </c>
    </row>
    <row r="135" spans="1:29" s="2" customFormat="1" x14ac:dyDescent="0.25">
      <c r="A135" t="s">
        <v>39</v>
      </c>
      <c r="B135" t="s">
        <v>93</v>
      </c>
      <c r="C135" t="s">
        <v>8</v>
      </c>
      <c r="D135" t="s">
        <v>15</v>
      </c>
      <c r="E135" t="s">
        <v>116</v>
      </c>
      <c r="F135" t="s">
        <v>116</v>
      </c>
      <c r="G135" t="s">
        <v>93</v>
      </c>
      <c r="H135" t="s">
        <v>87</v>
      </c>
      <c r="I135">
        <v>424858</v>
      </c>
      <c r="J135" t="s">
        <v>207</v>
      </c>
      <c r="K135" t="s">
        <v>128</v>
      </c>
      <c r="L135" t="s">
        <v>86</v>
      </c>
      <c r="M135" t="s">
        <v>130</v>
      </c>
      <c r="N135" t="s">
        <v>188</v>
      </c>
      <c r="O135" t="s">
        <v>169</v>
      </c>
      <c r="P135" t="s">
        <v>24</v>
      </c>
      <c r="Q135" t="s">
        <v>87</v>
      </c>
      <c r="R135" t="s">
        <v>87</v>
      </c>
      <c r="S135" s="87">
        <v>45730</v>
      </c>
      <c r="T135" t="s">
        <v>208</v>
      </c>
      <c r="U135" t="s">
        <v>209</v>
      </c>
      <c r="V135">
        <v>26419994</v>
      </c>
      <c r="W135" t="s">
        <v>88</v>
      </c>
      <c r="X135"/>
      <c r="Y135"/>
      <c r="Z135" t="s">
        <v>114</v>
      </c>
      <c r="AA135" t="s">
        <v>115</v>
      </c>
      <c r="AB135" t="s">
        <v>89</v>
      </c>
      <c r="AC135" t="s">
        <v>90</v>
      </c>
    </row>
    <row r="136" spans="1:29" s="2" customFormat="1" x14ac:dyDescent="0.25">
      <c r="A136" t="s">
        <v>39</v>
      </c>
      <c r="B136" t="s">
        <v>93</v>
      </c>
      <c r="C136" t="s">
        <v>8</v>
      </c>
      <c r="D136" t="s">
        <v>15</v>
      </c>
      <c r="E136" t="s">
        <v>116</v>
      </c>
      <c r="F136" t="s">
        <v>116</v>
      </c>
      <c r="G136" t="s">
        <v>93</v>
      </c>
      <c r="H136" t="s">
        <v>87</v>
      </c>
      <c r="I136">
        <v>424858</v>
      </c>
      <c r="J136" t="s">
        <v>207</v>
      </c>
      <c r="K136" t="s">
        <v>128</v>
      </c>
      <c r="L136" t="s">
        <v>86</v>
      </c>
      <c r="M136" t="s">
        <v>130</v>
      </c>
      <c r="N136" t="s">
        <v>188</v>
      </c>
      <c r="O136" t="s">
        <v>171</v>
      </c>
      <c r="P136" t="s">
        <v>24</v>
      </c>
      <c r="Q136" t="s">
        <v>87</v>
      </c>
      <c r="R136" t="s">
        <v>87</v>
      </c>
      <c r="S136" s="87">
        <v>45730</v>
      </c>
      <c r="T136" t="s">
        <v>208</v>
      </c>
      <c r="U136" t="s">
        <v>209</v>
      </c>
      <c r="V136">
        <v>26419994</v>
      </c>
      <c r="W136" t="s">
        <v>88</v>
      </c>
      <c r="X136"/>
      <c r="Y136"/>
      <c r="Z136" t="s">
        <v>114</v>
      </c>
      <c r="AA136" t="s">
        <v>115</v>
      </c>
      <c r="AB136" t="s">
        <v>89</v>
      </c>
      <c r="AC136" t="s">
        <v>90</v>
      </c>
    </row>
    <row r="137" spans="1:29" s="2" customFormat="1" x14ac:dyDescent="0.25">
      <c r="A137" t="s">
        <v>39</v>
      </c>
      <c r="B137" t="s">
        <v>93</v>
      </c>
      <c r="C137" t="s">
        <v>8</v>
      </c>
      <c r="D137" t="s">
        <v>15</v>
      </c>
      <c r="E137" t="s">
        <v>116</v>
      </c>
      <c r="F137" t="s">
        <v>116</v>
      </c>
      <c r="G137" t="s">
        <v>93</v>
      </c>
      <c r="H137" t="s">
        <v>87</v>
      </c>
      <c r="I137">
        <v>424858</v>
      </c>
      <c r="J137" t="s">
        <v>207</v>
      </c>
      <c r="K137" t="s">
        <v>128</v>
      </c>
      <c r="L137" t="s">
        <v>86</v>
      </c>
      <c r="M137" t="s">
        <v>130</v>
      </c>
      <c r="N137" t="s">
        <v>188</v>
      </c>
      <c r="O137" t="s">
        <v>173</v>
      </c>
      <c r="P137" t="s">
        <v>24</v>
      </c>
      <c r="Q137" t="s">
        <v>87</v>
      </c>
      <c r="R137" t="s">
        <v>87</v>
      </c>
      <c r="S137" s="87">
        <v>45730</v>
      </c>
      <c r="T137" t="s">
        <v>208</v>
      </c>
      <c r="U137" t="s">
        <v>209</v>
      </c>
      <c r="V137">
        <v>26419994</v>
      </c>
      <c r="W137" t="s">
        <v>88</v>
      </c>
      <c r="X137"/>
      <c r="Y137"/>
      <c r="Z137" t="s">
        <v>114</v>
      </c>
      <c r="AA137" t="s">
        <v>115</v>
      </c>
      <c r="AB137" t="s">
        <v>89</v>
      </c>
      <c r="AC137" t="s">
        <v>90</v>
      </c>
    </row>
    <row r="138" spans="1:29" s="2" customFormat="1" x14ac:dyDescent="0.25">
      <c r="A138" t="s">
        <v>39</v>
      </c>
      <c r="B138" t="s">
        <v>93</v>
      </c>
      <c r="C138" t="s">
        <v>8</v>
      </c>
      <c r="D138" t="s">
        <v>15</v>
      </c>
      <c r="E138" t="s">
        <v>116</v>
      </c>
      <c r="F138" t="s">
        <v>116</v>
      </c>
      <c r="G138" t="s">
        <v>93</v>
      </c>
      <c r="H138" t="s">
        <v>87</v>
      </c>
      <c r="I138">
        <v>424858</v>
      </c>
      <c r="J138" t="s">
        <v>207</v>
      </c>
      <c r="K138" t="s">
        <v>128</v>
      </c>
      <c r="L138" t="s">
        <v>86</v>
      </c>
      <c r="M138" t="s">
        <v>130</v>
      </c>
      <c r="N138" t="s">
        <v>188</v>
      </c>
      <c r="O138" t="s">
        <v>175</v>
      </c>
      <c r="P138" t="s">
        <v>24</v>
      </c>
      <c r="Q138" t="s">
        <v>87</v>
      </c>
      <c r="R138" t="s">
        <v>87</v>
      </c>
      <c r="S138" s="87">
        <v>45730</v>
      </c>
      <c r="T138" t="s">
        <v>208</v>
      </c>
      <c r="U138" t="s">
        <v>209</v>
      </c>
      <c r="V138">
        <v>26419994</v>
      </c>
      <c r="W138" t="s">
        <v>88</v>
      </c>
      <c r="X138"/>
      <c r="Y138"/>
      <c r="Z138" t="s">
        <v>114</v>
      </c>
      <c r="AA138" t="s">
        <v>115</v>
      </c>
      <c r="AB138" t="s">
        <v>89</v>
      </c>
      <c r="AC138" t="s">
        <v>90</v>
      </c>
    </row>
    <row r="139" spans="1:29" s="2" customFormat="1" x14ac:dyDescent="0.25">
      <c r="A139" t="s">
        <v>39</v>
      </c>
      <c r="B139" t="s">
        <v>93</v>
      </c>
      <c r="C139" t="s">
        <v>8</v>
      </c>
      <c r="D139" t="s">
        <v>15</v>
      </c>
      <c r="E139" t="s">
        <v>116</v>
      </c>
      <c r="F139" t="s">
        <v>116</v>
      </c>
      <c r="G139" t="s">
        <v>93</v>
      </c>
      <c r="H139" t="s">
        <v>87</v>
      </c>
      <c r="I139">
        <v>424858</v>
      </c>
      <c r="J139" t="s">
        <v>207</v>
      </c>
      <c r="K139" t="s">
        <v>128</v>
      </c>
      <c r="L139" t="s">
        <v>86</v>
      </c>
      <c r="M139" t="s">
        <v>130</v>
      </c>
      <c r="N139" t="s">
        <v>188</v>
      </c>
      <c r="O139" t="s">
        <v>177</v>
      </c>
      <c r="P139" t="s">
        <v>118</v>
      </c>
      <c r="Q139" t="s">
        <v>87</v>
      </c>
      <c r="R139" t="s">
        <v>87</v>
      </c>
      <c r="S139" s="87">
        <v>45730</v>
      </c>
      <c r="T139" t="s">
        <v>208</v>
      </c>
      <c r="U139" t="s">
        <v>209</v>
      </c>
      <c r="V139">
        <v>26419994</v>
      </c>
      <c r="W139" t="s">
        <v>88</v>
      </c>
      <c r="X139"/>
      <c r="Y139"/>
      <c r="Z139" t="s">
        <v>114</v>
      </c>
      <c r="AA139" t="s">
        <v>115</v>
      </c>
      <c r="AB139" t="s">
        <v>89</v>
      </c>
      <c r="AC139" t="s">
        <v>90</v>
      </c>
    </row>
    <row r="140" spans="1:29" s="2" customFormat="1" x14ac:dyDescent="0.25">
      <c r="A140" t="s">
        <v>39</v>
      </c>
      <c r="B140" t="s">
        <v>93</v>
      </c>
      <c r="C140" t="s">
        <v>8</v>
      </c>
      <c r="D140" t="s">
        <v>15</v>
      </c>
      <c r="E140" t="s">
        <v>116</v>
      </c>
      <c r="F140" t="s">
        <v>116</v>
      </c>
      <c r="G140" t="s">
        <v>93</v>
      </c>
      <c r="H140" t="s">
        <v>87</v>
      </c>
      <c r="I140">
        <v>424858</v>
      </c>
      <c r="J140" t="s">
        <v>207</v>
      </c>
      <c r="K140" t="s">
        <v>128</v>
      </c>
      <c r="L140" t="s">
        <v>86</v>
      </c>
      <c r="M140" t="s">
        <v>130</v>
      </c>
      <c r="N140" t="s">
        <v>188</v>
      </c>
      <c r="O140" t="s">
        <v>179</v>
      </c>
      <c r="P140" t="s">
        <v>118</v>
      </c>
      <c r="Q140" t="s">
        <v>87</v>
      </c>
      <c r="R140" t="s">
        <v>87</v>
      </c>
      <c r="S140" s="87">
        <v>45730</v>
      </c>
      <c r="T140" t="s">
        <v>208</v>
      </c>
      <c r="U140" t="s">
        <v>209</v>
      </c>
      <c r="V140">
        <v>26419994</v>
      </c>
      <c r="W140" t="s">
        <v>88</v>
      </c>
      <c r="X140"/>
      <c r="Y140"/>
      <c r="Z140" t="s">
        <v>114</v>
      </c>
      <c r="AA140" t="s">
        <v>115</v>
      </c>
      <c r="AB140" t="s">
        <v>89</v>
      </c>
      <c r="AC140" t="s">
        <v>90</v>
      </c>
    </row>
    <row r="141" spans="1:29" s="2" customFormat="1" x14ac:dyDescent="0.25">
      <c r="A141" t="s">
        <v>39</v>
      </c>
      <c r="B141" t="s">
        <v>93</v>
      </c>
      <c r="C141" t="s">
        <v>8</v>
      </c>
      <c r="D141" t="s">
        <v>15</v>
      </c>
      <c r="E141" t="s">
        <v>116</v>
      </c>
      <c r="F141" t="s">
        <v>116</v>
      </c>
      <c r="G141" t="s">
        <v>93</v>
      </c>
      <c r="H141" t="s">
        <v>87</v>
      </c>
      <c r="I141">
        <v>424858</v>
      </c>
      <c r="J141" t="s">
        <v>207</v>
      </c>
      <c r="K141" t="s">
        <v>128</v>
      </c>
      <c r="L141" t="s">
        <v>86</v>
      </c>
      <c r="M141" t="s">
        <v>130</v>
      </c>
      <c r="N141" t="s">
        <v>188</v>
      </c>
      <c r="O141" t="s">
        <v>181</v>
      </c>
      <c r="P141" t="s">
        <v>118</v>
      </c>
      <c r="Q141" t="s">
        <v>87</v>
      </c>
      <c r="R141" t="s">
        <v>87</v>
      </c>
      <c r="S141" s="87">
        <v>45730</v>
      </c>
      <c r="T141" t="s">
        <v>208</v>
      </c>
      <c r="U141" t="s">
        <v>209</v>
      </c>
      <c r="V141">
        <v>26419994</v>
      </c>
      <c r="W141" t="s">
        <v>88</v>
      </c>
      <c r="X141"/>
      <c r="Y141"/>
      <c r="Z141" t="s">
        <v>114</v>
      </c>
      <c r="AA141" t="s">
        <v>115</v>
      </c>
      <c r="AB141" t="s">
        <v>89</v>
      </c>
      <c r="AC141" t="s">
        <v>90</v>
      </c>
    </row>
    <row r="142" spans="1:29" s="2" customFormat="1" x14ac:dyDescent="0.25">
      <c r="A142" t="s">
        <v>39</v>
      </c>
      <c r="B142" t="s">
        <v>93</v>
      </c>
      <c r="C142" t="s">
        <v>8</v>
      </c>
      <c r="D142" t="s">
        <v>15</v>
      </c>
      <c r="E142" t="s">
        <v>116</v>
      </c>
      <c r="F142" t="s">
        <v>116</v>
      </c>
      <c r="G142" t="s">
        <v>93</v>
      </c>
      <c r="H142" t="s">
        <v>87</v>
      </c>
      <c r="I142">
        <v>424858</v>
      </c>
      <c r="J142" t="s">
        <v>207</v>
      </c>
      <c r="K142" t="s">
        <v>128</v>
      </c>
      <c r="L142" t="s">
        <v>86</v>
      </c>
      <c r="M142" t="s">
        <v>130</v>
      </c>
      <c r="N142" t="s">
        <v>188</v>
      </c>
      <c r="O142" t="s">
        <v>41</v>
      </c>
      <c r="P142" t="s">
        <v>24</v>
      </c>
      <c r="Q142" t="s">
        <v>87</v>
      </c>
      <c r="R142" t="s">
        <v>87</v>
      </c>
      <c r="S142" s="87">
        <v>45730</v>
      </c>
      <c r="T142" t="s">
        <v>208</v>
      </c>
      <c r="U142" t="s">
        <v>209</v>
      </c>
      <c r="V142">
        <v>26419994</v>
      </c>
      <c r="W142" t="s">
        <v>88</v>
      </c>
      <c r="X142"/>
      <c r="Y142"/>
      <c r="Z142" t="s">
        <v>114</v>
      </c>
      <c r="AA142" t="s">
        <v>115</v>
      </c>
      <c r="AB142" t="s">
        <v>89</v>
      </c>
      <c r="AC142" t="s">
        <v>90</v>
      </c>
    </row>
    <row r="143" spans="1:29" s="2" customFormat="1" x14ac:dyDescent="0.25">
      <c r="A143" t="s">
        <v>39</v>
      </c>
      <c r="B143" t="s">
        <v>93</v>
      </c>
      <c r="C143" t="s">
        <v>8</v>
      </c>
      <c r="D143" t="s">
        <v>15</v>
      </c>
      <c r="E143" t="s">
        <v>116</v>
      </c>
      <c r="F143" t="s">
        <v>116</v>
      </c>
      <c r="G143" t="s">
        <v>93</v>
      </c>
      <c r="H143" t="s">
        <v>87</v>
      </c>
      <c r="I143">
        <v>424858</v>
      </c>
      <c r="J143" t="s">
        <v>207</v>
      </c>
      <c r="K143" t="s">
        <v>128</v>
      </c>
      <c r="L143" t="s">
        <v>86</v>
      </c>
      <c r="M143" t="s">
        <v>130</v>
      </c>
      <c r="N143" t="s">
        <v>188</v>
      </c>
      <c r="O143" s="27" t="s">
        <v>51</v>
      </c>
      <c r="P143" t="s">
        <v>24</v>
      </c>
      <c r="Q143"/>
      <c r="R143"/>
      <c r="S143" s="87">
        <v>45730</v>
      </c>
      <c r="T143" t="s">
        <v>208</v>
      </c>
      <c r="U143" t="s">
        <v>209</v>
      </c>
      <c r="V143">
        <v>26419994</v>
      </c>
      <c r="W143" t="s">
        <v>88</v>
      </c>
      <c r="X143"/>
      <c r="Y143"/>
      <c r="Z143" t="s">
        <v>114</v>
      </c>
      <c r="AA143" t="s">
        <v>115</v>
      </c>
      <c r="AB143" t="s">
        <v>89</v>
      </c>
      <c r="AC143" t="s">
        <v>90</v>
      </c>
    </row>
    <row r="144" spans="1:29" s="2" customFormat="1" x14ac:dyDescent="0.25">
      <c r="A144" t="s">
        <v>39</v>
      </c>
      <c r="B144" t="s">
        <v>93</v>
      </c>
      <c r="C144" t="s">
        <v>8</v>
      </c>
      <c r="D144" t="s">
        <v>15</v>
      </c>
      <c r="E144" t="s">
        <v>116</v>
      </c>
      <c r="F144" t="s">
        <v>116</v>
      </c>
      <c r="G144" t="s">
        <v>93</v>
      </c>
      <c r="H144" t="s">
        <v>87</v>
      </c>
      <c r="I144">
        <v>424858</v>
      </c>
      <c r="J144" t="s">
        <v>207</v>
      </c>
      <c r="K144" t="s">
        <v>128</v>
      </c>
      <c r="L144" t="s">
        <v>86</v>
      </c>
      <c r="M144" t="s">
        <v>130</v>
      </c>
      <c r="N144" t="s">
        <v>188</v>
      </c>
      <c r="O144" t="s">
        <v>50</v>
      </c>
      <c r="P144" t="s">
        <v>24</v>
      </c>
      <c r="Q144" t="s">
        <v>87</v>
      </c>
      <c r="R144" t="s">
        <v>87</v>
      </c>
      <c r="S144" s="87">
        <v>45730</v>
      </c>
      <c r="T144" t="s">
        <v>208</v>
      </c>
      <c r="U144" t="s">
        <v>209</v>
      </c>
      <c r="V144">
        <v>26419994</v>
      </c>
      <c r="W144" t="s">
        <v>88</v>
      </c>
      <c r="X144"/>
      <c r="Y144"/>
      <c r="Z144" t="s">
        <v>114</v>
      </c>
      <c r="AA144" t="s">
        <v>115</v>
      </c>
      <c r="AB144" t="s">
        <v>89</v>
      </c>
      <c r="AC144" t="s">
        <v>90</v>
      </c>
    </row>
    <row r="145" spans="1:29" s="2" customFormat="1" x14ac:dyDescent="0.25">
      <c r="A145" t="s">
        <v>39</v>
      </c>
      <c r="B145" t="s">
        <v>93</v>
      </c>
      <c r="C145" t="s">
        <v>8</v>
      </c>
      <c r="D145" t="s">
        <v>15</v>
      </c>
      <c r="E145" t="s">
        <v>116</v>
      </c>
      <c r="F145" t="s">
        <v>116</v>
      </c>
      <c r="G145" t="s">
        <v>93</v>
      </c>
      <c r="H145" t="s">
        <v>87</v>
      </c>
      <c r="I145">
        <v>424858</v>
      </c>
      <c r="J145" t="s">
        <v>207</v>
      </c>
      <c r="K145" t="s">
        <v>128</v>
      </c>
      <c r="L145" t="s">
        <v>86</v>
      </c>
      <c r="M145" t="s">
        <v>130</v>
      </c>
      <c r="N145" t="s">
        <v>188</v>
      </c>
      <c r="O145" t="s">
        <v>148</v>
      </c>
      <c r="P145" t="s">
        <v>118</v>
      </c>
      <c r="Q145" t="s">
        <v>87</v>
      </c>
      <c r="R145" t="s">
        <v>87</v>
      </c>
      <c r="S145" s="87">
        <v>45730</v>
      </c>
      <c r="T145" t="s">
        <v>208</v>
      </c>
      <c r="U145" t="s">
        <v>209</v>
      </c>
      <c r="V145">
        <v>26419994</v>
      </c>
      <c r="W145" t="s">
        <v>88</v>
      </c>
      <c r="X145"/>
      <c r="Y145"/>
      <c r="Z145" t="s">
        <v>114</v>
      </c>
      <c r="AA145" t="s">
        <v>115</v>
      </c>
      <c r="AB145" t="s">
        <v>89</v>
      </c>
      <c r="AC145" t="s">
        <v>90</v>
      </c>
    </row>
    <row r="146" spans="1:29" s="2" customFormat="1" x14ac:dyDescent="0.25">
      <c r="A146" t="s">
        <v>39</v>
      </c>
      <c r="B146" t="s">
        <v>93</v>
      </c>
      <c r="C146" t="s">
        <v>8</v>
      </c>
      <c r="D146" t="s">
        <v>15</v>
      </c>
      <c r="E146" t="s">
        <v>116</v>
      </c>
      <c r="F146" t="s">
        <v>116</v>
      </c>
      <c r="G146" t="s">
        <v>93</v>
      </c>
      <c r="H146" t="s">
        <v>87</v>
      </c>
      <c r="I146">
        <v>424858</v>
      </c>
      <c r="J146" t="s">
        <v>207</v>
      </c>
      <c r="K146" t="s">
        <v>128</v>
      </c>
      <c r="L146" t="s">
        <v>86</v>
      </c>
      <c r="M146" t="s">
        <v>130</v>
      </c>
      <c r="N146" t="s">
        <v>188</v>
      </c>
      <c r="O146" t="s">
        <v>45</v>
      </c>
      <c r="P146" t="s">
        <v>24</v>
      </c>
      <c r="Q146" t="s">
        <v>87</v>
      </c>
      <c r="R146" t="s">
        <v>87</v>
      </c>
      <c r="S146" s="87">
        <v>45730</v>
      </c>
      <c r="T146" t="s">
        <v>208</v>
      </c>
      <c r="U146" t="s">
        <v>209</v>
      </c>
      <c r="V146">
        <v>26419994</v>
      </c>
      <c r="W146" t="s">
        <v>88</v>
      </c>
      <c r="X146"/>
      <c r="Y146"/>
      <c r="Z146" t="s">
        <v>114</v>
      </c>
      <c r="AA146" t="s">
        <v>115</v>
      </c>
      <c r="AB146" t="s">
        <v>89</v>
      </c>
      <c r="AC146" t="s">
        <v>90</v>
      </c>
    </row>
    <row r="147" spans="1:29" s="2" customFormat="1" x14ac:dyDescent="0.25">
      <c r="A147" t="s">
        <v>39</v>
      </c>
      <c r="B147" t="s">
        <v>93</v>
      </c>
      <c r="C147" t="s">
        <v>8</v>
      </c>
      <c r="D147" t="s">
        <v>15</v>
      </c>
      <c r="E147" t="s">
        <v>116</v>
      </c>
      <c r="F147" t="s">
        <v>116</v>
      </c>
      <c r="G147" t="s">
        <v>93</v>
      </c>
      <c r="H147" t="s">
        <v>87</v>
      </c>
      <c r="I147">
        <v>424858</v>
      </c>
      <c r="J147" t="s">
        <v>207</v>
      </c>
      <c r="K147" t="s">
        <v>128</v>
      </c>
      <c r="L147" t="s">
        <v>86</v>
      </c>
      <c r="M147" t="s">
        <v>130</v>
      </c>
      <c r="N147" t="s">
        <v>188</v>
      </c>
      <c r="O147" t="s">
        <v>189</v>
      </c>
      <c r="P147" t="s">
        <v>24</v>
      </c>
      <c r="Q147" t="s">
        <v>87</v>
      </c>
      <c r="R147" t="s">
        <v>87</v>
      </c>
      <c r="S147" s="87">
        <v>45730</v>
      </c>
      <c r="T147" t="s">
        <v>208</v>
      </c>
      <c r="U147" t="s">
        <v>209</v>
      </c>
      <c r="V147">
        <v>26419994</v>
      </c>
      <c r="W147" t="s">
        <v>88</v>
      </c>
      <c r="X147"/>
      <c r="Y147"/>
      <c r="Z147" t="s">
        <v>114</v>
      </c>
      <c r="AA147" t="s">
        <v>115</v>
      </c>
      <c r="AB147" t="s">
        <v>89</v>
      </c>
      <c r="AC147" t="s">
        <v>90</v>
      </c>
    </row>
    <row r="148" spans="1:29" s="2" customFormat="1" x14ac:dyDescent="0.25">
      <c r="A148" t="s">
        <v>39</v>
      </c>
      <c r="B148" t="s">
        <v>93</v>
      </c>
      <c r="C148" t="s">
        <v>8</v>
      </c>
      <c r="D148" t="s">
        <v>15</v>
      </c>
      <c r="E148" t="s">
        <v>116</v>
      </c>
      <c r="F148" t="s">
        <v>116</v>
      </c>
      <c r="G148" t="s">
        <v>93</v>
      </c>
      <c r="H148" t="s">
        <v>87</v>
      </c>
      <c r="I148">
        <v>424858</v>
      </c>
      <c r="J148" t="s">
        <v>207</v>
      </c>
      <c r="K148" t="s">
        <v>128</v>
      </c>
      <c r="L148" t="s">
        <v>86</v>
      </c>
      <c r="M148" t="s">
        <v>130</v>
      </c>
      <c r="N148" t="s">
        <v>188</v>
      </c>
      <c r="O148" t="s">
        <v>202</v>
      </c>
      <c r="P148" t="s">
        <v>210</v>
      </c>
      <c r="Q148" t="s">
        <v>87</v>
      </c>
      <c r="R148" t="s">
        <v>87</v>
      </c>
      <c r="S148" s="87">
        <v>45730</v>
      </c>
      <c r="T148" t="s">
        <v>208</v>
      </c>
      <c r="U148" t="s">
        <v>209</v>
      </c>
      <c r="V148">
        <v>26419994</v>
      </c>
      <c r="W148" t="s">
        <v>88</v>
      </c>
      <c r="X148"/>
      <c r="Y148"/>
      <c r="Z148" t="s">
        <v>114</v>
      </c>
      <c r="AA148" t="s">
        <v>115</v>
      </c>
      <c r="AB148" t="s">
        <v>89</v>
      </c>
      <c r="AC148" t="s">
        <v>90</v>
      </c>
    </row>
    <row r="149" spans="1:29" s="2" customFormat="1" x14ac:dyDescent="0.25">
      <c r="A149" t="s">
        <v>39</v>
      </c>
      <c r="B149" t="s">
        <v>93</v>
      </c>
      <c r="C149" t="s">
        <v>8</v>
      </c>
      <c r="D149" t="s">
        <v>15</v>
      </c>
      <c r="E149" t="s">
        <v>116</v>
      </c>
      <c r="F149" t="s">
        <v>116</v>
      </c>
      <c r="G149" t="s">
        <v>93</v>
      </c>
      <c r="H149" t="s">
        <v>87</v>
      </c>
      <c r="I149">
        <v>180621</v>
      </c>
      <c r="J149" t="s">
        <v>211</v>
      </c>
      <c r="K149" t="s">
        <v>128</v>
      </c>
      <c r="L149" t="s">
        <v>86</v>
      </c>
      <c r="M149" t="s">
        <v>130</v>
      </c>
      <c r="N149" t="s">
        <v>188</v>
      </c>
      <c r="O149" t="s">
        <v>40</v>
      </c>
      <c r="P149" t="s">
        <v>24</v>
      </c>
      <c r="Q149" t="s">
        <v>87</v>
      </c>
      <c r="R149" t="s">
        <v>87</v>
      </c>
      <c r="S149" s="87">
        <v>45731</v>
      </c>
      <c r="T149" t="s">
        <v>212</v>
      </c>
      <c r="U149" t="s">
        <v>213</v>
      </c>
      <c r="V149">
        <v>26419998</v>
      </c>
      <c r="W149" t="s">
        <v>88</v>
      </c>
      <c r="X149"/>
      <c r="Y149"/>
      <c r="Z149" t="s">
        <v>114</v>
      </c>
      <c r="AA149" t="s">
        <v>115</v>
      </c>
      <c r="AB149" t="s">
        <v>89</v>
      </c>
      <c r="AC149" t="s">
        <v>90</v>
      </c>
    </row>
    <row r="150" spans="1:29" s="2" customFormat="1" x14ac:dyDescent="0.25">
      <c r="A150" t="s">
        <v>39</v>
      </c>
      <c r="B150" t="s">
        <v>93</v>
      </c>
      <c r="C150" t="s">
        <v>8</v>
      </c>
      <c r="D150" t="s">
        <v>15</v>
      </c>
      <c r="E150" t="s">
        <v>116</v>
      </c>
      <c r="F150" t="s">
        <v>116</v>
      </c>
      <c r="G150" t="s">
        <v>93</v>
      </c>
      <c r="H150" t="s">
        <v>87</v>
      </c>
      <c r="I150">
        <v>180621</v>
      </c>
      <c r="J150" t="s">
        <v>211</v>
      </c>
      <c r="K150" t="s">
        <v>128</v>
      </c>
      <c r="L150" t="s">
        <v>86</v>
      </c>
      <c r="M150" t="s">
        <v>130</v>
      </c>
      <c r="N150" t="s">
        <v>188</v>
      </c>
      <c r="O150" t="s">
        <v>100</v>
      </c>
      <c r="P150" t="s">
        <v>24</v>
      </c>
      <c r="Q150" t="s">
        <v>87</v>
      </c>
      <c r="R150" t="s">
        <v>87</v>
      </c>
      <c r="S150" s="87">
        <v>45731</v>
      </c>
      <c r="T150" t="s">
        <v>212</v>
      </c>
      <c r="U150" t="s">
        <v>213</v>
      </c>
      <c r="V150">
        <v>26419998</v>
      </c>
      <c r="W150" t="s">
        <v>88</v>
      </c>
      <c r="X150"/>
      <c r="Y150"/>
      <c r="Z150" t="s">
        <v>114</v>
      </c>
      <c r="AA150" t="s">
        <v>115</v>
      </c>
      <c r="AB150" t="s">
        <v>89</v>
      </c>
      <c r="AC150" t="s">
        <v>90</v>
      </c>
    </row>
    <row r="151" spans="1:29" s="2" customFormat="1" x14ac:dyDescent="0.25">
      <c r="A151" t="s">
        <v>39</v>
      </c>
      <c r="B151" t="s">
        <v>93</v>
      </c>
      <c r="C151" t="s">
        <v>8</v>
      </c>
      <c r="D151" t="s">
        <v>15</v>
      </c>
      <c r="E151" t="s">
        <v>116</v>
      </c>
      <c r="F151" t="s">
        <v>116</v>
      </c>
      <c r="G151" t="s">
        <v>93</v>
      </c>
      <c r="H151" t="s">
        <v>87</v>
      </c>
      <c r="I151">
        <v>180621</v>
      </c>
      <c r="J151" t="s">
        <v>211</v>
      </c>
      <c r="K151" t="s">
        <v>128</v>
      </c>
      <c r="L151" t="s">
        <v>86</v>
      </c>
      <c r="M151" t="s">
        <v>130</v>
      </c>
      <c r="N151" t="s">
        <v>188</v>
      </c>
      <c r="O151" t="s">
        <v>136</v>
      </c>
      <c r="P151" t="s">
        <v>24</v>
      </c>
      <c r="Q151" t="s">
        <v>87</v>
      </c>
      <c r="R151" t="s">
        <v>87</v>
      </c>
      <c r="S151" s="87">
        <v>45731</v>
      </c>
      <c r="T151" t="s">
        <v>212</v>
      </c>
      <c r="U151" t="s">
        <v>213</v>
      </c>
      <c r="V151">
        <v>26419998</v>
      </c>
      <c r="W151" t="s">
        <v>88</v>
      </c>
      <c r="X151"/>
      <c r="Y151"/>
      <c r="Z151" t="s">
        <v>114</v>
      </c>
      <c r="AA151" t="s">
        <v>115</v>
      </c>
      <c r="AB151" t="s">
        <v>89</v>
      </c>
      <c r="AC151" t="s">
        <v>90</v>
      </c>
    </row>
    <row r="152" spans="1:29" s="2" customFormat="1" x14ac:dyDescent="0.25">
      <c r="A152" t="s">
        <v>39</v>
      </c>
      <c r="B152" t="s">
        <v>93</v>
      </c>
      <c r="C152" t="s">
        <v>8</v>
      </c>
      <c r="D152" t="s">
        <v>15</v>
      </c>
      <c r="E152" t="s">
        <v>116</v>
      </c>
      <c r="F152" t="s">
        <v>116</v>
      </c>
      <c r="G152" t="s">
        <v>93</v>
      </c>
      <c r="H152" t="s">
        <v>87</v>
      </c>
      <c r="I152">
        <v>180621</v>
      </c>
      <c r="J152" t="s">
        <v>211</v>
      </c>
      <c r="K152" t="s">
        <v>128</v>
      </c>
      <c r="L152" t="s">
        <v>86</v>
      </c>
      <c r="M152" t="s">
        <v>130</v>
      </c>
      <c r="N152" t="s">
        <v>188</v>
      </c>
      <c r="O152" t="s">
        <v>44</v>
      </c>
      <c r="P152" t="s">
        <v>24</v>
      </c>
      <c r="Q152" t="s">
        <v>87</v>
      </c>
      <c r="R152" t="s">
        <v>87</v>
      </c>
      <c r="S152" s="87">
        <v>45731</v>
      </c>
      <c r="T152" t="s">
        <v>212</v>
      </c>
      <c r="U152" t="s">
        <v>213</v>
      </c>
      <c r="V152">
        <v>26419998</v>
      </c>
      <c r="W152" t="s">
        <v>88</v>
      </c>
      <c r="X152"/>
      <c r="Y152"/>
      <c r="Z152" t="s">
        <v>114</v>
      </c>
      <c r="AA152" t="s">
        <v>115</v>
      </c>
      <c r="AB152" t="s">
        <v>89</v>
      </c>
      <c r="AC152" t="s">
        <v>90</v>
      </c>
    </row>
    <row r="153" spans="1:29" s="2" customFormat="1" x14ac:dyDescent="0.25">
      <c r="A153" t="s">
        <v>39</v>
      </c>
      <c r="B153" t="s">
        <v>93</v>
      </c>
      <c r="C153" t="s">
        <v>8</v>
      </c>
      <c r="D153" t="s">
        <v>15</v>
      </c>
      <c r="E153" t="s">
        <v>116</v>
      </c>
      <c r="F153" t="s">
        <v>116</v>
      </c>
      <c r="G153" t="s">
        <v>93</v>
      </c>
      <c r="H153" t="s">
        <v>87</v>
      </c>
      <c r="I153">
        <v>180621</v>
      </c>
      <c r="J153" t="s">
        <v>211</v>
      </c>
      <c r="K153" t="s">
        <v>128</v>
      </c>
      <c r="L153" t="s">
        <v>86</v>
      </c>
      <c r="M153" t="s">
        <v>130</v>
      </c>
      <c r="N153" t="s">
        <v>188</v>
      </c>
      <c r="O153" t="s">
        <v>137</v>
      </c>
      <c r="P153" t="s">
        <v>118</v>
      </c>
      <c r="Q153" t="s">
        <v>87</v>
      </c>
      <c r="R153" t="s">
        <v>87</v>
      </c>
      <c r="S153" s="87">
        <v>45731</v>
      </c>
      <c r="T153" t="s">
        <v>212</v>
      </c>
      <c r="U153" t="s">
        <v>213</v>
      </c>
      <c r="V153">
        <v>26419998</v>
      </c>
      <c r="W153" t="s">
        <v>88</v>
      </c>
      <c r="X153"/>
      <c r="Y153"/>
      <c r="Z153" t="s">
        <v>114</v>
      </c>
      <c r="AA153" t="s">
        <v>115</v>
      </c>
      <c r="AB153" t="s">
        <v>89</v>
      </c>
      <c r="AC153" t="s">
        <v>90</v>
      </c>
    </row>
    <row r="154" spans="1:29" s="2" customFormat="1" x14ac:dyDescent="0.25">
      <c r="A154" t="s">
        <v>39</v>
      </c>
      <c r="B154" t="s">
        <v>93</v>
      </c>
      <c r="C154" t="s">
        <v>8</v>
      </c>
      <c r="D154" t="s">
        <v>15</v>
      </c>
      <c r="E154" t="s">
        <v>116</v>
      </c>
      <c r="F154" t="s">
        <v>116</v>
      </c>
      <c r="G154" t="s">
        <v>93</v>
      </c>
      <c r="H154" t="s">
        <v>87</v>
      </c>
      <c r="I154">
        <v>180621</v>
      </c>
      <c r="J154" t="s">
        <v>211</v>
      </c>
      <c r="K154" t="s">
        <v>128</v>
      </c>
      <c r="L154" t="s">
        <v>86</v>
      </c>
      <c r="M154" t="s">
        <v>130</v>
      </c>
      <c r="N154" t="s">
        <v>188</v>
      </c>
      <c r="O154" t="s">
        <v>43</v>
      </c>
      <c r="P154" t="s">
        <v>24</v>
      </c>
      <c r="Q154" t="s">
        <v>87</v>
      </c>
      <c r="R154" t="s">
        <v>87</v>
      </c>
      <c r="S154" s="87">
        <v>45731</v>
      </c>
      <c r="T154" t="s">
        <v>212</v>
      </c>
      <c r="U154" t="s">
        <v>213</v>
      </c>
      <c r="V154">
        <v>26419998</v>
      </c>
      <c r="W154" t="s">
        <v>88</v>
      </c>
      <c r="X154"/>
      <c r="Y154"/>
      <c r="Z154" t="s">
        <v>114</v>
      </c>
      <c r="AA154" t="s">
        <v>115</v>
      </c>
      <c r="AB154" t="s">
        <v>89</v>
      </c>
      <c r="AC154" t="s">
        <v>90</v>
      </c>
    </row>
    <row r="155" spans="1:29" s="2" customFormat="1" x14ac:dyDescent="0.25">
      <c r="A155" t="s">
        <v>39</v>
      </c>
      <c r="B155" t="s">
        <v>93</v>
      </c>
      <c r="C155" t="s">
        <v>8</v>
      </c>
      <c r="D155" t="s">
        <v>15</v>
      </c>
      <c r="E155" t="s">
        <v>116</v>
      </c>
      <c r="F155" t="s">
        <v>116</v>
      </c>
      <c r="G155" t="s">
        <v>93</v>
      </c>
      <c r="H155" t="s">
        <v>87</v>
      </c>
      <c r="I155">
        <v>180621</v>
      </c>
      <c r="J155" t="s">
        <v>211</v>
      </c>
      <c r="K155" t="s">
        <v>128</v>
      </c>
      <c r="L155" t="s">
        <v>86</v>
      </c>
      <c r="M155" t="s">
        <v>130</v>
      </c>
      <c r="N155" t="s">
        <v>188</v>
      </c>
      <c r="O155" t="s">
        <v>49</v>
      </c>
      <c r="P155" t="s">
        <v>24</v>
      </c>
      <c r="Q155" t="s">
        <v>87</v>
      </c>
      <c r="R155" t="s">
        <v>87</v>
      </c>
      <c r="S155" s="87">
        <v>45731</v>
      </c>
      <c r="T155" t="s">
        <v>212</v>
      </c>
      <c r="U155" t="s">
        <v>213</v>
      </c>
      <c r="V155">
        <v>26419998</v>
      </c>
      <c r="W155" t="s">
        <v>88</v>
      </c>
      <c r="X155"/>
      <c r="Y155"/>
      <c r="Z155" t="s">
        <v>114</v>
      </c>
      <c r="AA155" t="s">
        <v>115</v>
      </c>
      <c r="AB155" t="s">
        <v>89</v>
      </c>
      <c r="AC155" t="s">
        <v>90</v>
      </c>
    </row>
    <row r="156" spans="1:29" s="2" customFormat="1" x14ac:dyDescent="0.25">
      <c r="A156" t="s">
        <v>39</v>
      </c>
      <c r="B156" t="s">
        <v>93</v>
      </c>
      <c r="C156" t="s">
        <v>8</v>
      </c>
      <c r="D156" t="s">
        <v>15</v>
      </c>
      <c r="E156" t="s">
        <v>116</v>
      </c>
      <c r="F156" t="s">
        <v>116</v>
      </c>
      <c r="G156" t="s">
        <v>93</v>
      </c>
      <c r="H156" t="s">
        <v>87</v>
      </c>
      <c r="I156">
        <v>180621</v>
      </c>
      <c r="J156" t="s">
        <v>211</v>
      </c>
      <c r="K156" t="s">
        <v>128</v>
      </c>
      <c r="L156" t="s">
        <v>86</v>
      </c>
      <c r="M156" t="s">
        <v>130</v>
      </c>
      <c r="N156" t="s">
        <v>188</v>
      </c>
      <c r="O156" t="s">
        <v>52</v>
      </c>
      <c r="P156" t="s">
        <v>118</v>
      </c>
      <c r="Q156" t="s">
        <v>87</v>
      </c>
      <c r="R156" t="s">
        <v>87</v>
      </c>
      <c r="S156" s="87">
        <v>45731</v>
      </c>
      <c r="T156" t="s">
        <v>212</v>
      </c>
      <c r="U156" t="s">
        <v>213</v>
      </c>
      <c r="V156">
        <v>26419998</v>
      </c>
      <c r="W156" t="s">
        <v>88</v>
      </c>
      <c r="X156"/>
      <c r="Y156"/>
      <c r="Z156" t="s">
        <v>114</v>
      </c>
      <c r="AA156" t="s">
        <v>115</v>
      </c>
      <c r="AB156" t="s">
        <v>89</v>
      </c>
      <c r="AC156" t="s">
        <v>90</v>
      </c>
    </row>
    <row r="157" spans="1:29" s="2" customFormat="1" x14ac:dyDescent="0.25">
      <c r="A157" t="s">
        <v>39</v>
      </c>
      <c r="B157" t="s">
        <v>93</v>
      </c>
      <c r="C157" t="s">
        <v>8</v>
      </c>
      <c r="D157" t="s">
        <v>15</v>
      </c>
      <c r="E157" t="s">
        <v>116</v>
      </c>
      <c r="F157" t="s">
        <v>116</v>
      </c>
      <c r="G157" t="s">
        <v>93</v>
      </c>
      <c r="H157" t="s">
        <v>87</v>
      </c>
      <c r="I157">
        <v>180621</v>
      </c>
      <c r="J157" t="s">
        <v>211</v>
      </c>
      <c r="K157" t="s">
        <v>128</v>
      </c>
      <c r="L157" t="s">
        <v>86</v>
      </c>
      <c r="M157" t="s">
        <v>130</v>
      </c>
      <c r="N157" t="s">
        <v>188</v>
      </c>
      <c r="O157" t="s">
        <v>48</v>
      </c>
      <c r="P157" t="s">
        <v>118</v>
      </c>
      <c r="Q157" t="s">
        <v>87</v>
      </c>
      <c r="R157" t="s">
        <v>87</v>
      </c>
      <c r="S157" s="87">
        <v>45731</v>
      </c>
      <c r="T157" t="s">
        <v>212</v>
      </c>
      <c r="U157" t="s">
        <v>213</v>
      </c>
      <c r="V157">
        <v>26419998</v>
      </c>
      <c r="W157" t="s">
        <v>88</v>
      </c>
      <c r="X157"/>
      <c r="Y157"/>
      <c r="Z157" t="s">
        <v>114</v>
      </c>
      <c r="AA157" t="s">
        <v>115</v>
      </c>
      <c r="AB157" t="s">
        <v>89</v>
      </c>
      <c r="AC157" t="s">
        <v>90</v>
      </c>
    </row>
    <row r="158" spans="1:29" s="2" customFormat="1" x14ac:dyDescent="0.25">
      <c r="A158" t="s">
        <v>39</v>
      </c>
      <c r="B158" t="s">
        <v>93</v>
      </c>
      <c r="C158" t="s">
        <v>8</v>
      </c>
      <c r="D158" t="s">
        <v>15</v>
      </c>
      <c r="E158" t="s">
        <v>116</v>
      </c>
      <c r="F158" t="s">
        <v>116</v>
      </c>
      <c r="G158" t="s">
        <v>93</v>
      </c>
      <c r="H158" t="s">
        <v>87</v>
      </c>
      <c r="I158">
        <v>180621</v>
      </c>
      <c r="J158" t="s">
        <v>211</v>
      </c>
      <c r="K158" t="s">
        <v>128</v>
      </c>
      <c r="L158" t="s">
        <v>86</v>
      </c>
      <c r="M158" t="s">
        <v>130</v>
      </c>
      <c r="N158" t="s">
        <v>188</v>
      </c>
      <c r="O158" t="s">
        <v>47</v>
      </c>
      <c r="P158" t="s">
        <v>118</v>
      </c>
      <c r="Q158" t="s">
        <v>87</v>
      </c>
      <c r="R158" t="s">
        <v>87</v>
      </c>
      <c r="S158" s="87">
        <v>45731</v>
      </c>
      <c r="T158" t="s">
        <v>212</v>
      </c>
      <c r="U158" t="s">
        <v>213</v>
      </c>
      <c r="V158">
        <v>26419998</v>
      </c>
      <c r="W158" t="s">
        <v>88</v>
      </c>
      <c r="X158"/>
      <c r="Y158"/>
      <c r="Z158" t="s">
        <v>114</v>
      </c>
      <c r="AA158" t="s">
        <v>115</v>
      </c>
      <c r="AB158" t="s">
        <v>89</v>
      </c>
      <c r="AC158" t="s">
        <v>90</v>
      </c>
    </row>
    <row r="159" spans="1:29" s="2" customFormat="1" x14ac:dyDescent="0.25">
      <c r="A159" t="s">
        <v>39</v>
      </c>
      <c r="B159" t="s">
        <v>93</v>
      </c>
      <c r="C159" t="s">
        <v>8</v>
      </c>
      <c r="D159" t="s">
        <v>15</v>
      </c>
      <c r="E159" t="s">
        <v>116</v>
      </c>
      <c r="F159" t="s">
        <v>116</v>
      </c>
      <c r="G159" t="s">
        <v>93</v>
      </c>
      <c r="H159" t="s">
        <v>87</v>
      </c>
      <c r="I159">
        <v>180621</v>
      </c>
      <c r="J159" t="s">
        <v>211</v>
      </c>
      <c r="K159" t="s">
        <v>128</v>
      </c>
      <c r="L159" t="s">
        <v>86</v>
      </c>
      <c r="M159" t="s">
        <v>130</v>
      </c>
      <c r="N159" t="s">
        <v>188</v>
      </c>
      <c r="O159" t="s">
        <v>46</v>
      </c>
      <c r="P159" t="s">
        <v>24</v>
      </c>
      <c r="Q159" t="s">
        <v>87</v>
      </c>
      <c r="R159" t="s">
        <v>87</v>
      </c>
      <c r="S159" s="87">
        <v>45731</v>
      </c>
      <c r="T159" t="s">
        <v>212</v>
      </c>
      <c r="U159" t="s">
        <v>213</v>
      </c>
      <c r="V159">
        <v>26419998</v>
      </c>
      <c r="W159" t="s">
        <v>88</v>
      </c>
      <c r="X159"/>
      <c r="Y159"/>
      <c r="Z159" t="s">
        <v>114</v>
      </c>
      <c r="AA159" t="s">
        <v>115</v>
      </c>
      <c r="AB159" t="s">
        <v>89</v>
      </c>
      <c r="AC159" t="s">
        <v>90</v>
      </c>
    </row>
    <row r="160" spans="1:29" s="2" customFormat="1" x14ac:dyDescent="0.25">
      <c r="A160" t="s">
        <v>39</v>
      </c>
      <c r="B160" t="s">
        <v>93</v>
      </c>
      <c r="C160" t="s">
        <v>8</v>
      </c>
      <c r="D160" t="s">
        <v>15</v>
      </c>
      <c r="E160" t="s">
        <v>116</v>
      </c>
      <c r="F160" t="s">
        <v>116</v>
      </c>
      <c r="G160" t="s">
        <v>93</v>
      </c>
      <c r="H160" t="s">
        <v>87</v>
      </c>
      <c r="I160">
        <v>180621</v>
      </c>
      <c r="J160" t="s">
        <v>211</v>
      </c>
      <c r="K160" t="s">
        <v>128</v>
      </c>
      <c r="L160" t="s">
        <v>86</v>
      </c>
      <c r="M160" t="s">
        <v>130</v>
      </c>
      <c r="N160" t="s">
        <v>188</v>
      </c>
      <c r="O160" t="s">
        <v>138</v>
      </c>
      <c r="P160" t="s">
        <v>24</v>
      </c>
      <c r="Q160" t="s">
        <v>87</v>
      </c>
      <c r="R160" t="s">
        <v>87</v>
      </c>
      <c r="S160" s="87">
        <v>45731</v>
      </c>
      <c r="T160" t="s">
        <v>212</v>
      </c>
      <c r="U160" t="s">
        <v>213</v>
      </c>
      <c r="V160">
        <v>26419998</v>
      </c>
      <c r="W160" t="s">
        <v>88</v>
      </c>
      <c r="X160"/>
      <c r="Y160"/>
      <c r="Z160" t="s">
        <v>114</v>
      </c>
      <c r="AA160" t="s">
        <v>115</v>
      </c>
      <c r="AB160" t="s">
        <v>89</v>
      </c>
      <c r="AC160" t="s">
        <v>90</v>
      </c>
    </row>
    <row r="161" spans="1:29" s="2" customFormat="1" x14ac:dyDescent="0.25">
      <c r="A161" t="s">
        <v>39</v>
      </c>
      <c r="B161" t="s">
        <v>93</v>
      </c>
      <c r="C161" t="s">
        <v>8</v>
      </c>
      <c r="D161" t="s">
        <v>15</v>
      </c>
      <c r="E161" t="s">
        <v>116</v>
      </c>
      <c r="F161" t="s">
        <v>116</v>
      </c>
      <c r="G161" t="s">
        <v>93</v>
      </c>
      <c r="H161" t="s">
        <v>87</v>
      </c>
      <c r="I161">
        <v>180621</v>
      </c>
      <c r="J161" t="s">
        <v>211</v>
      </c>
      <c r="K161" t="s">
        <v>128</v>
      </c>
      <c r="L161" t="s">
        <v>86</v>
      </c>
      <c r="M161" t="s">
        <v>130</v>
      </c>
      <c r="N161" t="s">
        <v>188</v>
      </c>
      <c r="O161" t="s">
        <v>101</v>
      </c>
      <c r="P161" t="s">
        <v>24</v>
      </c>
      <c r="Q161" t="s">
        <v>87</v>
      </c>
      <c r="R161" t="s">
        <v>87</v>
      </c>
      <c r="S161" s="87">
        <v>45731</v>
      </c>
      <c r="T161" t="s">
        <v>212</v>
      </c>
      <c r="U161" t="s">
        <v>213</v>
      </c>
      <c r="V161">
        <v>26419998</v>
      </c>
      <c r="W161" t="s">
        <v>88</v>
      </c>
      <c r="X161"/>
      <c r="Y161"/>
      <c r="Z161" t="s">
        <v>114</v>
      </c>
      <c r="AA161" t="s">
        <v>115</v>
      </c>
      <c r="AB161" t="s">
        <v>89</v>
      </c>
      <c r="AC161" t="s">
        <v>90</v>
      </c>
    </row>
    <row r="162" spans="1:29" s="2" customFormat="1" x14ac:dyDescent="0.25">
      <c r="A162" t="s">
        <v>39</v>
      </c>
      <c r="B162" t="s">
        <v>93</v>
      </c>
      <c r="C162" t="s">
        <v>8</v>
      </c>
      <c r="D162" t="s">
        <v>15</v>
      </c>
      <c r="E162" t="s">
        <v>116</v>
      </c>
      <c r="F162" t="s">
        <v>116</v>
      </c>
      <c r="G162" t="s">
        <v>93</v>
      </c>
      <c r="H162" t="s">
        <v>87</v>
      </c>
      <c r="I162">
        <v>180621</v>
      </c>
      <c r="J162" t="s">
        <v>211</v>
      </c>
      <c r="K162" t="s">
        <v>128</v>
      </c>
      <c r="L162" t="s">
        <v>86</v>
      </c>
      <c r="M162" t="s">
        <v>130</v>
      </c>
      <c r="N162" t="s">
        <v>188</v>
      </c>
      <c r="O162" t="s">
        <v>99</v>
      </c>
      <c r="P162" t="s">
        <v>24</v>
      </c>
      <c r="Q162" t="s">
        <v>87</v>
      </c>
      <c r="R162" t="s">
        <v>87</v>
      </c>
      <c r="S162" s="87">
        <v>45731</v>
      </c>
      <c r="T162" t="s">
        <v>212</v>
      </c>
      <c r="U162" t="s">
        <v>213</v>
      </c>
      <c r="V162">
        <v>26419998</v>
      </c>
      <c r="W162" t="s">
        <v>88</v>
      </c>
      <c r="X162"/>
      <c r="Y162"/>
      <c r="Z162" t="s">
        <v>114</v>
      </c>
      <c r="AA162" t="s">
        <v>115</v>
      </c>
      <c r="AB162" t="s">
        <v>89</v>
      </c>
      <c r="AC162" t="s">
        <v>90</v>
      </c>
    </row>
    <row r="163" spans="1:29" s="2" customFormat="1" x14ac:dyDescent="0.25">
      <c r="A163" t="s">
        <v>39</v>
      </c>
      <c r="B163" t="s">
        <v>93</v>
      </c>
      <c r="C163" t="s">
        <v>8</v>
      </c>
      <c r="D163" t="s">
        <v>15</v>
      </c>
      <c r="E163" t="s">
        <v>116</v>
      </c>
      <c r="F163" t="s">
        <v>116</v>
      </c>
      <c r="G163" t="s">
        <v>93</v>
      </c>
      <c r="H163" t="s">
        <v>87</v>
      </c>
      <c r="I163">
        <v>180621</v>
      </c>
      <c r="J163" t="s">
        <v>211</v>
      </c>
      <c r="K163" t="s">
        <v>128</v>
      </c>
      <c r="L163" t="s">
        <v>86</v>
      </c>
      <c r="M163" t="s">
        <v>130</v>
      </c>
      <c r="N163" t="s">
        <v>188</v>
      </c>
      <c r="O163" t="s">
        <v>102</v>
      </c>
      <c r="P163" t="s">
        <v>167</v>
      </c>
      <c r="Q163" t="s">
        <v>87</v>
      </c>
      <c r="R163" t="s">
        <v>87</v>
      </c>
      <c r="S163" s="87">
        <v>45731</v>
      </c>
      <c r="T163" t="s">
        <v>212</v>
      </c>
      <c r="U163" t="s">
        <v>213</v>
      </c>
      <c r="V163">
        <v>26419998</v>
      </c>
      <c r="W163" t="s">
        <v>88</v>
      </c>
      <c r="X163"/>
      <c r="Y163"/>
      <c r="Z163" t="s">
        <v>114</v>
      </c>
      <c r="AA163" t="s">
        <v>115</v>
      </c>
      <c r="AB163" t="s">
        <v>89</v>
      </c>
      <c r="AC163" t="s">
        <v>90</v>
      </c>
    </row>
    <row r="164" spans="1:29" s="2" customFormat="1" x14ac:dyDescent="0.25">
      <c r="A164" t="s">
        <v>39</v>
      </c>
      <c r="B164" t="s">
        <v>93</v>
      </c>
      <c r="C164" t="s">
        <v>8</v>
      </c>
      <c r="D164" t="s">
        <v>15</v>
      </c>
      <c r="E164" t="s">
        <v>116</v>
      </c>
      <c r="F164" t="s">
        <v>116</v>
      </c>
      <c r="G164" t="s">
        <v>93</v>
      </c>
      <c r="H164" t="s">
        <v>87</v>
      </c>
      <c r="I164">
        <v>180621</v>
      </c>
      <c r="J164" t="s">
        <v>211</v>
      </c>
      <c r="K164" t="s">
        <v>128</v>
      </c>
      <c r="L164" t="s">
        <v>86</v>
      </c>
      <c r="M164" t="s">
        <v>130</v>
      </c>
      <c r="N164" t="s">
        <v>188</v>
      </c>
      <c r="O164" t="s">
        <v>169</v>
      </c>
      <c r="P164" t="s">
        <v>24</v>
      </c>
      <c r="Q164" t="s">
        <v>87</v>
      </c>
      <c r="R164" t="s">
        <v>87</v>
      </c>
      <c r="S164" s="87">
        <v>45731</v>
      </c>
      <c r="T164" t="s">
        <v>212</v>
      </c>
      <c r="U164" t="s">
        <v>213</v>
      </c>
      <c r="V164">
        <v>26419998</v>
      </c>
      <c r="W164" t="s">
        <v>88</v>
      </c>
      <c r="X164"/>
      <c r="Y164"/>
      <c r="Z164" t="s">
        <v>114</v>
      </c>
      <c r="AA164" t="s">
        <v>115</v>
      </c>
      <c r="AB164" t="s">
        <v>89</v>
      </c>
      <c r="AC164" t="s">
        <v>90</v>
      </c>
    </row>
    <row r="165" spans="1:29" s="2" customFormat="1" x14ac:dyDescent="0.25">
      <c r="A165" t="s">
        <v>39</v>
      </c>
      <c r="B165" t="s">
        <v>93</v>
      </c>
      <c r="C165" t="s">
        <v>8</v>
      </c>
      <c r="D165" t="s">
        <v>15</v>
      </c>
      <c r="E165" t="s">
        <v>116</v>
      </c>
      <c r="F165" t="s">
        <v>116</v>
      </c>
      <c r="G165" t="s">
        <v>93</v>
      </c>
      <c r="H165" t="s">
        <v>87</v>
      </c>
      <c r="I165">
        <v>180621</v>
      </c>
      <c r="J165" t="s">
        <v>211</v>
      </c>
      <c r="K165" t="s">
        <v>128</v>
      </c>
      <c r="L165" t="s">
        <v>86</v>
      </c>
      <c r="M165" t="s">
        <v>130</v>
      </c>
      <c r="N165" t="s">
        <v>188</v>
      </c>
      <c r="O165" t="s">
        <v>171</v>
      </c>
      <c r="P165" t="s">
        <v>24</v>
      </c>
      <c r="Q165" t="s">
        <v>87</v>
      </c>
      <c r="R165" t="s">
        <v>87</v>
      </c>
      <c r="S165" s="87">
        <v>45731</v>
      </c>
      <c r="T165" t="s">
        <v>212</v>
      </c>
      <c r="U165" t="s">
        <v>213</v>
      </c>
      <c r="V165">
        <v>26419998</v>
      </c>
      <c r="W165" t="s">
        <v>88</v>
      </c>
      <c r="X165"/>
      <c r="Y165"/>
      <c r="Z165" t="s">
        <v>114</v>
      </c>
      <c r="AA165" t="s">
        <v>115</v>
      </c>
      <c r="AB165" t="s">
        <v>89</v>
      </c>
      <c r="AC165" t="s">
        <v>90</v>
      </c>
    </row>
    <row r="166" spans="1:29" s="2" customFormat="1" x14ac:dyDescent="0.25">
      <c r="A166" t="s">
        <v>39</v>
      </c>
      <c r="B166" t="s">
        <v>93</v>
      </c>
      <c r="C166" t="s">
        <v>8</v>
      </c>
      <c r="D166" t="s">
        <v>15</v>
      </c>
      <c r="E166" t="s">
        <v>116</v>
      </c>
      <c r="F166" t="s">
        <v>116</v>
      </c>
      <c r="G166" t="s">
        <v>93</v>
      </c>
      <c r="H166" t="s">
        <v>87</v>
      </c>
      <c r="I166">
        <v>180621</v>
      </c>
      <c r="J166" t="s">
        <v>211</v>
      </c>
      <c r="K166" t="s">
        <v>128</v>
      </c>
      <c r="L166" t="s">
        <v>86</v>
      </c>
      <c r="M166" t="s">
        <v>130</v>
      </c>
      <c r="N166" t="s">
        <v>188</v>
      </c>
      <c r="O166" t="s">
        <v>173</v>
      </c>
      <c r="P166" t="s">
        <v>24</v>
      </c>
      <c r="Q166" t="s">
        <v>87</v>
      </c>
      <c r="R166" t="s">
        <v>87</v>
      </c>
      <c r="S166" s="87">
        <v>45731</v>
      </c>
      <c r="T166" t="s">
        <v>212</v>
      </c>
      <c r="U166" t="s">
        <v>213</v>
      </c>
      <c r="V166">
        <v>26419998</v>
      </c>
      <c r="W166" t="s">
        <v>88</v>
      </c>
      <c r="X166"/>
      <c r="Y166"/>
      <c r="Z166" t="s">
        <v>114</v>
      </c>
      <c r="AA166" t="s">
        <v>115</v>
      </c>
      <c r="AB166" t="s">
        <v>89</v>
      </c>
      <c r="AC166" t="s">
        <v>90</v>
      </c>
    </row>
    <row r="167" spans="1:29" s="2" customFormat="1" x14ac:dyDescent="0.25">
      <c r="A167" t="s">
        <v>39</v>
      </c>
      <c r="B167" t="s">
        <v>93</v>
      </c>
      <c r="C167" t="s">
        <v>8</v>
      </c>
      <c r="D167" t="s">
        <v>15</v>
      </c>
      <c r="E167" t="s">
        <v>116</v>
      </c>
      <c r="F167" t="s">
        <v>116</v>
      </c>
      <c r="G167" t="s">
        <v>93</v>
      </c>
      <c r="H167" t="s">
        <v>87</v>
      </c>
      <c r="I167">
        <v>180621</v>
      </c>
      <c r="J167" t="s">
        <v>211</v>
      </c>
      <c r="K167" t="s">
        <v>128</v>
      </c>
      <c r="L167" t="s">
        <v>86</v>
      </c>
      <c r="M167" t="s">
        <v>130</v>
      </c>
      <c r="N167" t="s">
        <v>188</v>
      </c>
      <c r="O167" t="s">
        <v>175</v>
      </c>
      <c r="P167" t="s">
        <v>24</v>
      </c>
      <c r="Q167" t="s">
        <v>87</v>
      </c>
      <c r="R167" t="s">
        <v>87</v>
      </c>
      <c r="S167" s="87">
        <v>45731</v>
      </c>
      <c r="T167" t="s">
        <v>212</v>
      </c>
      <c r="U167" t="s">
        <v>213</v>
      </c>
      <c r="V167">
        <v>26419998</v>
      </c>
      <c r="W167" t="s">
        <v>88</v>
      </c>
      <c r="X167"/>
      <c r="Y167"/>
      <c r="Z167" t="s">
        <v>114</v>
      </c>
      <c r="AA167" t="s">
        <v>115</v>
      </c>
      <c r="AB167" t="s">
        <v>89</v>
      </c>
      <c r="AC167" t="s">
        <v>90</v>
      </c>
    </row>
    <row r="168" spans="1:29" s="2" customFormat="1" x14ac:dyDescent="0.25">
      <c r="A168" t="s">
        <v>39</v>
      </c>
      <c r="B168" t="s">
        <v>93</v>
      </c>
      <c r="C168" t="s">
        <v>8</v>
      </c>
      <c r="D168" t="s">
        <v>15</v>
      </c>
      <c r="E168" t="s">
        <v>116</v>
      </c>
      <c r="F168" t="s">
        <v>116</v>
      </c>
      <c r="G168" t="s">
        <v>93</v>
      </c>
      <c r="H168" t="s">
        <v>87</v>
      </c>
      <c r="I168">
        <v>180621</v>
      </c>
      <c r="J168" t="s">
        <v>211</v>
      </c>
      <c r="K168" t="s">
        <v>128</v>
      </c>
      <c r="L168" t="s">
        <v>86</v>
      </c>
      <c r="M168" t="s">
        <v>130</v>
      </c>
      <c r="N168" t="s">
        <v>188</v>
      </c>
      <c r="O168" t="s">
        <v>177</v>
      </c>
      <c r="P168" t="s">
        <v>118</v>
      </c>
      <c r="Q168" t="s">
        <v>87</v>
      </c>
      <c r="R168" t="s">
        <v>87</v>
      </c>
      <c r="S168" s="87">
        <v>45731</v>
      </c>
      <c r="T168" t="s">
        <v>212</v>
      </c>
      <c r="U168" t="s">
        <v>213</v>
      </c>
      <c r="V168">
        <v>26419998</v>
      </c>
      <c r="W168" t="s">
        <v>88</v>
      </c>
      <c r="X168"/>
      <c r="Y168"/>
      <c r="Z168" t="s">
        <v>114</v>
      </c>
      <c r="AA168" t="s">
        <v>115</v>
      </c>
      <c r="AB168" t="s">
        <v>89</v>
      </c>
      <c r="AC168" t="s">
        <v>90</v>
      </c>
    </row>
    <row r="169" spans="1:29" s="2" customFormat="1" x14ac:dyDescent="0.25">
      <c r="A169" t="s">
        <v>39</v>
      </c>
      <c r="B169" t="s">
        <v>93</v>
      </c>
      <c r="C169" t="s">
        <v>8</v>
      </c>
      <c r="D169" t="s">
        <v>15</v>
      </c>
      <c r="E169" t="s">
        <v>116</v>
      </c>
      <c r="F169" t="s">
        <v>116</v>
      </c>
      <c r="G169" t="s">
        <v>93</v>
      </c>
      <c r="H169" t="s">
        <v>87</v>
      </c>
      <c r="I169">
        <v>180621</v>
      </c>
      <c r="J169" t="s">
        <v>211</v>
      </c>
      <c r="K169" t="s">
        <v>128</v>
      </c>
      <c r="L169" t="s">
        <v>86</v>
      </c>
      <c r="M169" t="s">
        <v>130</v>
      </c>
      <c r="N169" t="s">
        <v>188</v>
      </c>
      <c r="O169" t="s">
        <v>41</v>
      </c>
      <c r="P169" t="s">
        <v>24</v>
      </c>
      <c r="Q169" t="s">
        <v>87</v>
      </c>
      <c r="R169" t="s">
        <v>87</v>
      </c>
      <c r="S169" s="87">
        <v>45731</v>
      </c>
      <c r="T169" t="s">
        <v>212</v>
      </c>
      <c r="U169" t="s">
        <v>213</v>
      </c>
      <c r="V169">
        <v>26419998</v>
      </c>
      <c r="W169" t="s">
        <v>88</v>
      </c>
      <c r="X169"/>
      <c r="Y169"/>
      <c r="Z169" t="s">
        <v>114</v>
      </c>
      <c r="AA169" t="s">
        <v>115</v>
      </c>
      <c r="AB169" t="s">
        <v>89</v>
      </c>
      <c r="AC169" t="s">
        <v>90</v>
      </c>
    </row>
    <row r="170" spans="1:29" s="2" customFormat="1" x14ac:dyDescent="0.25">
      <c r="A170" t="s">
        <v>39</v>
      </c>
      <c r="B170" t="s">
        <v>93</v>
      </c>
      <c r="C170" t="s">
        <v>8</v>
      </c>
      <c r="D170" t="s">
        <v>15</v>
      </c>
      <c r="E170" t="s">
        <v>116</v>
      </c>
      <c r="F170" t="s">
        <v>116</v>
      </c>
      <c r="G170" t="s">
        <v>93</v>
      </c>
      <c r="H170" t="s">
        <v>87</v>
      </c>
      <c r="I170">
        <v>180621</v>
      </c>
      <c r="J170" t="s">
        <v>211</v>
      </c>
      <c r="K170" t="s">
        <v>128</v>
      </c>
      <c r="L170" t="s">
        <v>86</v>
      </c>
      <c r="M170" t="s">
        <v>130</v>
      </c>
      <c r="N170" t="s">
        <v>188</v>
      </c>
      <c r="O170" s="27" t="s">
        <v>51</v>
      </c>
      <c r="P170" t="s">
        <v>24</v>
      </c>
      <c r="Q170"/>
      <c r="R170"/>
      <c r="S170" s="87">
        <v>45731</v>
      </c>
      <c r="T170" t="s">
        <v>212</v>
      </c>
      <c r="U170" t="s">
        <v>213</v>
      </c>
      <c r="V170">
        <v>26419998</v>
      </c>
      <c r="W170" t="s">
        <v>88</v>
      </c>
      <c r="X170"/>
      <c r="Y170"/>
      <c r="Z170" t="s">
        <v>114</v>
      </c>
      <c r="AA170" t="s">
        <v>115</v>
      </c>
      <c r="AB170" t="s">
        <v>89</v>
      </c>
      <c r="AC170" t="s">
        <v>90</v>
      </c>
    </row>
    <row r="171" spans="1:29" s="2" customFormat="1" x14ac:dyDescent="0.25">
      <c r="A171" t="s">
        <v>39</v>
      </c>
      <c r="B171" t="s">
        <v>93</v>
      </c>
      <c r="C171" t="s">
        <v>8</v>
      </c>
      <c r="D171" t="s">
        <v>15</v>
      </c>
      <c r="E171" t="s">
        <v>116</v>
      </c>
      <c r="F171" t="s">
        <v>116</v>
      </c>
      <c r="G171" t="s">
        <v>93</v>
      </c>
      <c r="H171" t="s">
        <v>87</v>
      </c>
      <c r="I171">
        <v>180621</v>
      </c>
      <c r="J171" t="s">
        <v>211</v>
      </c>
      <c r="K171" t="s">
        <v>128</v>
      </c>
      <c r="L171" t="s">
        <v>86</v>
      </c>
      <c r="M171" t="s">
        <v>130</v>
      </c>
      <c r="N171" t="s">
        <v>188</v>
      </c>
      <c r="O171" t="s">
        <v>50</v>
      </c>
      <c r="P171" t="s">
        <v>24</v>
      </c>
      <c r="Q171" t="s">
        <v>87</v>
      </c>
      <c r="R171" t="s">
        <v>87</v>
      </c>
      <c r="S171" s="87">
        <v>45731</v>
      </c>
      <c r="T171" t="s">
        <v>212</v>
      </c>
      <c r="U171" t="s">
        <v>213</v>
      </c>
      <c r="V171">
        <v>26419998</v>
      </c>
      <c r="W171" t="s">
        <v>88</v>
      </c>
      <c r="X171"/>
      <c r="Y171"/>
      <c r="Z171" t="s">
        <v>114</v>
      </c>
      <c r="AA171" t="s">
        <v>115</v>
      </c>
      <c r="AB171" t="s">
        <v>89</v>
      </c>
      <c r="AC171" t="s">
        <v>90</v>
      </c>
    </row>
    <row r="172" spans="1:29" s="2" customFormat="1" x14ac:dyDescent="0.25">
      <c r="A172" t="s">
        <v>39</v>
      </c>
      <c r="B172" t="s">
        <v>93</v>
      </c>
      <c r="C172" t="s">
        <v>8</v>
      </c>
      <c r="D172" t="s">
        <v>15</v>
      </c>
      <c r="E172" t="s">
        <v>116</v>
      </c>
      <c r="F172" t="s">
        <v>116</v>
      </c>
      <c r="G172" t="s">
        <v>93</v>
      </c>
      <c r="H172" t="s">
        <v>87</v>
      </c>
      <c r="I172">
        <v>180621</v>
      </c>
      <c r="J172" t="s">
        <v>211</v>
      </c>
      <c r="K172" t="s">
        <v>128</v>
      </c>
      <c r="L172" t="s">
        <v>86</v>
      </c>
      <c r="M172" t="s">
        <v>130</v>
      </c>
      <c r="N172" t="s">
        <v>188</v>
      </c>
      <c r="O172" t="s">
        <v>148</v>
      </c>
      <c r="P172" t="s">
        <v>118</v>
      </c>
      <c r="Q172" t="s">
        <v>87</v>
      </c>
      <c r="R172" t="s">
        <v>87</v>
      </c>
      <c r="S172" s="87">
        <v>45731</v>
      </c>
      <c r="T172" t="s">
        <v>212</v>
      </c>
      <c r="U172" t="s">
        <v>213</v>
      </c>
      <c r="V172">
        <v>26419998</v>
      </c>
      <c r="W172" t="s">
        <v>88</v>
      </c>
      <c r="X172"/>
      <c r="Y172"/>
      <c r="Z172" t="s">
        <v>114</v>
      </c>
      <c r="AA172" t="s">
        <v>115</v>
      </c>
      <c r="AB172" t="s">
        <v>89</v>
      </c>
      <c r="AC172" t="s">
        <v>90</v>
      </c>
    </row>
    <row r="173" spans="1:29" s="2" customFormat="1" x14ac:dyDescent="0.25">
      <c r="A173" t="s">
        <v>39</v>
      </c>
      <c r="B173" t="s">
        <v>93</v>
      </c>
      <c r="C173" t="s">
        <v>8</v>
      </c>
      <c r="D173" t="s">
        <v>15</v>
      </c>
      <c r="E173" t="s">
        <v>116</v>
      </c>
      <c r="F173" t="s">
        <v>116</v>
      </c>
      <c r="G173" t="s">
        <v>93</v>
      </c>
      <c r="H173" t="s">
        <v>87</v>
      </c>
      <c r="I173">
        <v>180621</v>
      </c>
      <c r="J173" t="s">
        <v>211</v>
      </c>
      <c r="K173" t="s">
        <v>128</v>
      </c>
      <c r="L173" t="s">
        <v>86</v>
      </c>
      <c r="M173" t="s">
        <v>130</v>
      </c>
      <c r="N173" t="s">
        <v>188</v>
      </c>
      <c r="O173" t="s">
        <v>45</v>
      </c>
      <c r="P173" t="s">
        <v>24</v>
      </c>
      <c r="Q173" t="s">
        <v>87</v>
      </c>
      <c r="R173" t="s">
        <v>87</v>
      </c>
      <c r="S173" s="87">
        <v>45731</v>
      </c>
      <c r="T173" t="s">
        <v>212</v>
      </c>
      <c r="U173" t="s">
        <v>213</v>
      </c>
      <c r="V173">
        <v>26419998</v>
      </c>
      <c r="W173" t="s">
        <v>88</v>
      </c>
      <c r="X173"/>
      <c r="Y173"/>
      <c r="Z173" t="s">
        <v>114</v>
      </c>
      <c r="AA173" t="s">
        <v>115</v>
      </c>
      <c r="AB173" t="s">
        <v>89</v>
      </c>
      <c r="AC173" t="s">
        <v>90</v>
      </c>
    </row>
    <row r="174" spans="1:29" s="2" customFormat="1" x14ac:dyDescent="0.25">
      <c r="A174" t="s">
        <v>39</v>
      </c>
      <c r="B174" t="s">
        <v>93</v>
      </c>
      <c r="C174" t="s">
        <v>8</v>
      </c>
      <c r="D174" t="s">
        <v>15</v>
      </c>
      <c r="E174" t="s">
        <v>116</v>
      </c>
      <c r="F174" t="s">
        <v>116</v>
      </c>
      <c r="G174" t="s">
        <v>93</v>
      </c>
      <c r="H174" t="s">
        <v>87</v>
      </c>
      <c r="I174">
        <v>180621</v>
      </c>
      <c r="J174" t="s">
        <v>211</v>
      </c>
      <c r="K174" t="s">
        <v>128</v>
      </c>
      <c r="L174" t="s">
        <v>86</v>
      </c>
      <c r="M174" t="s">
        <v>130</v>
      </c>
      <c r="N174" t="s">
        <v>188</v>
      </c>
      <c r="O174" t="s">
        <v>189</v>
      </c>
      <c r="P174" t="s">
        <v>118</v>
      </c>
      <c r="Q174" t="s">
        <v>87</v>
      </c>
      <c r="R174" t="s">
        <v>87</v>
      </c>
      <c r="S174" s="87">
        <v>45731</v>
      </c>
      <c r="T174" t="s">
        <v>212</v>
      </c>
      <c r="U174" t="s">
        <v>213</v>
      </c>
      <c r="V174">
        <v>26419998</v>
      </c>
      <c r="W174" t="s">
        <v>88</v>
      </c>
      <c r="X174"/>
      <c r="Y174"/>
      <c r="Z174" t="s">
        <v>114</v>
      </c>
      <c r="AA174" t="s">
        <v>115</v>
      </c>
      <c r="AB174" t="s">
        <v>89</v>
      </c>
      <c r="AC174" t="s">
        <v>90</v>
      </c>
    </row>
    <row r="175" spans="1:29" s="2" customFormat="1" x14ac:dyDescent="0.25">
      <c r="A175" t="s">
        <v>39</v>
      </c>
      <c r="B175" t="s">
        <v>93</v>
      </c>
      <c r="C175" t="s">
        <v>8</v>
      </c>
      <c r="D175" t="s">
        <v>15</v>
      </c>
      <c r="E175" t="s">
        <v>116</v>
      </c>
      <c r="F175" t="s">
        <v>116</v>
      </c>
      <c r="G175" t="s">
        <v>93</v>
      </c>
      <c r="H175" t="s">
        <v>87</v>
      </c>
      <c r="I175">
        <v>180619</v>
      </c>
      <c r="J175" t="s">
        <v>214</v>
      </c>
      <c r="K175" t="s">
        <v>128</v>
      </c>
      <c r="L175" t="s">
        <v>86</v>
      </c>
      <c r="M175" t="s">
        <v>130</v>
      </c>
      <c r="N175" t="s">
        <v>188</v>
      </c>
      <c r="O175" t="s">
        <v>40</v>
      </c>
      <c r="P175" t="s">
        <v>118</v>
      </c>
      <c r="Q175" t="s">
        <v>87</v>
      </c>
      <c r="R175" t="s">
        <v>87</v>
      </c>
      <c r="S175" s="87">
        <v>45731</v>
      </c>
      <c r="T175" t="s">
        <v>215</v>
      </c>
      <c r="U175" t="s">
        <v>216</v>
      </c>
      <c r="V175">
        <v>26420000</v>
      </c>
      <c r="W175" t="s">
        <v>88</v>
      </c>
      <c r="X175"/>
      <c r="Y175"/>
      <c r="Z175" t="s">
        <v>114</v>
      </c>
      <c r="AA175" t="s">
        <v>115</v>
      </c>
      <c r="AB175" t="s">
        <v>89</v>
      </c>
      <c r="AC175" t="s">
        <v>90</v>
      </c>
    </row>
    <row r="176" spans="1:29" s="2" customFormat="1" x14ac:dyDescent="0.25">
      <c r="A176" t="s">
        <v>39</v>
      </c>
      <c r="B176" t="s">
        <v>93</v>
      </c>
      <c r="C176" t="s">
        <v>8</v>
      </c>
      <c r="D176" t="s">
        <v>15</v>
      </c>
      <c r="E176" t="s">
        <v>116</v>
      </c>
      <c r="F176" t="s">
        <v>116</v>
      </c>
      <c r="G176" t="s">
        <v>93</v>
      </c>
      <c r="H176" t="s">
        <v>87</v>
      </c>
      <c r="I176">
        <v>180619</v>
      </c>
      <c r="J176" t="s">
        <v>214</v>
      </c>
      <c r="K176" t="s">
        <v>128</v>
      </c>
      <c r="L176" t="s">
        <v>86</v>
      </c>
      <c r="M176" t="s">
        <v>130</v>
      </c>
      <c r="N176" t="s">
        <v>188</v>
      </c>
      <c r="O176" t="s">
        <v>189</v>
      </c>
      <c r="P176" t="s">
        <v>24</v>
      </c>
      <c r="Q176" t="s">
        <v>87</v>
      </c>
      <c r="R176" t="s">
        <v>87</v>
      </c>
      <c r="S176" s="87">
        <v>45731</v>
      </c>
      <c r="T176" t="s">
        <v>215</v>
      </c>
      <c r="U176" t="s">
        <v>216</v>
      </c>
      <c r="V176">
        <v>26420000</v>
      </c>
      <c r="W176" t="s">
        <v>88</v>
      </c>
      <c r="X176"/>
      <c r="Y176"/>
      <c r="Z176" t="s">
        <v>114</v>
      </c>
      <c r="AA176" t="s">
        <v>115</v>
      </c>
      <c r="AB176" t="s">
        <v>89</v>
      </c>
      <c r="AC176" t="s">
        <v>90</v>
      </c>
    </row>
    <row r="177" spans="1:29" s="2" customFormat="1" x14ac:dyDescent="0.25">
      <c r="A177" t="s">
        <v>39</v>
      </c>
      <c r="B177" t="s">
        <v>93</v>
      </c>
      <c r="C177" t="s">
        <v>8</v>
      </c>
      <c r="D177" t="s">
        <v>15</v>
      </c>
      <c r="E177" t="s">
        <v>116</v>
      </c>
      <c r="F177" t="s">
        <v>116</v>
      </c>
      <c r="G177" t="s">
        <v>93</v>
      </c>
      <c r="H177" t="s">
        <v>87</v>
      </c>
      <c r="I177">
        <v>180619</v>
      </c>
      <c r="J177" t="s">
        <v>214</v>
      </c>
      <c r="K177" t="s">
        <v>128</v>
      </c>
      <c r="L177" t="s">
        <v>86</v>
      </c>
      <c r="M177" t="s">
        <v>130</v>
      </c>
      <c r="N177" t="s">
        <v>188</v>
      </c>
      <c r="O177" t="s">
        <v>202</v>
      </c>
      <c r="P177" t="s">
        <v>217</v>
      </c>
      <c r="Q177" t="s">
        <v>87</v>
      </c>
      <c r="R177" t="s">
        <v>87</v>
      </c>
      <c r="S177" s="87">
        <v>45731</v>
      </c>
      <c r="T177" t="s">
        <v>215</v>
      </c>
      <c r="U177" t="s">
        <v>216</v>
      </c>
      <c r="V177">
        <v>26420000</v>
      </c>
      <c r="W177" t="s">
        <v>88</v>
      </c>
      <c r="X177"/>
      <c r="Y177"/>
      <c r="Z177" t="s">
        <v>114</v>
      </c>
      <c r="AA177" t="s">
        <v>115</v>
      </c>
      <c r="AB177" t="s">
        <v>89</v>
      </c>
      <c r="AC177" t="s">
        <v>90</v>
      </c>
    </row>
    <row r="178" spans="1:29" s="2" customFormat="1" x14ac:dyDescent="0.25">
      <c r="A178" t="s">
        <v>39</v>
      </c>
      <c r="B178" t="s">
        <v>93</v>
      </c>
      <c r="C178" t="s">
        <v>8</v>
      </c>
      <c r="D178" t="s">
        <v>15</v>
      </c>
      <c r="E178" t="s">
        <v>116</v>
      </c>
      <c r="F178" t="s">
        <v>116</v>
      </c>
      <c r="G178" t="s">
        <v>93</v>
      </c>
      <c r="H178" t="s">
        <v>87</v>
      </c>
      <c r="I178">
        <v>188203</v>
      </c>
      <c r="J178" t="s">
        <v>218</v>
      </c>
      <c r="K178" t="s">
        <v>128</v>
      </c>
      <c r="L178" t="s">
        <v>86</v>
      </c>
      <c r="M178" t="s">
        <v>130</v>
      </c>
      <c r="N178" t="s">
        <v>188</v>
      </c>
      <c r="O178" t="s">
        <v>40</v>
      </c>
      <c r="P178" t="s">
        <v>24</v>
      </c>
      <c r="Q178" t="s">
        <v>87</v>
      </c>
      <c r="R178" t="s">
        <v>87</v>
      </c>
      <c r="S178" s="87">
        <v>45734</v>
      </c>
      <c r="T178" t="s">
        <v>219</v>
      </c>
      <c r="U178" t="s">
        <v>220</v>
      </c>
      <c r="V178">
        <v>26424985</v>
      </c>
      <c r="W178" t="s">
        <v>88</v>
      </c>
      <c r="X178"/>
      <c r="Y178"/>
      <c r="Z178" t="s">
        <v>94</v>
      </c>
      <c r="AA178" t="s">
        <v>53</v>
      </c>
      <c r="AB178" t="s">
        <v>89</v>
      </c>
      <c r="AC178" t="s">
        <v>90</v>
      </c>
    </row>
    <row r="179" spans="1:29" s="2" customFormat="1" x14ac:dyDescent="0.25">
      <c r="A179" t="s">
        <v>39</v>
      </c>
      <c r="B179" t="s">
        <v>93</v>
      </c>
      <c r="C179" t="s">
        <v>8</v>
      </c>
      <c r="D179" t="s">
        <v>15</v>
      </c>
      <c r="E179" t="s">
        <v>116</v>
      </c>
      <c r="F179" t="s">
        <v>116</v>
      </c>
      <c r="G179" t="s">
        <v>93</v>
      </c>
      <c r="H179" t="s">
        <v>87</v>
      </c>
      <c r="I179">
        <v>188203</v>
      </c>
      <c r="J179" t="s">
        <v>218</v>
      </c>
      <c r="K179" t="s">
        <v>128</v>
      </c>
      <c r="L179" t="s">
        <v>86</v>
      </c>
      <c r="M179" t="s">
        <v>130</v>
      </c>
      <c r="N179" t="s">
        <v>188</v>
      </c>
      <c r="O179" t="s">
        <v>100</v>
      </c>
      <c r="P179" t="s">
        <v>24</v>
      </c>
      <c r="Q179" t="s">
        <v>87</v>
      </c>
      <c r="R179" t="s">
        <v>87</v>
      </c>
      <c r="S179" s="87">
        <v>45734</v>
      </c>
      <c r="T179" t="s">
        <v>219</v>
      </c>
      <c r="U179" t="s">
        <v>220</v>
      </c>
      <c r="V179">
        <v>26424985</v>
      </c>
      <c r="W179" t="s">
        <v>88</v>
      </c>
      <c r="X179"/>
      <c r="Y179"/>
      <c r="Z179" t="s">
        <v>94</v>
      </c>
      <c r="AA179" t="s">
        <v>53</v>
      </c>
      <c r="AB179" t="s">
        <v>89</v>
      </c>
      <c r="AC179" t="s">
        <v>90</v>
      </c>
    </row>
    <row r="180" spans="1:29" s="2" customFormat="1" x14ac:dyDescent="0.25">
      <c r="A180" t="s">
        <v>39</v>
      </c>
      <c r="B180" t="s">
        <v>93</v>
      </c>
      <c r="C180" t="s">
        <v>8</v>
      </c>
      <c r="D180" t="s">
        <v>15</v>
      </c>
      <c r="E180" t="s">
        <v>116</v>
      </c>
      <c r="F180" t="s">
        <v>116</v>
      </c>
      <c r="G180" t="s">
        <v>93</v>
      </c>
      <c r="H180" t="s">
        <v>87</v>
      </c>
      <c r="I180">
        <v>188203</v>
      </c>
      <c r="J180" t="s">
        <v>218</v>
      </c>
      <c r="K180" t="s">
        <v>128</v>
      </c>
      <c r="L180" t="s">
        <v>86</v>
      </c>
      <c r="M180" t="s">
        <v>130</v>
      </c>
      <c r="N180" t="s">
        <v>188</v>
      </c>
      <c r="O180" t="s">
        <v>136</v>
      </c>
      <c r="P180" t="s">
        <v>24</v>
      </c>
      <c r="Q180" t="s">
        <v>87</v>
      </c>
      <c r="R180" t="s">
        <v>87</v>
      </c>
      <c r="S180" s="87">
        <v>45734</v>
      </c>
      <c r="T180" t="s">
        <v>219</v>
      </c>
      <c r="U180" t="s">
        <v>220</v>
      </c>
      <c r="V180">
        <v>26424985</v>
      </c>
      <c r="W180" t="s">
        <v>88</v>
      </c>
      <c r="X180"/>
      <c r="Y180"/>
      <c r="Z180" t="s">
        <v>94</v>
      </c>
      <c r="AA180" t="s">
        <v>53</v>
      </c>
      <c r="AB180" t="s">
        <v>89</v>
      </c>
      <c r="AC180" t="s">
        <v>90</v>
      </c>
    </row>
    <row r="181" spans="1:29" s="2" customFormat="1" x14ac:dyDescent="0.25">
      <c r="A181" t="s">
        <v>39</v>
      </c>
      <c r="B181" t="s">
        <v>93</v>
      </c>
      <c r="C181" t="s">
        <v>8</v>
      </c>
      <c r="D181" t="s">
        <v>15</v>
      </c>
      <c r="E181" t="s">
        <v>116</v>
      </c>
      <c r="F181" t="s">
        <v>116</v>
      </c>
      <c r="G181" t="s">
        <v>93</v>
      </c>
      <c r="H181" t="s">
        <v>87</v>
      </c>
      <c r="I181">
        <v>188203</v>
      </c>
      <c r="J181" t="s">
        <v>218</v>
      </c>
      <c r="K181" t="s">
        <v>128</v>
      </c>
      <c r="L181" t="s">
        <v>86</v>
      </c>
      <c r="M181" t="s">
        <v>130</v>
      </c>
      <c r="N181" t="s">
        <v>188</v>
      </c>
      <c r="O181" t="s">
        <v>44</v>
      </c>
      <c r="P181" t="s">
        <v>24</v>
      </c>
      <c r="Q181" t="s">
        <v>87</v>
      </c>
      <c r="R181" t="s">
        <v>87</v>
      </c>
      <c r="S181" s="87">
        <v>45734</v>
      </c>
      <c r="T181" t="s">
        <v>219</v>
      </c>
      <c r="U181" t="s">
        <v>220</v>
      </c>
      <c r="V181">
        <v>26424985</v>
      </c>
      <c r="W181" t="s">
        <v>88</v>
      </c>
      <c r="X181"/>
      <c r="Y181"/>
      <c r="Z181" t="s">
        <v>94</v>
      </c>
      <c r="AA181" t="s">
        <v>53</v>
      </c>
      <c r="AB181" t="s">
        <v>89</v>
      </c>
      <c r="AC181" t="s">
        <v>90</v>
      </c>
    </row>
    <row r="182" spans="1:29" s="2" customFormat="1" x14ac:dyDescent="0.25">
      <c r="A182" t="s">
        <v>39</v>
      </c>
      <c r="B182" t="s">
        <v>93</v>
      </c>
      <c r="C182" t="s">
        <v>8</v>
      </c>
      <c r="D182" t="s">
        <v>15</v>
      </c>
      <c r="E182" t="s">
        <v>116</v>
      </c>
      <c r="F182" t="s">
        <v>116</v>
      </c>
      <c r="G182" t="s">
        <v>93</v>
      </c>
      <c r="H182" t="s">
        <v>87</v>
      </c>
      <c r="I182">
        <v>188203</v>
      </c>
      <c r="J182" t="s">
        <v>218</v>
      </c>
      <c r="K182" t="s">
        <v>128</v>
      </c>
      <c r="L182" t="s">
        <v>86</v>
      </c>
      <c r="M182" t="s">
        <v>130</v>
      </c>
      <c r="N182" t="s">
        <v>188</v>
      </c>
      <c r="O182" t="s">
        <v>137</v>
      </c>
      <c r="P182" t="s">
        <v>118</v>
      </c>
      <c r="Q182" t="s">
        <v>87</v>
      </c>
      <c r="R182" t="s">
        <v>87</v>
      </c>
      <c r="S182" s="87">
        <v>45734</v>
      </c>
      <c r="T182" t="s">
        <v>219</v>
      </c>
      <c r="U182" t="s">
        <v>220</v>
      </c>
      <c r="V182">
        <v>26424985</v>
      </c>
      <c r="W182" t="s">
        <v>88</v>
      </c>
      <c r="X182"/>
      <c r="Y182"/>
      <c r="Z182" t="s">
        <v>94</v>
      </c>
      <c r="AA182" t="s">
        <v>53</v>
      </c>
      <c r="AB182" t="s">
        <v>89</v>
      </c>
      <c r="AC182" t="s">
        <v>90</v>
      </c>
    </row>
    <row r="183" spans="1:29" s="2" customFormat="1" x14ac:dyDescent="0.25">
      <c r="A183" t="s">
        <v>39</v>
      </c>
      <c r="B183" t="s">
        <v>93</v>
      </c>
      <c r="C183" t="s">
        <v>8</v>
      </c>
      <c r="D183" t="s">
        <v>15</v>
      </c>
      <c r="E183" t="s">
        <v>116</v>
      </c>
      <c r="F183" t="s">
        <v>116</v>
      </c>
      <c r="G183" t="s">
        <v>93</v>
      </c>
      <c r="H183" t="s">
        <v>87</v>
      </c>
      <c r="I183">
        <v>188203</v>
      </c>
      <c r="J183" t="s">
        <v>218</v>
      </c>
      <c r="K183" t="s">
        <v>128</v>
      </c>
      <c r="L183" t="s">
        <v>86</v>
      </c>
      <c r="M183" t="s">
        <v>130</v>
      </c>
      <c r="N183" t="s">
        <v>188</v>
      </c>
      <c r="O183" t="s">
        <v>43</v>
      </c>
      <c r="P183" t="s">
        <v>24</v>
      </c>
      <c r="Q183" t="s">
        <v>87</v>
      </c>
      <c r="R183" t="s">
        <v>87</v>
      </c>
      <c r="S183" s="87">
        <v>45734</v>
      </c>
      <c r="T183" t="s">
        <v>219</v>
      </c>
      <c r="U183" t="s">
        <v>220</v>
      </c>
      <c r="V183">
        <v>26424985</v>
      </c>
      <c r="W183" t="s">
        <v>88</v>
      </c>
      <c r="X183"/>
      <c r="Y183"/>
      <c r="Z183" t="s">
        <v>94</v>
      </c>
      <c r="AA183" t="s">
        <v>53</v>
      </c>
      <c r="AB183" t="s">
        <v>89</v>
      </c>
      <c r="AC183" t="s">
        <v>90</v>
      </c>
    </row>
    <row r="184" spans="1:29" s="2" customFormat="1" x14ac:dyDescent="0.25">
      <c r="A184" t="s">
        <v>39</v>
      </c>
      <c r="B184" t="s">
        <v>93</v>
      </c>
      <c r="C184" t="s">
        <v>8</v>
      </c>
      <c r="D184" t="s">
        <v>15</v>
      </c>
      <c r="E184" t="s">
        <v>116</v>
      </c>
      <c r="F184" t="s">
        <v>116</v>
      </c>
      <c r="G184" t="s">
        <v>93</v>
      </c>
      <c r="H184" t="s">
        <v>87</v>
      </c>
      <c r="I184">
        <v>188203</v>
      </c>
      <c r="J184" t="s">
        <v>218</v>
      </c>
      <c r="K184" t="s">
        <v>128</v>
      </c>
      <c r="L184" t="s">
        <v>86</v>
      </c>
      <c r="M184" t="s">
        <v>130</v>
      </c>
      <c r="N184" t="s">
        <v>188</v>
      </c>
      <c r="O184" t="s">
        <v>49</v>
      </c>
      <c r="P184" t="s">
        <v>24</v>
      </c>
      <c r="Q184" t="s">
        <v>87</v>
      </c>
      <c r="R184" t="s">
        <v>87</v>
      </c>
      <c r="S184" s="87">
        <v>45734</v>
      </c>
      <c r="T184" t="s">
        <v>219</v>
      </c>
      <c r="U184" t="s">
        <v>220</v>
      </c>
      <c r="V184">
        <v>26424985</v>
      </c>
      <c r="W184" t="s">
        <v>88</v>
      </c>
      <c r="X184"/>
      <c r="Y184"/>
      <c r="Z184" t="s">
        <v>94</v>
      </c>
      <c r="AA184" t="s">
        <v>53</v>
      </c>
      <c r="AB184" t="s">
        <v>89</v>
      </c>
      <c r="AC184" t="s">
        <v>90</v>
      </c>
    </row>
    <row r="185" spans="1:29" s="2" customFormat="1" x14ac:dyDescent="0.25">
      <c r="A185" t="s">
        <v>39</v>
      </c>
      <c r="B185" t="s">
        <v>93</v>
      </c>
      <c r="C185" t="s">
        <v>8</v>
      </c>
      <c r="D185" t="s">
        <v>15</v>
      </c>
      <c r="E185" t="s">
        <v>116</v>
      </c>
      <c r="F185" t="s">
        <v>116</v>
      </c>
      <c r="G185" t="s">
        <v>93</v>
      </c>
      <c r="H185" t="s">
        <v>87</v>
      </c>
      <c r="I185">
        <v>188203</v>
      </c>
      <c r="J185" t="s">
        <v>218</v>
      </c>
      <c r="K185" t="s">
        <v>128</v>
      </c>
      <c r="L185" t="s">
        <v>86</v>
      </c>
      <c r="M185" t="s">
        <v>130</v>
      </c>
      <c r="N185" t="s">
        <v>188</v>
      </c>
      <c r="O185" t="s">
        <v>52</v>
      </c>
      <c r="P185" t="s">
        <v>118</v>
      </c>
      <c r="Q185" t="s">
        <v>87</v>
      </c>
      <c r="R185" t="s">
        <v>87</v>
      </c>
      <c r="S185" s="87">
        <v>45734</v>
      </c>
      <c r="T185" t="s">
        <v>219</v>
      </c>
      <c r="U185" t="s">
        <v>220</v>
      </c>
      <c r="V185">
        <v>26424985</v>
      </c>
      <c r="W185" t="s">
        <v>88</v>
      </c>
      <c r="X185"/>
      <c r="Y185"/>
      <c r="Z185" t="s">
        <v>94</v>
      </c>
      <c r="AA185" t="s">
        <v>53</v>
      </c>
      <c r="AB185" t="s">
        <v>89</v>
      </c>
      <c r="AC185" t="s">
        <v>90</v>
      </c>
    </row>
    <row r="186" spans="1:29" s="2" customFormat="1" x14ac:dyDescent="0.25">
      <c r="A186" t="s">
        <v>39</v>
      </c>
      <c r="B186" t="s">
        <v>93</v>
      </c>
      <c r="C186" t="s">
        <v>8</v>
      </c>
      <c r="D186" t="s">
        <v>15</v>
      </c>
      <c r="E186" t="s">
        <v>116</v>
      </c>
      <c r="F186" t="s">
        <v>116</v>
      </c>
      <c r="G186" t="s">
        <v>93</v>
      </c>
      <c r="H186" t="s">
        <v>87</v>
      </c>
      <c r="I186">
        <v>188203</v>
      </c>
      <c r="J186" t="s">
        <v>218</v>
      </c>
      <c r="K186" t="s">
        <v>128</v>
      </c>
      <c r="L186" t="s">
        <v>86</v>
      </c>
      <c r="M186" t="s">
        <v>130</v>
      </c>
      <c r="N186" t="s">
        <v>188</v>
      </c>
      <c r="O186" t="s">
        <v>48</v>
      </c>
      <c r="P186" t="s">
        <v>24</v>
      </c>
      <c r="Q186" t="s">
        <v>87</v>
      </c>
      <c r="R186" t="s">
        <v>87</v>
      </c>
      <c r="S186" s="87">
        <v>45734</v>
      </c>
      <c r="T186" t="s">
        <v>219</v>
      </c>
      <c r="U186" t="s">
        <v>220</v>
      </c>
      <c r="V186">
        <v>26424985</v>
      </c>
      <c r="W186" t="s">
        <v>88</v>
      </c>
      <c r="X186"/>
      <c r="Y186"/>
      <c r="Z186" t="s">
        <v>94</v>
      </c>
      <c r="AA186" t="s">
        <v>53</v>
      </c>
      <c r="AB186" t="s">
        <v>89</v>
      </c>
      <c r="AC186" t="s">
        <v>90</v>
      </c>
    </row>
    <row r="187" spans="1:29" s="2" customFormat="1" x14ac:dyDescent="0.25">
      <c r="A187" t="s">
        <v>39</v>
      </c>
      <c r="B187" t="s">
        <v>93</v>
      </c>
      <c r="C187" t="s">
        <v>8</v>
      </c>
      <c r="D187" t="s">
        <v>15</v>
      </c>
      <c r="E187" t="s">
        <v>116</v>
      </c>
      <c r="F187" t="s">
        <v>116</v>
      </c>
      <c r="G187" t="s">
        <v>93</v>
      </c>
      <c r="H187" t="s">
        <v>87</v>
      </c>
      <c r="I187">
        <v>188203</v>
      </c>
      <c r="J187" t="s">
        <v>218</v>
      </c>
      <c r="K187" t="s">
        <v>128</v>
      </c>
      <c r="L187" t="s">
        <v>86</v>
      </c>
      <c r="M187" t="s">
        <v>130</v>
      </c>
      <c r="N187" t="s">
        <v>188</v>
      </c>
      <c r="O187" t="s">
        <v>47</v>
      </c>
      <c r="P187" t="s">
        <v>118</v>
      </c>
      <c r="Q187" t="s">
        <v>87</v>
      </c>
      <c r="R187" t="s">
        <v>87</v>
      </c>
      <c r="S187" s="87">
        <v>45734</v>
      </c>
      <c r="T187" t="s">
        <v>219</v>
      </c>
      <c r="U187" t="s">
        <v>220</v>
      </c>
      <c r="V187">
        <v>26424985</v>
      </c>
      <c r="W187" t="s">
        <v>88</v>
      </c>
      <c r="X187"/>
      <c r="Y187"/>
      <c r="Z187" t="s">
        <v>94</v>
      </c>
      <c r="AA187" t="s">
        <v>53</v>
      </c>
      <c r="AB187" t="s">
        <v>89</v>
      </c>
      <c r="AC187" t="s">
        <v>90</v>
      </c>
    </row>
    <row r="188" spans="1:29" s="2" customFormat="1" x14ac:dyDescent="0.25">
      <c r="A188" t="s">
        <v>39</v>
      </c>
      <c r="B188" t="s">
        <v>93</v>
      </c>
      <c r="C188" t="s">
        <v>8</v>
      </c>
      <c r="D188" t="s">
        <v>15</v>
      </c>
      <c r="E188" t="s">
        <v>116</v>
      </c>
      <c r="F188" t="s">
        <v>116</v>
      </c>
      <c r="G188" t="s">
        <v>93</v>
      </c>
      <c r="H188" t="s">
        <v>87</v>
      </c>
      <c r="I188">
        <v>188203</v>
      </c>
      <c r="J188" t="s">
        <v>218</v>
      </c>
      <c r="K188" t="s">
        <v>128</v>
      </c>
      <c r="L188" t="s">
        <v>86</v>
      </c>
      <c r="M188" t="s">
        <v>130</v>
      </c>
      <c r="N188" t="s">
        <v>188</v>
      </c>
      <c r="O188" t="s">
        <v>46</v>
      </c>
      <c r="P188" t="s">
        <v>24</v>
      </c>
      <c r="Q188" t="s">
        <v>87</v>
      </c>
      <c r="R188" t="s">
        <v>87</v>
      </c>
      <c r="S188" s="87">
        <v>45734</v>
      </c>
      <c r="T188" t="s">
        <v>219</v>
      </c>
      <c r="U188" t="s">
        <v>220</v>
      </c>
      <c r="V188">
        <v>26424985</v>
      </c>
      <c r="W188" t="s">
        <v>88</v>
      </c>
      <c r="X188"/>
      <c r="Y188"/>
      <c r="Z188" t="s">
        <v>94</v>
      </c>
      <c r="AA188" t="s">
        <v>53</v>
      </c>
      <c r="AB188" t="s">
        <v>89</v>
      </c>
      <c r="AC188" t="s">
        <v>90</v>
      </c>
    </row>
    <row r="189" spans="1:29" s="2" customFormat="1" x14ac:dyDescent="0.25">
      <c r="A189" t="s">
        <v>39</v>
      </c>
      <c r="B189" t="s">
        <v>93</v>
      </c>
      <c r="C189" t="s">
        <v>8</v>
      </c>
      <c r="D189" t="s">
        <v>15</v>
      </c>
      <c r="E189" t="s">
        <v>116</v>
      </c>
      <c r="F189" t="s">
        <v>116</v>
      </c>
      <c r="G189" t="s">
        <v>93</v>
      </c>
      <c r="H189" t="s">
        <v>87</v>
      </c>
      <c r="I189">
        <v>188203</v>
      </c>
      <c r="J189" t="s">
        <v>218</v>
      </c>
      <c r="K189" t="s">
        <v>128</v>
      </c>
      <c r="L189" t="s">
        <v>86</v>
      </c>
      <c r="M189" t="s">
        <v>130</v>
      </c>
      <c r="N189" t="s">
        <v>188</v>
      </c>
      <c r="O189" t="s">
        <v>138</v>
      </c>
      <c r="P189" t="s">
        <v>24</v>
      </c>
      <c r="Q189" t="s">
        <v>87</v>
      </c>
      <c r="R189" t="s">
        <v>87</v>
      </c>
      <c r="S189" s="87">
        <v>45734</v>
      </c>
      <c r="T189" t="s">
        <v>219</v>
      </c>
      <c r="U189" t="s">
        <v>220</v>
      </c>
      <c r="V189">
        <v>26424985</v>
      </c>
      <c r="W189" t="s">
        <v>88</v>
      </c>
      <c r="X189"/>
      <c r="Y189"/>
      <c r="Z189" t="s">
        <v>94</v>
      </c>
      <c r="AA189" t="s">
        <v>53</v>
      </c>
      <c r="AB189" t="s">
        <v>89</v>
      </c>
      <c r="AC189" t="s">
        <v>90</v>
      </c>
    </row>
    <row r="190" spans="1:29" s="2" customFormat="1" x14ac:dyDescent="0.25">
      <c r="A190" t="s">
        <v>39</v>
      </c>
      <c r="B190" t="s">
        <v>93</v>
      </c>
      <c r="C190" t="s">
        <v>8</v>
      </c>
      <c r="D190" t="s">
        <v>15</v>
      </c>
      <c r="E190" t="s">
        <v>116</v>
      </c>
      <c r="F190" t="s">
        <v>116</v>
      </c>
      <c r="G190" t="s">
        <v>93</v>
      </c>
      <c r="H190" t="s">
        <v>87</v>
      </c>
      <c r="I190">
        <v>188203</v>
      </c>
      <c r="J190" t="s">
        <v>218</v>
      </c>
      <c r="K190" t="s">
        <v>128</v>
      </c>
      <c r="L190" t="s">
        <v>86</v>
      </c>
      <c r="M190" t="s">
        <v>130</v>
      </c>
      <c r="N190" t="s">
        <v>188</v>
      </c>
      <c r="O190" t="s">
        <v>101</v>
      </c>
      <c r="P190" t="s">
        <v>24</v>
      </c>
      <c r="Q190" t="s">
        <v>87</v>
      </c>
      <c r="R190" t="s">
        <v>87</v>
      </c>
      <c r="S190" s="87">
        <v>45734</v>
      </c>
      <c r="T190" t="s">
        <v>219</v>
      </c>
      <c r="U190" t="s">
        <v>220</v>
      </c>
      <c r="V190">
        <v>26424985</v>
      </c>
      <c r="W190" t="s">
        <v>88</v>
      </c>
      <c r="X190"/>
      <c r="Y190"/>
      <c r="Z190" t="s">
        <v>94</v>
      </c>
      <c r="AA190" t="s">
        <v>53</v>
      </c>
      <c r="AB190" t="s">
        <v>89</v>
      </c>
      <c r="AC190" t="s">
        <v>90</v>
      </c>
    </row>
    <row r="191" spans="1:29" s="2" customFormat="1" x14ac:dyDescent="0.25">
      <c r="A191" t="s">
        <v>39</v>
      </c>
      <c r="B191" t="s">
        <v>93</v>
      </c>
      <c r="C191" t="s">
        <v>8</v>
      </c>
      <c r="D191" t="s">
        <v>15</v>
      </c>
      <c r="E191" t="s">
        <v>116</v>
      </c>
      <c r="F191" t="s">
        <v>116</v>
      </c>
      <c r="G191" t="s">
        <v>93</v>
      </c>
      <c r="H191" t="s">
        <v>87</v>
      </c>
      <c r="I191">
        <v>188203</v>
      </c>
      <c r="J191" t="s">
        <v>218</v>
      </c>
      <c r="K191" t="s">
        <v>128</v>
      </c>
      <c r="L191" t="s">
        <v>86</v>
      </c>
      <c r="M191" t="s">
        <v>130</v>
      </c>
      <c r="N191" t="s">
        <v>188</v>
      </c>
      <c r="O191" t="s">
        <v>101</v>
      </c>
      <c r="P191" t="s">
        <v>24</v>
      </c>
      <c r="Q191" t="s">
        <v>87</v>
      </c>
      <c r="R191" t="s">
        <v>87</v>
      </c>
      <c r="S191" s="87">
        <v>45734</v>
      </c>
      <c r="T191" t="s">
        <v>219</v>
      </c>
      <c r="U191" t="s">
        <v>220</v>
      </c>
      <c r="V191">
        <v>26424985</v>
      </c>
      <c r="W191" t="s">
        <v>88</v>
      </c>
      <c r="X191"/>
      <c r="Y191"/>
      <c r="Z191" t="s">
        <v>94</v>
      </c>
      <c r="AA191" t="s">
        <v>53</v>
      </c>
      <c r="AB191" t="s">
        <v>89</v>
      </c>
      <c r="AC191" t="s">
        <v>90</v>
      </c>
    </row>
    <row r="192" spans="1:29" s="2" customFormat="1" x14ac:dyDescent="0.25">
      <c r="A192" t="s">
        <v>39</v>
      </c>
      <c r="B192" t="s">
        <v>93</v>
      </c>
      <c r="C192" t="s">
        <v>8</v>
      </c>
      <c r="D192" t="s">
        <v>15</v>
      </c>
      <c r="E192" t="s">
        <v>116</v>
      </c>
      <c r="F192" t="s">
        <v>116</v>
      </c>
      <c r="G192" t="s">
        <v>93</v>
      </c>
      <c r="H192" t="s">
        <v>87</v>
      </c>
      <c r="I192">
        <v>188203</v>
      </c>
      <c r="J192" t="s">
        <v>218</v>
      </c>
      <c r="K192" t="s">
        <v>128</v>
      </c>
      <c r="L192" t="s">
        <v>86</v>
      </c>
      <c r="M192" t="s">
        <v>130</v>
      </c>
      <c r="N192" t="s">
        <v>188</v>
      </c>
      <c r="O192" t="s">
        <v>99</v>
      </c>
      <c r="P192" t="s">
        <v>24</v>
      </c>
      <c r="Q192" t="s">
        <v>87</v>
      </c>
      <c r="R192" t="s">
        <v>87</v>
      </c>
      <c r="S192" s="87">
        <v>45734</v>
      </c>
      <c r="T192" t="s">
        <v>219</v>
      </c>
      <c r="U192" t="s">
        <v>220</v>
      </c>
      <c r="V192">
        <v>26424985</v>
      </c>
      <c r="W192" t="s">
        <v>88</v>
      </c>
      <c r="X192"/>
      <c r="Y192"/>
      <c r="Z192" t="s">
        <v>94</v>
      </c>
      <c r="AA192" t="s">
        <v>53</v>
      </c>
      <c r="AB192" t="s">
        <v>89</v>
      </c>
      <c r="AC192" t="s">
        <v>90</v>
      </c>
    </row>
    <row r="193" spans="1:29" s="2" customFormat="1" x14ac:dyDescent="0.25">
      <c r="A193" t="s">
        <v>39</v>
      </c>
      <c r="B193" t="s">
        <v>93</v>
      </c>
      <c r="C193" t="s">
        <v>8</v>
      </c>
      <c r="D193" t="s">
        <v>15</v>
      </c>
      <c r="E193" t="s">
        <v>116</v>
      </c>
      <c r="F193" t="s">
        <v>116</v>
      </c>
      <c r="G193" t="s">
        <v>93</v>
      </c>
      <c r="H193" t="s">
        <v>87</v>
      </c>
      <c r="I193">
        <v>188203</v>
      </c>
      <c r="J193" t="s">
        <v>218</v>
      </c>
      <c r="K193" t="s">
        <v>128</v>
      </c>
      <c r="L193" t="s">
        <v>86</v>
      </c>
      <c r="M193" t="s">
        <v>130</v>
      </c>
      <c r="N193" t="s">
        <v>188</v>
      </c>
      <c r="O193" t="s">
        <v>102</v>
      </c>
      <c r="P193" t="s">
        <v>167</v>
      </c>
      <c r="Q193" t="s">
        <v>87</v>
      </c>
      <c r="R193" t="s">
        <v>87</v>
      </c>
      <c r="S193" s="87">
        <v>45734</v>
      </c>
      <c r="T193" t="s">
        <v>219</v>
      </c>
      <c r="U193" t="s">
        <v>220</v>
      </c>
      <c r="V193">
        <v>26424985</v>
      </c>
      <c r="W193" t="s">
        <v>88</v>
      </c>
      <c r="X193"/>
      <c r="Y193"/>
      <c r="Z193" t="s">
        <v>94</v>
      </c>
      <c r="AA193" t="s">
        <v>53</v>
      </c>
      <c r="AB193" t="s">
        <v>89</v>
      </c>
      <c r="AC193" t="s">
        <v>90</v>
      </c>
    </row>
    <row r="194" spans="1:29" s="2" customFormat="1" x14ac:dyDescent="0.25">
      <c r="A194" t="s">
        <v>39</v>
      </c>
      <c r="B194" t="s">
        <v>93</v>
      </c>
      <c r="C194" t="s">
        <v>8</v>
      </c>
      <c r="D194" t="s">
        <v>15</v>
      </c>
      <c r="E194" t="s">
        <v>116</v>
      </c>
      <c r="F194" t="s">
        <v>116</v>
      </c>
      <c r="G194" t="s">
        <v>93</v>
      </c>
      <c r="H194" t="s">
        <v>87</v>
      </c>
      <c r="I194">
        <v>188203</v>
      </c>
      <c r="J194" t="s">
        <v>218</v>
      </c>
      <c r="K194" t="s">
        <v>128</v>
      </c>
      <c r="L194" t="s">
        <v>86</v>
      </c>
      <c r="M194" t="s">
        <v>130</v>
      </c>
      <c r="N194" t="s">
        <v>188</v>
      </c>
      <c r="O194" t="s">
        <v>169</v>
      </c>
      <c r="P194" t="s">
        <v>24</v>
      </c>
      <c r="Q194" t="s">
        <v>87</v>
      </c>
      <c r="R194" t="s">
        <v>87</v>
      </c>
      <c r="S194" s="87">
        <v>45734</v>
      </c>
      <c r="T194" t="s">
        <v>219</v>
      </c>
      <c r="U194" t="s">
        <v>220</v>
      </c>
      <c r="V194">
        <v>26424985</v>
      </c>
      <c r="W194" t="s">
        <v>88</v>
      </c>
      <c r="X194"/>
      <c r="Y194"/>
      <c r="Z194" t="s">
        <v>94</v>
      </c>
      <c r="AA194" t="s">
        <v>53</v>
      </c>
      <c r="AB194" t="s">
        <v>89</v>
      </c>
      <c r="AC194" t="s">
        <v>90</v>
      </c>
    </row>
    <row r="195" spans="1:29" s="2" customFormat="1" x14ac:dyDescent="0.25">
      <c r="A195" t="s">
        <v>39</v>
      </c>
      <c r="B195" t="s">
        <v>93</v>
      </c>
      <c r="C195" t="s">
        <v>8</v>
      </c>
      <c r="D195" t="s">
        <v>15</v>
      </c>
      <c r="E195" t="s">
        <v>116</v>
      </c>
      <c r="F195" t="s">
        <v>116</v>
      </c>
      <c r="G195" t="s">
        <v>93</v>
      </c>
      <c r="H195" t="s">
        <v>87</v>
      </c>
      <c r="I195">
        <v>188203</v>
      </c>
      <c r="J195" t="s">
        <v>218</v>
      </c>
      <c r="K195" t="s">
        <v>128</v>
      </c>
      <c r="L195" t="s">
        <v>86</v>
      </c>
      <c r="M195" t="s">
        <v>130</v>
      </c>
      <c r="N195" t="s">
        <v>188</v>
      </c>
      <c r="O195" t="s">
        <v>171</v>
      </c>
      <c r="P195" t="s">
        <v>24</v>
      </c>
      <c r="Q195" t="s">
        <v>87</v>
      </c>
      <c r="R195" t="s">
        <v>87</v>
      </c>
      <c r="S195" s="87">
        <v>45734</v>
      </c>
      <c r="T195" t="s">
        <v>219</v>
      </c>
      <c r="U195" t="s">
        <v>220</v>
      </c>
      <c r="V195">
        <v>26424985</v>
      </c>
      <c r="W195" t="s">
        <v>88</v>
      </c>
      <c r="X195"/>
      <c r="Y195"/>
      <c r="Z195" t="s">
        <v>94</v>
      </c>
      <c r="AA195" t="s">
        <v>53</v>
      </c>
      <c r="AB195" t="s">
        <v>89</v>
      </c>
      <c r="AC195" t="s">
        <v>90</v>
      </c>
    </row>
    <row r="196" spans="1:29" s="2" customFormat="1" x14ac:dyDescent="0.25">
      <c r="A196" t="s">
        <v>39</v>
      </c>
      <c r="B196" t="s">
        <v>93</v>
      </c>
      <c r="C196" t="s">
        <v>8</v>
      </c>
      <c r="D196" t="s">
        <v>15</v>
      </c>
      <c r="E196" t="s">
        <v>116</v>
      </c>
      <c r="F196" t="s">
        <v>116</v>
      </c>
      <c r="G196" t="s">
        <v>93</v>
      </c>
      <c r="H196" t="s">
        <v>87</v>
      </c>
      <c r="I196">
        <v>188203</v>
      </c>
      <c r="J196" t="s">
        <v>218</v>
      </c>
      <c r="K196" t="s">
        <v>128</v>
      </c>
      <c r="L196" t="s">
        <v>86</v>
      </c>
      <c r="M196" t="s">
        <v>130</v>
      </c>
      <c r="N196" t="s">
        <v>188</v>
      </c>
      <c r="O196" t="s">
        <v>173</v>
      </c>
      <c r="P196" t="s">
        <v>24</v>
      </c>
      <c r="Q196" t="s">
        <v>87</v>
      </c>
      <c r="R196" t="s">
        <v>87</v>
      </c>
      <c r="S196" s="87">
        <v>45734</v>
      </c>
      <c r="T196" t="s">
        <v>219</v>
      </c>
      <c r="U196" t="s">
        <v>220</v>
      </c>
      <c r="V196">
        <v>26424985</v>
      </c>
      <c r="W196" t="s">
        <v>88</v>
      </c>
      <c r="X196"/>
      <c r="Y196"/>
      <c r="Z196" t="s">
        <v>94</v>
      </c>
      <c r="AA196" t="s">
        <v>53</v>
      </c>
      <c r="AB196" t="s">
        <v>89</v>
      </c>
      <c r="AC196" t="s">
        <v>90</v>
      </c>
    </row>
    <row r="197" spans="1:29" s="2" customFormat="1" x14ac:dyDescent="0.25">
      <c r="A197" t="s">
        <v>39</v>
      </c>
      <c r="B197" t="s">
        <v>93</v>
      </c>
      <c r="C197" t="s">
        <v>8</v>
      </c>
      <c r="D197" t="s">
        <v>15</v>
      </c>
      <c r="E197" t="s">
        <v>116</v>
      </c>
      <c r="F197" t="s">
        <v>116</v>
      </c>
      <c r="G197" t="s">
        <v>93</v>
      </c>
      <c r="H197" t="s">
        <v>87</v>
      </c>
      <c r="I197">
        <v>188203</v>
      </c>
      <c r="J197" t="s">
        <v>218</v>
      </c>
      <c r="K197" t="s">
        <v>128</v>
      </c>
      <c r="L197" t="s">
        <v>86</v>
      </c>
      <c r="M197" t="s">
        <v>130</v>
      </c>
      <c r="N197" t="s">
        <v>188</v>
      </c>
      <c r="O197" t="s">
        <v>175</v>
      </c>
      <c r="P197" t="s">
        <v>24</v>
      </c>
      <c r="Q197" t="s">
        <v>87</v>
      </c>
      <c r="R197" t="s">
        <v>87</v>
      </c>
      <c r="S197" s="87">
        <v>45734</v>
      </c>
      <c r="T197" t="s">
        <v>219</v>
      </c>
      <c r="U197" t="s">
        <v>220</v>
      </c>
      <c r="V197">
        <v>26424985</v>
      </c>
      <c r="W197" t="s">
        <v>88</v>
      </c>
      <c r="X197"/>
      <c r="Y197"/>
      <c r="Z197" t="s">
        <v>94</v>
      </c>
      <c r="AA197" t="s">
        <v>53</v>
      </c>
      <c r="AB197" t="s">
        <v>89</v>
      </c>
      <c r="AC197" t="s">
        <v>90</v>
      </c>
    </row>
    <row r="198" spans="1:29" s="2" customFormat="1" x14ac:dyDescent="0.25">
      <c r="A198" t="s">
        <v>39</v>
      </c>
      <c r="B198" t="s">
        <v>93</v>
      </c>
      <c r="C198" t="s">
        <v>8</v>
      </c>
      <c r="D198" t="s">
        <v>15</v>
      </c>
      <c r="E198" t="s">
        <v>116</v>
      </c>
      <c r="F198" t="s">
        <v>116</v>
      </c>
      <c r="G198" t="s">
        <v>93</v>
      </c>
      <c r="H198" t="s">
        <v>87</v>
      </c>
      <c r="I198">
        <v>188203</v>
      </c>
      <c r="J198" t="s">
        <v>218</v>
      </c>
      <c r="K198" t="s">
        <v>128</v>
      </c>
      <c r="L198" t="s">
        <v>86</v>
      </c>
      <c r="M198" t="s">
        <v>130</v>
      </c>
      <c r="N198" t="s">
        <v>188</v>
      </c>
      <c r="O198" t="s">
        <v>177</v>
      </c>
      <c r="P198" t="s">
        <v>24</v>
      </c>
      <c r="Q198" t="s">
        <v>87</v>
      </c>
      <c r="R198" t="s">
        <v>87</v>
      </c>
      <c r="S198" s="87">
        <v>45734</v>
      </c>
      <c r="T198" t="s">
        <v>219</v>
      </c>
      <c r="U198" t="s">
        <v>220</v>
      </c>
      <c r="V198">
        <v>26424985</v>
      </c>
      <c r="W198" t="s">
        <v>88</v>
      </c>
      <c r="X198"/>
      <c r="Y198"/>
      <c r="Z198" t="s">
        <v>94</v>
      </c>
      <c r="AA198" t="s">
        <v>53</v>
      </c>
      <c r="AB198" t="s">
        <v>89</v>
      </c>
      <c r="AC198" t="s">
        <v>90</v>
      </c>
    </row>
    <row r="199" spans="1:29" s="2" customFormat="1" x14ac:dyDescent="0.25">
      <c r="A199" t="s">
        <v>39</v>
      </c>
      <c r="B199" t="s">
        <v>93</v>
      </c>
      <c r="C199" t="s">
        <v>8</v>
      </c>
      <c r="D199" t="s">
        <v>15</v>
      </c>
      <c r="E199" t="s">
        <v>116</v>
      </c>
      <c r="F199" t="s">
        <v>116</v>
      </c>
      <c r="G199" t="s">
        <v>93</v>
      </c>
      <c r="H199" t="s">
        <v>87</v>
      </c>
      <c r="I199">
        <v>188203</v>
      </c>
      <c r="J199" t="s">
        <v>218</v>
      </c>
      <c r="K199" t="s">
        <v>128</v>
      </c>
      <c r="L199" t="s">
        <v>86</v>
      </c>
      <c r="M199" t="s">
        <v>130</v>
      </c>
      <c r="N199" t="s">
        <v>188</v>
      </c>
      <c r="O199" t="s">
        <v>41</v>
      </c>
      <c r="P199" t="s">
        <v>24</v>
      </c>
      <c r="Q199" t="s">
        <v>87</v>
      </c>
      <c r="R199" t="s">
        <v>87</v>
      </c>
      <c r="S199" s="87">
        <v>45734</v>
      </c>
      <c r="T199" t="s">
        <v>219</v>
      </c>
      <c r="U199" t="s">
        <v>220</v>
      </c>
      <c r="V199">
        <v>26424985</v>
      </c>
      <c r="W199" t="s">
        <v>88</v>
      </c>
      <c r="X199"/>
      <c r="Y199"/>
      <c r="Z199" t="s">
        <v>94</v>
      </c>
      <c r="AA199" t="s">
        <v>53</v>
      </c>
      <c r="AB199" t="s">
        <v>89</v>
      </c>
      <c r="AC199" t="s">
        <v>90</v>
      </c>
    </row>
    <row r="200" spans="1:29" s="2" customFormat="1" x14ac:dyDescent="0.25">
      <c r="A200" t="s">
        <v>39</v>
      </c>
      <c r="B200" t="s">
        <v>93</v>
      </c>
      <c r="C200" t="s">
        <v>8</v>
      </c>
      <c r="D200" t="s">
        <v>15</v>
      </c>
      <c r="E200" t="s">
        <v>116</v>
      </c>
      <c r="F200" t="s">
        <v>116</v>
      </c>
      <c r="G200" t="s">
        <v>93</v>
      </c>
      <c r="H200" t="s">
        <v>87</v>
      </c>
      <c r="I200">
        <v>188203</v>
      </c>
      <c r="J200" t="s">
        <v>218</v>
      </c>
      <c r="K200" t="s">
        <v>128</v>
      </c>
      <c r="L200" t="s">
        <v>86</v>
      </c>
      <c r="M200" t="s">
        <v>130</v>
      </c>
      <c r="N200" t="s">
        <v>188</v>
      </c>
      <c r="O200" t="s">
        <v>42</v>
      </c>
      <c r="P200" t="s">
        <v>147</v>
      </c>
      <c r="Q200" t="s">
        <v>87</v>
      </c>
      <c r="R200" t="s">
        <v>87</v>
      </c>
      <c r="S200" s="87">
        <v>45734</v>
      </c>
      <c r="T200" t="s">
        <v>219</v>
      </c>
      <c r="U200" t="s">
        <v>220</v>
      </c>
      <c r="V200">
        <v>26424985</v>
      </c>
      <c r="W200" t="s">
        <v>88</v>
      </c>
      <c r="X200"/>
      <c r="Y200"/>
      <c r="Z200" t="s">
        <v>94</v>
      </c>
      <c r="AA200" t="s">
        <v>53</v>
      </c>
      <c r="AB200" t="s">
        <v>89</v>
      </c>
      <c r="AC200" t="s">
        <v>90</v>
      </c>
    </row>
    <row r="201" spans="1:29" s="2" customFormat="1" x14ac:dyDescent="0.25">
      <c r="A201" t="s">
        <v>39</v>
      </c>
      <c r="B201" t="s">
        <v>93</v>
      </c>
      <c r="C201" t="s">
        <v>8</v>
      </c>
      <c r="D201" t="s">
        <v>15</v>
      </c>
      <c r="E201" t="s">
        <v>116</v>
      </c>
      <c r="F201" t="s">
        <v>116</v>
      </c>
      <c r="G201" t="s">
        <v>93</v>
      </c>
      <c r="H201" t="s">
        <v>87</v>
      </c>
      <c r="I201">
        <v>188203</v>
      </c>
      <c r="J201" t="s">
        <v>218</v>
      </c>
      <c r="K201" t="s">
        <v>128</v>
      </c>
      <c r="L201" t="s">
        <v>86</v>
      </c>
      <c r="M201" t="s">
        <v>130</v>
      </c>
      <c r="N201" t="s">
        <v>188</v>
      </c>
      <c r="O201" t="s">
        <v>51</v>
      </c>
      <c r="P201" t="s">
        <v>24</v>
      </c>
      <c r="Q201" t="s">
        <v>87</v>
      </c>
      <c r="R201" t="s">
        <v>87</v>
      </c>
      <c r="S201" s="87">
        <v>45734</v>
      </c>
      <c r="T201" t="s">
        <v>219</v>
      </c>
      <c r="U201" t="s">
        <v>220</v>
      </c>
      <c r="V201">
        <v>26424985</v>
      </c>
      <c r="W201" t="s">
        <v>88</v>
      </c>
      <c r="X201"/>
      <c r="Y201"/>
      <c r="Z201" t="s">
        <v>94</v>
      </c>
      <c r="AA201" t="s">
        <v>53</v>
      </c>
      <c r="AB201" t="s">
        <v>89</v>
      </c>
      <c r="AC201" t="s">
        <v>90</v>
      </c>
    </row>
    <row r="202" spans="1:29" s="2" customFormat="1" x14ac:dyDescent="0.25">
      <c r="A202" t="s">
        <v>39</v>
      </c>
      <c r="B202" t="s">
        <v>93</v>
      </c>
      <c r="C202" t="s">
        <v>8</v>
      </c>
      <c r="D202" t="s">
        <v>15</v>
      </c>
      <c r="E202" t="s">
        <v>116</v>
      </c>
      <c r="F202" t="s">
        <v>116</v>
      </c>
      <c r="G202" t="s">
        <v>93</v>
      </c>
      <c r="H202" t="s">
        <v>87</v>
      </c>
      <c r="I202">
        <v>188203</v>
      </c>
      <c r="J202" t="s">
        <v>218</v>
      </c>
      <c r="K202" t="s">
        <v>128</v>
      </c>
      <c r="L202" t="s">
        <v>86</v>
      </c>
      <c r="M202" t="s">
        <v>130</v>
      </c>
      <c r="N202" t="s">
        <v>188</v>
      </c>
      <c r="O202" t="s">
        <v>50</v>
      </c>
      <c r="P202" t="s">
        <v>24</v>
      </c>
      <c r="Q202" t="s">
        <v>87</v>
      </c>
      <c r="R202" t="s">
        <v>87</v>
      </c>
      <c r="S202" s="87">
        <v>45734</v>
      </c>
      <c r="T202" t="s">
        <v>219</v>
      </c>
      <c r="U202" t="s">
        <v>220</v>
      </c>
      <c r="V202">
        <v>26424985</v>
      </c>
      <c r="W202" t="s">
        <v>88</v>
      </c>
      <c r="X202"/>
      <c r="Y202"/>
      <c r="Z202" t="s">
        <v>94</v>
      </c>
      <c r="AA202" t="s">
        <v>53</v>
      </c>
      <c r="AB202" t="s">
        <v>89</v>
      </c>
      <c r="AC202" t="s">
        <v>90</v>
      </c>
    </row>
    <row r="203" spans="1:29" s="2" customFormat="1" x14ac:dyDescent="0.25">
      <c r="A203" t="s">
        <v>39</v>
      </c>
      <c r="B203" t="s">
        <v>93</v>
      </c>
      <c r="C203" t="s">
        <v>8</v>
      </c>
      <c r="D203" t="s">
        <v>15</v>
      </c>
      <c r="E203" t="s">
        <v>116</v>
      </c>
      <c r="F203" t="s">
        <v>116</v>
      </c>
      <c r="G203" t="s">
        <v>93</v>
      </c>
      <c r="H203" t="s">
        <v>87</v>
      </c>
      <c r="I203">
        <v>188203</v>
      </c>
      <c r="J203" t="s">
        <v>218</v>
      </c>
      <c r="K203" t="s">
        <v>128</v>
      </c>
      <c r="L203" t="s">
        <v>86</v>
      </c>
      <c r="M203" t="s">
        <v>130</v>
      </c>
      <c r="N203" t="s">
        <v>188</v>
      </c>
      <c r="O203" t="s">
        <v>148</v>
      </c>
      <c r="P203" t="s">
        <v>24</v>
      </c>
      <c r="Q203" t="s">
        <v>87</v>
      </c>
      <c r="R203" t="s">
        <v>87</v>
      </c>
      <c r="S203" s="87">
        <v>45734</v>
      </c>
      <c r="T203" t="s">
        <v>219</v>
      </c>
      <c r="U203" t="s">
        <v>220</v>
      </c>
      <c r="V203">
        <v>26424985</v>
      </c>
      <c r="W203" t="s">
        <v>88</v>
      </c>
      <c r="X203"/>
      <c r="Y203"/>
      <c r="Z203" t="s">
        <v>94</v>
      </c>
      <c r="AA203" t="s">
        <v>53</v>
      </c>
      <c r="AB203" t="s">
        <v>89</v>
      </c>
      <c r="AC203" t="s">
        <v>90</v>
      </c>
    </row>
    <row r="204" spans="1:29" s="2" customFormat="1" x14ac:dyDescent="0.25">
      <c r="A204" t="s">
        <v>39</v>
      </c>
      <c r="B204" t="s">
        <v>93</v>
      </c>
      <c r="C204" t="s">
        <v>8</v>
      </c>
      <c r="D204" t="s">
        <v>15</v>
      </c>
      <c r="E204" t="s">
        <v>116</v>
      </c>
      <c r="F204" t="s">
        <v>116</v>
      </c>
      <c r="G204" t="s">
        <v>93</v>
      </c>
      <c r="H204" t="s">
        <v>87</v>
      </c>
      <c r="I204">
        <v>188203</v>
      </c>
      <c r="J204" t="s">
        <v>218</v>
      </c>
      <c r="K204" t="s">
        <v>128</v>
      </c>
      <c r="L204" t="s">
        <v>86</v>
      </c>
      <c r="M204" t="s">
        <v>130</v>
      </c>
      <c r="N204" t="s">
        <v>188</v>
      </c>
      <c r="O204" t="s">
        <v>45</v>
      </c>
      <c r="P204" t="s">
        <v>24</v>
      </c>
      <c r="Q204" t="s">
        <v>87</v>
      </c>
      <c r="R204" t="s">
        <v>87</v>
      </c>
      <c r="S204" s="87">
        <v>45734</v>
      </c>
      <c r="T204" t="s">
        <v>219</v>
      </c>
      <c r="U204" t="s">
        <v>220</v>
      </c>
      <c r="V204">
        <v>26424985</v>
      </c>
      <c r="W204" t="s">
        <v>88</v>
      </c>
      <c r="X204"/>
      <c r="Y204"/>
      <c r="Z204" t="s">
        <v>94</v>
      </c>
      <c r="AA204" t="s">
        <v>53</v>
      </c>
      <c r="AB204" t="s">
        <v>89</v>
      </c>
      <c r="AC204" t="s">
        <v>90</v>
      </c>
    </row>
    <row r="205" spans="1:29" s="2" customFormat="1" x14ac:dyDescent="0.25">
      <c r="A205" t="s">
        <v>39</v>
      </c>
      <c r="B205" t="s">
        <v>93</v>
      </c>
      <c r="C205" t="s">
        <v>8</v>
      </c>
      <c r="D205" t="s">
        <v>15</v>
      </c>
      <c r="E205" t="s">
        <v>116</v>
      </c>
      <c r="F205" t="s">
        <v>116</v>
      </c>
      <c r="G205" t="s">
        <v>93</v>
      </c>
      <c r="H205" t="s">
        <v>87</v>
      </c>
      <c r="I205">
        <v>188203</v>
      </c>
      <c r="J205" t="s">
        <v>218</v>
      </c>
      <c r="K205" t="s">
        <v>128</v>
      </c>
      <c r="L205" t="s">
        <v>86</v>
      </c>
      <c r="M205" t="s">
        <v>130</v>
      </c>
      <c r="N205" t="s">
        <v>188</v>
      </c>
      <c r="O205" t="s">
        <v>189</v>
      </c>
      <c r="P205" t="s">
        <v>118</v>
      </c>
      <c r="Q205" t="s">
        <v>87</v>
      </c>
      <c r="R205" t="s">
        <v>87</v>
      </c>
      <c r="S205" s="87">
        <v>45734</v>
      </c>
      <c r="T205" t="s">
        <v>219</v>
      </c>
      <c r="U205" t="s">
        <v>220</v>
      </c>
      <c r="V205">
        <v>26424985</v>
      </c>
      <c r="W205" t="s">
        <v>88</v>
      </c>
      <c r="X205"/>
      <c r="Y205"/>
      <c r="Z205" t="s">
        <v>94</v>
      </c>
      <c r="AA205" t="s">
        <v>53</v>
      </c>
      <c r="AB205" t="s">
        <v>89</v>
      </c>
      <c r="AC205" t="s">
        <v>90</v>
      </c>
    </row>
    <row r="206" spans="1:29" s="2" customFormat="1" x14ac:dyDescent="0.25">
      <c r="A206" t="s">
        <v>39</v>
      </c>
      <c r="B206" t="s">
        <v>93</v>
      </c>
      <c r="C206" t="s">
        <v>8</v>
      </c>
      <c r="D206" t="s">
        <v>15</v>
      </c>
      <c r="E206" t="s">
        <v>116</v>
      </c>
      <c r="F206" t="s">
        <v>116</v>
      </c>
      <c r="G206" t="s">
        <v>93</v>
      </c>
      <c r="H206" t="s">
        <v>87</v>
      </c>
      <c r="I206">
        <v>109096</v>
      </c>
      <c r="J206" t="s">
        <v>221</v>
      </c>
      <c r="K206" t="s">
        <v>87</v>
      </c>
      <c r="L206" t="s">
        <v>86</v>
      </c>
      <c r="M206" t="s">
        <v>130</v>
      </c>
      <c r="N206" t="s">
        <v>188</v>
      </c>
      <c r="O206" t="s">
        <v>40</v>
      </c>
      <c r="P206" t="s">
        <v>24</v>
      </c>
      <c r="Q206" t="s">
        <v>87</v>
      </c>
      <c r="R206" t="s">
        <v>87</v>
      </c>
      <c r="S206" s="87">
        <v>45734</v>
      </c>
      <c r="T206" t="s">
        <v>222</v>
      </c>
      <c r="U206" t="s">
        <v>223</v>
      </c>
      <c r="V206">
        <v>26424986</v>
      </c>
      <c r="W206" t="s">
        <v>88</v>
      </c>
      <c r="X206"/>
      <c r="Y206"/>
      <c r="Z206" t="s">
        <v>94</v>
      </c>
      <c r="AA206" t="s">
        <v>53</v>
      </c>
      <c r="AB206" t="s">
        <v>89</v>
      </c>
      <c r="AC206" t="s">
        <v>90</v>
      </c>
    </row>
    <row r="207" spans="1:29" s="2" customFormat="1" x14ac:dyDescent="0.25">
      <c r="A207" t="s">
        <v>39</v>
      </c>
      <c r="B207" t="s">
        <v>93</v>
      </c>
      <c r="C207" t="s">
        <v>8</v>
      </c>
      <c r="D207" t="s">
        <v>15</v>
      </c>
      <c r="E207" t="s">
        <v>116</v>
      </c>
      <c r="F207" t="s">
        <v>116</v>
      </c>
      <c r="G207" t="s">
        <v>93</v>
      </c>
      <c r="H207" t="s">
        <v>87</v>
      </c>
      <c r="I207">
        <v>109096</v>
      </c>
      <c r="J207" t="s">
        <v>221</v>
      </c>
      <c r="K207" t="s">
        <v>87</v>
      </c>
      <c r="L207" t="s">
        <v>86</v>
      </c>
      <c r="M207" t="s">
        <v>130</v>
      </c>
      <c r="N207" t="s">
        <v>188</v>
      </c>
      <c r="O207" t="s">
        <v>100</v>
      </c>
      <c r="P207" t="s">
        <v>24</v>
      </c>
      <c r="Q207" t="s">
        <v>87</v>
      </c>
      <c r="R207" t="s">
        <v>87</v>
      </c>
      <c r="S207" s="87">
        <v>45734</v>
      </c>
      <c r="T207" t="s">
        <v>222</v>
      </c>
      <c r="U207" t="s">
        <v>223</v>
      </c>
      <c r="V207">
        <v>26424986</v>
      </c>
      <c r="W207" t="s">
        <v>88</v>
      </c>
      <c r="X207"/>
      <c r="Y207"/>
      <c r="Z207" t="s">
        <v>94</v>
      </c>
      <c r="AA207" t="s">
        <v>53</v>
      </c>
      <c r="AB207" t="s">
        <v>89</v>
      </c>
      <c r="AC207" t="s">
        <v>90</v>
      </c>
    </row>
    <row r="208" spans="1:29" s="2" customFormat="1" x14ac:dyDescent="0.25">
      <c r="A208" t="s">
        <v>39</v>
      </c>
      <c r="B208" t="s">
        <v>93</v>
      </c>
      <c r="C208" t="s">
        <v>8</v>
      </c>
      <c r="D208" t="s">
        <v>15</v>
      </c>
      <c r="E208" t="s">
        <v>116</v>
      </c>
      <c r="F208" t="s">
        <v>116</v>
      </c>
      <c r="G208" t="s">
        <v>93</v>
      </c>
      <c r="H208" t="s">
        <v>87</v>
      </c>
      <c r="I208">
        <v>109096</v>
      </c>
      <c r="J208" t="s">
        <v>221</v>
      </c>
      <c r="K208" t="s">
        <v>87</v>
      </c>
      <c r="L208" t="s">
        <v>86</v>
      </c>
      <c r="M208" t="s">
        <v>130</v>
      </c>
      <c r="N208" t="s">
        <v>188</v>
      </c>
      <c r="O208" t="s">
        <v>136</v>
      </c>
      <c r="P208" t="s">
        <v>24</v>
      </c>
      <c r="Q208" t="s">
        <v>87</v>
      </c>
      <c r="R208" t="s">
        <v>87</v>
      </c>
      <c r="S208" s="87">
        <v>45734</v>
      </c>
      <c r="T208" t="s">
        <v>222</v>
      </c>
      <c r="U208" t="s">
        <v>223</v>
      </c>
      <c r="V208">
        <v>26424986</v>
      </c>
      <c r="W208" t="s">
        <v>88</v>
      </c>
      <c r="X208"/>
      <c r="Y208"/>
      <c r="Z208" t="s">
        <v>94</v>
      </c>
      <c r="AA208" t="s">
        <v>53</v>
      </c>
      <c r="AB208" t="s">
        <v>89</v>
      </c>
      <c r="AC208" t="s">
        <v>90</v>
      </c>
    </row>
    <row r="209" spans="1:29" s="2" customFormat="1" x14ac:dyDescent="0.25">
      <c r="A209" t="s">
        <v>39</v>
      </c>
      <c r="B209" t="s">
        <v>93</v>
      </c>
      <c r="C209" t="s">
        <v>8</v>
      </c>
      <c r="D209" t="s">
        <v>15</v>
      </c>
      <c r="E209" t="s">
        <v>116</v>
      </c>
      <c r="F209" t="s">
        <v>116</v>
      </c>
      <c r="G209" t="s">
        <v>93</v>
      </c>
      <c r="H209" t="s">
        <v>87</v>
      </c>
      <c r="I209">
        <v>109096</v>
      </c>
      <c r="J209" t="s">
        <v>221</v>
      </c>
      <c r="K209" t="s">
        <v>87</v>
      </c>
      <c r="L209" t="s">
        <v>86</v>
      </c>
      <c r="M209" t="s">
        <v>130</v>
      </c>
      <c r="N209" t="s">
        <v>188</v>
      </c>
      <c r="O209" t="s">
        <v>44</v>
      </c>
      <c r="P209" t="s">
        <v>24</v>
      </c>
      <c r="Q209" t="s">
        <v>87</v>
      </c>
      <c r="R209" t="s">
        <v>87</v>
      </c>
      <c r="S209" s="87">
        <v>45734</v>
      </c>
      <c r="T209" t="s">
        <v>222</v>
      </c>
      <c r="U209" t="s">
        <v>223</v>
      </c>
      <c r="V209">
        <v>26424986</v>
      </c>
      <c r="W209" t="s">
        <v>88</v>
      </c>
      <c r="X209"/>
      <c r="Y209"/>
      <c r="Z209" t="s">
        <v>94</v>
      </c>
      <c r="AA209" t="s">
        <v>53</v>
      </c>
      <c r="AB209" t="s">
        <v>89</v>
      </c>
      <c r="AC209" t="s">
        <v>90</v>
      </c>
    </row>
    <row r="210" spans="1:29" s="2" customFormat="1" x14ac:dyDescent="0.25">
      <c r="A210" t="s">
        <v>39</v>
      </c>
      <c r="B210" t="s">
        <v>93</v>
      </c>
      <c r="C210" t="s">
        <v>8</v>
      </c>
      <c r="D210" t="s">
        <v>15</v>
      </c>
      <c r="E210" t="s">
        <v>116</v>
      </c>
      <c r="F210" t="s">
        <v>116</v>
      </c>
      <c r="G210" t="s">
        <v>93</v>
      </c>
      <c r="H210" t="s">
        <v>87</v>
      </c>
      <c r="I210">
        <v>109096</v>
      </c>
      <c r="J210" t="s">
        <v>221</v>
      </c>
      <c r="K210" t="s">
        <v>87</v>
      </c>
      <c r="L210" t="s">
        <v>86</v>
      </c>
      <c r="M210" t="s">
        <v>130</v>
      </c>
      <c r="N210" t="s">
        <v>188</v>
      </c>
      <c r="O210" t="s">
        <v>137</v>
      </c>
      <c r="P210" t="s">
        <v>118</v>
      </c>
      <c r="Q210" t="s">
        <v>87</v>
      </c>
      <c r="R210" t="s">
        <v>87</v>
      </c>
      <c r="S210" s="87">
        <v>45734</v>
      </c>
      <c r="T210" t="s">
        <v>222</v>
      </c>
      <c r="U210" t="s">
        <v>223</v>
      </c>
      <c r="V210">
        <v>26424986</v>
      </c>
      <c r="W210" t="s">
        <v>88</v>
      </c>
      <c r="X210"/>
      <c r="Y210"/>
      <c r="Z210" t="s">
        <v>94</v>
      </c>
      <c r="AA210" t="s">
        <v>53</v>
      </c>
      <c r="AB210" t="s">
        <v>89</v>
      </c>
      <c r="AC210" t="s">
        <v>90</v>
      </c>
    </row>
    <row r="211" spans="1:29" s="2" customFormat="1" x14ac:dyDescent="0.25">
      <c r="A211" t="s">
        <v>39</v>
      </c>
      <c r="B211" t="s">
        <v>93</v>
      </c>
      <c r="C211" t="s">
        <v>8</v>
      </c>
      <c r="D211" t="s">
        <v>15</v>
      </c>
      <c r="E211" t="s">
        <v>116</v>
      </c>
      <c r="F211" t="s">
        <v>116</v>
      </c>
      <c r="G211" t="s">
        <v>93</v>
      </c>
      <c r="H211" t="s">
        <v>87</v>
      </c>
      <c r="I211">
        <v>109096</v>
      </c>
      <c r="J211" t="s">
        <v>221</v>
      </c>
      <c r="K211" t="s">
        <v>87</v>
      </c>
      <c r="L211" t="s">
        <v>86</v>
      </c>
      <c r="M211" t="s">
        <v>130</v>
      </c>
      <c r="N211" t="s">
        <v>188</v>
      </c>
      <c r="O211" t="s">
        <v>43</v>
      </c>
      <c r="P211" t="s">
        <v>24</v>
      </c>
      <c r="Q211" t="s">
        <v>87</v>
      </c>
      <c r="R211" t="s">
        <v>87</v>
      </c>
      <c r="S211" s="87">
        <v>45734</v>
      </c>
      <c r="T211" t="s">
        <v>222</v>
      </c>
      <c r="U211" t="s">
        <v>223</v>
      </c>
      <c r="V211">
        <v>26424986</v>
      </c>
      <c r="W211" t="s">
        <v>88</v>
      </c>
      <c r="X211"/>
      <c r="Y211"/>
      <c r="Z211" t="s">
        <v>94</v>
      </c>
      <c r="AA211" t="s">
        <v>53</v>
      </c>
      <c r="AB211" t="s">
        <v>89</v>
      </c>
      <c r="AC211" t="s">
        <v>90</v>
      </c>
    </row>
    <row r="212" spans="1:29" s="2" customFormat="1" x14ac:dyDescent="0.25">
      <c r="A212" t="s">
        <v>39</v>
      </c>
      <c r="B212" t="s">
        <v>93</v>
      </c>
      <c r="C212" t="s">
        <v>8</v>
      </c>
      <c r="D212" t="s">
        <v>15</v>
      </c>
      <c r="E212" t="s">
        <v>116</v>
      </c>
      <c r="F212" t="s">
        <v>116</v>
      </c>
      <c r="G212" t="s">
        <v>93</v>
      </c>
      <c r="H212" t="s">
        <v>87</v>
      </c>
      <c r="I212">
        <v>109096</v>
      </c>
      <c r="J212" t="s">
        <v>221</v>
      </c>
      <c r="K212" t="s">
        <v>87</v>
      </c>
      <c r="L212" t="s">
        <v>86</v>
      </c>
      <c r="M212" t="s">
        <v>130</v>
      </c>
      <c r="N212" t="s">
        <v>188</v>
      </c>
      <c r="O212" t="s">
        <v>49</v>
      </c>
      <c r="P212" t="s">
        <v>24</v>
      </c>
      <c r="Q212" t="s">
        <v>87</v>
      </c>
      <c r="R212" t="s">
        <v>87</v>
      </c>
      <c r="S212" s="87">
        <v>45734</v>
      </c>
      <c r="T212" t="s">
        <v>222</v>
      </c>
      <c r="U212" t="s">
        <v>223</v>
      </c>
      <c r="V212">
        <v>26424986</v>
      </c>
      <c r="W212" t="s">
        <v>88</v>
      </c>
      <c r="X212"/>
      <c r="Y212"/>
      <c r="Z212" t="s">
        <v>94</v>
      </c>
      <c r="AA212" t="s">
        <v>53</v>
      </c>
      <c r="AB212" t="s">
        <v>89</v>
      </c>
      <c r="AC212" t="s">
        <v>90</v>
      </c>
    </row>
    <row r="213" spans="1:29" s="2" customFormat="1" x14ac:dyDescent="0.25">
      <c r="A213" t="s">
        <v>39</v>
      </c>
      <c r="B213" t="s">
        <v>93</v>
      </c>
      <c r="C213" t="s">
        <v>8</v>
      </c>
      <c r="D213" t="s">
        <v>15</v>
      </c>
      <c r="E213" t="s">
        <v>116</v>
      </c>
      <c r="F213" t="s">
        <v>116</v>
      </c>
      <c r="G213" t="s">
        <v>93</v>
      </c>
      <c r="H213" t="s">
        <v>87</v>
      </c>
      <c r="I213">
        <v>109096</v>
      </c>
      <c r="J213" t="s">
        <v>221</v>
      </c>
      <c r="K213" t="s">
        <v>87</v>
      </c>
      <c r="L213" t="s">
        <v>86</v>
      </c>
      <c r="M213" t="s">
        <v>130</v>
      </c>
      <c r="N213" t="s">
        <v>188</v>
      </c>
      <c r="O213" t="s">
        <v>52</v>
      </c>
      <c r="P213" t="s">
        <v>118</v>
      </c>
      <c r="Q213" t="s">
        <v>87</v>
      </c>
      <c r="R213" t="s">
        <v>87</v>
      </c>
      <c r="S213" s="87">
        <v>45734</v>
      </c>
      <c r="T213" t="s">
        <v>222</v>
      </c>
      <c r="U213" t="s">
        <v>223</v>
      </c>
      <c r="V213">
        <v>26424986</v>
      </c>
      <c r="W213" t="s">
        <v>88</v>
      </c>
      <c r="X213"/>
      <c r="Y213"/>
      <c r="Z213" t="s">
        <v>94</v>
      </c>
      <c r="AA213" t="s">
        <v>53</v>
      </c>
      <c r="AB213" t="s">
        <v>89</v>
      </c>
      <c r="AC213" t="s">
        <v>90</v>
      </c>
    </row>
    <row r="214" spans="1:29" s="2" customFormat="1" x14ac:dyDescent="0.25">
      <c r="A214" t="s">
        <v>39</v>
      </c>
      <c r="B214" t="s">
        <v>93</v>
      </c>
      <c r="C214" t="s">
        <v>8</v>
      </c>
      <c r="D214" t="s">
        <v>15</v>
      </c>
      <c r="E214" t="s">
        <v>116</v>
      </c>
      <c r="F214" t="s">
        <v>116</v>
      </c>
      <c r="G214" t="s">
        <v>93</v>
      </c>
      <c r="H214" t="s">
        <v>87</v>
      </c>
      <c r="I214">
        <v>109096</v>
      </c>
      <c r="J214" t="s">
        <v>221</v>
      </c>
      <c r="K214" t="s">
        <v>87</v>
      </c>
      <c r="L214" t="s">
        <v>86</v>
      </c>
      <c r="M214" t="s">
        <v>130</v>
      </c>
      <c r="N214" t="s">
        <v>188</v>
      </c>
      <c r="O214" t="s">
        <v>48</v>
      </c>
      <c r="P214" t="s">
        <v>118</v>
      </c>
      <c r="Q214" t="s">
        <v>87</v>
      </c>
      <c r="R214" t="s">
        <v>87</v>
      </c>
      <c r="S214" s="87">
        <v>45734</v>
      </c>
      <c r="T214" t="s">
        <v>222</v>
      </c>
      <c r="U214" t="s">
        <v>223</v>
      </c>
      <c r="V214">
        <v>26424986</v>
      </c>
      <c r="W214" t="s">
        <v>88</v>
      </c>
      <c r="X214"/>
      <c r="Y214"/>
      <c r="Z214" t="s">
        <v>94</v>
      </c>
      <c r="AA214" t="s">
        <v>53</v>
      </c>
      <c r="AB214" t="s">
        <v>89</v>
      </c>
      <c r="AC214" t="s">
        <v>90</v>
      </c>
    </row>
    <row r="215" spans="1:29" s="2" customFormat="1" x14ac:dyDescent="0.25">
      <c r="A215" t="s">
        <v>39</v>
      </c>
      <c r="B215" t="s">
        <v>93</v>
      </c>
      <c r="C215" t="s">
        <v>8</v>
      </c>
      <c r="D215" t="s">
        <v>15</v>
      </c>
      <c r="E215" t="s">
        <v>116</v>
      </c>
      <c r="F215" t="s">
        <v>116</v>
      </c>
      <c r="G215" t="s">
        <v>93</v>
      </c>
      <c r="H215" t="s">
        <v>87</v>
      </c>
      <c r="I215">
        <v>109096</v>
      </c>
      <c r="J215" t="s">
        <v>221</v>
      </c>
      <c r="K215" t="s">
        <v>87</v>
      </c>
      <c r="L215" t="s">
        <v>86</v>
      </c>
      <c r="M215" t="s">
        <v>130</v>
      </c>
      <c r="N215" t="s">
        <v>188</v>
      </c>
      <c r="O215" t="s">
        <v>47</v>
      </c>
      <c r="P215" t="s">
        <v>118</v>
      </c>
      <c r="Q215" t="s">
        <v>87</v>
      </c>
      <c r="R215" t="s">
        <v>87</v>
      </c>
      <c r="S215" s="87">
        <v>45734</v>
      </c>
      <c r="T215" t="s">
        <v>222</v>
      </c>
      <c r="U215" t="s">
        <v>223</v>
      </c>
      <c r="V215">
        <v>26424986</v>
      </c>
      <c r="W215" t="s">
        <v>88</v>
      </c>
      <c r="X215"/>
      <c r="Y215"/>
      <c r="Z215" t="s">
        <v>94</v>
      </c>
      <c r="AA215" t="s">
        <v>53</v>
      </c>
      <c r="AB215" t="s">
        <v>89</v>
      </c>
      <c r="AC215" t="s">
        <v>90</v>
      </c>
    </row>
    <row r="216" spans="1:29" s="2" customFormat="1" x14ac:dyDescent="0.25">
      <c r="A216" t="s">
        <v>39</v>
      </c>
      <c r="B216" t="s">
        <v>93</v>
      </c>
      <c r="C216" t="s">
        <v>8</v>
      </c>
      <c r="D216" t="s">
        <v>15</v>
      </c>
      <c r="E216" t="s">
        <v>116</v>
      </c>
      <c r="F216" t="s">
        <v>116</v>
      </c>
      <c r="G216" t="s">
        <v>93</v>
      </c>
      <c r="H216" t="s">
        <v>87</v>
      </c>
      <c r="I216">
        <v>109096</v>
      </c>
      <c r="J216" t="s">
        <v>221</v>
      </c>
      <c r="K216" t="s">
        <v>87</v>
      </c>
      <c r="L216" t="s">
        <v>86</v>
      </c>
      <c r="M216" t="s">
        <v>130</v>
      </c>
      <c r="N216" t="s">
        <v>188</v>
      </c>
      <c r="O216" t="s">
        <v>46</v>
      </c>
      <c r="P216" t="s">
        <v>24</v>
      </c>
      <c r="Q216" t="s">
        <v>87</v>
      </c>
      <c r="R216" t="s">
        <v>87</v>
      </c>
      <c r="S216" s="87">
        <v>45734</v>
      </c>
      <c r="T216" t="s">
        <v>222</v>
      </c>
      <c r="U216" t="s">
        <v>223</v>
      </c>
      <c r="V216">
        <v>26424986</v>
      </c>
      <c r="W216" t="s">
        <v>88</v>
      </c>
      <c r="X216"/>
      <c r="Y216"/>
      <c r="Z216" t="s">
        <v>94</v>
      </c>
      <c r="AA216" t="s">
        <v>53</v>
      </c>
      <c r="AB216" t="s">
        <v>89</v>
      </c>
      <c r="AC216" t="s">
        <v>90</v>
      </c>
    </row>
    <row r="217" spans="1:29" s="2" customFormat="1" x14ac:dyDescent="0.25">
      <c r="A217" t="s">
        <v>39</v>
      </c>
      <c r="B217" t="s">
        <v>93</v>
      </c>
      <c r="C217" t="s">
        <v>8</v>
      </c>
      <c r="D217" t="s">
        <v>15</v>
      </c>
      <c r="E217" t="s">
        <v>116</v>
      </c>
      <c r="F217" t="s">
        <v>116</v>
      </c>
      <c r="G217" t="s">
        <v>93</v>
      </c>
      <c r="H217" t="s">
        <v>87</v>
      </c>
      <c r="I217">
        <v>109096</v>
      </c>
      <c r="J217" t="s">
        <v>221</v>
      </c>
      <c r="K217" t="s">
        <v>87</v>
      </c>
      <c r="L217" t="s">
        <v>86</v>
      </c>
      <c r="M217" t="s">
        <v>130</v>
      </c>
      <c r="N217" t="s">
        <v>188</v>
      </c>
      <c r="O217" t="s">
        <v>138</v>
      </c>
      <c r="P217" t="s">
        <v>24</v>
      </c>
      <c r="Q217" t="s">
        <v>87</v>
      </c>
      <c r="R217" t="s">
        <v>87</v>
      </c>
      <c r="S217" s="87">
        <v>45734</v>
      </c>
      <c r="T217" t="s">
        <v>222</v>
      </c>
      <c r="U217" t="s">
        <v>223</v>
      </c>
      <c r="V217">
        <v>26424986</v>
      </c>
      <c r="W217" t="s">
        <v>88</v>
      </c>
      <c r="X217"/>
      <c r="Y217"/>
      <c r="Z217" t="s">
        <v>94</v>
      </c>
      <c r="AA217" t="s">
        <v>53</v>
      </c>
      <c r="AB217" t="s">
        <v>89</v>
      </c>
      <c r="AC217" t="s">
        <v>90</v>
      </c>
    </row>
    <row r="218" spans="1:29" s="2" customFormat="1" x14ac:dyDescent="0.25">
      <c r="A218" t="s">
        <v>39</v>
      </c>
      <c r="B218" t="s">
        <v>93</v>
      </c>
      <c r="C218" t="s">
        <v>8</v>
      </c>
      <c r="D218" t="s">
        <v>15</v>
      </c>
      <c r="E218" t="s">
        <v>116</v>
      </c>
      <c r="F218" t="s">
        <v>116</v>
      </c>
      <c r="G218" t="s">
        <v>93</v>
      </c>
      <c r="H218" t="s">
        <v>87</v>
      </c>
      <c r="I218">
        <v>109096</v>
      </c>
      <c r="J218" t="s">
        <v>221</v>
      </c>
      <c r="K218" t="s">
        <v>87</v>
      </c>
      <c r="L218" t="s">
        <v>86</v>
      </c>
      <c r="M218" t="s">
        <v>130</v>
      </c>
      <c r="N218" t="s">
        <v>188</v>
      </c>
      <c r="O218" t="s">
        <v>101</v>
      </c>
      <c r="P218" t="s">
        <v>24</v>
      </c>
      <c r="Q218" t="s">
        <v>87</v>
      </c>
      <c r="R218" t="s">
        <v>87</v>
      </c>
      <c r="S218" s="87">
        <v>45734</v>
      </c>
      <c r="T218" t="s">
        <v>222</v>
      </c>
      <c r="U218" t="s">
        <v>223</v>
      </c>
      <c r="V218">
        <v>26424986</v>
      </c>
      <c r="W218" t="s">
        <v>88</v>
      </c>
      <c r="X218"/>
      <c r="Y218"/>
      <c r="Z218" t="s">
        <v>94</v>
      </c>
      <c r="AA218" t="s">
        <v>53</v>
      </c>
      <c r="AB218" t="s">
        <v>89</v>
      </c>
      <c r="AC218" t="s">
        <v>90</v>
      </c>
    </row>
    <row r="219" spans="1:29" s="2" customFormat="1" x14ac:dyDescent="0.25">
      <c r="A219" t="s">
        <v>39</v>
      </c>
      <c r="B219" t="s">
        <v>93</v>
      </c>
      <c r="C219" t="s">
        <v>8</v>
      </c>
      <c r="D219" t="s">
        <v>15</v>
      </c>
      <c r="E219" t="s">
        <v>116</v>
      </c>
      <c r="F219" t="s">
        <v>116</v>
      </c>
      <c r="G219" t="s">
        <v>93</v>
      </c>
      <c r="H219" t="s">
        <v>87</v>
      </c>
      <c r="I219">
        <v>109096</v>
      </c>
      <c r="J219" t="s">
        <v>221</v>
      </c>
      <c r="K219" t="s">
        <v>87</v>
      </c>
      <c r="L219" t="s">
        <v>86</v>
      </c>
      <c r="M219" t="s">
        <v>130</v>
      </c>
      <c r="N219" t="s">
        <v>188</v>
      </c>
      <c r="O219" t="s">
        <v>101</v>
      </c>
      <c r="P219" t="s">
        <v>24</v>
      </c>
      <c r="Q219" t="s">
        <v>87</v>
      </c>
      <c r="R219" t="s">
        <v>87</v>
      </c>
      <c r="S219" s="87">
        <v>45734</v>
      </c>
      <c r="T219" t="s">
        <v>222</v>
      </c>
      <c r="U219" t="s">
        <v>223</v>
      </c>
      <c r="V219">
        <v>26424986</v>
      </c>
      <c r="W219" t="s">
        <v>88</v>
      </c>
      <c r="X219"/>
      <c r="Y219"/>
      <c r="Z219" t="s">
        <v>94</v>
      </c>
      <c r="AA219" t="s">
        <v>53</v>
      </c>
      <c r="AB219" t="s">
        <v>89</v>
      </c>
      <c r="AC219" t="s">
        <v>90</v>
      </c>
    </row>
    <row r="220" spans="1:29" s="2" customFormat="1" x14ac:dyDescent="0.25">
      <c r="A220" t="s">
        <v>39</v>
      </c>
      <c r="B220" t="s">
        <v>93</v>
      </c>
      <c r="C220" t="s">
        <v>8</v>
      </c>
      <c r="D220" t="s">
        <v>15</v>
      </c>
      <c r="E220" t="s">
        <v>116</v>
      </c>
      <c r="F220" t="s">
        <v>116</v>
      </c>
      <c r="G220" t="s">
        <v>93</v>
      </c>
      <c r="H220" t="s">
        <v>87</v>
      </c>
      <c r="I220">
        <v>109096</v>
      </c>
      <c r="J220" t="s">
        <v>221</v>
      </c>
      <c r="K220" t="s">
        <v>87</v>
      </c>
      <c r="L220" t="s">
        <v>86</v>
      </c>
      <c r="M220" t="s">
        <v>130</v>
      </c>
      <c r="N220" t="s">
        <v>188</v>
      </c>
      <c r="O220" t="s">
        <v>99</v>
      </c>
      <c r="P220" t="s">
        <v>118</v>
      </c>
      <c r="Q220" t="s">
        <v>87</v>
      </c>
      <c r="R220" t="s">
        <v>87</v>
      </c>
      <c r="S220" s="87">
        <v>45734</v>
      </c>
      <c r="T220" t="s">
        <v>222</v>
      </c>
      <c r="U220" t="s">
        <v>223</v>
      </c>
      <c r="V220">
        <v>26424986</v>
      </c>
      <c r="W220" t="s">
        <v>88</v>
      </c>
      <c r="X220"/>
      <c r="Y220"/>
      <c r="Z220" t="s">
        <v>94</v>
      </c>
      <c r="AA220" t="s">
        <v>53</v>
      </c>
      <c r="AB220" t="s">
        <v>89</v>
      </c>
      <c r="AC220" t="s">
        <v>90</v>
      </c>
    </row>
    <row r="221" spans="1:29" s="2" customFormat="1" x14ac:dyDescent="0.25">
      <c r="A221" t="s">
        <v>39</v>
      </c>
      <c r="B221" t="s">
        <v>93</v>
      </c>
      <c r="C221" t="s">
        <v>8</v>
      </c>
      <c r="D221" t="s">
        <v>15</v>
      </c>
      <c r="E221" t="s">
        <v>116</v>
      </c>
      <c r="F221" t="s">
        <v>116</v>
      </c>
      <c r="G221" t="s">
        <v>93</v>
      </c>
      <c r="H221" t="s">
        <v>87</v>
      </c>
      <c r="I221">
        <v>109096</v>
      </c>
      <c r="J221" t="s">
        <v>221</v>
      </c>
      <c r="K221" t="s">
        <v>87</v>
      </c>
      <c r="L221" t="s">
        <v>86</v>
      </c>
      <c r="M221" t="s">
        <v>130</v>
      </c>
      <c r="N221" t="s">
        <v>188</v>
      </c>
      <c r="O221" t="s">
        <v>102</v>
      </c>
      <c r="P221" t="s">
        <v>167</v>
      </c>
      <c r="Q221" t="s">
        <v>87</v>
      </c>
      <c r="R221" t="s">
        <v>87</v>
      </c>
      <c r="S221" s="87">
        <v>45734</v>
      </c>
      <c r="T221" t="s">
        <v>222</v>
      </c>
      <c r="U221" t="s">
        <v>223</v>
      </c>
      <c r="V221">
        <v>26424986</v>
      </c>
      <c r="W221" t="s">
        <v>88</v>
      </c>
      <c r="X221"/>
      <c r="Y221"/>
      <c r="Z221" t="s">
        <v>94</v>
      </c>
      <c r="AA221" t="s">
        <v>53</v>
      </c>
      <c r="AB221" t="s">
        <v>89</v>
      </c>
      <c r="AC221" t="s">
        <v>90</v>
      </c>
    </row>
    <row r="222" spans="1:29" s="2" customFormat="1" x14ac:dyDescent="0.25">
      <c r="A222" t="s">
        <v>39</v>
      </c>
      <c r="B222" t="s">
        <v>93</v>
      </c>
      <c r="C222" t="s">
        <v>8</v>
      </c>
      <c r="D222" t="s">
        <v>15</v>
      </c>
      <c r="E222" t="s">
        <v>116</v>
      </c>
      <c r="F222" t="s">
        <v>116</v>
      </c>
      <c r="G222" t="s">
        <v>93</v>
      </c>
      <c r="H222" t="s">
        <v>87</v>
      </c>
      <c r="I222">
        <v>109096</v>
      </c>
      <c r="J222" t="s">
        <v>221</v>
      </c>
      <c r="K222" t="s">
        <v>87</v>
      </c>
      <c r="L222" t="s">
        <v>86</v>
      </c>
      <c r="M222" t="s">
        <v>130</v>
      </c>
      <c r="N222" t="s">
        <v>188</v>
      </c>
      <c r="O222" t="s">
        <v>169</v>
      </c>
      <c r="P222" t="s">
        <v>24</v>
      </c>
      <c r="Q222" t="s">
        <v>87</v>
      </c>
      <c r="R222" t="s">
        <v>87</v>
      </c>
      <c r="S222" s="87">
        <v>45734</v>
      </c>
      <c r="T222" t="s">
        <v>222</v>
      </c>
      <c r="U222" t="s">
        <v>223</v>
      </c>
      <c r="V222">
        <v>26424986</v>
      </c>
      <c r="W222" t="s">
        <v>88</v>
      </c>
      <c r="X222"/>
      <c r="Y222"/>
      <c r="Z222" t="s">
        <v>94</v>
      </c>
      <c r="AA222" t="s">
        <v>53</v>
      </c>
      <c r="AB222" t="s">
        <v>89</v>
      </c>
      <c r="AC222" t="s">
        <v>90</v>
      </c>
    </row>
    <row r="223" spans="1:29" s="2" customFormat="1" x14ac:dyDescent="0.25">
      <c r="A223" t="s">
        <v>39</v>
      </c>
      <c r="B223" t="s">
        <v>93</v>
      </c>
      <c r="C223" t="s">
        <v>8</v>
      </c>
      <c r="D223" t="s">
        <v>15</v>
      </c>
      <c r="E223" t="s">
        <v>116</v>
      </c>
      <c r="F223" t="s">
        <v>116</v>
      </c>
      <c r="G223" t="s">
        <v>93</v>
      </c>
      <c r="H223" t="s">
        <v>87</v>
      </c>
      <c r="I223">
        <v>109096</v>
      </c>
      <c r="J223" t="s">
        <v>221</v>
      </c>
      <c r="K223" t="s">
        <v>87</v>
      </c>
      <c r="L223" t="s">
        <v>86</v>
      </c>
      <c r="M223" t="s">
        <v>130</v>
      </c>
      <c r="N223" t="s">
        <v>188</v>
      </c>
      <c r="O223" t="s">
        <v>171</v>
      </c>
      <c r="P223" t="s">
        <v>24</v>
      </c>
      <c r="Q223" t="s">
        <v>87</v>
      </c>
      <c r="R223" t="s">
        <v>87</v>
      </c>
      <c r="S223" s="87">
        <v>45734</v>
      </c>
      <c r="T223" t="s">
        <v>222</v>
      </c>
      <c r="U223" t="s">
        <v>223</v>
      </c>
      <c r="V223">
        <v>26424986</v>
      </c>
      <c r="W223" t="s">
        <v>88</v>
      </c>
      <c r="X223"/>
      <c r="Y223"/>
      <c r="Z223" t="s">
        <v>94</v>
      </c>
      <c r="AA223" t="s">
        <v>53</v>
      </c>
      <c r="AB223" t="s">
        <v>89</v>
      </c>
      <c r="AC223" t="s">
        <v>90</v>
      </c>
    </row>
    <row r="224" spans="1:29" s="2" customFormat="1" x14ac:dyDescent="0.25">
      <c r="A224" t="s">
        <v>39</v>
      </c>
      <c r="B224" t="s">
        <v>93</v>
      </c>
      <c r="C224" t="s">
        <v>8</v>
      </c>
      <c r="D224" t="s">
        <v>15</v>
      </c>
      <c r="E224" t="s">
        <v>116</v>
      </c>
      <c r="F224" t="s">
        <v>116</v>
      </c>
      <c r="G224" t="s">
        <v>93</v>
      </c>
      <c r="H224" t="s">
        <v>87</v>
      </c>
      <c r="I224">
        <v>109096</v>
      </c>
      <c r="J224" t="s">
        <v>221</v>
      </c>
      <c r="K224" t="s">
        <v>87</v>
      </c>
      <c r="L224" t="s">
        <v>86</v>
      </c>
      <c r="M224" t="s">
        <v>130</v>
      </c>
      <c r="N224" t="s">
        <v>188</v>
      </c>
      <c r="O224" t="s">
        <v>173</v>
      </c>
      <c r="P224" t="s">
        <v>24</v>
      </c>
      <c r="Q224" t="s">
        <v>87</v>
      </c>
      <c r="R224" t="s">
        <v>87</v>
      </c>
      <c r="S224" s="87">
        <v>45734</v>
      </c>
      <c r="T224" t="s">
        <v>222</v>
      </c>
      <c r="U224" t="s">
        <v>223</v>
      </c>
      <c r="V224">
        <v>26424986</v>
      </c>
      <c r="W224" t="s">
        <v>88</v>
      </c>
      <c r="X224"/>
      <c r="Y224"/>
      <c r="Z224" t="s">
        <v>94</v>
      </c>
      <c r="AA224" t="s">
        <v>53</v>
      </c>
      <c r="AB224" t="s">
        <v>89</v>
      </c>
      <c r="AC224" t="s">
        <v>90</v>
      </c>
    </row>
    <row r="225" spans="1:29" s="2" customFormat="1" x14ac:dyDescent="0.25">
      <c r="A225" t="s">
        <v>39</v>
      </c>
      <c r="B225" t="s">
        <v>93</v>
      </c>
      <c r="C225" t="s">
        <v>8</v>
      </c>
      <c r="D225" t="s">
        <v>15</v>
      </c>
      <c r="E225" t="s">
        <v>116</v>
      </c>
      <c r="F225" t="s">
        <v>116</v>
      </c>
      <c r="G225" t="s">
        <v>93</v>
      </c>
      <c r="H225" t="s">
        <v>87</v>
      </c>
      <c r="I225">
        <v>109096</v>
      </c>
      <c r="J225" t="s">
        <v>221</v>
      </c>
      <c r="K225" t="s">
        <v>87</v>
      </c>
      <c r="L225" t="s">
        <v>86</v>
      </c>
      <c r="M225" t="s">
        <v>130</v>
      </c>
      <c r="N225" t="s">
        <v>188</v>
      </c>
      <c r="O225" t="s">
        <v>175</v>
      </c>
      <c r="P225" t="s">
        <v>24</v>
      </c>
      <c r="Q225" t="s">
        <v>87</v>
      </c>
      <c r="R225" t="s">
        <v>87</v>
      </c>
      <c r="S225" s="87">
        <v>45734</v>
      </c>
      <c r="T225" t="s">
        <v>222</v>
      </c>
      <c r="U225" t="s">
        <v>223</v>
      </c>
      <c r="V225">
        <v>26424986</v>
      </c>
      <c r="W225" t="s">
        <v>88</v>
      </c>
      <c r="X225"/>
      <c r="Y225"/>
      <c r="Z225" t="s">
        <v>94</v>
      </c>
      <c r="AA225" t="s">
        <v>53</v>
      </c>
      <c r="AB225" t="s">
        <v>89</v>
      </c>
      <c r="AC225" t="s">
        <v>90</v>
      </c>
    </row>
    <row r="226" spans="1:29" s="2" customFormat="1" x14ac:dyDescent="0.25">
      <c r="A226" t="s">
        <v>39</v>
      </c>
      <c r="B226" t="s">
        <v>93</v>
      </c>
      <c r="C226" t="s">
        <v>8</v>
      </c>
      <c r="D226" t="s">
        <v>15</v>
      </c>
      <c r="E226" t="s">
        <v>116</v>
      </c>
      <c r="F226" t="s">
        <v>116</v>
      </c>
      <c r="G226" t="s">
        <v>93</v>
      </c>
      <c r="H226" t="s">
        <v>87</v>
      </c>
      <c r="I226">
        <v>109096</v>
      </c>
      <c r="J226" t="s">
        <v>221</v>
      </c>
      <c r="K226" t="s">
        <v>87</v>
      </c>
      <c r="L226" t="s">
        <v>86</v>
      </c>
      <c r="M226" t="s">
        <v>130</v>
      </c>
      <c r="N226" t="s">
        <v>188</v>
      </c>
      <c r="O226" t="s">
        <v>41</v>
      </c>
      <c r="P226" t="s">
        <v>24</v>
      </c>
      <c r="Q226" t="s">
        <v>87</v>
      </c>
      <c r="R226" t="s">
        <v>87</v>
      </c>
      <c r="S226" s="87">
        <v>45734</v>
      </c>
      <c r="T226" t="s">
        <v>222</v>
      </c>
      <c r="U226" t="s">
        <v>223</v>
      </c>
      <c r="V226">
        <v>26424986</v>
      </c>
      <c r="W226" t="s">
        <v>88</v>
      </c>
      <c r="X226"/>
      <c r="Y226"/>
      <c r="Z226" t="s">
        <v>94</v>
      </c>
      <c r="AA226" t="s">
        <v>53</v>
      </c>
      <c r="AB226" t="s">
        <v>89</v>
      </c>
      <c r="AC226" t="s">
        <v>90</v>
      </c>
    </row>
    <row r="227" spans="1:29" s="2" customFormat="1" x14ac:dyDescent="0.25">
      <c r="A227" t="s">
        <v>39</v>
      </c>
      <c r="B227" t="s">
        <v>93</v>
      </c>
      <c r="C227" t="s">
        <v>8</v>
      </c>
      <c r="D227" t="s">
        <v>15</v>
      </c>
      <c r="E227" t="s">
        <v>116</v>
      </c>
      <c r="F227" t="s">
        <v>116</v>
      </c>
      <c r="G227" t="s">
        <v>93</v>
      </c>
      <c r="H227" t="s">
        <v>87</v>
      </c>
      <c r="I227">
        <v>109096</v>
      </c>
      <c r="J227" t="s">
        <v>221</v>
      </c>
      <c r="K227" t="s">
        <v>87</v>
      </c>
      <c r="L227" t="s">
        <v>86</v>
      </c>
      <c r="M227" t="s">
        <v>130</v>
      </c>
      <c r="N227" t="s">
        <v>188</v>
      </c>
      <c r="O227" s="27" t="s">
        <v>51</v>
      </c>
      <c r="P227" t="s">
        <v>118</v>
      </c>
      <c r="Q227"/>
      <c r="R227"/>
      <c r="S227" s="87">
        <v>45734</v>
      </c>
      <c r="T227" t="s">
        <v>222</v>
      </c>
      <c r="U227" t="s">
        <v>223</v>
      </c>
      <c r="V227">
        <v>26424986</v>
      </c>
      <c r="W227" t="s">
        <v>88</v>
      </c>
      <c r="X227"/>
      <c r="Y227"/>
      <c r="Z227" t="s">
        <v>94</v>
      </c>
      <c r="AA227" t="s">
        <v>53</v>
      </c>
      <c r="AB227" t="s">
        <v>89</v>
      </c>
      <c r="AC227" t="s">
        <v>90</v>
      </c>
    </row>
    <row r="228" spans="1:29" s="2" customFormat="1" x14ac:dyDescent="0.25">
      <c r="A228" t="s">
        <v>39</v>
      </c>
      <c r="B228" t="s">
        <v>93</v>
      </c>
      <c r="C228" t="s">
        <v>8</v>
      </c>
      <c r="D228" t="s">
        <v>15</v>
      </c>
      <c r="E228" t="s">
        <v>116</v>
      </c>
      <c r="F228" t="s">
        <v>116</v>
      </c>
      <c r="G228" t="s">
        <v>93</v>
      </c>
      <c r="H228" t="s">
        <v>87</v>
      </c>
      <c r="I228">
        <v>109096</v>
      </c>
      <c r="J228" t="s">
        <v>221</v>
      </c>
      <c r="K228" t="s">
        <v>87</v>
      </c>
      <c r="L228" t="s">
        <v>86</v>
      </c>
      <c r="M228" t="s">
        <v>130</v>
      </c>
      <c r="N228" t="s">
        <v>188</v>
      </c>
      <c r="O228" t="s">
        <v>50</v>
      </c>
      <c r="P228" t="s">
        <v>24</v>
      </c>
      <c r="Q228" t="s">
        <v>87</v>
      </c>
      <c r="R228" t="s">
        <v>87</v>
      </c>
      <c r="S228" s="87">
        <v>45734</v>
      </c>
      <c r="T228" t="s">
        <v>222</v>
      </c>
      <c r="U228" t="s">
        <v>223</v>
      </c>
      <c r="V228">
        <v>26424986</v>
      </c>
      <c r="W228" t="s">
        <v>88</v>
      </c>
      <c r="X228"/>
      <c r="Y228"/>
      <c r="Z228" t="s">
        <v>94</v>
      </c>
      <c r="AA228" t="s">
        <v>53</v>
      </c>
      <c r="AB228" t="s">
        <v>89</v>
      </c>
      <c r="AC228" t="s">
        <v>90</v>
      </c>
    </row>
    <row r="229" spans="1:29" s="2" customFormat="1" x14ac:dyDescent="0.25">
      <c r="A229" t="s">
        <v>39</v>
      </c>
      <c r="B229" t="s">
        <v>93</v>
      </c>
      <c r="C229" t="s">
        <v>8</v>
      </c>
      <c r="D229" t="s">
        <v>15</v>
      </c>
      <c r="E229" t="s">
        <v>116</v>
      </c>
      <c r="F229" t="s">
        <v>116</v>
      </c>
      <c r="G229" t="s">
        <v>93</v>
      </c>
      <c r="H229" t="s">
        <v>87</v>
      </c>
      <c r="I229">
        <v>109096</v>
      </c>
      <c r="J229" t="s">
        <v>221</v>
      </c>
      <c r="K229" t="s">
        <v>87</v>
      </c>
      <c r="L229" t="s">
        <v>86</v>
      </c>
      <c r="M229" t="s">
        <v>130</v>
      </c>
      <c r="N229" t="s">
        <v>188</v>
      </c>
      <c r="O229" t="s">
        <v>148</v>
      </c>
      <c r="P229" t="s">
        <v>118</v>
      </c>
      <c r="Q229" t="s">
        <v>87</v>
      </c>
      <c r="R229" t="s">
        <v>87</v>
      </c>
      <c r="S229" s="87">
        <v>45734</v>
      </c>
      <c r="T229" t="s">
        <v>222</v>
      </c>
      <c r="U229" t="s">
        <v>223</v>
      </c>
      <c r="V229">
        <v>26424986</v>
      </c>
      <c r="W229" t="s">
        <v>88</v>
      </c>
      <c r="X229"/>
      <c r="Y229"/>
      <c r="Z229" t="s">
        <v>94</v>
      </c>
      <c r="AA229" t="s">
        <v>53</v>
      </c>
      <c r="AB229" t="s">
        <v>89</v>
      </c>
      <c r="AC229" t="s">
        <v>90</v>
      </c>
    </row>
    <row r="230" spans="1:29" s="2" customFormat="1" x14ac:dyDescent="0.25">
      <c r="A230" t="s">
        <v>39</v>
      </c>
      <c r="B230" t="s">
        <v>93</v>
      </c>
      <c r="C230" t="s">
        <v>8</v>
      </c>
      <c r="D230" t="s">
        <v>15</v>
      </c>
      <c r="E230" t="s">
        <v>116</v>
      </c>
      <c r="F230" t="s">
        <v>116</v>
      </c>
      <c r="G230" t="s">
        <v>93</v>
      </c>
      <c r="H230" t="s">
        <v>87</v>
      </c>
      <c r="I230">
        <v>109096</v>
      </c>
      <c r="J230" t="s">
        <v>221</v>
      </c>
      <c r="K230" t="s">
        <v>87</v>
      </c>
      <c r="L230" t="s">
        <v>86</v>
      </c>
      <c r="M230" t="s">
        <v>130</v>
      </c>
      <c r="N230" t="s">
        <v>188</v>
      </c>
      <c r="O230" t="s">
        <v>45</v>
      </c>
      <c r="P230" t="s">
        <v>118</v>
      </c>
      <c r="Q230" t="s">
        <v>87</v>
      </c>
      <c r="R230" t="s">
        <v>87</v>
      </c>
      <c r="S230" s="87">
        <v>45734</v>
      </c>
      <c r="T230" t="s">
        <v>222</v>
      </c>
      <c r="U230" t="s">
        <v>223</v>
      </c>
      <c r="V230">
        <v>26424986</v>
      </c>
      <c r="W230" t="s">
        <v>88</v>
      </c>
      <c r="X230"/>
      <c r="Y230"/>
      <c r="Z230" t="s">
        <v>94</v>
      </c>
      <c r="AA230" t="s">
        <v>53</v>
      </c>
      <c r="AB230" t="s">
        <v>89</v>
      </c>
      <c r="AC230" t="s">
        <v>90</v>
      </c>
    </row>
    <row r="231" spans="1:29" s="2" customFormat="1" x14ac:dyDescent="0.25">
      <c r="A231" t="s">
        <v>39</v>
      </c>
      <c r="B231" t="s">
        <v>93</v>
      </c>
      <c r="C231" t="s">
        <v>8</v>
      </c>
      <c r="D231" t="s">
        <v>15</v>
      </c>
      <c r="E231" t="s">
        <v>116</v>
      </c>
      <c r="F231" t="s">
        <v>116</v>
      </c>
      <c r="G231" t="s">
        <v>93</v>
      </c>
      <c r="H231" t="s">
        <v>87</v>
      </c>
      <c r="I231">
        <v>109096</v>
      </c>
      <c r="J231" t="s">
        <v>221</v>
      </c>
      <c r="K231" t="s">
        <v>87</v>
      </c>
      <c r="L231" t="s">
        <v>86</v>
      </c>
      <c r="M231" t="s">
        <v>130</v>
      </c>
      <c r="N231" t="s">
        <v>188</v>
      </c>
      <c r="O231" t="s">
        <v>189</v>
      </c>
      <c r="P231" t="s">
        <v>118</v>
      </c>
      <c r="Q231" t="s">
        <v>87</v>
      </c>
      <c r="R231" t="s">
        <v>87</v>
      </c>
      <c r="S231" s="87">
        <v>45734</v>
      </c>
      <c r="T231" t="s">
        <v>222</v>
      </c>
      <c r="U231" t="s">
        <v>223</v>
      </c>
      <c r="V231">
        <v>26424986</v>
      </c>
      <c r="W231" t="s">
        <v>88</v>
      </c>
      <c r="X231"/>
      <c r="Y231"/>
      <c r="Z231" t="s">
        <v>94</v>
      </c>
      <c r="AA231" t="s">
        <v>53</v>
      </c>
      <c r="AB231" t="s">
        <v>89</v>
      </c>
      <c r="AC231" t="s">
        <v>90</v>
      </c>
    </row>
    <row r="232" spans="1:29" s="2" customFormat="1" x14ac:dyDescent="0.25">
      <c r="A232" t="s">
        <v>39</v>
      </c>
      <c r="B232" t="s">
        <v>93</v>
      </c>
      <c r="C232" t="s">
        <v>8</v>
      </c>
      <c r="D232" t="s">
        <v>16</v>
      </c>
      <c r="E232" t="s">
        <v>187</v>
      </c>
      <c r="F232" t="s">
        <v>224</v>
      </c>
      <c r="G232" t="s">
        <v>93</v>
      </c>
      <c r="H232" t="s">
        <v>87</v>
      </c>
      <c r="I232">
        <v>12390</v>
      </c>
      <c r="J232" t="s">
        <v>225</v>
      </c>
      <c r="K232" t="s">
        <v>226</v>
      </c>
      <c r="L232" t="s">
        <v>86</v>
      </c>
      <c r="M232" t="s">
        <v>130</v>
      </c>
      <c r="N232" t="s">
        <v>188</v>
      </c>
      <c r="O232" t="s">
        <v>40</v>
      </c>
      <c r="P232" t="s">
        <v>118</v>
      </c>
      <c r="Q232" t="s">
        <v>87</v>
      </c>
      <c r="R232" t="s">
        <v>87</v>
      </c>
      <c r="S232" s="87">
        <v>45735</v>
      </c>
      <c r="T232" t="s">
        <v>227</v>
      </c>
      <c r="U232" t="s">
        <v>228</v>
      </c>
      <c r="V232">
        <v>26429011</v>
      </c>
      <c r="W232" t="s">
        <v>88</v>
      </c>
      <c r="X232"/>
      <c r="Y232"/>
      <c r="Z232" t="s">
        <v>114</v>
      </c>
      <c r="AA232" t="s">
        <v>115</v>
      </c>
      <c r="AB232" t="s">
        <v>89</v>
      </c>
      <c r="AC232" t="s">
        <v>90</v>
      </c>
    </row>
    <row r="233" spans="1:29" s="2" customFormat="1" x14ac:dyDescent="0.25">
      <c r="A233" t="s">
        <v>39</v>
      </c>
      <c r="B233" t="s">
        <v>93</v>
      </c>
      <c r="C233" t="s">
        <v>8</v>
      </c>
      <c r="D233" t="s">
        <v>16</v>
      </c>
      <c r="E233" t="s">
        <v>187</v>
      </c>
      <c r="F233" t="s">
        <v>224</v>
      </c>
      <c r="G233" t="s">
        <v>93</v>
      </c>
      <c r="H233" t="s">
        <v>87</v>
      </c>
      <c r="I233">
        <v>12390</v>
      </c>
      <c r="J233" t="s">
        <v>225</v>
      </c>
      <c r="K233" t="s">
        <v>226</v>
      </c>
      <c r="L233" t="s">
        <v>86</v>
      </c>
      <c r="M233" t="s">
        <v>130</v>
      </c>
      <c r="N233" t="s">
        <v>188</v>
      </c>
      <c r="O233" t="s">
        <v>189</v>
      </c>
      <c r="P233" t="s">
        <v>24</v>
      </c>
      <c r="Q233" t="s">
        <v>87</v>
      </c>
      <c r="R233" t="s">
        <v>87</v>
      </c>
      <c r="S233" s="87">
        <v>45735</v>
      </c>
      <c r="T233" t="s">
        <v>227</v>
      </c>
      <c r="U233" t="s">
        <v>228</v>
      </c>
      <c r="V233">
        <v>26429011</v>
      </c>
      <c r="W233" t="s">
        <v>88</v>
      </c>
      <c r="X233"/>
      <c r="Y233"/>
      <c r="Z233" t="s">
        <v>114</v>
      </c>
      <c r="AA233" t="s">
        <v>115</v>
      </c>
      <c r="AB233" t="s">
        <v>89</v>
      </c>
      <c r="AC233" t="s">
        <v>90</v>
      </c>
    </row>
    <row r="234" spans="1:29" s="2" customFormat="1" x14ac:dyDescent="0.25">
      <c r="A234" t="s">
        <v>39</v>
      </c>
      <c r="B234" t="s">
        <v>93</v>
      </c>
      <c r="C234" t="s">
        <v>8</v>
      </c>
      <c r="D234" t="s">
        <v>16</v>
      </c>
      <c r="E234" t="s">
        <v>187</v>
      </c>
      <c r="F234" t="s">
        <v>224</v>
      </c>
      <c r="G234" t="s">
        <v>93</v>
      </c>
      <c r="H234" t="s">
        <v>87</v>
      </c>
      <c r="I234">
        <v>12390</v>
      </c>
      <c r="J234" t="s">
        <v>225</v>
      </c>
      <c r="K234" t="s">
        <v>226</v>
      </c>
      <c r="L234" t="s">
        <v>86</v>
      </c>
      <c r="M234" t="s">
        <v>130</v>
      </c>
      <c r="N234" t="s">
        <v>188</v>
      </c>
      <c r="O234" t="s">
        <v>202</v>
      </c>
      <c r="P234" t="s">
        <v>229</v>
      </c>
      <c r="Q234" t="s">
        <v>87</v>
      </c>
      <c r="R234" t="s">
        <v>87</v>
      </c>
      <c r="S234" s="87">
        <v>45735</v>
      </c>
      <c r="T234" t="s">
        <v>227</v>
      </c>
      <c r="U234" t="s">
        <v>228</v>
      </c>
      <c r="V234">
        <v>26429011</v>
      </c>
      <c r="W234" t="s">
        <v>88</v>
      </c>
      <c r="X234"/>
      <c r="Y234"/>
      <c r="Z234" t="s">
        <v>114</v>
      </c>
      <c r="AA234" t="s">
        <v>115</v>
      </c>
      <c r="AB234" t="s">
        <v>89</v>
      </c>
      <c r="AC234" t="s">
        <v>90</v>
      </c>
    </row>
    <row r="235" spans="1:29" x14ac:dyDescent="0.25">
      <c r="A235" t="s">
        <v>39</v>
      </c>
      <c r="B235" t="s">
        <v>93</v>
      </c>
      <c r="C235" t="s">
        <v>8</v>
      </c>
      <c r="D235" t="s">
        <v>16</v>
      </c>
      <c r="E235" t="s">
        <v>16</v>
      </c>
      <c r="F235" t="s">
        <v>236</v>
      </c>
      <c r="G235" s="2" t="s">
        <v>93</v>
      </c>
      <c r="H235" t="s">
        <v>87</v>
      </c>
      <c r="I235" s="63">
        <v>424893</v>
      </c>
      <c r="J235" s="2" t="s">
        <v>237</v>
      </c>
      <c r="K235" t="s">
        <v>238</v>
      </c>
      <c r="L235" t="s">
        <v>129</v>
      </c>
      <c r="M235" s="2" t="s">
        <v>130</v>
      </c>
      <c r="N235" t="s">
        <v>188</v>
      </c>
      <c r="O235" t="s">
        <v>40</v>
      </c>
      <c r="P235" t="s">
        <v>24</v>
      </c>
      <c r="Q235" t="s">
        <v>87</v>
      </c>
      <c r="R235" t="s">
        <v>87</v>
      </c>
      <c r="S235" s="87">
        <v>45736</v>
      </c>
      <c r="T235" t="s">
        <v>239</v>
      </c>
      <c r="U235" t="s">
        <v>240</v>
      </c>
      <c r="V235" s="2">
        <v>26439536</v>
      </c>
      <c r="W235" s="2" t="s">
        <v>88</v>
      </c>
      <c r="Z235" s="2" t="s">
        <v>114</v>
      </c>
      <c r="AA235" s="2" t="s">
        <v>115</v>
      </c>
      <c r="AB235" s="2" t="s">
        <v>89</v>
      </c>
      <c r="AC235" s="2" t="s">
        <v>90</v>
      </c>
    </row>
    <row r="236" spans="1:29" x14ac:dyDescent="0.25">
      <c r="A236" t="s">
        <v>39</v>
      </c>
      <c r="B236" t="s">
        <v>93</v>
      </c>
      <c r="C236" t="s">
        <v>8</v>
      </c>
      <c r="D236" t="s">
        <v>16</v>
      </c>
      <c r="E236" t="s">
        <v>16</v>
      </c>
      <c r="F236" t="s">
        <v>236</v>
      </c>
      <c r="G236" s="2" t="s">
        <v>93</v>
      </c>
      <c r="H236" t="s">
        <v>87</v>
      </c>
      <c r="I236" s="63">
        <v>424893</v>
      </c>
      <c r="J236" s="2" t="s">
        <v>237</v>
      </c>
      <c r="K236" t="s">
        <v>238</v>
      </c>
      <c r="L236" t="s">
        <v>129</v>
      </c>
      <c r="M236" s="2" t="s">
        <v>130</v>
      </c>
      <c r="N236" t="s">
        <v>188</v>
      </c>
      <c r="O236" t="s">
        <v>100</v>
      </c>
      <c r="P236" t="s">
        <v>24</v>
      </c>
      <c r="Q236" t="s">
        <v>87</v>
      </c>
      <c r="R236" t="s">
        <v>87</v>
      </c>
      <c r="S236" s="87">
        <v>45736</v>
      </c>
      <c r="T236" t="s">
        <v>239</v>
      </c>
      <c r="U236" t="s">
        <v>240</v>
      </c>
      <c r="V236" s="2">
        <v>26439536</v>
      </c>
      <c r="W236" s="2" t="s">
        <v>88</v>
      </c>
      <c r="Z236" s="2" t="s">
        <v>114</v>
      </c>
      <c r="AA236" s="2" t="s">
        <v>115</v>
      </c>
      <c r="AB236" s="2" t="s">
        <v>89</v>
      </c>
      <c r="AC236" s="2" t="s">
        <v>90</v>
      </c>
    </row>
    <row r="237" spans="1:29" x14ac:dyDescent="0.25">
      <c r="A237" t="s">
        <v>39</v>
      </c>
      <c r="B237" t="s">
        <v>93</v>
      </c>
      <c r="C237" t="s">
        <v>8</v>
      </c>
      <c r="D237" t="s">
        <v>16</v>
      </c>
      <c r="E237" t="s">
        <v>16</v>
      </c>
      <c r="F237" t="s">
        <v>236</v>
      </c>
      <c r="G237" s="2" t="s">
        <v>93</v>
      </c>
      <c r="H237" t="s">
        <v>87</v>
      </c>
      <c r="I237" s="63">
        <v>424893</v>
      </c>
      <c r="J237" s="2" t="s">
        <v>237</v>
      </c>
      <c r="K237" t="s">
        <v>238</v>
      </c>
      <c r="L237" t="s">
        <v>129</v>
      </c>
      <c r="M237" s="2" t="s">
        <v>130</v>
      </c>
      <c r="N237" t="s">
        <v>188</v>
      </c>
      <c r="O237" t="s">
        <v>136</v>
      </c>
      <c r="P237" t="s">
        <v>24</v>
      </c>
      <c r="Q237" t="s">
        <v>87</v>
      </c>
      <c r="R237" t="s">
        <v>87</v>
      </c>
      <c r="S237" s="87">
        <v>45736</v>
      </c>
      <c r="T237" t="s">
        <v>239</v>
      </c>
      <c r="U237" t="s">
        <v>240</v>
      </c>
      <c r="V237" s="2">
        <v>26439536</v>
      </c>
      <c r="W237" s="2" t="s">
        <v>88</v>
      </c>
      <c r="Z237" s="2" t="s">
        <v>114</v>
      </c>
      <c r="AA237" s="2" t="s">
        <v>115</v>
      </c>
      <c r="AB237" s="2" t="s">
        <v>89</v>
      </c>
      <c r="AC237" s="2" t="s">
        <v>90</v>
      </c>
    </row>
    <row r="238" spans="1:29" x14ac:dyDescent="0.25">
      <c r="A238" t="s">
        <v>39</v>
      </c>
      <c r="B238" t="s">
        <v>93</v>
      </c>
      <c r="C238" t="s">
        <v>8</v>
      </c>
      <c r="D238" t="s">
        <v>16</v>
      </c>
      <c r="E238" t="s">
        <v>16</v>
      </c>
      <c r="F238" t="s">
        <v>236</v>
      </c>
      <c r="G238" s="2" t="s">
        <v>93</v>
      </c>
      <c r="H238" t="s">
        <v>87</v>
      </c>
      <c r="I238" s="63">
        <v>424893</v>
      </c>
      <c r="J238" s="2" t="s">
        <v>237</v>
      </c>
      <c r="K238" t="s">
        <v>238</v>
      </c>
      <c r="L238" t="s">
        <v>129</v>
      </c>
      <c r="M238" s="2" t="s">
        <v>130</v>
      </c>
      <c r="N238" t="s">
        <v>188</v>
      </c>
      <c r="O238" t="s">
        <v>44</v>
      </c>
      <c r="P238" t="s">
        <v>24</v>
      </c>
      <c r="Q238" t="s">
        <v>87</v>
      </c>
      <c r="R238" t="s">
        <v>87</v>
      </c>
      <c r="S238" s="87">
        <v>45736</v>
      </c>
      <c r="T238" t="s">
        <v>239</v>
      </c>
      <c r="U238" t="s">
        <v>240</v>
      </c>
      <c r="V238" s="2">
        <v>26439536</v>
      </c>
      <c r="W238" s="2" t="s">
        <v>88</v>
      </c>
      <c r="Z238" s="2" t="s">
        <v>114</v>
      </c>
      <c r="AA238" s="2" t="s">
        <v>115</v>
      </c>
      <c r="AB238" s="2" t="s">
        <v>89</v>
      </c>
      <c r="AC238" s="2" t="s">
        <v>90</v>
      </c>
    </row>
    <row r="239" spans="1:29" x14ac:dyDescent="0.25">
      <c r="A239" t="s">
        <v>39</v>
      </c>
      <c r="B239" t="s">
        <v>93</v>
      </c>
      <c r="C239" t="s">
        <v>8</v>
      </c>
      <c r="D239" t="s">
        <v>16</v>
      </c>
      <c r="E239" t="s">
        <v>16</v>
      </c>
      <c r="F239" t="s">
        <v>236</v>
      </c>
      <c r="G239" s="2" t="s">
        <v>93</v>
      </c>
      <c r="H239" t="s">
        <v>87</v>
      </c>
      <c r="I239" s="63">
        <v>424893</v>
      </c>
      <c r="J239" s="2" t="s">
        <v>237</v>
      </c>
      <c r="K239" t="s">
        <v>238</v>
      </c>
      <c r="L239" t="s">
        <v>129</v>
      </c>
      <c r="M239" s="2" t="s">
        <v>130</v>
      </c>
      <c r="N239" t="s">
        <v>188</v>
      </c>
      <c r="O239" t="s">
        <v>137</v>
      </c>
      <c r="P239" t="s">
        <v>118</v>
      </c>
      <c r="Q239" t="s">
        <v>87</v>
      </c>
      <c r="R239" t="s">
        <v>87</v>
      </c>
      <c r="S239" s="87">
        <v>45736</v>
      </c>
      <c r="T239" t="s">
        <v>239</v>
      </c>
      <c r="U239" t="s">
        <v>240</v>
      </c>
      <c r="V239" s="2">
        <v>26439536</v>
      </c>
      <c r="W239" s="2" t="s">
        <v>88</v>
      </c>
      <c r="Z239" s="2" t="s">
        <v>114</v>
      </c>
      <c r="AA239" s="2" t="s">
        <v>115</v>
      </c>
      <c r="AB239" s="2" t="s">
        <v>89</v>
      </c>
      <c r="AC239" s="2" t="s">
        <v>90</v>
      </c>
    </row>
    <row r="240" spans="1:29" x14ac:dyDescent="0.25">
      <c r="A240" t="s">
        <v>39</v>
      </c>
      <c r="B240" t="s">
        <v>93</v>
      </c>
      <c r="C240" t="s">
        <v>8</v>
      </c>
      <c r="D240" t="s">
        <v>16</v>
      </c>
      <c r="E240" t="s">
        <v>16</v>
      </c>
      <c r="F240" t="s">
        <v>236</v>
      </c>
      <c r="G240" s="2" t="s">
        <v>93</v>
      </c>
      <c r="H240" t="s">
        <v>87</v>
      </c>
      <c r="I240" s="63">
        <v>424893</v>
      </c>
      <c r="J240" s="2" t="s">
        <v>237</v>
      </c>
      <c r="K240" t="s">
        <v>238</v>
      </c>
      <c r="L240" t="s">
        <v>129</v>
      </c>
      <c r="M240" s="2" t="s">
        <v>130</v>
      </c>
      <c r="N240" t="s">
        <v>188</v>
      </c>
      <c r="O240" t="s">
        <v>43</v>
      </c>
      <c r="P240" t="s">
        <v>24</v>
      </c>
      <c r="Q240" t="s">
        <v>87</v>
      </c>
      <c r="R240" t="s">
        <v>87</v>
      </c>
      <c r="S240" s="87">
        <v>45736</v>
      </c>
      <c r="T240" t="s">
        <v>239</v>
      </c>
      <c r="U240" t="s">
        <v>240</v>
      </c>
      <c r="V240" s="2">
        <v>26439536</v>
      </c>
      <c r="W240" s="2" t="s">
        <v>88</v>
      </c>
      <c r="Z240" s="2" t="s">
        <v>114</v>
      </c>
      <c r="AA240" s="2" t="s">
        <v>115</v>
      </c>
      <c r="AB240" s="2" t="s">
        <v>89</v>
      </c>
      <c r="AC240" s="2" t="s">
        <v>90</v>
      </c>
    </row>
    <row r="241" spans="1:29" x14ac:dyDescent="0.25">
      <c r="A241" t="s">
        <v>39</v>
      </c>
      <c r="B241" t="s">
        <v>93</v>
      </c>
      <c r="C241" t="s">
        <v>8</v>
      </c>
      <c r="D241" t="s">
        <v>16</v>
      </c>
      <c r="E241" t="s">
        <v>16</v>
      </c>
      <c r="F241" t="s">
        <v>236</v>
      </c>
      <c r="G241" s="2" t="s">
        <v>93</v>
      </c>
      <c r="H241" t="s">
        <v>87</v>
      </c>
      <c r="I241" s="63">
        <v>424893</v>
      </c>
      <c r="J241" s="2" t="s">
        <v>237</v>
      </c>
      <c r="K241" t="s">
        <v>238</v>
      </c>
      <c r="L241" t="s">
        <v>129</v>
      </c>
      <c r="M241" s="2" t="s">
        <v>130</v>
      </c>
      <c r="N241" t="s">
        <v>188</v>
      </c>
      <c r="O241" t="s">
        <v>49</v>
      </c>
      <c r="P241" t="s">
        <v>24</v>
      </c>
      <c r="Q241" t="s">
        <v>87</v>
      </c>
      <c r="R241" t="s">
        <v>87</v>
      </c>
      <c r="S241" s="87">
        <v>45736</v>
      </c>
      <c r="T241" t="s">
        <v>239</v>
      </c>
      <c r="U241" t="s">
        <v>240</v>
      </c>
      <c r="V241" s="2">
        <v>26439536</v>
      </c>
      <c r="W241" s="2" t="s">
        <v>88</v>
      </c>
      <c r="Z241" s="2" t="s">
        <v>114</v>
      </c>
      <c r="AA241" s="2" t="s">
        <v>115</v>
      </c>
      <c r="AB241" s="2" t="s">
        <v>89</v>
      </c>
      <c r="AC241" s="2" t="s">
        <v>90</v>
      </c>
    </row>
    <row r="242" spans="1:29" x14ac:dyDescent="0.25">
      <c r="A242" t="s">
        <v>39</v>
      </c>
      <c r="B242" t="s">
        <v>93</v>
      </c>
      <c r="C242" t="s">
        <v>8</v>
      </c>
      <c r="D242" t="s">
        <v>16</v>
      </c>
      <c r="E242" t="s">
        <v>16</v>
      </c>
      <c r="F242" t="s">
        <v>236</v>
      </c>
      <c r="G242" s="2" t="s">
        <v>93</v>
      </c>
      <c r="H242" t="s">
        <v>87</v>
      </c>
      <c r="I242" s="63">
        <v>424893</v>
      </c>
      <c r="J242" s="2" t="s">
        <v>237</v>
      </c>
      <c r="K242" t="s">
        <v>238</v>
      </c>
      <c r="L242" t="s">
        <v>129</v>
      </c>
      <c r="M242" s="2" t="s">
        <v>130</v>
      </c>
      <c r="N242" t="s">
        <v>188</v>
      </c>
      <c r="O242" t="s">
        <v>52</v>
      </c>
      <c r="P242" t="s">
        <v>118</v>
      </c>
      <c r="Q242" t="s">
        <v>87</v>
      </c>
      <c r="R242" t="s">
        <v>87</v>
      </c>
      <c r="S242" s="87">
        <v>45736</v>
      </c>
      <c r="T242" t="s">
        <v>239</v>
      </c>
      <c r="U242" t="s">
        <v>240</v>
      </c>
      <c r="V242" s="2">
        <v>26439536</v>
      </c>
      <c r="W242" s="2" t="s">
        <v>88</v>
      </c>
      <c r="Z242" s="2" t="s">
        <v>114</v>
      </c>
      <c r="AA242" s="2" t="s">
        <v>115</v>
      </c>
      <c r="AB242" s="2" t="s">
        <v>89</v>
      </c>
      <c r="AC242" s="2" t="s">
        <v>90</v>
      </c>
    </row>
    <row r="243" spans="1:29" x14ac:dyDescent="0.25">
      <c r="A243" t="s">
        <v>39</v>
      </c>
      <c r="B243" t="s">
        <v>93</v>
      </c>
      <c r="C243" t="s">
        <v>8</v>
      </c>
      <c r="D243" t="s">
        <v>16</v>
      </c>
      <c r="E243" t="s">
        <v>16</v>
      </c>
      <c r="F243" t="s">
        <v>236</v>
      </c>
      <c r="G243" s="2" t="s">
        <v>93</v>
      </c>
      <c r="H243" t="s">
        <v>87</v>
      </c>
      <c r="I243" s="63">
        <v>424893</v>
      </c>
      <c r="J243" s="2" t="s">
        <v>237</v>
      </c>
      <c r="K243" t="s">
        <v>238</v>
      </c>
      <c r="L243" t="s">
        <v>129</v>
      </c>
      <c r="M243" s="2" t="s">
        <v>130</v>
      </c>
      <c r="N243" t="s">
        <v>188</v>
      </c>
      <c r="O243" t="s">
        <v>48</v>
      </c>
      <c r="P243" t="s">
        <v>24</v>
      </c>
      <c r="Q243" t="s">
        <v>87</v>
      </c>
      <c r="R243" t="s">
        <v>87</v>
      </c>
      <c r="S243" s="87">
        <v>45736</v>
      </c>
      <c r="T243" t="s">
        <v>239</v>
      </c>
      <c r="U243" t="s">
        <v>240</v>
      </c>
      <c r="V243" s="2">
        <v>26439536</v>
      </c>
      <c r="W243" s="2" t="s">
        <v>88</v>
      </c>
      <c r="Z243" s="2" t="s">
        <v>114</v>
      </c>
      <c r="AA243" s="2" t="s">
        <v>115</v>
      </c>
      <c r="AB243" s="2" t="s">
        <v>89</v>
      </c>
      <c r="AC243" s="2" t="s">
        <v>90</v>
      </c>
    </row>
    <row r="244" spans="1:29" x14ac:dyDescent="0.25">
      <c r="A244" t="s">
        <v>39</v>
      </c>
      <c r="B244" t="s">
        <v>93</v>
      </c>
      <c r="C244" t="s">
        <v>8</v>
      </c>
      <c r="D244" t="s">
        <v>16</v>
      </c>
      <c r="E244" t="s">
        <v>16</v>
      </c>
      <c r="F244" t="s">
        <v>236</v>
      </c>
      <c r="G244" s="2" t="s">
        <v>93</v>
      </c>
      <c r="H244" t="s">
        <v>87</v>
      </c>
      <c r="I244" s="63">
        <v>424893</v>
      </c>
      <c r="J244" s="2" t="s">
        <v>237</v>
      </c>
      <c r="K244" t="s">
        <v>238</v>
      </c>
      <c r="L244" t="s">
        <v>129</v>
      </c>
      <c r="M244" s="2" t="s">
        <v>130</v>
      </c>
      <c r="N244" t="s">
        <v>188</v>
      </c>
      <c r="O244" t="s">
        <v>47</v>
      </c>
      <c r="P244" t="s">
        <v>118</v>
      </c>
      <c r="Q244" t="s">
        <v>87</v>
      </c>
      <c r="R244" t="s">
        <v>87</v>
      </c>
      <c r="S244" s="87">
        <v>45736</v>
      </c>
      <c r="T244" t="s">
        <v>239</v>
      </c>
      <c r="U244" t="s">
        <v>240</v>
      </c>
      <c r="V244" s="2">
        <v>26439536</v>
      </c>
      <c r="W244" s="2" t="s">
        <v>88</v>
      </c>
      <c r="Z244" s="2" t="s">
        <v>114</v>
      </c>
      <c r="AA244" s="2" t="s">
        <v>115</v>
      </c>
      <c r="AB244" s="2" t="s">
        <v>89</v>
      </c>
      <c r="AC244" s="2" t="s">
        <v>90</v>
      </c>
    </row>
    <row r="245" spans="1:29" x14ac:dyDescent="0.25">
      <c r="A245" t="s">
        <v>39</v>
      </c>
      <c r="B245" t="s">
        <v>93</v>
      </c>
      <c r="C245" t="s">
        <v>8</v>
      </c>
      <c r="D245" t="s">
        <v>16</v>
      </c>
      <c r="E245" t="s">
        <v>16</v>
      </c>
      <c r="F245" t="s">
        <v>236</v>
      </c>
      <c r="G245" s="2" t="s">
        <v>93</v>
      </c>
      <c r="H245" t="s">
        <v>87</v>
      </c>
      <c r="I245" s="63">
        <v>424893</v>
      </c>
      <c r="J245" s="2" t="s">
        <v>237</v>
      </c>
      <c r="K245" t="s">
        <v>238</v>
      </c>
      <c r="L245" t="s">
        <v>129</v>
      </c>
      <c r="M245" s="2" t="s">
        <v>130</v>
      </c>
      <c r="N245" t="s">
        <v>188</v>
      </c>
      <c r="O245" t="s">
        <v>46</v>
      </c>
      <c r="P245" t="s">
        <v>118</v>
      </c>
      <c r="Q245" t="s">
        <v>87</v>
      </c>
      <c r="R245" t="s">
        <v>87</v>
      </c>
      <c r="S245" s="87">
        <v>45736</v>
      </c>
      <c r="T245" t="s">
        <v>239</v>
      </c>
      <c r="U245" t="s">
        <v>240</v>
      </c>
      <c r="V245" s="2">
        <v>26439536</v>
      </c>
      <c r="W245" s="2" t="s">
        <v>88</v>
      </c>
      <c r="Z245" s="2" t="s">
        <v>114</v>
      </c>
      <c r="AA245" s="2" t="s">
        <v>115</v>
      </c>
      <c r="AB245" s="2" t="s">
        <v>89</v>
      </c>
      <c r="AC245" s="2" t="s">
        <v>90</v>
      </c>
    </row>
    <row r="246" spans="1:29" x14ac:dyDescent="0.25">
      <c r="A246" t="s">
        <v>39</v>
      </c>
      <c r="B246" t="s">
        <v>93</v>
      </c>
      <c r="C246" t="s">
        <v>8</v>
      </c>
      <c r="D246" t="s">
        <v>16</v>
      </c>
      <c r="E246" t="s">
        <v>16</v>
      </c>
      <c r="F246" t="s">
        <v>236</v>
      </c>
      <c r="G246" s="2" t="s">
        <v>93</v>
      </c>
      <c r="H246" t="s">
        <v>87</v>
      </c>
      <c r="I246" s="63">
        <v>424893</v>
      </c>
      <c r="J246" s="2" t="s">
        <v>237</v>
      </c>
      <c r="K246" t="s">
        <v>238</v>
      </c>
      <c r="L246" t="s">
        <v>129</v>
      </c>
      <c r="M246" s="2" t="s">
        <v>130</v>
      </c>
      <c r="N246" t="s">
        <v>188</v>
      </c>
      <c r="O246" t="s">
        <v>138</v>
      </c>
      <c r="P246" t="s">
        <v>24</v>
      </c>
      <c r="Q246" t="s">
        <v>87</v>
      </c>
      <c r="R246" t="s">
        <v>87</v>
      </c>
      <c r="S246" s="87">
        <v>45736</v>
      </c>
      <c r="T246" t="s">
        <v>239</v>
      </c>
      <c r="U246" t="s">
        <v>240</v>
      </c>
      <c r="V246" s="2">
        <v>26439536</v>
      </c>
      <c r="W246" s="2" t="s">
        <v>88</v>
      </c>
      <c r="Z246" s="2" t="s">
        <v>114</v>
      </c>
      <c r="AA246" s="2" t="s">
        <v>115</v>
      </c>
      <c r="AB246" s="2" t="s">
        <v>89</v>
      </c>
      <c r="AC246" s="2" t="s">
        <v>90</v>
      </c>
    </row>
    <row r="247" spans="1:29" x14ac:dyDescent="0.25">
      <c r="A247" t="s">
        <v>39</v>
      </c>
      <c r="B247" t="s">
        <v>93</v>
      </c>
      <c r="C247" t="s">
        <v>8</v>
      </c>
      <c r="D247" t="s">
        <v>16</v>
      </c>
      <c r="E247" t="s">
        <v>16</v>
      </c>
      <c r="F247" t="s">
        <v>236</v>
      </c>
      <c r="G247" s="2" t="s">
        <v>93</v>
      </c>
      <c r="H247" t="s">
        <v>87</v>
      </c>
      <c r="I247" s="63">
        <v>424893</v>
      </c>
      <c r="J247" s="2" t="s">
        <v>237</v>
      </c>
      <c r="K247" t="s">
        <v>238</v>
      </c>
      <c r="L247" t="s">
        <v>129</v>
      </c>
      <c r="M247" s="2" t="s">
        <v>130</v>
      </c>
      <c r="N247" t="s">
        <v>188</v>
      </c>
      <c r="O247" t="s">
        <v>101</v>
      </c>
      <c r="P247" t="s">
        <v>24</v>
      </c>
      <c r="Q247" t="s">
        <v>87</v>
      </c>
      <c r="R247" t="s">
        <v>87</v>
      </c>
      <c r="S247" s="87">
        <v>45736</v>
      </c>
      <c r="T247" t="s">
        <v>239</v>
      </c>
      <c r="U247" t="s">
        <v>240</v>
      </c>
      <c r="V247" s="2">
        <v>26439536</v>
      </c>
      <c r="W247" s="2" t="s">
        <v>88</v>
      </c>
      <c r="Z247" s="2" t="s">
        <v>114</v>
      </c>
      <c r="AA247" s="2" t="s">
        <v>115</v>
      </c>
      <c r="AB247" s="2" t="s">
        <v>89</v>
      </c>
      <c r="AC247" s="2" t="s">
        <v>90</v>
      </c>
    </row>
    <row r="248" spans="1:29" x14ac:dyDescent="0.25">
      <c r="A248" t="s">
        <v>39</v>
      </c>
      <c r="B248" t="s">
        <v>93</v>
      </c>
      <c r="C248" t="s">
        <v>8</v>
      </c>
      <c r="D248" t="s">
        <v>16</v>
      </c>
      <c r="E248" t="s">
        <v>16</v>
      </c>
      <c r="F248" t="s">
        <v>236</v>
      </c>
      <c r="G248" s="2" t="s">
        <v>93</v>
      </c>
      <c r="H248" t="s">
        <v>87</v>
      </c>
      <c r="I248" s="63">
        <v>424893</v>
      </c>
      <c r="J248" s="2" t="s">
        <v>237</v>
      </c>
      <c r="K248" t="s">
        <v>238</v>
      </c>
      <c r="L248" t="s">
        <v>129</v>
      </c>
      <c r="M248" s="2" t="s">
        <v>130</v>
      </c>
      <c r="N248" t="s">
        <v>188</v>
      </c>
      <c r="O248" t="s">
        <v>101</v>
      </c>
      <c r="P248" t="s">
        <v>24</v>
      </c>
      <c r="Q248" t="s">
        <v>87</v>
      </c>
      <c r="R248" t="s">
        <v>87</v>
      </c>
      <c r="S248" s="87">
        <v>45736</v>
      </c>
      <c r="T248" t="s">
        <v>239</v>
      </c>
      <c r="U248" t="s">
        <v>240</v>
      </c>
      <c r="V248" s="2">
        <v>26439536</v>
      </c>
      <c r="W248" s="2" t="s">
        <v>88</v>
      </c>
      <c r="Z248" s="2" t="s">
        <v>114</v>
      </c>
      <c r="AA248" s="2" t="s">
        <v>115</v>
      </c>
      <c r="AB248" s="2" t="s">
        <v>89</v>
      </c>
      <c r="AC248" s="2" t="s">
        <v>90</v>
      </c>
    </row>
    <row r="249" spans="1:29" x14ac:dyDescent="0.25">
      <c r="A249" t="s">
        <v>39</v>
      </c>
      <c r="B249" t="s">
        <v>93</v>
      </c>
      <c r="C249" t="s">
        <v>8</v>
      </c>
      <c r="D249" t="s">
        <v>16</v>
      </c>
      <c r="E249" t="s">
        <v>16</v>
      </c>
      <c r="F249" t="s">
        <v>236</v>
      </c>
      <c r="G249" s="2" t="s">
        <v>93</v>
      </c>
      <c r="H249" t="s">
        <v>87</v>
      </c>
      <c r="I249" s="63">
        <v>424893</v>
      </c>
      <c r="J249" s="2" t="s">
        <v>237</v>
      </c>
      <c r="K249" t="s">
        <v>238</v>
      </c>
      <c r="L249" t="s">
        <v>129</v>
      </c>
      <c r="M249" s="2" t="s">
        <v>130</v>
      </c>
      <c r="N249" t="s">
        <v>188</v>
      </c>
      <c r="O249" t="s">
        <v>99</v>
      </c>
      <c r="P249" s="2" t="s">
        <v>241</v>
      </c>
      <c r="Q249" t="s">
        <v>87</v>
      </c>
      <c r="R249" t="s">
        <v>87</v>
      </c>
      <c r="S249" s="87">
        <v>45736</v>
      </c>
      <c r="T249" t="s">
        <v>239</v>
      </c>
      <c r="U249" t="s">
        <v>240</v>
      </c>
      <c r="V249" s="2">
        <v>26439536</v>
      </c>
      <c r="W249" s="2" t="s">
        <v>88</v>
      </c>
      <c r="Z249" s="2" t="s">
        <v>114</v>
      </c>
      <c r="AA249" s="2" t="s">
        <v>115</v>
      </c>
      <c r="AB249" s="2" t="s">
        <v>89</v>
      </c>
      <c r="AC249" s="2" t="s">
        <v>90</v>
      </c>
    </row>
    <row r="250" spans="1:29" x14ac:dyDescent="0.25">
      <c r="A250" t="s">
        <v>39</v>
      </c>
      <c r="B250" t="s">
        <v>93</v>
      </c>
      <c r="C250" t="s">
        <v>8</v>
      </c>
      <c r="D250" t="s">
        <v>16</v>
      </c>
      <c r="E250" t="s">
        <v>16</v>
      </c>
      <c r="F250" t="s">
        <v>236</v>
      </c>
      <c r="G250" s="2" t="s">
        <v>93</v>
      </c>
      <c r="H250" t="s">
        <v>87</v>
      </c>
      <c r="I250" s="63">
        <v>424893</v>
      </c>
      <c r="J250" s="2" t="s">
        <v>237</v>
      </c>
      <c r="K250" t="s">
        <v>238</v>
      </c>
      <c r="L250" t="s">
        <v>129</v>
      </c>
      <c r="M250" s="2" t="s">
        <v>130</v>
      </c>
      <c r="N250" t="s">
        <v>188</v>
      </c>
      <c r="O250" t="s">
        <v>102</v>
      </c>
      <c r="P250" s="2" t="s">
        <v>106</v>
      </c>
      <c r="Q250" t="s">
        <v>87</v>
      </c>
      <c r="R250" t="s">
        <v>87</v>
      </c>
      <c r="S250" s="87">
        <v>45736</v>
      </c>
      <c r="T250" t="s">
        <v>239</v>
      </c>
      <c r="U250" t="s">
        <v>240</v>
      </c>
      <c r="V250" s="2">
        <v>26439536</v>
      </c>
      <c r="W250" s="2" t="s">
        <v>88</v>
      </c>
      <c r="Z250" s="2" t="s">
        <v>114</v>
      </c>
      <c r="AA250" s="2" t="s">
        <v>115</v>
      </c>
      <c r="AB250" s="2" t="s">
        <v>89</v>
      </c>
      <c r="AC250" s="2" t="s">
        <v>90</v>
      </c>
    </row>
    <row r="251" spans="1:29" x14ac:dyDescent="0.25">
      <c r="A251" t="s">
        <v>39</v>
      </c>
      <c r="B251" t="s">
        <v>93</v>
      </c>
      <c r="C251" t="s">
        <v>8</v>
      </c>
      <c r="D251" t="s">
        <v>16</v>
      </c>
      <c r="E251" t="s">
        <v>16</v>
      </c>
      <c r="F251" t="s">
        <v>236</v>
      </c>
      <c r="G251" s="2" t="s">
        <v>93</v>
      </c>
      <c r="H251" t="s">
        <v>87</v>
      </c>
      <c r="I251" s="63">
        <v>424893</v>
      </c>
      <c r="J251" s="2" t="s">
        <v>237</v>
      </c>
      <c r="K251" t="s">
        <v>238</v>
      </c>
      <c r="L251" t="s">
        <v>129</v>
      </c>
      <c r="M251" s="2" t="s">
        <v>130</v>
      </c>
      <c r="N251" t="s">
        <v>188</v>
      </c>
      <c r="O251" t="s">
        <v>139</v>
      </c>
      <c r="P251" t="s">
        <v>24</v>
      </c>
      <c r="Q251" t="s">
        <v>87</v>
      </c>
      <c r="R251" t="s">
        <v>87</v>
      </c>
      <c r="S251" s="87">
        <v>45736</v>
      </c>
      <c r="T251" t="s">
        <v>239</v>
      </c>
      <c r="U251" t="s">
        <v>240</v>
      </c>
      <c r="V251" s="2">
        <v>26439536</v>
      </c>
      <c r="W251" s="2" t="s">
        <v>88</v>
      </c>
      <c r="Z251" s="2" t="s">
        <v>114</v>
      </c>
      <c r="AA251" s="2" t="s">
        <v>115</v>
      </c>
      <c r="AB251" s="2" t="s">
        <v>89</v>
      </c>
      <c r="AC251" s="2" t="s">
        <v>90</v>
      </c>
    </row>
    <row r="252" spans="1:29" x14ac:dyDescent="0.25">
      <c r="A252" t="s">
        <v>39</v>
      </c>
      <c r="B252" t="s">
        <v>93</v>
      </c>
      <c r="C252" t="s">
        <v>8</v>
      </c>
      <c r="D252" t="s">
        <v>16</v>
      </c>
      <c r="E252" t="s">
        <v>16</v>
      </c>
      <c r="F252" t="s">
        <v>236</v>
      </c>
      <c r="G252" s="2" t="s">
        <v>93</v>
      </c>
      <c r="H252" t="s">
        <v>87</v>
      </c>
      <c r="I252" s="63">
        <v>424893</v>
      </c>
      <c r="J252" s="2" t="s">
        <v>237</v>
      </c>
      <c r="K252" t="s">
        <v>238</v>
      </c>
      <c r="L252" t="s">
        <v>129</v>
      </c>
      <c r="M252" s="2" t="s">
        <v>130</v>
      </c>
      <c r="N252" t="s">
        <v>188</v>
      </c>
      <c r="O252" t="s">
        <v>140</v>
      </c>
      <c r="P252" t="s">
        <v>24</v>
      </c>
      <c r="Q252" t="s">
        <v>87</v>
      </c>
      <c r="R252" t="s">
        <v>87</v>
      </c>
      <c r="S252" s="87">
        <v>45736</v>
      </c>
      <c r="T252" t="s">
        <v>239</v>
      </c>
      <c r="U252" t="s">
        <v>240</v>
      </c>
      <c r="V252" s="2">
        <v>26439536</v>
      </c>
      <c r="W252" s="2" t="s">
        <v>88</v>
      </c>
      <c r="Z252" s="2" t="s">
        <v>114</v>
      </c>
      <c r="AA252" s="2" t="s">
        <v>115</v>
      </c>
      <c r="AB252" s="2" t="s">
        <v>89</v>
      </c>
      <c r="AC252" s="2" t="s">
        <v>90</v>
      </c>
    </row>
    <row r="253" spans="1:29" x14ac:dyDescent="0.25">
      <c r="A253" t="s">
        <v>39</v>
      </c>
      <c r="B253" t="s">
        <v>93</v>
      </c>
      <c r="C253" t="s">
        <v>8</v>
      </c>
      <c r="D253" t="s">
        <v>16</v>
      </c>
      <c r="E253" t="s">
        <v>16</v>
      </c>
      <c r="F253" t="s">
        <v>236</v>
      </c>
      <c r="G253" s="2" t="s">
        <v>93</v>
      </c>
      <c r="H253" t="s">
        <v>87</v>
      </c>
      <c r="I253" s="63">
        <v>424893</v>
      </c>
      <c r="J253" s="2" t="s">
        <v>237</v>
      </c>
      <c r="K253" t="s">
        <v>238</v>
      </c>
      <c r="L253" t="s">
        <v>129</v>
      </c>
      <c r="M253" s="2" t="s">
        <v>130</v>
      </c>
      <c r="N253" t="s">
        <v>188</v>
      </c>
      <c r="O253" t="s">
        <v>141</v>
      </c>
      <c r="P253" t="s">
        <v>24</v>
      </c>
      <c r="Q253" t="s">
        <v>87</v>
      </c>
      <c r="R253" t="s">
        <v>87</v>
      </c>
      <c r="S253" s="87">
        <v>45736</v>
      </c>
      <c r="T253" t="s">
        <v>239</v>
      </c>
      <c r="U253" t="s">
        <v>240</v>
      </c>
      <c r="V253" s="2">
        <v>26439536</v>
      </c>
      <c r="W253" s="2" t="s">
        <v>88</v>
      </c>
      <c r="Z253" s="2" t="s">
        <v>114</v>
      </c>
      <c r="AA253" s="2" t="s">
        <v>115</v>
      </c>
      <c r="AB253" s="2" t="s">
        <v>89</v>
      </c>
      <c r="AC253" s="2" t="s">
        <v>90</v>
      </c>
    </row>
    <row r="254" spans="1:29" x14ac:dyDescent="0.25">
      <c r="A254" t="s">
        <v>39</v>
      </c>
      <c r="B254" t="s">
        <v>93</v>
      </c>
      <c r="C254" t="s">
        <v>8</v>
      </c>
      <c r="D254" t="s">
        <v>16</v>
      </c>
      <c r="E254" t="s">
        <v>16</v>
      </c>
      <c r="F254" t="s">
        <v>236</v>
      </c>
      <c r="G254" s="2" t="s">
        <v>93</v>
      </c>
      <c r="H254" t="s">
        <v>87</v>
      </c>
      <c r="I254" s="63">
        <v>424893</v>
      </c>
      <c r="J254" s="2" t="s">
        <v>237</v>
      </c>
      <c r="K254" t="s">
        <v>238</v>
      </c>
      <c r="L254" t="s">
        <v>129</v>
      </c>
      <c r="M254" s="2" t="s">
        <v>130</v>
      </c>
      <c r="N254" t="s">
        <v>188</v>
      </c>
      <c r="O254" t="s">
        <v>142</v>
      </c>
      <c r="P254" t="s">
        <v>118</v>
      </c>
      <c r="Q254" t="s">
        <v>87</v>
      </c>
      <c r="R254" t="s">
        <v>87</v>
      </c>
      <c r="S254" s="87">
        <v>45736</v>
      </c>
      <c r="T254" t="s">
        <v>239</v>
      </c>
      <c r="U254" t="s">
        <v>240</v>
      </c>
      <c r="V254" s="2">
        <v>26439536</v>
      </c>
      <c r="W254" s="2" t="s">
        <v>88</v>
      </c>
      <c r="Z254" s="2" t="s">
        <v>114</v>
      </c>
      <c r="AA254" s="2" t="s">
        <v>115</v>
      </c>
      <c r="AB254" s="2" t="s">
        <v>89</v>
      </c>
      <c r="AC254" s="2" t="s">
        <v>90</v>
      </c>
    </row>
    <row r="255" spans="1:29" x14ac:dyDescent="0.25">
      <c r="A255" t="s">
        <v>39</v>
      </c>
      <c r="B255" t="s">
        <v>93</v>
      </c>
      <c r="C255" t="s">
        <v>8</v>
      </c>
      <c r="D255" t="s">
        <v>16</v>
      </c>
      <c r="E255" t="s">
        <v>16</v>
      </c>
      <c r="F255" t="s">
        <v>236</v>
      </c>
      <c r="G255" s="2" t="s">
        <v>93</v>
      </c>
      <c r="H255" t="s">
        <v>87</v>
      </c>
      <c r="I255" s="63">
        <v>424893</v>
      </c>
      <c r="J255" s="2" t="s">
        <v>237</v>
      </c>
      <c r="K255" t="s">
        <v>238</v>
      </c>
      <c r="L255" t="s">
        <v>129</v>
      </c>
      <c r="M255" s="2" t="s">
        <v>130</v>
      </c>
      <c r="N255" t="s">
        <v>188</v>
      </c>
      <c r="O255" t="s">
        <v>143</v>
      </c>
      <c r="P255" t="s">
        <v>24</v>
      </c>
      <c r="Q255" t="s">
        <v>87</v>
      </c>
      <c r="R255" t="s">
        <v>87</v>
      </c>
      <c r="S255" s="87">
        <v>45736</v>
      </c>
      <c r="T255" t="s">
        <v>239</v>
      </c>
      <c r="U255" t="s">
        <v>240</v>
      </c>
      <c r="V255" s="2">
        <v>26439536</v>
      </c>
      <c r="W255" s="2" t="s">
        <v>88</v>
      </c>
      <c r="Z255" s="2" t="s">
        <v>114</v>
      </c>
      <c r="AA255" s="2" t="s">
        <v>115</v>
      </c>
      <c r="AB255" s="2" t="s">
        <v>89</v>
      </c>
      <c r="AC255" s="2" t="s">
        <v>90</v>
      </c>
    </row>
    <row r="256" spans="1:29" x14ac:dyDescent="0.25">
      <c r="A256" t="s">
        <v>39</v>
      </c>
      <c r="B256" t="s">
        <v>93</v>
      </c>
      <c r="C256" t="s">
        <v>8</v>
      </c>
      <c r="D256" t="s">
        <v>16</v>
      </c>
      <c r="E256" t="s">
        <v>16</v>
      </c>
      <c r="F256" t="s">
        <v>236</v>
      </c>
      <c r="G256" s="2" t="s">
        <v>93</v>
      </c>
      <c r="H256" t="s">
        <v>87</v>
      </c>
      <c r="I256" s="63">
        <v>424893</v>
      </c>
      <c r="J256" s="2" t="s">
        <v>237</v>
      </c>
      <c r="K256" t="s">
        <v>238</v>
      </c>
      <c r="L256" t="s">
        <v>129</v>
      </c>
      <c r="M256" s="2" t="s">
        <v>130</v>
      </c>
      <c r="N256" t="s">
        <v>188</v>
      </c>
      <c r="O256" t="s">
        <v>144</v>
      </c>
      <c r="P256" t="s">
        <v>24</v>
      </c>
      <c r="Q256" t="s">
        <v>87</v>
      </c>
      <c r="R256" t="s">
        <v>87</v>
      </c>
      <c r="S256" s="87">
        <v>45736</v>
      </c>
      <c r="T256" t="s">
        <v>239</v>
      </c>
      <c r="U256" t="s">
        <v>240</v>
      </c>
      <c r="V256" s="2">
        <v>26439536</v>
      </c>
      <c r="W256" s="2" t="s">
        <v>88</v>
      </c>
      <c r="Z256" s="2" t="s">
        <v>114</v>
      </c>
      <c r="AA256" s="2" t="s">
        <v>115</v>
      </c>
      <c r="AB256" s="2" t="s">
        <v>89</v>
      </c>
      <c r="AC256" s="2" t="s">
        <v>90</v>
      </c>
    </row>
    <row r="257" spans="1:29" x14ac:dyDescent="0.25">
      <c r="A257" t="s">
        <v>39</v>
      </c>
      <c r="B257" t="s">
        <v>93</v>
      </c>
      <c r="C257" t="s">
        <v>8</v>
      </c>
      <c r="D257" t="s">
        <v>16</v>
      </c>
      <c r="E257" t="s">
        <v>16</v>
      </c>
      <c r="F257" t="s">
        <v>236</v>
      </c>
      <c r="G257" s="2" t="s">
        <v>93</v>
      </c>
      <c r="H257" t="s">
        <v>87</v>
      </c>
      <c r="I257" s="63">
        <v>424893</v>
      </c>
      <c r="J257" s="2" t="s">
        <v>237</v>
      </c>
      <c r="K257" t="s">
        <v>238</v>
      </c>
      <c r="L257" t="s">
        <v>129</v>
      </c>
      <c r="M257" s="2" t="s">
        <v>130</v>
      </c>
      <c r="N257" t="s">
        <v>188</v>
      </c>
      <c r="O257" t="s">
        <v>145</v>
      </c>
      <c r="P257" t="s">
        <v>118</v>
      </c>
      <c r="Q257" t="s">
        <v>87</v>
      </c>
      <c r="R257" t="s">
        <v>87</v>
      </c>
      <c r="S257" s="87">
        <v>45736</v>
      </c>
      <c r="T257" t="s">
        <v>239</v>
      </c>
      <c r="U257" t="s">
        <v>240</v>
      </c>
      <c r="V257" s="2">
        <v>26439536</v>
      </c>
      <c r="W257" s="2" t="s">
        <v>88</v>
      </c>
      <c r="Z257" s="2" t="s">
        <v>114</v>
      </c>
      <c r="AA257" s="2" t="s">
        <v>115</v>
      </c>
      <c r="AB257" s="2" t="s">
        <v>89</v>
      </c>
      <c r="AC257" s="2" t="s">
        <v>90</v>
      </c>
    </row>
    <row r="258" spans="1:29" x14ac:dyDescent="0.25">
      <c r="A258" t="s">
        <v>39</v>
      </c>
      <c r="B258" t="s">
        <v>93</v>
      </c>
      <c r="C258" t="s">
        <v>8</v>
      </c>
      <c r="D258" t="s">
        <v>16</v>
      </c>
      <c r="E258" t="s">
        <v>16</v>
      </c>
      <c r="F258" t="s">
        <v>236</v>
      </c>
      <c r="G258" s="2" t="s">
        <v>93</v>
      </c>
      <c r="H258" t="s">
        <v>87</v>
      </c>
      <c r="I258" s="63">
        <v>424893</v>
      </c>
      <c r="J258" s="2" t="s">
        <v>237</v>
      </c>
      <c r="K258" t="s">
        <v>238</v>
      </c>
      <c r="L258" t="s">
        <v>129</v>
      </c>
      <c r="M258" s="2" t="s">
        <v>130</v>
      </c>
      <c r="N258" t="s">
        <v>188</v>
      </c>
      <c r="O258" t="s">
        <v>146</v>
      </c>
      <c r="P258" t="s">
        <v>118</v>
      </c>
      <c r="Q258" t="s">
        <v>87</v>
      </c>
      <c r="R258" t="s">
        <v>87</v>
      </c>
      <c r="S258" s="87">
        <v>45736</v>
      </c>
      <c r="T258" t="s">
        <v>239</v>
      </c>
      <c r="U258" t="s">
        <v>240</v>
      </c>
      <c r="V258" s="2">
        <v>26439536</v>
      </c>
      <c r="W258" s="2" t="s">
        <v>88</v>
      </c>
      <c r="Z258" s="2" t="s">
        <v>114</v>
      </c>
      <c r="AA258" s="2" t="s">
        <v>115</v>
      </c>
      <c r="AB258" s="2" t="s">
        <v>89</v>
      </c>
      <c r="AC258" s="2" t="s">
        <v>90</v>
      </c>
    </row>
    <row r="259" spans="1:29" x14ac:dyDescent="0.25">
      <c r="A259" t="s">
        <v>39</v>
      </c>
      <c r="B259" t="s">
        <v>93</v>
      </c>
      <c r="C259" t="s">
        <v>8</v>
      </c>
      <c r="D259" t="s">
        <v>16</v>
      </c>
      <c r="E259" t="s">
        <v>16</v>
      </c>
      <c r="F259" t="s">
        <v>236</v>
      </c>
      <c r="G259" s="2" t="s">
        <v>93</v>
      </c>
      <c r="H259" t="s">
        <v>87</v>
      </c>
      <c r="I259" s="63">
        <v>424893</v>
      </c>
      <c r="J259" s="2" t="s">
        <v>237</v>
      </c>
      <c r="K259" t="s">
        <v>238</v>
      </c>
      <c r="L259" t="s">
        <v>129</v>
      </c>
      <c r="M259" s="2" t="s">
        <v>130</v>
      </c>
      <c r="N259" t="s">
        <v>188</v>
      </c>
      <c r="O259" t="s">
        <v>41</v>
      </c>
      <c r="P259" t="s">
        <v>24</v>
      </c>
      <c r="Q259" t="s">
        <v>87</v>
      </c>
      <c r="R259" t="s">
        <v>87</v>
      </c>
      <c r="S259" s="87">
        <v>45736</v>
      </c>
      <c r="T259" t="s">
        <v>239</v>
      </c>
      <c r="U259" t="s">
        <v>240</v>
      </c>
      <c r="V259" s="2">
        <v>26439536</v>
      </c>
      <c r="W259" s="2" t="s">
        <v>88</v>
      </c>
      <c r="Z259" s="2" t="s">
        <v>114</v>
      </c>
      <c r="AA259" s="2" t="s">
        <v>115</v>
      </c>
      <c r="AB259" s="2" t="s">
        <v>89</v>
      </c>
      <c r="AC259" s="2" t="s">
        <v>90</v>
      </c>
    </row>
    <row r="260" spans="1:29" x14ac:dyDescent="0.25">
      <c r="A260" t="s">
        <v>39</v>
      </c>
      <c r="B260" t="s">
        <v>93</v>
      </c>
      <c r="C260" t="s">
        <v>8</v>
      </c>
      <c r="D260" t="s">
        <v>16</v>
      </c>
      <c r="E260" t="s">
        <v>16</v>
      </c>
      <c r="F260" t="s">
        <v>236</v>
      </c>
      <c r="G260" s="2" t="s">
        <v>93</v>
      </c>
      <c r="H260" t="s">
        <v>87</v>
      </c>
      <c r="I260" s="63">
        <v>424893</v>
      </c>
      <c r="J260" s="2" t="s">
        <v>237</v>
      </c>
      <c r="K260" t="s">
        <v>238</v>
      </c>
      <c r="L260" t="s">
        <v>129</v>
      </c>
      <c r="M260" s="2" t="s">
        <v>130</v>
      </c>
      <c r="N260" t="s">
        <v>188</v>
      </c>
      <c r="O260" t="s">
        <v>50</v>
      </c>
      <c r="P260" t="s">
        <v>24</v>
      </c>
      <c r="Q260" t="s">
        <v>87</v>
      </c>
      <c r="R260" t="s">
        <v>87</v>
      </c>
      <c r="S260" s="87">
        <v>45736</v>
      </c>
      <c r="T260" t="s">
        <v>239</v>
      </c>
      <c r="U260" t="s">
        <v>240</v>
      </c>
      <c r="V260" s="2">
        <v>26439536</v>
      </c>
      <c r="W260" s="2" t="s">
        <v>88</v>
      </c>
      <c r="Z260" s="2" t="s">
        <v>114</v>
      </c>
      <c r="AA260" s="2" t="s">
        <v>115</v>
      </c>
      <c r="AB260" s="2" t="s">
        <v>89</v>
      </c>
      <c r="AC260" s="2" t="s">
        <v>90</v>
      </c>
    </row>
    <row r="261" spans="1:29" x14ac:dyDescent="0.25">
      <c r="A261" t="s">
        <v>39</v>
      </c>
      <c r="B261" t="s">
        <v>93</v>
      </c>
      <c r="C261" t="s">
        <v>8</v>
      </c>
      <c r="D261" t="s">
        <v>16</v>
      </c>
      <c r="E261" t="s">
        <v>16</v>
      </c>
      <c r="F261" t="s">
        <v>236</v>
      </c>
      <c r="G261" s="2" t="s">
        <v>93</v>
      </c>
      <c r="H261" t="s">
        <v>87</v>
      </c>
      <c r="I261" s="63">
        <v>424893</v>
      </c>
      <c r="J261" s="2" t="s">
        <v>237</v>
      </c>
      <c r="K261" t="s">
        <v>238</v>
      </c>
      <c r="L261" t="s">
        <v>129</v>
      </c>
      <c r="M261" s="2" t="s">
        <v>130</v>
      </c>
      <c r="N261" t="s">
        <v>188</v>
      </c>
      <c r="O261" t="s">
        <v>148</v>
      </c>
      <c r="P261" t="s">
        <v>118</v>
      </c>
      <c r="Q261" t="s">
        <v>87</v>
      </c>
      <c r="R261" t="s">
        <v>87</v>
      </c>
      <c r="S261" s="87">
        <v>45736</v>
      </c>
      <c r="T261" t="s">
        <v>239</v>
      </c>
      <c r="U261" t="s">
        <v>240</v>
      </c>
      <c r="V261" s="2">
        <v>26439536</v>
      </c>
      <c r="W261" s="2" t="s">
        <v>88</v>
      </c>
      <c r="Z261" s="2" t="s">
        <v>114</v>
      </c>
      <c r="AA261" s="2" t="s">
        <v>115</v>
      </c>
      <c r="AB261" s="2" t="s">
        <v>89</v>
      </c>
      <c r="AC261" s="2" t="s">
        <v>90</v>
      </c>
    </row>
    <row r="262" spans="1:29" x14ac:dyDescent="0.25">
      <c r="A262" t="s">
        <v>39</v>
      </c>
      <c r="B262" t="s">
        <v>93</v>
      </c>
      <c r="C262" t="s">
        <v>8</v>
      </c>
      <c r="D262" t="s">
        <v>16</v>
      </c>
      <c r="E262" t="s">
        <v>16</v>
      </c>
      <c r="F262" t="s">
        <v>236</v>
      </c>
      <c r="G262" s="2" t="s">
        <v>93</v>
      </c>
      <c r="H262" t="s">
        <v>87</v>
      </c>
      <c r="I262" s="63">
        <v>424893</v>
      </c>
      <c r="J262" s="2" t="s">
        <v>237</v>
      </c>
      <c r="K262" t="s">
        <v>238</v>
      </c>
      <c r="L262" t="s">
        <v>129</v>
      </c>
      <c r="M262" s="2" t="s">
        <v>130</v>
      </c>
      <c r="N262" t="s">
        <v>188</v>
      </c>
      <c r="O262" t="s">
        <v>45</v>
      </c>
      <c r="P262" t="s">
        <v>24</v>
      </c>
      <c r="Q262" t="s">
        <v>87</v>
      </c>
      <c r="R262" t="s">
        <v>87</v>
      </c>
      <c r="S262" s="87">
        <v>45736</v>
      </c>
      <c r="T262" t="s">
        <v>239</v>
      </c>
      <c r="U262" t="s">
        <v>240</v>
      </c>
      <c r="V262" s="2">
        <v>26439536</v>
      </c>
      <c r="W262" s="2" t="s">
        <v>88</v>
      </c>
      <c r="Z262" s="2" t="s">
        <v>114</v>
      </c>
      <c r="AA262" s="2" t="s">
        <v>115</v>
      </c>
      <c r="AB262" s="2" t="s">
        <v>89</v>
      </c>
      <c r="AC262" s="2" t="s">
        <v>90</v>
      </c>
    </row>
    <row r="263" spans="1:29" x14ac:dyDescent="0.25">
      <c r="A263" t="s">
        <v>39</v>
      </c>
      <c r="B263" t="s">
        <v>93</v>
      </c>
      <c r="C263" t="s">
        <v>8</v>
      </c>
      <c r="D263" t="s">
        <v>16</v>
      </c>
      <c r="E263" t="s">
        <v>16</v>
      </c>
      <c r="F263" t="s">
        <v>236</v>
      </c>
      <c r="G263" s="2" t="s">
        <v>93</v>
      </c>
      <c r="H263" t="s">
        <v>87</v>
      </c>
      <c r="I263" s="63">
        <v>424893</v>
      </c>
      <c r="J263" s="2" t="s">
        <v>237</v>
      </c>
      <c r="K263" t="s">
        <v>238</v>
      </c>
      <c r="L263" t="s">
        <v>129</v>
      </c>
      <c r="M263" s="2" t="s">
        <v>130</v>
      </c>
      <c r="N263" t="s">
        <v>188</v>
      </c>
      <c r="O263" t="s">
        <v>189</v>
      </c>
      <c r="P263" t="s">
        <v>118</v>
      </c>
      <c r="Q263" t="s">
        <v>87</v>
      </c>
      <c r="R263" t="s">
        <v>87</v>
      </c>
      <c r="S263" s="87">
        <v>45736</v>
      </c>
      <c r="T263" t="s">
        <v>239</v>
      </c>
      <c r="U263" t="s">
        <v>240</v>
      </c>
      <c r="V263" s="2">
        <v>26439536</v>
      </c>
      <c r="W263" s="2" t="s">
        <v>88</v>
      </c>
      <c r="Z263" s="2" t="s">
        <v>114</v>
      </c>
      <c r="AA263" s="2" t="s">
        <v>115</v>
      </c>
      <c r="AB263" s="2" t="s">
        <v>89</v>
      </c>
      <c r="AC263" s="2" t="s">
        <v>90</v>
      </c>
    </row>
    <row r="264" spans="1:29" x14ac:dyDescent="0.25">
      <c r="A264" t="s">
        <v>39</v>
      </c>
      <c r="B264" t="s">
        <v>93</v>
      </c>
      <c r="C264" t="s">
        <v>8</v>
      </c>
      <c r="D264" t="s">
        <v>15</v>
      </c>
      <c r="E264" t="s">
        <v>116</v>
      </c>
      <c r="F264" t="s">
        <v>116</v>
      </c>
      <c r="G264" s="2" t="s">
        <v>93</v>
      </c>
      <c r="H264" t="s">
        <v>87</v>
      </c>
      <c r="I264" s="63">
        <v>125788</v>
      </c>
      <c r="J264" s="2" t="s">
        <v>243</v>
      </c>
      <c r="K264" t="s">
        <v>128</v>
      </c>
      <c r="L264" t="s">
        <v>86</v>
      </c>
      <c r="M264" s="2" t="s">
        <v>130</v>
      </c>
      <c r="N264" t="s">
        <v>188</v>
      </c>
      <c r="O264" t="s">
        <v>40</v>
      </c>
      <c r="P264" t="s">
        <v>118</v>
      </c>
      <c r="Q264" t="s">
        <v>87</v>
      </c>
      <c r="R264" t="s">
        <v>87</v>
      </c>
      <c r="S264" s="87">
        <v>45737</v>
      </c>
      <c r="T264" t="s">
        <v>244</v>
      </c>
      <c r="U264" t="s">
        <v>245</v>
      </c>
      <c r="V264" s="2">
        <v>26440851</v>
      </c>
      <c r="W264" s="2" t="s">
        <v>88</v>
      </c>
      <c r="Z264" s="2" t="s">
        <v>114</v>
      </c>
      <c r="AA264" s="2" t="s">
        <v>115</v>
      </c>
      <c r="AB264" s="2" t="s">
        <v>89</v>
      </c>
      <c r="AC264" s="2" t="s">
        <v>90</v>
      </c>
    </row>
    <row r="265" spans="1:29" x14ac:dyDescent="0.25">
      <c r="A265" t="s">
        <v>39</v>
      </c>
      <c r="B265" t="s">
        <v>93</v>
      </c>
      <c r="C265" t="s">
        <v>8</v>
      </c>
      <c r="D265" t="s">
        <v>15</v>
      </c>
      <c r="E265" t="s">
        <v>116</v>
      </c>
      <c r="F265" t="s">
        <v>116</v>
      </c>
      <c r="G265" s="2" t="s">
        <v>93</v>
      </c>
      <c r="H265" t="s">
        <v>87</v>
      </c>
      <c r="I265" s="63">
        <v>125788</v>
      </c>
      <c r="J265" s="2" t="s">
        <v>243</v>
      </c>
      <c r="K265" t="s">
        <v>128</v>
      </c>
      <c r="L265" t="s">
        <v>86</v>
      </c>
      <c r="M265" s="2" t="s">
        <v>130</v>
      </c>
      <c r="N265" t="s">
        <v>188</v>
      </c>
      <c r="O265" t="s">
        <v>189</v>
      </c>
      <c r="P265" t="s">
        <v>24</v>
      </c>
      <c r="Q265" t="s">
        <v>87</v>
      </c>
      <c r="R265" t="s">
        <v>87</v>
      </c>
      <c r="S265" s="87">
        <v>45737</v>
      </c>
      <c r="T265" t="s">
        <v>244</v>
      </c>
      <c r="U265" t="s">
        <v>245</v>
      </c>
      <c r="V265" s="2">
        <v>26440851</v>
      </c>
      <c r="W265" s="2" t="s">
        <v>88</v>
      </c>
      <c r="Z265" s="2" t="s">
        <v>114</v>
      </c>
      <c r="AA265" s="2" t="s">
        <v>115</v>
      </c>
      <c r="AB265" s="2" t="s">
        <v>89</v>
      </c>
      <c r="AC265" s="2" t="s">
        <v>90</v>
      </c>
    </row>
    <row r="266" spans="1:29" x14ac:dyDescent="0.25">
      <c r="A266" t="s">
        <v>39</v>
      </c>
      <c r="B266" t="s">
        <v>93</v>
      </c>
      <c r="C266" t="s">
        <v>8</v>
      </c>
      <c r="D266" t="s">
        <v>15</v>
      </c>
      <c r="E266" t="s">
        <v>116</v>
      </c>
      <c r="F266" t="s">
        <v>116</v>
      </c>
      <c r="G266" s="2" t="s">
        <v>93</v>
      </c>
      <c r="H266" t="s">
        <v>87</v>
      </c>
      <c r="I266" s="63">
        <v>125788</v>
      </c>
      <c r="J266" s="2" t="s">
        <v>243</v>
      </c>
      <c r="K266" t="s">
        <v>128</v>
      </c>
      <c r="L266" t="s">
        <v>86</v>
      </c>
      <c r="M266" s="2" t="s">
        <v>130</v>
      </c>
      <c r="N266" t="s">
        <v>188</v>
      </c>
      <c r="O266" t="s">
        <v>202</v>
      </c>
      <c r="P266" s="2" t="s">
        <v>246</v>
      </c>
      <c r="Q266" t="s">
        <v>87</v>
      </c>
      <c r="R266" t="s">
        <v>87</v>
      </c>
      <c r="S266" s="87">
        <v>45737</v>
      </c>
      <c r="T266" t="s">
        <v>244</v>
      </c>
      <c r="U266" t="s">
        <v>245</v>
      </c>
      <c r="V266" s="2">
        <v>26440851</v>
      </c>
      <c r="W266" s="2" t="s">
        <v>88</v>
      </c>
      <c r="Z266" s="2" t="s">
        <v>114</v>
      </c>
      <c r="AA266" s="2" t="s">
        <v>115</v>
      </c>
      <c r="AB266" s="2" t="s">
        <v>89</v>
      </c>
      <c r="AC266" s="2" t="s">
        <v>90</v>
      </c>
    </row>
    <row r="267" spans="1:29" x14ac:dyDescent="0.25">
      <c r="A267" t="s">
        <v>39</v>
      </c>
      <c r="B267" t="s">
        <v>193</v>
      </c>
      <c r="C267" t="s">
        <v>194</v>
      </c>
      <c r="D267" t="s">
        <v>15</v>
      </c>
      <c r="E267" t="s">
        <v>116</v>
      </c>
      <c r="F267" t="s">
        <v>116</v>
      </c>
      <c r="G267" s="2" t="s">
        <v>194</v>
      </c>
      <c r="H267" t="s">
        <v>87</v>
      </c>
      <c r="I267" s="63">
        <v>424842</v>
      </c>
      <c r="J267" s="2" t="s">
        <v>247</v>
      </c>
      <c r="K267" t="s">
        <v>128</v>
      </c>
      <c r="L267" t="s">
        <v>86</v>
      </c>
      <c r="M267" s="2" t="s">
        <v>130</v>
      </c>
      <c r="N267" t="s">
        <v>188</v>
      </c>
      <c r="O267" t="s">
        <v>40</v>
      </c>
      <c r="P267" t="s">
        <v>24</v>
      </c>
      <c r="Q267" t="s">
        <v>87</v>
      </c>
      <c r="R267" t="s">
        <v>87</v>
      </c>
      <c r="S267" s="87">
        <v>45737</v>
      </c>
      <c r="T267" t="s">
        <v>248</v>
      </c>
      <c r="U267" t="s">
        <v>249</v>
      </c>
      <c r="V267" s="2">
        <v>26442456</v>
      </c>
      <c r="W267" s="2" t="s">
        <v>88</v>
      </c>
      <c r="Z267" s="2" t="s">
        <v>250</v>
      </c>
      <c r="AA267" s="2" t="s">
        <v>251</v>
      </c>
      <c r="AB267" s="2" t="s">
        <v>89</v>
      </c>
      <c r="AC267" s="2" t="s">
        <v>90</v>
      </c>
    </row>
    <row r="268" spans="1:29" x14ac:dyDescent="0.25">
      <c r="A268" t="s">
        <v>39</v>
      </c>
      <c r="B268" t="s">
        <v>193</v>
      </c>
      <c r="C268" t="s">
        <v>194</v>
      </c>
      <c r="D268" t="s">
        <v>15</v>
      </c>
      <c r="E268" t="s">
        <v>116</v>
      </c>
      <c r="F268" t="s">
        <v>116</v>
      </c>
      <c r="G268" s="2" t="s">
        <v>194</v>
      </c>
      <c r="H268" t="s">
        <v>87</v>
      </c>
      <c r="I268" s="63">
        <v>424842</v>
      </c>
      <c r="J268" s="2" t="s">
        <v>247</v>
      </c>
      <c r="K268" t="s">
        <v>128</v>
      </c>
      <c r="L268" t="s">
        <v>86</v>
      </c>
      <c r="M268" s="2" t="s">
        <v>130</v>
      </c>
      <c r="N268" t="s">
        <v>188</v>
      </c>
      <c r="O268" t="s">
        <v>100</v>
      </c>
      <c r="P268" t="s">
        <v>24</v>
      </c>
      <c r="Q268" t="s">
        <v>87</v>
      </c>
      <c r="R268" t="s">
        <v>87</v>
      </c>
      <c r="S268" s="87">
        <v>45737</v>
      </c>
      <c r="T268" t="s">
        <v>248</v>
      </c>
      <c r="U268" t="s">
        <v>249</v>
      </c>
      <c r="V268" s="2">
        <v>26442456</v>
      </c>
      <c r="W268" s="2" t="s">
        <v>88</v>
      </c>
      <c r="Z268" s="2" t="s">
        <v>250</v>
      </c>
      <c r="AA268" s="2" t="s">
        <v>251</v>
      </c>
      <c r="AB268" s="2" t="s">
        <v>89</v>
      </c>
      <c r="AC268" s="2" t="s">
        <v>90</v>
      </c>
    </row>
    <row r="269" spans="1:29" x14ac:dyDescent="0.25">
      <c r="A269" t="s">
        <v>39</v>
      </c>
      <c r="B269" t="s">
        <v>193</v>
      </c>
      <c r="C269" t="s">
        <v>194</v>
      </c>
      <c r="D269" t="s">
        <v>15</v>
      </c>
      <c r="E269" t="s">
        <v>116</v>
      </c>
      <c r="F269" t="s">
        <v>116</v>
      </c>
      <c r="G269" s="2" t="s">
        <v>194</v>
      </c>
      <c r="H269" t="s">
        <v>87</v>
      </c>
      <c r="I269" s="63">
        <v>424842</v>
      </c>
      <c r="J269" s="2" t="s">
        <v>247</v>
      </c>
      <c r="K269" t="s">
        <v>128</v>
      </c>
      <c r="L269" t="s">
        <v>86</v>
      </c>
      <c r="M269" s="2" t="s">
        <v>130</v>
      </c>
      <c r="N269" t="s">
        <v>188</v>
      </c>
      <c r="O269" t="s">
        <v>136</v>
      </c>
      <c r="P269" t="s">
        <v>24</v>
      </c>
      <c r="Q269" t="s">
        <v>87</v>
      </c>
      <c r="R269" t="s">
        <v>87</v>
      </c>
      <c r="S269" s="87">
        <v>45737</v>
      </c>
      <c r="T269" t="s">
        <v>248</v>
      </c>
      <c r="U269" t="s">
        <v>249</v>
      </c>
      <c r="V269" s="2">
        <v>26442456</v>
      </c>
      <c r="W269" s="2" t="s">
        <v>88</v>
      </c>
      <c r="Z269" s="2" t="s">
        <v>250</v>
      </c>
      <c r="AA269" s="2" t="s">
        <v>251</v>
      </c>
      <c r="AB269" s="2" t="s">
        <v>89</v>
      </c>
      <c r="AC269" s="2" t="s">
        <v>90</v>
      </c>
    </row>
    <row r="270" spans="1:29" x14ac:dyDescent="0.25">
      <c r="A270" t="s">
        <v>39</v>
      </c>
      <c r="B270" t="s">
        <v>193</v>
      </c>
      <c r="C270" t="s">
        <v>194</v>
      </c>
      <c r="D270" t="s">
        <v>15</v>
      </c>
      <c r="E270" t="s">
        <v>116</v>
      </c>
      <c r="F270" t="s">
        <v>116</v>
      </c>
      <c r="G270" s="2" t="s">
        <v>194</v>
      </c>
      <c r="H270" t="s">
        <v>87</v>
      </c>
      <c r="I270" s="63">
        <v>424842</v>
      </c>
      <c r="J270" s="2" t="s">
        <v>247</v>
      </c>
      <c r="K270" t="s">
        <v>128</v>
      </c>
      <c r="L270" t="s">
        <v>86</v>
      </c>
      <c r="M270" s="2" t="s">
        <v>130</v>
      </c>
      <c r="N270" t="s">
        <v>188</v>
      </c>
      <c r="O270" t="s">
        <v>44</v>
      </c>
      <c r="P270" t="s">
        <v>24</v>
      </c>
      <c r="Q270" t="s">
        <v>87</v>
      </c>
      <c r="R270" t="s">
        <v>87</v>
      </c>
      <c r="S270" s="87">
        <v>45737</v>
      </c>
      <c r="T270" t="s">
        <v>248</v>
      </c>
      <c r="U270" t="s">
        <v>249</v>
      </c>
      <c r="V270" s="2">
        <v>26442456</v>
      </c>
      <c r="W270" s="2" t="s">
        <v>88</v>
      </c>
      <c r="Z270" s="2" t="s">
        <v>250</v>
      </c>
      <c r="AA270" s="2" t="s">
        <v>251</v>
      </c>
      <c r="AB270" s="2" t="s">
        <v>89</v>
      </c>
      <c r="AC270" s="2" t="s">
        <v>90</v>
      </c>
    </row>
    <row r="271" spans="1:29" x14ac:dyDescent="0.25">
      <c r="A271" t="s">
        <v>39</v>
      </c>
      <c r="B271" t="s">
        <v>193</v>
      </c>
      <c r="C271" t="s">
        <v>194</v>
      </c>
      <c r="D271" t="s">
        <v>15</v>
      </c>
      <c r="E271" t="s">
        <v>116</v>
      </c>
      <c r="F271" t="s">
        <v>116</v>
      </c>
      <c r="G271" s="2" t="s">
        <v>194</v>
      </c>
      <c r="H271" t="s">
        <v>87</v>
      </c>
      <c r="I271" s="63">
        <v>424842</v>
      </c>
      <c r="J271" s="2" t="s">
        <v>247</v>
      </c>
      <c r="K271" t="s">
        <v>128</v>
      </c>
      <c r="L271" t="s">
        <v>86</v>
      </c>
      <c r="M271" s="2" t="s">
        <v>130</v>
      </c>
      <c r="N271" t="s">
        <v>188</v>
      </c>
      <c r="O271" t="s">
        <v>137</v>
      </c>
      <c r="P271" t="s">
        <v>118</v>
      </c>
      <c r="Q271" t="s">
        <v>87</v>
      </c>
      <c r="R271" t="s">
        <v>87</v>
      </c>
      <c r="S271" s="87">
        <v>45737</v>
      </c>
      <c r="T271" t="s">
        <v>248</v>
      </c>
      <c r="U271" t="s">
        <v>249</v>
      </c>
      <c r="V271" s="2">
        <v>26442456</v>
      </c>
      <c r="W271" s="2" t="s">
        <v>88</v>
      </c>
      <c r="Z271" s="2" t="s">
        <v>250</v>
      </c>
      <c r="AA271" s="2" t="s">
        <v>251</v>
      </c>
      <c r="AB271" s="2" t="s">
        <v>89</v>
      </c>
      <c r="AC271" s="2" t="s">
        <v>90</v>
      </c>
    </row>
    <row r="272" spans="1:29" x14ac:dyDescent="0.25">
      <c r="A272" t="s">
        <v>39</v>
      </c>
      <c r="B272" t="s">
        <v>193</v>
      </c>
      <c r="C272" t="s">
        <v>194</v>
      </c>
      <c r="D272" t="s">
        <v>15</v>
      </c>
      <c r="E272" t="s">
        <v>116</v>
      </c>
      <c r="F272" t="s">
        <v>116</v>
      </c>
      <c r="G272" s="2" t="s">
        <v>194</v>
      </c>
      <c r="H272" t="s">
        <v>87</v>
      </c>
      <c r="I272" s="63">
        <v>424842</v>
      </c>
      <c r="J272" s="2" t="s">
        <v>247</v>
      </c>
      <c r="K272" t="s">
        <v>128</v>
      </c>
      <c r="L272" t="s">
        <v>86</v>
      </c>
      <c r="M272" s="2" t="s">
        <v>130</v>
      </c>
      <c r="N272" t="s">
        <v>188</v>
      </c>
      <c r="O272" t="s">
        <v>43</v>
      </c>
      <c r="P272" t="s">
        <v>24</v>
      </c>
      <c r="Q272" t="s">
        <v>87</v>
      </c>
      <c r="R272" t="s">
        <v>87</v>
      </c>
      <c r="S272" s="87">
        <v>45737</v>
      </c>
      <c r="T272" t="s">
        <v>248</v>
      </c>
      <c r="U272" t="s">
        <v>249</v>
      </c>
      <c r="V272" s="2">
        <v>26442456</v>
      </c>
      <c r="W272" s="2" t="s">
        <v>88</v>
      </c>
      <c r="Z272" s="2" t="s">
        <v>250</v>
      </c>
      <c r="AA272" s="2" t="s">
        <v>251</v>
      </c>
      <c r="AB272" s="2" t="s">
        <v>89</v>
      </c>
      <c r="AC272" s="2" t="s">
        <v>90</v>
      </c>
    </row>
    <row r="273" spans="1:29" x14ac:dyDescent="0.25">
      <c r="A273" t="s">
        <v>39</v>
      </c>
      <c r="B273" t="s">
        <v>193</v>
      </c>
      <c r="C273" t="s">
        <v>194</v>
      </c>
      <c r="D273" t="s">
        <v>15</v>
      </c>
      <c r="E273" t="s">
        <v>116</v>
      </c>
      <c r="F273" t="s">
        <v>116</v>
      </c>
      <c r="G273" s="2" t="s">
        <v>194</v>
      </c>
      <c r="H273" t="s">
        <v>87</v>
      </c>
      <c r="I273" s="63">
        <v>424842</v>
      </c>
      <c r="J273" s="2" t="s">
        <v>247</v>
      </c>
      <c r="K273" t="s">
        <v>128</v>
      </c>
      <c r="L273" t="s">
        <v>86</v>
      </c>
      <c r="M273" s="2" t="s">
        <v>130</v>
      </c>
      <c r="N273" t="s">
        <v>188</v>
      </c>
      <c r="O273" t="s">
        <v>49</v>
      </c>
      <c r="P273" t="s">
        <v>24</v>
      </c>
      <c r="Q273" t="s">
        <v>87</v>
      </c>
      <c r="R273" t="s">
        <v>87</v>
      </c>
      <c r="S273" s="87">
        <v>45737</v>
      </c>
      <c r="T273" t="s">
        <v>248</v>
      </c>
      <c r="U273" t="s">
        <v>249</v>
      </c>
      <c r="V273" s="2">
        <v>26442456</v>
      </c>
      <c r="W273" s="2" t="s">
        <v>88</v>
      </c>
      <c r="Z273" s="2" t="s">
        <v>250</v>
      </c>
      <c r="AA273" s="2" t="s">
        <v>251</v>
      </c>
      <c r="AB273" s="2" t="s">
        <v>89</v>
      </c>
      <c r="AC273" s="2" t="s">
        <v>90</v>
      </c>
    </row>
    <row r="274" spans="1:29" x14ac:dyDescent="0.25">
      <c r="A274" t="s">
        <v>39</v>
      </c>
      <c r="B274" t="s">
        <v>193</v>
      </c>
      <c r="C274" t="s">
        <v>194</v>
      </c>
      <c r="D274" t="s">
        <v>15</v>
      </c>
      <c r="E274" t="s">
        <v>116</v>
      </c>
      <c r="F274" t="s">
        <v>116</v>
      </c>
      <c r="G274" s="2" t="s">
        <v>194</v>
      </c>
      <c r="H274" t="s">
        <v>87</v>
      </c>
      <c r="I274" s="63">
        <v>424842</v>
      </c>
      <c r="J274" s="2" t="s">
        <v>247</v>
      </c>
      <c r="K274" t="s">
        <v>128</v>
      </c>
      <c r="L274" t="s">
        <v>86</v>
      </c>
      <c r="M274" s="2" t="s">
        <v>130</v>
      </c>
      <c r="N274" t="s">
        <v>188</v>
      </c>
      <c r="O274" t="s">
        <v>52</v>
      </c>
      <c r="P274" t="s">
        <v>118</v>
      </c>
      <c r="Q274" t="s">
        <v>87</v>
      </c>
      <c r="R274" t="s">
        <v>87</v>
      </c>
      <c r="S274" s="87">
        <v>45737</v>
      </c>
      <c r="T274" t="s">
        <v>248</v>
      </c>
      <c r="U274" t="s">
        <v>249</v>
      </c>
      <c r="V274" s="2">
        <v>26442456</v>
      </c>
      <c r="W274" s="2" t="s">
        <v>88</v>
      </c>
      <c r="Z274" s="2" t="s">
        <v>250</v>
      </c>
      <c r="AA274" s="2" t="s">
        <v>251</v>
      </c>
      <c r="AB274" s="2" t="s">
        <v>89</v>
      </c>
      <c r="AC274" s="2" t="s">
        <v>90</v>
      </c>
    </row>
    <row r="275" spans="1:29" x14ac:dyDescent="0.25">
      <c r="A275" t="s">
        <v>39</v>
      </c>
      <c r="B275" t="s">
        <v>193</v>
      </c>
      <c r="C275" t="s">
        <v>194</v>
      </c>
      <c r="D275" t="s">
        <v>15</v>
      </c>
      <c r="E275" t="s">
        <v>116</v>
      </c>
      <c r="F275" t="s">
        <v>116</v>
      </c>
      <c r="G275" s="2" t="s">
        <v>194</v>
      </c>
      <c r="H275" t="s">
        <v>87</v>
      </c>
      <c r="I275" s="63">
        <v>424842</v>
      </c>
      <c r="J275" s="2" t="s">
        <v>247</v>
      </c>
      <c r="K275" t="s">
        <v>128</v>
      </c>
      <c r="L275" t="s">
        <v>86</v>
      </c>
      <c r="M275" s="2" t="s">
        <v>130</v>
      </c>
      <c r="N275" t="s">
        <v>188</v>
      </c>
      <c r="O275" t="s">
        <v>48</v>
      </c>
      <c r="P275" t="s">
        <v>24</v>
      </c>
      <c r="Q275" t="s">
        <v>87</v>
      </c>
      <c r="R275" t="s">
        <v>87</v>
      </c>
      <c r="S275" s="87">
        <v>45737</v>
      </c>
      <c r="T275" t="s">
        <v>248</v>
      </c>
      <c r="U275" t="s">
        <v>249</v>
      </c>
      <c r="V275" s="2">
        <v>26442456</v>
      </c>
      <c r="W275" s="2" t="s">
        <v>88</v>
      </c>
      <c r="Z275" s="2" t="s">
        <v>250</v>
      </c>
      <c r="AA275" s="2" t="s">
        <v>251</v>
      </c>
      <c r="AB275" s="2" t="s">
        <v>89</v>
      </c>
      <c r="AC275" s="2" t="s">
        <v>90</v>
      </c>
    </row>
    <row r="276" spans="1:29" x14ac:dyDescent="0.25">
      <c r="A276" t="s">
        <v>39</v>
      </c>
      <c r="B276" t="s">
        <v>193</v>
      </c>
      <c r="C276" t="s">
        <v>194</v>
      </c>
      <c r="D276" t="s">
        <v>15</v>
      </c>
      <c r="E276" t="s">
        <v>116</v>
      </c>
      <c r="F276" t="s">
        <v>116</v>
      </c>
      <c r="G276" s="2" t="s">
        <v>194</v>
      </c>
      <c r="H276" t="s">
        <v>87</v>
      </c>
      <c r="I276" s="63">
        <v>424842</v>
      </c>
      <c r="J276" s="2" t="s">
        <v>247</v>
      </c>
      <c r="K276" t="s">
        <v>128</v>
      </c>
      <c r="L276" t="s">
        <v>86</v>
      </c>
      <c r="M276" s="2" t="s">
        <v>130</v>
      </c>
      <c r="N276" t="s">
        <v>188</v>
      </c>
      <c r="O276" t="s">
        <v>47</v>
      </c>
      <c r="P276" t="s">
        <v>24</v>
      </c>
      <c r="Q276" t="s">
        <v>87</v>
      </c>
      <c r="R276" t="s">
        <v>87</v>
      </c>
      <c r="S276" s="87">
        <v>45737</v>
      </c>
      <c r="T276" t="s">
        <v>248</v>
      </c>
      <c r="U276" t="s">
        <v>249</v>
      </c>
      <c r="V276" s="2">
        <v>26442456</v>
      </c>
      <c r="W276" s="2" t="s">
        <v>88</v>
      </c>
      <c r="Z276" s="2" t="s">
        <v>250</v>
      </c>
      <c r="AA276" s="2" t="s">
        <v>251</v>
      </c>
      <c r="AB276" s="2" t="s">
        <v>89</v>
      </c>
      <c r="AC276" s="2" t="s">
        <v>90</v>
      </c>
    </row>
    <row r="277" spans="1:29" x14ac:dyDescent="0.25">
      <c r="A277" t="s">
        <v>39</v>
      </c>
      <c r="B277" t="s">
        <v>193</v>
      </c>
      <c r="C277" t="s">
        <v>194</v>
      </c>
      <c r="D277" t="s">
        <v>15</v>
      </c>
      <c r="E277" t="s">
        <v>116</v>
      </c>
      <c r="F277" t="s">
        <v>116</v>
      </c>
      <c r="G277" s="2" t="s">
        <v>194</v>
      </c>
      <c r="H277" t="s">
        <v>87</v>
      </c>
      <c r="I277" s="63">
        <v>424842</v>
      </c>
      <c r="J277" s="2" t="s">
        <v>247</v>
      </c>
      <c r="K277" t="s">
        <v>128</v>
      </c>
      <c r="L277" t="s">
        <v>86</v>
      </c>
      <c r="M277" s="2" t="s">
        <v>130</v>
      </c>
      <c r="N277" t="s">
        <v>188</v>
      </c>
      <c r="O277" t="s">
        <v>46</v>
      </c>
      <c r="P277" t="s">
        <v>118</v>
      </c>
      <c r="Q277" t="s">
        <v>87</v>
      </c>
      <c r="R277" t="s">
        <v>87</v>
      </c>
      <c r="S277" s="87">
        <v>45737</v>
      </c>
      <c r="T277" t="s">
        <v>248</v>
      </c>
      <c r="U277" t="s">
        <v>249</v>
      </c>
      <c r="V277" s="2">
        <v>26442456</v>
      </c>
      <c r="W277" s="2" t="s">
        <v>88</v>
      </c>
      <c r="Z277" s="2" t="s">
        <v>250</v>
      </c>
      <c r="AA277" s="2" t="s">
        <v>251</v>
      </c>
      <c r="AB277" s="2" t="s">
        <v>89</v>
      </c>
      <c r="AC277" s="2" t="s">
        <v>90</v>
      </c>
    </row>
    <row r="278" spans="1:29" x14ac:dyDescent="0.25">
      <c r="A278" t="s">
        <v>39</v>
      </c>
      <c r="B278" t="s">
        <v>193</v>
      </c>
      <c r="C278" t="s">
        <v>194</v>
      </c>
      <c r="D278" t="s">
        <v>15</v>
      </c>
      <c r="E278" t="s">
        <v>116</v>
      </c>
      <c r="F278" t="s">
        <v>116</v>
      </c>
      <c r="G278" s="2" t="s">
        <v>194</v>
      </c>
      <c r="H278" t="s">
        <v>87</v>
      </c>
      <c r="I278" s="63">
        <v>424842</v>
      </c>
      <c r="J278" s="2" t="s">
        <v>247</v>
      </c>
      <c r="K278" t="s">
        <v>128</v>
      </c>
      <c r="L278" t="s">
        <v>86</v>
      </c>
      <c r="M278" s="2" t="s">
        <v>130</v>
      </c>
      <c r="N278" t="s">
        <v>188</v>
      </c>
      <c r="O278" t="s">
        <v>138</v>
      </c>
      <c r="P278" t="s">
        <v>24</v>
      </c>
      <c r="Q278" t="s">
        <v>87</v>
      </c>
      <c r="R278" t="s">
        <v>87</v>
      </c>
      <c r="S278" s="87">
        <v>45737</v>
      </c>
      <c r="T278" t="s">
        <v>248</v>
      </c>
      <c r="U278" t="s">
        <v>249</v>
      </c>
      <c r="V278" s="2">
        <v>26442456</v>
      </c>
      <c r="W278" s="2" t="s">
        <v>88</v>
      </c>
      <c r="Z278" s="2" t="s">
        <v>250</v>
      </c>
      <c r="AA278" s="2" t="s">
        <v>251</v>
      </c>
      <c r="AB278" s="2" t="s">
        <v>89</v>
      </c>
      <c r="AC278" s="2" t="s">
        <v>90</v>
      </c>
    </row>
    <row r="279" spans="1:29" x14ac:dyDescent="0.25">
      <c r="A279" t="s">
        <v>39</v>
      </c>
      <c r="B279" t="s">
        <v>193</v>
      </c>
      <c r="C279" t="s">
        <v>194</v>
      </c>
      <c r="D279" t="s">
        <v>15</v>
      </c>
      <c r="E279" t="s">
        <v>116</v>
      </c>
      <c r="F279" t="s">
        <v>116</v>
      </c>
      <c r="G279" s="2" t="s">
        <v>194</v>
      </c>
      <c r="H279" t="s">
        <v>87</v>
      </c>
      <c r="I279" s="63">
        <v>424842</v>
      </c>
      <c r="J279" s="2" t="s">
        <v>247</v>
      </c>
      <c r="K279" t="s">
        <v>128</v>
      </c>
      <c r="L279" t="s">
        <v>86</v>
      </c>
      <c r="M279" s="2" t="s">
        <v>130</v>
      </c>
      <c r="N279" t="s">
        <v>188</v>
      </c>
      <c r="O279" t="s">
        <v>101</v>
      </c>
      <c r="P279" t="s">
        <v>24</v>
      </c>
      <c r="Q279" t="s">
        <v>87</v>
      </c>
      <c r="R279" t="s">
        <v>87</v>
      </c>
      <c r="S279" s="87">
        <v>45737</v>
      </c>
      <c r="T279" t="s">
        <v>248</v>
      </c>
      <c r="U279" t="s">
        <v>249</v>
      </c>
      <c r="V279" s="2">
        <v>26442456</v>
      </c>
      <c r="W279" s="2" t="s">
        <v>88</v>
      </c>
      <c r="Z279" s="2" t="s">
        <v>250</v>
      </c>
      <c r="AA279" s="2" t="s">
        <v>251</v>
      </c>
      <c r="AB279" s="2" t="s">
        <v>89</v>
      </c>
      <c r="AC279" s="2" t="s">
        <v>90</v>
      </c>
    </row>
    <row r="280" spans="1:29" x14ac:dyDescent="0.25">
      <c r="A280" t="s">
        <v>39</v>
      </c>
      <c r="B280" t="s">
        <v>193</v>
      </c>
      <c r="C280" t="s">
        <v>194</v>
      </c>
      <c r="D280" t="s">
        <v>15</v>
      </c>
      <c r="E280" t="s">
        <v>116</v>
      </c>
      <c r="F280" t="s">
        <v>116</v>
      </c>
      <c r="G280" s="2" t="s">
        <v>194</v>
      </c>
      <c r="H280" t="s">
        <v>87</v>
      </c>
      <c r="I280" s="63">
        <v>424842</v>
      </c>
      <c r="J280" s="2" t="s">
        <v>247</v>
      </c>
      <c r="K280" t="s">
        <v>128</v>
      </c>
      <c r="L280" t="s">
        <v>86</v>
      </c>
      <c r="M280" s="2" t="s">
        <v>130</v>
      </c>
      <c r="N280" t="s">
        <v>188</v>
      </c>
      <c r="O280" t="s">
        <v>101</v>
      </c>
      <c r="P280" t="s">
        <v>24</v>
      </c>
      <c r="Q280" t="s">
        <v>87</v>
      </c>
      <c r="R280" t="s">
        <v>87</v>
      </c>
      <c r="S280" s="87">
        <v>45737</v>
      </c>
      <c r="T280" t="s">
        <v>248</v>
      </c>
      <c r="U280" t="s">
        <v>249</v>
      </c>
      <c r="V280" s="2">
        <v>26442456</v>
      </c>
      <c r="W280" s="2" t="s">
        <v>88</v>
      </c>
      <c r="Z280" s="2" t="s">
        <v>250</v>
      </c>
      <c r="AA280" s="2" t="s">
        <v>251</v>
      </c>
      <c r="AB280" s="2" t="s">
        <v>89</v>
      </c>
      <c r="AC280" s="2" t="s">
        <v>90</v>
      </c>
    </row>
    <row r="281" spans="1:29" x14ac:dyDescent="0.25">
      <c r="A281" t="s">
        <v>39</v>
      </c>
      <c r="B281" t="s">
        <v>193</v>
      </c>
      <c r="C281" t="s">
        <v>194</v>
      </c>
      <c r="D281" t="s">
        <v>15</v>
      </c>
      <c r="E281" t="s">
        <v>116</v>
      </c>
      <c r="F281" t="s">
        <v>116</v>
      </c>
      <c r="G281" s="2" t="s">
        <v>194</v>
      </c>
      <c r="H281" t="s">
        <v>87</v>
      </c>
      <c r="I281" s="63">
        <v>424842</v>
      </c>
      <c r="J281" s="2" t="s">
        <v>247</v>
      </c>
      <c r="K281" t="s">
        <v>128</v>
      </c>
      <c r="L281" t="s">
        <v>86</v>
      </c>
      <c r="M281" s="2" t="s">
        <v>130</v>
      </c>
      <c r="N281" t="s">
        <v>188</v>
      </c>
      <c r="O281" t="s">
        <v>101</v>
      </c>
      <c r="P281" t="s">
        <v>24</v>
      </c>
      <c r="Q281" t="s">
        <v>87</v>
      </c>
      <c r="R281" t="s">
        <v>87</v>
      </c>
      <c r="S281" s="87">
        <v>45737</v>
      </c>
      <c r="T281" t="s">
        <v>248</v>
      </c>
      <c r="U281" t="s">
        <v>249</v>
      </c>
      <c r="V281" s="2">
        <v>26442456</v>
      </c>
      <c r="W281" s="2" t="s">
        <v>88</v>
      </c>
      <c r="Z281" s="2" t="s">
        <v>250</v>
      </c>
      <c r="AA281" s="2" t="s">
        <v>251</v>
      </c>
      <c r="AB281" s="2" t="s">
        <v>89</v>
      </c>
      <c r="AC281" s="2" t="s">
        <v>90</v>
      </c>
    </row>
    <row r="282" spans="1:29" x14ac:dyDescent="0.25">
      <c r="A282" t="s">
        <v>39</v>
      </c>
      <c r="B282" t="s">
        <v>193</v>
      </c>
      <c r="C282" t="s">
        <v>194</v>
      </c>
      <c r="D282" t="s">
        <v>15</v>
      </c>
      <c r="E282" t="s">
        <v>116</v>
      </c>
      <c r="F282" t="s">
        <v>116</v>
      </c>
      <c r="G282" s="2" t="s">
        <v>194</v>
      </c>
      <c r="H282" t="s">
        <v>87</v>
      </c>
      <c r="I282" s="63">
        <v>424842</v>
      </c>
      <c r="J282" s="2" t="s">
        <v>247</v>
      </c>
      <c r="K282" t="s">
        <v>128</v>
      </c>
      <c r="L282" t="s">
        <v>86</v>
      </c>
      <c r="M282" s="2" t="s">
        <v>130</v>
      </c>
      <c r="N282" t="s">
        <v>188</v>
      </c>
      <c r="O282" t="s">
        <v>99</v>
      </c>
      <c r="P282" s="2" t="s">
        <v>24</v>
      </c>
      <c r="Q282" t="s">
        <v>87</v>
      </c>
      <c r="R282" t="s">
        <v>87</v>
      </c>
      <c r="S282" s="87">
        <v>45737</v>
      </c>
      <c r="T282" t="s">
        <v>248</v>
      </c>
      <c r="U282" t="s">
        <v>249</v>
      </c>
      <c r="V282" s="2">
        <v>26442456</v>
      </c>
      <c r="W282" s="2" t="s">
        <v>88</v>
      </c>
      <c r="Z282" s="2" t="s">
        <v>250</v>
      </c>
      <c r="AA282" s="2" t="s">
        <v>251</v>
      </c>
      <c r="AB282" s="2" t="s">
        <v>89</v>
      </c>
      <c r="AC282" s="2" t="s">
        <v>90</v>
      </c>
    </row>
    <row r="283" spans="1:29" x14ac:dyDescent="0.25">
      <c r="A283" t="s">
        <v>39</v>
      </c>
      <c r="B283" t="s">
        <v>193</v>
      </c>
      <c r="C283" t="s">
        <v>194</v>
      </c>
      <c r="D283" t="s">
        <v>15</v>
      </c>
      <c r="E283" t="s">
        <v>116</v>
      </c>
      <c r="F283" t="s">
        <v>116</v>
      </c>
      <c r="G283" s="2" t="s">
        <v>194</v>
      </c>
      <c r="H283" t="s">
        <v>87</v>
      </c>
      <c r="I283" s="63">
        <v>424842</v>
      </c>
      <c r="J283" s="2" t="s">
        <v>247</v>
      </c>
      <c r="K283" t="s">
        <v>128</v>
      </c>
      <c r="L283" t="s">
        <v>86</v>
      </c>
      <c r="M283" s="2" t="s">
        <v>130</v>
      </c>
      <c r="N283" t="s">
        <v>188</v>
      </c>
      <c r="O283" t="s">
        <v>102</v>
      </c>
      <c r="P283" s="2" t="s">
        <v>167</v>
      </c>
      <c r="Q283" t="s">
        <v>87</v>
      </c>
      <c r="R283" t="s">
        <v>87</v>
      </c>
      <c r="S283" s="87">
        <v>45737</v>
      </c>
      <c r="T283" t="s">
        <v>248</v>
      </c>
      <c r="U283" t="s">
        <v>249</v>
      </c>
      <c r="V283" s="2">
        <v>26442456</v>
      </c>
      <c r="W283" s="2" t="s">
        <v>88</v>
      </c>
      <c r="Z283" s="2" t="s">
        <v>250</v>
      </c>
      <c r="AA283" s="2" t="s">
        <v>251</v>
      </c>
      <c r="AB283" s="2" t="s">
        <v>89</v>
      </c>
      <c r="AC283" s="2" t="s">
        <v>90</v>
      </c>
    </row>
    <row r="284" spans="1:29" x14ac:dyDescent="0.25">
      <c r="A284" t="s">
        <v>39</v>
      </c>
      <c r="B284" t="s">
        <v>193</v>
      </c>
      <c r="C284" t="s">
        <v>194</v>
      </c>
      <c r="D284" t="s">
        <v>15</v>
      </c>
      <c r="E284" t="s">
        <v>116</v>
      </c>
      <c r="F284" t="s">
        <v>116</v>
      </c>
      <c r="G284" s="2" t="s">
        <v>194</v>
      </c>
      <c r="H284" t="s">
        <v>87</v>
      </c>
      <c r="I284" s="63">
        <v>424842</v>
      </c>
      <c r="J284" s="2" t="s">
        <v>247</v>
      </c>
      <c r="K284" t="s">
        <v>128</v>
      </c>
      <c r="L284" t="s">
        <v>86</v>
      </c>
      <c r="M284" s="2" t="s">
        <v>130</v>
      </c>
      <c r="N284" t="s">
        <v>188</v>
      </c>
      <c r="O284" t="s">
        <v>169</v>
      </c>
      <c r="P284" t="s">
        <v>24</v>
      </c>
      <c r="Q284" t="s">
        <v>87</v>
      </c>
      <c r="R284" t="s">
        <v>87</v>
      </c>
      <c r="S284" s="87">
        <v>45737</v>
      </c>
      <c r="T284" t="s">
        <v>248</v>
      </c>
      <c r="U284" t="s">
        <v>249</v>
      </c>
      <c r="V284" s="2">
        <v>26442456</v>
      </c>
      <c r="W284" s="2" t="s">
        <v>88</v>
      </c>
      <c r="Z284" s="2" t="s">
        <v>250</v>
      </c>
      <c r="AA284" s="2" t="s">
        <v>251</v>
      </c>
      <c r="AB284" s="2" t="s">
        <v>89</v>
      </c>
      <c r="AC284" s="2" t="s">
        <v>90</v>
      </c>
    </row>
    <row r="285" spans="1:29" x14ac:dyDescent="0.25">
      <c r="A285" t="s">
        <v>39</v>
      </c>
      <c r="B285" t="s">
        <v>193</v>
      </c>
      <c r="C285" t="s">
        <v>194</v>
      </c>
      <c r="D285" t="s">
        <v>15</v>
      </c>
      <c r="E285" t="s">
        <v>116</v>
      </c>
      <c r="F285" t="s">
        <v>116</v>
      </c>
      <c r="G285" s="2" t="s">
        <v>194</v>
      </c>
      <c r="H285" t="s">
        <v>87</v>
      </c>
      <c r="I285" s="63">
        <v>424842</v>
      </c>
      <c r="J285" s="2" t="s">
        <v>247</v>
      </c>
      <c r="K285" t="s">
        <v>128</v>
      </c>
      <c r="L285" t="s">
        <v>86</v>
      </c>
      <c r="M285" s="2" t="s">
        <v>130</v>
      </c>
      <c r="N285" t="s">
        <v>188</v>
      </c>
      <c r="O285" t="s">
        <v>171</v>
      </c>
      <c r="P285" t="s">
        <v>118</v>
      </c>
      <c r="Q285" t="s">
        <v>87</v>
      </c>
      <c r="R285" t="s">
        <v>87</v>
      </c>
      <c r="S285" s="87">
        <v>45737</v>
      </c>
      <c r="T285" t="s">
        <v>248</v>
      </c>
      <c r="U285" t="s">
        <v>249</v>
      </c>
      <c r="V285" s="2">
        <v>26442456</v>
      </c>
      <c r="W285" s="2" t="s">
        <v>88</v>
      </c>
      <c r="Z285" s="2" t="s">
        <v>250</v>
      </c>
      <c r="AA285" s="2" t="s">
        <v>251</v>
      </c>
      <c r="AB285" s="2" t="s">
        <v>89</v>
      </c>
      <c r="AC285" s="2" t="s">
        <v>90</v>
      </c>
    </row>
    <row r="286" spans="1:29" x14ac:dyDescent="0.25">
      <c r="A286" t="s">
        <v>39</v>
      </c>
      <c r="B286" t="s">
        <v>193</v>
      </c>
      <c r="C286" t="s">
        <v>194</v>
      </c>
      <c r="D286" t="s">
        <v>15</v>
      </c>
      <c r="E286" t="s">
        <v>116</v>
      </c>
      <c r="F286" t="s">
        <v>116</v>
      </c>
      <c r="G286" s="2" t="s">
        <v>194</v>
      </c>
      <c r="H286" t="s">
        <v>87</v>
      </c>
      <c r="I286" s="63">
        <v>424842</v>
      </c>
      <c r="J286" s="2" t="s">
        <v>247</v>
      </c>
      <c r="K286" t="s">
        <v>128</v>
      </c>
      <c r="L286" t="s">
        <v>86</v>
      </c>
      <c r="M286" s="2" t="s">
        <v>130</v>
      </c>
      <c r="N286" t="s">
        <v>188</v>
      </c>
      <c r="O286" t="s">
        <v>173</v>
      </c>
      <c r="P286" t="s">
        <v>24</v>
      </c>
      <c r="Q286" t="s">
        <v>87</v>
      </c>
      <c r="R286" t="s">
        <v>87</v>
      </c>
      <c r="S286" s="87">
        <v>45737</v>
      </c>
      <c r="T286" t="s">
        <v>248</v>
      </c>
      <c r="U286" t="s">
        <v>249</v>
      </c>
      <c r="V286" s="2">
        <v>26442456</v>
      </c>
      <c r="W286" s="2" t="s">
        <v>88</v>
      </c>
      <c r="Z286" s="2" t="s">
        <v>250</v>
      </c>
      <c r="AA286" s="2" t="s">
        <v>251</v>
      </c>
      <c r="AB286" s="2" t="s">
        <v>89</v>
      </c>
      <c r="AC286" s="2" t="s">
        <v>90</v>
      </c>
    </row>
    <row r="287" spans="1:29" x14ac:dyDescent="0.25">
      <c r="A287" t="s">
        <v>39</v>
      </c>
      <c r="B287" t="s">
        <v>193</v>
      </c>
      <c r="C287" t="s">
        <v>194</v>
      </c>
      <c r="D287" t="s">
        <v>15</v>
      </c>
      <c r="E287" t="s">
        <v>116</v>
      </c>
      <c r="F287" t="s">
        <v>116</v>
      </c>
      <c r="G287" s="2" t="s">
        <v>194</v>
      </c>
      <c r="H287" t="s">
        <v>87</v>
      </c>
      <c r="I287" s="63">
        <v>424842</v>
      </c>
      <c r="J287" s="2" t="s">
        <v>247</v>
      </c>
      <c r="K287" t="s">
        <v>128</v>
      </c>
      <c r="L287" t="s">
        <v>86</v>
      </c>
      <c r="M287" s="2" t="s">
        <v>130</v>
      </c>
      <c r="N287" t="s">
        <v>188</v>
      </c>
      <c r="O287" t="s">
        <v>175</v>
      </c>
      <c r="P287" t="s">
        <v>118</v>
      </c>
      <c r="Q287" t="s">
        <v>87</v>
      </c>
      <c r="R287" t="s">
        <v>87</v>
      </c>
      <c r="S287" s="87">
        <v>45737</v>
      </c>
      <c r="T287" t="s">
        <v>248</v>
      </c>
      <c r="U287" t="s">
        <v>249</v>
      </c>
      <c r="V287" s="2">
        <v>26442456</v>
      </c>
      <c r="W287" s="2" t="s">
        <v>88</v>
      </c>
      <c r="Z287" s="2" t="s">
        <v>250</v>
      </c>
      <c r="AA287" s="2" t="s">
        <v>251</v>
      </c>
      <c r="AB287" s="2" t="s">
        <v>89</v>
      </c>
      <c r="AC287" s="2" t="s">
        <v>90</v>
      </c>
    </row>
    <row r="288" spans="1:29" x14ac:dyDescent="0.25">
      <c r="A288" t="s">
        <v>39</v>
      </c>
      <c r="B288" t="s">
        <v>193</v>
      </c>
      <c r="C288" t="s">
        <v>194</v>
      </c>
      <c r="D288" t="s">
        <v>15</v>
      </c>
      <c r="E288" t="s">
        <v>116</v>
      </c>
      <c r="F288" t="s">
        <v>116</v>
      </c>
      <c r="G288" s="2" t="s">
        <v>194</v>
      </c>
      <c r="H288" t="s">
        <v>87</v>
      </c>
      <c r="I288" s="63">
        <v>424842</v>
      </c>
      <c r="J288" s="2" t="s">
        <v>247</v>
      </c>
      <c r="K288" t="s">
        <v>128</v>
      </c>
      <c r="L288" t="s">
        <v>86</v>
      </c>
      <c r="M288" s="2" t="s">
        <v>130</v>
      </c>
      <c r="N288" t="s">
        <v>188</v>
      </c>
      <c r="O288" t="s">
        <v>177</v>
      </c>
      <c r="P288" t="s">
        <v>118</v>
      </c>
      <c r="Q288" t="s">
        <v>87</v>
      </c>
      <c r="R288" t="s">
        <v>87</v>
      </c>
      <c r="S288" s="87">
        <v>45737</v>
      </c>
      <c r="T288" t="s">
        <v>248</v>
      </c>
      <c r="U288" t="s">
        <v>249</v>
      </c>
      <c r="V288" s="2">
        <v>26442456</v>
      </c>
      <c r="W288" s="2" t="s">
        <v>88</v>
      </c>
      <c r="Z288" s="2" t="s">
        <v>250</v>
      </c>
      <c r="AA288" s="2" t="s">
        <v>251</v>
      </c>
      <c r="AB288" s="2" t="s">
        <v>89</v>
      </c>
      <c r="AC288" s="2" t="s">
        <v>90</v>
      </c>
    </row>
    <row r="289" spans="1:29" x14ac:dyDescent="0.25">
      <c r="A289" t="s">
        <v>39</v>
      </c>
      <c r="B289" t="s">
        <v>193</v>
      </c>
      <c r="C289" t="s">
        <v>194</v>
      </c>
      <c r="D289" t="s">
        <v>15</v>
      </c>
      <c r="E289" t="s">
        <v>116</v>
      </c>
      <c r="F289" t="s">
        <v>116</v>
      </c>
      <c r="G289" s="2" t="s">
        <v>194</v>
      </c>
      <c r="H289" t="s">
        <v>87</v>
      </c>
      <c r="I289" s="63">
        <v>424842</v>
      </c>
      <c r="J289" s="2" t="s">
        <v>247</v>
      </c>
      <c r="K289" t="s">
        <v>128</v>
      </c>
      <c r="L289" t="s">
        <v>86</v>
      </c>
      <c r="M289" s="2" t="s">
        <v>130</v>
      </c>
      <c r="N289" t="s">
        <v>188</v>
      </c>
      <c r="O289" t="s">
        <v>41</v>
      </c>
      <c r="P289" t="s">
        <v>118</v>
      </c>
      <c r="Q289" t="s">
        <v>87</v>
      </c>
      <c r="R289" t="s">
        <v>87</v>
      </c>
      <c r="S289" s="87">
        <v>45737</v>
      </c>
      <c r="T289" t="s">
        <v>248</v>
      </c>
      <c r="U289" t="s">
        <v>249</v>
      </c>
      <c r="V289" s="2">
        <v>26442456</v>
      </c>
      <c r="W289" s="2" t="s">
        <v>88</v>
      </c>
      <c r="Z289" s="2" t="s">
        <v>250</v>
      </c>
      <c r="AA289" s="2" t="s">
        <v>251</v>
      </c>
      <c r="AB289" s="2" t="s">
        <v>89</v>
      </c>
      <c r="AC289" s="2" t="s">
        <v>90</v>
      </c>
    </row>
    <row r="290" spans="1:29" x14ac:dyDescent="0.25">
      <c r="A290" t="s">
        <v>39</v>
      </c>
      <c r="B290" t="s">
        <v>193</v>
      </c>
      <c r="C290" t="s">
        <v>194</v>
      </c>
      <c r="D290" t="s">
        <v>15</v>
      </c>
      <c r="E290" t="s">
        <v>116</v>
      </c>
      <c r="F290" t="s">
        <v>116</v>
      </c>
      <c r="G290" s="2" t="s">
        <v>194</v>
      </c>
      <c r="H290" t="s">
        <v>87</v>
      </c>
      <c r="I290" s="63">
        <v>424842</v>
      </c>
      <c r="J290" s="2" t="s">
        <v>247</v>
      </c>
      <c r="K290" t="s">
        <v>128</v>
      </c>
      <c r="L290" t="s">
        <v>86</v>
      </c>
      <c r="M290" s="2" t="s">
        <v>130</v>
      </c>
      <c r="N290" t="s">
        <v>188</v>
      </c>
      <c r="O290" t="s">
        <v>50</v>
      </c>
      <c r="P290" t="s">
        <v>24</v>
      </c>
      <c r="Q290" t="s">
        <v>87</v>
      </c>
      <c r="R290" t="s">
        <v>87</v>
      </c>
      <c r="S290" s="87">
        <v>45737</v>
      </c>
      <c r="T290" t="s">
        <v>248</v>
      </c>
      <c r="U290" t="s">
        <v>249</v>
      </c>
      <c r="V290" s="2">
        <v>26442456</v>
      </c>
      <c r="W290" s="2" t="s">
        <v>88</v>
      </c>
      <c r="Z290" s="2" t="s">
        <v>250</v>
      </c>
      <c r="AA290" s="2" t="s">
        <v>251</v>
      </c>
      <c r="AB290" s="2" t="s">
        <v>89</v>
      </c>
      <c r="AC290" s="2" t="s">
        <v>90</v>
      </c>
    </row>
    <row r="291" spans="1:29" x14ac:dyDescent="0.25">
      <c r="A291" t="s">
        <v>39</v>
      </c>
      <c r="B291" t="s">
        <v>193</v>
      </c>
      <c r="C291" t="s">
        <v>194</v>
      </c>
      <c r="D291" t="s">
        <v>15</v>
      </c>
      <c r="E291" t="s">
        <v>116</v>
      </c>
      <c r="F291" t="s">
        <v>116</v>
      </c>
      <c r="G291" s="2" t="s">
        <v>194</v>
      </c>
      <c r="H291" t="s">
        <v>87</v>
      </c>
      <c r="I291" s="63">
        <v>424842</v>
      </c>
      <c r="J291" s="2" t="s">
        <v>247</v>
      </c>
      <c r="K291" t="s">
        <v>128</v>
      </c>
      <c r="L291" t="s">
        <v>86</v>
      </c>
      <c r="M291" s="2" t="s">
        <v>130</v>
      </c>
      <c r="N291" t="s">
        <v>188</v>
      </c>
      <c r="O291" t="s">
        <v>148</v>
      </c>
      <c r="P291" t="s">
        <v>24</v>
      </c>
      <c r="Q291" t="s">
        <v>87</v>
      </c>
      <c r="R291" t="s">
        <v>87</v>
      </c>
      <c r="S291" s="87">
        <v>45737</v>
      </c>
      <c r="T291" t="s">
        <v>248</v>
      </c>
      <c r="U291" t="s">
        <v>249</v>
      </c>
      <c r="V291" s="2">
        <v>26442456</v>
      </c>
      <c r="W291" s="2" t="s">
        <v>88</v>
      </c>
      <c r="Z291" s="2" t="s">
        <v>250</v>
      </c>
      <c r="AA291" s="2" t="s">
        <v>251</v>
      </c>
      <c r="AB291" s="2" t="s">
        <v>89</v>
      </c>
      <c r="AC291" s="2" t="s">
        <v>90</v>
      </c>
    </row>
    <row r="292" spans="1:29" x14ac:dyDescent="0.25">
      <c r="A292" t="s">
        <v>39</v>
      </c>
      <c r="B292" t="s">
        <v>193</v>
      </c>
      <c r="C292" t="s">
        <v>194</v>
      </c>
      <c r="D292" t="s">
        <v>15</v>
      </c>
      <c r="E292" t="s">
        <v>116</v>
      </c>
      <c r="F292" t="s">
        <v>116</v>
      </c>
      <c r="G292" s="2" t="s">
        <v>194</v>
      </c>
      <c r="H292" t="s">
        <v>87</v>
      </c>
      <c r="I292" s="63">
        <v>424842</v>
      </c>
      <c r="J292" s="2" t="s">
        <v>247</v>
      </c>
      <c r="K292" t="s">
        <v>128</v>
      </c>
      <c r="L292" t="s">
        <v>86</v>
      </c>
      <c r="M292" s="2" t="s">
        <v>130</v>
      </c>
      <c r="N292" t="s">
        <v>188</v>
      </c>
      <c r="O292" t="s">
        <v>45</v>
      </c>
      <c r="P292" t="s">
        <v>24</v>
      </c>
      <c r="Q292" t="s">
        <v>87</v>
      </c>
      <c r="R292" t="s">
        <v>87</v>
      </c>
      <c r="S292" s="87">
        <v>45737</v>
      </c>
      <c r="T292" t="s">
        <v>248</v>
      </c>
      <c r="U292" t="s">
        <v>249</v>
      </c>
      <c r="V292" s="2">
        <v>26442456</v>
      </c>
      <c r="W292" s="2" t="s">
        <v>88</v>
      </c>
      <c r="Z292" s="2" t="s">
        <v>250</v>
      </c>
      <c r="AA292" s="2" t="s">
        <v>251</v>
      </c>
      <c r="AB292" s="2" t="s">
        <v>89</v>
      </c>
      <c r="AC292" s="2" t="s">
        <v>90</v>
      </c>
    </row>
    <row r="293" spans="1:29" x14ac:dyDescent="0.25">
      <c r="A293" t="s">
        <v>39</v>
      </c>
      <c r="B293" t="s">
        <v>193</v>
      </c>
      <c r="C293" t="s">
        <v>194</v>
      </c>
      <c r="D293" t="s">
        <v>15</v>
      </c>
      <c r="E293" t="s">
        <v>116</v>
      </c>
      <c r="F293" t="s">
        <v>116</v>
      </c>
      <c r="G293" s="2" t="s">
        <v>194</v>
      </c>
      <c r="H293" t="s">
        <v>87</v>
      </c>
      <c r="I293" s="63">
        <v>424842</v>
      </c>
      <c r="J293" s="2" t="s">
        <v>247</v>
      </c>
      <c r="K293" t="s">
        <v>128</v>
      </c>
      <c r="L293" t="s">
        <v>86</v>
      </c>
      <c r="M293" s="2" t="s">
        <v>130</v>
      </c>
      <c r="N293" t="s">
        <v>188</v>
      </c>
      <c r="O293" t="s">
        <v>189</v>
      </c>
      <c r="P293" t="s">
        <v>24</v>
      </c>
      <c r="Q293" t="s">
        <v>87</v>
      </c>
      <c r="R293" t="s">
        <v>87</v>
      </c>
      <c r="S293" s="87">
        <v>45737</v>
      </c>
      <c r="T293" t="s">
        <v>248</v>
      </c>
      <c r="U293" t="s">
        <v>249</v>
      </c>
      <c r="V293" s="2">
        <v>26442456</v>
      </c>
      <c r="W293" s="2" t="s">
        <v>88</v>
      </c>
      <c r="Z293" s="2" t="s">
        <v>250</v>
      </c>
      <c r="AA293" s="2" t="s">
        <v>251</v>
      </c>
      <c r="AB293" s="2" t="s">
        <v>89</v>
      </c>
      <c r="AC293" s="2" t="s">
        <v>90</v>
      </c>
    </row>
    <row r="294" spans="1:29" x14ac:dyDescent="0.25">
      <c r="A294" t="s">
        <v>39</v>
      </c>
      <c r="B294" t="s">
        <v>193</v>
      </c>
      <c r="C294" t="s">
        <v>194</v>
      </c>
      <c r="D294" t="s">
        <v>15</v>
      </c>
      <c r="E294" t="s">
        <v>116</v>
      </c>
      <c r="F294" t="s">
        <v>116</v>
      </c>
      <c r="G294" s="2" t="s">
        <v>194</v>
      </c>
      <c r="H294" t="s">
        <v>87</v>
      </c>
      <c r="I294" s="63">
        <v>424842</v>
      </c>
      <c r="J294" s="2" t="s">
        <v>247</v>
      </c>
      <c r="K294" t="s">
        <v>128</v>
      </c>
      <c r="L294" t="s">
        <v>86</v>
      </c>
      <c r="M294" s="2" t="s">
        <v>130</v>
      </c>
      <c r="N294" t="s">
        <v>188</v>
      </c>
      <c r="O294" t="s">
        <v>202</v>
      </c>
      <c r="P294" s="2" t="s">
        <v>252</v>
      </c>
      <c r="Q294" t="s">
        <v>87</v>
      </c>
      <c r="R294" t="s">
        <v>87</v>
      </c>
      <c r="S294" s="87">
        <v>45737</v>
      </c>
      <c r="T294" t="s">
        <v>248</v>
      </c>
      <c r="U294" t="s">
        <v>249</v>
      </c>
      <c r="V294" s="2">
        <v>26442456</v>
      </c>
      <c r="W294" s="2" t="s">
        <v>88</v>
      </c>
      <c r="Z294" s="2" t="s">
        <v>250</v>
      </c>
      <c r="AA294" s="2" t="s">
        <v>251</v>
      </c>
      <c r="AB294" s="2" t="s">
        <v>89</v>
      </c>
      <c r="AC294" s="2" t="s">
        <v>90</v>
      </c>
    </row>
    <row r="295" spans="1:29" x14ac:dyDescent="0.25">
      <c r="A295" t="s">
        <v>39</v>
      </c>
      <c r="B295" t="s">
        <v>92</v>
      </c>
      <c r="C295" t="s">
        <v>9</v>
      </c>
      <c r="D295" t="s">
        <v>15</v>
      </c>
      <c r="E295" t="s">
        <v>116</v>
      </c>
      <c r="F295" t="s">
        <v>116</v>
      </c>
      <c r="G295" s="2" t="s">
        <v>9</v>
      </c>
      <c r="H295" t="s">
        <v>87</v>
      </c>
      <c r="I295" s="63">
        <v>191506</v>
      </c>
      <c r="J295" s="2" t="s">
        <v>253</v>
      </c>
      <c r="K295" t="s">
        <v>128</v>
      </c>
      <c r="L295" t="s">
        <v>86</v>
      </c>
      <c r="M295" s="2" t="s">
        <v>130</v>
      </c>
      <c r="N295" t="s">
        <v>188</v>
      </c>
      <c r="O295" t="s">
        <v>40</v>
      </c>
      <c r="P295" t="s">
        <v>24</v>
      </c>
      <c r="Q295" t="s">
        <v>87</v>
      </c>
      <c r="R295" t="s">
        <v>87</v>
      </c>
      <c r="S295" s="87">
        <v>45738</v>
      </c>
      <c r="T295" t="s">
        <v>254</v>
      </c>
      <c r="U295" t="s">
        <v>255</v>
      </c>
      <c r="V295" s="2">
        <v>26444245</v>
      </c>
      <c r="W295" s="2" t="s">
        <v>88</v>
      </c>
      <c r="Z295" s="2" t="s">
        <v>134</v>
      </c>
      <c r="AA295" s="2" t="s">
        <v>135</v>
      </c>
      <c r="AB295" s="2" t="s">
        <v>89</v>
      </c>
      <c r="AC295" s="2" t="s">
        <v>90</v>
      </c>
    </row>
    <row r="296" spans="1:29" x14ac:dyDescent="0.25">
      <c r="A296" t="s">
        <v>39</v>
      </c>
      <c r="B296" t="s">
        <v>92</v>
      </c>
      <c r="C296" t="s">
        <v>9</v>
      </c>
      <c r="D296" t="s">
        <v>15</v>
      </c>
      <c r="E296" t="s">
        <v>116</v>
      </c>
      <c r="F296" t="s">
        <v>116</v>
      </c>
      <c r="G296" s="2" t="s">
        <v>9</v>
      </c>
      <c r="H296" t="s">
        <v>87</v>
      </c>
      <c r="I296" s="63">
        <v>191506</v>
      </c>
      <c r="J296" s="2" t="s">
        <v>253</v>
      </c>
      <c r="K296" t="s">
        <v>128</v>
      </c>
      <c r="L296" t="s">
        <v>86</v>
      </c>
      <c r="M296" s="2" t="s">
        <v>130</v>
      </c>
      <c r="N296" t="s">
        <v>188</v>
      </c>
      <c r="O296" t="s">
        <v>100</v>
      </c>
      <c r="P296" t="s">
        <v>24</v>
      </c>
      <c r="Q296" t="s">
        <v>87</v>
      </c>
      <c r="R296" t="s">
        <v>87</v>
      </c>
      <c r="S296" s="87">
        <v>45738</v>
      </c>
      <c r="T296" t="s">
        <v>254</v>
      </c>
      <c r="U296" t="s">
        <v>255</v>
      </c>
      <c r="V296" s="2">
        <v>26444245</v>
      </c>
      <c r="W296" s="2" t="s">
        <v>88</v>
      </c>
      <c r="Z296" s="2" t="s">
        <v>134</v>
      </c>
      <c r="AA296" s="2" t="s">
        <v>135</v>
      </c>
      <c r="AB296" s="2" t="s">
        <v>89</v>
      </c>
      <c r="AC296" s="2" t="s">
        <v>90</v>
      </c>
    </row>
    <row r="297" spans="1:29" x14ac:dyDescent="0.25">
      <c r="A297" t="s">
        <v>39</v>
      </c>
      <c r="B297" t="s">
        <v>92</v>
      </c>
      <c r="C297" t="s">
        <v>9</v>
      </c>
      <c r="D297" t="s">
        <v>15</v>
      </c>
      <c r="E297" t="s">
        <v>116</v>
      </c>
      <c r="F297" t="s">
        <v>116</v>
      </c>
      <c r="G297" s="2" t="s">
        <v>9</v>
      </c>
      <c r="H297" t="s">
        <v>87</v>
      </c>
      <c r="I297" s="63">
        <v>191506</v>
      </c>
      <c r="J297" s="2" t="s">
        <v>253</v>
      </c>
      <c r="K297" t="s">
        <v>128</v>
      </c>
      <c r="L297" t="s">
        <v>86</v>
      </c>
      <c r="M297" s="2" t="s">
        <v>130</v>
      </c>
      <c r="N297" t="s">
        <v>188</v>
      </c>
      <c r="O297" t="s">
        <v>136</v>
      </c>
      <c r="P297" t="s">
        <v>24</v>
      </c>
      <c r="Q297" t="s">
        <v>87</v>
      </c>
      <c r="R297" t="s">
        <v>87</v>
      </c>
      <c r="S297" s="87">
        <v>45738</v>
      </c>
      <c r="T297" t="s">
        <v>254</v>
      </c>
      <c r="U297" t="s">
        <v>255</v>
      </c>
      <c r="V297" s="2">
        <v>26444245</v>
      </c>
      <c r="W297" s="2" t="s">
        <v>88</v>
      </c>
      <c r="Z297" s="2" t="s">
        <v>134</v>
      </c>
      <c r="AA297" s="2" t="s">
        <v>135</v>
      </c>
      <c r="AB297" s="2" t="s">
        <v>89</v>
      </c>
      <c r="AC297" s="2" t="s">
        <v>90</v>
      </c>
    </row>
    <row r="298" spans="1:29" x14ac:dyDescent="0.25">
      <c r="A298" t="s">
        <v>39</v>
      </c>
      <c r="B298" t="s">
        <v>92</v>
      </c>
      <c r="C298" t="s">
        <v>9</v>
      </c>
      <c r="D298" t="s">
        <v>15</v>
      </c>
      <c r="E298" t="s">
        <v>116</v>
      </c>
      <c r="F298" t="s">
        <v>116</v>
      </c>
      <c r="G298" s="2" t="s">
        <v>9</v>
      </c>
      <c r="H298" t="s">
        <v>87</v>
      </c>
      <c r="I298" s="63">
        <v>191506</v>
      </c>
      <c r="J298" s="2" t="s">
        <v>253</v>
      </c>
      <c r="K298" t="s">
        <v>128</v>
      </c>
      <c r="L298" t="s">
        <v>86</v>
      </c>
      <c r="M298" s="2" t="s">
        <v>130</v>
      </c>
      <c r="N298" t="s">
        <v>188</v>
      </c>
      <c r="O298" t="s">
        <v>44</v>
      </c>
      <c r="P298" t="s">
        <v>24</v>
      </c>
      <c r="Q298" t="s">
        <v>87</v>
      </c>
      <c r="R298" t="s">
        <v>87</v>
      </c>
      <c r="S298" s="87">
        <v>45738</v>
      </c>
      <c r="T298" t="s">
        <v>254</v>
      </c>
      <c r="U298" t="s">
        <v>255</v>
      </c>
      <c r="V298" s="2">
        <v>26444245</v>
      </c>
      <c r="W298" s="2" t="s">
        <v>88</v>
      </c>
      <c r="Z298" s="2" t="s">
        <v>134</v>
      </c>
      <c r="AA298" s="2" t="s">
        <v>135</v>
      </c>
      <c r="AB298" s="2" t="s">
        <v>89</v>
      </c>
      <c r="AC298" s="2" t="s">
        <v>90</v>
      </c>
    </row>
    <row r="299" spans="1:29" x14ac:dyDescent="0.25">
      <c r="A299" t="s">
        <v>39</v>
      </c>
      <c r="B299" t="s">
        <v>92</v>
      </c>
      <c r="C299" t="s">
        <v>9</v>
      </c>
      <c r="D299" t="s">
        <v>15</v>
      </c>
      <c r="E299" t="s">
        <v>116</v>
      </c>
      <c r="F299" t="s">
        <v>116</v>
      </c>
      <c r="G299" s="2" t="s">
        <v>9</v>
      </c>
      <c r="H299" t="s">
        <v>87</v>
      </c>
      <c r="I299" s="63">
        <v>191506</v>
      </c>
      <c r="J299" s="2" t="s">
        <v>253</v>
      </c>
      <c r="K299" t="s">
        <v>128</v>
      </c>
      <c r="L299" t="s">
        <v>86</v>
      </c>
      <c r="M299" s="2" t="s">
        <v>130</v>
      </c>
      <c r="N299" t="s">
        <v>188</v>
      </c>
      <c r="O299" t="s">
        <v>137</v>
      </c>
      <c r="P299" t="s">
        <v>118</v>
      </c>
      <c r="Q299" t="s">
        <v>87</v>
      </c>
      <c r="R299" t="s">
        <v>87</v>
      </c>
      <c r="S299" s="87">
        <v>45738</v>
      </c>
      <c r="T299" t="s">
        <v>254</v>
      </c>
      <c r="U299" t="s">
        <v>255</v>
      </c>
      <c r="V299" s="2">
        <v>26444245</v>
      </c>
      <c r="W299" s="2" t="s">
        <v>88</v>
      </c>
      <c r="Z299" s="2" t="s">
        <v>134</v>
      </c>
      <c r="AA299" s="2" t="s">
        <v>135</v>
      </c>
      <c r="AB299" s="2" t="s">
        <v>89</v>
      </c>
      <c r="AC299" s="2" t="s">
        <v>90</v>
      </c>
    </row>
    <row r="300" spans="1:29" x14ac:dyDescent="0.25">
      <c r="A300" t="s">
        <v>39</v>
      </c>
      <c r="B300" t="s">
        <v>92</v>
      </c>
      <c r="C300" t="s">
        <v>9</v>
      </c>
      <c r="D300" t="s">
        <v>15</v>
      </c>
      <c r="E300" t="s">
        <v>116</v>
      </c>
      <c r="F300" t="s">
        <v>116</v>
      </c>
      <c r="G300" s="2" t="s">
        <v>9</v>
      </c>
      <c r="H300" t="s">
        <v>87</v>
      </c>
      <c r="I300" s="63">
        <v>191506</v>
      </c>
      <c r="J300" s="2" t="s">
        <v>253</v>
      </c>
      <c r="K300" t="s">
        <v>128</v>
      </c>
      <c r="L300" t="s">
        <v>86</v>
      </c>
      <c r="M300" s="2" t="s">
        <v>130</v>
      </c>
      <c r="N300" t="s">
        <v>188</v>
      </c>
      <c r="O300" t="s">
        <v>43</v>
      </c>
      <c r="P300" t="s">
        <v>24</v>
      </c>
      <c r="Q300" t="s">
        <v>87</v>
      </c>
      <c r="R300" t="s">
        <v>87</v>
      </c>
      <c r="S300" s="87">
        <v>45738</v>
      </c>
      <c r="T300" t="s">
        <v>254</v>
      </c>
      <c r="U300" t="s">
        <v>255</v>
      </c>
      <c r="V300" s="2">
        <v>26444245</v>
      </c>
      <c r="W300" s="2" t="s">
        <v>88</v>
      </c>
      <c r="Z300" s="2" t="s">
        <v>134</v>
      </c>
      <c r="AA300" s="2" t="s">
        <v>135</v>
      </c>
      <c r="AB300" s="2" t="s">
        <v>89</v>
      </c>
      <c r="AC300" s="2" t="s">
        <v>90</v>
      </c>
    </row>
    <row r="301" spans="1:29" x14ac:dyDescent="0.25">
      <c r="A301" t="s">
        <v>39</v>
      </c>
      <c r="B301" t="s">
        <v>92</v>
      </c>
      <c r="C301" t="s">
        <v>9</v>
      </c>
      <c r="D301" t="s">
        <v>15</v>
      </c>
      <c r="E301" t="s">
        <v>116</v>
      </c>
      <c r="F301" t="s">
        <v>116</v>
      </c>
      <c r="G301" s="2" t="s">
        <v>9</v>
      </c>
      <c r="H301" t="s">
        <v>87</v>
      </c>
      <c r="I301" s="63">
        <v>191506</v>
      </c>
      <c r="J301" s="2" t="s">
        <v>253</v>
      </c>
      <c r="K301" t="s">
        <v>128</v>
      </c>
      <c r="L301" t="s">
        <v>86</v>
      </c>
      <c r="M301" s="2" t="s">
        <v>130</v>
      </c>
      <c r="N301" t="s">
        <v>188</v>
      </c>
      <c r="O301" t="s">
        <v>49</v>
      </c>
      <c r="P301" t="s">
        <v>24</v>
      </c>
      <c r="Q301" t="s">
        <v>87</v>
      </c>
      <c r="R301" t="s">
        <v>87</v>
      </c>
      <c r="S301" s="87">
        <v>45738</v>
      </c>
      <c r="T301" t="s">
        <v>254</v>
      </c>
      <c r="U301" t="s">
        <v>255</v>
      </c>
      <c r="V301" s="2">
        <v>26444245</v>
      </c>
      <c r="W301" s="2" t="s">
        <v>88</v>
      </c>
      <c r="Z301" s="2" t="s">
        <v>134</v>
      </c>
      <c r="AA301" s="2" t="s">
        <v>135</v>
      </c>
      <c r="AB301" s="2" t="s">
        <v>89</v>
      </c>
      <c r="AC301" s="2" t="s">
        <v>90</v>
      </c>
    </row>
    <row r="302" spans="1:29" x14ac:dyDescent="0.25">
      <c r="A302" t="s">
        <v>39</v>
      </c>
      <c r="B302" t="s">
        <v>92</v>
      </c>
      <c r="C302" t="s">
        <v>9</v>
      </c>
      <c r="D302" t="s">
        <v>15</v>
      </c>
      <c r="E302" t="s">
        <v>116</v>
      </c>
      <c r="F302" t="s">
        <v>116</v>
      </c>
      <c r="G302" s="2" t="s">
        <v>9</v>
      </c>
      <c r="H302" t="s">
        <v>87</v>
      </c>
      <c r="I302" s="63">
        <v>191506</v>
      </c>
      <c r="J302" s="2" t="s">
        <v>253</v>
      </c>
      <c r="K302" t="s">
        <v>128</v>
      </c>
      <c r="L302" t="s">
        <v>86</v>
      </c>
      <c r="M302" s="2" t="s">
        <v>130</v>
      </c>
      <c r="N302" t="s">
        <v>188</v>
      </c>
      <c r="O302" t="s">
        <v>52</v>
      </c>
      <c r="P302" t="s">
        <v>118</v>
      </c>
      <c r="Q302" t="s">
        <v>87</v>
      </c>
      <c r="R302" t="s">
        <v>87</v>
      </c>
      <c r="S302" s="87">
        <v>45738</v>
      </c>
      <c r="T302" t="s">
        <v>254</v>
      </c>
      <c r="U302" t="s">
        <v>255</v>
      </c>
      <c r="V302" s="2">
        <v>26444245</v>
      </c>
      <c r="W302" s="2" t="s">
        <v>88</v>
      </c>
      <c r="Z302" s="2" t="s">
        <v>134</v>
      </c>
      <c r="AA302" s="2" t="s">
        <v>135</v>
      </c>
      <c r="AB302" s="2" t="s">
        <v>89</v>
      </c>
      <c r="AC302" s="2" t="s">
        <v>90</v>
      </c>
    </row>
    <row r="303" spans="1:29" x14ac:dyDescent="0.25">
      <c r="A303" t="s">
        <v>39</v>
      </c>
      <c r="B303" t="s">
        <v>92</v>
      </c>
      <c r="C303" t="s">
        <v>9</v>
      </c>
      <c r="D303" t="s">
        <v>15</v>
      </c>
      <c r="E303" t="s">
        <v>116</v>
      </c>
      <c r="F303" t="s">
        <v>116</v>
      </c>
      <c r="G303" s="2" t="s">
        <v>9</v>
      </c>
      <c r="H303" t="s">
        <v>87</v>
      </c>
      <c r="I303" s="63">
        <v>191506</v>
      </c>
      <c r="J303" s="2" t="s">
        <v>253</v>
      </c>
      <c r="K303" t="s">
        <v>128</v>
      </c>
      <c r="L303" t="s">
        <v>86</v>
      </c>
      <c r="M303" s="2" t="s">
        <v>130</v>
      </c>
      <c r="N303" t="s">
        <v>188</v>
      </c>
      <c r="O303" t="s">
        <v>48</v>
      </c>
      <c r="P303" t="s">
        <v>118</v>
      </c>
      <c r="Q303" t="s">
        <v>87</v>
      </c>
      <c r="R303" t="s">
        <v>87</v>
      </c>
      <c r="S303" s="87">
        <v>45738</v>
      </c>
      <c r="T303" t="s">
        <v>254</v>
      </c>
      <c r="U303" t="s">
        <v>255</v>
      </c>
      <c r="V303" s="2">
        <v>26444245</v>
      </c>
      <c r="W303" s="2" t="s">
        <v>88</v>
      </c>
      <c r="Z303" s="2" t="s">
        <v>134</v>
      </c>
      <c r="AA303" s="2" t="s">
        <v>135</v>
      </c>
      <c r="AB303" s="2" t="s">
        <v>89</v>
      </c>
      <c r="AC303" s="2" t="s">
        <v>90</v>
      </c>
    </row>
    <row r="304" spans="1:29" x14ac:dyDescent="0.25">
      <c r="A304" t="s">
        <v>39</v>
      </c>
      <c r="B304" t="s">
        <v>92</v>
      </c>
      <c r="C304" t="s">
        <v>9</v>
      </c>
      <c r="D304" t="s">
        <v>15</v>
      </c>
      <c r="E304" t="s">
        <v>116</v>
      </c>
      <c r="F304" t="s">
        <v>116</v>
      </c>
      <c r="G304" s="2" t="s">
        <v>9</v>
      </c>
      <c r="H304" t="s">
        <v>87</v>
      </c>
      <c r="I304" s="63">
        <v>191506</v>
      </c>
      <c r="J304" s="2" t="s">
        <v>253</v>
      </c>
      <c r="K304" t="s">
        <v>128</v>
      </c>
      <c r="L304" t="s">
        <v>86</v>
      </c>
      <c r="M304" s="2" t="s">
        <v>130</v>
      </c>
      <c r="N304" t="s">
        <v>188</v>
      </c>
      <c r="O304" t="s">
        <v>47</v>
      </c>
      <c r="P304" t="s">
        <v>118</v>
      </c>
      <c r="Q304" t="s">
        <v>87</v>
      </c>
      <c r="R304" t="s">
        <v>87</v>
      </c>
      <c r="S304" s="87">
        <v>45738</v>
      </c>
      <c r="T304" t="s">
        <v>254</v>
      </c>
      <c r="U304" t="s">
        <v>255</v>
      </c>
      <c r="V304" s="2">
        <v>26444245</v>
      </c>
      <c r="W304" s="2" t="s">
        <v>88</v>
      </c>
      <c r="Z304" s="2" t="s">
        <v>134</v>
      </c>
      <c r="AA304" s="2" t="s">
        <v>135</v>
      </c>
      <c r="AB304" s="2" t="s">
        <v>89</v>
      </c>
      <c r="AC304" s="2" t="s">
        <v>90</v>
      </c>
    </row>
    <row r="305" spans="1:29" x14ac:dyDescent="0.25">
      <c r="A305" t="s">
        <v>39</v>
      </c>
      <c r="B305" t="s">
        <v>92</v>
      </c>
      <c r="C305" t="s">
        <v>9</v>
      </c>
      <c r="D305" t="s">
        <v>15</v>
      </c>
      <c r="E305" t="s">
        <v>116</v>
      </c>
      <c r="F305" t="s">
        <v>116</v>
      </c>
      <c r="G305" s="2" t="s">
        <v>9</v>
      </c>
      <c r="H305" t="s">
        <v>87</v>
      </c>
      <c r="I305" s="63">
        <v>191506</v>
      </c>
      <c r="J305" s="2" t="s">
        <v>253</v>
      </c>
      <c r="K305" t="s">
        <v>128</v>
      </c>
      <c r="L305" t="s">
        <v>86</v>
      </c>
      <c r="M305" s="2" t="s">
        <v>130</v>
      </c>
      <c r="N305" t="s">
        <v>188</v>
      </c>
      <c r="O305" t="s">
        <v>46</v>
      </c>
      <c r="P305" t="s">
        <v>118</v>
      </c>
      <c r="Q305" t="s">
        <v>87</v>
      </c>
      <c r="R305" t="s">
        <v>87</v>
      </c>
      <c r="S305" s="87">
        <v>45738</v>
      </c>
      <c r="T305" t="s">
        <v>254</v>
      </c>
      <c r="U305" t="s">
        <v>255</v>
      </c>
      <c r="V305" s="2">
        <v>26444245</v>
      </c>
      <c r="W305" s="2" t="s">
        <v>88</v>
      </c>
      <c r="Z305" s="2" t="s">
        <v>134</v>
      </c>
      <c r="AA305" s="2" t="s">
        <v>135</v>
      </c>
      <c r="AB305" s="2" t="s">
        <v>89</v>
      </c>
      <c r="AC305" s="2" t="s">
        <v>90</v>
      </c>
    </row>
    <row r="306" spans="1:29" x14ac:dyDescent="0.25">
      <c r="A306" t="s">
        <v>39</v>
      </c>
      <c r="B306" t="s">
        <v>92</v>
      </c>
      <c r="C306" t="s">
        <v>9</v>
      </c>
      <c r="D306" t="s">
        <v>15</v>
      </c>
      <c r="E306" t="s">
        <v>116</v>
      </c>
      <c r="F306" t="s">
        <v>116</v>
      </c>
      <c r="G306" s="2" t="s">
        <v>9</v>
      </c>
      <c r="H306" t="s">
        <v>87</v>
      </c>
      <c r="I306" s="63">
        <v>191506</v>
      </c>
      <c r="J306" s="2" t="s">
        <v>253</v>
      </c>
      <c r="K306" t="s">
        <v>128</v>
      </c>
      <c r="L306" t="s">
        <v>86</v>
      </c>
      <c r="M306" s="2" t="s">
        <v>130</v>
      </c>
      <c r="N306" t="s">
        <v>188</v>
      </c>
      <c r="O306" t="s">
        <v>138</v>
      </c>
      <c r="P306" t="s">
        <v>24</v>
      </c>
      <c r="Q306" t="s">
        <v>87</v>
      </c>
      <c r="R306" t="s">
        <v>87</v>
      </c>
      <c r="S306" s="87">
        <v>45738</v>
      </c>
      <c r="T306" t="s">
        <v>254</v>
      </c>
      <c r="U306" t="s">
        <v>255</v>
      </c>
      <c r="V306" s="2">
        <v>26444245</v>
      </c>
      <c r="W306" s="2" t="s">
        <v>88</v>
      </c>
      <c r="Z306" s="2" t="s">
        <v>134</v>
      </c>
      <c r="AA306" s="2" t="s">
        <v>135</v>
      </c>
      <c r="AB306" s="2" t="s">
        <v>89</v>
      </c>
      <c r="AC306" s="2" t="s">
        <v>90</v>
      </c>
    </row>
    <row r="307" spans="1:29" x14ac:dyDescent="0.25">
      <c r="A307" t="s">
        <v>39</v>
      </c>
      <c r="B307" t="s">
        <v>92</v>
      </c>
      <c r="C307" t="s">
        <v>9</v>
      </c>
      <c r="D307" t="s">
        <v>15</v>
      </c>
      <c r="E307" t="s">
        <v>116</v>
      </c>
      <c r="F307" t="s">
        <v>116</v>
      </c>
      <c r="G307" s="2" t="s">
        <v>9</v>
      </c>
      <c r="H307" t="s">
        <v>87</v>
      </c>
      <c r="I307" s="63">
        <v>191506</v>
      </c>
      <c r="J307" s="2" t="s">
        <v>253</v>
      </c>
      <c r="K307" t="s">
        <v>128</v>
      </c>
      <c r="L307" t="s">
        <v>86</v>
      </c>
      <c r="M307" s="2" t="s">
        <v>130</v>
      </c>
      <c r="N307" t="s">
        <v>188</v>
      </c>
      <c r="O307" t="s">
        <v>101</v>
      </c>
      <c r="P307" t="s">
        <v>24</v>
      </c>
      <c r="Q307" t="s">
        <v>87</v>
      </c>
      <c r="R307" t="s">
        <v>87</v>
      </c>
      <c r="S307" s="87">
        <v>45738</v>
      </c>
      <c r="T307" t="s">
        <v>254</v>
      </c>
      <c r="U307" t="s">
        <v>255</v>
      </c>
      <c r="V307" s="2">
        <v>26444245</v>
      </c>
      <c r="W307" s="2" t="s">
        <v>88</v>
      </c>
      <c r="Z307" s="2" t="s">
        <v>134</v>
      </c>
      <c r="AA307" s="2" t="s">
        <v>135</v>
      </c>
      <c r="AB307" s="2" t="s">
        <v>89</v>
      </c>
      <c r="AC307" s="2" t="s">
        <v>90</v>
      </c>
    </row>
    <row r="308" spans="1:29" x14ac:dyDescent="0.25">
      <c r="A308" t="s">
        <v>39</v>
      </c>
      <c r="B308" t="s">
        <v>92</v>
      </c>
      <c r="C308" t="s">
        <v>9</v>
      </c>
      <c r="D308" t="s">
        <v>15</v>
      </c>
      <c r="E308" t="s">
        <v>116</v>
      </c>
      <c r="F308" t="s">
        <v>116</v>
      </c>
      <c r="G308" s="2" t="s">
        <v>9</v>
      </c>
      <c r="H308" t="s">
        <v>87</v>
      </c>
      <c r="I308" s="63">
        <v>191506</v>
      </c>
      <c r="J308" s="2" t="s">
        <v>253</v>
      </c>
      <c r="K308" t="s">
        <v>128</v>
      </c>
      <c r="L308" t="s">
        <v>86</v>
      </c>
      <c r="M308" s="2" t="s">
        <v>130</v>
      </c>
      <c r="N308" t="s">
        <v>188</v>
      </c>
      <c r="O308" t="s">
        <v>101</v>
      </c>
      <c r="P308" t="s">
        <v>24</v>
      </c>
      <c r="Q308" t="s">
        <v>87</v>
      </c>
      <c r="R308" t="s">
        <v>87</v>
      </c>
      <c r="S308" s="87">
        <v>45738</v>
      </c>
      <c r="T308" t="s">
        <v>254</v>
      </c>
      <c r="U308" t="s">
        <v>255</v>
      </c>
      <c r="V308" s="2">
        <v>26444245</v>
      </c>
      <c r="W308" s="2" t="s">
        <v>88</v>
      </c>
      <c r="Z308" s="2" t="s">
        <v>134</v>
      </c>
      <c r="AA308" s="2" t="s">
        <v>135</v>
      </c>
      <c r="AB308" s="2" t="s">
        <v>89</v>
      </c>
      <c r="AC308" s="2" t="s">
        <v>90</v>
      </c>
    </row>
    <row r="309" spans="1:29" x14ac:dyDescent="0.25">
      <c r="A309" t="s">
        <v>39</v>
      </c>
      <c r="B309" t="s">
        <v>92</v>
      </c>
      <c r="C309" t="s">
        <v>9</v>
      </c>
      <c r="D309" t="s">
        <v>15</v>
      </c>
      <c r="E309" t="s">
        <v>116</v>
      </c>
      <c r="F309" t="s">
        <v>116</v>
      </c>
      <c r="G309" s="2" t="s">
        <v>9</v>
      </c>
      <c r="H309" t="s">
        <v>87</v>
      </c>
      <c r="I309" s="63">
        <v>191506</v>
      </c>
      <c r="J309" s="2" t="s">
        <v>253</v>
      </c>
      <c r="K309" t="s">
        <v>128</v>
      </c>
      <c r="L309" t="s">
        <v>86</v>
      </c>
      <c r="M309" s="2" t="s">
        <v>130</v>
      </c>
      <c r="N309" t="s">
        <v>188</v>
      </c>
      <c r="O309" t="s">
        <v>99</v>
      </c>
      <c r="P309" s="2" t="s">
        <v>241</v>
      </c>
      <c r="Q309" t="s">
        <v>87</v>
      </c>
      <c r="R309" t="s">
        <v>87</v>
      </c>
      <c r="S309" s="87">
        <v>45738</v>
      </c>
      <c r="T309" t="s">
        <v>254</v>
      </c>
      <c r="U309" t="s">
        <v>255</v>
      </c>
      <c r="V309" s="2">
        <v>26444245</v>
      </c>
      <c r="W309" s="2" t="s">
        <v>88</v>
      </c>
      <c r="Z309" s="2" t="s">
        <v>134</v>
      </c>
      <c r="AA309" s="2" t="s">
        <v>135</v>
      </c>
      <c r="AB309" s="2" t="s">
        <v>89</v>
      </c>
      <c r="AC309" s="2" t="s">
        <v>90</v>
      </c>
    </row>
    <row r="310" spans="1:29" x14ac:dyDescent="0.25">
      <c r="A310" t="s">
        <v>39</v>
      </c>
      <c r="B310" t="s">
        <v>92</v>
      </c>
      <c r="C310" t="s">
        <v>9</v>
      </c>
      <c r="D310" t="s">
        <v>15</v>
      </c>
      <c r="E310" t="s">
        <v>116</v>
      </c>
      <c r="F310" t="s">
        <v>116</v>
      </c>
      <c r="G310" s="2" t="s">
        <v>9</v>
      </c>
      <c r="H310" t="s">
        <v>87</v>
      </c>
      <c r="I310" s="63">
        <v>191506</v>
      </c>
      <c r="J310" s="2" t="s">
        <v>253</v>
      </c>
      <c r="K310" t="s">
        <v>128</v>
      </c>
      <c r="L310" t="s">
        <v>86</v>
      </c>
      <c r="M310" s="2" t="s">
        <v>130</v>
      </c>
      <c r="N310" t="s">
        <v>188</v>
      </c>
      <c r="O310" t="s">
        <v>102</v>
      </c>
      <c r="P310" s="2" t="s">
        <v>167</v>
      </c>
      <c r="Q310" t="s">
        <v>87</v>
      </c>
      <c r="R310" t="s">
        <v>87</v>
      </c>
      <c r="S310" s="87">
        <v>45738</v>
      </c>
      <c r="T310" t="s">
        <v>254</v>
      </c>
      <c r="U310" t="s">
        <v>255</v>
      </c>
      <c r="V310" s="2">
        <v>26444245</v>
      </c>
      <c r="W310" s="2" t="s">
        <v>88</v>
      </c>
      <c r="Z310" s="2" t="s">
        <v>134</v>
      </c>
      <c r="AA310" s="2" t="s">
        <v>135</v>
      </c>
      <c r="AB310" s="2" t="s">
        <v>89</v>
      </c>
      <c r="AC310" s="2" t="s">
        <v>90</v>
      </c>
    </row>
    <row r="311" spans="1:29" x14ac:dyDescent="0.25">
      <c r="A311" t="s">
        <v>39</v>
      </c>
      <c r="B311" t="s">
        <v>92</v>
      </c>
      <c r="C311" t="s">
        <v>9</v>
      </c>
      <c r="D311" t="s">
        <v>15</v>
      </c>
      <c r="E311" t="s">
        <v>116</v>
      </c>
      <c r="F311" t="s">
        <v>116</v>
      </c>
      <c r="G311" s="2" t="s">
        <v>9</v>
      </c>
      <c r="H311" t="s">
        <v>87</v>
      </c>
      <c r="I311" s="63">
        <v>191506</v>
      </c>
      <c r="J311" s="2" t="s">
        <v>253</v>
      </c>
      <c r="K311" t="s">
        <v>128</v>
      </c>
      <c r="L311" t="s">
        <v>86</v>
      </c>
      <c r="M311" s="2" t="s">
        <v>130</v>
      </c>
      <c r="N311" t="s">
        <v>188</v>
      </c>
      <c r="O311" t="s">
        <v>169</v>
      </c>
      <c r="P311" t="s">
        <v>24</v>
      </c>
      <c r="Q311" t="s">
        <v>87</v>
      </c>
      <c r="R311" t="s">
        <v>87</v>
      </c>
      <c r="S311" s="87">
        <v>45738</v>
      </c>
      <c r="T311" t="s">
        <v>254</v>
      </c>
      <c r="U311" t="s">
        <v>255</v>
      </c>
      <c r="V311" s="2">
        <v>26444245</v>
      </c>
      <c r="W311" s="2" t="s">
        <v>88</v>
      </c>
      <c r="Z311" s="2" t="s">
        <v>134</v>
      </c>
      <c r="AA311" s="2" t="s">
        <v>135</v>
      </c>
      <c r="AB311" s="2" t="s">
        <v>89</v>
      </c>
      <c r="AC311" s="2" t="s">
        <v>90</v>
      </c>
    </row>
    <row r="312" spans="1:29" x14ac:dyDescent="0.25">
      <c r="A312" t="s">
        <v>39</v>
      </c>
      <c r="B312" t="s">
        <v>92</v>
      </c>
      <c r="C312" t="s">
        <v>9</v>
      </c>
      <c r="D312" t="s">
        <v>15</v>
      </c>
      <c r="E312" t="s">
        <v>116</v>
      </c>
      <c r="F312" t="s">
        <v>116</v>
      </c>
      <c r="G312" s="2" t="s">
        <v>9</v>
      </c>
      <c r="H312" t="s">
        <v>87</v>
      </c>
      <c r="I312" s="63">
        <v>191506</v>
      </c>
      <c r="J312" s="2" t="s">
        <v>253</v>
      </c>
      <c r="K312" t="s">
        <v>128</v>
      </c>
      <c r="L312" t="s">
        <v>86</v>
      </c>
      <c r="M312" s="2" t="s">
        <v>130</v>
      </c>
      <c r="N312" t="s">
        <v>188</v>
      </c>
      <c r="O312" t="s">
        <v>171</v>
      </c>
      <c r="P312" t="s">
        <v>24</v>
      </c>
      <c r="Q312" t="s">
        <v>87</v>
      </c>
      <c r="R312" t="s">
        <v>87</v>
      </c>
      <c r="S312" s="87">
        <v>45738</v>
      </c>
      <c r="T312" t="s">
        <v>254</v>
      </c>
      <c r="U312" t="s">
        <v>255</v>
      </c>
      <c r="V312" s="2">
        <v>26444245</v>
      </c>
      <c r="W312" s="2" t="s">
        <v>88</v>
      </c>
      <c r="Z312" s="2" t="s">
        <v>134</v>
      </c>
      <c r="AA312" s="2" t="s">
        <v>135</v>
      </c>
      <c r="AB312" s="2" t="s">
        <v>89</v>
      </c>
      <c r="AC312" s="2" t="s">
        <v>90</v>
      </c>
    </row>
    <row r="313" spans="1:29" x14ac:dyDescent="0.25">
      <c r="A313" t="s">
        <v>39</v>
      </c>
      <c r="B313" t="s">
        <v>92</v>
      </c>
      <c r="C313" t="s">
        <v>9</v>
      </c>
      <c r="D313" t="s">
        <v>15</v>
      </c>
      <c r="E313" t="s">
        <v>116</v>
      </c>
      <c r="F313" t="s">
        <v>116</v>
      </c>
      <c r="G313" s="2" t="s">
        <v>9</v>
      </c>
      <c r="H313" t="s">
        <v>87</v>
      </c>
      <c r="I313" s="63">
        <v>191506</v>
      </c>
      <c r="J313" s="2" t="s">
        <v>253</v>
      </c>
      <c r="K313" t="s">
        <v>128</v>
      </c>
      <c r="L313" t="s">
        <v>86</v>
      </c>
      <c r="M313" s="2" t="s">
        <v>130</v>
      </c>
      <c r="N313" t="s">
        <v>188</v>
      </c>
      <c r="O313" t="s">
        <v>173</v>
      </c>
      <c r="P313" t="s">
        <v>24</v>
      </c>
      <c r="Q313" t="s">
        <v>87</v>
      </c>
      <c r="R313" t="s">
        <v>87</v>
      </c>
      <c r="S313" s="87">
        <v>45738</v>
      </c>
      <c r="T313" t="s">
        <v>254</v>
      </c>
      <c r="U313" t="s">
        <v>255</v>
      </c>
      <c r="V313" s="2">
        <v>26444245</v>
      </c>
      <c r="W313" s="2" t="s">
        <v>88</v>
      </c>
      <c r="Z313" s="2" t="s">
        <v>134</v>
      </c>
      <c r="AA313" s="2" t="s">
        <v>135</v>
      </c>
      <c r="AB313" s="2" t="s">
        <v>89</v>
      </c>
      <c r="AC313" s="2" t="s">
        <v>90</v>
      </c>
    </row>
    <row r="314" spans="1:29" x14ac:dyDescent="0.25">
      <c r="A314" t="s">
        <v>39</v>
      </c>
      <c r="B314" t="s">
        <v>92</v>
      </c>
      <c r="C314" t="s">
        <v>9</v>
      </c>
      <c r="D314" t="s">
        <v>15</v>
      </c>
      <c r="E314" t="s">
        <v>116</v>
      </c>
      <c r="F314" t="s">
        <v>116</v>
      </c>
      <c r="G314" s="2" t="s">
        <v>9</v>
      </c>
      <c r="H314" t="s">
        <v>87</v>
      </c>
      <c r="I314" s="63">
        <v>191506</v>
      </c>
      <c r="J314" s="2" t="s">
        <v>253</v>
      </c>
      <c r="K314" t="s">
        <v>128</v>
      </c>
      <c r="L314" t="s">
        <v>86</v>
      </c>
      <c r="M314" s="2" t="s">
        <v>130</v>
      </c>
      <c r="N314" t="s">
        <v>188</v>
      </c>
      <c r="O314" t="s">
        <v>175</v>
      </c>
      <c r="P314" t="s">
        <v>24</v>
      </c>
      <c r="Q314" t="s">
        <v>87</v>
      </c>
      <c r="R314" t="s">
        <v>87</v>
      </c>
      <c r="S314" s="87">
        <v>45738</v>
      </c>
      <c r="T314" t="s">
        <v>254</v>
      </c>
      <c r="U314" t="s">
        <v>255</v>
      </c>
      <c r="V314" s="2">
        <v>26444245</v>
      </c>
      <c r="W314" s="2" t="s">
        <v>88</v>
      </c>
      <c r="Z314" s="2" t="s">
        <v>134</v>
      </c>
      <c r="AA314" s="2" t="s">
        <v>135</v>
      </c>
      <c r="AB314" s="2" t="s">
        <v>89</v>
      </c>
      <c r="AC314" s="2" t="s">
        <v>90</v>
      </c>
    </row>
    <row r="315" spans="1:29" x14ac:dyDescent="0.25">
      <c r="A315" t="s">
        <v>39</v>
      </c>
      <c r="B315" t="s">
        <v>92</v>
      </c>
      <c r="C315" t="s">
        <v>9</v>
      </c>
      <c r="D315" t="s">
        <v>15</v>
      </c>
      <c r="E315" t="s">
        <v>116</v>
      </c>
      <c r="F315" t="s">
        <v>116</v>
      </c>
      <c r="G315" s="2" t="s">
        <v>9</v>
      </c>
      <c r="H315" t="s">
        <v>87</v>
      </c>
      <c r="I315" s="63">
        <v>191506</v>
      </c>
      <c r="J315" s="2" t="s">
        <v>253</v>
      </c>
      <c r="K315" t="s">
        <v>128</v>
      </c>
      <c r="L315" t="s">
        <v>86</v>
      </c>
      <c r="M315" s="2" t="s">
        <v>130</v>
      </c>
      <c r="N315" t="s">
        <v>188</v>
      </c>
      <c r="O315" t="s">
        <v>41</v>
      </c>
      <c r="P315" t="s">
        <v>24</v>
      </c>
      <c r="Q315" t="s">
        <v>87</v>
      </c>
      <c r="R315" t="s">
        <v>87</v>
      </c>
      <c r="S315" s="87">
        <v>45738</v>
      </c>
      <c r="T315" t="s">
        <v>254</v>
      </c>
      <c r="U315" t="s">
        <v>255</v>
      </c>
      <c r="V315" s="2">
        <v>26444245</v>
      </c>
      <c r="W315" s="2" t="s">
        <v>88</v>
      </c>
      <c r="Z315" s="2" t="s">
        <v>134</v>
      </c>
      <c r="AA315" s="2" t="s">
        <v>135</v>
      </c>
      <c r="AB315" s="2" t="s">
        <v>89</v>
      </c>
      <c r="AC315" s="2" t="s">
        <v>90</v>
      </c>
    </row>
    <row r="316" spans="1:29" x14ac:dyDescent="0.25">
      <c r="A316" t="s">
        <v>39</v>
      </c>
      <c r="B316" t="s">
        <v>92</v>
      </c>
      <c r="C316" t="s">
        <v>9</v>
      </c>
      <c r="D316" t="s">
        <v>15</v>
      </c>
      <c r="E316" t="s">
        <v>116</v>
      </c>
      <c r="F316" t="s">
        <v>116</v>
      </c>
      <c r="G316" s="2" t="s">
        <v>9</v>
      </c>
      <c r="H316" t="s">
        <v>87</v>
      </c>
      <c r="I316" s="63">
        <v>191506</v>
      </c>
      <c r="J316" s="2" t="s">
        <v>253</v>
      </c>
      <c r="K316" t="s">
        <v>128</v>
      </c>
      <c r="L316" t="s">
        <v>86</v>
      </c>
      <c r="M316" s="2" t="s">
        <v>130</v>
      </c>
      <c r="N316" t="s">
        <v>188</v>
      </c>
      <c r="O316" t="s">
        <v>42</v>
      </c>
      <c r="P316" s="2" t="s">
        <v>256</v>
      </c>
      <c r="Q316" t="s">
        <v>87</v>
      </c>
      <c r="R316" t="s">
        <v>87</v>
      </c>
      <c r="S316" s="87">
        <v>45738</v>
      </c>
      <c r="T316" t="s">
        <v>254</v>
      </c>
      <c r="U316" t="s">
        <v>255</v>
      </c>
      <c r="V316" s="2">
        <v>26444245</v>
      </c>
      <c r="W316" s="2" t="s">
        <v>88</v>
      </c>
      <c r="Z316" s="2" t="s">
        <v>134</v>
      </c>
      <c r="AA316" s="2" t="s">
        <v>135</v>
      </c>
      <c r="AB316" s="2" t="s">
        <v>89</v>
      </c>
      <c r="AC316" s="2" t="s">
        <v>90</v>
      </c>
    </row>
    <row r="317" spans="1:29" x14ac:dyDescent="0.25">
      <c r="A317" t="s">
        <v>39</v>
      </c>
      <c r="B317" t="s">
        <v>92</v>
      </c>
      <c r="C317" t="s">
        <v>9</v>
      </c>
      <c r="D317" t="s">
        <v>15</v>
      </c>
      <c r="E317" t="s">
        <v>116</v>
      </c>
      <c r="F317" t="s">
        <v>116</v>
      </c>
      <c r="G317" s="2" t="s">
        <v>9</v>
      </c>
      <c r="H317" t="s">
        <v>87</v>
      </c>
      <c r="I317" s="63">
        <v>191506</v>
      </c>
      <c r="J317" s="2" t="s">
        <v>253</v>
      </c>
      <c r="K317" t="s">
        <v>128</v>
      </c>
      <c r="L317" t="s">
        <v>86</v>
      </c>
      <c r="M317" s="2" t="s">
        <v>130</v>
      </c>
      <c r="N317" t="s">
        <v>188</v>
      </c>
      <c r="O317" t="s">
        <v>51</v>
      </c>
      <c r="P317" t="s">
        <v>24</v>
      </c>
      <c r="Q317" t="s">
        <v>87</v>
      </c>
      <c r="R317" t="s">
        <v>87</v>
      </c>
      <c r="S317" s="87">
        <v>45738</v>
      </c>
      <c r="T317" t="s">
        <v>254</v>
      </c>
      <c r="U317" t="s">
        <v>255</v>
      </c>
      <c r="V317" s="2">
        <v>26444245</v>
      </c>
      <c r="W317" s="2" t="s">
        <v>88</v>
      </c>
      <c r="Z317" s="2" t="s">
        <v>134</v>
      </c>
      <c r="AA317" s="2" t="s">
        <v>135</v>
      </c>
      <c r="AB317" s="2" t="s">
        <v>89</v>
      </c>
      <c r="AC317" s="2" t="s">
        <v>90</v>
      </c>
    </row>
    <row r="318" spans="1:29" x14ac:dyDescent="0.25">
      <c r="A318" t="s">
        <v>39</v>
      </c>
      <c r="B318" t="s">
        <v>92</v>
      </c>
      <c r="C318" t="s">
        <v>9</v>
      </c>
      <c r="D318" t="s">
        <v>15</v>
      </c>
      <c r="E318" t="s">
        <v>116</v>
      </c>
      <c r="F318" t="s">
        <v>116</v>
      </c>
      <c r="G318" s="2" t="s">
        <v>9</v>
      </c>
      <c r="H318" t="s">
        <v>87</v>
      </c>
      <c r="I318" s="63">
        <v>191506</v>
      </c>
      <c r="J318" s="2" t="s">
        <v>253</v>
      </c>
      <c r="K318" t="s">
        <v>128</v>
      </c>
      <c r="L318" t="s">
        <v>86</v>
      </c>
      <c r="M318" s="2" t="s">
        <v>130</v>
      </c>
      <c r="N318" t="s">
        <v>188</v>
      </c>
      <c r="O318" t="s">
        <v>50</v>
      </c>
      <c r="P318" t="s">
        <v>24</v>
      </c>
      <c r="Q318" t="s">
        <v>87</v>
      </c>
      <c r="R318" t="s">
        <v>87</v>
      </c>
      <c r="S318" s="87">
        <v>45738</v>
      </c>
      <c r="T318" t="s">
        <v>254</v>
      </c>
      <c r="U318" t="s">
        <v>255</v>
      </c>
      <c r="V318" s="2">
        <v>26444245</v>
      </c>
      <c r="W318" s="2" t="s">
        <v>88</v>
      </c>
      <c r="Z318" s="2" t="s">
        <v>134</v>
      </c>
      <c r="AA318" s="2" t="s">
        <v>135</v>
      </c>
      <c r="AB318" s="2" t="s">
        <v>89</v>
      </c>
      <c r="AC318" s="2" t="s">
        <v>90</v>
      </c>
    </row>
    <row r="319" spans="1:29" x14ac:dyDescent="0.25">
      <c r="A319" t="s">
        <v>39</v>
      </c>
      <c r="B319" t="s">
        <v>92</v>
      </c>
      <c r="C319" t="s">
        <v>9</v>
      </c>
      <c r="D319" t="s">
        <v>15</v>
      </c>
      <c r="E319" t="s">
        <v>116</v>
      </c>
      <c r="F319" t="s">
        <v>116</v>
      </c>
      <c r="G319" s="2" t="s">
        <v>9</v>
      </c>
      <c r="H319" t="s">
        <v>87</v>
      </c>
      <c r="I319" s="63">
        <v>191506</v>
      </c>
      <c r="J319" s="2" t="s">
        <v>253</v>
      </c>
      <c r="K319" t="s">
        <v>128</v>
      </c>
      <c r="L319" t="s">
        <v>86</v>
      </c>
      <c r="M319" s="2" t="s">
        <v>130</v>
      </c>
      <c r="N319" t="s">
        <v>188</v>
      </c>
      <c r="O319" t="s">
        <v>148</v>
      </c>
      <c r="P319" t="s">
        <v>118</v>
      </c>
      <c r="Q319" t="s">
        <v>87</v>
      </c>
      <c r="R319" t="s">
        <v>87</v>
      </c>
      <c r="S319" s="87">
        <v>45738</v>
      </c>
      <c r="T319" t="s">
        <v>254</v>
      </c>
      <c r="U319" t="s">
        <v>255</v>
      </c>
      <c r="V319" s="2">
        <v>26444245</v>
      </c>
      <c r="W319" s="2" t="s">
        <v>88</v>
      </c>
      <c r="Z319" s="2" t="s">
        <v>134</v>
      </c>
      <c r="AA319" s="2" t="s">
        <v>135</v>
      </c>
      <c r="AB319" s="2" t="s">
        <v>89</v>
      </c>
      <c r="AC319" s="2" t="s">
        <v>90</v>
      </c>
    </row>
    <row r="320" spans="1:29" x14ac:dyDescent="0.25">
      <c r="A320" t="s">
        <v>39</v>
      </c>
      <c r="B320" t="s">
        <v>92</v>
      </c>
      <c r="C320" t="s">
        <v>9</v>
      </c>
      <c r="D320" t="s">
        <v>15</v>
      </c>
      <c r="E320" t="s">
        <v>116</v>
      </c>
      <c r="F320" t="s">
        <v>116</v>
      </c>
      <c r="G320" s="2" t="s">
        <v>9</v>
      </c>
      <c r="H320" t="s">
        <v>87</v>
      </c>
      <c r="I320" s="63">
        <v>191506</v>
      </c>
      <c r="J320" s="2" t="s">
        <v>253</v>
      </c>
      <c r="K320" t="s">
        <v>128</v>
      </c>
      <c r="L320" t="s">
        <v>86</v>
      </c>
      <c r="M320" s="2" t="s">
        <v>130</v>
      </c>
      <c r="N320" t="s">
        <v>188</v>
      </c>
      <c r="O320" t="s">
        <v>45</v>
      </c>
      <c r="P320" t="s">
        <v>24</v>
      </c>
      <c r="Q320" t="s">
        <v>87</v>
      </c>
      <c r="R320" t="s">
        <v>87</v>
      </c>
      <c r="S320" s="87">
        <v>45738</v>
      </c>
      <c r="T320" t="s">
        <v>254</v>
      </c>
      <c r="U320" t="s">
        <v>255</v>
      </c>
      <c r="V320" s="2">
        <v>26444245</v>
      </c>
      <c r="W320" s="2" t="s">
        <v>88</v>
      </c>
      <c r="Z320" s="2" t="s">
        <v>134</v>
      </c>
      <c r="AA320" s="2" t="s">
        <v>135</v>
      </c>
      <c r="AB320" s="2" t="s">
        <v>89</v>
      </c>
      <c r="AC320" s="2" t="s">
        <v>90</v>
      </c>
    </row>
    <row r="321" spans="1:29" x14ac:dyDescent="0.25">
      <c r="A321" t="s">
        <v>39</v>
      </c>
      <c r="B321" t="s">
        <v>92</v>
      </c>
      <c r="C321" t="s">
        <v>9</v>
      </c>
      <c r="D321" t="s">
        <v>15</v>
      </c>
      <c r="E321" t="s">
        <v>116</v>
      </c>
      <c r="F321" t="s">
        <v>116</v>
      </c>
      <c r="G321" s="2" t="s">
        <v>9</v>
      </c>
      <c r="H321" t="s">
        <v>87</v>
      </c>
      <c r="I321" s="63">
        <v>191506</v>
      </c>
      <c r="J321" s="2" t="s">
        <v>253</v>
      </c>
      <c r="K321" t="s">
        <v>128</v>
      </c>
      <c r="L321" t="s">
        <v>86</v>
      </c>
      <c r="M321" s="2" t="s">
        <v>130</v>
      </c>
      <c r="N321" t="s">
        <v>188</v>
      </c>
      <c r="O321" t="s">
        <v>189</v>
      </c>
      <c r="P321" t="s">
        <v>118</v>
      </c>
      <c r="Q321" t="s">
        <v>87</v>
      </c>
      <c r="R321" t="s">
        <v>87</v>
      </c>
      <c r="S321" s="88">
        <v>45738</v>
      </c>
      <c r="T321" t="s">
        <v>254</v>
      </c>
      <c r="U321" t="s">
        <v>255</v>
      </c>
      <c r="V321" s="2">
        <v>26444245</v>
      </c>
      <c r="W321" s="2" t="s">
        <v>88</v>
      </c>
      <c r="Z321" s="2" t="s">
        <v>134</v>
      </c>
      <c r="AA321" s="2" t="s">
        <v>135</v>
      </c>
      <c r="AB321" s="2" t="s">
        <v>89</v>
      </c>
      <c r="AC321" s="2" t="s">
        <v>90</v>
      </c>
    </row>
    <row r="322" spans="1:29" x14ac:dyDescent="0.25">
      <c r="A322" t="s">
        <v>39</v>
      </c>
      <c r="B322" t="s">
        <v>93</v>
      </c>
      <c r="C322" t="s">
        <v>8</v>
      </c>
      <c r="D322" t="s">
        <v>16</v>
      </c>
      <c r="E322" t="s">
        <v>16</v>
      </c>
      <c r="F322" t="s">
        <v>236</v>
      </c>
      <c r="G322" s="2" t="s">
        <v>93</v>
      </c>
      <c r="H322" t="s">
        <v>87</v>
      </c>
      <c r="I322" s="63">
        <v>424893</v>
      </c>
      <c r="J322" s="2" t="s">
        <v>237</v>
      </c>
      <c r="K322" t="s">
        <v>238</v>
      </c>
      <c r="L322" t="s">
        <v>129</v>
      </c>
      <c r="M322" s="2" t="s">
        <v>130</v>
      </c>
      <c r="N322" t="s">
        <v>188</v>
      </c>
      <c r="O322" s="89" t="s">
        <v>51</v>
      </c>
      <c r="P322" t="s">
        <v>24</v>
      </c>
      <c r="Q322" t="s">
        <v>87</v>
      </c>
      <c r="R322" t="s">
        <v>87</v>
      </c>
      <c r="S322" s="87">
        <v>45736</v>
      </c>
      <c r="T322" t="s">
        <v>239</v>
      </c>
      <c r="U322" t="s">
        <v>240</v>
      </c>
      <c r="V322" s="2">
        <v>26439536</v>
      </c>
      <c r="W322" s="2" t="s">
        <v>88</v>
      </c>
      <c r="Z322" s="2" t="s">
        <v>114</v>
      </c>
      <c r="AA322" s="2" t="s">
        <v>115</v>
      </c>
      <c r="AB322" s="2" t="s">
        <v>89</v>
      </c>
      <c r="AC322" s="2" t="s">
        <v>90</v>
      </c>
    </row>
    <row r="323" spans="1:29" x14ac:dyDescent="0.25">
      <c r="A323" t="s">
        <v>39</v>
      </c>
      <c r="B323" t="s">
        <v>193</v>
      </c>
      <c r="C323" t="s">
        <v>194</v>
      </c>
      <c r="D323" t="s">
        <v>15</v>
      </c>
      <c r="E323" t="s">
        <v>116</v>
      </c>
      <c r="F323" t="s">
        <v>116</v>
      </c>
      <c r="G323" s="2" t="s">
        <v>194</v>
      </c>
      <c r="H323" t="s">
        <v>87</v>
      </c>
      <c r="I323" s="63">
        <v>424842</v>
      </c>
      <c r="J323" s="2" t="s">
        <v>247</v>
      </c>
      <c r="K323" t="s">
        <v>128</v>
      </c>
      <c r="L323" t="s">
        <v>86</v>
      </c>
      <c r="M323" s="2" t="s">
        <v>130</v>
      </c>
      <c r="N323" t="s">
        <v>188</v>
      </c>
      <c r="O323" s="89" t="s">
        <v>51</v>
      </c>
      <c r="P323" t="s">
        <v>118</v>
      </c>
      <c r="Q323" t="s">
        <v>87</v>
      </c>
      <c r="R323" t="s">
        <v>87</v>
      </c>
      <c r="S323" s="87">
        <v>45737</v>
      </c>
      <c r="T323" t="s">
        <v>248</v>
      </c>
      <c r="U323" t="s">
        <v>249</v>
      </c>
      <c r="V323" s="2">
        <v>26442456</v>
      </c>
      <c r="W323" s="2" t="s">
        <v>88</v>
      </c>
      <c r="Z323" s="2" t="s">
        <v>250</v>
      </c>
      <c r="AA323" s="2" t="s">
        <v>251</v>
      </c>
      <c r="AB323" s="2" t="s">
        <v>89</v>
      </c>
      <c r="AC323" s="2" t="s">
        <v>90</v>
      </c>
    </row>
    <row r="324" spans="1:29" x14ac:dyDescent="0.25">
      <c r="A324" t="s">
        <v>39</v>
      </c>
      <c r="B324" t="s">
        <v>92</v>
      </c>
      <c r="C324" t="s">
        <v>9</v>
      </c>
      <c r="D324" t="s">
        <v>16</v>
      </c>
      <c r="E324" t="s">
        <v>125</v>
      </c>
      <c r="F324" t="s">
        <v>126</v>
      </c>
      <c r="G324" s="2" t="s">
        <v>9</v>
      </c>
      <c r="H324" t="s">
        <v>87</v>
      </c>
      <c r="I324" s="63" t="s">
        <v>261</v>
      </c>
      <c r="J324" s="2" t="s">
        <v>242</v>
      </c>
      <c r="K324" t="s">
        <v>128</v>
      </c>
      <c r="L324" t="s">
        <v>86</v>
      </c>
      <c r="M324" s="2" t="s">
        <v>130</v>
      </c>
      <c r="N324" t="s">
        <v>188</v>
      </c>
      <c r="O324" t="s">
        <v>40</v>
      </c>
      <c r="P324" s="2" t="s">
        <v>24</v>
      </c>
      <c r="Q324" t="s">
        <v>87</v>
      </c>
      <c r="R324" t="s">
        <v>87</v>
      </c>
      <c r="S324" s="87">
        <v>45738</v>
      </c>
      <c r="T324" t="s">
        <v>262</v>
      </c>
      <c r="U324" t="s">
        <v>263</v>
      </c>
      <c r="V324" s="2">
        <v>26693598</v>
      </c>
      <c r="W324" s="2" t="s">
        <v>88</v>
      </c>
      <c r="Z324" s="2" t="s">
        <v>134</v>
      </c>
      <c r="AA324" s="2" t="s">
        <v>135</v>
      </c>
      <c r="AB324" s="2" t="s">
        <v>89</v>
      </c>
      <c r="AC324" s="2" t="s">
        <v>90</v>
      </c>
    </row>
    <row r="325" spans="1:29" x14ac:dyDescent="0.25">
      <c r="A325" t="s">
        <v>39</v>
      </c>
      <c r="B325" t="s">
        <v>92</v>
      </c>
      <c r="C325" t="s">
        <v>9</v>
      </c>
      <c r="D325" t="s">
        <v>16</v>
      </c>
      <c r="E325" t="s">
        <v>125</v>
      </c>
      <c r="F325" t="s">
        <v>126</v>
      </c>
      <c r="G325" s="2" t="s">
        <v>9</v>
      </c>
      <c r="H325" t="s">
        <v>87</v>
      </c>
      <c r="I325" s="63" t="s">
        <v>261</v>
      </c>
      <c r="J325" s="2" t="s">
        <v>242</v>
      </c>
      <c r="K325" t="s">
        <v>128</v>
      </c>
      <c r="L325" t="s">
        <v>86</v>
      </c>
      <c r="M325" s="2" t="s">
        <v>130</v>
      </c>
      <c r="N325" t="s">
        <v>188</v>
      </c>
      <c r="O325" t="s">
        <v>100</v>
      </c>
      <c r="P325" s="2" t="s">
        <v>24</v>
      </c>
      <c r="Q325" t="s">
        <v>87</v>
      </c>
      <c r="R325" t="s">
        <v>87</v>
      </c>
      <c r="S325" s="87">
        <v>45738</v>
      </c>
      <c r="T325" t="s">
        <v>262</v>
      </c>
      <c r="U325" t="s">
        <v>263</v>
      </c>
      <c r="V325" s="2">
        <v>26693598</v>
      </c>
      <c r="W325" s="2" t="s">
        <v>88</v>
      </c>
      <c r="Z325" s="2" t="s">
        <v>134</v>
      </c>
      <c r="AA325" s="2" t="s">
        <v>135</v>
      </c>
      <c r="AB325" s="2" t="s">
        <v>89</v>
      </c>
      <c r="AC325" s="2" t="s">
        <v>90</v>
      </c>
    </row>
    <row r="326" spans="1:29" x14ac:dyDescent="0.25">
      <c r="A326" t="s">
        <v>39</v>
      </c>
      <c r="B326" t="s">
        <v>92</v>
      </c>
      <c r="C326" t="s">
        <v>9</v>
      </c>
      <c r="D326" t="s">
        <v>16</v>
      </c>
      <c r="E326" t="s">
        <v>125</v>
      </c>
      <c r="F326" t="s">
        <v>126</v>
      </c>
      <c r="G326" s="2" t="s">
        <v>9</v>
      </c>
      <c r="H326" t="s">
        <v>87</v>
      </c>
      <c r="I326" s="63" t="s">
        <v>261</v>
      </c>
      <c r="J326" s="2" t="s">
        <v>242</v>
      </c>
      <c r="K326" t="s">
        <v>128</v>
      </c>
      <c r="L326" t="s">
        <v>86</v>
      </c>
      <c r="M326" s="2" t="s">
        <v>130</v>
      </c>
      <c r="N326" t="s">
        <v>188</v>
      </c>
      <c r="O326" t="s">
        <v>136</v>
      </c>
      <c r="P326" s="2" t="s">
        <v>24</v>
      </c>
      <c r="Q326" t="s">
        <v>87</v>
      </c>
      <c r="R326" t="s">
        <v>87</v>
      </c>
      <c r="S326" s="87">
        <v>45738</v>
      </c>
      <c r="T326" t="s">
        <v>262</v>
      </c>
      <c r="U326" t="s">
        <v>263</v>
      </c>
      <c r="V326" s="2">
        <v>26693598</v>
      </c>
      <c r="W326" s="2" t="s">
        <v>88</v>
      </c>
      <c r="Z326" s="2" t="s">
        <v>134</v>
      </c>
      <c r="AA326" s="2" t="s">
        <v>135</v>
      </c>
      <c r="AB326" s="2" t="s">
        <v>89</v>
      </c>
      <c r="AC326" s="2" t="s">
        <v>90</v>
      </c>
    </row>
    <row r="327" spans="1:29" x14ac:dyDescent="0.25">
      <c r="A327" t="s">
        <v>39</v>
      </c>
      <c r="B327" t="s">
        <v>92</v>
      </c>
      <c r="C327" t="s">
        <v>9</v>
      </c>
      <c r="D327" t="s">
        <v>16</v>
      </c>
      <c r="E327" t="s">
        <v>125</v>
      </c>
      <c r="F327" t="s">
        <v>126</v>
      </c>
      <c r="G327" s="2" t="s">
        <v>9</v>
      </c>
      <c r="H327" t="s">
        <v>87</v>
      </c>
      <c r="I327" s="63" t="s">
        <v>261</v>
      </c>
      <c r="J327" s="2" t="s">
        <v>242</v>
      </c>
      <c r="K327" t="s">
        <v>128</v>
      </c>
      <c r="L327" t="s">
        <v>86</v>
      </c>
      <c r="M327" s="2" t="s">
        <v>130</v>
      </c>
      <c r="N327" t="s">
        <v>188</v>
      </c>
      <c r="O327" t="s">
        <v>44</v>
      </c>
      <c r="P327" s="2" t="s">
        <v>24</v>
      </c>
      <c r="Q327" t="s">
        <v>87</v>
      </c>
      <c r="R327" t="s">
        <v>87</v>
      </c>
      <c r="S327" s="87">
        <v>45738</v>
      </c>
      <c r="T327" t="s">
        <v>262</v>
      </c>
      <c r="U327" t="s">
        <v>263</v>
      </c>
      <c r="V327" s="2">
        <v>26693598</v>
      </c>
      <c r="W327" s="2" t="s">
        <v>88</v>
      </c>
      <c r="Z327" s="2" t="s">
        <v>134</v>
      </c>
      <c r="AA327" s="2" t="s">
        <v>135</v>
      </c>
      <c r="AB327" s="2" t="s">
        <v>89</v>
      </c>
      <c r="AC327" s="2" t="s">
        <v>90</v>
      </c>
    </row>
    <row r="328" spans="1:29" x14ac:dyDescent="0.25">
      <c r="A328" t="s">
        <v>39</v>
      </c>
      <c r="B328" t="s">
        <v>92</v>
      </c>
      <c r="C328" t="s">
        <v>9</v>
      </c>
      <c r="D328" t="s">
        <v>16</v>
      </c>
      <c r="E328" t="s">
        <v>125</v>
      </c>
      <c r="F328" t="s">
        <v>126</v>
      </c>
      <c r="G328" s="2" t="s">
        <v>9</v>
      </c>
      <c r="H328" t="s">
        <v>87</v>
      </c>
      <c r="I328" s="63" t="s">
        <v>261</v>
      </c>
      <c r="J328" s="2" t="s">
        <v>242</v>
      </c>
      <c r="K328" t="s">
        <v>128</v>
      </c>
      <c r="L328" t="s">
        <v>86</v>
      </c>
      <c r="M328" s="2" t="s">
        <v>130</v>
      </c>
      <c r="N328" t="s">
        <v>188</v>
      </c>
      <c r="O328" t="s">
        <v>137</v>
      </c>
      <c r="P328" t="s">
        <v>118</v>
      </c>
      <c r="Q328" t="s">
        <v>87</v>
      </c>
      <c r="R328" t="s">
        <v>87</v>
      </c>
      <c r="S328" s="87">
        <v>45738</v>
      </c>
      <c r="T328" t="s">
        <v>262</v>
      </c>
      <c r="U328" t="s">
        <v>263</v>
      </c>
      <c r="V328" s="2">
        <v>26693598</v>
      </c>
      <c r="W328" s="2" t="s">
        <v>88</v>
      </c>
      <c r="Z328" s="2" t="s">
        <v>134</v>
      </c>
      <c r="AA328" s="2" t="s">
        <v>135</v>
      </c>
      <c r="AB328" s="2" t="s">
        <v>89</v>
      </c>
      <c r="AC328" s="2" t="s">
        <v>90</v>
      </c>
    </row>
    <row r="329" spans="1:29" x14ac:dyDescent="0.25">
      <c r="A329" t="s">
        <v>39</v>
      </c>
      <c r="B329" t="s">
        <v>92</v>
      </c>
      <c r="C329" t="s">
        <v>9</v>
      </c>
      <c r="D329" t="s">
        <v>16</v>
      </c>
      <c r="E329" t="s">
        <v>125</v>
      </c>
      <c r="F329" t="s">
        <v>126</v>
      </c>
      <c r="G329" s="2" t="s">
        <v>9</v>
      </c>
      <c r="H329" t="s">
        <v>87</v>
      </c>
      <c r="I329" s="63" t="s">
        <v>261</v>
      </c>
      <c r="J329" s="2" t="s">
        <v>242</v>
      </c>
      <c r="K329" t="s">
        <v>128</v>
      </c>
      <c r="L329" t="s">
        <v>86</v>
      </c>
      <c r="M329" s="2" t="s">
        <v>130</v>
      </c>
      <c r="N329" t="s">
        <v>188</v>
      </c>
      <c r="O329" t="s">
        <v>43</v>
      </c>
      <c r="P329" s="2" t="s">
        <v>24</v>
      </c>
      <c r="Q329" t="s">
        <v>87</v>
      </c>
      <c r="R329" t="s">
        <v>87</v>
      </c>
      <c r="S329" s="87">
        <v>45738</v>
      </c>
      <c r="T329" t="s">
        <v>262</v>
      </c>
      <c r="U329" t="s">
        <v>263</v>
      </c>
      <c r="V329" s="2">
        <v>26693598</v>
      </c>
      <c r="W329" s="2" t="s">
        <v>88</v>
      </c>
      <c r="Z329" s="2" t="s">
        <v>134</v>
      </c>
      <c r="AA329" s="2" t="s">
        <v>135</v>
      </c>
      <c r="AB329" s="2" t="s">
        <v>89</v>
      </c>
      <c r="AC329" s="2" t="s">
        <v>90</v>
      </c>
    </row>
    <row r="330" spans="1:29" x14ac:dyDescent="0.25">
      <c r="A330" t="s">
        <v>39</v>
      </c>
      <c r="B330" t="s">
        <v>92</v>
      </c>
      <c r="C330" t="s">
        <v>9</v>
      </c>
      <c r="D330" t="s">
        <v>16</v>
      </c>
      <c r="E330" t="s">
        <v>125</v>
      </c>
      <c r="F330" t="s">
        <v>126</v>
      </c>
      <c r="G330" s="2" t="s">
        <v>9</v>
      </c>
      <c r="H330" t="s">
        <v>87</v>
      </c>
      <c r="I330" s="63" t="s">
        <v>261</v>
      </c>
      <c r="J330" s="2" t="s">
        <v>242</v>
      </c>
      <c r="K330" t="s">
        <v>128</v>
      </c>
      <c r="L330" t="s">
        <v>86</v>
      </c>
      <c r="M330" s="2" t="s">
        <v>130</v>
      </c>
      <c r="N330" t="s">
        <v>188</v>
      </c>
      <c r="O330" t="s">
        <v>49</v>
      </c>
      <c r="P330" s="2" t="s">
        <v>24</v>
      </c>
      <c r="Q330" t="s">
        <v>87</v>
      </c>
      <c r="R330" t="s">
        <v>87</v>
      </c>
      <c r="S330" s="87">
        <v>45738</v>
      </c>
      <c r="T330" t="s">
        <v>262</v>
      </c>
      <c r="U330" t="s">
        <v>263</v>
      </c>
      <c r="V330" s="2">
        <v>26693598</v>
      </c>
      <c r="W330" s="2" t="s">
        <v>88</v>
      </c>
      <c r="Z330" s="2" t="s">
        <v>134</v>
      </c>
      <c r="AA330" s="2" t="s">
        <v>135</v>
      </c>
      <c r="AB330" s="2" t="s">
        <v>89</v>
      </c>
      <c r="AC330" s="2" t="s">
        <v>90</v>
      </c>
    </row>
    <row r="331" spans="1:29" x14ac:dyDescent="0.25">
      <c r="A331" t="s">
        <v>39</v>
      </c>
      <c r="B331" t="s">
        <v>92</v>
      </c>
      <c r="C331" t="s">
        <v>9</v>
      </c>
      <c r="D331" t="s">
        <v>16</v>
      </c>
      <c r="E331" t="s">
        <v>125</v>
      </c>
      <c r="F331" t="s">
        <v>126</v>
      </c>
      <c r="G331" s="2" t="s">
        <v>9</v>
      </c>
      <c r="H331" t="s">
        <v>87</v>
      </c>
      <c r="I331" s="63" t="s">
        <v>261</v>
      </c>
      <c r="J331" s="2" t="s">
        <v>242</v>
      </c>
      <c r="K331" t="s">
        <v>128</v>
      </c>
      <c r="L331" t="s">
        <v>86</v>
      </c>
      <c r="M331" s="2" t="s">
        <v>130</v>
      </c>
      <c r="N331" t="s">
        <v>188</v>
      </c>
      <c r="O331" t="s">
        <v>52</v>
      </c>
      <c r="P331" t="s">
        <v>118</v>
      </c>
      <c r="Q331" t="s">
        <v>87</v>
      </c>
      <c r="R331" t="s">
        <v>87</v>
      </c>
      <c r="S331" s="87">
        <v>45738</v>
      </c>
      <c r="T331" t="s">
        <v>262</v>
      </c>
      <c r="U331" t="s">
        <v>263</v>
      </c>
      <c r="V331" s="2">
        <v>26693598</v>
      </c>
      <c r="W331" s="2" t="s">
        <v>88</v>
      </c>
      <c r="Z331" s="2" t="s">
        <v>134</v>
      </c>
      <c r="AA331" s="2" t="s">
        <v>135</v>
      </c>
      <c r="AB331" s="2" t="s">
        <v>89</v>
      </c>
      <c r="AC331" s="2" t="s">
        <v>90</v>
      </c>
    </row>
    <row r="332" spans="1:29" x14ac:dyDescent="0.25">
      <c r="A332" t="s">
        <v>39</v>
      </c>
      <c r="B332" t="s">
        <v>92</v>
      </c>
      <c r="C332" t="s">
        <v>9</v>
      </c>
      <c r="D332" t="s">
        <v>16</v>
      </c>
      <c r="E332" t="s">
        <v>125</v>
      </c>
      <c r="F332" t="s">
        <v>126</v>
      </c>
      <c r="G332" s="2" t="s">
        <v>9</v>
      </c>
      <c r="H332" t="s">
        <v>87</v>
      </c>
      <c r="I332" s="63" t="s">
        <v>261</v>
      </c>
      <c r="J332" s="2" t="s">
        <v>242</v>
      </c>
      <c r="K332" t="s">
        <v>128</v>
      </c>
      <c r="L332" t="s">
        <v>86</v>
      </c>
      <c r="M332" s="2" t="s">
        <v>130</v>
      </c>
      <c r="N332" t="s">
        <v>188</v>
      </c>
      <c r="O332" t="s">
        <v>48</v>
      </c>
      <c r="P332" t="s">
        <v>118</v>
      </c>
      <c r="Q332" t="s">
        <v>87</v>
      </c>
      <c r="R332" t="s">
        <v>87</v>
      </c>
      <c r="S332" s="87">
        <v>45738</v>
      </c>
      <c r="T332" t="s">
        <v>262</v>
      </c>
      <c r="U332" t="s">
        <v>263</v>
      </c>
      <c r="V332" s="2">
        <v>26693598</v>
      </c>
      <c r="W332" s="2" t="s">
        <v>88</v>
      </c>
      <c r="Z332" s="2" t="s">
        <v>134</v>
      </c>
      <c r="AA332" s="2" t="s">
        <v>135</v>
      </c>
      <c r="AB332" s="2" t="s">
        <v>89</v>
      </c>
      <c r="AC332" s="2" t="s">
        <v>90</v>
      </c>
    </row>
    <row r="333" spans="1:29" x14ac:dyDescent="0.25">
      <c r="A333" t="s">
        <v>39</v>
      </c>
      <c r="B333" t="s">
        <v>92</v>
      </c>
      <c r="C333" t="s">
        <v>9</v>
      </c>
      <c r="D333" t="s">
        <v>16</v>
      </c>
      <c r="E333" t="s">
        <v>125</v>
      </c>
      <c r="F333" t="s">
        <v>126</v>
      </c>
      <c r="G333" s="2" t="s">
        <v>9</v>
      </c>
      <c r="H333" t="s">
        <v>87</v>
      </c>
      <c r="I333" s="63" t="s">
        <v>261</v>
      </c>
      <c r="J333" s="2" t="s">
        <v>242</v>
      </c>
      <c r="K333" t="s">
        <v>128</v>
      </c>
      <c r="L333" t="s">
        <v>86</v>
      </c>
      <c r="M333" s="2" t="s">
        <v>130</v>
      </c>
      <c r="N333" t="s">
        <v>188</v>
      </c>
      <c r="O333" t="s">
        <v>47</v>
      </c>
      <c r="P333" t="s">
        <v>118</v>
      </c>
      <c r="Q333" t="s">
        <v>87</v>
      </c>
      <c r="R333" t="s">
        <v>87</v>
      </c>
      <c r="S333" s="87">
        <v>45738</v>
      </c>
      <c r="T333" t="s">
        <v>262</v>
      </c>
      <c r="U333" t="s">
        <v>263</v>
      </c>
      <c r="V333" s="2">
        <v>26693598</v>
      </c>
      <c r="W333" s="2" t="s">
        <v>88</v>
      </c>
      <c r="Z333" s="2" t="s">
        <v>134</v>
      </c>
      <c r="AA333" s="2" t="s">
        <v>135</v>
      </c>
      <c r="AB333" s="2" t="s">
        <v>89</v>
      </c>
      <c r="AC333" s="2" t="s">
        <v>90</v>
      </c>
    </row>
    <row r="334" spans="1:29" x14ac:dyDescent="0.25">
      <c r="A334" t="s">
        <v>39</v>
      </c>
      <c r="B334" t="s">
        <v>92</v>
      </c>
      <c r="C334" t="s">
        <v>9</v>
      </c>
      <c r="D334" t="s">
        <v>16</v>
      </c>
      <c r="E334" t="s">
        <v>125</v>
      </c>
      <c r="F334" t="s">
        <v>126</v>
      </c>
      <c r="G334" s="2" t="s">
        <v>9</v>
      </c>
      <c r="H334" t="s">
        <v>87</v>
      </c>
      <c r="I334" s="63" t="s">
        <v>261</v>
      </c>
      <c r="J334" s="2" t="s">
        <v>242</v>
      </c>
      <c r="K334" t="s">
        <v>128</v>
      </c>
      <c r="L334" t="s">
        <v>86</v>
      </c>
      <c r="M334" s="2" t="s">
        <v>130</v>
      </c>
      <c r="N334" t="s">
        <v>188</v>
      </c>
      <c r="O334" t="s">
        <v>46</v>
      </c>
      <c r="P334" t="s">
        <v>118</v>
      </c>
      <c r="Q334" t="s">
        <v>87</v>
      </c>
      <c r="R334" t="s">
        <v>87</v>
      </c>
      <c r="S334" s="87">
        <v>45738</v>
      </c>
      <c r="T334" t="s">
        <v>262</v>
      </c>
      <c r="U334" t="s">
        <v>263</v>
      </c>
      <c r="V334" s="2">
        <v>26693598</v>
      </c>
      <c r="W334" s="2" t="s">
        <v>88</v>
      </c>
      <c r="Z334" s="2" t="s">
        <v>134</v>
      </c>
      <c r="AA334" s="2" t="s">
        <v>135</v>
      </c>
      <c r="AB334" s="2" t="s">
        <v>89</v>
      </c>
      <c r="AC334" s="2" t="s">
        <v>90</v>
      </c>
    </row>
    <row r="335" spans="1:29" x14ac:dyDescent="0.25">
      <c r="A335" t="s">
        <v>39</v>
      </c>
      <c r="B335" t="s">
        <v>92</v>
      </c>
      <c r="C335" t="s">
        <v>9</v>
      </c>
      <c r="D335" t="s">
        <v>16</v>
      </c>
      <c r="E335" t="s">
        <v>125</v>
      </c>
      <c r="F335" t="s">
        <v>126</v>
      </c>
      <c r="G335" s="2" t="s">
        <v>9</v>
      </c>
      <c r="H335" t="s">
        <v>87</v>
      </c>
      <c r="I335" s="63" t="s">
        <v>261</v>
      </c>
      <c r="J335" s="2" t="s">
        <v>242</v>
      </c>
      <c r="K335" t="s">
        <v>128</v>
      </c>
      <c r="L335" t="s">
        <v>86</v>
      </c>
      <c r="M335" s="2" t="s">
        <v>130</v>
      </c>
      <c r="N335" t="s">
        <v>188</v>
      </c>
      <c r="O335" t="s">
        <v>138</v>
      </c>
      <c r="P335" s="2" t="s">
        <v>24</v>
      </c>
      <c r="Q335" t="s">
        <v>87</v>
      </c>
      <c r="R335" t="s">
        <v>87</v>
      </c>
      <c r="S335" s="87">
        <v>45738</v>
      </c>
      <c r="T335" t="s">
        <v>262</v>
      </c>
      <c r="U335" t="s">
        <v>263</v>
      </c>
      <c r="V335" s="2">
        <v>26693598</v>
      </c>
      <c r="W335" s="2" t="s">
        <v>88</v>
      </c>
      <c r="Z335" s="2" t="s">
        <v>134</v>
      </c>
      <c r="AA335" s="2" t="s">
        <v>135</v>
      </c>
      <c r="AB335" s="2" t="s">
        <v>89</v>
      </c>
      <c r="AC335" s="2" t="s">
        <v>90</v>
      </c>
    </row>
    <row r="336" spans="1:29" x14ac:dyDescent="0.25">
      <c r="A336" t="s">
        <v>39</v>
      </c>
      <c r="B336" t="s">
        <v>92</v>
      </c>
      <c r="C336" t="s">
        <v>9</v>
      </c>
      <c r="D336" t="s">
        <v>16</v>
      </c>
      <c r="E336" t="s">
        <v>125</v>
      </c>
      <c r="F336" t="s">
        <v>126</v>
      </c>
      <c r="G336" s="2" t="s">
        <v>9</v>
      </c>
      <c r="H336" t="s">
        <v>87</v>
      </c>
      <c r="I336" s="63" t="s">
        <v>261</v>
      </c>
      <c r="J336" s="2" t="s">
        <v>242</v>
      </c>
      <c r="K336" t="s">
        <v>128</v>
      </c>
      <c r="L336" t="s">
        <v>86</v>
      </c>
      <c r="M336" s="2" t="s">
        <v>130</v>
      </c>
      <c r="N336" t="s">
        <v>188</v>
      </c>
      <c r="O336" t="s">
        <v>101</v>
      </c>
      <c r="P336" s="2" t="s">
        <v>24</v>
      </c>
      <c r="Q336" t="s">
        <v>87</v>
      </c>
      <c r="R336" t="s">
        <v>87</v>
      </c>
      <c r="S336" s="87">
        <v>45738</v>
      </c>
      <c r="T336" t="s">
        <v>262</v>
      </c>
      <c r="U336" t="s">
        <v>263</v>
      </c>
      <c r="V336" s="2">
        <v>26693598</v>
      </c>
      <c r="W336" s="2" t="s">
        <v>88</v>
      </c>
      <c r="Z336" s="2" t="s">
        <v>134</v>
      </c>
      <c r="AA336" s="2" t="s">
        <v>135</v>
      </c>
      <c r="AB336" s="2" t="s">
        <v>89</v>
      </c>
      <c r="AC336" s="2" t="s">
        <v>90</v>
      </c>
    </row>
    <row r="337" spans="1:29" x14ac:dyDescent="0.25">
      <c r="A337" t="s">
        <v>39</v>
      </c>
      <c r="B337" t="s">
        <v>92</v>
      </c>
      <c r="C337" t="s">
        <v>9</v>
      </c>
      <c r="D337" t="s">
        <v>16</v>
      </c>
      <c r="E337" t="s">
        <v>125</v>
      </c>
      <c r="F337" t="s">
        <v>126</v>
      </c>
      <c r="G337" s="2" t="s">
        <v>9</v>
      </c>
      <c r="H337" t="s">
        <v>87</v>
      </c>
      <c r="I337" s="63" t="s">
        <v>261</v>
      </c>
      <c r="J337" s="2" t="s">
        <v>242</v>
      </c>
      <c r="K337" t="s">
        <v>128</v>
      </c>
      <c r="L337" t="s">
        <v>86</v>
      </c>
      <c r="M337" s="2" t="s">
        <v>130</v>
      </c>
      <c r="N337" t="s">
        <v>188</v>
      </c>
      <c r="O337" t="s">
        <v>102</v>
      </c>
      <c r="P337" s="2" t="s">
        <v>106</v>
      </c>
      <c r="Q337" t="s">
        <v>87</v>
      </c>
      <c r="R337" t="s">
        <v>87</v>
      </c>
      <c r="S337" s="87">
        <v>45738</v>
      </c>
      <c r="T337" t="s">
        <v>262</v>
      </c>
      <c r="U337" t="s">
        <v>263</v>
      </c>
      <c r="V337" s="2">
        <v>26693598</v>
      </c>
      <c r="W337" s="2" t="s">
        <v>88</v>
      </c>
      <c r="Z337" s="2" t="s">
        <v>134</v>
      </c>
      <c r="AA337" s="2" t="s">
        <v>135</v>
      </c>
      <c r="AB337" s="2" t="s">
        <v>89</v>
      </c>
      <c r="AC337" s="2" t="s">
        <v>90</v>
      </c>
    </row>
    <row r="338" spans="1:29" x14ac:dyDescent="0.25">
      <c r="A338" t="s">
        <v>39</v>
      </c>
      <c r="B338" t="s">
        <v>92</v>
      </c>
      <c r="C338" t="s">
        <v>9</v>
      </c>
      <c r="D338" t="s">
        <v>16</v>
      </c>
      <c r="E338" t="s">
        <v>125</v>
      </c>
      <c r="F338" t="s">
        <v>126</v>
      </c>
      <c r="G338" s="2" t="s">
        <v>9</v>
      </c>
      <c r="H338" t="s">
        <v>87</v>
      </c>
      <c r="I338" s="63" t="s">
        <v>261</v>
      </c>
      <c r="J338" s="2" t="s">
        <v>242</v>
      </c>
      <c r="K338" t="s">
        <v>128</v>
      </c>
      <c r="L338" t="s">
        <v>86</v>
      </c>
      <c r="M338" s="2" t="s">
        <v>130</v>
      </c>
      <c r="N338" t="s">
        <v>188</v>
      </c>
      <c r="O338" t="s">
        <v>139</v>
      </c>
      <c r="P338" t="s">
        <v>118</v>
      </c>
      <c r="Q338" t="s">
        <v>87</v>
      </c>
      <c r="R338" t="s">
        <v>87</v>
      </c>
      <c r="S338" s="87">
        <v>45738</v>
      </c>
      <c r="T338" t="s">
        <v>262</v>
      </c>
      <c r="U338" t="s">
        <v>263</v>
      </c>
      <c r="V338" s="2">
        <v>26693598</v>
      </c>
      <c r="W338" s="2" t="s">
        <v>88</v>
      </c>
      <c r="Z338" s="2" t="s">
        <v>134</v>
      </c>
      <c r="AA338" s="2" t="s">
        <v>135</v>
      </c>
      <c r="AB338" s="2" t="s">
        <v>89</v>
      </c>
      <c r="AC338" s="2" t="s">
        <v>90</v>
      </c>
    </row>
    <row r="339" spans="1:29" x14ac:dyDescent="0.25">
      <c r="A339" t="s">
        <v>39</v>
      </c>
      <c r="B339" t="s">
        <v>92</v>
      </c>
      <c r="C339" t="s">
        <v>9</v>
      </c>
      <c r="D339" t="s">
        <v>16</v>
      </c>
      <c r="E339" t="s">
        <v>125</v>
      </c>
      <c r="F339" t="s">
        <v>126</v>
      </c>
      <c r="G339" s="2" t="s">
        <v>9</v>
      </c>
      <c r="H339" t="s">
        <v>87</v>
      </c>
      <c r="I339" s="63" t="s">
        <v>261</v>
      </c>
      <c r="J339" s="2" t="s">
        <v>242</v>
      </c>
      <c r="K339" t="s">
        <v>128</v>
      </c>
      <c r="L339" t="s">
        <v>86</v>
      </c>
      <c r="M339" s="2" t="s">
        <v>130</v>
      </c>
      <c r="N339" t="s">
        <v>188</v>
      </c>
      <c r="O339" t="s">
        <v>140</v>
      </c>
      <c r="P339" t="s">
        <v>118</v>
      </c>
      <c r="Q339" t="s">
        <v>87</v>
      </c>
      <c r="R339" t="s">
        <v>87</v>
      </c>
      <c r="S339" s="87">
        <v>45738</v>
      </c>
      <c r="T339" t="s">
        <v>262</v>
      </c>
      <c r="U339" t="s">
        <v>263</v>
      </c>
      <c r="V339" s="2">
        <v>26693598</v>
      </c>
      <c r="W339" s="2" t="s">
        <v>88</v>
      </c>
      <c r="Z339" s="2" t="s">
        <v>134</v>
      </c>
      <c r="AA339" s="2" t="s">
        <v>135</v>
      </c>
      <c r="AB339" s="2" t="s">
        <v>89</v>
      </c>
      <c r="AC339" s="2" t="s">
        <v>90</v>
      </c>
    </row>
    <row r="340" spans="1:29" x14ac:dyDescent="0.25">
      <c r="A340" t="s">
        <v>39</v>
      </c>
      <c r="B340" t="s">
        <v>92</v>
      </c>
      <c r="C340" t="s">
        <v>9</v>
      </c>
      <c r="D340" t="s">
        <v>16</v>
      </c>
      <c r="E340" t="s">
        <v>125</v>
      </c>
      <c r="F340" t="s">
        <v>126</v>
      </c>
      <c r="G340" s="2" t="s">
        <v>9</v>
      </c>
      <c r="H340" t="s">
        <v>87</v>
      </c>
      <c r="I340" s="63" t="s">
        <v>261</v>
      </c>
      <c r="J340" s="2" t="s">
        <v>242</v>
      </c>
      <c r="K340" t="s">
        <v>128</v>
      </c>
      <c r="L340" t="s">
        <v>86</v>
      </c>
      <c r="M340" s="2" t="s">
        <v>130</v>
      </c>
      <c r="N340" t="s">
        <v>188</v>
      </c>
      <c r="O340" t="s">
        <v>141</v>
      </c>
      <c r="P340" t="s">
        <v>118</v>
      </c>
      <c r="Q340" t="s">
        <v>87</v>
      </c>
      <c r="R340" t="s">
        <v>87</v>
      </c>
      <c r="S340" s="87">
        <v>45738</v>
      </c>
      <c r="T340" t="s">
        <v>262</v>
      </c>
      <c r="U340" t="s">
        <v>263</v>
      </c>
      <c r="V340" s="2">
        <v>26693598</v>
      </c>
      <c r="W340" s="2" t="s">
        <v>88</v>
      </c>
      <c r="Z340" s="2" t="s">
        <v>134</v>
      </c>
      <c r="AA340" s="2" t="s">
        <v>135</v>
      </c>
      <c r="AB340" s="2" t="s">
        <v>89</v>
      </c>
      <c r="AC340" s="2" t="s">
        <v>90</v>
      </c>
    </row>
    <row r="341" spans="1:29" x14ac:dyDescent="0.25">
      <c r="A341" t="s">
        <v>39</v>
      </c>
      <c r="B341" t="s">
        <v>92</v>
      </c>
      <c r="C341" t="s">
        <v>9</v>
      </c>
      <c r="D341" t="s">
        <v>16</v>
      </c>
      <c r="E341" t="s">
        <v>125</v>
      </c>
      <c r="F341" t="s">
        <v>126</v>
      </c>
      <c r="G341" s="2" t="s">
        <v>9</v>
      </c>
      <c r="H341" t="s">
        <v>87</v>
      </c>
      <c r="I341" s="63" t="s">
        <v>261</v>
      </c>
      <c r="J341" s="2" t="s">
        <v>242</v>
      </c>
      <c r="K341" t="s">
        <v>128</v>
      </c>
      <c r="L341" t="s">
        <v>86</v>
      </c>
      <c r="M341" s="2" t="s">
        <v>130</v>
      </c>
      <c r="N341" t="s">
        <v>188</v>
      </c>
      <c r="O341" t="s">
        <v>142</v>
      </c>
      <c r="P341" t="s">
        <v>118</v>
      </c>
      <c r="Q341" t="s">
        <v>87</v>
      </c>
      <c r="R341" t="s">
        <v>87</v>
      </c>
      <c r="S341" s="87">
        <v>45738</v>
      </c>
      <c r="T341" t="s">
        <v>262</v>
      </c>
      <c r="U341" t="s">
        <v>263</v>
      </c>
      <c r="V341" s="2">
        <v>26693598</v>
      </c>
      <c r="W341" s="2" t="s">
        <v>88</v>
      </c>
      <c r="Z341" s="2" t="s">
        <v>134</v>
      </c>
      <c r="AA341" s="2" t="s">
        <v>135</v>
      </c>
      <c r="AB341" s="2" t="s">
        <v>89</v>
      </c>
      <c r="AC341" s="2" t="s">
        <v>90</v>
      </c>
    </row>
    <row r="342" spans="1:29" x14ac:dyDescent="0.25">
      <c r="A342" t="s">
        <v>39</v>
      </c>
      <c r="B342" t="s">
        <v>92</v>
      </c>
      <c r="C342" t="s">
        <v>9</v>
      </c>
      <c r="D342" t="s">
        <v>16</v>
      </c>
      <c r="E342" t="s">
        <v>125</v>
      </c>
      <c r="F342" t="s">
        <v>126</v>
      </c>
      <c r="G342" s="2" t="s">
        <v>9</v>
      </c>
      <c r="H342" t="s">
        <v>87</v>
      </c>
      <c r="I342" s="63" t="s">
        <v>261</v>
      </c>
      <c r="J342" s="2" t="s">
        <v>242</v>
      </c>
      <c r="K342" t="s">
        <v>128</v>
      </c>
      <c r="L342" t="s">
        <v>86</v>
      </c>
      <c r="M342" s="2" t="s">
        <v>130</v>
      </c>
      <c r="N342" t="s">
        <v>188</v>
      </c>
      <c r="O342" t="s">
        <v>143</v>
      </c>
      <c r="P342" t="s">
        <v>118</v>
      </c>
      <c r="Q342" t="s">
        <v>87</v>
      </c>
      <c r="R342" t="s">
        <v>87</v>
      </c>
      <c r="S342" s="87">
        <v>45738</v>
      </c>
      <c r="T342" t="s">
        <v>262</v>
      </c>
      <c r="U342" t="s">
        <v>263</v>
      </c>
      <c r="V342" s="2">
        <v>26693598</v>
      </c>
      <c r="W342" s="2" t="s">
        <v>88</v>
      </c>
      <c r="Z342" s="2" t="s">
        <v>134</v>
      </c>
      <c r="AA342" s="2" t="s">
        <v>135</v>
      </c>
      <c r="AB342" s="2" t="s">
        <v>89</v>
      </c>
      <c r="AC342" s="2" t="s">
        <v>90</v>
      </c>
    </row>
    <row r="343" spans="1:29" x14ac:dyDescent="0.25">
      <c r="A343" t="s">
        <v>39</v>
      </c>
      <c r="B343" t="s">
        <v>92</v>
      </c>
      <c r="C343" t="s">
        <v>9</v>
      </c>
      <c r="D343" t="s">
        <v>16</v>
      </c>
      <c r="E343" t="s">
        <v>125</v>
      </c>
      <c r="F343" t="s">
        <v>126</v>
      </c>
      <c r="G343" s="2" t="s">
        <v>9</v>
      </c>
      <c r="H343" t="s">
        <v>87</v>
      </c>
      <c r="I343" s="63" t="s">
        <v>261</v>
      </c>
      <c r="J343" s="2" t="s">
        <v>242</v>
      </c>
      <c r="K343" t="s">
        <v>128</v>
      </c>
      <c r="L343" t="s">
        <v>86</v>
      </c>
      <c r="M343" s="2" t="s">
        <v>130</v>
      </c>
      <c r="N343" t="s">
        <v>188</v>
      </c>
      <c r="O343" t="s">
        <v>144</v>
      </c>
      <c r="P343" t="s">
        <v>118</v>
      </c>
      <c r="Q343" t="s">
        <v>87</v>
      </c>
      <c r="R343" t="s">
        <v>87</v>
      </c>
      <c r="S343" s="87">
        <v>45738</v>
      </c>
      <c r="T343" t="s">
        <v>262</v>
      </c>
      <c r="U343" t="s">
        <v>263</v>
      </c>
      <c r="V343" s="2">
        <v>26693598</v>
      </c>
      <c r="W343" s="2" t="s">
        <v>88</v>
      </c>
      <c r="Z343" s="2" t="s">
        <v>134</v>
      </c>
      <c r="AA343" s="2" t="s">
        <v>135</v>
      </c>
      <c r="AB343" s="2" t="s">
        <v>89</v>
      </c>
      <c r="AC343" s="2" t="s">
        <v>90</v>
      </c>
    </row>
    <row r="344" spans="1:29" x14ac:dyDescent="0.25">
      <c r="A344" t="s">
        <v>39</v>
      </c>
      <c r="B344" t="s">
        <v>92</v>
      </c>
      <c r="C344" t="s">
        <v>9</v>
      </c>
      <c r="D344" t="s">
        <v>16</v>
      </c>
      <c r="E344" t="s">
        <v>125</v>
      </c>
      <c r="F344" t="s">
        <v>126</v>
      </c>
      <c r="G344" s="2" t="s">
        <v>9</v>
      </c>
      <c r="H344" t="s">
        <v>87</v>
      </c>
      <c r="I344" s="63" t="s">
        <v>261</v>
      </c>
      <c r="J344" s="2" t="s">
        <v>242</v>
      </c>
      <c r="K344" t="s">
        <v>128</v>
      </c>
      <c r="L344" t="s">
        <v>86</v>
      </c>
      <c r="M344" s="2" t="s">
        <v>130</v>
      </c>
      <c r="N344" t="s">
        <v>188</v>
      </c>
      <c r="O344" t="s">
        <v>145</v>
      </c>
      <c r="P344" t="s">
        <v>118</v>
      </c>
      <c r="Q344" t="s">
        <v>87</v>
      </c>
      <c r="R344" t="s">
        <v>87</v>
      </c>
      <c r="S344" s="87">
        <v>45738</v>
      </c>
      <c r="T344" t="s">
        <v>262</v>
      </c>
      <c r="U344" t="s">
        <v>263</v>
      </c>
      <c r="V344" s="2">
        <v>26693598</v>
      </c>
      <c r="W344" s="2" t="s">
        <v>88</v>
      </c>
      <c r="Z344" s="2" t="s">
        <v>134</v>
      </c>
      <c r="AA344" s="2" t="s">
        <v>135</v>
      </c>
      <c r="AB344" s="2" t="s">
        <v>89</v>
      </c>
      <c r="AC344" s="2" t="s">
        <v>90</v>
      </c>
    </row>
    <row r="345" spans="1:29" x14ac:dyDescent="0.25">
      <c r="A345" t="s">
        <v>39</v>
      </c>
      <c r="B345" t="s">
        <v>92</v>
      </c>
      <c r="C345" t="s">
        <v>9</v>
      </c>
      <c r="D345" t="s">
        <v>16</v>
      </c>
      <c r="E345" t="s">
        <v>125</v>
      </c>
      <c r="F345" t="s">
        <v>126</v>
      </c>
      <c r="G345" s="2" t="s">
        <v>9</v>
      </c>
      <c r="H345" t="s">
        <v>87</v>
      </c>
      <c r="I345" s="63" t="s">
        <v>261</v>
      </c>
      <c r="J345" s="2" t="s">
        <v>242</v>
      </c>
      <c r="K345" t="s">
        <v>128</v>
      </c>
      <c r="L345" t="s">
        <v>86</v>
      </c>
      <c r="M345" s="2" t="s">
        <v>130</v>
      </c>
      <c r="N345" t="s">
        <v>188</v>
      </c>
      <c r="O345" t="s">
        <v>146</v>
      </c>
      <c r="P345" t="s">
        <v>118</v>
      </c>
      <c r="Q345" t="s">
        <v>87</v>
      </c>
      <c r="R345" t="s">
        <v>87</v>
      </c>
      <c r="S345" s="87">
        <v>45738</v>
      </c>
      <c r="T345" t="s">
        <v>262</v>
      </c>
      <c r="U345" t="s">
        <v>263</v>
      </c>
      <c r="V345" s="2">
        <v>26693598</v>
      </c>
      <c r="W345" s="2" t="s">
        <v>88</v>
      </c>
      <c r="Z345" s="2" t="s">
        <v>134</v>
      </c>
      <c r="AA345" s="2" t="s">
        <v>135</v>
      </c>
      <c r="AB345" s="2" t="s">
        <v>89</v>
      </c>
      <c r="AC345" s="2" t="s">
        <v>90</v>
      </c>
    </row>
    <row r="346" spans="1:29" x14ac:dyDescent="0.25">
      <c r="A346" t="s">
        <v>39</v>
      </c>
      <c r="B346" t="s">
        <v>92</v>
      </c>
      <c r="C346" t="s">
        <v>9</v>
      </c>
      <c r="D346" t="s">
        <v>16</v>
      </c>
      <c r="E346" t="s">
        <v>125</v>
      </c>
      <c r="F346" t="s">
        <v>126</v>
      </c>
      <c r="G346" s="2" t="s">
        <v>9</v>
      </c>
      <c r="H346" t="s">
        <v>87</v>
      </c>
      <c r="I346" s="63" t="s">
        <v>261</v>
      </c>
      <c r="J346" s="2" t="s">
        <v>242</v>
      </c>
      <c r="K346" t="s">
        <v>128</v>
      </c>
      <c r="L346" t="s">
        <v>86</v>
      </c>
      <c r="M346" s="2" t="s">
        <v>130</v>
      </c>
      <c r="N346" t="s">
        <v>188</v>
      </c>
      <c r="O346" t="s">
        <v>41</v>
      </c>
      <c r="P346" s="2" t="s">
        <v>24</v>
      </c>
      <c r="Q346" t="s">
        <v>87</v>
      </c>
      <c r="R346" t="s">
        <v>87</v>
      </c>
      <c r="S346" s="87">
        <v>45738</v>
      </c>
      <c r="T346" t="s">
        <v>262</v>
      </c>
      <c r="U346" t="s">
        <v>263</v>
      </c>
      <c r="V346" s="2">
        <v>26693598</v>
      </c>
      <c r="W346" s="2" t="s">
        <v>88</v>
      </c>
      <c r="Z346" s="2" t="s">
        <v>134</v>
      </c>
      <c r="AA346" s="2" t="s">
        <v>135</v>
      </c>
      <c r="AB346" s="2" t="s">
        <v>89</v>
      </c>
      <c r="AC346" s="2" t="s">
        <v>90</v>
      </c>
    </row>
    <row r="347" spans="1:29" x14ac:dyDescent="0.25">
      <c r="A347" t="s">
        <v>39</v>
      </c>
      <c r="B347" t="s">
        <v>92</v>
      </c>
      <c r="C347" t="s">
        <v>9</v>
      </c>
      <c r="D347" t="s">
        <v>16</v>
      </c>
      <c r="E347" t="s">
        <v>125</v>
      </c>
      <c r="F347" t="s">
        <v>126</v>
      </c>
      <c r="G347" s="2" t="s">
        <v>9</v>
      </c>
      <c r="H347" t="s">
        <v>87</v>
      </c>
      <c r="I347" s="63" t="s">
        <v>261</v>
      </c>
      <c r="J347" s="2" t="s">
        <v>242</v>
      </c>
      <c r="K347" t="s">
        <v>128</v>
      </c>
      <c r="L347" t="s">
        <v>86</v>
      </c>
      <c r="M347" s="2" t="s">
        <v>130</v>
      </c>
      <c r="N347" t="s">
        <v>188</v>
      </c>
      <c r="O347" t="s">
        <v>42</v>
      </c>
      <c r="P347" s="2" t="s">
        <v>147</v>
      </c>
      <c r="Q347" t="s">
        <v>87</v>
      </c>
      <c r="R347" t="s">
        <v>87</v>
      </c>
      <c r="S347" s="87">
        <v>45738</v>
      </c>
      <c r="T347" t="s">
        <v>262</v>
      </c>
      <c r="U347" t="s">
        <v>263</v>
      </c>
      <c r="V347" s="2">
        <v>26693598</v>
      </c>
      <c r="W347" s="2" t="s">
        <v>88</v>
      </c>
      <c r="Z347" s="2" t="s">
        <v>134</v>
      </c>
      <c r="AA347" s="2" t="s">
        <v>135</v>
      </c>
      <c r="AB347" s="2" t="s">
        <v>89</v>
      </c>
      <c r="AC347" s="2" t="s">
        <v>90</v>
      </c>
    </row>
    <row r="348" spans="1:29" x14ac:dyDescent="0.25">
      <c r="A348" t="s">
        <v>39</v>
      </c>
      <c r="B348" t="s">
        <v>92</v>
      </c>
      <c r="C348" t="s">
        <v>9</v>
      </c>
      <c r="D348" t="s">
        <v>16</v>
      </c>
      <c r="E348" t="s">
        <v>125</v>
      </c>
      <c r="F348" t="s">
        <v>126</v>
      </c>
      <c r="G348" s="2" t="s">
        <v>9</v>
      </c>
      <c r="H348" t="s">
        <v>87</v>
      </c>
      <c r="I348" s="63" t="s">
        <v>261</v>
      </c>
      <c r="J348" s="2" t="s">
        <v>242</v>
      </c>
      <c r="K348" t="s">
        <v>128</v>
      </c>
      <c r="L348" t="s">
        <v>86</v>
      </c>
      <c r="M348" s="2" t="s">
        <v>130</v>
      </c>
      <c r="N348" t="s">
        <v>188</v>
      </c>
      <c r="O348" t="s">
        <v>51</v>
      </c>
      <c r="P348" s="2" t="s">
        <v>24</v>
      </c>
      <c r="Q348" t="s">
        <v>87</v>
      </c>
      <c r="R348" t="s">
        <v>87</v>
      </c>
      <c r="S348" s="87">
        <v>45738</v>
      </c>
      <c r="T348" t="s">
        <v>262</v>
      </c>
      <c r="U348" t="s">
        <v>263</v>
      </c>
      <c r="V348" s="2">
        <v>26693598</v>
      </c>
      <c r="W348" s="2" t="s">
        <v>88</v>
      </c>
      <c r="Z348" s="2" t="s">
        <v>134</v>
      </c>
      <c r="AA348" s="2" t="s">
        <v>135</v>
      </c>
      <c r="AB348" s="2" t="s">
        <v>89</v>
      </c>
      <c r="AC348" s="2" t="s">
        <v>90</v>
      </c>
    </row>
    <row r="349" spans="1:29" x14ac:dyDescent="0.25">
      <c r="A349" t="s">
        <v>39</v>
      </c>
      <c r="B349" t="s">
        <v>92</v>
      </c>
      <c r="C349" t="s">
        <v>9</v>
      </c>
      <c r="D349" t="s">
        <v>16</v>
      </c>
      <c r="E349" t="s">
        <v>125</v>
      </c>
      <c r="F349" t="s">
        <v>126</v>
      </c>
      <c r="G349" s="2" t="s">
        <v>9</v>
      </c>
      <c r="H349" t="s">
        <v>87</v>
      </c>
      <c r="I349" s="63" t="s">
        <v>261</v>
      </c>
      <c r="J349" s="2" t="s">
        <v>242</v>
      </c>
      <c r="K349" t="s">
        <v>128</v>
      </c>
      <c r="L349" t="s">
        <v>86</v>
      </c>
      <c r="M349" s="2" t="s">
        <v>130</v>
      </c>
      <c r="N349" t="s">
        <v>188</v>
      </c>
      <c r="O349" t="s">
        <v>50</v>
      </c>
      <c r="P349" s="2" t="s">
        <v>24</v>
      </c>
      <c r="Q349" t="s">
        <v>87</v>
      </c>
      <c r="R349" t="s">
        <v>87</v>
      </c>
      <c r="S349" s="87">
        <v>45738</v>
      </c>
      <c r="T349" t="s">
        <v>262</v>
      </c>
      <c r="U349" t="s">
        <v>263</v>
      </c>
      <c r="V349" s="2">
        <v>26693598</v>
      </c>
      <c r="W349" s="2" t="s">
        <v>88</v>
      </c>
      <c r="Z349" s="2" t="s">
        <v>134</v>
      </c>
      <c r="AA349" s="2" t="s">
        <v>135</v>
      </c>
      <c r="AB349" s="2" t="s">
        <v>89</v>
      </c>
      <c r="AC349" s="2" t="s">
        <v>90</v>
      </c>
    </row>
    <row r="350" spans="1:29" x14ac:dyDescent="0.25">
      <c r="A350" t="s">
        <v>39</v>
      </c>
      <c r="B350" t="s">
        <v>92</v>
      </c>
      <c r="C350" t="s">
        <v>9</v>
      </c>
      <c r="D350" t="s">
        <v>16</v>
      </c>
      <c r="E350" t="s">
        <v>125</v>
      </c>
      <c r="F350" t="s">
        <v>126</v>
      </c>
      <c r="G350" s="2" t="s">
        <v>9</v>
      </c>
      <c r="H350" t="s">
        <v>87</v>
      </c>
      <c r="I350" s="63" t="s">
        <v>261</v>
      </c>
      <c r="J350" s="2" t="s">
        <v>242</v>
      </c>
      <c r="K350" t="s">
        <v>128</v>
      </c>
      <c r="L350" t="s">
        <v>86</v>
      </c>
      <c r="M350" s="2" t="s">
        <v>130</v>
      </c>
      <c r="N350" t="s">
        <v>188</v>
      </c>
      <c r="O350" t="s">
        <v>148</v>
      </c>
      <c r="P350" t="s">
        <v>118</v>
      </c>
      <c r="Q350" t="s">
        <v>87</v>
      </c>
      <c r="R350" t="s">
        <v>87</v>
      </c>
      <c r="S350" s="87">
        <v>45738</v>
      </c>
      <c r="T350" t="s">
        <v>262</v>
      </c>
      <c r="U350" t="s">
        <v>263</v>
      </c>
      <c r="V350" s="2">
        <v>26693598</v>
      </c>
      <c r="W350" s="2" t="s">
        <v>88</v>
      </c>
      <c r="Z350" s="2" t="s">
        <v>134</v>
      </c>
      <c r="AA350" s="2" t="s">
        <v>135</v>
      </c>
      <c r="AB350" s="2" t="s">
        <v>89</v>
      </c>
      <c r="AC350" s="2" t="s">
        <v>90</v>
      </c>
    </row>
    <row r="351" spans="1:29" x14ac:dyDescent="0.25">
      <c r="A351" t="s">
        <v>39</v>
      </c>
      <c r="B351" t="s">
        <v>92</v>
      </c>
      <c r="C351" t="s">
        <v>9</v>
      </c>
      <c r="D351" t="s">
        <v>16</v>
      </c>
      <c r="E351" t="s">
        <v>125</v>
      </c>
      <c r="F351" t="s">
        <v>126</v>
      </c>
      <c r="G351" s="2" t="s">
        <v>9</v>
      </c>
      <c r="H351" t="s">
        <v>87</v>
      </c>
      <c r="I351" s="63" t="s">
        <v>261</v>
      </c>
      <c r="J351" s="2" t="s">
        <v>242</v>
      </c>
      <c r="K351" t="s">
        <v>128</v>
      </c>
      <c r="L351" t="s">
        <v>86</v>
      </c>
      <c r="M351" s="2" t="s">
        <v>130</v>
      </c>
      <c r="N351" t="s">
        <v>188</v>
      </c>
      <c r="O351" t="s">
        <v>45</v>
      </c>
      <c r="P351" s="2" t="s">
        <v>24</v>
      </c>
      <c r="Q351" t="s">
        <v>87</v>
      </c>
      <c r="R351" t="s">
        <v>87</v>
      </c>
      <c r="S351" s="87">
        <v>45738</v>
      </c>
      <c r="T351" t="s">
        <v>262</v>
      </c>
      <c r="U351" t="s">
        <v>263</v>
      </c>
      <c r="V351" s="2">
        <v>26693598</v>
      </c>
      <c r="W351" s="2" t="s">
        <v>88</v>
      </c>
      <c r="Z351" s="2" t="s">
        <v>134</v>
      </c>
      <c r="AA351" s="2" t="s">
        <v>135</v>
      </c>
      <c r="AB351" s="2" t="s">
        <v>89</v>
      </c>
      <c r="AC351" s="2" t="s">
        <v>90</v>
      </c>
    </row>
    <row r="352" spans="1:29" x14ac:dyDescent="0.25">
      <c r="A352" t="s">
        <v>39</v>
      </c>
      <c r="B352" t="s">
        <v>92</v>
      </c>
      <c r="C352" t="s">
        <v>9</v>
      </c>
      <c r="D352" t="s">
        <v>16</v>
      </c>
      <c r="E352" t="s">
        <v>125</v>
      </c>
      <c r="F352" t="s">
        <v>126</v>
      </c>
      <c r="G352" s="2" t="s">
        <v>9</v>
      </c>
      <c r="H352" t="s">
        <v>87</v>
      </c>
      <c r="I352" s="63" t="s">
        <v>261</v>
      </c>
      <c r="J352" s="2" t="s">
        <v>242</v>
      </c>
      <c r="K352" t="s">
        <v>128</v>
      </c>
      <c r="L352" t="s">
        <v>86</v>
      </c>
      <c r="M352" s="2" t="s">
        <v>130</v>
      </c>
      <c r="N352" t="s">
        <v>188</v>
      </c>
      <c r="O352" t="s">
        <v>189</v>
      </c>
      <c r="P352" t="s">
        <v>118</v>
      </c>
      <c r="Q352" t="s">
        <v>87</v>
      </c>
      <c r="R352" t="s">
        <v>87</v>
      </c>
      <c r="S352" s="87">
        <v>45738</v>
      </c>
      <c r="T352" t="s">
        <v>262</v>
      </c>
      <c r="U352" t="s">
        <v>263</v>
      </c>
      <c r="V352" s="2">
        <v>26693598</v>
      </c>
      <c r="W352" s="2" t="s">
        <v>88</v>
      </c>
      <c r="Z352" s="2" t="s">
        <v>134</v>
      </c>
      <c r="AA352" s="2" t="s">
        <v>135</v>
      </c>
      <c r="AB352" s="2" t="s">
        <v>89</v>
      </c>
      <c r="AC352" s="2" t="s">
        <v>90</v>
      </c>
    </row>
  </sheetData>
  <phoneticPr fontId="3" type="noConversion"/>
  <conditionalFormatting sqref="O353:O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dimension ref="A1:K39"/>
  <sheetViews>
    <sheetView showGridLines="0" tabSelected="1" topLeftCell="B13" zoomScale="60" zoomScaleNormal="60" workbookViewId="0">
      <selection activeCell="F42" sqref="F42"/>
    </sheetView>
  </sheetViews>
  <sheetFormatPr baseColWidth="10" defaultColWidth="11.42578125" defaultRowHeight="15" customHeight="1" x14ac:dyDescent="0.25"/>
  <cols>
    <col min="1" max="1" width="24" style="3" bestFit="1" customWidth="1"/>
    <col min="2" max="2" width="27.140625" style="3" bestFit="1" customWidth="1"/>
    <col min="3" max="3" width="20.140625" style="3" bestFit="1" customWidth="1"/>
    <col min="4" max="4" width="24" customWidth="1"/>
    <col min="5" max="5" width="14.85546875" bestFit="1" customWidth="1"/>
    <col min="6" max="6" width="13.140625" customWidth="1"/>
    <col min="7" max="7" width="118.5703125" customWidth="1"/>
    <col min="8" max="8" width="41" style="78" customWidth="1"/>
    <col min="9" max="9" width="11.42578125" customWidth="1"/>
    <col min="10" max="10" width="33.7109375" customWidth="1"/>
    <col min="11" max="11" width="15.7109375" style="61" customWidth="1"/>
  </cols>
  <sheetData>
    <row r="1" spans="1:11" ht="15" customHeight="1" x14ac:dyDescent="0.25">
      <c r="A1" s="37" t="s">
        <v>63</v>
      </c>
      <c r="B1" s="37" t="s">
        <v>15</v>
      </c>
      <c r="C1" s="37" t="s">
        <v>16</v>
      </c>
      <c r="D1" s="36" t="s">
        <v>14</v>
      </c>
      <c r="E1" s="35" t="s">
        <v>95</v>
      </c>
      <c r="F1" s="82" t="s">
        <v>96</v>
      </c>
      <c r="G1" s="82" t="s">
        <v>31</v>
      </c>
      <c r="H1" s="83" t="s">
        <v>37</v>
      </c>
      <c r="I1" s="16"/>
      <c r="J1" s="57" t="s">
        <v>14</v>
      </c>
      <c r="K1" s="59" t="s">
        <v>113</v>
      </c>
    </row>
    <row r="2" spans="1:11" ht="15" customHeight="1" x14ac:dyDescent="0.25">
      <c r="A2" s="80">
        <v>20</v>
      </c>
      <c r="B2" s="80">
        <v>20</v>
      </c>
      <c r="C2" s="80">
        <v>20</v>
      </c>
      <c r="D2" s="39" t="s">
        <v>17</v>
      </c>
      <c r="E2" s="40">
        <v>20</v>
      </c>
      <c r="F2" s="27" t="s">
        <v>97</v>
      </c>
      <c r="G2" s="85" t="s">
        <v>40</v>
      </c>
      <c r="H2" s="53" t="s">
        <v>24</v>
      </c>
      <c r="J2" s="39" t="s">
        <v>17</v>
      </c>
      <c r="K2" s="60">
        <v>0.2</v>
      </c>
    </row>
    <row r="3" spans="1:11" ht="15" customHeight="1" x14ac:dyDescent="0.25">
      <c r="A3" s="80">
        <v>1.5</v>
      </c>
      <c r="B3" s="80">
        <v>1.5</v>
      </c>
      <c r="C3" s="80">
        <v>1.5</v>
      </c>
      <c r="D3" s="39" t="s">
        <v>20</v>
      </c>
      <c r="E3" s="40">
        <v>15</v>
      </c>
      <c r="F3" s="27" t="s">
        <v>97</v>
      </c>
      <c r="G3" s="27" t="s">
        <v>100</v>
      </c>
      <c r="H3" s="53" t="s">
        <v>24</v>
      </c>
      <c r="J3" s="39" t="s">
        <v>20</v>
      </c>
      <c r="K3" s="60">
        <v>0.15</v>
      </c>
    </row>
    <row r="4" spans="1:11" ht="15" customHeight="1" x14ac:dyDescent="0.25">
      <c r="A4" s="80">
        <v>1.5</v>
      </c>
      <c r="B4" s="80">
        <v>1.5</v>
      </c>
      <c r="C4" s="80">
        <v>1.5</v>
      </c>
      <c r="D4" s="39" t="s">
        <v>20</v>
      </c>
      <c r="E4" s="40">
        <v>15</v>
      </c>
      <c r="F4" s="27" t="s">
        <v>97</v>
      </c>
      <c r="G4" s="27" t="s">
        <v>136</v>
      </c>
      <c r="H4" s="53" t="s">
        <v>24</v>
      </c>
      <c r="J4" s="39" t="s">
        <v>19</v>
      </c>
      <c r="K4" s="60">
        <v>0.2</v>
      </c>
    </row>
    <row r="5" spans="1:11" ht="15" customHeight="1" x14ac:dyDescent="0.25">
      <c r="A5" s="80">
        <v>1.5</v>
      </c>
      <c r="B5" s="80">
        <v>1.5</v>
      </c>
      <c r="C5" s="80">
        <v>1.5</v>
      </c>
      <c r="D5" s="39" t="s">
        <v>20</v>
      </c>
      <c r="E5" s="40">
        <v>15</v>
      </c>
      <c r="F5" s="27" t="s">
        <v>97</v>
      </c>
      <c r="G5" s="27" t="s">
        <v>44</v>
      </c>
      <c r="H5" s="53" t="s">
        <v>24</v>
      </c>
      <c r="J5" s="39" t="s">
        <v>21</v>
      </c>
      <c r="K5" s="60">
        <v>0.3</v>
      </c>
    </row>
    <row r="6" spans="1:11" ht="15" customHeight="1" x14ac:dyDescent="0.25">
      <c r="A6" s="80">
        <v>1.5</v>
      </c>
      <c r="B6" s="80">
        <v>1.5</v>
      </c>
      <c r="C6" s="80">
        <v>1.5</v>
      </c>
      <c r="D6" s="39" t="s">
        <v>20</v>
      </c>
      <c r="E6" s="40">
        <v>15</v>
      </c>
      <c r="F6" s="27" t="s">
        <v>97</v>
      </c>
      <c r="G6" s="27" t="s">
        <v>137</v>
      </c>
      <c r="H6" s="53" t="s">
        <v>118</v>
      </c>
      <c r="J6" s="39" t="s">
        <v>18</v>
      </c>
      <c r="K6" s="60">
        <v>0.15</v>
      </c>
    </row>
    <row r="7" spans="1:11" ht="15" customHeight="1" x14ac:dyDescent="0.25">
      <c r="A7" s="80">
        <v>1.5</v>
      </c>
      <c r="B7" s="80">
        <v>1.5</v>
      </c>
      <c r="C7" s="80">
        <v>1.5</v>
      </c>
      <c r="D7" s="39" t="s">
        <v>20</v>
      </c>
      <c r="E7" s="40">
        <v>15</v>
      </c>
      <c r="F7" s="27" t="s">
        <v>97</v>
      </c>
      <c r="G7" s="27" t="s">
        <v>43</v>
      </c>
      <c r="H7" s="53" t="s">
        <v>24</v>
      </c>
      <c r="J7" s="58" t="s">
        <v>112</v>
      </c>
      <c r="K7" s="62">
        <f>SUM(K2:K6)</f>
        <v>1</v>
      </c>
    </row>
    <row r="8" spans="1:11" ht="15" customHeight="1" x14ac:dyDescent="0.25">
      <c r="A8" s="80">
        <v>1.5</v>
      </c>
      <c r="B8" s="80">
        <v>1.5</v>
      </c>
      <c r="C8" s="80">
        <v>1.5</v>
      </c>
      <c r="D8" s="39" t="s">
        <v>20</v>
      </c>
      <c r="E8" s="40">
        <v>15</v>
      </c>
      <c r="F8" s="27" t="s">
        <v>97</v>
      </c>
      <c r="G8" s="27" t="s">
        <v>49</v>
      </c>
      <c r="H8" s="53" t="s">
        <v>24</v>
      </c>
    </row>
    <row r="9" spans="1:11" ht="15" customHeight="1" x14ac:dyDescent="0.25">
      <c r="A9" s="80">
        <v>1.5</v>
      </c>
      <c r="B9" s="80">
        <v>1.5</v>
      </c>
      <c r="C9" s="80">
        <v>1.5</v>
      </c>
      <c r="D9" s="39" t="s">
        <v>20</v>
      </c>
      <c r="E9" s="40">
        <v>15</v>
      </c>
      <c r="F9" s="27" t="s">
        <v>97</v>
      </c>
      <c r="G9" s="27" t="s">
        <v>52</v>
      </c>
      <c r="H9" s="53" t="s">
        <v>118</v>
      </c>
    </row>
    <row r="10" spans="1:11" ht="15" customHeight="1" x14ac:dyDescent="0.25">
      <c r="A10" s="80">
        <v>1.5</v>
      </c>
      <c r="B10" s="80">
        <v>1.5</v>
      </c>
      <c r="C10" s="80">
        <v>1.5</v>
      </c>
      <c r="D10" s="39" t="s">
        <v>20</v>
      </c>
      <c r="E10" s="40">
        <v>15</v>
      </c>
      <c r="F10" s="27" t="s">
        <v>97</v>
      </c>
      <c r="G10" s="27" t="s">
        <v>48</v>
      </c>
      <c r="H10" s="53" t="s">
        <v>118</v>
      </c>
    </row>
    <row r="11" spans="1:11" ht="15" customHeight="1" x14ac:dyDescent="0.25">
      <c r="A11" s="80">
        <v>1.5</v>
      </c>
      <c r="B11" s="80">
        <v>1.5</v>
      </c>
      <c r="C11" s="80">
        <v>1.5</v>
      </c>
      <c r="D11" s="39" t="s">
        <v>20</v>
      </c>
      <c r="E11" s="40">
        <v>15</v>
      </c>
      <c r="F11" s="27" t="s">
        <v>97</v>
      </c>
      <c r="G11" s="27" t="s">
        <v>47</v>
      </c>
      <c r="H11" s="53" t="s">
        <v>118</v>
      </c>
    </row>
    <row r="12" spans="1:11" ht="15" customHeight="1" x14ac:dyDescent="0.25">
      <c r="A12" s="80">
        <v>1.5</v>
      </c>
      <c r="B12" s="80">
        <v>1.5</v>
      </c>
      <c r="C12" s="80">
        <v>1.5</v>
      </c>
      <c r="D12" s="39" t="s">
        <v>20</v>
      </c>
      <c r="E12" s="40">
        <v>15</v>
      </c>
      <c r="F12" s="27" t="s">
        <v>97</v>
      </c>
      <c r="G12" s="27" t="s">
        <v>46</v>
      </c>
      <c r="H12" s="53" t="s">
        <v>118</v>
      </c>
    </row>
    <row r="13" spans="1:11" ht="15" customHeight="1" x14ac:dyDescent="0.25">
      <c r="A13" s="81">
        <v>20</v>
      </c>
      <c r="B13" s="81">
        <v>20</v>
      </c>
      <c r="C13" s="81">
        <v>20</v>
      </c>
      <c r="D13" s="39" t="s">
        <v>19</v>
      </c>
      <c r="E13" s="40">
        <v>20</v>
      </c>
      <c r="F13" s="27" t="s">
        <v>97</v>
      </c>
      <c r="G13" s="27" t="s">
        <v>138</v>
      </c>
      <c r="H13" s="53" t="s">
        <v>24</v>
      </c>
    </row>
    <row r="14" spans="1:11" ht="15" customHeight="1" x14ac:dyDescent="0.25">
      <c r="A14" s="80">
        <v>3</v>
      </c>
      <c r="B14" s="80">
        <v>3</v>
      </c>
      <c r="C14" s="80">
        <v>3</v>
      </c>
      <c r="D14" s="39" t="s">
        <v>21</v>
      </c>
      <c r="E14" s="40">
        <v>30</v>
      </c>
      <c r="F14" s="27" t="s">
        <v>98</v>
      </c>
      <c r="G14" s="27" t="s">
        <v>101</v>
      </c>
      <c r="H14" s="76" t="s">
        <v>24</v>
      </c>
    </row>
    <row r="15" spans="1:11" ht="15" customHeight="1" x14ac:dyDescent="0.25">
      <c r="A15" s="80">
        <v>3</v>
      </c>
      <c r="B15" s="80">
        <v>3</v>
      </c>
      <c r="C15" s="80">
        <v>3</v>
      </c>
      <c r="D15" s="39" t="s">
        <v>21</v>
      </c>
      <c r="E15" s="40">
        <v>30</v>
      </c>
      <c r="F15" s="27" t="s">
        <v>97</v>
      </c>
      <c r="G15" s="27" t="s">
        <v>99</v>
      </c>
      <c r="H15" s="76" t="s">
        <v>24</v>
      </c>
    </row>
    <row r="16" spans="1:11" ht="15" customHeight="1" x14ac:dyDescent="0.25">
      <c r="A16" s="38">
        <v>0</v>
      </c>
      <c r="B16" s="38">
        <v>0</v>
      </c>
      <c r="C16" s="38">
        <v>0</v>
      </c>
      <c r="D16" s="39" t="s">
        <v>91</v>
      </c>
      <c r="E16" s="40">
        <v>0</v>
      </c>
      <c r="F16" s="27" t="s">
        <v>97</v>
      </c>
      <c r="G16" s="27" t="s">
        <v>102</v>
      </c>
      <c r="H16" s="54"/>
    </row>
    <row r="17" spans="1:8" ht="15" customHeight="1" x14ac:dyDescent="0.25">
      <c r="A17" s="38">
        <v>0</v>
      </c>
      <c r="B17" s="38">
        <v>0</v>
      </c>
      <c r="C17" s="80">
        <v>2.2000000000000002</v>
      </c>
      <c r="D17" s="39" t="s">
        <v>21</v>
      </c>
      <c r="E17" s="40">
        <v>30</v>
      </c>
      <c r="F17" s="27" t="s">
        <v>97</v>
      </c>
      <c r="G17" s="27" t="s">
        <v>139</v>
      </c>
      <c r="H17" s="77" t="s">
        <v>24</v>
      </c>
    </row>
    <row r="18" spans="1:8" ht="15" customHeight="1" x14ac:dyDescent="0.25">
      <c r="A18" s="38">
        <v>0</v>
      </c>
      <c r="B18" s="38">
        <v>0</v>
      </c>
      <c r="C18" s="80">
        <v>2.2000000000000002</v>
      </c>
      <c r="D18" s="39" t="s">
        <v>21</v>
      </c>
      <c r="E18" s="40">
        <v>30</v>
      </c>
      <c r="F18" s="27" t="s">
        <v>97</v>
      </c>
      <c r="G18" s="27" t="s">
        <v>140</v>
      </c>
      <c r="H18" s="77" t="s">
        <v>24</v>
      </c>
    </row>
    <row r="19" spans="1:8" ht="15" customHeight="1" x14ac:dyDescent="0.25">
      <c r="A19" s="38">
        <v>0</v>
      </c>
      <c r="B19" s="38">
        <v>0</v>
      </c>
      <c r="C19" s="80">
        <v>2.2000000000000002</v>
      </c>
      <c r="D19" s="39" t="s">
        <v>21</v>
      </c>
      <c r="E19" s="40">
        <v>30</v>
      </c>
      <c r="F19" s="27" t="s">
        <v>97</v>
      </c>
      <c r="G19" s="27" t="s">
        <v>141</v>
      </c>
      <c r="H19" s="77" t="s">
        <v>24</v>
      </c>
    </row>
    <row r="20" spans="1:8" ht="15" customHeight="1" x14ac:dyDescent="0.25">
      <c r="A20" s="38">
        <v>0</v>
      </c>
      <c r="B20" s="38">
        <v>0</v>
      </c>
      <c r="C20" s="80">
        <v>2.2000000000000002</v>
      </c>
      <c r="D20" s="39" t="s">
        <v>21</v>
      </c>
      <c r="E20" s="40">
        <v>30</v>
      </c>
      <c r="F20" s="27" t="s">
        <v>97</v>
      </c>
      <c r="G20" s="27" t="s">
        <v>142</v>
      </c>
      <c r="H20" s="77" t="s">
        <v>24</v>
      </c>
    </row>
    <row r="21" spans="1:8" ht="15" customHeight="1" x14ac:dyDescent="0.25">
      <c r="A21" s="38">
        <v>0</v>
      </c>
      <c r="B21" s="38">
        <v>0</v>
      </c>
      <c r="C21" s="80">
        <v>2.2000000000000002</v>
      </c>
      <c r="D21" s="39" t="s">
        <v>21</v>
      </c>
      <c r="E21" s="40">
        <v>30</v>
      </c>
      <c r="F21" s="27" t="s">
        <v>97</v>
      </c>
      <c r="G21" s="27" t="s">
        <v>143</v>
      </c>
      <c r="H21" s="77" t="s">
        <v>24</v>
      </c>
    </row>
    <row r="22" spans="1:8" ht="15" customHeight="1" x14ac:dyDescent="0.25">
      <c r="A22" s="38">
        <v>0</v>
      </c>
      <c r="B22" s="38">
        <v>0</v>
      </c>
      <c r="C22" s="80">
        <v>2.2000000000000002</v>
      </c>
      <c r="D22" s="39" t="s">
        <v>21</v>
      </c>
      <c r="E22" s="40">
        <v>30</v>
      </c>
      <c r="F22" s="27" t="s">
        <v>97</v>
      </c>
      <c r="G22" s="27" t="s">
        <v>144</v>
      </c>
      <c r="H22" s="77" t="s">
        <v>24</v>
      </c>
    </row>
    <row r="23" spans="1:8" ht="15" customHeight="1" x14ac:dyDescent="0.25">
      <c r="A23" s="38">
        <v>0</v>
      </c>
      <c r="B23" s="38">
        <v>0</v>
      </c>
      <c r="C23" s="80">
        <v>2.2000000000000002</v>
      </c>
      <c r="D23" s="39" t="s">
        <v>21</v>
      </c>
      <c r="E23" s="40">
        <v>30</v>
      </c>
      <c r="F23" s="27" t="s">
        <v>97</v>
      </c>
      <c r="G23" s="27" t="s">
        <v>145</v>
      </c>
      <c r="H23" s="77" t="s">
        <v>24</v>
      </c>
    </row>
    <row r="24" spans="1:8" ht="15" customHeight="1" x14ac:dyDescent="0.25">
      <c r="A24" s="38">
        <v>0</v>
      </c>
      <c r="B24" s="38">
        <v>0</v>
      </c>
      <c r="C24" s="80">
        <v>2.2000000000000002</v>
      </c>
      <c r="D24" s="39" t="s">
        <v>21</v>
      </c>
      <c r="E24" s="40">
        <v>30</v>
      </c>
      <c r="F24" s="27" t="s">
        <v>97</v>
      </c>
      <c r="G24" s="27" t="s">
        <v>146</v>
      </c>
      <c r="H24" s="77" t="s">
        <v>24</v>
      </c>
    </row>
    <row r="25" spans="1:8" ht="15" customHeight="1" x14ac:dyDescent="0.25">
      <c r="A25" s="80">
        <v>2.4</v>
      </c>
      <c r="B25" s="80">
        <v>2.4</v>
      </c>
      <c r="C25" s="38">
        <v>0</v>
      </c>
      <c r="D25" s="39" t="s">
        <v>21</v>
      </c>
      <c r="E25" s="40">
        <v>30</v>
      </c>
      <c r="F25" s="27" t="s">
        <v>97</v>
      </c>
      <c r="G25" s="27" t="s">
        <v>169</v>
      </c>
      <c r="H25" s="77" t="s">
        <v>24</v>
      </c>
    </row>
    <row r="26" spans="1:8" ht="15" customHeight="1" x14ac:dyDescent="0.25">
      <c r="A26" s="80">
        <v>2.4</v>
      </c>
      <c r="B26" s="80">
        <v>2.4</v>
      </c>
      <c r="C26" s="38">
        <v>0</v>
      </c>
      <c r="D26" s="39" t="s">
        <v>21</v>
      </c>
      <c r="E26" s="40">
        <v>30</v>
      </c>
      <c r="F26" s="27" t="s">
        <v>97</v>
      </c>
      <c r="G26" s="27" t="s">
        <v>171</v>
      </c>
      <c r="H26" s="77" t="s">
        <v>24</v>
      </c>
    </row>
    <row r="27" spans="1:8" ht="15" customHeight="1" x14ac:dyDescent="0.25">
      <c r="A27" s="80">
        <v>2.4</v>
      </c>
      <c r="B27" s="80">
        <v>2.4</v>
      </c>
      <c r="C27" s="38">
        <v>0</v>
      </c>
      <c r="D27" s="39" t="s">
        <v>21</v>
      </c>
      <c r="E27" s="40">
        <v>30</v>
      </c>
      <c r="F27" s="27" t="s">
        <v>97</v>
      </c>
      <c r="G27" s="27" t="s">
        <v>173</v>
      </c>
      <c r="H27" s="77" t="s">
        <v>24</v>
      </c>
    </row>
    <row r="28" spans="1:8" ht="15" customHeight="1" x14ac:dyDescent="0.25">
      <c r="A28" s="80">
        <v>2.4</v>
      </c>
      <c r="B28" s="80">
        <v>2.4</v>
      </c>
      <c r="C28" s="38">
        <v>0</v>
      </c>
      <c r="D28" s="39" t="s">
        <v>21</v>
      </c>
      <c r="E28" s="40">
        <v>30</v>
      </c>
      <c r="F28" s="27" t="s">
        <v>97</v>
      </c>
      <c r="G28" s="27" t="s">
        <v>175</v>
      </c>
      <c r="H28" s="77" t="s">
        <v>24</v>
      </c>
    </row>
    <row r="29" spans="1:8" ht="15" customHeight="1" x14ac:dyDescent="0.25">
      <c r="A29" s="80">
        <v>2.4</v>
      </c>
      <c r="B29" s="80">
        <v>2.4</v>
      </c>
      <c r="C29" s="38">
        <v>0</v>
      </c>
      <c r="D29" s="39" t="s">
        <v>21</v>
      </c>
      <c r="E29" s="40">
        <v>30</v>
      </c>
      <c r="F29" s="27" t="s">
        <v>97</v>
      </c>
      <c r="G29" s="27" t="s">
        <v>177</v>
      </c>
      <c r="H29" s="77" t="s">
        <v>24</v>
      </c>
    </row>
    <row r="30" spans="1:8" ht="15" customHeight="1" x14ac:dyDescent="0.25">
      <c r="A30" s="80">
        <v>2.4</v>
      </c>
      <c r="B30" s="80">
        <v>2.4</v>
      </c>
      <c r="C30" s="38">
        <v>0</v>
      </c>
      <c r="D30" s="39" t="s">
        <v>21</v>
      </c>
      <c r="E30" s="40">
        <v>30</v>
      </c>
      <c r="F30" s="27" t="s">
        <v>97</v>
      </c>
      <c r="G30" s="27" t="s">
        <v>179</v>
      </c>
      <c r="H30" s="77" t="s">
        <v>24</v>
      </c>
    </row>
    <row r="31" spans="1:8" ht="15" customHeight="1" x14ac:dyDescent="0.25">
      <c r="A31" s="80">
        <v>2.4</v>
      </c>
      <c r="B31" s="80">
        <v>2.4</v>
      </c>
      <c r="C31" s="38">
        <v>0</v>
      </c>
      <c r="D31" s="39" t="s">
        <v>21</v>
      </c>
      <c r="E31" s="40">
        <v>30</v>
      </c>
      <c r="F31" s="27" t="s">
        <v>97</v>
      </c>
      <c r="G31" s="27" t="s">
        <v>181</v>
      </c>
      <c r="H31" s="77" t="s">
        <v>24</v>
      </c>
    </row>
    <row r="32" spans="1:8" ht="15" customHeight="1" x14ac:dyDescent="0.25">
      <c r="A32" s="38">
        <v>0</v>
      </c>
      <c r="B32" s="38">
        <v>0</v>
      </c>
      <c r="C32" s="38">
        <v>0</v>
      </c>
      <c r="D32" s="39" t="s">
        <v>91</v>
      </c>
      <c r="E32" s="40">
        <v>30</v>
      </c>
      <c r="F32" s="27" t="s">
        <v>97</v>
      </c>
      <c r="G32" s="27" t="s">
        <v>41</v>
      </c>
      <c r="H32" s="77" t="s">
        <v>24</v>
      </c>
    </row>
    <row r="33" spans="1:8" ht="15" customHeight="1" x14ac:dyDescent="0.25">
      <c r="A33" s="38">
        <v>0</v>
      </c>
      <c r="B33" s="38">
        <v>0</v>
      </c>
      <c r="C33" s="38">
        <v>0</v>
      </c>
      <c r="D33" s="39" t="s">
        <v>91</v>
      </c>
      <c r="E33" s="40">
        <v>0</v>
      </c>
      <c r="F33" s="27" t="s">
        <v>98</v>
      </c>
      <c r="G33" s="27" t="s">
        <v>42</v>
      </c>
      <c r="H33" s="77" t="s">
        <v>24</v>
      </c>
    </row>
    <row r="34" spans="1:8" ht="15" customHeight="1" x14ac:dyDescent="0.25">
      <c r="A34" s="80" t="s">
        <v>258</v>
      </c>
      <c r="B34" s="80" t="s">
        <v>258</v>
      </c>
      <c r="C34" s="80" t="s">
        <v>257</v>
      </c>
      <c r="D34" s="39" t="s">
        <v>21</v>
      </c>
      <c r="E34" s="40">
        <v>30</v>
      </c>
      <c r="F34" s="27" t="s">
        <v>97</v>
      </c>
      <c r="G34" s="27" t="s">
        <v>51</v>
      </c>
      <c r="H34" s="53" t="s">
        <v>24</v>
      </c>
    </row>
    <row r="35" spans="1:8" ht="15" customHeight="1" x14ac:dyDescent="0.25">
      <c r="A35" s="80">
        <v>2.4</v>
      </c>
      <c r="B35" s="80">
        <v>2.4</v>
      </c>
      <c r="C35" s="80">
        <v>2</v>
      </c>
      <c r="D35" s="39" t="s">
        <v>21</v>
      </c>
      <c r="E35" s="40">
        <v>30</v>
      </c>
      <c r="F35" s="27" t="s">
        <v>97</v>
      </c>
      <c r="G35" s="27" t="s">
        <v>50</v>
      </c>
      <c r="H35" s="54" t="s">
        <v>24</v>
      </c>
    </row>
    <row r="36" spans="1:8" ht="15" customHeight="1" x14ac:dyDescent="0.25">
      <c r="A36" s="80">
        <v>7.5</v>
      </c>
      <c r="B36" s="80">
        <v>7.5</v>
      </c>
      <c r="C36" s="80">
        <v>7.5</v>
      </c>
      <c r="D36" s="39" t="s">
        <v>18</v>
      </c>
      <c r="E36" s="40">
        <v>15</v>
      </c>
      <c r="F36" s="27" t="s">
        <v>97</v>
      </c>
      <c r="G36" s="27" t="s">
        <v>148</v>
      </c>
      <c r="H36" s="54" t="s">
        <v>24</v>
      </c>
    </row>
    <row r="37" spans="1:8" ht="15" customHeight="1" x14ac:dyDescent="0.25">
      <c r="A37" s="80">
        <v>7.5</v>
      </c>
      <c r="B37" s="80">
        <v>7.5</v>
      </c>
      <c r="C37" s="80">
        <v>7.5</v>
      </c>
      <c r="D37" s="39" t="s">
        <v>18</v>
      </c>
      <c r="E37" s="40">
        <v>15</v>
      </c>
      <c r="F37" s="27" t="s">
        <v>97</v>
      </c>
      <c r="G37" s="27" t="s">
        <v>45</v>
      </c>
      <c r="H37" s="54" t="s">
        <v>24</v>
      </c>
    </row>
    <row r="38" spans="1:8" ht="15" customHeight="1" x14ac:dyDescent="0.25">
      <c r="A38" s="38">
        <v>0</v>
      </c>
      <c r="B38" s="38">
        <v>0</v>
      </c>
      <c r="C38" s="38">
        <v>0</v>
      </c>
      <c r="D38" s="39" t="s">
        <v>91</v>
      </c>
      <c r="E38" s="40">
        <v>0</v>
      </c>
      <c r="F38" s="27" t="s">
        <v>97</v>
      </c>
      <c r="G38" s="27" t="s">
        <v>189</v>
      </c>
      <c r="H38" s="53"/>
    </row>
    <row r="39" spans="1:8" ht="15" customHeight="1" x14ac:dyDescent="0.25">
      <c r="A39" s="38">
        <v>0</v>
      </c>
      <c r="B39" s="38">
        <v>0</v>
      </c>
      <c r="C39" s="38">
        <v>0</v>
      </c>
      <c r="D39" s="39" t="s">
        <v>91</v>
      </c>
      <c r="E39" s="40">
        <v>0</v>
      </c>
      <c r="F39" s="27" t="s">
        <v>230</v>
      </c>
      <c r="G39" s="27" t="s">
        <v>202</v>
      </c>
      <c r="H39" s="54"/>
    </row>
  </sheetData>
  <autoFilter ref="A1:H39" xr:uid="{0D205E33-EDDE-4B1B-A585-84A321E83F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2c55c3-b5e0-4673-a25e-773070737706">
      <Terms xmlns="http://schemas.microsoft.com/office/infopath/2007/PartnerControls"/>
    </lcf76f155ced4ddcb4097134ff3c332f>
    <TaxCatchAll xmlns="1828f71f-f3a5-414e-8b06-277e7a91b4d5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9B8D18AB98464181D1E85108248829" ma:contentTypeVersion="17" ma:contentTypeDescription="Crear nuevo documento." ma:contentTypeScope="" ma:versionID="b9cea1c05ae2262eed0cd5c2b2009515">
  <xsd:schema xmlns:xsd="http://www.w3.org/2001/XMLSchema" xmlns:xs="http://www.w3.org/2001/XMLSchema" xmlns:p="http://schemas.microsoft.com/office/2006/metadata/properties" xmlns:ns2="932c55c3-b5e0-4673-a25e-773070737706" xmlns:ns3="1828f71f-f3a5-414e-8b06-277e7a91b4d5" targetNamespace="http://schemas.microsoft.com/office/2006/metadata/properties" ma:root="true" ma:fieldsID="e080551d790acb6b42469279dd31adeb" ns2:_="" ns3:_="">
    <xsd:import namespace="932c55c3-b5e0-4673-a25e-773070737706"/>
    <xsd:import namespace="1828f71f-f3a5-414e-8b06-277e7a91b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c55c3-b5e0-4673-a25e-7730707377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fb041b7-8286-4f54-8f47-108c361624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8f71f-f3a5-414e-8b06-277e7a91b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f7eabd3-d49c-4116-8f8a-f44327f7309c}" ma:internalName="TaxCatchAll" ma:showField="CatchAllData" ma:web="1828f71f-f3a5-414e-8b06-277e7a91b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customXml/itemProps3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F183663-B696-4139-ACD2-7028F50B76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INFORME</vt:lpstr>
      <vt:lpstr>PUNTAJES</vt:lpstr>
      <vt:lpstr>Panel</vt:lpstr>
      <vt:lpstr>DATA INFORME</vt:lpstr>
      <vt:lpstr>Videos</vt:lpstr>
      <vt:lpstr>Hoja2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Diego Raul Guerrero Anaya</cp:lastModifiedBy>
  <cp:revision/>
  <dcterms:created xsi:type="dcterms:W3CDTF">2024-08-27T21:29:06Z</dcterms:created>
  <dcterms:modified xsi:type="dcterms:W3CDTF">2025-07-02T17:47:05Z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0x010100239B8D18AB98464181D1E85108248829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2025-02-18T13:41:51Z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01ccb257-027b-4f45-9af8-536a979f0bdf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