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JUNIO/Informe/"/>
    </mc:Choice>
  </mc:AlternateContent>
  <xr:revisionPtr revIDLastSave="795" documentId="8_{AEDEEC47-FF89-4AE5-ABD7-66D1B1D358E3}" xr6:coauthVersionLast="47" xr6:coauthVersionMax="47" xr10:uidLastSave="{D667C81F-B635-4184-BDEA-90EA4ADF33CB}"/>
  <bookViews>
    <workbookView xWindow="-120" yWindow="-120" windowWidth="20730" windowHeight="11040" tabRatio="989" activeTab="5"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ENCUESTA!$A$1:$H$36</definedName>
    <definedName name="_xlnm._FilterDatabase" localSheetId="3" hidden="1">Panel!#REF!</definedName>
    <definedName name="_xlnm._FilterDatabase" localSheetId="1" hidden="1">Videos!$A$1:$C$7</definedName>
    <definedName name="DatosExternos_1" localSheetId="4" hidden="1">'DATA INFORME'!$A$1:$AS$19</definedName>
    <definedName name="DatosExternos_2" localSheetId="2" hidden="1">PUNTAJES!$A$1:$K$514</definedName>
    <definedName name="SegmentaciónDeDatos_CIUDAD">#N/A</definedName>
    <definedName name="SegmentaciónDeDatos_NOMBRE_COMERCIAL">#N/A</definedName>
  </definedNames>
  <calcPr calcId="191028"/>
  <pivotCaches>
    <pivotCache cacheId="39" r:id="rId8"/>
    <pivotCache cacheId="4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M2" i="5" s="1"/>
  <c r="L3" i="5"/>
  <c r="N3" i="5" s="1"/>
  <c r="L4" i="5"/>
  <c r="M4" i="5" s="1"/>
  <c r="L5" i="5"/>
  <c r="L6" i="5"/>
  <c r="M6" i="5" s="1"/>
  <c r="L7" i="5"/>
  <c r="N7" i="5" s="1"/>
  <c r="L8" i="5"/>
  <c r="M8" i="5" s="1"/>
  <c r="L9" i="5"/>
  <c r="N9" i="5" s="1"/>
  <c r="L10" i="5"/>
  <c r="N10" i="5" s="1"/>
  <c r="L11" i="5"/>
  <c r="M11" i="5" s="1"/>
  <c r="L12" i="5"/>
  <c r="L13" i="5"/>
  <c r="L14" i="5"/>
  <c r="N14" i="5" s="1"/>
  <c r="L15" i="5"/>
  <c r="N15" i="5" s="1"/>
  <c r="L16" i="5"/>
  <c r="M16" i="5" s="1"/>
  <c r="L17" i="5"/>
  <c r="M17" i="5" s="1"/>
  <c r="L18" i="5"/>
  <c r="L19" i="5"/>
  <c r="M19" i="5" s="1"/>
  <c r="L20" i="5"/>
  <c r="M20" i="5" s="1"/>
  <c r="L21" i="5"/>
  <c r="L22" i="5"/>
  <c r="M22" i="5" s="1"/>
  <c r="L23" i="5"/>
  <c r="N23" i="5" s="1"/>
  <c r="L24" i="5"/>
  <c r="M24" i="5" s="1"/>
  <c r="L25" i="5"/>
  <c r="M25" i="5" s="1"/>
  <c r="L26" i="5"/>
  <c r="M26" i="5" s="1"/>
  <c r="L27" i="5"/>
  <c r="M27" i="5" s="1"/>
  <c r="L28" i="5"/>
  <c r="L29" i="5"/>
  <c r="L30" i="5"/>
  <c r="L31" i="5"/>
  <c r="N31" i="5" s="1"/>
  <c r="L32" i="5"/>
  <c r="M32" i="5" s="1"/>
  <c r="L33" i="5"/>
  <c r="M33" i="5" s="1"/>
  <c r="L34" i="5"/>
  <c r="N34" i="5" s="1"/>
  <c r="L35" i="5"/>
  <c r="M35" i="5" s="1"/>
  <c r="L36" i="5"/>
  <c r="M36" i="5" s="1"/>
  <c r="L37" i="5"/>
  <c r="L38" i="5"/>
  <c r="N38" i="5" s="1"/>
  <c r="L39" i="5"/>
  <c r="N39" i="5" s="1"/>
  <c r="L40" i="5"/>
  <c r="M40" i="5" s="1"/>
  <c r="L41" i="5"/>
  <c r="M41" i="5" s="1"/>
  <c r="L42" i="5"/>
  <c r="N42" i="5" s="1"/>
  <c r="L43" i="5"/>
  <c r="N43" i="5" s="1"/>
  <c r="L44" i="5"/>
  <c r="M44" i="5" s="1"/>
  <c r="L45" i="5"/>
  <c r="L46" i="5"/>
  <c r="M46" i="5" s="1"/>
  <c r="L47" i="5"/>
  <c r="N47" i="5" s="1"/>
  <c r="L48" i="5"/>
  <c r="M48" i="5" s="1"/>
  <c r="L49" i="5"/>
  <c r="M49" i="5" s="1"/>
  <c r="L50" i="5"/>
  <c r="M50" i="5" s="1"/>
  <c r="L51" i="5"/>
  <c r="M51" i="5" s="1"/>
  <c r="L52" i="5"/>
  <c r="L53" i="5"/>
  <c r="L54" i="5"/>
  <c r="M54" i="5" s="1"/>
  <c r="L55" i="5"/>
  <c r="N55" i="5" s="1"/>
  <c r="L56" i="5"/>
  <c r="M56" i="5" s="1"/>
  <c r="L57" i="5"/>
  <c r="M57" i="5" s="1"/>
  <c r="L58" i="5"/>
  <c r="M58" i="5" s="1"/>
  <c r="L59" i="5"/>
  <c r="N59" i="5" s="1"/>
  <c r="L60" i="5"/>
  <c r="M60" i="5" s="1"/>
  <c r="L61" i="5"/>
  <c r="L62" i="5"/>
  <c r="L63" i="5"/>
  <c r="N63" i="5" s="1"/>
  <c r="L64" i="5"/>
  <c r="M64" i="5" s="1"/>
  <c r="L65" i="5"/>
  <c r="M65" i="5" s="1"/>
  <c r="L66" i="5"/>
  <c r="N66" i="5" s="1"/>
  <c r="L67" i="5"/>
  <c r="N67" i="5" s="1"/>
  <c r="L68" i="5"/>
  <c r="M68" i="5" s="1"/>
  <c r="L69" i="5"/>
  <c r="L70" i="5"/>
  <c r="M70" i="5" s="1"/>
  <c r="L71" i="5"/>
  <c r="N71" i="5" s="1"/>
  <c r="L72" i="5"/>
  <c r="M72" i="5" s="1"/>
  <c r="L73" i="5"/>
  <c r="M73" i="5" s="1"/>
  <c r="L74" i="5"/>
  <c r="N74" i="5" s="1"/>
  <c r="L75" i="5"/>
  <c r="N75" i="5" s="1"/>
  <c r="L76" i="5"/>
  <c r="L77" i="5"/>
  <c r="L78" i="5"/>
  <c r="L79" i="5"/>
  <c r="N79" i="5" s="1"/>
  <c r="L80" i="5"/>
  <c r="M80" i="5" s="1"/>
  <c r="L81" i="5"/>
  <c r="M81" i="5" s="1"/>
  <c r="L82" i="5"/>
  <c r="M82" i="5" s="1"/>
  <c r="L83" i="5"/>
  <c r="M83" i="5" s="1"/>
  <c r="L84" i="5"/>
  <c r="M84" i="5" s="1"/>
  <c r="L85" i="5"/>
  <c r="L86" i="5"/>
  <c r="N86" i="5" s="1"/>
  <c r="L87" i="5"/>
  <c r="N87" i="5" s="1"/>
  <c r="L88" i="5"/>
  <c r="M88" i="5" s="1"/>
  <c r="L89" i="5"/>
  <c r="M89" i="5" s="1"/>
  <c r="L90" i="5"/>
  <c r="L91" i="5"/>
  <c r="M91" i="5" s="1"/>
  <c r="L92" i="5"/>
  <c r="L93" i="5"/>
  <c r="L94" i="5"/>
  <c r="N94" i="5" s="1"/>
  <c r="L95" i="5"/>
  <c r="N95" i="5" s="1"/>
  <c r="L96" i="5"/>
  <c r="M96" i="5" s="1"/>
  <c r="L97" i="5"/>
  <c r="M97" i="5" s="1"/>
  <c r="L98" i="5"/>
  <c r="M98" i="5" s="1"/>
  <c r="L99" i="5"/>
  <c r="M99" i="5" s="1"/>
  <c r="L100" i="5"/>
  <c r="L101" i="5"/>
  <c r="L102" i="5"/>
  <c r="M102" i="5" s="1"/>
  <c r="L103" i="5"/>
  <c r="N103" i="5" s="1"/>
  <c r="L104" i="5"/>
  <c r="M104" i="5" s="1"/>
  <c r="L105" i="5"/>
  <c r="M105" i="5" s="1"/>
  <c r="L106" i="5"/>
  <c r="N106" i="5" s="1"/>
  <c r="L107" i="5"/>
  <c r="N107" i="5" s="1"/>
  <c r="L108" i="5"/>
  <c r="M108" i="5" s="1"/>
  <c r="L109" i="5"/>
  <c r="L110" i="5"/>
  <c r="L111" i="5"/>
  <c r="N111" i="5" s="1"/>
  <c r="L112" i="5"/>
  <c r="M112" i="5" s="1"/>
  <c r="L113" i="5"/>
  <c r="M113" i="5" s="1"/>
  <c r="L114" i="5"/>
  <c r="N114" i="5" s="1"/>
  <c r="L115" i="5"/>
  <c r="M115" i="5" s="1"/>
  <c r="L116" i="5"/>
  <c r="M116" i="5" s="1"/>
  <c r="L117" i="5"/>
  <c r="L118" i="5"/>
  <c r="N118" i="5" s="1"/>
  <c r="L119" i="5"/>
  <c r="N119" i="5" s="1"/>
  <c r="L120" i="5"/>
  <c r="M120" i="5" s="1"/>
  <c r="L121" i="5"/>
  <c r="M121" i="5" s="1"/>
  <c r="L122" i="5"/>
  <c r="L123" i="5"/>
  <c r="M123" i="5" s="1"/>
  <c r="L124" i="5"/>
  <c r="L125" i="5"/>
  <c r="L126" i="5"/>
  <c r="N126" i="5" s="1"/>
  <c r="L127" i="5"/>
  <c r="N127" i="5" s="1"/>
  <c r="L128" i="5"/>
  <c r="M128" i="5" s="1"/>
  <c r="L129" i="5"/>
  <c r="M129" i="5" s="1"/>
  <c r="L130" i="5"/>
  <c r="L131" i="5"/>
  <c r="M131" i="5" s="1"/>
  <c r="L132" i="5"/>
  <c r="M132" i="5" s="1"/>
  <c r="L133" i="5"/>
  <c r="L134" i="5"/>
  <c r="M134" i="5" s="1"/>
  <c r="L135" i="5"/>
  <c r="N135" i="5" s="1"/>
  <c r="L136" i="5"/>
  <c r="M136" i="5" s="1"/>
  <c r="L137" i="5"/>
  <c r="M137" i="5" s="1"/>
  <c r="L138" i="5"/>
  <c r="M138" i="5" s="1"/>
  <c r="L139" i="5"/>
  <c r="M139" i="5" s="1"/>
  <c r="L140" i="5"/>
  <c r="L141" i="5"/>
  <c r="L142" i="5"/>
  <c r="N142" i="5" s="1"/>
  <c r="L143" i="5"/>
  <c r="N143" i="5" s="1"/>
  <c r="L144" i="5"/>
  <c r="M144" i="5" s="1"/>
  <c r="L145" i="5"/>
  <c r="M145" i="5" s="1"/>
  <c r="L146" i="5"/>
  <c r="N146" i="5" s="1"/>
  <c r="L147" i="5"/>
  <c r="N147" i="5" s="1"/>
  <c r="L148" i="5"/>
  <c r="M148" i="5" s="1"/>
  <c r="L149" i="5"/>
  <c r="L150" i="5"/>
  <c r="N150" i="5" s="1"/>
  <c r="L151" i="5"/>
  <c r="N151" i="5" s="1"/>
  <c r="L152" i="5"/>
  <c r="M152" i="5" s="1"/>
  <c r="L153" i="5"/>
  <c r="M153" i="5" s="1"/>
  <c r="L154" i="5"/>
  <c r="M154" i="5" s="1"/>
  <c r="L155" i="5"/>
  <c r="L156" i="5"/>
  <c r="L157" i="5"/>
  <c r="L158" i="5"/>
  <c r="M158" i="5" s="1"/>
  <c r="L159" i="5"/>
  <c r="N159" i="5" s="1"/>
  <c r="L160" i="5"/>
  <c r="M160" i="5" s="1"/>
  <c r="L161" i="5"/>
  <c r="M161" i="5" s="1"/>
  <c r="L162" i="5"/>
  <c r="M162" i="5" s="1"/>
  <c r="L163" i="5"/>
  <c r="M163" i="5" s="1"/>
  <c r="L164" i="5"/>
  <c r="M164" i="5" s="1"/>
  <c r="L165" i="5"/>
  <c r="L166" i="5"/>
  <c r="M166" i="5" s="1"/>
  <c r="L167" i="5"/>
  <c r="N167" i="5" s="1"/>
  <c r="L168" i="5"/>
  <c r="M168" i="5" s="1"/>
  <c r="L169" i="5"/>
  <c r="M169" i="5" s="1"/>
  <c r="L170" i="5"/>
  <c r="N170" i="5" s="1"/>
  <c r="L171" i="5"/>
  <c r="N171" i="5" s="1"/>
  <c r="L172" i="5"/>
  <c r="M172" i="5" s="1"/>
  <c r="L173" i="5"/>
  <c r="L174" i="5"/>
  <c r="M174" i="5" s="1"/>
  <c r="L175" i="5"/>
  <c r="M175" i="5" s="1"/>
  <c r="L176" i="5"/>
  <c r="M176" i="5" s="1"/>
  <c r="L177" i="5"/>
  <c r="M177" i="5" s="1"/>
  <c r="L178" i="5"/>
  <c r="N178" i="5" s="1"/>
  <c r="L179" i="5"/>
  <c r="N179" i="5" s="1"/>
  <c r="L180" i="5"/>
  <c r="L181" i="5"/>
  <c r="L182" i="5"/>
  <c r="M182" i="5" s="1"/>
  <c r="L183" i="5"/>
  <c r="M183" i="5" s="1"/>
  <c r="L184" i="5"/>
  <c r="M184" i="5" s="1"/>
  <c r="L185" i="5"/>
  <c r="M185" i="5" s="1"/>
  <c r="L186" i="5"/>
  <c r="L187" i="5"/>
  <c r="N187" i="5" s="1"/>
  <c r="L188" i="5"/>
  <c r="L189" i="5"/>
  <c r="L190" i="5"/>
  <c r="M190" i="5" s="1"/>
  <c r="L191" i="5"/>
  <c r="M191" i="5" s="1"/>
  <c r="L192" i="5"/>
  <c r="M192" i="5" s="1"/>
  <c r="L193" i="5"/>
  <c r="N193" i="5" s="1"/>
  <c r="L194" i="5"/>
  <c r="M194" i="5" s="1"/>
  <c r="L195" i="5"/>
  <c r="M195" i="5" s="1"/>
  <c r="L196" i="5"/>
  <c r="M196" i="5" s="1"/>
  <c r="L197" i="5"/>
  <c r="L198" i="5"/>
  <c r="M198" i="5" s="1"/>
  <c r="L199" i="5"/>
  <c r="M199" i="5" s="1"/>
  <c r="L200" i="5"/>
  <c r="M200" i="5" s="1"/>
  <c r="L201" i="5"/>
  <c r="M201" i="5" s="1"/>
  <c r="L202" i="5"/>
  <c r="M202" i="5" s="1"/>
  <c r="L203" i="5"/>
  <c r="M203" i="5" s="1"/>
  <c r="L204" i="5"/>
  <c r="L205" i="5"/>
  <c r="L206" i="5"/>
  <c r="N206" i="5" s="1"/>
  <c r="L207" i="5"/>
  <c r="M207" i="5" s="1"/>
  <c r="L208" i="5"/>
  <c r="M208" i="5" s="1"/>
  <c r="L209" i="5"/>
  <c r="M209" i="5" s="1"/>
  <c r="L210" i="5"/>
  <c r="M210" i="5" s="1"/>
  <c r="L211" i="5"/>
  <c r="N211" i="5" s="1"/>
  <c r="L212" i="5"/>
  <c r="L213" i="5"/>
  <c r="L214" i="5"/>
  <c r="M214" i="5" s="1"/>
  <c r="L215" i="5"/>
  <c r="M215" i="5" s="1"/>
  <c r="L216" i="5"/>
  <c r="M216" i="5" s="1"/>
  <c r="L217" i="5"/>
  <c r="M217" i="5" s="1"/>
  <c r="L218" i="5"/>
  <c r="M218" i="5" s="1"/>
  <c r="L219" i="5"/>
  <c r="N219" i="5" s="1"/>
  <c r="L220" i="5"/>
  <c r="L221" i="5"/>
  <c r="L222" i="5"/>
  <c r="N222" i="5" s="1"/>
  <c r="L223" i="5"/>
  <c r="M223" i="5" s="1"/>
  <c r="L224" i="5"/>
  <c r="M224" i="5" s="1"/>
  <c r="L225" i="5"/>
  <c r="N225" i="5" s="1"/>
  <c r="L226" i="5"/>
  <c r="M226" i="5" s="1"/>
  <c r="L227" i="5"/>
  <c r="N227" i="5" s="1"/>
  <c r="L228" i="5"/>
  <c r="L229" i="5"/>
  <c r="L230" i="5"/>
  <c r="N230" i="5" s="1"/>
  <c r="L231" i="5"/>
  <c r="M231" i="5" s="1"/>
  <c r="L232" i="5"/>
  <c r="M232" i="5" s="1"/>
  <c r="L233" i="5"/>
  <c r="M233" i="5" s="1"/>
  <c r="L234" i="5"/>
  <c r="M234" i="5" s="1"/>
  <c r="L235" i="5"/>
  <c r="M235" i="5" s="1"/>
  <c r="L236" i="5"/>
  <c r="M236" i="5" s="1"/>
  <c r="L237" i="5"/>
  <c r="L238" i="5"/>
  <c r="M238" i="5" s="1"/>
  <c r="L239" i="5"/>
  <c r="M239" i="5" s="1"/>
  <c r="L240" i="5"/>
  <c r="M240" i="5" s="1"/>
  <c r="L241" i="5"/>
  <c r="M241" i="5" s="1"/>
  <c r="L242" i="5"/>
  <c r="N242" i="5" s="1"/>
  <c r="L243" i="5"/>
  <c r="M243" i="5" s="1"/>
  <c r="L244" i="5"/>
  <c r="M244" i="5" s="1"/>
  <c r="L245" i="5"/>
  <c r="L246" i="5"/>
  <c r="N246" i="5" s="1"/>
  <c r="L247" i="5"/>
  <c r="M247" i="5" s="1"/>
  <c r="L248" i="5"/>
  <c r="M248" i="5" s="1"/>
  <c r="L249" i="5"/>
  <c r="M249" i="5" s="1"/>
  <c r="L250" i="5"/>
  <c r="M250" i="5" s="1"/>
  <c r="L251" i="5"/>
  <c r="M251" i="5" s="1"/>
  <c r="L252" i="5"/>
  <c r="L253" i="5"/>
  <c r="L254" i="5"/>
  <c r="M254" i="5" s="1"/>
  <c r="L255" i="5"/>
  <c r="M255" i="5" s="1"/>
  <c r="L256" i="5"/>
  <c r="M256" i="5" s="1"/>
  <c r="L257" i="5"/>
  <c r="M257" i="5" s="1"/>
  <c r="L258" i="5"/>
  <c r="M258" i="5" s="1"/>
  <c r="L259" i="5"/>
  <c r="M259" i="5" s="1"/>
  <c r="L260" i="5"/>
  <c r="M260" i="5" s="1"/>
  <c r="L261" i="5"/>
  <c r="L262" i="5"/>
  <c r="M262" i="5" s="1"/>
  <c r="L263" i="5"/>
  <c r="M263" i="5" s="1"/>
  <c r="L264" i="5"/>
  <c r="M264" i="5" s="1"/>
  <c r="L265" i="5"/>
  <c r="M265" i="5" s="1"/>
  <c r="L266" i="5"/>
  <c r="M266" i="5" s="1"/>
  <c r="L267" i="5"/>
  <c r="M267" i="5" s="1"/>
  <c r="L268" i="5"/>
  <c r="L269" i="5"/>
  <c r="L270" i="5"/>
  <c r="N270" i="5" s="1"/>
  <c r="L271" i="5"/>
  <c r="M271" i="5" s="1"/>
  <c r="L272" i="5"/>
  <c r="M272" i="5" s="1"/>
  <c r="L273" i="5"/>
  <c r="M273" i="5" s="1"/>
  <c r="L274" i="5"/>
  <c r="M274" i="5" s="1"/>
  <c r="L275" i="5"/>
  <c r="N275" i="5" s="1"/>
  <c r="L276" i="5"/>
  <c r="M276" i="5" s="1"/>
  <c r="L277" i="5"/>
  <c r="L278" i="5"/>
  <c r="L279" i="5"/>
  <c r="M279" i="5" s="1"/>
  <c r="L280" i="5"/>
  <c r="M280" i="5" s="1"/>
  <c r="L281" i="5"/>
  <c r="M281" i="5" s="1"/>
  <c r="L282" i="5"/>
  <c r="M282" i="5" s="1"/>
  <c r="L283" i="5"/>
  <c r="N283" i="5" s="1"/>
  <c r="L284" i="5"/>
  <c r="L285" i="5"/>
  <c r="L286" i="5"/>
  <c r="M286" i="5" s="1"/>
  <c r="L287" i="5"/>
  <c r="M287" i="5" s="1"/>
  <c r="L288" i="5"/>
  <c r="M288" i="5" s="1"/>
  <c r="L289" i="5"/>
  <c r="M289" i="5" s="1"/>
  <c r="L290" i="5"/>
  <c r="N290" i="5" s="1"/>
  <c r="L291" i="5"/>
  <c r="N291" i="5" s="1"/>
  <c r="L292" i="5"/>
  <c r="L293" i="5"/>
  <c r="L294" i="5"/>
  <c r="N294" i="5" s="1"/>
  <c r="L295" i="5"/>
  <c r="M295" i="5" s="1"/>
  <c r="L296" i="5"/>
  <c r="M296" i="5" s="1"/>
  <c r="L297" i="5"/>
  <c r="M297" i="5" s="1"/>
  <c r="L298" i="5"/>
  <c r="N298" i="5" s="1"/>
  <c r="L299" i="5"/>
  <c r="M299" i="5" s="1"/>
  <c r="L300" i="5"/>
  <c r="M300" i="5" s="1"/>
  <c r="L301" i="5"/>
  <c r="L302" i="5"/>
  <c r="M302" i="5" s="1"/>
  <c r="L303" i="5"/>
  <c r="M303" i="5" s="1"/>
  <c r="L304" i="5"/>
  <c r="M304" i="5" s="1"/>
  <c r="L305" i="5"/>
  <c r="M305" i="5" s="1"/>
  <c r="L306" i="5"/>
  <c r="M306" i="5" s="1"/>
  <c r="L307" i="5"/>
  <c r="M307" i="5" s="1"/>
  <c r="L308" i="5"/>
  <c r="M308" i="5" s="1"/>
  <c r="L309" i="5"/>
  <c r="L310" i="5"/>
  <c r="M310" i="5" s="1"/>
  <c r="L311" i="5"/>
  <c r="M311" i="5" s="1"/>
  <c r="L312" i="5"/>
  <c r="M312" i="5" s="1"/>
  <c r="L313" i="5"/>
  <c r="M313" i="5" s="1"/>
  <c r="L314" i="5"/>
  <c r="M314" i="5" s="1"/>
  <c r="L315" i="5"/>
  <c r="M315" i="5" s="1"/>
  <c r="L316" i="5"/>
  <c r="M316" i="5" s="1"/>
  <c r="L317" i="5"/>
  <c r="L318" i="5"/>
  <c r="N318" i="5" s="1"/>
  <c r="L319" i="5"/>
  <c r="M319" i="5" s="1"/>
  <c r="L320" i="5"/>
  <c r="M320" i="5" s="1"/>
  <c r="L321" i="5"/>
  <c r="M321" i="5" s="1"/>
  <c r="L322" i="5"/>
  <c r="M322" i="5" s="1"/>
  <c r="L323" i="5"/>
  <c r="M323" i="5" s="1"/>
  <c r="L324" i="5"/>
  <c r="M324" i="5" s="1"/>
  <c r="L325" i="5"/>
  <c r="L326" i="5"/>
  <c r="L327" i="5"/>
  <c r="M327" i="5" s="1"/>
  <c r="L328" i="5"/>
  <c r="M328" i="5" s="1"/>
  <c r="L329" i="5"/>
  <c r="M329" i="5" s="1"/>
  <c r="L330" i="5"/>
  <c r="N330" i="5" s="1"/>
  <c r="L331" i="5"/>
  <c r="M331" i="5" s="1"/>
  <c r="L332" i="5"/>
  <c r="M332" i="5" s="1"/>
  <c r="L333" i="5"/>
  <c r="L334" i="5"/>
  <c r="N334" i="5" s="1"/>
  <c r="L335" i="5"/>
  <c r="M335" i="5" s="1"/>
  <c r="L336" i="5"/>
  <c r="M336" i="5" s="1"/>
  <c r="L337" i="5"/>
  <c r="M337" i="5" s="1"/>
  <c r="L338" i="5"/>
  <c r="M338" i="5" s="1"/>
  <c r="L339" i="5"/>
  <c r="N339" i="5" s="1"/>
  <c r="L340" i="5"/>
  <c r="N340" i="5" s="1"/>
  <c r="L341" i="5"/>
  <c r="L342" i="5"/>
  <c r="N342" i="5" s="1"/>
  <c r="L343" i="5"/>
  <c r="M343" i="5" s="1"/>
  <c r="L344" i="5"/>
  <c r="M344" i="5" s="1"/>
  <c r="L345" i="5"/>
  <c r="M345" i="5" s="1"/>
  <c r="L346" i="5"/>
  <c r="M346" i="5" s="1"/>
  <c r="L347" i="5"/>
  <c r="M347" i="5" s="1"/>
  <c r="L348" i="5"/>
  <c r="N348" i="5" s="1"/>
  <c r="L349" i="5"/>
  <c r="L350" i="5"/>
  <c r="M350" i="5" s="1"/>
  <c r="L351" i="5"/>
  <c r="M351" i="5" s="1"/>
  <c r="L352" i="5"/>
  <c r="M352" i="5" s="1"/>
  <c r="L353" i="5"/>
  <c r="M353" i="5" s="1"/>
  <c r="L354" i="5"/>
  <c r="N354" i="5" s="1"/>
  <c r="L355" i="5"/>
  <c r="M355" i="5" s="1"/>
  <c r="L356" i="5"/>
  <c r="N356" i="5" s="1"/>
  <c r="L357" i="5"/>
  <c r="L358" i="5"/>
  <c r="M358" i="5" s="1"/>
  <c r="L359" i="5"/>
  <c r="M359" i="5" s="1"/>
  <c r="L360" i="5"/>
  <c r="M360" i="5" s="1"/>
  <c r="L361" i="5"/>
  <c r="M361" i="5" s="1"/>
  <c r="L362" i="5"/>
  <c r="M362" i="5" s="1"/>
  <c r="L363" i="5"/>
  <c r="M363" i="5" s="1"/>
  <c r="L364" i="5"/>
  <c r="M364" i="5" s="1"/>
  <c r="L365" i="5"/>
  <c r="L366" i="5"/>
  <c r="M366" i="5" s="1"/>
  <c r="L367" i="5"/>
  <c r="M367" i="5" s="1"/>
  <c r="L368" i="5"/>
  <c r="M368" i="5" s="1"/>
  <c r="L369" i="5"/>
  <c r="M369" i="5" s="1"/>
  <c r="L370" i="5"/>
  <c r="M370" i="5" s="1"/>
  <c r="L371" i="5"/>
  <c r="N371" i="5" s="1"/>
  <c r="L372" i="5"/>
  <c r="M372" i="5" s="1"/>
  <c r="L373" i="5"/>
  <c r="L374" i="5"/>
  <c r="N374" i="5" s="1"/>
  <c r="L375" i="5"/>
  <c r="M375" i="5" s="1"/>
  <c r="L376" i="5"/>
  <c r="M376" i="5" s="1"/>
  <c r="L377" i="5"/>
  <c r="M377" i="5" s="1"/>
  <c r="L378" i="5"/>
  <c r="M378" i="5" s="1"/>
  <c r="L379" i="5"/>
  <c r="N379" i="5" s="1"/>
  <c r="L380" i="5"/>
  <c r="M380" i="5" s="1"/>
  <c r="L381" i="5"/>
  <c r="L382" i="5"/>
  <c r="M382" i="5" s="1"/>
  <c r="L383" i="5"/>
  <c r="M383" i="5" s="1"/>
  <c r="L384" i="5"/>
  <c r="M384" i="5" s="1"/>
  <c r="L385" i="5"/>
  <c r="M385" i="5" s="1"/>
  <c r="L386" i="5"/>
  <c r="M386" i="5" s="1"/>
  <c r="L387" i="5"/>
  <c r="N387" i="5" s="1"/>
  <c r="L388" i="5"/>
  <c r="M388" i="5" s="1"/>
  <c r="L389" i="5"/>
  <c r="L390" i="5"/>
  <c r="M390" i="5" s="1"/>
  <c r="L391" i="5"/>
  <c r="M391" i="5" s="1"/>
  <c r="L392" i="5"/>
  <c r="M392" i="5" s="1"/>
  <c r="L393" i="5"/>
  <c r="M393" i="5" s="1"/>
  <c r="L394" i="5"/>
  <c r="M394" i="5" s="1"/>
  <c r="L395" i="5"/>
  <c r="M395" i="5" s="1"/>
  <c r="L396" i="5"/>
  <c r="M396" i="5" s="1"/>
  <c r="L397" i="5"/>
  <c r="L398" i="5"/>
  <c r="N398" i="5" s="1"/>
  <c r="L399" i="5"/>
  <c r="M399" i="5" s="1"/>
  <c r="L400" i="5"/>
  <c r="M400" i="5" s="1"/>
  <c r="L401" i="5"/>
  <c r="M401" i="5" s="1"/>
  <c r="L402" i="5"/>
  <c r="M402" i="5" s="1"/>
  <c r="L403" i="5"/>
  <c r="M403" i="5" s="1"/>
  <c r="L404" i="5"/>
  <c r="M404" i="5" s="1"/>
  <c r="L405" i="5"/>
  <c r="L406" i="5"/>
  <c r="N406" i="5" s="1"/>
  <c r="L407" i="5"/>
  <c r="M407" i="5" s="1"/>
  <c r="L408" i="5"/>
  <c r="M408" i="5" s="1"/>
  <c r="L409" i="5"/>
  <c r="M409" i="5" s="1"/>
  <c r="L410" i="5"/>
  <c r="N410" i="5" s="1"/>
  <c r="L411" i="5"/>
  <c r="N411" i="5" s="1"/>
  <c r="L412" i="5"/>
  <c r="M412" i="5" s="1"/>
  <c r="L413" i="5"/>
  <c r="L414" i="5"/>
  <c r="M414" i="5" s="1"/>
  <c r="L415" i="5"/>
  <c r="M415" i="5" s="1"/>
  <c r="L416" i="5"/>
  <c r="M416" i="5" s="1"/>
  <c r="L417" i="5"/>
  <c r="M417" i="5" s="1"/>
  <c r="L418" i="5"/>
  <c r="N418" i="5" s="1"/>
  <c r="L419" i="5"/>
  <c r="M419" i="5" s="1"/>
  <c r="L420" i="5"/>
  <c r="M420" i="5" s="1"/>
  <c r="L421" i="5"/>
  <c r="L422" i="5"/>
  <c r="N422" i="5" s="1"/>
  <c r="L423" i="5"/>
  <c r="M423" i="5" s="1"/>
  <c r="L424" i="5"/>
  <c r="M424" i="5" s="1"/>
  <c r="L425" i="5"/>
  <c r="M425" i="5" s="1"/>
  <c r="L426" i="5"/>
  <c r="M426" i="5" s="1"/>
  <c r="L427" i="5"/>
  <c r="N427" i="5" s="1"/>
  <c r="L428" i="5"/>
  <c r="N428" i="5" s="1"/>
  <c r="L429" i="5"/>
  <c r="L430" i="5"/>
  <c r="N430" i="5" s="1"/>
  <c r="L431" i="5"/>
  <c r="M431" i="5" s="1"/>
  <c r="L432" i="5"/>
  <c r="M432" i="5" s="1"/>
  <c r="L433" i="5"/>
  <c r="M433" i="5" s="1"/>
  <c r="L434" i="5"/>
  <c r="M434" i="5" s="1"/>
  <c r="L435" i="5"/>
  <c r="N435" i="5" s="1"/>
  <c r="L436" i="5"/>
  <c r="M436" i="5" s="1"/>
  <c r="L437" i="5"/>
  <c r="L438" i="5"/>
  <c r="N438" i="5" s="1"/>
  <c r="L439" i="5"/>
  <c r="M439" i="5" s="1"/>
  <c r="L440" i="5"/>
  <c r="M440" i="5" s="1"/>
  <c r="L441" i="5"/>
  <c r="M441" i="5" s="1"/>
  <c r="L442" i="5"/>
  <c r="M442" i="5" s="1"/>
  <c r="L443" i="5"/>
  <c r="N443" i="5" s="1"/>
  <c r="L444" i="5"/>
  <c r="M444" i="5" s="1"/>
  <c r="L445" i="5"/>
  <c r="L446" i="5"/>
  <c r="M446" i="5" s="1"/>
  <c r="L447" i="5"/>
  <c r="M447" i="5" s="1"/>
  <c r="L448" i="5"/>
  <c r="M448" i="5" s="1"/>
  <c r="L449" i="5"/>
  <c r="M449" i="5" s="1"/>
  <c r="L450" i="5"/>
  <c r="M450" i="5" s="1"/>
  <c r="L451" i="5"/>
  <c r="N451" i="5" s="1"/>
  <c r="L452" i="5"/>
  <c r="M452" i="5" s="1"/>
  <c r="L453" i="5"/>
  <c r="L454" i="5"/>
  <c r="M454" i="5" s="1"/>
  <c r="L455" i="5"/>
  <c r="M455" i="5" s="1"/>
  <c r="L456" i="5"/>
  <c r="M456" i="5" s="1"/>
  <c r="L457" i="5"/>
  <c r="M457" i="5" s="1"/>
  <c r="L458" i="5"/>
  <c r="M458" i="5" s="1"/>
  <c r="L459" i="5"/>
  <c r="M459" i="5" s="1"/>
  <c r="L460" i="5"/>
  <c r="M460" i="5" s="1"/>
  <c r="L461" i="5"/>
  <c r="L462" i="5"/>
  <c r="M462" i="5" s="1"/>
  <c r="L463" i="5"/>
  <c r="M463" i="5" s="1"/>
  <c r="L464" i="5"/>
  <c r="M464" i="5" s="1"/>
  <c r="L465" i="5"/>
  <c r="M465" i="5" s="1"/>
  <c r="L466" i="5"/>
  <c r="M466" i="5" s="1"/>
  <c r="L467" i="5"/>
  <c r="M467" i="5" s="1"/>
  <c r="L468" i="5"/>
  <c r="M468" i="5" s="1"/>
  <c r="L469" i="5"/>
  <c r="L470" i="5"/>
  <c r="L471" i="5"/>
  <c r="M471" i="5" s="1"/>
  <c r="L472" i="5"/>
  <c r="M472" i="5" s="1"/>
  <c r="L473" i="5"/>
  <c r="M473" i="5" s="1"/>
  <c r="L474" i="5"/>
  <c r="M474" i="5" s="1"/>
  <c r="L475" i="5"/>
  <c r="M475" i="5" s="1"/>
  <c r="L476" i="5"/>
  <c r="M476" i="5" s="1"/>
  <c r="L477" i="5"/>
  <c r="L478" i="5"/>
  <c r="N478" i="5" s="1"/>
  <c r="L479" i="5"/>
  <c r="M479" i="5" s="1"/>
  <c r="L480" i="5"/>
  <c r="M480" i="5" s="1"/>
  <c r="L481" i="5"/>
  <c r="M481" i="5" s="1"/>
  <c r="L482" i="5"/>
  <c r="N482" i="5" s="1"/>
  <c r="L483" i="5"/>
  <c r="N483" i="5" s="1"/>
  <c r="L484" i="5"/>
  <c r="M484" i="5" s="1"/>
  <c r="L485" i="5"/>
  <c r="L486" i="5"/>
  <c r="N486" i="5" s="1"/>
  <c r="L487" i="5"/>
  <c r="M487" i="5" s="1"/>
  <c r="L488" i="5"/>
  <c r="M488" i="5" s="1"/>
  <c r="L489" i="5"/>
  <c r="M489" i="5" s="1"/>
  <c r="L490" i="5"/>
  <c r="M490" i="5" s="1"/>
  <c r="L491" i="5"/>
  <c r="N491" i="5" s="1"/>
  <c r="L492" i="5"/>
  <c r="M492" i="5" s="1"/>
  <c r="L493" i="5"/>
  <c r="L494" i="5"/>
  <c r="M494" i="5" s="1"/>
  <c r="L495" i="5"/>
  <c r="M495" i="5" s="1"/>
  <c r="L496" i="5"/>
  <c r="M496" i="5" s="1"/>
  <c r="L497" i="5"/>
  <c r="M497" i="5" s="1"/>
  <c r="L498" i="5"/>
  <c r="M498" i="5" s="1"/>
  <c r="L499" i="5"/>
  <c r="N499" i="5" s="1"/>
  <c r="L500" i="5"/>
  <c r="M500" i="5" s="1"/>
  <c r="L501" i="5"/>
  <c r="L502" i="5"/>
  <c r="M502" i="5" s="1"/>
  <c r="L503" i="5"/>
  <c r="M503" i="5" s="1"/>
  <c r="L504" i="5"/>
  <c r="M504" i="5" s="1"/>
  <c r="L505" i="5"/>
  <c r="M505" i="5" s="1"/>
  <c r="L506" i="5"/>
  <c r="M506" i="5" s="1"/>
  <c r="L507" i="5"/>
  <c r="M507" i="5" s="1"/>
  <c r="L508" i="5"/>
  <c r="M508" i="5" s="1"/>
  <c r="L509" i="5"/>
  <c r="L510" i="5"/>
  <c r="M510" i="5" s="1"/>
  <c r="L511" i="5"/>
  <c r="M511" i="5" s="1"/>
  <c r="L512" i="5"/>
  <c r="M512" i="5" s="1"/>
  <c r="L513" i="5"/>
  <c r="M513" i="5" s="1"/>
  <c r="L514" i="5"/>
  <c r="M514" i="5" s="1"/>
  <c r="M3" i="5"/>
  <c r="M5" i="5"/>
  <c r="M12" i="5"/>
  <c r="M13" i="5"/>
  <c r="M14" i="5"/>
  <c r="M18" i="5"/>
  <c r="M21" i="5"/>
  <c r="M28" i="5"/>
  <c r="M29" i="5"/>
  <c r="M30" i="5"/>
  <c r="M37" i="5"/>
  <c r="M38" i="5"/>
  <c r="M43" i="5"/>
  <c r="M45" i="5"/>
  <c r="M52" i="5"/>
  <c r="M53" i="5"/>
  <c r="M61" i="5"/>
  <c r="M62" i="5"/>
  <c r="M66" i="5"/>
  <c r="M69" i="5"/>
  <c r="M76" i="5"/>
  <c r="M77" i="5"/>
  <c r="M78" i="5"/>
  <c r="M85" i="5"/>
  <c r="M86" i="5"/>
  <c r="M90" i="5"/>
  <c r="M92" i="5"/>
  <c r="M93" i="5"/>
  <c r="M94" i="5"/>
  <c r="M100" i="5"/>
  <c r="M101" i="5"/>
  <c r="M106" i="5"/>
  <c r="M109" i="5"/>
  <c r="M110" i="5"/>
  <c r="M117" i="5"/>
  <c r="M118" i="5"/>
  <c r="M122" i="5"/>
  <c r="M124" i="5"/>
  <c r="M125" i="5"/>
  <c r="M126" i="5"/>
  <c r="M130" i="5"/>
  <c r="M133" i="5"/>
  <c r="M140" i="5"/>
  <c r="M141" i="5"/>
  <c r="M142" i="5"/>
  <c r="M149" i="5"/>
  <c r="M150" i="5"/>
  <c r="M155" i="5"/>
  <c r="M156" i="5"/>
  <c r="M157" i="5"/>
  <c r="M165" i="5"/>
  <c r="M173" i="5"/>
  <c r="M178" i="5"/>
  <c r="M179" i="5"/>
  <c r="M180" i="5"/>
  <c r="M181" i="5"/>
  <c r="M186" i="5"/>
  <c r="M188" i="5"/>
  <c r="M189" i="5"/>
  <c r="M197" i="5"/>
  <c r="M204" i="5"/>
  <c r="M205" i="5"/>
  <c r="M206" i="5"/>
  <c r="M212" i="5"/>
  <c r="M213" i="5"/>
  <c r="M219" i="5"/>
  <c r="M220" i="5"/>
  <c r="M221" i="5"/>
  <c r="M222" i="5"/>
  <c r="M228" i="5"/>
  <c r="M229" i="5"/>
  <c r="M237" i="5"/>
  <c r="M245" i="5"/>
  <c r="M246" i="5"/>
  <c r="M252" i="5"/>
  <c r="M253" i="5"/>
  <c r="M261" i="5"/>
  <c r="M268" i="5"/>
  <c r="M269" i="5"/>
  <c r="M270" i="5"/>
  <c r="M277" i="5"/>
  <c r="M278" i="5"/>
  <c r="M283" i="5"/>
  <c r="M284" i="5"/>
  <c r="M285" i="5"/>
  <c r="M292" i="5"/>
  <c r="M293" i="5"/>
  <c r="M294" i="5"/>
  <c r="M301" i="5"/>
  <c r="M309" i="5"/>
  <c r="M317" i="5"/>
  <c r="M318" i="5"/>
  <c r="M325" i="5"/>
  <c r="M326" i="5"/>
  <c r="M333" i="5"/>
  <c r="M341" i="5"/>
  <c r="M342" i="5"/>
  <c r="M349" i="5"/>
  <c r="M354" i="5"/>
  <c r="M357" i="5"/>
  <c r="M365" i="5"/>
  <c r="M373" i="5"/>
  <c r="M379" i="5"/>
  <c r="M381" i="5"/>
  <c r="M389" i="5"/>
  <c r="M397" i="5"/>
  <c r="M405" i="5"/>
  <c r="M411" i="5"/>
  <c r="M413" i="5"/>
  <c r="M421" i="5"/>
  <c r="M422" i="5"/>
  <c r="M429" i="5"/>
  <c r="M435" i="5"/>
  <c r="M437" i="5"/>
  <c r="M445" i="5"/>
  <c r="M453" i="5"/>
  <c r="M461" i="5"/>
  <c r="M469" i="5"/>
  <c r="M470" i="5"/>
  <c r="M477" i="5"/>
  <c r="M485" i="5"/>
  <c r="M491" i="5"/>
  <c r="M493" i="5"/>
  <c r="M501" i="5"/>
  <c r="M509" i="5"/>
  <c r="N4" i="5"/>
  <c r="N5" i="5"/>
  <c r="N6" i="5"/>
  <c r="N12" i="5"/>
  <c r="N13" i="5"/>
  <c r="N18" i="5"/>
  <c r="N20" i="5"/>
  <c r="N21" i="5"/>
  <c r="N26" i="5"/>
  <c r="N28" i="5"/>
  <c r="N29" i="5"/>
  <c r="N30" i="5"/>
  <c r="N36" i="5"/>
  <c r="N37" i="5"/>
  <c r="N44" i="5"/>
  <c r="N45" i="5"/>
  <c r="N46" i="5"/>
  <c r="N50" i="5"/>
  <c r="N52" i="5"/>
  <c r="N53" i="5"/>
  <c r="N54" i="5"/>
  <c r="N58" i="5"/>
  <c r="N60" i="5"/>
  <c r="N61" i="5"/>
  <c r="N62" i="5"/>
  <c r="N68" i="5"/>
  <c r="N69" i="5"/>
  <c r="N76" i="5"/>
  <c r="N77" i="5"/>
  <c r="N78" i="5"/>
  <c r="N82" i="5"/>
  <c r="N84" i="5"/>
  <c r="N85" i="5"/>
  <c r="N90" i="5"/>
  <c r="N92" i="5"/>
  <c r="N93" i="5"/>
  <c r="N98" i="5"/>
  <c r="N100" i="5"/>
  <c r="N101" i="5"/>
  <c r="N108" i="5"/>
  <c r="N109" i="5"/>
  <c r="N110" i="5"/>
  <c r="N116" i="5"/>
  <c r="N117" i="5"/>
  <c r="N122" i="5"/>
  <c r="N124" i="5"/>
  <c r="N125" i="5"/>
  <c r="N130" i="5"/>
  <c r="N132" i="5"/>
  <c r="N133" i="5"/>
  <c r="N140" i="5"/>
  <c r="N141" i="5"/>
  <c r="N148" i="5"/>
  <c r="N149" i="5"/>
  <c r="N154" i="5"/>
  <c r="N155" i="5"/>
  <c r="N156" i="5"/>
  <c r="N157" i="5"/>
  <c r="N158" i="5"/>
  <c r="N162" i="5"/>
  <c r="N164" i="5"/>
  <c r="N165" i="5"/>
  <c r="N166" i="5"/>
  <c r="N172" i="5"/>
  <c r="N173" i="5"/>
  <c r="N180" i="5"/>
  <c r="N181" i="5"/>
  <c r="N182" i="5"/>
  <c r="N186" i="5"/>
  <c r="N188" i="5"/>
  <c r="N189" i="5"/>
  <c r="N190" i="5"/>
  <c r="N191" i="5"/>
  <c r="N194" i="5"/>
  <c r="N196" i="5"/>
  <c r="N197" i="5"/>
  <c r="N198" i="5"/>
  <c r="N199" i="5"/>
  <c r="N202" i="5"/>
  <c r="N204" i="5"/>
  <c r="N205" i="5"/>
  <c r="N207" i="5"/>
  <c r="N212" i="5"/>
  <c r="N213" i="5"/>
  <c r="N218" i="5"/>
  <c r="N220" i="5"/>
  <c r="N221" i="5"/>
  <c r="N226" i="5"/>
  <c r="N228" i="5"/>
  <c r="N229" i="5"/>
  <c r="N234" i="5"/>
  <c r="N236" i="5"/>
  <c r="N237" i="5"/>
  <c r="N243" i="5"/>
  <c r="N244" i="5"/>
  <c r="N245" i="5"/>
  <c r="N250" i="5"/>
  <c r="N252" i="5"/>
  <c r="N253" i="5"/>
  <c r="N260" i="5"/>
  <c r="N261" i="5"/>
  <c r="N262" i="5"/>
  <c r="N266" i="5"/>
  <c r="N268" i="5"/>
  <c r="N269" i="5"/>
  <c r="N271" i="5"/>
  <c r="N274" i="5"/>
  <c r="N276" i="5"/>
  <c r="N277" i="5"/>
  <c r="N278" i="5"/>
  <c r="N282" i="5"/>
  <c r="N284" i="5"/>
  <c r="N285" i="5"/>
  <c r="N286" i="5"/>
  <c r="N292" i="5"/>
  <c r="N293" i="5"/>
  <c r="N300" i="5"/>
  <c r="N301" i="5"/>
  <c r="N302" i="5"/>
  <c r="N306" i="5"/>
  <c r="N308" i="5"/>
  <c r="N309" i="5"/>
  <c r="N314" i="5"/>
  <c r="N316" i="5"/>
  <c r="N317" i="5"/>
  <c r="N325" i="5"/>
  <c r="N326" i="5"/>
  <c r="N333" i="5"/>
  <c r="N338" i="5"/>
  <c r="N341" i="5"/>
  <c r="N346" i="5"/>
  <c r="N349" i="5"/>
  <c r="N350" i="5"/>
  <c r="N357" i="5"/>
  <c r="N358" i="5"/>
  <c r="N363" i="5"/>
  <c r="N365" i="5"/>
  <c r="N373" i="5"/>
  <c r="N378" i="5"/>
  <c r="N381" i="5"/>
  <c r="N386" i="5"/>
  <c r="N389" i="5"/>
  <c r="N390" i="5"/>
  <c r="N394" i="5"/>
  <c r="N397" i="5"/>
  <c r="N402" i="5"/>
  <c r="N403" i="5"/>
  <c r="N404" i="5"/>
  <c r="N405" i="5"/>
  <c r="N413" i="5"/>
  <c r="N414" i="5"/>
  <c r="N420" i="5"/>
  <c r="N421" i="5"/>
  <c r="N426" i="5"/>
  <c r="N429" i="5"/>
  <c r="N434" i="5"/>
  <c r="N437" i="5"/>
  <c r="N444" i="5"/>
  <c r="N445" i="5"/>
  <c r="N450" i="5"/>
  <c r="N452" i="5"/>
  <c r="N453" i="5"/>
  <c r="N460" i="5"/>
  <c r="N461" i="5"/>
  <c r="N468" i="5"/>
  <c r="N469" i="5"/>
  <c r="N470" i="5"/>
  <c r="N474" i="5"/>
  <c r="N475" i="5"/>
  <c r="N476" i="5"/>
  <c r="N477" i="5"/>
  <c r="N485" i="5"/>
  <c r="N490" i="5"/>
  <c r="N493" i="5"/>
  <c r="N494" i="5"/>
  <c r="N501" i="5"/>
  <c r="N502" i="5"/>
  <c r="N506" i="5"/>
  <c r="N508" i="5"/>
  <c r="N509" i="5"/>
  <c r="N510" i="5"/>
  <c r="O2" i="5"/>
  <c r="P2" i="5" s="1"/>
  <c r="O3" i="5"/>
  <c r="O4" i="5"/>
  <c r="O5" i="5"/>
  <c r="O6" i="5"/>
  <c r="O7" i="5"/>
  <c r="O8" i="5"/>
  <c r="O9" i="5"/>
  <c r="O10" i="5"/>
  <c r="P10" i="5" s="1"/>
  <c r="O11" i="5"/>
  <c r="P11" i="5" s="1"/>
  <c r="O12" i="5"/>
  <c r="P12" i="5" s="1"/>
  <c r="O13" i="5"/>
  <c r="P13" i="5" s="1"/>
  <c r="O14" i="5"/>
  <c r="P14" i="5" s="1"/>
  <c r="O15" i="5"/>
  <c r="P15" i="5" s="1"/>
  <c r="O16" i="5"/>
  <c r="P16" i="5" s="1"/>
  <c r="O17" i="5"/>
  <c r="P17" i="5" s="1"/>
  <c r="O18" i="5"/>
  <c r="P18" i="5" s="1"/>
  <c r="O19" i="5"/>
  <c r="O20" i="5"/>
  <c r="O21" i="5"/>
  <c r="O22" i="5"/>
  <c r="O23" i="5"/>
  <c r="P23" i="5" s="1"/>
  <c r="O24" i="5"/>
  <c r="O25" i="5"/>
  <c r="O26" i="5"/>
  <c r="P26" i="5" s="1"/>
  <c r="O27" i="5"/>
  <c r="P27" i="5" s="1"/>
  <c r="O28" i="5"/>
  <c r="P28" i="5" s="1"/>
  <c r="O29" i="5"/>
  <c r="P29" i="5" s="1"/>
  <c r="O30" i="5"/>
  <c r="P30" i="5" s="1"/>
  <c r="O31" i="5"/>
  <c r="P31" i="5" s="1"/>
  <c r="O32" i="5"/>
  <c r="O33" i="5"/>
  <c r="O34" i="5"/>
  <c r="O35" i="5"/>
  <c r="O36" i="5"/>
  <c r="O37" i="5"/>
  <c r="O38" i="5"/>
  <c r="O39" i="5"/>
  <c r="P39" i="5" s="1"/>
  <c r="O40" i="5"/>
  <c r="O41" i="5"/>
  <c r="O42" i="5"/>
  <c r="O43" i="5"/>
  <c r="O44" i="5"/>
  <c r="P44" i="5" s="1"/>
  <c r="O45" i="5"/>
  <c r="O46" i="5"/>
  <c r="O47" i="5"/>
  <c r="P47" i="5" s="1"/>
  <c r="O48" i="5"/>
  <c r="O49" i="5"/>
  <c r="P49" i="5" s="1"/>
  <c r="O50" i="5"/>
  <c r="O51" i="5"/>
  <c r="O52" i="5"/>
  <c r="O53" i="5"/>
  <c r="O54" i="5"/>
  <c r="P54" i="5" s="1"/>
  <c r="O55" i="5"/>
  <c r="P55" i="5" s="1"/>
  <c r="O56" i="5"/>
  <c r="P56" i="5" s="1"/>
  <c r="O57" i="5"/>
  <c r="P57" i="5" s="1"/>
  <c r="O58" i="5"/>
  <c r="O59" i="5"/>
  <c r="P59" i="5" s="1"/>
  <c r="O60" i="5"/>
  <c r="O61" i="5"/>
  <c r="O62" i="5"/>
  <c r="O63" i="5"/>
  <c r="P63" i="5" s="1"/>
  <c r="O64" i="5"/>
  <c r="O65" i="5"/>
  <c r="P65" i="5" s="1"/>
  <c r="O66" i="5"/>
  <c r="P66" i="5" s="1"/>
  <c r="O67" i="5"/>
  <c r="P67" i="5" s="1"/>
  <c r="O68" i="5"/>
  <c r="P68" i="5" s="1"/>
  <c r="O69" i="5"/>
  <c r="P69" i="5" s="1"/>
  <c r="O70" i="5"/>
  <c r="P70" i="5" s="1"/>
  <c r="O71" i="5"/>
  <c r="P71" i="5" s="1"/>
  <c r="O72" i="5"/>
  <c r="P72" i="5" s="1"/>
  <c r="O73" i="5"/>
  <c r="P73" i="5" s="1"/>
  <c r="O74" i="5"/>
  <c r="O75" i="5"/>
  <c r="O76" i="5"/>
  <c r="O77" i="5"/>
  <c r="O78" i="5"/>
  <c r="P78" i="5" s="1"/>
  <c r="O79" i="5"/>
  <c r="P79" i="5" s="1"/>
  <c r="O80" i="5"/>
  <c r="O81" i="5"/>
  <c r="O82" i="5"/>
  <c r="O83" i="5"/>
  <c r="O84" i="5"/>
  <c r="O85" i="5"/>
  <c r="P85" i="5" s="1"/>
  <c r="O86" i="5"/>
  <c r="O87" i="5"/>
  <c r="P87" i="5" s="1"/>
  <c r="O88" i="5"/>
  <c r="O89" i="5"/>
  <c r="O90" i="5"/>
  <c r="O91" i="5"/>
  <c r="P91" i="5" s="1"/>
  <c r="O92" i="5"/>
  <c r="P92" i="5" s="1"/>
  <c r="O93" i="5"/>
  <c r="P93" i="5" s="1"/>
  <c r="O94" i="5"/>
  <c r="P94" i="5" s="1"/>
  <c r="O95" i="5"/>
  <c r="P95" i="5" s="1"/>
  <c r="O96" i="5"/>
  <c r="P96" i="5" s="1"/>
  <c r="O97" i="5"/>
  <c r="P97" i="5" s="1"/>
  <c r="O98" i="5"/>
  <c r="O99" i="5"/>
  <c r="O100" i="5"/>
  <c r="O101" i="5"/>
  <c r="O102" i="5"/>
  <c r="O103" i="5"/>
  <c r="P103" i="5" s="1"/>
  <c r="O104" i="5"/>
  <c r="O105" i="5"/>
  <c r="O106" i="5"/>
  <c r="O107" i="5"/>
  <c r="O108" i="5"/>
  <c r="O109" i="5"/>
  <c r="O110" i="5"/>
  <c r="O111" i="5"/>
  <c r="P111" i="5" s="1"/>
  <c r="O112" i="5"/>
  <c r="P112" i="5" s="1"/>
  <c r="O113" i="5"/>
  <c r="O114" i="5"/>
  <c r="O115" i="5"/>
  <c r="P115" i="5" s="1"/>
  <c r="O116" i="5"/>
  <c r="P116" i="5" s="1"/>
  <c r="O117" i="5"/>
  <c r="O118" i="5"/>
  <c r="O119" i="5"/>
  <c r="P119" i="5" s="1"/>
  <c r="O120" i="5"/>
  <c r="O121" i="5"/>
  <c r="P121" i="5" s="1"/>
  <c r="O122" i="5"/>
  <c r="O123" i="5"/>
  <c r="P123" i="5" s="1"/>
  <c r="O124" i="5"/>
  <c r="P124" i="5" s="1"/>
  <c r="O125" i="5"/>
  <c r="P125" i="5" s="1"/>
  <c r="O126" i="5"/>
  <c r="O127" i="5"/>
  <c r="P127" i="5" s="1"/>
  <c r="O128" i="5"/>
  <c r="O129" i="5"/>
  <c r="P129" i="5" s="1"/>
  <c r="O130" i="5"/>
  <c r="O131" i="5"/>
  <c r="O132" i="5"/>
  <c r="O133" i="5"/>
  <c r="O134" i="5"/>
  <c r="O135" i="5"/>
  <c r="P135" i="5" s="1"/>
  <c r="O136" i="5"/>
  <c r="O137" i="5"/>
  <c r="O138" i="5"/>
  <c r="O139" i="5"/>
  <c r="O140" i="5"/>
  <c r="O141" i="5"/>
  <c r="O142" i="5"/>
  <c r="P142" i="5" s="1"/>
  <c r="O143" i="5"/>
  <c r="P143" i="5" s="1"/>
  <c r="O144" i="5"/>
  <c r="P144" i="5" s="1"/>
  <c r="O145" i="5"/>
  <c r="O146" i="5"/>
  <c r="P146" i="5" s="1"/>
  <c r="O147" i="5"/>
  <c r="P147" i="5" s="1"/>
  <c r="O148" i="5"/>
  <c r="O149" i="5"/>
  <c r="P149" i="5" s="1"/>
  <c r="O150" i="5"/>
  <c r="P150" i="5" s="1"/>
  <c r="O151" i="5"/>
  <c r="P151" i="5" s="1"/>
  <c r="O152" i="5"/>
  <c r="P152" i="5" s="1"/>
  <c r="O153" i="5"/>
  <c r="O154" i="5"/>
  <c r="P154" i="5" s="1"/>
  <c r="O155" i="5"/>
  <c r="P155" i="5" s="1"/>
  <c r="O156" i="5"/>
  <c r="P156" i="5" s="1"/>
  <c r="O157" i="5"/>
  <c r="P157" i="5" s="1"/>
  <c r="O158" i="5"/>
  <c r="O159" i="5"/>
  <c r="P159" i="5" s="1"/>
  <c r="O160" i="5"/>
  <c r="O161" i="5"/>
  <c r="P161" i="5" s="1"/>
  <c r="O162" i="5"/>
  <c r="O163" i="5"/>
  <c r="O164" i="5"/>
  <c r="O165" i="5"/>
  <c r="O166" i="5"/>
  <c r="O167" i="5"/>
  <c r="P167" i="5" s="1"/>
  <c r="O168" i="5"/>
  <c r="O169" i="5"/>
  <c r="O170" i="5"/>
  <c r="P170" i="5" s="1"/>
  <c r="O171" i="5"/>
  <c r="P171" i="5" s="1"/>
  <c r="O172" i="5"/>
  <c r="P172" i="5" s="1"/>
  <c r="O173" i="5"/>
  <c r="O174" i="5"/>
  <c r="P174" i="5" s="1"/>
  <c r="O175" i="5"/>
  <c r="O176" i="5"/>
  <c r="O177" i="5"/>
  <c r="P177" i="5" s="1"/>
  <c r="O178" i="5"/>
  <c r="O179" i="5"/>
  <c r="O180" i="5"/>
  <c r="O181" i="5"/>
  <c r="O182" i="5"/>
  <c r="O183" i="5"/>
  <c r="O184" i="5"/>
  <c r="O185" i="5"/>
  <c r="P185" i="5" s="1"/>
  <c r="O186" i="5"/>
  <c r="O187" i="5"/>
  <c r="O188" i="5"/>
  <c r="O189" i="5"/>
  <c r="O190" i="5"/>
  <c r="O191" i="5"/>
  <c r="O192" i="5"/>
  <c r="O193" i="5"/>
  <c r="O194" i="5"/>
  <c r="O195" i="5"/>
  <c r="O196" i="5"/>
  <c r="O197" i="5"/>
  <c r="O198" i="5"/>
  <c r="O199" i="5"/>
  <c r="O200" i="5"/>
  <c r="O201" i="5"/>
  <c r="O202" i="5"/>
  <c r="P202" i="5" s="1"/>
  <c r="O203" i="5"/>
  <c r="O204" i="5"/>
  <c r="O205" i="5"/>
  <c r="O206" i="5"/>
  <c r="O207" i="5"/>
  <c r="P207" i="5" s="1"/>
  <c r="O208" i="5"/>
  <c r="O209" i="5"/>
  <c r="O210" i="5"/>
  <c r="O211" i="5"/>
  <c r="P211" i="5" s="1"/>
  <c r="O212" i="5"/>
  <c r="P212" i="5" s="1"/>
  <c r="O213" i="5"/>
  <c r="P213" i="5" s="1"/>
  <c r="O214" i="5"/>
  <c r="P214" i="5" s="1"/>
  <c r="O215" i="5"/>
  <c r="P215" i="5" s="1"/>
  <c r="O216" i="5"/>
  <c r="P216" i="5" s="1"/>
  <c r="O217" i="5"/>
  <c r="O218" i="5"/>
  <c r="O219" i="5"/>
  <c r="O220" i="5"/>
  <c r="P220" i="5" s="1"/>
  <c r="O221" i="5"/>
  <c r="O222" i="5"/>
  <c r="O223" i="5"/>
  <c r="O224" i="5"/>
  <c r="O225" i="5"/>
  <c r="O226" i="5"/>
  <c r="O227" i="5"/>
  <c r="P227" i="5" s="1"/>
  <c r="O228" i="5"/>
  <c r="P228" i="5" s="1"/>
  <c r="O229" i="5"/>
  <c r="O230" i="5"/>
  <c r="O231" i="5"/>
  <c r="O232" i="5"/>
  <c r="P232" i="5" s="1"/>
  <c r="O233" i="5"/>
  <c r="O234" i="5"/>
  <c r="P234" i="5" s="1"/>
  <c r="O235" i="5"/>
  <c r="O236" i="5"/>
  <c r="O237" i="5"/>
  <c r="P237" i="5" s="1"/>
  <c r="O238" i="5"/>
  <c r="O239" i="5"/>
  <c r="O240" i="5"/>
  <c r="O241" i="5"/>
  <c r="O242" i="5"/>
  <c r="O243" i="5"/>
  <c r="P243" i="5" s="1"/>
  <c r="O244" i="5"/>
  <c r="O245" i="5"/>
  <c r="P245" i="5" s="1"/>
  <c r="O246" i="5"/>
  <c r="O247" i="5"/>
  <c r="O248" i="5"/>
  <c r="O249" i="5"/>
  <c r="O250" i="5"/>
  <c r="O251" i="5"/>
  <c r="O252" i="5"/>
  <c r="O253" i="5"/>
  <c r="O254" i="5"/>
  <c r="O255" i="5"/>
  <c r="O256" i="5"/>
  <c r="O257" i="5"/>
  <c r="O258" i="5"/>
  <c r="O259" i="5"/>
  <c r="O260" i="5"/>
  <c r="O261" i="5"/>
  <c r="O262" i="5"/>
  <c r="O263" i="5"/>
  <c r="O264" i="5"/>
  <c r="O265" i="5"/>
  <c r="P265" i="5" s="1"/>
  <c r="O266" i="5"/>
  <c r="P266" i="5" s="1"/>
  <c r="O267" i="5"/>
  <c r="P267" i="5" s="1"/>
  <c r="O268" i="5"/>
  <c r="P268" i="5" s="1"/>
  <c r="O269" i="5"/>
  <c r="O270" i="5"/>
  <c r="P270" i="5" s="1"/>
  <c r="O271" i="5"/>
  <c r="P271" i="5" s="1"/>
  <c r="O272" i="5"/>
  <c r="P272" i="5" s="1"/>
  <c r="O273" i="5"/>
  <c r="O274" i="5"/>
  <c r="P274" i="5" s="1"/>
  <c r="O275" i="5"/>
  <c r="P275" i="5" s="1"/>
  <c r="O276" i="5"/>
  <c r="P276" i="5" s="1"/>
  <c r="O277" i="5"/>
  <c r="P277" i="5" s="1"/>
  <c r="O278" i="5"/>
  <c r="P278" i="5" s="1"/>
  <c r="O279" i="5"/>
  <c r="P279" i="5" s="1"/>
  <c r="O280" i="5"/>
  <c r="P280" i="5" s="1"/>
  <c r="O281" i="5"/>
  <c r="P281" i="5" s="1"/>
  <c r="O282" i="5"/>
  <c r="P282" i="5" s="1"/>
  <c r="O283" i="5"/>
  <c r="P283" i="5" s="1"/>
  <c r="O284" i="5"/>
  <c r="O285" i="5"/>
  <c r="O286" i="5"/>
  <c r="O287" i="5"/>
  <c r="O288" i="5"/>
  <c r="P288" i="5" s="1"/>
  <c r="O289" i="5"/>
  <c r="P289" i="5" s="1"/>
  <c r="O290" i="5"/>
  <c r="O291" i="5"/>
  <c r="O292" i="5"/>
  <c r="O293" i="5"/>
  <c r="O294" i="5"/>
  <c r="O295" i="5"/>
  <c r="P295" i="5" s="1"/>
  <c r="O296" i="5"/>
  <c r="P296" i="5" s="1"/>
  <c r="O297" i="5"/>
  <c r="O298" i="5"/>
  <c r="P298" i="5" s="1"/>
  <c r="O299" i="5"/>
  <c r="P299" i="5" s="1"/>
  <c r="O300" i="5"/>
  <c r="P300" i="5" s="1"/>
  <c r="O301" i="5"/>
  <c r="P301" i="5" s="1"/>
  <c r="O302" i="5"/>
  <c r="P302" i="5" s="1"/>
  <c r="O303" i="5"/>
  <c r="P303" i="5" s="1"/>
  <c r="O304" i="5"/>
  <c r="O305" i="5"/>
  <c r="O306" i="5"/>
  <c r="O307" i="5"/>
  <c r="O308" i="5"/>
  <c r="P308" i="5" s="1"/>
  <c r="O309" i="5"/>
  <c r="P309" i="5" s="1"/>
  <c r="O310" i="5"/>
  <c r="O311" i="5"/>
  <c r="O312" i="5"/>
  <c r="O313" i="5"/>
  <c r="O314" i="5"/>
  <c r="P314" i="5" s="1"/>
  <c r="O315" i="5"/>
  <c r="O316" i="5"/>
  <c r="O317" i="5"/>
  <c r="O318" i="5"/>
  <c r="O319" i="5"/>
  <c r="O320" i="5"/>
  <c r="O321" i="5"/>
  <c r="O322" i="5"/>
  <c r="P322" i="5" s="1"/>
  <c r="O323" i="5"/>
  <c r="P323" i="5" s="1"/>
  <c r="O324" i="5"/>
  <c r="O325" i="5"/>
  <c r="P325" i="5" s="1"/>
  <c r="O326" i="5"/>
  <c r="P326" i="5" s="1"/>
  <c r="O327" i="5"/>
  <c r="O328" i="5"/>
  <c r="O329" i="5"/>
  <c r="O330" i="5"/>
  <c r="O331" i="5"/>
  <c r="P331" i="5" s="1"/>
  <c r="O332" i="5"/>
  <c r="P332" i="5" s="1"/>
  <c r="O333" i="5"/>
  <c r="P333" i="5" s="1"/>
  <c r="O334" i="5"/>
  <c r="O335" i="5"/>
  <c r="O336" i="5"/>
  <c r="O337" i="5"/>
  <c r="O338" i="5"/>
  <c r="P338" i="5" s="1"/>
  <c r="O339" i="5"/>
  <c r="P339" i="5" s="1"/>
  <c r="O340" i="5"/>
  <c r="O341" i="5"/>
  <c r="O342" i="5"/>
  <c r="O343" i="5"/>
  <c r="O344" i="5"/>
  <c r="O345" i="5"/>
  <c r="O346" i="5"/>
  <c r="O347" i="5"/>
  <c r="O348" i="5"/>
  <c r="O349" i="5"/>
  <c r="O350" i="5"/>
  <c r="O351" i="5"/>
  <c r="O352" i="5"/>
  <c r="O353" i="5"/>
  <c r="O354" i="5"/>
  <c r="O355" i="5"/>
  <c r="O356" i="5"/>
  <c r="P356" i="5" s="1"/>
  <c r="O357" i="5"/>
  <c r="P357" i="5" s="1"/>
  <c r="O358" i="5"/>
  <c r="P358" i="5" s="1"/>
  <c r="O359" i="5"/>
  <c r="P359" i="5" s="1"/>
  <c r="O360" i="5"/>
  <c r="P360" i="5" s="1"/>
  <c r="O361" i="5"/>
  <c r="P361" i="5" s="1"/>
  <c r="O362" i="5"/>
  <c r="O363" i="5"/>
  <c r="O364" i="5"/>
  <c r="O365" i="5"/>
  <c r="O366" i="5"/>
  <c r="P366" i="5" s="1"/>
  <c r="O367" i="5"/>
  <c r="P367" i="5" s="1"/>
  <c r="O368" i="5"/>
  <c r="O369" i="5"/>
  <c r="O370" i="5"/>
  <c r="O371" i="5"/>
  <c r="O372" i="5"/>
  <c r="P372" i="5" s="1"/>
  <c r="O373" i="5"/>
  <c r="O374" i="5"/>
  <c r="P374" i="5" s="1"/>
  <c r="O375" i="5"/>
  <c r="O376" i="5"/>
  <c r="O377" i="5"/>
  <c r="P377" i="5" s="1"/>
  <c r="O378" i="5"/>
  <c r="P378" i="5" s="1"/>
  <c r="O379" i="5"/>
  <c r="O380" i="5"/>
  <c r="O381" i="5"/>
  <c r="O382" i="5"/>
  <c r="O383" i="5"/>
  <c r="O384" i="5"/>
  <c r="P384" i="5" s="1"/>
  <c r="O385" i="5"/>
  <c r="P385" i="5" s="1"/>
  <c r="O386" i="5"/>
  <c r="P386" i="5" s="1"/>
  <c r="O387" i="5"/>
  <c r="P387" i="5" s="1"/>
  <c r="O388" i="5"/>
  <c r="P388" i="5" s="1"/>
  <c r="O389" i="5"/>
  <c r="P389" i="5" s="1"/>
  <c r="O390" i="5"/>
  <c r="P390" i="5" s="1"/>
  <c r="O391" i="5"/>
  <c r="P391" i="5" s="1"/>
  <c r="O392" i="5"/>
  <c r="P392" i="5" s="1"/>
  <c r="O393" i="5"/>
  <c r="P393" i="5" s="1"/>
  <c r="O394" i="5"/>
  <c r="P394" i="5" s="1"/>
  <c r="O395" i="5"/>
  <c r="P395" i="5" s="1"/>
  <c r="O396" i="5"/>
  <c r="P396" i="5" s="1"/>
  <c r="O397" i="5"/>
  <c r="P397" i="5" s="1"/>
  <c r="O398" i="5"/>
  <c r="P398" i="5" s="1"/>
  <c r="O399" i="5"/>
  <c r="O400" i="5"/>
  <c r="O401" i="5"/>
  <c r="P401" i="5" s="1"/>
  <c r="O402" i="5"/>
  <c r="O403" i="5"/>
  <c r="P403" i="5" s="1"/>
  <c r="O404" i="5"/>
  <c r="P404" i="5" s="1"/>
  <c r="O405" i="5"/>
  <c r="O406" i="5"/>
  <c r="P406" i="5" s="1"/>
  <c r="O407" i="5"/>
  <c r="P407" i="5" s="1"/>
  <c r="O408" i="5"/>
  <c r="P408" i="5" s="1"/>
  <c r="O409" i="5"/>
  <c r="P409" i="5" s="1"/>
  <c r="O410" i="5"/>
  <c r="P410" i="5" s="1"/>
  <c r="O411" i="5"/>
  <c r="P411" i="5" s="1"/>
  <c r="O412" i="5"/>
  <c r="O413" i="5"/>
  <c r="O414" i="5"/>
  <c r="O415" i="5"/>
  <c r="O416" i="5"/>
  <c r="O417" i="5"/>
  <c r="P417" i="5" s="1"/>
  <c r="O418" i="5"/>
  <c r="P418" i="5" s="1"/>
  <c r="O419" i="5"/>
  <c r="P419" i="5" s="1"/>
  <c r="O420" i="5"/>
  <c r="O421" i="5"/>
  <c r="P421" i="5" s="1"/>
  <c r="O422" i="5"/>
  <c r="P422" i="5" s="1"/>
  <c r="O423" i="5"/>
  <c r="O424" i="5"/>
  <c r="O425" i="5"/>
  <c r="O426" i="5"/>
  <c r="O427" i="5"/>
  <c r="O428" i="5"/>
  <c r="O429" i="5"/>
  <c r="P429" i="5" s="1"/>
  <c r="O430" i="5"/>
  <c r="O431" i="5"/>
  <c r="O432" i="5"/>
  <c r="O433" i="5"/>
  <c r="P433" i="5" s="1"/>
  <c r="O434" i="5"/>
  <c r="O435" i="5"/>
  <c r="O436" i="5"/>
  <c r="O437" i="5"/>
  <c r="O438" i="5"/>
  <c r="O439" i="5"/>
  <c r="O440" i="5"/>
  <c r="O441" i="5"/>
  <c r="O442" i="5"/>
  <c r="O443" i="5"/>
  <c r="O444" i="5"/>
  <c r="P444" i="5" s="1"/>
  <c r="O445" i="5"/>
  <c r="P445" i="5" s="1"/>
  <c r="O446" i="5"/>
  <c r="P446" i="5" s="1"/>
  <c r="O447" i="5"/>
  <c r="P447" i="5" s="1"/>
  <c r="O448" i="5"/>
  <c r="O449" i="5"/>
  <c r="O450" i="5"/>
  <c r="P450" i="5" s="1"/>
  <c r="O451" i="5"/>
  <c r="P451" i="5" s="1"/>
  <c r="O452" i="5"/>
  <c r="P452" i="5" s="1"/>
  <c r="O453" i="5"/>
  <c r="P453" i="5" s="1"/>
  <c r="O454" i="5"/>
  <c r="P454" i="5" s="1"/>
  <c r="O455" i="5"/>
  <c r="O456" i="5"/>
  <c r="O457" i="5"/>
  <c r="O458" i="5"/>
  <c r="O459" i="5"/>
  <c r="P459" i="5" s="1"/>
  <c r="O460" i="5"/>
  <c r="P460" i="5" s="1"/>
  <c r="O461" i="5"/>
  <c r="O462" i="5"/>
  <c r="P462" i="5" s="1"/>
  <c r="O463" i="5"/>
  <c r="P463" i="5" s="1"/>
  <c r="O464" i="5"/>
  <c r="P464" i="5" s="1"/>
  <c r="O465" i="5"/>
  <c r="P465" i="5" s="1"/>
  <c r="O466" i="5"/>
  <c r="P466" i="5" s="1"/>
  <c r="O467" i="5"/>
  <c r="P467" i="5" s="1"/>
  <c r="O468" i="5"/>
  <c r="P468" i="5" s="1"/>
  <c r="O469" i="5"/>
  <c r="P469" i="5" s="1"/>
  <c r="O470" i="5"/>
  <c r="P470" i="5" s="1"/>
  <c r="O471" i="5"/>
  <c r="P471" i="5" s="1"/>
  <c r="O472" i="5"/>
  <c r="P472" i="5" s="1"/>
  <c r="O473" i="5"/>
  <c r="P473" i="5" s="1"/>
  <c r="O474" i="5"/>
  <c r="P474" i="5" s="1"/>
  <c r="O475" i="5"/>
  <c r="P475" i="5" s="1"/>
  <c r="O476" i="5"/>
  <c r="P476" i="5" s="1"/>
  <c r="O477" i="5"/>
  <c r="P477" i="5" s="1"/>
  <c r="O478" i="5"/>
  <c r="P478" i="5" s="1"/>
  <c r="O479" i="5"/>
  <c r="P479" i="5" s="1"/>
  <c r="O480" i="5"/>
  <c r="P480" i="5" s="1"/>
  <c r="O481" i="5"/>
  <c r="P481" i="5" s="1"/>
  <c r="O482" i="5"/>
  <c r="P482" i="5" s="1"/>
  <c r="O483" i="5"/>
  <c r="P483" i="5" s="1"/>
  <c r="O484" i="5"/>
  <c r="P484" i="5" s="1"/>
  <c r="O485" i="5"/>
  <c r="O486" i="5"/>
  <c r="P486" i="5" s="1"/>
  <c r="O487" i="5"/>
  <c r="O488" i="5"/>
  <c r="O489" i="5"/>
  <c r="O490" i="5"/>
  <c r="P490" i="5" s="1"/>
  <c r="O491" i="5"/>
  <c r="O492" i="5"/>
  <c r="O493" i="5"/>
  <c r="P493" i="5" s="1"/>
  <c r="O494" i="5"/>
  <c r="O495" i="5"/>
  <c r="O496" i="5"/>
  <c r="O497" i="5"/>
  <c r="O498" i="5"/>
  <c r="O499" i="5"/>
  <c r="O500" i="5"/>
  <c r="O501" i="5"/>
  <c r="P501" i="5" s="1"/>
  <c r="O502" i="5"/>
  <c r="P502" i="5" s="1"/>
  <c r="O503" i="5"/>
  <c r="P503" i="5" s="1"/>
  <c r="O504" i="5"/>
  <c r="P504" i="5" s="1"/>
  <c r="O505" i="5"/>
  <c r="P505" i="5" s="1"/>
  <c r="O506" i="5"/>
  <c r="P506" i="5" s="1"/>
  <c r="O507" i="5"/>
  <c r="P507" i="5" s="1"/>
  <c r="O508" i="5"/>
  <c r="P508" i="5" s="1"/>
  <c r="O509" i="5"/>
  <c r="P509" i="5" s="1"/>
  <c r="O510" i="5"/>
  <c r="P510" i="5" s="1"/>
  <c r="O511" i="5"/>
  <c r="P511" i="5" s="1"/>
  <c r="O512" i="5"/>
  <c r="P512" i="5" s="1"/>
  <c r="O513" i="5"/>
  <c r="O514" i="5"/>
  <c r="P514" i="5" s="1"/>
  <c r="P3" i="5"/>
  <c r="P4" i="5"/>
  <c r="P5" i="5"/>
  <c r="P6" i="5"/>
  <c r="P7" i="5"/>
  <c r="P8" i="5"/>
  <c r="P9" i="5"/>
  <c r="P24" i="5"/>
  <c r="P64" i="5"/>
  <c r="P88" i="5"/>
  <c r="P165" i="5"/>
  <c r="P231" i="5"/>
  <c r="P269"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G11" i="1"/>
  <c r="G12" i="1"/>
  <c r="G13" i="1"/>
  <c r="G14" i="1"/>
  <c r="G15" i="1"/>
  <c r="G16" i="1"/>
  <c r="G17" i="1"/>
  <c r="G18" i="1"/>
  <c r="G19" i="1"/>
  <c r="H11" i="1"/>
  <c r="H12" i="1"/>
  <c r="H13" i="1"/>
  <c r="H14" i="1"/>
  <c r="H15" i="1"/>
  <c r="H16" i="1"/>
  <c r="H17" i="1"/>
  <c r="H18" i="1"/>
  <c r="H19" i="1"/>
  <c r="I11" i="1"/>
  <c r="I12" i="1"/>
  <c r="I13" i="1"/>
  <c r="I14" i="1"/>
  <c r="I15" i="1"/>
  <c r="I16" i="1"/>
  <c r="I17" i="1"/>
  <c r="I18" i="1"/>
  <c r="I19" i="1"/>
  <c r="C34" i="8"/>
  <c r="B34" i="8"/>
  <c r="A34" i="8"/>
  <c r="C33" i="8"/>
  <c r="B33" i="8"/>
  <c r="A33" i="8"/>
  <c r="C32" i="8"/>
  <c r="B32" i="8"/>
  <c r="A32" i="8"/>
  <c r="C31" i="8"/>
  <c r="B31" i="8"/>
  <c r="A31" i="8"/>
  <c r="C29" i="8"/>
  <c r="B29" i="8"/>
  <c r="A29" i="8"/>
  <c r="C28" i="8"/>
  <c r="B28" i="8"/>
  <c r="A28" i="8"/>
  <c r="C27" i="8"/>
  <c r="B27" i="8"/>
  <c r="A27" i="8"/>
  <c r="C26" i="8"/>
  <c r="B26" i="8"/>
  <c r="A26" i="8"/>
  <c r="C25" i="8"/>
  <c r="B25" i="8"/>
  <c r="A25" i="8"/>
  <c r="C24" i="8"/>
  <c r="B24" i="8"/>
  <c r="A24" i="8"/>
  <c r="C23" i="8"/>
  <c r="B23" i="8"/>
  <c r="A23" i="8"/>
  <c r="C22" i="8"/>
  <c r="B22" i="8"/>
  <c r="A22" i="8"/>
  <c r="C21" i="8"/>
  <c r="B21" i="8"/>
  <c r="A21" i="8"/>
  <c r="C20" i="8"/>
  <c r="B20" i="8"/>
  <c r="A20" i="8"/>
  <c r="C19" i="8"/>
  <c r="B19" i="8"/>
  <c r="A19" i="8"/>
  <c r="C18" i="8"/>
  <c r="B18" i="8"/>
  <c r="A18" i="8"/>
  <c r="C16" i="8"/>
  <c r="B16" i="8"/>
  <c r="A16" i="8"/>
  <c r="C15" i="8"/>
  <c r="B15" i="8"/>
  <c r="A15" i="8"/>
  <c r="C13" i="8"/>
  <c r="B13" i="8"/>
  <c r="A13" i="8"/>
  <c r="C12" i="8"/>
  <c r="B12" i="8"/>
  <c r="A12" i="8"/>
  <c r="C11" i="8"/>
  <c r="B11" i="8"/>
  <c r="A11" i="8"/>
  <c r="C10" i="8"/>
  <c r="B10" i="8"/>
  <c r="A10" i="8"/>
  <c r="C9" i="8"/>
  <c r="B9" i="8"/>
  <c r="A9" i="8"/>
  <c r="C8" i="8"/>
  <c r="B8" i="8"/>
  <c r="A8" i="8"/>
  <c r="C7" i="8"/>
  <c r="B7" i="8"/>
  <c r="A7" i="8"/>
  <c r="C6" i="8"/>
  <c r="B6" i="8"/>
  <c r="A6" i="8"/>
  <c r="C5" i="8"/>
  <c r="B5" i="8"/>
  <c r="A5" i="8"/>
  <c r="C4" i="8"/>
  <c r="B4" i="8"/>
  <c r="A4" i="8"/>
  <c r="E32" i="8"/>
  <c r="E13" i="8"/>
  <c r="E12" i="8"/>
  <c r="E11" i="8"/>
  <c r="E10" i="8"/>
  <c r="E9" i="8"/>
  <c r="E8" i="8"/>
  <c r="E7" i="8"/>
  <c r="E6" i="8"/>
  <c r="E5" i="8"/>
  <c r="E4" i="8"/>
  <c r="E31" i="8"/>
  <c r="E28" i="8"/>
  <c r="E27" i="8"/>
  <c r="E26" i="8"/>
  <c r="E25" i="8"/>
  <c r="E23" i="8"/>
  <c r="E22" i="8"/>
  <c r="E21" i="8"/>
  <c r="E20" i="8"/>
  <c r="E19" i="8"/>
  <c r="E18" i="8"/>
  <c r="E16" i="8"/>
  <c r="E15" i="8"/>
  <c r="E29" i="8"/>
  <c r="E24" i="8"/>
  <c r="E34" i="8"/>
  <c r="E33" i="8"/>
  <c r="L8" i="8"/>
  <c r="N419" i="5" l="1"/>
  <c r="N315" i="5"/>
  <c r="N131" i="5"/>
  <c r="N115" i="5"/>
  <c r="N51" i="5"/>
  <c r="N35" i="5"/>
  <c r="N19" i="5"/>
  <c r="P19" i="5" s="1"/>
  <c r="M483" i="5"/>
  <c r="M427" i="5"/>
  <c r="M371" i="5"/>
  <c r="P494" i="5"/>
  <c r="N507" i="5"/>
  <c r="N395" i="5"/>
  <c r="N355" i="5"/>
  <c r="P355" i="5" s="1"/>
  <c r="N299" i="5"/>
  <c r="N235" i="5"/>
  <c r="N203" i="5"/>
  <c r="N163" i="5"/>
  <c r="M451" i="5"/>
  <c r="M275" i="5"/>
  <c r="M211" i="5"/>
  <c r="M171" i="5"/>
  <c r="M147" i="5"/>
  <c r="M59" i="5"/>
  <c r="N331" i="5"/>
  <c r="N267" i="5"/>
  <c r="N251" i="5"/>
  <c r="M339" i="5"/>
  <c r="M227" i="5"/>
  <c r="M187" i="5"/>
  <c r="P260" i="5"/>
  <c r="P100" i="5"/>
  <c r="N467" i="5"/>
  <c r="N91" i="5"/>
  <c r="M443" i="5"/>
  <c r="M291" i="5"/>
  <c r="M107" i="5"/>
  <c r="M75" i="5"/>
  <c r="P491" i="5"/>
  <c r="P435" i="5"/>
  <c r="P379" i="5"/>
  <c r="P347" i="5"/>
  <c r="P291" i="5"/>
  <c r="P219" i="5"/>
  <c r="N466" i="5"/>
  <c r="N446" i="5"/>
  <c r="N370" i="5"/>
  <c r="P370" i="5" s="1"/>
  <c r="N347" i="5"/>
  <c r="N307" i="5"/>
  <c r="N123" i="5"/>
  <c r="N27" i="5"/>
  <c r="N11" i="5"/>
  <c r="M499" i="5"/>
  <c r="M438" i="5"/>
  <c r="M387" i="5"/>
  <c r="P186" i="5"/>
  <c r="N323" i="5"/>
  <c r="N139" i="5"/>
  <c r="M67" i="5"/>
  <c r="N459" i="5"/>
  <c r="N259" i="5"/>
  <c r="N195" i="5"/>
  <c r="P195" i="5" s="1"/>
  <c r="N99" i="5"/>
  <c r="P99" i="5" s="1"/>
  <c r="N83" i="5"/>
  <c r="N455" i="5"/>
  <c r="P158" i="5"/>
  <c r="P349" i="5"/>
  <c r="P285" i="5"/>
  <c r="M478" i="5"/>
  <c r="M406" i="5"/>
  <c r="P292" i="5"/>
  <c r="P162" i="5"/>
  <c r="P189" i="5"/>
  <c r="P77" i="5"/>
  <c r="P261" i="5"/>
  <c r="P197" i="5"/>
  <c r="P131" i="5"/>
  <c r="P35" i="5"/>
  <c r="N514" i="5"/>
  <c r="N463" i="5"/>
  <c r="M374" i="5"/>
  <c r="P434" i="5"/>
  <c r="P426" i="5"/>
  <c r="P402" i="5"/>
  <c r="P250" i="5"/>
  <c r="N462" i="5"/>
  <c r="N436" i="5"/>
  <c r="P436" i="5" s="1"/>
  <c r="N396" i="5"/>
  <c r="N372" i="5"/>
  <c r="N332" i="5"/>
  <c r="N254" i="5"/>
  <c r="N214" i="5"/>
  <c r="M486" i="5"/>
  <c r="M430" i="5"/>
  <c r="M356" i="5"/>
  <c r="M230" i="5"/>
  <c r="N500" i="5"/>
  <c r="P500" i="5" s="1"/>
  <c r="N382" i="5"/>
  <c r="N238" i="5"/>
  <c r="P164" i="5"/>
  <c r="N134" i="5"/>
  <c r="P134" i="5" s="1"/>
  <c r="N22" i="5"/>
  <c r="M340" i="5"/>
  <c r="N329" i="5"/>
  <c r="P329" i="5" s="1"/>
  <c r="N265" i="5"/>
  <c r="N201" i="5"/>
  <c r="M428" i="5"/>
  <c r="P455" i="5"/>
  <c r="P191" i="5"/>
  <c r="N498" i="5"/>
  <c r="N484" i="5"/>
  <c r="N391" i="5"/>
  <c r="N380" i="5"/>
  <c r="P380" i="5" s="1"/>
  <c r="N366" i="5"/>
  <c r="N327" i="5"/>
  <c r="N263" i="5"/>
  <c r="P263" i="5" s="1"/>
  <c r="N174" i="5"/>
  <c r="N102" i="5"/>
  <c r="P102" i="5" s="1"/>
  <c r="M482" i="5"/>
  <c r="M334" i="5"/>
  <c r="P438" i="5"/>
  <c r="P342" i="5"/>
  <c r="P182" i="5"/>
  <c r="P38" i="5"/>
  <c r="P294" i="5"/>
  <c r="P246" i="5"/>
  <c r="P206" i="5"/>
  <c r="P118" i="5"/>
  <c r="P485" i="5"/>
  <c r="P461" i="5"/>
  <c r="P405" i="5"/>
  <c r="P365" i="5"/>
  <c r="P293" i="5"/>
  <c r="P253" i="5"/>
  <c r="P229" i="5"/>
  <c r="P221" i="5"/>
  <c r="P133" i="5"/>
  <c r="P53" i="5"/>
  <c r="P21" i="5"/>
  <c r="N454" i="5"/>
  <c r="N399" i="5"/>
  <c r="P399" i="5" s="1"/>
  <c r="N364" i="5"/>
  <c r="P364" i="5" s="1"/>
  <c r="N310" i="5"/>
  <c r="P310" i="5" s="1"/>
  <c r="M398" i="5"/>
  <c r="M348" i="5"/>
  <c r="P318" i="5"/>
  <c r="P222" i="5"/>
  <c r="P348" i="5"/>
  <c r="P284" i="5"/>
  <c r="P244" i="5"/>
  <c r="P76" i="5"/>
  <c r="N492" i="5"/>
  <c r="P492" i="5" s="1"/>
  <c r="N412" i="5"/>
  <c r="N388" i="5"/>
  <c r="N324" i="5"/>
  <c r="P324" i="5" s="1"/>
  <c r="N70" i="5"/>
  <c r="P430" i="5"/>
  <c r="P286" i="5"/>
  <c r="P190" i="5"/>
  <c r="P22" i="5"/>
  <c r="P37" i="5"/>
  <c r="N401" i="5"/>
  <c r="P381" i="5"/>
  <c r="P341" i="5"/>
  <c r="P340" i="5"/>
  <c r="P316" i="5"/>
  <c r="P252" i="5"/>
  <c r="P188" i="5"/>
  <c r="P180" i="5"/>
  <c r="P148" i="5"/>
  <c r="P132" i="5"/>
  <c r="P52" i="5"/>
  <c r="P36" i="5"/>
  <c r="P20" i="5"/>
  <c r="P163" i="5"/>
  <c r="P107" i="5"/>
  <c r="P83" i="5"/>
  <c r="P82" i="5"/>
  <c r="N169" i="5"/>
  <c r="P169" i="5" s="1"/>
  <c r="P225" i="5"/>
  <c r="P194" i="5"/>
  <c r="N489" i="5"/>
  <c r="P489" i="5" s="1"/>
  <c r="N425" i="5"/>
  <c r="P425" i="5" s="1"/>
  <c r="N41" i="5"/>
  <c r="N361" i="5"/>
  <c r="N297" i="5"/>
  <c r="P297" i="5" s="1"/>
  <c r="N65" i="5"/>
  <c r="N233" i="5"/>
  <c r="P233" i="5" s="1"/>
  <c r="P238" i="5"/>
  <c r="P46" i="5"/>
  <c r="N89" i="5"/>
  <c r="P89" i="5" s="1"/>
  <c r="P181" i="5"/>
  <c r="P45" i="5"/>
  <c r="N209" i="5"/>
  <c r="P209" i="5" s="1"/>
  <c r="P499" i="5"/>
  <c r="N409" i="5"/>
  <c r="N337" i="5"/>
  <c r="P337" i="5" s="1"/>
  <c r="N241" i="5"/>
  <c r="P241" i="5" s="1"/>
  <c r="N121" i="5"/>
  <c r="N17" i="5"/>
  <c r="M9" i="5"/>
  <c r="N465" i="5"/>
  <c r="N497" i="5"/>
  <c r="P497" i="5" s="1"/>
  <c r="P498" i="5"/>
  <c r="P306" i="5"/>
  <c r="P122" i="5"/>
  <c r="P90" i="5"/>
  <c r="N473" i="5"/>
  <c r="N369" i="5"/>
  <c r="P369" i="5" s="1"/>
  <c r="N335" i="5"/>
  <c r="P335" i="5" s="1"/>
  <c r="N305" i="5"/>
  <c r="P305" i="5" s="1"/>
  <c r="N281" i="5"/>
  <c r="N177" i="5"/>
  <c r="P84" i="5"/>
  <c r="N73" i="5"/>
  <c r="M7" i="5"/>
  <c r="P43" i="5"/>
  <c r="N433" i="5"/>
  <c r="N97" i="5"/>
  <c r="P201" i="5"/>
  <c r="P193" i="5"/>
  <c r="P41" i="5"/>
  <c r="N505" i="5"/>
  <c r="N441" i="5"/>
  <c r="P441" i="5" s="1"/>
  <c r="N345" i="5"/>
  <c r="P345" i="5" s="1"/>
  <c r="N217" i="5"/>
  <c r="P217" i="5" s="1"/>
  <c r="P196" i="5"/>
  <c r="N153" i="5"/>
  <c r="P153" i="5" s="1"/>
  <c r="N129" i="5"/>
  <c r="P117" i="5"/>
  <c r="N105" i="5"/>
  <c r="P105" i="5" s="1"/>
  <c r="N49" i="5"/>
  <c r="N25" i="5"/>
  <c r="P25" i="5" s="1"/>
  <c r="M330" i="5"/>
  <c r="M225" i="5"/>
  <c r="M193" i="5"/>
  <c r="N273" i="5"/>
  <c r="P273" i="5" s="1"/>
  <c r="N513" i="5"/>
  <c r="P513" i="5" s="1"/>
  <c r="N481" i="5"/>
  <c r="N417" i="5"/>
  <c r="N377" i="5"/>
  <c r="N313" i="5"/>
  <c r="P313" i="5" s="1"/>
  <c r="N289" i="5"/>
  <c r="N249" i="5"/>
  <c r="P249" i="5" s="1"/>
  <c r="M143" i="5"/>
  <c r="M15" i="5"/>
  <c r="P412" i="5"/>
  <c r="N145" i="5"/>
  <c r="P145" i="5" s="1"/>
  <c r="N511" i="5"/>
  <c r="N449" i="5"/>
  <c r="P449" i="5" s="1"/>
  <c r="N385" i="5"/>
  <c r="N353" i="5"/>
  <c r="P353" i="5" s="1"/>
  <c r="N321" i="5"/>
  <c r="P321" i="5" s="1"/>
  <c r="N257" i="5"/>
  <c r="P257" i="5" s="1"/>
  <c r="N185" i="5"/>
  <c r="N161" i="5"/>
  <c r="N137" i="5"/>
  <c r="P137" i="5" s="1"/>
  <c r="N81" i="5"/>
  <c r="P81" i="5" s="1"/>
  <c r="N57" i="5"/>
  <c r="N33" i="5"/>
  <c r="P33" i="5" s="1"/>
  <c r="P382" i="5"/>
  <c r="P262" i="5"/>
  <c r="P254" i="5"/>
  <c r="P230" i="5"/>
  <c r="P198" i="5"/>
  <c r="P166" i="5"/>
  <c r="P110" i="5"/>
  <c r="P86" i="5"/>
  <c r="P62" i="5"/>
  <c r="N457" i="5"/>
  <c r="P457" i="5" s="1"/>
  <c r="N447" i="5"/>
  <c r="N393" i="5"/>
  <c r="N383" i="5"/>
  <c r="P383" i="5" s="1"/>
  <c r="N319" i="5"/>
  <c r="P319" i="5" s="1"/>
  <c r="N255" i="5"/>
  <c r="N113" i="5"/>
  <c r="P113" i="5" s="1"/>
  <c r="M290" i="5"/>
  <c r="P334" i="5"/>
  <c r="P126" i="5"/>
  <c r="P373" i="5"/>
  <c r="M410" i="5"/>
  <c r="M242" i="5"/>
  <c r="N80" i="5"/>
  <c r="P80" i="5" s="1"/>
  <c r="P204" i="5"/>
  <c r="P317" i="5"/>
  <c r="N88" i="5"/>
  <c r="P75" i="5"/>
  <c r="P51" i="5"/>
  <c r="M146" i="5"/>
  <c r="M34" i="5"/>
  <c r="M10" i="5"/>
  <c r="P242" i="5"/>
  <c r="P178" i="5"/>
  <c r="P114" i="5"/>
  <c r="P106" i="5"/>
  <c r="P74" i="5"/>
  <c r="P42" i="5"/>
  <c r="P34" i="5"/>
  <c r="P330" i="5"/>
  <c r="P140" i="5"/>
  <c r="P108" i="5"/>
  <c r="N362" i="5"/>
  <c r="P362" i="5" s="1"/>
  <c r="N322" i="5"/>
  <c r="N210" i="5"/>
  <c r="P210" i="5" s="1"/>
  <c r="P139" i="5"/>
  <c r="M298" i="5"/>
  <c r="M170" i="5"/>
  <c r="M114" i="5"/>
  <c r="M74" i="5"/>
  <c r="N442" i="5"/>
  <c r="P442" i="5" s="1"/>
  <c r="N138" i="5"/>
  <c r="P138" i="5" s="1"/>
  <c r="N2" i="5"/>
  <c r="M42" i="5"/>
  <c r="M418" i="5"/>
  <c r="P437" i="5"/>
  <c r="P413" i="5"/>
  <c r="P205" i="5"/>
  <c r="P173" i="5"/>
  <c r="P141" i="5"/>
  <c r="P109" i="5"/>
  <c r="P101" i="5"/>
  <c r="P61" i="5"/>
  <c r="N458" i="5"/>
  <c r="P458" i="5" s="1"/>
  <c r="N258" i="5"/>
  <c r="P258" i="5" s="1"/>
  <c r="P236" i="5"/>
  <c r="M135" i="5"/>
  <c r="P428" i="5"/>
  <c r="P420" i="5"/>
  <c r="N471" i="5"/>
  <c r="N407" i="5"/>
  <c r="N343" i="5"/>
  <c r="P343" i="5" s="1"/>
  <c r="N279" i="5"/>
  <c r="N215" i="5"/>
  <c r="N479" i="5"/>
  <c r="N415" i="5"/>
  <c r="P415" i="5" s="1"/>
  <c r="N351" i="5"/>
  <c r="P351" i="5" s="1"/>
  <c r="N287" i="5"/>
  <c r="P287" i="5" s="1"/>
  <c r="N223" i="5"/>
  <c r="P223" i="5" s="1"/>
  <c r="M71" i="5"/>
  <c r="P346" i="5"/>
  <c r="P290" i="5"/>
  <c r="P226" i="5"/>
  <c r="P218" i="5"/>
  <c r="P130" i="5"/>
  <c r="P58" i="5"/>
  <c r="N487" i="5"/>
  <c r="P487" i="5" s="1"/>
  <c r="N423" i="5"/>
  <c r="P423" i="5" s="1"/>
  <c r="N359" i="5"/>
  <c r="N295" i="5"/>
  <c r="N231" i="5"/>
  <c r="N495" i="5"/>
  <c r="P495" i="5" s="1"/>
  <c r="N431" i="5"/>
  <c r="P431" i="5" s="1"/>
  <c r="N367" i="5"/>
  <c r="N303" i="5"/>
  <c r="N239" i="5"/>
  <c r="P239" i="5" s="1"/>
  <c r="N175" i="5"/>
  <c r="P175" i="5" s="1"/>
  <c r="M79" i="5"/>
  <c r="P354" i="5"/>
  <c r="N503" i="5"/>
  <c r="N439" i="5"/>
  <c r="P439" i="5" s="1"/>
  <c r="N375" i="5"/>
  <c r="P375" i="5" s="1"/>
  <c r="N311" i="5"/>
  <c r="P311" i="5" s="1"/>
  <c r="N247" i="5"/>
  <c r="P247" i="5" s="1"/>
  <c r="N183" i="5"/>
  <c r="P183" i="5" s="1"/>
  <c r="N40" i="5"/>
  <c r="P40" i="5" s="1"/>
  <c r="P60" i="5"/>
  <c r="P255" i="5"/>
  <c r="P414" i="5"/>
  <c r="P350" i="5"/>
  <c r="P199" i="5"/>
  <c r="P327" i="5"/>
  <c r="N512" i="5"/>
  <c r="N504" i="5"/>
  <c r="N496" i="5"/>
  <c r="P496" i="5" s="1"/>
  <c r="N488" i="5"/>
  <c r="P488" i="5" s="1"/>
  <c r="N480" i="5"/>
  <c r="N472" i="5"/>
  <c r="N464" i="5"/>
  <c r="N456" i="5"/>
  <c r="P456" i="5" s="1"/>
  <c r="N448" i="5"/>
  <c r="P448" i="5" s="1"/>
  <c r="N440" i="5"/>
  <c r="P440" i="5" s="1"/>
  <c r="N432" i="5"/>
  <c r="P432" i="5" s="1"/>
  <c r="N424" i="5"/>
  <c r="P424" i="5" s="1"/>
  <c r="N416" i="5"/>
  <c r="P416" i="5" s="1"/>
  <c r="N408" i="5"/>
  <c r="N400" i="5"/>
  <c r="P400" i="5" s="1"/>
  <c r="N392" i="5"/>
  <c r="N384" i="5"/>
  <c r="N376" i="5"/>
  <c r="P376" i="5" s="1"/>
  <c r="N368" i="5"/>
  <c r="P368" i="5" s="1"/>
  <c r="N360" i="5"/>
  <c r="N352" i="5"/>
  <c r="P352" i="5" s="1"/>
  <c r="N344" i="5"/>
  <c r="P344" i="5" s="1"/>
  <c r="N336" i="5"/>
  <c r="P336" i="5" s="1"/>
  <c r="N328" i="5"/>
  <c r="P328" i="5" s="1"/>
  <c r="N320" i="5"/>
  <c r="P320" i="5" s="1"/>
  <c r="N312" i="5"/>
  <c r="P312" i="5" s="1"/>
  <c r="N304" i="5"/>
  <c r="P304" i="5" s="1"/>
  <c r="N296" i="5"/>
  <c r="N288" i="5"/>
  <c r="N280" i="5"/>
  <c r="N272" i="5"/>
  <c r="N264" i="5"/>
  <c r="P264" i="5" s="1"/>
  <c r="N256" i="5"/>
  <c r="P256" i="5" s="1"/>
  <c r="N248" i="5"/>
  <c r="P248" i="5" s="1"/>
  <c r="N240" i="5"/>
  <c r="P240" i="5" s="1"/>
  <c r="N232" i="5"/>
  <c r="N224" i="5"/>
  <c r="P224" i="5" s="1"/>
  <c r="N216" i="5"/>
  <c r="N208" i="5"/>
  <c r="P208" i="5" s="1"/>
  <c r="N200" i="5"/>
  <c r="P200" i="5" s="1"/>
  <c r="N192" i="5"/>
  <c r="P192" i="5" s="1"/>
  <c r="N184" i="5"/>
  <c r="P184" i="5" s="1"/>
  <c r="N176" i="5"/>
  <c r="P176" i="5" s="1"/>
  <c r="N168" i="5"/>
  <c r="P168" i="5" s="1"/>
  <c r="N72" i="5"/>
  <c r="N32" i="5"/>
  <c r="P32" i="5" s="1"/>
  <c r="N96" i="5"/>
  <c r="N104" i="5"/>
  <c r="P104" i="5" s="1"/>
  <c r="P98" i="5"/>
  <c r="P50" i="5"/>
  <c r="P443" i="5"/>
  <c r="P427" i="5"/>
  <c r="P371" i="5"/>
  <c r="P363" i="5"/>
  <c r="P315" i="5"/>
  <c r="P307" i="5"/>
  <c r="P259" i="5"/>
  <c r="P251" i="5"/>
  <c r="P235" i="5"/>
  <c r="P203" i="5"/>
  <c r="P187" i="5"/>
  <c r="P179" i="5"/>
  <c r="N144" i="5"/>
  <c r="N8" i="5"/>
  <c r="N152" i="5"/>
  <c r="N16" i="5"/>
  <c r="N160" i="5"/>
  <c r="P160" i="5" s="1"/>
  <c r="N24" i="5"/>
  <c r="N136" i="5"/>
  <c r="P136" i="5" s="1"/>
  <c r="M127" i="5"/>
  <c r="M63" i="5"/>
  <c r="M151" i="5"/>
  <c r="M87" i="5"/>
  <c r="M23" i="5"/>
  <c r="M159" i="5"/>
  <c r="M95" i="5"/>
  <c r="M31" i="5"/>
  <c r="N112" i="5"/>
  <c r="N48" i="5"/>
  <c r="P48" i="5" s="1"/>
  <c r="M167" i="5"/>
  <c r="M103" i="5"/>
  <c r="M39" i="5"/>
  <c r="N120" i="5"/>
  <c r="P120" i="5" s="1"/>
  <c r="N56" i="5"/>
  <c r="M111" i="5"/>
  <c r="M47" i="5"/>
  <c r="N128" i="5"/>
  <c r="P128" i="5" s="1"/>
  <c r="N64" i="5"/>
  <c r="M119" i="5"/>
  <c r="M55" i="5"/>
  <c r="G9" i="1"/>
  <c r="G10" i="1"/>
  <c r="H9" i="1"/>
  <c r="H10" i="1"/>
  <c r="I9" i="1"/>
  <c r="I10" i="1"/>
  <c r="G8" i="1" l="1"/>
  <c r="H8" i="1"/>
  <c r="I8" i="1"/>
  <c r="H7" i="1"/>
  <c r="H6" i="1"/>
  <c r="H5" i="1"/>
  <c r="H4" i="1"/>
  <c r="H3" i="1"/>
  <c r="H2" i="1"/>
  <c r="G4" i="1"/>
  <c r="I3" i="1"/>
  <c r="I2" i="1"/>
  <c r="I7" i="1"/>
  <c r="I6" i="1"/>
  <c r="G6" i="1"/>
  <c r="I5" i="1"/>
  <c r="G5" i="1"/>
  <c r="I4" i="1" l="1"/>
  <c r="G3"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<sst xmlns="http://schemas.openxmlformats.org/spreadsheetml/2006/main" count="19163" uniqueCount="356">
  <si>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</si>
  <si>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</si>
  <si>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</si>
  <si>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</si>
  <si>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</si>
  <si>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</si>
  <si>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</si>
  <si>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</si>
  <si>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</si>
  <si>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</si>
  <si>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</si>
  <si>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</si>
  <si>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</si>
  <si>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</si>
  <si>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</si>
  <si>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</si>
  <si>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</si>
  <si>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</si>
  <si>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</si>
  <si>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</si>
  <si>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</si>
  <si>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</si>
  <si>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</si>
  <si>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</si>
  <si>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</si>
  <si>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</si>
  <si>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</si>
  <si>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</si>
  <si>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</si>
  <si>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</si>
  <si>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</si>
  <si>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</si>
  <si>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</si>
  <si>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</si>
  <si>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</si>
  <si>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</si>
  <si>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</si>
  <si>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</si>
  <si>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</si>
  <si>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</si>
  <si>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</si>
  <si>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</si>
  <si>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</si>
  <si>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</si>
  <si>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</si>
  <si>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</si>
  <si>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</si>
  <si>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</si>
  <si>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</si>
  <si>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</si>
  <si>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</si>
  <si>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</si>
  <si>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</si>
  <si>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</si>
  <si>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</si>
  <si>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</si>
  <si>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</si>
  <si>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</si>
  <si>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</si>
  <si>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</si>
  <si>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</si>
  <si>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</si>
  <si>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</si>
  <si>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</si>
  <si>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</si>
  <si>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</si>
  <si>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</si>
  <si>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</si>
  <si>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</si>
  <si>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</si>
  <si>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</si>
  <si>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</si>
  <si>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</si>
  <si>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</si>
  <si>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</si>
  <si>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</si>
  <si>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</si>
  <si>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</si>
  <si>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</si>
  <si>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EXITO</t>
  </si>
  <si>
    <t>ABIERTA</t>
  </si>
  <si>
    <t xml:space="preserve"> NO</t>
  </si>
  <si>
    <t>VIDEO 1</t>
  </si>
  <si>
    <t>VIDEO 2</t>
  </si>
  <si>
    <t>VIDEO 3</t>
  </si>
  <si>
    <t>-</t>
  </si>
  <si>
    <t>Columna2</t>
  </si>
  <si>
    <t>VIDEO 4</t>
  </si>
  <si>
    <t>VIDEO 5</t>
  </si>
  <si>
    <t>EXITO CALLE 80</t>
  </si>
  <si>
    <t>ANTIOQUIA</t>
  </si>
  <si>
    <t>MEDELLIN</t>
  </si>
  <si>
    <t>COSTA</t>
  </si>
  <si>
    <t>BARRANQUILLA</t>
  </si>
  <si>
    <t>25/06/2025 00:00:00</t>
  </si>
  <si>
    <t>10/06/2025 00:00:00</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</si>
  <si>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</si>
  <si>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</si>
  <si>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</si>
  <si>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</si>
  <si>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</si>
  <si>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</si>
  <si>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</si>
  <si>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</si>
  <si>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</si>
  <si>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ACTIVIDADES DEL MES</t>
  </si>
  <si>
    <t>NO</t>
  </si>
  <si>
    <t>NESTLE PURINA</t>
  </si>
  <si>
    <t>0</t>
  </si>
  <si>
    <t xml:space="preserve">User 1 </t>
  </si>
  <si>
    <t>NestleP.1</t>
  </si>
  <si>
    <t>PACIFICO</t>
  </si>
  <si>
    <t>CALI</t>
  </si>
  <si>
    <t>SUPERETE</t>
  </si>
  <si>
    <t>SUPERETES</t>
  </si>
  <si>
    <t>Mercadeo</t>
  </si>
  <si>
    <t xml:space="preserve">User 7 </t>
  </si>
  <si>
    <t>NestleP.7</t>
  </si>
  <si>
    <t>Impulso</t>
  </si>
  <si>
    <t>14/06/2025 00:00:00</t>
  </si>
  <si>
    <t xml:space="preserve">User 11 </t>
  </si>
  <si>
    <t>NestleP.11</t>
  </si>
  <si>
    <t>MERCA Z</t>
  </si>
  <si>
    <t>SUPERMERCADOS INDEPENDIENTES</t>
  </si>
  <si>
    <t>17/06/2025 00:00:00</t>
  </si>
  <si>
    <t>STO 039 CHIQUINQUIRA</t>
  </si>
  <si>
    <t xml:space="preserve">User 5 </t>
  </si>
  <si>
    <t>NestleP.5</t>
  </si>
  <si>
    <t>(Todas)</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</si>
  <si>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</si>
  <si>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</si>
  <si>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</si>
  <si>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</si>
  <si>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</si>
  <si>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</si>
  <si>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</si>
  <si>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 PRODUCE ABORDO PROACTIVO (antes de los 3 min)</t>
  </si>
  <si>
    <t>OFRECIO ALGUN PRODUCTO DEL PORTAFOLIO PURINA DE PRODUCTOS SECOS COMUNICANDO LOS BENEFICIOS DEL PRODUCTO (DOG CHOW, CAT CHOW,
ALPO, GATSY,FELIX)</t>
  </si>
  <si>
    <t>OFRECIO ALGUN PRODUCTO PORTAFOLIO PURINA DE PRODUCTOS HUMEDOS, SNACK U OTROS COMUNICANDO LOS BENEFICIOS DEL PRODUCTO (Dog chow húmedo, Cat chow húmedo, Fancy Feast, Felix, Proplan Húmedo, One Húmedo) Snacks (Abrazzos, Dentalife) Arenilla (Tidy Cat)</t>
  </si>
  <si>
    <t>SELECCIONE EL CANAL DEL PDV QUE EVALUA</t>
  </si>
  <si>
    <t>CM - OFRECE PURINA ONE?</t>
  </si>
  <si>
    <t>CM - MENCIONA QUE LOS RESULTADOS DE PURINA ONE SON VISIBLES EN 28 DIAS?</t>
  </si>
  <si>
    <t>CM - MENCIONA QUE TIENE CARNE DE VERDAD COMO INGREDIENTE NO.1 E INGREDIENTES NATURALES Y FUNCIONALES?</t>
  </si>
  <si>
    <t>CM - MENCIONA QUE PURINA ONE CUENTA CON ALIMENTO HUMEDO Y MENCIONA LAS 3 VARIADADES QUE TIENE ( SUPER FOODS, SUPER NUTRIENTES Y MULTI PROTEINAS); APLICA TANTO PARA PERRO COMO PARA GATO</t>
  </si>
  <si>
    <t>CM - Maneja la objeción de alto precio en las marcas Purina, comunicando la baja de precios de las marcas o las ofertas disponibles en el punto de venta.</t>
  </si>
  <si>
    <t>CM - Bajo la objeción de "precio muy costoso", el asesor ofrece productos en el orden de la segmentación: Perros: Purina One - Dog Chow - Alpo y Gatos: Purina One - Cat Chow - Felix - Gatsy (cuando enuncia Gatsy menciona que "ahora es mas sabroso")</t>
  </si>
  <si>
    <t>CM - Dan a conocer al cliente la actividad del "EVENTO CORPORATIVO DE OLIMPICA JUNIO"?</t>
  </si>
  <si>
    <t>CE - Lo primero que ofrece el asesor es la marca Pro Plan?</t>
  </si>
  <si>
    <t>CE - Ofrece la marca Excellent?</t>
  </si>
  <si>
    <t>CE - El asesor comunica que la marca Excellent esta dentro de la categoria SuperPremium pero a un costo mas accesible.</t>
  </si>
  <si>
    <t>CE - El asesor comunica los beneficios o caracteristicas del producto Excellent e informa que el producto cambio de imagen pero continua con la misma formula?</t>
  </si>
  <si>
    <t>CE - Ofrece producto humedo y comunica la dinamica de multiprice (por la compra de mas cantidades tiene descuento)</t>
  </si>
  <si>
    <t>INDIQUE QUE TIPO DE OBJECION / DUDA MANIFESTÓ</t>
  </si>
  <si>
    <t>RESUELVE LA OBJECION SATISFACTORIAMENTE?</t>
  </si>
  <si>
    <t>SE ENCUENTRA LIMPIA EL AREA DE DEMOSTRACION</t>
  </si>
  <si>
    <t>REALIZA CIERRE DE VENTA</t>
  </si>
  <si>
    <t>CONSIDERO QUE INDEPENDIENTEMENTE DEL SPEECH, LA LABOR DE VENTA ES BUENA</t>
  </si>
  <si>
    <t>DESEA AÑADIR ALGUNA OBSERVACION Y/O NOVEDAD DEL MYSTERY REALIZADO?</t>
  </si>
  <si>
    <t>INDIQUE OBSERVACION Y/O NOVEDAD DEL MYSTERY REALIZADO</t>
  </si>
  <si>
    <t>MODERNO, ESPECIALIZADO</t>
  </si>
  <si>
    <t>FALTA DE PRODUCTO, NO LE INTERESA EL PRODUCTO, NO TIENE DINERO, PREFIERE LA COMPETENCIA</t>
  </si>
  <si>
    <t>AGRO/PSHOP/VET</t>
  </si>
  <si>
    <t>355955</t>
  </si>
  <si>
    <t>MUNDO MASCOTAS TABORA</t>
  </si>
  <si>
    <t>GESTION IMPULSO - JUNIO 2025</t>
  </si>
  <si>
    <t>07/06/2025 00:00:00</t>
  </si>
  <si>
    <t>07/06/2025 11:22:14</t>
  </si>
  <si>
    <t>10/06/2025 08:54:47</t>
  </si>
  <si>
    <t>27420844</t>
  </si>
  <si>
    <t xml:space="preserve"> ESPECIALIZADO</t>
  </si>
  <si>
    <t xml:space="preserve"> NO TIENE DINERO</t>
  </si>
  <si>
    <t>CARULLA</t>
  </si>
  <si>
    <t>338 CARULLA OVIEDO</t>
  </si>
  <si>
    <t>428025</t>
  </si>
  <si>
    <t>428025-CARULLA RINCON DE OVIEDO</t>
  </si>
  <si>
    <t>CARULLA OVIEDO</t>
  </si>
  <si>
    <t>10/06/2025 17:42:44</t>
  </si>
  <si>
    <t>10/06/2025 17:57:53</t>
  </si>
  <si>
    <t>27444155</t>
  </si>
  <si>
    <t>La chica no aborda inmediatamente, se veía que estaba capturando información del punto de venta por lo que le pido ayuda, da una asesoría completa, ofrece beneficios, busca satisfacer o cumplir con las necesidades que tengo ofreciendo un producto acorde, cuando se indica que es costoso, dice que hay otra presentación, me enseña la ofertas disponibles, me indica promociones entre otros.</t>
  </si>
  <si>
    <t>12394</t>
  </si>
  <si>
    <t>12394-EXITO CALLE 80</t>
  </si>
  <si>
    <t>7701001008615</t>
  </si>
  <si>
    <t>10/06/2025 22:25:32</t>
  </si>
  <si>
    <t>10/06/2025 22:27:59</t>
  </si>
  <si>
    <t>27444590</t>
  </si>
  <si>
    <t xml:space="preserve">User 2 </t>
  </si>
  <si>
    <t>NestleP.2</t>
  </si>
  <si>
    <t xml:space="preserve"> NO LE INTERESA EL PRODUCTO</t>
  </si>
  <si>
    <t xml:space="preserve">Se visita el pdv en horario asignado,  se espera pero nunca llegó,  de graba video 1 y 2 </t>
  </si>
  <si>
    <t>108903</t>
  </si>
  <si>
    <t>108903-LA RES CENTRO</t>
  </si>
  <si>
    <t>11/06/2025 16:34:25</t>
  </si>
  <si>
    <t>11/06/2025 16:37:15</t>
  </si>
  <si>
    <t>27450345</t>
  </si>
  <si>
    <t>454996</t>
  </si>
  <si>
    <t>454996-LAIKA 116</t>
  </si>
  <si>
    <t>11/06/2025 00:00:00</t>
  </si>
  <si>
    <t>11/06/2025 18:06:17</t>
  </si>
  <si>
    <t>11/06/2025 18:10:02</t>
  </si>
  <si>
    <t>27453760</t>
  </si>
  <si>
    <t>FALTA DE PRODUCTO</t>
  </si>
  <si>
    <t xml:space="preserve">Se visita pdv en el tiempo indicado , no se encuentra asesor </t>
  </si>
  <si>
    <t>13555</t>
  </si>
  <si>
    <t>13555-OLIMPICA STO 137 VILLA COLOMBIA</t>
  </si>
  <si>
    <t>SAP993225</t>
  </si>
  <si>
    <t>CADENA - OLIMPICA - CALI</t>
  </si>
  <si>
    <t>13/06/2025 00:00:00</t>
  </si>
  <si>
    <t>13/06/2025 21:30:09</t>
  </si>
  <si>
    <t>13/06/2025 21:37:38</t>
  </si>
  <si>
    <t>27476525</t>
  </si>
  <si>
    <t xml:space="preserve">En el pdv no se encuentra la activadora  se informa y la supervisora indica que esta retrazada en la ruta </t>
  </si>
  <si>
    <t>356594</t>
  </si>
  <si>
    <t>SUPERMASCOTAS CIUDAD JARDIN</t>
  </si>
  <si>
    <t>14/06/2025 20:38:31</t>
  </si>
  <si>
    <t>14/06/2025 20:43:18</t>
  </si>
  <si>
    <t>27480859</t>
  </si>
  <si>
    <t>JUMBO</t>
  </si>
  <si>
    <t>JUMBO TITAN</t>
  </si>
  <si>
    <t>12662</t>
  </si>
  <si>
    <t>12662-JUMBO TITAN BOGOTA</t>
  </si>
  <si>
    <t>7707185371675</t>
  </si>
  <si>
    <t>16/06/2025 11:51:09</t>
  </si>
  <si>
    <t>16/06/2025 11:55:22</t>
  </si>
  <si>
    <t>27484800</t>
  </si>
  <si>
    <t xml:space="preserve">Se visita pdv en horario establecido no se encuentra asesor </t>
  </si>
  <si>
    <t>ORIENTE</t>
  </si>
  <si>
    <t>442719</t>
  </si>
  <si>
    <t>442719-EXITO COLINA</t>
  </si>
  <si>
    <t>16/06/2025 16:49:11</t>
  </si>
  <si>
    <t>16/06/2025 16:51:46</t>
  </si>
  <si>
    <t>27486785</t>
  </si>
  <si>
    <t>AGROPECUARIA LA HACIENDA Y CIA S.A.S</t>
  </si>
  <si>
    <t>AGROPUNTO</t>
  </si>
  <si>
    <t>356625</t>
  </si>
  <si>
    <t>356625-AGRO LA HACIENDA SAS SUR</t>
  </si>
  <si>
    <t>17/06/2025 17:53:28</t>
  </si>
  <si>
    <t>17/06/2025 17:58:39</t>
  </si>
  <si>
    <t>27493887</t>
  </si>
  <si>
    <t>191495</t>
  </si>
  <si>
    <t>CLINICA VETERINARIA SHARPEY</t>
  </si>
  <si>
    <t>18/06/2025 13:00:42</t>
  </si>
  <si>
    <t>18/06/2025 13:05:06</t>
  </si>
  <si>
    <t>27498086</t>
  </si>
  <si>
    <t>65453</t>
  </si>
  <si>
    <t>DISTRIBUCIONES MILENA</t>
  </si>
  <si>
    <t>18/06/2025 00:00:00</t>
  </si>
  <si>
    <t>18/06/2025 13:07:28</t>
  </si>
  <si>
    <t>18/06/2025 13:12:56</t>
  </si>
  <si>
    <t>27498090</t>
  </si>
  <si>
    <t>447964</t>
  </si>
  <si>
    <t>447964-MAKRO BARRANQUILLA</t>
  </si>
  <si>
    <t>24/06/2025 15:03:27</t>
  </si>
  <si>
    <t>24/06/2025 15:07:50</t>
  </si>
  <si>
    <t>27521942</t>
  </si>
  <si>
    <t>126325</t>
  </si>
  <si>
    <t>126325-OLIMPICA STO 039 CHIQUINQUIRA</t>
  </si>
  <si>
    <t>7701008000391</t>
  </si>
  <si>
    <t>26/06/2025 10:00:01</t>
  </si>
  <si>
    <t>26/06/2025 10:00:06</t>
  </si>
  <si>
    <t>26/06/2025 10:00:10</t>
  </si>
  <si>
    <t>27531935</t>
  </si>
  <si>
    <t>26/06/2025 10:00:12</t>
  </si>
  <si>
    <t>26/06/2025 10:00:16</t>
  </si>
  <si>
    <t>26/06/2025 10:00:17</t>
  </si>
  <si>
    <t>26/06/2025 10:00:20</t>
  </si>
  <si>
    <t>26/06/2025 10:00:23</t>
  </si>
  <si>
    <t>26/06/2025 10:00:26</t>
  </si>
  <si>
    <t>26/06/2025 10:00:30</t>
  </si>
  <si>
    <t>26/06/2025 10:00:33</t>
  </si>
  <si>
    <t>26/06/2025 10:00:36</t>
  </si>
  <si>
    <t>26/06/2025 10:00:39</t>
  </si>
  <si>
    <t>26/06/2025 10:00:41</t>
  </si>
  <si>
    <t>26/06/2025 10:00:45</t>
  </si>
  <si>
    <t>26/06/2025 10:00:51</t>
  </si>
  <si>
    <t>26/06/2025 10:00:59</t>
  </si>
  <si>
    <t>26/06/2025 10:01:06</t>
  </si>
  <si>
    <t>26/06/2025 10:01:31</t>
  </si>
  <si>
    <t>26/06/2025 10:01:38</t>
  </si>
  <si>
    <t>26/06/2025 10:01:43</t>
  </si>
  <si>
    <t>26/06/2025 10:01:46</t>
  </si>
  <si>
    <t>26/06/2025 10:01:52</t>
  </si>
  <si>
    <t>26/06/2025 10:02:01</t>
  </si>
  <si>
    <t>26/06/2025 10:02:55</t>
  </si>
  <si>
    <t>26/06/2025 10:03:00</t>
  </si>
  <si>
    <t>26/06/2025 10:03:01</t>
  </si>
  <si>
    <t>26/06/2025 10:03:04</t>
  </si>
  <si>
    <t>26/06/2025 10:03:05</t>
  </si>
  <si>
    <t>26/06/2025 10:03:08</t>
  </si>
  <si>
    <t>26/06/2025 10:03:12</t>
  </si>
  <si>
    <t>435142</t>
  </si>
  <si>
    <t>KUMPET 94</t>
  </si>
  <si>
    <t>27/06/2025 00:00:00</t>
  </si>
  <si>
    <t>28/06/2025 18:21:39</t>
  </si>
  <si>
    <t>28/06/2025 18:30:56</t>
  </si>
  <si>
    <t>27593677</t>
  </si>
  <si>
    <t xml:space="preserve">La asesora tuvo una atención inpecable ya que resolvió todas mis dudas y me dio consejos para llevar un mejor manejo con mi animal </t>
  </si>
  <si>
    <t>406974</t>
  </si>
  <si>
    <t>406974-JUMBO 170</t>
  </si>
  <si>
    <t>SAP7707185370142981518</t>
  </si>
  <si>
    <t>01/07/2025 12:48:47</t>
  </si>
  <si>
    <t>01/07/2025 12:54:38</t>
  </si>
  <si>
    <t>27684336</t>
  </si>
  <si>
    <t xml:space="preserve">No me indica información.clara,  me toco abordarlo por que no aborda, </t>
  </si>
  <si>
    <t>365377</t>
  </si>
  <si>
    <t>365377-Su Papa Lopez</t>
  </si>
  <si>
    <t>2</t>
  </si>
  <si>
    <t>26/06/2025 00:00:00</t>
  </si>
  <si>
    <t>01/07/2025 14:11:10</t>
  </si>
  <si>
    <t>01/07/2025 14:16:18</t>
  </si>
  <si>
    <t>27685551</t>
  </si>
  <si>
    <t>12565</t>
  </si>
  <si>
    <t>12565-JUMBO SANTA ANA</t>
  </si>
  <si>
    <t>SAP7707185370197981518</t>
  </si>
  <si>
    <t>01/07/2025 17:23:04</t>
  </si>
  <si>
    <t>01/07/2025 18:45:57</t>
  </si>
  <si>
    <t>27689425</t>
  </si>
  <si>
    <t>SE RETRASO EN LA RUTA Y NO HABIA ALCANZADO A LLEGAR ESTABA EN OTRO PUNTO</t>
  </si>
  <si>
    <t>TENIA INCAPACIDAD</t>
  </si>
  <si>
    <t>EL ASESOR ESTABA EN EVENTO EN OTRO PUNTO</t>
  </si>
  <si>
    <t>YA HABIA SALIDO DEL PUNTO  PARA OTRO</t>
  </si>
  <si>
    <t>VIDEO 6</t>
  </si>
  <si>
    <t>INFORME MYSTERY JUNIO</t>
  </si>
  <si>
    <t>MYSTERY PURINA LA RES CENTRO PARTE 1.avi - Google Drive</t>
  </si>
  <si>
    <t>MYSTERY PURINA LA RES CENTRO PARTE 2.avi - Google Drive</t>
  </si>
  <si>
    <t>MYSTERY PURINA LA RES CENTRO PARTE 3.avi - Google Drive</t>
  </si>
  <si>
    <t>MYSTERY PURINA LA RES CENTRO PARTE 4.avi - Google Drive</t>
  </si>
  <si>
    <t>MYSTERY PURINA LA RES CENTRO PARTE 5.avi - Google Drive</t>
  </si>
  <si>
    <t>MYSTERY PURINA LA RES CENTRO PARTE 6.avi - Google Drive</t>
  </si>
  <si>
    <t>MYSTERY PURINA JUMBO TITAN.avi - Google Drive</t>
  </si>
  <si>
    <t>MYSTERY PURINA JUMBO SANTA ANA PARTE 4.avi - Google Drive</t>
  </si>
  <si>
    <t>MYSTERY PURINA JUMBO SANTA ANA PARTE 2.avi - Google Drive</t>
  </si>
  <si>
    <t>MYSTERY PURINA JUMBO SANTA ANA PARTE 3.avi - Google Drive</t>
  </si>
  <si>
    <t>MYSTERY PURINA JUMBO SANTA ANA PARTE 1.avi - Google Drive</t>
  </si>
  <si>
    <t>MYSTERY PURINA PRIMER VIDEO EXITO CALLE 80.avi - Google Drive</t>
  </si>
  <si>
    <t>MYSTERY PURINA SEGUNDO VIDEO EXITO CALLE 80.avi - Google Drive</t>
  </si>
  <si>
    <t>MYSTERY PURINA LAIKA 116 .avi - Google Drive</t>
  </si>
  <si>
    <t>MYSTERY PURINA JUMBO CALLE 170 PARTE 4.avi - Google Drive</t>
  </si>
  <si>
    <t>MYSTERY PURINA JUMBO CALLE 170 PARTE 1.avi - Google Drive</t>
  </si>
  <si>
    <t>MYSTERY PURINA JUMBO CALLE 170 PARTE 2.avi - Google Drive</t>
  </si>
  <si>
    <t>MYSTERY PURINA JUMBO CALLE 170 PARTE 3.avi - Google Drive</t>
  </si>
  <si>
    <t>MYSTERY PURINA EXITO COLINA PARTE 1.avi - Google Drive</t>
  </si>
  <si>
    <t>MYSTERY PURINA EXITO COLINA PARTE 2.avi - Google Drive</t>
  </si>
  <si>
    <t>MYSTERY PURINA EXITO COLINA PARTE 3.avi - Google Drive</t>
  </si>
  <si>
    <t>MYSTERY PURINA EXITO COLINA PARTE 4.avi - Google Drive</t>
  </si>
  <si>
    <t>DISTRIBUCIONES MILENA.mp4 - Google Drive</t>
  </si>
  <si>
    <t>CLINICA SHARPEY.mp4 - Google Drive</t>
  </si>
  <si>
    <t>OLIMPICA CHIQUINQUIRA.mp4 - Google Drive</t>
  </si>
  <si>
    <t>MAKRO VILLA SANTOS.mp4 - Google Drive</t>
  </si>
  <si>
    <t>MYSTERY KUMPET LA 94 PARTE 1.avi - Google Drive</t>
  </si>
  <si>
    <t>CARULLA RINCON DE OVIEDO.mp4 - Google Drive</t>
  </si>
  <si>
    <t>SU PAPA LOPEZ MISTERY PURINA.mp4 - Google Drive</t>
  </si>
  <si>
    <t>MISTER SUPERMASCOTAS.mp4 - Google Drive</t>
  </si>
  <si>
    <t>mistery OLIMPICA VILLA COLOMBIA.mp4 - Google Drive</t>
  </si>
  <si>
    <t>MISTERY MUNDO MASCOTAS TABORA.avi - Google Drive</t>
  </si>
  <si>
    <t>MISTERY AGRO LA HACIENDA.mp4 - Google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</si>
</sst>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sz val="8"/>
      <color theme="1"/>
      <name val="Aptos Display"/>
      <family val="2"/>
      <scheme val="major"/>
    </font>
    <font>
      <b/>
      <sz val="9"/>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theme="0" tint="-4.9989318521683403E-2"/>
        <bgColor theme="6" tint="0.79998168889431442"/>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6" fillId="0" borderId="0" applyNumberFormat="0" applyFill="0" applyBorder="0" applyAlignment="0" applyProtection="0"/>
    <xf numFmtId="0" fontId="17" fillId="0" borderId="0"/>
  </cellStyleXfs>
  <cellXfs count="95">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0" fontId="9" fillId="0" borderId="0" xfId="0" applyFont="1"/>
    <xf numFmtId="9" fontId="9" fillId="3" borderId="0" xfId="0" applyNumberFormat="1" applyFont="1" applyFill="1" applyAlignment="1">
      <alignment horizontal="center" vertical="center"/>
    </xf>
    <xf numFmtId="0" fontId="7" fillId="0" borderId="0" xfId="0" pivotButton="1" applyFont="1"/>
    <xf numFmtId="9" fontId="9" fillId="10" borderId="0" xfId="0" applyNumberFormat="1" applyFont="1" applyFill="1" applyAlignment="1">
      <alignment horizontal="center" vertical="center"/>
    </xf>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1" borderId="0" xfId="0" applyFont="1" applyFill="1"/>
    <xf numFmtId="1" fontId="10" fillId="12" borderId="1" xfId="0" applyNumberFormat="1" applyFont="1" applyFill="1" applyBorder="1" applyAlignment="1">
      <alignment horizontal="left" vertical="center"/>
    </xf>
    <xf numFmtId="1" fontId="10" fillId="12"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3" borderId="1" xfId="0" applyFont="1" applyFill="1" applyBorder="1"/>
    <xf numFmtId="1" fontId="2" fillId="13" borderId="1" xfId="0" applyNumberFormat="1" applyFont="1" applyFill="1" applyBorder="1" applyAlignment="1">
      <alignment horizontal="left" vertical="center"/>
    </xf>
    <xf numFmtId="0" fontId="10" fillId="13" borderId="1" xfId="0" applyFont="1" applyFill="1" applyBorder="1" applyAlignment="1">
      <alignment horizontal="center"/>
    </xf>
    <xf numFmtId="9" fontId="0" fillId="14"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2" borderId="1" xfId="0" applyFont="1" applyFill="1" applyBorder="1"/>
    <xf numFmtId="0" fontId="10" fillId="12"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5"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0" fontId="14" fillId="0" borderId="1" xfId="1" applyFont="1" applyBorder="1" applyAlignment="1">
      <alignment horizontal="center" vertical="center" wrapText="1"/>
    </xf>
    <xf numFmtId="1" fontId="10" fillId="12"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5" xfId="1" applyFont="1" applyBorder="1"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6" fillId="0" borderId="5" xfId="0" applyFont="1" applyBorder="1" applyAlignment="1">
      <alignment horizontal="center" vertical="center" wrapText="1"/>
    </xf>
    <xf numFmtId="0" fontId="6" fillId="0" borderId="7" xfId="1" applyFont="1" applyBorder="1" applyAlignment="1">
      <alignment horizontal="center" vertical="center" wrapText="1"/>
    </xf>
    <xf numFmtId="0" fontId="11" fillId="16" borderId="1" xfId="1" applyFont="1" applyFill="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18" fillId="0" borderId="5" xfId="1" applyFont="1" applyBorder="1" applyAlignment="1">
      <alignment horizontal="center" vertical="center" wrapText="1"/>
    </xf>
    <xf numFmtId="0" fontId="18" fillId="0" borderId="5" xfId="0" applyFont="1" applyBorder="1" applyAlignment="1">
      <alignment horizontal="center" vertical="center" wrapText="1"/>
    </xf>
    <xf numFmtId="0" fontId="17" fillId="0" borderId="5" xfId="1" applyFont="1" applyBorder="1" applyAlignment="1">
      <alignment horizontal="center" vertical="center" wrapText="1"/>
    </xf>
    <xf numFmtId="0" fontId="15" fillId="0" borderId="0" xfId="0" applyFont="1" applyAlignment="1">
      <alignment horizontal="center" vertical="center"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10" fillId="15" borderId="1" xfId="0" applyFont="1" applyFill="1" applyBorder="1"/>
    <xf numFmtId="0" fontId="7" fillId="6" borderId="1" xfId="0" applyFont="1" applyFill="1" applyBorder="1"/>
    <xf numFmtId="0" fontId="7" fillId="6" borderId="8" xfId="0" applyFont="1" applyFill="1" applyBorder="1"/>
    <xf numFmtId="0" fontId="0" fillId="0" borderId="1" xfId="0" applyBorder="1" applyAlignment="1">
      <alignment horizontal="center" vertical="center"/>
    </xf>
    <xf numFmtId="0" fontId="0" fillId="17" borderId="6" xfId="0" applyFill="1" applyBorder="1" applyAlignment="1">
      <alignment horizontal="center" vertical="center"/>
    </xf>
    <xf numFmtId="0" fontId="16" fillId="0" borderId="1" xfId="3" applyBorder="1" applyAlignment="1"/>
    <xf numFmtId="0" fontId="18" fillId="0" borderId="0" xfId="1" applyFont="1" applyAlignment="1">
      <alignment horizontal="center" vertical="center" wrapText="1"/>
    </xf>
    <xf numFmtId="0" fontId="18" fillId="0" borderId="0" xfId="0" applyFont="1" applyAlignment="1">
      <alignment horizontal="center" vertical="center" wrapText="1"/>
    </xf>
    <xf numFmtId="0" fontId="17"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9" fillId="0" borderId="1" xfId="1" applyFont="1" applyBorder="1" applyAlignment="1">
      <alignment horizontal="center" vertical="center" wrapText="1"/>
    </xf>
    <xf numFmtId="0" fontId="18" fillId="0" borderId="1" xfId="1" applyFont="1" applyBorder="1" applyAlignment="1">
      <alignment horizontal="center" vertical="center" wrapText="1"/>
    </xf>
    <xf numFmtId="0" fontId="18" fillId="0" borderId="1" xfId="0" applyFont="1" applyBorder="1" applyAlignment="1">
      <alignment horizontal="center" vertical="center" wrapText="1"/>
    </xf>
    <xf numFmtId="0" fontId="17" fillId="0" borderId="1" xfId="1" applyFont="1" applyBorder="1" applyAlignment="1">
      <alignment horizontal="center" vertical="center" wrapText="1"/>
    </xf>
    <xf numFmtId="9" fontId="0" fillId="0" borderId="1" xfId="2" applyFont="1" applyBorder="1" applyAlignment="1">
      <alignment horizontal="center"/>
    </xf>
    <xf numFmtId="9" fontId="0" fillId="0" borderId="8" xfId="2" applyFont="1" applyFill="1" applyBorder="1" applyAlignment="1">
      <alignment horizontal="center"/>
    </xf>
    <xf numFmtId="14" fontId="0" fillId="0" borderId="9" xfId="0" applyNumberFormat="1" applyBorder="1"/>
    <xf numFmtId="22" fontId="0" fillId="0" borderId="0" xfId="0" applyNumberFormat="1"/>
    <xf numFmtId="0" fontId="19" fillId="0" borderId="0" xfId="1" applyFont="1" applyAlignment="1">
      <alignment horizontal="center" vertical="center" wrapText="1"/>
    </xf>
    <xf numFmtId="0" fontId="4" fillId="0" borderId="0" xfId="0" applyFont="1" applyAlignment="1">
      <alignment horizontal="left" vertical="center" wrapText="1"/>
    </xf>
    <xf numFmtId="0" fontId="9" fillId="6" borderId="0" xfId="0" applyFont="1" applyFill="1" applyAlignment="1">
      <alignment horizontal="center" vertical="center"/>
    </xf>
    <xf numFmtId="0" fontId="16" fillId="0" borderId="1" xfId="3" applyBorder="1"/>
    <xf numFmtId="0" fontId="16" fillId="0" borderId="0" xfId="3"/>
    <xf numFmtId="0" fontId="0" fillId="18" borderId="0" xfId="0" applyFill="1"/>
    <xf numFmtId="0" fontId="7" fillId="0" borderId="0" xfId="0" applyFont="1" applyAlignment="1">
      <alignment horizontal="center" vertical="center" wrapText="1"/>
    </xf>
    <xf numFmtId="0" fontId="7" fillId="0" borderId="0" xfId="0" applyFont="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27" formatCode="d/mm/yyyy\ h:mm"/>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214"/>
      <tableStyleElement type="totalRow" dxfId="213"/>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Junio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INFORME!$D$18:$D$24</c:f>
              <c:strCache>
                <c:ptCount val="6"/>
                <c:pt idx="0">
                  <c:v>HORARIO</c:v>
                </c:pt>
                <c:pt idx="1">
                  <c:v>UNIFORME</c:v>
                </c:pt>
                <c:pt idx="2">
                  <c:v>LABOR DE VENTA</c:v>
                </c:pt>
                <c:pt idx="3">
                  <c:v>ABORDAJE</c:v>
                </c:pt>
                <c:pt idx="4">
                  <c:v>PORTAFOLIO Y MANEJO DE OBJECIONES</c:v>
                </c:pt>
                <c:pt idx="5">
                  <c:v>ACTIVIDADES DEL MES</c:v>
                </c:pt>
              </c:strCache>
            </c:strRef>
          </c:cat>
          <c:val>
            <c:numRef>
              <c:f>INFORME!$E$18:$E$24</c:f>
              <c:numCache>
                <c:formatCode>0%</c:formatCode>
                <c:ptCount val="6"/>
                <c:pt idx="0">
                  <c:v>1</c:v>
                </c:pt>
                <c:pt idx="1">
                  <c:v>1</c:v>
                </c:pt>
                <c:pt idx="2">
                  <c:v>0.75</c:v>
                </c:pt>
                <c:pt idx="3">
                  <c:v>0.66666666666666663</c:v>
                </c:pt>
                <c:pt idx="4">
                  <c:v>0.62962962962963021</c:v>
                </c:pt>
                <c:pt idx="5">
                  <c:v>0.33333333333333331</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INFORME!$D$18:$D$24</c:f>
              <c:strCache>
                <c:ptCount val="6"/>
                <c:pt idx="0">
                  <c:v>HORARIO</c:v>
                </c:pt>
                <c:pt idx="1">
                  <c:v>UNIFORME</c:v>
                </c:pt>
                <c:pt idx="2">
                  <c:v>LABOR DE VENTA</c:v>
                </c:pt>
                <c:pt idx="3">
                  <c:v>ABORDAJE</c:v>
                </c:pt>
                <c:pt idx="4">
                  <c:v>PORTAFOLIO Y MANEJO DE OBJECIONES</c:v>
                </c:pt>
                <c:pt idx="5">
                  <c:v>ACTIVIDADES DEL MES</c:v>
                </c:pt>
              </c:strCache>
            </c:strRef>
          </c:cat>
          <c:val>
            <c:numRef>
              <c:f>INFORME!$F$18:$F$24</c:f>
              <c:numCache>
                <c:formatCode>0%</c:formatCode>
                <c:ptCount val="6"/>
                <c:pt idx="0">
                  <c:v>1</c:v>
                </c:pt>
                <c:pt idx="1">
                  <c:v>1</c:v>
                </c:pt>
                <c:pt idx="2">
                  <c:v>0.9285714285714286</c:v>
                </c:pt>
                <c:pt idx="3">
                  <c:v>1</c:v>
                </c:pt>
                <c:pt idx="4">
                  <c:v>0.73469387755102089</c:v>
                </c:pt>
                <c:pt idx="5">
                  <c:v>0.5714285714285714</c:v>
                </c:pt>
              </c:numCache>
            </c:numRef>
          </c:val>
          <c:extLst>
            <c:ext xmlns:c16="http://schemas.microsoft.com/office/drawing/2014/chart" uri="{C3380CC4-5D6E-409C-BE32-E72D297353CC}">
              <c16:uniqueId val="{00000002-9062-4358-8631-2AC7F01F341D}"/>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Junio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INFORME!$D$32:$D$38</c:f>
              <c:strCache>
                <c:ptCount val="6"/>
                <c:pt idx="0">
                  <c:v>HORARIO</c:v>
                </c:pt>
                <c:pt idx="1">
                  <c:v>UNIFORME</c:v>
                </c:pt>
                <c:pt idx="2">
                  <c:v>LABOR DE VENTA</c:v>
                </c:pt>
                <c:pt idx="3">
                  <c:v>ABORDAJE</c:v>
                </c:pt>
                <c:pt idx="4">
                  <c:v>PORTAFOLIO Y MANEJO DE OBJECIONES</c:v>
                </c:pt>
                <c:pt idx="5">
                  <c:v>ACTIVIDADES DEL MES</c:v>
                </c:pt>
              </c:strCache>
            </c:strRef>
          </c:cat>
          <c:val>
            <c:numRef>
              <c:f>INFORME!$E$32:$E$38</c:f>
              <c:numCache>
                <c:formatCode>0%</c:formatCode>
                <c:ptCount val="6"/>
                <c:pt idx="0">
                  <c:v>1</c:v>
                </c:pt>
                <c:pt idx="1">
                  <c:v>1</c:v>
                </c:pt>
                <c:pt idx="2">
                  <c:v>0.66666666666666663</c:v>
                </c:pt>
                <c:pt idx="3">
                  <c:v>0.83333333333333337</c:v>
                </c:pt>
                <c:pt idx="4">
                  <c:v>0.81250000000000044</c:v>
                </c:pt>
                <c:pt idx="5">
                  <c:v>0.33333333333333331</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INFORME!$D$32:$D$38</c:f>
              <c:strCache>
                <c:ptCount val="6"/>
                <c:pt idx="0">
                  <c:v>HORARIO</c:v>
                </c:pt>
                <c:pt idx="1">
                  <c:v>UNIFORME</c:v>
                </c:pt>
                <c:pt idx="2">
                  <c:v>LABOR DE VENTA</c:v>
                </c:pt>
                <c:pt idx="3">
                  <c:v>ABORDAJE</c:v>
                </c:pt>
                <c:pt idx="4">
                  <c:v>PORTAFOLIO Y MANEJO DE OBJECIONES</c:v>
                </c:pt>
                <c:pt idx="5">
                  <c:v>ACTIVIDADES DEL MES</c:v>
                </c:pt>
              </c:strCache>
            </c:strRef>
          </c:cat>
          <c:val>
            <c:numRef>
              <c:f>INFORME!$F$32:$F$38</c:f>
              <c:numCache>
                <c:formatCode>0%</c:formatCode>
                <c:ptCount val="6"/>
                <c:pt idx="0">
                  <c:v>1</c:v>
                </c:pt>
                <c:pt idx="1">
                  <c:v>1</c:v>
                </c:pt>
                <c:pt idx="2">
                  <c:v>1</c:v>
                </c:pt>
                <c:pt idx="3">
                  <c:v>1</c:v>
                </c:pt>
                <c:pt idx="4">
                  <c:v>0.49999999999999994</c:v>
                </c:pt>
                <c:pt idx="5">
                  <c:v>0.5</c:v>
                </c:pt>
              </c:numCache>
            </c:numRef>
          </c:val>
          <c:extLst>
            <c:ext xmlns:c16="http://schemas.microsoft.com/office/drawing/2014/chart" uri="{C3380CC4-5D6E-409C-BE32-E72D297353CC}">
              <c16:uniqueId val="{00000003-AE4F-4336-AF85-F3743159EC58}"/>
            </c:ext>
          </c:extLst>
        </c:ser>
        <c:ser>
          <c:idx val="2"/>
          <c:order val="2"/>
          <c:tx>
            <c:strRef>
              <c:f>INFORME!$G$30:$G$31</c:f>
              <c:strCache>
                <c:ptCount val="1"/>
                <c:pt idx="0">
                  <c:v>MEDELLIN</c:v>
                </c:pt>
              </c:strCache>
            </c:strRef>
          </c:tx>
          <c:spPr>
            <a:solidFill>
              <a:srgbClr val="FF0000"/>
            </a:solidFill>
            <a:ln>
              <a:noFill/>
            </a:ln>
            <a:effectLst/>
          </c:spPr>
          <c:invertIfNegative val="0"/>
          <c:dLbls>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INFORME!$D$32:$D$38</c:f>
              <c:strCache>
                <c:ptCount val="6"/>
                <c:pt idx="0">
                  <c:v>HORARIO</c:v>
                </c:pt>
                <c:pt idx="1">
                  <c:v>UNIFORME</c:v>
                </c:pt>
                <c:pt idx="2">
                  <c:v>LABOR DE VENTA</c:v>
                </c:pt>
                <c:pt idx="3">
                  <c:v>ABORDAJE</c:v>
                </c:pt>
                <c:pt idx="4">
                  <c:v>PORTAFOLIO Y MANEJO DE OBJECIONES</c:v>
                </c:pt>
                <c:pt idx="5">
                  <c:v>ACTIVIDADES DEL MES</c:v>
                </c:pt>
              </c:strCache>
            </c:strRef>
          </c:cat>
          <c:val>
            <c:numRef>
              <c:f>INFORME!$G$32:$G$38</c:f>
              <c:numCache>
                <c:formatCode>0%</c:formatCode>
                <c:ptCount val="6"/>
                <c:pt idx="0">
                  <c:v>1</c:v>
                </c:pt>
                <c:pt idx="1">
                  <c:v>1</c:v>
                </c:pt>
                <c:pt idx="2">
                  <c:v>1</c:v>
                </c:pt>
                <c:pt idx="3">
                  <c:v>0</c:v>
                </c:pt>
                <c:pt idx="4">
                  <c:v>0.77777777777777779</c:v>
                </c:pt>
                <c:pt idx="5">
                  <c:v>0</c:v>
                </c:pt>
              </c:numCache>
            </c:numRef>
          </c:val>
          <c:extLst>
            <c:ext xmlns:c16="http://schemas.microsoft.com/office/drawing/2014/chart" uri="{C3380CC4-5D6E-409C-BE32-E72D297353CC}">
              <c16:uniqueId val="{00000004-AE4F-4336-AF85-F3743159EC58}"/>
            </c:ext>
          </c:extLst>
        </c:ser>
        <c:ser>
          <c:idx val="3"/>
          <c:order val="3"/>
          <c:tx>
            <c:strRef>
              <c:f>INFORME!$H$30:$H$31</c:f>
              <c:strCache>
                <c:ptCount val="1"/>
                <c:pt idx="0">
                  <c:v>BARRANQUILLA</c:v>
                </c:pt>
              </c:strCache>
            </c:strRef>
          </c:tx>
          <c:spPr>
            <a:solidFill>
              <a:schemeClr val="accent4"/>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INFORME!$D$32:$D$38</c:f>
              <c:strCache>
                <c:ptCount val="6"/>
                <c:pt idx="0">
                  <c:v>HORARIO</c:v>
                </c:pt>
                <c:pt idx="1">
                  <c:v>UNIFORME</c:v>
                </c:pt>
                <c:pt idx="2">
                  <c:v>LABOR DE VENTA</c:v>
                </c:pt>
                <c:pt idx="3">
                  <c:v>ABORDAJE</c:v>
                </c:pt>
                <c:pt idx="4">
                  <c:v>PORTAFOLIO Y MANEJO DE OBJECIONES</c:v>
                </c:pt>
                <c:pt idx="5">
                  <c:v>ACTIVIDADES DEL MES</c:v>
                </c:pt>
              </c:strCache>
            </c:strRef>
          </c:cat>
          <c:val>
            <c:numRef>
              <c:f>INFORME!$H$32:$H$38</c:f>
              <c:numCache>
                <c:formatCode>0%</c:formatCode>
                <c:ptCount val="6"/>
                <c:pt idx="0">
                  <c:v>1</c:v>
                </c:pt>
                <c:pt idx="1">
                  <c:v>1</c:v>
                </c:pt>
                <c:pt idx="2">
                  <c:v>1</c:v>
                </c:pt>
                <c:pt idx="3">
                  <c:v>1</c:v>
                </c:pt>
                <c:pt idx="4">
                  <c:v>0.53124999999999989</c:v>
                </c:pt>
                <c:pt idx="5">
                  <c:v>0.75</c:v>
                </c:pt>
              </c:numCache>
            </c:numRef>
          </c:val>
          <c:extLst>
            <c:ext xmlns:c16="http://schemas.microsoft.com/office/drawing/2014/chart" uri="{C3380CC4-5D6E-409C-BE32-E72D297353CC}">
              <c16:uniqueId val="{00000005-AE4F-4336-AF85-F3743159EC58}"/>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254000</xdr:colOff>
      <xdr:row>5</xdr:row>
      <xdr:rowOff>1059</xdr:rowOff>
    </xdr:from>
    <xdr:to>
      <xdr:col>0</xdr:col>
      <xdr:colOff>2397125</xdr:colOff>
      <xdr:row>14</xdr:row>
      <xdr:rowOff>95250</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250825" y="982436"/>
              <a:ext cx="2146300" cy="948871"/>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201063</xdr:colOff>
      <xdr:row>14</xdr:row>
      <xdr:rowOff>233962</xdr:rowOff>
    </xdr:from>
    <xdr:to>
      <xdr:col>0</xdr:col>
      <xdr:colOff>2382288</xdr:colOff>
      <xdr:row>39</xdr:row>
      <xdr:rowOff>0</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201063" y="3079556"/>
              <a:ext cx="2181225" cy="429041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107157</xdr:colOff>
      <xdr:row>2</xdr:row>
      <xdr:rowOff>11906</xdr:rowOff>
    </xdr:from>
    <xdr:to>
      <xdr:col>1</xdr:col>
      <xdr:colOff>6379</xdr:colOff>
      <xdr:row>4</xdr:row>
      <xdr:rowOff>71063</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7157" y="500062"/>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840.624871874999" createdVersion="8" refreshedVersion="8" minRefreshableVersion="3" recordCount="18" xr:uid="{CF551015-06BD-4229-9B56-77016B602580}">
  <cacheSource type="worksheet">
    <worksheetSource name="Tabla1"/>
  </cacheSource>
  <cacheFields count="11">
    <cacheField name="CANAL" numFmtId="0">
      <sharedItems/>
    </cacheField>
    <cacheField name="CIUDAD" numFmtId="0">
      <sharedItems containsBlank="1" count="15">
        <s v="BARRANQUILLA"/>
        <s v="BOGOTA"/>
        <s v="CALI"/>
        <s v="MEDELLIN"/>
        <s v="ENVIGADO" u="1"/>
        <m u="1"/>
        <s v="ARMENIA (QUINDIO)" u="1"/>
        <s v="CHIA" u="1"/>
        <s v="CARTAGENA" u="1"/>
        <s v="BUCARAMANGA" u="1"/>
        <s v="ITAGUI" u="1"/>
        <s v="PALMIRA" u="1"/>
        <s v="PEREIRA" u="1"/>
        <s v="BELLO" u="1"/>
        <s v="SOACHA" u="1"/>
      </sharedItems>
    </cacheField>
    <cacheField name="CODIGO PDV" numFmtId="0">
      <sharedItems containsSemiMixedTypes="0" containsString="0" containsNumber="1" containsInteger="1" minValue="12394" maxValue="454996"/>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840.65584363426" createdVersion="8" refreshedVersion="8" minRefreshableVersion="3" recordCount="513" xr:uid="{FB106F23-78AF-4657-98AE-84D2CE3B6430}">
  <cacheSource type="worksheet">
    <worksheetSource name="Tabla2__2"/>
  </cacheSource>
  <cacheFields count="19">
    <cacheField name="ACTIVIDAD" numFmtId="0">
      <sharedItems/>
    </cacheField>
    <cacheField name="CIUDAD" numFmtId="0">
      <sharedItems containsBlank="1" count="12">
        <s v="CALI"/>
        <s v="BARRANQUILLA"/>
        <s v="BOGOTA"/>
        <s v="MEDELLIN"/>
        <s v="LOS PATIOS" u="1"/>
        <s v="ENVIGADO" u="1"/>
        <s v="CHIA" u="1"/>
        <s v="ARMENIA (QUINDIO)" u="1"/>
        <s v="CARTAGENA" u="1"/>
        <s v="BUCARAMANGA" u="1"/>
        <m u="1"/>
        <s v="ITAGUI" u="1"/>
      </sharedItems>
    </cacheField>
    <cacheField name="CANAL" numFmtId="0">
      <sharedItems containsMixedTypes="1" containsNumber="1" containsInteger="1" minValue="0" maxValue="0" count="3">
        <s v="MODERNO"/>
        <s v="ESPECIALIZADO"/>
        <n v="0" u="1"/>
      </sharedItems>
    </cacheField>
    <cacheField name="CADENA" numFmtId="0">
      <sharedItems/>
    </cacheField>
    <cacheField name="CODIGO PDV" numFmtId="0">
      <sharedItems containsSemiMixedTypes="0" containsString="0" containsNumber="1" containsInteger="1" minValue="12394" maxValue="454996"/>
    </cacheField>
    <cacheField name="NOMBRE COMERCIAL" numFmtId="0">
      <sharedItems containsBlank="1" count="112">
        <s v="365377-Su Papa Lopez"/>
        <s v="DISTRIBUCIONES MILENA"/>
        <s v="447964-MAKRO BARRANQUILLA"/>
        <s v="MUNDO MASCOTAS TABORA"/>
        <s v="CLINICA VETERINARIA SHARPEY"/>
        <s v="356625-AGRO LA HACIENDA SAS SUR"/>
        <s v="126325-OLIMPICA STO 039 CHIQUINQUIRA"/>
        <s v="406974-JUMBO 170"/>
        <s v="12565-JUMBO SANTA ANA"/>
        <s v="442719-EXITO COLINA"/>
        <s v="KUMPET 94"/>
        <s v="108903-LA RES CENTRO"/>
        <s v="12394-EXITO CALLE 80"/>
        <s v="454996-LAIKA 116"/>
        <s v="428025-CARULLA RINCON DE OVIEDO"/>
        <s v="12662-JUMBO TITAN BOGOTA"/>
        <s v="SUPERMASCOTAS CIUDAD JARDIN"/>
        <s v="13555-OLIMPICA STO 137 VILLA COLOMBIA"/>
        <s v="12397-EXITO OCCIDENTE" u="1"/>
        <s v="456498-MERCA Z CALI" u="1"/>
        <s v="MERCAMIO CALLE 5" u="1"/>
        <s v="55306-SUPAPA REFUGIO" u="1"/>
        <s v="ZAPATOCA VILLA LUZ" u="1"/>
        <s v="434812-AUTOSERVICIO IDMT" u="1"/>
        <s v="103470612-MERCALDAS-BOGOTA" u="1"/>
        <s v="LA CASA DE LOS TENDEROS"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AGROCAMPO S.A.S." u="1"/>
        <s v="HOMECENTER AUTOPISTA NORTE BOGOTA" u="1"/>
        <s v="PUPPIS CALIMA" u="1"/>
        <s v="PUPPIS CARRERA 15" u="1"/>
        <s v="EXITO LAURELES." u="1"/>
        <s v="PLAZA PETS S.A.S." u="1"/>
        <s v="CONCENTRADOS EL RANCHO LTDA DROGUERIA VETERINARIA" u="1"/>
        <s v="EXITO COUNTRY" u="1"/>
        <s v="HOMECENTER CALLE 80 CR 68" u="1"/>
        <s v="MUNDIAL DE GRANOS Y PANELAS S.A.S." u="1"/>
        <s v="PUPPIS CALLE 85" u="1"/>
        <s v="DEGANADO NORTE" u="1"/>
        <s v="PDV GENERICO 1" u="1"/>
        <s v="MERCAFAMILIAR LAS PALMAS S.A.S." u="1"/>
        <s v="ZOOMARPETS" u="1"/>
        <s v="SERVICE CAN COLOMBIA" u="1"/>
        <s v="AHORRE MAS" u="1"/>
        <s v="OLIMPICA 405 PLAZA DE LAS AMERIC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longText="1"/>
    </cacheField>
    <cacheField name="FECHA VISITA" numFmtId="14">
      <sharedItems containsNonDate="0" containsString="0" containsBlank="1"/>
    </cacheField>
    <cacheField name="CODIGO RUTA" numFmtId="0">
      <sharedItems containsSemiMixedTypes="0" containsString="0" containsNumber="1" containsInteger="1" minValue="27420844" maxValue="27689425"/>
    </cacheField>
    <cacheField name="USUARIO" numFmtId="0">
      <sharedItems/>
    </cacheField>
    <cacheField name="MYSTERY EFECTIVO" numFmtId="0">
      <sharedItems containsMixedTypes="1" containsNumber="1" containsInteger="1" minValue="0" maxValue="0" count="3">
        <s v=" NO"/>
        <s v="SI"/>
        <n v="0" u="1"/>
      </sharedItems>
    </cacheField>
    <cacheField name="CLUSTER" numFmtId="0">
      <sharedItems containsMixedTypes="1" containsNumber="1" containsInteger="1" minValue="0" maxValue="0" count="8">
        <s v="N/A"/>
        <s v="UNIFORME"/>
        <s v="ABORDAJE"/>
        <s v="PORTAFOLIO Y MANEJO DE OBJECIONES"/>
        <s v="HORARIO"/>
        <s v="ACTIVIDADES DEL MES"/>
        <s v="LABOR DE VENTA"/>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ESPECIALIZADO"/>
    <x v="0"/>
    <n v="191495"/>
    <s v="CLINICA VETERINARIA SHARPEY"/>
    <n v="1"/>
    <n v="1"/>
    <n v="1"/>
    <n v="1"/>
    <n v="1"/>
  </r>
  <r>
    <s v="MODERNO"/>
    <x v="0"/>
    <n v="126325"/>
    <s v="126325-OLIMPICA STO 039 CHIQUINQUIRA"/>
    <n v="1"/>
    <n v="1"/>
    <n v="1"/>
    <n v="1"/>
    <n v="1"/>
  </r>
  <r>
    <s v="MODERNO"/>
    <x v="0"/>
    <n v="447964"/>
    <s v="447964-MAKRO BARRANQUILLA"/>
    <n v="1"/>
    <n v="1"/>
    <n v="1"/>
    <n v="1"/>
    <n v="1"/>
  </r>
  <r>
    <s v="ESPECIALIZADO"/>
    <x v="0"/>
    <n v="65453"/>
    <s v="DISTRIBUCIONES MILENA"/>
    <n v="1"/>
    <n v="1"/>
    <n v="1"/>
    <n v="1"/>
    <n v="1"/>
  </r>
  <r>
    <s v="ESPECIALIZADO"/>
    <x v="1"/>
    <n v="355955"/>
    <s v="MUNDO MASCOTAS TABORA"/>
    <n v="1"/>
    <n v="1"/>
    <n v="1"/>
    <n v="1"/>
    <n v="1"/>
  </r>
  <r>
    <s v="ESPECIALIZADO"/>
    <x v="1"/>
    <n v="435142"/>
    <s v="KUMPET 94"/>
    <n v="1"/>
    <n v="1"/>
    <n v="1"/>
    <n v="1"/>
    <n v="1"/>
  </r>
  <r>
    <s v="MODERNO"/>
    <x v="1"/>
    <n v="12394"/>
    <s v="12394-EXITO CALLE 80"/>
    <n v="1"/>
    <n v="1"/>
    <n v="1"/>
    <n v="1"/>
    <n v="0"/>
  </r>
  <r>
    <s v="ESPECIALIZADO"/>
    <x v="1"/>
    <n v="108903"/>
    <s v="108903-LA RES CENTRO"/>
    <n v="1"/>
    <n v="1"/>
    <n v="1"/>
    <n v="1"/>
    <n v="1"/>
  </r>
  <r>
    <s v="ESPECIALIZADO"/>
    <x v="1"/>
    <n v="454996"/>
    <s v="454996-LAIKA 116"/>
    <n v="1"/>
    <n v="1"/>
    <n v="1"/>
    <n v="1"/>
    <n v="0"/>
  </r>
  <r>
    <s v="MODERNO"/>
    <x v="1"/>
    <n v="12565"/>
    <s v="12565-JUMBO SANTA ANA"/>
    <n v="1"/>
    <n v="1"/>
    <n v="1"/>
    <n v="1"/>
    <n v="1"/>
  </r>
  <r>
    <s v="MODERNO"/>
    <x v="1"/>
    <n v="12662"/>
    <s v="12662-JUMBO TITAN BOGOTA"/>
    <n v="1"/>
    <n v="1"/>
    <n v="1"/>
    <n v="1"/>
    <n v="0"/>
  </r>
  <r>
    <s v="MODERNO"/>
    <x v="1"/>
    <n v="406974"/>
    <s v="406974-JUMBO 170"/>
    <n v="1"/>
    <n v="1"/>
    <n v="1"/>
    <n v="1"/>
    <n v="1"/>
  </r>
  <r>
    <s v="ESPECIALIZADO"/>
    <x v="2"/>
    <n v="356594"/>
    <s v="SUPERMASCOTAS CIUDAD JARDIN"/>
    <n v="1"/>
    <n v="1"/>
    <n v="1"/>
    <n v="1"/>
    <n v="1"/>
  </r>
  <r>
    <s v="ESPECIALIZADO"/>
    <x v="2"/>
    <n v="356625"/>
    <s v="356625-AGRO LA HACIENDA SAS SUR"/>
    <n v="1"/>
    <n v="1"/>
    <n v="1"/>
    <n v="1"/>
    <n v="1"/>
  </r>
  <r>
    <s v="MODERNO"/>
    <x v="2"/>
    <n v="365377"/>
    <s v="365377-Su Papa Lopez"/>
    <n v="1"/>
    <n v="1"/>
    <n v="1"/>
    <n v="1"/>
    <n v="0"/>
  </r>
  <r>
    <s v="MODERNO"/>
    <x v="2"/>
    <n v="13555"/>
    <s v="13555-OLIMPICA STO 137 VILLA COLOMBIA"/>
    <n v="1"/>
    <n v="1"/>
    <n v="1"/>
    <n v="1"/>
    <n v="0"/>
  </r>
  <r>
    <s v="MODERNO"/>
    <x v="1"/>
    <n v="442719"/>
    <s v="442719-EXITO COLINA"/>
    <n v="1"/>
    <n v="1"/>
    <n v="1"/>
    <n v="1"/>
    <n v="1"/>
  </r>
  <r>
    <s v="MODERNO"/>
    <x v="3"/>
    <n v="428025"/>
    <s v="428025-CARULLA RINCON DE OVIEDO"/>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s v="NESTLE PURINA"/>
    <x v="0"/>
    <x v="0"/>
    <s v="MERCA Z"/>
    <n v="365377"/>
    <x v="0"/>
    <s v="OFRECIO ALGUN PRODUCTO PORTAFOLIO PURINA DE PRODUCTOS HUMEDOS, SNACK U OTROS COMUNICANDO LOS BENEFICIOS DEL PRODUCTO (Dog chow húmedo, Cat chow húmedo, Fancy Feast, Felix, Proplan Húmedo, One Húmedo) Snacks (Abrazzos, Dentalife) Arenilla (Tidy Cat)"/>
    <s v="NO"/>
    <m/>
    <n v="27685551"/>
    <s v="NestleP.7"/>
    <x v="0"/>
    <x v="0"/>
    <n v="0"/>
    <s v="SI"/>
    <n v="0"/>
    <n v="0"/>
    <m/>
  </r>
  <r>
    <s v="NESTLE PURINA"/>
    <x v="0"/>
    <x v="0"/>
    <s v="MERCA Z"/>
    <n v="365377"/>
    <x v="0"/>
    <s v="CONSIDERO QUE INDEPENDIENTEMENTE DEL SPEECH, LA LABOR DE VENTA ES BUENA"/>
    <s v="NO"/>
    <m/>
    <n v="27685551"/>
    <s v="NestleP.7"/>
    <x v="0"/>
    <x v="0"/>
    <n v="0"/>
    <s v="SI"/>
    <n v="0"/>
    <n v="0"/>
    <m/>
  </r>
  <r>
    <s v="NESTLE PURINA"/>
    <x v="0"/>
    <x v="0"/>
    <s v="MERCA Z"/>
    <n v="365377"/>
    <x v="0"/>
    <s v="REALIZA CIERRE DE VENTA"/>
    <s v="NO"/>
    <m/>
    <n v="27685551"/>
    <s v="NestleP.7"/>
    <x v="0"/>
    <x v="0"/>
    <n v="0"/>
    <s v="SI"/>
    <n v="0"/>
    <n v="0"/>
    <m/>
  </r>
  <r>
    <s v="NESTLE PURINA"/>
    <x v="0"/>
    <x v="0"/>
    <s v="MERCA Z"/>
    <n v="365377"/>
    <x v="0"/>
    <s v="SE ENCUENTRA LIMPIA EL AREA DE DEMOSTRACION"/>
    <s v="NO"/>
    <m/>
    <n v="27685551"/>
    <s v="NestleP.7"/>
    <x v="0"/>
    <x v="0"/>
    <n v="0"/>
    <s v="SI"/>
    <n v="0"/>
    <n v="0"/>
    <m/>
  </r>
  <r>
    <s v="NESTLE PURINA"/>
    <x v="0"/>
    <x v="0"/>
    <s v="MERCA Z"/>
    <n v="365377"/>
    <x v="0"/>
    <s v="RESUELVE LA OBJECION SATISFACTORIAMENTE?"/>
    <s v="NO"/>
    <m/>
    <n v="27685551"/>
    <s v="NestleP.7"/>
    <x v="0"/>
    <x v="0"/>
    <n v="0"/>
    <s v="SI"/>
    <n v="0"/>
    <n v="0"/>
    <m/>
  </r>
  <r>
    <s v="NESTLE PURINA"/>
    <x v="0"/>
    <x v="0"/>
    <s v="MERCA Z"/>
    <n v="365377"/>
    <x v="0"/>
    <s v="INDIQUE QUE TIPO DE OBJECION / DUDA MANIFESTÓ"/>
    <s v=" NO LE INTERESA EL PRODUCTO"/>
    <m/>
    <n v="27685551"/>
    <s v="NestleP.7"/>
    <x v="0"/>
    <x v="0"/>
    <n v="0"/>
    <s v="FALTA DE PRODUCTO, NO LE INTERESA EL PRODUCTO, NO TIENE DINERO, PREFIERE LA COMPETENCIA"/>
    <n v="0"/>
    <n v="0"/>
    <m/>
  </r>
  <r>
    <s v="NESTLE PURINA"/>
    <x v="0"/>
    <x v="0"/>
    <s v="MERCA Z"/>
    <n v="365377"/>
    <x v="0"/>
    <s v="CM - Dan a conocer al cliente la actividad del &quot;EVENTO CORPORATIVO DE OLIMPICA JUNIO&quot;?"/>
    <s v="NO"/>
    <m/>
    <n v="27685551"/>
    <s v="NestleP.7"/>
    <x v="0"/>
    <x v="0"/>
    <n v="0"/>
    <s v="SI"/>
    <n v="0"/>
    <n v="0"/>
    <m/>
  </r>
  <r>
    <s v="NESTLE PURINA"/>
    <x v="0"/>
    <x v="0"/>
    <s v="MERCA Z"/>
    <n v="365377"/>
    <x v="0"/>
    <s v="CM - Bajo la objeción de &quot;precio muy costoso&quot;, el asesor ofrece productos en el orden de la segmentación: Perros: Purina One - Dog Chow - Alpo y Gatos: Purina One - Cat Chow - Felix - Gatsy (cuando enuncia Gatsy menciona que &quot;ahora es mas sabroso&quot;)"/>
    <s v="NO"/>
    <m/>
    <n v="27685551"/>
    <s v="NestleP.7"/>
    <x v="0"/>
    <x v="0"/>
    <n v="0"/>
    <s v="SI"/>
    <n v="0"/>
    <n v="0"/>
    <m/>
  </r>
  <r>
    <s v="NESTLE PURINA"/>
    <x v="0"/>
    <x v="0"/>
    <s v="MERCA Z"/>
    <n v="365377"/>
    <x v="0"/>
    <s v="CM - Maneja la objeción de alto precio en las marcas Purina, comunicando la baja de precios de las marcas o las ofertas disponibles en el punto de venta."/>
    <s v="NO"/>
    <m/>
    <n v="27685551"/>
    <s v="NestleP.7"/>
    <x v="0"/>
    <x v="0"/>
    <n v="0"/>
    <s v="SI"/>
    <n v="0"/>
    <n v="0"/>
    <m/>
  </r>
  <r>
    <s v="NESTLE PURINA"/>
    <x v="0"/>
    <x v="0"/>
    <s v="MERCA Z"/>
    <n v="365377"/>
    <x v="0"/>
    <s v="CM - MENCIONA QUE PURINA ONE CUENTA CON ALIMENTO HUMEDO Y MENCIONA LAS 3 VARIADADES QUE TIENE ( SUPER FOODS, SUPER NUTRIENTES Y MULTI PROTEINAS); APLICA TANTO PARA PERRO COMO PARA GATO"/>
    <s v="NO"/>
    <m/>
    <n v="27685551"/>
    <s v="NestleP.7"/>
    <x v="0"/>
    <x v="0"/>
    <n v="0"/>
    <s v="SI"/>
    <n v="0"/>
    <n v="0"/>
    <m/>
  </r>
  <r>
    <s v="NESTLE PURINA"/>
    <x v="0"/>
    <x v="0"/>
    <s v="MERCA Z"/>
    <n v="365377"/>
    <x v="0"/>
    <s v="CM - MENCIONA QUE TIENE CARNE DE VERDAD COMO INGREDIENTE NO.1 E INGREDIENTES NATURALES Y FUNCIONALES?"/>
    <s v="NO"/>
    <m/>
    <n v="27685551"/>
    <s v="NestleP.7"/>
    <x v="0"/>
    <x v="0"/>
    <n v="0"/>
    <s v="SI"/>
    <n v="0"/>
    <n v="0"/>
    <m/>
  </r>
  <r>
    <s v="NESTLE PURINA"/>
    <x v="0"/>
    <x v="0"/>
    <s v="MERCA Z"/>
    <n v="365377"/>
    <x v="0"/>
    <s v="CM - MENCIONA QUE LOS RESULTADOS DE PURINA ONE SON VISIBLES EN 28 DIAS?"/>
    <s v="NO"/>
    <m/>
    <n v="27685551"/>
    <s v="NestleP.7"/>
    <x v="0"/>
    <x v="0"/>
    <n v="0"/>
    <s v="SI"/>
    <n v="0"/>
    <n v="0"/>
    <m/>
  </r>
  <r>
    <s v="NESTLE PURINA"/>
    <x v="0"/>
    <x v="0"/>
    <s v="MERCA Z"/>
    <n v="365377"/>
    <x v="0"/>
    <s v="DESEA AÑADIR ALGUNA OBSERVACION Y/O NOVEDAD DEL MYSTERY REALIZADO?"/>
    <s v="SI"/>
    <m/>
    <n v="27685551"/>
    <s v="NestleP.7"/>
    <x v="0"/>
    <x v="0"/>
    <n v="0"/>
    <n v="0"/>
    <n v="0"/>
    <n v="0"/>
    <m/>
  </r>
  <r>
    <s v="NESTLE PURINA"/>
    <x v="0"/>
    <x v="0"/>
    <s v="MERCA Z"/>
    <n v="365377"/>
    <x v="0"/>
    <s v="CM - OFRECE PURINA ONE?"/>
    <s v="NO"/>
    <m/>
    <n v="27685551"/>
    <s v="NestleP.7"/>
    <x v="0"/>
    <x v="0"/>
    <n v="0"/>
    <s v="SI"/>
    <n v="0"/>
    <n v="0"/>
    <m/>
  </r>
  <r>
    <s v="NESTLE PURINA"/>
    <x v="0"/>
    <x v="0"/>
    <s v="MERCA Z"/>
    <n v="365377"/>
    <x v="0"/>
    <s v="¿CUMPLE HORARIO DE ENTRADA O SALIDA DE LA TIENDA?"/>
    <s v="NO"/>
    <m/>
    <n v="27685551"/>
    <s v="NestleP.7"/>
    <x v="0"/>
    <x v="0"/>
    <n v="0"/>
    <s v="SI"/>
    <n v="0"/>
    <n v="0"/>
    <m/>
  </r>
  <r>
    <s v="NESTLE PURINA"/>
    <x v="0"/>
    <x v="0"/>
    <s v="MERCA Z"/>
    <n v="365377"/>
    <x v="0"/>
    <s v="OFRECIO ALGUN PRODUCTO DEL PORTAFOLIO PURINA DE PRODUCTOS SECOS COMUNICANDO LOS BENEFICIOS DEL PRODUCTO (DOG CHOW, CAT CHOW,_x000a_ALPO, GATSY,FELIX)"/>
    <s v="NO"/>
    <m/>
    <n v="27685551"/>
    <s v="NestleP.7"/>
    <x v="0"/>
    <x v="0"/>
    <n v="0"/>
    <s v="SI"/>
    <n v="0"/>
    <n v="0"/>
    <m/>
  </r>
  <r>
    <s v="NESTLE PURINA"/>
    <x v="0"/>
    <x v="0"/>
    <s v="MERCA Z"/>
    <n v="365377"/>
    <x v="0"/>
    <s v="SE PRODUCE ABORDO PROACTIVO (antes de los 3 min)"/>
    <s v="NO"/>
    <m/>
    <n v="27685551"/>
    <s v="NestleP.7"/>
    <x v="0"/>
    <x v="0"/>
    <n v="0"/>
    <s v="SI"/>
    <n v="0"/>
    <n v="0"/>
    <m/>
  </r>
  <r>
    <s v="NESTLE PURINA"/>
    <x v="0"/>
    <x v="0"/>
    <s v="MERCA Z"/>
    <n v="365377"/>
    <x v="0"/>
    <s v="USA ACCESORIOS QUE NO CUMPLE CON EL CODIGO DE VESTIMENTA"/>
    <s v="NO"/>
    <m/>
    <n v="27685551"/>
    <s v="NestleP.7"/>
    <x v="0"/>
    <x v="0"/>
    <n v="0"/>
    <s v="NO"/>
    <n v="0"/>
    <n v="0"/>
    <m/>
  </r>
  <r>
    <s v="NESTLE PURINA"/>
    <x v="0"/>
    <x v="0"/>
    <s v="MERCA Z"/>
    <n v="365377"/>
    <x v="0"/>
    <s v="TIENE UÑAS LLAMATIVAS Y/O LARGAS QUE NO CUMPLE CON EL CODIGO DE VESTIMENTA"/>
    <s v="NO"/>
    <m/>
    <n v="27685551"/>
    <s v="NestleP.7"/>
    <x v="0"/>
    <x v="0"/>
    <n v="0"/>
    <s v="NO"/>
    <n v="0"/>
    <n v="0"/>
    <m/>
  </r>
  <r>
    <s v="NESTLE PURINA"/>
    <x v="0"/>
    <x v="0"/>
    <s v="MERCA Z"/>
    <n v="365377"/>
    <x v="0"/>
    <s v="TIENE TATUAJES O PIERCINGS VISIBLES QUE NO CUMPLE CON EL CODIGO DE VESTIMENTA"/>
    <s v="NO"/>
    <m/>
    <n v="27685551"/>
    <s v="NestleP.7"/>
    <x v="0"/>
    <x v="0"/>
    <n v="0"/>
    <s v="NO"/>
    <n v="0"/>
    <n v="0"/>
    <m/>
  </r>
  <r>
    <s v="NESTLE PURINA"/>
    <x v="0"/>
    <x v="0"/>
    <s v="MERCA Z"/>
    <n v="365377"/>
    <x v="0"/>
    <s v="PRESENTA EXCESO DE MAQUILLAJE QUE NO CUMPLE CON EL CODIGO DE VESTIMENTA"/>
    <s v="NO"/>
    <m/>
    <n v="27685551"/>
    <s v="NestleP.7"/>
    <x v="0"/>
    <x v="0"/>
    <n v="0"/>
    <s v="NO"/>
    <n v="0"/>
    <n v="0"/>
    <m/>
  </r>
  <r>
    <s v="NESTLE PURINA"/>
    <x v="0"/>
    <x v="0"/>
    <s v="MERCA Z"/>
    <n v="365377"/>
    <x v="0"/>
    <s v="SU CABELLO LUCE LIMPIO, ORGANIZADO O RECOGIDO"/>
    <s v="NO"/>
    <m/>
    <n v="27685551"/>
    <s v="NestleP.7"/>
    <x v="0"/>
    <x v="0"/>
    <n v="0"/>
    <s v="SI"/>
    <n v="0"/>
    <n v="0"/>
    <m/>
  </r>
  <r>
    <s v="NESTLE PURINA"/>
    <x v="0"/>
    <x v="0"/>
    <s v="MERCA Z"/>
    <n v="365377"/>
    <x v="0"/>
    <s v="EL UNIFORME Y ZAPATOS SE ENCUENTRAN LIMPIOS Y EN BUEN ESTADO"/>
    <s v="NO"/>
    <m/>
    <n v="27685551"/>
    <s v="NestleP.7"/>
    <x v="0"/>
    <x v="0"/>
    <n v="0"/>
    <s v="SI"/>
    <n v="0"/>
    <n v="0"/>
    <m/>
  </r>
  <r>
    <s v="NESTLE PURINA"/>
    <x v="0"/>
    <x v="0"/>
    <s v="MERCA Z"/>
    <n v="365377"/>
    <x v="0"/>
    <s v="POSEE ALGUNA PRENDA ENCIMA DEL UNIFORME NO AUTORIZADA POR LA MARCA (Unicamente esta permitido chaleco de Sodimac y Easy)"/>
    <s v="NO"/>
    <m/>
    <n v="27685551"/>
    <s v="NestleP.7"/>
    <x v="0"/>
    <x v="0"/>
    <n v="0"/>
    <s v="NO"/>
    <n v="0"/>
    <n v="0"/>
    <m/>
  </r>
  <r>
    <s v="NESTLE PURINA"/>
    <x v="0"/>
    <x v="0"/>
    <s v="MERCA Z"/>
    <n v="365377"/>
    <x v="0"/>
    <s v="CUENTA CON CALZADO DE ACUERDO AL UNIFORME"/>
    <s v="NO"/>
    <m/>
    <n v="27685551"/>
    <s v="NestleP.7"/>
    <x v="0"/>
    <x v="0"/>
    <n v="0"/>
    <s v="SI"/>
    <n v="0"/>
    <n v="0"/>
    <m/>
  </r>
  <r>
    <s v="NESTLE PURINA"/>
    <x v="0"/>
    <x v="0"/>
    <s v="MERCA Z"/>
    <n v="365377"/>
    <x v="0"/>
    <s v="SELECCIONE EL CANAL DEL PDV QUE EVALUA"/>
    <s v="MODERNO"/>
    <m/>
    <n v="27685551"/>
    <s v="NestleP.7"/>
    <x v="0"/>
    <x v="0"/>
    <n v="0"/>
    <s v="MODERNO, ESPECIALIZADO"/>
    <n v="0"/>
    <n v="0"/>
    <m/>
  </r>
  <r>
    <s v="NESTLE PURINA"/>
    <x v="0"/>
    <x v="0"/>
    <s v="MERCA Z"/>
    <n v="365377"/>
    <x v="0"/>
    <s v="CUENTA CON CAMISA DEL UNIFORME Y LOGOS SEGÚN EL CARGO (NEGRA / GRIS / ROJA / TURQUESA) (Es permitido usar debajo de la camisa buso manga larga Negro)"/>
    <s v="NO"/>
    <m/>
    <n v="27685551"/>
    <s v="NestleP.7"/>
    <x v="0"/>
    <x v="0"/>
    <n v="0"/>
    <s v="SI"/>
    <n v="0"/>
    <n v="0"/>
    <m/>
  </r>
  <r>
    <s v="NESTLE PURINA"/>
    <x v="0"/>
    <x v="0"/>
    <s v="MERCA Z"/>
    <n v="365377"/>
    <x v="0"/>
    <s v="SE LOGRA REALIZAR EL MYSTERY?"/>
    <s v="NO"/>
    <m/>
    <n v="27685551"/>
    <s v="NestleP.7"/>
    <x v="0"/>
    <x v="0"/>
    <n v="0"/>
    <n v="0"/>
    <n v="0"/>
    <n v="0"/>
    <m/>
  </r>
  <r>
    <s v="NESTLE PURINA"/>
    <x v="0"/>
    <x v="0"/>
    <s v="MERCA Z"/>
    <n v="365377"/>
    <x v="0"/>
    <s v="CUENTA CON PANTALON DEL UNIFORME SEGÚN EL CARGO (NEGRO / ROJO / TURQUESA / JEAN)"/>
    <s v="NO"/>
    <m/>
    <n v="27685551"/>
    <s v="NestleP.7"/>
    <x v="0"/>
    <x v="0"/>
    <n v="0"/>
    <s v="SI"/>
    <n v="0"/>
    <n v="0"/>
    <m/>
  </r>
  <r>
    <s v="NESTLE PURINA"/>
    <x v="1"/>
    <x v="1"/>
    <s v="SUPERETE"/>
    <n v="65453"/>
    <x v="1"/>
    <s v="CUENTA CON CAMISA DEL UNIFORME Y LOGOS SEGÚN EL CARGO (NEGRA / GRIS / ROJA / TURQUESA) (Es permitido usar debajo de la camisa buso manga larga Negro)"/>
    <s v="SI"/>
    <m/>
    <n v="27498090"/>
    <s v="NestleP.5"/>
    <x v="1"/>
    <x v="1"/>
    <n v="1.3636363636363635"/>
    <s v="SI"/>
    <n v="1.3636363636363635"/>
    <n v="0"/>
    <m/>
  </r>
  <r>
    <s v="NESTLE PURINA"/>
    <x v="1"/>
    <x v="1"/>
    <s v="SUPERETE"/>
    <n v="65453"/>
    <x v="1"/>
    <s v="CUENTA CON CALZADO DE ACUERDO AL UNIFORME"/>
    <s v="SI"/>
    <m/>
    <n v="27498090"/>
    <s v="NestleP.5"/>
    <x v="1"/>
    <x v="1"/>
    <n v="1.3636363636363635"/>
    <s v="SI"/>
    <n v="1.3636363636363635"/>
    <n v="0"/>
    <m/>
  </r>
  <r>
    <s v="NESTLE PURINA"/>
    <x v="1"/>
    <x v="1"/>
    <s v="SUPERETE"/>
    <n v="65453"/>
    <x v="1"/>
    <s v="POSEE ALGUNA PRENDA ENCIMA DEL UNIFORME NO AUTORIZADA POR LA MARCA (Unicamente esta permitido chaleco de Sodimac y Easy)"/>
    <s v="NO"/>
    <m/>
    <n v="27498090"/>
    <s v="NestleP.5"/>
    <x v="1"/>
    <x v="1"/>
    <n v="1.3636363636363635"/>
    <s v="NO"/>
    <n v="1.3636363636363635"/>
    <n v="0"/>
    <m/>
  </r>
  <r>
    <s v="NESTLE PURINA"/>
    <x v="1"/>
    <x v="1"/>
    <s v="SUPERETE"/>
    <n v="65453"/>
    <x v="1"/>
    <s v="EL UNIFORME Y ZAPATOS SE ENCUENTRAN LIMPIOS Y EN BUEN ESTADO"/>
    <s v="SI"/>
    <m/>
    <n v="27498090"/>
    <s v="NestleP.5"/>
    <x v="1"/>
    <x v="1"/>
    <n v="1.3636363636363635"/>
    <s v="SI"/>
    <n v="1.3636363636363635"/>
    <n v="0"/>
    <m/>
  </r>
  <r>
    <s v="NESTLE PURINA"/>
    <x v="1"/>
    <x v="1"/>
    <s v="SUPERETE"/>
    <n v="65453"/>
    <x v="1"/>
    <s v="SU CABELLO LUCE LIMPIO, ORGANIZADO O RECOGIDO"/>
    <s v="SI"/>
    <m/>
    <n v="27498090"/>
    <s v="NestleP.5"/>
    <x v="1"/>
    <x v="1"/>
    <n v="1.3636363636363635"/>
    <s v="SI"/>
    <n v="1.3636363636363635"/>
    <n v="0"/>
    <m/>
  </r>
  <r>
    <s v="NESTLE PURINA"/>
    <x v="1"/>
    <x v="1"/>
    <s v="SUPERETE"/>
    <n v="65453"/>
    <x v="1"/>
    <s v="PRESENTA EXCESO DE MAQUILLAJE QUE NO CUMPLE CON EL CODIGO DE VESTIMENTA"/>
    <s v="NO"/>
    <m/>
    <n v="27498090"/>
    <s v="NestleP.5"/>
    <x v="1"/>
    <x v="1"/>
    <n v="1.3636363636363635"/>
    <s v="NO"/>
    <n v="1.3636363636363635"/>
    <n v="0"/>
    <m/>
  </r>
  <r>
    <s v="NESTLE PURINA"/>
    <x v="1"/>
    <x v="1"/>
    <s v="SUPERETE"/>
    <n v="65453"/>
    <x v="1"/>
    <s v="TIENE TATUAJES O PIERCINGS VISIBLES QUE NO CUMPLE CON EL CODIGO DE VESTIMENTA"/>
    <s v="NO"/>
    <m/>
    <n v="27498090"/>
    <s v="NestleP.5"/>
    <x v="1"/>
    <x v="1"/>
    <n v="1.3636363636363635"/>
    <s v="NO"/>
    <n v="1.3636363636363635"/>
    <n v="0"/>
    <m/>
  </r>
  <r>
    <s v="NESTLE PURINA"/>
    <x v="1"/>
    <x v="1"/>
    <s v="SUPERETE"/>
    <n v="65453"/>
    <x v="1"/>
    <s v="TIENE UÑAS LLAMATIVAS Y/O LARGAS QUE NO CUMPLE CON EL CODIGO DE VESTIMENTA"/>
    <s v="NO"/>
    <m/>
    <n v="27498090"/>
    <s v="NestleP.5"/>
    <x v="1"/>
    <x v="1"/>
    <n v="1.3636363636363635"/>
    <s v="NO"/>
    <n v="1.3636363636363635"/>
    <n v="0"/>
    <m/>
  </r>
  <r>
    <s v="NESTLE PURINA"/>
    <x v="1"/>
    <x v="1"/>
    <s v="SUPERETE"/>
    <n v="65453"/>
    <x v="1"/>
    <s v="USA ACCESORIOS QUE NO CUMPLE CON EL CODIGO DE VESTIMENTA"/>
    <s v="NO"/>
    <m/>
    <n v="27498090"/>
    <s v="NestleP.5"/>
    <x v="1"/>
    <x v="1"/>
    <n v="1.3636363636363635"/>
    <s v="NO"/>
    <n v="1.3636363636363635"/>
    <n v="0"/>
    <m/>
  </r>
  <r>
    <s v="NESTLE PURINA"/>
    <x v="1"/>
    <x v="1"/>
    <s v="SUPERETE"/>
    <n v="65453"/>
    <x v="1"/>
    <s v="SE PRODUCE ABORDO PROACTIVO (antes de los 3 min)"/>
    <s v="SI"/>
    <m/>
    <n v="27498090"/>
    <s v="NestleP.5"/>
    <x v="1"/>
    <x v="2"/>
    <n v="20"/>
    <s v="SI"/>
    <n v="20"/>
    <n v="0"/>
    <m/>
  </r>
  <r>
    <s v="NESTLE PURINA"/>
    <x v="1"/>
    <x v="1"/>
    <s v="SUPERETE"/>
    <n v="65453"/>
    <x v="1"/>
    <s v="OFRECIO ALGUN PRODUCTO DEL PORTAFOLIO PURINA DE PRODUCTOS SECOS COMUNICANDO LOS BENEFICIOS DEL PRODUCTO (DOG CHOW, CAT CHOW,_x000a_ALPO, GATSY,FELIX)"/>
    <s v="SI"/>
    <m/>
    <n v="27498090"/>
    <s v="NestleP.5"/>
    <x v="1"/>
    <x v="3"/>
    <n v="1.5384615384615385"/>
    <s v="SI"/>
    <n v="1.5384615384615385"/>
    <n v="0"/>
    <m/>
  </r>
  <r>
    <s v="NESTLE PURINA"/>
    <x v="1"/>
    <x v="0"/>
    <s v="OLIMPICA"/>
    <n v="447964"/>
    <x v="2"/>
    <s v="¿CUMPLE HORARIO DE ENTRADA O SALIDA DE LA TIENDA?"/>
    <s v="SI"/>
    <m/>
    <n v="27521942"/>
    <s v="NestleP.5"/>
    <x v="1"/>
    <x v="4"/>
    <n v="20"/>
    <s v="SI"/>
    <n v="20"/>
    <n v="0"/>
    <m/>
  </r>
  <r>
    <s v="NESTLE PURINA"/>
    <x v="1"/>
    <x v="1"/>
    <s v="SUPERETE"/>
    <n v="65453"/>
    <x v="1"/>
    <s v="OFRECIO ALGUN PRODUCTO PORTAFOLIO PURINA DE PRODUCTOS HUMEDOS, SNACK U OTROS COMUNICANDO LOS BENEFICIOS DEL PRODUCTO (Dog chow húmedo, Cat chow húmedo, Fancy Feast, Felix, Proplan Húmedo, One Húmedo) Snacks (Abrazzos, Dentalife) Arenilla (Tidy Cat)"/>
    <s v="SI"/>
    <m/>
    <n v="27498090"/>
    <s v="NestleP.5"/>
    <x v="1"/>
    <x v="3"/>
    <n v="1.5384615384615385"/>
    <s v="SI"/>
    <n v="1.5384615384615385"/>
    <n v="0"/>
    <m/>
  </r>
  <r>
    <s v="NESTLE PURINA"/>
    <x v="1"/>
    <x v="1"/>
    <s v="SUPERETE"/>
    <n v="65453"/>
    <x v="1"/>
    <s v="CE - Lo primero que ofrece el asesor es la marca Pro Plan?"/>
    <s v="SI"/>
    <m/>
    <n v="27498090"/>
    <s v="NestleP.5"/>
    <x v="1"/>
    <x v="3"/>
    <n v="1.5384615384615385"/>
    <s v="SI"/>
    <n v="1.5384615384615385"/>
    <n v="0"/>
    <m/>
  </r>
  <r>
    <s v="NESTLE PURINA"/>
    <x v="1"/>
    <x v="1"/>
    <s v="SUPERETE"/>
    <n v="65453"/>
    <x v="1"/>
    <s v="CE - Ofrece la marca Excellent?"/>
    <s v="SI"/>
    <m/>
    <n v="27498090"/>
    <s v="NestleP.5"/>
    <x v="1"/>
    <x v="3"/>
    <n v="1.5384615384615385"/>
    <s v="SI"/>
    <n v="1.5384615384615385"/>
    <n v="0"/>
    <m/>
  </r>
  <r>
    <s v="NESTLE PURINA"/>
    <x v="1"/>
    <x v="1"/>
    <s v="SUPERETE"/>
    <n v="65453"/>
    <x v="1"/>
    <s v="CE - El asesor comunica que la marca Excellent esta dentro de la categoria SuperPremium pero a un costo mas accesible."/>
    <s v="SI"/>
    <m/>
    <n v="27498090"/>
    <s v="NestleP.5"/>
    <x v="1"/>
    <x v="3"/>
    <n v="1.5384615384615385"/>
    <s v="SI"/>
    <n v="1.5384615384615385"/>
    <n v="0"/>
    <m/>
  </r>
  <r>
    <s v="NESTLE PURINA"/>
    <x v="1"/>
    <x v="1"/>
    <s v="SUPERETE"/>
    <n v="65453"/>
    <x v="1"/>
    <s v="CE - El asesor comunica los beneficios o caracteristicas del producto Excellent e informa que el producto cambio de imagen pero continua con la misma formula?"/>
    <s v="SI"/>
    <m/>
    <n v="27498090"/>
    <s v="NestleP.5"/>
    <x v="1"/>
    <x v="3"/>
    <n v="1.5384615384615385"/>
    <s v="SI"/>
    <n v="1.5384615384615385"/>
    <n v="0"/>
    <m/>
  </r>
  <r>
    <s v="NESTLE PURINA"/>
    <x v="1"/>
    <x v="1"/>
    <s v="SUPERETE"/>
    <n v="65453"/>
    <x v="1"/>
    <s v="CE - Ofrece producto humedo y comunica la dinamica de multiprice (por la compra de mas cantidades tiene descuento)"/>
    <s v="SI"/>
    <m/>
    <n v="27498090"/>
    <s v="NestleP.5"/>
    <x v="1"/>
    <x v="5"/>
    <n v="5"/>
    <s v="SI"/>
    <n v="5"/>
    <n v="0"/>
    <m/>
  </r>
  <r>
    <s v="NESTLE PURINA"/>
    <x v="1"/>
    <x v="1"/>
    <s v="SUPERETE"/>
    <n v="65453"/>
    <x v="1"/>
    <s v="INDIQUE QUE TIPO DE OBJECION / DUDA MANIFESTÓ"/>
    <s v=" NO TIENE DINERO"/>
    <m/>
    <n v="27498090"/>
    <s v="NestleP.5"/>
    <x v="1"/>
    <x v="0"/>
    <n v="0"/>
    <s v="FALTA DE PRODUCTO, NO LE INTERESA EL PRODUCTO, NO TIENE DINERO, PREFIERE LA COMPETENCIA"/>
    <n v="0"/>
    <n v="0"/>
    <m/>
  </r>
  <r>
    <s v="NESTLE PURINA"/>
    <x v="1"/>
    <x v="1"/>
    <s v="SUPERETE"/>
    <n v="65453"/>
    <x v="1"/>
    <s v="RESUELVE LA OBJECION SATISFACTORIAMENTE?"/>
    <s v="SI"/>
    <m/>
    <n v="27498090"/>
    <s v="NestleP.5"/>
    <x v="1"/>
    <x v="3"/>
    <n v="1.5384615384615385"/>
    <s v="SI"/>
    <n v="1.5384615384615385"/>
    <n v="0"/>
    <m/>
  </r>
  <r>
    <s v="NESTLE PURINA"/>
    <x v="1"/>
    <x v="1"/>
    <s v="SUPERETE"/>
    <n v="65453"/>
    <x v="1"/>
    <s v="SE ENCUENTRA LIMPIA EL AREA DE DEMOSTRACION"/>
    <s v="SI"/>
    <m/>
    <n v="27498090"/>
    <s v="NestleP.5"/>
    <x v="1"/>
    <x v="1"/>
    <n v="1.3636363636363635"/>
    <s v="SI"/>
    <n v="1.3636363636363635"/>
    <n v="0"/>
    <m/>
  </r>
  <r>
    <s v="NESTLE PURINA"/>
    <x v="1"/>
    <x v="1"/>
    <s v="SUPERETE"/>
    <n v="65453"/>
    <x v="1"/>
    <s v="REALIZA CIERRE DE VENTA"/>
    <s v="SI"/>
    <m/>
    <n v="27498090"/>
    <s v="NestleP.5"/>
    <x v="1"/>
    <x v="6"/>
    <n v="7.5"/>
    <s v="SI"/>
    <n v="7.5"/>
    <n v="0"/>
    <m/>
  </r>
  <r>
    <s v="NESTLE PURINA"/>
    <x v="1"/>
    <x v="1"/>
    <s v="SUPERETE"/>
    <n v="65453"/>
    <x v="1"/>
    <s v="CONSIDERO QUE INDEPENDIENTEMENTE DEL SPEECH, LA LABOR DE VENTA ES BUENA"/>
    <s v="SI"/>
    <m/>
    <n v="27498090"/>
    <s v="NestleP.5"/>
    <x v="1"/>
    <x v="6"/>
    <n v="7.5"/>
    <s v="SI"/>
    <n v="7.5"/>
    <n v="0"/>
    <m/>
  </r>
  <r>
    <s v="NESTLE PURINA"/>
    <x v="1"/>
    <x v="1"/>
    <s v="SUPERETE"/>
    <n v="65453"/>
    <x v="1"/>
    <s v="DESEA AÑADIR ALGUNA OBSERVACION Y/O NOVEDAD DEL MYSTERY REALIZADO?"/>
    <s v="NO"/>
    <m/>
    <n v="27498090"/>
    <s v="NestleP.5"/>
    <x v="1"/>
    <x v="0"/>
    <n v="0"/>
    <n v="0"/>
    <n v="0"/>
    <n v="0"/>
    <m/>
  </r>
  <r>
    <s v="NESTLE PURINA"/>
    <x v="1"/>
    <x v="1"/>
    <s v="SUPERETE"/>
    <n v="65453"/>
    <x v="1"/>
    <s v="SELECCIONE EL CANAL DEL PDV QUE EVALUA"/>
    <s v=" ESPECIALIZADO"/>
    <m/>
    <n v="27498090"/>
    <s v="NestleP.5"/>
    <x v="1"/>
    <x v="0"/>
    <n v="0"/>
    <s v="MODERNO, ESPECIALIZADO"/>
    <n v="0"/>
    <n v="0"/>
    <m/>
  </r>
  <r>
    <s v="NESTLE PURINA"/>
    <x v="1"/>
    <x v="0"/>
    <s v="OLIMPICA"/>
    <n v="447964"/>
    <x v="2"/>
    <s v="SE LOGRA REALIZAR EL MYSTERY?"/>
    <s v="SI"/>
    <m/>
    <n v="27521942"/>
    <s v="NestleP.5"/>
    <x v="1"/>
    <x v="0"/>
    <n v="0"/>
    <n v="0"/>
    <n v="0"/>
    <n v="0"/>
    <m/>
  </r>
  <r>
    <s v="NESTLE PURINA"/>
    <x v="2"/>
    <x v="1"/>
    <s v="AGRO/PSHOP/VET"/>
    <n v="355955"/>
    <x v="3"/>
    <s v="SE LOGRA REALIZAR EL MYSTERY?"/>
    <s v="SI"/>
    <m/>
    <n v="27420844"/>
    <s v="NestleP.1"/>
    <x v="1"/>
    <x v="0"/>
    <n v="0"/>
    <n v="0"/>
    <n v="0"/>
    <n v="0"/>
    <m/>
  </r>
  <r>
    <s v="NESTLE PURINA"/>
    <x v="1"/>
    <x v="0"/>
    <s v="OLIMPICA"/>
    <n v="447964"/>
    <x v="2"/>
    <s v="CUENTA CON PANTALON DEL UNIFORME SEGÚN EL CARGO (NEGRO / ROJO / TURQUESA / JEAN)"/>
    <s v="SI"/>
    <m/>
    <n v="27521942"/>
    <s v="NestleP.5"/>
    <x v="1"/>
    <x v="1"/>
    <n v="1.3636363636363635"/>
    <s v="SI"/>
    <n v="1.3636363636363635"/>
    <n v="0"/>
    <m/>
  </r>
  <r>
    <s v="NESTLE PURINA"/>
    <x v="1"/>
    <x v="0"/>
    <s v="OLIMPICA"/>
    <n v="447964"/>
    <x v="2"/>
    <s v="DESEA AÑADIR ALGUNA OBSERVACION Y/O NOVEDAD DEL MYSTERY REALIZADO?"/>
    <s v="NO"/>
    <m/>
    <n v="27521942"/>
    <s v="NestleP.5"/>
    <x v="1"/>
    <x v="0"/>
    <n v="0"/>
    <n v="0"/>
    <n v="0"/>
    <n v="0"/>
    <m/>
  </r>
  <r>
    <s v="NESTLE PURINA"/>
    <x v="1"/>
    <x v="0"/>
    <s v="OLIMPICA"/>
    <n v="447964"/>
    <x v="2"/>
    <s v="CONSIDERO QUE INDEPENDIENTEMENTE DEL SPEECH, LA LABOR DE VENTA ES BUENA"/>
    <s v="SI"/>
    <m/>
    <n v="27521942"/>
    <s v="NestleP.5"/>
    <x v="1"/>
    <x v="6"/>
    <n v="7.5"/>
    <s v="SI"/>
    <n v="7.5"/>
    <n v="0"/>
    <m/>
  </r>
  <r>
    <s v="NESTLE PURINA"/>
    <x v="1"/>
    <x v="0"/>
    <s v="OLIMPICA"/>
    <n v="447964"/>
    <x v="2"/>
    <s v="REALIZA CIERRE DE VENTA"/>
    <s v="SI"/>
    <m/>
    <n v="27521942"/>
    <s v="NestleP.5"/>
    <x v="1"/>
    <x v="6"/>
    <n v="7.5"/>
    <s v="SI"/>
    <n v="7.5"/>
    <n v="0"/>
    <m/>
  </r>
  <r>
    <s v="NESTLE PURINA"/>
    <x v="1"/>
    <x v="0"/>
    <s v="OLIMPICA"/>
    <n v="447964"/>
    <x v="2"/>
    <s v="SE ENCUENTRA LIMPIA EL AREA DE DEMOSTRACION"/>
    <s v="SI"/>
    <m/>
    <n v="27521942"/>
    <s v="NestleP.5"/>
    <x v="1"/>
    <x v="1"/>
    <n v="1.3636363636363635"/>
    <s v="SI"/>
    <n v="1.3636363636363635"/>
    <n v="0"/>
    <m/>
  </r>
  <r>
    <s v="NESTLE PURINA"/>
    <x v="1"/>
    <x v="0"/>
    <s v="OLIMPICA"/>
    <n v="447964"/>
    <x v="2"/>
    <s v="RESUELVE LA OBJECION SATISFACTORIAMENTE?"/>
    <s v="SI"/>
    <m/>
    <n v="27521942"/>
    <s v="NestleP.5"/>
    <x v="1"/>
    <x v="3"/>
    <n v="1.5384615384615385"/>
    <s v="SI"/>
    <n v="1.5384615384615385"/>
    <n v="0"/>
    <m/>
  </r>
  <r>
    <s v="NESTLE PURINA"/>
    <x v="1"/>
    <x v="0"/>
    <s v="OLIMPICA"/>
    <n v="447964"/>
    <x v="2"/>
    <s v="INDIQUE QUE TIPO DE OBJECION / DUDA MANIFESTÓ"/>
    <s v=" NO LE INTERESA EL PRODUCTO"/>
    <m/>
    <n v="27521942"/>
    <s v="NestleP.5"/>
    <x v="1"/>
    <x v="0"/>
    <n v="0"/>
    <s v="FALTA DE PRODUCTO, NO LE INTERESA EL PRODUCTO, NO TIENE DINERO, PREFIERE LA COMPETENCIA"/>
    <n v="0"/>
    <n v="0"/>
    <m/>
  </r>
  <r>
    <s v="NESTLE PURINA"/>
    <x v="1"/>
    <x v="0"/>
    <s v="OLIMPICA"/>
    <n v="447964"/>
    <x v="2"/>
    <s v="CM - Dan a conocer al cliente la actividad del &quot;EVENTO CORPORATIVO DE OLIMPICA JUNIO&quot;?"/>
    <s v="NO"/>
    <m/>
    <n v="27521942"/>
    <s v="NestleP.5"/>
    <x v="1"/>
    <x v="5"/>
    <n v="5"/>
    <s v="SI"/>
    <n v="0"/>
    <n v="0"/>
    <m/>
  </r>
  <r>
    <s v="NESTLE PURINA"/>
    <x v="1"/>
    <x v="0"/>
    <s v="OLIMPICA"/>
    <n v="447964"/>
    <x v="2"/>
    <s v="CM - Bajo la objeción de &quot;precio muy costoso&quot;, el asesor ofrece productos en el orden de la segmentación: Perros: Purina One - Dog Chow - Alpo y Gatos: Purina One - Cat Chow - Felix - Gatsy (cuando enuncia Gatsy menciona que &quot;ahora es mas sabroso&quot;)"/>
    <s v="NO"/>
    <m/>
    <n v="27521942"/>
    <s v="NestleP.5"/>
    <x v="1"/>
    <x v="3"/>
    <n v="1.5384615384615385"/>
    <s v="SI"/>
    <n v="0"/>
    <n v="0"/>
    <m/>
  </r>
  <r>
    <s v="NESTLE PURINA"/>
    <x v="1"/>
    <x v="0"/>
    <s v="OLIMPICA"/>
    <n v="447964"/>
    <x v="2"/>
    <s v="CM - Maneja la objeción de alto precio en las marcas Purina, comunicando la baja de precios de las marcas o las ofertas disponibles en el punto de venta."/>
    <s v="NO"/>
    <m/>
    <n v="27521942"/>
    <s v="NestleP.5"/>
    <x v="1"/>
    <x v="3"/>
    <n v="1.5384615384615385"/>
    <s v="SI"/>
    <n v="0"/>
    <n v="0"/>
    <m/>
  </r>
  <r>
    <s v="NESTLE PURINA"/>
    <x v="1"/>
    <x v="0"/>
    <s v="OLIMPICA"/>
    <n v="447964"/>
    <x v="2"/>
    <s v="CM - MENCIONA QUE PURINA ONE CUENTA CON ALIMENTO HUMEDO Y MENCIONA LAS 3 VARIADADES QUE TIENE ( SUPER FOODS, SUPER NUTRIENTES Y MULTI PROTEINAS); APLICA TANTO PARA PERRO COMO PARA GATO"/>
    <s v="NO"/>
    <m/>
    <n v="27521942"/>
    <s v="NestleP.5"/>
    <x v="1"/>
    <x v="3"/>
    <n v="1.5384615384615385"/>
    <s v="SI"/>
    <n v="0"/>
    <n v="0"/>
    <m/>
  </r>
  <r>
    <s v="NESTLE PURINA"/>
    <x v="1"/>
    <x v="0"/>
    <s v="OLIMPICA"/>
    <n v="447964"/>
    <x v="2"/>
    <s v="CM - MENCIONA QUE TIENE CARNE DE VERDAD COMO INGREDIENTE NO.1 E INGREDIENTES NATURALES Y FUNCIONALES?"/>
    <s v="NO"/>
    <m/>
    <n v="27521942"/>
    <s v="NestleP.5"/>
    <x v="1"/>
    <x v="3"/>
    <n v="1.5384615384615385"/>
    <s v="SI"/>
    <n v="0"/>
    <n v="0"/>
    <m/>
  </r>
  <r>
    <s v="NESTLE PURINA"/>
    <x v="1"/>
    <x v="0"/>
    <s v="OLIMPICA"/>
    <n v="447964"/>
    <x v="2"/>
    <s v="CM - MENCIONA QUE LOS RESULTADOS DE PURINA ONE SON VISIBLES EN 28 DIAS?"/>
    <s v="NO"/>
    <m/>
    <n v="27521942"/>
    <s v="NestleP.5"/>
    <x v="1"/>
    <x v="3"/>
    <n v="1.5384615384615385"/>
    <s v="SI"/>
    <n v="0"/>
    <n v="0"/>
    <m/>
  </r>
  <r>
    <s v="NESTLE PURINA"/>
    <x v="1"/>
    <x v="1"/>
    <s v="SUPERETE"/>
    <n v="65453"/>
    <x v="1"/>
    <s v="CUENTA CON PANTALON DEL UNIFORME SEGÚN EL CARGO (NEGRO / ROJO / TURQUESA / JEAN)"/>
    <s v="SI"/>
    <m/>
    <n v="27498090"/>
    <s v="NestleP.5"/>
    <x v="1"/>
    <x v="1"/>
    <n v="1.3636363636363635"/>
    <s v="SI"/>
    <n v="1.3636363636363635"/>
    <n v="0"/>
    <m/>
  </r>
  <r>
    <s v="NESTLE PURINA"/>
    <x v="1"/>
    <x v="0"/>
    <s v="OLIMPICA"/>
    <n v="447964"/>
    <x v="2"/>
    <s v="CM - OFRECE PURINA ONE?"/>
    <s v="NO"/>
    <m/>
    <n v="27521942"/>
    <s v="NestleP.5"/>
    <x v="1"/>
    <x v="3"/>
    <n v="1.5384615384615385"/>
    <s v="SI"/>
    <n v="0"/>
    <n v="0"/>
    <m/>
  </r>
  <r>
    <s v="NESTLE PURINA"/>
    <x v="1"/>
    <x v="0"/>
    <s v="OLIMPICA"/>
    <n v="447964"/>
    <x v="2"/>
    <s v="OFRECIO ALGUN PRODUCTO PORTAFOLIO PURINA DE PRODUCTOS HUMEDOS, SNACK U OTROS COMUNICANDO LOS BENEFICIOS DEL PRODUCTO (Dog chow húmedo, Cat chow húmedo, Fancy Feast, Felix, Proplan Húmedo, One Húmedo) Snacks (Abrazzos, Dentalife) Arenilla (Tidy Cat)"/>
    <s v="NO"/>
    <m/>
    <n v="27521942"/>
    <s v="NestleP.5"/>
    <x v="1"/>
    <x v="3"/>
    <n v="1.5384615384615385"/>
    <s v="SI"/>
    <n v="0"/>
    <n v="0"/>
    <m/>
  </r>
  <r>
    <s v="NESTLE PURINA"/>
    <x v="1"/>
    <x v="0"/>
    <s v="OLIMPICA"/>
    <n v="447964"/>
    <x v="2"/>
    <s v="OFRECIO ALGUN PRODUCTO DEL PORTAFOLIO PURINA DE PRODUCTOS SECOS COMUNICANDO LOS BENEFICIOS DEL PRODUCTO (DOG CHOW, CAT CHOW,_x000a_ALPO, GATSY,FELIX)"/>
    <s v="SI"/>
    <m/>
    <n v="27521942"/>
    <s v="NestleP.5"/>
    <x v="1"/>
    <x v="3"/>
    <n v="1.5384615384615385"/>
    <s v="SI"/>
    <n v="1.5384615384615385"/>
    <n v="0"/>
    <m/>
  </r>
  <r>
    <s v="NESTLE PURINA"/>
    <x v="1"/>
    <x v="0"/>
    <s v="OLIMPICA"/>
    <n v="447964"/>
    <x v="2"/>
    <s v="SE PRODUCE ABORDO PROACTIVO (antes de los 3 min)"/>
    <s v="SI"/>
    <m/>
    <n v="27521942"/>
    <s v="NestleP.5"/>
    <x v="1"/>
    <x v="2"/>
    <n v="20"/>
    <s v="SI"/>
    <n v="20"/>
    <n v="0"/>
    <m/>
  </r>
  <r>
    <s v="NESTLE PURINA"/>
    <x v="1"/>
    <x v="0"/>
    <s v="OLIMPICA"/>
    <n v="447964"/>
    <x v="2"/>
    <s v="USA ACCESORIOS QUE NO CUMPLE CON EL CODIGO DE VESTIMENTA"/>
    <s v="NO"/>
    <m/>
    <n v="27521942"/>
    <s v="NestleP.5"/>
    <x v="1"/>
    <x v="1"/>
    <n v="1.3636363636363635"/>
    <s v="NO"/>
    <n v="1.3636363636363635"/>
    <n v="0"/>
    <m/>
  </r>
  <r>
    <s v="NESTLE PURINA"/>
    <x v="1"/>
    <x v="0"/>
    <s v="OLIMPICA"/>
    <n v="447964"/>
    <x v="2"/>
    <s v="TIENE UÑAS LLAMATIVAS Y/O LARGAS QUE NO CUMPLE CON EL CODIGO DE VESTIMENTA"/>
    <s v="NO"/>
    <m/>
    <n v="27521942"/>
    <s v="NestleP.5"/>
    <x v="1"/>
    <x v="1"/>
    <n v="1.3636363636363635"/>
    <s v="NO"/>
    <n v="1.3636363636363635"/>
    <n v="0"/>
    <m/>
  </r>
  <r>
    <s v="NESTLE PURINA"/>
    <x v="1"/>
    <x v="0"/>
    <s v="OLIMPICA"/>
    <n v="447964"/>
    <x v="2"/>
    <s v="TIENE TATUAJES O PIERCINGS VISIBLES QUE NO CUMPLE CON EL CODIGO DE VESTIMENTA"/>
    <s v="NO"/>
    <m/>
    <n v="27521942"/>
    <s v="NestleP.5"/>
    <x v="1"/>
    <x v="1"/>
    <n v="1.3636363636363635"/>
    <s v="NO"/>
    <n v="1.3636363636363635"/>
    <n v="0"/>
    <m/>
  </r>
  <r>
    <s v="NESTLE PURINA"/>
    <x v="1"/>
    <x v="0"/>
    <s v="OLIMPICA"/>
    <n v="447964"/>
    <x v="2"/>
    <s v="PRESENTA EXCESO DE MAQUILLAJE QUE NO CUMPLE CON EL CODIGO DE VESTIMENTA"/>
    <s v="NO"/>
    <m/>
    <n v="27521942"/>
    <s v="NestleP.5"/>
    <x v="1"/>
    <x v="1"/>
    <n v="1.3636363636363635"/>
    <s v="NO"/>
    <n v="1.3636363636363635"/>
    <n v="0"/>
    <m/>
  </r>
  <r>
    <s v="NESTLE PURINA"/>
    <x v="1"/>
    <x v="0"/>
    <s v="OLIMPICA"/>
    <n v="447964"/>
    <x v="2"/>
    <s v="SU CABELLO LUCE LIMPIO, ORGANIZADO O RECOGIDO"/>
    <s v="SI"/>
    <m/>
    <n v="27521942"/>
    <s v="NestleP.5"/>
    <x v="1"/>
    <x v="1"/>
    <n v="1.3636363636363635"/>
    <s v="SI"/>
    <n v="1.3636363636363635"/>
    <n v="0"/>
    <m/>
  </r>
  <r>
    <s v="NESTLE PURINA"/>
    <x v="1"/>
    <x v="0"/>
    <s v="OLIMPICA"/>
    <n v="447964"/>
    <x v="2"/>
    <s v="EL UNIFORME Y ZAPATOS SE ENCUENTRAN LIMPIOS Y EN BUEN ESTADO"/>
    <s v="SI"/>
    <m/>
    <n v="27521942"/>
    <s v="NestleP.5"/>
    <x v="1"/>
    <x v="1"/>
    <n v="1.3636363636363635"/>
    <s v="SI"/>
    <n v="1.3636363636363635"/>
    <n v="0"/>
    <m/>
  </r>
  <r>
    <s v="NESTLE PURINA"/>
    <x v="1"/>
    <x v="0"/>
    <s v="OLIMPICA"/>
    <n v="447964"/>
    <x v="2"/>
    <s v="POSEE ALGUNA PRENDA ENCIMA DEL UNIFORME NO AUTORIZADA POR LA MARCA (Unicamente esta permitido chaleco de Sodimac y Easy)"/>
    <s v="NO"/>
    <m/>
    <n v="27521942"/>
    <s v="NestleP.5"/>
    <x v="1"/>
    <x v="1"/>
    <n v="1.3636363636363635"/>
    <s v="NO"/>
    <n v="1.3636363636363635"/>
    <n v="0"/>
    <m/>
  </r>
  <r>
    <s v="NESTLE PURINA"/>
    <x v="1"/>
    <x v="0"/>
    <s v="OLIMPICA"/>
    <n v="447964"/>
    <x v="2"/>
    <s v="CUENTA CON CALZADO DE ACUERDO AL UNIFORME"/>
    <s v="SI"/>
    <m/>
    <n v="27521942"/>
    <s v="NestleP.5"/>
    <x v="1"/>
    <x v="1"/>
    <n v="1.3636363636363635"/>
    <s v="SI"/>
    <n v="1.3636363636363635"/>
    <n v="0"/>
    <m/>
  </r>
  <r>
    <s v="NESTLE PURINA"/>
    <x v="1"/>
    <x v="0"/>
    <s v="OLIMPICA"/>
    <n v="447964"/>
    <x v="2"/>
    <s v="CUENTA CON CAMISA DEL UNIFORME Y LOGOS SEGÚN EL CARGO (NEGRA / GRIS / ROJA / TURQUESA) (Es permitido usar debajo de la camisa buso manga larga Negro)"/>
    <s v="SI"/>
    <m/>
    <n v="27521942"/>
    <s v="NestleP.5"/>
    <x v="1"/>
    <x v="1"/>
    <n v="1.3636363636363635"/>
    <s v="SI"/>
    <n v="1.3636363636363635"/>
    <n v="0"/>
    <m/>
  </r>
  <r>
    <s v="NESTLE PURINA"/>
    <x v="1"/>
    <x v="0"/>
    <s v="OLIMPICA"/>
    <n v="447964"/>
    <x v="2"/>
    <s v="SELECCIONE EL CANAL DEL PDV QUE EVALUA"/>
    <s v="MODERNO"/>
    <m/>
    <n v="27521942"/>
    <s v="NestleP.5"/>
    <x v="1"/>
    <x v="0"/>
    <n v="0"/>
    <s v="MODERNO, ESPECIALIZADO"/>
    <n v="0"/>
    <n v="0"/>
    <m/>
  </r>
  <r>
    <s v="NESTLE PURINA"/>
    <x v="1"/>
    <x v="1"/>
    <s v="SUPERETE"/>
    <n v="65453"/>
    <x v="1"/>
    <s v="¿CUMPLE HORARIO DE ENTRADA O SALIDA DE LA TIENDA?"/>
    <s v="SI"/>
    <m/>
    <n v="27498090"/>
    <s v="NestleP.5"/>
    <x v="1"/>
    <x v="4"/>
    <n v="20"/>
    <s v="SI"/>
    <n v="20"/>
    <n v="0"/>
    <m/>
  </r>
  <r>
    <s v="NESTLE PURINA"/>
    <x v="1"/>
    <x v="1"/>
    <s v="AGRO/PSHOP/VET"/>
    <n v="191495"/>
    <x v="4"/>
    <s v="OFRECIO ALGUN PRODUCTO DEL PORTAFOLIO PURINA DE PRODUCTOS SECOS COMUNICANDO LOS BENEFICIOS DEL PRODUCTO (DOG CHOW, CAT CHOW,_x000a_ALPO, GATSY,FELIX)"/>
    <s v="SI"/>
    <m/>
    <n v="27498086"/>
    <s v="NestleP.5"/>
    <x v="1"/>
    <x v="3"/>
    <n v="1.5384615384615385"/>
    <s v="SI"/>
    <n v="1.5384615384615385"/>
    <n v="0"/>
    <m/>
  </r>
  <r>
    <s v="NESTLE PURINA"/>
    <x v="1"/>
    <x v="1"/>
    <s v="AGRO/PSHOP/VET"/>
    <n v="191495"/>
    <x v="4"/>
    <s v="DESEA AÑADIR ALGUNA OBSERVACION Y/O NOVEDAD DEL MYSTERY REALIZADO?"/>
    <s v="NO"/>
    <m/>
    <n v="27498086"/>
    <s v="NestleP.5"/>
    <x v="1"/>
    <x v="0"/>
    <n v="0"/>
    <n v="0"/>
    <n v="0"/>
    <n v="0"/>
    <m/>
  </r>
  <r>
    <s v="NESTLE PURINA"/>
    <x v="0"/>
    <x v="1"/>
    <s v="AGROPECUARIA LA HACIENDA Y CIA S.A.S"/>
    <n v="356625"/>
    <x v="5"/>
    <s v="SE ENCUENTRA LIMPIA EL AREA DE DEMOSTRACION"/>
    <s v="SI"/>
    <m/>
    <n v="27493887"/>
    <s v="NestleP.7"/>
    <x v="1"/>
    <x v="1"/>
    <n v="1.3636363636363635"/>
    <s v="SI"/>
    <n v="1.3636363636363635"/>
    <n v="0"/>
    <m/>
  </r>
  <r>
    <s v="NESTLE PURINA"/>
    <x v="0"/>
    <x v="1"/>
    <s v="AGROPECUARIA LA HACIENDA Y CIA S.A.S"/>
    <n v="356625"/>
    <x v="5"/>
    <s v="RESUELVE LA OBJECION SATISFACTORIAMENTE?"/>
    <s v="SI"/>
    <m/>
    <n v="27493887"/>
    <s v="NestleP.7"/>
    <x v="1"/>
    <x v="3"/>
    <n v="1.5384615384615385"/>
    <s v="SI"/>
    <n v="1.5384615384615385"/>
    <n v="0"/>
    <m/>
  </r>
  <r>
    <s v="NESTLE PURINA"/>
    <x v="0"/>
    <x v="1"/>
    <s v="AGROPECUARIA LA HACIENDA Y CIA S.A.S"/>
    <n v="356625"/>
    <x v="5"/>
    <s v="INDIQUE QUE TIPO DE OBJECION / DUDA MANIFESTÓ"/>
    <s v=" NO LE INTERESA EL PRODUCTO"/>
    <m/>
    <n v="27493887"/>
    <s v="NestleP.7"/>
    <x v="1"/>
    <x v="0"/>
    <n v="0"/>
    <s v="FALTA DE PRODUCTO, NO LE INTERESA EL PRODUCTO, NO TIENE DINERO, PREFIERE LA COMPETENCIA"/>
    <n v="0"/>
    <n v="0"/>
    <m/>
  </r>
  <r>
    <s v="NESTLE PURINA"/>
    <x v="0"/>
    <x v="1"/>
    <s v="AGROPECUARIA LA HACIENDA Y CIA S.A.S"/>
    <n v="356625"/>
    <x v="5"/>
    <s v="CE - Ofrece producto humedo y comunica la dinamica de multiprice (por la compra de mas cantidades tiene descuento)"/>
    <s v="NO"/>
    <m/>
    <n v="27493887"/>
    <s v="NestleP.7"/>
    <x v="1"/>
    <x v="5"/>
    <n v="5"/>
    <s v="SI"/>
    <n v="0"/>
    <n v="0"/>
    <m/>
  </r>
  <r>
    <s v="NESTLE PURINA"/>
    <x v="0"/>
    <x v="1"/>
    <s v="AGROPECUARIA LA HACIENDA Y CIA S.A.S"/>
    <n v="356625"/>
    <x v="5"/>
    <s v="CE - El asesor comunica los beneficios o caracteristicas del producto Excellent e informa que el producto cambio de imagen pero continua con la misma formula?"/>
    <s v="NO"/>
    <m/>
    <n v="27493887"/>
    <s v="NestleP.7"/>
    <x v="1"/>
    <x v="3"/>
    <n v="1.5384615384615385"/>
    <s v="SI"/>
    <n v="0"/>
    <n v="0"/>
    <m/>
  </r>
  <r>
    <s v="NESTLE PURINA"/>
    <x v="0"/>
    <x v="1"/>
    <s v="AGROPECUARIA LA HACIENDA Y CIA S.A.S"/>
    <n v="356625"/>
    <x v="5"/>
    <s v="CE - El asesor comunica que la marca Excellent esta dentro de la categoria SuperPremium pero a un costo mas accesible."/>
    <s v="NO"/>
    <m/>
    <n v="27493887"/>
    <s v="NestleP.7"/>
    <x v="1"/>
    <x v="3"/>
    <n v="1.5384615384615385"/>
    <s v="SI"/>
    <n v="0"/>
    <n v="0"/>
    <m/>
  </r>
  <r>
    <s v="NESTLE PURINA"/>
    <x v="0"/>
    <x v="1"/>
    <s v="AGROPECUARIA LA HACIENDA Y CIA S.A.S"/>
    <n v="356625"/>
    <x v="5"/>
    <s v="CE - Ofrece la marca Excellent?"/>
    <s v="NO"/>
    <m/>
    <n v="27493887"/>
    <s v="NestleP.7"/>
    <x v="1"/>
    <x v="3"/>
    <n v="1.5384615384615385"/>
    <s v="SI"/>
    <n v="0"/>
    <n v="0"/>
    <m/>
  </r>
  <r>
    <s v="NESTLE PURINA"/>
    <x v="0"/>
    <x v="1"/>
    <s v="AGROPECUARIA LA HACIENDA Y CIA S.A.S"/>
    <n v="356625"/>
    <x v="5"/>
    <s v="CE - Lo primero que ofrece el asesor es la marca Pro Plan?"/>
    <s v="NO"/>
    <m/>
    <n v="27493887"/>
    <s v="NestleP.7"/>
    <x v="1"/>
    <x v="3"/>
    <n v="1.5384615384615385"/>
    <s v="SI"/>
    <n v="0"/>
    <n v="0"/>
    <m/>
  </r>
  <r>
    <s v="NESTLE PURINA"/>
    <x v="0"/>
    <x v="1"/>
    <s v="AGROPECUARIA LA HACIENDA Y CIA S.A.S"/>
    <n v="356625"/>
    <x v="5"/>
    <s v="SELECCIONE EL CANAL DEL PDV QUE EVALUA"/>
    <s v=" ESPECIALIZADO"/>
    <m/>
    <n v="27493887"/>
    <s v="NestleP.7"/>
    <x v="1"/>
    <x v="0"/>
    <n v="0"/>
    <s v="MODERNO, ESPECIALIZADO"/>
    <n v="0"/>
    <n v="0"/>
    <m/>
  </r>
  <r>
    <s v="NESTLE PURINA"/>
    <x v="0"/>
    <x v="1"/>
    <s v="AGROPECUARIA LA HACIENDA Y CIA S.A.S"/>
    <n v="356625"/>
    <x v="5"/>
    <s v="OFRECIO ALGUN PRODUCTO PORTAFOLIO PURINA DE PRODUCTOS HUMEDOS, SNACK U OTROS COMUNICANDO LOS BENEFICIOS DEL PRODUCTO (Dog chow húmedo, Cat chow húmedo, Fancy Feast, Felix, Proplan Húmedo, One Húmedo) Snacks (Abrazzos, Dentalife) Arenilla (Tidy Cat)"/>
    <s v="SI"/>
    <m/>
    <n v="27493887"/>
    <s v="NestleP.7"/>
    <x v="1"/>
    <x v="3"/>
    <n v="1.5384615384615385"/>
    <s v="SI"/>
    <n v="1.5384615384615385"/>
    <n v="0"/>
    <m/>
  </r>
  <r>
    <s v="NESTLE PURINA"/>
    <x v="0"/>
    <x v="1"/>
    <s v="AGROPECUARIA LA HACIENDA Y CIA S.A.S"/>
    <n v="356625"/>
    <x v="5"/>
    <s v="OFRECIO ALGUN PRODUCTO DEL PORTAFOLIO PURINA DE PRODUCTOS SECOS COMUNICANDO LOS BENEFICIOS DEL PRODUCTO (DOG CHOW, CAT CHOW,_x000a_ALPO, GATSY,FELIX)"/>
    <s v="SI"/>
    <m/>
    <n v="27493887"/>
    <s v="NestleP.7"/>
    <x v="1"/>
    <x v="3"/>
    <n v="1.5384615384615385"/>
    <s v="SI"/>
    <n v="1.5384615384615385"/>
    <n v="0"/>
    <m/>
  </r>
  <r>
    <s v="NESTLE PURINA"/>
    <x v="0"/>
    <x v="1"/>
    <s v="AGROPECUARIA LA HACIENDA Y CIA S.A.S"/>
    <n v="356625"/>
    <x v="5"/>
    <s v="REALIZA CIERRE DE VENTA"/>
    <s v="SI"/>
    <m/>
    <n v="27493887"/>
    <s v="NestleP.7"/>
    <x v="1"/>
    <x v="6"/>
    <n v="7.5"/>
    <s v="SI"/>
    <n v="7.5"/>
    <n v="0"/>
    <m/>
  </r>
  <r>
    <s v="NESTLE PURINA"/>
    <x v="0"/>
    <x v="1"/>
    <s v="AGROPECUARIA LA HACIENDA Y CIA S.A.S"/>
    <n v="356625"/>
    <x v="5"/>
    <s v="SE PRODUCE ABORDO PROACTIVO (antes de los 3 min)"/>
    <s v="SI"/>
    <m/>
    <n v="27493887"/>
    <s v="NestleP.7"/>
    <x v="1"/>
    <x v="2"/>
    <n v="20"/>
    <s v="SI"/>
    <n v="20"/>
    <n v="0"/>
    <m/>
  </r>
  <r>
    <s v="NESTLE PURINA"/>
    <x v="0"/>
    <x v="1"/>
    <s v="AGROPECUARIA LA HACIENDA Y CIA S.A.S"/>
    <n v="356625"/>
    <x v="5"/>
    <s v="TIENE UÑAS LLAMATIVAS Y/O LARGAS QUE NO CUMPLE CON EL CODIGO DE VESTIMENTA"/>
    <s v="NO"/>
    <m/>
    <n v="27493887"/>
    <s v="NestleP.7"/>
    <x v="1"/>
    <x v="1"/>
    <n v="1.3636363636363635"/>
    <s v="NO"/>
    <n v="1.3636363636363635"/>
    <n v="0"/>
    <m/>
  </r>
  <r>
    <s v="NESTLE PURINA"/>
    <x v="0"/>
    <x v="1"/>
    <s v="AGROPECUARIA LA HACIENDA Y CIA S.A.S"/>
    <n v="356625"/>
    <x v="5"/>
    <s v="TIENE TATUAJES O PIERCINGS VISIBLES QUE NO CUMPLE CON EL CODIGO DE VESTIMENTA"/>
    <s v="NO"/>
    <m/>
    <n v="27493887"/>
    <s v="NestleP.7"/>
    <x v="1"/>
    <x v="1"/>
    <n v="1.3636363636363635"/>
    <s v="NO"/>
    <n v="1.3636363636363635"/>
    <n v="0"/>
    <m/>
  </r>
  <r>
    <s v="NESTLE PURINA"/>
    <x v="0"/>
    <x v="1"/>
    <s v="AGROPECUARIA LA HACIENDA Y CIA S.A.S"/>
    <n v="356625"/>
    <x v="5"/>
    <s v="PRESENTA EXCESO DE MAQUILLAJE QUE NO CUMPLE CON EL CODIGO DE VESTIMENTA"/>
    <s v="NO"/>
    <m/>
    <n v="27493887"/>
    <s v="NestleP.7"/>
    <x v="1"/>
    <x v="1"/>
    <n v="1.3636363636363635"/>
    <s v="NO"/>
    <n v="1.3636363636363635"/>
    <n v="0"/>
    <m/>
  </r>
  <r>
    <s v="NESTLE PURINA"/>
    <x v="0"/>
    <x v="1"/>
    <s v="AGROPECUARIA LA HACIENDA Y CIA S.A.S"/>
    <n v="356625"/>
    <x v="5"/>
    <s v="SU CABELLO LUCE LIMPIO, ORGANIZADO O RECOGIDO"/>
    <s v="SI"/>
    <m/>
    <n v="27493887"/>
    <s v="NestleP.7"/>
    <x v="1"/>
    <x v="1"/>
    <n v="1.3636363636363635"/>
    <s v="SI"/>
    <n v="1.3636363636363635"/>
    <n v="0"/>
    <m/>
  </r>
  <r>
    <s v="NESTLE PURINA"/>
    <x v="0"/>
    <x v="1"/>
    <s v="AGROPECUARIA LA HACIENDA Y CIA S.A.S"/>
    <n v="356625"/>
    <x v="5"/>
    <s v="EL UNIFORME Y ZAPATOS SE ENCUENTRAN LIMPIOS Y EN BUEN ESTADO"/>
    <s v="SI"/>
    <m/>
    <n v="27493887"/>
    <s v="NestleP.7"/>
    <x v="1"/>
    <x v="1"/>
    <n v="1.3636363636363635"/>
    <s v="SI"/>
    <n v="1.3636363636363635"/>
    <n v="0"/>
    <m/>
  </r>
  <r>
    <s v="NESTLE PURINA"/>
    <x v="0"/>
    <x v="1"/>
    <s v="AGROPECUARIA LA HACIENDA Y CIA S.A.S"/>
    <n v="356625"/>
    <x v="5"/>
    <s v="POSEE ALGUNA PRENDA ENCIMA DEL UNIFORME NO AUTORIZADA POR LA MARCA (Unicamente esta permitido chaleco de Sodimac y Easy)"/>
    <s v="NO"/>
    <m/>
    <n v="27493887"/>
    <s v="NestleP.7"/>
    <x v="1"/>
    <x v="1"/>
    <n v="1.3636363636363635"/>
    <s v="NO"/>
    <n v="1.3636363636363635"/>
    <n v="0"/>
    <m/>
  </r>
  <r>
    <s v="NESTLE PURINA"/>
    <x v="0"/>
    <x v="1"/>
    <s v="AGROPECUARIA LA HACIENDA Y CIA S.A.S"/>
    <n v="356625"/>
    <x v="5"/>
    <s v="CUENTA CON CALZADO DE ACUERDO AL UNIFORME"/>
    <s v="SI"/>
    <m/>
    <n v="27493887"/>
    <s v="NestleP.7"/>
    <x v="1"/>
    <x v="1"/>
    <n v="1.3636363636363635"/>
    <s v="SI"/>
    <n v="1.3636363636363635"/>
    <n v="0"/>
    <m/>
  </r>
  <r>
    <s v="NESTLE PURINA"/>
    <x v="0"/>
    <x v="1"/>
    <s v="AGROPECUARIA LA HACIENDA Y CIA S.A.S"/>
    <n v="356625"/>
    <x v="5"/>
    <s v="CUENTA CON CAMISA DEL UNIFORME Y LOGOS SEGÚN EL CARGO (NEGRA / GRIS / ROJA / TURQUESA) (Es permitido usar debajo de la camisa buso manga larga Negro)"/>
    <s v="SI"/>
    <m/>
    <n v="27493887"/>
    <s v="NestleP.7"/>
    <x v="1"/>
    <x v="1"/>
    <n v="1.3636363636363635"/>
    <s v="SI"/>
    <n v="1.3636363636363635"/>
    <n v="0"/>
    <m/>
  </r>
  <r>
    <s v="NESTLE PURINA"/>
    <x v="0"/>
    <x v="1"/>
    <s v="AGROPECUARIA LA HACIENDA Y CIA S.A.S"/>
    <n v="356625"/>
    <x v="5"/>
    <s v="CUENTA CON PANTALON DEL UNIFORME SEGÚN EL CARGO (NEGRO / ROJO / TURQUESA / JEAN)"/>
    <s v="SI"/>
    <m/>
    <n v="27493887"/>
    <s v="NestleP.7"/>
    <x v="1"/>
    <x v="1"/>
    <n v="1.3636363636363635"/>
    <s v="SI"/>
    <n v="1.3636363636363635"/>
    <n v="0"/>
    <m/>
  </r>
  <r>
    <s v="NESTLE PURINA"/>
    <x v="0"/>
    <x v="1"/>
    <s v="AGROPECUARIA LA HACIENDA Y CIA S.A.S"/>
    <n v="356625"/>
    <x v="5"/>
    <s v="¿CUMPLE HORARIO DE ENTRADA O SALIDA DE LA TIENDA?"/>
    <s v="SI"/>
    <m/>
    <n v="27493887"/>
    <s v="NestleP.7"/>
    <x v="1"/>
    <x v="4"/>
    <n v="20"/>
    <s v="SI"/>
    <n v="20"/>
    <n v="0"/>
    <m/>
  </r>
  <r>
    <s v="NESTLE PURINA"/>
    <x v="0"/>
    <x v="1"/>
    <s v="AGROPECUARIA LA HACIENDA Y CIA S.A.S"/>
    <n v="356625"/>
    <x v="5"/>
    <s v="SE LOGRA REALIZAR EL MYSTERY?"/>
    <s v="SI"/>
    <m/>
    <n v="27493887"/>
    <s v="NestleP.7"/>
    <x v="1"/>
    <x v="0"/>
    <n v="0"/>
    <n v="0"/>
    <n v="0"/>
    <n v="0"/>
    <m/>
  </r>
  <r>
    <s v="NESTLE PURINA"/>
    <x v="0"/>
    <x v="1"/>
    <s v="AGROPECUARIA LA HACIENDA Y CIA S.A.S"/>
    <n v="356625"/>
    <x v="5"/>
    <s v="USA ACCESORIOS QUE NO CUMPLE CON EL CODIGO DE VESTIMENTA"/>
    <s v="NO"/>
    <m/>
    <n v="27493887"/>
    <s v="NestleP.7"/>
    <x v="1"/>
    <x v="1"/>
    <n v="1.3636363636363635"/>
    <s v="NO"/>
    <n v="1.3636363636363635"/>
    <n v="0"/>
    <m/>
  </r>
  <r>
    <s v="NESTLE PURINA"/>
    <x v="0"/>
    <x v="1"/>
    <s v="AGROPECUARIA LA HACIENDA Y CIA S.A.S"/>
    <n v="356625"/>
    <x v="5"/>
    <s v="CONSIDERO QUE INDEPENDIENTEMENTE DEL SPEECH, LA LABOR DE VENTA ES BUENA"/>
    <s v="SI"/>
    <m/>
    <n v="27493887"/>
    <s v="NestleP.7"/>
    <x v="1"/>
    <x v="6"/>
    <n v="7.5"/>
    <s v="SI"/>
    <n v="7.5"/>
    <n v="0"/>
    <m/>
  </r>
  <r>
    <s v="NESTLE PURINA"/>
    <x v="0"/>
    <x v="1"/>
    <s v="AGROPECUARIA LA HACIENDA Y CIA S.A.S"/>
    <n v="356625"/>
    <x v="5"/>
    <s v="DESEA AÑADIR ALGUNA OBSERVACION Y/O NOVEDAD DEL MYSTERY REALIZADO?"/>
    <s v="NO"/>
    <m/>
    <n v="27493887"/>
    <s v="NestleP.7"/>
    <x v="1"/>
    <x v="0"/>
    <n v="0"/>
    <n v="0"/>
    <n v="0"/>
    <n v="0"/>
    <m/>
  </r>
  <r>
    <s v="NESTLE PURINA"/>
    <x v="1"/>
    <x v="1"/>
    <s v="AGRO/PSHOP/VET"/>
    <n v="191495"/>
    <x v="4"/>
    <s v="SE LOGRA REALIZAR EL MYSTERY?"/>
    <s v="SI"/>
    <m/>
    <n v="27498086"/>
    <s v="NestleP.5"/>
    <x v="1"/>
    <x v="0"/>
    <n v="0"/>
    <n v="0"/>
    <n v="0"/>
    <n v="0"/>
    <m/>
  </r>
  <r>
    <s v="NESTLE PURINA"/>
    <x v="1"/>
    <x v="1"/>
    <s v="AGRO/PSHOP/VET"/>
    <n v="191495"/>
    <x v="4"/>
    <s v="CONSIDERO QUE INDEPENDIENTEMENTE DEL SPEECH, LA LABOR DE VENTA ES BUENA"/>
    <s v="SI"/>
    <m/>
    <n v="27498086"/>
    <s v="NestleP.5"/>
    <x v="1"/>
    <x v="6"/>
    <n v="7.5"/>
    <s v="SI"/>
    <n v="7.5"/>
    <n v="0"/>
    <m/>
  </r>
  <r>
    <s v="NESTLE PURINA"/>
    <x v="1"/>
    <x v="1"/>
    <s v="AGRO/PSHOP/VET"/>
    <n v="191495"/>
    <x v="4"/>
    <s v="REALIZA CIERRE DE VENTA"/>
    <s v="SI"/>
    <m/>
    <n v="27498086"/>
    <s v="NestleP.5"/>
    <x v="1"/>
    <x v="6"/>
    <n v="7.5"/>
    <s v="SI"/>
    <n v="7.5"/>
    <n v="0"/>
    <m/>
  </r>
  <r>
    <s v="NESTLE PURINA"/>
    <x v="1"/>
    <x v="1"/>
    <s v="AGRO/PSHOP/VET"/>
    <n v="191495"/>
    <x v="4"/>
    <s v="SE ENCUENTRA LIMPIA EL AREA DE DEMOSTRACION"/>
    <s v="SI"/>
    <m/>
    <n v="27498086"/>
    <s v="NestleP.5"/>
    <x v="1"/>
    <x v="1"/>
    <n v="1.3636363636363635"/>
    <s v="SI"/>
    <n v="1.3636363636363635"/>
    <n v="0"/>
    <m/>
  </r>
  <r>
    <s v="NESTLE PURINA"/>
    <x v="1"/>
    <x v="1"/>
    <s v="AGRO/PSHOP/VET"/>
    <n v="191495"/>
    <x v="4"/>
    <s v="RESUELVE LA OBJECION SATISFACTORIAMENTE?"/>
    <s v="SI"/>
    <m/>
    <n v="27498086"/>
    <s v="NestleP.5"/>
    <x v="1"/>
    <x v="3"/>
    <n v="1.5384615384615385"/>
    <s v="SI"/>
    <n v="1.5384615384615385"/>
    <n v="0"/>
    <m/>
  </r>
  <r>
    <s v="NESTLE PURINA"/>
    <x v="1"/>
    <x v="1"/>
    <s v="AGRO/PSHOP/VET"/>
    <n v="191495"/>
    <x v="4"/>
    <s v="INDIQUE QUE TIPO DE OBJECION / DUDA MANIFESTÓ"/>
    <s v=" NO TIENE DINERO"/>
    <m/>
    <n v="27498086"/>
    <s v="NestleP.5"/>
    <x v="1"/>
    <x v="0"/>
    <n v="0"/>
    <s v="FALTA DE PRODUCTO, NO LE INTERESA EL PRODUCTO, NO TIENE DINERO, PREFIERE LA COMPETENCIA"/>
    <n v="0"/>
    <n v="0"/>
    <m/>
  </r>
  <r>
    <s v="NESTLE PURINA"/>
    <x v="1"/>
    <x v="1"/>
    <s v="AGRO/PSHOP/VET"/>
    <n v="191495"/>
    <x v="4"/>
    <s v="CE - Ofrece producto humedo y comunica la dinamica de multiprice (por la compra de mas cantidades tiene descuento)"/>
    <s v="SI"/>
    <m/>
    <n v="27498086"/>
    <s v="NestleP.5"/>
    <x v="1"/>
    <x v="5"/>
    <n v="5"/>
    <s v="SI"/>
    <n v="5"/>
    <n v="0"/>
    <m/>
  </r>
  <r>
    <s v="NESTLE PURINA"/>
    <x v="1"/>
    <x v="1"/>
    <s v="AGRO/PSHOP/VET"/>
    <n v="191495"/>
    <x v="4"/>
    <s v="CE - El asesor comunica los beneficios o caracteristicas del producto Excellent e informa que el producto cambio de imagen pero continua con la misma formula?"/>
    <s v="NO"/>
    <m/>
    <n v="27498086"/>
    <s v="NestleP.5"/>
    <x v="1"/>
    <x v="3"/>
    <n v="1.5384615384615385"/>
    <s v="SI"/>
    <n v="0"/>
    <n v="0"/>
    <m/>
  </r>
  <r>
    <s v="NESTLE PURINA"/>
    <x v="1"/>
    <x v="1"/>
    <s v="AGRO/PSHOP/VET"/>
    <n v="191495"/>
    <x v="4"/>
    <s v="CE - El asesor comunica que la marca Excellent esta dentro de la categoria SuperPremium pero a un costo mas accesible."/>
    <s v="NO"/>
    <m/>
    <n v="27498086"/>
    <s v="NestleP.5"/>
    <x v="1"/>
    <x v="3"/>
    <n v="1.5384615384615385"/>
    <s v="SI"/>
    <n v="0"/>
    <n v="0"/>
    <m/>
  </r>
  <r>
    <s v="NESTLE PURINA"/>
    <x v="1"/>
    <x v="1"/>
    <s v="AGRO/PSHOP/VET"/>
    <n v="191495"/>
    <x v="4"/>
    <s v="CE - Ofrece la marca Excellent?"/>
    <s v="NO"/>
    <m/>
    <n v="27498086"/>
    <s v="NestleP.5"/>
    <x v="1"/>
    <x v="3"/>
    <n v="1.5384615384615385"/>
    <s v="SI"/>
    <n v="0"/>
    <n v="0"/>
    <m/>
  </r>
  <r>
    <s v="NESTLE PURINA"/>
    <x v="1"/>
    <x v="1"/>
    <s v="AGRO/PSHOP/VET"/>
    <n v="191495"/>
    <x v="4"/>
    <s v="CE - Lo primero que ofrece el asesor es la marca Pro Plan?"/>
    <s v="SI"/>
    <m/>
    <n v="27498086"/>
    <s v="NestleP.5"/>
    <x v="1"/>
    <x v="3"/>
    <n v="1.5384615384615385"/>
    <s v="SI"/>
    <n v="1.5384615384615385"/>
    <n v="0"/>
    <m/>
  </r>
  <r>
    <s v="NESTLE PURINA"/>
    <x v="1"/>
    <x v="1"/>
    <s v="AGRO/PSHOP/VET"/>
    <n v="191495"/>
    <x v="4"/>
    <s v="SELECCIONE EL CANAL DEL PDV QUE EVALUA"/>
    <s v=" ESPECIALIZADO"/>
    <m/>
    <n v="27498086"/>
    <s v="NestleP.5"/>
    <x v="1"/>
    <x v="0"/>
    <n v="0"/>
    <s v="MODERNO, ESPECIALIZADO"/>
    <n v="0"/>
    <n v="0"/>
    <m/>
  </r>
  <r>
    <s v="NESTLE PURINA"/>
    <x v="1"/>
    <x v="1"/>
    <s v="AGRO/PSHOP/VET"/>
    <n v="191495"/>
    <x v="4"/>
    <s v="OFRECIO ALGUN PRODUCTO PORTAFOLIO PURINA DE PRODUCTOS HUMEDOS, SNACK U OTROS COMUNICANDO LOS BENEFICIOS DEL PRODUCTO (Dog chow húmedo, Cat chow húmedo, Fancy Feast, Felix, Proplan Húmedo, One Húmedo) Snacks (Abrazzos, Dentalife) Arenilla (Tidy Cat)"/>
    <s v="SI"/>
    <m/>
    <n v="27498086"/>
    <s v="NestleP.5"/>
    <x v="1"/>
    <x v="3"/>
    <n v="1.5384615384615385"/>
    <s v="SI"/>
    <n v="1.5384615384615385"/>
    <n v="0"/>
    <m/>
  </r>
  <r>
    <s v="NESTLE PURINA"/>
    <x v="1"/>
    <x v="0"/>
    <s v="OLIMPICA"/>
    <n v="126325"/>
    <x v="6"/>
    <s v="SE LOGRA REALIZAR EL MYSTERY?"/>
    <s v="SI"/>
    <m/>
    <n v="27531935"/>
    <s v="NestleP.5"/>
    <x v="1"/>
    <x v="0"/>
    <n v="0"/>
    <n v="0"/>
    <n v="0"/>
    <n v="0"/>
    <m/>
  </r>
  <r>
    <s v="NESTLE PURINA"/>
    <x v="1"/>
    <x v="1"/>
    <s v="AGRO/PSHOP/VET"/>
    <n v="191495"/>
    <x v="4"/>
    <s v="SE PRODUCE ABORDO PROACTIVO (antes de los 3 min)"/>
    <s v="SI"/>
    <m/>
    <n v="27498086"/>
    <s v="NestleP.5"/>
    <x v="1"/>
    <x v="2"/>
    <n v="20"/>
    <s v="SI"/>
    <n v="20"/>
    <n v="0"/>
    <m/>
  </r>
  <r>
    <s v="NESTLE PURINA"/>
    <x v="1"/>
    <x v="1"/>
    <s v="AGRO/PSHOP/VET"/>
    <n v="191495"/>
    <x v="4"/>
    <s v="USA ACCESORIOS QUE NO CUMPLE CON EL CODIGO DE VESTIMENTA"/>
    <s v="NO"/>
    <m/>
    <n v="27498086"/>
    <s v="NestleP.5"/>
    <x v="1"/>
    <x v="1"/>
    <n v="1.3636363636363635"/>
    <s v="NO"/>
    <n v="1.3636363636363635"/>
    <n v="0"/>
    <m/>
  </r>
  <r>
    <s v="NESTLE PURINA"/>
    <x v="1"/>
    <x v="1"/>
    <s v="AGRO/PSHOP/VET"/>
    <n v="191495"/>
    <x v="4"/>
    <s v="TIENE UÑAS LLAMATIVAS Y/O LARGAS QUE NO CUMPLE CON EL CODIGO DE VESTIMENTA"/>
    <s v="NO"/>
    <m/>
    <n v="27498086"/>
    <s v="NestleP.5"/>
    <x v="1"/>
    <x v="1"/>
    <n v="1.3636363636363635"/>
    <s v="NO"/>
    <n v="1.3636363636363635"/>
    <n v="0"/>
    <m/>
  </r>
  <r>
    <s v="NESTLE PURINA"/>
    <x v="1"/>
    <x v="1"/>
    <s v="AGRO/PSHOP/VET"/>
    <n v="191495"/>
    <x v="4"/>
    <s v="TIENE TATUAJES O PIERCINGS VISIBLES QUE NO CUMPLE CON EL CODIGO DE VESTIMENTA"/>
    <s v="NO"/>
    <m/>
    <n v="27498086"/>
    <s v="NestleP.5"/>
    <x v="1"/>
    <x v="1"/>
    <n v="1.3636363636363635"/>
    <s v="NO"/>
    <n v="1.3636363636363635"/>
    <n v="0"/>
    <m/>
  </r>
  <r>
    <s v="NESTLE PURINA"/>
    <x v="1"/>
    <x v="1"/>
    <s v="AGRO/PSHOP/VET"/>
    <n v="191495"/>
    <x v="4"/>
    <s v="PRESENTA EXCESO DE MAQUILLAJE QUE NO CUMPLE CON EL CODIGO DE VESTIMENTA"/>
    <s v="NO"/>
    <m/>
    <n v="27498086"/>
    <s v="NestleP.5"/>
    <x v="1"/>
    <x v="1"/>
    <n v="1.3636363636363635"/>
    <s v="NO"/>
    <n v="1.3636363636363635"/>
    <n v="0"/>
    <m/>
  </r>
  <r>
    <s v="NESTLE PURINA"/>
    <x v="1"/>
    <x v="1"/>
    <s v="AGRO/PSHOP/VET"/>
    <n v="191495"/>
    <x v="4"/>
    <s v="SU CABELLO LUCE LIMPIO, ORGANIZADO O RECOGIDO"/>
    <s v="SI"/>
    <m/>
    <n v="27498086"/>
    <s v="NestleP.5"/>
    <x v="1"/>
    <x v="1"/>
    <n v="1.3636363636363635"/>
    <s v="SI"/>
    <n v="1.3636363636363635"/>
    <n v="0"/>
    <m/>
  </r>
  <r>
    <s v="NESTLE PURINA"/>
    <x v="1"/>
    <x v="1"/>
    <s v="AGRO/PSHOP/VET"/>
    <n v="191495"/>
    <x v="4"/>
    <s v="EL UNIFORME Y ZAPATOS SE ENCUENTRAN LIMPIOS Y EN BUEN ESTADO"/>
    <s v="SI"/>
    <m/>
    <n v="27498086"/>
    <s v="NestleP.5"/>
    <x v="1"/>
    <x v="1"/>
    <n v="1.3636363636363635"/>
    <s v="SI"/>
    <n v="1.3636363636363635"/>
    <n v="0"/>
    <m/>
  </r>
  <r>
    <s v="NESTLE PURINA"/>
    <x v="1"/>
    <x v="1"/>
    <s v="AGRO/PSHOP/VET"/>
    <n v="191495"/>
    <x v="4"/>
    <s v="POSEE ALGUNA PRENDA ENCIMA DEL UNIFORME NO AUTORIZADA POR LA MARCA (Unicamente esta permitido chaleco de Sodimac y Easy)"/>
    <s v="NO"/>
    <m/>
    <n v="27498086"/>
    <s v="NestleP.5"/>
    <x v="1"/>
    <x v="1"/>
    <n v="1.3636363636363635"/>
    <s v="NO"/>
    <n v="1.3636363636363635"/>
    <n v="0"/>
    <m/>
  </r>
  <r>
    <s v="NESTLE PURINA"/>
    <x v="1"/>
    <x v="1"/>
    <s v="AGRO/PSHOP/VET"/>
    <n v="191495"/>
    <x v="4"/>
    <s v="CUENTA CON CALZADO DE ACUERDO AL UNIFORME"/>
    <s v="SI"/>
    <m/>
    <n v="27498086"/>
    <s v="NestleP.5"/>
    <x v="1"/>
    <x v="1"/>
    <n v="1.3636363636363635"/>
    <s v="SI"/>
    <n v="1.3636363636363635"/>
    <n v="0"/>
    <m/>
  </r>
  <r>
    <s v="NESTLE PURINA"/>
    <x v="1"/>
    <x v="1"/>
    <s v="AGRO/PSHOP/VET"/>
    <n v="191495"/>
    <x v="4"/>
    <s v="CUENTA CON CAMISA DEL UNIFORME Y LOGOS SEGÚN EL CARGO (NEGRA / GRIS / ROJA / TURQUESA) (Es permitido usar debajo de la camisa buso manga larga Negro)"/>
    <s v="SI"/>
    <m/>
    <n v="27498086"/>
    <s v="NestleP.5"/>
    <x v="1"/>
    <x v="1"/>
    <n v="1.3636363636363635"/>
    <s v="SI"/>
    <n v="1.3636363636363635"/>
    <n v="0"/>
    <m/>
  </r>
  <r>
    <s v="NESTLE PURINA"/>
    <x v="1"/>
    <x v="1"/>
    <s v="AGRO/PSHOP/VET"/>
    <n v="191495"/>
    <x v="4"/>
    <s v="CUENTA CON PANTALON DEL UNIFORME SEGÚN EL CARGO (NEGRO / ROJO / TURQUESA / JEAN)"/>
    <s v="SI"/>
    <m/>
    <n v="27498086"/>
    <s v="NestleP.5"/>
    <x v="1"/>
    <x v="1"/>
    <n v="1.3636363636363635"/>
    <s v="SI"/>
    <n v="1.3636363636363635"/>
    <n v="0"/>
    <m/>
  </r>
  <r>
    <s v="NESTLE PURINA"/>
    <x v="1"/>
    <x v="1"/>
    <s v="AGRO/PSHOP/VET"/>
    <n v="191495"/>
    <x v="4"/>
    <s v="¿CUMPLE HORARIO DE ENTRADA O SALIDA DE LA TIENDA?"/>
    <s v="SI"/>
    <m/>
    <n v="27498086"/>
    <s v="NestleP.5"/>
    <x v="1"/>
    <x v="4"/>
    <n v="20"/>
    <s v="SI"/>
    <n v="20"/>
    <n v="0"/>
    <m/>
  </r>
  <r>
    <s v="NESTLE PURINA"/>
    <x v="1"/>
    <x v="1"/>
    <s v="SUPERETE"/>
    <n v="65453"/>
    <x v="1"/>
    <s v="SE LOGRA REALIZAR EL MYSTERY?"/>
    <s v="SI"/>
    <m/>
    <n v="27498090"/>
    <s v="NestleP.5"/>
    <x v="1"/>
    <x v="0"/>
    <n v="0"/>
    <n v="0"/>
    <n v="0"/>
    <n v="0"/>
    <m/>
  </r>
  <r>
    <s v="NESTLE PURINA"/>
    <x v="1"/>
    <x v="0"/>
    <s v="OLIMPICA"/>
    <n v="126325"/>
    <x v="6"/>
    <s v="¿CUMPLE HORARIO DE ENTRADA O SALIDA DE LA TIENDA?"/>
    <s v="SI"/>
    <m/>
    <n v="27531935"/>
    <s v="NestleP.5"/>
    <x v="1"/>
    <x v="4"/>
    <n v="20"/>
    <s v="SI"/>
    <n v="20"/>
    <n v="0"/>
    <m/>
  </r>
  <r>
    <s v="NESTLE PURINA"/>
    <x v="1"/>
    <x v="0"/>
    <s v="OLIMPICA"/>
    <n v="126325"/>
    <x v="6"/>
    <s v="CM - OFRECE PURINA ONE?"/>
    <s v="NO"/>
    <m/>
    <n v="27531935"/>
    <s v="NestleP.5"/>
    <x v="1"/>
    <x v="3"/>
    <n v="1.5384615384615385"/>
    <s v="SI"/>
    <n v="0"/>
    <n v="0"/>
    <m/>
  </r>
  <r>
    <s v="NESTLE PURINA"/>
    <x v="1"/>
    <x v="0"/>
    <s v="OLIMPICA"/>
    <n v="126325"/>
    <x v="6"/>
    <s v="CUENTA CON CAMISA DEL UNIFORME Y LOGOS SEGÚN EL CARGO (NEGRA / GRIS / ROJA / TURQUESA) (Es permitido usar debajo de la camisa buso manga larga Negro)"/>
    <s v="SI"/>
    <m/>
    <n v="27531935"/>
    <s v="NestleP.5"/>
    <x v="1"/>
    <x v="1"/>
    <n v="1.3636363636363635"/>
    <s v="SI"/>
    <n v="1.3636363636363635"/>
    <n v="0"/>
    <m/>
  </r>
  <r>
    <s v="NESTLE PURINA"/>
    <x v="2"/>
    <x v="0"/>
    <s v="JUMBO"/>
    <n v="406974"/>
    <x v="7"/>
    <s v="CONSIDERO QUE INDEPENDIENTEMENTE DEL SPEECH, LA LABOR DE VENTA ES BUENA"/>
    <s v="NO"/>
    <m/>
    <n v="27684336"/>
    <s v="NestleP.2"/>
    <x v="1"/>
    <x v="6"/>
    <n v="7.5"/>
    <s v="SI"/>
    <n v="0"/>
    <n v="0"/>
    <m/>
  </r>
  <r>
    <s v="NESTLE PURINA"/>
    <x v="2"/>
    <x v="0"/>
    <s v="JUMBO"/>
    <n v="406974"/>
    <x v="7"/>
    <s v="REALIZA CIERRE DE VENTA"/>
    <s v="NO"/>
    <m/>
    <n v="27684336"/>
    <s v="NestleP.2"/>
    <x v="1"/>
    <x v="6"/>
    <n v="7.5"/>
    <s v="SI"/>
    <n v="0"/>
    <n v="0"/>
    <m/>
  </r>
  <r>
    <s v="NESTLE PURINA"/>
    <x v="2"/>
    <x v="0"/>
    <s v="JUMBO"/>
    <n v="406974"/>
    <x v="7"/>
    <s v="SE ENCUENTRA LIMPIA EL AREA DE DEMOSTRACION"/>
    <s v="SI"/>
    <m/>
    <n v="27684336"/>
    <s v="NestleP.2"/>
    <x v="1"/>
    <x v="1"/>
    <n v="1.3636363636363635"/>
    <s v="SI"/>
    <n v="1.3636363636363635"/>
    <n v="0"/>
    <m/>
  </r>
  <r>
    <s v="NESTLE PURINA"/>
    <x v="2"/>
    <x v="0"/>
    <s v="JUMBO"/>
    <n v="406974"/>
    <x v="7"/>
    <s v="RESUELVE LA OBJECION SATISFACTORIAMENTE?"/>
    <s v="NO"/>
    <m/>
    <n v="27684336"/>
    <s v="NestleP.2"/>
    <x v="1"/>
    <x v="3"/>
    <n v="1.5384615384615385"/>
    <s v="SI"/>
    <n v="0"/>
    <n v="0"/>
    <m/>
  </r>
  <r>
    <s v="NESTLE PURINA"/>
    <x v="2"/>
    <x v="0"/>
    <s v="JUMBO"/>
    <n v="406974"/>
    <x v="7"/>
    <s v="INDIQUE QUE TIPO DE OBJECION / DUDA MANIFESTÓ"/>
    <s v=" NO LE INTERESA EL PRODUCTO"/>
    <m/>
    <n v="27684336"/>
    <s v="NestleP.2"/>
    <x v="1"/>
    <x v="0"/>
    <n v="0"/>
    <s v="FALTA DE PRODUCTO, NO LE INTERESA EL PRODUCTO, NO TIENE DINERO, PREFIERE LA COMPETENCIA"/>
    <n v="0"/>
    <n v="0"/>
    <m/>
  </r>
  <r>
    <s v="NESTLE PURINA"/>
    <x v="2"/>
    <x v="0"/>
    <s v="JUMBO"/>
    <n v="406974"/>
    <x v="7"/>
    <s v="CM - Dan a conocer al cliente la actividad del &quot;EVENTO CORPORATIVO DE OLIMPICA JUNIO&quot;?"/>
    <s v="NO"/>
    <m/>
    <n v="27684336"/>
    <s v="NestleP.2"/>
    <x v="1"/>
    <x v="5"/>
    <n v="5"/>
    <s v="SI"/>
    <n v="0"/>
    <n v="0"/>
    <m/>
  </r>
  <r>
    <s v="NESTLE PURINA"/>
    <x v="2"/>
    <x v="0"/>
    <s v="JUMBO"/>
    <n v="406974"/>
    <x v="7"/>
    <s v="CM - Bajo la objeción de &quot;precio muy costoso&quot;, el asesor ofrece productos en el orden de la segmentación: Perros: Purina One - Dog Chow - Alpo y Gatos: Purina One - Cat Chow - Felix - Gatsy (cuando enuncia Gatsy menciona que &quot;ahora es mas sabroso&quot;)"/>
    <s v="NO"/>
    <m/>
    <n v="27684336"/>
    <s v="NestleP.2"/>
    <x v="1"/>
    <x v="3"/>
    <n v="1.5384615384615385"/>
    <s v="SI"/>
    <n v="0"/>
    <n v="0"/>
    <m/>
  </r>
  <r>
    <s v="NESTLE PURINA"/>
    <x v="2"/>
    <x v="0"/>
    <s v="JUMBO"/>
    <n v="406974"/>
    <x v="7"/>
    <s v="CM - Maneja la objeción de alto precio en las marcas Purina, comunicando la baja de precios de las marcas o las ofertas disponibles en el punto de venta."/>
    <s v="SI"/>
    <m/>
    <n v="27684336"/>
    <s v="NestleP.2"/>
    <x v="1"/>
    <x v="3"/>
    <n v="1.5384615384615385"/>
    <s v="SI"/>
    <n v="1.5384615384615385"/>
    <n v="0"/>
    <m/>
  </r>
  <r>
    <s v="NESTLE PURINA"/>
    <x v="2"/>
    <x v="0"/>
    <s v="JUMBO"/>
    <n v="406974"/>
    <x v="7"/>
    <s v="CM - MENCIONA QUE PURINA ONE CUENTA CON ALIMENTO HUMEDO Y MENCIONA LAS 3 VARIADADES QUE TIENE ( SUPER FOODS, SUPER NUTRIENTES Y MULTI PROTEINAS); APLICA TANTO PARA PERRO COMO PARA GATO"/>
    <s v="NO"/>
    <m/>
    <n v="27684336"/>
    <s v="NestleP.2"/>
    <x v="1"/>
    <x v="3"/>
    <n v="1.5384615384615385"/>
    <s v="SI"/>
    <n v="0"/>
    <n v="0"/>
    <m/>
  </r>
  <r>
    <s v="NESTLE PURINA"/>
    <x v="2"/>
    <x v="0"/>
    <s v="JUMBO"/>
    <n v="406974"/>
    <x v="7"/>
    <s v="CM - MENCIONA QUE TIENE CARNE DE VERDAD COMO INGREDIENTE NO.1 E INGREDIENTES NATURALES Y FUNCIONALES?"/>
    <s v="NO"/>
    <m/>
    <n v="27684336"/>
    <s v="NestleP.2"/>
    <x v="1"/>
    <x v="3"/>
    <n v="1.5384615384615385"/>
    <s v="SI"/>
    <n v="0"/>
    <n v="0"/>
    <m/>
  </r>
  <r>
    <s v="NESTLE PURINA"/>
    <x v="2"/>
    <x v="0"/>
    <s v="JUMBO"/>
    <n v="406974"/>
    <x v="7"/>
    <s v="CM - MENCIONA QUE LOS RESULTADOS DE PURINA ONE SON VISIBLES EN 28 DIAS?"/>
    <s v="NO"/>
    <m/>
    <n v="27684336"/>
    <s v="NestleP.2"/>
    <x v="1"/>
    <x v="3"/>
    <n v="1.5384615384615385"/>
    <s v="SI"/>
    <n v="0"/>
    <n v="0"/>
    <m/>
  </r>
  <r>
    <s v="NESTLE PURINA"/>
    <x v="2"/>
    <x v="0"/>
    <s v="JUMBO"/>
    <n v="406974"/>
    <x v="7"/>
    <s v="DESEA AÑADIR ALGUNA OBSERVACION Y/O NOVEDAD DEL MYSTERY REALIZADO?"/>
    <s v="SI"/>
    <m/>
    <n v="27684336"/>
    <s v="NestleP.2"/>
    <x v="1"/>
    <x v="0"/>
    <n v="0"/>
    <n v="0"/>
    <n v="0"/>
    <n v="0"/>
    <m/>
  </r>
  <r>
    <s v="NESTLE PURINA"/>
    <x v="2"/>
    <x v="0"/>
    <s v="JUMBO"/>
    <n v="406974"/>
    <x v="7"/>
    <s v="CM - OFRECE PURINA ONE?"/>
    <s v="SI"/>
    <m/>
    <n v="27684336"/>
    <s v="NestleP.2"/>
    <x v="1"/>
    <x v="3"/>
    <n v="1.5384615384615385"/>
    <s v="SI"/>
    <n v="1.5384615384615385"/>
    <n v="0"/>
    <m/>
  </r>
  <r>
    <s v="NESTLE PURINA"/>
    <x v="2"/>
    <x v="0"/>
    <s v="JUMBO"/>
    <n v="406974"/>
    <x v="7"/>
    <s v="OFRECIO ALGUN PRODUCTO PORTAFOLIO PURINA DE PRODUCTOS HUMEDOS, SNACK U OTROS COMUNICANDO LOS BENEFICIOS DEL PRODUCTO (Dog chow húmedo, Cat chow húmedo, Fancy Feast, Felix, Proplan Húmedo, One Húmedo) Snacks (Abrazzos, Dentalife) Arenilla (Tidy Cat)"/>
    <s v="NO"/>
    <m/>
    <n v="27684336"/>
    <s v="NestleP.2"/>
    <x v="1"/>
    <x v="3"/>
    <n v="1.5384615384615385"/>
    <s v="SI"/>
    <n v="0"/>
    <n v="0"/>
    <m/>
  </r>
  <r>
    <s v="NESTLE PURINA"/>
    <x v="2"/>
    <x v="0"/>
    <s v="JUMBO"/>
    <n v="406974"/>
    <x v="7"/>
    <s v="OFRECIO ALGUN PRODUCTO DEL PORTAFOLIO PURINA DE PRODUCTOS SECOS COMUNICANDO LOS BENEFICIOS DEL PRODUCTO (DOG CHOW, CAT CHOW,_x000a_ALPO, GATSY,FELIX)"/>
    <s v="SI"/>
    <m/>
    <n v="27684336"/>
    <s v="NestleP.2"/>
    <x v="1"/>
    <x v="3"/>
    <n v="1.5384615384615385"/>
    <s v="SI"/>
    <n v="1.5384615384615385"/>
    <n v="0"/>
    <m/>
  </r>
  <r>
    <s v="NESTLE PURINA"/>
    <x v="2"/>
    <x v="0"/>
    <s v="JUMBO"/>
    <n v="406974"/>
    <x v="7"/>
    <s v="SE PRODUCE ABORDO PROACTIVO (antes de los 3 min)"/>
    <s v="NO"/>
    <m/>
    <n v="27684336"/>
    <s v="NestleP.2"/>
    <x v="1"/>
    <x v="2"/>
    <n v="20"/>
    <s v="SI"/>
    <n v="0"/>
    <n v="0"/>
    <m/>
  </r>
  <r>
    <s v="NESTLE PURINA"/>
    <x v="2"/>
    <x v="0"/>
    <s v="JUMBO"/>
    <n v="406974"/>
    <x v="7"/>
    <s v="USA ACCESORIOS QUE NO CUMPLE CON EL CODIGO DE VESTIMENTA"/>
    <s v="NO"/>
    <m/>
    <n v="27684336"/>
    <s v="NestleP.2"/>
    <x v="1"/>
    <x v="1"/>
    <n v="1.3636363636363635"/>
    <s v="NO"/>
    <n v="1.3636363636363635"/>
    <n v="0"/>
    <m/>
  </r>
  <r>
    <s v="NESTLE PURINA"/>
    <x v="2"/>
    <x v="0"/>
    <s v="JUMBO"/>
    <n v="406974"/>
    <x v="7"/>
    <s v="TIENE UÑAS LLAMATIVAS Y/O LARGAS QUE NO CUMPLE CON EL CODIGO DE VESTIMENTA"/>
    <s v="NO"/>
    <m/>
    <n v="27684336"/>
    <s v="NestleP.2"/>
    <x v="1"/>
    <x v="1"/>
    <n v="1.3636363636363635"/>
    <s v="NO"/>
    <n v="1.3636363636363635"/>
    <n v="0"/>
    <m/>
  </r>
  <r>
    <s v="NESTLE PURINA"/>
    <x v="2"/>
    <x v="0"/>
    <s v="JUMBO"/>
    <n v="406974"/>
    <x v="7"/>
    <s v="TIENE TATUAJES O PIERCINGS VISIBLES QUE NO CUMPLE CON EL CODIGO DE VESTIMENTA"/>
    <s v="NO"/>
    <m/>
    <n v="27684336"/>
    <s v="NestleP.2"/>
    <x v="1"/>
    <x v="1"/>
    <n v="1.3636363636363635"/>
    <s v="NO"/>
    <n v="1.3636363636363635"/>
    <n v="0"/>
    <m/>
  </r>
  <r>
    <s v="NESTLE PURINA"/>
    <x v="2"/>
    <x v="0"/>
    <s v="JUMBO"/>
    <n v="406974"/>
    <x v="7"/>
    <s v="PRESENTA EXCESO DE MAQUILLAJE QUE NO CUMPLE CON EL CODIGO DE VESTIMENTA"/>
    <s v="NO"/>
    <m/>
    <n v="27684336"/>
    <s v="NestleP.2"/>
    <x v="1"/>
    <x v="1"/>
    <n v="1.3636363636363635"/>
    <s v="NO"/>
    <n v="1.3636363636363635"/>
    <n v="0"/>
    <m/>
  </r>
  <r>
    <s v="NESTLE PURINA"/>
    <x v="2"/>
    <x v="0"/>
    <s v="JUMBO"/>
    <n v="406974"/>
    <x v="7"/>
    <s v="SU CABELLO LUCE LIMPIO, ORGANIZADO O RECOGIDO"/>
    <s v="SI"/>
    <m/>
    <n v="27684336"/>
    <s v="NestleP.2"/>
    <x v="1"/>
    <x v="1"/>
    <n v="1.3636363636363635"/>
    <s v="SI"/>
    <n v="1.3636363636363635"/>
    <n v="0"/>
    <m/>
  </r>
  <r>
    <s v="NESTLE PURINA"/>
    <x v="2"/>
    <x v="0"/>
    <s v="JUMBO"/>
    <n v="406974"/>
    <x v="7"/>
    <s v="EL UNIFORME Y ZAPATOS SE ENCUENTRAN LIMPIOS Y EN BUEN ESTADO"/>
    <s v="SI"/>
    <m/>
    <n v="27684336"/>
    <s v="NestleP.2"/>
    <x v="1"/>
    <x v="1"/>
    <n v="1.3636363636363635"/>
    <s v="SI"/>
    <n v="1.3636363636363635"/>
    <n v="0"/>
    <m/>
  </r>
  <r>
    <s v="NESTLE PURINA"/>
    <x v="2"/>
    <x v="0"/>
    <s v="JUMBO"/>
    <n v="406974"/>
    <x v="7"/>
    <s v="POSEE ALGUNA PRENDA ENCIMA DEL UNIFORME NO AUTORIZADA POR LA MARCA (Unicamente esta permitido chaleco de Sodimac y Easy)"/>
    <s v="NO"/>
    <m/>
    <n v="27684336"/>
    <s v="NestleP.2"/>
    <x v="1"/>
    <x v="1"/>
    <n v="1.3636363636363635"/>
    <s v="NO"/>
    <n v="1.3636363636363635"/>
    <n v="0"/>
    <m/>
  </r>
  <r>
    <s v="NESTLE PURINA"/>
    <x v="2"/>
    <x v="0"/>
    <s v="JUMBO"/>
    <n v="406974"/>
    <x v="7"/>
    <s v="CUENTA CON CALZADO DE ACUERDO AL UNIFORME"/>
    <s v="SI"/>
    <m/>
    <n v="27684336"/>
    <s v="NestleP.2"/>
    <x v="1"/>
    <x v="1"/>
    <n v="1.3636363636363635"/>
    <s v="SI"/>
    <n v="1.3636363636363635"/>
    <n v="0"/>
    <m/>
  </r>
  <r>
    <s v="NESTLE PURINA"/>
    <x v="2"/>
    <x v="0"/>
    <s v="JUMBO"/>
    <n v="406974"/>
    <x v="7"/>
    <s v="SELECCIONE EL CANAL DEL PDV QUE EVALUA"/>
    <s v="MODERNO"/>
    <m/>
    <n v="27684336"/>
    <s v="NestleP.2"/>
    <x v="1"/>
    <x v="0"/>
    <n v="0"/>
    <s v="MODERNO, ESPECIALIZADO"/>
    <n v="0"/>
    <n v="0"/>
    <m/>
  </r>
  <r>
    <s v="NESTLE PURINA"/>
    <x v="2"/>
    <x v="0"/>
    <s v="JUMBO"/>
    <n v="406974"/>
    <x v="7"/>
    <s v="INDIQUE OBSERVACION Y/O NOVEDAD DEL MYSTERY REALIZADO"/>
    <s v="No me indica información.clara,  me toco abordarlo por que no aborda, "/>
    <m/>
    <n v="27684336"/>
    <s v="NestleP.2"/>
    <x v="1"/>
    <x v="0"/>
    <n v="0"/>
    <n v="0"/>
    <n v="0"/>
    <n v="0"/>
    <m/>
  </r>
  <r>
    <s v="NESTLE PURINA"/>
    <x v="2"/>
    <x v="0"/>
    <s v="JUMBO"/>
    <n v="12565"/>
    <x v="8"/>
    <s v="SE LOGRA REALIZAR EL MYSTERY?"/>
    <s v="SI"/>
    <m/>
    <n v="27689425"/>
    <s v="NestleP.1"/>
    <x v="1"/>
    <x v="0"/>
    <n v="0"/>
    <n v="0"/>
    <n v="0"/>
    <n v="0"/>
    <m/>
  </r>
  <r>
    <s v="NESTLE PURINA"/>
    <x v="2"/>
    <x v="0"/>
    <s v="JUMBO"/>
    <n v="12565"/>
    <x v="8"/>
    <s v="¿CUMPLE HORARIO DE ENTRADA O SALIDA DE LA TIENDA?"/>
    <s v="SI"/>
    <m/>
    <n v="27689425"/>
    <s v="NestleP.1"/>
    <x v="1"/>
    <x v="4"/>
    <n v="20"/>
    <s v="SI"/>
    <n v="20"/>
    <n v="0"/>
    <m/>
  </r>
  <r>
    <s v="NESTLE PURINA"/>
    <x v="2"/>
    <x v="0"/>
    <s v="JUMBO"/>
    <n v="12565"/>
    <x v="8"/>
    <s v="REALIZA CIERRE DE VENTA"/>
    <s v="NO"/>
    <m/>
    <n v="27689425"/>
    <s v="NestleP.1"/>
    <x v="1"/>
    <x v="6"/>
    <n v="7.5"/>
    <s v="SI"/>
    <n v="0"/>
    <n v="0"/>
    <m/>
  </r>
  <r>
    <s v="NESTLE PURINA"/>
    <x v="2"/>
    <x v="0"/>
    <s v="JUMBO"/>
    <n v="12565"/>
    <x v="8"/>
    <s v="SE ENCUENTRA LIMPIA EL AREA DE DEMOSTRACION"/>
    <s v="SI"/>
    <m/>
    <n v="27689425"/>
    <s v="NestleP.1"/>
    <x v="1"/>
    <x v="1"/>
    <n v="1.3636363636363635"/>
    <s v="SI"/>
    <n v="1.3636363636363635"/>
    <n v="0"/>
    <m/>
  </r>
  <r>
    <s v="NESTLE PURINA"/>
    <x v="2"/>
    <x v="0"/>
    <s v="JUMBO"/>
    <n v="12565"/>
    <x v="8"/>
    <s v="RESUELVE LA OBJECION SATISFACTORIAMENTE?"/>
    <s v="SI"/>
    <m/>
    <n v="27689425"/>
    <s v="NestleP.1"/>
    <x v="1"/>
    <x v="3"/>
    <n v="1.5384615384615385"/>
    <s v="SI"/>
    <n v="1.5384615384615385"/>
    <n v="0"/>
    <m/>
  </r>
  <r>
    <s v="NESTLE PURINA"/>
    <x v="2"/>
    <x v="0"/>
    <s v="JUMBO"/>
    <n v="12565"/>
    <x v="8"/>
    <s v="INDIQUE QUE TIPO DE OBJECION / DUDA MANIFESTÓ"/>
    <s v=" NO TIENE DINERO"/>
    <m/>
    <n v="27689425"/>
    <s v="NestleP.1"/>
    <x v="1"/>
    <x v="0"/>
    <n v="0"/>
    <s v="FALTA DE PRODUCTO, NO LE INTERESA EL PRODUCTO, NO TIENE DINERO, PREFIERE LA COMPETENCIA"/>
    <n v="0"/>
    <n v="0"/>
    <m/>
  </r>
  <r>
    <s v="NESTLE PURINA"/>
    <x v="2"/>
    <x v="0"/>
    <s v="JUMBO"/>
    <n v="12565"/>
    <x v="8"/>
    <s v="CM - Dan a conocer al cliente la actividad del &quot;EVENTO CORPORATIVO DE OLIMPICA JUNIO&quot;?"/>
    <s v="SI"/>
    <m/>
    <n v="27689425"/>
    <s v="NestleP.1"/>
    <x v="1"/>
    <x v="5"/>
    <n v="5"/>
    <s v="SI"/>
    <n v="5"/>
    <n v="0"/>
    <m/>
  </r>
  <r>
    <s v="NESTLE PURINA"/>
    <x v="2"/>
    <x v="0"/>
    <s v="JUMBO"/>
    <n v="12565"/>
    <x v="8"/>
    <s v="CM - Bajo la objeción de &quot;precio muy costoso&quot;, el asesor ofrece productos en el orden de la segmentación: Perros: Purina One - Dog Chow - Alpo y Gatos: Purina One - Cat Chow - Felix - Gatsy (cuando enuncia Gatsy menciona que &quot;ahora es mas sabroso&quot;)"/>
    <s v="SI"/>
    <m/>
    <n v="27689425"/>
    <s v="NestleP.1"/>
    <x v="1"/>
    <x v="3"/>
    <n v="1.5384615384615385"/>
    <s v="SI"/>
    <n v="1.5384615384615385"/>
    <n v="0"/>
    <m/>
  </r>
  <r>
    <s v="NESTLE PURINA"/>
    <x v="2"/>
    <x v="0"/>
    <s v="JUMBO"/>
    <n v="12565"/>
    <x v="8"/>
    <s v="CM - Maneja la objeción de alto precio en las marcas Purina, comunicando la baja de precios de las marcas o las ofertas disponibles en el punto de venta."/>
    <s v="SI"/>
    <m/>
    <n v="27689425"/>
    <s v="NestleP.1"/>
    <x v="1"/>
    <x v="3"/>
    <n v="1.5384615384615385"/>
    <s v="SI"/>
    <n v="1.5384615384615385"/>
    <n v="0"/>
    <m/>
  </r>
  <r>
    <s v="NESTLE PURINA"/>
    <x v="2"/>
    <x v="0"/>
    <s v="JUMBO"/>
    <n v="12565"/>
    <x v="8"/>
    <s v="CM - MENCIONA QUE PURINA ONE CUENTA CON ALIMENTO HUMEDO Y MENCIONA LAS 3 VARIADADES QUE TIENE ( SUPER FOODS, SUPER NUTRIENTES Y MULTI PROTEINAS); APLICA TANTO PARA PERRO COMO PARA GATO"/>
    <s v="SI"/>
    <m/>
    <n v="27689425"/>
    <s v="NestleP.1"/>
    <x v="1"/>
    <x v="3"/>
    <n v="1.5384615384615385"/>
    <s v="SI"/>
    <n v="1.5384615384615385"/>
    <n v="0"/>
    <m/>
  </r>
  <r>
    <s v="NESTLE PURINA"/>
    <x v="2"/>
    <x v="0"/>
    <s v="JUMBO"/>
    <n v="12565"/>
    <x v="8"/>
    <s v="CM - MENCIONA QUE TIENE CARNE DE VERDAD COMO INGREDIENTE NO.1 E INGREDIENTES NATURALES Y FUNCIONALES?"/>
    <s v="SI"/>
    <m/>
    <n v="27689425"/>
    <s v="NestleP.1"/>
    <x v="1"/>
    <x v="3"/>
    <n v="1.5384615384615385"/>
    <s v="SI"/>
    <n v="1.5384615384615385"/>
    <n v="0"/>
    <m/>
  </r>
  <r>
    <s v="NESTLE PURINA"/>
    <x v="2"/>
    <x v="0"/>
    <s v="JUMBO"/>
    <n v="12565"/>
    <x v="8"/>
    <s v="CM - MENCIONA QUE LOS RESULTADOS DE PURINA ONE SON VISIBLES EN 28 DIAS?"/>
    <s v="SI"/>
    <m/>
    <n v="27689425"/>
    <s v="NestleP.1"/>
    <x v="1"/>
    <x v="3"/>
    <n v="1.5384615384615385"/>
    <s v="SI"/>
    <n v="1.5384615384615385"/>
    <n v="0"/>
    <m/>
  </r>
  <r>
    <s v="NESTLE PURINA"/>
    <x v="2"/>
    <x v="0"/>
    <s v="JUMBO"/>
    <n v="12565"/>
    <x v="8"/>
    <s v="CM - OFRECE PURINA ONE?"/>
    <s v="SI"/>
    <m/>
    <n v="27689425"/>
    <s v="NestleP.1"/>
    <x v="1"/>
    <x v="3"/>
    <n v="1.5384615384615385"/>
    <s v="SI"/>
    <n v="1.5384615384615385"/>
    <n v="0"/>
    <m/>
  </r>
  <r>
    <s v="NESTLE PURINA"/>
    <x v="2"/>
    <x v="0"/>
    <s v="JUMBO"/>
    <n v="12565"/>
    <x v="8"/>
    <s v="SELECCIONE EL CANAL DEL PDV QUE EVALUA"/>
    <s v="MODERNO"/>
    <m/>
    <n v="27689425"/>
    <s v="NestleP.1"/>
    <x v="1"/>
    <x v="0"/>
    <n v="0"/>
    <s v="MODERNO, ESPECIALIZADO"/>
    <n v="0"/>
    <n v="0"/>
    <m/>
  </r>
  <r>
    <s v="NESTLE PURINA"/>
    <x v="2"/>
    <x v="0"/>
    <s v="JUMBO"/>
    <n v="12565"/>
    <x v="8"/>
    <s v="OFRECIO ALGUN PRODUCTO PORTAFOLIO PURINA DE PRODUCTOS HUMEDOS, SNACK U OTROS COMUNICANDO LOS BENEFICIOS DEL PRODUCTO (Dog chow húmedo, Cat chow húmedo, Fancy Feast, Felix, Proplan Húmedo, One Húmedo) Snacks (Abrazzos, Dentalife) Arenilla (Tidy Cat)"/>
    <s v="SI"/>
    <m/>
    <n v="27689425"/>
    <s v="NestleP.1"/>
    <x v="1"/>
    <x v="3"/>
    <n v="1.5384615384615385"/>
    <s v="SI"/>
    <n v="1.5384615384615385"/>
    <n v="0"/>
    <m/>
  </r>
  <r>
    <s v="NESTLE PURINA"/>
    <x v="2"/>
    <x v="0"/>
    <s v="JUMBO"/>
    <n v="12565"/>
    <x v="8"/>
    <s v="OFRECIO ALGUN PRODUCTO DEL PORTAFOLIO PURINA DE PRODUCTOS SECOS COMUNICANDO LOS BENEFICIOS DEL PRODUCTO (DOG CHOW, CAT CHOW,_x000a_ALPO, GATSY,FELIX)"/>
    <s v="SI"/>
    <m/>
    <n v="27689425"/>
    <s v="NestleP.1"/>
    <x v="1"/>
    <x v="3"/>
    <n v="1.5384615384615385"/>
    <s v="SI"/>
    <n v="1.5384615384615385"/>
    <n v="0"/>
    <m/>
  </r>
  <r>
    <s v="NESTLE PURINA"/>
    <x v="2"/>
    <x v="0"/>
    <s v="JUMBO"/>
    <n v="12565"/>
    <x v="8"/>
    <s v="SE PRODUCE ABORDO PROACTIVO (antes de los 3 min)"/>
    <s v="SI"/>
    <m/>
    <n v="27689425"/>
    <s v="NestleP.1"/>
    <x v="1"/>
    <x v="2"/>
    <n v="20"/>
    <s v="SI"/>
    <n v="20"/>
    <n v="0"/>
    <m/>
  </r>
  <r>
    <s v="NESTLE PURINA"/>
    <x v="2"/>
    <x v="0"/>
    <s v="JUMBO"/>
    <n v="12565"/>
    <x v="8"/>
    <s v="USA ACCESORIOS QUE NO CUMPLE CON EL CODIGO DE VESTIMENTA"/>
    <s v="NO"/>
    <m/>
    <n v="27689425"/>
    <s v="NestleP.1"/>
    <x v="1"/>
    <x v="1"/>
    <n v="1.3636363636363635"/>
    <s v="NO"/>
    <n v="1.3636363636363635"/>
    <n v="0"/>
    <m/>
  </r>
  <r>
    <s v="NESTLE PURINA"/>
    <x v="2"/>
    <x v="0"/>
    <s v="JUMBO"/>
    <n v="12565"/>
    <x v="8"/>
    <s v="TIENE UÑAS LLAMATIVAS Y/O LARGAS QUE NO CUMPLE CON EL CODIGO DE VESTIMENTA"/>
    <s v="NO"/>
    <m/>
    <n v="27689425"/>
    <s v="NestleP.1"/>
    <x v="1"/>
    <x v="1"/>
    <n v="1.3636363636363635"/>
    <s v="NO"/>
    <n v="1.3636363636363635"/>
    <n v="0"/>
    <m/>
  </r>
  <r>
    <s v="NESTLE PURINA"/>
    <x v="2"/>
    <x v="0"/>
    <s v="JUMBO"/>
    <n v="12565"/>
    <x v="8"/>
    <s v="TIENE TATUAJES O PIERCINGS VISIBLES QUE NO CUMPLE CON EL CODIGO DE VESTIMENTA"/>
    <s v="NO"/>
    <m/>
    <n v="27689425"/>
    <s v="NestleP.1"/>
    <x v="1"/>
    <x v="1"/>
    <n v="1.3636363636363635"/>
    <s v="NO"/>
    <n v="1.3636363636363635"/>
    <n v="0"/>
    <m/>
  </r>
  <r>
    <s v="NESTLE PURINA"/>
    <x v="2"/>
    <x v="0"/>
    <s v="JUMBO"/>
    <n v="12565"/>
    <x v="8"/>
    <s v="PRESENTA EXCESO DE MAQUILLAJE QUE NO CUMPLE CON EL CODIGO DE VESTIMENTA"/>
    <s v="NO"/>
    <m/>
    <n v="27689425"/>
    <s v="NestleP.1"/>
    <x v="1"/>
    <x v="1"/>
    <n v="1.3636363636363635"/>
    <s v="NO"/>
    <n v="1.3636363636363635"/>
    <n v="0"/>
    <m/>
  </r>
  <r>
    <s v="NESTLE PURINA"/>
    <x v="2"/>
    <x v="0"/>
    <s v="JUMBO"/>
    <n v="12565"/>
    <x v="8"/>
    <s v="SU CABELLO LUCE LIMPIO, ORGANIZADO O RECOGIDO"/>
    <s v="SI"/>
    <m/>
    <n v="27689425"/>
    <s v="NestleP.1"/>
    <x v="1"/>
    <x v="1"/>
    <n v="1.3636363636363635"/>
    <s v="SI"/>
    <n v="1.3636363636363635"/>
    <n v="0"/>
    <m/>
  </r>
  <r>
    <s v="NESTLE PURINA"/>
    <x v="2"/>
    <x v="0"/>
    <s v="JUMBO"/>
    <n v="12565"/>
    <x v="8"/>
    <s v="EL UNIFORME Y ZAPATOS SE ENCUENTRAN LIMPIOS Y EN BUEN ESTADO"/>
    <s v="SI"/>
    <m/>
    <n v="27689425"/>
    <s v="NestleP.1"/>
    <x v="1"/>
    <x v="1"/>
    <n v="1.3636363636363635"/>
    <s v="SI"/>
    <n v="1.3636363636363635"/>
    <n v="0"/>
    <m/>
  </r>
  <r>
    <s v="NESTLE PURINA"/>
    <x v="2"/>
    <x v="0"/>
    <s v="JUMBO"/>
    <n v="12565"/>
    <x v="8"/>
    <s v="POSEE ALGUNA PRENDA ENCIMA DEL UNIFORME NO AUTORIZADA POR LA MARCA (Unicamente esta permitido chaleco de Sodimac y Easy)"/>
    <s v="NO"/>
    <m/>
    <n v="27689425"/>
    <s v="NestleP.1"/>
    <x v="1"/>
    <x v="1"/>
    <n v="1.3636363636363635"/>
    <s v="NO"/>
    <n v="1.3636363636363635"/>
    <n v="0"/>
    <m/>
  </r>
  <r>
    <s v="NESTLE PURINA"/>
    <x v="2"/>
    <x v="0"/>
    <s v="JUMBO"/>
    <n v="12565"/>
    <x v="8"/>
    <s v="CUENTA CON CALZADO DE ACUERDO AL UNIFORME"/>
    <s v="SI"/>
    <m/>
    <n v="27689425"/>
    <s v="NestleP.1"/>
    <x v="1"/>
    <x v="1"/>
    <n v="1.3636363636363635"/>
    <s v="SI"/>
    <n v="1.3636363636363635"/>
    <n v="0"/>
    <m/>
  </r>
  <r>
    <s v="NESTLE PURINA"/>
    <x v="2"/>
    <x v="0"/>
    <s v="JUMBO"/>
    <n v="12565"/>
    <x v="8"/>
    <s v="CUENTA CON CAMISA DEL UNIFORME Y LOGOS SEGÚN EL CARGO (NEGRA / GRIS / ROJA / TURQUESA) (Es permitido usar debajo de la camisa buso manga larga Negro)"/>
    <s v="SI"/>
    <m/>
    <n v="27689425"/>
    <s v="NestleP.1"/>
    <x v="1"/>
    <x v="1"/>
    <n v="1.3636363636363635"/>
    <s v="SI"/>
    <n v="1.3636363636363635"/>
    <n v="0"/>
    <m/>
  </r>
  <r>
    <s v="NESTLE PURINA"/>
    <x v="2"/>
    <x v="0"/>
    <s v="JUMBO"/>
    <n v="12565"/>
    <x v="8"/>
    <s v="CUENTA CON PANTALON DEL UNIFORME SEGÚN EL CARGO (NEGRO / ROJO / TURQUESA / JEAN)"/>
    <s v="SI"/>
    <m/>
    <n v="27689425"/>
    <s v="NestleP.1"/>
    <x v="1"/>
    <x v="1"/>
    <n v="1.3636363636363635"/>
    <s v="SI"/>
    <n v="1.3636363636363635"/>
    <n v="0"/>
    <m/>
  </r>
  <r>
    <s v="NESTLE PURINA"/>
    <x v="2"/>
    <x v="0"/>
    <s v="JUMBO"/>
    <n v="406974"/>
    <x v="7"/>
    <s v="CUENTA CON CAMISA DEL UNIFORME Y LOGOS SEGÚN EL CARGO (NEGRA / GRIS / ROJA / TURQUESA) (Es permitido usar debajo de la camisa buso manga larga Negro)"/>
    <s v="SI"/>
    <m/>
    <n v="27684336"/>
    <s v="NestleP.2"/>
    <x v="1"/>
    <x v="1"/>
    <n v="1.3636363636363635"/>
    <s v="SI"/>
    <n v="1.3636363636363635"/>
    <n v="0"/>
    <m/>
  </r>
  <r>
    <s v="NESTLE PURINA"/>
    <x v="1"/>
    <x v="0"/>
    <s v="OLIMPICA"/>
    <n v="126325"/>
    <x v="6"/>
    <s v="CUENTA CON PANTALON DEL UNIFORME SEGÚN EL CARGO (NEGRO / ROJO / TURQUESA / JEAN)"/>
    <s v="SI"/>
    <m/>
    <n v="27531935"/>
    <s v="NestleP.5"/>
    <x v="1"/>
    <x v="1"/>
    <n v="1.3636363636363635"/>
    <s v="SI"/>
    <n v="1.3636363636363635"/>
    <n v="0"/>
    <m/>
  </r>
  <r>
    <s v="NESTLE PURINA"/>
    <x v="2"/>
    <x v="0"/>
    <s v="JUMBO"/>
    <n v="406974"/>
    <x v="7"/>
    <s v="CUENTA CON PANTALON DEL UNIFORME SEGÚN EL CARGO (NEGRO / ROJO / TURQUESA / JEAN)"/>
    <s v="SI"/>
    <m/>
    <n v="27684336"/>
    <s v="NestleP.2"/>
    <x v="1"/>
    <x v="1"/>
    <n v="1.3636363636363635"/>
    <s v="SI"/>
    <n v="1.3636363636363635"/>
    <n v="0"/>
    <m/>
  </r>
  <r>
    <s v="NESTLE PURINA"/>
    <x v="2"/>
    <x v="0"/>
    <s v="JUMBO"/>
    <n v="406974"/>
    <x v="7"/>
    <s v="SE LOGRA REALIZAR EL MYSTERY?"/>
    <s v="SI"/>
    <m/>
    <n v="27684336"/>
    <s v="NestleP.2"/>
    <x v="1"/>
    <x v="0"/>
    <n v="0"/>
    <n v="0"/>
    <n v="0"/>
    <n v="0"/>
    <m/>
  </r>
  <r>
    <s v="NESTLE PURINA"/>
    <x v="1"/>
    <x v="0"/>
    <s v="OLIMPICA"/>
    <n v="126325"/>
    <x v="6"/>
    <s v="CONSIDERO QUE INDEPENDIENTEMENTE DEL SPEECH, LA LABOR DE VENTA ES BUENA"/>
    <s v="SI"/>
    <m/>
    <n v="27531935"/>
    <s v="NestleP.5"/>
    <x v="1"/>
    <x v="6"/>
    <n v="7.5"/>
    <s v="SI"/>
    <n v="7.5"/>
    <n v="0"/>
    <m/>
  </r>
  <r>
    <s v="NESTLE PURINA"/>
    <x v="1"/>
    <x v="0"/>
    <s v="OLIMPICA"/>
    <n v="126325"/>
    <x v="6"/>
    <s v="REALIZA CIERRE DE VENTA"/>
    <s v="SI"/>
    <m/>
    <n v="27531935"/>
    <s v="NestleP.5"/>
    <x v="1"/>
    <x v="6"/>
    <n v="7.5"/>
    <s v="SI"/>
    <n v="7.5"/>
    <n v="0"/>
    <m/>
  </r>
  <r>
    <s v="NESTLE PURINA"/>
    <x v="1"/>
    <x v="0"/>
    <s v="OLIMPICA"/>
    <n v="126325"/>
    <x v="6"/>
    <s v="SE ENCUENTRA LIMPIA EL AREA DE DEMOSTRACION"/>
    <s v="SI"/>
    <m/>
    <n v="27531935"/>
    <s v="NestleP.5"/>
    <x v="1"/>
    <x v="1"/>
    <n v="1.3636363636363635"/>
    <s v="SI"/>
    <n v="1.3636363636363635"/>
    <n v="0"/>
    <m/>
  </r>
  <r>
    <s v="NESTLE PURINA"/>
    <x v="1"/>
    <x v="0"/>
    <s v="OLIMPICA"/>
    <n v="126325"/>
    <x v="6"/>
    <s v="RESUELVE LA OBJECION SATISFACTORIAMENTE?"/>
    <s v="SI"/>
    <m/>
    <n v="27531935"/>
    <s v="NestleP.5"/>
    <x v="1"/>
    <x v="3"/>
    <n v="1.5384615384615385"/>
    <s v="SI"/>
    <n v="1.5384615384615385"/>
    <n v="0"/>
    <m/>
  </r>
  <r>
    <s v="NESTLE PURINA"/>
    <x v="1"/>
    <x v="0"/>
    <s v="OLIMPICA"/>
    <n v="126325"/>
    <x v="6"/>
    <s v="INDIQUE QUE TIPO DE OBJECION / DUDA MANIFESTÓ"/>
    <s v=" NO TIENE DINERO"/>
    <m/>
    <n v="27531935"/>
    <s v="NestleP.5"/>
    <x v="1"/>
    <x v="0"/>
    <n v="0"/>
    <s v="FALTA DE PRODUCTO, NO LE INTERESA EL PRODUCTO, NO TIENE DINERO, PREFIERE LA COMPETENCIA"/>
    <n v="0"/>
    <n v="0"/>
    <m/>
  </r>
  <r>
    <s v="NESTLE PURINA"/>
    <x v="1"/>
    <x v="0"/>
    <s v="OLIMPICA"/>
    <n v="126325"/>
    <x v="6"/>
    <s v="CM - Dan a conocer al cliente la actividad del &quot;EVENTO CORPORATIVO DE OLIMPICA JUNIO&quot;?"/>
    <s v="SI"/>
    <m/>
    <n v="27531935"/>
    <s v="NestleP.5"/>
    <x v="1"/>
    <x v="5"/>
    <n v="5"/>
    <s v="SI"/>
    <n v="5"/>
    <n v="0"/>
    <m/>
  </r>
  <r>
    <s v="NESTLE PURINA"/>
    <x v="1"/>
    <x v="0"/>
    <s v="OLIMPICA"/>
    <n v="126325"/>
    <x v="6"/>
    <s v="CM - Bajo la objeción de &quot;precio muy costoso&quot;, el asesor ofrece productos en el orden de la segmentación: Perros: Purina One - Dog Chow - Alpo y Gatos: Purina One - Cat Chow - Felix - Gatsy (cuando enuncia Gatsy menciona que &quot;ahora es mas sabroso&quot;)"/>
    <s v="SI"/>
    <m/>
    <n v="27531935"/>
    <s v="NestleP.5"/>
    <x v="1"/>
    <x v="3"/>
    <n v="1.5384615384615385"/>
    <s v="SI"/>
    <n v="1.5384615384615385"/>
    <n v="0"/>
    <m/>
  </r>
  <r>
    <s v="NESTLE PURINA"/>
    <x v="1"/>
    <x v="0"/>
    <s v="OLIMPICA"/>
    <n v="126325"/>
    <x v="6"/>
    <s v="CM - Maneja la objeción de alto precio en las marcas Purina, comunicando la baja de precios de las marcas o las ofertas disponibles en el punto de venta."/>
    <s v="SI"/>
    <m/>
    <n v="27531935"/>
    <s v="NestleP.5"/>
    <x v="1"/>
    <x v="3"/>
    <n v="1.5384615384615385"/>
    <s v="SI"/>
    <n v="1.5384615384615385"/>
    <n v="0"/>
    <m/>
  </r>
  <r>
    <s v="NESTLE PURINA"/>
    <x v="1"/>
    <x v="0"/>
    <s v="OLIMPICA"/>
    <n v="126325"/>
    <x v="6"/>
    <s v="CM - MENCIONA QUE PURINA ONE CUENTA CON ALIMENTO HUMEDO Y MENCIONA LAS 3 VARIADADES QUE TIENE ( SUPER FOODS, SUPER NUTRIENTES Y MULTI PROTEINAS); APLICA TANTO PARA PERRO COMO PARA GATO"/>
    <s v="NO"/>
    <m/>
    <n v="27531935"/>
    <s v="NestleP.5"/>
    <x v="1"/>
    <x v="3"/>
    <n v="1.5384615384615385"/>
    <s v="SI"/>
    <n v="0"/>
    <n v="0"/>
    <m/>
  </r>
  <r>
    <s v="NESTLE PURINA"/>
    <x v="1"/>
    <x v="0"/>
    <s v="OLIMPICA"/>
    <n v="126325"/>
    <x v="6"/>
    <s v="CM - MENCIONA QUE TIENE CARNE DE VERDAD COMO INGREDIENTE NO.1 E INGREDIENTES NATURALES Y FUNCIONALES?"/>
    <s v="NO"/>
    <m/>
    <n v="27531935"/>
    <s v="NestleP.5"/>
    <x v="1"/>
    <x v="3"/>
    <n v="1.5384615384615385"/>
    <s v="SI"/>
    <n v="0"/>
    <n v="0"/>
    <m/>
  </r>
  <r>
    <s v="NESTLE PURINA"/>
    <x v="1"/>
    <x v="0"/>
    <s v="OLIMPICA"/>
    <n v="126325"/>
    <x v="6"/>
    <s v="CM - MENCIONA QUE LOS RESULTADOS DE PURINA ONE SON VISIBLES EN 28 DIAS?"/>
    <s v="NO"/>
    <m/>
    <n v="27531935"/>
    <s v="NestleP.5"/>
    <x v="1"/>
    <x v="3"/>
    <n v="1.5384615384615385"/>
    <s v="SI"/>
    <n v="0"/>
    <n v="0"/>
    <m/>
  </r>
  <r>
    <s v="NESTLE PURINA"/>
    <x v="1"/>
    <x v="0"/>
    <s v="OLIMPICA"/>
    <n v="126325"/>
    <x v="6"/>
    <s v="DESEA AÑADIR ALGUNA OBSERVACION Y/O NOVEDAD DEL MYSTERY REALIZADO?"/>
    <s v="NO"/>
    <m/>
    <n v="27531935"/>
    <s v="NestleP.5"/>
    <x v="1"/>
    <x v="0"/>
    <n v="0"/>
    <n v="0"/>
    <n v="0"/>
    <n v="0"/>
    <m/>
  </r>
  <r>
    <s v="NESTLE PURINA"/>
    <x v="2"/>
    <x v="0"/>
    <s v="EXITO"/>
    <n v="442719"/>
    <x v="9"/>
    <s v="DESEA AÑADIR ALGUNA OBSERVACION Y/O NOVEDAD DEL MYSTERY REALIZADO?"/>
    <s v="NO"/>
    <m/>
    <n v="27486785"/>
    <s v="NestleP.2"/>
    <x v="1"/>
    <x v="0"/>
    <n v="0"/>
    <n v="0"/>
    <n v="0"/>
    <n v="0"/>
    <m/>
  </r>
  <r>
    <s v="NESTLE PURINA"/>
    <x v="1"/>
    <x v="0"/>
    <s v="OLIMPICA"/>
    <n v="126325"/>
    <x v="6"/>
    <s v="OFRECIO ALGUN PRODUCTO PORTAFOLIO PURINA DE PRODUCTOS HUMEDOS, SNACK U OTROS COMUNICANDO LOS BENEFICIOS DEL PRODUCTO (Dog chow húmedo, Cat chow húmedo, Fancy Feast, Felix, Proplan Húmedo, One Húmedo) Snacks (Abrazzos, Dentalife) Arenilla (Tidy Cat)"/>
    <s v="NO"/>
    <m/>
    <n v="27531935"/>
    <s v="NestleP.5"/>
    <x v="1"/>
    <x v="3"/>
    <n v="1.5384615384615385"/>
    <s v="SI"/>
    <n v="0"/>
    <n v="0"/>
    <m/>
  </r>
  <r>
    <s v="NESTLE PURINA"/>
    <x v="1"/>
    <x v="0"/>
    <s v="OLIMPICA"/>
    <n v="126325"/>
    <x v="6"/>
    <s v="OFRECIO ALGUN PRODUCTO DEL PORTAFOLIO PURINA DE PRODUCTOS SECOS COMUNICANDO LOS BENEFICIOS DEL PRODUCTO (DOG CHOW, CAT CHOW,_x000a_ALPO, GATSY,FELIX)"/>
    <s v="SI"/>
    <m/>
    <n v="27531935"/>
    <s v="NestleP.5"/>
    <x v="1"/>
    <x v="3"/>
    <n v="1.5384615384615385"/>
    <s v="SI"/>
    <n v="1.5384615384615385"/>
    <n v="0"/>
    <m/>
  </r>
  <r>
    <s v="NESTLE PURINA"/>
    <x v="1"/>
    <x v="0"/>
    <s v="OLIMPICA"/>
    <n v="126325"/>
    <x v="6"/>
    <s v="SE PRODUCE ABORDO PROACTIVO (antes de los 3 min)"/>
    <s v="SI"/>
    <m/>
    <n v="27531935"/>
    <s v="NestleP.5"/>
    <x v="1"/>
    <x v="2"/>
    <n v="20"/>
    <s v="SI"/>
    <n v="20"/>
    <n v="0"/>
    <m/>
  </r>
  <r>
    <s v="NESTLE PURINA"/>
    <x v="1"/>
    <x v="0"/>
    <s v="OLIMPICA"/>
    <n v="126325"/>
    <x v="6"/>
    <s v="USA ACCESORIOS QUE NO CUMPLE CON EL CODIGO DE VESTIMENTA"/>
    <s v="NO"/>
    <m/>
    <n v="27531935"/>
    <s v="NestleP.5"/>
    <x v="1"/>
    <x v="1"/>
    <n v="1.3636363636363635"/>
    <s v="NO"/>
    <n v="1.3636363636363635"/>
    <n v="0"/>
    <m/>
  </r>
  <r>
    <s v="NESTLE PURINA"/>
    <x v="1"/>
    <x v="0"/>
    <s v="OLIMPICA"/>
    <n v="126325"/>
    <x v="6"/>
    <s v="TIENE UÑAS LLAMATIVAS Y/O LARGAS QUE NO CUMPLE CON EL CODIGO DE VESTIMENTA"/>
    <s v="NO"/>
    <m/>
    <n v="27531935"/>
    <s v="NestleP.5"/>
    <x v="1"/>
    <x v="1"/>
    <n v="1.3636363636363635"/>
    <s v="NO"/>
    <n v="1.3636363636363635"/>
    <n v="0"/>
    <m/>
  </r>
  <r>
    <s v="NESTLE PURINA"/>
    <x v="1"/>
    <x v="0"/>
    <s v="OLIMPICA"/>
    <n v="126325"/>
    <x v="6"/>
    <s v="TIENE TATUAJES O PIERCINGS VISIBLES QUE NO CUMPLE CON EL CODIGO DE VESTIMENTA"/>
    <s v="NO"/>
    <m/>
    <n v="27531935"/>
    <s v="NestleP.5"/>
    <x v="1"/>
    <x v="1"/>
    <n v="1.3636363636363635"/>
    <s v="NO"/>
    <n v="1.3636363636363635"/>
    <n v="0"/>
    <m/>
  </r>
  <r>
    <s v="NESTLE PURINA"/>
    <x v="1"/>
    <x v="0"/>
    <s v="OLIMPICA"/>
    <n v="126325"/>
    <x v="6"/>
    <s v="PRESENTA EXCESO DE MAQUILLAJE QUE NO CUMPLE CON EL CODIGO DE VESTIMENTA"/>
    <s v="NO"/>
    <m/>
    <n v="27531935"/>
    <s v="NestleP.5"/>
    <x v="1"/>
    <x v="1"/>
    <n v="1.3636363636363635"/>
    <s v="NO"/>
    <n v="1.3636363636363635"/>
    <n v="0"/>
    <m/>
  </r>
  <r>
    <s v="NESTLE PURINA"/>
    <x v="1"/>
    <x v="0"/>
    <s v="OLIMPICA"/>
    <n v="126325"/>
    <x v="6"/>
    <s v="SU CABELLO LUCE LIMPIO, ORGANIZADO O RECOGIDO"/>
    <s v="SI"/>
    <m/>
    <n v="27531935"/>
    <s v="NestleP.5"/>
    <x v="1"/>
    <x v="1"/>
    <n v="1.3636363636363635"/>
    <s v="SI"/>
    <n v="1.3636363636363635"/>
    <n v="0"/>
    <m/>
  </r>
  <r>
    <s v="NESTLE PURINA"/>
    <x v="1"/>
    <x v="0"/>
    <s v="OLIMPICA"/>
    <n v="126325"/>
    <x v="6"/>
    <s v="EL UNIFORME Y ZAPATOS SE ENCUENTRAN LIMPIOS Y EN BUEN ESTADO"/>
    <s v="SI"/>
    <m/>
    <n v="27531935"/>
    <s v="NestleP.5"/>
    <x v="1"/>
    <x v="1"/>
    <n v="1.3636363636363635"/>
    <s v="SI"/>
    <n v="1.3636363636363635"/>
    <n v="0"/>
    <m/>
  </r>
  <r>
    <s v="NESTLE PURINA"/>
    <x v="1"/>
    <x v="0"/>
    <s v="OLIMPICA"/>
    <n v="126325"/>
    <x v="6"/>
    <s v="POSEE ALGUNA PRENDA ENCIMA DEL UNIFORME NO AUTORIZADA POR LA MARCA (Unicamente esta permitido chaleco de Sodimac y Easy)"/>
    <s v="NO"/>
    <m/>
    <n v="27531935"/>
    <s v="NestleP.5"/>
    <x v="1"/>
    <x v="1"/>
    <n v="1.3636363636363635"/>
    <s v="NO"/>
    <n v="1.3636363636363635"/>
    <n v="0"/>
    <m/>
  </r>
  <r>
    <s v="NESTLE PURINA"/>
    <x v="1"/>
    <x v="0"/>
    <s v="OLIMPICA"/>
    <n v="126325"/>
    <x v="6"/>
    <s v="CUENTA CON CALZADO DE ACUERDO AL UNIFORME"/>
    <s v="SI"/>
    <m/>
    <n v="27531935"/>
    <s v="NestleP.5"/>
    <x v="1"/>
    <x v="1"/>
    <n v="1.3636363636363635"/>
    <s v="SI"/>
    <n v="1.3636363636363635"/>
    <n v="0"/>
    <m/>
  </r>
  <r>
    <s v="NESTLE PURINA"/>
    <x v="1"/>
    <x v="0"/>
    <s v="OLIMPICA"/>
    <n v="126325"/>
    <x v="6"/>
    <s v="SELECCIONE EL CANAL DEL PDV QUE EVALUA"/>
    <s v="MODERNO"/>
    <m/>
    <n v="27531935"/>
    <s v="NestleP.5"/>
    <x v="1"/>
    <x v="0"/>
    <n v="0"/>
    <s v="MODERNO, ESPECIALIZADO"/>
    <n v="0"/>
    <n v="0"/>
    <m/>
  </r>
  <r>
    <s v="NESTLE PURINA"/>
    <x v="2"/>
    <x v="1"/>
    <s v="AGRO/PSHOP/VET"/>
    <n v="435142"/>
    <x v="10"/>
    <s v="SE LOGRA REALIZAR EL MYSTERY?"/>
    <s v="SI"/>
    <m/>
    <n v="27593677"/>
    <s v="NestleP.1"/>
    <x v="1"/>
    <x v="0"/>
    <n v="0"/>
    <n v="0"/>
    <n v="0"/>
    <n v="0"/>
    <m/>
  </r>
  <r>
    <s v="NESTLE PURINA"/>
    <x v="2"/>
    <x v="1"/>
    <s v="AGRO/PSHOP/VET"/>
    <n v="435142"/>
    <x v="10"/>
    <s v="¿CUMPLE HORARIO DE ENTRADA O SALIDA DE LA TIENDA?"/>
    <s v="SI"/>
    <m/>
    <n v="27593677"/>
    <s v="NestleP.1"/>
    <x v="1"/>
    <x v="4"/>
    <n v="20"/>
    <s v="SI"/>
    <n v="20"/>
    <n v="0"/>
    <m/>
  </r>
  <r>
    <s v="NESTLE PURINA"/>
    <x v="2"/>
    <x v="1"/>
    <s v="AGRO/PSHOP/VET"/>
    <n v="435142"/>
    <x v="10"/>
    <s v="CUENTA CON PANTALON DEL UNIFORME SEGÚN EL CARGO (NEGRO / ROJO / TURQUESA / JEAN)"/>
    <s v="SI"/>
    <m/>
    <n v="27593677"/>
    <s v="NestleP.1"/>
    <x v="1"/>
    <x v="1"/>
    <n v="1.3636363636363635"/>
    <s v="SI"/>
    <n v="1.3636363636363635"/>
    <n v="0"/>
    <m/>
  </r>
  <r>
    <s v="NESTLE PURINA"/>
    <x v="2"/>
    <x v="1"/>
    <s v="AGRO/PSHOP/VET"/>
    <n v="435142"/>
    <x v="10"/>
    <s v="INDIQUE OBSERVACION Y/O NOVEDAD DEL MYSTERY REALIZADO"/>
    <s v="La asesora tuvo una atención inpecable ya que resolvió todas mis dudas y me dio consejos para llevar un mejor manejo con mi animal "/>
    <m/>
    <n v="27593677"/>
    <s v="NestleP.1"/>
    <x v="1"/>
    <x v="0"/>
    <n v="0"/>
    <n v="0"/>
    <n v="0"/>
    <n v="0"/>
    <m/>
  </r>
  <r>
    <s v="NESTLE PURINA"/>
    <x v="2"/>
    <x v="1"/>
    <s v="AGRO/PSHOP/VET"/>
    <n v="435142"/>
    <x v="10"/>
    <s v="DESEA AÑADIR ALGUNA OBSERVACION Y/O NOVEDAD DEL MYSTERY REALIZADO?"/>
    <s v="SI"/>
    <m/>
    <n v="27593677"/>
    <s v="NestleP.1"/>
    <x v="1"/>
    <x v="0"/>
    <n v="0"/>
    <n v="0"/>
    <n v="0"/>
    <n v="0"/>
    <m/>
  </r>
  <r>
    <s v="NESTLE PURINA"/>
    <x v="2"/>
    <x v="1"/>
    <s v="AGRO/PSHOP/VET"/>
    <n v="435142"/>
    <x v="10"/>
    <s v="CONSIDERO QUE INDEPENDIENTEMENTE DEL SPEECH, LA LABOR DE VENTA ES BUENA"/>
    <s v="SI"/>
    <m/>
    <n v="27593677"/>
    <s v="NestleP.1"/>
    <x v="1"/>
    <x v="6"/>
    <n v="7.5"/>
    <s v="SI"/>
    <n v="7.5"/>
    <n v="0"/>
    <m/>
  </r>
  <r>
    <s v="NESTLE PURINA"/>
    <x v="2"/>
    <x v="1"/>
    <s v="AGRO/PSHOP/VET"/>
    <n v="435142"/>
    <x v="10"/>
    <s v="REALIZA CIERRE DE VENTA"/>
    <s v="NO"/>
    <m/>
    <n v="27593677"/>
    <s v="NestleP.1"/>
    <x v="1"/>
    <x v="6"/>
    <n v="7.5"/>
    <s v="SI"/>
    <n v="0"/>
    <n v="0"/>
    <m/>
  </r>
  <r>
    <s v="NESTLE PURINA"/>
    <x v="2"/>
    <x v="1"/>
    <s v="AGRO/PSHOP/VET"/>
    <n v="435142"/>
    <x v="10"/>
    <s v="SE ENCUENTRA LIMPIA EL AREA DE DEMOSTRACION"/>
    <s v="SI"/>
    <m/>
    <n v="27593677"/>
    <s v="NestleP.1"/>
    <x v="1"/>
    <x v="1"/>
    <n v="1.3636363636363635"/>
    <s v="SI"/>
    <n v="1.3636363636363635"/>
    <n v="0"/>
    <m/>
  </r>
  <r>
    <s v="NESTLE PURINA"/>
    <x v="2"/>
    <x v="1"/>
    <s v="AGRO/PSHOP/VET"/>
    <n v="435142"/>
    <x v="10"/>
    <s v="RESUELVE LA OBJECION SATISFACTORIAMENTE?"/>
    <s v="SI"/>
    <m/>
    <n v="27593677"/>
    <s v="NestleP.1"/>
    <x v="1"/>
    <x v="3"/>
    <n v="1.5384615384615385"/>
    <s v="SI"/>
    <n v="1.5384615384615385"/>
    <n v="0"/>
    <m/>
  </r>
  <r>
    <s v="NESTLE PURINA"/>
    <x v="2"/>
    <x v="1"/>
    <s v="AGRO/PSHOP/VET"/>
    <n v="435142"/>
    <x v="10"/>
    <s v="INDIQUE QUE TIPO DE OBJECION / DUDA MANIFESTÓ"/>
    <s v=" NO TIENE DINERO"/>
    <m/>
    <n v="27593677"/>
    <s v="NestleP.1"/>
    <x v="1"/>
    <x v="0"/>
    <n v="0"/>
    <s v="FALTA DE PRODUCTO, NO LE INTERESA EL PRODUCTO, NO TIENE DINERO, PREFIERE LA COMPETENCIA"/>
    <n v="0"/>
    <n v="0"/>
    <m/>
  </r>
  <r>
    <s v="NESTLE PURINA"/>
    <x v="2"/>
    <x v="1"/>
    <s v="AGRO/PSHOP/VET"/>
    <n v="435142"/>
    <x v="10"/>
    <s v="CE - Ofrece producto humedo y comunica la dinamica de multiprice (por la compra de mas cantidades tiene descuento)"/>
    <s v="SI"/>
    <m/>
    <n v="27593677"/>
    <s v="NestleP.1"/>
    <x v="1"/>
    <x v="5"/>
    <n v="5"/>
    <s v="SI"/>
    <n v="5"/>
    <n v="0"/>
    <m/>
  </r>
  <r>
    <s v="NESTLE PURINA"/>
    <x v="2"/>
    <x v="1"/>
    <s v="AGRO/PSHOP/VET"/>
    <n v="435142"/>
    <x v="10"/>
    <s v="CE - El asesor comunica los beneficios o caracteristicas del producto Excellent e informa que el producto cambio de imagen pero continua con la misma formula?"/>
    <s v="SI"/>
    <m/>
    <n v="27593677"/>
    <s v="NestleP.1"/>
    <x v="1"/>
    <x v="3"/>
    <n v="1.5384615384615385"/>
    <s v="SI"/>
    <n v="1.5384615384615385"/>
    <n v="0"/>
    <m/>
  </r>
  <r>
    <s v="NESTLE PURINA"/>
    <x v="2"/>
    <x v="1"/>
    <s v="AGRO/PSHOP/VET"/>
    <n v="435142"/>
    <x v="10"/>
    <s v="CE - El asesor comunica que la marca Excellent esta dentro de la categoria SuperPremium pero a un costo mas accesible."/>
    <s v="SI"/>
    <m/>
    <n v="27593677"/>
    <s v="NestleP.1"/>
    <x v="1"/>
    <x v="3"/>
    <n v="1.5384615384615385"/>
    <s v="SI"/>
    <n v="1.5384615384615385"/>
    <n v="0"/>
    <m/>
  </r>
  <r>
    <s v="NESTLE PURINA"/>
    <x v="2"/>
    <x v="1"/>
    <s v="AGRO/PSHOP/VET"/>
    <n v="435142"/>
    <x v="10"/>
    <s v="CE - Ofrece la marca Excellent?"/>
    <s v="SI"/>
    <m/>
    <n v="27593677"/>
    <s v="NestleP.1"/>
    <x v="1"/>
    <x v="3"/>
    <n v="1.5384615384615385"/>
    <s v="SI"/>
    <n v="1.5384615384615385"/>
    <n v="0"/>
    <m/>
  </r>
  <r>
    <s v="NESTLE PURINA"/>
    <x v="2"/>
    <x v="1"/>
    <s v="AGRO/PSHOP/VET"/>
    <n v="435142"/>
    <x v="10"/>
    <s v="CE - Lo primero que ofrece el asesor es la marca Pro Plan?"/>
    <s v="SI"/>
    <m/>
    <n v="27593677"/>
    <s v="NestleP.1"/>
    <x v="1"/>
    <x v="3"/>
    <n v="1.5384615384615385"/>
    <s v="SI"/>
    <n v="1.5384615384615385"/>
    <n v="0"/>
    <m/>
  </r>
  <r>
    <s v="NESTLE PURINA"/>
    <x v="2"/>
    <x v="1"/>
    <s v="AGRO/PSHOP/VET"/>
    <n v="435142"/>
    <x v="10"/>
    <s v="SELECCIONE EL CANAL DEL PDV QUE EVALUA"/>
    <s v=" ESPECIALIZADO"/>
    <m/>
    <n v="27593677"/>
    <s v="NestleP.1"/>
    <x v="1"/>
    <x v="0"/>
    <n v="0"/>
    <s v="MODERNO, ESPECIALIZADO"/>
    <n v="0"/>
    <n v="0"/>
    <m/>
  </r>
  <r>
    <s v="NESTLE PURINA"/>
    <x v="2"/>
    <x v="1"/>
    <s v="AGRO/PSHOP/VET"/>
    <n v="435142"/>
    <x v="10"/>
    <s v="OFRECIO ALGUN PRODUCTO PORTAFOLIO PURINA DE PRODUCTOS HUMEDOS, SNACK U OTROS COMUNICANDO LOS BENEFICIOS DEL PRODUCTO (Dog chow húmedo, Cat chow húmedo, Fancy Feast, Felix, Proplan Húmedo, One Húmedo) Snacks (Abrazzos, Dentalife) Arenilla (Tidy Cat)"/>
    <s v="SI"/>
    <m/>
    <n v="27593677"/>
    <s v="NestleP.1"/>
    <x v="1"/>
    <x v="3"/>
    <n v="1.5384615384615385"/>
    <s v="SI"/>
    <n v="1.5384615384615385"/>
    <n v="0"/>
    <m/>
  </r>
  <r>
    <s v="NESTLE PURINA"/>
    <x v="2"/>
    <x v="1"/>
    <s v="AGRO/PSHOP/VET"/>
    <n v="435142"/>
    <x v="10"/>
    <s v="OFRECIO ALGUN PRODUCTO DEL PORTAFOLIO PURINA DE PRODUCTOS SECOS COMUNICANDO LOS BENEFICIOS DEL PRODUCTO (DOG CHOW, CAT CHOW,_x000a_ALPO, GATSY,FELIX)"/>
    <s v="NO"/>
    <m/>
    <n v="27593677"/>
    <s v="NestleP.1"/>
    <x v="1"/>
    <x v="3"/>
    <n v="1.5384615384615385"/>
    <s v="SI"/>
    <n v="0"/>
    <n v="0"/>
    <m/>
  </r>
  <r>
    <s v="NESTLE PURINA"/>
    <x v="2"/>
    <x v="1"/>
    <s v="AGRO/PSHOP/VET"/>
    <n v="435142"/>
    <x v="10"/>
    <s v="SE PRODUCE ABORDO PROACTIVO (antes de los 3 min)"/>
    <s v="SI"/>
    <m/>
    <n v="27593677"/>
    <s v="NestleP.1"/>
    <x v="1"/>
    <x v="2"/>
    <n v="20"/>
    <s v="SI"/>
    <n v="20"/>
    <n v="0"/>
    <m/>
  </r>
  <r>
    <s v="NESTLE PURINA"/>
    <x v="2"/>
    <x v="1"/>
    <s v="AGRO/PSHOP/VET"/>
    <n v="435142"/>
    <x v="10"/>
    <s v="USA ACCESORIOS QUE NO CUMPLE CON EL CODIGO DE VESTIMENTA"/>
    <s v="NO"/>
    <m/>
    <n v="27593677"/>
    <s v="NestleP.1"/>
    <x v="1"/>
    <x v="1"/>
    <n v="1.3636363636363635"/>
    <s v="NO"/>
    <n v="1.3636363636363635"/>
    <n v="0"/>
    <m/>
  </r>
  <r>
    <s v="NESTLE PURINA"/>
    <x v="2"/>
    <x v="1"/>
    <s v="AGRO/PSHOP/VET"/>
    <n v="435142"/>
    <x v="10"/>
    <s v="TIENE UÑAS LLAMATIVAS Y/O LARGAS QUE NO CUMPLE CON EL CODIGO DE VESTIMENTA"/>
    <s v="NO"/>
    <m/>
    <n v="27593677"/>
    <s v="NestleP.1"/>
    <x v="1"/>
    <x v="1"/>
    <n v="1.3636363636363635"/>
    <s v="NO"/>
    <n v="1.3636363636363635"/>
    <n v="0"/>
    <m/>
  </r>
  <r>
    <s v="NESTLE PURINA"/>
    <x v="2"/>
    <x v="1"/>
    <s v="AGRO/PSHOP/VET"/>
    <n v="435142"/>
    <x v="10"/>
    <s v="TIENE TATUAJES O PIERCINGS VISIBLES QUE NO CUMPLE CON EL CODIGO DE VESTIMENTA"/>
    <s v="NO"/>
    <m/>
    <n v="27593677"/>
    <s v="NestleP.1"/>
    <x v="1"/>
    <x v="1"/>
    <n v="1.3636363636363635"/>
    <s v="NO"/>
    <n v="1.3636363636363635"/>
    <n v="0"/>
    <m/>
  </r>
  <r>
    <s v="NESTLE PURINA"/>
    <x v="2"/>
    <x v="1"/>
    <s v="AGRO/PSHOP/VET"/>
    <n v="435142"/>
    <x v="10"/>
    <s v="PRESENTA EXCESO DE MAQUILLAJE QUE NO CUMPLE CON EL CODIGO DE VESTIMENTA"/>
    <s v="NO"/>
    <m/>
    <n v="27593677"/>
    <s v="NestleP.1"/>
    <x v="1"/>
    <x v="1"/>
    <n v="1.3636363636363635"/>
    <s v="NO"/>
    <n v="1.3636363636363635"/>
    <n v="0"/>
    <m/>
  </r>
  <r>
    <s v="NESTLE PURINA"/>
    <x v="2"/>
    <x v="1"/>
    <s v="AGRO/PSHOP/VET"/>
    <n v="435142"/>
    <x v="10"/>
    <s v="SU CABELLO LUCE LIMPIO, ORGANIZADO O RECOGIDO"/>
    <s v="SI"/>
    <m/>
    <n v="27593677"/>
    <s v="NestleP.1"/>
    <x v="1"/>
    <x v="1"/>
    <n v="1.3636363636363635"/>
    <s v="SI"/>
    <n v="1.3636363636363635"/>
    <n v="0"/>
    <m/>
  </r>
  <r>
    <s v="NESTLE PURINA"/>
    <x v="2"/>
    <x v="1"/>
    <s v="AGRO/PSHOP/VET"/>
    <n v="435142"/>
    <x v="10"/>
    <s v="EL UNIFORME Y ZAPATOS SE ENCUENTRAN LIMPIOS Y EN BUEN ESTADO"/>
    <s v="SI"/>
    <m/>
    <n v="27593677"/>
    <s v="NestleP.1"/>
    <x v="1"/>
    <x v="1"/>
    <n v="1.3636363636363635"/>
    <s v="SI"/>
    <n v="1.3636363636363635"/>
    <n v="0"/>
    <m/>
  </r>
  <r>
    <s v="NESTLE PURINA"/>
    <x v="2"/>
    <x v="1"/>
    <s v="AGRO/PSHOP/VET"/>
    <n v="435142"/>
    <x v="10"/>
    <s v="POSEE ALGUNA PRENDA ENCIMA DEL UNIFORME NO AUTORIZADA POR LA MARCA (Unicamente esta permitido chaleco de Sodimac y Easy)"/>
    <s v="NO"/>
    <m/>
    <n v="27593677"/>
    <s v="NestleP.1"/>
    <x v="1"/>
    <x v="1"/>
    <n v="1.3636363636363635"/>
    <s v="NO"/>
    <n v="1.3636363636363635"/>
    <n v="0"/>
    <m/>
  </r>
  <r>
    <s v="NESTLE PURINA"/>
    <x v="2"/>
    <x v="1"/>
    <s v="AGRO/PSHOP/VET"/>
    <n v="435142"/>
    <x v="10"/>
    <s v="CUENTA CON CALZADO DE ACUERDO AL UNIFORME"/>
    <s v="SI"/>
    <m/>
    <n v="27593677"/>
    <s v="NestleP.1"/>
    <x v="1"/>
    <x v="1"/>
    <n v="1.3636363636363635"/>
    <s v="SI"/>
    <n v="1.3636363636363635"/>
    <n v="0"/>
    <m/>
  </r>
  <r>
    <s v="NESTLE PURINA"/>
    <x v="2"/>
    <x v="1"/>
    <s v="AGRO/PSHOP/VET"/>
    <n v="435142"/>
    <x v="10"/>
    <s v="CUENTA CON CAMISA DEL UNIFORME Y LOGOS SEGÚN EL CARGO (NEGRA / GRIS / ROJA / TURQUESA) (Es permitido usar debajo de la camisa buso manga larga Negro)"/>
    <s v="SI"/>
    <m/>
    <n v="27593677"/>
    <s v="NestleP.1"/>
    <x v="1"/>
    <x v="1"/>
    <n v="1.3636363636363635"/>
    <s v="SI"/>
    <n v="1.3636363636363635"/>
    <n v="0"/>
    <m/>
  </r>
  <r>
    <s v="NESTLE PURINA"/>
    <x v="2"/>
    <x v="0"/>
    <s v="JUMBO"/>
    <n v="406974"/>
    <x v="7"/>
    <s v="¿CUMPLE HORARIO DE ENTRADA O SALIDA DE LA TIENDA?"/>
    <s v="SI"/>
    <m/>
    <n v="27684336"/>
    <s v="NestleP.2"/>
    <x v="1"/>
    <x v="4"/>
    <n v="20"/>
    <s v="SI"/>
    <n v="20"/>
    <n v="0"/>
    <m/>
  </r>
  <r>
    <s v="NESTLE PURINA"/>
    <x v="2"/>
    <x v="0"/>
    <s v="JUMBO"/>
    <n v="12565"/>
    <x v="8"/>
    <s v="CONSIDERO QUE INDEPENDIENTEMENTE DEL SPEECH, LA LABOR DE VENTA ES BUENA"/>
    <s v="SI"/>
    <m/>
    <n v="27689425"/>
    <s v="NestleP.1"/>
    <x v="1"/>
    <x v="6"/>
    <n v="7.5"/>
    <s v="SI"/>
    <n v="7.5"/>
    <n v="0"/>
    <m/>
  </r>
  <r>
    <s v="NESTLE PURINA"/>
    <x v="2"/>
    <x v="0"/>
    <s v="EXITO"/>
    <n v="442719"/>
    <x v="9"/>
    <s v="CONSIDERO QUE INDEPENDIENTEMENTE DEL SPEECH, LA LABOR DE VENTA ES BUENA"/>
    <s v="SI"/>
    <m/>
    <n v="27486785"/>
    <s v="NestleP.2"/>
    <x v="1"/>
    <x v="6"/>
    <n v="7.5"/>
    <s v="SI"/>
    <n v="7.5"/>
    <n v="0"/>
    <m/>
  </r>
  <r>
    <s v="NESTLE PURINA"/>
    <x v="2"/>
    <x v="0"/>
    <s v="EXITO"/>
    <n v="442719"/>
    <x v="9"/>
    <s v="SE ENCUENTRA LIMPIA EL AREA DE DEMOSTRACION"/>
    <s v="SI"/>
    <m/>
    <n v="27486785"/>
    <s v="NestleP.2"/>
    <x v="1"/>
    <x v="1"/>
    <n v="1.3636363636363635"/>
    <s v="SI"/>
    <n v="1.3636363636363635"/>
    <n v="0"/>
    <m/>
  </r>
  <r>
    <s v="NESTLE PURINA"/>
    <x v="2"/>
    <x v="1"/>
    <s v="EXITO"/>
    <n v="108903"/>
    <x v="11"/>
    <s v="POSEE ALGUNA PRENDA ENCIMA DEL UNIFORME NO AUTORIZADA POR LA MARCA (Unicamente esta permitido chaleco de Sodimac y Easy)"/>
    <s v="NO"/>
    <m/>
    <n v="27450345"/>
    <s v="NestleP.2"/>
    <x v="1"/>
    <x v="1"/>
    <n v="1.3636363636363635"/>
    <s v="NO"/>
    <n v="1.3636363636363635"/>
    <n v="0"/>
    <m/>
  </r>
  <r>
    <s v="NESTLE PURINA"/>
    <x v="2"/>
    <x v="1"/>
    <s v="EXITO"/>
    <n v="108903"/>
    <x v="11"/>
    <s v="CUENTA CON CALZADO DE ACUERDO AL UNIFORME"/>
    <s v="SI"/>
    <m/>
    <n v="27450345"/>
    <s v="NestleP.2"/>
    <x v="1"/>
    <x v="1"/>
    <n v="1.3636363636363635"/>
    <s v="SI"/>
    <n v="1.3636363636363635"/>
    <n v="0"/>
    <m/>
  </r>
  <r>
    <s v="NESTLE PURINA"/>
    <x v="2"/>
    <x v="1"/>
    <s v="EXITO"/>
    <n v="108903"/>
    <x v="11"/>
    <s v="CUENTA CON CAMISA DEL UNIFORME Y LOGOS SEGÚN EL CARGO (NEGRA / GRIS / ROJA / TURQUESA) (Es permitido usar debajo de la camisa buso manga larga Negro)"/>
    <s v="SI"/>
    <m/>
    <n v="27450345"/>
    <s v="NestleP.2"/>
    <x v="1"/>
    <x v="1"/>
    <n v="1.3636363636363635"/>
    <s v="SI"/>
    <n v="1.3636363636363635"/>
    <n v="0"/>
    <m/>
  </r>
  <r>
    <s v="NESTLE PURINA"/>
    <x v="2"/>
    <x v="1"/>
    <s v="EXITO"/>
    <n v="108903"/>
    <x v="11"/>
    <s v="CUENTA CON PANTALON DEL UNIFORME SEGÚN EL CARGO (NEGRO / ROJO / TURQUESA / JEAN)"/>
    <s v="SI"/>
    <m/>
    <n v="27450345"/>
    <s v="NestleP.2"/>
    <x v="1"/>
    <x v="1"/>
    <n v="1.3636363636363635"/>
    <s v="SI"/>
    <n v="1.3636363636363635"/>
    <n v="0"/>
    <m/>
  </r>
  <r>
    <s v="NESTLE PURINA"/>
    <x v="2"/>
    <x v="1"/>
    <s v="EXITO"/>
    <n v="108903"/>
    <x v="11"/>
    <s v="¿CUMPLE HORARIO DE ENTRADA O SALIDA DE LA TIENDA?"/>
    <s v="SI"/>
    <m/>
    <n v="27450345"/>
    <s v="NestleP.2"/>
    <x v="1"/>
    <x v="4"/>
    <n v="20"/>
    <s v="SI"/>
    <n v="20"/>
    <n v="0"/>
    <m/>
  </r>
  <r>
    <s v="NESTLE PURINA"/>
    <x v="2"/>
    <x v="1"/>
    <s v="EXITO"/>
    <n v="108903"/>
    <x v="11"/>
    <s v="SE LOGRA REALIZAR EL MYSTERY?"/>
    <s v="SI"/>
    <m/>
    <n v="27450345"/>
    <s v="NestleP.2"/>
    <x v="1"/>
    <x v="0"/>
    <n v="0"/>
    <n v="0"/>
    <n v="0"/>
    <n v="0"/>
    <m/>
  </r>
  <r>
    <s v="NESTLE PURINA"/>
    <x v="2"/>
    <x v="0"/>
    <s v="EXITO"/>
    <n v="12394"/>
    <x v="12"/>
    <s v="INDIQUE OBSERVACION Y/O NOVEDAD DEL MYSTERY REALIZADO"/>
    <s v="Se visita el pdv en horario asignado,  se espera pero nunca llegó,  de graba video 1 y 2 "/>
    <m/>
    <n v="27444590"/>
    <s v="NestleP.2"/>
    <x v="0"/>
    <x v="0"/>
    <n v="0"/>
    <n v="0"/>
    <n v="0"/>
    <n v="0"/>
    <m/>
  </r>
  <r>
    <s v="NESTLE PURINA"/>
    <x v="2"/>
    <x v="0"/>
    <s v="EXITO"/>
    <n v="12394"/>
    <x v="12"/>
    <s v="DESEA AÑADIR ALGUNA OBSERVACION Y/O NOVEDAD DEL MYSTERY REALIZADO?"/>
    <s v="SI"/>
    <m/>
    <n v="27444590"/>
    <s v="NestleP.2"/>
    <x v="0"/>
    <x v="0"/>
    <n v="0"/>
    <n v="0"/>
    <n v="0"/>
    <n v="0"/>
    <m/>
  </r>
  <r>
    <s v="NESTLE PURINA"/>
    <x v="2"/>
    <x v="0"/>
    <s v="EXITO"/>
    <n v="12394"/>
    <x v="12"/>
    <s v="CONSIDERO QUE INDEPENDIENTEMENTE DEL SPEECH, LA LABOR DE VENTA ES BUENA"/>
    <s v="NO"/>
    <m/>
    <n v="27444590"/>
    <s v="NestleP.2"/>
    <x v="0"/>
    <x v="0"/>
    <n v="0"/>
    <s v="SI"/>
    <n v="0"/>
    <n v="0"/>
    <m/>
  </r>
  <r>
    <s v="NESTLE PURINA"/>
    <x v="2"/>
    <x v="0"/>
    <s v="EXITO"/>
    <n v="12394"/>
    <x v="12"/>
    <s v="REALIZA CIERRE DE VENTA"/>
    <s v="NO"/>
    <m/>
    <n v="27444590"/>
    <s v="NestleP.2"/>
    <x v="0"/>
    <x v="0"/>
    <n v="0"/>
    <s v="SI"/>
    <n v="0"/>
    <n v="0"/>
    <m/>
  </r>
  <r>
    <s v="NESTLE PURINA"/>
    <x v="2"/>
    <x v="0"/>
    <s v="EXITO"/>
    <n v="12394"/>
    <x v="12"/>
    <s v="SE ENCUENTRA LIMPIA EL AREA DE DEMOSTRACION"/>
    <s v="NO"/>
    <m/>
    <n v="27444590"/>
    <s v="NestleP.2"/>
    <x v="0"/>
    <x v="0"/>
    <n v="0"/>
    <s v="SI"/>
    <n v="0"/>
    <n v="0"/>
    <m/>
  </r>
  <r>
    <s v="NESTLE PURINA"/>
    <x v="2"/>
    <x v="0"/>
    <s v="EXITO"/>
    <n v="12394"/>
    <x v="12"/>
    <s v="RESUELVE LA OBJECION SATISFACTORIAMENTE?"/>
    <s v="NO"/>
    <m/>
    <n v="27444590"/>
    <s v="NestleP.2"/>
    <x v="0"/>
    <x v="0"/>
    <n v="0"/>
    <s v="SI"/>
    <n v="0"/>
    <n v="0"/>
    <m/>
  </r>
  <r>
    <s v="NESTLE PURINA"/>
    <x v="2"/>
    <x v="0"/>
    <s v="EXITO"/>
    <n v="12394"/>
    <x v="12"/>
    <s v="INDIQUE QUE TIPO DE OBJECION / DUDA MANIFESTÓ"/>
    <s v=" NO LE INTERESA EL PRODUCTO"/>
    <m/>
    <n v="27444590"/>
    <s v="NestleP.2"/>
    <x v="0"/>
    <x v="0"/>
    <n v="0"/>
    <s v="FALTA DE PRODUCTO, NO LE INTERESA EL PRODUCTO, NO TIENE DINERO, PREFIERE LA COMPETENCIA"/>
    <n v="0"/>
    <n v="0"/>
    <m/>
  </r>
  <r>
    <s v="NESTLE PURINA"/>
    <x v="2"/>
    <x v="1"/>
    <s v="EXITO"/>
    <n v="108903"/>
    <x v="11"/>
    <s v="EL UNIFORME Y ZAPATOS SE ENCUENTRAN LIMPIOS Y EN BUEN ESTADO"/>
    <s v="SI"/>
    <m/>
    <n v="27450345"/>
    <s v="NestleP.2"/>
    <x v="1"/>
    <x v="1"/>
    <n v="1.3636363636363635"/>
    <s v="SI"/>
    <n v="1.3636363636363635"/>
    <n v="0"/>
    <m/>
  </r>
  <r>
    <s v="NESTLE PURINA"/>
    <x v="2"/>
    <x v="0"/>
    <s v="EXITO"/>
    <n v="12394"/>
    <x v="12"/>
    <s v="CM - Dan a conocer al cliente la actividad del &quot;EVENTO CORPORATIVO DE OLIMPICA JUNIO&quot;?"/>
    <s v="NO"/>
    <m/>
    <n v="27444590"/>
    <s v="NestleP.2"/>
    <x v="0"/>
    <x v="0"/>
    <n v="0"/>
    <s v="SI"/>
    <n v="0"/>
    <n v="0"/>
    <m/>
  </r>
  <r>
    <s v="NESTLE PURINA"/>
    <x v="2"/>
    <x v="0"/>
    <s v="EXITO"/>
    <n v="12394"/>
    <x v="12"/>
    <s v="CM - Maneja la objeción de alto precio en las marcas Purina, comunicando la baja de precios de las marcas o las ofertas disponibles en el punto de venta."/>
    <s v="NO"/>
    <m/>
    <n v="27444590"/>
    <s v="NestleP.2"/>
    <x v="0"/>
    <x v="0"/>
    <n v="0"/>
    <s v="SI"/>
    <n v="0"/>
    <n v="0"/>
    <m/>
  </r>
  <r>
    <s v="NESTLE PURINA"/>
    <x v="2"/>
    <x v="0"/>
    <s v="EXITO"/>
    <n v="12394"/>
    <x v="12"/>
    <s v="CM - MENCIONA QUE PURINA ONE CUENTA CON ALIMENTO HUMEDO Y MENCIONA LAS 3 VARIADADES QUE TIENE ( SUPER FOODS, SUPER NUTRIENTES Y MULTI PROTEINAS); APLICA TANTO PARA PERRO COMO PARA GATO"/>
    <s v="NO"/>
    <m/>
    <n v="27444590"/>
    <s v="NestleP.2"/>
    <x v="0"/>
    <x v="0"/>
    <n v="0"/>
    <s v="SI"/>
    <n v="0"/>
    <n v="0"/>
    <m/>
  </r>
  <r>
    <s v="NESTLE PURINA"/>
    <x v="2"/>
    <x v="0"/>
    <s v="EXITO"/>
    <n v="12394"/>
    <x v="12"/>
    <s v="CM - MENCIONA QUE TIENE CARNE DE VERDAD COMO INGREDIENTE NO.1 E INGREDIENTES NATURALES Y FUNCIONALES?"/>
    <s v="NO"/>
    <m/>
    <n v="27444590"/>
    <s v="NestleP.2"/>
    <x v="0"/>
    <x v="0"/>
    <n v="0"/>
    <s v="SI"/>
    <n v="0"/>
    <n v="0"/>
    <m/>
  </r>
  <r>
    <s v="NESTLE PURINA"/>
    <x v="2"/>
    <x v="0"/>
    <s v="EXITO"/>
    <n v="12394"/>
    <x v="12"/>
    <s v="CM - MENCIONA QUE LOS RESULTADOS DE PURINA ONE SON VISIBLES EN 28 DIAS?"/>
    <s v="NO"/>
    <m/>
    <n v="27444590"/>
    <s v="NestleP.2"/>
    <x v="0"/>
    <x v="0"/>
    <n v="0"/>
    <s v="SI"/>
    <n v="0"/>
    <n v="0"/>
    <m/>
  </r>
  <r>
    <s v="NESTLE PURINA"/>
    <x v="2"/>
    <x v="0"/>
    <s v="EXITO"/>
    <n v="12394"/>
    <x v="12"/>
    <s v="CM - OFRECE PURINA ONE?"/>
    <s v="NO"/>
    <m/>
    <n v="27444590"/>
    <s v="NestleP.2"/>
    <x v="0"/>
    <x v="0"/>
    <n v="0"/>
    <s v="SI"/>
    <n v="0"/>
    <n v="0"/>
    <m/>
  </r>
  <r>
    <s v="NESTLE PURINA"/>
    <x v="2"/>
    <x v="0"/>
    <s v="EXITO"/>
    <n v="12394"/>
    <x v="12"/>
    <s v="SELECCIONE EL CANAL DEL PDV QUE EVALUA"/>
    <s v="MODERNO"/>
    <m/>
    <n v="27444590"/>
    <s v="NestleP.2"/>
    <x v="0"/>
    <x v="0"/>
    <n v="0"/>
    <s v="MODERNO, ESPECIALIZADO"/>
    <n v="0"/>
    <n v="0"/>
    <m/>
  </r>
  <r>
    <s v="NESTLE PURINA"/>
    <x v="2"/>
    <x v="0"/>
    <s v="EXITO"/>
    <n v="12394"/>
    <x v="12"/>
    <s v="OFRECIO ALGUN PRODUCTO PORTAFOLIO PURINA DE PRODUCTOS HUMEDOS, SNACK U OTROS COMUNICANDO LOS BENEFICIOS DEL PRODUCTO (Dog chow húmedo, Cat chow húmedo, Fancy Feast, Felix, Proplan Húmedo, One Húmedo) Snacks (Abrazzos, Dentalife) Arenilla (Tidy Cat)"/>
    <s v="NO"/>
    <m/>
    <n v="27444590"/>
    <s v="NestleP.2"/>
    <x v="0"/>
    <x v="0"/>
    <n v="0"/>
    <s v="SI"/>
    <n v="0"/>
    <n v="0"/>
    <m/>
  </r>
  <r>
    <s v="NESTLE PURINA"/>
    <x v="2"/>
    <x v="0"/>
    <s v="EXITO"/>
    <n v="12394"/>
    <x v="12"/>
    <s v="OFRECIO ALGUN PRODUCTO DEL PORTAFOLIO PURINA DE PRODUCTOS SECOS COMUNICANDO LOS BENEFICIOS DEL PRODUCTO (DOG CHOW, CAT CHOW,_x000a_ALPO, GATSY,FELIX)"/>
    <s v="NO"/>
    <m/>
    <n v="27444590"/>
    <s v="NestleP.2"/>
    <x v="0"/>
    <x v="0"/>
    <n v="0"/>
    <s v="SI"/>
    <n v="0"/>
    <n v="0"/>
    <m/>
  </r>
  <r>
    <s v="NESTLE PURINA"/>
    <x v="2"/>
    <x v="0"/>
    <s v="EXITO"/>
    <n v="12394"/>
    <x v="12"/>
    <s v="SE PRODUCE ABORDO PROACTIVO (antes de los 3 min)"/>
    <s v="NO"/>
    <m/>
    <n v="27444590"/>
    <s v="NestleP.2"/>
    <x v="0"/>
    <x v="0"/>
    <n v="0"/>
    <s v="SI"/>
    <n v="0"/>
    <n v="0"/>
    <m/>
  </r>
  <r>
    <s v="NESTLE PURINA"/>
    <x v="2"/>
    <x v="0"/>
    <s v="EXITO"/>
    <n v="12394"/>
    <x v="12"/>
    <s v="USA ACCESORIOS QUE NO CUMPLE CON EL CODIGO DE VESTIMENTA"/>
    <s v="NO"/>
    <m/>
    <n v="27444590"/>
    <s v="NestleP.2"/>
    <x v="0"/>
    <x v="0"/>
    <n v="0"/>
    <s v="NO"/>
    <n v="0"/>
    <n v="0"/>
    <m/>
  </r>
  <r>
    <s v="NESTLE PURINA"/>
    <x v="2"/>
    <x v="0"/>
    <s v="EXITO"/>
    <n v="12394"/>
    <x v="12"/>
    <s v="TIENE UÑAS LLAMATIVAS Y/O LARGAS QUE NO CUMPLE CON EL CODIGO DE VESTIMENTA"/>
    <s v="NO"/>
    <m/>
    <n v="27444590"/>
    <s v="NestleP.2"/>
    <x v="0"/>
    <x v="0"/>
    <n v="0"/>
    <s v="NO"/>
    <n v="0"/>
    <n v="0"/>
    <m/>
  </r>
  <r>
    <s v="NESTLE PURINA"/>
    <x v="2"/>
    <x v="0"/>
    <s v="EXITO"/>
    <n v="12394"/>
    <x v="12"/>
    <s v="TIENE TATUAJES O PIERCINGS VISIBLES QUE NO CUMPLE CON EL CODIGO DE VESTIMENTA"/>
    <s v="NO"/>
    <m/>
    <n v="27444590"/>
    <s v="NestleP.2"/>
    <x v="0"/>
    <x v="0"/>
    <n v="0"/>
    <s v="NO"/>
    <n v="0"/>
    <n v="0"/>
    <m/>
  </r>
  <r>
    <s v="NESTLE PURINA"/>
    <x v="2"/>
    <x v="0"/>
    <s v="EXITO"/>
    <n v="12394"/>
    <x v="12"/>
    <s v="PRESENTA EXCESO DE MAQUILLAJE QUE NO CUMPLE CON EL CODIGO DE VESTIMENTA"/>
    <s v="NO"/>
    <m/>
    <n v="27444590"/>
    <s v="NestleP.2"/>
    <x v="0"/>
    <x v="0"/>
    <n v="0"/>
    <s v="NO"/>
    <n v="0"/>
    <n v="0"/>
    <m/>
  </r>
  <r>
    <s v="NESTLE PURINA"/>
    <x v="2"/>
    <x v="0"/>
    <s v="EXITO"/>
    <n v="12394"/>
    <x v="12"/>
    <s v="CM - Bajo la objeción de &quot;precio muy costoso&quot;, el asesor ofrece productos en el orden de la segmentación: Perros: Purina One - Dog Chow - Alpo y Gatos: Purina One - Cat Chow - Felix - Gatsy (cuando enuncia Gatsy menciona que &quot;ahora es mas sabroso&quot;)"/>
    <s v="NO"/>
    <m/>
    <n v="27444590"/>
    <s v="NestleP.2"/>
    <x v="0"/>
    <x v="0"/>
    <n v="0"/>
    <s v="SI"/>
    <n v="0"/>
    <n v="0"/>
    <m/>
  </r>
  <r>
    <s v="NESTLE PURINA"/>
    <x v="2"/>
    <x v="0"/>
    <s v="EXITO"/>
    <n v="12394"/>
    <x v="12"/>
    <s v="SU CABELLO LUCE LIMPIO, ORGANIZADO O RECOGIDO"/>
    <s v="NO"/>
    <m/>
    <n v="27444590"/>
    <s v="NestleP.2"/>
    <x v="0"/>
    <x v="0"/>
    <n v="0"/>
    <s v="SI"/>
    <n v="0"/>
    <n v="0"/>
    <m/>
  </r>
  <r>
    <s v="NESTLE PURINA"/>
    <x v="2"/>
    <x v="1"/>
    <s v="EXITO"/>
    <n v="108903"/>
    <x v="11"/>
    <s v="SU CABELLO LUCE LIMPIO, ORGANIZADO O RECOGIDO"/>
    <s v="SI"/>
    <m/>
    <n v="27450345"/>
    <s v="NestleP.2"/>
    <x v="1"/>
    <x v="1"/>
    <n v="1.3636363636363635"/>
    <s v="SI"/>
    <n v="1.3636363636363635"/>
    <n v="0"/>
    <m/>
  </r>
  <r>
    <s v="NESTLE PURINA"/>
    <x v="2"/>
    <x v="1"/>
    <s v="EXITO"/>
    <n v="108903"/>
    <x v="11"/>
    <s v="TIENE TATUAJES O PIERCINGS VISIBLES QUE NO CUMPLE CON EL CODIGO DE VESTIMENTA"/>
    <s v="NO"/>
    <m/>
    <n v="27450345"/>
    <s v="NestleP.2"/>
    <x v="1"/>
    <x v="1"/>
    <n v="1.3636363636363635"/>
    <s v="NO"/>
    <n v="1.3636363636363635"/>
    <n v="0"/>
    <m/>
  </r>
  <r>
    <s v="NESTLE PURINA"/>
    <x v="2"/>
    <x v="1"/>
    <s v="EXITO"/>
    <n v="454996"/>
    <x v="13"/>
    <s v="TIENE UÑAS LLAMATIVAS Y/O LARGAS QUE NO CUMPLE CON EL CODIGO DE VESTIMENTA"/>
    <s v="NO"/>
    <m/>
    <n v="27453760"/>
    <s v="NestleP.2"/>
    <x v="0"/>
    <x v="0"/>
    <n v="0"/>
    <s v="NO"/>
    <n v="0"/>
    <n v="0"/>
    <m/>
  </r>
  <r>
    <s v="NESTLE PURINA"/>
    <x v="2"/>
    <x v="1"/>
    <s v="EXITO"/>
    <n v="454996"/>
    <x v="13"/>
    <s v="TIENE TATUAJES O PIERCINGS VISIBLES QUE NO CUMPLE CON EL CODIGO DE VESTIMENTA"/>
    <s v="NO"/>
    <m/>
    <n v="27453760"/>
    <s v="NestleP.2"/>
    <x v="0"/>
    <x v="0"/>
    <n v="0"/>
    <s v="NO"/>
    <n v="0"/>
    <n v="0"/>
    <m/>
  </r>
  <r>
    <s v="NESTLE PURINA"/>
    <x v="2"/>
    <x v="1"/>
    <s v="EXITO"/>
    <n v="454996"/>
    <x v="13"/>
    <s v="PRESENTA EXCESO DE MAQUILLAJE QUE NO CUMPLE CON EL CODIGO DE VESTIMENTA"/>
    <s v="NO"/>
    <m/>
    <n v="27453760"/>
    <s v="NestleP.2"/>
    <x v="0"/>
    <x v="0"/>
    <n v="0"/>
    <s v="NO"/>
    <n v="0"/>
    <n v="0"/>
    <m/>
  </r>
  <r>
    <s v="NESTLE PURINA"/>
    <x v="2"/>
    <x v="1"/>
    <s v="EXITO"/>
    <n v="454996"/>
    <x v="13"/>
    <s v="SU CABELLO LUCE LIMPIO, ORGANIZADO O RECOGIDO"/>
    <s v="NO"/>
    <m/>
    <n v="27453760"/>
    <s v="NestleP.2"/>
    <x v="0"/>
    <x v="0"/>
    <n v="0"/>
    <s v="SI"/>
    <n v="0"/>
    <n v="0"/>
    <m/>
  </r>
  <r>
    <s v="NESTLE PURINA"/>
    <x v="2"/>
    <x v="1"/>
    <s v="EXITO"/>
    <n v="454996"/>
    <x v="13"/>
    <s v="EL UNIFORME Y ZAPATOS SE ENCUENTRAN LIMPIOS Y EN BUEN ESTADO"/>
    <s v="NO"/>
    <m/>
    <n v="27453760"/>
    <s v="NestleP.2"/>
    <x v="0"/>
    <x v="0"/>
    <n v="0"/>
    <s v="SI"/>
    <n v="0"/>
    <n v="0"/>
    <m/>
  </r>
  <r>
    <s v="NESTLE PURINA"/>
    <x v="2"/>
    <x v="1"/>
    <s v="EXITO"/>
    <n v="454996"/>
    <x v="13"/>
    <s v="POSEE ALGUNA PRENDA ENCIMA DEL UNIFORME NO AUTORIZADA POR LA MARCA (Unicamente esta permitido chaleco de Sodimac y Easy)"/>
    <s v="NO"/>
    <m/>
    <n v="27453760"/>
    <s v="NestleP.2"/>
    <x v="0"/>
    <x v="0"/>
    <n v="0"/>
    <s v="NO"/>
    <n v="0"/>
    <n v="0"/>
    <m/>
  </r>
  <r>
    <s v="NESTLE PURINA"/>
    <x v="2"/>
    <x v="1"/>
    <s v="EXITO"/>
    <n v="454996"/>
    <x v="13"/>
    <s v="CUENTA CON CALZADO DE ACUERDO AL UNIFORME"/>
    <s v="NO"/>
    <m/>
    <n v="27453760"/>
    <s v="NestleP.2"/>
    <x v="0"/>
    <x v="0"/>
    <n v="0"/>
    <s v="SI"/>
    <n v="0"/>
    <n v="0"/>
    <m/>
  </r>
  <r>
    <s v="NESTLE PURINA"/>
    <x v="2"/>
    <x v="1"/>
    <s v="EXITO"/>
    <n v="454996"/>
    <x v="13"/>
    <s v="CUENTA CON CAMISA DEL UNIFORME Y LOGOS SEGÚN EL CARGO (NEGRA / GRIS / ROJA / TURQUESA) (Es permitido usar debajo de la camisa buso manga larga Negro)"/>
    <s v="NO"/>
    <m/>
    <n v="27453760"/>
    <s v="NestleP.2"/>
    <x v="0"/>
    <x v="0"/>
    <n v="0"/>
    <s v="SI"/>
    <n v="0"/>
    <n v="0"/>
    <m/>
  </r>
  <r>
    <s v="NESTLE PURINA"/>
    <x v="2"/>
    <x v="1"/>
    <s v="EXITO"/>
    <n v="454996"/>
    <x v="13"/>
    <s v="CUENTA CON PANTALON DEL UNIFORME SEGÚN EL CARGO (NEGRO / ROJO / TURQUESA / JEAN)"/>
    <s v="NO"/>
    <m/>
    <n v="27453760"/>
    <s v="NestleP.2"/>
    <x v="0"/>
    <x v="0"/>
    <n v="0"/>
    <s v="SI"/>
    <n v="0"/>
    <n v="0"/>
    <m/>
  </r>
  <r>
    <s v="NESTLE PURINA"/>
    <x v="2"/>
    <x v="1"/>
    <s v="EXITO"/>
    <n v="454996"/>
    <x v="13"/>
    <s v="¿CUMPLE HORARIO DE ENTRADA O SALIDA DE LA TIENDA?"/>
    <s v="NO"/>
    <m/>
    <n v="27453760"/>
    <s v="NestleP.2"/>
    <x v="0"/>
    <x v="0"/>
    <n v="0"/>
    <s v="SI"/>
    <n v="0"/>
    <n v="0"/>
    <m/>
  </r>
  <r>
    <s v="NESTLE PURINA"/>
    <x v="2"/>
    <x v="1"/>
    <s v="EXITO"/>
    <n v="454996"/>
    <x v="13"/>
    <s v="SE LOGRA REALIZAR EL MYSTERY?"/>
    <s v="NO"/>
    <m/>
    <n v="27453760"/>
    <s v="NestleP.2"/>
    <x v="0"/>
    <x v="0"/>
    <n v="0"/>
    <n v="0"/>
    <n v="0"/>
    <n v="0"/>
    <m/>
  </r>
  <r>
    <s v="NESTLE PURINA"/>
    <x v="2"/>
    <x v="1"/>
    <s v="EXITO"/>
    <n v="108903"/>
    <x v="11"/>
    <s v="DESEA AÑADIR ALGUNA OBSERVACION Y/O NOVEDAD DEL MYSTERY REALIZADO?"/>
    <s v="NO"/>
    <m/>
    <n v="27450345"/>
    <s v="NestleP.2"/>
    <x v="1"/>
    <x v="0"/>
    <n v="0"/>
    <n v="0"/>
    <n v="0"/>
    <n v="0"/>
    <m/>
  </r>
  <r>
    <s v="NESTLE PURINA"/>
    <x v="2"/>
    <x v="1"/>
    <s v="EXITO"/>
    <n v="108903"/>
    <x v="11"/>
    <s v="CONSIDERO QUE INDEPENDIENTEMENTE DEL SPEECH, LA LABOR DE VENTA ES BUENA"/>
    <s v="SI"/>
    <m/>
    <n v="27450345"/>
    <s v="NestleP.2"/>
    <x v="1"/>
    <x v="6"/>
    <n v="7.5"/>
    <s v="SI"/>
    <n v="7.5"/>
    <n v="0"/>
    <m/>
  </r>
  <r>
    <s v="NESTLE PURINA"/>
    <x v="2"/>
    <x v="1"/>
    <s v="EXITO"/>
    <n v="108903"/>
    <x v="11"/>
    <s v="PRESENTA EXCESO DE MAQUILLAJE QUE NO CUMPLE CON EL CODIGO DE VESTIMENTA"/>
    <s v="NO"/>
    <m/>
    <n v="27450345"/>
    <s v="NestleP.2"/>
    <x v="1"/>
    <x v="1"/>
    <n v="1.3636363636363635"/>
    <s v="NO"/>
    <n v="1.3636363636363635"/>
    <n v="0"/>
    <m/>
  </r>
  <r>
    <s v="NESTLE PURINA"/>
    <x v="2"/>
    <x v="1"/>
    <s v="EXITO"/>
    <n v="108903"/>
    <x v="11"/>
    <s v="REALIZA CIERRE DE VENTA"/>
    <s v="SI"/>
    <m/>
    <n v="27450345"/>
    <s v="NestleP.2"/>
    <x v="1"/>
    <x v="6"/>
    <n v="7.5"/>
    <s v="SI"/>
    <n v="7.5"/>
    <n v="0"/>
    <m/>
  </r>
  <r>
    <s v="NESTLE PURINA"/>
    <x v="2"/>
    <x v="1"/>
    <s v="EXITO"/>
    <n v="108903"/>
    <x v="11"/>
    <s v="RESUELVE LA OBJECION SATISFACTORIAMENTE?"/>
    <s v="SI"/>
    <m/>
    <n v="27450345"/>
    <s v="NestleP.2"/>
    <x v="1"/>
    <x v="3"/>
    <n v="1.5384615384615385"/>
    <s v="SI"/>
    <n v="1.5384615384615385"/>
    <n v="0"/>
    <m/>
  </r>
  <r>
    <s v="NESTLE PURINA"/>
    <x v="2"/>
    <x v="1"/>
    <s v="EXITO"/>
    <n v="108903"/>
    <x v="11"/>
    <s v="INDIQUE QUE TIPO DE OBJECION / DUDA MANIFESTÓ"/>
    <s v=" NO TIENE DINERO"/>
    <m/>
    <n v="27450345"/>
    <s v="NestleP.2"/>
    <x v="1"/>
    <x v="0"/>
    <n v="0"/>
    <s v="FALTA DE PRODUCTO, NO LE INTERESA EL PRODUCTO, NO TIENE DINERO, PREFIERE LA COMPETENCIA"/>
    <n v="0"/>
    <n v="0"/>
    <m/>
  </r>
  <r>
    <s v="NESTLE PURINA"/>
    <x v="2"/>
    <x v="1"/>
    <s v="EXITO"/>
    <n v="108903"/>
    <x v="11"/>
    <s v="CE - Ofrece producto humedo y comunica la dinamica de multiprice (por la compra de mas cantidades tiene descuento)"/>
    <s v="NO"/>
    <m/>
    <n v="27450345"/>
    <s v="NestleP.2"/>
    <x v="1"/>
    <x v="5"/>
    <n v="5"/>
    <s v="SI"/>
    <n v="0"/>
    <n v="0"/>
    <m/>
  </r>
  <r>
    <s v="NESTLE PURINA"/>
    <x v="2"/>
    <x v="1"/>
    <s v="EXITO"/>
    <n v="108903"/>
    <x v="11"/>
    <s v="CE - El asesor comunica los beneficios o caracteristicas del producto Excellent e informa que el producto cambio de imagen pero continua con la misma formula?"/>
    <s v="SI"/>
    <m/>
    <n v="27450345"/>
    <s v="NestleP.2"/>
    <x v="1"/>
    <x v="3"/>
    <n v="1.5384615384615385"/>
    <s v="SI"/>
    <n v="1.5384615384615385"/>
    <n v="0"/>
    <m/>
  </r>
  <r>
    <s v="NESTLE PURINA"/>
    <x v="2"/>
    <x v="1"/>
    <s v="EXITO"/>
    <n v="108903"/>
    <x v="11"/>
    <s v="CE - El asesor comunica que la marca Excellent esta dentro de la categoria SuperPremium pero a un costo mas accesible."/>
    <s v="SI"/>
    <m/>
    <n v="27450345"/>
    <s v="NestleP.2"/>
    <x v="1"/>
    <x v="3"/>
    <n v="1.5384615384615385"/>
    <s v="SI"/>
    <n v="1.5384615384615385"/>
    <n v="0"/>
    <m/>
  </r>
  <r>
    <s v="NESTLE PURINA"/>
    <x v="2"/>
    <x v="1"/>
    <s v="EXITO"/>
    <n v="108903"/>
    <x v="11"/>
    <s v="CE - Ofrece la marca Excellent?"/>
    <s v="SI"/>
    <m/>
    <n v="27450345"/>
    <s v="NestleP.2"/>
    <x v="1"/>
    <x v="3"/>
    <n v="1.5384615384615385"/>
    <s v="SI"/>
    <n v="1.5384615384615385"/>
    <n v="0"/>
    <m/>
  </r>
  <r>
    <s v="NESTLE PURINA"/>
    <x v="2"/>
    <x v="1"/>
    <s v="EXITO"/>
    <n v="108903"/>
    <x v="11"/>
    <s v="CE - Lo primero que ofrece el asesor es la marca Pro Plan?"/>
    <s v="SI"/>
    <m/>
    <n v="27450345"/>
    <s v="NestleP.2"/>
    <x v="1"/>
    <x v="3"/>
    <n v="1.5384615384615385"/>
    <s v="SI"/>
    <n v="1.5384615384615385"/>
    <n v="0"/>
    <m/>
  </r>
  <r>
    <s v="NESTLE PURINA"/>
    <x v="2"/>
    <x v="1"/>
    <s v="EXITO"/>
    <n v="108903"/>
    <x v="11"/>
    <s v="SELECCIONE EL CANAL DEL PDV QUE EVALUA"/>
    <s v=" ESPECIALIZADO"/>
    <m/>
    <n v="27450345"/>
    <s v="NestleP.2"/>
    <x v="1"/>
    <x v="0"/>
    <n v="0"/>
    <s v="MODERNO, ESPECIALIZADO"/>
    <n v="0"/>
    <n v="0"/>
    <m/>
  </r>
  <r>
    <s v="NESTLE PURINA"/>
    <x v="2"/>
    <x v="1"/>
    <s v="EXITO"/>
    <n v="108903"/>
    <x v="11"/>
    <s v="OFRECIO ALGUN PRODUCTO PORTAFOLIO PURINA DE PRODUCTOS HUMEDOS, SNACK U OTROS COMUNICANDO LOS BENEFICIOS DEL PRODUCTO (Dog chow húmedo, Cat chow húmedo, Fancy Feast, Felix, Proplan Húmedo, One Húmedo) Snacks (Abrazzos, Dentalife) Arenilla (Tidy Cat)"/>
    <s v="SI"/>
    <m/>
    <n v="27450345"/>
    <s v="NestleP.2"/>
    <x v="1"/>
    <x v="3"/>
    <n v="1.5384615384615385"/>
    <s v="SI"/>
    <n v="1.5384615384615385"/>
    <n v="0"/>
    <m/>
  </r>
  <r>
    <s v="NESTLE PURINA"/>
    <x v="2"/>
    <x v="1"/>
    <s v="EXITO"/>
    <n v="108903"/>
    <x v="11"/>
    <s v="OFRECIO ALGUN PRODUCTO DEL PORTAFOLIO PURINA DE PRODUCTOS SECOS COMUNICANDO LOS BENEFICIOS DEL PRODUCTO (DOG CHOW, CAT CHOW,_x000a_ALPO, GATSY,FELIX)"/>
    <s v="SI"/>
    <m/>
    <n v="27450345"/>
    <s v="NestleP.2"/>
    <x v="1"/>
    <x v="3"/>
    <n v="1.5384615384615385"/>
    <s v="SI"/>
    <n v="1.5384615384615385"/>
    <n v="0"/>
    <m/>
  </r>
  <r>
    <s v="NESTLE PURINA"/>
    <x v="2"/>
    <x v="1"/>
    <s v="EXITO"/>
    <n v="108903"/>
    <x v="11"/>
    <s v="SE PRODUCE ABORDO PROACTIVO (antes de los 3 min)"/>
    <s v="SI"/>
    <m/>
    <n v="27450345"/>
    <s v="NestleP.2"/>
    <x v="1"/>
    <x v="2"/>
    <n v="20"/>
    <s v="SI"/>
    <n v="20"/>
    <n v="0"/>
    <m/>
  </r>
  <r>
    <s v="NESTLE PURINA"/>
    <x v="2"/>
    <x v="1"/>
    <s v="EXITO"/>
    <n v="108903"/>
    <x v="11"/>
    <s v="USA ACCESORIOS QUE NO CUMPLE CON EL CODIGO DE VESTIMENTA"/>
    <s v="NO"/>
    <m/>
    <n v="27450345"/>
    <s v="NestleP.2"/>
    <x v="1"/>
    <x v="1"/>
    <n v="1.3636363636363635"/>
    <s v="NO"/>
    <n v="1.3636363636363635"/>
    <n v="0"/>
    <m/>
  </r>
  <r>
    <s v="NESTLE PURINA"/>
    <x v="2"/>
    <x v="1"/>
    <s v="EXITO"/>
    <n v="108903"/>
    <x v="11"/>
    <s v="TIENE UÑAS LLAMATIVAS Y/O LARGAS QUE NO CUMPLE CON EL CODIGO DE VESTIMENTA"/>
    <s v="NO"/>
    <m/>
    <n v="27450345"/>
    <s v="NestleP.2"/>
    <x v="1"/>
    <x v="1"/>
    <n v="1.3636363636363635"/>
    <s v="NO"/>
    <n v="1.3636363636363635"/>
    <n v="0"/>
    <m/>
  </r>
  <r>
    <s v="NESTLE PURINA"/>
    <x v="2"/>
    <x v="1"/>
    <s v="EXITO"/>
    <n v="108903"/>
    <x v="11"/>
    <s v="SE ENCUENTRA LIMPIA EL AREA DE DEMOSTRACION"/>
    <s v="SI"/>
    <m/>
    <n v="27450345"/>
    <s v="NestleP.2"/>
    <x v="1"/>
    <x v="1"/>
    <n v="1.3636363636363635"/>
    <s v="SI"/>
    <n v="1.3636363636363635"/>
    <n v="0"/>
    <m/>
  </r>
  <r>
    <s v="NESTLE PURINA"/>
    <x v="2"/>
    <x v="1"/>
    <s v="EXITO"/>
    <n v="454996"/>
    <x v="13"/>
    <s v="USA ACCESORIOS QUE NO CUMPLE CON EL CODIGO DE VESTIMENTA"/>
    <s v="NO"/>
    <m/>
    <n v="27453760"/>
    <s v="NestleP.2"/>
    <x v="0"/>
    <x v="0"/>
    <n v="0"/>
    <s v="NO"/>
    <n v="0"/>
    <n v="0"/>
    <m/>
  </r>
  <r>
    <s v="NESTLE PURINA"/>
    <x v="2"/>
    <x v="0"/>
    <s v="EXITO"/>
    <n v="12394"/>
    <x v="12"/>
    <s v="EL UNIFORME Y ZAPATOS SE ENCUENTRAN LIMPIOS Y EN BUEN ESTADO"/>
    <s v="NO"/>
    <m/>
    <n v="27444590"/>
    <s v="NestleP.2"/>
    <x v="0"/>
    <x v="0"/>
    <n v="0"/>
    <s v="SI"/>
    <n v="0"/>
    <n v="0"/>
    <m/>
  </r>
  <r>
    <s v="NESTLE PURINA"/>
    <x v="2"/>
    <x v="0"/>
    <s v="EXITO"/>
    <n v="12394"/>
    <x v="12"/>
    <s v="CUENTA CON CALZADO DE ACUERDO AL UNIFORME"/>
    <s v="NO"/>
    <m/>
    <n v="27444590"/>
    <s v="NestleP.2"/>
    <x v="0"/>
    <x v="0"/>
    <n v="0"/>
    <s v="SI"/>
    <n v="0"/>
    <n v="0"/>
    <m/>
  </r>
  <r>
    <s v="NESTLE PURINA"/>
    <x v="3"/>
    <x v="0"/>
    <s v="CARULLA"/>
    <n v="428025"/>
    <x v="14"/>
    <s v="¿CUMPLE HORARIO DE ENTRADA O SALIDA DE LA TIENDA?"/>
    <s v="SI"/>
    <m/>
    <n v="27444155"/>
    <s v="NestleP.11"/>
    <x v="1"/>
    <x v="4"/>
    <n v="20"/>
    <s v="SI"/>
    <n v="20"/>
    <n v="0"/>
    <m/>
  </r>
  <r>
    <s v="NESTLE PURINA"/>
    <x v="3"/>
    <x v="0"/>
    <s v="CARULLA"/>
    <n v="428025"/>
    <x v="14"/>
    <s v="SE LOGRA REALIZAR EL MYSTERY?"/>
    <s v="SI"/>
    <m/>
    <n v="27444155"/>
    <s v="NestleP.11"/>
    <x v="1"/>
    <x v="0"/>
    <n v="0"/>
    <n v="0"/>
    <n v="0"/>
    <n v="0"/>
    <m/>
  </r>
  <r>
    <s v="NESTLE PURINA"/>
    <x v="2"/>
    <x v="1"/>
    <s v="AGRO/PSHOP/VET"/>
    <n v="355955"/>
    <x v="3"/>
    <s v="DESEA AÑADIR ALGUNA OBSERVACION Y/O NOVEDAD DEL MYSTERY REALIZADO?"/>
    <s v="NO"/>
    <m/>
    <n v="27420844"/>
    <s v="NestleP.1"/>
    <x v="1"/>
    <x v="0"/>
    <n v="0"/>
    <n v="0"/>
    <n v="0"/>
    <n v="0"/>
    <m/>
  </r>
  <r>
    <s v="NESTLE PURINA"/>
    <x v="2"/>
    <x v="1"/>
    <s v="AGRO/PSHOP/VET"/>
    <n v="355955"/>
    <x v="3"/>
    <s v="CONSIDERO QUE INDEPENDIENTEMENTE DEL SPEECH, LA LABOR DE VENTA ES BUENA"/>
    <s v="SI"/>
    <m/>
    <n v="27420844"/>
    <s v="NestleP.1"/>
    <x v="1"/>
    <x v="6"/>
    <n v="7.5"/>
    <s v="SI"/>
    <n v="7.5"/>
    <n v="0"/>
    <m/>
  </r>
  <r>
    <s v="NESTLE PURINA"/>
    <x v="2"/>
    <x v="1"/>
    <s v="AGRO/PSHOP/VET"/>
    <n v="355955"/>
    <x v="3"/>
    <s v="REALIZA CIERRE DE VENTA"/>
    <s v="SI"/>
    <m/>
    <n v="27420844"/>
    <s v="NestleP.1"/>
    <x v="1"/>
    <x v="6"/>
    <n v="7.5"/>
    <s v="SI"/>
    <n v="7.5"/>
    <n v="0"/>
    <m/>
  </r>
  <r>
    <s v="NESTLE PURINA"/>
    <x v="2"/>
    <x v="1"/>
    <s v="AGRO/PSHOP/VET"/>
    <n v="355955"/>
    <x v="3"/>
    <s v="SE ENCUENTRA LIMPIA EL AREA DE DEMOSTRACION"/>
    <s v="SI"/>
    <m/>
    <n v="27420844"/>
    <s v="NestleP.1"/>
    <x v="1"/>
    <x v="1"/>
    <n v="1.3636363636363635"/>
    <s v="SI"/>
    <n v="1.3636363636363635"/>
    <n v="0"/>
    <m/>
  </r>
  <r>
    <s v="NESTLE PURINA"/>
    <x v="2"/>
    <x v="1"/>
    <s v="AGRO/PSHOP/VET"/>
    <n v="355955"/>
    <x v="3"/>
    <s v="RESUELVE LA OBJECION SATISFACTORIAMENTE?"/>
    <s v="SI"/>
    <m/>
    <n v="27420844"/>
    <s v="NestleP.1"/>
    <x v="1"/>
    <x v="3"/>
    <n v="1.5384615384615385"/>
    <s v="SI"/>
    <n v="1.5384615384615385"/>
    <n v="0"/>
    <m/>
  </r>
  <r>
    <s v="NESTLE PURINA"/>
    <x v="2"/>
    <x v="1"/>
    <s v="AGRO/PSHOP/VET"/>
    <n v="355955"/>
    <x v="3"/>
    <s v="INDIQUE QUE TIPO DE OBJECION / DUDA MANIFESTÓ"/>
    <s v=" NO TIENE DINERO"/>
    <m/>
    <n v="27420844"/>
    <s v="NestleP.1"/>
    <x v="1"/>
    <x v="0"/>
    <n v="0"/>
    <s v="FALTA DE PRODUCTO, NO LE INTERESA EL PRODUCTO, NO TIENE DINERO, PREFIERE LA COMPETENCIA"/>
    <n v="0"/>
    <n v="0"/>
    <m/>
  </r>
  <r>
    <s v="NESTLE PURINA"/>
    <x v="2"/>
    <x v="1"/>
    <s v="AGRO/PSHOP/VET"/>
    <n v="355955"/>
    <x v="3"/>
    <s v="CE - Ofrece producto humedo y comunica la dinamica de multiprice (por la compra de mas cantidades tiene descuento)"/>
    <s v="NO"/>
    <m/>
    <n v="27420844"/>
    <s v="NestleP.1"/>
    <x v="1"/>
    <x v="5"/>
    <n v="5"/>
    <s v="SI"/>
    <n v="0"/>
    <n v="0"/>
    <m/>
  </r>
  <r>
    <s v="NESTLE PURINA"/>
    <x v="2"/>
    <x v="1"/>
    <s v="AGRO/PSHOP/VET"/>
    <n v="355955"/>
    <x v="3"/>
    <s v="CE - El asesor comunica los beneficios o caracteristicas del producto Excellent e informa que el producto cambio de imagen pero continua con la misma formula?"/>
    <s v="NO"/>
    <m/>
    <n v="27420844"/>
    <s v="NestleP.1"/>
    <x v="1"/>
    <x v="3"/>
    <n v="1.5384615384615385"/>
    <s v="SI"/>
    <n v="0"/>
    <n v="0"/>
    <m/>
  </r>
  <r>
    <s v="NESTLE PURINA"/>
    <x v="2"/>
    <x v="1"/>
    <s v="AGRO/PSHOP/VET"/>
    <n v="355955"/>
    <x v="3"/>
    <s v="CE - El asesor comunica que la marca Excellent esta dentro de la categoria SuperPremium pero a un costo mas accesible."/>
    <s v="SI"/>
    <m/>
    <n v="27420844"/>
    <s v="NestleP.1"/>
    <x v="1"/>
    <x v="3"/>
    <n v="1.5384615384615385"/>
    <s v="SI"/>
    <n v="1.5384615384615385"/>
    <n v="0"/>
    <m/>
  </r>
  <r>
    <s v="NESTLE PURINA"/>
    <x v="2"/>
    <x v="1"/>
    <s v="AGRO/PSHOP/VET"/>
    <n v="355955"/>
    <x v="3"/>
    <s v="CE - Ofrece la marca Excellent?"/>
    <s v="SI"/>
    <m/>
    <n v="27420844"/>
    <s v="NestleP.1"/>
    <x v="1"/>
    <x v="3"/>
    <n v="1.5384615384615385"/>
    <s v="SI"/>
    <n v="1.5384615384615385"/>
    <n v="0"/>
    <m/>
  </r>
  <r>
    <s v="NESTLE PURINA"/>
    <x v="2"/>
    <x v="1"/>
    <s v="AGRO/PSHOP/VET"/>
    <n v="355955"/>
    <x v="3"/>
    <s v="CE - Lo primero que ofrece el asesor es la marca Pro Plan?"/>
    <s v="SI"/>
    <m/>
    <n v="27420844"/>
    <s v="NestleP.1"/>
    <x v="1"/>
    <x v="3"/>
    <n v="1.5384615384615385"/>
    <s v="SI"/>
    <n v="1.5384615384615385"/>
    <n v="0"/>
    <m/>
  </r>
  <r>
    <s v="NESTLE PURINA"/>
    <x v="3"/>
    <x v="0"/>
    <s v="CARULLA"/>
    <n v="428025"/>
    <x v="14"/>
    <s v="CUENTA CON PANTALON DEL UNIFORME SEGÚN EL CARGO (NEGRO / ROJO / TURQUESA / JEAN)"/>
    <s v="SI"/>
    <m/>
    <n v="27444155"/>
    <s v="NestleP.11"/>
    <x v="1"/>
    <x v="1"/>
    <n v="1.3636363636363635"/>
    <s v="SI"/>
    <n v="1.3636363636363635"/>
    <n v="0"/>
    <m/>
  </r>
  <r>
    <s v="NESTLE PURINA"/>
    <x v="2"/>
    <x v="1"/>
    <s v="AGRO/PSHOP/VET"/>
    <n v="355955"/>
    <x v="3"/>
    <s v="SELECCIONE EL CANAL DEL PDV QUE EVALUA"/>
    <s v=" ESPECIALIZADO"/>
    <m/>
    <n v="27420844"/>
    <s v="NestleP.1"/>
    <x v="1"/>
    <x v="0"/>
    <n v="0"/>
    <s v="MODERNO, ESPECIALIZADO"/>
    <n v="0"/>
    <n v="0"/>
    <m/>
  </r>
  <r>
    <s v="NESTLE PURINA"/>
    <x v="2"/>
    <x v="1"/>
    <s v="AGRO/PSHOP/VET"/>
    <n v="355955"/>
    <x v="3"/>
    <s v="OFRECIO ALGUN PRODUCTO DEL PORTAFOLIO PURINA DE PRODUCTOS SECOS COMUNICANDO LOS BENEFICIOS DEL PRODUCTO (DOG CHOW, CAT CHOW,_x000a_ALPO, GATSY,FELIX)"/>
    <s v="NO"/>
    <m/>
    <n v="27420844"/>
    <s v="NestleP.1"/>
    <x v="1"/>
    <x v="3"/>
    <n v="1.5384615384615385"/>
    <s v="SI"/>
    <n v="0"/>
    <n v="0"/>
    <m/>
  </r>
  <r>
    <s v="NESTLE PURINA"/>
    <x v="2"/>
    <x v="1"/>
    <s v="AGRO/PSHOP/VET"/>
    <n v="355955"/>
    <x v="3"/>
    <s v="SE PRODUCE ABORDO PROACTIVO (antes de los 3 min)"/>
    <s v="SI"/>
    <m/>
    <n v="27420844"/>
    <s v="NestleP.1"/>
    <x v="1"/>
    <x v="2"/>
    <n v="20"/>
    <s v="SI"/>
    <n v="20"/>
    <n v="0"/>
    <m/>
  </r>
  <r>
    <s v="NESTLE PURINA"/>
    <x v="2"/>
    <x v="1"/>
    <s v="AGRO/PSHOP/VET"/>
    <n v="355955"/>
    <x v="3"/>
    <s v="USA ACCESORIOS QUE NO CUMPLE CON EL CODIGO DE VESTIMENTA"/>
    <s v="NO"/>
    <m/>
    <n v="27420844"/>
    <s v="NestleP.1"/>
    <x v="1"/>
    <x v="1"/>
    <n v="1.3636363636363635"/>
    <s v="NO"/>
    <n v="1.3636363636363635"/>
    <n v="0"/>
    <m/>
  </r>
  <r>
    <s v="NESTLE PURINA"/>
    <x v="2"/>
    <x v="1"/>
    <s v="AGRO/PSHOP/VET"/>
    <n v="355955"/>
    <x v="3"/>
    <s v="TIENE UÑAS LLAMATIVAS Y/O LARGAS QUE NO CUMPLE CON EL CODIGO DE VESTIMENTA"/>
    <s v="NO"/>
    <m/>
    <n v="27420844"/>
    <s v="NestleP.1"/>
    <x v="1"/>
    <x v="1"/>
    <n v="1.3636363636363635"/>
    <s v="NO"/>
    <n v="1.3636363636363635"/>
    <n v="0"/>
    <m/>
  </r>
  <r>
    <s v="NESTLE PURINA"/>
    <x v="2"/>
    <x v="1"/>
    <s v="AGRO/PSHOP/VET"/>
    <n v="355955"/>
    <x v="3"/>
    <s v="TIENE TATUAJES O PIERCINGS VISIBLES QUE NO CUMPLE CON EL CODIGO DE VESTIMENTA"/>
    <s v="NO"/>
    <m/>
    <n v="27420844"/>
    <s v="NestleP.1"/>
    <x v="1"/>
    <x v="1"/>
    <n v="1.3636363636363635"/>
    <s v="NO"/>
    <n v="1.3636363636363635"/>
    <n v="0"/>
    <m/>
  </r>
  <r>
    <s v="NESTLE PURINA"/>
    <x v="2"/>
    <x v="1"/>
    <s v="AGRO/PSHOP/VET"/>
    <n v="355955"/>
    <x v="3"/>
    <s v="PRESENTA EXCESO DE MAQUILLAJE QUE NO CUMPLE CON EL CODIGO DE VESTIMENTA"/>
    <s v="NO"/>
    <m/>
    <n v="27420844"/>
    <s v="NestleP.1"/>
    <x v="1"/>
    <x v="1"/>
    <n v="1.3636363636363635"/>
    <s v="NO"/>
    <n v="1.3636363636363635"/>
    <n v="0"/>
    <m/>
  </r>
  <r>
    <s v="NESTLE PURINA"/>
    <x v="2"/>
    <x v="1"/>
    <s v="AGRO/PSHOP/VET"/>
    <n v="355955"/>
    <x v="3"/>
    <s v="SU CABELLO LUCE LIMPIO, ORGANIZADO O RECOGIDO"/>
    <s v="SI"/>
    <m/>
    <n v="27420844"/>
    <s v="NestleP.1"/>
    <x v="1"/>
    <x v="1"/>
    <n v="1.3636363636363635"/>
    <s v="SI"/>
    <n v="1.3636363636363635"/>
    <n v="0"/>
    <m/>
  </r>
  <r>
    <s v="NESTLE PURINA"/>
    <x v="2"/>
    <x v="1"/>
    <s v="AGRO/PSHOP/VET"/>
    <n v="355955"/>
    <x v="3"/>
    <s v="EL UNIFORME Y ZAPATOS SE ENCUENTRAN LIMPIOS Y EN BUEN ESTADO"/>
    <s v="SI"/>
    <m/>
    <n v="27420844"/>
    <s v="NestleP.1"/>
    <x v="1"/>
    <x v="1"/>
    <n v="1.3636363636363635"/>
    <s v="SI"/>
    <n v="1.3636363636363635"/>
    <n v="0"/>
    <m/>
  </r>
  <r>
    <s v="NESTLE PURINA"/>
    <x v="2"/>
    <x v="1"/>
    <s v="AGRO/PSHOP/VET"/>
    <n v="355955"/>
    <x v="3"/>
    <s v="POSEE ALGUNA PRENDA ENCIMA DEL UNIFORME NO AUTORIZADA POR LA MARCA (Unicamente esta permitido chaleco de Sodimac y Easy)"/>
    <s v="NO"/>
    <m/>
    <n v="27420844"/>
    <s v="NestleP.1"/>
    <x v="1"/>
    <x v="1"/>
    <n v="1.3636363636363635"/>
    <s v="NO"/>
    <n v="1.3636363636363635"/>
    <n v="0"/>
    <m/>
  </r>
  <r>
    <s v="NESTLE PURINA"/>
    <x v="2"/>
    <x v="1"/>
    <s v="AGRO/PSHOP/VET"/>
    <n v="355955"/>
    <x v="3"/>
    <s v="CUENTA CON CALZADO DE ACUERDO AL UNIFORME"/>
    <s v="SI"/>
    <m/>
    <n v="27420844"/>
    <s v="NestleP.1"/>
    <x v="1"/>
    <x v="1"/>
    <n v="1.3636363636363635"/>
    <s v="SI"/>
    <n v="1.3636363636363635"/>
    <n v="0"/>
    <m/>
  </r>
  <r>
    <s v="NESTLE PURINA"/>
    <x v="2"/>
    <x v="1"/>
    <s v="AGRO/PSHOP/VET"/>
    <n v="355955"/>
    <x v="3"/>
    <s v="CUENTA CON CAMISA DEL UNIFORME Y LOGOS SEGÚN EL CARGO (NEGRA / GRIS / ROJA / TURQUESA) (Es permitido usar debajo de la camisa buso manga larga Negro)"/>
    <s v="SI"/>
    <m/>
    <n v="27420844"/>
    <s v="NestleP.1"/>
    <x v="1"/>
    <x v="1"/>
    <n v="1.3636363636363635"/>
    <s v="SI"/>
    <n v="1.3636363636363635"/>
    <n v="0"/>
    <m/>
  </r>
  <r>
    <s v="NESTLE PURINA"/>
    <x v="2"/>
    <x v="1"/>
    <s v="AGRO/PSHOP/VET"/>
    <n v="355955"/>
    <x v="3"/>
    <s v="CUENTA CON PANTALON DEL UNIFORME SEGÚN EL CARGO (NEGRO / ROJO / TURQUESA / JEAN)"/>
    <s v="SI"/>
    <m/>
    <n v="27420844"/>
    <s v="NestleP.1"/>
    <x v="1"/>
    <x v="1"/>
    <n v="1.3636363636363635"/>
    <s v="SI"/>
    <n v="1.3636363636363635"/>
    <n v="0"/>
    <m/>
  </r>
  <r>
    <s v="NESTLE PURINA"/>
    <x v="2"/>
    <x v="1"/>
    <s v="AGRO/PSHOP/VET"/>
    <n v="355955"/>
    <x v="3"/>
    <s v="¿CUMPLE HORARIO DE ENTRADA O SALIDA DE LA TIENDA?"/>
    <s v="SI"/>
    <m/>
    <n v="27420844"/>
    <s v="NestleP.1"/>
    <x v="1"/>
    <x v="4"/>
    <n v="20"/>
    <s v="SI"/>
    <n v="20"/>
    <n v="0"/>
    <m/>
  </r>
  <r>
    <s v="NESTLE PURINA"/>
    <x v="2"/>
    <x v="1"/>
    <s v="AGRO/PSHOP/VET"/>
    <n v="355955"/>
    <x v="3"/>
    <s v="OFRECIO ALGUN PRODUCTO PORTAFOLIO PURINA DE PRODUCTOS HUMEDOS, SNACK U OTROS COMUNICANDO LOS BENEFICIOS DEL PRODUCTO (Dog chow húmedo, Cat chow húmedo, Fancy Feast, Felix, Proplan Húmedo, One Húmedo) Snacks (Abrazzos, Dentalife) Arenilla (Tidy Cat)"/>
    <s v="SI"/>
    <m/>
    <n v="27420844"/>
    <s v="NestleP.1"/>
    <x v="1"/>
    <x v="3"/>
    <n v="1.5384615384615385"/>
    <s v="SI"/>
    <n v="1.5384615384615385"/>
    <n v="0"/>
    <m/>
  </r>
  <r>
    <s v="NESTLE PURINA"/>
    <x v="2"/>
    <x v="0"/>
    <s v="EXITO"/>
    <n v="12394"/>
    <x v="12"/>
    <s v="POSEE ALGUNA PRENDA ENCIMA DEL UNIFORME NO AUTORIZADA POR LA MARCA (Unicamente esta permitido chaleco de Sodimac y Easy)"/>
    <s v="NO"/>
    <m/>
    <n v="27444590"/>
    <s v="NestleP.2"/>
    <x v="0"/>
    <x v="0"/>
    <n v="0"/>
    <s v="NO"/>
    <n v="0"/>
    <n v="0"/>
    <m/>
  </r>
  <r>
    <s v="NESTLE PURINA"/>
    <x v="3"/>
    <x v="0"/>
    <s v="CARULLA"/>
    <n v="428025"/>
    <x v="14"/>
    <s v="CUENTA CON CAMISA DEL UNIFORME Y LOGOS SEGÚN EL CARGO (NEGRA / GRIS / ROJA / TURQUESA) (Es permitido usar debajo de la camisa buso manga larga Negro)"/>
    <s v="SI"/>
    <m/>
    <n v="27444155"/>
    <s v="NestleP.11"/>
    <x v="1"/>
    <x v="1"/>
    <n v="1.3636363636363635"/>
    <s v="SI"/>
    <n v="1.3636363636363635"/>
    <n v="0"/>
    <m/>
  </r>
  <r>
    <s v="NESTLE PURINA"/>
    <x v="3"/>
    <x v="0"/>
    <s v="CARULLA"/>
    <n v="428025"/>
    <x v="14"/>
    <s v="POSEE ALGUNA PRENDA ENCIMA DEL UNIFORME NO AUTORIZADA POR LA MARCA (Unicamente esta permitido chaleco de Sodimac y Easy)"/>
    <s v="NO"/>
    <m/>
    <n v="27444155"/>
    <s v="NestleP.11"/>
    <x v="1"/>
    <x v="1"/>
    <n v="1.3636363636363635"/>
    <s v="NO"/>
    <n v="1.3636363636363635"/>
    <n v="0"/>
    <m/>
  </r>
  <r>
    <s v="NESTLE PURINA"/>
    <x v="2"/>
    <x v="0"/>
    <s v="EXITO"/>
    <n v="12394"/>
    <x v="12"/>
    <s v="CUENTA CON CAMISA DEL UNIFORME Y LOGOS SEGÚN EL CARGO (NEGRA / GRIS / ROJA / TURQUESA) (Es permitido usar debajo de la camisa buso manga larga Negro)"/>
    <s v="NO"/>
    <m/>
    <n v="27444590"/>
    <s v="NestleP.2"/>
    <x v="0"/>
    <x v="0"/>
    <n v="0"/>
    <s v="SI"/>
    <n v="0"/>
    <n v="0"/>
    <m/>
  </r>
  <r>
    <s v="NESTLE PURINA"/>
    <x v="2"/>
    <x v="0"/>
    <s v="EXITO"/>
    <n v="12394"/>
    <x v="12"/>
    <s v="CUENTA CON PANTALON DEL UNIFORME SEGÚN EL CARGO (NEGRO / ROJO / TURQUESA / JEAN)"/>
    <s v="NO"/>
    <m/>
    <n v="27444590"/>
    <s v="NestleP.2"/>
    <x v="0"/>
    <x v="0"/>
    <n v="0"/>
    <s v="SI"/>
    <n v="0"/>
    <n v="0"/>
    <m/>
  </r>
  <r>
    <s v="NESTLE PURINA"/>
    <x v="2"/>
    <x v="0"/>
    <s v="EXITO"/>
    <n v="12394"/>
    <x v="12"/>
    <s v="¿CUMPLE HORARIO DE ENTRADA O SALIDA DE LA TIENDA?"/>
    <s v="NO"/>
    <m/>
    <n v="27444590"/>
    <s v="NestleP.2"/>
    <x v="0"/>
    <x v="0"/>
    <n v="0"/>
    <s v="SI"/>
    <n v="0"/>
    <n v="0"/>
    <m/>
  </r>
  <r>
    <s v="NESTLE PURINA"/>
    <x v="2"/>
    <x v="0"/>
    <s v="EXITO"/>
    <n v="12394"/>
    <x v="12"/>
    <s v="SE LOGRA REALIZAR EL MYSTERY?"/>
    <s v="NO"/>
    <m/>
    <n v="27444590"/>
    <s v="NestleP.2"/>
    <x v="0"/>
    <x v="0"/>
    <n v="0"/>
    <n v="0"/>
    <n v="0"/>
    <n v="0"/>
    <m/>
  </r>
  <r>
    <s v="NESTLE PURINA"/>
    <x v="3"/>
    <x v="0"/>
    <s v="CARULLA"/>
    <n v="428025"/>
    <x v="14"/>
    <s v="INDIQUE OBSERVACION Y/O NOVEDAD DEL MYSTERY REALIZADO"/>
    <s v="La chica no aborda inmediatamente, se veía que estaba capturando información del punto de venta por lo que le pido ayuda, da una asesoría completa, ofrece beneficios, busca satisfacer o cumplir con las necesidades que tengo ofreciendo un producto acorde, cuando se indica que es costoso, dice que hay otra presentación, me enseña la ofertas disponibles, me indica promociones entre otros."/>
    <m/>
    <n v="27444155"/>
    <s v="NestleP.11"/>
    <x v="1"/>
    <x v="0"/>
    <n v="0"/>
    <n v="0"/>
    <n v="0"/>
    <n v="0"/>
    <m/>
  </r>
  <r>
    <s v="NESTLE PURINA"/>
    <x v="3"/>
    <x v="0"/>
    <s v="CARULLA"/>
    <n v="428025"/>
    <x v="14"/>
    <s v="DESEA AÑADIR ALGUNA OBSERVACION Y/O NOVEDAD DEL MYSTERY REALIZADO?"/>
    <s v="SI"/>
    <m/>
    <n v="27444155"/>
    <s v="NestleP.11"/>
    <x v="1"/>
    <x v="0"/>
    <n v="0"/>
    <n v="0"/>
    <n v="0"/>
    <n v="0"/>
    <m/>
  </r>
  <r>
    <s v="NESTLE PURINA"/>
    <x v="3"/>
    <x v="0"/>
    <s v="CARULLA"/>
    <n v="428025"/>
    <x v="14"/>
    <s v="CONSIDERO QUE INDEPENDIENTEMENTE DEL SPEECH, LA LABOR DE VENTA ES BUENA"/>
    <s v="SI"/>
    <m/>
    <n v="27444155"/>
    <s v="NestleP.11"/>
    <x v="1"/>
    <x v="6"/>
    <n v="7.5"/>
    <s v="SI"/>
    <n v="7.5"/>
    <n v="0"/>
    <m/>
  </r>
  <r>
    <s v="NESTLE PURINA"/>
    <x v="3"/>
    <x v="0"/>
    <s v="CARULLA"/>
    <n v="428025"/>
    <x v="14"/>
    <s v="REALIZA CIERRE DE VENTA"/>
    <s v="SI"/>
    <m/>
    <n v="27444155"/>
    <s v="NestleP.11"/>
    <x v="1"/>
    <x v="6"/>
    <n v="7.5"/>
    <s v="SI"/>
    <n v="7.5"/>
    <n v="0"/>
    <m/>
  </r>
  <r>
    <s v="NESTLE PURINA"/>
    <x v="3"/>
    <x v="0"/>
    <s v="CARULLA"/>
    <n v="428025"/>
    <x v="14"/>
    <s v="SE ENCUENTRA LIMPIA EL AREA DE DEMOSTRACION"/>
    <s v="SI"/>
    <m/>
    <n v="27444155"/>
    <s v="NestleP.11"/>
    <x v="1"/>
    <x v="1"/>
    <n v="1.3636363636363635"/>
    <s v="SI"/>
    <n v="1.3636363636363635"/>
    <n v="0"/>
    <m/>
  </r>
  <r>
    <s v="NESTLE PURINA"/>
    <x v="3"/>
    <x v="0"/>
    <s v="CARULLA"/>
    <n v="428025"/>
    <x v="14"/>
    <s v="RESUELVE LA OBJECION SATISFACTORIAMENTE?"/>
    <s v="SI"/>
    <m/>
    <n v="27444155"/>
    <s v="NestleP.11"/>
    <x v="1"/>
    <x v="3"/>
    <n v="1.5384615384615385"/>
    <s v="SI"/>
    <n v="1.5384615384615385"/>
    <n v="0"/>
    <m/>
  </r>
  <r>
    <s v="NESTLE PURINA"/>
    <x v="3"/>
    <x v="0"/>
    <s v="CARULLA"/>
    <n v="428025"/>
    <x v="14"/>
    <s v="INDIQUE QUE TIPO DE OBJECION / DUDA MANIFESTÓ"/>
    <s v=" NO TIENE DINERO"/>
    <m/>
    <n v="27444155"/>
    <s v="NestleP.11"/>
    <x v="1"/>
    <x v="0"/>
    <n v="0"/>
    <s v="FALTA DE PRODUCTO, NO LE INTERESA EL PRODUCTO, NO TIENE DINERO, PREFIERE LA COMPETENCIA"/>
    <n v="0"/>
    <n v="0"/>
    <m/>
  </r>
  <r>
    <s v="NESTLE PURINA"/>
    <x v="3"/>
    <x v="0"/>
    <s v="CARULLA"/>
    <n v="428025"/>
    <x v="14"/>
    <s v="CM - Dan a conocer al cliente la actividad del &quot;EVENTO CORPORATIVO DE OLIMPICA JUNIO&quot;?"/>
    <s v="NO"/>
    <m/>
    <n v="27444155"/>
    <s v="NestleP.11"/>
    <x v="1"/>
    <x v="5"/>
    <n v="5"/>
    <s v="SI"/>
    <n v="0"/>
    <n v="0"/>
    <m/>
  </r>
  <r>
    <s v="NESTLE PURINA"/>
    <x v="3"/>
    <x v="0"/>
    <s v="CARULLA"/>
    <n v="428025"/>
    <x v="14"/>
    <s v="CM - Bajo la objeción de &quot;precio muy costoso&quot;, el asesor ofrece productos en el orden de la segmentación: Perros: Purina One - Dog Chow - Alpo y Gatos: Purina One - Cat Chow - Felix - Gatsy (cuando enuncia Gatsy menciona que &quot;ahora es mas sabroso&quot;)"/>
    <s v="SI"/>
    <m/>
    <n v="27444155"/>
    <s v="NestleP.11"/>
    <x v="1"/>
    <x v="3"/>
    <n v="1.5384615384615385"/>
    <s v="SI"/>
    <n v="1.5384615384615385"/>
    <n v="0"/>
    <m/>
  </r>
  <r>
    <s v="NESTLE PURINA"/>
    <x v="3"/>
    <x v="0"/>
    <s v="CARULLA"/>
    <n v="428025"/>
    <x v="14"/>
    <s v="CUENTA CON CALZADO DE ACUERDO AL UNIFORME"/>
    <s v="SI"/>
    <m/>
    <n v="27444155"/>
    <s v="NestleP.11"/>
    <x v="1"/>
    <x v="1"/>
    <n v="1.3636363636363635"/>
    <s v="SI"/>
    <n v="1.3636363636363635"/>
    <n v="0"/>
    <m/>
  </r>
  <r>
    <s v="NESTLE PURINA"/>
    <x v="3"/>
    <x v="0"/>
    <s v="CARULLA"/>
    <n v="428025"/>
    <x v="14"/>
    <s v="CM - Maneja la objeción de alto precio en las marcas Purina, comunicando la baja de precios de las marcas o las ofertas disponibles en el punto de venta."/>
    <s v="SI"/>
    <m/>
    <n v="27444155"/>
    <s v="NestleP.11"/>
    <x v="1"/>
    <x v="3"/>
    <n v="1.5384615384615385"/>
    <s v="SI"/>
    <n v="1.5384615384615385"/>
    <n v="0"/>
    <m/>
  </r>
  <r>
    <s v="NESTLE PURINA"/>
    <x v="3"/>
    <x v="0"/>
    <s v="CARULLA"/>
    <n v="428025"/>
    <x v="14"/>
    <s v="CM - MENCIONA QUE TIENE CARNE DE VERDAD COMO INGREDIENTE NO.1 E INGREDIENTES NATURALES Y FUNCIONALES?"/>
    <s v="SI"/>
    <m/>
    <n v="27444155"/>
    <s v="NestleP.11"/>
    <x v="1"/>
    <x v="3"/>
    <n v="1.5384615384615385"/>
    <s v="SI"/>
    <n v="1.5384615384615385"/>
    <n v="0"/>
    <m/>
  </r>
  <r>
    <s v="NESTLE PURINA"/>
    <x v="3"/>
    <x v="0"/>
    <s v="CARULLA"/>
    <n v="428025"/>
    <x v="14"/>
    <s v="CM - MENCIONA QUE LOS RESULTADOS DE PURINA ONE SON VISIBLES EN 28 DIAS?"/>
    <s v="NO"/>
    <m/>
    <n v="27444155"/>
    <s v="NestleP.11"/>
    <x v="1"/>
    <x v="3"/>
    <n v="1.5384615384615385"/>
    <s v="SI"/>
    <n v="0"/>
    <n v="0"/>
    <m/>
  </r>
  <r>
    <s v="NESTLE PURINA"/>
    <x v="3"/>
    <x v="0"/>
    <s v="CARULLA"/>
    <n v="428025"/>
    <x v="14"/>
    <s v="CM - OFRECE PURINA ONE?"/>
    <s v="SI"/>
    <m/>
    <n v="27444155"/>
    <s v="NestleP.11"/>
    <x v="1"/>
    <x v="3"/>
    <n v="1.5384615384615385"/>
    <s v="SI"/>
    <n v="1.5384615384615385"/>
    <n v="0"/>
    <m/>
  </r>
  <r>
    <s v="NESTLE PURINA"/>
    <x v="3"/>
    <x v="0"/>
    <s v="CARULLA"/>
    <n v="428025"/>
    <x v="14"/>
    <s v="SELECCIONE EL CANAL DEL PDV QUE EVALUA"/>
    <s v="MODERNO"/>
    <m/>
    <n v="27444155"/>
    <s v="NestleP.11"/>
    <x v="1"/>
    <x v="0"/>
    <n v="0"/>
    <s v="MODERNO, ESPECIALIZADO"/>
    <n v="0"/>
    <n v="0"/>
    <m/>
  </r>
  <r>
    <s v="NESTLE PURINA"/>
    <x v="3"/>
    <x v="0"/>
    <s v="CARULLA"/>
    <n v="428025"/>
    <x v="14"/>
    <s v="OFRECIO ALGUN PRODUCTO PORTAFOLIO PURINA DE PRODUCTOS HUMEDOS, SNACK U OTROS COMUNICANDO LOS BENEFICIOS DEL PRODUCTO (Dog chow húmedo, Cat chow húmedo, Fancy Feast, Felix, Proplan Húmedo, One Húmedo) Snacks (Abrazzos, Dentalife) Arenilla (Tidy Cat)"/>
    <s v="SI"/>
    <m/>
    <n v="27444155"/>
    <s v="NestleP.11"/>
    <x v="1"/>
    <x v="3"/>
    <n v="1.5384615384615385"/>
    <s v="SI"/>
    <n v="1.5384615384615385"/>
    <n v="0"/>
    <m/>
  </r>
  <r>
    <s v="NESTLE PURINA"/>
    <x v="3"/>
    <x v="0"/>
    <s v="CARULLA"/>
    <n v="428025"/>
    <x v="14"/>
    <s v="OFRECIO ALGUN PRODUCTO DEL PORTAFOLIO PURINA DE PRODUCTOS SECOS COMUNICANDO LOS BENEFICIOS DEL PRODUCTO (DOG CHOW, CAT CHOW,_x000a_ALPO, GATSY,FELIX)"/>
    <s v="SI"/>
    <m/>
    <n v="27444155"/>
    <s v="NestleP.11"/>
    <x v="1"/>
    <x v="3"/>
    <n v="1.5384615384615385"/>
    <s v="SI"/>
    <n v="1.5384615384615385"/>
    <n v="0"/>
    <m/>
  </r>
  <r>
    <s v="NESTLE PURINA"/>
    <x v="3"/>
    <x v="0"/>
    <s v="CARULLA"/>
    <n v="428025"/>
    <x v="14"/>
    <s v="SE PRODUCE ABORDO PROACTIVO (antes de los 3 min)"/>
    <s v="NO"/>
    <m/>
    <n v="27444155"/>
    <s v="NestleP.11"/>
    <x v="1"/>
    <x v="2"/>
    <n v="20"/>
    <s v="SI"/>
    <n v="0"/>
    <n v="0"/>
    <m/>
  </r>
  <r>
    <s v="NESTLE PURINA"/>
    <x v="3"/>
    <x v="0"/>
    <s v="CARULLA"/>
    <n v="428025"/>
    <x v="14"/>
    <s v="USA ACCESORIOS QUE NO CUMPLE CON EL CODIGO DE VESTIMENTA"/>
    <s v="NO"/>
    <m/>
    <n v="27444155"/>
    <s v="NestleP.11"/>
    <x v="1"/>
    <x v="1"/>
    <n v="1.3636363636363635"/>
    <s v="NO"/>
    <n v="1.3636363636363635"/>
    <n v="0"/>
    <m/>
  </r>
  <r>
    <s v="NESTLE PURINA"/>
    <x v="3"/>
    <x v="0"/>
    <s v="CARULLA"/>
    <n v="428025"/>
    <x v="14"/>
    <s v="TIENE UÑAS LLAMATIVAS Y/O LARGAS QUE NO CUMPLE CON EL CODIGO DE VESTIMENTA"/>
    <s v="NO"/>
    <m/>
    <n v="27444155"/>
    <s v="NestleP.11"/>
    <x v="1"/>
    <x v="1"/>
    <n v="1.3636363636363635"/>
    <s v="NO"/>
    <n v="1.3636363636363635"/>
    <n v="0"/>
    <m/>
  </r>
  <r>
    <s v="NESTLE PURINA"/>
    <x v="3"/>
    <x v="0"/>
    <s v="CARULLA"/>
    <n v="428025"/>
    <x v="14"/>
    <s v="TIENE TATUAJES O PIERCINGS VISIBLES QUE NO CUMPLE CON EL CODIGO DE VESTIMENTA"/>
    <s v="NO"/>
    <m/>
    <n v="27444155"/>
    <s v="NestleP.11"/>
    <x v="1"/>
    <x v="1"/>
    <n v="1.3636363636363635"/>
    <s v="NO"/>
    <n v="1.3636363636363635"/>
    <n v="0"/>
    <m/>
  </r>
  <r>
    <s v="NESTLE PURINA"/>
    <x v="3"/>
    <x v="0"/>
    <s v="CARULLA"/>
    <n v="428025"/>
    <x v="14"/>
    <s v="PRESENTA EXCESO DE MAQUILLAJE QUE NO CUMPLE CON EL CODIGO DE VESTIMENTA"/>
    <s v="NO"/>
    <m/>
    <n v="27444155"/>
    <s v="NestleP.11"/>
    <x v="1"/>
    <x v="1"/>
    <n v="1.3636363636363635"/>
    <s v="NO"/>
    <n v="1.3636363636363635"/>
    <n v="0"/>
    <m/>
  </r>
  <r>
    <s v="NESTLE PURINA"/>
    <x v="3"/>
    <x v="0"/>
    <s v="CARULLA"/>
    <n v="428025"/>
    <x v="14"/>
    <s v="SU CABELLO LUCE LIMPIO, ORGANIZADO O RECOGIDO"/>
    <s v="SI"/>
    <m/>
    <n v="27444155"/>
    <s v="NestleP.11"/>
    <x v="1"/>
    <x v="1"/>
    <n v="1.3636363636363635"/>
    <s v="SI"/>
    <n v="1.3636363636363635"/>
    <n v="0"/>
    <m/>
  </r>
  <r>
    <s v="NESTLE PURINA"/>
    <x v="3"/>
    <x v="0"/>
    <s v="CARULLA"/>
    <n v="428025"/>
    <x v="14"/>
    <s v="EL UNIFORME Y ZAPATOS SE ENCUENTRAN LIMPIOS Y EN BUEN ESTADO"/>
    <s v="SI"/>
    <m/>
    <n v="27444155"/>
    <s v="NestleP.11"/>
    <x v="1"/>
    <x v="1"/>
    <n v="1.3636363636363635"/>
    <s v="SI"/>
    <n v="1.3636363636363635"/>
    <n v="0"/>
    <m/>
  </r>
  <r>
    <s v="NESTLE PURINA"/>
    <x v="3"/>
    <x v="0"/>
    <s v="CARULLA"/>
    <n v="428025"/>
    <x v="14"/>
    <s v="CM - MENCIONA QUE PURINA ONE CUENTA CON ALIMENTO HUMEDO Y MENCIONA LAS 3 VARIADADES QUE TIENE ( SUPER FOODS, SUPER NUTRIENTES Y MULTI PROTEINAS); APLICA TANTO PARA PERRO COMO PARA GATO"/>
    <s v="NO"/>
    <m/>
    <n v="27444155"/>
    <s v="NestleP.11"/>
    <x v="1"/>
    <x v="3"/>
    <n v="1.5384615384615385"/>
    <s v="SI"/>
    <n v="0"/>
    <n v="0"/>
    <m/>
  </r>
  <r>
    <s v="NESTLE PURINA"/>
    <x v="2"/>
    <x v="1"/>
    <s v="EXITO"/>
    <n v="454996"/>
    <x v="13"/>
    <s v="SE PRODUCE ABORDO PROACTIVO (antes de los 3 min)"/>
    <s v="NO"/>
    <m/>
    <n v="27453760"/>
    <s v="NestleP.2"/>
    <x v="0"/>
    <x v="0"/>
    <n v="0"/>
    <s v="SI"/>
    <n v="0"/>
    <n v="0"/>
    <m/>
  </r>
  <r>
    <s v="NESTLE PURINA"/>
    <x v="2"/>
    <x v="1"/>
    <s v="EXITO"/>
    <n v="454996"/>
    <x v="13"/>
    <s v="OFRECIO ALGUN PRODUCTO DEL PORTAFOLIO PURINA DE PRODUCTOS SECOS COMUNICANDO LOS BENEFICIOS DEL PRODUCTO (DOG CHOW, CAT CHOW,_x000a_ALPO, GATSY,FELIX)"/>
    <s v="NO"/>
    <m/>
    <n v="27453760"/>
    <s v="NestleP.2"/>
    <x v="0"/>
    <x v="0"/>
    <n v="0"/>
    <s v="SI"/>
    <n v="0"/>
    <n v="0"/>
    <m/>
  </r>
  <r>
    <s v="NESTLE PURINA"/>
    <x v="2"/>
    <x v="1"/>
    <s v="EXITO"/>
    <n v="454996"/>
    <x v="13"/>
    <s v="OFRECIO ALGUN PRODUCTO PORTAFOLIO PURINA DE PRODUCTOS HUMEDOS, SNACK U OTROS COMUNICANDO LOS BENEFICIOS DEL PRODUCTO (Dog chow húmedo, Cat chow húmedo, Fancy Feast, Felix, Proplan Húmedo, One Húmedo) Snacks (Abrazzos, Dentalife) Arenilla (Tidy Cat)"/>
    <s v="NO"/>
    <m/>
    <n v="27453760"/>
    <s v="NestleP.2"/>
    <x v="0"/>
    <x v="0"/>
    <n v="0"/>
    <s v="SI"/>
    <n v="0"/>
    <n v="0"/>
    <m/>
  </r>
  <r>
    <s v="NESTLE PURINA"/>
    <x v="2"/>
    <x v="0"/>
    <s v="JUMBO"/>
    <n v="12662"/>
    <x v="15"/>
    <s v="CM - Dan a conocer al cliente la actividad del &quot;EVENTO CORPORATIVO DE OLIMPICA JUNIO&quot;?"/>
    <s v="NO"/>
    <m/>
    <n v="27484800"/>
    <s v="NestleP.2"/>
    <x v="0"/>
    <x v="0"/>
    <n v="0"/>
    <s v="SI"/>
    <n v="0"/>
    <n v="0"/>
    <m/>
  </r>
  <r>
    <s v="NESTLE PURINA"/>
    <x v="2"/>
    <x v="0"/>
    <s v="JUMBO"/>
    <n v="12662"/>
    <x v="15"/>
    <s v="CM - Bajo la objeción de &quot;precio muy costoso&quot;, el asesor ofrece productos en el orden de la segmentación: Perros: Purina One - Dog Chow - Alpo y Gatos: Purina One - Cat Chow - Felix - Gatsy (cuando enuncia Gatsy menciona que &quot;ahora es mas sabroso&quot;)"/>
    <s v="NO"/>
    <m/>
    <n v="27484800"/>
    <s v="NestleP.2"/>
    <x v="0"/>
    <x v="0"/>
    <n v="0"/>
    <s v="SI"/>
    <n v="0"/>
    <n v="0"/>
    <m/>
  </r>
  <r>
    <s v="NESTLE PURINA"/>
    <x v="2"/>
    <x v="0"/>
    <s v="JUMBO"/>
    <n v="12662"/>
    <x v="15"/>
    <s v="CM - Maneja la objeción de alto precio en las marcas Purina, comunicando la baja de precios de las marcas o las ofertas disponibles en el punto de venta."/>
    <s v="NO"/>
    <m/>
    <n v="27484800"/>
    <s v="NestleP.2"/>
    <x v="0"/>
    <x v="0"/>
    <n v="0"/>
    <s v="SI"/>
    <n v="0"/>
    <n v="0"/>
    <m/>
  </r>
  <r>
    <s v="NESTLE PURINA"/>
    <x v="2"/>
    <x v="0"/>
    <s v="JUMBO"/>
    <n v="12662"/>
    <x v="15"/>
    <s v="CM - MENCIONA QUE PURINA ONE CUENTA CON ALIMENTO HUMEDO Y MENCIONA LAS 3 VARIADADES QUE TIENE ( SUPER FOODS, SUPER NUTRIENTES Y MULTI PROTEINAS); APLICA TANTO PARA PERRO COMO PARA GATO"/>
    <s v="NO"/>
    <m/>
    <n v="27484800"/>
    <s v="NestleP.2"/>
    <x v="0"/>
    <x v="0"/>
    <n v="0"/>
    <s v="SI"/>
    <n v="0"/>
    <n v="0"/>
    <m/>
  </r>
  <r>
    <s v="NESTLE PURINA"/>
    <x v="2"/>
    <x v="0"/>
    <s v="JUMBO"/>
    <n v="12662"/>
    <x v="15"/>
    <s v="CM - MENCIONA QUE TIENE CARNE DE VERDAD COMO INGREDIENTE NO.1 E INGREDIENTES NATURALES Y FUNCIONALES?"/>
    <s v="NO"/>
    <m/>
    <n v="27484800"/>
    <s v="NestleP.2"/>
    <x v="0"/>
    <x v="0"/>
    <n v="0"/>
    <s v="SI"/>
    <n v="0"/>
    <n v="0"/>
    <m/>
  </r>
  <r>
    <s v="NESTLE PURINA"/>
    <x v="2"/>
    <x v="0"/>
    <s v="JUMBO"/>
    <n v="12662"/>
    <x v="15"/>
    <s v="CM - MENCIONA QUE LOS RESULTADOS DE PURINA ONE SON VISIBLES EN 28 DIAS?"/>
    <s v="NO"/>
    <m/>
    <n v="27484800"/>
    <s v="NestleP.2"/>
    <x v="0"/>
    <x v="0"/>
    <n v="0"/>
    <s v="SI"/>
    <n v="0"/>
    <n v="0"/>
    <m/>
  </r>
  <r>
    <s v="NESTLE PURINA"/>
    <x v="2"/>
    <x v="0"/>
    <s v="JUMBO"/>
    <n v="12662"/>
    <x v="15"/>
    <s v="CM - OFRECE PURINA ONE?"/>
    <s v="NO"/>
    <m/>
    <n v="27484800"/>
    <s v="NestleP.2"/>
    <x v="0"/>
    <x v="0"/>
    <n v="0"/>
    <s v="SI"/>
    <n v="0"/>
    <n v="0"/>
    <m/>
  </r>
  <r>
    <s v="NESTLE PURINA"/>
    <x v="2"/>
    <x v="0"/>
    <s v="JUMBO"/>
    <n v="12662"/>
    <x v="15"/>
    <s v="SELECCIONE EL CANAL DEL PDV QUE EVALUA"/>
    <s v="MODERNO"/>
    <m/>
    <n v="27484800"/>
    <s v="NestleP.2"/>
    <x v="0"/>
    <x v="0"/>
    <n v="0"/>
    <s v="MODERNO, ESPECIALIZADO"/>
    <n v="0"/>
    <n v="0"/>
    <m/>
  </r>
  <r>
    <s v="NESTLE PURINA"/>
    <x v="2"/>
    <x v="0"/>
    <s v="JUMBO"/>
    <n v="12662"/>
    <x v="15"/>
    <s v="OFRECIO ALGUN PRODUCTO PORTAFOLIO PURINA DE PRODUCTOS HUMEDOS, SNACK U OTROS COMUNICANDO LOS BENEFICIOS DEL PRODUCTO (Dog chow húmedo, Cat chow húmedo, Fancy Feast, Felix, Proplan Húmedo, One Húmedo) Snacks (Abrazzos, Dentalife) Arenilla (Tidy Cat)"/>
    <s v="NO"/>
    <m/>
    <n v="27484800"/>
    <s v="NestleP.2"/>
    <x v="0"/>
    <x v="0"/>
    <n v="0"/>
    <s v="SI"/>
    <n v="0"/>
    <n v="0"/>
    <m/>
  </r>
  <r>
    <s v="NESTLE PURINA"/>
    <x v="2"/>
    <x v="0"/>
    <s v="JUMBO"/>
    <n v="12662"/>
    <x v="15"/>
    <s v="OFRECIO ALGUN PRODUCTO DEL PORTAFOLIO PURINA DE PRODUCTOS SECOS COMUNICANDO LOS BENEFICIOS DEL PRODUCTO (DOG CHOW, CAT CHOW,_x000a_ALPO, GATSY,FELIX)"/>
    <s v="NO"/>
    <m/>
    <n v="27484800"/>
    <s v="NestleP.2"/>
    <x v="0"/>
    <x v="0"/>
    <n v="0"/>
    <s v="SI"/>
    <n v="0"/>
    <n v="0"/>
    <m/>
  </r>
  <r>
    <s v="NESTLE PURINA"/>
    <x v="2"/>
    <x v="0"/>
    <s v="JUMBO"/>
    <n v="12662"/>
    <x v="15"/>
    <s v="SE PRODUCE ABORDO PROACTIVO (antes de los 3 min)"/>
    <s v="NO"/>
    <m/>
    <n v="27484800"/>
    <s v="NestleP.2"/>
    <x v="0"/>
    <x v="0"/>
    <n v="0"/>
    <s v="SI"/>
    <n v="0"/>
    <n v="0"/>
    <m/>
  </r>
  <r>
    <s v="NESTLE PURINA"/>
    <x v="2"/>
    <x v="0"/>
    <s v="JUMBO"/>
    <n v="12662"/>
    <x v="15"/>
    <s v="USA ACCESORIOS QUE NO CUMPLE CON EL CODIGO DE VESTIMENTA"/>
    <s v="NO"/>
    <m/>
    <n v="27484800"/>
    <s v="NestleP.2"/>
    <x v="0"/>
    <x v="0"/>
    <n v="0"/>
    <s v="NO"/>
    <n v="0"/>
    <n v="0"/>
    <m/>
  </r>
  <r>
    <s v="NESTLE PURINA"/>
    <x v="2"/>
    <x v="0"/>
    <s v="JUMBO"/>
    <n v="12662"/>
    <x v="15"/>
    <s v="TIENE UÑAS LLAMATIVAS Y/O LARGAS QUE NO CUMPLE CON EL CODIGO DE VESTIMENTA"/>
    <s v="NO"/>
    <m/>
    <n v="27484800"/>
    <s v="NestleP.2"/>
    <x v="0"/>
    <x v="0"/>
    <n v="0"/>
    <s v="NO"/>
    <n v="0"/>
    <n v="0"/>
    <m/>
  </r>
  <r>
    <s v="NESTLE PURINA"/>
    <x v="2"/>
    <x v="0"/>
    <s v="JUMBO"/>
    <n v="12662"/>
    <x v="15"/>
    <s v="INDIQUE QUE TIPO DE OBJECION / DUDA MANIFESTÓ"/>
    <s v="FALTA DE PRODUCTO"/>
    <m/>
    <n v="27484800"/>
    <s v="NestleP.2"/>
    <x v="0"/>
    <x v="0"/>
    <n v="0"/>
    <s v="FALTA DE PRODUCTO, NO LE INTERESA EL PRODUCTO, NO TIENE DINERO, PREFIERE LA COMPETENCIA"/>
    <n v="0"/>
    <n v="0"/>
    <m/>
  </r>
  <r>
    <s v="NESTLE PURINA"/>
    <x v="2"/>
    <x v="0"/>
    <s v="JUMBO"/>
    <n v="12662"/>
    <x v="15"/>
    <s v="TIENE TATUAJES O PIERCINGS VISIBLES QUE NO CUMPLE CON EL CODIGO DE VESTIMENTA"/>
    <s v="NO"/>
    <m/>
    <n v="27484800"/>
    <s v="NestleP.2"/>
    <x v="0"/>
    <x v="0"/>
    <n v="0"/>
    <s v="NO"/>
    <n v="0"/>
    <n v="0"/>
    <m/>
  </r>
  <r>
    <s v="NESTLE PURINA"/>
    <x v="2"/>
    <x v="0"/>
    <s v="JUMBO"/>
    <n v="12662"/>
    <x v="15"/>
    <s v="SU CABELLO LUCE LIMPIO, ORGANIZADO O RECOGIDO"/>
    <s v="NO"/>
    <m/>
    <n v="27484800"/>
    <s v="NestleP.2"/>
    <x v="0"/>
    <x v="0"/>
    <n v="0"/>
    <s v="SI"/>
    <n v="0"/>
    <n v="0"/>
    <m/>
  </r>
  <r>
    <s v="NESTLE PURINA"/>
    <x v="2"/>
    <x v="0"/>
    <s v="JUMBO"/>
    <n v="12662"/>
    <x v="15"/>
    <s v="EL UNIFORME Y ZAPATOS SE ENCUENTRAN LIMPIOS Y EN BUEN ESTADO"/>
    <s v="NO"/>
    <m/>
    <n v="27484800"/>
    <s v="NestleP.2"/>
    <x v="0"/>
    <x v="0"/>
    <n v="0"/>
    <s v="SI"/>
    <n v="0"/>
    <n v="0"/>
    <m/>
  </r>
  <r>
    <s v="NESTLE PURINA"/>
    <x v="2"/>
    <x v="0"/>
    <s v="JUMBO"/>
    <n v="12662"/>
    <x v="15"/>
    <s v="POSEE ALGUNA PRENDA ENCIMA DEL UNIFORME NO AUTORIZADA POR LA MARCA (Unicamente esta permitido chaleco de Sodimac y Easy)"/>
    <s v="NO"/>
    <m/>
    <n v="27484800"/>
    <s v="NestleP.2"/>
    <x v="0"/>
    <x v="0"/>
    <n v="0"/>
    <s v="NO"/>
    <n v="0"/>
    <n v="0"/>
    <m/>
  </r>
  <r>
    <s v="NESTLE PURINA"/>
    <x v="2"/>
    <x v="0"/>
    <s v="JUMBO"/>
    <n v="12662"/>
    <x v="15"/>
    <s v="CUENTA CON CALZADO DE ACUERDO AL UNIFORME"/>
    <s v="NO"/>
    <m/>
    <n v="27484800"/>
    <s v="NestleP.2"/>
    <x v="0"/>
    <x v="0"/>
    <n v="0"/>
    <s v="SI"/>
    <n v="0"/>
    <n v="0"/>
    <m/>
  </r>
  <r>
    <s v="NESTLE PURINA"/>
    <x v="2"/>
    <x v="0"/>
    <s v="JUMBO"/>
    <n v="12662"/>
    <x v="15"/>
    <s v="CUENTA CON CAMISA DEL UNIFORME Y LOGOS SEGÚN EL CARGO (NEGRA / GRIS / ROJA / TURQUESA) (Es permitido usar debajo de la camisa buso manga larga Negro)"/>
    <s v="NO"/>
    <m/>
    <n v="27484800"/>
    <s v="NestleP.2"/>
    <x v="0"/>
    <x v="0"/>
    <n v="0"/>
    <s v="SI"/>
    <n v="0"/>
    <n v="0"/>
    <m/>
  </r>
  <r>
    <s v="NESTLE PURINA"/>
    <x v="2"/>
    <x v="0"/>
    <s v="JUMBO"/>
    <n v="12662"/>
    <x v="15"/>
    <s v="CUENTA CON PANTALON DEL UNIFORME SEGÚN EL CARGO (NEGRO / ROJO / TURQUESA / JEAN)"/>
    <s v="NO"/>
    <m/>
    <n v="27484800"/>
    <s v="NestleP.2"/>
    <x v="0"/>
    <x v="0"/>
    <n v="0"/>
    <s v="SI"/>
    <n v="0"/>
    <n v="0"/>
    <m/>
  </r>
  <r>
    <s v="NESTLE PURINA"/>
    <x v="2"/>
    <x v="0"/>
    <s v="JUMBO"/>
    <n v="12662"/>
    <x v="15"/>
    <s v="¿CUMPLE HORARIO DE ENTRADA O SALIDA DE LA TIENDA?"/>
    <s v="NO"/>
    <m/>
    <n v="27484800"/>
    <s v="NestleP.2"/>
    <x v="0"/>
    <x v="0"/>
    <n v="0"/>
    <s v="SI"/>
    <n v="0"/>
    <n v="0"/>
    <m/>
  </r>
  <r>
    <s v="NESTLE PURINA"/>
    <x v="2"/>
    <x v="0"/>
    <s v="JUMBO"/>
    <n v="12662"/>
    <x v="15"/>
    <s v="SE LOGRA REALIZAR EL MYSTERY?"/>
    <s v="NO"/>
    <m/>
    <n v="27484800"/>
    <s v="NestleP.2"/>
    <x v="0"/>
    <x v="0"/>
    <n v="0"/>
    <n v="0"/>
    <n v="0"/>
    <n v="0"/>
    <m/>
  </r>
  <r>
    <s v="NESTLE PURINA"/>
    <x v="0"/>
    <x v="1"/>
    <s v="AGRO/PSHOP/VET"/>
    <n v="356594"/>
    <x v="16"/>
    <s v="DESEA AÑADIR ALGUNA OBSERVACION Y/O NOVEDAD DEL MYSTERY REALIZADO?"/>
    <s v="NO"/>
    <m/>
    <n v="27480859"/>
    <s v="NestleP.7"/>
    <x v="1"/>
    <x v="0"/>
    <n v="0"/>
    <n v="0"/>
    <n v="0"/>
    <n v="0"/>
    <m/>
  </r>
  <r>
    <s v="NESTLE PURINA"/>
    <x v="0"/>
    <x v="1"/>
    <s v="AGRO/PSHOP/VET"/>
    <n v="356594"/>
    <x v="16"/>
    <s v="CONSIDERO QUE INDEPENDIENTEMENTE DEL SPEECH, LA LABOR DE VENTA ES BUENA"/>
    <s v="SI"/>
    <m/>
    <n v="27480859"/>
    <s v="NestleP.7"/>
    <x v="1"/>
    <x v="6"/>
    <n v="7.5"/>
    <s v="SI"/>
    <n v="7.5"/>
    <n v="0"/>
    <m/>
  </r>
  <r>
    <s v="NESTLE PURINA"/>
    <x v="0"/>
    <x v="1"/>
    <s v="AGRO/PSHOP/VET"/>
    <n v="356594"/>
    <x v="16"/>
    <s v="REALIZA CIERRE DE VENTA"/>
    <s v="SI"/>
    <m/>
    <n v="27480859"/>
    <s v="NestleP.7"/>
    <x v="1"/>
    <x v="6"/>
    <n v="7.5"/>
    <s v="SI"/>
    <n v="7.5"/>
    <n v="0"/>
    <m/>
  </r>
  <r>
    <s v="NESTLE PURINA"/>
    <x v="0"/>
    <x v="1"/>
    <s v="AGRO/PSHOP/VET"/>
    <n v="356594"/>
    <x v="16"/>
    <s v="SE ENCUENTRA LIMPIA EL AREA DE DEMOSTRACION"/>
    <s v="SI"/>
    <m/>
    <n v="27480859"/>
    <s v="NestleP.7"/>
    <x v="1"/>
    <x v="1"/>
    <n v="1.3636363636363635"/>
    <s v="SI"/>
    <n v="1.3636363636363635"/>
    <n v="0"/>
    <m/>
  </r>
  <r>
    <s v="NESTLE PURINA"/>
    <x v="0"/>
    <x v="1"/>
    <s v="AGRO/PSHOP/VET"/>
    <n v="356594"/>
    <x v="16"/>
    <s v="RESUELVE LA OBJECION SATISFACTORIAMENTE?"/>
    <s v="SI"/>
    <m/>
    <n v="27480859"/>
    <s v="NestleP.7"/>
    <x v="1"/>
    <x v="3"/>
    <n v="1.5384615384615385"/>
    <s v="SI"/>
    <n v="1.5384615384615385"/>
    <n v="0"/>
    <m/>
  </r>
  <r>
    <s v="NESTLE PURINA"/>
    <x v="2"/>
    <x v="0"/>
    <s v="JUMBO"/>
    <n v="12662"/>
    <x v="15"/>
    <s v="PRESENTA EXCESO DE MAQUILLAJE QUE NO CUMPLE CON EL CODIGO DE VESTIMENTA"/>
    <s v="NO"/>
    <m/>
    <n v="27484800"/>
    <s v="NestleP.2"/>
    <x v="0"/>
    <x v="0"/>
    <n v="0"/>
    <s v="NO"/>
    <n v="0"/>
    <n v="0"/>
    <m/>
  </r>
  <r>
    <s v="NESTLE PURINA"/>
    <x v="0"/>
    <x v="1"/>
    <s v="AGRO/PSHOP/VET"/>
    <n v="356594"/>
    <x v="16"/>
    <s v="INDIQUE QUE TIPO DE OBJECION / DUDA MANIFESTÓ"/>
    <s v=" NO TIENE DINERO"/>
    <m/>
    <n v="27480859"/>
    <s v="NestleP.7"/>
    <x v="1"/>
    <x v="0"/>
    <n v="0"/>
    <s v="FALTA DE PRODUCTO, NO LE INTERESA EL PRODUCTO, NO TIENE DINERO, PREFIERE LA COMPETENCIA"/>
    <n v="0"/>
    <n v="0"/>
    <m/>
  </r>
  <r>
    <s v="NESTLE PURINA"/>
    <x v="2"/>
    <x v="0"/>
    <s v="JUMBO"/>
    <n v="12662"/>
    <x v="15"/>
    <s v="RESUELVE LA OBJECION SATISFACTORIAMENTE?"/>
    <s v="NO"/>
    <m/>
    <n v="27484800"/>
    <s v="NestleP.2"/>
    <x v="0"/>
    <x v="0"/>
    <n v="0"/>
    <s v="SI"/>
    <n v="0"/>
    <n v="0"/>
    <m/>
  </r>
  <r>
    <s v="NESTLE PURINA"/>
    <x v="2"/>
    <x v="0"/>
    <s v="JUMBO"/>
    <n v="12662"/>
    <x v="15"/>
    <s v="REALIZA CIERRE DE VENTA"/>
    <s v="NO"/>
    <m/>
    <n v="27484800"/>
    <s v="NestleP.2"/>
    <x v="0"/>
    <x v="0"/>
    <n v="0"/>
    <s v="SI"/>
    <n v="0"/>
    <n v="0"/>
    <m/>
  </r>
  <r>
    <s v="NESTLE PURINA"/>
    <x v="2"/>
    <x v="0"/>
    <s v="EXITO"/>
    <n v="442719"/>
    <x v="9"/>
    <s v="RESUELVE LA OBJECION SATISFACTORIAMENTE?"/>
    <s v="SI"/>
    <m/>
    <n v="27486785"/>
    <s v="NestleP.2"/>
    <x v="1"/>
    <x v="3"/>
    <n v="1.5384615384615385"/>
    <s v="SI"/>
    <n v="1.5384615384615385"/>
    <n v="0"/>
    <m/>
  </r>
  <r>
    <s v="NESTLE PURINA"/>
    <x v="2"/>
    <x v="0"/>
    <s v="EXITO"/>
    <n v="442719"/>
    <x v="9"/>
    <s v="INDIQUE QUE TIPO DE OBJECION / DUDA MANIFESTÓ"/>
    <s v=" NO TIENE DINERO"/>
    <m/>
    <n v="27486785"/>
    <s v="NestleP.2"/>
    <x v="1"/>
    <x v="0"/>
    <n v="0"/>
    <s v="FALTA DE PRODUCTO, NO LE INTERESA EL PRODUCTO, NO TIENE DINERO, PREFIERE LA COMPETENCIA"/>
    <n v="0"/>
    <n v="0"/>
    <m/>
  </r>
  <r>
    <s v="NESTLE PURINA"/>
    <x v="2"/>
    <x v="0"/>
    <s v="EXITO"/>
    <n v="442719"/>
    <x v="9"/>
    <s v="CM - Dan a conocer al cliente la actividad del &quot;EVENTO CORPORATIVO DE OLIMPICA JUNIO&quot;?"/>
    <s v="NO"/>
    <m/>
    <n v="27486785"/>
    <s v="NestleP.2"/>
    <x v="1"/>
    <x v="5"/>
    <n v="5"/>
    <s v="SI"/>
    <n v="0"/>
    <n v="0"/>
    <m/>
  </r>
  <r>
    <s v="NESTLE PURINA"/>
    <x v="2"/>
    <x v="0"/>
    <s v="EXITO"/>
    <n v="442719"/>
    <x v="9"/>
    <s v="CM - Bajo la objeción de &quot;precio muy costoso&quot;, el asesor ofrece productos en el orden de la segmentación: Perros: Purina One - Dog Chow - Alpo y Gatos: Purina One - Cat Chow - Felix - Gatsy (cuando enuncia Gatsy menciona que &quot;ahora es mas sabroso&quot;)"/>
    <s v="SI"/>
    <m/>
    <n v="27486785"/>
    <s v="NestleP.2"/>
    <x v="1"/>
    <x v="3"/>
    <n v="1.5384615384615385"/>
    <s v="SI"/>
    <n v="1.5384615384615385"/>
    <n v="0"/>
    <m/>
  </r>
  <r>
    <s v="NESTLE PURINA"/>
    <x v="2"/>
    <x v="0"/>
    <s v="EXITO"/>
    <n v="442719"/>
    <x v="9"/>
    <s v="CM - Maneja la objeción de alto precio en las marcas Purina, comunicando la baja de precios de las marcas o las ofertas disponibles en el punto de venta."/>
    <s v="SI"/>
    <m/>
    <n v="27486785"/>
    <s v="NestleP.2"/>
    <x v="1"/>
    <x v="3"/>
    <n v="1.5384615384615385"/>
    <s v="SI"/>
    <n v="1.5384615384615385"/>
    <n v="0"/>
    <m/>
  </r>
  <r>
    <s v="NESTLE PURINA"/>
    <x v="2"/>
    <x v="0"/>
    <s v="EXITO"/>
    <n v="442719"/>
    <x v="9"/>
    <s v="CM - MENCIONA QUE PURINA ONE CUENTA CON ALIMENTO HUMEDO Y MENCIONA LAS 3 VARIADADES QUE TIENE ( SUPER FOODS, SUPER NUTRIENTES Y MULTI PROTEINAS); APLICA TANTO PARA PERRO COMO PARA GATO"/>
    <s v="SI"/>
    <m/>
    <n v="27486785"/>
    <s v="NestleP.2"/>
    <x v="1"/>
    <x v="3"/>
    <n v="1.5384615384615385"/>
    <s v="SI"/>
    <n v="1.5384615384615385"/>
    <n v="0"/>
    <m/>
  </r>
  <r>
    <s v="NESTLE PURINA"/>
    <x v="2"/>
    <x v="0"/>
    <s v="EXITO"/>
    <n v="442719"/>
    <x v="9"/>
    <s v="CM - MENCIONA QUE TIENE CARNE DE VERDAD COMO INGREDIENTE NO.1 E INGREDIENTES NATURALES Y FUNCIONALES?"/>
    <s v="SI"/>
    <m/>
    <n v="27486785"/>
    <s v="NestleP.2"/>
    <x v="1"/>
    <x v="3"/>
    <n v="1.5384615384615385"/>
    <s v="SI"/>
    <n v="1.5384615384615385"/>
    <n v="0"/>
    <m/>
  </r>
  <r>
    <s v="NESTLE PURINA"/>
    <x v="2"/>
    <x v="0"/>
    <s v="EXITO"/>
    <n v="442719"/>
    <x v="9"/>
    <s v="CM - MENCIONA QUE LOS RESULTADOS DE PURINA ONE SON VISIBLES EN 28 DIAS?"/>
    <s v="SI"/>
    <m/>
    <n v="27486785"/>
    <s v="NestleP.2"/>
    <x v="1"/>
    <x v="3"/>
    <n v="1.5384615384615385"/>
    <s v="SI"/>
    <n v="1.5384615384615385"/>
    <n v="0"/>
    <m/>
  </r>
  <r>
    <s v="NESTLE PURINA"/>
    <x v="2"/>
    <x v="0"/>
    <s v="EXITO"/>
    <n v="442719"/>
    <x v="9"/>
    <s v="CM - OFRECE PURINA ONE?"/>
    <s v="SI"/>
    <m/>
    <n v="27486785"/>
    <s v="NestleP.2"/>
    <x v="1"/>
    <x v="3"/>
    <n v="1.5384615384615385"/>
    <s v="SI"/>
    <n v="1.5384615384615385"/>
    <n v="0"/>
    <m/>
  </r>
  <r>
    <s v="NESTLE PURINA"/>
    <x v="2"/>
    <x v="0"/>
    <s v="EXITO"/>
    <n v="442719"/>
    <x v="9"/>
    <s v="SELECCIONE EL CANAL DEL PDV QUE EVALUA"/>
    <s v="MODERNO"/>
    <m/>
    <n v="27486785"/>
    <s v="NestleP.2"/>
    <x v="1"/>
    <x v="0"/>
    <n v="0"/>
    <s v="MODERNO, ESPECIALIZADO"/>
    <n v="0"/>
    <n v="0"/>
    <m/>
  </r>
  <r>
    <s v="NESTLE PURINA"/>
    <x v="2"/>
    <x v="0"/>
    <s v="EXITO"/>
    <n v="442719"/>
    <x v="9"/>
    <s v="OFRECIO ALGUN PRODUCTO PORTAFOLIO PURINA DE PRODUCTOS HUMEDOS, SNACK U OTROS COMUNICANDO LOS BENEFICIOS DEL PRODUCTO (Dog chow húmedo, Cat chow húmedo, Fancy Feast, Felix, Proplan Húmedo, One Húmedo) Snacks (Abrazzos, Dentalife) Arenilla (Tidy Cat)"/>
    <s v="SI"/>
    <m/>
    <n v="27486785"/>
    <s v="NestleP.2"/>
    <x v="1"/>
    <x v="3"/>
    <n v="1.5384615384615385"/>
    <s v="SI"/>
    <n v="1.5384615384615385"/>
    <n v="0"/>
    <m/>
  </r>
  <r>
    <s v="NESTLE PURINA"/>
    <x v="2"/>
    <x v="0"/>
    <s v="EXITO"/>
    <n v="442719"/>
    <x v="9"/>
    <s v="OFRECIO ALGUN PRODUCTO DEL PORTAFOLIO PURINA DE PRODUCTOS SECOS COMUNICANDO LOS BENEFICIOS DEL PRODUCTO (DOG CHOW, CAT CHOW,_x000a_ALPO, GATSY,FELIX)"/>
    <s v="SI"/>
    <m/>
    <n v="27486785"/>
    <s v="NestleP.2"/>
    <x v="1"/>
    <x v="3"/>
    <n v="1.5384615384615385"/>
    <s v="SI"/>
    <n v="1.5384615384615385"/>
    <n v="0"/>
    <m/>
  </r>
  <r>
    <s v="NESTLE PURINA"/>
    <x v="2"/>
    <x v="0"/>
    <s v="EXITO"/>
    <n v="442719"/>
    <x v="9"/>
    <s v="SE PRODUCE ABORDO PROACTIVO (antes de los 3 min)"/>
    <s v="SI"/>
    <m/>
    <n v="27486785"/>
    <s v="NestleP.2"/>
    <x v="1"/>
    <x v="2"/>
    <n v="20"/>
    <s v="SI"/>
    <n v="20"/>
    <n v="0"/>
    <m/>
  </r>
  <r>
    <s v="NESTLE PURINA"/>
    <x v="2"/>
    <x v="0"/>
    <s v="JUMBO"/>
    <n v="12662"/>
    <x v="15"/>
    <s v="SE ENCUENTRA LIMPIA EL AREA DE DEMOSTRACION"/>
    <s v="NO"/>
    <m/>
    <n v="27484800"/>
    <s v="NestleP.2"/>
    <x v="0"/>
    <x v="0"/>
    <n v="0"/>
    <s v="SI"/>
    <n v="0"/>
    <n v="0"/>
    <m/>
  </r>
  <r>
    <s v="NESTLE PURINA"/>
    <x v="2"/>
    <x v="0"/>
    <s v="EXITO"/>
    <n v="442719"/>
    <x v="9"/>
    <s v="USA ACCESORIOS QUE NO CUMPLE CON EL CODIGO DE VESTIMENTA"/>
    <s v="NO"/>
    <m/>
    <n v="27486785"/>
    <s v="NestleP.2"/>
    <x v="1"/>
    <x v="1"/>
    <n v="1.3636363636363635"/>
    <s v="NO"/>
    <n v="1.3636363636363635"/>
    <n v="0"/>
    <m/>
  </r>
  <r>
    <s v="NESTLE PURINA"/>
    <x v="2"/>
    <x v="0"/>
    <s v="EXITO"/>
    <n v="442719"/>
    <x v="9"/>
    <s v="TIENE TATUAJES O PIERCINGS VISIBLES QUE NO CUMPLE CON EL CODIGO DE VESTIMENTA"/>
    <s v="NO"/>
    <m/>
    <n v="27486785"/>
    <s v="NestleP.2"/>
    <x v="1"/>
    <x v="1"/>
    <n v="1.3636363636363635"/>
    <s v="NO"/>
    <n v="1.3636363636363635"/>
    <n v="0"/>
    <m/>
  </r>
  <r>
    <s v="NESTLE PURINA"/>
    <x v="2"/>
    <x v="0"/>
    <s v="EXITO"/>
    <n v="442719"/>
    <x v="9"/>
    <s v="PRESENTA EXCESO DE MAQUILLAJE QUE NO CUMPLE CON EL CODIGO DE VESTIMENTA"/>
    <s v="NO"/>
    <m/>
    <n v="27486785"/>
    <s v="NestleP.2"/>
    <x v="1"/>
    <x v="1"/>
    <n v="1.3636363636363635"/>
    <s v="NO"/>
    <n v="1.3636363636363635"/>
    <n v="0"/>
    <m/>
  </r>
  <r>
    <s v="NESTLE PURINA"/>
    <x v="2"/>
    <x v="0"/>
    <s v="EXITO"/>
    <n v="442719"/>
    <x v="9"/>
    <s v="SU CABELLO LUCE LIMPIO, ORGANIZADO O RECOGIDO"/>
    <s v="SI"/>
    <m/>
    <n v="27486785"/>
    <s v="NestleP.2"/>
    <x v="1"/>
    <x v="1"/>
    <n v="1.3636363636363635"/>
    <s v="SI"/>
    <n v="1.3636363636363635"/>
    <n v="0"/>
    <m/>
  </r>
  <r>
    <s v="NESTLE PURINA"/>
    <x v="2"/>
    <x v="0"/>
    <s v="EXITO"/>
    <n v="442719"/>
    <x v="9"/>
    <s v="EL UNIFORME Y ZAPATOS SE ENCUENTRAN LIMPIOS Y EN BUEN ESTADO"/>
    <s v="SI"/>
    <m/>
    <n v="27486785"/>
    <s v="NestleP.2"/>
    <x v="1"/>
    <x v="1"/>
    <n v="1.3636363636363635"/>
    <s v="SI"/>
    <n v="1.3636363636363635"/>
    <n v="0"/>
    <m/>
  </r>
  <r>
    <s v="NESTLE PURINA"/>
    <x v="2"/>
    <x v="0"/>
    <s v="EXITO"/>
    <n v="442719"/>
    <x v="9"/>
    <s v="POSEE ALGUNA PRENDA ENCIMA DEL UNIFORME NO AUTORIZADA POR LA MARCA (Unicamente esta permitido chaleco de Sodimac y Easy)"/>
    <s v="NO"/>
    <m/>
    <n v="27486785"/>
    <s v="NestleP.2"/>
    <x v="1"/>
    <x v="1"/>
    <n v="1.3636363636363635"/>
    <s v="NO"/>
    <n v="1.3636363636363635"/>
    <n v="0"/>
    <m/>
  </r>
  <r>
    <s v="NESTLE PURINA"/>
    <x v="2"/>
    <x v="0"/>
    <s v="EXITO"/>
    <n v="442719"/>
    <x v="9"/>
    <s v="CUENTA CON CALZADO DE ACUERDO AL UNIFORME"/>
    <s v="SI"/>
    <m/>
    <n v="27486785"/>
    <s v="NestleP.2"/>
    <x v="1"/>
    <x v="1"/>
    <n v="1.3636363636363635"/>
    <s v="SI"/>
    <n v="1.3636363636363635"/>
    <n v="0"/>
    <m/>
  </r>
  <r>
    <s v="NESTLE PURINA"/>
    <x v="2"/>
    <x v="0"/>
    <s v="EXITO"/>
    <n v="442719"/>
    <x v="9"/>
    <s v="CUENTA CON CAMISA DEL UNIFORME Y LOGOS SEGÚN EL CARGO (NEGRA / GRIS / ROJA / TURQUESA) (Es permitido usar debajo de la camisa buso manga larga Negro)"/>
    <s v="SI"/>
    <m/>
    <n v="27486785"/>
    <s v="NestleP.2"/>
    <x v="1"/>
    <x v="1"/>
    <n v="1.3636363636363635"/>
    <s v="SI"/>
    <n v="1.3636363636363635"/>
    <n v="0"/>
    <m/>
  </r>
  <r>
    <s v="NESTLE PURINA"/>
    <x v="2"/>
    <x v="0"/>
    <s v="EXITO"/>
    <n v="442719"/>
    <x v="9"/>
    <s v="CUENTA CON PANTALON DEL UNIFORME SEGÚN EL CARGO (NEGRO / ROJO / TURQUESA / JEAN)"/>
    <s v="SI"/>
    <m/>
    <n v="27486785"/>
    <s v="NestleP.2"/>
    <x v="1"/>
    <x v="1"/>
    <n v="1.3636363636363635"/>
    <s v="SI"/>
    <n v="1.3636363636363635"/>
    <n v="0"/>
    <m/>
  </r>
  <r>
    <s v="NESTLE PURINA"/>
    <x v="2"/>
    <x v="0"/>
    <s v="EXITO"/>
    <n v="442719"/>
    <x v="9"/>
    <s v="¿CUMPLE HORARIO DE ENTRADA O SALIDA DE LA TIENDA?"/>
    <s v="SI"/>
    <m/>
    <n v="27486785"/>
    <s v="NestleP.2"/>
    <x v="1"/>
    <x v="4"/>
    <n v="20"/>
    <s v="SI"/>
    <n v="20"/>
    <n v="0"/>
    <m/>
  </r>
  <r>
    <s v="NESTLE PURINA"/>
    <x v="2"/>
    <x v="0"/>
    <s v="EXITO"/>
    <n v="442719"/>
    <x v="9"/>
    <s v="SE LOGRA REALIZAR EL MYSTERY?"/>
    <s v="SI"/>
    <m/>
    <n v="27486785"/>
    <s v="NestleP.2"/>
    <x v="1"/>
    <x v="0"/>
    <n v="0"/>
    <n v="0"/>
    <n v="0"/>
    <n v="0"/>
    <m/>
  </r>
  <r>
    <s v="NESTLE PURINA"/>
    <x v="2"/>
    <x v="0"/>
    <s v="JUMBO"/>
    <n v="12662"/>
    <x v="15"/>
    <s v="INDIQUE OBSERVACION Y/O NOVEDAD DEL MYSTERY REALIZADO"/>
    <s v="Se visita pdv en horario establecido no se encuentra asesor "/>
    <m/>
    <n v="27484800"/>
    <s v="NestleP.2"/>
    <x v="0"/>
    <x v="0"/>
    <n v="0"/>
    <n v="0"/>
    <n v="0"/>
    <n v="0"/>
    <m/>
  </r>
  <r>
    <s v="NESTLE PURINA"/>
    <x v="2"/>
    <x v="0"/>
    <s v="JUMBO"/>
    <n v="12662"/>
    <x v="15"/>
    <s v="DESEA AÑADIR ALGUNA OBSERVACION Y/O NOVEDAD DEL MYSTERY REALIZADO?"/>
    <s v="SI"/>
    <m/>
    <n v="27484800"/>
    <s v="NestleP.2"/>
    <x v="0"/>
    <x v="0"/>
    <n v="0"/>
    <n v="0"/>
    <n v="0"/>
    <n v="0"/>
    <m/>
  </r>
  <r>
    <s v="NESTLE PURINA"/>
    <x v="2"/>
    <x v="0"/>
    <s v="JUMBO"/>
    <n v="12662"/>
    <x v="15"/>
    <s v="CONSIDERO QUE INDEPENDIENTEMENTE DEL SPEECH, LA LABOR DE VENTA ES BUENA"/>
    <s v="NO"/>
    <m/>
    <n v="27484800"/>
    <s v="NestleP.2"/>
    <x v="0"/>
    <x v="0"/>
    <n v="0"/>
    <s v="SI"/>
    <n v="0"/>
    <n v="0"/>
    <m/>
  </r>
  <r>
    <s v="NESTLE PURINA"/>
    <x v="2"/>
    <x v="0"/>
    <s v="EXITO"/>
    <n v="442719"/>
    <x v="9"/>
    <s v="TIENE UÑAS LLAMATIVAS Y/O LARGAS QUE NO CUMPLE CON EL CODIGO DE VESTIMENTA"/>
    <s v="NO"/>
    <m/>
    <n v="27486785"/>
    <s v="NestleP.2"/>
    <x v="1"/>
    <x v="1"/>
    <n v="1.3636363636363635"/>
    <s v="NO"/>
    <n v="1.3636363636363635"/>
    <n v="0"/>
    <m/>
  </r>
  <r>
    <s v="NESTLE PURINA"/>
    <x v="0"/>
    <x v="1"/>
    <s v="AGRO/PSHOP/VET"/>
    <n v="356594"/>
    <x v="16"/>
    <s v="CE - Ofrece producto humedo y comunica la dinamica de multiprice (por la compra de mas cantidades tiene descuento)"/>
    <s v="SI"/>
    <m/>
    <n v="27480859"/>
    <s v="NestleP.7"/>
    <x v="1"/>
    <x v="5"/>
    <n v="5"/>
    <s v="SI"/>
    <n v="5"/>
    <n v="0"/>
    <m/>
  </r>
  <r>
    <s v="NESTLE PURINA"/>
    <x v="0"/>
    <x v="1"/>
    <s v="AGRO/PSHOP/VET"/>
    <n v="356594"/>
    <x v="16"/>
    <s v="CE - El asesor comunica los beneficios o caracteristicas del producto Excellent e informa que el producto cambio de imagen pero continua con la misma formula?"/>
    <s v="NO"/>
    <m/>
    <n v="27480859"/>
    <s v="NestleP.7"/>
    <x v="1"/>
    <x v="3"/>
    <n v="1.5384615384615385"/>
    <s v="SI"/>
    <n v="0"/>
    <n v="0"/>
    <m/>
  </r>
  <r>
    <s v="NESTLE PURINA"/>
    <x v="0"/>
    <x v="1"/>
    <s v="AGRO/PSHOP/VET"/>
    <n v="356594"/>
    <x v="16"/>
    <s v="CE - El asesor comunica que la marca Excellent esta dentro de la categoria SuperPremium pero a un costo mas accesible."/>
    <s v="NO"/>
    <m/>
    <n v="27480859"/>
    <s v="NestleP.7"/>
    <x v="1"/>
    <x v="3"/>
    <n v="1.5384615384615385"/>
    <s v="SI"/>
    <n v="0"/>
    <n v="0"/>
    <m/>
  </r>
  <r>
    <s v="NESTLE PURINA"/>
    <x v="0"/>
    <x v="0"/>
    <s v="OLIMPICA"/>
    <n v="13555"/>
    <x v="17"/>
    <s v="OFRECIO ALGUN PRODUCTO PORTAFOLIO PURINA DE PRODUCTOS HUMEDOS, SNACK U OTROS COMUNICANDO LOS BENEFICIOS DEL PRODUCTO (Dog chow húmedo, Cat chow húmedo, Fancy Feast, Felix, Proplan Húmedo, One Húmedo) Snacks (Abrazzos, Dentalife) Arenilla (Tidy Cat)"/>
    <s v="NO"/>
    <m/>
    <n v="27476525"/>
    <s v="NestleP.7"/>
    <x v="0"/>
    <x v="0"/>
    <n v="0"/>
    <s v="SI"/>
    <n v="0"/>
    <n v="0"/>
    <m/>
  </r>
  <r>
    <s v="NESTLE PURINA"/>
    <x v="0"/>
    <x v="0"/>
    <s v="OLIMPICA"/>
    <n v="13555"/>
    <x v="17"/>
    <s v="OFRECIO ALGUN PRODUCTO DEL PORTAFOLIO PURINA DE PRODUCTOS SECOS COMUNICANDO LOS BENEFICIOS DEL PRODUCTO (DOG CHOW, CAT CHOW,_x000a_ALPO, GATSY,FELIX)"/>
    <s v="NO"/>
    <m/>
    <n v="27476525"/>
    <s v="NestleP.7"/>
    <x v="0"/>
    <x v="0"/>
    <n v="0"/>
    <s v="SI"/>
    <n v="0"/>
    <n v="0"/>
    <m/>
  </r>
  <r>
    <s v="NESTLE PURINA"/>
    <x v="0"/>
    <x v="0"/>
    <s v="OLIMPICA"/>
    <n v="13555"/>
    <x v="17"/>
    <s v="SE PRODUCE ABORDO PROACTIVO (antes de los 3 min)"/>
    <s v="NO"/>
    <m/>
    <n v="27476525"/>
    <s v="NestleP.7"/>
    <x v="0"/>
    <x v="0"/>
    <n v="0"/>
    <s v="SI"/>
    <n v="0"/>
    <n v="0"/>
    <m/>
  </r>
  <r>
    <s v="NESTLE PURINA"/>
    <x v="0"/>
    <x v="0"/>
    <s v="OLIMPICA"/>
    <n v="13555"/>
    <x v="17"/>
    <s v="USA ACCESORIOS QUE NO CUMPLE CON EL CODIGO DE VESTIMENTA"/>
    <s v="NO"/>
    <m/>
    <n v="27476525"/>
    <s v="NestleP.7"/>
    <x v="0"/>
    <x v="0"/>
    <n v="0"/>
    <s v="NO"/>
    <n v="0"/>
    <n v="0"/>
    <m/>
  </r>
  <r>
    <s v="NESTLE PURINA"/>
    <x v="0"/>
    <x v="0"/>
    <s v="OLIMPICA"/>
    <n v="13555"/>
    <x v="17"/>
    <s v="TIENE UÑAS LLAMATIVAS Y/O LARGAS QUE NO CUMPLE CON EL CODIGO DE VESTIMENTA"/>
    <s v="NO"/>
    <m/>
    <n v="27476525"/>
    <s v="NestleP.7"/>
    <x v="0"/>
    <x v="0"/>
    <n v="0"/>
    <s v="NO"/>
    <n v="0"/>
    <n v="0"/>
    <m/>
  </r>
  <r>
    <s v="NESTLE PURINA"/>
    <x v="0"/>
    <x v="0"/>
    <s v="OLIMPICA"/>
    <n v="13555"/>
    <x v="17"/>
    <s v="TIENE TATUAJES O PIERCINGS VISIBLES QUE NO CUMPLE CON EL CODIGO DE VESTIMENTA"/>
    <s v="NO"/>
    <m/>
    <n v="27476525"/>
    <s v="NestleP.7"/>
    <x v="0"/>
    <x v="0"/>
    <n v="0"/>
    <s v="NO"/>
    <n v="0"/>
    <n v="0"/>
    <m/>
  </r>
  <r>
    <s v="NESTLE PURINA"/>
    <x v="0"/>
    <x v="0"/>
    <s v="OLIMPICA"/>
    <n v="13555"/>
    <x v="17"/>
    <s v="PRESENTA EXCESO DE MAQUILLAJE QUE NO CUMPLE CON EL CODIGO DE VESTIMENTA"/>
    <s v="NO"/>
    <m/>
    <n v="27476525"/>
    <s v="NestleP.7"/>
    <x v="0"/>
    <x v="0"/>
    <n v="0"/>
    <s v="NO"/>
    <n v="0"/>
    <n v="0"/>
    <m/>
  </r>
  <r>
    <s v="NESTLE PURINA"/>
    <x v="0"/>
    <x v="0"/>
    <s v="OLIMPICA"/>
    <n v="13555"/>
    <x v="17"/>
    <s v="SU CABELLO LUCE LIMPIO, ORGANIZADO O RECOGIDO"/>
    <s v="NO"/>
    <m/>
    <n v="27476525"/>
    <s v="NestleP.7"/>
    <x v="0"/>
    <x v="0"/>
    <n v="0"/>
    <s v="SI"/>
    <n v="0"/>
    <n v="0"/>
    <m/>
  </r>
  <r>
    <s v="NESTLE PURINA"/>
    <x v="0"/>
    <x v="0"/>
    <s v="OLIMPICA"/>
    <n v="13555"/>
    <x v="17"/>
    <s v="EL UNIFORME Y ZAPATOS SE ENCUENTRAN LIMPIOS Y EN BUEN ESTADO"/>
    <s v="NO"/>
    <m/>
    <n v="27476525"/>
    <s v="NestleP.7"/>
    <x v="0"/>
    <x v="0"/>
    <n v="0"/>
    <s v="SI"/>
    <n v="0"/>
    <n v="0"/>
    <m/>
  </r>
  <r>
    <s v="NESTLE PURINA"/>
    <x v="0"/>
    <x v="0"/>
    <s v="OLIMPICA"/>
    <n v="13555"/>
    <x v="17"/>
    <s v="POSEE ALGUNA PRENDA ENCIMA DEL UNIFORME NO AUTORIZADA POR LA MARCA (Unicamente esta permitido chaleco de Sodimac y Easy)"/>
    <s v="NO"/>
    <m/>
    <n v="27476525"/>
    <s v="NestleP.7"/>
    <x v="0"/>
    <x v="0"/>
    <n v="0"/>
    <s v="NO"/>
    <n v="0"/>
    <n v="0"/>
    <m/>
  </r>
  <r>
    <s v="NESTLE PURINA"/>
    <x v="0"/>
    <x v="0"/>
    <s v="OLIMPICA"/>
    <n v="13555"/>
    <x v="17"/>
    <s v="CUENTA CON CALZADO DE ACUERDO AL UNIFORME"/>
    <s v="NO"/>
    <m/>
    <n v="27476525"/>
    <s v="NestleP.7"/>
    <x v="0"/>
    <x v="0"/>
    <n v="0"/>
    <s v="SI"/>
    <n v="0"/>
    <n v="0"/>
    <m/>
  </r>
  <r>
    <s v="NESTLE PURINA"/>
    <x v="0"/>
    <x v="0"/>
    <s v="OLIMPICA"/>
    <n v="13555"/>
    <x v="17"/>
    <s v="CUENTA CON CAMISA DEL UNIFORME Y LOGOS SEGÚN EL CARGO (NEGRA / GRIS / ROJA / TURQUESA) (Es permitido usar debajo de la camisa buso manga larga Negro)"/>
    <s v="NO"/>
    <m/>
    <n v="27476525"/>
    <s v="NestleP.7"/>
    <x v="0"/>
    <x v="0"/>
    <n v="0"/>
    <s v="SI"/>
    <n v="0"/>
    <n v="0"/>
    <m/>
  </r>
  <r>
    <s v="NESTLE PURINA"/>
    <x v="0"/>
    <x v="0"/>
    <s v="OLIMPICA"/>
    <n v="13555"/>
    <x v="17"/>
    <s v="CUENTA CON PANTALON DEL UNIFORME SEGÚN EL CARGO (NEGRO / ROJO / TURQUESA / JEAN)"/>
    <s v="NO"/>
    <m/>
    <n v="27476525"/>
    <s v="NestleP.7"/>
    <x v="0"/>
    <x v="0"/>
    <n v="0"/>
    <s v="SI"/>
    <n v="0"/>
    <n v="0"/>
    <m/>
  </r>
  <r>
    <s v="NESTLE PURINA"/>
    <x v="0"/>
    <x v="0"/>
    <s v="OLIMPICA"/>
    <n v="13555"/>
    <x v="17"/>
    <s v="SELECCIONE EL CANAL DEL PDV QUE EVALUA"/>
    <s v="MODERNO"/>
    <m/>
    <n v="27476525"/>
    <s v="NestleP.7"/>
    <x v="0"/>
    <x v="0"/>
    <n v="0"/>
    <s v="MODERNO, ESPECIALIZADO"/>
    <n v="0"/>
    <n v="0"/>
    <m/>
  </r>
  <r>
    <s v="NESTLE PURINA"/>
    <x v="0"/>
    <x v="0"/>
    <s v="OLIMPICA"/>
    <n v="13555"/>
    <x v="17"/>
    <s v="¿CUMPLE HORARIO DE ENTRADA O SALIDA DE LA TIENDA?"/>
    <s v="NO"/>
    <m/>
    <n v="27476525"/>
    <s v="NestleP.7"/>
    <x v="0"/>
    <x v="0"/>
    <n v="0"/>
    <s v="SI"/>
    <n v="0"/>
    <n v="0"/>
    <m/>
  </r>
  <r>
    <s v="NESTLE PURINA"/>
    <x v="2"/>
    <x v="1"/>
    <s v="EXITO"/>
    <n v="454996"/>
    <x v="13"/>
    <s v="INDIQUE OBSERVACION Y/O NOVEDAD DEL MYSTERY REALIZADO"/>
    <s v="Se visita pdv en el tiempo indicado , no se encuentra asesor "/>
    <m/>
    <n v="27453760"/>
    <s v="NestleP.2"/>
    <x v="0"/>
    <x v="0"/>
    <n v="0"/>
    <n v="0"/>
    <n v="0"/>
    <n v="0"/>
    <m/>
  </r>
  <r>
    <s v="NESTLE PURINA"/>
    <x v="2"/>
    <x v="1"/>
    <s v="EXITO"/>
    <n v="454996"/>
    <x v="13"/>
    <s v="DESEA AÑADIR ALGUNA OBSERVACION Y/O NOVEDAD DEL MYSTERY REALIZADO?"/>
    <s v="SI"/>
    <m/>
    <n v="27453760"/>
    <s v="NestleP.2"/>
    <x v="0"/>
    <x v="0"/>
    <n v="0"/>
    <n v="0"/>
    <n v="0"/>
    <n v="0"/>
    <m/>
  </r>
  <r>
    <s v="NESTLE PURINA"/>
    <x v="2"/>
    <x v="1"/>
    <s v="EXITO"/>
    <n v="454996"/>
    <x v="13"/>
    <s v="CONSIDERO QUE INDEPENDIENTEMENTE DEL SPEECH, LA LABOR DE VENTA ES BUENA"/>
    <s v="NO"/>
    <m/>
    <n v="27453760"/>
    <s v="NestleP.2"/>
    <x v="0"/>
    <x v="0"/>
    <n v="0"/>
    <s v="SI"/>
    <n v="0"/>
    <n v="0"/>
    <m/>
  </r>
  <r>
    <s v="NESTLE PURINA"/>
    <x v="2"/>
    <x v="1"/>
    <s v="EXITO"/>
    <n v="454996"/>
    <x v="13"/>
    <s v="REALIZA CIERRE DE VENTA"/>
    <s v="NO"/>
    <m/>
    <n v="27453760"/>
    <s v="NestleP.2"/>
    <x v="0"/>
    <x v="0"/>
    <n v="0"/>
    <s v="SI"/>
    <n v="0"/>
    <n v="0"/>
    <m/>
  </r>
  <r>
    <s v="NESTLE PURINA"/>
    <x v="2"/>
    <x v="1"/>
    <s v="EXITO"/>
    <n v="454996"/>
    <x v="13"/>
    <s v="SE ENCUENTRA LIMPIA EL AREA DE DEMOSTRACION"/>
    <s v="NO"/>
    <m/>
    <n v="27453760"/>
    <s v="NestleP.2"/>
    <x v="0"/>
    <x v="0"/>
    <n v="0"/>
    <s v="SI"/>
    <n v="0"/>
    <n v="0"/>
    <m/>
  </r>
  <r>
    <s v="NESTLE PURINA"/>
    <x v="2"/>
    <x v="1"/>
    <s v="EXITO"/>
    <n v="454996"/>
    <x v="13"/>
    <s v="RESUELVE LA OBJECION SATISFACTORIAMENTE?"/>
    <s v="NO"/>
    <m/>
    <n v="27453760"/>
    <s v="NestleP.2"/>
    <x v="0"/>
    <x v="0"/>
    <n v="0"/>
    <s v="SI"/>
    <n v="0"/>
    <n v="0"/>
    <m/>
  </r>
  <r>
    <s v="NESTLE PURINA"/>
    <x v="2"/>
    <x v="1"/>
    <s v="EXITO"/>
    <n v="454996"/>
    <x v="13"/>
    <s v="INDIQUE QUE TIPO DE OBJECION / DUDA MANIFESTÓ"/>
    <s v="FALTA DE PRODUCTO"/>
    <m/>
    <n v="27453760"/>
    <s v="NestleP.2"/>
    <x v="0"/>
    <x v="0"/>
    <n v="0"/>
    <s v="FALTA DE PRODUCTO, NO LE INTERESA EL PRODUCTO, NO TIENE DINERO, PREFIERE LA COMPETENCIA"/>
    <n v="0"/>
    <n v="0"/>
    <m/>
  </r>
  <r>
    <s v="NESTLE PURINA"/>
    <x v="2"/>
    <x v="1"/>
    <s v="EXITO"/>
    <n v="454996"/>
    <x v="13"/>
    <s v="CE - Ofrece producto humedo y comunica la dinamica de multiprice (por la compra de mas cantidades tiene descuento)"/>
    <s v="NO"/>
    <m/>
    <n v="27453760"/>
    <s v="NestleP.2"/>
    <x v="0"/>
    <x v="0"/>
    <n v="0"/>
    <s v="SI"/>
    <n v="0"/>
    <n v="0"/>
    <m/>
  </r>
  <r>
    <s v="NESTLE PURINA"/>
    <x v="2"/>
    <x v="1"/>
    <s v="EXITO"/>
    <n v="454996"/>
    <x v="13"/>
    <s v="CE - El asesor comunica los beneficios o caracteristicas del producto Excellent e informa que el producto cambio de imagen pero continua con la misma formula?"/>
    <s v="NO"/>
    <m/>
    <n v="27453760"/>
    <s v="NestleP.2"/>
    <x v="0"/>
    <x v="0"/>
    <n v="0"/>
    <s v="SI"/>
    <n v="0"/>
    <n v="0"/>
    <m/>
  </r>
  <r>
    <s v="NESTLE PURINA"/>
    <x v="2"/>
    <x v="1"/>
    <s v="EXITO"/>
    <n v="454996"/>
    <x v="13"/>
    <s v="CE - El asesor comunica que la marca Excellent esta dentro de la categoria SuperPremium pero a un costo mas accesible."/>
    <s v="NO"/>
    <m/>
    <n v="27453760"/>
    <s v="NestleP.2"/>
    <x v="0"/>
    <x v="0"/>
    <n v="0"/>
    <s v="SI"/>
    <n v="0"/>
    <n v="0"/>
    <m/>
  </r>
  <r>
    <s v="NESTLE PURINA"/>
    <x v="2"/>
    <x v="1"/>
    <s v="EXITO"/>
    <n v="454996"/>
    <x v="13"/>
    <s v="CE - Ofrece la marca Excellent?"/>
    <s v="NO"/>
    <m/>
    <n v="27453760"/>
    <s v="NestleP.2"/>
    <x v="0"/>
    <x v="0"/>
    <n v="0"/>
    <s v="SI"/>
    <n v="0"/>
    <n v="0"/>
    <m/>
  </r>
  <r>
    <s v="NESTLE PURINA"/>
    <x v="2"/>
    <x v="1"/>
    <s v="EXITO"/>
    <n v="454996"/>
    <x v="13"/>
    <s v="CE - Lo primero que ofrece el asesor es la marca Pro Plan?"/>
    <s v="NO"/>
    <m/>
    <n v="27453760"/>
    <s v="NestleP.2"/>
    <x v="0"/>
    <x v="0"/>
    <n v="0"/>
    <s v="SI"/>
    <n v="0"/>
    <n v="0"/>
    <m/>
  </r>
  <r>
    <s v="NESTLE PURINA"/>
    <x v="2"/>
    <x v="1"/>
    <s v="EXITO"/>
    <n v="454996"/>
    <x v="13"/>
    <s v="SELECCIONE EL CANAL DEL PDV QUE EVALUA"/>
    <s v=" ESPECIALIZADO"/>
    <m/>
    <n v="27453760"/>
    <s v="NestleP.2"/>
    <x v="0"/>
    <x v="0"/>
    <n v="0"/>
    <s v="MODERNO, ESPECIALIZADO"/>
    <n v="0"/>
    <n v="0"/>
    <m/>
  </r>
  <r>
    <s v="NESTLE PURINA"/>
    <x v="0"/>
    <x v="0"/>
    <s v="OLIMPICA"/>
    <n v="13555"/>
    <x v="17"/>
    <s v="SE LOGRA REALIZAR EL MYSTERY?"/>
    <s v="NO"/>
    <m/>
    <n v="27476525"/>
    <s v="NestleP.7"/>
    <x v="0"/>
    <x v="0"/>
    <n v="0"/>
    <n v="0"/>
    <n v="0"/>
    <n v="0"/>
    <m/>
  </r>
  <r>
    <s v="NESTLE PURINA"/>
    <x v="0"/>
    <x v="0"/>
    <s v="OLIMPICA"/>
    <n v="13555"/>
    <x v="17"/>
    <s v="CM - OFRECE PURINA ONE?"/>
    <s v="NO"/>
    <m/>
    <n v="27476525"/>
    <s v="NestleP.7"/>
    <x v="0"/>
    <x v="0"/>
    <n v="0"/>
    <s v="SI"/>
    <n v="0"/>
    <n v="0"/>
    <m/>
  </r>
  <r>
    <s v="NESTLE PURINA"/>
    <x v="0"/>
    <x v="0"/>
    <s v="OLIMPICA"/>
    <n v="13555"/>
    <x v="17"/>
    <s v="CM - MENCIONA QUE LOS RESULTADOS DE PURINA ONE SON VISIBLES EN 28 DIAS?"/>
    <s v="NO"/>
    <m/>
    <n v="27476525"/>
    <s v="NestleP.7"/>
    <x v="0"/>
    <x v="0"/>
    <n v="0"/>
    <s v="SI"/>
    <n v="0"/>
    <n v="0"/>
    <m/>
  </r>
  <r>
    <s v="NESTLE PURINA"/>
    <x v="0"/>
    <x v="0"/>
    <s v="OLIMPICA"/>
    <n v="13555"/>
    <x v="17"/>
    <s v="CM - MENCIONA QUE TIENE CARNE DE VERDAD COMO INGREDIENTE NO.1 E INGREDIENTES NATURALES Y FUNCIONALES?"/>
    <s v="NO"/>
    <m/>
    <n v="27476525"/>
    <s v="NestleP.7"/>
    <x v="0"/>
    <x v="0"/>
    <n v="0"/>
    <s v="SI"/>
    <n v="0"/>
    <n v="0"/>
    <m/>
  </r>
  <r>
    <s v="NESTLE PURINA"/>
    <x v="0"/>
    <x v="1"/>
    <s v="AGRO/PSHOP/VET"/>
    <n v="356594"/>
    <x v="16"/>
    <s v="CE - Ofrece la marca Excellent?"/>
    <s v="NO"/>
    <m/>
    <n v="27480859"/>
    <s v="NestleP.7"/>
    <x v="1"/>
    <x v="3"/>
    <n v="1.5384615384615385"/>
    <s v="SI"/>
    <n v="0"/>
    <n v="0"/>
    <m/>
  </r>
  <r>
    <s v="NESTLE PURINA"/>
    <x v="0"/>
    <x v="1"/>
    <s v="AGRO/PSHOP/VET"/>
    <n v="356594"/>
    <x v="16"/>
    <s v="CE - Lo primero que ofrece el asesor es la marca Pro Plan?"/>
    <s v="SI"/>
    <m/>
    <n v="27480859"/>
    <s v="NestleP.7"/>
    <x v="1"/>
    <x v="3"/>
    <n v="1.5384615384615385"/>
    <s v="SI"/>
    <n v="1.5384615384615385"/>
    <n v="0"/>
    <m/>
  </r>
  <r>
    <s v="NESTLE PURINA"/>
    <x v="0"/>
    <x v="1"/>
    <s v="AGRO/PSHOP/VET"/>
    <n v="356594"/>
    <x v="16"/>
    <s v="SELECCIONE EL CANAL DEL PDV QUE EVALUA"/>
    <s v=" ESPECIALIZADO"/>
    <m/>
    <n v="27480859"/>
    <s v="NestleP.7"/>
    <x v="1"/>
    <x v="0"/>
    <n v="0"/>
    <s v="MODERNO, ESPECIALIZADO"/>
    <n v="0"/>
    <n v="0"/>
    <m/>
  </r>
  <r>
    <s v="NESTLE PURINA"/>
    <x v="0"/>
    <x v="1"/>
    <s v="AGRO/PSHOP/VET"/>
    <n v="356594"/>
    <x v="16"/>
    <s v="OFRECIO ALGUN PRODUCTO PORTAFOLIO PURINA DE PRODUCTOS HUMEDOS, SNACK U OTROS COMUNICANDO LOS BENEFICIOS DEL PRODUCTO (Dog chow húmedo, Cat chow húmedo, Fancy Feast, Felix, Proplan Húmedo, One Húmedo) Snacks (Abrazzos, Dentalife) Arenilla (Tidy Cat)"/>
    <s v="SI"/>
    <m/>
    <n v="27480859"/>
    <s v="NestleP.7"/>
    <x v="1"/>
    <x v="3"/>
    <n v="1.5384615384615385"/>
    <s v="SI"/>
    <n v="1.5384615384615385"/>
    <n v="0"/>
    <m/>
  </r>
  <r>
    <s v="NESTLE PURINA"/>
    <x v="0"/>
    <x v="1"/>
    <s v="AGRO/PSHOP/VET"/>
    <n v="356594"/>
    <x v="16"/>
    <s v="OFRECIO ALGUN PRODUCTO DEL PORTAFOLIO PURINA DE PRODUCTOS SECOS COMUNICANDO LOS BENEFICIOS DEL PRODUCTO (DOG CHOW, CAT CHOW,_x000a_ALPO, GATSY,FELIX)"/>
    <s v="SI"/>
    <m/>
    <n v="27480859"/>
    <s v="NestleP.7"/>
    <x v="1"/>
    <x v="3"/>
    <n v="1.5384615384615385"/>
    <s v="SI"/>
    <n v="1.5384615384615385"/>
    <n v="0"/>
    <m/>
  </r>
  <r>
    <s v="NESTLE PURINA"/>
    <x v="0"/>
    <x v="1"/>
    <s v="AGRO/PSHOP/VET"/>
    <n v="356594"/>
    <x v="16"/>
    <s v="SE PRODUCE ABORDO PROACTIVO (antes de los 3 min)"/>
    <s v="SI"/>
    <m/>
    <n v="27480859"/>
    <s v="NestleP.7"/>
    <x v="1"/>
    <x v="2"/>
    <n v="20"/>
    <s v="SI"/>
    <n v="20"/>
    <n v="0"/>
    <m/>
  </r>
  <r>
    <s v="NESTLE PURINA"/>
    <x v="0"/>
    <x v="1"/>
    <s v="AGRO/PSHOP/VET"/>
    <n v="356594"/>
    <x v="16"/>
    <s v="USA ACCESORIOS QUE NO CUMPLE CON EL CODIGO DE VESTIMENTA"/>
    <s v="NO"/>
    <m/>
    <n v="27480859"/>
    <s v="NestleP.7"/>
    <x v="1"/>
    <x v="1"/>
    <n v="1.3636363636363635"/>
    <s v="NO"/>
    <n v="1.3636363636363635"/>
    <n v="0"/>
    <m/>
  </r>
  <r>
    <s v="NESTLE PURINA"/>
    <x v="0"/>
    <x v="1"/>
    <s v="AGRO/PSHOP/VET"/>
    <n v="356594"/>
    <x v="16"/>
    <s v="TIENE UÑAS LLAMATIVAS Y/O LARGAS QUE NO CUMPLE CON EL CODIGO DE VESTIMENTA"/>
    <s v="NO"/>
    <m/>
    <n v="27480859"/>
    <s v="NestleP.7"/>
    <x v="1"/>
    <x v="1"/>
    <n v="1.3636363636363635"/>
    <s v="NO"/>
    <n v="1.3636363636363635"/>
    <n v="0"/>
    <m/>
  </r>
  <r>
    <s v="NESTLE PURINA"/>
    <x v="0"/>
    <x v="1"/>
    <s v="AGRO/PSHOP/VET"/>
    <n v="356594"/>
    <x v="16"/>
    <s v="TIENE TATUAJES O PIERCINGS VISIBLES QUE NO CUMPLE CON EL CODIGO DE VESTIMENTA"/>
    <s v="NO"/>
    <m/>
    <n v="27480859"/>
    <s v="NestleP.7"/>
    <x v="1"/>
    <x v="1"/>
    <n v="1.3636363636363635"/>
    <s v="NO"/>
    <n v="1.3636363636363635"/>
    <n v="0"/>
    <m/>
  </r>
  <r>
    <s v="NESTLE PURINA"/>
    <x v="0"/>
    <x v="1"/>
    <s v="AGRO/PSHOP/VET"/>
    <n v="356594"/>
    <x v="16"/>
    <s v="PRESENTA EXCESO DE MAQUILLAJE QUE NO CUMPLE CON EL CODIGO DE VESTIMENTA"/>
    <s v="NO"/>
    <m/>
    <n v="27480859"/>
    <s v="NestleP.7"/>
    <x v="1"/>
    <x v="1"/>
    <n v="1.3636363636363635"/>
    <s v="NO"/>
    <n v="1.3636363636363635"/>
    <n v="0"/>
    <m/>
  </r>
  <r>
    <s v="NESTLE PURINA"/>
    <x v="0"/>
    <x v="1"/>
    <s v="AGRO/PSHOP/VET"/>
    <n v="356594"/>
    <x v="16"/>
    <s v="SU CABELLO LUCE LIMPIO, ORGANIZADO O RECOGIDO"/>
    <s v="SI"/>
    <m/>
    <n v="27480859"/>
    <s v="NestleP.7"/>
    <x v="1"/>
    <x v="1"/>
    <n v="1.3636363636363635"/>
    <s v="SI"/>
    <n v="1.3636363636363635"/>
    <n v="0"/>
    <m/>
  </r>
  <r>
    <s v="NESTLE PURINA"/>
    <x v="0"/>
    <x v="1"/>
    <s v="AGRO/PSHOP/VET"/>
    <n v="356594"/>
    <x v="16"/>
    <s v="EL UNIFORME Y ZAPATOS SE ENCUENTRAN LIMPIOS Y EN BUEN ESTADO"/>
    <s v="SI"/>
    <m/>
    <n v="27480859"/>
    <s v="NestleP.7"/>
    <x v="1"/>
    <x v="1"/>
    <n v="1.3636363636363635"/>
    <s v="SI"/>
    <n v="1.3636363636363635"/>
    <n v="0"/>
    <m/>
  </r>
  <r>
    <s v="NESTLE PURINA"/>
    <x v="0"/>
    <x v="1"/>
    <s v="AGRO/PSHOP/VET"/>
    <n v="356594"/>
    <x v="16"/>
    <s v="POSEE ALGUNA PRENDA ENCIMA DEL UNIFORME NO AUTORIZADA POR LA MARCA (Unicamente esta permitido chaleco de Sodimac y Easy)"/>
    <s v="NO"/>
    <m/>
    <n v="27480859"/>
    <s v="NestleP.7"/>
    <x v="1"/>
    <x v="1"/>
    <n v="1.3636363636363635"/>
    <s v="NO"/>
    <n v="1.3636363636363635"/>
    <n v="0"/>
    <m/>
  </r>
  <r>
    <s v="NESTLE PURINA"/>
    <x v="0"/>
    <x v="1"/>
    <s v="AGRO/PSHOP/VET"/>
    <n v="356594"/>
    <x v="16"/>
    <s v="CUENTA CON CALZADO DE ACUERDO AL UNIFORME"/>
    <s v="SI"/>
    <m/>
    <n v="27480859"/>
    <s v="NestleP.7"/>
    <x v="1"/>
    <x v="1"/>
    <n v="1.3636363636363635"/>
    <s v="SI"/>
    <n v="1.3636363636363635"/>
    <n v="0"/>
    <m/>
  </r>
  <r>
    <s v="NESTLE PURINA"/>
    <x v="0"/>
    <x v="1"/>
    <s v="AGRO/PSHOP/VET"/>
    <n v="356594"/>
    <x v="16"/>
    <s v="CUENTA CON CAMISA DEL UNIFORME Y LOGOS SEGÚN EL CARGO (NEGRA / GRIS / ROJA / TURQUESA) (Es permitido usar debajo de la camisa buso manga larga Negro)"/>
    <s v="SI"/>
    <m/>
    <n v="27480859"/>
    <s v="NestleP.7"/>
    <x v="1"/>
    <x v="1"/>
    <n v="1.3636363636363635"/>
    <s v="SI"/>
    <n v="1.3636363636363635"/>
    <n v="0"/>
    <m/>
  </r>
  <r>
    <s v="NESTLE PURINA"/>
    <x v="0"/>
    <x v="1"/>
    <s v="AGRO/PSHOP/VET"/>
    <n v="356594"/>
    <x v="16"/>
    <s v="CUENTA CON PANTALON DEL UNIFORME SEGÚN EL CARGO (NEGRO / ROJO / TURQUESA / JEAN)"/>
    <s v="SI"/>
    <m/>
    <n v="27480859"/>
    <s v="NestleP.7"/>
    <x v="1"/>
    <x v="1"/>
    <n v="1.3636363636363635"/>
    <s v="SI"/>
    <n v="1.3636363636363635"/>
    <n v="0"/>
    <m/>
  </r>
  <r>
    <s v="NESTLE PURINA"/>
    <x v="0"/>
    <x v="1"/>
    <s v="AGRO/PSHOP/VET"/>
    <n v="356594"/>
    <x v="16"/>
    <s v="¿CUMPLE HORARIO DE ENTRADA O SALIDA DE LA TIENDA?"/>
    <s v="SI"/>
    <m/>
    <n v="27480859"/>
    <s v="NestleP.7"/>
    <x v="1"/>
    <x v="4"/>
    <n v="20"/>
    <s v="SI"/>
    <n v="20"/>
    <n v="0"/>
    <m/>
  </r>
  <r>
    <s v="NESTLE PURINA"/>
    <x v="0"/>
    <x v="1"/>
    <s v="AGRO/PSHOP/VET"/>
    <n v="356594"/>
    <x v="16"/>
    <s v="SE LOGRA REALIZAR EL MYSTERY?"/>
    <s v="SI"/>
    <m/>
    <n v="27480859"/>
    <s v="NestleP.7"/>
    <x v="1"/>
    <x v="0"/>
    <n v="0"/>
    <n v="0"/>
    <n v="0"/>
    <n v="0"/>
    <m/>
  </r>
  <r>
    <s v="NESTLE PURINA"/>
    <x v="0"/>
    <x v="0"/>
    <s v="OLIMPICA"/>
    <n v="13555"/>
    <x v="17"/>
    <s v="INDIQUE OBSERVACION Y/O NOVEDAD DEL MYSTERY REALIZADO"/>
    <s v="En el pdv no se encuentra la activadora  se informa y la supervisora indica que esta retrazada en la ruta "/>
    <m/>
    <n v="27476525"/>
    <s v="NestleP.7"/>
    <x v="0"/>
    <x v="0"/>
    <n v="0"/>
    <n v="0"/>
    <n v="0"/>
    <n v="0"/>
    <m/>
  </r>
  <r>
    <s v="NESTLE PURINA"/>
    <x v="0"/>
    <x v="0"/>
    <s v="OLIMPICA"/>
    <n v="13555"/>
    <x v="17"/>
    <s v="DESEA AÑADIR ALGUNA OBSERVACION Y/O NOVEDAD DEL MYSTERY REALIZADO?"/>
    <s v="SI"/>
    <m/>
    <n v="27476525"/>
    <s v="NestleP.7"/>
    <x v="0"/>
    <x v="0"/>
    <n v="0"/>
    <n v="0"/>
    <n v="0"/>
    <n v="0"/>
    <m/>
  </r>
  <r>
    <s v="NESTLE PURINA"/>
    <x v="0"/>
    <x v="0"/>
    <s v="OLIMPICA"/>
    <n v="13555"/>
    <x v="17"/>
    <s v="CONSIDERO QUE INDEPENDIENTEMENTE DEL SPEECH, LA LABOR DE VENTA ES BUENA"/>
    <s v="NO"/>
    <m/>
    <n v="27476525"/>
    <s v="NestleP.7"/>
    <x v="0"/>
    <x v="0"/>
    <n v="0"/>
    <s v="SI"/>
    <n v="0"/>
    <n v="0"/>
    <m/>
  </r>
  <r>
    <s v="NESTLE PURINA"/>
    <x v="0"/>
    <x v="0"/>
    <s v="OLIMPICA"/>
    <n v="13555"/>
    <x v="17"/>
    <s v="REALIZA CIERRE DE VENTA"/>
    <s v="NO"/>
    <m/>
    <n v="27476525"/>
    <s v="NestleP.7"/>
    <x v="0"/>
    <x v="0"/>
    <n v="0"/>
    <s v="SI"/>
    <n v="0"/>
    <n v="0"/>
    <m/>
  </r>
  <r>
    <s v="NESTLE PURINA"/>
    <x v="0"/>
    <x v="0"/>
    <s v="OLIMPICA"/>
    <n v="13555"/>
    <x v="17"/>
    <s v="SE ENCUENTRA LIMPIA EL AREA DE DEMOSTRACION"/>
    <s v="NO"/>
    <m/>
    <n v="27476525"/>
    <s v="NestleP.7"/>
    <x v="0"/>
    <x v="0"/>
    <n v="0"/>
    <s v="SI"/>
    <n v="0"/>
    <n v="0"/>
    <m/>
  </r>
  <r>
    <s v="NESTLE PURINA"/>
    <x v="0"/>
    <x v="0"/>
    <s v="OLIMPICA"/>
    <n v="13555"/>
    <x v="17"/>
    <s v="RESUELVE LA OBJECION SATISFACTORIAMENTE?"/>
    <s v="NO"/>
    <m/>
    <n v="27476525"/>
    <s v="NestleP.7"/>
    <x v="0"/>
    <x v="0"/>
    <n v="0"/>
    <s v="SI"/>
    <n v="0"/>
    <n v="0"/>
    <m/>
  </r>
  <r>
    <s v="NESTLE PURINA"/>
    <x v="0"/>
    <x v="0"/>
    <s v="OLIMPICA"/>
    <n v="13555"/>
    <x v="17"/>
    <s v="INDIQUE QUE TIPO DE OBJECION / DUDA MANIFESTÓ"/>
    <s v=" NO LE INTERESA EL PRODUCTO"/>
    <m/>
    <n v="27476525"/>
    <s v="NestleP.7"/>
    <x v="0"/>
    <x v="0"/>
    <n v="0"/>
    <s v="FALTA DE PRODUCTO, NO LE INTERESA EL PRODUCTO, NO TIENE DINERO, PREFIERE LA COMPETENCIA"/>
    <n v="0"/>
    <n v="0"/>
    <m/>
  </r>
  <r>
    <s v="NESTLE PURINA"/>
    <x v="0"/>
    <x v="0"/>
    <s v="OLIMPICA"/>
    <n v="13555"/>
    <x v="17"/>
    <s v="CM - Dan a conocer al cliente la actividad del &quot;EVENTO CORPORATIVO DE OLIMPICA JUNIO&quot;?"/>
    <s v="NO"/>
    <m/>
    <n v="27476525"/>
    <s v="NestleP.7"/>
    <x v="0"/>
    <x v="0"/>
    <n v="0"/>
    <s v="SI"/>
    <n v="0"/>
    <n v="0"/>
    <m/>
  </r>
  <r>
    <s v="NESTLE PURINA"/>
    <x v="0"/>
    <x v="0"/>
    <s v="OLIMPICA"/>
    <n v="13555"/>
    <x v="17"/>
    <s v="CM - Bajo la objeción de &quot;precio muy costoso&quot;, el asesor ofrece productos en el orden de la segmentación: Perros: Purina One - Dog Chow - Alpo y Gatos: Purina One - Cat Chow - Felix - Gatsy (cuando enuncia Gatsy menciona que &quot;ahora es mas sabroso&quot;)"/>
    <s v="NO"/>
    <m/>
    <n v="27476525"/>
    <s v="NestleP.7"/>
    <x v="0"/>
    <x v="0"/>
    <n v="0"/>
    <s v="SI"/>
    <n v="0"/>
    <n v="0"/>
    <m/>
  </r>
  <r>
    <s v="NESTLE PURINA"/>
    <x v="0"/>
    <x v="0"/>
    <s v="OLIMPICA"/>
    <n v="13555"/>
    <x v="17"/>
    <s v="CM - Maneja la objeción de alto precio en las marcas Purina, comunicando la baja de precios de las marcas o las ofertas disponibles en el punto de venta."/>
    <s v="NO"/>
    <m/>
    <n v="27476525"/>
    <s v="NestleP.7"/>
    <x v="0"/>
    <x v="0"/>
    <n v="0"/>
    <s v="SI"/>
    <n v="0"/>
    <n v="0"/>
    <m/>
  </r>
  <r>
    <s v="NESTLE PURINA"/>
    <x v="0"/>
    <x v="0"/>
    <s v="OLIMPICA"/>
    <n v="13555"/>
    <x v="17"/>
    <s v="CM - MENCIONA QUE PURINA ONE CUENTA CON ALIMENTO HUMEDO Y MENCIONA LAS 3 VARIADADES QUE TIENE ( SUPER FOODS, SUPER NUTRIENTES Y MULTI PROTEINAS); APLICA TANTO PARA PERRO COMO PARA GATO"/>
    <s v="NO"/>
    <m/>
    <n v="27476525"/>
    <s v="NestleP.7"/>
    <x v="0"/>
    <x v="0"/>
    <n v="0"/>
    <s v="SI"/>
    <n v="0"/>
    <n v="0"/>
    <m/>
  </r>
  <r>
    <s v="NESTLE PURINA"/>
    <x v="2"/>
    <x v="0"/>
    <s v="EXITO"/>
    <n v="442719"/>
    <x v="9"/>
    <s v="REALIZA CIERRE DE VENTA"/>
    <s v="SI"/>
    <m/>
    <n v="27486785"/>
    <s v="NestleP.2"/>
    <x v="1"/>
    <x v="6"/>
    <n v="7.5"/>
    <s v="SI"/>
    <n v="7.5"/>
    <n v="0"/>
    <m/>
  </r>
  <r>
    <s v="NESTLE PURINA"/>
    <x v="2"/>
    <x v="0"/>
    <s v="JUMBO"/>
    <n v="12565"/>
    <x v="8"/>
    <s v="DESEA AÑADIR ALGUNA OBSERVACION Y/O NOVEDAD DEL MYSTERY REALIZADO?"/>
    <s v="NO"/>
    <m/>
    <n v="27689425"/>
    <s v="NestleP.1"/>
    <x v="1"/>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40"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I38" firstHeaderRow="1" firstDataRow="2" firstDataCol="1"/>
  <pivotFields count="19">
    <pivotField showAll="0"/>
    <pivotField axis="axisCol" showAll="0">
      <items count="13">
        <item x="2"/>
        <item x="0"/>
        <item m="1" x="8"/>
        <item m="1" x="5"/>
        <item x="3"/>
        <item x="1"/>
        <item m="1" x="11"/>
        <item m="1" x="10"/>
        <item m="1" x="9"/>
        <item m="1" x="6"/>
        <item m="1" x="7"/>
        <item m="1" x="4"/>
        <item t="default"/>
      </items>
    </pivotField>
    <pivotField showAll="0"/>
    <pivotField showAll="0"/>
    <pivotField showAll="0"/>
    <pivotField showAll="0">
      <items count="113">
        <item m="1" x="24"/>
        <item x="11"/>
        <item m="1" x="35"/>
        <item m="1" x="29"/>
        <item m="1" x="89"/>
        <item m="1" x="88"/>
        <item m="1" x="26"/>
        <item x="12"/>
        <item m="1" x="18"/>
        <item m="1" x="79"/>
        <item m="1" x="40"/>
        <item m="1" x="32"/>
        <item x="8"/>
        <item m="1" x="34"/>
        <item x="6"/>
        <item x="15"/>
        <item m="1" x="38"/>
        <item x="17"/>
        <item m="1" x="45"/>
        <item m="1" x="44"/>
        <item m="1" x="87"/>
        <item x="5"/>
        <item x="0"/>
        <item x="7"/>
        <item m="1" x="37"/>
        <item m="1" x="86"/>
        <item m="1" x="82"/>
        <item m="1" x="78"/>
        <item m="1" x="90"/>
        <item m="1" x="91"/>
        <item m="1" x="84"/>
        <item m="1" x="83"/>
        <item m="1" x="27"/>
        <item m="1" x="41"/>
        <item x="14"/>
        <item m="1" x="23"/>
        <item m="1" x="77"/>
        <item m="1" x="76"/>
        <item m="1" x="92"/>
        <item x="9"/>
        <item x="2"/>
        <item x="13"/>
        <item m="1" x="19"/>
        <item m="1" x="39"/>
        <item m="1" x="21"/>
        <item m="1" x="36"/>
        <item m="1" x="53"/>
        <item m="1" x="71"/>
        <item m="1" x="69"/>
        <item m="1" x="99"/>
        <item m="1" x="93"/>
        <item m="1" x="96"/>
        <item m="1" x="95"/>
        <item m="1" x="74"/>
        <item m="1" x="105"/>
        <item m="1" x="75"/>
        <item m="1" x="94"/>
        <item m="1" x="52"/>
        <item x="4"/>
        <item m="1" x="59"/>
        <item m="1" x="64"/>
        <item x="1"/>
        <item m="1" x="101"/>
        <item m="1" x="85"/>
        <item m="1" x="73"/>
        <item m="1" x="28"/>
        <item m="1" x="47"/>
        <item m="1" x="103"/>
        <item m="1" x="60"/>
        <item m="1" x="30"/>
        <item m="1" x="57"/>
        <item m="1" x="46"/>
        <item m="1" x="48"/>
        <item m="1" x="110"/>
        <item m="1" x="54"/>
        <item m="1" x="61"/>
        <item m="1" x="33"/>
        <item m="1" x="107"/>
        <item m="1" x="42"/>
        <item m="1" x="49"/>
        <item m="1" x="31"/>
        <item m="1" x="106"/>
        <item m="1" x="50"/>
        <item m="1" x="104"/>
        <item x="10"/>
        <item m="1" x="81"/>
        <item m="1" x="25"/>
        <item m="1" x="108"/>
        <item m="1" x="66"/>
        <item m="1" x="20"/>
        <item m="1" x="62"/>
        <item x="3"/>
        <item m="1" x="70"/>
        <item m="1" x="51"/>
        <item m="1" x="111"/>
        <item m="1" x="109"/>
        <item m="1" x="65"/>
        <item m="1" x="58"/>
        <item m="1" x="43"/>
        <item m="1" x="55"/>
        <item m="1" x="63"/>
        <item m="1" x="56"/>
        <item m="1" x="68"/>
        <item x="16"/>
        <item m="1" x="102"/>
        <item m="1" x="97"/>
        <item m="1" x="100"/>
        <item m="1" x="98"/>
        <item m="1" x="80"/>
        <item m="1" x="22"/>
        <item m="1" x="67"/>
        <item m="1" x="72"/>
        <item t="default"/>
      </items>
    </pivotField>
    <pivotField showAll="0"/>
    <pivotField showAll="0"/>
    <pivotField numFmtId="14" showAll="0"/>
    <pivotField multipleItemSelectionAllowed="1" showAll="0"/>
    <pivotField showAll="0"/>
    <pivotField showAll="0"/>
    <pivotField axis="axisRow" showAll="0" sortType="descending">
      <items count="9">
        <item h="1" x="0"/>
        <item h="1" m="1" x="7"/>
        <item x="4"/>
        <item x="5"/>
        <item x="1"/>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7">
    <i>
      <x v="2"/>
    </i>
    <i>
      <x v="4"/>
    </i>
    <i>
      <x v="7"/>
    </i>
    <i>
      <x v="5"/>
    </i>
    <i>
      <x v="6"/>
    </i>
    <i>
      <x v="3"/>
    </i>
    <i t="grand">
      <x/>
    </i>
  </rowItems>
  <colFields count="1">
    <field x="1"/>
  </colFields>
  <colItems count="5">
    <i>
      <x/>
    </i>
    <i>
      <x v="1"/>
    </i>
    <i>
      <x v="4"/>
    </i>
    <i>
      <x v="5"/>
    </i>
    <i t="grand">
      <x/>
    </i>
  </colItems>
  <dataFields count="1">
    <dataField name="Suma de % MYSTERY" fld="18" baseField="0" baseItem="0" numFmtId="9"/>
  </dataFields>
  <formats count="17">
    <format dxfId="130">
      <pivotArea outline="0" collapsedLevelsAreSubtotals="1" fieldPosition="0"/>
    </format>
    <format dxfId="129">
      <pivotArea dataOnly="0" labelOnly="1" grandCol="1" outline="0" fieldPosition="0"/>
    </format>
    <format dxfId="128">
      <pivotArea dataOnly="0" labelOnly="1" grandCol="1" outline="0" fieldPosition="0"/>
    </format>
    <format dxfId="127">
      <pivotArea grandRow="1" outline="0" collapsedLevelsAreSubtotals="1" fieldPosition="0"/>
    </format>
    <format dxfId="126">
      <pivotArea grandRow="1" outline="0" collapsedLevelsAreSubtotals="1" fieldPosition="0"/>
    </format>
    <format dxfId="125">
      <pivotArea dataOnly="0" labelOnly="1" grandCol="1" outline="0" fieldPosition="0"/>
    </format>
    <format dxfId="124">
      <pivotArea grandRow="1" grandCol="1" outline="0" collapsedLevelsAreSubtotals="1" fieldPosition="0"/>
    </format>
    <format dxfId="123">
      <pivotArea outline="0" collapsedLevelsAreSubtotals="1" fieldPosition="0"/>
    </format>
    <format dxfId="122">
      <pivotArea field="1" type="button" dataOnly="0" labelOnly="1" outline="0" axis="axisCol" fieldPosition="0"/>
    </format>
    <format dxfId="121">
      <pivotArea type="topRight" dataOnly="0" labelOnly="1" outline="0" fieldPosition="0"/>
    </format>
    <format dxfId="120">
      <pivotArea dataOnly="0" labelOnly="1" fieldPosition="0">
        <references count="1">
          <reference field="1" count="0"/>
        </references>
      </pivotArea>
    </format>
    <format dxfId="119">
      <pivotArea dataOnly="0" labelOnly="1" grandCol="1" outline="0" fieldPosition="0"/>
    </format>
    <format dxfId="118">
      <pivotArea outline="0" collapsedLevelsAreSubtotals="1" fieldPosition="0"/>
    </format>
    <format dxfId="117">
      <pivotArea field="1" type="button" dataOnly="0" labelOnly="1" outline="0" axis="axisCol" fieldPosition="0"/>
    </format>
    <format dxfId="116">
      <pivotArea type="topRight" dataOnly="0" labelOnly="1" outline="0" fieldPosition="0"/>
    </format>
    <format dxfId="115">
      <pivotArea dataOnly="0" labelOnly="1" fieldPosition="0">
        <references count="1">
          <reference field="1" count="0"/>
        </references>
      </pivotArea>
    </format>
    <format dxfId="114">
      <pivotArea dataOnly="0" labelOnly="1" grandCol="1" outline="0" fieldPosition="0"/>
    </format>
  </formats>
  <chartFormats count="11">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5">
          <x14:conditionalFormat priority="81" id="{B74256D8-C2EA-4EA7-A1C5-07F3712318EB}">
            <x14:pivotAreas count="1">
              <pivotArea type="data" outline="0" collapsedLevelsAreSubtotals="1" fieldPosition="0">
                <references count="2">
                  <reference field="4294967294" count="1" selected="0">
                    <x v="0"/>
                  </reference>
                  <reference field="1" count="1" selected="0">
                    <x v="0"/>
                  </reference>
                </references>
              </pivotArea>
            </x14:pivotAreas>
          </x14:conditionalFormat>
          <x14:conditionalFormat priority="88"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10"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9"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8" id="{8DF1E6C7-5D69-49D1-8025-AE8B78AA6546}">
            <x14:pivotAreas count="1">
              <pivotArea type="data" outline="0" collapsedLevelsAreSubtotals="1" fieldPosition="0">
                <references count="2">
                  <reference field="4294967294" count="1" selected="0">
                    <x v="0"/>
                  </reference>
                  <reference field="1" count="1" selected="0">
                    <x v="5"/>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40"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G24" firstHeaderRow="1" firstDataRow="2" firstDataCol="1"/>
  <pivotFields count="19">
    <pivotField showAll="0"/>
    <pivotField showAll="0">
      <items count="13">
        <item m="1" x="7"/>
        <item x="1"/>
        <item x="2"/>
        <item m="1" x="9"/>
        <item x="0"/>
        <item m="1" x="8"/>
        <item m="1" x="6"/>
        <item m="1" x="5"/>
        <item m="1" x="11"/>
        <item m="1" x="4"/>
        <item x="3"/>
        <item m="1" x="10"/>
        <item t="default"/>
      </items>
    </pivotField>
    <pivotField axis="axisCol" showAll="0">
      <items count="4">
        <item h="1" m="1" x="2"/>
        <item x="0"/>
        <item x="1"/>
        <item t="default"/>
      </items>
    </pivotField>
    <pivotField showAll="0"/>
    <pivotField showAll="0"/>
    <pivotField showAll="0">
      <items count="113">
        <item m="1" x="24"/>
        <item x="11"/>
        <item m="1" x="35"/>
        <item m="1" x="29"/>
        <item m="1" x="89"/>
        <item m="1" x="88"/>
        <item m="1" x="26"/>
        <item x="12"/>
        <item m="1" x="18"/>
        <item m="1" x="79"/>
        <item m="1" x="40"/>
        <item m="1" x="32"/>
        <item x="8"/>
        <item m="1" x="34"/>
        <item x="6"/>
        <item x="15"/>
        <item m="1" x="38"/>
        <item x="17"/>
        <item m="1" x="45"/>
        <item m="1" x="44"/>
        <item m="1" x="87"/>
        <item x="5"/>
        <item x="0"/>
        <item x="7"/>
        <item m="1" x="37"/>
        <item m="1" x="86"/>
        <item m="1" x="82"/>
        <item m="1" x="78"/>
        <item m="1" x="90"/>
        <item m="1" x="91"/>
        <item m="1" x="84"/>
        <item m="1" x="83"/>
        <item m="1" x="27"/>
        <item m="1" x="41"/>
        <item x="14"/>
        <item m="1" x="23"/>
        <item m="1" x="77"/>
        <item m="1" x="76"/>
        <item m="1" x="92"/>
        <item x="9"/>
        <item x="2"/>
        <item x="13"/>
        <item m="1" x="19"/>
        <item m="1" x="39"/>
        <item m="1" x="21"/>
        <item m="1" x="36"/>
        <item m="1" x="53"/>
        <item m="1" x="71"/>
        <item m="1" x="69"/>
        <item m="1" x="99"/>
        <item m="1" x="93"/>
        <item m="1" x="96"/>
        <item m="1" x="95"/>
        <item m="1" x="74"/>
        <item m="1" x="105"/>
        <item m="1" x="75"/>
        <item m="1" x="94"/>
        <item m="1" x="52"/>
        <item x="4"/>
        <item m="1" x="59"/>
        <item m="1" x="64"/>
        <item x="1"/>
        <item m="1" x="101"/>
        <item m="1" x="85"/>
        <item m="1" x="73"/>
        <item m="1" x="28"/>
        <item m="1" x="47"/>
        <item m="1" x="103"/>
        <item m="1" x="60"/>
        <item m="1" x="30"/>
        <item m="1" x="57"/>
        <item m="1" x="46"/>
        <item m="1" x="48"/>
        <item m="1" x="110"/>
        <item m="1" x="54"/>
        <item m="1" x="61"/>
        <item m="1" x="33"/>
        <item m="1" x="107"/>
        <item m="1" x="42"/>
        <item m="1" x="49"/>
        <item m="1" x="31"/>
        <item m="1" x="106"/>
        <item m="1" x="50"/>
        <item m="1" x="104"/>
        <item x="10"/>
        <item m="1" x="81"/>
        <item m="1" x="25"/>
        <item m="1" x="108"/>
        <item m="1" x="66"/>
        <item m="1" x="20"/>
        <item m="1" x="62"/>
        <item x="3"/>
        <item m="1" x="70"/>
        <item m="1" x="51"/>
        <item m="1" x="111"/>
        <item m="1" x="109"/>
        <item m="1" x="65"/>
        <item m="1" x="58"/>
        <item m="1" x="43"/>
        <item m="1" x="55"/>
        <item m="1" x="63"/>
        <item m="1" x="56"/>
        <item m="1" x="68"/>
        <item x="16"/>
        <item m="1" x="102"/>
        <item m="1" x="97"/>
        <item m="1" x="100"/>
        <item m="1" x="98"/>
        <item m="1" x="80"/>
        <item m="1" x="22"/>
        <item m="1" x="67"/>
        <item m="1" x="72"/>
        <item t="default"/>
      </items>
    </pivotField>
    <pivotField showAll="0"/>
    <pivotField showAll="0"/>
    <pivotField numFmtId="14" showAll="0"/>
    <pivotField showAll="0"/>
    <pivotField showAll="0"/>
    <pivotField showAll="0"/>
    <pivotField axis="axisRow" showAll="0" sortType="descending">
      <items count="9">
        <item h="1" m="1" x="7"/>
        <item h="1" x="0"/>
        <item x="4"/>
        <item x="5"/>
        <item x="1"/>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7">
    <i>
      <x v="2"/>
    </i>
    <i>
      <x v="4"/>
    </i>
    <i>
      <x v="7"/>
    </i>
    <i>
      <x v="5"/>
    </i>
    <i>
      <x v="6"/>
    </i>
    <i>
      <x v="3"/>
    </i>
    <i t="grand">
      <x/>
    </i>
  </rowItems>
  <colFields count="1">
    <field x="2"/>
  </colFields>
  <colItems count="3">
    <i>
      <x v="1"/>
    </i>
    <i>
      <x v="2"/>
    </i>
    <i t="grand">
      <x/>
    </i>
  </colItems>
  <dataFields count="1">
    <dataField name="Suma de % MYSTERY" fld="18" baseField="0" baseItem="0" numFmtId="9"/>
  </dataFields>
  <formats count="17">
    <format dxfId="147">
      <pivotArea outline="0" collapsedLevelsAreSubtotals="1" fieldPosition="0"/>
    </format>
    <format dxfId="146">
      <pivotArea dataOnly="0" labelOnly="1" grandCol="1" outline="0" fieldPosition="0"/>
    </format>
    <format dxfId="145">
      <pivotArea dataOnly="0" labelOnly="1" grandCol="1" outline="0" fieldPosition="0"/>
    </format>
    <format dxfId="144">
      <pivotArea grandRow="1" outline="0" collapsedLevelsAreSubtotals="1" fieldPosition="0"/>
    </format>
    <format dxfId="143">
      <pivotArea grandRow="1" outline="0" collapsedLevelsAreSubtotals="1" fieldPosition="0"/>
    </format>
    <format dxfId="142">
      <pivotArea dataOnly="0" labelOnly="1" grandCol="1" outline="0" fieldPosition="0"/>
    </format>
    <format dxfId="141">
      <pivotArea grandRow="1" grandCol="1" outline="0" collapsedLevelsAreSubtotals="1" fieldPosition="0"/>
    </format>
    <format dxfId="140">
      <pivotArea outline="0" collapsedLevelsAreSubtotals="1" fieldPosition="0"/>
    </format>
    <format dxfId="139">
      <pivotArea field="2" type="button" dataOnly="0" labelOnly="1" outline="0" axis="axisCol" fieldPosition="0"/>
    </format>
    <format dxfId="138">
      <pivotArea type="topRight" dataOnly="0" labelOnly="1" outline="0" fieldPosition="0"/>
    </format>
    <format dxfId="137">
      <pivotArea dataOnly="0" labelOnly="1" fieldPosition="0">
        <references count="1">
          <reference field="2" count="0"/>
        </references>
      </pivotArea>
    </format>
    <format dxfId="136">
      <pivotArea dataOnly="0" labelOnly="1" grandCol="1" outline="0" fieldPosition="0"/>
    </format>
    <format dxfId="135">
      <pivotArea outline="0" collapsedLevelsAreSubtotals="1" fieldPosition="0"/>
    </format>
    <format dxfId="134">
      <pivotArea field="2" type="button" dataOnly="0" labelOnly="1" outline="0" axis="axisCol" fieldPosition="0"/>
    </format>
    <format dxfId="133">
      <pivotArea type="topRight" dataOnly="0" labelOnly="1" outline="0" fieldPosition="0"/>
    </format>
    <format dxfId="132">
      <pivotArea dataOnly="0" labelOnly="1" fieldPosition="0">
        <references count="1">
          <reference field="2" count="0"/>
        </references>
      </pivotArea>
    </format>
    <format dxfId="131">
      <pivotArea dataOnly="0" labelOnly="1" grandCol="1" outline="0" fieldPosition="0"/>
    </format>
  </formats>
  <chartFormats count="3">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91"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 priority="11" id="{FF20B6F6-C92A-436B-B28E-2EAFEFDDBF0E}">
            <x14:pivotAreas count="1">
              <pivotArea type="data" outline="0" collapsedLevelsAreSubtotals="1" fieldPosition="0">
                <references count="2">
                  <reference field="4294967294" count="1" selected="0">
                    <x v="0"/>
                  </reference>
                  <reference field="2"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3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9" firstHeaderRow="0" firstDataRow="1" firstDataCol="1"/>
  <pivotFields count="11">
    <pivotField showAll="0"/>
    <pivotField axis="axisRow" showAll="0" sortType="descending">
      <items count="16">
        <item x="0"/>
        <item x="1"/>
        <item x="2"/>
        <item m="1" x="8"/>
        <item m="1" x="7"/>
        <item m="1" x="4"/>
        <item x="3"/>
        <item m="1" x="14"/>
        <item m="1" x="13"/>
        <item m="1" x="11"/>
        <item m="1" x="12"/>
        <item m="1" x="9"/>
        <item m="1" x="10"/>
        <item m="1" x="5"/>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5">
    <i>
      <x/>
    </i>
    <i>
      <x v="6"/>
    </i>
    <i>
      <x v="1"/>
    </i>
    <i>
      <x v="2"/>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3">
    <format dxfId="170">
      <pivotArea outline="0" collapsedLevelsAreSubtotals="1" fieldPosition="0">
        <references count="1">
          <reference field="4294967294" count="1" selected="0">
            <x v="2"/>
          </reference>
        </references>
      </pivotArea>
    </format>
    <format dxfId="169">
      <pivotArea outline="0" collapsedLevelsAreSubtotals="1" fieldPosition="0"/>
    </format>
    <format dxfId="168">
      <pivotArea dataOnly="0" labelOnly="1" outline="0" fieldPosition="0">
        <references count="1">
          <reference field="4294967294" count="3">
            <x v="0"/>
            <x v="1"/>
            <x v="2"/>
          </reference>
        </references>
      </pivotArea>
    </format>
    <format dxfId="167">
      <pivotArea outline="0" collapsedLevelsAreSubtotals="1" fieldPosition="0"/>
    </format>
    <format dxfId="166">
      <pivotArea dataOnly="0" labelOnly="1" outline="0" fieldPosition="0">
        <references count="1">
          <reference field="4294967294" count="3">
            <x v="0"/>
            <x v="1"/>
            <x v="2"/>
          </reference>
        </references>
      </pivotArea>
    </format>
    <format dxfId="165">
      <pivotArea dataOnly="0" labelOnly="1" outline="0" fieldPosition="0">
        <references count="1">
          <reference field="4294967294" count="1">
            <x v="2"/>
          </reference>
        </references>
      </pivotArea>
    </format>
    <format dxfId="164">
      <pivotArea field="1" grandRow="1" outline="0" collapsedLevelsAreSubtotals="1" axis="axisRow" fieldPosition="0">
        <references count="1">
          <reference field="4294967294" count="1" selected="0">
            <x v="2"/>
          </reference>
        </references>
      </pivotArea>
    </format>
    <format dxfId="163">
      <pivotArea dataOnly="0" labelOnly="1" outline="0" fieldPosition="0">
        <references count="1">
          <reference field="4294967294" count="1">
            <x v="2"/>
          </reference>
        </references>
      </pivotArea>
    </format>
    <format dxfId="162">
      <pivotArea outline="0" collapsedLevelsAreSubtotals="1" fieldPosition="0">
        <references count="1">
          <reference field="4294967294" count="1" selected="0">
            <x v="5"/>
          </reference>
        </references>
      </pivotArea>
    </format>
    <format dxfId="161">
      <pivotArea dataOnly="0" labelOnly="1" outline="0" fieldPosition="0">
        <references count="1">
          <reference field="4294967294" count="1">
            <x v="5"/>
          </reference>
        </references>
      </pivotArea>
    </format>
    <format dxfId="160">
      <pivotArea outline="0" collapsedLevelsAreSubtotals="1" fieldPosition="0">
        <references count="1">
          <reference field="4294967294" count="3" selected="0">
            <x v="3"/>
            <x v="4"/>
            <x v="5"/>
          </reference>
        </references>
      </pivotArea>
    </format>
    <format dxfId="159">
      <pivotArea dataOnly="0" labelOnly="1" outline="0" fieldPosition="0">
        <references count="1">
          <reference field="4294967294" count="3">
            <x v="3"/>
            <x v="4"/>
            <x v="5"/>
          </reference>
        </references>
      </pivotArea>
    </format>
    <format dxfId="158">
      <pivotArea outline="0" collapsedLevelsAreSubtotals="1" fieldPosition="0">
        <references count="1">
          <reference field="4294967294" count="3" selected="0">
            <x v="3"/>
            <x v="4"/>
            <x v="5"/>
          </reference>
        </references>
      </pivotArea>
    </format>
    <format dxfId="157">
      <pivotArea dataOnly="0" labelOnly="1" outline="0" fieldPosition="0">
        <references count="1">
          <reference field="4294967294" count="3">
            <x v="3"/>
            <x v="4"/>
            <x v="5"/>
          </reference>
        </references>
      </pivotArea>
    </format>
    <format dxfId="156">
      <pivotArea field="1" grandRow="1" outline="0" collapsedLevelsAreSubtotals="1" axis="axisRow" fieldPosition="0">
        <references count="1">
          <reference field="4294967294" count="2" selected="0">
            <x v="0"/>
            <x v="1"/>
          </reference>
        </references>
      </pivotArea>
    </format>
    <format dxfId="155">
      <pivotArea field="1" grandRow="1" outline="0" collapsedLevelsAreSubtotals="1" axis="axisRow" fieldPosition="0">
        <references count="1">
          <reference field="4294967294" count="3" selected="0">
            <x v="3"/>
            <x v="4"/>
            <x v="5"/>
          </reference>
        </references>
      </pivotArea>
    </format>
    <format dxfId="154">
      <pivotArea field="1" grandRow="1" outline="0" collapsedLevelsAreSubtotals="1" axis="axisRow" fieldPosition="0">
        <references count="1">
          <reference field="4294967294" count="3" selected="0">
            <x v="3"/>
            <x v="4"/>
            <x v="5"/>
          </reference>
        </references>
      </pivotArea>
    </format>
    <format dxfId="153">
      <pivotArea field="1" grandRow="1" outline="0" collapsedLevelsAreSubtotals="1" axis="axisRow" fieldPosition="0">
        <references count="1">
          <reference field="4294967294" count="2" selected="0">
            <x v="0"/>
            <x v="1"/>
          </reference>
        </references>
      </pivotArea>
    </format>
    <format dxfId="152">
      <pivotArea field="1" grandRow="1" outline="0" collapsedLevelsAreSubtotals="1" axis="axisRow" fieldPosition="0">
        <references count="1">
          <reference field="4294967294" count="1" selected="0">
            <x v="2"/>
          </reference>
        </references>
      </pivotArea>
    </format>
    <format dxfId="151">
      <pivotArea field="1" grandRow="1" outline="0" collapsedLevelsAreSubtotals="1" axis="axisRow" fieldPosition="0">
        <references count="1">
          <reference field="4294967294" count="1" selected="0">
            <x v="5"/>
          </reference>
        </references>
      </pivotArea>
    </format>
    <format dxfId="150">
      <pivotArea field="1" type="button" dataOnly="0" labelOnly="1" outline="0" axis="axisRow" fieldPosition="0"/>
    </format>
    <format dxfId="149">
      <pivotArea dataOnly="0" labelOnly="1" outline="0" fieldPosition="0">
        <references count="1">
          <reference field="4294967294" count="6">
            <x v="0"/>
            <x v="1"/>
            <x v="2"/>
            <x v="3"/>
            <x v="4"/>
            <x v="5"/>
          </reference>
        </references>
      </pivotArea>
    </format>
    <format dxfId="148">
      <pivotArea dataOnly="0" labelOnly="1" grandRow="1" outline="0"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40"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60"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2"/>
        <item x="0"/>
        <item m="1" x="8"/>
        <item m="1" x="5"/>
        <item x="3"/>
        <item x="1"/>
        <item m="1" x="11"/>
        <item m="1" x="10"/>
        <item m="1" x="9"/>
        <item m="1" x="6"/>
        <item m="1" x="7"/>
        <item m="1" x="4"/>
      </items>
      <extLst>
        <ext xmlns:x14="http://schemas.microsoft.com/office/spreadsheetml/2009/9/main" uri="{2946ED86-A175-432a-8AC1-64E0C546D7DE}">
          <x14:pivotField fillDownLabels="1"/>
        </ext>
      </extLst>
    </pivotField>
    <pivotField axis="axisRow" compact="0" outline="0" showAll="0" defaultSubtotal="0">
      <items count="3">
        <item m="1" x="2"/>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12">
        <item m="1" x="99"/>
        <item m="1" x="105"/>
        <item m="1" x="101"/>
        <item m="1" x="103"/>
        <item m="1" x="48"/>
        <item m="1" x="110"/>
        <item m="1" x="33"/>
        <item m="1" x="107"/>
        <item m="1" x="31"/>
        <item m="1" x="106"/>
        <item m="1" x="104"/>
        <item m="1" x="108"/>
        <item m="1" x="111"/>
        <item m="1" x="109"/>
        <item m="1" x="102"/>
        <item m="1" x="97"/>
        <item m="1" x="100"/>
        <item m="1" x="98"/>
        <item m="1" x="80"/>
        <item m="1" x="30"/>
        <item m="1" x="96"/>
        <item m="1" x="94"/>
        <item m="1" x="95"/>
        <item m="1" x="93"/>
        <item m="1" x="25"/>
        <item m="1" x="85"/>
        <item m="1" x="86"/>
        <item m="1" x="87"/>
        <item m="1" x="88"/>
        <item m="1" x="89"/>
        <item m="1" x="90"/>
        <item m="1" x="91"/>
        <item m="1" x="92"/>
        <item m="1" x="81"/>
        <item m="1" x="73"/>
        <item m="1" x="74"/>
        <item m="1" x="75"/>
        <item m="1" x="76"/>
        <item m="1" x="77"/>
        <item m="1" x="82"/>
        <item m="1" x="78"/>
        <item m="1" x="83"/>
        <item m="1" x="84"/>
        <item m="1" x="79"/>
        <item m="1" x="66"/>
        <item m="1" x="70"/>
        <item m="1" x="69"/>
        <item m="1" x="68"/>
        <item m="1" x="72"/>
        <item m="1" x="71"/>
        <item m="1" x="67"/>
        <item m="1" x="56"/>
        <item m="1" x="55"/>
        <item m="1" x="53"/>
        <item m="1" x="59"/>
        <item m="1" x="58"/>
        <item m="1" x="60"/>
        <item m="1" x="54"/>
        <item m="1" x="52"/>
        <item m="1" x="65"/>
        <item x="16"/>
        <item m="1" x="57"/>
        <item m="1" x="61"/>
        <item m="1" x="64"/>
        <item m="1" x="62"/>
        <item m="1" x="20"/>
        <item m="1" x="63"/>
        <item m="1" x="49"/>
        <item m="1" x="28"/>
        <item m="1" x="50"/>
        <item m="1" x="47"/>
        <item m="1" x="51"/>
        <item m="1" x="42"/>
        <item m="1" x="43"/>
        <item m="1" x="45"/>
        <item m="1" x="44"/>
        <item m="1" x="46"/>
        <item m="1" x="38"/>
        <item m="1" x="32"/>
        <item m="1" x="35"/>
        <item m="1" x="37"/>
        <item m="1" x="40"/>
        <item m="1" x="39"/>
        <item m="1" x="41"/>
        <item m="1" x="36"/>
        <item m="1" x="34"/>
        <item m="1" x="29"/>
        <item x="12"/>
        <item m="1" x="27"/>
        <item x="8"/>
        <item m="1" x="18"/>
        <item m="1" x="19"/>
        <item m="1" x="21"/>
        <item m="1" x="22"/>
        <item m="1" x="23"/>
        <item m="1" x="24"/>
        <item m="1" x="26"/>
        <item x="0"/>
        <item x="1"/>
        <item x="2"/>
        <item x="3"/>
        <item x="4"/>
        <item x="5"/>
        <item x="6"/>
        <item x="7"/>
        <item x="9"/>
        <item x="10"/>
        <item x="11"/>
        <item x="13"/>
        <item x="14"/>
        <item x="15"/>
        <item x="1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1"/>
        <item x="0"/>
        <item t="default"/>
      </items>
      <extLst>
        <ext xmlns:x14="http://schemas.microsoft.com/office/spreadsheetml/2009/9/main" uri="{2946ED86-A175-432a-8AC1-64E0C546D7DE}">
          <x14:pivotField fillDownLabels="1"/>
        </ext>
      </extLst>
    </pivotField>
    <pivotField axis="axisCol" compact="0" outline="0" showAll="0" sortType="ascending">
      <items count="9">
        <item h="1" m="1" x="7"/>
        <item h="1" x="2"/>
        <item x="5"/>
        <item x="4"/>
        <item x="6"/>
        <item h="1" x="0"/>
        <item x="3"/>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14">
    <i>
      <x/>
      <x v="1"/>
      <x v="105"/>
    </i>
    <i r="2">
      <x v="89"/>
    </i>
    <i r="2">
      <x v="104"/>
    </i>
    <i r="1">
      <x v="2"/>
      <x v="107"/>
    </i>
    <i r="2">
      <x v="100"/>
    </i>
    <i r="2">
      <x v="106"/>
    </i>
    <i>
      <x v="1"/>
      <x v="2"/>
      <x v="60"/>
    </i>
    <i r="2">
      <x v="102"/>
    </i>
    <i>
      <x v="4"/>
      <x v="1"/>
      <x v="109"/>
    </i>
    <i>
      <x v="5"/>
      <x v="1"/>
      <x v="103"/>
    </i>
    <i r="2">
      <x v="99"/>
    </i>
    <i r="1">
      <x v="2"/>
      <x v="98"/>
    </i>
    <i r="2">
      <x v="101"/>
    </i>
    <i t="grand">
      <x/>
    </i>
  </rowItems>
  <colFields count="1">
    <field x="12"/>
  </colFields>
  <colItems count="6">
    <i>
      <x v="2"/>
    </i>
    <i>
      <x v="3"/>
    </i>
    <i>
      <x v="4"/>
    </i>
    <i>
      <x v="6"/>
    </i>
    <i>
      <x v="7"/>
    </i>
    <i t="grand">
      <x/>
    </i>
  </colItems>
  <pageFields count="1">
    <pageField fld="11" hier="-1"/>
  </pageFields>
  <dataFields count="1">
    <dataField name="Suma de % MYSTERY" fld="18" baseField="0" baseItem="0" numFmtId="9"/>
  </dataFields>
  <formats count="42">
    <format dxfId="212">
      <pivotArea outline="0" collapsedLevelsAreSubtotals="1" fieldPosition="0"/>
    </format>
    <format dxfId="211">
      <pivotArea outline="0" collapsedLevelsAreSubtotals="1" fieldPosition="0"/>
    </format>
    <format dxfId="210">
      <pivotArea dataOnly="0" labelOnly="1" grandCol="1" outline="0" fieldPosition="0"/>
    </format>
    <format dxfId="209">
      <pivotArea outline="0" collapsedLevelsAreSubtotals="1" fieldPosition="0"/>
    </format>
    <format dxfId="208">
      <pivotArea dataOnly="0" labelOnly="1" grandCol="1" outline="0" fieldPosition="0"/>
    </format>
    <format dxfId="207">
      <pivotArea grandRow="1" outline="0" collapsedLevelsAreSubtotals="1" fieldPosition="0"/>
    </format>
    <format dxfId="206">
      <pivotArea grandRow="1" outline="0" collapsedLevelsAreSubtotals="1" fieldPosition="0"/>
    </format>
    <format dxfId="205">
      <pivotArea dataOnly="0" labelOnly="1" grandCol="1" outline="0" fieldPosition="0"/>
    </format>
    <format dxfId="204">
      <pivotArea dataOnly="0" labelOnly="1" outline="0" fieldPosition="0">
        <references count="2">
          <reference field="1" count="1" selected="0">
            <x v="0"/>
          </reference>
          <reference field="5" count="1">
            <x v="16"/>
          </reference>
        </references>
      </pivotArea>
    </format>
    <format dxfId="203">
      <pivotArea dataOnly="0" labelOnly="1" outline="0" fieldPosition="0">
        <references count="2">
          <reference field="1" count="1" selected="0">
            <x v="0"/>
          </reference>
          <reference field="5" count="1">
            <x v="16"/>
          </reference>
        </references>
      </pivotArea>
    </format>
    <format dxfId="202">
      <pivotArea dataOnly="0" labelOnly="1" outline="0" fieldPosition="0">
        <references count="2">
          <reference field="1" count="1" selected="0">
            <x v="4"/>
          </reference>
          <reference field="5" count="2">
            <x v="14"/>
            <x v="18"/>
          </reference>
        </references>
      </pivotArea>
    </format>
    <format dxfId="201">
      <pivotArea dataOnly="0" labelOnly="1" outline="0" fieldPosition="0">
        <references count="2">
          <reference field="1" count="1" selected="0">
            <x v="0"/>
          </reference>
          <reference field="5" count="1">
            <x v="16"/>
          </reference>
        </references>
      </pivotArea>
    </format>
    <format dxfId="200">
      <pivotArea dataOnly="0" labelOnly="1" outline="0" fieldPosition="0">
        <references count="2">
          <reference field="1" count="1" selected="0">
            <x v="4"/>
          </reference>
          <reference field="5" count="2">
            <x v="14"/>
            <x v="18"/>
          </reference>
        </references>
      </pivotArea>
    </format>
    <format dxfId="199">
      <pivotArea field="1" type="button" dataOnly="0" labelOnly="1" outline="0" axis="axisRow" fieldPosition="0"/>
    </format>
    <format dxfId="198">
      <pivotArea field="5" type="button" dataOnly="0" labelOnly="1" outline="0" axis="axisRow" fieldPosition="2"/>
    </format>
    <format dxfId="197">
      <pivotArea dataOnly="0" labelOnly="1" outline="0" fieldPosition="0">
        <references count="1">
          <reference field="12" count="0"/>
        </references>
      </pivotArea>
    </format>
    <format dxfId="196">
      <pivotArea dataOnly="0" labelOnly="1" grandCol="1" outline="0" fieldPosition="0"/>
    </format>
    <format dxfId="195">
      <pivotArea field="1" type="button" dataOnly="0" labelOnly="1" outline="0" axis="axisRow" fieldPosition="0"/>
    </format>
    <format dxfId="194">
      <pivotArea field="5" type="button" dataOnly="0" labelOnly="1" outline="0" axis="axisRow" fieldPosition="2"/>
    </format>
    <format dxfId="193">
      <pivotArea dataOnly="0" labelOnly="1" outline="0" fieldPosition="0">
        <references count="1">
          <reference field="12" count="0"/>
        </references>
      </pivotArea>
    </format>
    <format dxfId="192">
      <pivotArea dataOnly="0" labelOnly="1" grandCol="1" outline="0" fieldPosition="0"/>
    </format>
    <format dxfId="191">
      <pivotArea field="2" type="button" dataOnly="0" labelOnly="1" outline="0" axis="axisRow" fieldPosition="1"/>
    </format>
    <format dxfId="190">
      <pivotArea field="1" type="button" dataOnly="0" labelOnly="1" outline="0" axis="axisRow" fieldPosition="0"/>
    </format>
    <format dxfId="189">
      <pivotArea field="2" type="button" dataOnly="0" labelOnly="1" outline="0" axis="axisRow" fieldPosition="1"/>
    </format>
    <format dxfId="188">
      <pivotArea field="5" type="button" dataOnly="0" labelOnly="1" outline="0" axis="axisRow" fieldPosition="2"/>
    </format>
    <format dxfId="187">
      <pivotArea dataOnly="0" labelOnly="1" outline="0" fieldPosition="0">
        <references count="1">
          <reference field="12" count="0"/>
        </references>
      </pivotArea>
    </format>
    <format dxfId="186">
      <pivotArea dataOnly="0" labelOnly="1" grandCol="1" outline="0" fieldPosition="0"/>
    </format>
    <format dxfId="185">
      <pivotArea field="1" type="button" dataOnly="0" labelOnly="1" outline="0" axis="axisRow" fieldPosition="0"/>
    </format>
    <format dxfId="184">
      <pivotArea field="2" type="button" dataOnly="0" labelOnly="1" outline="0" axis="axisRow" fieldPosition="1"/>
    </format>
    <format dxfId="183">
      <pivotArea field="5" type="button" dataOnly="0" labelOnly="1" outline="0" axis="axisRow" fieldPosition="2"/>
    </format>
    <format dxfId="182">
      <pivotArea dataOnly="0" labelOnly="1" outline="0" fieldPosition="0">
        <references count="1">
          <reference field="12" count="0"/>
        </references>
      </pivotArea>
    </format>
    <format dxfId="181">
      <pivotArea field="12" grandRow="1" outline="0" axis="axisCol" fieldPosition="0">
        <references count="1">
          <reference field="12" count="0" selected="0"/>
        </references>
      </pivotArea>
    </format>
    <format dxfId="180">
      <pivotArea dataOnly="0" labelOnly="1" outline="0" fieldPosition="0">
        <references count="1">
          <reference field="1" count="2">
            <x v="0"/>
            <x v="4"/>
          </reference>
        </references>
      </pivotArea>
    </format>
    <format dxfId="179">
      <pivotArea dataOnly="0" labelOnly="1" grandRow="1" outline="0" fieldPosition="0"/>
    </format>
    <format dxfId="178">
      <pivotArea dataOnly="0" labelOnly="1" outline="0" fieldPosition="0">
        <references count="1">
          <reference field="1" count="2">
            <x v="0"/>
            <x v="4"/>
          </reference>
        </references>
      </pivotArea>
    </format>
    <format dxfId="177">
      <pivotArea dataOnly="0" labelOnly="1" grandRow="1" outline="0" fieldPosition="0"/>
    </format>
    <format dxfId="176">
      <pivotArea field="11" type="button" dataOnly="0" labelOnly="1" outline="0" axis="axisPage" fieldPosition="0"/>
    </format>
    <format dxfId="175">
      <pivotArea field="12" grandRow="1" outline="0" axis="axisCol" fieldPosition="0">
        <references count="1">
          <reference field="12" count="0" selected="0"/>
        </references>
      </pivotArea>
    </format>
    <format dxfId="174">
      <pivotArea field="12" grandRow="1" outline="0" axis="axisCol" fieldPosition="0">
        <references count="1">
          <reference field="12" count="0" selected="0"/>
        </references>
      </pivotArea>
    </format>
    <format dxfId="173">
      <pivotArea field="12" grandRow="1" outline="0" axis="axisCol" fieldPosition="0">
        <references count="1">
          <reference field="12" count="0" selected="0"/>
        </references>
      </pivotArea>
    </format>
    <format dxfId="172">
      <pivotArea grandRow="1" grandCol="1" outline="0" collapsedLevelsAreSubtotals="1" fieldPosition="0"/>
    </format>
    <format dxfId="171">
      <pivotArea grandRow="1" grandCol="1" outline="0" collapsedLevelsAreSubtotals="1"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2">
          <x14:conditionalFormat priority="1"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4"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206">
    <queryTableFields count="45">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182" name="SE PRODUCE ABORDO PROACTIVO (antes de los 3 min)" tableColumnId="23"/>
      <queryTableField id="183" name="OFRECIO ALGUN PRODUCTO DEL PORTAFOLIO PURINA DE PRODUCTOS SECOS COMUNICANDO LOS BENEFICIOS DEL PRODUCTO (DOG CHOW, CAT CHOW,_x000a_ALPO, GATSY,FELIX)" tableColumnId="24"/>
      <queryTableField id="184" name="OFRECIO ALGUN PRODUCTO PORTAFOLIO PURINA DE PRODUCTOS HUMEDOS, SNACK U OTROS COMUNICANDO LOS BENEFICIOS DEL PRODUCTO (Dog chow húmedo, Cat chow húmedo, Fancy Feast, Felix, Proplan Húmedo, One Húmedo) Snacks (Abrazzos, Dentalife) Arenilla (Tidy Cat)" tableColumnId="25"/>
      <queryTableField id="185" name="SELECCIONE EL CANAL DEL PDV QUE EVALUA" tableColumnId="26"/>
      <queryTableField id="186" name="CE - Lo primero que ofrece el asesor es la marca Pro Plan?" tableColumnId="27"/>
      <queryTableField id="187" name="CE - Ofrece la marca Excellent?" tableColumnId="28"/>
      <queryTableField id="188" name="CE - El asesor comunica que la marca Excellent esta dentro de la categoria SuperPremium pero a un costo mas accesible." tableColumnId="29"/>
      <queryTableField id="189" name="CE - El asesor comunica los beneficios o caracteristicas del producto Excellent e informa que el producto cambio de imagen pero continua con la misma formula?" tableColumnId="30"/>
      <queryTableField id="190" name="CE - Ofrece producto humedo y comunica la dinamica de multiprice (por la compra de mas cantidades tiene descuento)" tableColumnId="31"/>
      <queryTableField id="191" name="INDIQUE QUE TIPO DE OBJECION / DUDA MANIFESTÓ" tableColumnId="32"/>
      <queryTableField id="192" name="RESUELVE LA OBJECION SATISFACTORIAMENTE?" tableColumnId="33"/>
      <queryTableField id="193" name="SE ENCUENTRA LIMPIA EL AREA DE DEMOSTRACION" tableColumnId="34"/>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197" name="CM - OFRECE PURINA ONE?" tableColumnId="38"/>
      <queryTableField id="198" name="CM - MENCIONA QUE LOS RESULTADOS DE PURINA ONE SON VISIBLES EN 28 DIAS?" tableColumnId="39"/>
      <queryTableField id="199" name="CM - MENCIONA QUE TIENE CARNE DE VERDAD COMO INGREDIENTE NO.1 E INGREDIENTES NATURALES Y FUNCIONALES?" tableColumnId="40"/>
      <queryTableField id="200" name="CM - MENCIONA QUE PURINA ONE CUENTA CON ALIMENTO HUMEDO Y MENCIONA LAS 3 VARIADADES QUE TIENE ( SUPER FOODS, SUPER NUTRIENTES Y MULTI PROTEINAS); APLICA TANTO PARA PERRO COMO PARA GATO" tableColumnId="41"/>
      <queryTableField id="201" name="CM - Maneja la objeción de alto precio en las marcas Purina, comunicando la baja de precios de las marcas o las ofertas disponibles en el punto de venta." tableColumnId="42"/>
      <queryTableField id="202" name="CM - Bajo la objeción de &quot;precio muy costoso&quot;, el asesor ofrece productos en el orden de la segmentación: Perros: Purina One - Dog Chow - Alpo y Gatos: Purina One - Cat Chow - Felix - Gatsy (cuando enuncia Gatsy menciona que &quot;ahora es mas sabroso&quot;)" tableColumnId="43"/>
      <queryTableField id="203" name="CM - Dan a conocer al cliente la actividad del &quot;EVENTO CORPORATIVO DE OLIMPICA JUNIO&quot;?" tableColumnId="44"/>
      <queryTableField id="204" name="INDIQUE OBSERVACION Y/O NOVEDAD DEL MYSTERY REALIZADO" tableColumnId="4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2">
        <i x="1" s="1"/>
        <i x="2" s="1"/>
        <i x="0" s="1"/>
        <i x="3" s="1"/>
        <i x="7" s="1" nd="1"/>
        <i x="9" s="1" nd="1"/>
        <i x="8" s="1" nd="1"/>
        <i x="6" s="1" nd="1"/>
        <i x="5" s="1" nd="1"/>
        <i x="11" s="1" nd="1"/>
        <i x="4"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12">
        <i x="11" s="1"/>
        <i x="8" s="1"/>
        <i x="6" s="1"/>
        <i x="5" s="1"/>
        <i x="7" s="1"/>
        <i x="14" s="1"/>
        <i x="9" s="1"/>
        <i x="2" s="1"/>
        <i x="4" s="1"/>
        <i x="1" s="1"/>
        <i x="10" s="1"/>
        <i x="3" s="1"/>
        <i x="16" s="1"/>
        <i x="24" s="1" nd="1"/>
        <i x="35" s="1" nd="1"/>
        <i x="29" s="1" nd="1"/>
        <i x="89" s="1" nd="1"/>
        <i x="88" s="1" nd="1"/>
        <i x="26" s="1" nd="1"/>
        <i x="12" s="1" nd="1"/>
        <i x="18" s="1" nd="1"/>
        <i x="79" s="1" nd="1"/>
        <i x="40" s="1" nd="1"/>
        <i x="32" s="1" nd="1"/>
        <i x="34" s="1" nd="1"/>
        <i x="15" s="1" nd="1"/>
        <i x="38" s="1" nd="1"/>
        <i x="17" s="1" nd="1"/>
        <i x="45" s="1" nd="1"/>
        <i x="44" s="1" nd="1"/>
        <i x="87" s="1" nd="1"/>
        <i x="0" s="1" nd="1"/>
        <i x="37" s="1" nd="1"/>
        <i x="86" s="1" nd="1"/>
        <i x="82" s="1" nd="1"/>
        <i x="78" s="1" nd="1"/>
        <i x="90" s="1" nd="1"/>
        <i x="91" s="1" nd="1"/>
        <i x="84" s="1" nd="1"/>
        <i x="83" s="1" nd="1"/>
        <i x="27" s="1" nd="1"/>
        <i x="41" s="1" nd="1"/>
        <i x="23" s="1" nd="1"/>
        <i x="77" s="1" nd="1"/>
        <i x="76" s="1" nd="1"/>
        <i x="92" s="1" nd="1"/>
        <i x="13" s="1" nd="1"/>
        <i x="19" s="1" nd="1"/>
        <i x="39" s="1" nd="1"/>
        <i x="21" s="1" nd="1"/>
        <i x="36" s="1" nd="1"/>
        <i x="53" s="1" nd="1"/>
        <i x="71" s="1" nd="1"/>
        <i x="69" s="1" nd="1"/>
        <i x="99" s="1" nd="1"/>
        <i x="93" s="1" nd="1"/>
        <i x="96" s="1" nd="1"/>
        <i x="95" s="1" nd="1"/>
        <i x="74" s="1" nd="1"/>
        <i x="105" s="1" nd="1"/>
        <i x="75" s="1" nd="1"/>
        <i x="94" s="1" nd="1"/>
        <i x="52" s="1" nd="1"/>
        <i x="59" s="1" nd="1"/>
        <i x="64" s="1" nd="1"/>
        <i x="101" s="1" nd="1"/>
        <i x="85" s="1" nd="1"/>
        <i x="73" s="1" nd="1"/>
        <i x="28" s="1" nd="1"/>
        <i x="47" s="1" nd="1"/>
        <i x="103" s="1" nd="1"/>
        <i x="60" s="1" nd="1"/>
        <i x="30" s="1" nd="1"/>
        <i x="57" s="1" nd="1"/>
        <i x="46" s="1" nd="1"/>
        <i x="48" s="1" nd="1"/>
        <i x="110" s="1" nd="1"/>
        <i x="54" s="1" nd="1"/>
        <i x="61" s="1" nd="1"/>
        <i x="33" s="1" nd="1"/>
        <i x="107" s="1" nd="1"/>
        <i x="42" s="1" nd="1"/>
        <i x="49" s="1" nd="1"/>
        <i x="31" s="1" nd="1"/>
        <i x="106" s="1" nd="1"/>
        <i x="50" s="1" nd="1"/>
        <i x="104" s="1" nd="1"/>
        <i x="81" s="1" nd="1"/>
        <i x="25" s="1" nd="1"/>
        <i x="108" s="1" nd="1"/>
        <i x="66" s="1" nd="1"/>
        <i x="20" s="1" nd="1"/>
        <i x="62" s="1" nd="1"/>
        <i x="70" s="1" nd="1"/>
        <i x="51" s="1" nd="1"/>
        <i x="111" s="1" nd="1"/>
        <i x="109" s="1" nd="1"/>
        <i x="65" s="1" nd="1"/>
        <i x="58" s="1" nd="1"/>
        <i x="43" s="1" nd="1"/>
        <i x="55" s="1" nd="1"/>
        <i x="63" s="1" nd="1"/>
        <i x="56" s="1" nd="1"/>
        <i x="68" s="1" nd="1"/>
        <i x="102" s="1" nd="1"/>
        <i x="97" s="1" nd="1"/>
        <i x="100" s="1" nd="1"/>
        <i x="98" s="1" nd="1"/>
        <i x="80" s="1" nd="1"/>
        <i x="22" s="1" nd="1"/>
        <i x="67" s="1" nd="1"/>
        <i x="7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514" tableType="queryTable" totalsRowShown="0" dataDxfId="113">
  <sortState xmlns:xlrd2="http://schemas.microsoft.com/office/spreadsheetml/2017/richdata2" ref="A2:R514">
    <sortCondition ref="I1:I514"/>
  </sortState>
  <tableColumns count="18">
    <tableColumn id="1" xr3:uid="{F8980204-6799-4FD6-9D3F-ACBAADC7880C}" uniqueName="1" name="ACTIVIDAD" queryTableFieldId="1" dataDxfId="112"/>
    <tableColumn id="2" xr3:uid="{1473C919-5D8D-427F-BA10-68EF03B2B653}" uniqueName="2" name="CIUDAD" queryTableFieldId="2" dataDxfId="111"/>
    <tableColumn id="18" xr3:uid="{20FCDFA3-8687-4CA1-9A5B-AEA6FCAD9592}" uniqueName="18" name="CANAL" queryTableFieldId="24" dataDxfId="110"/>
    <tableColumn id="3" xr3:uid="{271FB548-EFFC-45F2-8177-856C35C071DC}" uniqueName="3" name="CADENA" queryTableFieldId="3" dataDxfId="109"/>
    <tableColumn id="4" xr3:uid="{F71A0A19-15B2-4D1D-905C-70CEC9D6AF47}" uniqueName="4" name="CODIGO PDV" queryTableFieldId="4" dataDxfId="108"/>
    <tableColumn id="5" xr3:uid="{E4FEADCA-E2DE-4789-9C78-5F8FB6496823}" uniqueName="5" name="NOMBRE COMERCIAL" queryTableFieldId="5" dataDxfId="107"/>
    <tableColumn id="6" xr3:uid="{5C99D03B-478A-40A2-B3AE-437E7D31990C}" uniqueName="6" name="PREGUNTA" queryTableFieldId="6" dataDxfId="106"/>
    <tableColumn id="7" xr3:uid="{A5EA4B65-C844-4AE4-AE87-CD2AEFA3E4BD}" uniqueName="7" name="RTA" queryTableFieldId="7" dataDxfId="105"/>
    <tableColumn id="8" xr3:uid="{8D71EA04-388B-4C72-AD67-882BB5218CAB}" uniqueName="8" name="FECHA VISITA" queryTableFieldId="8" dataDxfId="104"/>
    <tableColumn id="9" xr3:uid="{11007230-BF6F-4DA6-9C0C-28D77621834B}" uniqueName="9" name="CODIGO RUTA" queryTableFieldId="9" dataDxfId="103"/>
    <tableColumn id="10" xr3:uid="{CF07A078-D8EF-4D63-9B89-6F593201E2E4}" uniqueName="10" name="USUARIO" queryTableFieldId="10" dataDxfId="102"/>
    <tableColumn id="13" xr3:uid="{F212FAAC-215E-43D0-BC9D-3AA543F277F7}" uniqueName="13" name="MYSTERY EFECTIVO" queryTableFieldId="17" dataDxfId="101">
      <calculatedColumnFormula>_xlfn.XLOOKUP(Tabla2__2[[#This Row],[CODIGO RUTA]],'DATA INFORME'!I:I,'DATA INFORME'!K:K)</calculatedColumnFormula>
    </tableColumn>
    <tableColumn id="16" xr3:uid="{21F854B2-004D-4505-9E1A-A9AC1F214887}" uniqueName="16" name="CLUSTER" queryTableFieldId="16" dataDxfId="100">
      <calculatedColumnFormula>IF(Tabla2__2[[#This Row],[MYSTERY EFECTIVO]]="SI",_xlfn.XLOOKUP(Tabla2__2[[#This Row],[PREGUNTA]],ENCUESTA!G:G,ENCUESTA!D:D),"N/A")</calculatedColumnFormula>
    </tableColumn>
    <tableColumn id="12" xr3:uid="{AFEBD2E2-BCC0-467F-B0E5-D144F68133B0}" uniqueName="12" name="TOTAL PUNTAJE" queryTableFieldId="12" dataDxfId="99">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98">
      <calculatedColumnFormula>_xlfn.XLOOKUP(Tabla2__2[[#This Row],[PREGUNTA]],ENCUESTA!G:G,ENCUESTA!H:H)</calculatedColumnFormula>
    </tableColumn>
    <tableColumn id="15" xr3:uid="{E8D41959-0664-4224-BEF1-FD955A109471}" uniqueName="15" name="PUNTAJE OBTENIDO" queryTableFieldId="15" dataDxfId="97">
      <calculatedColumnFormula>IF(Tabla2__2[[#This Row],[RTA]]=Tabla2__2[[#This Row],[RTA CORRECTA]],Tabla2__2[[#This Row],[TOTAL PUNTAJE]],0)</calculatedColumnFormula>
    </tableColumn>
    <tableColumn id="17" xr3:uid="{448B051F-50DD-4A27-B120-BB93A9AFD029}" uniqueName="17" name="Columna1" queryTableFieldId="23" dataDxfId="96">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9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9" totalsRowShown="0" headerRowDxfId="94" dataDxfId="92" headerRowBorderDxfId="93" tableBorderDxfId="91" totalsRowBorderDxfId="90" headerRowCellStyle="Normal 2" dataCellStyle="Normal 2">
  <autoFilter ref="A1:I19" xr:uid="{A06AE8C8-5477-4852-991F-0FB4F9396ED6}"/>
  <tableColumns count="9">
    <tableColumn id="3" xr3:uid="{CEEFCC7D-2B45-4409-9FEE-36A6008A09E3}" name="CANAL" dataDxfId="89" dataCellStyle="Normal 2"/>
    <tableColumn id="1" xr3:uid="{D5DD6073-7452-4C56-A046-CF25B19FCB4F}" name="CIUDAD" dataDxfId="88" dataCellStyle="Normal 2"/>
    <tableColumn id="2" xr3:uid="{304FB0E8-7EB9-4B2E-BDF0-6B1E9D3DF639}" name="CODIGO PDV" dataDxfId="87"/>
    <tableColumn id="4" xr3:uid="{5FFEE965-7C33-4146-8749-C7E79BD9F083}" name="NOMBRE COMERCIAL" dataDxfId="86" dataCellStyle="Normal 2"/>
    <tableColumn id="9" xr3:uid="{56DA6644-1938-47DF-9205-928EAD17CD86}" name="Objetivo Mystery" dataDxfId="85" dataCellStyle="Normal 2"/>
    <tableColumn id="6" xr3:uid="{8587C1B8-25E9-47DF-96EC-0DE9EA854031}" name="#PDV Objetivos" dataDxfId="84"/>
    <tableColumn id="7" xr3:uid="{254582AE-0341-4027-9F60-A63C456EE6EE}" name="#PDV Ejecutados" dataDxfId="83">
      <calculatedColumnFormula>IF(COUNTIFS(Export!I:I,Tabla1[[#This Row],[CODIGO PDV]])&gt;0,1,0)</calculatedColumnFormula>
    </tableColumn>
    <tableColumn id="11" xr3:uid="{EA4A24E0-6A56-4A45-8F19-78AD6DCA277C}" name="# Visitas" dataDxfId="82" dataCellStyle="Normal 2">
      <calculatedColumnFormula>COUNTIFS('DATA INFORME'!D:D,Tabla1[[#This Row],[CODIGO PDV]])</calculatedColumnFormula>
    </tableColumn>
    <tableColumn id="12" xr3:uid="{F623D095-7356-4242-BFFB-11B8E769EF0F}" name="Mystery Ejecutado" dataDxfId="81"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S19" tableType="queryTable" totalsRowShown="0" dataDxfId="80">
  <autoFilter ref="A1:AS19" xr:uid="{0562BD29-73FE-4027-BA12-621401EE7163}"/>
  <tableColumns count="45">
    <tableColumn id="1" xr3:uid="{5E36F5EC-EFE4-416F-AE2A-0A34DABD1BE1}" uniqueName="1" name="ACTIVIDAD" queryTableFieldId="1" dataDxfId="79"/>
    <tableColumn id="2" xr3:uid="{2D91E598-A31D-4125-8581-3FD329B9D8A6}" uniqueName="2" name="CIUDAD" queryTableFieldId="2" dataDxfId="78"/>
    <tableColumn id="3" xr3:uid="{BE955660-67C1-4BC9-A7B2-76050F0F9717}" uniqueName="3" name="CADENA" queryTableFieldId="3" dataDxfId="77"/>
    <tableColumn id="4" xr3:uid="{584B1D0E-A845-487E-B24D-3F46D830A3DD}" uniqueName="4" name="CODIGO PDV" queryTableFieldId="4" dataDxfId="76"/>
    <tableColumn id="5" xr3:uid="{5C21200B-0203-45FF-8479-0CBCF5834786}" uniqueName="5" name="NOMBRE COMERCIAL" queryTableFieldId="5" dataDxfId="75"/>
    <tableColumn id="6" xr3:uid="{AF5E9C40-1A6C-47AF-818E-E6BCE6E6B906}" uniqueName="6" name="CONSECUTIVO ENCUESTA" queryTableFieldId="6" dataDxfId="74"/>
    <tableColumn id="7" xr3:uid="{3C3C5756-6C5B-4F83-A4BA-7370A5D3B586}" uniqueName="7" name="NOMBRE ENCUESTA" queryTableFieldId="7" dataDxfId="73"/>
    <tableColumn id="10" xr3:uid="{592470FD-FBDE-42A0-A47E-06AE15D2BD4D}" uniqueName="10" name="FECHA VISITA" queryTableFieldId="10" dataDxfId="72"/>
    <tableColumn id="11" xr3:uid="{2A1045B2-E0F3-426E-AF7C-91A0AAEEA606}" uniqueName="11" name="CODIGO RUTA" queryTableFieldId="11" dataDxfId="71"/>
    <tableColumn id="12" xr3:uid="{7575ACE8-4DCC-44B4-BD89-97F5F6978813}" uniqueName="12" name="USUARIO" queryTableFieldId="12" dataDxfId="70"/>
    <tableColumn id="8" xr3:uid="{8674FC2D-67B0-45D7-A117-6AB0FC2FC3AE}" uniqueName="8" name="SE LOGRA REALIZAR EL MYSTERY?" queryTableFieldId="181" dataDxfId="69"/>
    <tableColumn id="9" xr3:uid="{36AC2E6B-F783-41F9-A395-AD816E6B1B6B}" uniqueName="9" name="¿CUMPLE HORARIO DE ENTRADA O SALIDA DE LA TIENDA?" queryTableFieldId="154" dataDxfId="68"/>
    <tableColumn id="13" xr3:uid="{C51AF687-3DBE-4078-B41B-510ABFCE0684}" uniqueName="13" name="CUENTA CON PANTALON DEL UNIFORME SEGÚN EL CARGO (NEGRO / ROJO / TURQUESA / JEAN)" queryTableFieldId="155" dataDxfId="67"/>
    <tableColumn id="14" xr3:uid="{341F0A1D-8FCD-41D6-8964-34CCED3ED411}" uniqueName="14" name="CUENTA CON CAMISA DEL UNIFORME Y LOGOS SEGÚN EL CARGO (NEGRA / GRIS / ROJA / TURQUESA) (Es permitido usar debajo de la camisa buso manga larga Negro)" queryTableFieldId="156" dataDxfId="66"/>
    <tableColumn id="16" xr3:uid="{D2371F42-BC07-4548-B6B4-80B991018D4D}" uniqueName="16" name="CUENTA CON CALZADO DE ACUERDO AL UNIFORME" queryTableFieldId="54" dataDxfId="65"/>
    <tableColumn id="15" xr3:uid="{9BB8CF8A-778E-4204-AC89-28DFE270E157}" uniqueName="15" name="POSEE ALGUNA PRENDA ENCIMA DEL UNIFORME NO AUTORIZADA POR LA MARCA (Unicamente esta permitido chaleco de Sodimac y Easy)" queryTableFieldId="157" dataDxfId="64"/>
    <tableColumn id="17" xr3:uid="{F5E30CB3-007B-4336-B1FC-B61B58699F7A}" uniqueName="17" name="EL UNIFORME Y ZAPATOS SE ENCUENTRAN LIMPIOS Y EN BUEN ESTADO" queryTableFieldId="158" dataDxfId="63"/>
    <tableColumn id="18" xr3:uid="{3D3D39A7-BDA7-4332-84A1-F6CA631ED8B1}" uniqueName="18" name="SU CABELLO LUCE LIMPIO, ORGANIZADO O RECOGIDO" queryTableFieldId="159" dataDxfId="62"/>
    <tableColumn id="19" xr3:uid="{10DB44B2-E41E-4EF2-8742-4966C6A2BC32}" uniqueName="19" name="PRESENTA EXCESO DE MAQUILLAJE QUE NO CUMPLE CON EL CODIGO DE VESTIMENTA" queryTableFieldId="160" dataDxfId="61"/>
    <tableColumn id="20" xr3:uid="{6AAEAE78-D4F5-4752-93C8-5B7CAB0DD784}" uniqueName="20" name="TIENE TATUAJES O PIERCINGS VISIBLES QUE NO CUMPLE CON EL CODIGO DE VESTIMENTA" queryTableFieldId="161" dataDxfId="60"/>
    <tableColumn id="21" xr3:uid="{296B1AC1-D069-4B4E-93B0-CF0ED2A976DD}" uniqueName="21" name="TIENE UÑAS LLAMATIVAS Y/O LARGAS QUE NO CUMPLE CON EL CODIGO DE VESTIMENTA" queryTableFieldId="162" dataDxfId="59"/>
    <tableColumn id="22" xr3:uid="{437C56A5-8D82-4008-AE1E-7ABA17C881D7}" uniqueName="22" name="USA ACCESORIOS QUE NO CUMPLE CON EL CODIGO DE VESTIMENTA" queryTableFieldId="163" dataDxfId="58"/>
    <tableColumn id="23" xr3:uid="{C35ECA33-9062-4B55-AEE1-2ECB0B43D4BF}" uniqueName="23" name="SE PRODUCE ABORDO PROACTIVO (antes de los 3 min)" queryTableFieldId="182" dataDxfId="57"/>
    <tableColumn id="24" xr3:uid="{C4F10089-BB81-4860-9805-1FC73B83FF77}" uniqueName="24" name="OFRECIO ALGUN PRODUCTO DEL PORTAFOLIO PURINA DE PRODUCTOS SECOS COMUNICANDO LOS BENEFICIOS DEL PRODUCTO (DOG CHOW, CAT CHOW,_x000a_ALPO, GATSY,FELIX)" queryTableFieldId="183" dataDxfId="56"/>
    <tableColumn id="25" xr3:uid="{3E1B12FC-E87A-45E6-8023-B4FBF4E9A8FF}" uniqueName="25" name="OFRECIO ALGUN PRODUCTO PORTAFOLIO PURINA DE PRODUCTOS HUMEDOS, SNACK U OTROS COMUNICANDO LOS BENEFICIOS DEL PRODUCTO (Dog chow húmedo, Cat chow húmedo, Fancy Feast, Felix, Proplan Húmedo, One Húmedo) Snacks (Abrazzos, Dentalife) Arenilla (Tidy Cat)" queryTableFieldId="184" dataDxfId="55"/>
    <tableColumn id="26" xr3:uid="{B61435E1-7BBA-4D29-9AF5-28E7A92D15FC}" uniqueName="26" name="SELECCIONE EL CANAL DEL PDV QUE EVALUA" queryTableFieldId="185" dataDxfId="54"/>
    <tableColumn id="27" xr3:uid="{B8ED9304-EDA1-43C6-9772-1CE6358D8356}" uniqueName="27" name="CE - Lo primero que ofrece el asesor es la marca Pro Plan?" queryTableFieldId="186" dataDxfId="53"/>
    <tableColumn id="28" xr3:uid="{C58F5AE4-BB91-4B03-9ADD-99B16922FC5E}" uniqueName="28" name="CE - Ofrece la marca Excellent?" queryTableFieldId="187" dataDxfId="52"/>
    <tableColumn id="29" xr3:uid="{24512568-850B-465C-872F-9B32CC228151}" uniqueName="29" name="CE - El asesor comunica que la marca Excellent esta dentro de la categoria SuperPremium pero a un costo mas accesible." queryTableFieldId="188" dataDxfId="51"/>
    <tableColumn id="30" xr3:uid="{6DC0CBC2-FE27-45E0-A45C-F3C01A3C6E34}" uniqueName="30" name="CE - El asesor comunica los beneficios o caracteristicas del producto Excellent e informa que el producto cambio de imagen pero continua con la misma formula?" queryTableFieldId="189" dataDxfId="50"/>
    <tableColumn id="31" xr3:uid="{F6DD6E23-2B40-4F65-9363-04C27F8647E7}" uniqueName="31" name="CE - Ofrece producto humedo y comunica la dinamica de multiprice (por la compra de mas cantidades tiene descuento)" queryTableFieldId="190" dataDxfId="49"/>
    <tableColumn id="32" xr3:uid="{CBEB7872-E0FC-433F-92ED-BF6DF9A3C871}" uniqueName="32" name="INDIQUE QUE TIPO DE OBJECION / DUDA MANIFESTÓ" queryTableFieldId="191" dataDxfId="48"/>
    <tableColumn id="33" xr3:uid="{774766D5-18B3-4E35-B2FD-98A885CFD662}" uniqueName="33" name="RESUELVE LA OBJECION SATISFACTORIAMENTE?" queryTableFieldId="192" dataDxfId="47"/>
    <tableColumn id="34" xr3:uid="{E392B375-238C-44B3-AF2E-34AF46B492F3}" uniqueName="34" name="SE ENCUENTRA LIMPIA EL AREA DE DEMOSTRACION" queryTableFieldId="193" dataDxfId="46"/>
    <tableColumn id="35" xr3:uid="{3683C6AA-101F-48B4-B6A1-E0088EF5A86C}" uniqueName="35" name="REALIZA CIERRE DE VENTA" queryTableFieldId="194" dataDxfId="45"/>
    <tableColumn id="36" xr3:uid="{94638410-401E-4210-92E9-5182B805AAFB}" uniqueName="36" name="CONSIDERO QUE INDEPENDIENTEMENTE DEL SPEECH, LA LABOR DE VENTA ES BUENA" queryTableFieldId="195" dataDxfId="44"/>
    <tableColumn id="37" xr3:uid="{3A6DAE93-BEED-4A28-87F2-FA1A6561FE9D}" uniqueName="37" name="DESEA AÑADIR ALGUNA OBSERVACION Y/O NOVEDAD DEL MYSTERY REALIZADO?" queryTableFieldId="196" dataDxfId="43"/>
    <tableColumn id="38" xr3:uid="{BCE70DF2-4A4D-48AB-B71B-742771327E06}" uniqueName="38" name="CM - OFRECE PURINA ONE?" queryTableFieldId="197" dataDxfId="42"/>
    <tableColumn id="39" xr3:uid="{7361A671-4D43-4262-85AB-6817371900A3}" uniqueName="39" name="CM - MENCIONA QUE LOS RESULTADOS DE PURINA ONE SON VISIBLES EN 28 DIAS?" queryTableFieldId="198" dataDxfId="41"/>
    <tableColumn id="40" xr3:uid="{7361B981-05CA-41AE-B1D9-06FEB2628776}" uniqueName="40" name="CM - MENCIONA QUE TIENE CARNE DE VERDAD COMO INGREDIENTE NO.1 E INGREDIENTES NATURALES Y FUNCIONALES?" queryTableFieldId="199" dataDxfId="40"/>
    <tableColumn id="41" xr3:uid="{D052AA78-8D04-43CE-B5C5-9D3A1A10227B}" uniqueName="41" name="CM - MENCIONA QUE PURINA ONE CUENTA CON ALIMENTO HUMEDO Y MENCIONA LAS 3 VARIADADES QUE TIENE ( SUPER FOODS, SUPER NUTRIENTES Y MULTI PROTEINAS); APLICA TANTO PARA PERRO COMO PARA GATO" queryTableFieldId="200" dataDxfId="39"/>
    <tableColumn id="42" xr3:uid="{C70688A0-0605-4CDA-A7A2-83F952038BA9}" uniqueName="42" name="CM - Maneja la objeción de alto precio en las marcas Purina, comunicando la baja de precios de las marcas o las ofertas disponibles en el punto de venta." queryTableFieldId="201" dataDxfId="38"/>
    <tableColumn id="43" xr3:uid="{94F0407E-7C61-4ED6-9A65-EEFCDCEBB40F}" uniqueName="43" name="CM - Bajo la objeción de &quot;precio muy costoso&quot;, el asesor ofrece productos en el orden de la segmentación: Perros: Purina One - Dog Chow - Alpo y Gatos: Purina One - Cat Chow - Felix - Gatsy (cuando enuncia Gatsy menciona que &quot;ahora es mas sabroso&quot;)" queryTableFieldId="202" dataDxfId="37"/>
    <tableColumn id="44" xr3:uid="{035BC55E-AC1C-42EF-92EB-2C0B78BAEA64}" uniqueName="44" name="CM - Dan a conocer al cliente la actividad del &quot;EVENTO CORPORATIVO DE OLIMPICA JUNIO&quot;?" queryTableFieldId="203" dataDxfId="36"/>
    <tableColumn id="45" xr3:uid="{FFD051C2-9382-4C54-906A-F670A0A74F4F}" uniqueName="45" name="INDIQUE OBSERVACION Y/O NOVEDAD DEL MYSTERY REALIZADO" queryTableFieldId="204" dataDxfId="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514" totalsRowShown="0" dataDxfId="34">
  <autoFilter ref="A1:AC514" xr:uid="{DF097FD5-2AE4-4313-BF77-CBF36E66D478}">
    <filterColumn colId="2">
      <filters>
        <filter val="CALI"/>
      </filters>
    </filterColumn>
  </autoFilter>
  <tableColumns count="29">
    <tableColumn id="1" xr3:uid="{EEAB5D40-1395-44AC-989B-7BEBDB594890}" name="ACTIVIDAD" dataDxfId="33"/>
    <tableColumn id="2" xr3:uid="{7135FC02-E21A-4459-956C-B095998917BA}" name="REGIONAL" dataDxfId="32"/>
    <tableColumn id="3" xr3:uid="{A676BE8F-9D25-4608-AFA9-335EE953599F}" name="CIUDAD" dataDxfId="31"/>
    <tableColumn id="4" xr3:uid="{8C438510-9FA2-4A67-81E2-F5A249D8C2D8}" name="CANAL" dataDxfId="30"/>
    <tableColumn id="5" xr3:uid="{55468C83-E61B-4AC3-8AB6-7842CA8A8685}" name="CADENA" dataDxfId="29"/>
    <tableColumn id="6" xr3:uid="{319677CB-3518-4692-9804-576A90B637C6}" name="SUBCADENA" dataDxfId="28"/>
    <tableColumn id="7" xr3:uid="{280B06EB-BEEB-41FF-BD4D-C86267C96B51}" name="ZONA" dataDxfId="27"/>
    <tableColumn id="8" xr3:uid="{38318117-E4E5-4BBD-BCB8-A0CF5740AD2E}" name="RV" dataDxfId="26"/>
    <tableColumn id="9" xr3:uid="{AE249958-DA07-4D5E-8893-DA47B2F89DBB}" name="CODIGO PDV" dataDxfId="25"/>
    <tableColumn id="10" xr3:uid="{5063BA25-7363-4804-9209-6EF1C7FD9552}" name="NOMBRE COMERCIAL" dataDxfId="24"/>
    <tableColumn id="11" xr3:uid="{1CA31434-5FCA-4588-9EF7-31A85DF89C42}" name="CODIGO EAN" dataDxfId="23"/>
    <tableColumn id="12" xr3:uid="{F4C77DD5-927D-43C6-A19F-C551C82B3D0D}" name="TIPO PUNTO VENTA" dataDxfId="22"/>
    <tableColumn id="13" xr3:uid="{EF48160A-97DF-4C9A-9BBF-2ECC73BF528F}" name="CONSECUTIVO ENCUESTA" dataDxfId="21"/>
    <tableColumn id="14" xr3:uid="{6FA0BAC5-63D5-4D95-B588-F0B164135E47}" name="NOMBRE ENCUESTA" dataDxfId="20"/>
    <tableColumn id="15" xr3:uid="{7C6BC3DB-B9BC-4C72-ADB7-0BB7A62378BB}" name="PREGUNTA" dataDxfId="19"/>
    <tableColumn id="16" xr3:uid="{AB325775-AFD1-4793-A618-BF02FE3029AE}" name="RESPUESTA" dataDxfId="18"/>
    <tableColumn id="17" xr3:uid="{85D12482-E7F3-4879-B4F0-D80F64421259}" name="CODIGO FOTO" dataDxfId="17"/>
    <tableColumn id="18" xr3:uid="{01036A0B-7510-4B37-96FC-1C395DEDC179}" name="OBSERVACION" dataDxfId="16"/>
    <tableColumn id="19" xr3:uid="{2F24E07E-80CB-4EA2-9555-9AEB9E02C9EF}" name="FECHA VISITA" dataDxfId="15"/>
    <tableColumn id="20" xr3:uid="{DC9D56CE-D3BF-4EEF-90B5-C3152AB2A8A8}" name="FECHA INICIO VISITA" dataDxfId="14"/>
    <tableColumn id="21" xr3:uid="{8DDE28A9-EDD9-412B-B7A2-DF2644A996E9}" name="FECHA CREACIÓN RESPUESTA" dataDxfId="13"/>
    <tableColumn id="22" xr3:uid="{3A74E72D-F4BF-4E54-8634-EEEC35A8C032}" name="CODIGO RUTA" dataDxfId="12"/>
    <tableColumn id="23" xr3:uid="{0ADFC93D-A4B4-4C17-8A6B-A6D563B99FCD}" name="CLIENTE" dataDxfId="11"/>
    <tableColumn id="24" xr3:uid="{6908F565-FB85-4368-B2F7-297DF2BEFBCD}" name="CODIGO EXHIBICION" dataDxfId="10"/>
    <tableColumn id="25" xr3:uid="{AA5CE162-90D2-43B1-96A0-970F0C412A96}" name="NOMBRE EXHIBICION" dataDxfId="9"/>
    <tableColumn id="26" xr3:uid="{D2023860-446B-430D-8595-9C2C1438BED3}" name="NOMBRE USUARIO" dataDxfId="8"/>
    <tableColumn id="27" xr3:uid="{F11E0B94-0622-411D-9CA7-B259829B8A9F}" name="USUARIO" dataDxfId="7"/>
    <tableColumn id="28" xr3:uid="{E1B013E5-0581-4476-9D6C-3AFBAC21C681}" name="NOMBRE SUPERVISOR " dataDxfId="6"/>
    <tableColumn id="29" xr3:uid="{B64E6504-C110-44E6-B203-6C06A1F0FFB1}" name="USUARIO SUPERVISOR" dataDxfId="5"/>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8PwU9rA5ADwU-PbBu1SvqVR4mE55I4FX/view?t=1" TargetMode="External"/><Relationship Id="rId13" Type="http://schemas.openxmlformats.org/officeDocument/2006/relationships/hyperlink" Target="https://drive.google.com/file/d/1apJsX_a7ZHlIF4-1icZHuObHVTsQR_7m/view" TargetMode="External"/><Relationship Id="rId18" Type="http://schemas.openxmlformats.org/officeDocument/2006/relationships/hyperlink" Target="https://drive.google.com/file/d/1opvpzQBbNW3BThmSfVpAeOb2cntlD_d3/view" TargetMode="External"/><Relationship Id="rId3" Type="http://schemas.openxmlformats.org/officeDocument/2006/relationships/hyperlink" Target="https://drive.google.com/file/d/1TwFJHJSNrCE_y9RgCW6frnte_C3qzV-e/view" TargetMode="External"/><Relationship Id="rId7" Type="http://schemas.openxmlformats.org/officeDocument/2006/relationships/hyperlink" Target="https://drive.google.com/file/d/1NUAxAlTxScWfc2LurOv6029r1k8Tf9hb/view" TargetMode="External"/><Relationship Id="rId12" Type="http://schemas.openxmlformats.org/officeDocument/2006/relationships/hyperlink" Target="https://drive.google.com/file/d/1nHmrMWBciTTQml6Kwqu4Bis1waBbKllC/view" TargetMode="External"/><Relationship Id="rId17" Type="http://schemas.openxmlformats.org/officeDocument/2006/relationships/hyperlink" Target="https://drive.google.com/file/d/1IKfmkDf7ww0I0fCJMvO04k3xqgp0e5rM/view" TargetMode="External"/><Relationship Id="rId2" Type="http://schemas.openxmlformats.org/officeDocument/2006/relationships/hyperlink" Target="https://drive.google.com/file/d/1eKNoQDOFX4il0aAV8Rn5fxCWqfjyOJZG/view" TargetMode="External"/><Relationship Id="rId16" Type="http://schemas.openxmlformats.org/officeDocument/2006/relationships/hyperlink" Target="https://drive.google.com/file/d/1V3OfFrSveEzIZD820cA5__-hsCVFjyt8/view" TargetMode="External"/><Relationship Id="rId20" Type="http://schemas.openxmlformats.org/officeDocument/2006/relationships/hyperlink" Target="https://drive.google.com/file/d/1DFzHQdMfJWcQqQRX4nzAhLlxbI5vTR4p/view" TargetMode="External"/><Relationship Id="rId1" Type="http://schemas.openxmlformats.org/officeDocument/2006/relationships/hyperlink" Target="https://drive.google.com/file/d/1MYXQnSu4-tKQpQxWUymtdXqS49apEjvY/view" TargetMode="External"/><Relationship Id="rId6" Type="http://schemas.openxmlformats.org/officeDocument/2006/relationships/hyperlink" Target="https://drive.google.com/file/d/1o4cfSNqe7WEsyeJzULv0lQK4EJmMTI5w/view" TargetMode="External"/><Relationship Id="rId11" Type="http://schemas.openxmlformats.org/officeDocument/2006/relationships/hyperlink" Target="https://drive.google.com/file/d/1tYY2wuJEA0bAFS0lklDejzXLv0vXkZnD/view" TargetMode="External"/><Relationship Id="rId5" Type="http://schemas.openxmlformats.org/officeDocument/2006/relationships/hyperlink" Target="https://drive.google.com/file/d/1d7AwzIKXhBhNkiJKGsqlPqPOeOtor6h6/view" TargetMode="External"/><Relationship Id="rId15" Type="http://schemas.openxmlformats.org/officeDocument/2006/relationships/hyperlink" Target="https://drive.google.com/file/d/1T-mxSVoXf21HRHoHNPAlp3S0MyhFCRuf/view" TargetMode="External"/><Relationship Id="rId10" Type="http://schemas.openxmlformats.org/officeDocument/2006/relationships/hyperlink" Target="https://drive.google.com/file/d/1hLbN8Ho3GYpJTrYIAhUiKjVDj1I94kE_/view" TargetMode="External"/><Relationship Id="rId19" Type="http://schemas.openxmlformats.org/officeDocument/2006/relationships/hyperlink" Target="https://drive.google.com/file/d/1wY41XAqU3cx7GjlDf6Q34WAVq_rTXbqH/view" TargetMode="External"/><Relationship Id="rId4" Type="http://schemas.openxmlformats.org/officeDocument/2006/relationships/hyperlink" Target="https://drive.google.com/file/d/1tgeF4lx9dcsJxOIUfHpbYLOALUV3L9fn/view" TargetMode="External"/><Relationship Id="rId9" Type="http://schemas.openxmlformats.org/officeDocument/2006/relationships/hyperlink" Target="https://drive.google.com/file/d/12WqBC-Y_5F4NvSTjN-kWRnqISCdR2szz/view" TargetMode="External"/><Relationship Id="rId14" Type="http://schemas.openxmlformats.org/officeDocument/2006/relationships/hyperlink" Target="https://drive.google.com/file/d/1ffYVQVbwvXf2WTI9eFfEMBu9GahLxW7m/view"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zoomScale="80" zoomScaleNormal="80" workbookViewId="0">
      <selection activeCell="E21" sqref="E21"/>
    </sheetView>
  </sheetViews>
  <sheetFormatPr baseColWidth="10" defaultColWidth="11.42578125" defaultRowHeight="15" x14ac:dyDescent="0.25"/>
  <cols>
    <col min="1" max="1" width="38.140625" customWidth="1"/>
    <col min="2" max="2" width="1.85546875" style="92" customWidth="1"/>
    <col min="3" max="3" width="8.5703125" customWidth="1"/>
    <col min="4" max="4" width="36.42578125" customWidth="1"/>
    <col min="5" max="5" width="14.28515625" customWidth="1"/>
    <col min="6" max="6" width="24.28515625" customWidth="1"/>
    <col min="7" max="7" width="11.7109375" customWidth="1"/>
    <col min="8" max="8" width="14.85546875" bestFit="1" customWidth="1"/>
    <col min="9" max="9" width="15.28515625" bestFit="1" customWidth="1"/>
    <col min="10" max="10" width="18.42578125" customWidth="1"/>
    <col min="11" max="11" width="16.85546875" customWidth="1"/>
    <col min="12" max="12" width="16.42578125" customWidth="1"/>
    <col min="13" max="13" width="18.42578125" customWidth="1"/>
    <col min="14" max="14" width="11.85546875" customWidth="1"/>
  </cols>
  <sheetData>
    <row r="1" spans="1:10" ht="23.45" customHeight="1" x14ac:dyDescent="0.25">
      <c r="A1" s="93" t="s">
        <v>322</v>
      </c>
    </row>
    <row r="2" spans="1:10" x14ac:dyDescent="0.25">
      <c r="A2" s="94"/>
    </row>
    <row r="3" spans="1:10" ht="21" x14ac:dyDescent="0.35">
      <c r="A3" s="94"/>
      <c r="D3" s="7" t="s">
        <v>0</v>
      </c>
      <c r="E3" s="3"/>
      <c r="F3" s="3"/>
      <c r="G3" s="3"/>
      <c r="H3" s="3"/>
      <c r="I3" s="3"/>
      <c r="J3" s="3"/>
    </row>
    <row r="4" spans="1:10" x14ac:dyDescent="0.25">
      <c r="D4" s="14" t="s">
        <v>1</v>
      </c>
      <c r="E4" s="16" t="s">
        <v>2</v>
      </c>
      <c r="F4" s="16" t="s">
        <v>3</v>
      </c>
      <c r="G4" s="17" t="s">
        <v>4</v>
      </c>
      <c r="H4" s="16" t="s">
        <v>5</v>
      </c>
      <c r="I4" s="16" t="s">
        <v>6</v>
      </c>
      <c r="J4" s="17" t="s">
        <v>7</v>
      </c>
    </row>
    <row r="5" spans="1:10" x14ac:dyDescent="0.25">
      <c r="D5" s="2" t="s">
        <v>93</v>
      </c>
      <c r="E5" s="3">
        <v>4</v>
      </c>
      <c r="F5" s="3">
        <v>4</v>
      </c>
      <c r="G5" s="4">
        <v>1</v>
      </c>
      <c r="H5" s="3">
        <v>4</v>
      </c>
      <c r="I5" s="3">
        <v>4</v>
      </c>
      <c r="J5" s="4">
        <v>1</v>
      </c>
    </row>
    <row r="6" spans="1:10" x14ac:dyDescent="0.25">
      <c r="D6" s="2" t="s">
        <v>91</v>
      </c>
      <c r="E6" s="3">
        <v>1</v>
      </c>
      <c r="F6" s="3">
        <v>1</v>
      </c>
      <c r="G6" s="4">
        <v>1</v>
      </c>
      <c r="H6" s="3">
        <v>1</v>
      </c>
      <c r="I6" s="3">
        <v>1</v>
      </c>
      <c r="J6" s="4">
        <v>1</v>
      </c>
    </row>
    <row r="7" spans="1:10" x14ac:dyDescent="0.25">
      <c r="D7" s="2" t="s">
        <v>8</v>
      </c>
      <c r="E7" s="3">
        <v>9</v>
      </c>
      <c r="F7" s="3">
        <v>9</v>
      </c>
      <c r="G7" s="4">
        <v>1</v>
      </c>
      <c r="H7" s="3">
        <v>9</v>
      </c>
      <c r="I7" s="3">
        <v>6</v>
      </c>
      <c r="J7" s="4">
        <v>0.66666666666666663</v>
      </c>
    </row>
    <row r="8" spans="1:10" x14ac:dyDescent="0.25">
      <c r="D8" s="2" t="s">
        <v>112</v>
      </c>
      <c r="E8" s="3">
        <v>4</v>
      </c>
      <c r="F8" s="3">
        <v>4</v>
      </c>
      <c r="G8" s="4">
        <v>1</v>
      </c>
      <c r="H8" s="3">
        <v>4</v>
      </c>
      <c r="I8" s="3">
        <v>2</v>
      </c>
      <c r="J8" s="4">
        <v>0.5</v>
      </c>
    </row>
    <row r="9" spans="1:10" x14ac:dyDescent="0.25">
      <c r="D9" s="18" t="s">
        <v>9</v>
      </c>
      <c r="E9" s="89">
        <v>18</v>
      </c>
      <c r="F9" s="89">
        <v>18</v>
      </c>
      <c r="G9" s="13">
        <v>1</v>
      </c>
      <c r="H9" s="89">
        <v>18</v>
      </c>
      <c r="I9" s="89">
        <v>13</v>
      </c>
      <c r="J9" s="15">
        <v>0.72222222222222221</v>
      </c>
    </row>
    <row r="15" spans="1:10" ht="21" x14ac:dyDescent="0.35">
      <c r="D15" s="7" t="s">
        <v>10</v>
      </c>
      <c r="E15" s="3"/>
      <c r="F15" s="3"/>
    </row>
    <row r="16" spans="1:10" hidden="1" x14ac:dyDescent="0.25">
      <c r="D16" s="1" t="s">
        <v>11</v>
      </c>
      <c r="E16" s="29" t="s">
        <v>12</v>
      </c>
      <c r="F16" s="3"/>
      <c r="G16" s="3"/>
    </row>
    <row r="17" spans="4:9" x14ac:dyDescent="0.25">
      <c r="D17" s="1" t="s">
        <v>13</v>
      </c>
      <c r="E17" s="3" t="s">
        <v>15</v>
      </c>
      <c r="F17" s="3" t="s">
        <v>14</v>
      </c>
      <c r="G17" s="5" t="s">
        <v>16</v>
      </c>
    </row>
    <row r="18" spans="4:9" x14ac:dyDescent="0.25">
      <c r="D18" s="2" t="s">
        <v>17</v>
      </c>
      <c r="E18" s="4">
        <v>1</v>
      </c>
      <c r="F18" s="4">
        <v>1</v>
      </c>
      <c r="G18" s="4">
        <v>1</v>
      </c>
    </row>
    <row r="19" spans="4:9" x14ac:dyDescent="0.25">
      <c r="D19" s="2" t="s">
        <v>129</v>
      </c>
      <c r="E19" s="4">
        <v>1</v>
      </c>
      <c r="F19" s="4">
        <v>1</v>
      </c>
      <c r="G19" s="4">
        <v>1</v>
      </c>
    </row>
    <row r="20" spans="4:9" x14ac:dyDescent="0.25">
      <c r="D20" s="2" t="s">
        <v>132</v>
      </c>
      <c r="E20" s="4">
        <v>0.75</v>
      </c>
      <c r="F20" s="4">
        <v>0.9285714285714286</v>
      </c>
      <c r="G20" s="4">
        <v>0.84615384615384615</v>
      </c>
    </row>
    <row r="21" spans="4:9" x14ac:dyDescent="0.25">
      <c r="D21" s="2" t="s">
        <v>130</v>
      </c>
      <c r="E21" s="4">
        <v>0.66666666666666663</v>
      </c>
      <c r="F21" s="4">
        <v>1</v>
      </c>
      <c r="G21" s="4">
        <v>0.84615384615384615</v>
      </c>
    </row>
    <row r="22" spans="4:9" x14ac:dyDescent="0.25">
      <c r="D22" s="2" t="s">
        <v>131</v>
      </c>
      <c r="E22" s="4">
        <v>0.62962962962963021</v>
      </c>
      <c r="F22" s="4">
        <v>0.73469387755102089</v>
      </c>
      <c r="G22" s="4">
        <v>0.67961165048543626</v>
      </c>
    </row>
    <row r="23" spans="4:9" x14ac:dyDescent="0.25">
      <c r="D23" s="2" t="s">
        <v>105</v>
      </c>
      <c r="E23" s="4">
        <v>0.33333333333333331</v>
      </c>
      <c r="F23" s="4">
        <v>0.5714285714285714</v>
      </c>
      <c r="G23" s="4">
        <v>0.46153846153846156</v>
      </c>
    </row>
    <row r="24" spans="4:9" x14ac:dyDescent="0.25">
      <c r="D24" s="2" t="s">
        <v>16</v>
      </c>
      <c r="E24" s="9">
        <v>0.78751803751803762</v>
      </c>
      <c r="F24" s="9">
        <v>0.9292120435618193</v>
      </c>
      <c r="G24" s="11">
        <v>0.86257210722768907</v>
      </c>
    </row>
    <row r="29" spans="4:9" ht="21" x14ac:dyDescent="0.25">
      <c r="D29" s="8" t="s">
        <v>18</v>
      </c>
      <c r="E29" s="3"/>
      <c r="F29" s="3"/>
      <c r="G29" s="3"/>
      <c r="H29" s="3"/>
    </row>
    <row r="30" spans="4:9" hidden="1" x14ac:dyDescent="0.25">
      <c r="D30" s="1" t="s">
        <v>11</v>
      </c>
      <c r="E30" s="29" t="s">
        <v>12</v>
      </c>
      <c r="F30" s="3"/>
      <c r="G30" s="3"/>
      <c r="H30" s="3"/>
      <c r="I30" s="3"/>
    </row>
    <row r="31" spans="4:9" x14ac:dyDescent="0.25">
      <c r="D31" s="1" t="s">
        <v>13</v>
      </c>
      <c r="E31" s="3" t="s">
        <v>8</v>
      </c>
      <c r="F31" s="3" t="s">
        <v>112</v>
      </c>
      <c r="G31" s="3" t="s">
        <v>91</v>
      </c>
      <c r="H31" s="3" t="s">
        <v>93</v>
      </c>
      <c r="I31" s="5" t="s">
        <v>16</v>
      </c>
    </row>
    <row r="32" spans="4:9" x14ac:dyDescent="0.25">
      <c r="D32" s="2" t="s">
        <v>17</v>
      </c>
      <c r="E32" s="4">
        <v>1</v>
      </c>
      <c r="F32" s="4">
        <v>1</v>
      </c>
      <c r="G32" s="4">
        <v>1</v>
      </c>
      <c r="H32" s="4">
        <v>1</v>
      </c>
      <c r="I32" s="4">
        <v>1</v>
      </c>
    </row>
    <row r="33" spans="4:12" x14ac:dyDescent="0.25">
      <c r="D33" s="2" t="s">
        <v>129</v>
      </c>
      <c r="E33" s="4">
        <v>1</v>
      </c>
      <c r="F33" s="4">
        <v>1</v>
      </c>
      <c r="G33" s="4">
        <v>1</v>
      </c>
      <c r="H33" s="4">
        <v>1</v>
      </c>
      <c r="I33" s="4">
        <v>1</v>
      </c>
    </row>
    <row r="34" spans="4:12" x14ac:dyDescent="0.25">
      <c r="D34" s="2" t="s">
        <v>132</v>
      </c>
      <c r="E34" s="4">
        <v>0.66666666666666663</v>
      </c>
      <c r="F34" s="4">
        <v>1</v>
      </c>
      <c r="G34" s="4">
        <v>1</v>
      </c>
      <c r="H34" s="4">
        <v>1</v>
      </c>
      <c r="I34" s="4">
        <v>0.84615384615384615</v>
      </c>
    </row>
    <row r="35" spans="4:12" x14ac:dyDescent="0.25">
      <c r="D35" s="2" t="s">
        <v>130</v>
      </c>
      <c r="E35" s="4">
        <v>0.83333333333333337</v>
      </c>
      <c r="F35" s="4">
        <v>1</v>
      </c>
      <c r="G35" s="4">
        <v>0</v>
      </c>
      <c r="H35" s="4">
        <v>1</v>
      </c>
      <c r="I35" s="4">
        <v>0.84615384615384615</v>
      </c>
    </row>
    <row r="36" spans="4:12" x14ac:dyDescent="0.25">
      <c r="D36" s="2" t="s">
        <v>131</v>
      </c>
      <c r="E36" s="4">
        <v>0.81250000000000044</v>
      </c>
      <c r="F36" s="4">
        <v>0.49999999999999994</v>
      </c>
      <c r="G36" s="4">
        <v>0.77777777777777779</v>
      </c>
      <c r="H36" s="4">
        <v>0.53124999999999989</v>
      </c>
      <c r="I36" s="4">
        <v>0.67961165048543626</v>
      </c>
    </row>
    <row r="37" spans="4:12" x14ac:dyDescent="0.25">
      <c r="D37" s="2" t="s">
        <v>105</v>
      </c>
      <c r="E37" s="4">
        <v>0.33333333333333331</v>
      </c>
      <c r="F37" s="4">
        <v>0.5</v>
      </c>
      <c r="G37" s="4">
        <v>0</v>
      </c>
      <c r="H37" s="4">
        <v>0.75</v>
      </c>
      <c r="I37" s="4">
        <v>0.46153846153846156</v>
      </c>
    </row>
    <row r="38" spans="4:12" x14ac:dyDescent="0.25">
      <c r="D38" s="2" t="s">
        <v>16</v>
      </c>
      <c r="E38" s="9">
        <v>0.83994126284875203</v>
      </c>
      <c r="F38" s="9">
        <v>0.90807174887892339</v>
      </c>
      <c r="G38" s="9">
        <v>0.68398268398268436</v>
      </c>
      <c r="H38" s="9">
        <v>0.91960352422907443</v>
      </c>
      <c r="I38" s="11">
        <v>0.86257210722768907</v>
      </c>
    </row>
    <row r="41" spans="4:12" x14ac:dyDescent="0.25">
      <c r="E41" s="3"/>
      <c r="F41" s="3"/>
      <c r="G41" s="3"/>
      <c r="H41" s="3"/>
    </row>
    <row r="42" spans="4:12" x14ac:dyDescent="0.25">
      <c r="F42" s="3"/>
      <c r="G42" s="3"/>
      <c r="H42" s="3"/>
    </row>
    <row r="43" spans="4:12" hidden="1" x14ac:dyDescent="0.25">
      <c r="D43" s="14" t="s">
        <v>19</v>
      </c>
      <c r="E43" t="s">
        <v>128</v>
      </c>
    </row>
    <row r="44" spans="4:12" ht="21" x14ac:dyDescent="0.35">
      <c r="D44" s="7" t="s">
        <v>21</v>
      </c>
    </row>
    <row r="45" spans="4:12" hidden="1" x14ac:dyDescent="0.25">
      <c r="D45" s="1" t="s">
        <v>11</v>
      </c>
      <c r="G45" s="1" t="s">
        <v>13</v>
      </c>
    </row>
    <row r="46" spans="4:12" ht="45" x14ac:dyDescent="0.25">
      <c r="D46" s="20" t="s">
        <v>1</v>
      </c>
      <c r="E46" s="20" t="s">
        <v>22</v>
      </c>
      <c r="F46" s="20" t="s">
        <v>23</v>
      </c>
      <c r="G46" s="35" t="s">
        <v>105</v>
      </c>
      <c r="H46" s="35" t="s">
        <v>17</v>
      </c>
      <c r="I46" s="35" t="s">
        <v>132</v>
      </c>
      <c r="J46" s="35" t="s">
        <v>131</v>
      </c>
      <c r="K46" s="35" t="s">
        <v>129</v>
      </c>
      <c r="L46" s="19" t="s">
        <v>16</v>
      </c>
    </row>
    <row r="47" spans="4:12" x14ac:dyDescent="0.25">
      <c r="D47" s="10" t="s">
        <v>8</v>
      </c>
      <c r="E47" t="s">
        <v>15</v>
      </c>
      <c r="F47" t="s">
        <v>228</v>
      </c>
      <c r="G47" s="4">
        <v>0</v>
      </c>
      <c r="H47" s="4">
        <v>1</v>
      </c>
      <c r="I47" s="4">
        <v>1</v>
      </c>
      <c r="J47" s="4">
        <v>1</v>
      </c>
      <c r="K47" s="4">
        <v>1</v>
      </c>
      <c r="L47" s="4">
        <v>0.92737430167597812</v>
      </c>
    </row>
    <row r="48" spans="4:12" x14ac:dyDescent="0.25">
      <c r="D48" s="10" t="s">
        <v>8</v>
      </c>
      <c r="E48" t="s">
        <v>15</v>
      </c>
      <c r="F48" t="s">
        <v>312</v>
      </c>
      <c r="G48" s="4">
        <v>1</v>
      </c>
      <c r="H48" s="4">
        <v>1</v>
      </c>
      <c r="I48" s="4">
        <v>0.5</v>
      </c>
      <c r="J48" s="4">
        <v>1</v>
      </c>
      <c r="K48" s="4">
        <v>1</v>
      </c>
      <c r="L48" s="4">
        <v>0.89106145251396696</v>
      </c>
    </row>
    <row r="49" spans="4:12" x14ac:dyDescent="0.25">
      <c r="D49" s="10" t="s">
        <v>8</v>
      </c>
      <c r="E49" t="s">
        <v>15</v>
      </c>
      <c r="F49" t="s">
        <v>298</v>
      </c>
      <c r="G49" s="4">
        <v>0</v>
      </c>
      <c r="H49" s="4">
        <v>1</v>
      </c>
      <c r="I49" s="4">
        <v>0</v>
      </c>
      <c r="J49" s="4">
        <v>0.33333333333333337</v>
      </c>
      <c r="K49" s="4">
        <v>1</v>
      </c>
      <c r="L49" s="4">
        <v>0.57541899441340794</v>
      </c>
    </row>
    <row r="50" spans="4:12" x14ac:dyDescent="0.25">
      <c r="D50" s="10" t="s">
        <v>8</v>
      </c>
      <c r="E50" t="s">
        <v>14</v>
      </c>
      <c r="F50" t="s">
        <v>191</v>
      </c>
      <c r="G50" s="4">
        <v>0</v>
      </c>
      <c r="H50" s="4">
        <v>1</v>
      </c>
      <c r="I50" s="4">
        <v>1</v>
      </c>
      <c r="J50" s="4">
        <v>1</v>
      </c>
      <c r="K50" s="4">
        <v>1</v>
      </c>
      <c r="L50" s="4">
        <v>0.92397660818713478</v>
      </c>
    </row>
    <row r="51" spans="4:12" x14ac:dyDescent="0.25">
      <c r="D51" s="10" t="s">
        <v>8</v>
      </c>
      <c r="E51" t="s">
        <v>14</v>
      </c>
      <c r="F51" t="s">
        <v>163</v>
      </c>
      <c r="G51" s="4">
        <v>0</v>
      </c>
      <c r="H51" s="4">
        <v>1</v>
      </c>
      <c r="I51" s="4">
        <v>1</v>
      </c>
      <c r="J51" s="4">
        <v>0.7142857142857143</v>
      </c>
      <c r="K51" s="4">
        <v>1</v>
      </c>
      <c r="L51" s="4">
        <v>0.87719298245614052</v>
      </c>
    </row>
    <row r="52" spans="4:12" x14ac:dyDescent="0.25">
      <c r="D52" s="10" t="s">
        <v>8</v>
      </c>
      <c r="E52" t="s">
        <v>14</v>
      </c>
      <c r="F52" t="s">
        <v>291</v>
      </c>
      <c r="G52" s="4">
        <v>1</v>
      </c>
      <c r="H52" s="4">
        <v>1</v>
      </c>
      <c r="I52" s="4">
        <v>0.5</v>
      </c>
      <c r="J52" s="4">
        <v>0.85714285714285721</v>
      </c>
      <c r="K52" s="4">
        <v>1</v>
      </c>
      <c r="L52" s="4">
        <v>0.86257309941520499</v>
      </c>
    </row>
    <row r="53" spans="4:12" x14ac:dyDescent="0.25">
      <c r="D53" t="s">
        <v>112</v>
      </c>
      <c r="E53" t="s">
        <v>14</v>
      </c>
      <c r="F53" t="s">
        <v>213</v>
      </c>
      <c r="G53" s="4">
        <v>1</v>
      </c>
      <c r="H53" s="4">
        <v>1</v>
      </c>
      <c r="I53" s="4">
        <v>1</v>
      </c>
      <c r="J53" s="4">
        <v>0.5714285714285714</v>
      </c>
      <c r="K53" s="4">
        <v>1</v>
      </c>
      <c r="L53" s="4">
        <v>0.929824561403509</v>
      </c>
    </row>
    <row r="54" spans="4:12" x14ac:dyDescent="0.25">
      <c r="D54" t="s">
        <v>112</v>
      </c>
      <c r="E54" t="s">
        <v>14</v>
      </c>
      <c r="F54" t="s">
        <v>235</v>
      </c>
      <c r="G54" s="4">
        <v>0</v>
      </c>
      <c r="H54" s="4">
        <v>1</v>
      </c>
      <c r="I54" s="4">
        <v>1</v>
      </c>
      <c r="J54" s="4">
        <v>0.4285714285714286</v>
      </c>
      <c r="K54" s="4">
        <v>1</v>
      </c>
      <c r="L54" s="4">
        <v>0.83040935672514637</v>
      </c>
    </row>
    <row r="55" spans="4:12" x14ac:dyDescent="0.25">
      <c r="D55" s="10" t="s">
        <v>91</v>
      </c>
      <c r="E55" t="s">
        <v>15</v>
      </c>
      <c r="F55" t="s">
        <v>174</v>
      </c>
      <c r="G55" s="4">
        <v>0</v>
      </c>
      <c r="H55" s="4">
        <v>1</v>
      </c>
      <c r="I55" s="4">
        <v>1</v>
      </c>
      <c r="J55" s="4">
        <v>0.77777777777777779</v>
      </c>
      <c r="K55" s="4">
        <v>1</v>
      </c>
      <c r="L55" s="4">
        <v>0.88268156424581046</v>
      </c>
    </row>
    <row r="56" spans="4:12" x14ac:dyDescent="0.25">
      <c r="D56" t="s">
        <v>93</v>
      </c>
      <c r="E56" t="s">
        <v>15</v>
      </c>
      <c r="F56" t="s">
        <v>256</v>
      </c>
      <c r="G56" s="4">
        <v>1</v>
      </c>
      <c r="H56" s="4">
        <v>1</v>
      </c>
      <c r="I56" s="4">
        <v>1</v>
      </c>
      <c r="J56" s="4">
        <v>0.44444444444444448</v>
      </c>
      <c r="K56" s="4">
        <v>1</v>
      </c>
      <c r="L56" s="4">
        <v>0.88826815642458135</v>
      </c>
    </row>
    <row r="57" spans="4:12" x14ac:dyDescent="0.25">
      <c r="D57" t="s">
        <v>93</v>
      </c>
      <c r="E57" t="s">
        <v>15</v>
      </c>
      <c r="F57" t="s">
        <v>251</v>
      </c>
      <c r="G57" s="4">
        <v>0</v>
      </c>
      <c r="H57" s="4">
        <v>1</v>
      </c>
      <c r="I57" s="4">
        <v>1</v>
      </c>
      <c r="J57" s="4">
        <v>0.22222222222222224</v>
      </c>
      <c r="K57" s="4">
        <v>1</v>
      </c>
      <c r="L57" s="4">
        <v>0.77094972067039136</v>
      </c>
    </row>
    <row r="58" spans="4:12" x14ac:dyDescent="0.25">
      <c r="D58" t="s">
        <v>93</v>
      </c>
      <c r="E58" t="s">
        <v>14</v>
      </c>
      <c r="F58" t="s">
        <v>245</v>
      </c>
      <c r="G58" s="4">
        <v>1</v>
      </c>
      <c r="H58" s="4">
        <v>1</v>
      </c>
      <c r="I58" s="4">
        <v>1</v>
      </c>
      <c r="J58" s="4">
        <v>1</v>
      </c>
      <c r="K58" s="4">
        <v>1</v>
      </c>
      <c r="L58" s="4">
        <v>1</v>
      </c>
    </row>
    <row r="59" spans="4:12" x14ac:dyDescent="0.25">
      <c r="D59" t="s">
        <v>93</v>
      </c>
      <c r="E59" t="s">
        <v>14</v>
      </c>
      <c r="F59" t="s">
        <v>240</v>
      </c>
      <c r="G59" s="4">
        <v>1</v>
      </c>
      <c r="H59" s="4">
        <v>1</v>
      </c>
      <c r="I59" s="4">
        <v>1</v>
      </c>
      <c r="J59" s="4">
        <v>0.5714285714285714</v>
      </c>
      <c r="K59" s="4">
        <v>1</v>
      </c>
      <c r="L59" s="4">
        <v>0.929824561403509</v>
      </c>
    </row>
    <row r="60" spans="4:12" x14ac:dyDescent="0.25">
      <c r="D60" s="10" t="s">
        <v>16</v>
      </c>
      <c r="E60" s="10"/>
      <c r="F60" s="10"/>
      <c r="G60" s="9">
        <v>0.46153846153846156</v>
      </c>
      <c r="H60" s="9">
        <v>1</v>
      </c>
      <c r="I60" s="9">
        <v>0.84615384615384615</v>
      </c>
      <c r="J60" s="9">
        <v>0.67961165048543626</v>
      </c>
      <c r="K60" s="9">
        <v>1</v>
      </c>
      <c r="L60" s="11">
        <v>0.86745926904447401</v>
      </c>
    </row>
    <row r="77" spans="21:21" x14ac:dyDescent="0.2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91" id="{A7410DC0-EE9E-4584-A866-672877DBC4E6}">
            <x14:iconSet iconSet="3Triangles">
              <x14:cfvo type="percent">
                <xm:f>0</xm:f>
              </x14:cfvo>
              <x14:cfvo type="percent">
                <xm:f>33</xm:f>
              </x14:cfvo>
              <x14:cfvo type="percent">
                <xm:f>67</xm:f>
              </x14:cfvo>
            </x14:iconSet>
          </x14:cfRule>
          <xm:sqref>G18:G24</xm:sqref>
        </x14:conditionalFormatting>
        <x14:conditionalFormatting xmlns:xm="http://schemas.microsoft.com/office/excel/2006/main" pivot="1">
          <x14:cfRule type="iconSet" priority="88" id="{578A6BBE-0746-49B8-A379-5CA92DEB79AA}">
            <x14:iconSet iconSet="3Triangles">
              <x14:cfvo type="percent">
                <xm:f>0</xm:f>
              </x14:cfvo>
              <x14:cfvo type="percent">
                <xm:f>33</xm:f>
              </x14:cfvo>
              <x14:cfvo type="percent">
                <xm:f>67</xm:f>
              </x14:cfvo>
            </x14:iconSet>
          </x14:cfRule>
          <xm:sqref>I32:I38</xm:sqref>
        </x14:conditionalFormatting>
        <x14:conditionalFormatting xmlns:xm="http://schemas.microsoft.com/office/excel/2006/main" pivot="1">
          <x14:cfRule type="iconSet" priority="81" id="{B74256D8-C2EA-4EA7-A1C5-07F3712318EB}">
            <x14:iconSet iconSet="3Triangles">
              <x14:cfvo type="percent">
                <xm:f>0</xm:f>
              </x14:cfvo>
              <x14:cfvo type="percent">
                <xm:f>33</xm:f>
              </x14:cfvo>
              <x14:cfvo type="percent">
                <xm:f>67</xm:f>
              </x14:cfvo>
            </x14:iconSet>
          </x14:cfRule>
          <xm:sqref>E32:E38</xm:sqref>
        </x14:conditionalFormatting>
        <x14:conditionalFormatting xmlns:xm="http://schemas.microsoft.com/office/excel/2006/main">
          <x14:cfRule type="iconSet" priority="79"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11" id="{FF20B6F6-C92A-436B-B28E-2EAFEFDDBF0E}">
            <x14:iconSet iconSet="3Triangles">
              <x14:cfvo type="percent">
                <xm:f>0</xm:f>
              </x14:cfvo>
              <x14:cfvo type="percent">
                <xm:f>33</xm:f>
              </x14:cfvo>
              <x14:cfvo type="percent">
                <xm:f>67</xm:f>
              </x14:cfvo>
            </x14:iconSet>
          </x14:cfRule>
          <xm:sqref>E18:E24</xm:sqref>
        </x14:conditionalFormatting>
        <x14:conditionalFormatting xmlns:xm="http://schemas.microsoft.com/office/excel/2006/main" pivot="1">
          <x14:cfRule type="iconSet" priority="10"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9" id="{84DE4F07-E727-4C73-AE29-1D4C44E1922B}">
            <x14:iconSet iconSet="3Triangles">
              <x14:cfvo type="percent">
                <xm:f>0</xm:f>
              </x14:cfvo>
              <x14:cfvo type="percent">
                <xm:f>33</xm:f>
              </x14:cfvo>
              <x14:cfvo type="percent">
                <xm:f>67</xm:f>
              </x14:cfvo>
            </x14:iconSet>
          </x14:cfRule>
          <xm:sqref>G32:G38</xm:sqref>
        </x14:conditionalFormatting>
        <x14:conditionalFormatting xmlns:xm="http://schemas.microsoft.com/office/excel/2006/main" pivot="1">
          <x14:cfRule type="iconSet" priority="8" id="{8DF1E6C7-5D69-49D1-8025-AE8B78AA6546}">
            <x14:iconSet iconSet="3Triangles">
              <x14:cfvo type="percent">
                <xm:f>0</xm:f>
              </x14:cfvo>
              <x14:cfvo type="percent">
                <xm:f>33</xm:f>
              </x14:cfvo>
              <x14:cfvo type="percent">
                <xm:f>67</xm:f>
              </x14:cfvo>
            </x14:iconSet>
          </x14:cfRule>
          <xm:sqref>H32:H38</xm:sqref>
        </x14:conditionalFormatting>
        <x14:conditionalFormatting xmlns:xm="http://schemas.microsoft.com/office/excel/2006/main" pivot="1">
          <x14:cfRule type="iconSet" priority="4"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 id="{FEDEA57B-B43C-4ADF-B15A-40144AAD63D3}">
            <x14:iconSet iconSet="3Triangles">
              <x14:cfvo type="percent">
                <xm:f>0</xm:f>
              </x14:cfvo>
              <x14:cfvo type="percent">
                <xm:f>33</xm:f>
              </x14:cfvo>
              <x14:cfvo type="percent">
                <xm:f>67</xm:f>
              </x14:cfvo>
            </x14:iconSet>
          </x14:cfRule>
          <xm:sqref>L47:L60</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I19"/>
  <sheetViews>
    <sheetView showGridLines="0" workbookViewId="0">
      <selection activeCell="C16" sqref="C16"/>
    </sheetView>
  </sheetViews>
  <sheetFormatPr baseColWidth="10" defaultRowHeight="15" x14ac:dyDescent="0.25"/>
  <cols>
    <col min="1" max="1" width="13.85546875" bestFit="1" customWidth="1"/>
    <col min="2" max="2" width="45.5703125" bestFit="1" customWidth="1"/>
    <col min="3" max="3" width="31.7109375" customWidth="1"/>
    <col min="4" max="4" width="16.42578125" customWidth="1"/>
  </cols>
  <sheetData>
    <row r="1" spans="1:9" x14ac:dyDescent="0.25">
      <c r="A1" s="68" t="s">
        <v>1</v>
      </c>
      <c r="B1" s="68" t="s">
        <v>23</v>
      </c>
      <c r="C1" s="69" t="s">
        <v>82</v>
      </c>
      <c r="D1" s="69" t="s">
        <v>83</v>
      </c>
      <c r="E1" s="69" t="s">
        <v>84</v>
      </c>
      <c r="F1" s="70" t="s">
        <v>87</v>
      </c>
      <c r="G1" s="70" t="s">
        <v>88</v>
      </c>
      <c r="H1" s="69" t="s">
        <v>321</v>
      </c>
    </row>
    <row r="2" spans="1:9" x14ac:dyDescent="0.25">
      <c r="A2" s="71" t="s">
        <v>93</v>
      </c>
      <c r="B2" s="72" t="s">
        <v>240</v>
      </c>
      <c r="C2" s="73" t="s">
        <v>346</v>
      </c>
      <c r="D2" s="22" t="s">
        <v>85</v>
      </c>
      <c r="E2" s="22" t="s">
        <v>85</v>
      </c>
      <c r="F2" s="22" t="s">
        <v>85</v>
      </c>
      <c r="G2" s="22" t="s">
        <v>85</v>
      </c>
      <c r="H2" s="22" t="s">
        <v>85</v>
      </c>
    </row>
    <row r="3" spans="1:9" x14ac:dyDescent="0.25">
      <c r="A3" s="71" t="s">
        <v>93</v>
      </c>
      <c r="B3" s="72" t="s">
        <v>256</v>
      </c>
      <c r="C3" s="73" t="s">
        <v>347</v>
      </c>
      <c r="D3" s="22" t="s">
        <v>85</v>
      </c>
      <c r="E3" s="22" t="s">
        <v>85</v>
      </c>
      <c r="F3" s="22" t="s">
        <v>85</v>
      </c>
      <c r="G3" s="22" t="s">
        <v>85</v>
      </c>
      <c r="H3" s="22" t="s">
        <v>85</v>
      </c>
    </row>
    <row r="4" spans="1:9" x14ac:dyDescent="0.25">
      <c r="A4" s="71" t="s">
        <v>93</v>
      </c>
      <c r="B4" s="72" t="s">
        <v>251</v>
      </c>
      <c r="C4" s="73" t="s">
        <v>348</v>
      </c>
      <c r="D4" s="22" t="s">
        <v>85</v>
      </c>
      <c r="E4" s="22" t="s">
        <v>85</v>
      </c>
      <c r="F4" s="22" t="s">
        <v>85</v>
      </c>
      <c r="G4" s="22" t="s">
        <v>85</v>
      </c>
      <c r="H4" s="22" t="s">
        <v>85</v>
      </c>
    </row>
    <row r="5" spans="1:9" x14ac:dyDescent="0.25">
      <c r="A5" s="71" t="s">
        <v>93</v>
      </c>
      <c r="B5" s="72" t="s">
        <v>245</v>
      </c>
      <c r="C5" s="73" t="s">
        <v>345</v>
      </c>
      <c r="D5" s="22" t="s">
        <v>85</v>
      </c>
      <c r="E5" s="22" t="s">
        <v>85</v>
      </c>
      <c r="F5" s="22" t="s">
        <v>85</v>
      </c>
      <c r="G5" s="22" t="s">
        <v>85</v>
      </c>
      <c r="H5" s="22" t="s">
        <v>85</v>
      </c>
    </row>
    <row r="6" spans="1:9" x14ac:dyDescent="0.25">
      <c r="A6" s="71" t="s">
        <v>8</v>
      </c>
      <c r="B6" s="72" t="s">
        <v>163</v>
      </c>
      <c r="C6" s="73" t="s">
        <v>354</v>
      </c>
      <c r="D6" s="22" t="s">
        <v>85</v>
      </c>
      <c r="E6" s="22" t="s">
        <v>85</v>
      </c>
      <c r="F6" s="22" t="s">
        <v>85</v>
      </c>
      <c r="G6" s="22" t="s">
        <v>85</v>
      </c>
      <c r="H6" s="22" t="s">
        <v>85</v>
      </c>
    </row>
    <row r="7" spans="1:9" x14ac:dyDescent="0.25">
      <c r="A7" s="71" t="s">
        <v>8</v>
      </c>
      <c r="B7" s="72" t="s">
        <v>291</v>
      </c>
      <c r="C7" s="73" t="s">
        <v>349</v>
      </c>
      <c r="D7" s="90" t="s">
        <v>85</v>
      </c>
      <c r="E7" s="22" t="s">
        <v>85</v>
      </c>
      <c r="F7" s="22" t="s">
        <v>85</v>
      </c>
      <c r="G7" s="22" t="s">
        <v>85</v>
      </c>
      <c r="H7" s="22" t="s">
        <v>85</v>
      </c>
    </row>
    <row r="8" spans="1:9" x14ac:dyDescent="0.25">
      <c r="A8" s="71" t="s">
        <v>8</v>
      </c>
      <c r="B8" s="72" t="s">
        <v>181</v>
      </c>
      <c r="C8" s="73" t="s">
        <v>334</v>
      </c>
      <c r="D8" s="90" t="s">
        <v>335</v>
      </c>
      <c r="E8" s="22" t="s">
        <v>85</v>
      </c>
      <c r="F8" s="22" t="s">
        <v>85</v>
      </c>
      <c r="G8" s="22" t="s">
        <v>85</v>
      </c>
      <c r="H8" s="22" t="s">
        <v>85</v>
      </c>
    </row>
    <row r="9" spans="1:9" x14ac:dyDescent="0.25">
      <c r="A9" s="71" t="s">
        <v>8</v>
      </c>
      <c r="B9" s="72" t="s">
        <v>191</v>
      </c>
      <c r="C9" s="73" t="s">
        <v>323</v>
      </c>
      <c r="D9" s="90" t="s">
        <v>324</v>
      </c>
      <c r="E9" s="90" t="s">
        <v>325</v>
      </c>
      <c r="F9" s="90" t="s">
        <v>326</v>
      </c>
      <c r="G9" s="90" t="s">
        <v>327</v>
      </c>
      <c r="H9" s="91" t="s">
        <v>328</v>
      </c>
      <c r="I9" t="s">
        <v>85</v>
      </c>
    </row>
    <row r="10" spans="1:9" x14ac:dyDescent="0.25">
      <c r="A10" s="71" t="s">
        <v>8</v>
      </c>
      <c r="B10" s="72" t="s">
        <v>196</v>
      </c>
      <c r="C10" s="73" t="s">
        <v>336</v>
      </c>
      <c r="D10" t="s">
        <v>85</v>
      </c>
      <c r="E10" t="s">
        <v>85</v>
      </c>
      <c r="F10" t="s">
        <v>85</v>
      </c>
      <c r="G10" s="22" t="s">
        <v>85</v>
      </c>
      <c r="H10" s="22" t="s">
        <v>85</v>
      </c>
    </row>
    <row r="11" spans="1:9" x14ac:dyDescent="0.25">
      <c r="A11" s="71" t="s">
        <v>8</v>
      </c>
      <c r="B11" s="72" t="s">
        <v>312</v>
      </c>
      <c r="C11" s="73" t="s">
        <v>333</v>
      </c>
      <c r="D11" s="90" t="s">
        <v>331</v>
      </c>
      <c r="E11" s="90" t="s">
        <v>332</v>
      </c>
      <c r="F11" s="90" t="s">
        <v>330</v>
      </c>
      <c r="G11" s="22" t="s">
        <v>85</v>
      </c>
      <c r="H11" s="22" t="s">
        <v>85</v>
      </c>
    </row>
    <row r="12" spans="1:9" x14ac:dyDescent="0.25">
      <c r="A12" s="71" t="s">
        <v>8</v>
      </c>
      <c r="B12" s="72" t="s">
        <v>220</v>
      </c>
      <c r="C12" s="73" t="s">
        <v>329</v>
      </c>
      <c r="D12" s="22" t="s">
        <v>85</v>
      </c>
      <c r="E12" s="22" t="s">
        <v>85</v>
      </c>
      <c r="F12" s="22" t="s">
        <v>85</v>
      </c>
      <c r="G12" s="22" t="s">
        <v>85</v>
      </c>
      <c r="H12" s="22" t="s">
        <v>85</v>
      </c>
    </row>
    <row r="13" spans="1:9" x14ac:dyDescent="0.25">
      <c r="A13" s="71" t="s">
        <v>8</v>
      </c>
      <c r="B13" s="72" t="s">
        <v>298</v>
      </c>
      <c r="C13" s="73" t="s">
        <v>338</v>
      </c>
      <c r="D13" s="90" t="s">
        <v>339</v>
      </c>
      <c r="E13" s="90" t="s">
        <v>340</v>
      </c>
      <c r="F13" s="90" t="s">
        <v>337</v>
      </c>
      <c r="G13" s="22" t="s">
        <v>85</v>
      </c>
      <c r="H13" s="22" t="s">
        <v>85</v>
      </c>
    </row>
    <row r="14" spans="1:9" x14ac:dyDescent="0.25">
      <c r="A14" s="71" t="s">
        <v>112</v>
      </c>
      <c r="B14" s="72" t="s">
        <v>213</v>
      </c>
      <c r="C14" s="73" t="s">
        <v>352</v>
      </c>
      <c r="D14" s="22" t="s">
        <v>85</v>
      </c>
      <c r="E14" s="22" t="s">
        <v>85</v>
      </c>
      <c r="F14" s="22" t="s">
        <v>85</v>
      </c>
      <c r="G14" s="22" t="s">
        <v>85</v>
      </c>
      <c r="H14" s="22" t="s">
        <v>85</v>
      </c>
    </row>
    <row r="15" spans="1:9" x14ac:dyDescent="0.25">
      <c r="A15" s="71" t="s">
        <v>112</v>
      </c>
      <c r="B15" s="72" t="s">
        <v>235</v>
      </c>
      <c r="C15" s="73" t="s">
        <v>355</v>
      </c>
      <c r="D15" s="22" t="s">
        <v>85</v>
      </c>
      <c r="E15" s="22" t="s">
        <v>85</v>
      </c>
      <c r="F15" s="22" t="s">
        <v>85</v>
      </c>
      <c r="G15" s="22" t="s">
        <v>85</v>
      </c>
      <c r="H15" s="22" t="s">
        <v>85</v>
      </c>
    </row>
    <row r="16" spans="1:9" x14ac:dyDescent="0.25">
      <c r="A16" s="71" t="s">
        <v>112</v>
      </c>
      <c r="B16" s="72" t="s">
        <v>305</v>
      </c>
      <c r="C16" s="73" t="s">
        <v>351</v>
      </c>
      <c r="D16" s="22" t="s">
        <v>85</v>
      </c>
      <c r="E16" s="22" t="s">
        <v>85</v>
      </c>
      <c r="F16" s="22" t="s">
        <v>85</v>
      </c>
      <c r="G16" s="22" t="s">
        <v>85</v>
      </c>
      <c r="H16" s="22" t="s">
        <v>85</v>
      </c>
    </row>
    <row r="17" spans="1:8" x14ac:dyDescent="0.25">
      <c r="A17" s="71" t="s">
        <v>112</v>
      </c>
      <c r="B17" s="72" t="s">
        <v>204</v>
      </c>
      <c r="C17" s="73" t="s">
        <v>353</v>
      </c>
      <c r="D17" s="22" t="s">
        <v>85</v>
      </c>
      <c r="E17" s="22" t="s">
        <v>85</v>
      </c>
      <c r="F17" s="22" t="s">
        <v>85</v>
      </c>
      <c r="G17" s="22" t="s">
        <v>85</v>
      </c>
      <c r="H17" s="22" t="s">
        <v>85</v>
      </c>
    </row>
    <row r="18" spans="1:8" x14ac:dyDescent="0.25">
      <c r="A18" s="71" t="s">
        <v>8</v>
      </c>
      <c r="B18" s="72" t="s">
        <v>228</v>
      </c>
      <c r="C18" s="73" t="s">
        <v>341</v>
      </c>
      <c r="D18" s="90" t="s">
        <v>342</v>
      </c>
      <c r="E18" s="90" t="s">
        <v>343</v>
      </c>
      <c r="F18" s="90" t="s">
        <v>344</v>
      </c>
      <c r="G18" s="22" t="s">
        <v>85</v>
      </c>
      <c r="H18" s="22" t="s">
        <v>85</v>
      </c>
    </row>
    <row r="19" spans="1:8" x14ac:dyDescent="0.25">
      <c r="A19" s="71" t="s">
        <v>91</v>
      </c>
      <c r="B19" s="72" t="s">
        <v>174</v>
      </c>
      <c r="C19" s="73" t="s">
        <v>350</v>
      </c>
      <c r="D19" s="22" t="s">
        <v>85</v>
      </c>
      <c r="E19" s="22" t="s">
        <v>85</v>
      </c>
      <c r="F19" s="22" t="s">
        <v>85</v>
      </c>
      <c r="G19" s="22" t="s">
        <v>85</v>
      </c>
      <c r="H19" s="22" t="s">
        <v>85</v>
      </c>
    </row>
  </sheetData>
  <autoFilter ref="A1:C7" xr:uid="{31D98C9D-50A1-466F-A4CF-A3BF379C3F7F}"/>
  <phoneticPr fontId="3" type="noConversion"/>
  <hyperlinks>
    <hyperlink ref="C8" r:id="rId1" display="https://drive.google.com/file/d/1MYXQnSu4-tKQpQxWUymtdXqS49apEjvY/view" xr:uid="{777C6391-31AF-49A8-B8D9-F5C588DB425F}"/>
    <hyperlink ref="D8" r:id="rId2" display="https://drive.google.com/file/d/1eKNoQDOFX4il0aAV8Rn5fxCWqfjyOJZG/view" xr:uid="{55EFFB28-06BE-4EDE-B485-DC17B17E136C}"/>
    <hyperlink ref="C9" r:id="rId3" display="https://drive.google.com/file/d/1TwFJHJSNrCE_y9RgCW6frnte_C3qzV-e/view" xr:uid="{417DA491-5F2E-4F59-90C2-FABE34606504}"/>
    <hyperlink ref="D9" r:id="rId4" display="https://drive.google.com/file/d/1tgeF4lx9dcsJxOIUfHpbYLOALUV3L9fn/view" xr:uid="{A30E490C-AC72-4095-B0D3-A81F7A10235F}"/>
    <hyperlink ref="E9" r:id="rId5" display="https://drive.google.com/file/d/1d7AwzIKXhBhNkiJKGsqlPqPOeOtor6h6/view" xr:uid="{B09381B5-FE2E-49C2-9B5A-3A0C3D6675E1}"/>
    <hyperlink ref="F9" r:id="rId6" display="https://drive.google.com/file/d/1o4cfSNqe7WEsyeJzULv0lQK4EJmMTI5w/view" xr:uid="{1BA9E112-54F4-47F4-A43D-68EB71617FF9}"/>
    <hyperlink ref="G9" r:id="rId7" display="https://drive.google.com/file/d/1NUAxAlTxScWfc2LurOv6029r1k8Tf9hb/view" xr:uid="{F71AD17C-DD5F-47B5-87A0-022258E62C9E}"/>
    <hyperlink ref="H9" r:id="rId8" display="https://drive.google.com/file/d/18PwU9rA5ADwU-PbBu1SvqVR4mE55I4FX/view?t=1" xr:uid="{265162B9-701D-468F-A9EE-C409F8B625C2}"/>
    <hyperlink ref="D11" r:id="rId9" display="https://drive.google.com/file/d/12WqBC-Y_5F4NvSTjN-kWRnqISCdR2szz/view" xr:uid="{F7E1FF87-0921-48A8-9199-CBE20D461328}"/>
    <hyperlink ref="C11" r:id="rId10" display="https://drive.google.com/file/d/1hLbN8Ho3GYpJTrYIAhUiKjVDj1I94kE_/view" xr:uid="{1AD22C8A-0C12-405D-82E8-32C4B696EC24}"/>
    <hyperlink ref="E11" r:id="rId11" display="https://drive.google.com/file/d/1tYY2wuJEA0bAFS0lklDejzXLv0vXkZnD/view" xr:uid="{E2F10CD7-B232-4A56-839C-538C7E085990}"/>
    <hyperlink ref="F11" r:id="rId12" display="https://drive.google.com/file/d/1nHmrMWBciTTQml6Kwqu4Bis1waBbKllC/view" xr:uid="{729F081F-FF00-42D0-B857-573CE3BB4868}"/>
    <hyperlink ref="C10" r:id="rId13" display="https://drive.google.com/file/d/1apJsX_a7ZHlIF4-1icZHuObHVTsQR_7m/view" xr:uid="{59861A7C-76BE-486C-8D61-F8DFA4A9FD99}"/>
    <hyperlink ref="D13" r:id="rId14" display="https://drive.google.com/file/d/1ffYVQVbwvXf2WTI9eFfEMBu9GahLxW7m/view" xr:uid="{18FC7E9B-24EF-412F-9E6D-46E56E4DD15F}"/>
    <hyperlink ref="E13" r:id="rId15" display="https://drive.google.com/file/d/1T-mxSVoXf21HRHoHNPAlp3S0MyhFCRuf/view" xr:uid="{BCE2AE2A-EC0C-4C4A-843B-6FC6F8757F1E}"/>
    <hyperlink ref="F13" r:id="rId16" display="https://drive.google.com/file/d/1V3OfFrSveEzIZD820cA5__-hsCVFjyt8/view" xr:uid="{66EAC8B9-7900-4A0D-BBAE-95C4133BCE00}"/>
    <hyperlink ref="C18" r:id="rId17" display="https://drive.google.com/file/d/1IKfmkDf7ww0I0fCJMvO04k3xqgp0e5rM/view" xr:uid="{B2E45E9A-1A83-44DF-93F1-1984D7CC7D2E}"/>
    <hyperlink ref="C12" r:id="rId18" display="https://drive.google.com/file/d/1opvpzQBbNW3BThmSfVpAeOb2cntlD_d3/view" xr:uid="{8F6F039D-38C9-4E0A-8E99-3A7953B38801}"/>
    <hyperlink ref="C16" r:id="rId19" display="https://drive.google.com/file/d/1wY41XAqU3cx7GjlDf6Q34WAVq_rTXbqH/view" xr:uid="{AAF06DE2-C980-4B0B-99EF-03DE3C4E57DA}"/>
    <hyperlink ref="C13" r:id="rId20" display="https://drive.google.com/file/d/1DFzHQdMfJWcQqQRX4nzAhLlxbI5vTR4p/view" xr:uid="{BA2A3D0C-EC6B-4097-AD04-32766E23DCD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702"/>
  <sheetViews>
    <sheetView showGridLines="0" zoomScale="90" zoomScaleNormal="90" workbookViewId="0">
      <selection activeCell="A2" sqref="A2"/>
    </sheetView>
  </sheetViews>
  <sheetFormatPr baseColWidth="10" defaultColWidth="11.42578125" defaultRowHeight="15" x14ac:dyDescent="0.25"/>
  <cols>
    <col min="1" max="1" width="14.42578125" bestFit="1" customWidth="1"/>
    <col min="2" max="2" width="14.28515625" bestFit="1" customWidth="1"/>
    <col min="3" max="3" width="14.5703125" bestFit="1" customWidth="1"/>
    <col min="4" max="4" width="36.42578125" bestFit="1" customWidth="1"/>
    <col min="5" max="5" width="15.140625" bestFit="1" customWidth="1"/>
    <col min="6" max="6" width="38.140625" bestFit="1" customWidth="1"/>
    <col min="7" max="8" width="81.140625" bestFit="1" customWidth="1"/>
    <col min="9" max="9" width="15.42578125" bestFit="1" customWidth="1"/>
    <col min="10" max="10" width="16.140625" bestFit="1" customWidth="1"/>
    <col min="11" max="11" width="11.5703125" bestFit="1" customWidth="1"/>
    <col min="12" max="12" width="21.140625" bestFit="1" customWidth="1"/>
    <col min="13" max="13" width="35.85546875" bestFit="1" customWidth="1"/>
    <col min="14" max="14" width="17.140625" bestFit="1" customWidth="1"/>
    <col min="15" max="15" width="81.140625" bestFit="1" customWidth="1"/>
    <col min="16" max="16" width="21.28515625" bestFit="1" customWidth="1"/>
    <col min="17" max="17" width="12.42578125" hidden="1" customWidth="1"/>
    <col min="18" max="18" width="12.5703125" bestFit="1" customWidth="1" collapsed="1"/>
    <col min="19" max="19" width="12.42578125" bestFit="1" customWidth="1"/>
    <col min="22" max="23" width="0" hidden="1" customWidth="1"/>
  </cols>
  <sheetData>
    <row r="1" spans="1:21" x14ac:dyDescent="0.25">
      <c r="A1" t="s">
        <v>24</v>
      </c>
      <c r="B1" t="s">
        <v>1</v>
      </c>
      <c r="C1" t="s">
        <v>22</v>
      </c>
      <c r="D1" t="s">
        <v>25</v>
      </c>
      <c r="E1" t="s">
        <v>26</v>
      </c>
      <c r="F1" t="s">
        <v>23</v>
      </c>
      <c r="G1" t="s">
        <v>27</v>
      </c>
      <c r="H1" t="s">
        <v>28</v>
      </c>
      <c r="I1" t="s">
        <v>29</v>
      </c>
      <c r="J1" t="s">
        <v>30</v>
      </c>
      <c r="K1" t="s">
        <v>31</v>
      </c>
      <c r="L1" s="24" t="s">
        <v>19</v>
      </c>
      <c r="M1" t="s">
        <v>13</v>
      </c>
      <c r="N1" t="s">
        <v>32</v>
      </c>
      <c r="O1" s="25" t="s">
        <v>33</v>
      </c>
      <c r="P1" t="s">
        <v>34</v>
      </c>
      <c r="Q1" t="s">
        <v>75</v>
      </c>
      <c r="R1" t="s">
        <v>86</v>
      </c>
      <c r="T1" t="s">
        <v>76</v>
      </c>
      <c r="U1" t="s">
        <v>77</v>
      </c>
    </row>
    <row r="2" spans="1:21" x14ac:dyDescent="0.25">
      <c r="A2" s="37" t="s">
        <v>107</v>
      </c>
      <c r="B2" s="37" t="s">
        <v>112</v>
      </c>
      <c r="C2" t="s">
        <v>15</v>
      </c>
      <c r="D2" s="37" t="s">
        <v>122</v>
      </c>
      <c r="E2" s="37">
        <v>365377</v>
      </c>
      <c r="F2" s="37" t="s">
        <v>305</v>
      </c>
      <c r="G2" s="37" t="s">
        <v>138</v>
      </c>
      <c r="H2" s="37" t="s">
        <v>106</v>
      </c>
      <c r="I2" s="38"/>
      <c r="J2" s="37">
        <v>27685551</v>
      </c>
      <c r="K2" s="37" t="s">
        <v>117</v>
      </c>
      <c r="L2" s="37" t="str">
        <f>_xlfn.XLOOKUP(Tabla2__2[[#This Row],[CODIGO RUTA]],'DATA INFORME'!I:I,'DATA INFORME'!K:K)</f>
        <v xml:space="preserve"> NO</v>
      </c>
      <c r="M2" s="37" t="str">
        <f>IF(Tabla2__2[[#This Row],[MYSTERY EFECTIVO]]="SI",_xlfn.XLOOKUP(Tabla2__2[[#This Row],[PREGUNTA]],ENCUESTA!G:G,ENCUESTA!D:D),"N/A")</f>
        <v>N/A</v>
      </c>
      <c r="N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7" t="str">
        <f>_xlfn.XLOOKUP(Tabla2__2[[#This Row],[PREGUNTA]],ENCUESTA!G:G,ENCUESTA!H:H)</f>
        <v>SI</v>
      </c>
      <c r="P2" s="37">
        <f>IF(Tabla2__2[[#This Row],[RTA]]=Tabla2__2[[#This Row],[RTA CORRECTA]],Tabla2__2[[#This Row],[TOTAL PUNTAJE]],0)</f>
        <v>0</v>
      </c>
      <c r="Q2" s="37">
        <f t="shared" ref="Q2:Q65" si="0">IF(OR(H2="Dog Chow húmedo",H2="Cat Chow húmedo",H2="Fancy Feast",H2="Felix",H2="Proplan húmedo",H2="One húmedo",H2="Snack Abrazzos",H2="Snak Dentalife",H2="Arenilla Tidy Cat"),N2,0)</f>
        <v>0</v>
      </c>
      <c r="R2" s="37"/>
    </row>
    <row r="3" spans="1:21" x14ac:dyDescent="0.25">
      <c r="A3" s="37" t="s">
        <v>107</v>
      </c>
      <c r="B3" s="37" t="s">
        <v>112</v>
      </c>
      <c r="C3" t="s">
        <v>15</v>
      </c>
      <c r="D3" s="37" t="s">
        <v>122</v>
      </c>
      <c r="E3" s="37">
        <v>365377</v>
      </c>
      <c r="F3" s="37" t="s">
        <v>305</v>
      </c>
      <c r="G3" s="37" t="s">
        <v>156</v>
      </c>
      <c r="H3" s="37" t="s">
        <v>106</v>
      </c>
      <c r="I3" s="38"/>
      <c r="J3" s="37">
        <v>27685551</v>
      </c>
      <c r="K3" s="37" t="s">
        <v>117</v>
      </c>
      <c r="L3" s="37" t="str">
        <f>_xlfn.XLOOKUP(Tabla2__2[[#This Row],[CODIGO RUTA]],'DATA INFORME'!I:I,'DATA INFORME'!K:K)</f>
        <v xml:space="preserve"> NO</v>
      </c>
      <c r="M3" s="37" t="str">
        <f>IF(Tabla2__2[[#This Row],[MYSTERY EFECTIVO]]="SI",_xlfn.XLOOKUP(Tabla2__2[[#This Row],[PREGUNTA]],ENCUESTA!G:G,ENCUESTA!D:D),"N/A")</f>
        <v>N/A</v>
      </c>
      <c r="N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 s="37" t="str">
        <f>_xlfn.XLOOKUP(Tabla2__2[[#This Row],[PREGUNTA]],ENCUESTA!G:G,ENCUESTA!H:H)</f>
        <v>SI</v>
      </c>
      <c r="P3" s="37">
        <f>IF(Tabla2__2[[#This Row],[RTA]]=Tabla2__2[[#This Row],[RTA CORRECTA]],Tabla2__2[[#This Row],[TOTAL PUNTAJE]],0)</f>
        <v>0</v>
      </c>
      <c r="Q3" s="37">
        <f t="shared" si="0"/>
        <v>0</v>
      </c>
      <c r="R3" s="37"/>
    </row>
    <row r="4" spans="1:21" x14ac:dyDescent="0.25">
      <c r="A4" s="37" t="s">
        <v>107</v>
      </c>
      <c r="B4" s="37" t="s">
        <v>112</v>
      </c>
      <c r="C4" t="s">
        <v>15</v>
      </c>
      <c r="D4" s="37" t="s">
        <v>122</v>
      </c>
      <c r="E4" s="37">
        <v>365377</v>
      </c>
      <c r="F4" s="37" t="s">
        <v>305</v>
      </c>
      <c r="G4" s="37" t="s">
        <v>155</v>
      </c>
      <c r="H4" s="37" t="s">
        <v>106</v>
      </c>
      <c r="I4" s="38"/>
      <c r="J4" s="37">
        <v>27685551</v>
      </c>
      <c r="K4" s="37" t="s">
        <v>117</v>
      </c>
      <c r="L4" s="37" t="str">
        <f>_xlfn.XLOOKUP(Tabla2__2[[#This Row],[CODIGO RUTA]],'DATA INFORME'!I:I,'DATA INFORME'!K:K)</f>
        <v xml:space="preserve"> NO</v>
      </c>
      <c r="M4" s="37" t="str">
        <f>IF(Tabla2__2[[#This Row],[MYSTERY EFECTIVO]]="SI",_xlfn.XLOOKUP(Tabla2__2[[#This Row],[PREGUNTA]],ENCUESTA!G:G,ENCUESTA!D:D),"N/A")</f>
        <v>N/A</v>
      </c>
      <c r="N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 s="37" t="str">
        <f>_xlfn.XLOOKUP(Tabla2__2[[#This Row],[PREGUNTA]],ENCUESTA!G:G,ENCUESTA!H:H)</f>
        <v>SI</v>
      </c>
      <c r="P4" s="37">
        <f>IF(Tabla2__2[[#This Row],[RTA]]=Tabla2__2[[#This Row],[RTA CORRECTA]],Tabla2__2[[#This Row],[TOTAL PUNTAJE]],0)</f>
        <v>0</v>
      </c>
      <c r="Q4" s="37">
        <f t="shared" si="0"/>
        <v>0</v>
      </c>
      <c r="R4" s="37"/>
    </row>
    <row r="5" spans="1:21" x14ac:dyDescent="0.25">
      <c r="A5" s="37" t="s">
        <v>107</v>
      </c>
      <c r="B5" s="37" t="s">
        <v>112</v>
      </c>
      <c r="C5" t="s">
        <v>15</v>
      </c>
      <c r="D5" s="37" t="s">
        <v>122</v>
      </c>
      <c r="E5" s="37">
        <v>365377</v>
      </c>
      <c r="F5" s="37" t="s">
        <v>305</v>
      </c>
      <c r="G5" s="37" t="s">
        <v>154</v>
      </c>
      <c r="H5" s="37" t="s">
        <v>106</v>
      </c>
      <c r="I5" s="38"/>
      <c r="J5" s="37">
        <v>27685551</v>
      </c>
      <c r="K5" s="37" t="s">
        <v>117</v>
      </c>
      <c r="L5" s="37" t="str">
        <f>_xlfn.XLOOKUP(Tabla2__2[[#This Row],[CODIGO RUTA]],'DATA INFORME'!I:I,'DATA INFORME'!K:K)</f>
        <v xml:space="preserve"> NO</v>
      </c>
      <c r="M5" s="37" t="str">
        <f>IF(Tabla2__2[[#This Row],[MYSTERY EFECTIVO]]="SI",_xlfn.XLOOKUP(Tabla2__2[[#This Row],[PREGUNTA]],ENCUESTA!G:G,ENCUESTA!D:D),"N/A")</f>
        <v>N/A</v>
      </c>
      <c r="N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 s="37" t="str">
        <f>_xlfn.XLOOKUP(Tabla2__2[[#This Row],[PREGUNTA]],ENCUESTA!G:G,ENCUESTA!H:H)</f>
        <v>SI</v>
      </c>
      <c r="P5" s="37">
        <f>IF(Tabla2__2[[#This Row],[RTA]]=Tabla2__2[[#This Row],[RTA CORRECTA]],Tabla2__2[[#This Row],[TOTAL PUNTAJE]],0)</f>
        <v>0</v>
      </c>
      <c r="Q5" s="37">
        <f t="shared" si="0"/>
        <v>0</v>
      </c>
      <c r="R5" s="37"/>
    </row>
    <row r="6" spans="1:21" x14ac:dyDescent="0.25">
      <c r="A6" s="37" t="s">
        <v>107</v>
      </c>
      <c r="B6" s="37" t="s">
        <v>112</v>
      </c>
      <c r="C6" t="s">
        <v>15</v>
      </c>
      <c r="D6" s="37" t="s">
        <v>122</v>
      </c>
      <c r="E6" s="37">
        <v>365377</v>
      </c>
      <c r="F6" s="37" t="s">
        <v>305</v>
      </c>
      <c r="G6" s="37" t="s">
        <v>153</v>
      </c>
      <c r="H6" s="37" t="s">
        <v>106</v>
      </c>
      <c r="I6" s="38"/>
      <c r="J6" s="37">
        <v>27685551</v>
      </c>
      <c r="K6" s="37" t="s">
        <v>117</v>
      </c>
      <c r="L6" s="37" t="str">
        <f>_xlfn.XLOOKUP(Tabla2__2[[#This Row],[CODIGO RUTA]],'DATA INFORME'!I:I,'DATA INFORME'!K:K)</f>
        <v xml:space="preserve"> NO</v>
      </c>
      <c r="M6" s="37" t="str">
        <f>IF(Tabla2__2[[#This Row],[MYSTERY EFECTIVO]]="SI",_xlfn.XLOOKUP(Tabla2__2[[#This Row],[PREGUNTA]],ENCUESTA!G:G,ENCUESTA!D:D),"N/A")</f>
        <v>N/A</v>
      </c>
      <c r="N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 s="37" t="str">
        <f>_xlfn.XLOOKUP(Tabla2__2[[#This Row],[PREGUNTA]],ENCUESTA!G:G,ENCUESTA!H:H)</f>
        <v>SI</v>
      </c>
      <c r="P6" s="37">
        <f>IF(Tabla2__2[[#This Row],[RTA]]=Tabla2__2[[#This Row],[RTA CORRECTA]],Tabla2__2[[#This Row],[TOTAL PUNTAJE]],0)</f>
        <v>0</v>
      </c>
      <c r="Q6" s="37">
        <f t="shared" si="0"/>
        <v>0</v>
      </c>
      <c r="R6" s="37"/>
    </row>
    <row r="7" spans="1:21" x14ac:dyDescent="0.25">
      <c r="A7" s="37" t="s">
        <v>107</v>
      </c>
      <c r="B7" s="37" t="s">
        <v>112</v>
      </c>
      <c r="C7" t="s">
        <v>15</v>
      </c>
      <c r="D7" s="37" t="s">
        <v>122</v>
      </c>
      <c r="E7" s="37">
        <v>365377</v>
      </c>
      <c r="F7" s="37" t="s">
        <v>305</v>
      </c>
      <c r="G7" s="37" t="s">
        <v>152</v>
      </c>
      <c r="H7" s="37" t="s">
        <v>188</v>
      </c>
      <c r="I7" s="38"/>
      <c r="J7" s="37">
        <v>27685551</v>
      </c>
      <c r="K7" s="37" t="s">
        <v>117</v>
      </c>
      <c r="L7" s="37" t="str">
        <f>_xlfn.XLOOKUP(Tabla2__2[[#This Row],[CODIGO RUTA]],'DATA INFORME'!I:I,'DATA INFORME'!K:K)</f>
        <v xml:space="preserve"> NO</v>
      </c>
      <c r="M7" s="37" t="str">
        <f>IF(Tabla2__2[[#This Row],[MYSTERY EFECTIVO]]="SI",_xlfn.XLOOKUP(Tabla2__2[[#This Row],[PREGUNTA]],ENCUESTA!G:G,ENCUESTA!D:D),"N/A")</f>
        <v>N/A</v>
      </c>
      <c r="N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 s="37" t="str">
        <f>_xlfn.XLOOKUP(Tabla2__2[[#This Row],[PREGUNTA]],ENCUESTA!G:G,ENCUESTA!H:H)</f>
        <v>FALTA DE PRODUCTO, NO LE INTERESA EL PRODUCTO, NO TIENE DINERO, PREFIERE LA COMPETENCIA</v>
      </c>
      <c r="P7" s="37">
        <f>IF(Tabla2__2[[#This Row],[RTA]]=Tabla2__2[[#This Row],[RTA CORRECTA]],Tabla2__2[[#This Row],[TOTAL PUNTAJE]],0)</f>
        <v>0</v>
      </c>
      <c r="Q7" s="37">
        <f t="shared" si="0"/>
        <v>0</v>
      </c>
      <c r="R7" s="37"/>
    </row>
    <row r="8" spans="1:21" x14ac:dyDescent="0.25">
      <c r="A8" s="37" t="s">
        <v>107</v>
      </c>
      <c r="B8" s="37" t="s">
        <v>112</v>
      </c>
      <c r="C8" t="s">
        <v>15</v>
      </c>
      <c r="D8" s="37" t="s">
        <v>122</v>
      </c>
      <c r="E8" s="37">
        <v>365377</v>
      </c>
      <c r="F8" s="37" t="s">
        <v>305</v>
      </c>
      <c r="G8" s="37" t="s">
        <v>146</v>
      </c>
      <c r="H8" s="37" t="s">
        <v>106</v>
      </c>
      <c r="I8" s="38"/>
      <c r="J8" s="37">
        <v>27685551</v>
      </c>
      <c r="K8" s="37" t="s">
        <v>117</v>
      </c>
      <c r="L8" s="37" t="str">
        <f>_xlfn.XLOOKUP(Tabla2__2[[#This Row],[CODIGO RUTA]],'DATA INFORME'!I:I,'DATA INFORME'!K:K)</f>
        <v xml:space="preserve"> NO</v>
      </c>
      <c r="M8" s="37" t="str">
        <f>IF(Tabla2__2[[#This Row],[MYSTERY EFECTIVO]]="SI",_xlfn.XLOOKUP(Tabla2__2[[#This Row],[PREGUNTA]],ENCUESTA!G:G,ENCUESTA!D:D),"N/A")</f>
        <v>N/A</v>
      </c>
      <c r="N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 s="37" t="str">
        <f>_xlfn.XLOOKUP(Tabla2__2[[#This Row],[PREGUNTA]],ENCUESTA!G:G,ENCUESTA!H:H)</f>
        <v>SI</v>
      </c>
      <c r="P8" s="37">
        <f>IF(Tabla2__2[[#This Row],[RTA]]=Tabla2__2[[#This Row],[RTA CORRECTA]],Tabla2__2[[#This Row],[TOTAL PUNTAJE]],0)</f>
        <v>0</v>
      </c>
      <c r="Q8" s="37">
        <f t="shared" si="0"/>
        <v>0</v>
      </c>
      <c r="R8" s="37"/>
    </row>
    <row r="9" spans="1:21" x14ac:dyDescent="0.25">
      <c r="A9" s="37" t="s">
        <v>107</v>
      </c>
      <c r="B9" s="37" t="s">
        <v>112</v>
      </c>
      <c r="C9" t="s">
        <v>15</v>
      </c>
      <c r="D9" s="37" t="s">
        <v>122</v>
      </c>
      <c r="E9" s="37">
        <v>365377</v>
      </c>
      <c r="F9" s="37" t="s">
        <v>305</v>
      </c>
      <c r="G9" s="37" t="s">
        <v>145</v>
      </c>
      <c r="H9" s="37" t="s">
        <v>106</v>
      </c>
      <c r="I9" s="38"/>
      <c r="J9" s="37">
        <v>27685551</v>
      </c>
      <c r="K9" s="37" t="s">
        <v>117</v>
      </c>
      <c r="L9" s="37" t="str">
        <f>_xlfn.XLOOKUP(Tabla2__2[[#This Row],[CODIGO RUTA]],'DATA INFORME'!I:I,'DATA INFORME'!K:K)</f>
        <v xml:space="preserve"> NO</v>
      </c>
      <c r="M9" s="37" t="str">
        <f>IF(Tabla2__2[[#This Row],[MYSTERY EFECTIVO]]="SI",_xlfn.XLOOKUP(Tabla2__2[[#This Row],[PREGUNTA]],ENCUESTA!G:G,ENCUESTA!D:D),"N/A")</f>
        <v>N/A</v>
      </c>
      <c r="N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 s="37" t="str">
        <f>_xlfn.XLOOKUP(Tabla2__2[[#This Row],[PREGUNTA]],ENCUESTA!G:G,ENCUESTA!H:H)</f>
        <v>SI</v>
      </c>
      <c r="P9" s="37">
        <f>IF(Tabla2__2[[#This Row],[RTA]]=Tabla2__2[[#This Row],[RTA CORRECTA]],Tabla2__2[[#This Row],[TOTAL PUNTAJE]],0)</f>
        <v>0</v>
      </c>
      <c r="Q9" s="37">
        <f t="shared" si="0"/>
        <v>0</v>
      </c>
      <c r="R9" s="37"/>
    </row>
    <row r="10" spans="1:21" x14ac:dyDescent="0.25">
      <c r="A10" s="37" t="s">
        <v>107</v>
      </c>
      <c r="B10" s="37" t="s">
        <v>112</v>
      </c>
      <c r="C10" t="s">
        <v>15</v>
      </c>
      <c r="D10" s="37" t="s">
        <v>122</v>
      </c>
      <c r="E10" s="37">
        <v>365377</v>
      </c>
      <c r="F10" s="37" t="s">
        <v>305</v>
      </c>
      <c r="G10" s="37" t="s">
        <v>144</v>
      </c>
      <c r="H10" s="37" t="s">
        <v>106</v>
      </c>
      <c r="I10" s="38"/>
      <c r="J10" s="37">
        <v>27685551</v>
      </c>
      <c r="K10" s="37" t="s">
        <v>117</v>
      </c>
      <c r="L10" s="37" t="str">
        <f>_xlfn.XLOOKUP(Tabla2__2[[#This Row],[CODIGO RUTA]],'DATA INFORME'!I:I,'DATA INFORME'!K:K)</f>
        <v xml:space="preserve"> NO</v>
      </c>
      <c r="M10" s="37" t="str">
        <f>IF(Tabla2__2[[#This Row],[MYSTERY EFECTIVO]]="SI",_xlfn.XLOOKUP(Tabla2__2[[#This Row],[PREGUNTA]],ENCUESTA!G:G,ENCUESTA!D:D),"N/A")</f>
        <v>N/A</v>
      </c>
      <c r="N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 s="37" t="str">
        <f>_xlfn.XLOOKUP(Tabla2__2[[#This Row],[PREGUNTA]],ENCUESTA!G:G,ENCUESTA!H:H)</f>
        <v>SI</v>
      </c>
      <c r="P10" s="37">
        <f>IF(Tabla2__2[[#This Row],[RTA]]=Tabla2__2[[#This Row],[RTA CORRECTA]],Tabla2__2[[#This Row],[TOTAL PUNTAJE]],0)</f>
        <v>0</v>
      </c>
      <c r="Q10" s="37">
        <f t="shared" si="0"/>
        <v>0</v>
      </c>
      <c r="R10" s="37"/>
    </row>
    <row r="11" spans="1:21" x14ac:dyDescent="0.25">
      <c r="A11" s="37" t="s">
        <v>107</v>
      </c>
      <c r="B11" s="37" t="s">
        <v>112</v>
      </c>
      <c r="C11" t="s">
        <v>15</v>
      </c>
      <c r="D11" s="37" t="s">
        <v>122</v>
      </c>
      <c r="E11" s="37">
        <v>365377</v>
      </c>
      <c r="F11" s="37" t="s">
        <v>305</v>
      </c>
      <c r="G11" s="37" t="s">
        <v>143</v>
      </c>
      <c r="H11" s="37" t="s">
        <v>106</v>
      </c>
      <c r="I11" s="38"/>
      <c r="J11" s="37">
        <v>27685551</v>
      </c>
      <c r="K11" s="37" t="s">
        <v>117</v>
      </c>
      <c r="L11" s="37" t="str">
        <f>_xlfn.XLOOKUP(Tabla2__2[[#This Row],[CODIGO RUTA]],'DATA INFORME'!I:I,'DATA INFORME'!K:K)</f>
        <v xml:space="preserve"> NO</v>
      </c>
      <c r="M11" s="37" t="str">
        <f>IF(Tabla2__2[[#This Row],[MYSTERY EFECTIVO]]="SI",_xlfn.XLOOKUP(Tabla2__2[[#This Row],[PREGUNTA]],ENCUESTA!G:G,ENCUESTA!D:D),"N/A")</f>
        <v>N/A</v>
      </c>
      <c r="N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 s="37" t="str">
        <f>_xlfn.XLOOKUP(Tabla2__2[[#This Row],[PREGUNTA]],ENCUESTA!G:G,ENCUESTA!H:H)</f>
        <v>SI</v>
      </c>
      <c r="P11" s="37">
        <f>IF(Tabla2__2[[#This Row],[RTA]]=Tabla2__2[[#This Row],[RTA CORRECTA]],Tabla2__2[[#This Row],[TOTAL PUNTAJE]],0)</f>
        <v>0</v>
      </c>
      <c r="Q11" s="37">
        <f t="shared" si="0"/>
        <v>0</v>
      </c>
      <c r="R11" s="37"/>
    </row>
    <row r="12" spans="1:21" x14ac:dyDescent="0.25">
      <c r="A12" s="37" t="s">
        <v>107</v>
      </c>
      <c r="B12" s="37" t="s">
        <v>112</v>
      </c>
      <c r="C12" t="s">
        <v>15</v>
      </c>
      <c r="D12" s="37" t="s">
        <v>122</v>
      </c>
      <c r="E12" s="37">
        <v>365377</v>
      </c>
      <c r="F12" s="37" t="s">
        <v>305</v>
      </c>
      <c r="G12" s="37" t="s">
        <v>142</v>
      </c>
      <c r="H12" s="37" t="s">
        <v>106</v>
      </c>
      <c r="I12" s="38"/>
      <c r="J12" s="37">
        <v>27685551</v>
      </c>
      <c r="K12" s="37" t="s">
        <v>117</v>
      </c>
      <c r="L12" s="37" t="str">
        <f>_xlfn.XLOOKUP(Tabla2__2[[#This Row],[CODIGO RUTA]],'DATA INFORME'!I:I,'DATA INFORME'!K:K)</f>
        <v xml:space="preserve"> NO</v>
      </c>
      <c r="M12" s="37" t="str">
        <f>IF(Tabla2__2[[#This Row],[MYSTERY EFECTIVO]]="SI",_xlfn.XLOOKUP(Tabla2__2[[#This Row],[PREGUNTA]],ENCUESTA!G:G,ENCUESTA!D:D),"N/A")</f>
        <v>N/A</v>
      </c>
      <c r="N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 s="37" t="str">
        <f>_xlfn.XLOOKUP(Tabla2__2[[#This Row],[PREGUNTA]],ENCUESTA!G:G,ENCUESTA!H:H)</f>
        <v>SI</v>
      </c>
      <c r="P12" s="37">
        <f>IF(Tabla2__2[[#This Row],[RTA]]=Tabla2__2[[#This Row],[RTA CORRECTA]],Tabla2__2[[#This Row],[TOTAL PUNTAJE]],0)</f>
        <v>0</v>
      </c>
      <c r="Q12" s="37">
        <f t="shared" si="0"/>
        <v>0</v>
      </c>
      <c r="R12" s="37"/>
    </row>
    <row r="13" spans="1:21" x14ac:dyDescent="0.25">
      <c r="A13" s="37" t="s">
        <v>107</v>
      </c>
      <c r="B13" s="37" t="s">
        <v>112</v>
      </c>
      <c r="C13" t="s">
        <v>15</v>
      </c>
      <c r="D13" s="37" t="s">
        <v>122</v>
      </c>
      <c r="E13" s="37">
        <v>365377</v>
      </c>
      <c r="F13" s="37" t="s">
        <v>305</v>
      </c>
      <c r="G13" s="37" t="s">
        <v>141</v>
      </c>
      <c r="H13" s="37" t="s">
        <v>106</v>
      </c>
      <c r="I13" s="38"/>
      <c r="J13" s="37">
        <v>27685551</v>
      </c>
      <c r="K13" s="37" t="s">
        <v>117</v>
      </c>
      <c r="L13" s="37" t="str">
        <f>_xlfn.XLOOKUP(Tabla2__2[[#This Row],[CODIGO RUTA]],'DATA INFORME'!I:I,'DATA INFORME'!K:K)</f>
        <v xml:space="preserve"> NO</v>
      </c>
      <c r="M13" s="37" t="str">
        <f>IF(Tabla2__2[[#This Row],[MYSTERY EFECTIVO]]="SI",_xlfn.XLOOKUP(Tabla2__2[[#This Row],[PREGUNTA]],ENCUESTA!G:G,ENCUESTA!D:D),"N/A")</f>
        <v>N/A</v>
      </c>
      <c r="N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 s="37" t="str">
        <f>_xlfn.XLOOKUP(Tabla2__2[[#This Row],[PREGUNTA]],ENCUESTA!G:G,ENCUESTA!H:H)</f>
        <v>SI</v>
      </c>
      <c r="P13" s="37">
        <f>IF(Tabla2__2[[#This Row],[RTA]]=Tabla2__2[[#This Row],[RTA CORRECTA]],Tabla2__2[[#This Row],[TOTAL PUNTAJE]],0)</f>
        <v>0</v>
      </c>
      <c r="Q13" s="37">
        <f t="shared" si="0"/>
        <v>0</v>
      </c>
      <c r="R13" s="37"/>
    </row>
    <row r="14" spans="1:21" x14ac:dyDescent="0.25">
      <c r="A14" s="37" t="s">
        <v>107</v>
      </c>
      <c r="B14" s="37" t="s">
        <v>112</v>
      </c>
      <c r="C14" t="s">
        <v>15</v>
      </c>
      <c r="D14" s="37" t="s">
        <v>122</v>
      </c>
      <c r="E14" s="37">
        <v>365377</v>
      </c>
      <c r="F14" s="37" t="s">
        <v>305</v>
      </c>
      <c r="G14" s="37" t="s">
        <v>157</v>
      </c>
      <c r="H14" s="37" t="s">
        <v>20</v>
      </c>
      <c r="I14" s="38"/>
      <c r="J14" s="37">
        <v>27685551</v>
      </c>
      <c r="K14" s="37" t="s">
        <v>117</v>
      </c>
      <c r="L14" s="37" t="str">
        <f>_xlfn.XLOOKUP(Tabla2__2[[#This Row],[CODIGO RUTA]],'DATA INFORME'!I:I,'DATA INFORME'!K:K)</f>
        <v xml:space="preserve"> NO</v>
      </c>
      <c r="M14" s="37" t="str">
        <f>IF(Tabla2__2[[#This Row],[MYSTERY EFECTIVO]]="SI",_xlfn.XLOOKUP(Tabla2__2[[#This Row],[PREGUNTA]],ENCUESTA!G:G,ENCUESTA!D:D),"N/A")</f>
        <v>N/A</v>
      </c>
      <c r="N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 s="37">
        <f>_xlfn.XLOOKUP(Tabla2__2[[#This Row],[PREGUNTA]],ENCUESTA!G:G,ENCUESTA!H:H)</f>
        <v>0</v>
      </c>
      <c r="P14" s="37">
        <f>IF(Tabla2__2[[#This Row],[RTA]]=Tabla2__2[[#This Row],[RTA CORRECTA]],Tabla2__2[[#This Row],[TOTAL PUNTAJE]],0)</f>
        <v>0</v>
      </c>
      <c r="Q14" s="37">
        <f t="shared" si="0"/>
        <v>0</v>
      </c>
      <c r="R14" s="37"/>
    </row>
    <row r="15" spans="1:21" x14ac:dyDescent="0.25">
      <c r="A15" s="37" t="s">
        <v>107</v>
      </c>
      <c r="B15" s="37" t="s">
        <v>112</v>
      </c>
      <c r="C15" t="s">
        <v>15</v>
      </c>
      <c r="D15" s="37" t="s">
        <v>122</v>
      </c>
      <c r="E15" s="37">
        <v>365377</v>
      </c>
      <c r="F15" s="37" t="s">
        <v>305</v>
      </c>
      <c r="G15" s="37" t="s">
        <v>140</v>
      </c>
      <c r="H15" s="37" t="s">
        <v>106</v>
      </c>
      <c r="I15" s="38"/>
      <c r="J15" s="37">
        <v>27685551</v>
      </c>
      <c r="K15" s="37" t="s">
        <v>117</v>
      </c>
      <c r="L15" s="37" t="str">
        <f>_xlfn.XLOOKUP(Tabla2__2[[#This Row],[CODIGO RUTA]],'DATA INFORME'!I:I,'DATA INFORME'!K:K)</f>
        <v xml:space="preserve"> NO</v>
      </c>
      <c r="M15" s="37" t="str">
        <f>IF(Tabla2__2[[#This Row],[MYSTERY EFECTIVO]]="SI",_xlfn.XLOOKUP(Tabla2__2[[#This Row],[PREGUNTA]],ENCUESTA!G:G,ENCUESTA!D:D),"N/A")</f>
        <v>N/A</v>
      </c>
      <c r="N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 s="37" t="str">
        <f>_xlfn.XLOOKUP(Tabla2__2[[#This Row],[PREGUNTA]],ENCUESTA!G:G,ENCUESTA!H:H)</f>
        <v>SI</v>
      </c>
      <c r="P15" s="37">
        <f>IF(Tabla2__2[[#This Row],[RTA]]=Tabla2__2[[#This Row],[RTA CORRECTA]],Tabla2__2[[#This Row],[TOTAL PUNTAJE]],0)</f>
        <v>0</v>
      </c>
      <c r="Q15" s="37">
        <f t="shared" si="0"/>
        <v>0</v>
      </c>
      <c r="R15" s="37"/>
    </row>
    <row r="16" spans="1:21" x14ac:dyDescent="0.25">
      <c r="A16" s="37" t="s">
        <v>107</v>
      </c>
      <c r="B16" s="37" t="s">
        <v>112</v>
      </c>
      <c r="C16" t="s">
        <v>15</v>
      </c>
      <c r="D16" s="37" t="s">
        <v>122</v>
      </c>
      <c r="E16" s="37">
        <v>365377</v>
      </c>
      <c r="F16" s="37" t="s">
        <v>305</v>
      </c>
      <c r="G16" s="37" t="s">
        <v>97</v>
      </c>
      <c r="H16" s="37" t="s">
        <v>106</v>
      </c>
      <c r="I16" s="38"/>
      <c r="J16" s="37">
        <v>27685551</v>
      </c>
      <c r="K16" s="37" t="s">
        <v>117</v>
      </c>
      <c r="L16" s="37" t="str">
        <f>_xlfn.XLOOKUP(Tabla2__2[[#This Row],[CODIGO RUTA]],'DATA INFORME'!I:I,'DATA INFORME'!K:K)</f>
        <v xml:space="preserve"> NO</v>
      </c>
      <c r="M16" s="37" t="str">
        <f>IF(Tabla2__2[[#This Row],[MYSTERY EFECTIVO]]="SI",_xlfn.XLOOKUP(Tabla2__2[[#This Row],[PREGUNTA]],ENCUESTA!G:G,ENCUESTA!D:D),"N/A")</f>
        <v>N/A</v>
      </c>
      <c r="N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 s="37" t="str">
        <f>_xlfn.XLOOKUP(Tabla2__2[[#This Row],[PREGUNTA]],ENCUESTA!G:G,ENCUESTA!H:H)</f>
        <v>SI</v>
      </c>
      <c r="P16" s="37">
        <f>IF(Tabla2__2[[#This Row],[RTA]]=Tabla2__2[[#This Row],[RTA CORRECTA]],Tabla2__2[[#This Row],[TOTAL PUNTAJE]],0)</f>
        <v>0</v>
      </c>
      <c r="Q16" s="37">
        <f t="shared" si="0"/>
        <v>0</v>
      </c>
      <c r="R16" s="37"/>
    </row>
    <row r="17" spans="1:18" x14ac:dyDescent="0.25">
      <c r="A17" s="37" t="s">
        <v>107</v>
      </c>
      <c r="B17" s="37" t="s">
        <v>112</v>
      </c>
      <c r="C17" t="s">
        <v>15</v>
      </c>
      <c r="D17" s="37" t="s">
        <v>122</v>
      </c>
      <c r="E17" s="37">
        <v>365377</v>
      </c>
      <c r="F17" s="37" t="s">
        <v>305</v>
      </c>
      <c r="G17" s="37" t="s">
        <v>137</v>
      </c>
      <c r="H17" s="37" t="s">
        <v>106</v>
      </c>
      <c r="I17" s="38"/>
      <c r="J17" s="37">
        <v>27685551</v>
      </c>
      <c r="K17" s="37" t="s">
        <v>117</v>
      </c>
      <c r="L17" s="37" t="str">
        <f>_xlfn.XLOOKUP(Tabla2__2[[#This Row],[CODIGO RUTA]],'DATA INFORME'!I:I,'DATA INFORME'!K:K)</f>
        <v xml:space="preserve"> NO</v>
      </c>
      <c r="M17" s="37" t="str">
        <f>IF(Tabla2__2[[#This Row],[MYSTERY EFECTIVO]]="SI",_xlfn.XLOOKUP(Tabla2__2[[#This Row],[PREGUNTA]],ENCUESTA!G:G,ENCUESTA!D:D),"N/A")</f>
        <v>N/A</v>
      </c>
      <c r="N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 s="37" t="str">
        <f>_xlfn.XLOOKUP(Tabla2__2[[#This Row],[PREGUNTA]],ENCUESTA!G:G,ENCUESTA!H:H)</f>
        <v>SI</v>
      </c>
      <c r="P17" s="37">
        <f>IF(Tabla2__2[[#This Row],[RTA]]=Tabla2__2[[#This Row],[RTA CORRECTA]],Tabla2__2[[#This Row],[TOTAL PUNTAJE]],0)</f>
        <v>0</v>
      </c>
      <c r="Q17" s="37">
        <f t="shared" si="0"/>
        <v>0</v>
      </c>
      <c r="R17" s="37"/>
    </row>
    <row r="18" spans="1:18" x14ac:dyDescent="0.25">
      <c r="A18" s="37" t="s">
        <v>107</v>
      </c>
      <c r="B18" s="37" t="s">
        <v>112</v>
      </c>
      <c r="C18" t="s">
        <v>15</v>
      </c>
      <c r="D18" s="37" t="s">
        <v>122</v>
      </c>
      <c r="E18" s="37">
        <v>365377</v>
      </c>
      <c r="F18" s="37" t="s">
        <v>305</v>
      </c>
      <c r="G18" s="37" t="s">
        <v>136</v>
      </c>
      <c r="H18" s="37" t="s">
        <v>106</v>
      </c>
      <c r="I18" s="38"/>
      <c r="J18" s="37">
        <v>27685551</v>
      </c>
      <c r="K18" s="37" t="s">
        <v>117</v>
      </c>
      <c r="L18" s="37" t="str">
        <f>_xlfn.XLOOKUP(Tabla2__2[[#This Row],[CODIGO RUTA]],'DATA INFORME'!I:I,'DATA INFORME'!K:K)</f>
        <v xml:space="preserve"> NO</v>
      </c>
      <c r="M18" s="37" t="str">
        <f>IF(Tabla2__2[[#This Row],[MYSTERY EFECTIVO]]="SI",_xlfn.XLOOKUP(Tabla2__2[[#This Row],[PREGUNTA]],ENCUESTA!G:G,ENCUESTA!D:D),"N/A")</f>
        <v>N/A</v>
      </c>
      <c r="N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 s="37" t="str">
        <f>_xlfn.XLOOKUP(Tabla2__2[[#This Row],[PREGUNTA]],ENCUESTA!G:G,ENCUESTA!H:H)</f>
        <v>SI</v>
      </c>
      <c r="P18" s="37">
        <f>IF(Tabla2__2[[#This Row],[RTA]]=Tabla2__2[[#This Row],[RTA CORRECTA]],Tabla2__2[[#This Row],[TOTAL PUNTAJE]],0)</f>
        <v>0</v>
      </c>
      <c r="Q18" s="37">
        <f t="shared" si="0"/>
        <v>0</v>
      </c>
      <c r="R18" s="37"/>
    </row>
    <row r="19" spans="1:18" x14ac:dyDescent="0.25">
      <c r="A19" s="37" t="s">
        <v>107</v>
      </c>
      <c r="B19" s="37" t="s">
        <v>112</v>
      </c>
      <c r="C19" t="s">
        <v>15</v>
      </c>
      <c r="D19" s="37" t="s">
        <v>122</v>
      </c>
      <c r="E19" s="37">
        <v>365377</v>
      </c>
      <c r="F19" s="37" t="s">
        <v>305</v>
      </c>
      <c r="G19" s="37" t="s">
        <v>104</v>
      </c>
      <c r="H19" s="37" t="s">
        <v>106</v>
      </c>
      <c r="I19" s="38"/>
      <c r="J19" s="37">
        <v>27685551</v>
      </c>
      <c r="K19" s="37" t="s">
        <v>117</v>
      </c>
      <c r="L19" s="37" t="str">
        <f>_xlfn.XLOOKUP(Tabla2__2[[#This Row],[CODIGO RUTA]],'DATA INFORME'!I:I,'DATA INFORME'!K:K)</f>
        <v xml:space="preserve"> NO</v>
      </c>
      <c r="M19" s="37" t="str">
        <f>IF(Tabla2__2[[#This Row],[MYSTERY EFECTIVO]]="SI",_xlfn.XLOOKUP(Tabla2__2[[#This Row],[PREGUNTA]],ENCUESTA!G:G,ENCUESTA!D:D),"N/A")</f>
        <v>N/A</v>
      </c>
      <c r="N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 s="37" t="str">
        <f>_xlfn.XLOOKUP(Tabla2__2[[#This Row],[PREGUNTA]],ENCUESTA!G:G,ENCUESTA!H:H)</f>
        <v>NO</v>
      </c>
      <c r="P19" s="37">
        <f>IF(Tabla2__2[[#This Row],[RTA]]=Tabla2__2[[#This Row],[RTA CORRECTA]],Tabla2__2[[#This Row],[TOTAL PUNTAJE]],0)</f>
        <v>0</v>
      </c>
      <c r="Q19" s="37">
        <f t="shared" si="0"/>
        <v>0</v>
      </c>
      <c r="R19" s="37"/>
    </row>
    <row r="20" spans="1:18" x14ac:dyDescent="0.25">
      <c r="A20" s="37" t="s">
        <v>107</v>
      </c>
      <c r="B20" s="37" t="s">
        <v>112</v>
      </c>
      <c r="C20" t="s">
        <v>15</v>
      </c>
      <c r="D20" s="37" t="s">
        <v>122</v>
      </c>
      <c r="E20" s="37">
        <v>365377</v>
      </c>
      <c r="F20" s="37" t="s">
        <v>305</v>
      </c>
      <c r="G20" s="37" t="s">
        <v>103</v>
      </c>
      <c r="H20" s="37" t="s">
        <v>106</v>
      </c>
      <c r="I20" s="38"/>
      <c r="J20" s="37">
        <v>27685551</v>
      </c>
      <c r="K20" s="37" t="s">
        <v>117</v>
      </c>
      <c r="L20" s="37" t="str">
        <f>_xlfn.XLOOKUP(Tabla2__2[[#This Row],[CODIGO RUTA]],'DATA INFORME'!I:I,'DATA INFORME'!K:K)</f>
        <v xml:space="preserve"> NO</v>
      </c>
      <c r="M20" s="37" t="str">
        <f>IF(Tabla2__2[[#This Row],[MYSTERY EFECTIVO]]="SI",_xlfn.XLOOKUP(Tabla2__2[[#This Row],[PREGUNTA]],ENCUESTA!G:G,ENCUESTA!D:D),"N/A")</f>
        <v>N/A</v>
      </c>
      <c r="N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 s="37" t="str">
        <f>_xlfn.XLOOKUP(Tabla2__2[[#This Row],[PREGUNTA]],ENCUESTA!G:G,ENCUESTA!H:H)</f>
        <v>NO</v>
      </c>
      <c r="P20" s="37">
        <f>IF(Tabla2__2[[#This Row],[RTA]]=Tabla2__2[[#This Row],[RTA CORRECTA]],Tabla2__2[[#This Row],[TOTAL PUNTAJE]],0)</f>
        <v>0</v>
      </c>
      <c r="Q20" s="37">
        <f t="shared" si="0"/>
        <v>0</v>
      </c>
      <c r="R20" s="37"/>
    </row>
    <row r="21" spans="1:18" x14ac:dyDescent="0.25">
      <c r="A21" s="37" t="s">
        <v>107</v>
      </c>
      <c r="B21" s="37" t="s">
        <v>112</v>
      </c>
      <c r="C21" t="s">
        <v>15</v>
      </c>
      <c r="D21" s="37" t="s">
        <v>122</v>
      </c>
      <c r="E21" s="37">
        <v>365377</v>
      </c>
      <c r="F21" s="37" t="s">
        <v>305</v>
      </c>
      <c r="G21" s="37" t="s">
        <v>102</v>
      </c>
      <c r="H21" s="37" t="s">
        <v>106</v>
      </c>
      <c r="I21" s="38"/>
      <c r="J21" s="37">
        <v>27685551</v>
      </c>
      <c r="K21" s="37" t="s">
        <v>117</v>
      </c>
      <c r="L21" s="37" t="str">
        <f>_xlfn.XLOOKUP(Tabla2__2[[#This Row],[CODIGO RUTA]],'DATA INFORME'!I:I,'DATA INFORME'!K:K)</f>
        <v xml:space="preserve"> NO</v>
      </c>
      <c r="M21" s="37" t="str">
        <f>IF(Tabla2__2[[#This Row],[MYSTERY EFECTIVO]]="SI",_xlfn.XLOOKUP(Tabla2__2[[#This Row],[PREGUNTA]],ENCUESTA!G:G,ENCUESTA!D:D),"N/A")</f>
        <v>N/A</v>
      </c>
      <c r="N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 s="37" t="str">
        <f>_xlfn.XLOOKUP(Tabla2__2[[#This Row],[PREGUNTA]],ENCUESTA!G:G,ENCUESTA!H:H)</f>
        <v>NO</v>
      </c>
      <c r="P21" s="37">
        <f>IF(Tabla2__2[[#This Row],[RTA]]=Tabla2__2[[#This Row],[RTA CORRECTA]],Tabla2__2[[#This Row],[TOTAL PUNTAJE]],0)</f>
        <v>0</v>
      </c>
      <c r="Q21" s="37">
        <f t="shared" si="0"/>
        <v>0</v>
      </c>
      <c r="R21" s="37"/>
    </row>
    <row r="22" spans="1:18" x14ac:dyDescent="0.25">
      <c r="A22" s="37" t="s">
        <v>107</v>
      </c>
      <c r="B22" s="37" t="s">
        <v>112</v>
      </c>
      <c r="C22" t="s">
        <v>15</v>
      </c>
      <c r="D22" s="37" t="s">
        <v>122</v>
      </c>
      <c r="E22" s="37">
        <v>365377</v>
      </c>
      <c r="F22" s="37" t="s">
        <v>305</v>
      </c>
      <c r="G22" s="37" t="s">
        <v>101</v>
      </c>
      <c r="H22" s="37" t="s">
        <v>106</v>
      </c>
      <c r="I22" s="38"/>
      <c r="J22" s="37">
        <v>27685551</v>
      </c>
      <c r="K22" s="37" t="s">
        <v>117</v>
      </c>
      <c r="L22" s="37" t="str">
        <f>_xlfn.XLOOKUP(Tabla2__2[[#This Row],[CODIGO RUTA]],'DATA INFORME'!I:I,'DATA INFORME'!K:K)</f>
        <v xml:space="preserve"> NO</v>
      </c>
      <c r="M22" s="37" t="str">
        <f>IF(Tabla2__2[[#This Row],[MYSTERY EFECTIVO]]="SI",_xlfn.XLOOKUP(Tabla2__2[[#This Row],[PREGUNTA]],ENCUESTA!G:G,ENCUESTA!D:D),"N/A")</f>
        <v>N/A</v>
      </c>
      <c r="N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 s="37" t="str">
        <f>_xlfn.XLOOKUP(Tabla2__2[[#This Row],[PREGUNTA]],ENCUESTA!G:G,ENCUESTA!H:H)</f>
        <v>NO</v>
      </c>
      <c r="P22" s="37">
        <f>IF(Tabla2__2[[#This Row],[RTA]]=Tabla2__2[[#This Row],[RTA CORRECTA]],Tabla2__2[[#This Row],[TOTAL PUNTAJE]],0)</f>
        <v>0</v>
      </c>
      <c r="Q22" s="37">
        <f t="shared" si="0"/>
        <v>0</v>
      </c>
      <c r="R22" s="37"/>
    </row>
    <row r="23" spans="1:18" x14ac:dyDescent="0.25">
      <c r="A23" s="37" t="s">
        <v>107</v>
      </c>
      <c r="B23" s="37" t="s">
        <v>112</v>
      </c>
      <c r="C23" t="s">
        <v>15</v>
      </c>
      <c r="D23" s="37" t="s">
        <v>122</v>
      </c>
      <c r="E23" s="37">
        <v>365377</v>
      </c>
      <c r="F23" s="37" t="s">
        <v>305</v>
      </c>
      <c r="G23" s="37" t="s">
        <v>100</v>
      </c>
      <c r="H23" s="37" t="s">
        <v>106</v>
      </c>
      <c r="I23" s="38"/>
      <c r="J23" s="37">
        <v>27685551</v>
      </c>
      <c r="K23" s="37" t="s">
        <v>117</v>
      </c>
      <c r="L23" s="37" t="str">
        <f>_xlfn.XLOOKUP(Tabla2__2[[#This Row],[CODIGO RUTA]],'DATA INFORME'!I:I,'DATA INFORME'!K:K)</f>
        <v xml:space="preserve"> NO</v>
      </c>
      <c r="M23" s="37" t="str">
        <f>IF(Tabla2__2[[#This Row],[MYSTERY EFECTIVO]]="SI",_xlfn.XLOOKUP(Tabla2__2[[#This Row],[PREGUNTA]],ENCUESTA!G:G,ENCUESTA!D:D),"N/A")</f>
        <v>N/A</v>
      </c>
      <c r="N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 s="37" t="str">
        <f>_xlfn.XLOOKUP(Tabla2__2[[#This Row],[PREGUNTA]],ENCUESTA!G:G,ENCUESTA!H:H)</f>
        <v>SI</v>
      </c>
      <c r="P23" s="37">
        <f>IF(Tabla2__2[[#This Row],[RTA]]=Tabla2__2[[#This Row],[RTA CORRECTA]],Tabla2__2[[#This Row],[TOTAL PUNTAJE]],0)</f>
        <v>0</v>
      </c>
      <c r="Q23" s="37">
        <f t="shared" si="0"/>
        <v>0</v>
      </c>
      <c r="R23" s="37"/>
    </row>
    <row r="24" spans="1:18" x14ac:dyDescent="0.25">
      <c r="A24" s="37" t="s">
        <v>107</v>
      </c>
      <c r="B24" s="37" t="s">
        <v>112</v>
      </c>
      <c r="C24" t="s">
        <v>15</v>
      </c>
      <c r="D24" s="37" t="s">
        <v>122</v>
      </c>
      <c r="E24" s="37">
        <v>365377</v>
      </c>
      <c r="F24" s="37" t="s">
        <v>305</v>
      </c>
      <c r="G24" s="37" t="s">
        <v>99</v>
      </c>
      <c r="H24" s="37" t="s">
        <v>106</v>
      </c>
      <c r="I24" s="38"/>
      <c r="J24" s="37">
        <v>27685551</v>
      </c>
      <c r="K24" s="37" t="s">
        <v>117</v>
      </c>
      <c r="L24" s="37" t="str">
        <f>_xlfn.XLOOKUP(Tabla2__2[[#This Row],[CODIGO RUTA]],'DATA INFORME'!I:I,'DATA INFORME'!K:K)</f>
        <v xml:space="preserve"> NO</v>
      </c>
      <c r="M24" s="37" t="str">
        <f>IF(Tabla2__2[[#This Row],[MYSTERY EFECTIVO]]="SI",_xlfn.XLOOKUP(Tabla2__2[[#This Row],[PREGUNTA]],ENCUESTA!G:G,ENCUESTA!D:D),"N/A")</f>
        <v>N/A</v>
      </c>
      <c r="N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 s="37" t="str">
        <f>_xlfn.XLOOKUP(Tabla2__2[[#This Row],[PREGUNTA]],ENCUESTA!G:G,ENCUESTA!H:H)</f>
        <v>SI</v>
      </c>
      <c r="P24" s="37">
        <f>IF(Tabla2__2[[#This Row],[RTA]]=Tabla2__2[[#This Row],[RTA CORRECTA]],Tabla2__2[[#This Row],[TOTAL PUNTAJE]],0)</f>
        <v>0</v>
      </c>
      <c r="Q24" s="37">
        <f t="shared" si="0"/>
        <v>0</v>
      </c>
      <c r="R24" s="37"/>
    </row>
    <row r="25" spans="1:18" x14ac:dyDescent="0.25">
      <c r="A25" s="37" t="s">
        <v>107</v>
      </c>
      <c r="B25" s="37" t="s">
        <v>112</v>
      </c>
      <c r="C25" t="s">
        <v>15</v>
      </c>
      <c r="D25" s="37" t="s">
        <v>122</v>
      </c>
      <c r="E25" s="37">
        <v>365377</v>
      </c>
      <c r="F25" s="37" t="s">
        <v>305</v>
      </c>
      <c r="G25" s="37" t="s">
        <v>135</v>
      </c>
      <c r="H25" s="37" t="s">
        <v>106</v>
      </c>
      <c r="I25" s="38"/>
      <c r="J25" s="37">
        <v>27685551</v>
      </c>
      <c r="K25" s="37" t="s">
        <v>117</v>
      </c>
      <c r="L25" s="37" t="str">
        <f>_xlfn.XLOOKUP(Tabla2__2[[#This Row],[CODIGO RUTA]],'DATA INFORME'!I:I,'DATA INFORME'!K:K)</f>
        <v xml:space="preserve"> NO</v>
      </c>
      <c r="M25" s="37" t="str">
        <f>IF(Tabla2__2[[#This Row],[MYSTERY EFECTIVO]]="SI",_xlfn.XLOOKUP(Tabla2__2[[#This Row],[PREGUNTA]],ENCUESTA!G:G,ENCUESTA!D:D),"N/A")</f>
        <v>N/A</v>
      </c>
      <c r="N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 s="37" t="str">
        <f>_xlfn.XLOOKUP(Tabla2__2[[#This Row],[PREGUNTA]],ENCUESTA!G:G,ENCUESTA!H:H)</f>
        <v>NO</v>
      </c>
      <c r="P25" s="37">
        <f>IF(Tabla2__2[[#This Row],[RTA]]=Tabla2__2[[#This Row],[RTA CORRECTA]],Tabla2__2[[#This Row],[TOTAL PUNTAJE]],0)</f>
        <v>0</v>
      </c>
      <c r="Q25" s="37">
        <f t="shared" si="0"/>
        <v>0</v>
      </c>
      <c r="R25" s="37"/>
    </row>
    <row r="26" spans="1:18" x14ac:dyDescent="0.25">
      <c r="A26" s="37" t="s">
        <v>107</v>
      </c>
      <c r="B26" s="37" t="s">
        <v>112</v>
      </c>
      <c r="C26" t="s">
        <v>15</v>
      </c>
      <c r="D26" s="37" t="s">
        <v>122</v>
      </c>
      <c r="E26" s="37">
        <v>365377</v>
      </c>
      <c r="F26" s="37" t="s">
        <v>305</v>
      </c>
      <c r="G26" s="37" t="s">
        <v>35</v>
      </c>
      <c r="H26" s="37" t="s">
        <v>106</v>
      </c>
      <c r="I26" s="38"/>
      <c r="J26" s="37">
        <v>27685551</v>
      </c>
      <c r="K26" s="37" t="s">
        <v>117</v>
      </c>
      <c r="L26" s="37" t="str">
        <f>_xlfn.XLOOKUP(Tabla2__2[[#This Row],[CODIGO RUTA]],'DATA INFORME'!I:I,'DATA INFORME'!K:K)</f>
        <v xml:space="preserve"> NO</v>
      </c>
      <c r="M26" s="37" t="str">
        <f>IF(Tabla2__2[[#This Row],[MYSTERY EFECTIVO]]="SI",_xlfn.XLOOKUP(Tabla2__2[[#This Row],[PREGUNTA]],ENCUESTA!G:G,ENCUESTA!D:D),"N/A")</f>
        <v>N/A</v>
      </c>
      <c r="N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 s="37" t="str">
        <f>_xlfn.XLOOKUP(Tabla2__2[[#This Row],[PREGUNTA]],ENCUESTA!G:G,ENCUESTA!H:H)</f>
        <v>SI</v>
      </c>
      <c r="P26" s="37">
        <f>IF(Tabla2__2[[#This Row],[RTA]]=Tabla2__2[[#This Row],[RTA CORRECTA]],Tabla2__2[[#This Row],[TOTAL PUNTAJE]],0)</f>
        <v>0</v>
      </c>
      <c r="Q26" s="37">
        <f t="shared" si="0"/>
        <v>0</v>
      </c>
      <c r="R26" s="37"/>
    </row>
    <row r="27" spans="1:18" x14ac:dyDescent="0.25">
      <c r="A27" s="37" t="s">
        <v>107</v>
      </c>
      <c r="B27" s="37" t="s">
        <v>112</v>
      </c>
      <c r="C27" t="s">
        <v>15</v>
      </c>
      <c r="D27" s="37" t="s">
        <v>122</v>
      </c>
      <c r="E27" s="37">
        <v>365377</v>
      </c>
      <c r="F27" s="37" t="s">
        <v>305</v>
      </c>
      <c r="G27" s="37" t="s">
        <v>139</v>
      </c>
      <c r="H27" s="37" t="s">
        <v>15</v>
      </c>
      <c r="I27" s="38"/>
      <c r="J27" s="37">
        <v>27685551</v>
      </c>
      <c r="K27" s="37" t="s">
        <v>117</v>
      </c>
      <c r="L27" s="37" t="str">
        <f>_xlfn.XLOOKUP(Tabla2__2[[#This Row],[CODIGO RUTA]],'DATA INFORME'!I:I,'DATA INFORME'!K:K)</f>
        <v xml:space="preserve"> NO</v>
      </c>
      <c r="M27" s="37" t="str">
        <f>IF(Tabla2__2[[#This Row],[MYSTERY EFECTIVO]]="SI",_xlfn.XLOOKUP(Tabla2__2[[#This Row],[PREGUNTA]],ENCUESTA!G:G,ENCUESTA!D:D),"N/A")</f>
        <v>N/A</v>
      </c>
      <c r="N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 s="37" t="str">
        <f>_xlfn.XLOOKUP(Tabla2__2[[#This Row],[PREGUNTA]],ENCUESTA!G:G,ENCUESTA!H:H)</f>
        <v>MODERNO, ESPECIALIZADO</v>
      </c>
      <c r="P27" s="37">
        <f>IF(Tabla2__2[[#This Row],[RTA]]=Tabla2__2[[#This Row],[RTA CORRECTA]],Tabla2__2[[#This Row],[TOTAL PUNTAJE]],0)</f>
        <v>0</v>
      </c>
      <c r="Q27" s="37">
        <f t="shared" si="0"/>
        <v>0</v>
      </c>
      <c r="R27" s="37"/>
    </row>
    <row r="28" spans="1:18" x14ac:dyDescent="0.25">
      <c r="A28" s="37" t="s">
        <v>107</v>
      </c>
      <c r="B28" s="37" t="s">
        <v>112</v>
      </c>
      <c r="C28" t="s">
        <v>15</v>
      </c>
      <c r="D28" s="37" t="s">
        <v>122</v>
      </c>
      <c r="E28" s="37">
        <v>365377</v>
      </c>
      <c r="F28" s="37" t="s">
        <v>305</v>
      </c>
      <c r="G28" s="37" t="s">
        <v>134</v>
      </c>
      <c r="H28" s="37" t="s">
        <v>106</v>
      </c>
      <c r="I28" s="38"/>
      <c r="J28" s="37">
        <v>27685551</v>
      </c>
      <c r="K28" s="37" t="s">
        <v>117</v>
      </c>
      <c r="L28" s="37" t="str">
        <f>_xlfn.XLOOKUP(Tabla2__2[[#This Row],[CODIGO RUTA]],'DATA INFORME'!I:I,'DATA INFORME'!K:K)</f>
        <v xml:space="preserve"> NO</v>
      </c>
      <c r="M28" s="37" t="str">
        <f>IF(Tabla2__2[[#This Row],[MYSTERY EFECTIVO]]="SI",_xlfn.XLOOKUP(Tabla2__2[[#This Row],[PREGUNTA]],ENCUESTA!G:G,ENCUESTA!D:D),"N/A")</f>
        <v>N/A</v>
      </c>
      <c r="N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 s="37" t="str">
        <f>_xlfn.XLOOKUP(Tabla2__2[[#This Row],[PREGUNTA]],ENCUESTA!G:G,ENCUESTA!H:H)</f>
        <v>SI</v>
      </c>
      <c r="P28" s="37">
        <f>IF(Tabla2__2[[#This Row],[RTA]]=Tabla2__2[[#This Row],[RTA CORRECTA]],Tabla2__2[[#This Row],[TOTAL PUNTAJE]],0)</f>
        <v>0</v>
      </c>
      <c r="Q28" s="37">
        <f t="shared" si="0"/>
        <v>0</v>
      </c>
      <c r="R28" s="37"/>
    </row>
    <row r="29" spans="1:18" x14ac:dyDescent="0.25">
      <c r="A29" s="37" t="s">
        <v>107</v>
      </c>
      <c r="B29" s="37" t="s">
        <v>112</v>
      </c>
      <c r="C29" t="s">
        <v>15</v>
      </c>
      <c r="D29" s="37" t="s">
        <v>122</v>
      </c>
      <c r="E29" s="37">
        <v>365377</v>
      </c>
      <c r="F29" s="37" t="s">
        <v>305</v>
      </c>
      <c r="G29" s="37" t="s">
        <v>133</v>
      </c>
      <c r="H29" s="37" t="s">
        <v>106</v>
      </c>
      <c r="I29" s="38"/>
      <c r="J29" s="37">
        <v>27685551</v>
      </c>
      <c r="K29" s="37" t="s">
        <v>117</v>
      </c>
      <c r="L29" s="37" t="str">
        <f>_xlfn.XLOOKUP(Tabla2__2[[#This Row],[CODIGO RUTA]],'DATA INFORME'!I:I,'DATA INFORME'!K:K)</f>
        <v xml:space="preserve"> NO</v>
      </c>
      <c r="M29" s="37" t="str">
        <f>IF(Tabla2__2[[#This Row],[MYSTERY EFECTIVO]]="SI",_xlfn.XLOOKUP(Tabla2__2[[#This Row],[PREGUNTA]],ENCUESTA!G:G,ENCUESTA!D:D),"N/A")</f>
        <v>N/A</v>
      </c>
      <c r="N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 s="37">
        <f>_xlfn.XLOOKUP(Tabla2__2[[#This Row],[PREGUNTA]],ENCUESTA!G:G,ENCUESTA!H:H)</f>
        <v>0</v>
      </c>
      <c r="P29" s="37">
        <f>IF(Tabla2__2[[#This Row],[RTA]]=Tabla2__2[[#This Row],[RTA CORRECTA]],Tabla2__2[[#This Row],[TOTAL PUNTAJE]],0)</f>
        <v>0</v>
      </c>
      <c r="Q29" s="37">
        <f t="shared" si="0"/>
        <v>0</v>
      </c>
      <c r="R29" s="37"/>
    </row>
    <row r="30" spans="1:18" x14ac:dyDescent="0.25">
      <c r="A30" s="37" t="s">
        <v>107</v>
      </c>
      <c r="B30" s="37" t="s">
        <v>112</v>
      </c>
      <c r="C30" t="s">
        <v>15</v>
      </c>
      <c r="D30" s="37" t="s">
        <v>122</v>
      </c>
      <c r="E30" s="37">
        <v>365377</v>
      </c>
      <c r="F30" s="37" t="s">
        <v>305</v>
      </c>
      <c r="G30" s="37" t="s">
        <v>98</v>
      </c>
      <c r="H30" s="37" t="s">
        <v>106</v>
      </c>
      <c r="I30" s="38"/>
      <c r="J30" s="37">
        <v>27685551</v>
      </c>
      <c r="K30" s="37" t="s">
        <v>117</v>
      </c>
      <c r="L30" s="37" t="str">
        <f>_xlfn.XLOOKUP(Tabla2__2[[#This Row],[CODIGO RUTA]],'DATA INFORME'!I:I,'DATA INFORME'!K:K)</f>
        <v xml:space="preserve"> NO</v>
      </c>
      <c r="M30" s="37" t="str">
        <f>IF(Tabla2__2[[#This Row],[MYSTERY EFECTIVO]]="SI",_xlfn.XLOOKUP(Tabla2__2[[#This Row],[PREGUNTA]],ENCUESTA!G:G,ENCUESTA!D:D),"N/A")</f>
        <v>N/A</v>
      </c>
      <c r="N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 s="37" t="str">
        <f>_xlfn.XLOOKUP(Tabla2__2[[#This Row],[PREGUNTA]],ENCUESTA!G:G,ENCUESTA!H:H)</f>
        <v>SI</v>
      </c>
      <c r="P30" s="37">
        <f>IF(Tabla2__2[[#This Row],[RTA]]=Tabla2__2[[#This Row],[RTA CORRECTA]],Tabla2__2[[#This Row],[TOTAL PUNTAJE]],0)</f>
        <v>0</v>
      </c>
      <c r="Q30" s="37">
        <f t="shared" si="0"/>
        <v>0</v>
      </c>
      <c r="R30" s="37"/>
    </row>
    <row r="31" spans="1:18" x14ac:dyDescent="0.25">
      <c r="A31" s="37" t="s">
        <v>107</v>
      </c>
      <c r="B31" s="37" t="s">
        <v>93</v>
      </c>
      <c r="C31" t="s">
        <v>14</v>
      </c>
      <c r="D31" s="37" t="s">
        <v>113</v>
      </c>
      <c r="E31" s="37">
        <v>65453</v>
      </c>
      <c r="F31" s="37" t="s">
        <v>245</v>
      </c>
      <c r="G31" s="37" t="s">
        <v>134</v>
      </c>
      <c r="H31" s="37" t="s">
        <v>20</v>
      </c>
      <c r="I31" s="38"/>
      <c r="J31" s="37">
        <v>27498090</v>
      </c>
      <c r="K31" s="37" t="s">
        <v>127</v>
      </c>
      <c r="L31" s="37" t="str">
        <f>_xlfn.XLOOKUP(Tabla2__2[[#This Row],[CODIGO RUTA]],'DATA INFORME'!I:I,'DATA INFORME'!K:K)</f>
        <v>SI</v>
      </c>
      <c r="M31" s="37" t="str">
        <f>IF(Tabla2__2[[#This Row],[MYSTERY EFECTIVO]]="SI",_xlfn.XLOOKUP(Tabla2__2[[#This Row],[PREGUNTA]],ENCUESTA!G:G,ENCUESTA!D:D),"N/A")</f>
        <v>UNIFORME</v>
      </c>
      <c r="N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1" s="37" t="str">
        <f>_xlfn.XLOOKUP(Tabla2__2[[#This Row],[PREGUNTA]],ENCUESTA!G:G,ENCUESTA!H:H)</f>
        <v>SI</v>
      </c>
      <c r="P31" s="37">
        <f>IF(Tabla2__2[[#This Row],[RTA]]=Tabla2__2[[#This Row],[RTA CORRECTA]],Tabla2__2[[#This Row],[TOTAL PUNTAJE]],0)</f>
        <v>1.3636363636363635</v>
      </c>
      <c r="Q31" s="37">
        <f t="shared" si="0"/>
        <v>0</v>
      </c>
      <c r="R31" s="37"/>
    </row>
    <row r="32" spans="1:18" x14ac:dyDescent="0.25">
      <c r="A32" s="37" t="s">
        <v>107</v>
      </c>
      <c r="B32" s="37" t="s">
        <v>93</v>
      </c>
      <c r="C32" t="s">
        <v>14</v>
      </c>
      <c r="D32" s="37" t="s">
        <v>113</v>
      </c>
      <c r="E32" s="37">
        <v>65453</v>
      </c>
      <c r="F32" s="37" t="s">
        <v>245</v>
      </c>
      <c r="G32" s="37" t="s">
        <v>35</v>
      </c>
      <c r="H32" s="37" t="s">
        <v>20</v>
      </c>
      <c r="I32" s="38"/>
      <c r="J32" s="37">
        <v>27498090</v>
      </c>
      <c r="K32" s="37" t="s">
        <v>127</v>
      </c>
      <c r="L32" s="37" t="str">
        <f>_xlfn.XLOOKUP(Tabla2__2[[#This Row],[CODIGO RUTA]],'DATA INFORME'!I:I,'DATA INFORME'!K:K)</f>
        <v>SI</v>
      </c>
      <c r="M32" s="37" t="str">
        <f>IF(Tabla2__2[[#This Row],[MYSTERY EFECTIVO]]="SI",_xlfn.XLOOKUP(Tabla2__2[[#This Row],[PREGUNTA]],ENCUESTA!G:G,ENCUESTA!D:D),"N/A")</f>
        <v>UNIFORME</v>
      </c>
      <c r="N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2" s="37" t="str">
        <f>_xlfn.XLOOKUP(Tabla2__2[[#This Row],[PREGUNTA]],ENCUESTA!G:G,ENCUESTA!H:H)</f>
        <v>SI</v>
      </c>
      <c r="P32" s="37">
        <f>IF(Tabla2__2[[#This Row],[RTA]]=Tabla2__2[[#This Row],[RTA CORRECTA]],Tabla2__2[[#This Row],[TOTAL PUNTAJE]],0)</f>
        <v>1.3636363636363635</v>
      </c>
      <c r="Q32" s="37">
        <f t="shared" si="0"/>
        <v>0</v>
      </c>
      <c r="R32" s="37"/>
    </row>
    <row r="33" spans="1:18" x14ac:dyDescent="0.25">
      <c r="A33" s="37" t="s">
        <v>107</v>
      </c>
      <c r="B33" s="37" t="s">
        <v>93</v>
      </c>
      <c r="C33" t="s">
        <v>14</v>
      </c>
      <c r="D33" s="37" t="s">
        <v>113</v>
      </c>
      <c r="E33" s="37">
        <v>65453</v>
      </c>
      <c r="F33" s="37" t="s">
        <v>245</v>
      </c>
      <c r="G33" s="37" t="s">
        <v>135</v>
      </c>
      <c r="H33" s="37" t="s">
        <v>106</v>
      </c>
      <c r="I33" s="38"/>
      <c r="J33" s="37">
        <v>27498090</v>
      </c>
      <c r="K33" s="37" t="s">
        <v>127</v>
      </c>
      <c r="L33" s="37" t="str">
        <f>_xlfn.XLOOKUP(Tabla2__2[[#This Row],[CODIGO RUTA]],'DATA INFORME'!I:I,'DATA INFORME'!K:K)</f>
        <v>SI</v>
      </c>
      <c r="M33" s="37" t="str">
        <f>IF(Tabla2__2[[#This Row],[MYSTERY EFECTIVO]]="SI",_xlfn.XLOOKUP(Tabla2__2[[#This Row],[PREGUNTA]],ENCUESTA!G:G,ENCUESTA!D:D),"N/A")</f>
        <v>UNIFORME</v>
      </c>
      <c r="N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3" s="37" t="str">
        <f>_xlfn.XLOOKUP(Tabla2__2[[#This Row],[PREGUNTA]],ENCUESTA!G:G,ENCUESTA!H:H)</f>
        <v>NO</v>
      </c>
      <c r="P33" s="37">
        <f>IF(Tabla2__2[[#This Row],[RTA]]=Tabla2__2[[#This Row],[RTA CORRECTA]],Tabla2__2[[#This Row],[TOTAL PUNTAJE]],0)</f>
        <v>1.3636363636363635</v>
      </c>
      <c r="Q33" s="37">
        <f t="shared" si="0"/>
        <v>0</v>
      </c>
      <c r="R33" s="37"/>
    </row>
    <row r="34" spans="1:18" x14ac:dyDescent="0.25">
      <c r="A34" s="37" t="s">
        <v>107</v>
      </c>
      <c r="B34" s="37" t="s">
        <v>93</v>
      </c>
      <c r="C34" t="s">
        <v>14</v>
      </c>
      <c r="D34" s="37" t="s">
        <v>113</v>
      </c>
      <c r="E34" s="37">
        <v>65453</v>
      </c>
      <c r="F34" s="37" t="s">
        <v>245</v>
      </c>
      <c r="G34" s="37" t="s">
        <v>99</v>
      </c>
      <c r="H34" s="37" t="s">
        <v>20</v>
      </c>
      <c r="I34" s="38"/>
      <c r="J34" s="37">
        <v>27498090</v>
      </c>
      <c r="K34" s="37" t="s">
        <v>127</v>
      </c>
      <c r="L34" s="37" t="str">
        <f>_xlfn.XLOOKUP(Tabla2__2[[#This Row],[CODIGO RUTA]],'DATA INFORME'!I:I,'DATA INFORME'!K:K)</f>
        <v>SI</v>
      </c>
      <c r="M34" s="37" t="str">
        <f>IF(Tabla2__2[[#This Row],[MYSTERY EFECTIVO]]="SI",_xlfn.XLOOKUP(Tabla2__2[[#This Row],[PREGUNTA]],ENCUESTA!G:G,ENCUESTA!D:D),"N/A")</f>
        <v>UNIFORME</v>
      </c>
      <c r="N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 s="37" t="str">
        <f>_xlfn.XLOOKUP(Tabla2__2[[#This Row],[PREGUNTA]],ENCUESTA!G:G,ENCUESTA!H:H)</f>
        <v>SI</v>
      </c>
      <c r="P34" s="37">
        <f>IF(Tabla2__2[[#This Row],[RTA]]=Tabla2__2[[#This Row],[RTA CORRECTA]],Tabla2__2[[#This Row],[TOTAL PUNTAJE]],0)</f>
        <v>1.3636363636363635</v>
      </c>
      <c r="Q34" s="37">
        <f t="shared" si="0"/>
        <v>0</v>
      </c>
      <c r="R34" s="37"/>
    </row>
    <row r="35" spans="1:18" x14ac:dyDescent="0.25">
      <c r="A35" s="37" t="s">
        <v>107</v>
      </c>
      <c r="B35" s="37" t="s">
        <v>93</v>
      </c>
      <c r="C35" t="s">
        <v>14</v>
      </c>
      <c r="D35" s="37" t="s">
        <v>113</v>
      </c>
      <c r="E35" s="37">
        <v>65453</v>
      </c>
      <c r="F35" s="37" t="s">
        <v>245</v>
      </c>
      <c r="G35" s="37" t="s">
        <v>100</v>
      </c>
      <c r="H35" s="37" t="s">
        <v>20</v>
      </c>
      <c r="I35" s="38"/>
      <c r="J35" s="37">
        <v>27498090</v>
      </c>
      <c r="K35" s="37" t="s">
        <v>127</v>
      </c>
      <c r="L35" s="37" t="str">
        <f>_xlfn.XLOOKUP(Tabla2__2[[#This Row],[CODIGO RUTA]],'DATA INFORME'!I:I,'DATA INFORME'!K:K)</f>
        <v>SI</v>
      </c>
      <c r="M35" s="37" t="str">
        <f>IF(Tabla2__2[[#This Row],[MYSTERY EFECTIVO]]="SI",_xlfn.XLOOKUP(Tabla2__2[[#This Row],[PREGUNTA]],ENCUESTA!G:G,ENCUESTA!D:D),"N/A")</f>
        <v>UNIFORME</v>
      </c>
      <c r="N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5" s="37" t="str">
        <f>_xlfn.XLOOKUP(Tabla2__2[[#This Row],[PREGUNTA]],ENCUESTA!G:G,ENCUESTA!H:H)</f>
        <v>SI</v>
      </c>
      <c r="P35" s="37">
        <f>IF(Tabla2__2[[#This Row],[RTA]]=Tabla2__2[[#This Row],[RTA CORRECTA]],Tabla2__2[[#This Row],[TOTAL PUNTAJE]],0)</f>
        <v>1.3636363636363635</v>
      </c>
      <c r="Q35" s="37">
        <f t="shared" si="0"/>
        <v>0</v>
      </c>
      <c r="R35" s="37"/>
    </row>
    <row r="36" spans="1:18" x14ac:dyDescent="0.25">
      <c r="A36" s="37" t="s">
        <v>107</v>
      </c>
      <c r="B36" s="37" t="s">
        <v>93</v>
      </c>
      <c r="C36" t="s">
        <v>14</v>
      </c>
      <c r="D36" s="37" t="s">
        <v>113</v>
      </c>
      <c r="E36" s="37">
        <v>65453</v>
      </c>
      <c r="F36" s="37" t="s">
        <v>245</v>
      </c>
      <c r="G36" s="37" t="s">
        <v>101</v>
      </c>
      <c r="H36" s="37" t="s">
        <v>106</v>
      </c>
      <c r="I36" s="38"/>
      <c r="J36" s="37">
        <v>27498090</v>
      </c>
      <c r="K36" s="37" t="s">
        <v>127</v>
      </c>
      <c r="L36" s="37" t="str">
        <f>_xlfn.XLOOKUP(Tabla2__2[[#This Row],[CODIGO RUTA]],'DATA INFORME'!I:I,'DATA INFORME'!K:K)</f>
        <v>SI</v>
      </c>
      <c r="M36" s="37" t="str">
        <f>IF(Tabla2__2[[#This Row],[MYSTERY EFECTIVO]]="SI",_xlfn.XLOOKUP(Tabla2__2[[#This Row],[PREGUNTA]],ENCUESTA!G:G,ENCUESTA!D:D),"N/A")</f>
        <v>UNIFORME</v>
      </c>
      <c r="N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6" s="37" t="str">
        <f>_xlfn.XLOOKUP(Tabla2__2[[#This Row],[PREGUNTA]],ENCUESTA!G:G,ENCUESTA!H:H)</f>
        <v>NO</v>
      </c>
      <c r="P36" s="37">
        <f>IF(Tabla2__2[[#This Row],[RTA]]=Tabla2__2[[#This Row],[RTA CORRECTA]],Tabla2__2[[#This Row],[TOTAL PUNTAJE]],0)</f>
        <v>1.3636363636363635</v>
      </c>
      <c r="Q36" s="37">
        <f t="shared" si="0"/>
        <v>0</v>
      </c>
      <c r="R36" s="37"/>
    </row>
    <row r="37" spans="1:18" x14ac:dyDescent="0.25">
      <c r="A37" s="37" t="s">
        <v>107</v>
      </c>
      <c r="B37" s="37" t="s">
        <v>93</v>
      </c>
      <c r="C37" t="s">
        <v>14</v>
      </c>
      <c r="D37" s="37" t="s">
        <v>113</v>
      </c>
      <c r="E37" s="37">
        <v>65453</v>
      </c>
      <c r="F37" s="37" t="s">
        <v>245</v>
      </c>
      <c r="G37" s="37" t="s">
        <v>102</v>
      </c>
      <c r="H37" s="37" t="s">
        <v>106</v>
      </c>
      <c r="I37" s="38"/>
      <c r="J37" s="37">
        <v>27498090</v>
      </c>
      <c r="K37" s="37" t="s">
        <v>127</v>
      </c>
      <c r="L37" s="37" t="str">
        <f>_xlfn.XLOOKUP(Tabla2__2[[#This Row],[CODIGO RUTA]],'DATA INFORME'!I:I,'DATA INFORME'!K:K)</f>
        <v>SI</v>
      </c>
      <c r="M37" s="37" t="str">
        <f>IF(Tabla2__2[[#This Row],[MYSTERY EFECTIVO]]="SI",_xlfn.XLOOKUP(Tabla2__2[[#This Row],[PREGUNTA]],ENCUESTA!G:G,ENCUESTA!D:D),"N/A")</f>
        <v>UNIFORME</v>
      </c>
      <c r="N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7" s="37" t="str">
        <f>_xlfn.XLOOKUP(Tabla2__2[[#This Row],[PREGUNTA]],ENCUESTA!G:G,ENCUESTA!H:H)</f>
        <v>NO</v>
      </c>
      <c r="P37" s="37">
        <f>IF(Tabla2__2[[#This Row],[RTA]]=Tabla2__2[[#This Row],[RTA CORRECTA]],Tabla2__2[[#This Row],[TOTAL PUNTAJE]],0)</f>
        <v>1.3636363636363635</v>
      </c>
      <c r="Q37" s="37">
        <f t="shared" si="0"/>
        <v>0</v>
      </c>
      <c r="R37" s="37"/>
    </row>
    <row r="38" spans="1:18" x14ac:dyDescent="0.25">
      <c r="A38" s="37" t="s">
        <v>107</v>
      </c>
      <c r="B38" s="37" t="s">
        <v>93</v>
      </c>
      <c r="C38" t="s">
        <v>14</v>
      </c>
      <c r="D38" s="37" t="s">
        <v>113</v>
      </c>
      <c r="E38" s="37">
        <v>65453</v>
      </c>
      <c r="F38" s="37" t="s">
        <v>245</v>
      </c>
      <c r="G38" s="37" t="s">
        <v>103</v>
      </c>
      <c r="H38" s="37" t="s">
        <v>106</v>
      </c>
      <c r="I38" s="38"/>
      <c r="J38" s="37">
        <v>27498090</v>
      </c>
      <c r="K38" s="37" t="s">
        <v>127</v>
      </c>
      <c r="L38" s="37" t="str">
        <f>_xlfn.XLOOKUP(Tabla2__2[[#This Row],[CODIGO RUTA]],'DATA INFORME'!I:I,'DATA INFORME'!K:K)</f>
        <v>SI</v>
      </c>
      <c r="M38" s="37" t="str">
        <f>IF(Tabla2__2[[#This Row],[MYSTERY EFECTIVO]]="SI",_xlfn.XLOOKUP(Tabla2__2[[#This Row],[PREGUNTA]],ENCUESTA!G:G,ENCUESTA!D:D),"N/A")</f>
        <v>UNIFORME</v>
      </c>
      <c r="N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8" s="37" t="str">
        <f>_xlfn.XLOOKUP(Tabla2__2[[#This Row],[PREGUNTA]],ENCUESTA!G:G,ENCUESTA!H:H)</f>
        <v>NO</v>
      </c>
      <c r="P38" s="37">
        <f>IF(Tabla2__2[[#This Row],[RTA]]=Tabla2__2[[#This Row],[RTA CORRECTA]],Tabla2__2[[#This Row],[TOTAL PUNTAJE]],0)</f>
        <v>1.3636363636363635</v>
      </c>
      <c r="Q38" s="37">
        <f t="shared" si="0"/>
        <v>0</v>
      </c>
      <c r="R38" s="37"/>
    </row>
    <row r="39" spans="1:18" x14ac:dyDescent="0.25">
      <c r="A39" s="37" t="s">
        <v>107</v>
      </c>
      <c r="B39" s="37" t="s">
        <v>93</v>
      </c>
      <c r="C39" t="s">
        <v>14</v>
      </c>
      <c r="D39" s="37" t="s">
        <v>113</v>
      </c>
      <c r="E39" s="37">
        <v>65453</v>
      </c>
      <c r="F39" s="37" t="s">
        <v>245</v>
      </c>
      <c r="G39" s="37" t="s">
        <v>104</v>
      </c>
      <c r="H39" s="37" t="s">
        <v>106</v>
      </c>
      <c r="I39" s="38"/>
      <c r="J39" s="37">
        <v>27498090</v>
      </c>
      <c r="K39" s="37" t="s">
        <v>127</v>
      </c>
      <c r="L39" s="37" t="str">
        <f>_xlfn.XLOOKUP(Tabla2__2[[#This Row],[CODIGO RUTA]],'DATA INFORME'!I:I,'DATA INFORME'!K:K)</f>
        <v>SI</v>
      </c>
      <c r="M39" s="37" t="str">
        <f>IF(Tabla2__2[[#This Row],[MYSTERY EFECTIVO]]="SI",_xlfn.XLOOKUP(Tabla2__2[[#This Row],[PREGUNTA]],ENCUESTA!G:G,ENCUESTA!D:D),"N/A")</f>
        <v>UNIFORME</v>
      </c>
      <c r="N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9" s="37" t="str">
        <f>_xlfn.XLOOKUP(Tabla2__2[[#This Row],[PREGUNTA]],ENCUESTA!G:G,ENCUESTA!H:H)</f>
        <v>NO</v>
      </c>
      <c r="P39" s="37">
        <f>IF(Tabla2__2[[#This Row],[RTA]]=Tabla2__2[[#This Row],[RTA CORRECTA]],Tabla2__2[[#This Row],[TOTAL PUNTAJE]],0)</f>
        <v>1.3636363636363635</v>
      </c>
      <c r="Q39" s="37">
        <f t="shared" si="0"/>
        <v>0</v>
      </c>
      <c r="R39" s="37"/>
    </row>
    <row r="40" spans="1:18" x14ac:dyDescent="0.25">
      <c r="A40" s="37" t="s">
        <v>107</v>
      </c>
      <c r="B40" s="37" t="s">
        <v>93</v>
      </c>
      <c r="C40" t="s">
        <v>14</v>
      </c>
      <c r="D40" s="37" t="s">
        <v>113</v>
      </c>
      <c r="E40" s="37">
        <v>65453</v>
      </c>
      <c r="F40" s="37" t="s">
        <v>245</v>
      </c>
      <c r="G40" s="37" t="s">
        <v>136</v>
      </c>
      <c r="H40" s="37" t="s">
        <v>20</v>
      </c>
      <c r="I40" s="38"/>
      <c r="J40" s="37">
        <v>27498090</v>
      </c>
      <c r="K40" s="37" t="s">
        <v>127</v>
      </c>
      <c r="L40" s="37" t="str">
        <f>_xlfn.XLOOKUP(Tabla2__2[[#This Row],[CODIGO RUTA]],'DATA INFORME'!I:I,'DATA INFORME'!K:K)</f>
        <v>SI</v>
      </c>
      <c r="M40" s="37" t="str">
        <f>IF(Tabla2__2[[#This Row],[MYSTERY EFECTIVO]]="SI",_xlfn.XLOOKUP(Tabla2__2[[#This Row],[PREGUNTA]],ENCUESTA!G:G,ENCUESTA!D:D),"N/A")</f>
        <v>ABORDAJE</v>
      </c>
      <c r="N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0" s="37" t="str">
        <f>_xlfn.XLOOKUP(Tabla2__2[[#This Row],[PREGUNTA]],ENCUESTA!G:G,ENCUESTA!H:H)</f>
        <v>SI</v>
      </c>
      <c r="P40" s="37">
        <f>IF(Tabla2__2[[#This Row],[RTA]]=Tabla2__2[[#This Row],[RTA CORRECTA]],Tabla2__2[[#This Row],[TOTAL PUNTAJE]],0)</f>
        <v>20</v>
      </c>
      <c r="Q40" s="37">
        <f t="shared" si="0"/>
        <v>0</v>
      </c>
      <c r="R40" s="37"/>
    </row>
    <row r="41" spans="1:18" x14ac:dyDescent="0.25">
      <c r="A41" s="37" t="s">
        <v>107</v>
      </c>
      <c r="B41" s="37" t="s">
        <v>93</v>
      </c>
      <c r="C41" t="s">
        <v>14</v>
      </c>
      <c r="D41" s="37" t="s">
        <v>113</v>
      </c>
      <c r="E41" s="37">
        <v>65453</v>
      </c>
      <c r="F41" s="37" t="s">
        <v>245</v>
      </c>
      <c r="G41" s="37" t="s">
        <v>137</v>
      </c>
      <c r="H41" s="37" t="s">
        <v>20</v>
      </c>
      <c r="I41" s="38"/>
      <c r="J41" s="37">
        <v>27498090</v>
      </c>
      <c r="K41" s="37" t="s">
        <v>127</v>
      </c>
      <c r="L41" s="37" t="str">
        <f>_xlfn.XLOOKUP(Tabla2__2[[#This Row],[CODIGO RUTA]],'DATA INFORME'!I:I,'DATA INFORME'!K:K)</f>
        <v>SI</v>
      </c>
      <c r="M41" s="37" t="str">
        <f>IF(Tabla2__2[[#This Row],[MYSTERY EFECTIVO]]="SI",_xlfn.XLOOKUP(Tabla2__2[[#This Row],[PREGUNTA]],ENCUESTA!G:G,ENCUESTA!D:D),"N/A")</f>
        <v>PORTAFOLIO Y MANEJO DE OBJECIONES</v>
      </c>
      <c r="N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1" s="37" t="str">
        <f>_xlfn.XLOOKUP(Tabla2__2[[#This Row],[PREGUNTA]],ENCUESTA!G:G,ENCUESTA!H:H)</f>
        <v>SI</v>
      </c>
      <c r="P41" s="37">
        <f>IF(Tabla2__2[[#This Row],[RTA]]=Tabla2__2[[#This Row],[RTA CORRECTA]],Tabla2__2[[#This Row],[TOTAL PUNTAJE]],0)</f>
        <v>1.5384615384615385</v>
      </c>
      <c r="Q41" s="37">
        <f t="shared" si="0"/>
        <v>0</v>
      </c>
      <c r="R41" s="37"/>
    </row>
    <row r="42" spans="1:18" x14ac:dyDescent="0.25">
      <c r="A42" s="37" t="s">
        <v>107</v>
      </c>
      <c r="B42" s="37" t="s">
        <v>93</v>
      </c>
      <c r="C42" t="s">
        <v>15</v>
      </c>
      <c r="D42" s="37" t="s">
        <v>96</v>
      </c>
      <c r="E42" s="37">
        <v>447964</v>
      </c>
      <c r="F42" s="37" t="s">
        <v>251</v>
      </c>
      <c r="G42" s="37" t="s">
        <v>97</v>
      </c>
      <c r="H42" s="37" t="s">
        <v>20</v>
      </c>
      <c r="I42" s="38"/>
      <c r="J42" s="37">
        <v>27521942</v>
      </c>
      <c r="K42" s="37" t="s">
        <v>127</v>
      </c>
      <c r="L42" s="37" t="str">
        <f>_xlfn.XLOOKUP(Tabla2__2[[#This Row],[CODIGO RUTA]],'DATA INFORME'!I:I,'DATA INFORME'!K:K)</f>
        <v>SI</v>
      </c>
      <c r="M42" s="37" t="str">
        <f>IF(Tabla2__2[[#This Row],[MYSTERY EFECTIVO]]="SI",_xlfn.XLOOKUP(Tabla2__2[[#This Row],[PREGUNTA]],ENCUESTA!G:G,ENCUESTA!D:D),"N/A")</f>
        <v>HORARIO</v>
      </c>
      <c r="N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2" s="37" t="str">
        <f>_xlfn.XLOOKUP(Tabla2__2[[#This Row],[PREGUNTA]],ENCUESTA!G:G,ENCUESTA!H:H)</f>
        <v>SI</v>
      </c>
      <c r="P42" s="37">
        <f>IF(Tabla2__2[[#This Row],[RTA]]=Tabla2__2[[#This Row],[RTA CORRECTA]],Tabla2__2[[#This Row],[TOTAL PUNTAJE]],0)</f>
        <v>20</v>
      </c>
      <c r="Q42" s="37">
        <f t="shared" si="0"/>
        <v>0</v>
      </c>
      <c r="R42" s="37"/>
    </row>
    <row r="43" spans="1:18" x14ac:dyDescent="0.25">
      <c r="A43" s="37" t="s">
        <v>107</v>
      </c>
      <c r="B43" s="37" t="s">
        <v>93</v>
      </c>
      <c r="C43" t="s">
        <v>14</v>
      </c>
      <c r="D43" s="37" t="s">
        <v>113</v>
      </c>
      <c r="E43" s="37">
        <v>65453</v>
      </c>
      <c r="F43" s="37" t="s">
        <v>245</v>
      </c>
      <c r="G43" s="37" t="s">
        <v>138</v>
      </c>
      <c r="H43" s="37" t="s">
        <v>20</v>
      </c>
      <c r="I43" s="38"/>
      <c r="J43" s="37">
        <v>27498090</v>
      </c>
      <c r="K43" s="37" t="s">
        <v>127</v>
      </c>
      <c r="L43" s="37" t="str">
        <f>_xlfn.XLOOKUP(Tabla2__2[[#This Row],[CODIGO RUTA]],'DATA INFORME'!I:I,'DATA INFORME'!K:K)</f>
        <v>SI</v>
      </c>
      <c r="M43" s="37" t="str">
        <f>IF(Tabla2__2[[#This Row],[MYSTERY EFECTIVO]]="SI",_xlfn.XLOOKUP(Tabla2__2[[#This Row],[PREGUNTA]],ENCUESTA!G:G,ENCUESTA!D:D),"N/A")</f>
        <v>PORTAFOLIO Y MANEJO DE OBJECIONES</v>
      </c>
      <c r="N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3" s="37" t="str">
        <f>_xlfn.XLOOKUP(Tabla2__2[[#This Row],[PREGUNTA]],ENCUESTA!G:G,ENCUESTA!H:H)</f>
        <v>SI</v>
      </c>
      <c r="P43" s="37">
        <f>IF(Tabla2__2[[#This Row],[RTA]]=Tabla2__2[[#This Row],[RTA CORRECTA]],Tabla2__2[[#This Row],[TOTAL PUNTAJE]],0)</f>
        <v>1.5384615384615385</v>
      </c>
      <c r="Q43" s="37">
        <f t="shared" si="0"/>
        <v>0</v>
      </c>
      <c r="R43" s="37"/>
    </row>
    <row r="44" spans="1:18" x14ac:dyDescent="0.25">
      <c r="A44" s="37" t="s">
        <v>107</v>
      </c>
      <c r="B44" s="37" t="s">
        <v>93</v>
      </c>
      <c r="C44" t="s">
        <v>14</v>
      </c>
      <c r="D44" s="37" t="s">
        <v>113</v>
      </c>
      <c r="E44" s="37">
        <v>65453</v>
      </c>
      <c r="F44" s="37" t="s">
        <v>245</v>
      </c>
      <c r="G44" s="37" t="s">
        <v>147</v>
      </c>
      <c r="H44" s="37" t="s">
        <v>20</v>
      </c>
      <c r="I44" s="38"/>
      <c r="J44" s="37">
        <v>27498090</v>
      </c>
      <c r="K44" s="37" t="s">
        <v>127</v>
      </c>
      <c r="L44" s="37" t="str">
        <f>_xlfn.XLOOKUP(Tabla2__2[[#This Row],[CODIGO RUTA]],'DATA INFORME'!I:I,'DATA INFORME'!K:K)</f>
        <v>SI</v>
      </c>
      <c r="M44" s="37" t="str">
        <f>IF(Tabla2__2[[#This Row],[MYSTERY EFECTIVO]]="SI",_xlfn.XLOOKUP(Tabla2__2[[#This Row],[PREGUNTA]],ENCUESTA!G:G,ENCUESTA!D:D),"N/A")</f>
        <v>PORTAFOLIO Y MANEJO DE OBJECIONES</v>
      </c>
      <c r="N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4" s="37" t="str">
        <f>_xlfn.XLOOKUP(Tabla2__2[[#This Row],[PREGUNTA]],ENCUESTA!G:G,ENCUESTA!H:H)</f>
        <v>SI</v>
      </c>
      <c r="P44" s="37">
        <f>IF(Tabla2__2[[#This Row],[RTA]]=Tabla2__2[[#This Row],[RTA CORRECTA]],Tabla2__2[[#This Row],[TOTAL PUNTAJE]],0)</f>
        <v>1.5384615384615385</v>
      </c>
      <c r="Q44" s="37">
        <f t="shared" si="0"/>
        <v>0</v>
      </c>
      <c r="R44" s="37"/>
    </row>
    <row r="45" spans="1:18" x14ac:dyDescent="0.25">
      <c r="A45" s="37" t="s">
        <v>107</v>
      </c>
      <c r="B45" s="37" t="s">
        <v>93</v>
      </c>
      <c r="C45" t="s">
        <v>14</v>
      </c>
      <c r="D45" s="37" t="s">
        <v>113</v>
      </c>
      <c r="E45" s="37">
        <v>65453</v>
      </c>
      <c r="F45" s="37" t="s">
        <v>245</v>
      </c>
      <c r="G45" s="37" t="s">
        <v>148</v>
      </c>
      <c r="H45" s="37" t="s">
        <v>20</v>
      </c>
      <c r="I45" s="38"/>
      <c r="J45" s="37">
        <v>27498090</v>
      </c>
      <c r="K45" s="37" t="s">
        <v>127</v>
      </c>
      <c r="L45" s="37" t="str">
        <f>_xlfn.XLOOKUP(Tabla2__2[[#This Row],[CODIGO RUTA]],'DATA INFORME'!I:I,'DATA INFORME'!K:K)</f>
        <v>SI</v>
      </c>
      <c r="M45" s="37" t="str">
        <f>IF(Tabla2__2[[#This Row],[MYSTERY EFECTIVO]]="SI",_xlfn.XLOOKUP(Tabla2__2[[#This Row],[PREGUNTA]],ENCUESTA!G:G,ENCUESTA!D:D),"N/A")</f>
        <v>PORTAFOLIO Y MANEJO DE OBJECIONES</v>
      </c>
      <c r="N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5" s="37" t="str">
        <f>_xlfn.XLOOKUP(Tabla2__2[[#This Row],[PREGUNTA]],ENCUESTA!G:G,ENCUESTA!H:H)</f>
        <v>SI</v>
      </c>
      <c r="P45" s="37">
        <f>IF(Tabla2__2[[#This Row],[RTA]]=Tabla2__2[[#This Row],[RTA CORRECTA]],Tabla2__2[[#This Row],[TOTAL PUNTAJE]],0)</f>
        <v>1.5384615384615385</v>
      </c>
      <c r="Q45" s="37">
        <f t="shared" si="0"/>
        <v>0</v>
      </c>
      <c r="R45" s="37"/>
    </row>
    <row r="46" spans="1:18" x14ac:dyDescent="0.25">
      <c r="A46" s="37" t="s">
        <v>107</v>
      </c>
      <c r="B46" s="37" t="s">
        <v>93</v>
      </c>
      <c r="C46" t="s">
        <v>14</v>
      </c>
      <c r="D46" s="37" t="s">
        <v>113</v>
      </c>
      <c r="E46" s="37">
        <v>65453</v>
      </c>
      <c r="F46" s="37" t="s">
        <v>245</v>
      </c>
      <c r="G46" s="37" t="s">
        <v>149</v>
      </c>
      <c r="H46" s="37" t="s">
        <v>20</v>
      </c>
      <c r="I46" s="38"/>
      <c r="J46" s="37">
        <v>27498090</v>
      </c>
      <c r="K46" s="37" t="s">
        <v>127</v>
      </c>
      <c r="L46" s="37" t="str">
        <f>_xlfn.XLOOKUP(Tabla2__2[[#This Row],[CODIGO RUTA]],'DATA INFORME'!I:I,'DATA INFORME'!K:K)</f>
        <v>SI</v>
      </c>
      <c r="M46" s="37" t="str">
        <f>IF(Tabla2__2[[#This Row],[MYSTERY EFECTIVO]]="SI",_xlfn.XLOOKUP(Tabla2__2[[#This Row],[PREGUNTA]],ENCUESTA!G:G,ENCUESTA!D:D),"N/A")</f>
        <v>PORTAFOLIO Y MANEJO DE OBJECIONES</v>
      </c>
      <c r="N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6" s="37" t="str">
        <f>_xlfn.XLOOKUP(Tabla2__2[[#This Row],[PREGUNTA]],ENCUESTA!G:G,ENCUESTA!H:H)</f>
        <v>SI</v>
      </c>
      <c r="P46" s="37">
        <f>IF(Tabla2__2[[#This Row],[RTA]]=Tabla2__2[[#This Row],[RTA CORRECTA]],Tabla2__2[[#This Row],[TOTAL PUNTAJE]],0)</f>
        <v>1.5384615384615385</v>
      </c>
      <c r="Q46" s="37">
        <f t="shared" si="0"/>
        <v>0</v>
      </c>
      <c r="R46" s="37"/>
    </row>
    <row r="47" spans="1:18" x14ac:dyDescent="0.25">
      <c r="A47" s="37" t="s">
        <v>107</v>
      </c>
      <c r="B47" s="37" t="s">
        <v>93</v>
      </c>
      <c r="C47" t="s">
        <v>14</v>
      </c>
      <c r="D47" s="37" t="s">
        <v>113</v>
      </c>
      <c r="E47" s="37">
        <v>65453</v>
      </c>
      <c r="F47" s="37" t="s">
        <v>245</v>
      </c>
      <c r="G47" s="37" t="s">
        <v>150</v>
      </c>
      <c r="H47" s="37" t="s">
        <v>20</v>
      </c>
      <c r="I47" s="38"/>
      <c r="J47" s="37">
        <v>27498090</v>
      </c>
      <c r="K47" s="37" t="s">
        <v>127</v>
      </c>
      <c r="L47" s="37" t="str">
        <f>_xlfn.XLOOKUP(Tabla2__2[[#This Row],[CODIGO RUTA]],'DATA INFORME'!I:I,'DATA INFORME'!K:K)</f>
        <v>SI</v>
      </c>
      <c r="M47" s="37" t="str">
        <f>IF(Tabla2__2[[#This Row],[MYSTERY EFECTIVO]]="SI",_xlfn.XLOOKUP(Tabla2__2[[#This Row],[PREGUNTA]],ENCUESTA!G:G,ENCUESTA!D:D),"N/A")</f>
        <v>PORTAFOLIO Y MANEJO DE OBJECIONES</v>
      </c>
      <c r="N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7" s="37" t="str">
        <f>_xlfn.XLOOKUP(Tabla2__2[[#This Row],[PREGUNTA]],ENCUESTA!G:G,ENCUESTA!H:H)</f>
        <v>SI</v>
      </c>
      <c r="P47" s="37">
        <f>IF(Tabla2__2[[#This Row],[RTA]]=Tabla2__2[[#This Row],[RTA CORRECTA]],Tabla2__2[[#This Row],[TOTAL PUNTAJE]],0)</f>
        <v>1.5384615384615385</v>
      </c>
      <c r="Q47" s="37">
        <f t="shared" si="0"/>
        <v>0</v>
      </c>
      <c r="R47" s="37"/>
    </row>
    <row r="48" spans="1:18" x14ac:dyDescent="0.25">
      <c r="A48" s="37" t="s">
        <v>107</v>
      </c>
      <c r="B48" s="37" t="s">
        <v>93</v>
      </c>
      <c r="C48" t="s">
        <v>14</v>
      </c>
      <c r="D48" s="37" t="s">
        <v>113</v>
      </c>
      <c r="E48" s="37">
        <v>65453</v>
      </c>
      <c r="F48" s="37" t="s">
        <v>245</v>
      </c>
      <c r="G48" s="37" t="s">
        <v>151</v>
      </c>
      <c r="H48" s="37" t="s">
        <v>20</v>
      </c>
      <c r="I48" s="38"/>
      <c r="J48" s="37">
        <v>27498090</v>
      </c>
      <c r="K48" s="37" t="s">
        <v>127</v>
      </c>
      <c r="L48" s="37" t="str">
        <f>_xlfn.XLOOKUP(Tabla2__2[[#This Row],[CODIGO RUTA]],'DATA INFORME'!I:I,'DATA INFORME'!K:K)</f>
        <v>SI</v>
      </c>
      <c r="M48" s="37" t="str">
        <f>IF(Tabla2__2[[#This Row],[MYSTERY EFECTIVO]]="SI",_xlfn.XLOOKUP(Tabla2__2[[#This Row],[PREGUNTA]],ENCUESTA!G:G,ENCUESTA!D:D),"N/A")</f>
        <v>ACTIVIDADES DEL MES</v>
      </c>
      <c r="N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8" s="37" t="str">
        <f>_xlfn.XLOOKUP(Tabla2__2[[#This Row],[PREGUNTA]],ENCUESTA!G:G,ENCUESTA!H:H)</f>
        <v>SI</v>
      </c>
      <c r="P48" s="37">
        <f>IF(Tabla2__2[[#This Row],[RTA]]=Tabla2__2[[#This Row],[RTA CORRECTA]],Tabla2__2[[#This Row],[TOTAL PUNTAJE]],0)</f>
        <v>5</v>
      </c>
      <c r="Q48" s="37">
        <f t="shared" si="0"/>
        <v>0</v>
      </c>
      <c r="R48" s="37"/>
    </row>
    <row r="49" spans="1:18" x14ac:dyDescent="0.25">
      <c r="A49" s="37" t="s">
        <v>107</v>
      </c>
      <c r="B49" s="37" t="s">
        <v>93</v>
      </c>
      <c r="C49" t="s">
        <v>14</v>
      </c>
      <c r="D49" s="37" t="s">
        <v>113</v>
      </c>
      <c r="E49" s="37">
        <v>65453</v>
      </c>
      <c r="F49" s="37" t="s">
        <v>245</v>
      </c>
      <c r="G49" s="37" t="s">
        <v>152</v>
      </c>
      <c r="H49" s="37" t="s">
        <v>170</v>
      </c>
      <c r="I49" s="38"/>
      <c r="J49" s="37">
        <v>27498090</v>
      </c>
      <c r="K49" s="37" t="s">
        <v>127</v>
      </c>
      <c r="L49" s="37" t="str">
        <f>_xlfn.XLOOKUP(Tabla2__2[[#This Row],[CODIGO RUTA]],'DATA INFORME'!I:I,'DATA INFORME'!K:K)</f>
        <v>SI</v>
      </c>
      <c r="M49" s="37" t="str">
        <f>IF(Tabla2__2[[#This Row],[MYSTERY EFECTIVO]]="SI",_xlfn.XLOOKUP(Tabla2__2[[#This Row],[PREGUNTA]],ENCUESTA!G:G,ENCUESTA!D:D),"N/A")</f>
        <v>N/A</v>
      </c>
      <c r="N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 s="37" t="str">
        <f>_xlfn.XLOOKUP(Tabla2__2[[#This Row],[PREGUNTA]],ENCUESTA!G:G,ENCUESTA!H:H)</f>
        <v>FALTA DE PRODUCTO, NO LE INTERESA EL PRODUCTO, NO TIENE DINERO, PREFIERE LA COMPETENCIA</v>
      </c>
      <c r="P49" s="37">
        <f>IF(Tabla2__2[[#This Row],[RTA]]=Tabla2__2[[#This Row],[RTA CORRECTA]],Tabla2__2[[#This Row],[TOTAL PUNTAJE]],0)</f>
        <v>0</v>
      </c>
      <c r="Q49" s="37">
        <f t="shared" si="0"/>
        <v>0</v>
      </c>
      <c r="R49" s="37"/>
    </row>
    <row r="50" spans="1:18" x14ac:dyDescent="0.25">
      <c r="A50" s="37" t="s">
        <v>107</v>
      </c>
      <c r="B50" s="37" t="s">
        <v>93</v>
      </c>
      <c r="C50" t="s">
        <v>14</v>
      </c>
      <c r="D50" s="37" t="s">
        <v>113</v>
      </c>
      <c r="E50" s="37">
        <v>65453</v>
      </c>
      <c r="F50" s="37" t="s">
        <v>245</v>
      </c>
      <c r="G50" s="37" t="s">
        <v>153</v>
      </c>
      <c r="H50" s="37" t="s">
        <v>20</v>
      </c>
      <c r="I50" s="38"/>
      <c r="J50" s="37">
        <v>27498090</v>
      </c>
      <c r="K50" s="37" t="s">
        <v>127</v>
      </c>
      <c r="L50" s="37" t="str">
        <f>_xlfn.XLOOKUP(Tabla2__2[[#This Row],[CODIGO RUTA]],'DATA INFORME'!I:I,'DATA INFORME'!K:K)</f>
        <v>SI</v>
      </c>
      <c r="M50" s="37" t="str">
        <f>IF(Tabla2__2[[#This Row],[MYSTERY EFECTIVO]]="SI",_xlfn.XLOOKUP(Tabla2__2[[#This Row],[PREGUNTA]],ENCUESTA!G:G,ENCUESTA!D:D),"N/A")</f>
        <v>PORTAFOLIO Y MANEJO DE OBJECIONES</v>
      </c>
      <c r="N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50" s="37" t="str">
        <f>_xlfn.XLOOKUP(Tabla2__2[[#This Row],[PREGUNTA]],ENCUESTA!G:G,ENCUESTA!H:H)</f>
        <v>SI</v>
      </c>
      <c r="P50" s="37">
        <f>IF(Tabla2__2[[#This Row],[RTA]]=Tabla2__2[[#This Row],[RTA CORRECTA]],Tabla2__2[[#This Row],[TOTAL PUNTAJE]],0)</f>
        <v>1.5384615384615385</v>
      </c>
      <c r="Q50" s="37">
        <f t="shared" si="0"/>
        <v>0</v>
      </c>
      <c r="R50" s="37"/>
    </row>
    <row r="51" spans="1:18" x14ac:dyDescent="0.25">
      <c r="A51" s="37" t="s">
        <v>107</v>
      </c>
      <c r="B51" s="37" t="s">
        <v>93</v>
      </c>
      <c r="C51" t="s">
        <v>14</v>
      </c>
      <c r="D51" s="37" t="s">
        <v>113</v>
      </c>
      <c r="E51" s="37">
        <v>65453</v>
      </c>
      <c r="F51" s="37" t="s">
        <v>245</v>
      </c>
      <c r="G51" s="37" t="s">
        <v>154</v>
      </c>
      <c r="H51" s="37" t="s">
        <v>20</v>
      </c>
      <c r="I51" s="38"/>
      <c r="J51" s="37">
        <v>27498090</v>
      </c>
      <c r="K51" s="37" t="s">
        <v>127</v>
      </c>
      <c r="L51" s="37" t="str">
        <f>_xlfn.XLOOKUP(Tabla2__2[[#This Row],[CODIGO RUTA]],'DATA INFORME'!I:I,'DATA INFORME'!K:K)</f>
        <v>SI</v>
      </c>
      <c r="M51" s="37" t="str">
        <f>IF(Tabla2__2[[#This Row],[MYSTERY EFECTIVO]]="SI",_xlfn.XLOOKUP(Tabla2__2[[#This Row],[PREGUNTA]],ENCUESTA!G:G,ENCUESTA!D:D),"N/A")</f>
        <v>UNIFORME</v>
      </c>
      <c r="N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51" s="37" t="str">
        <f>_xlfn.XLOOKUP(Tabla2__2[[#This Row],[PREGUNTA]],ENCUESTA!G:G,ENCUESTA!H:H)</f>
        <v>SI</v>
      </c>
      <c r="P51" s="37">
        <f>IF(Tabla2__2[[#This Row],[RTA]]=Tabla2__2[[#This Row],[RTA CORRECTA]],Tabla2__2[[#This Row],[TOTAL PUNTAJE]],0)</f>
        <v>1.3636363636363635</v>
      </c>
      <c r="Q51" s="37">
        <f t="shared" si="0"/>
        <v>0</v>
      </c>
      <c r="R51" s="37"/>
    </row>
    <row r="52" spans="1:18" x14ac:dyDescent="0.25">
      <c r="A52" s="37" t="s">
        <v>107</v>
      </c>
      <c r="B52" s="37" t="s">
        <v>93</v>
      </c>
      <c r="C52" t="s">
        <v>14</v>
      </c>
      <c r="D52" s="37" t="s">
        <v>113</v>
      </c>
      <c r="E52" s="37">
        <v>65453</v>
      </c>
      <c r="F52" s="37" t="s">
        <v>245</v>
      </c>
      <c r="G52" s="37" t="s">
        <v>155</v>
      </c>
      <c r="H52" s="37" t="s">
        <v>20</v>
      </c>
      <c r="I52" s="38"/>
      <c r="J52" s="37">
        <v>27498090</v>
      </c>
      <c r="K52" s="37" t="s">
        <v>127</v>
      </c>
      <c r="L52" s="37" t="str">
        <f>_xlfn.XLOOKUP(Tabla2__2[[#This Row],[CODIGO RUTA]],'DATA INFORME'!I:I,'DATA INFORME'!K:K)</f>
        <v>SI</v>
      </c>
      <c r="M52" s="37" t="str">
        <f>IF(Tabla2__2[[#This Row],[MYSTERY EFECTIVO]]="SI",_xlfn.XLOOKUP(Tabla2__2[[#This Row],[PREGUNTA]],ENCUESTA!G:G,ENCUESTA!D:D),"N/A")</f>
        <v>LABOR DE VENTA</v>
      </c>
      <c r="N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52" s="37" t="str">
        <f>_xlfn.XLOOKUP(Tabla2__2[[#This Row],[PREGUNTA]],ENCUESTA!G:G,ENCUESTA!H:H)</f>
        <v>SI</v>
      </c>
      <c r="P52" s="37">
        <f>IF(Tabla2__2[[#This Row],[RTA]]=Tabla2__2[[#This Row],[RTA CORRECTA]],Tabla2__2[[#This Row],[TOTAL PUNTAJE]],0)</f>
        <v>7.5</v>
      </c>
      <c r="Q52" s="37">
        <f t="shared" si="0"/>
        <v>0</v>
      </c>
      <c r="R52" s="37"/>
    </row>
    <row r="53" spans="1:18" x14ac:dyDescent="0.25">
      <c r="A53" s="37" t="s">
        <v>107</v>
      </c>
      <c r="B53" s="37" t="s">
        <v>93</v>
      </c>
      <c r="C53" t="s">
        <v>14</v>
      </c>
      <c r="D53" s="37" t="s">
        <v>113</v>
      </c>
      <c r="E53" s="37">
        <v>65453</v>
      </c>
      <c r="F53" s="37" t="s">
        <v>245</v>
      </c>
      <c r="G53" s="37" t="s">
        <v>156</v>
      </c>
      <c r="H53" s="37" t="s">
        <v>20</v>
      </c>
      <c r="I53" s="38"/>
      <c r="J53" s="37">
        <v>27498090</v>
      </c>
      <c r="K53" s="37" t="s">
        <v>127</v>
      </c>
      <c r="L53" s="37" t="str">
        <f>_xlfn.XLOOKUP(Tabla2__2[[#This Row],[CODIGO RUTA]],'DATA INFORME'!I:I,'DATA INFORME'!K:K)</f>
        <v>SI</v>
      </c>
      <c r="M53" s="37" t="str">
        <f>IF(Tabla2__2[[#This Row],[MYSTERY EFECTIVO]]="SI",_xlfn.XLOOKUP(Tabla2__2[[#This Row],[PREGUNTA]],ENCUESTA!G:G,ENCUESTA!D:D),"N/A")</f>
        <v>LABOR DE VENTA</v>
      </c>
      <c r="N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53" s="37" t="str">
        <f>_xlfn.XLOOKUP(Tabla2__2[[#This Row],[PREGUNTA]],ENCUESTA!G:G,ENCUESTA!H:H)</f>
        <v>SI</v>
      </c>
      <c r="P53" s="37">
        <f>IF(Tabla2__2[[#This Row],[RTA]]=Tabla2__2[[#This Row],[RTA CORRECTA]],Tabla2__2[[#This Row],[TOTAL PUNTAJE]],0)</f>
        <v>7.5</v>
      </c>
      <c r="Q53" s="37">
        <f t="shared" si="0"/>
        <v>0</v>
      </c>
      <c r="R53" s="37"/>
    </row>
    <row r="54" spans="1:18" x14ac:dyDescent="0.25">
      <c r="A54" s="37" t="s">
        <v>107</v>
      </c>
      <c r="B54" s="37" t="s">
        <v>93</v>
      </c>
      <c r="C54" t="s">
        <v>14</v>
      </c>
      <c r="D54" s="37" t="s">
        <v>113</v>
      </c>
      <c r="E54" s="37">
        <v>65453</v>
      </c>
      <c r="F54" s="37" t="s">
        <v>245</v>
      </c>
      <c r="G54" s="37" t="s">
        <v>157</v>
      </c>
      <c r="H54" s="37" t="s">
        <v>106</v>
      </c>
      <c r="I54" s="38"/>
      <c r="J54" s="37">
        <v>27498090</v>
      </c>
      <c r="K54" s="37" t="s">
        <v>127</v>
      </c>
      <c r="L54" s="37" t="str">
        <f>_xlfn.XLOOKUP(Tabla2__2[[#This Row],[CODIGO RUTA]],'DATA INFORME'!I:I,'DATA INFORME'!K:K)</f>
        <v>SI</v>
      </c>
      <c r="M54" s="37" t="str">
        <f>IF(Tabla2__2[[#This Row],[MYSTERY EFECTIVO]]="SI",_xlfn.XLOOKUP(Tabla2__2[[#This Row],[PREGUNTA]],ENCUESTA!G:G,ENCUESTA!D:D),"N/A")</f>
        <v>N/A</v>
      </c>
      <c r="N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4" s="37">
        <f>_xlfn.XLOOKUP(Tabla2__2[[#This Row],[PREGUNTA]],ENCUESTA!G:G,ENCUESTA!H:H)</f>
        <v>0</v>
      </c>
      <c r="P54" s="37">
        <f>IF(Tabla2__2[[#This Row],[RTA]]=Tabla2__2[[#This Row],[RTA CORRECTA]],Tabla2__2[[#This Row],[TOTAL PUNTAJE]],0)</f>
        <v>0</v>
      </c>
      <c r="Q54" s="37">
        <f t="shared" si="0"/>
        <v>0</v>
      </c>
      <c r="R54" s="37"/>
    </row>
    <row r="55" spans="1:18" x14ac:dyDescent="0.25">
      <c r="A55" s="37" t="s">
        <v>107</v>
      </c>
      <c r="B55" s="37" t="s">
        <v>93</v>
      </c>
      <c r="C55" t="s">
        <v>14</v>
      </c>
      <c r="D55" s="37" t="s">
        <v>113</v>
      </c>
      <c r="E55" s="37">
        <v>65453</v>
      </c>
      <c r="F55" s="37" t="s">
        <v>245</v>
      </c>
      <c r="G55" s="37" t="s">
        <v>139</v>
      </c>
      <c r="H55" s="37" t="s">
        <v>169</v>
      </c>
      <c r="I55" s="38"/>
      <c r="J55" s="37">
        <v>27498090</v>
      </c>
      <c r="K55" s="37" t="s">
        <v>127</v>
      </c>
      <c r="L55" s="37" t="str">
        <f>_xlfn.XLOOKUP(Tabla2__2[[#This Row],[CODIGO RUTA]],'DATA INFORME'!I:I,'DATA INFORME'!K:K)</f>
        <v>SI</v>
      </c>
      <c r="M55" s="37" t="str">
        <f>IF(Tabla2__2[[#This Row],[MYSTERY EFECTIVO]]="SI",_xlfn.XLOOKUP(Tabla2__2[[#This Row],[PREGUNTA]],ENCUESTA!G:G,ENCUESTA!D:D),"N/A")</f>
        <v>N/A</v>
      </c>
      <c r="N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5" s="37" t="str">
        <f>_xlfn.XLOOKUP(Tabla2__2[[#This Row],[PREGUNTA]],ENCUESTA!G:G,ENCUESTA!H:H)</f>
        <v>MODERNO, ESPECIALIZADO</v>
      </c>
      <c r="P55" s="37">
        <f>IF(Tabla2__2[[#This Row],[RTA]]=Tabla2__2[[#This Row],[RTA CORRECTA]],Tabla2__2[[#This Row],[TOTAL PUNTAJE]],0)</f>
        <v>0</v>
      </c>
      <c r="Q55" s="37">
        <f t="shared" si="0"/>
        <v>0</v>
      </c>
      <c r="R55" s="37"/>
    </row>
    <row r="56" spans="1:18" x14ac:dyDescent="0.25">
      <c r="A56" s="37" t="s">
        <v>107</v>
      </c>
      <c r="B56" s="37" t="s">
        <v>93</v>
      </c>
      <c r="C56" t="s">
        <v>15</v>
      </c>
      <c r="D56" s="37" t="s">
        <v>96</v>
      </c>
      <c r="E56" s="37">
        <v>447964</v>
      </c>
      <c r="F56" s="37" t="s">
        <v>251</v>
      </c>
      <c r="G56" s="37" t="s">
        <v>133</v>
      </c>
      <c r="H56" s="37" t="s">
        <v>20</v>
      </c>
      <c r="I56" s="38"/>
      <c r="J56" s="37">
        <v>27521942</v>
      </c>
      <c r="K56" s="37" t="s">
        <v>127</v>
      </c>
      <c r="L56" s="37" t="str">
        <f>_xlfn.XLOOKUP(Tabla2__2[[#This Row],[CODIGO RUTA]],'DATA INFORME'!I:I,'DATA INFORME'!K:K)</f>
        <v>SI</v>
      </c>
      <c r="M56" s="37" t="str">
        <f>IF(Tabla2__2[[#This Row],[MYSTERY EFECTIVO]]="SI",_xlfn.XLOOKUP(Tabla2__2[[#This Row],[PREGUNTA]],ENCUESTA!G:G,ENCUESTA!D:D),"N/A")</f>
        <v>N/A</v>
      </c>
      <c r="N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6" s="37">
        <f>_xlfn.XLOOKUP(Tabla2__2[[#This Row],[PREGUNTA]],ENCUESTA!G:G,ENCUESTA!H:H)</f>
        <v>0</v>
      </c>
      <c r="P56" s="37">
        <f>IF(Tabla2__2[[#This Row],[RTA]]=Tabla2__2[[#This Row],[RTA CORRECTA]],Tabla2__2[[#This Row],[TOTAL PUNTAJE]],0)</f>
        <v>0</v>
      </c>
      <c r="Q56" s="37">
        <f t="shared" si="0"/>
        <v>0</v>
      </c>
      <c r="R56" s="37"/>
    </row>
    <row r="57" spans="1:18" x14ac:dyDescent="0.25">
      <c r="A57" s="37" t="s">
        <v>107</v>
      </c>
      <c r="B57" s="37" t="s">
        <v>8</v>
      </c>
      <c r="C57" t="s">
        <v>14</v>
      </c>
      <c r="D57" s="37" t="s">
        <v>161</v>
      </c>
      <c r="E57" s="37">
        <v>355955</v>
      </c>
      <c r="F57" s="37" t="s">
        <v>163</v>
      </c>
      <c r="G57" s="37" t="s">
        <v>133</v>
      </c>
      <c r="H57" s="37" t="s">
        <v>20</v>
      </c>
      <c r="I57" s="38"/>
      <c r="J57" s="37">
        <v>27420844</v>
      </c>
      <c r="K57" s="37" t="s">
        <v>110</v>
      </c>
      <c r="L57" s="37" t="str">
        <f>_xlfn.XLOOKUP(Tabla2__2[[#This Row],[CODIGO RUTA]],'DATA INFORME'!I:I,'DATA INFORME'!K:K)</f>
        <v>SI</v>
      </c>
      <c r="M57" s="37" t="str">
        <f>IF(Tabla2__2[[#This Row],[MYSTERY EFECTIVO]]="SI",_xlfn.XLOOKUP(Tabla2__2[[#This Row],[PREGUNTA]],ENCUESTA!G:G,ENCUESTA!D:D),"N/A")</f>
        <v>N/A</v>
      </c>
      <c r="N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7" s="37">
        <f>_xlfn.XLOOKUP(Tabla2__2[[#This Row],[PREGUNTA]],ENCUESTA!G:G,ENCUESTA!H:H)</f>
        <v>0</v>
      </c>
      <c r="P57" s="37">
        <f>IF(Tabla2__2[[#This Row],[RTA]]=Tabla2__2[[#This Row],[RTA CORRECTA]],Tabla2__2[[#This Row],[TOTAL PUNTAJE]],0)</f>
        <v>0</v>
      </c>
      <c r="Q57" s="37">
        <f t="shared" si="0"/>
        <v>0</v>
      </c>
      <c r="R57" s="37"/>
    </row>
    <row r="58" spans="1:18" x14ac:dyDescent="0.25">
      <c r="A58" s="37" t="s">
        <v>107</v>
      </c>
      <c r="B58" s="37" t="s">
        <v>93</v>
      </c>
      <c r="C58" t="s">
        <v>15</v>
      </c>
      <c r="D58" s="37" t="s">
        <v>96</v>
      </c>
      <c r="E58" s="37">
        <v>447964</v>
      </c>
      <c r="F58" s="37" t="s">
        <v>251</v>
      </c>
      <c r="G58" s="37" t="s">
        <v>98</v>
      </c>
      <c r="H58" s="37" t="s">
        <v>20</v>
      </c>
      <c r="I58" s="38"/>
      <c r="J58" s="37">
        <v>27521942</v>
      </c>
      <c r="K58" s="37" t="s">
        <v>127</v>
      </c>
      <c r="L58" s="37" t="str">
        <f>_xlfn.XLOOKUP(Tabla2__2[[#This Row],[CODIGO RUTA]],'DATA INFORME'!I:I,'DATA INFORME'!K:K)</f>
        <v>SI</v>
      </c>
      <c r="M58" s="37" t="str">
        <f>IF(Tabla2__2[[#This Row],[MYSTERY EFECTIVO]]="SI",_xlfn.XLOOKUP(Tabla2__2[[#This Row],[PREGUNTA]],ENCUESTA!G:G,ENCUESTA!D:D),"N/A")</f>
        <v>UNIFORME</v>
      </c>
      <c r="N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58" s="37" t="str">
        <f>_xlfn.XLOOKUP(Tabla2__2[[#This Row],[PREGUNTA]],ENCUESTA!G:G,ENCUESTA!H:H)</f>
        <v>SI</v>
      </c>
      <c r="P58" s="37">
        <f>IF(Tabla2__2[[#This Row],[RTA]]=Tabla2__2[[#This Row],[RTA CORRECTA]],Tabla2__2[[#This Row],[TOTAL PUNTAJE]],0)</f>
        <v>1.3636363636363635</v>
      </c>
      <c r="Q58" s="37">
        <f t="shared" si="0"/>
        <v>0</v>
      </c>
      <c r="R58" s="37"/>
    </row>
    <row r="59" spans="1:18" x14ac:dyDescent="0.25">
      <c r="A59" s="37" t="s">
        <v>107</v>
      </c>
      <c r="B59" s="37" t="s">
        <v>93</v>
      </c>
      <c r="C59" t="s">
        <v>15</v>
      </c>
      <c r="D59" s="37" t="s">
        <v>96</v>
      </c>
      <c r="E59" s="37">
        <v>447964</v>
      </c>
      <c r="F59" s="37" t="s">
        <v>251</v>
      </c>
      <c r="G59" s="37" t="s">
        <v>157</v>
      </c>
      <c r="H59" s="37" t="s">
        <v>106</v>
      </c>
      <c r="I59" s="38"/>
      <c r="J59" s="37">
        <v>27521942</v>
      </c>
      <c r="K59" s="37" t="s">
        <v>127</v>
      </c>
      <c r="L59" s="37" t="str">
        <f>_xlfn.XLOOKUP(Tabla2__2[[#This Row],[CODIGO RUTA]],'DATA INFORME'!I:I,'DATA INFORME'!K:K)</f>
        <v>SI</v>
      </c>
      <c r="M59" s="37" t="str">
        <f>IF(Tabla2__2[[#This Row],[MYSTERY EFECTIVO]]="SI",_xlfn.XLOOKUP(Tabla2__2[[#This Row],[PREGUNTA]],ENCUESTA!G:G,ENCUESTA!D:D),"N/A")</f>
        <v>N/A</v>
      </c>
      <c r="N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9" s="37">
        <f>_xlfn.XLOOKUP(Tabla2__2[[#This Row],[PREGUNTA]],ENCUESTA!G:G,ENCUESTA!H:H)</f>
        <v>0</v>
      </c>
      <c r="P59" s="37">
        <f>IF(Tabla2__2[[#This Row],[RTA]]=Tabla2__2[[#This Row],[RTA CORRECTA]],Tabla2__2[[#This Row],[TOTAL PUNTAJE]],0)</f>
        <v>0</v>
      </c>
      <c r="Q59" s="37">
        <f t="shared" si="0"/>
        <v>0</v>
      </c>
      <c r="R59" s="37"/>
    </row>
    <row r="60" spans="1:18" x14ac:dyDescent="0.25">
      <c r="A60" s="37" t="s">
        <v>107</v>
      </c>
      <c r="B60" s="37" t="s">
        <v>93</v>
      </c>
      <c r="C60" t="s">
        <v>15</v>
      </c>
      <c r="D60" s="37" t="s">
        <v>96</v>
      </c>
      <c r="E60" s="37">
        <v>447964</v>
      </c>
      <c r="F60" s="37" t="s">
        <v>251</v>
      </c>
      <c r="G60" s="37" t="s">
        <v>156</v>
      </c>
      <c r="H60" s="37" t="s">
        <v>20</v>
      </c>
      <c r="I60" s="38"/>
      <c r="J60" s="37">
        <v>27521942</v>
      </c>
      <c r="K60" s="37" t="s">
        <v>127</v>
      </c>
      <c r="L60" s="37" t="str">
        <f>_xlfn.XLOOKUP(Tabla2__2[[#This Row],[CODIGO RUTA]],'DATA INFORME'!I:I,'DATA INFORME'!K:K)</f>
        <v>SI</v>
      </c>
      <c r="M60" s="37" t="str">
        <f>IF(Tabla2__2[[#This Row],[MYSTERY EFECTIVO]]="SI",_xlfn.XLOOKUP(Tabla2__2[[#This Row],[PREGUNTA]],ENCUESTA!G:G,ENCUESTA!D:D),"N/A")</f>
        <v>LABOR DE VENTA</v>
      </c>
      <c r="N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60" s="37" t="str">
        <f>_xlfn.XLOOKUP(Tabla2__2[[#This Row],[PREGUNTA]],ENCUESTA!G:G,ENCUESTA!H:H)</f>
        <v>SI</v>
      </c>
      <c r="P60" s="37">
        <f>IF(Tabla2__2[[#This Row],[RTA]]=Tabla2__2[[#This Row],[RTA CORRECTA]],Tabla2__2[[#This Row],[TOTAL PUNTAJE]],0)</f>
        <v>7.5</v>
      </c>
      <c r="Q60" s="37">
        <f t="shared" si="0"/>
        <v>0</v>
      </c>
      <c r="R60" s="37"/>
    </row>
    <row r="61" spans="1:18" x14ac:dyDescent="0.25">
      <c r="A61" s="37" t="s">
        <v>107</v>
      </c>
      <c r="B61" s="37" t="s">
        <v>93</v>
      </c>
      <c r="C61" t="s">
        <v>15</v>
      </c>
      <c r="D61" s="37" t="s">
        <v>96</v>
      </c>
      <c r="E61" s="37">
        <v>447964</v>
      </c>
      <c r="F61" s="37" t="s">
        <v>251</v>
      </c>
      <c r="G61" s="37" t="s">
        <v>155</v>
      </c>
      <c r="H61" s="37" t="s">
        <v>20</v>
      </c>
      <c r="I61" s="38"/>
      <c r="J61" s="37">
        <v>27521942</v>
      </c>
      <c r="K61" s="37" t="s">
        <v>127</v>
      </c>
      <c r="L61" s="37" t="str">
        <f>_xlfn.XLOOKUP(Tabla2__2[[#This Row],[CODIGO RUTA]],'DATA INFORME'!I:I,'DATA INFORME'!K:K)</f>
        <v>SI</v>
      </c>
      <c r="M61" s="37" t="str">
        <f>IF(Tabla2__2[[#This Row],[MYSTERY EFECTIVO]]="SI",_xlfn.XLOOKUP(Tabla2__2[[#This Row],[PREGUNTA]],ENCUESTA!G:G,ENCUESTA!D:D),"N/A")</f>
        <v>LABOR DE VENTA</v>
      </c>
      <c r="N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61" s="37" t="str">
        <f>_xlfn.XLOOKUP(Tabla2__2[[#This Row],[PREGUNTA]],ENCUESTA!G:G,ENCUESTA!H:H)</f>
        <v>SI</v>
      </c>
      <c r="P61" s="37">
        <f>IF(Tabla2__2[[#This Row],[RTA]]=Tabla2__2[[#This Row],[RTA CORRECTA]],Tabla2__2[[#This Row],[TOTAL PUNTAJE]],0)</f>
        <v>7.5</v>
      </c>
      <c r="Q61" s="37">
        <f t="shared" si="0"/>
        <v>0</v>
      </c>
      <c r="R61" s="37"/>
    </row>
    <row r="62" spans="1:18" x14ac:dyDescent="0.25">
      <c r="A62" s="37" t="s">
        <v>107</v>
      </c>
      <c r="B62" s="37" t="s">
        <v>93</v>
      </c>
      <c r="C62" t="s">
        <v>15</v>
      </c>
      <c r="D62" s="37" t="s">
        <v>96</v>
      </c>
      <c r="E62" s="37">
        <v>447964</v>
      </c>
      <c r="F62" s="37" t="s">
        <v>251</v>
      </c>
      <c r="G62" s="37" t="s">
        <v>154</v>
      </c>
      <c r="H62" s="37" t="s">
        <v>20</v>
      </c>
      <c r="I62" s="38"/>
      <c r="J62" s="37">
        <v>27521942</v>
      </c>
      <c r="K62" s="37" t="s">
        <v>127</v>
      </c>
      <c r="L62" s="37" t="str">
        <f>_xlfn.XLOOKUP(Tabla2__2[[#This Row],[CODIGO RUTA]],'DATA INFORME'!I:I,'DATA INFORME'!K:K)</f>
        <v>SI</v>
      </c>
      <c r="M62" s="37" t="str">
        <f>IF(Tabla2__2[[#This Row],[MYSTERY EFECTIVO]]="SI",_xlfn.XLOOKUP(Tabla2__2[[#This Row],[PREGUNTA]],ENCUESTA!G:G,ENCUESTA!D:D),"N/A")</f>
        <v>UNIFORME</v>
      </c>
      <c r="N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62" s="37" t="str">
        <f>_xlfn.XLOOKUP(Tabla2__2[[#This Row],[PREGUNTA]],ENCUESTA!G:G,ENCUESTA!H:H)</f>
        <v>SI</v>
      </c>
      <c r="P62" s="37">
        <f>IF(Tabla2__2[[#This Row],[RTA]]=Tabla2__2[[#This Row],[RTA CORRECTA]],Tabla2__2[[#This Row],[TOTAL PUNTAJE]],0)</f>
        <v>1.3636363636363635</v>
      </c>
      <c r="Q62" s="37">
        <f t="shared" si="0"/>
        <v>0</v>
      </c>
      <c r="R62" s="37"/>
    </row>
    <row r="63" spans="1:18" x14ac:dyDescent="0.25">
      <c r="A63" s="37" t="s">
        <v>107</v>
      </c>
      <c r="B63" s="37" t="s">
        <v>93</v>
      </c>
      <c r="C63" t="s">
        <v>15</v>
      </c>
      <c r="D63" s="37" t="s">
        <v>96</v>
      </c>
      <c r="E63" s="37">
        <v>447964</v>
      </c>
      <c r="F63" s="37" t="s">
        <v>251</v>
      </c>
      <c r="G63" s="37" t="s">
        <v>153</v>
      </c>
      <c r="H63" s="37" t="s">
        <v>20</v>
      </c>
      <c r="I63" s="38"/>
      <c r="J63" s="37">
        <v>27521942</v>
      </c>
      <c r="K63" s="37" t="s">
        <v>127</v>
      </c>
      <c r="L63" s="37" t="str">
        <f>_xlfn.XLOOKUP(Tabla2__2[[#This Row],[CODIGO RUTA]],'DATA INFORME'!I:I,'DATA INFORME'!K:K)</f>
        <v>SI</v>
      </c>
      <c r="M63" s="37" t="str">
        <f>IF(Tabla2__2[[#This Row],[MYSTERY EFECTIVO]]="SI",_xlfn.XLOOKUP(Tabla2__2[[#This Row],[PREGUNTA]],ENCUESTA!G:G,ENCUESTA!D:D),"N/A")</f>
        <v>PORTAFOLIO Y MANEJO DE OBJECIONES</v>
      </c>
      <c r="N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63" s="37" t="str">
        <f>_xlfn.XLOOKUP(Tabla2__2[[#This Row],[PREGUNTA]],ENCUESTA!G:G,ENCUESTA!H:H)</f>
        <v>SI</v>
      </c>
      <c r="P63" s="37">
        <f>IF(Tabla2__2[[#This Row],[RTA]]=Tabla2__2[[#This Row],[RTA CORRECTA]],Tabla2__2[[#This Row],[TOTAL PUNTAJE]],0)</f>
        <v>1.5384615384615385</v>
      </c>
      <c r="Q63" s="37">
        <f t="shared" si="0"/>
        <v>0</v>
      </c>
      <c r="R63" s="37"/>
    </row>
    <row r="64" spans="1:18" x14ac:dyDescent="0.25">
      <c r="A64" s="37" t="s">
        <v>107</v>
      </c>
      <c r="B64" s="37" t="s">
        <v>93</v>
      </c>
      <c r="C64" t="s">
        <v>15</v>
      </c>
      <c r="D64" s="37" t="s">
        <v>96</v>
      </c>
      <c r="E64" s="37">
        <v>447964</v>
      </c>
      <c r="F64" s="37" t="s">
        <v>251</v>
      </c>
      <c r="G64" s="37" t="s">
        <v>152</v>
      </c>
      <c r="H64" s="37" t="s">
        <v>188</v>
      </c>
      <c r="I64" s="38"/>
      <c r="J64" s="37">
        <v>27521942</v>
      </c>
      <c r="K64" s="37" t="s">
        <v>127</v>
      </c>
      <c r="L64" s="37" t="str">
        <f>_xlfn.XLOOKUP(Tabla2__2[[#This Row],[CODIGO RUTA]],'DATA INFORME'!I:I,'DATA INFORME'!K:K)</f>
        <v>SI</v>
      </c>
      <c r="M64" s="37" t="str">
        <f>IF(Tabla2__2[[#This Row],[MYSTERY EFECTIVO]]="SI",_xlfn.XLOOKUP(Tabla2__2[[#This Row],[PREGUNTA]],ENCUESTA!G:G,ENCUESTA!D:D),"N/A")</f>
        <v>N/A</v>
      </c>
      <c r="N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4" s="37" t="str">
        <f>_xlfn.XLOOKUP(Tabla2__2[[#This Row],[PREGUNTA]],ENCUESTA!G:G,ENCUESTA!H:H)</f>
        <v>FALTA DE PRODUCTO, NO LE INTERESA EL PRODUCTO, NO TIENE DINERO, PREFIERE LA COMPETENCIA</v>
      </c>
      <c r="P64" s="37">
        <f>IF(Tabla2__2[[#This Row],[RTA]]=Tabla2__2[[#This Row],[RTA CORRECTA]],Tabla2__2[[#This Row],[TOTAL PUNTAJE]],0)</f>
        <v>0</v>
      </c>
      <c r="Q64" s="37">
        <f t="shared" si="0"/>
        <v>0</v>
      </c>
      <c r="R64" s="37"/>
    </row>
    <row r="65" spans="1:18" x14ac:dyDescent="0.25">
      <c r="A65" s="37" t="s">
        <v>107</v>
      </c>
      <c r="B65" s="37" t="s">
        <v>93</v>
      </c>
      <c r="C65" t="s">
        <v>15</v>
      </c>
      <c r="D65" s="37" t="s">
        <v>96</v>
      </c>
      <c r="E65" s="37">
        <v>447964</v>
      </c>
      <c r="F65" s="37" t="s">
        <v>251</v>
      </c>
      <c r="G65" s="37" t="s">
        <v>146</v>
      </c>
      <c r="H65" s="37" t="s">
        <v>106</v>
      </c>
      <c r="I65" s="38"/>
      <c r="J65" s="37">
        <v>27521942</v>
      </c>
      <c r="K65" s="37" t="s">
        <v>127</v>
      </c>
      <c r="L65" s="37" t="str">
        <f>_xlfn.XLOOKUP(Tabla2__2[[#This Row],[CODIGO RUTA]],'DATA INFORME'!I:I,'DATA INFORME'!K:K)</f>
        <v>SI</v>
      </c>
      <c r="M65" s="37" t="str">
        <f>IF(Tabla2__2[[#This Row],[MYSTERY EFECTIVO]]="SI",_xlfn.XLOOKUP(Tabla2__2[[#This Row],[PREGUNTA]],ENCUESTA!G:G,ENCUESTA!D:D),"N/A")</f>
        <v>ACTIVIDADES DEL MES</v>
      </c>
      <c r="N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65" s="37" t="str">
        <f>_xlfn.XLOOKUP(Tabla2__2[[#This Row],[PREGUNTA]],ENCUESTA!G:G,ENCUESTA!H:H)</f>
        <v>SI</v>
      </c>
      <c r="P65" s="37">
        <f>IF(Tabla2__2[[#This Row],[RTA]]=Tabla2__2[[#This Row],[RTA CORRECTA]],Tabla2__2[[#This Row],[TOTAL PUNTAJE]],0)</f>
        <v>0</v>
      </c>
      <c r="Q65" s="37">
        <f t="shared" si="0"/>
        <v>0</v>
      </c>
      <c r="R65" s="37"/>
    </row>
    <row r="66" spans="1:18" x14ac:dyDescent="0.25">
      <c r="A66" s="37" t="s">
        <v>107</v>
      </c>
      <c r="B66" s="37" t="s">
        <v>93</v>
      </c>
      <c r="C66" t="s">
        <v>15</v>
      </c>
      <c r="D66" s="37" t="s">
        <v>96</v>
      </c>
      <c r="E66" s="37">
        <v>447964</v>
      </c>
      <c r="F66" s="37" t="s">
        <v>251</v>
      </c>
      <c r="G66" s="37" t="s">
        <v>145</v>
      </c>
      <c r="H66" s="37" t="s">
        <v>106</v>
      </c>
      <c r="I66" s="38"/>
      <c r="J66" s="37">
        <v>27521942</v>
      </c>
      <c r="K66" s="37" t="s">
        <v>127</v>
      </c>
      <c r="L66" s="37" t="str">
        <f>_xlfn.XLOOKUP(Tabla2__2[[#This Row],[CODIGO RUTA]],'DATA INFORME'!I:I,'DATA INFORME'!K:K)</f>
        <v>SI</v>
      </c>
      <c r="M66" s="37" t="str">
        <f>IF(Tabla2__2[[#This Row],[MYSTERY EFECTIVO]]="SI",_xlfn.XLOOKUP(Tabla2__2[[#This Row],[PREGUNTA]],ENCUESTA!G:G,ENCUESTA!D:D),"N/A")</f>
        <v>PORTAFOLIO Y MANEJO DE OBJECIONES</v>
      </c>
      <c r="N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66" s="37" t="str">
        <f>_xlfn.XLOOKUP(Tabla2__2[[#This Row],[PREGUNTA]],ENCUESTA!G:G,ENCUESTA!H:H)</f>
        <v>SI</v>
      </c>
      <c r="P66" s="37">
        <f>IF(Tabla2__2[[#This Row],[RTA]]=Tabla2__2[[#This Row],[RTA CORRECTA]],Tabla2__2[[#This Row],[TOTAL PUNTAJE]],0)</f>
        <v>0</v>
      </c>
      <c r="Q66" s="37">
        <f t="shared" ref="Q66:Q129" si="1">IF(OR(H66="Dog Chow húmedo",H66="Cat Chow húmedo",H66="Fancy Feast",H66="Felix",H66="Proplan húmedo",H66="One húmedo",H66="Snack Abrazzos",H66="Snak Dentalife",H66="Arenilla Tidy Cat"),N66,0)</f>
        <v>0</v>
      </c>
      <c r="R66" s="37"/>
    </row>
    <row r="67" spans="1:18" x14ac:dyDescent="0.25">
      <c r="A67" s="37" t="s">
        <v>107</v>
      </c>
      <c r="B67" s="37" t="s">
        <v>93</v>
      </c>
      <c r="C67" t="s">
        <v>15</v>
      </c>
      <c r="D67" s="37" t="s">
        <v>96</v>
      </c>
      <c r="E67" s="37">
        <v>447964</v>
      </c>
      <c r="F67" s="37" t="s">
        <v>251</v>
      </c>
      <c r="G67" s="37" t="s">
        <v>144</v>
      </c>
      <c r="H67" s="37" t="s">
        <v>106</v>
      </c>
      <c r="I67" s="38"/>
      <c r="J67" s="37">
        <v>27521942</v>
      </c>
      <c r="K67" s="37" t="s">
        <v>127</v>
      </c>
      <c r="L67" s="37" t="str">
        <f>_xlfn.XLOOKUP(Tabla2__2[[#This Row],[CODIGO RUTA]],'DATA INFORME'!I:I,'DATA INFORME'!K:K)</f>
        <v>SI</v>
      </c>
      <c r="M67" s="37" t="str">
        <f>IF(Tabla2__2[[#This Row],[MYSTERY EFECTIVO]]="SI",_xlfn.XLOOKUP(Tabla2__2[[#This Row],[PREGUNTA]],ENCUESTA!G:G,ENCUESTA!D:D),"N/A")</f>
        <v>PORTAFOLIO Y MANEJO DE OBJECIONES</v>
      </c>
      <c r="N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67" s="37" t="str">
        <f>_xlfn.XLOOKUP(Tabla2__2[[#This Row],[PREGUNTA]],ENCUESTA!G:G,ENCUESTA!H:H)</f>
        <v>SI</v>
      </c>
      <c r="P67" s="37">
        <f>IF(Tabla2__2[[#This Row],[RTA]]=Tabla2__2[[#This Row],[RTA CORRECTA]],Tabla2__2[[#This Row],[TOTAL PUNTAJE]],0)</f>
        <v>0</v>
      </c>
      <c r="Q67" s="37">
        <f t="shared" si="1"/>
        <v>0</v>
      </c>
      <c r="R67" s="37"/>
    </row>
    <row r="68" spans="1:18" x14ac:dyDescent="0.25">
      <c r="A68" s="37" t="s">
        <v>107</v>
      </c>
      <c r="B68" s="37" t="s">
        <v>93</v>
      </c>
      <c r="C68" t="s">
        <v>15</v>
      </c>
      <c r="D68" s="37" t="s">
        <v>96</v>
      </c>
      <c r="E68" s="37">
        <v>447964</v>
      </c>
      <c r="F68" s="37" t="s">
        <v>251</v>
      </c>
      <c r="G68" s="37" t="s">
        <v>143</v>
      </c>
      <c r="H68" s="37" t="s">
        <v>106</v>
      </c>
      <c r="I68" s="38"/>
      <c r="J68" s="37">
        <v>27521942</v>
      </c>
      <c r="K68" s="37" t="s">
        <v>127</v>
      </c>
      <c r="L68" s="37" t="str">
        <f>_xlfn.XLOOKUP(Tabla2__2[[#This Row],[CODIGO RUTA]],'DATA INFORME'!I:I,'DATA INFORME'!K:K)</f>
        <v>SI</v>
      </c>
      <c r="M68" s="37" t="str">
        <f>IF(Tabla2__2[[#This Row],[MYSTERY EFECTIVO]]="SI",_xlfn.XLOOKUP(Tabla2__2[[#This Row],[PREGUNTA]],ENCUESTA!G:G,ENCUESTA!D:D),"N/A")</f>
        <v>PORTAFOLIO Y MANEJO DE OBJECIONES</v>
      </c>
      <c r="N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68" s="37" t="str">
        <f>_xlfn.XLOOKUP(Tabla2__2[[#This Row],[PREGUNTA]],ENCUESTA!G:G,ENCUESTA!H:H)</f>
        <v>SI</v>
      </c>
      <c r="P68" s="37">
        <f>IF(Tabla2__2[[#This Row],[RTA]]=Tabla2__2[[#This Row],[RTA CORRECTA]],Tabla2__2[[#This Row],[TOTAL PUNTAJE]],0)</f>
        <v>0</v>
      </c>
      <c r="Q68" s="37">
        <f t="shared" si="1"/>
        <v>0</v>
      </c>
      <c r="R68" s="37"/>
    </row>
    <row r="69" spans="1:18" x14ac:dyDescent="0.25">
      <c r="A69" s="37" t="s">
        <v>107</v>
      </c>
      <c r="B69" s="37" t="s">
        <v>93</v>
      </c>
      <c r="C69" t="s">
        <v>15</v>
      </c>
      <c r="D69" s="37" t="s">
        <v>96</v>
      </c>
      <c r="E69" s="37">
        <v>447964</v>
      </c>
      <c r="F69" s="37" t="s">
        <v>251</v>
      </c>
      <c r="G69" s="37" t="s">
        <v>142</v>
      </c>
      <c r="H69" s="37" t="s">
        <v>106</v>
      </c>
      <c r="I69" s="38"/>
      <c r="J69" s="37">
        <v>27521942</v>
      </c>
      <c r="K69" s="37" t="s">
        <v>127</v>
      </c>
      <c r="L69" s="37" t="str">
        <f>_xlfn.XLOOKUP(Tabla2__2[[#This Row],[CODIGO RUTA]],'DATA INFORME'!I:I,'DATA INFORME'!K:K)</f>
        <v>SI</v>
      </c>
      <c r="M69" s="37" t="str">
        <f>IF(Tabla2__2[[#This Row],[MYSTERY EFECTIVO]]="SI",_xlfn.XLOOKUP(Tabla2__2[[#This Row],[PREGUNTA]],ENCUESTA!G:G,ENCUESTA!D:D),"N/A")</f>
        <v>PORTAFOLIO Y MANEJO DE OBJECIONES</v>
      </c>
      <c r="N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69" s="37" t="str">
        <f>_xlfn.XLOOKUP(Tabla2__2[[#This Row],[PREGUNTA]],ENCUESTA!G:G,ENCUESTA!H:H)</f>
        <v>SI</v>
      </c>
      <c r="P69" s="37">
        <f>IF(Tabla2__2[[#This Row],[RTA]]=Tabla2__2[[#This Row],[RTA CORRECTA]],Tabla2__2[[#This Row],[TOTAL PUNTAJE]],0)</f>
        <v>0</v>
      </c>
      <c r="Q69" s="37">
        <f t="shared" si="1"/>
        <v>0</v>
      </c>
      <c r="R69" s="37"/>
    </row>
    <row r="70" spans="1:18" x14ac:dyDescent="0.25">
      <c r="A70" s="37" t="s">
        <v>107</v>
      </c>
      <c r="B70" s="37" t="s">
        <v>93</v>
      </c>
      <c r="C70" t="s">
        <v>15</v>
      </c>
      <c r="D70" s="37" t="s">
        <v>96</v>
      </c>
      <c r="E70" s="37">
        <v>447964</v>
      </c>
      <c r="F70" s="37" t="s">
        <v>251</v>
      </c>
      <c r="G70" s="37" t="s">
        <v>141</v>
      </c>
      <c r="H70" s="37" t="s">
        <v>106</v>
      </c>
      <c r="I70" s="38"/>
      <c r="J70" s="37">
        <v>27521942</v>
      </c>
      <c r="K70" s="37" t="s">
        <v>127</v>
      </c>
      <c r="L70" s="37" t="str">
        <f>_xlfn.XLOOKUP(Tabla2__2[[#This Row],[CODIGO RUTA]],'DATA INFORME'!I:I,'DATA INFORME'!K:K)</f>
        <v>SI</v>
      </c>
      <c r="M70" s="37" t="str">
        <f>IF(Tabla2__2[[#This Row],[MYSTERY EFECTIVO]]="SI",_xlfn.XLOOKUP(Tabla2__2[[#This Row],[PREGUNTA]],ENCUESTA!G:G,ENCUESTA!D:D),"N/A")</f>
        <v>PORTAFOLIO Y MANEJO DE OBJECIONES</v>
      </c>
      <c r="N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70" s="37" t="str">
        <f>_xlfn.XLOOKUP(Tabla2__2[[#This Row],[PREGUNTA]],ENCUESTA!G:G,ENCUESTA!H:H)</f>
        <v>SI</v>
      </c>
      <c r="P70" s="37">
        <f>IF(Tabla2__2[[#This Row],[RTA]]=Tabla2__2[[#This Row],[RTA CORRECTA]],Tabla2__2[[#This Row],[TOTAL PUNTAJE]],0)</f>
        <v>0</v>
      </c>
      <c r="Q70" s="37">
        <f t="shared" si="1"/>
        <v>0</v>
      </c>
      <c r="R70" s="37"/>
    </row>
    <row r="71" spans="1:18" x14ac:dyDescent="0.25">
      <c r="A71" s="37" t="s">
        <v>107</v>
      </c>
      <c r="B71" s="37" t="s">
        <v>93</v>
      </c>
      <c r="C71" t="s">
        <v>14</v>
      </c>
      <c r="D71" s="37" t="s">
        <v>113</v>
      </c>
      <c r="E71" s="37">
        <v>65453</v>
      </c>
      <c r="F71" s="37" t="s">
        <v>245</v>
      </c>
      <c r="G71" s="37" t="s">
        <v>98</v>
      </c>
      <c r="H71" s="37" t="s">
        <v>20</v>
      </c>
      <c r="I71" s="38"/>
      <c r="J71" s="37">
        <v>27498090</v>
      </c>
      <c r="K71" s="37" t="s">
        <v>127</v>
      </c>
      <c r="L71" s="37" t="str">
        <f>_xlfn.XLOOKUP(Tabla2__2[[#This Row],[CODIGO RUTA]],'DATA INFORME'!I:I,'DATA INFORME'!K:K)</f>
        <v>SI</v>
      </c>
      <c r="M71" s="37" t="str">
        <f>IF(Tabla2__2[[#This Row],[MYSTERY EFECTIVO]]="SI",_xlfn.XLOOKUP(Tabla2__2[[#This Row],[PREGUNTA]],ENCUESTA!G:G,ENCUESTA!D:D),"N/A")</f>
        <v>UNIFORME</v>
      </c>
      <c r="N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71" s="37" t="str">
        <f>_xlfn.XLOOKUP(Tabla2__2[[#This Row],[PREGUNTA]],ENCUESTA!G:G,ENCUESTA!H:H)</f>
        <v>SI</v>
      </c>
      <c r="P71" s="37">
        <f>IF(Tabla2__2[[#This Row],[RTA]]=Tabla2__2[[#This Row],[RTA CORRECTA]],Tabla2__2[[#This Row],[TOTAL PUNTAJE]],0)</f>
        <v>1.3636363636363635</v>
      </c>
      <c r="Q71" s="37">
        <f t="shared" si="1"/>
        <v>0</v>
      </c>
      <c r="R71" s="37"/>
    </row>
    <row r="72" spans="1:18" x14ac:dyDescent="0.25">
      <c r="A72" s="37" t="s">
        <v>107</v>
      </c>
      <c r="B72" s="37" t="s">
        <v>93</v>
      </c>
      <c r="C72" t="s">
        <v>15</v>
      </c>
      <c r="D72" s="37" t="s">
        <v>96</v>
      </c>
      <c r="E72" s="37">
        <v>447964</v>
      </c>
      <c r="F72" s="37" t="s">
        <v>251</v>
      </c>
      <c r="G72" s="37" t="s">
        <v>140</v>
      </c>
      <c r="H72" s="37" t="s">
        <v>106</v>
      </c>
      <c r="I72" s="38"/>
      <c r="J72" s="37">
        <v>27521942</v>
      </c>
      <c r="K72" s="37" t="s">
        <v>127</v>
      </c>
      <c r="L72" s="37" t="str">
        <f>_xlfn.XLOOKUP(Tabla2__2[[#This Row],[CODIGO RUTA]],'DATA INFORME'!I:I,'DATA INFORME'!K:K)</f>
        <v>SI</v>
      </c>
      <c r="M72" s="37" t="str">
        <f>IF(Tabla2__2[[#This Row],[MYSTERY EFECTIVO]]="SI",_xlfn.XLOOKUP(Tabla2__2[[#This Row],[PREGUNTA]],ENCUESTA!G:G,ENCUESTA!D:D),"N/A")</f>
        <v>PORTAFOLIO Y MANEJO DE OBJECIONES</v>
      </c>
      <c r="N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72" s="37" t="str">
        <f>_xlfn.XLOOKUP(Tabla2__2[[#This Row],[PREGUNTA]],ENCUESTA!G:G,ENCUESTA!H:H)</f>
        <v>SI</v>
      </c>
      <c r="P72" s="37">
        <f>IF(Tabla2__2[[#This Row],[RTA]]=Tabla2__2[[#This Row],[RTA CORRECTA]],Tabla2__2[[#This Row],[TOTAL PUNTAJE]],0)</f>
        <v>0</v>
      </c>
      <c r="Q72" s="37">
        <f t="shared" si="1"/>
        <v>0</v>
      </c>
      <c r="R72" s="37"/>
    </row>
    <row r="73" spans="1:18" x14ac:dyDescent="0.25">
      <c r="A73" s="37" t="s">
        <v>107</v>
      </c>
      <c r="B73" s="37" t="s">
        <v>93</v>
      </c>
      <c r="C73" t="s">
        <v>15</v>
      </c>
      <c r="D73" s="37" t="s">
        <v>96</v>
      </c>
      <c r="E73" s="37">
        <v>447964</v>
      </c>
      <c r="F73" s="37" t="s">
        <v>251</v>
      </c>
      <c r="G73" s="37" t="s">
        <v>138</v>
      </c>
      <c r="H73" s="37" t="s">
        <v>106</v>
      </c>
      <c r="I73" s="38"/>
      <c r="J73" s="37">
        <v>27521942</v>
      </c>
      <c r="K73" s="37" t="s">
        <v>127</v>
      </c>
      <c r="L73" s="37" t="str">
        <f>_xlfn.XLOOKUP(Tabla2__2[[#This Row],[CODIGO RUTA]],'DATA INFORME'!I:I,'DATA INFORME'!K:K)</f>
        <v>SI</v>
      </c>
      <c r="M73" s="37" t="str">
        <f>IF(Tabla2__2[[#This Row],[MYSTERY EFECTIVO]]="SI",_xlfn.XLOOKUP(Tabla2__2[[#This Row],[PREGUNTA]],ENCUESTA!G:G,ENCUESTA!D:D),"N/A")</f>
        <v>PORTAFOLIO Y MANEJO DE OBJECIONES</v>
      </c>
      <c r="N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73" s="37" t="str">
        <f>_xlfn.XLOOKUP(Tabla2__2[[#This Row],[PREGUNTA]],ENCUESTA!G:G,ENCUESTA!H:H)</f>
        <v>SI</v>
      </c>
      <c r="P73" s="37">
        <f>IF(Tabla2__2[[#This Row],[RTA]]=Tabla2__2[[#This Row],[RTA CORRECTA]],Tabla2__2[[#This Row],[TOTAL PUNTAJE]],0)</f>
        <v>0</v>
      </c>
      <c r="Q73" s="37">
        <f t="shared" si="1"/>
        <v>0</v>
      </c>
      <c r="R73" s="37"/>
    </row>
    <row r="74" spans="1:18" x14ac:dyDescent="0.25">
      <c r="A74" s="37" t="s">
        <v>107</v>
      </c>
      <c r="B74" s="37" t="s">
        <v>93</v>
      </c>
      <c r="C74" t="s">
        <v>15</v>
      </c>
      <c r="D74" s="37" t="s">
        <v>96</v>
      </c>
      <c r="E74" s="37">
        <v>447964</v>
      </c>
      <c r="F74" s="37" t="s">
        <v>251</v>
      </c>
      <c r="G74" s="37" t="s">
        <v>137</v>
      </c>
      <c r="H74" s="37" t="s">
        <v>20</v>
      </c>
      <c r="I74" s="38"/>
      <c r="J74" s="37">
        <v>27521942</v>
      </c>
      <c r="K74" s="37" t="s">
        <v>127</v>
      </c>
      <c r="L74" s="37" t="str">
        <f>_xlfn.XLOOKUP(Tabla2__2[[#This Row],[CODIGO RUTA]],'DATA INFORME'!I:I,'DATA INFORME'!K:K)</f>
        <v>SI</v>
      </c>
      <c r="M74" s="37" t="str">
        <f>IF(Tabla2__2[[#This Row],[MYSTERY EFECTIVO]]="SI",_xlfn.XLOOKUP(Tabla2__2[[#This Row],[PREGUNTA]],ENCUESTA!G:G,ENCUESTA!D:D),"N/A")</f>
        <v>PORTAFOLIO Y MANEJO DE OBJECIONES</v>
      </c>
      <c r="N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74" s="37" t="str">
        <f>_xlfn.XLOOKUP(Tabla2__2[[#This Row],[PREGUNTA]],ENCUESTA!G:G,ENCUESTA!H:H)</f>
        <v>SI</v>
      </c>
      <c r="P74" s="37">
        <f>IF(Tabla2__2[[#This Row],[RTA]]=Tabla2__2[[#This Row],[RTA CORRECTA]],Tabla2__2[[#This Row],[TOTAL PUNTAJE]],0)</f>
        <v>1.5384615384615385</v>
      </c>
      <c r="Q74" s="37">
        <f t="shared" si="1"/>
        <v>0</v>
      </c>
      <c r="R74" s="37"/>
    </row>
    <row r="75" spans="1:18" x14ac:dyDescent="0.25">
      <c r="A75" s="37" t="s">
        <v>107</v>
      </c>
      <c r="B75" s="37" t="s">
        <v>93</v>
      </c>
      <c r="C75" t="s">
        <v>15</v>
      </c>
      <c r="D75" s="37" t="s">
        <v>96</v>
      </c>
      <c r="E75" s="37">
        <v>447964</v>
      </c>
      <c r="F75" s="37" t="s">
        <v>251</v>
      </c>
      <c r="G75" s="37" t="s">
        <v>136</v>
      </c>
      <c r="H75" s="37" t="s">
        <v>20</v>
      </c>
      <c r="I75" s="38"/>
      <c r="J75" s="37">
        <v>27521942</v>
      </c>
      <c r="K75" s="37" t="s">
        <v>127</v>
      </c>
      <c r="L75" s="37" t="str">
        <f>_xlfn.XLOOKUP(Tabla2__2[[#This Row],[CODIGO RUTA]],'DATA INFORME'!I:I,'DATA INFORME'!K:K)</f>
        <v>SI</v>
      </c>
      <c r="M75" s="37" t="str">
        <f>IF(Tabla2__2[[#This Row],[MYSTERY EFECTIVO]]="SI",_xlfn.XLOOKUP(Tabla2__2[[#This Row],[PREGUNTA]],ENCUESTA!G:G,ENCUESTA!D:D),"N/A")</f>
        <v>ABORDAJE</v>
      </c>
      <c r="N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5" s="37" t="str">
        <f>_xlfn.XLOOKUP(Tabla2__2[[#This Row],[PREGUNTA]],ENCUESTA!G:G,ENCUESTA!H:H)</f>
        <v>SI</v>
      </c>
      <c r="P75" s="37">
        <f>IF(Tabla2__2[[#This Row],[RTA]]=Tabla2__2[[#This Row],[RTA CORRECTA]],Tabla2__2[[#This Row],[TOTAL PUNTAJE]],0)</f>
        <v>20</v>
      </c>
      <c r="Q75" s="37">
        <f t="shared" si="1"/>
        <v>0</v>
      </c>
      <c r="R75" s="37"/>
    </row>
    <row r="76" spans="1:18" x14ac:dyDescent="0.25">
      <c r="A76" s="37" t="s">
        <v>107</v>
      </c>
      <c r="B76" s="37" t="s">
        <v>93</v>
      </c>
      <c r="C76" t="s">
        <v>15</v>
      </c>
      <c r="D76" s="37" t="s">
        <v>96</v>
      </c>
      <c r="E76" s="37">
        <v>447964</v>
      </c>
      <c r="F76" s="37" t="s">
        <v>251</v>
      </c>
      <c r="G76" s="37" t="s">
        <v>104</v>
      </c>
      <c r="H76" s="37" t="s">
        <v>106</v>
      </c>
      <c r="I76" s="38"/>
      <c r="J76" s="37">
        <v>27521942</v>
      </c>
      <c r="K76" s="37" t="s">
        <v>127</v>
      </c>
      <c r="L76" s="37" t="str">
        <f>_xlfn.XLOOKUP(Tabla2__2[[#This Row],[CODIGO RUTA]],'DATA INFORME'!I:I,'DATA INFORME'!K:K)</f>
        <v>SI</v>
      </c>
      <c r="M76" s="37" t="str">
        <f>IF(Tabla2__2[[#This Row],[MYSTERY EFECTIVO]]="SI",_xlfn.XLOOKUP(Tabla2__2[[#This Row],[PREGUNTA]],ENCUESTA!G:G,ENCUESTA!D:D),"N/A")</f>
        <v>UNIFORME</v>
      </c>
      <c r="N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76" s="37" t="str">
        <f>_xlfn.XLOOKUP(Tabla2__2[[#This Row],[PREGUNTA]],ENCUESTA!G:G,ENCUESTA!H:H)</f>
        <v>NO</v>
      </c>
      <c r="P76" s="37">
        <f>IF(Tabla2__2[[#This Row],[RTA]]=Tabla2__2[[#This Row],[RTA CORRECTA]],Tabla2__2[[#This Row],[TOTAL PUNTAJE]],0)</f>
        <v>1.3636363636363635</v>
      </c>
      <c r="Q76" s="37">
        <f t="shared" si="1"/>
        <v>0</v>
      </c>
      <c r="R76" s="37"/>
    </row>
    <row r="77" spans="1:18" x14ac:dyDescent="0.25">
      <c r="A77" s="37" t="s">
        <v>107</v>
      </c>
      <c r="B77" s="37" t="s">
        <v>93</v>
      </c>
      <c r="C77" t="s">
        <v>15</v>
      </c>
      <c r="D77" s="37" t="s">
        <v>96</v>
      </c>
      <c r="E77" s="37">
        <v>447964</v>
      </c>
      <c r="F77" s="37" t="s">
        <v>251</v>
      </c>
      <c r="G77" s="37" t="s">
        <v>103</v>
      </c>
      <c r="H77" s="37" t="s">
        <v>106</v>
      </c>
      <c r="I77" s="38"/>
      <c r="J77" s="37">
        <v>27521942</v>
      </c>
      <c r="K77" s="37" t="s">
        <v>127</v>
      </c>
      <c r="L77" s="37" t="str">
        <f>_xlfn.XLOOKUP(Tabla2__2[[#This Row],[CODIGO RUTA]],'DATA INFORME'!I:I,'DATA INFORME'!K:K)</f>
        <v>SI</v>
      </c>
      <c r="M77" s="37" t="str">
        <f>IF(Tabla2__2[[#This Row],[MYSTERY EFECTIVO]]="SI",_xlfn.XLOOKUP(Tabla2__2[[#This Row],[PREGUNTA]],ENCUESTA!G:G,ENCUESTA!D:D),"N/A")</f>
        <v>UNIFORME</v>
      </c>
      <c r="N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77" s="37" t="str">
        <f>_xlfn.XLOOKUP(Tabla2__2[[#This Row],[PREGUNTA]],ENCUESTA!G:G,ENCUESTA!H:H)</f>
        <v>NO</v>
      </c>
      <c r="P77" s="37">
        <f>IF(Tabla2__2[[#This Row],[RTA]]=Tabla2__2[[#This Row],[RTA CORRECTA]],Tabla2__2[[#This Row],[TOTAL PUNTAJE]],0)</f>
        <v>1.3636363636363635</v>
      </c>
      <c r="Q77" s="37">
        <f t="shared" si="1"/>
        <v>0</v>
      </c>
      <c r="R77" s="37"/>
    </row>
    <row r="78" spans="1:18" x14ac:dyDescent="0.25">
      <c r="A78" s="37" t="s">
        <v>107</v>
      </c>
      <c r="B78" s="37" t="s">
        <v>93</v>
      </c>
      <c r="C78" t="s">
        <v>15</v>
      </c>
      <c r="D78" s="37" t="s">
        <v>96</v>
      </c>
      <c r="E78" s="37">
        <v>447964</v>
      </c>
      <c r="F78" s="37" t="s">
        <v>251</v>
      </c>
      <c r="G78" s="37" t="s">
        <v>102</v>
      </c>
      <c r="H78" s="37" t="s">
        <v>106</v>
      </c>
      <c r="I78" s="38"/>
      <c r="J78" s="37">
        <v>27521942</v>
      </c>
      <c r="K78" s="37" t="s">
        <v>127</v>
      </c>
      <c r="L78" s="37" t="str">
        <f>_xlfn.XLOOKUP(Tabla2__2[[#This Row],[CODIGO RUTA]],'DATA INFORME'!I:I,'DATA INFORME'!K:K)</f>
        <v>SI</v>
      </c>
      <c r="M78" s="37" t="str">
        <f>IF(Tabla2__2[[#This Row],[MYSTERY EFECTIVO]]="SI",_xlfn.XLOOKUP(Tabla2__2[[#This Row],[PREGUNTA]],ENCUESTA!G:G,ENCUESTA!D:D),"N/A")</f>
        <v>UNIFORME</v>
      </c>
      <c r="N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78" s="37" t="str">
        <f>_xlfn.XLOOKUP(Tabla2__2[[#This Row],[PREGUNTA]],ENCUESTA!G:G,ENCUESTA!H:H)</f>
        <v>NO</v>
      </c>
      <c r="P78" s="37">
        <f>IF(Tabla2__2[[#This Row],[RTA]]=Tabla2__2[[#This Row],[RTA CORRECTA]],Tabla2__2[[#This Row],[TOTAL PUNTAJE]],0)</f>
        <v>1.3636363636363635</v>
      </c>
      <c r="Q78" s="37">
        <f t="shared" si="1"/>
        <v>0</v>
      </c>
      <c r="R78" s="37"/>
    </row>
    <row r="79" spans="1:18" x14ac:dyDescent="0.25">
      <c r="A79" s="37" t="s">
        <v>107</v>
      </c>
      <c r="B79" s="37" t="s">
        <v>93</v>
      </c>
      <c r="C79" t="s">
        <v>15</v>
      </c>
      <c r="D79" s="37" t="s">
        <v>96</v>
      </c>
      <c r="E79" s="37">
        <v>447964</v>
      </c>
      <c r="F79" s="37" t="s">
        <v>251</v>
      </c>
      <c r="G79" s="37" t="s">
        <v>101</v>
      </c>
      <c r="H79" s="37" t="s">
        <v>106</v>
      </c>
      <c r="I79" s="38"/>
      <c r="J79" s="37">
        <v>27521942</v>
      </c>
      <c r="K79" s="37" t="s">
        <v>127</v>
      </c>
      <c r="L79" s="37" t="str">
        <f>_xlfn.XLOOKUP(Tabla2__2[[#This Row],[CODIGO RUTA]],'DATA INFORME'!I:I,'DATA INFORME'!K:K)</f>
        <v>SI</v>
      </c>
      <c r="M79" s="37" t="str">
        <f>IF(Tabla2__2[[#This Row],[MYSTERY EFECTIVO]]="SI",_xlfn.XLOOKUP(Tabla2__2[[#This Row],[PREGUNTA]],ENCUESTA!G:G,ENCUESTA!D:D),"N/A")</f>
        <v>UNIFORME</v>
      </c>
      <c r="N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79" s="37" t="str">
        <f>_xlfn.XLOOKUP(Tabla2__2[[#This Row],[PREGUNTA]],ENCUESTA!G:G,ENCUESTA!H:H)</f>
        <v>NO</v>
      </c>
      <c r="P79" s="37">
        <f>IF(Tabla2__2[[#This Row],[RTA]]=Tabla2__2[[#This Row],[RTA CORRECTA]],Tabla2__2[[#This Row],[TOTAL PUNTAJE]],0)</f>
        <v>1.3636363636363635</v>
      </c>
      <c r="Q79" s="37">
        <f t="shared" si="1"/>
        <v>0</v>
      </c>
      <c r="R79" s="37"/>
    </row>
    <row r="80" spans="1:18" x14ac:dyDescent="0.25">
      <c r="A80" s="37" t="s">
        <v>107</v>
      </c>
      <c r="B80" s="37" t="s">
        <v>93</v>
      </c>
      <c r="C80" t="s">
        <v>15</v>
      </c>
      <c r="D80" s="37" t="s">
        <v>96</v>
      </c>
      <c r="E80" s="37">
        <v>447964</v>
      </c>
      <c r="F80" s="37" t="s">
        <v>251</v>
      </c>
      <c r="G80" s="37" t="s">
        <v>100</v>
      </c>
      <c r="H80" s="37" t="s">
        <v>20</v>
      </c>
      <c r="I80" s="38"/>
      <c r="J80" s="37">
        <v>27521942</v>
      </c>
      <c r="K80" s="37" t="s">
        <v>127</v>
      </c>
      <c r="L80" s="37" t="str">
        <f>_xlfn.XLOOKUP(Tabla2__2[[#This Row],[CODIGO RUTA]],'DATA INFORME'!I:I,'DATA INFORME'!K:K)</f>
        <v>SI</v>
      </c>
      <c r="M80" s="37" t="str">
        <f>IF(Tabla2__2[[#This Row],[MYSTERY EFECTIVO]]="SI",_xlfn.XLOOKUP(Tabla2__2[[#This Row],[PREGUNTA]],ENCUESTA!G:G,ENCUESTA!D:D),"N/A")</f>
        <v>UNIFORME</v>
      </c>
      <c r="N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80" s="37" t="str">
        <f>_xlfn.XLOOKUP(Tabla2__2[[#This Row],[PREGUNTA]],ENCUESTA!G:G,ENCUESTA!H:H)</f>
        <v>SI</v>
      </c>
      <c r="P80" s="37">
        <f>IF(Tabla2__2[[#This Row],[RTA]]=Tabla2__2[[#This Row],[RTA CORRECTA]],Tabla2__2[[#This Row],[TOTAL PUNTAJE]],0)</f>
        <v>1.3636363636363635</v>
      </c>
      <c r="Q80" s="37">
        <f t="shared" si="1"/>
        <v>0</v>
      </c>
      <c r="R80" s="37"/>
    </row>
    <row r="81" spans="1:18" x14ac:dyDescent="0.25">
      <c r="A81" s="37" t="s">
        <v>107</v>
      </c>
      <c r="B81" s="37" t="s">
        <v>93</v>
      </c>
      <c r="C81" t="s">
        <v>15</v>
      </c>
      <c r="D81" s="37" t="s">
        <v>96</v>
      </c>
      <c r="E81" s="37">
        <v>447964</v>
      </c>
      <c r="F81" s="37" t="s">
        <v>251</v>
      </c>
      <c r="G81" s="37" t="s">
        <v>99</v>
      </c>
      <c r="H81" s="37" t="s">
        <v>20</v>
      </c>
      <c r="I81" s="38"/>
      <c r="J81" s="37">
        <v>27521942</v>
      </c>
      <c r="K81" s="37" t="s">
        <v>127</v>
      </c>
      <c r="L81" s="37" t="str">
        <f>_xlfn.XLOOKUP(Tabla2__2[[#This Row],[CODIGO RUTA]],'DATA INFORME'!I:I,'DATA INFORME'!K:K)</f>
        <v>SI</v>
      </c>
      <c r="M81" s="37" t="str">
        <f>IF(Tabla2__2[[#This Row],[MYSTERY EFECTIVO]]="SI",_xlfn.XLOOKUP(Tabla2__2[[#This Row],[PREGUNTA]],ENCUESTA!G:G,ENCUESTA!D:D),"N/A")</f>
        <v>UNIFORME</v>
      </c>
      <c r="N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81" s="37" t="str">
        <f>_xlfn.XLOOKUP(Tabla2__2[[#This Row],[PREGUNTA]],ENCUESTA!G:G,ENCUESTA!H:H)</f>
        <v>SI</v>
      </c>
      <c r="P81" s="37">
        <f>IF(Tabla2__2[[#This Row],[RTA]]=Tabla2__2[[#This Row],[RTA CORRECTA]],Tabla2__2[[#This Row],[TOTAL PUNTAJE]],0)</f>
        <v>1.3636363636363635</v>
      </c>
      <c r="Q81" s="37">
        <f t="shared" si="1"/>
        <v>0</v>
      </c>
      <c r="R81" s="37"/>
    </row>
    <row r="82" spans="1:18" x14ac:dyDescent="0.25">
      <c r="A82" s="37" t="s">
        <v>107</v>
      </c>
      <c r="B82" s="37" t="s">
        <v>93</v>
      </c>
      <c r="C82" t="s">
        <v>15</v>
      </c>
      <c r="D82" s="37" t="s">
        <v>96</v>
      </c>
      <c r="E82" s="37">
        <v>447964</v>
      </c>
      <c r="F82" s="37" t="s">
        <v>251</v>
      </c>
      <c r="G82" s="37" t="s">
        <v>135</v>
      </c>
      <c r="H82" s="37" t="s">
        <v>106</v>
      </c>
      <c r="I82" s="38"/>
      <c r="J82" s="37">
        <v>27521942</v>
      </c>
      <c r="K82" s="37" t="s">
        <v>127</v>
      </c>
      <c r="L82" s="37" t="str">
        <f>_xlfn.XLOOKUP(Tabla2__2[[#This Row],[CODIGO RUTA]],'DATA INFORME'!I:I,'DATA INFORME'!K:K)</f>
        <v>SI</v>
      </c>
      <c r="M82" s="37" t="str">
        <f>IF(Tabla2__2[[#This Row],[MYSTERY EFECTIVO]]="SI",_xlfn.XLOOKUP(Tabla2__2[[#This Row],[PREGUNTA]],ENCUESTA!G:G,ENCUESTA!D:D),"N/A")</f>
        <v>UNIFORME</v>
      </c>
      <c r="N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82" s="37" t="str">
        <f>_xlfn.XLOOKUP(Tabla2__2[[#This Row],[PREGUNTA]],ENCUESTA!G:G,ENCUESTA!H:H)</f>
        <v>NO</v>
      </c>
      <c r="P82" s="37">
        <f>IF(Tabla2__2[[#This Row],[RTA]]=Tabla2__2[[#This Row],[RTA CORRECTA]],Tabla2__2[[#This Row],[TOTAL PUNTAJE]],0)</f>
        <v>1.3636363636363635</v>
      </c>
      <c r="Q82" s="37">
        <f t="shared" si="1"/>
        <v>0</v>
      </c>
      <c r="R82" s="37"/>
    </row>
    <row r="83" spans="1:18" x14ac:dyDescent="0.25">
      <c r="A83" s="37" t="s">
        <v>107</v>
      </c>
      <c r="B83" s="37" t="s">
        <v>93</v>
      </c>
      <c r="C83" t="s">
        <v>15</v>
      </c>
      <c r="D83" s="37" t="s">
        <v>96</v>
      </c>
      <c r="E83" s="37">
        <v>447964</v>
      </c>
      <c r="F83" s="37" t="s">
        <v>251</v>
      </c>
      <c r="G83" s="37" t="s">
        <v>35</v>
      </c>
      <c r="H83" s="37" t="s">
        <v>20</v>
      </c>
      <c r="I83" s="38"/>
      <c r="J83" s="37">
        <v>27521942</v>
      </c>
      <c r="K83" s="37" t="s">
        <v>127</v>
      </c>
      <c r="L83" s="37" t="str">
        <f>_xlfn.XLOOKUP(Tabla2__2[[#This Row],[CODIGO RUTA]],'DATA INFORME'!I:I,'DATA INFORME'!K:K)</f>
        <v>SI</v>
      </c>
      <c r="M83" s="37" t="str">
        <f>IF(Tabla2__2[[#This Row],[MYSTERY EFECTIVO]]="SI",_xlfn.XLOOKUP(Tabla2__2[[#This Row],[PREGUNTA]],ENCUESTA!G:G,ENCUESTA!D:D),"N/A")</f>
        <v>UNIFORME</v>
      </c>
      <c r="N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83" s="37" t="str">
        <f>_xlfn.XLOOKUP(Tabla2__2[[#This Row],[PREGUNTA]],ENCUESTA!G:G,ENCUESTA!H:H)</f>
        <v>SI</v>
      </c>
      <c r="P83" s="37">
        <f>IF(Tabla2__2[[#This Row],[RTA]]=Tabla2__2[[#This Row],[RTA CORRECTA]],Tabla2__2[[#This Row],[TOTAL PUNTAJE]],0)</f>
        <v>1.3636363636363635</v>
      </c>
      <c r="Q83" s="37">
        <f t="shared" si="1"/>
        <v>0</v>
      </c>
      <c r="R83" s="37"/>
    </row>
    <row r="84" spans="1:18" x14ac:dyDescent="0.25">
      <c r="A84" s="37" t="s">
        <v>107</v>
      </c>
      <c r="B84" s="37" t="s">
        <v>93</v>
      </c>
      <c r="C84" t="s">
        <v>15</v>
      </c>
      <c r="D84" s="37" t="s">
        <v>96</v>
      </c>
      <c r="E84" s="37">
        <v>447964</v>
      </c>
      <c r="F84" s="37" t="s">
        <v>251</v>
      </c>
      <c r="G84" s="37" t="s">
        <v>134</v>
      </c>
      <c r="H84" s="37" t="s">
        <v>20</v>
      </c>
      <c r="I84" s="38"/>
      <c r="J84" s="37">
        <v>27521942</v>
      </c>
      <c r="K84" s="37" t="s">
        <v>127</v>
      </c>
      <c r="L84" s="37" t="str">
        <f>_xlfn.XLOOKUP(Tabla2__2[[#This Row],[CODIGO RUTA]],'DATA INFORME'!I:I,'DATA INFORME'!K:K)</f>
        <v>SI</v>
      </c>
      <c r="M84" s="37" t="str">
        <f>IF(Tabla2__2[[#This Row],[MYSTERY EFECTIVO]]="SI",_xlfn.XLOOKUP(Tabla2__2[[#This Row],[PREGUNTA]],ENCUESTA!G:G,ENCUESTA!D:D),"N/A")</f>
        <v>UNIFORME</v>
      </c>
      <c r="N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84" s="37" t="str">
        <f>_xlfn.XLOOKUP(Tabla2__2[[#This Row],[PREGUNTA]],ENCUESTA!G:G,ENCUESTA!H:H)</f>
        <v>SI</v>
      </c>
      <c r="P84" s="37">
        <f>IF(Tabla2__2[[#This Row],[RTA]]=Tabla2__2[[#This Row],[RTA CORRECTA]],Tabla2__2[[#This Row],[TOTAL PUNTAJE]],0)</f>
        <v>1.3636363636363635</v>
      </c>
      <c r="Q84" s="37">
        <f t="shared" si="1"/>
        <v>0</v>
      </c>
      <c r="R84" s="37"/>
    </row>
    <row r="85" spans="1:18" x14ac:dyDescent="0.25">
      <c r="A85" s="37" t="s">
        <v>107</v>
      </c>
      <c r="B85" s="37" t="s">
        <v>93</v>
      </c>
      <c r="C85" t="s">
        <v>15</v>
      </c>
      <c r="D85" s="37" t="s">
        <v>96</v>
      </c>
      <c r="E85" s="37">
        <v>447964</v>
      </c>
      <c r="F85" s="37" t="s">
        <v>251</v>
      </c>
      <c r="G85" s="37" t="s">
        <v>139</v>
      </c>
      <c r="H85" s="37" t="s">
        <v>15</v>
      </c>
      <c r="I85" s="38"/>
      <c r="J85" s="37">
        <v>27521942</v>
      </c>
      <c r="K85" s="37" t="s">
        <v>127</v>
      </c>
      <c r="L85" s="37" t="str">
        <f>_xlfn.XLOOKUP(Tabla2__2[[#This Row],[CODIGO RUTA]],'DATA INFORME'!I:I,'DATA INFORME'!K:K)</f>
        <v>SI</v>
      </c>
      <c r="M85" s="37" t="str">
        <f>IF(Tabla2__2[[#This Row],[MYSTERY EFECTIVO]]="SI",_xlfn.XLOOKUP(Tabla2__2[[#This Row],[PREGUNTA]],ENCUESTA!G:G,ENCUESTA!D:D),"N/A")</f>
        <v>N/A</v>
      </c>
      <c r="N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5" s="37" t="str">
        <f>_xlfn.XLOOKUP(Tabla2__2[[#This Row],[PREGUNTA]],ENCUESTA!G:G,ENCUESTA!H:H)</f>
        <v>MODERNO, ESPECIALIZADO</v>
      </c>
      <c r="P85" s="37">
        <f>IF(Tabla2__2[[#This Row],[RTA]]=Tabla2__2[[#This Row],[RTA CORRECTA]],Tabla2__2[[#This Row],[TOTAL PUNTAJE]],0)</f>
        <v>0</v>
      </c>
      <c r="Q85" s="37">
        <f t="shared" si="1"/>
        <v>0</v>
      </c>
      <c r="R85" s="37"/>
    </row>
    <row r="86" spans="1:18" x14ac:dyDescent="0.25">
      <c r="A86" s="37" t="s">
        <v>107</v>
      </c>
      <c r="B86" s="37" t="s">
        <v>93</v>
      </c>
      <c r="C86" t="s">
        <v>14</v>
      </c>
      <c r="D86" s="37" t="s">
        <v>113</v>
      </c>
      <c r="E86" s="37">
        <v>65453</v>
      </c>
      <c r="F86" s="37" t="s">
        <v>245</v>
      </c>
      <c r="G86" s="37" t="s">
        <v>97</v>
      </c>
      <c r="H86" s="37" t="s">
        <v>20</v>
      </c>
      <c r="I86" s="38"/>
      <c r="J86" s="37">
        <v>27498090</v>
      </c>
      <c r="K86" s="37" t="s">
        <v>127</v>
      </c>
      <c r="L86" s="37" t="str">
        <f>_xlfn.XLOOKUP(Tabla2__2[[#This Row],[CODIGO RUTA]],'DATA INFORME'!I:I,'DATA INFORME'!K:K)</f>
        <v>SI</v>
      </c>
      <c r="M86" s="37" t="str">
        <f>IF(Tabla2__2[[#This Row],[MYSTERY EFECTIVO]]="SI",_xlfn.XLOOKUP(Tabla2__2[[#This Row],[PREGUNTA]],ENCUESTA!G:G,ENCUESTA!D:D),"N/A")</f>
        <v>HORARIO</v>
      </c>
      <c r="N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6" s="37" t="str">
        <f>_xlfn.XLOOKUP(Tabla2__2[[#This Row],[PREGUNTA]],ENCUESTA!G:G,ENCUESTA!H:H)</f>
        <v>SI</v>
      </c>
      <c r="P86" s="37">
        <f>IF(Tabla2__2[[#This Row],[RTA]]=Tabla2__2[[#This Row],[RTA CORRECTA]],Tabla2__2[[#This Row],[TOTAL PUNTAJE]],0)</f>
        <v>20</v>
      </c>
      <c r="Q86" s="37">
        <f t="shared" si="1"/>
        <v>0</v>
      </c>
      <c r="R86" s="37"/>
    </row>
    <row r="87" spans="1:18" x14ac:dyDescent="0.25">
      <c r="A87" s="37" t="s">
        <v>107</v>
      </c>
      <c r="B87" s="37" t="s">
        <v>93</v>
      </c>
      <c r="C87" t="s">
        <v>14</v>
      </c>
      <c r="D87" s="37" t="s">
        <v>161</v>
      </c>
      <c r="E87" s="37">
        <v>191495</v>
      </c>
      <c r="F87" s="37" t="s">
        <v>240</v>
      </c>
      <c r="G87" s="37" t="s">
        <v>137</v>
      </c>
      <c r="H87" s="37" t="s">
        <v>20</v>
      </c>
      <c r="I87" s="38"/>
      <c r="J87" s="37">
        <v>27498086</v>
      </c>
      <c r="K87" s="37" t="s">
        <v>127</v>
      </c>
      <c r="L87" s="37" t="str">
        <f>_xlfn.XLOOKUP(Tabla2__2[[#This Row],[CODIGO RUTA]],'DATA INFORME'!I:I,'DATA INFORME'!K:K)</f>
        <v>SI</v>
      </c>
      <c r="M87" s="37" t="str">
        <f>IF(Tabla2__2[[#This Row],[MYSTERY EFECTIVO]]="SI",_xlfn.XLOOKUP(Tabla2__2[[#This Row],[PREGUNTA]],ENCUESTA!G:G,ENCUESTA!D:D),"N/A")</f>
        <v>PORTAFOLIO Y MANEJO DE OBJECIONES</v>
      </c>
      <c r="N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87" s="37" t="str">
        <f>_xlfn.XLOOKUP(Tabla2__2[[#This Row],[PREGUNTA]],ENCUESTA!G:G,ENCUESTA!H:H)</f>
        <v>SI</v>
      </c>
      <c r="P87" s="37">
        <f>IF(Tabla2__2[[#This Row],[RTA]]=Tabla2__2[[#This Row],[RTA CORRECTA]],Tabla2__2[[#This Row],[TOTAL PUNTAJE]],0)</f>
        <v>1.5384615384615385</v>
      </c>
      <c r="Q87" s="37">
        <f t="shared" si="1"/>
        <v>0</v>
      </c>
      <c r="R87" s="37"/>
    </row>
    <row r="88" spans="1:18" x14ac:dyDescent="0.25">
      <c r="A88" s="37" t="s">
        <v>107</v>
      </c>
      <c r="B88" s="37" t="s">
        <v>93</v>
      </c>
      <c r="C88" t="s">
        <v>14</v>
      </c>
      <c r="D88" s="37" t="s">
        <v>161</v>
      </c>
      <c r="E88" s="37">
        <v>191495</v>
      </c>
      <c r="F88" s="37" t="s">
        <v>240</v>
      </c>
      <c r="G88" s="37" t="s">
        <v>157</v>
      </c>
      <c r="H88" s="37" t="s">
        <v>106</v>
      </c>
      <c r="I88" s="38"/>
      <c r="J88" s="37">
        <v>27498086</v>
      </c>
      <c r="K88" s="37" t="s">
        <v>127</v>
      </c>
      <c r="L88" s="37" t="str">
        <f>_xlfn.XLOOKUP(Tabla2__2[[#This Row],[CODIGO RUTA]],'DATA INFORME'!I:I,'DATA INFORME'!K:K)</f>
        <v>SI</v>
      </c>
      <c r="M88" s="37" t="str">
        <f>IF(Tabla2__2[[#This Row],[MYSTERY EFECTIVO]]="SI",_xlfn.XLOOKUP(Tabla2__2[[#This Row],[PREGUNTA]],ENCUESTA!G:G,ENCUESTA!D:D),"N/A")</f>
        <v>N/A</v>
      </c>
      <c r="N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8" s="37">
        <f>_xlfn.XLOOKUP(Tabla2__2[[#This Row],[PREGUNTA]],ENCUESTA!G:G,ENCUESTA!H:H)</f>
        <v>0</v>
      </c>
      <c r="P88" s="37">
        <f>IF(Tabla2__2[[#This Row],[RTA]]=Tabla2__2[[#This Row],[RTA CORRECTA]],Tabla2__2[[#This Row],[TOTAL PUNTAJE]],0)</f>
        <v>0</v>
      </c>
      <c r="Q88" s="37">
        <f t="shared" si="1"/>
        <v>0</v>
      </c>
      <c r="R88" s="37"/>
    </row>
    <row r="89" spans="1:18" x14ac:dyDescent="0.25">
      <c r="A89" s="37" t="s">
        <v>107</v>
      </c>
      <c r="B89" s="37" t="s">
        <v>112</v>
      </c>
      <c r="C89" t="s">
        <v>14</v>
      </c>
      <c r="D89" s="37" t="s">
        <v>232</v>
      </c>
      <c r="E89" s="37">
        <v>356625</v>
      </c>
      <c r="F89" s="37" t="s">
        <v>235</v>
      </c>
      <c r="G89" s="37" t="s">
        <v>154</v>
      </c>
      <c r="H89" s="37" t="s">
        <v>20</v>
      </c>
      <c r="I89" s="38"/>
      <c r="J89" s="37">
        <v>27493887</v>
      </c>
      <c r="K89" s="37" t="s">
        <v>117</v>
      </c>
      <c r="L89" s="37" t="str">
        <f>_xlfn.XLOOKUP(Tabla2__2[[#This Row],[CODIGO RUTA]],'DATA INFORME'!I:I,'DATA INFORME'!K:K)</f>
        <v>SI</v>
      </c>
      <c r="M89" s="37" t="str">
        <f>IF(Tabla2__2[[#This Row],[MYSTERY EFECTIVO]]="SI",_xlfn.XLOOKUP(Tabla2__2[[#This Row],[PREGUNTA]],ENCUESTA!G:G,ENCUESTA!D:D),"N/A")</f>
        <v>UNIFORME</v>
      </c>
      <c r="N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89" s="37" t="str">
        <f>_xlfn.XLOOKUP(Tabla2__2[[#This Row],[PREGUNTA]],ENCUESTA!G:G,ENCUESTA!H:H)</f>
        <v>SI</v>
      </c>
      <c r="P89" s="37">
        <f>IF(Tabla2__2[[#This Row],[RTA]]=Tabla2__2[[#This Row],[RTA CORRECTA]],Tabla2__2[[#This Row],[TOTAL PUNTAJE]],0)</f>
        <v>1.3636363636363635</v>
      </c>
      <c r="Q89" s="37">
        <f t="shared" si="1"/>
        <v>0</v>
      </c>
      <c r="R89" s="37"/>
    </row>
    <row r="90" spans="1:18" x14ac:dyDescent="0.25">
      <c r="A90" s="37" t="s">
        <v>107</v>
      </c>
      <c r="B90" s="37" t="s">
        <v>112</v>
      </c>
      <c r="C90" t="s">
        <v>14</v>
      </c>
      <c r="D90" s="37" t="s">
        <v>232</v>
      </c>
      <c r="E90" s="37">
        <v>356625</v>
      </c>
      <c r="F90" s="37" t="s">
        <v>235</v>
      </c>
      <c r="G90" s="37" t="s">
        <v>153</v>
      </c>
      <c r="H90" s="37" t="s">
        <v>20</v>
      </c>
      <c r="I90" s="38"/>
      <c r="J90" s="37">
        <v>27493887</v>
      </c>
      <c r="K90" s="37" t="s">
        <v>117</v>
      </c>
      <c r="L90" s="37" t="str">
        <f>_xlfn.XLOOKUP(Tabla2__2[[#This Row],[CODIGO RUTA]],'DATA INFORME'!I:I,'DATA INFORME'!K:K)</f>
        <v>SI</v>
      </c>
      <c r="M90" s="37" t="str">
        <f>IF(Tabla2__2[[#This Row],[MYSTERY EFECTIVO]]="SI",_xlfn.XLOOKUP(Tabla2__2[[#This Row],[PREGUNTA]],ENCUESTA!G:G,ENCUESTA!D:D),"N/A")</f>
        <v>PORTAFOLIO Y MANEJO DE OBJECIONES</v>
      </c>
      <c r="N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0" s="37" t="str">
        <f>_xlfn.XLOOKUP(Tabla2__2[[#This Row],[PREGUNTA]],ENCUESTA!G:G,ENCUESTA!H:H)</f>
        <v>SI</v>
      </c>
      <c r="P90" s="37">
        <f>IF(Tabla2__2[[#This Row],[RTA]]=Tabla2__2[[#This Row],[RTA CORRECTA]],Tabla2__2[[#This Row],[TOTAL PUNTAJE]],0)</f>
        <v>1.5384615384615385</v>
      </c>
      <c r="Q90" s="37">
        <f t="shared" si="1"/>
        <v>0</v>
      </c>
      <c r="R90" s="37"/>
    </row>
    <row r="91" spans="1:18" x14ac:dyDescent="0.25">
      <c r="A91" s="37" t="s">
        <v>107</v>
      </c>
      <c r="B91" s="37" t="s">
        <v>112</v>
      </c>
      <c r="C91" t="s">
        <v>14</v>
      </c>
      <c r="D91" s="37" t="s">
        <v>232</v>
      </c>
      <c r="E91" s="37">
        <v>356625</v>
      </c>
      <c r="F91" s="37" t="s">
        <v>235</v>
      </c>
      <c r="G91" s="37" t="s">
        <v>152</v>
      </c>
      <c r="H91" s="37" t="s">
        <v>188</v>
      </c>
      <c r="I91" s="38"/>
      <c r="J91" s="37">
        <v>27493887</v>
      </c>
      <c r="K91" s="37" t="s">
        <v>117</v>
      </c>
      <c r="L91" s="37" t="str">
        <f>_xlfn.XLOOKUP(Tabla2__2[[#This Row],[CODIGO RUTA]],'DATA INFORME'!I:I,'DATA INFORME'!K:K)</f>
        <v>SI</v>
      </c>
      <c r="M91" s="37" t="str">
        <f>IF(Tabla2__2[[#This Row],[MYSTERY EFECTIVO]]="SI",_xlfn.XLOOKUP(Tabla2__2[[#This Row],[PREGUNTA]],ENCUESTA!G:G,ENCUESTA!D:D),"N/A")</f>
        <v>N/A</v>
      </c>
      <c r="N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1" s="37" t="str">
        <f>_xlfn.XLOOKUP(Tabla2__2[[#This Row],[PREGUNTA]],ENCUESTA!G:G,ENCUESTA!H:H)</f>
        <v>FALTA DE PRODUCTO, NO LE INTERESA EL PRODUCTO, NO TIENE DINERO, PREFIERE LA COMPETENCIA</v>
      </c>
      <c r="P91" s="37">
        <f>IF(Tabla2__2[[#This Row],[RTA]]=Tabla2__2[[#This Row],[RTA CORRECTA]],Tabla2__2[[#This Row],[TOTAL PUNTAJE]],0)</f>
        <v>0</v>
      </c>
      <c r="Q91" s="37">
        <f t="shared" si="1"/>
        <v>0</v>
      </c>
      <c r="R91" s="37"/>
    </row>
    <row r="92" spans="1:18" x14ac:dyDescent="0.25">
      <c r="A92" s="37" t="s">
        <v>107</v>
      </c>
      <c r="B92" s="37" t="s">
        <v>112</v>
      </c>
      <c r="C92" t="s">
        <v>14</v>
      </c>
      <c r="D92" s="37" t="s">
        <v>232</v>
      </c>
      <c r="E92" s="37">
        <v>356625</v>
      </c>
      <c r="F92" s="37" t="s">
        <v>235</v>
      </c>
      <c r="G92" s="37" t="s">
        <v>151</v>
      </c>
      <c r="H92" s="37" t="s">
        <v>106</v>
      </c>
      <c r="I92" s="38"/>
      <c r="J92" s="37">
        <v>27493887</v>
      </c>
      <c r="K92" s="37" t="s">
        <v>117</v>
      </c>
      <c r="L92" s="37" t="str">
        <f>_xlfn.XLOOKUP(Tabla2__2[[#This Row],[CODIGO RUTA]],'DATA INFORME'!I:I,'DATA INFORME'!K:K)</f>
        <v>SI</v>
      </c>
      <c r="M92" s="37" t="str">
        <f>IF(Tabla2__2[[#This Row],[MYSTERY EFECTIVO]]="SI",_xlfn.XLOOKUP(Tabla2__2[[#This Row],[PREGUNTA]],ENCUESTA!G:G,ENCUESTA!D:D),"N/A")</f>
        <v>ACTIVIDADES DEL MES</v>
      </c>
      <c r="N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92" s="37" t="str">
        <f>_xlfn.XLOOKUP(Tabla2__2[[#This Row],[PREGUNTA]],ENCUESTA!G:G,ENCUESTA!H:H)</f>
        <v>SI</v>
      </c>
      <c r="P92" s="37">
        <f>IF(Tabla2__2[[#This Row],[RTA]]=Tabla2__2[[#This Row],[RTA CORRECTA]],Tabla2__2[[#This Row],[TOTAL PUNTAJE]],0)</f>
        <v>0</v>
      </c>
      <c r="Q92" s="37">
        <f t="shared" si="1"/>
        <v>0</v>
      </c>
      <c r="R92" s="37"/>
    </row>
    <row r="93" spans="1:18" x14ac:dyDescent="0.25">
      <c r="A93" s="37" t="s">
        <v>107</v>
      </c>
      <c r="B93" s="37" t="s">
        <v>112</v>
      </c>
      <c r="C93" t="s">
        <v>14</v>
      </c>
      <c r="D93" s="37" t="s">
        <v>232</v>
      </c>
      <c r="E93" s="37">
        <v>356625</v>
      </c>
      <c r="F93" s="37" t="s">
        <v>235</v>
      </c>
      <c r="G93" s="37" t="s">
        <v>150</v>
      </c>
      <c r="H93" s="37" t="s">
        <v>106</v>
      </c>
      <c r="I93" s="38"/>
      <c r="J93" s="37">
        <v>27493887</v>
      </c>
      <c r="K93" s="37" t="s">
        <v>117</v>
      </c>
      <c r="L93" s="37" t="str">
        <f>_xlfn.XLOOKUP(Tabla2__2[[#This Row],[CODIGO RUTA]],'DATA INFORME'!I:I,'DATA INFORME'!K:K)</f>
        <v>SI</v>
      </c>
      <c r="M93" s="37" t="str">
        <f>IF(Tabla2__2[[#This Row],[MYSTERY EFECTIVO]]="SI",_xlfn.XLOOKUP(Tabla2__2[[#This Row],[PREGUNTA]],ENCUESTA!G:G,ENCUESTA!D:D),"N/A")</f>
        <v>PORTAFOLIO Y MANEJO DE OBJECIONES</v>
      </c>
      <c r="N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3" s="37" t="str">
        <f>_xlfn.XLOOKUP(Tabla2__2[[#This Row],[PREGUNTA]],ENCUESTA!G:G,ENCUESTA!H:H)</f>
        <v>SI</v>
      </c>
      <c r="P93" s="37">
        <f>IF(Tabla2__2[[#This Row],[RTA]]=Tabla2__2[[#This Row],[RTA CORRECTA]],Tabla2__2[[#This Row],[TOTAL PUNTAJE]],0)</f>
        <v>0</v>
      </c>
      <c r="Q93" s="37">
        <f t="shared" si="1"/>
        <v>0</v>
      </c>
      <c r="R93" s="37"/>
    </row>
    <row r="94" spans="1:18" x14ac:dyDescent="0.25">
      <c r="A94" s="37" t="s">
        <v>107</v>
      </c>
      <c r="B94" s="37" t="s">
        <v>112</v>
      </c>
      <c r="C94" t="s">
        <v>14</v>
      </c>
      <c r="D94" s="37" t="s">
        <v>232</v>
      </c>
      <c r="E94" s="37">
        <v>356625</v>
      </c>
      <c r="F94" s="37" t="s">
        <v>235</v>
      </c>
      <c r="G94" s="37" t="s">
        <v>149</v>
      </c>
      <c r="H94" s="37" t="s">
        <v>106</v>
      </c>
      <c r="I94" s="38"/>
      <c r="J94" s="37">
        <v>27493887</v>
      </c>
      <c r="K94" s="37" t="s">
        <v>117</v>
      </c>
      <c r="L94" s="37" t="str">
        <f>_xlfn.XLOOKUP(Tabla2__2[[#This Row],[CODIGO RUTA]],'DATA INFORME'!I:I,'DATA INFORME'!K:K)</f>
        <v>SI</v>
      </c>
      <c r="M94" s="37" t="str">
        <f>IF(Tabla2__2[[#This Row],[MYSTERY EFECTIVO]]="SI",_xlfn.XLOOKUP(Tabla2__2[[#This Row],[PREGUNTA]],ENCUESTA!G:G,ENCUESTA!D:D),"N/A")</f>
        <v>PORTAFOLIO Y MANEJO DE OBJECIONES</v>
      </c>
      <c r="N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4" s="37" t="str">
        <f>_xlfn.XLOOKUP(Tabla2__2[[#This Row],[PREGUNTA]],ENCUESTA!G:G,ENCUESTA!H:H)</f>
        <v>SI</v>
      </c>
      <c r="P94" s="37">
        <f>IF(Tabla2__2[[#This Row],[RTA]]=Tabla2__2[[#This Row],[RTA CORRECTA]],Tabla2__2[[#This Row],[TOTAL PUNTAJE]],0)</f>
        <v>0</v>
      </c>
      <c r="Q94" s="37">
        <f t="shared" si="1"/>
        <v>0</v>
      </c>
      <c r="R94" s="37"/>
    </row>
    <row r="95" spans="1:18" x14ac:dyDescent="0.25">
      <c r="A95" s="37" t="s">
        <v>107</v>
      </c>
      <c r="B95" s="37" t="s">
        <v>112</v>
      </c>
      <c r="C95" t="s">
        <v>14</v>
      </c>
      <c r="D95" s="37" t="s">
        <v>232</v>
      </c>
      <c r="E95" s="37">
        <v>356625</v>
      </c>
      <c r="F95" s="37" t="s">
        <v>235</v>
      </c>
      <c r="G95" s="37" t="s">
        <v>148</v>
      </c>
      <c r="H95" s="37" t="s">
        <v>106</v>
      </c>
      <c r="I95" s="38"/>
      <c r="J95" s="37">
        <v>27493887</v>
      </c>
      <c r="K95" s="37" t="s">
        <v>117</v>
      </c>
      <c r="L95" s="37" t="str">
        <f>_xlfn.XLOOKUP(Tabla2__2[[#This Row],[CODIGO RUTA]],'DATA INFORME'!I:I,'DATA INFORME'!K:K)</f>
        <v>SI</v>
      </c>
      <c r="M95" s="37" t="str">
        <f>IF(Tabla2__2[[#This Row],[MYSTERY EFECTIVO]]="SI",_xlfn.XLOOKUP(Tabla2__2[[#This Row],[PREGUNTA]],ENCUESTA!G:G,ENCUESTA!D:D),"N/A")</f>
        <v>PORTAFOLIO Y MANEJO DE OBJECIONES</v>
      </c>
      <c r="N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5" s="37" t="str">
        <f>_xlfn.XLOOKUP(Tabla2__2[[#This Row],[PREGUNTA]],ENCUESTA!G:G,ENCUESTA!H:H)</f>
        <v>SI</v>
      </c>
      <c r="P95" s="37">
        <f>IF(Tabla2__2[[#This Row],[RTA]]=Tabla2__2[[#This Row],[RTA CORRECTA]],Tabla2__2[[#This Row],[TOTAL PUNTAJE]],0)</f>
        <v>0</v>
      </c>
      <c r="Q95" s="37">
        <f t="shared" si="1"/>
        <v>0</v>
      </c>
      <c r="R95" s="37"/>
    </row>
    <row r="96" spans="1:18" x14ac:dyDescent="0.25">
      <c r="A96" s="37" t="s">
        <v>107</v>
      </c>
      <c r="B96" s="37" t="s">
        <v>112</v>
      </c>
      <c r="C96" t="s">
        <v>14</v>
      </c>
      <c r="D96" s="37" t="s">
        <v>232</v>
      </c>
      <c r="E96" s="37">
        <v>356625</v>
      </c>
      <c r="F96" s="37" t="s">
        <v>235</v>
      </c>
      <c r="G96" s="37" t="s">
        <v>147</v>
      </c>
      <c r="H96" s="37" t="s">
        <v>106</v>
      </c>
      <c r="I96" s="38"/>
      <c r="J96" s="37">
        <v>27493887</v>
      </c>
      <c r="K96" s="37" t="s">
        <v>117</v>
      </c>
      <c r="L96" s="37" t="str">
        <f>_xlfn.XLOOKUP(Tabla2__2[[#This Row],[CODIGO RUTA]],'DATA INFORME'!I:I,'DATA INFORME'!K:K)</f>
        <v>SI</v>
      </c>
      <c r="M96" s="37" t="str">
        <f>IF(Tabla2__2[[#This Row],[MYSTERY EFECTIVO]]="SI",_xlfn.XLOOKUP(Tabla2__2[[#This Row],[PREGUNTA]],ENCUESTA!G:G,ENCUESTA!D:D),"N/A")</f>
        <v>PORTAFOLIO Y MANEJO DE OBJECIONES</v>
      </c>
      <c r="N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6" s="37" t="str">
        <f>_xlfn.XLOOKUP(Tabla2__2[[#This Row],[PREGUNTA]],ENCUESTA!G:G,ENCUESTA!H:H)</f>
        <v>SI</v>
      </c>
      <c r="P96" s="37">
        <f>IF(Tabla2__2[[#This Row],[RTA]]=Tabla2__2[[#This Row],[RTA CORRECTA]],Tabla2__2[[#This Row],[TOTAL PUNTAJE]],0)</f>
        <v>0</v>
      </c>
      <c r="Q96" s="37">
        <f t="shared" si="1"/>
        <v>0</v>
      </c>
      <c r="R96" s="37"/>
    </row>
    <row r="97" spans="1:18" x14ac:dyDescent="0.25">
      <c r="A97" s="37" t="s">
        <v>107</v>
      </c>
      <c r="B97" s="37" t="s">
        <v>112</v>
      </c>
      <c r="C97" t="s">
        <v>14</v>
      </c>
      <c r="D97" s="37" t="s">
        <v>232</v>
      </c>
      <c r="E97" s="37">
        <v>356625</v>
      </c>
      <c r="F97" s="37" t="s">
        <v>235</v>
      </c>
      <c r="G97" s="37" t="s">
        <v>139</v>
      </c>
      <c r="H97" s="37" t="s">
        <v>169</v>
      </c>
      <c r="I97" s="38"/>
      <c r="J97" s="37">
        <v>27493887</v>
      </c>
      <c r="K97" s="37" t="s">
        <v>117</v>
      </c>
      <c r="L97" s="37" t="str">
        <f>_xlfn.XLOOKUP(Tabla2__2[[#This Row],[CODIGO RUTA]],'DATA INFORME'!I:I,'DATA INFORME'!K:K)</f>
        <v>SI</v>
      </c>
      <c r="M97" s="37" t="str">
        <f>IF(Tabla2__2[[#This Row],[MYSTERY EFECTIVO]]="SI",_xlfn.XLOOKUP(Tabla2__2[[#This Row],[PREGUNTA]],ENCUESTA!G:G,ENCUESTA!D:D),"N/A")</f>
        <v>N/A</v>
      </c>
      <c r="N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7" s="37" t="str">
        <f>_xlfn.XLOOKUP(Tabla2__2[[#This Row],[PREGUNTA]],ENCUESTA!G:G,ENCUESTA!H:H)</f>
        <v>MODERNO, ESPECIALIZADO</v>
      </c>
      <c r="P97" s="37">
        <f>IF(Tabla2__2[[#This Row],[RTA]]=Tabla2__2[[#This Row],[RTA CORRECTA]],Tabla2__2[[#This Row],[TOTAL PUNTAJE]],0)</f>
        <v>0</v>
      </c>
      <c r="Q97" s="37">
        <f t="shared" si="1"/>
        <v>0</v>
      </c>
      <c r="R97" s="37"/>
    </row>
    <row r="98" spans="1:18" x14ac:dyDescent="0.25">
      <c r="A98" s="37" t="s">
        <v>107</v>
      </c>
      <c r="B98" s="37" t="s">
        <v>112</v>
      </c>
      <c r="C98" t="s">
        <v>14</v>
      </c>
      <c r="D98" s="37" t="s">
        <v>232</v>
      </c>
      <c r="E98" s="37">
        <v>356625</v>
      </c>
      <c r="F98" s="37" t="s">
        <v>235</v>
      </c>
      <c r="G98" s="37" t="s">
        <v>138</v>
      </c>
      <c r="H98" s="37" t="s">
        <v>20</v>
      </c>
      <c r="I98" s="38"/>
      <c r="J98" s="37">
        <v>27493887</v>
      </c>
      <c r="K98" s="37" t="s">
        <v>117</v>
      </c>
      <c r="L98" s="37" t="str">
        <f>_xlfn.XLOOKUP(Tabla2__2[[#This Row],[CODIGO RUTA]],'DATA INFORME'!I:I,'DATA INFORME'!K:K)</f>
        <v>SI</v>
      </c>
      <c r="M98" s="37" t="str">
        <f>IF(Tabla2__2[[#This Row],[MYSTERY EFECTIVO]]="SI",_xlfn.XLOOKUP(Tabla2__2[[#This Row],[PREGUNTA]],ENCUESTA!G:G,ENCUESTA!D:D),"N/A")</f>
        <v>PORTAFOLIO Y MANEJO DE OBJECIONES</v>
      </c>
      <c r="N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8" s="37" t="str">
        <f>_xlfn.XLOOKUP(Tabla2__2[[#This Row],[PREGUNTA]],ENCUESTA!G:G,ENCUESTA!H:H)</f>
        <v>SI</v>
      </c>
      <c r="P98" s="37">
        <f>IF(Tabla2__2[[#This Row],[RTA]]=Tabla2__2[[#This Row],[RTA CORRECTA]],Tabla2__2[[#This Row],[TOTAL PUNTAJE]],0)</f>
        <v>1.5384615384615385</v>
      </c>
      <c r="Q98" s="37">
        <f t="shared" si="1"/>
        <v>0</v>
      </c>
      <c r="R98" s="37"/>
    </row>
    <row r="99" spans="1:18" x14ac:dyDescent="0.25">
      <c r="A99" s="37" t="s">
        <v>107</v>
      </c>
      <c r="B99" s="37" t="s">
        <v>112</v>
      </c>
      <c r="C99" t="s">
        <v>14</v>
      </c>
      <c r="D99" s="37" t="s">
        <v>232</v>
      </c>
      <c r="E99" s="37">
        <v>356625</v>
      </c>
      <c r="F99" s="37" t="s">
        <v>235</v>
      </c>
      <c r="G99" s="37" t="s">
        <v>137</v>
      </c>
      <c r="H99" s="37" t="s">
        <v>20</v>
      </c>
      <c r="I99" s="38"/>
      <c r="J99" s="37">
        <v>27493887</v>
      </c>
      <c r="K99" s="37" t="s">
        <v>117</v>
      </c>
      <c r="L99" s="37" t="str">
        <f>_xlfn.XLOOKUP(Tabla2__2[[#This Row],[CODIGO RUTA]],'DATA INFORME'!I:I,'DATA INFORME'!K:K)</f>
        <v>SI</v>
      </c>
      <c r="M99" s="37" t="str">
        <f>IF(Tabla2__2[[#This Row],[MYSTERY EFECTIVO]]="SI",_xlfn.XLOOKUP(Tabla2__2[[#This Row],[PREGUNTA]],ENCUESTA!G:G,ENCUESTA!D:D),"N/A")</f>
        <v>PORTAFOLIO Y MANEJO DE OBJECIONES</v>
      </c>
      <c r="N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99" s="37" t="str">
        <f>_xlfn.XLOOKUP(Tabla2__2[[#This Row],[PREGUNTA]],ENCUESTA!G:G,ENCUESTA!H:H)</f>
        <v>SI</v>
      </c>
      <c r="P99" s="37">
        <f>IF(Tabla2__2[[#This Row],[RTA]]=Tabla2__2[[#This Row],[RTA CORRECTA]],Tabla2__2[[#This Row],[TOTAL PUNTAJE]],0)</f>
        <v>1.5384615384615385</v>
      </c>
      <c r="Q99" s="37">
        <f t="shared" si="1"/>
        <v>0</v>
      </c>
      <c r="R99" s="37"/>
    </row>
    <row r="100" spans="1:18" x14ac:dyDescent="0.25">
      <c r="A100" s="37" t="s">
        <v>107</v>
      </c>
      <c r="B100" s="37" t="s">
        <v>112</v>
      </c>
      <c r="C100" t="s">
        <v>14</v>
      </c>
      <c r="D100" s="37" t="s">
        <v>232</v>
      </c>
      <c r="E100" s="37">
        <v>356625</v>
      </c>
      <c r="F100" s="37" t="s">
        <v>235</v>
      </c>
      <c r="G100" s="37" t="s">
        <v>155</v>
      </c>
      <c r="H100" s="37" t="s">
        <v>20</v>
      </c>
      <c r="I100" s="38"/>
      <c r="J100" s="37">
        <v>27493887</v>
      </c>
      <c r="K100" s="37" t="s">
        <v>117</v>
      </c>
      <c r="L100" s="37" t="str">
        <f>_xlfn.XLOOKUP(Tabla2__2[[#This Row],[CODIGO RUTA]],'DATA INFORME'!I:I,'DATA INFORME'!K:K)</f>
        <v>SI</v>
      </c>
      <c r="M100" s="37" t="str">
        <f>IF(Tabla2__2[[#This Row],[MYSTERY EFECTIVO]]="SI",_xlfn.XLOOKUP(Tabla2__2[[#This Row],[PREGUNTA]],ENCUESTA!G:G,ENCUESTA!D:D),"N/A")</f>
        <v>LABOR DE VENTA</v>
      </c>
      <c r="N1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00" s="37" t="str">
        <f>_xlfn.XLOOKUP(Tabla2__2[[#This Row],[PREGUNTA]],ENCUESTA!G:G,ENCUESTA!H:H)</f>
        <v>SI</v>
      </c>
      <c r="P100" s="37">
        <f>IF(Tabla2__2[[#This Row],[RTA]]=Tabla2__2[[#This Row],[RTA CORRECTA]],Tabla2__2[[#This Row],[TOTAL PUNTAJE]],0)</f>
        <v>7.5</v>
      </c>
      <c r="Q100" s="37">
        <f t="shared" si="1"/>
        <v>0</v>
      </c>
      <c r="R100" s="37"/>
    </row>
    <row r="101" spans="1:18" x14ac:dyDescent="0.25">
      <c r="A101" s="37" t="s">
        <v>107</v>
      </c>
      <c r="B101" s="37" t="s">
        <v>112</v>
      </c>
      <c r="C101" t="s">
        <v>14</v>
      </c>
      <c r="D101" s="37" t="s">
        <v>232</v>
      </c>
      <c r="E101" s="37">
        <v>356625</v>
      </c>
      <c r="F101" s="37" t="s">
        <v>235</v>
      </c>
      <c r="G101" s="37" t="s">
        <v>136</v>
      </c>
      <c r="H101" s="37" t="s">
        <v>20</v>
      </c>
      <c r="I101" s="38"/>
      <c r="J101" s="37">
        <v>27493887</v>
      </c>
      <c r="K101" s="37" t="s">
        <v>117</v>
      </c>
      <c r="L101" s="37" t="str">
        <f>_xlfn.XLOOKUP(Tabla2__2[[#This Row],[CODIGO RUTA]],'DATA INFORME'!I:I,'DATA INFORME'!K:K)</f>
        <v>SI</v>
      </c>
      <c r="M101" s="37" t="str">
        <f>IF(Tabla2__2[[#This Row],[MYSTERY EFECTIVO]]="SI",_xlfn.XLOOKUP(Tabla2__2[[#This Row],[PREGUNTA]],ENCUESTA!G:G,ENCUESTA!D:D),"N/A")</f>
        <v>ABORDAJE</v>
      </c>
      <c r="N1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01" s="37" t="str">
        <f>_xlfn.XLOOKUP(Tabla2__2[[#This Row],[PREGUNTA]],ENCUESTA!G:G,ENCUESTA!H:H)</f>
        <v>SI</v>
      </c>
      <c r="P101" s="37">
        <f>IF(Tabla2__2[[#This Row],[RTA]]=Tabla2__2[[#This Row],[RTA CORRECTA]],Tabla2__2[[#This Row],[TOTAL PUNTAJE]],0)</f>
        <v>20</v>
      </c>
      <c r="Q101" s="37">
        <f t="shared" si="1"/>
        <v>0</v>
      </c>
      <c r="R101" s="37"/>
    </row>
    <row r="102" spans="1:18" x14ac:dyDescent="0.25">
      <c r="A102" s="37" t="s">
        <v>107</v>
      </c>
      <c r="B102" s="37" t="s">
        <v>112</v>
      </c>
      <c r="C102" t="s">
        <v>14</v>
      </c>
      <c r="D102" s="37" t="s">
        <v>232</v>
      </c>
      <c r="E102" s="37">
        <v>356625</v>
      </c>
      <c r="F102" s="37" t="s">
        <v>235</v>
      </c>
      <c r="G102" s="37" t="s">
        <v>103</v>
      </c>
      <c r="H102" s="37" t="s">
        <v>106</v>
      </c>
      <c r="I102" s="38"/>
      <c r="J102" s="37">
        <v>27493887</v>
      </c>
      <c r="K102" s="37" t="s">
        <v>117</v>
      </c>
      <c r="L102" s="37" t="str">
        <f>_xlfn.XLOOKUP(Tabla2__2[[#This Row],[CODIGO RUTA]],'DATA INFORME'!I:I,'DATA INFORME'!K:K)</f>
        <v>SI</v>
      </c>
      <c r="M102" s="37" t="str">
        <f>IF(Tabla2__2[[#This Row],[MYSTERY EFECTIVO]]="SI",_xlfn.XLOOKUP(Tabla2__2[[#This Row],[PREGUNTA]],ENCUESTA!G:G,ENCUESTA!D:D),"N/A")</f>
        <v>UNIFORME</v>
      </c>
      <c r="N1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2" s="37" t="str">
        <f>_xlfn.XLOOKUP(Tabla2__2[[#This Row],[PREGUNTA]],ENCUESTA!G:G,ENCUESTA!H:H)</f>
        <v>NO</v>
      </c>
      <c r="P102" s="37">
        <f>IF(Tabla2__2[[#This Row],[RTA]]=Tabla2__2[[#This Row],[RTA CORRECTA]],Tabla2__2[[#This Row],[TOTAL PUNTAJE]],0)</f>
        <v>1.3636363636363635</v>
      </c>
      <c r="Q102" s="37">
        <f t="shared" si="1"/>
        <v>0</v>
      </c>
      <c r="R102" s="37"/>
    </row>
    <row r="103" spans="1:18" x14ac:dyDescent="0.25">
      <c r="A103" s="37" t="s">
        <v>107</v>
      </c>
      <c r="B103" s="37" t="s">
        <v>112</v>
      </c>
      <c r="C103" t="s">
        <v>14</v>
      </c>
      <c r="D103" s="37" t="s">
        <v>232</v>
      </c>
      <c r="E103" s="37">
        <v>356625</v>
      </c>
      <c r="F103" s="37" t="s">
        <v>235</v>
      </c>
      <c r="G103" s="37" t="s">
        <v>102</v>
      </c>
      <c r="H103" s="37" t="s">
        <v>106</v>
      </c>
      <c r="I103" s="38"/>
      <c r="J103" s="37">
        <v>27493887</v>
      </c>
      <c r="K103" s="37" t="s">
        <v>117</v>
      </c>
      <c r="L103" s="37" t="str">
        <f>_xlfn.XLOOKUP(Tabla2__2[[#This Row],[CODIGO RUTA]],'DATA INFORME'!I:I,'DATA INFORME'!K:K)</f>
        <v>SI</v>
      </c>
      <c r="M103" s="37" t="str">
        <f>IF(Tabla2__2[[#This Row],[MYSTERY EFECTIVO]]="SI",_xlfn.XLOOKUP(Tabla2__2[[#This Row],[PREGUNTA]],ENCUESTA!G:G,ENCUESTA!D:D),"N/A")</f>
        <v>UNIFORME</v>
      </c>
      <c r="N1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3" s="37" t="str">
        <f>_xlfn.XLOOKUP(Tabla2__2[[#This Row],[PREGUNTA]],ENCUESTA!G:G,ENCUESTA!H:H)</f>
        <v>NO</v>
      </c>
      <c r="P103" s="37">
        <f>IF(Tabla2__2[[#This Row],[RTA]]=Tabla2__2[[#This Row],[RTA CORRECTA]],Tabla2__2[[#This Row],[TOTAL PUNTAJE]],0)</f>
        <v>1.3636363636363635</v>
      </c>
      <c r="Q103" s="37">
        <f t="shared" si="1"/>
        <v>0</v>
      </c>
      <c r="R103" s="37"/>
    </row>
    <row r="104" spans="1:18" x14ac:dyDescent="0.25">
      <c r="A104" s="37" t="s">
        <v>107</v>
      </c>
      <c r="B104" s="37" t="s">
        <v>112</v>
      </c>
      <c r="C104" t="s">
        <v>14</v>
      </c>
      <c r="D104" s="37" t="s">
        <v>232</v>
      </c>
      <c r="E104" s="37">
        <v>356625</v>
      </c>
      <c r="F104" s="37" t="s">
        <v>235</v>
      </c>
      <c r="G104" s="37" t="s">
        <v>101</v>
      </c>
      <c r="H104" s="37" t="s">
        <v>106</v>
      </c>
      <c r="I104" s="38"/>
      <c r="J104" s="37">
        <v>27493887</v>
      </c>
      <c r="K104" s="37" t="s">
        <v>117</v>
      </c>
      <c r="L104" s="37" t="str">
        <f>_xlfn.XLOOKUP(Tabla2__2[[#This Row],[CODIGO RUTA]],'DATA INFORME'!I:I,'DATA INFORME'!K:K)</f>
        <v>SI</v>
      </c>
      <c r="M104" s="37" t="str">
        <f>IF(Tabla2__2[[#This Row],[MYSTERY EFECTIVO]]="SI",_xlfn.XLOOKUP(Tabla2__2[[#This Row],[PREGUNTA]],ENCUESTA!G:G,ENCUESTA!D:D),"N/A")</f>
        <v>UNIFORME</v>
      </c>
      <c r="N1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4" s="37" t="str">
        <f>_xlfn.XLOOKUP(Tabla2__2[[#This Row],[PREGUNTA]],ENCUESTA!G:G,ENCUESTA!H:H)</f>
        <v>NO</v>
      </c>
      <c r="P104" s="37">
        <f>IF(Tabla2__2[[#This Row],[RTA]]=Tabla2__2[[#This Row],[RTA CORRECTA]],Tabla2__2[[#This Row],[TOTAL PUNTAJE]],0)</f>
        <v>1.3636363636363635</v>
      </c>
      <c r="Q104" s="37">
        <f t="shared" si="1"/>
        <v>0</v>
      </c>
      <c r="R104" s="37"/>
    </row>
    <row r="105" spans="1:18" x14ac:dyDescent="0.25">
      <c r="A105" s="37" t="s">
        <v>107</v>
      </c>
      <c r="B105" s="37" t="s">
        <v>112</v>
      </c>
      <c r="C105" t="s">
        <v>14</v>
      </c>
      <c r="D105" s="37" t="s">
        <v>232</v>
      </c>
      <c r="E105" s="37">
        <v>356625</v>
      </c>
      <c r="F105" s="37" t="s">
        <v>235</v>
      </c>
      <c r="G105" s="37" t="s">
        <v>100</v>
      </c>
      <c r="H105" s="37" t="s">
        <v>20</v>
      </c>
      <c r="I105" s="38"/>
      <c r="J105" s="37">
        <v>27493887</v>
      </c>
      <c r="K105" s="37" t="s">
        <v>117</v>
      </c>
      <c r="L105" s="37" t="str">
        <f>_xlfn.XLOOKUP(Tabla2__2[[#This Row],[CODIGO RUTA]],'DATA INFORME'!I:I,'DATA INFORME'!K:K)</f>
        <v>SI</v>
      </c>
      <c r="M105" s="37" t="str">
        <f>IF(Tabla2__2[[#This Row],[MYSTERY EFECTIVO]]="SI",_xlfn.XLOOKUP(Tabla2__2[[#This Row],[PREGUNTA]],ENCUESTA!G:G,ENCUESTA!D:D),"N/A")</f>
        <v>UNIFORME</v>
      </c>
      <c r="N1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5" s="37" t="str">
        <f>_xlfn.XLOOKUP(Tabla2__2[[#This Row],[PREGUNTA]],ENCUESTA!G:G,ENCUESTA!H:H)</f>
        <v>SI</v>
      </c>
      <c r="P105" s="37">
        <f>IF(Tabla2__2[[#This Row],[RTA]]=Tabla2__2[[#This Row],[RTA CORRECTA]],Tabla2__2[[#This Row],[TOTAL PUNTAJE]],0)</f>
        <v>1.3636363636363635</v>
      </c>
      <c r="Q105" s="37">
        <f t="shared" si="1"/>
        <v>0</v>
      </c>
      <c r="R105" s="37"/>
    </row>
    <row r="106" spans="1:18" x14ac:dyDescent="0.25">
      <c r="A106" s="37" t="s">
        <v>107</v>
      </c>
      <c r="B106" s="37" t="s">
        <v>112</v>
      </c>
      <c r="C106" t="s">
        <v>14</v>
      </c>
      <c r="D106" s="37" t="s">
        <v>232</v>
      </c>
      <c r="E106" s="37">
        <v>356625</v>
      </c>
      <c r="F106" s="37" t="s">
        <v>235</v>
      </c>
      <c r="G106" s="37" t="s">
        <v>99</v>
      </c>
      <c r="H106" s="37" t="s">
        <v>20</v>
      </c>
      <c r="I106" s="38"/>
      <c r="J106" s="37">
        <v>27493887</v>
      </c>
      <c r="K106" s="37" t="s">
        <v>117</v>
      </c>
      <c r="L106" s="37" t="str">
        <f>_xlfn.XLOOKUP(Tabla2__2[[#This Row],[CODIGO RUTA]],'DATA INFORME'!I:I,'DATA INFORME'!K:K)</f>
        <v>SI</v>
      </c>
      <c r="M106" s="37" t="str">
        <f>IF(Tabla2__2[[#This Row],[MYSTERY EFECTIVO]]="SI",_xlfn.XLOOKUP(Tabla2__2[[#This Row],[PREGUNTA]],ENCUESTA!G:G,ENCUESTA!D:D),"N/A")</f>
        <v>UNIFORME</v>
      </c>
      <c r="N1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6" s="37" t="str">
        <f>_xlfn.XLOOKUP(Tabla2__2[[#This Row],[PREGUNTA]],ENCUESTA!G:G,ENCUESTA!H:H)</f>
        <v>SI</v>
      </c>
      <c r="P106" s="37">
        <f>IF(Tabla2__2[[#This Row],[RTA]]=Tabla2__2[[#This Row],[RTA CORRECTA]],Tabla2__2[[#This Row],[TOTAL PUNTAJE]],0)</f>
        <v>1.3636363636363635</v>
      </c>
      <c r="Q106" s="37">
        <f t="shared" si="1"/>
        <v>0</v>
      </c>
      <c r="R106" s="37"/>
    </row>
    <row r="107" spans="1:18" x14ac:dyDescent="0.25">
      <c r="A107" s="37" t="s">
        <v>107</v>
      </c>
      <c r="B107" s="37" t="s">
        <v>112</v>
      </c>
      <c r="C107" t="s">
        <v>14</v>
      </c>
      <c r="D107" s="37" t="s">
        <v>232</v>
      </c>
      <c r="E107" s="37">
        <v>356625</v>
      </c>
      <c r="F107" s="37" t="s">
        <v>235</v>
      </c>
      <c r="G107" s="37" t="s">
        <v>135</v>
      </c>
      <c r="H107" s="37" t="s">
        <v>106</v>
      </c>
      <c r="I107" s="38"/>
      <c r="J107" s="37">
        <v>27493887</v>
      </c>
      <c r="K107" s="37" t="s">
        <v>117</v>
      </c>
      <c r="L107" s="37" t="str">
        <f>_xlfn.XLOOKUP(Tabla2__2[[#This Row],[CODIGO RUTA]],'DATA INFORME'!I:I,'DATA INFORME'!K:K)</f>
        <v>SI</v>
      </c>
      <c r="M107" s="37" t="str">
        <f>IF(Tabla2__2[[#This Row],[MYSTERY EFECTIVO]]="SI",_xlfn.XLOOKUP(Tabla2__2[[#This Row],[PREGUNTA]],ENCUESTA!G:G,ENCUESTA!D:D),"N/A")</f>
        <v>UNIFORME</v>
      </c>
      <c r="N1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7" s="37" t="str">
        <f>_xlfn.XLOOKUP(Tabla2__2[[#This Row],[PREGUNTA]],ENCUESTA!G:G,ENCUESTA!H:H)</f>
        <v>NO</v>
      </c>
      <c r="P107" s="37">
        <f>IF(Tabla2__2[[#This Row],[RTA]]=Tabla2__2[[#This Row],[RTA CORRECTA]],Tabla2__2[[#This Row],[TOTAL PUNTAJE]],0)</f>
        <v>1.3636363636363635</v>
      </c>
      <c r="Q107" s="37">
        <f t="shared" si="1"/>
        <v>0</v>
      </c>
      <c r="R107" s="37"/>
    </row>
    <row r="108" spans="1:18" x14ac:dyDescent="0.25">
      <c r="A108" s="37" t="s">
        <v>107</v>
      </c>
      <c r="B108" s="37" t="s">
        <v>112</v>
      </c>
      <c r="C108" t="s">
        <v>14</v>
      </c>
      <c r="D108" s="37" t="s">
        <v>232</v>
      </c>
      <c r="E108" s="37">
        <v>356625</v>
      </c>
      <c r="F108" s="37" t="s">
        <v>235</v>
      </c>
      <c r="G108" s="37" t="s">
        <v>35</v>
      </c>
      <c r="H108" s="37" t="s">
        <v>20</v>
      </c>
      <c r="I108" s="38"/>
      <c r="J108" s="37">
        <v>27493887</v>
      </c>
      <c r="K108" s="37" t="s">
        <v>117</v>
      </c>
      <c r="L108" s="37" t="str">
        <f>_xlfn.XLOOKUP(Tabla2__2[[#This Row],[CODIGO RUTA]],'DATA INFORME'!I:I,'DATA INFORME'!K:K)</f>
        <v>SI</v>
      </c>
      <c r="M108" s="37" t="str">
        <f>IF(Tabla2__2[[#This Row],[MYSTERY EFECTIVO]]="SI",_xlfn.XLOOKUP(Tabla2__2[[#This Row],[PREGUNTA]],ENCUESTA!G:G,ENCUESTA!D:D),"N/A")</f>
        <v>UNIFORME</v>
      </c>
      <c r="N1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8" s="37" t="str">
        <f>_xlfn.XLOOKUP(Tabla2__2[[#This Row],[PREGUNTA]],ENCUESTA!G:G,ENCUESTA!H:H)</f>
        <v>SI</v>
      </c>
      <c r="P108" s="37">
        <f>IF(Tabla2__2[[#This Row],[RTA]]=Tabla2__2[[#This Row],[RTA CORRECTA]],Tabla2__2[[#This Row],[TOTAL PUNTAJE]],0)</f>
        <v>1.3636363636363635</v>
      </c>
      <c r="Q108" s="37">
        <f t="shared" si="1"/>
        <v>0</v>
      </c>
      <c r="R108" s="37"/>
    </row>
    <row r="109" spans="1:18" x14ac:dyDescent="0.25">
      <c r="A109" s="37" t="s">
        <v>107</v>
      </c>
      <c r="B109" s="37" t="s">
        <v>112</v>
      </c>
      <c r="C109" t="s">
        <v>14</v>
      </c>
      <c r="D109" s="37" t="s">
        <v>232</v>
      </c>
      <c r="E109" s="37">
        <v>356625</v>
      </c>
      <c r="F109" s="37" t="s">
        <v>235</v>
      </c>
      <c r="G109" s="37" t="s">
        <v>134</v>
      </c>
      <c r="H109" s="37" t="s">
        <v>20</v>
      </c>
      <c r="I109" s="38"/>
      <c r="J109" s="37">
        <v>27493887</v>
      </c>
      <c r="K109" s="37" t="s">
        <v>117</v>
      </c>
      <c r="L109" s="37" t="str">
        <f>_xlfn.XLOOKUP(Tabla2__2[[#This Row],[CODIGO RUTA]],'DATA INFORME'!I:I,'DATA INFORME'!K:K)</f>
        <v>SI</v>
      </c>
      <c r="M109" s="37" t="str">
        <f>IF(Tabla2__2[[#This Row],[MYSTERY EFECTIVO]]="SI",_xlfn.XLOOKUP(Tabla2__2[[#This Row],[PREGUNTA]],ENCUESTA!G:G,ENCUESTA!D:D),"N/A")</f>
        <v>UNIFORME</v>
      </c>
      <c r="N1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09" s="37" t="str">
        <f>_xlfn.XLOOKUP(Tabla2__2[[#This Row],[PREGUNTA]],ENCUESTA!G:G,ENCUESTA!H:H)</f>
        <v>SI</v>
      </c>
      <c r="P109" s="37">
        <f>IF(Tabla2__2[[#This Row],[RTA]]=Tabla2__2[[#This Row],[RTA CORRECTA]],Tabla2__2[[#This Row],[TOTAL PUNTAJE]],0)</f>
        <v>1.3636363636363635</v>
      </c>
      <c r="Q109" s="37">
        <f t="shared" si="1"/>
        <v>0</v>
      </c>
      <c r="R109" s="37"/>
    </row>
    <row r="110" spans="1:18" x14ac:dyDescent="0.25">
      <c r="A110" s="37" t="s">
        <v>107</v>
      </c>
      <c r="B110" s="37" t="s">
        <v>112</v>
      </c>
      <c r="C110" t="s">
        <v>14</v>
      </c>
      <c r="D110" s="37" t="s">
        <v>232</v>
      </c>
      <c r="E110" s="37">
        <v>356625</v>
      </c>
      <c r="F110" s="37" t="s">
        <v>235</v>
      </c>
      <c r="G110" s="37" t="s">
        <v>98</v>
      </c>
      <c r="H110" s="37" t="s">
        <v>20</v>
      </c>
      <c r="I110" s="38"/>
      <c r="J110" s="37">
        <v>27493887</v>
      </c>
      <c r="K110" s="37" t="s">
        <v>117</v>
      </c>
      <c r="L110" s="37" t="str">
        <f>_xlfn.XLOOKUP(Tabla2__2[[#This Row],[CODIGO RUTA]],'DATA INFORME'!I:I,'DATA INFORME'!K:K)</f>
        <v>SI</v>
      </c>
      <c r="M110" s="37" t="str">
        <f>IF(Tabla2__2[[#This Row],[MYSTERY EFECTIVO]]="SI",_xlfn.XLOOKUP(Tabla2__2[[#This Row],[PREGUNTA]],ENCUESTA!G:G,ENCUESTA!D:D),"N/A")</f>
        <v>UNIFORME</v>
      </c>
      <c r="N1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10" s="37" t="str">
        <f>_xlfn.XLOOKUP(Tabla2__2[[#This Row],[PREGUNTA]],ENCUESTA!G:G,ENCUESTA!H:H)</f>
        <v>SI</v>
      </c>
      <c r="P110" s="37">
        <f>IF(Tabla2__2[[#This Row],[RTA]]=Tabla2__2[[#This Row],[RTA CORRECTA]],Tabla2__2[[#This Row],[TOTAL PUNTAJE]],0)</f>
        <v>1.3636363636363635</v>
      </c>
      <c r="Q110" s="37">
        <f t="shared" si="1"/>
        <v>0</v>
      </c>
      <c r="R110" s="37"/>
    </row>
    <row r="111" spans="1:18" x14ac:dyDescent="0.25">
      <c r="A111" s="37" t="s">
        <v>107</v>
      </c>
      <c r="B111" s="37" t="s">
        <v>112</v>
      </c>
      <c r="C111" t="s">
        <v>14</v>
      </c>
      <c r="D111" s="37" t="s">
        <v>232</v>
      </c>
      <c r="E111" s="37">
        <v>356625</v>
      </c>
      <c r="F111" s="37" t="s">
        <v>235</v>
      </c>
      <c r="G111" s="37" t="s">
        <v>97</v>
      </c>
      <c r="H111" s="37" t="s">
        <v>20</v>
      </c>
      <c r="I111" s="38"/>
      <c r="J111" s="37">
        <v>27493887</v>
      </c>
      <c r="K111" s="37" t="s">
        <v>117</v>
      </c>
      <c r="L111" s="37" t="str">
        <f>_xlfn.XLOOKUP(Tabla2__2[[#This Row],[CODIGO RUTA]],'DATA INFORME'!I:I,'DATA INFORME'!K:K)</f>
        <v>SI</v>
      </c>
      <c r="M111" s="37" t="str">
        <f>IF(Tabla2__2[[#This Row],[MYSTERY EFECTIVO]]="SI",_xlfn.XLOOKUP(Tabla2__2[[#This Row],[PREGUNTA]],ENCUESTA!G:G,ENCUESTA!D:D),"N/A")</f>
        <v>HORARIO</v>
      </c>
      <c r="N1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1" s="37" t="str">
        <f>_xlfn.XLOOKUP(Tabla2__2[[#This Row],[PREGUNTA]],ENCUESTA!G:G,ENCUESTA!H:H)</f>
        <v>SI</v>
      </c>
      <c r="P111" s="37">
        <f>IF(Tabla2__2[[#This Row],[RTA]]=Tabla2__2[[#This Row],[RTA CORRECTA]],Tabla2__2[[#This Row],[TOTAL PUNTAJE]],0)</f>
        <v>20</v>
      </c>
      <c r="Q111" s="37">
        <f t="shared" si="1"/>
        <v>0</v>
      </c>
      <c r="R111" s="37"/>
    </row>
    <row r="112" spans="1:18" x14ac:dyDescent="0.25">
      <c r="A112" s="37" t="s">
        <v>107</v>
      </c>
      <c r="B112" s="37" t="s">
        <v>112</v>
      </c>
      <c r="C112" t="s">
        <v>14</v>
      </c>
      <c r="D112" s="37" t="s">
        <v>232</v>
      </c>
      <c r="E112" s="37">
        <v>356625</v>
      </c>
      <c r="F112" s="37" t="s">
        <v>235</v>
      </c>
      <c r="G112" s="37" t="s">
        <v>133</v>
      </c>
      <c r="H112" s="37" t="s">
        <v>20</v>
      </c>
      <c r="I112" s="38"/>
      <c r="J112" s="37">
        <v>27493887</v>
      </c>
      <c r="K112" s="37" t="s">
        <v>117</v>
      </c>
      <c r="L112" s="37" t="str">
        <f>_xlfn.XLOOKUP(Tabla2__2[[#This Row],[CODIGO RUTA]],'DATA INFORME'!I:I,'DATA INFORME'!K:K)</f>
        <v>SI</v>
      </c>
      <c r="M112" s="37" t="str">
        <f>IF(Tabla2__2[[#This Row],[MYSTERY EFECTIVO]]="SI",_xlfn.XLOOKUP(Tabla2__2[[#This Row],[PREGUNTA]],ENCUESTA!G:G,ENCUESTA!D:D),"N/A")</f>
        <v>N/A</v>
      </c>
      <c r="N1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2" s="37">
        <f>_xlfn.XLOOKUP(Tabla2__2[[#This Row],[PREGUNTA]],ENCUESTA!G:G,ENCUESTA!H:H)</f>
        <v>0</v>
      </c>
      <c r="P112" s="37">
        <f>IF(Tabla2__2[[#This Row],[RTA]]=Tabla2__2[[#This Row],[RTA CORRECTA]],Tabla2__2[[#This Row],[TOTAL PUNTAJE]],0)</f>
        <v>0</v>
      </c>
      <c r="Q112" s="37">
        <f t="shared" si="1"/>
        <v>0</v>
      </c>
      <c r="R112" s="37"/>
    </row>
    <row r="113" spans="1:18" x14ac:dyDescent="0.25">
      <c r="A113" s="37" t="s">
        <v>107</v>
      </c>
      <c r="B113" s="37" t="s">
        <v>112</v>
      </c>
      <c r="C113" t="s">
        <v>14</v>
      </c>
      <c r="D113" s="37" t="s">
        <v>232</v>
      </c>
      <c r="E113" s="37">
        <v>356625</v>
      </c>
      <c r="F113" s="37" t="s">
        <v>235</v>
      </c>
      <c r="G113" s="37" t="s">
        <v>104</v>
      </c>
      <c r="H113" s="37" t="s">
        <v>106</v>
      </c>
      <c r="I113" s="38"/>
      <c r="J113" s="37">
        <v>27493887</v>
      </c>
      <c r="K113" s="37" t="s">
        <v>117</v>
      </c>
      <c r="L113" s="37" t="str">
        <f>_xlfn.XLOOKUP(Tabla2__2[[#This Row],[CODIGO RUTA]],'DATA INFORME'!I:I,'DATA INFORME'!K:K)</f>
        <v>SI</v>
      </c>
      <c r="M113" s="37" t="str">
        <f>IF(Tabla2__2[[#This Row],[MYSTERY EFECTIVO]]="SI",_xlfn.XLOOKUP(Tabla2__2[[#This Row],[PREGUNTA]],ENCUESTA!G:G,ENCUESTA!D:D),"N/A")</f>
        <v>UNIFORME</v>
      </c>
      <c r="N1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13" s="37" t="str">
        <f>_xlfn.XLOOKUP(Tabla2__2[[#This Row],[PREGUNTA]],ENCUESTA!G:G,ENCUESTA!H:H)</f>
        <v>NO</v>
      </c>
      <c r="P113" s="37">
        <f>IF(Tabla2__2[[#This Row],[RTA]]=Tabla2__2[[#This Row],[RTA CORRECTA]],Tabla2__2[[#This Row],[TOTAL PUNTAJE]],0)</f>
        <v>1.3636363636363635</v>
      </c>
      <c r="Q113" s="37">
        <f t="shared" si="1"/>
        <v>0</v>
      </c>
      <c r="R113" s="37"/>
    </row>
    <row r="114" spans="1:18" x14ac:dyDescent="0.25">
      <c r="A114" s="37" t="s">
        <v>107</v>
      </c>
      <c r="B114" s="37" t="s">
        <v>112</v>
      </c>
      <c r="C114" t="s">
        <v>14</v>
      </c>
      <c r="D114" s="37" t="s">
        <v>232</v>
      </c>
      <c r="E114" s="37">
        <v>356625</v>
      </c>
      <c r="F114" s="37" t="s">
        <v>235</v>
      </c>
      <c r="G114" s="37" t="s">
        <v>156</v>
      </c>
      <c r="H114" s="37" t="s">
        <v>20</v>
      </c>
      <c r="I114" s="38"/>
      <c r="J114" s="37">
        <v>27493887</v>
      </c>
      <c r="K114" s="37" t="s">
        <v>117</v>
      </c>
      <c r="L114" s="37" t="str">
        <f>_xlfn.XLOOKUP(Tabla2__2[[#This Row],[CODIGO RUTA]],'DATA INFORME'!I:I,'DATA INFORME'!K:K)</f>
        <v>SI</v>
      </c>
      <c r="M114" s="37" t="str">
        <f>IF(Tabla2__2[[#This Row],[MYSTERY EFECTIVO]]="SI",_xlfn.XLOOKUP(Tabla2__2[[#This Row],[PREGUNTA]],ENCUESTA!G:G,ENCUESTA!D:D),"N/A")</f>
        <v>LABOR DE VENTA</v>
      </c>
      <c r="N1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14" s="37" t="str">
        <f>_xlfn.XLOOKUP(Tabla2__2[[#This Row],[PREGUNTA]],ENCUESTA!G:G,ENCUESTA!H:H)</f>
        <v>SI</v>
      </c>
      <c r="P114" s="37">
        <f>IF(Tabla2__2[[#This Row],[RTA]]=Tabla2__2[[#This Row],[RTA CORRECTA]],Tabla2__2[[#This Row],[TOTAL PUNTAJE]],0)</f>
        <v>7.5</v>
      </c>
      <c r="Q114" s="37">
        <f t="shared" si="1"/>
        <v>0</v>
      </c>
      <c r="R114" s="37"/>
    </row>
    <row r="115" spans="1:18" x14ac:dyDescent="0.25">
      <c r="A115" s="37" t="s">
        <v>107</v>
      </c>
      <c r="B115" s="37" t="s">
        <v>112</v>
      </c>
      <c r="C115" t="s">
        <v>14</v>
      </c>
      <c r="D115" s="37" t="s">
        <v>232</v>
      </c>
      <c r="E115" s="37">
        <v>356625</v>
      </c>
      <c r="F115" s="37" t="s">
        <v>235</v>
      </c>
      <c r="G115" s="37" t="s">
        <v>157</v>
      </c>
      <c r="H115" s="37" t="s">
        <v>106</v>
      </c>
      <c r="I115" s="38"/>
      <c r="J115" s="37">
        <v>27493887</v>
      </c>
      <c r="K115" s="37" t="s">
        <v>117</v>
      </c>
      <c r="L115" s="37" t="str">
        <f>_xlfn.XLOOKUP(Tabla2__2[[#This Row],[CODIGO RUTA]],'DATA INFORME'!I:I,'DATA INFORME'!K:K)</f>
        <v>SI</v>
      </c>
      <c r="M115" s="37" t="str">
        <f>IF(Tabla2__2[[#This Row],[MYSTERY EFECTIVO]]="SI",_xlfn.XLOOKUP(Tabla2__2[[#This Row],[PREGUNTA]],ENCUESTA!G:G,ENCUESTA!D:D),"N/A")</f>
        <v>N/A</v>
      </c>
      <c r="N1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5" s="37">
        <f>_xlfn.XLOOKUP(Tabla2__2[[#This Row],[PREGUNTA]],ENCUESTA!G:G,ENCUESTA!H:H)</f>
        <v>0</v>
      </c>
      <c r="P115" s="37">
        <f>IF(Tabla2__2[[#This Row],[RTA]]=Tabla2__2[[#This Row],[RTA CORRECTA]],Tabla2__2[[#This Row],[TOTAL PUNTAJE]],0)</f>
        <v>0</v>
      </c>
      <c r="Q115" s="37">
        <f t="shared" si="1"/>
        <v>0</v>
      </c>
      <c r="R115" s="37"/>
    </row>
    <row r="116" spans="1:18" x14ac:dyDescent="0.25">
      <c r="A116" s="37" t="s">
        <v>107</v>
      </c>
      <c r="B116" s="37" t="s">
        <v>93</v>
      </c>
      <c r="C116" t="s">
        <v>14</v>
      </c>
      <c r="D116" s="37" t="s">
        <v>161</v>
      </c>
      <c r="E116" s="37">
        <v>191495</v>
      </c>
      <c r="F116" s="37" t="s">
        <v>240</v>
      </c>
      <c r="G116" s="37" t="s">
        <v>133</v>
      </c>
      <c r="H116" s="37" t="s">
        <v>20</v>
      </c>
      <c r="I116" s="38"/>
      <c r="J116" s="37">
        <v>27498086</v>
      </c>
      <c r="K116" s="37" t="s">
        <v>127</v>
      </c>
      <c r="L116" s="37" t="str">
        <f>_xlfn.XLOOKUP(Tabla2__2[[#This Row],[CODIGO RUTA]],'DATA INFORME'!I:I,'DATA INFORME'!K:K)</f>
        <v>SI</v>
      </c>
      <c r="M116" s="37" t="str">
        <f>IF(Tabla2__2[[#This Row],[MYSTERY EFECTIVO]]="SI",_xlfn.XLOOKUP(Tabla2__2[[#This Row],[PREGUNTA]],ENCUESTA!G:G,ENCUESTA!D:D),"N/A")</f>
        <v>N/A</v>
      </c>
      <c r="N1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6" s="37">
        <f>_xlfn.XLOOKUP(Tabla2__2[[#This Row],[PREGUNTA]],ENCUESTA!G:G,ENCUESTA!H:H)</f>
        <v>0</v>
      </c>
      <c r="P116" s="37">
        <f>IF(Tabla2__2[[#This Row],[RTA]]=Tabla2__2[[#This Row],[RTA CORRECTA]],Tabla2__2[[#This Row],[TOTAL PUNTAJE]],0)</f>
        <v>0</v>
      </c>
      <c r="Q116" s="37">
        <f t="shared" si="1"/>
        <v>0</v>
      </c>
      <c r="R116" s="37"/>
    </row>
    <row r="117" spans="1:18" x14ac:dyDescent="0.25">
      <c r="A117" s="37" t="s">
        <v>107</v>
      </c>
      <c r="B117" s="37" t="s">
        <v>93</v>
      </c>
      <c r="C117" t="s">
        <v>14</v>
      </c>
      <c r="D117" s="37" t="s">
        <v>161</v>
      </c>
      <c r="E117" s="37">
        <v>191495</v>
      </c>
      <c r="F117" s="37" t="s">
        <v>240</v>
      </c>
      <c r="G117" s="37" t="s">
        <v>156</v>
      </c>
      <c r="H117" s="37" t="s">
        <v>20</v>
      </c>
      <c r="I117" s="38"/>
      <c r="J117" s="37">
        <v>27498086</v>
      </c>
      <c r="K117" s="37" t="s">
        <v>127</v>
      </c>
      <c r="L117" s="37" t="str">
        <f>_xlfn.XLOOKUP(Tabla2__2[[#This Row],[CODIGO RUTA]],'DATA INFORME'!I:I,'DATA INFORME'!K:K)</f>
        <v>SI</v>
      </c>
      <c r="M117" s="37" t="str">
        <f>IF(Tabla2__2[[#This Row],[MYSTERY EFECTIVO]]="SI",_xlfn.XLOOKUP(Tabla2__2[[#This Row],[PREGUNTA]],ENCUESTA!G:G,ENCUESTA!D:D),"N/A")</f>
        <v>LABOR DE VENTA</v>
      </c>
      <c r="N1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17" s="37" t="str">
        <f>_xlfn.XLOOKUP(Tabla2__2[[#This Row],[PREGUNTA]],ENCUESTA!G:G,ENCUESTA!H:H)</f>
        <v>SI</v>
      </c>
      <c r="P117" s="37">
        <f>IF(Tabla2__2[[#This Row],[RTA]]=Tabla2__2[[#This Row],[RTA CORRECTA]],Tabla2__2[[#This Row],[TOTAL PUNTAJE]],0)</f>
        <v>7.5</v>
      </c>
      <c r="Q117" s="37">
        <f t="shared" si="1"/>
        <v>0</v>
      </c>
      <c r="R117" s="37"/>
    </row>
    <row r="118" spans="1:18" x14ac:dyDescent="0.25">
      <c r="A118" s="37" t="s">
        <v>107</v>
      </c>
      <c r="B118" s="37" t="s">
        <v>93</v>
      </c>
      <c r="C118" t="s">
        <v>14</v>
      </c>
      <c r="D118" s="37" t="s">
        <v>161</v>
      </c>
      <c r="E118" s="37">
        <v>191495</v>
      </c>
      <c r="F118" s="37" t="s">
        <v>240</v>
      </c>
      <c r="G118" s="37" t="s">
        <v>155</v>
      </c>
      <c r="H118" s="37" t="s">
        <v>20</v>
      </c>
      <c r="I118" s="38"/>
      <c r="J118" s="37">
        <v>27498086</v>
      </c>
      <c r="K118" s="37" t="s">
        <v>127</v>
      </c>
      <c r="L118" s="37" t="str">
        <f>_xlfn.XLOOKUP(Tabla2__2[[#This Row],[CODIGO RUTA]],'DATA INFORME'!I:I,'DATA INFORME'!K:K)</f>
        <v>SI</v>
      </c>
      <c r="M118" s="37" t="str">
        <f>IF(Tabla2__2[[#This Row],[MYSTERY EFECTIVO]]="SI",_xlfn.XLOOKUP(Tabla2__2[[#This Row],[PREGUNTA]],ENCUESTA!G:G,ENCUESTA!D:D),"N/A")</f>
        <v>LABOR DE VENTA</v>
      </c>
      <c r="N1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18" s="37" t="str">
        <f>_xlfn.XLOOKUP(Tabla2__2[[#This Row],[PREGUNTA]],ENCUESTA!G:G,ENCUESTA!H:H)</f>
        <v>SI</v>
      </c>
      <c r="P118" s="37">
        <f>IF(Tabla2__2[[#This Row],[RTA]]=Tabla2__2[[#This Row],[RTA CORRECTA]],Tabla2__2[[#This Row],[TOTAL PUNTAJE]],0)</f>
        <v>7.5</v>
      </c>
      <c r="Q118" s="37">
        <f t="shared" si="1"/>
        <v>0</v>
      </c>
      <c r="R118" s="37"/>
    </row>
    <row r="119" spans="1:18" x14ac:dyDescent="0.25">
      <c r="A119" s="37" t="s">
        <v>107</v>
      </c>
      <c r="B119" s="37" t="s">
        <v>93</v>
      </c>
      <c r="C119" t="s">
        <v>14</v>
      </c>
      <c r="D119" s="37" t="s">
        <v>161</v>
      </c>
      <c r="E119" s="37">
        <v>191495</v>
      </c>
      <c r="F119" s="37" t="s">
        <v>240</v>
      </c>
      <c r="G119" s="37" t="s">
        <v>154</v>
      </c>
      <c r="H119" s="37" t="s">
        <v>20</v>
      </c>
      <c r="I119" s="38"/>
      <c r="J119" s="37">
        <v>27498086</v>
      </c>
      <c r="K119" s="37" t="s">
        <v>127</v>
      </c>
      <c r="L119" s="37" t="str">
        <f>_xlfn.XLOOKUP(Tabla2__2[[#This Row],[CODIGO RUTA]],'DATA INFORME'!I:I,'DATA INFORME'!K:K)</f>
        <v>SI</v>
      </c>
      <c r="M119" s="37" t="str">
        <f>IF(Tabla2__2[[#This Row],[MYSTERY EFECTIVO]]="SI",_xlfn.XLOOKUP(Tabla2__2[[#This Row],[PREGUNTA]],ENCUESTA!G:G,ENCUESTA!D:D),"N/A")</f>
        <v>UNIFORME</v>
      </c>
      <c r="N1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19" s="37" t="str">
        <f>_xlfn.XLOOKUP(Tabla2__2[[#This Row],[PREGUNTA]],ENCUESTA!G:G,ENCUESTA!H:H)</f>
        <v>SI</v>
      </c>
      <c r="P119" s="37">
        <f>IF(Tabla2__2[[#This Row],[RTA]]=Tabla2__2[[#This Row],[RTA CORRECTA]],Tabla2__2[[#This Row],[TOTAL PUNTAJE]],0)</f>
        <v>1.3636363636363635</v>
      </c>
      <c r="Q119" s="37">
        <f t="shared" si="1"/>
        <v>0</v>
      </c>
      <c r="R119" s="37"/>
    </row>
    <row r="120" spans="1:18" x14ac:dyDescent="0.25">
      <c r="A120" s="37" t="s">
        <v>107</v>
      </c>
      <c r="B120" s="37" t="s">
        <v>93</v>
      </c>
      <c r="C120" t="s">
        <v>14</v>
      </c>
      <c r="D120" s="37" t="s">
        <v>161</v>
      </c>
      <c r="E120" s="37">
        <v>191495</v>
      </c>
      <c r="F120" s="37" t="s">
        <v>240</v>
      </c>
      <c r="G120" s="37" t="s">
        <v>153</v>
      </c>
      <c r="H120" s="37" t="s">
        <v>20</v>
      </c>
      <c r="I120" s="38"/>
      <c r="J120" s="37">
        <v>27498086</v>
      </c>
      <c r="K120" s="37" t="s">
        <v>127</v>
      </c>
      <c r="L120" s="37" t="str">
        <f>_xlfn.XLOOKUP(Tabla2__2[[#This Row],[CODIGO RUTA]],'DATA INFORME'!I:I,'DATA INFORME'!K:K)</f>
        <v>SI</v>
      </c>
      <c r="M120" s="37" t="str">
        <f>IF(Tabla2__2[[#This Row],[MYSTERY EFECTIVO]]="SI",_xlfn.XLOOKUP(Tabla2__2[[#This Row],[PREGUNTA]],ENCUESTA!G:G,ENCUESTA!D:D),"N/A")</f>
        <v>PORTAFOLIO Y MANEJO DE OBJECIONES</v>
      </c>
      <c r="N1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20" s="37" t="str">
        <f>_xlfn.XLOOKUP(Tabla2__2[[#This Row],[PREGUNTA]],ENCUESTA!G:G,ENCUESTA!H:H)</f>
        <v>SI</v>
      </c>
      <c r="P120" s="37">
        <f>IF(Tabla2__2[[#This Row],[RTA]]=Tabla2__2[[#This Row],[RTA CORRECTA]],Tabla2__2[[#This Row],[TOTAL PUNTAJE]],0)</f>
        <v>1.5384615384615385</v>
      </c>
      <c r="Q120" s="37">
        <f t="shared" si="1"/>
        <v>0</v>
      </c>
      <c r="R120" s="37"/>
    </row>
    <row r="121" spans="1:18" x14ac:dyDescent="0.25">
      <c r="A121" s="37" t="s">
        <v>107</v>
      </c>
      <c r="B121" s="37" t="s">
        <v>93</v>
      </c>
      <c r="C121" t="s">
        <v>14</v>
      </c>
      <c r="D121" s="37" t="s">
        <v>161</v>
      </c>
      <c r="E121" s="37">
        <v>191495</v>
      </c>
      <c r="F121" s="37" t="s">
        <v>240</v>
      </c>
      <c r="G121" s="37" t="s">
        <v>152</v>
      </c>
      <c r="H121" s="37" t="s">
        <v>170</v>
      </c>
      <c r="I121" s="38"/>
      <c r="J121" s="37">
        <v>27498086</v>
      </c>
      <c r="K121" s="37" t="s">
        <v>127</v>
      </c>
      <c r="L121" s="37" t="str">
        <f>_xlfn.XLOOKUP(Tabla2__2[[#This Row],[CODIGO RUTA]],'DATA INFORME'!I:I,'DATA INFORME'!K:K)</f>
        <v>SI</v>
      </c>
      <c r="M121" s="37" t="str">
        <f>IF(Tabla2__2[[#This Row],[MYSTERY EFECTIVO]]="SI",_xlfn.XLOOKUP(Tabla2__2[[#This Row],[PREGUNTA]],ENCUESTA!G:G,ENCUESTA!D:D),"N/A")</f>
        <v>N/A</v>
      </c>
      <c r="N1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1" s="37" t="str">
        <f>_xlfn.XLOOKUP(Tabla2__2[[#This Row],[PREGUNTA]],ENCUESTA!G:G,ENCUESTA!H:H)</f>
        <v>FALTA DE PRODUCTO, NO LE INTERESA EL PRODUCTO, NO TIENE DINERO, PREFIERE LA COMPETENCIA</v>
      </c>
      <c r="P121" s="37">
        <f>IF(Tabla2__2[[#This Row],[RTA]]=Tabla2__2[[#This Row],[RTA CORRECTA]],Tabla2__2[[#This Row],[TOTAL PUNTAJE]],0)</f>
        <v>0</v>
      </c>
      <c r="Q121" s="37">
        <f t="shared" si="1"/>
        <v>0</v>
      </c>
      <c r="R121" s="37"/>
    </row>
    <row r="122" spans="1:18" x14ac:dyDescent="0.25">
      <c r="A122" s="37" t="s">
        <v>107</v>
      </c>
      <c r="B122" s="37" t="s">
        <v>93</v>
      </c>
      <c r="C122" t="s">
        <v>14</v>
      </c>
      <c r="D122" s="37" t="s">
        <v>161</v>
      </c>
      <c r="E122" s="37">
        <v>191495</v>
      </c>
      <c r="F122" s="37" t="s">
        <v>240</v>
      </c>
      <c r="G122" s="37" t="s">
        <v>151</v>
      </c>
      <c r="H122" s="37" t="s">
        <v>20</v>
      </c>
      <c r="I122" s="38"/>
      <c r="J122" s="37">
        <v>27498086</v>
      </c>
      <c r="K122" s="37" t="s">
        <v>127</v>
      </c>
      <c r="L122" s="37" t="str">
        <f>_xlfn.XLOOKUP(Tabla2__2[[#This Row],[CODIGO RUTA]],'DATA INFORME'!I:I,'DATA INFORME'!K:K)</f>
        <v>SI</v>
      </c>
      <c r="M122" s="37" t="str">
        <f>IF(Tabla2__2[[#This Row],[MYSTERY EFECTIVO]]="SI",_xlfn.XLOOKUP(Tabla2__2[[#This Row],[PREGUNTA]],ENCUESTA!G:G,ENCUESTA!D:D),"N/A")</f>
        <v>ACTIVIDADES DEL MES</v>
      </c>
      <c r="N1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2" s="37" t="str">
        <f>_xlfn.XLOOKUP(Tabla2__2[[#This Row],[PREGUNTA]],ENCUESTA!G:G,ENCUESTA!H:H)</f>
        <v>SI</v>
      </c>
      <c r="P122" s="37">
        <f>IF(Tabla2__2[[#This Row],[RTA]]=Tabla2__2[[#This Row],[RTA CORRECTA]],Tabla2__2[[#This Row],[TOTAL PUNTAJE]],0)</f>
        <v>5</v>
      </c>
      <c r="Q122" s="37">
        <f t="shared" si="1"/>
        <v>0</v>
      </c>
      <c r="R122" s="37"/>
    </row>
    <row r="123" spans="1:18" x14ac:dyDescent="0.25">
      <c r="A123" s="37" t="s">
        <v>107</v>
      </c>
      <c r="B123" s="37" t="s">
        <v>93</v>
      </c>
      <c r="C123" t="s">
        <v>14</v>
      </c>
      <c r="D123" s="37" t="s">
        <v>161</v>
      </c>
      <c r="E123" s="37">
        <v>191495</v>
      </c>
      <c r="F123" s="37" t="s">
        <v>240</v>
      </c>
      <c r="G123" s="37" t="s">
        <v>150</v>
      </c>
      <c r="H123" s="37" t="s">
        <v>106</v>
      </c>
      <c r="I123" s="38"/>
      <c r="J123" s="37">
        <v>27498086</v>
      </c>
      <c r="K123" s="37" t="s">
        <v>127</v>
      </c>
      <c r="L123" s="37" t="str">
        <f>_xlfn.XLOOKUP(Tabla2__2[[#This Row],[CODIGO RUTA]],'DATA INFORME'!I:I,'DATA INFORME'!K:K)</f>
        <v>SI</v>
      </c>
      <c r="M123" s="37" t="str">
        <f>IF(Tabla2__2[[#This Row],[MYSTERY EFECTIVO]]="SI",_xlfn.XLOOKUP(Tabla2__2[[#This Row],[PREGUNTA]],ENCUESTA!G:G,ENCUESTA!D:D),"N/A")</f>
        <v>PORTAFOLIO Y MANEJO DE OBJECIONES</v>
      </c>
      <c r="N1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23" s="37" t="str">
        <f>_xlfn.XLOOKUP(Tabla2__2[[#This Row],[PREGUNTA]],ENCUESTA!G:G,ENCUESTA!H:H)</f>
        <v>SI</v>
      </c>
      <c r="P123" s="37">
        <f>IF(Tabla2__2[[#This Row],[RTA]]=Tabla2__2[[#This Row],[RTA CORRECTA]],Tabla2__2[[#This Row],[TOTAL PUNTAJE]],0)</f>
        <v>0</v>
      </c>
      <c r="Q123" s="37">
        <f t="shared" si="1"/>
        <v>0</v>
      </c>
      <c r="R123" s="37"/>
    </row>
    <row r="124" spans="1:18" x14ac:dyDescent="0.25">
      <c r="A124" s="37" t="s">
        <v>107</v>
      </c>
      <c r="B124" s="37" t="s">
        <v>93</v>
      </c>
      <c r="C124" t="s">
        <v>14</v>
      </c>
      <c r="D124" s="37" t="s">
        <v>161</v>
      </c>
      <c r="E124" s="37">
        <v>191495</v>
      </c>
      <c r="F124" s="37" t="s">
        <v>240</v>
      </c>
      <c r="G124" s="37" t="s">
        <v>149</v>
      </c>
      <c r="H124" s="37" t="s">
        <v>106</v>
      </c>
      <c r="I124" s="38"/>
      <c r="J124" s="37">
        <v>27498086</v>
      </c>
      <c r="K124" s="37" t="s">
        <v>127</v>
      </c>
      <c r="L124" s="37" t="str">
        <f>_xlfn.XLOOKUP(Tabla2__2[[#This Row],[CODIGO RUTA]],'DATA INFORME'!I:I,'DATA INFORME'!K:K)</f>
        <v>SI</v>
      </c>
      <c r="M124" s="37" t="str">
        <f>IF(Tabla2__2[[#This Row],[MYSTERY EFECTIVO]]="SI",_xlfn.XLOOKUP(Tabla2__2[[#This Row],[PREGUNTA]],ENCUESTA!G:G,ENCUESTA!D:D),"N/A")</f>
        <v>PORTAFOLIO Y MANEJO DE OBJECIONES</v>
      </c>
      <c r="N1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24" s="37" t="str">
        <f>_xlfn.XLOOKUP(Tabla2__2[[#This Row],[PREGUNTA]],ENCUESTA!G:G,ENCUESTA!H:H)</f>
        <v>SI</v>
      </c>
      <c r="P124" s="37">
        <f>IF(Tabla2__2[[#This Row],[RTA]]=Tabla2__2[[#This Row],[RTA CORRECTA]],Tabla2__2[[#This Row],[TOTAL PUNTAJE]],0)</f>
        <v>0</v>
      </c>
      <c r="Q124" s="37">
        <f t="shared" si="1"/>
        <v>0</v>
      </c>
      <c r="R124" s="37"/>
    </row>
    <row r="125" spans="1:18" x14ac:dyDescent="0.25">
      <c r="A125" s="37" t="s">
        <v>107</v>
      </c>
      <c r="B125" s="37" t="s">
        <v>93</v>
      </c>
      <c r="C125" t="s">
        <v>14</v>
      </c>
      <c r="D125" s="37" t="s">
        <v>161</v>
      </c>
      <c r="E125" s="37">
        <v>191495</v>
      </c>
      <c r="F125" s="37" t="s">
        <v>240</v>
      </c>
      <c r="G125" s="37" t="s">
        <v>148</v>
      </c>
      <c r="H125" s="37" t="s">
        <v>106</v>
      </c>
      <c r="I125" s="38"/>
      <c r="J125" s="37">
        <v>27498086</v>
      </c>
      <c r="K125" s="37" t="s">
        <v>127</v>
      </c>
      <c r="L125" s="37" t="str">
        <f>_xlfn.XLOOKUP(Tabla2__2[[#This Row],[CODIGO RUTA]],'DATA INFORME'!I:I,'DATA INFORME'!K:K)</f>
        <v>SI</v>
      </c>
      <c r="M125" s="37" t="str">
        <f>IF(Tabla2__2[[#This Row],[MYSTERY EFECTIVO]]="SI",_xlfn.XLOOKUP(Tabla2__2[[#This Row],[PREGUNTA]],ENCUESTA!G:G,ENCUESTA!D:D),"N/A")</f>
        <v>PORTAFOLIO Y MANEJO DE OBJECIONES</v>
      </c>
      <c r="N1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25" s="37" t="str">
        <f>_xlfn.XLOOKUP(Tabla2__2[[#This Row],[PREGUNTA]],ENCUESTA!G:G,ENCUESTA!H:H)</f>
        <v>SI</v>
      </c>
      <c r="P125" s="37">
        <f>IF(Tabla2__2[[#This Row],[RTA]]=Tabla2__2[[#This Row],[RTA CORRECTA]],Tabla2__2[[#This Row],[TOTAL PUNTAJE]],0)</f>
        <v>0</v>
      </c>
      <c r="Q125" s="37">
        <f t="shared" si="1"/>
        <v>0</v>
      </c>
      <c r="R125" s="37"/>
    </row>
    <row r="126" spans="1:18" x14ac:dyDescent="0.25">
      <c r="A126" s="37" t="s">
        <v>107</v>
      </c>
      <c r="B126" s="37" t="s">
        <v>93</v>
      </c>
      <c r="C126" t="s">
        <v>14</v>
      </c>
      <c r="D126" s="37" t="s">
        <v>161</v>
      </c>
      <c r="E126" s="37">
        <v>191495</v>
      </c>
      <c r="F126" s="37" t="s">
        <v>240</v>
      </c>
      <c r="G126" s="37" t="s">
        <v>147</v>
      </c>
      <c r="H126" s="37" t="s">
        <v>20</v>
      </c>
      <c r="I126" s="38"/>
      <c r="J126" s="37">
        <v>27498086</v>
      </c>
      <c r="K126" s="37" t="s">
        <v>127</v>
      </c>
      <c r="L126" s="37" t="str">
        <f>_xlfn.XLOOKUP(Tabla2__2[[#This Row],[CODIGO RUTA]],'DATA INFORME'!I:I,'DATA INFORME'!K:K)</f>
        <v>SI</v>
      </c>
      <c r="M126" s="37" t="str">
        <f>IF(Tabla2__2[[#This Row],[MYSTERY EFECTIVO]]="SI",_xlfn.XLOOKUP(Tabla2__2[[#This Row],[PREGUNTA]],ENCUESTA!G:G,ENCUESTA!D:D),"N/A")</f>
        <v>PORTAFOLIO Y MANEJO DE OBJECIONES</v>
      </c>
      <c r="N1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26" s="37" t="str">
        <f>_xlfn.XLOOKUP(Tabla2__2[[#This Row],[PREGUNTA]],ENCUESTA!G:G,ENCUESTA!H:H)</f>
        <v>SI</v>
      </c>
      <c r="P126" s="37">
        <f>IF(Tabla2__2[[#This Row],[RTA]]=Tabla2__2[[#This Row],[RTA CORRECTA]],Tabla2__2[[#This Row],[TOTAL PUNTAJE]],0)</f>
        <v>1.5384615384615385</v>
      </c>
      <c r="Q126" s="37">
        <f t="shared" si="1"/>
        <v>0</v>
      </c>
      <c r="R126" s="37"/>
    </row>
    <row r="127" spans="1:18" x14ac:dyDescent="0.25">
      <c r="A127" s="37" t="s">
        <v>107</v>
      </c>
      <c r="B127" s="37" t="s">
        <v>93</v>
      </c>
      <c r="C127" t="s">
        <v>14</v>
      </c>
      <c r="D127" s="37" t="s">
        <v>161</v>
      </c>
      <c r="E127" s="37">
        <v>191495</v>
      </c>
      <c r="F127" s="37" t="s">
        <v>240</v>
      </c>
      <c r="G127" s="37" t="s">
        <v>139</v>
      </c>
      <c r="H127" s="37" t="s">
        <v>169</v>
      </c>
      <c r="I127" s="38"/>
      <c r="J127" s="37">
        <v>27498086</v>
      </c>
      <c r="K127" s="37" t="s">
        <v>127</v>
      </c>
      <c r="L127" s="37" t="str">
        <f>_xlfn.XLOOKUP(Tabla2__2[[#This Row],[CODIGO RUTA]],'DATA INFORME'!I:I,'DATA INFORME'!K:K)</f>
        <v>SI</v>
      </c>
      <c r="M127" s="37" t="str">
        <f>IF(Tabla2__2[[#This Row],[MYSTERY EFECTIVO]]="SI",_xlfn.XLOOKUP(Tabla2__2[[#This Row],[PREGUNTA]],ENCUESTA!G:G,ENCUESTA!D:D),"N/A")</f>
        <v>N/A</v>
      </c>
      <c r="N1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7" s="37" t="str">
        <f>_xlfn.XLOOKUP(Tabla2__2[[#This Row],[PREGUNTA]],ENCUESTA!G:G,ENCUESTA!H:H)</f>
        <v>MODERNO, ESPECIALIZADO</v>
      </c>
      <c r="P127" s="37">
        <f>IF(Tabla2__2[[#This Row],[RTA]]=Tabla2__2[[#This Row],[RTA CORRECTA]],Tabla2__2[[#This Row],[TOTAL PUNTAJE]],0)</f>
        <v>0</v>
      </c>
      <c r="Q127" s="37">
        <f t="shared" si="1"/>
        <v>0</v>
      </c>
      <c r="R127" s="37"/>
    </row>
    <row r="128" spans="1:18" x14ac:dyDescent="0.25">
      <c r="A128" s="37" t="s">
        <v>107</v>
      </c>
      <c r="B128" s="37" t="s">
        <v>93</v>
      </c>
      <c r="C128" t="s">
        <v>14</v>
      </c>
      <c r="D128" s="37" t="s">
        <v>161</v>
      </c>
      <c r="E128" s="37">
        <v>191495</v>
      </c>
      <c r="F128" s="37" t="s">
        <v>240</v>
      </c>
      <c r="G128" s="37" t="s">
        <v>138</v>
      </c>
      <c r="H128" s="37" t="s">
        <v>20</v>
      </c>
      <c r="I128" s="38"/>
      <c r="J128" s="37">
        <v>27498086</v>
      </c>
      <c r="K128" s="37" t="s">
        <v>127</v>
      </c>
      <c r="L128" s="37" t="str">
        <f>_xlfn.XLOOKUP(Tabla2__2[[#This Row],[CODIGO RUTA]],'DATA INFORME'!I:I,'DATA INFORME'!K:K)</f>
        <v>SI</v>
      </c>
      <c r="M128" s="37" t="str">
        <f>IF(Tabla2__2[[#This Row],[MYSTERY EFECTIVO]]="SI",_xlfn.XLOOKUP(Tabla2__2[[#This Row],[PREGUNTA]],ENCUESTA!G:G,ENCUESTA!D:D),"N/A")</f>
        <v>PORTAFOLIO Y MANEJO DE OBJECIONES</v>
      </c>
      <c r="N1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28" s="37" t="str">
        <f>_xlfn.XLOOKUP(Tabla2__2[[#This Row],[PREGUNTA]],ENCUESTA!G:G,ENCUESTA!H:H)</f>
        <v>SI</v>
      </c>
      <c r="P128" s="37">
        <f>IF(Tabla2__2[[#This Row],[RTA]]=Tabla2__2[[#This Row],[RTA CORRECTA]],Tabla2__2[[#This Row],[TOTAL PUNTAJE]],0)</f>
        <v>1.5384615384615385</v>
      </c>
      <c r="Q128" s="37">
        <f t="shared" si="1"/>
        <v>0</v>
      </c>
      <c r="R128" s="37"/>
    </row>
    <row r="129" spans="1:18" x14ac:dyDescent="0.25">
      <c r="A129" s="37" t="s">
        <v>107</v>
      </c>
      <c r="B129" s="37" t="s">
        <v>93</v>
      </c>
      <c r="C129" t="s">
        <v>15</v>
      </c>
      <c r="D129" s="37" t="s">
        <v>96</v>
      </c>
      <c r="E129" s="37">
        <v>126325</v>
      </c>
      <c r="F129" s="37" t="s">
        <v>256</v>
      </c>
      <c r="G129" s="37" t="s">
        <v>133</v>
      </c>
      <c r="H129" s="37" t="s">
        <v>20</v>
      </c>
      <c r="I129" s="38"/>
      <c r="J129" s="37">
        <v>27531935</v>
      </c>
      <c r="K129" s="37" t="s">
        <v>127</v>
      </c>
      <c r="L129" s="37" t="str">
        <f>_xlfn.XLOOKUP(Tabla2__2[[#This Row],[CODIGO RUTA]],'DATA INFORME'!I:I,'DATA INFORME'!K:K)</f>
        <v>SI</v>
      </c>
      <c r="M129" s="37" t="str">
        <f>IF(Tabla2__2[[#This Row],[MYSTERY EFECTIVO]]="SI",_xlfn.XLOOKUP(Tabla2__2[[#This Row],[PREGUNTA]],ENCUESTA!G:G,ENCUESTA!D:D),"N/A")</f>
        <v>N/A</v>
      </c>
      <c r="N1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9" s="37">
        <f>_xlfn.XLOOKUP(Tabla2__2[[#This Row],[PREGUNTA]],ENCUESTA!G:G,ENCUESTA!H:H)</f>
        <v>0</v>
      </c>
      <c r="P129" s="37">
        <f>IF(Tabla2__2[[#This Row],[RTA]]=Tabla2__2[[#This Row],[RTA CORRECTA]],Tabla2__2[[#This Row],[TOTAL PUNTAJE]],0)</f>
        <v>0</v>
      </c>
      <c r="Q129" s="37">
        <f t="shared" si="1"/>
        <v>0</v>
      </c>
      <c r="R129" s="37"/>
    </row>
    <row r="130" spans="1:18" x14ac:dyDescent="0.25">
      <c r="A130" s="37" t="s">
        <v>107</v>
      </c>
      <c r="B130" s="37" t="s">
        <v>93</v>
      </c>
      <c r="C130" t="s">
        <v>14</v>
      </c>
      <c r="D130" s="37" t="s">
        <v>161</v>
      </c>
      <c r="E130" s="37">
        <v>191495</v>
      </c>
      <c r="F130" s="37" t="s">
        <v>240</v>
      </c>
      <c r="G130" s="37" t="s">
        <v>136</v>
      </c>
      <c r="H130" s="37" t="s">
        <v>20</v>
      </c>
      <c r="I130" s="38"/>
      <c r="J130" s="37">
        <v>27498086</v>
      </c>
      <c r="K130" s="37" t="s">
        <v>127</v>
      </c>
      <c r="L130" s="37" t="str">
        <f>_xlfn.XLOOKUP(Tabla2__2[[#This Row],[CODIGO RUTA]],'DATA INFORME'!I:I,'DATA INFORME'!K:K)</f>
        <v>SI</v>
      </c>
      <c r="M130" s="37" t="str">
        <f>IF(Tabla2__2[[#This Row],[MYSTERY EFECTIVO]]="SI",_xlfn.XLOOKUP(Tabla2__2[[#This Row],[PREGUNTA]],ENCUESTA!G:G,ENCUESTA!D:D),"N/A")</f>
        <v>ABORDAJE</v>
      </c>
      <c r="N1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30" s="37" t="str">
        <f>_xlfn.XLOOKUP(Tabla2__2[[#This Row],[PREGUNTA]],ENCUESTA!G:G,ENCUESTA!H:H)</f>
        <v>SI</v>
      </c>
      <c r="P130" s="37">
        <f>IF(Tabla2__2[[#This Row],[RTA]]=Tabla2__2[[#This Row],[RTA CORRECTA]],Tabla2__2[[#This Row],[TOTAL PUNTAJE]],0)</f>
        <v>20</v>
      </c>
      <c r="Q130" s="37">
        <f t="shared" ref="Q130:Q193" si="2">IF(OR(H130="Dog Chow húmedo",H130="Cat Chow húmedo",H130="Fancy Feast",H130="Felix",H130="Proplan húmedo",H130="One húmedo",H130="Snack Abrazzos",H130="Snak Dentalife",H130="Arenilla Tidy Cat"),N130,0)</f>
        <v>0</v>
      </c>
      <c r="R130" s="37"/>
    </row>
    <row r="131" spans="1:18" x14ac:dyDescent="0.25">
      <c r="A131" s="37" t="s">
        <v>107</v>
      </c>
      <c r="B131" s="37" t="s">
        <v>93</v>
      </c>
      <c r="C131" t="s">
        <v>14</v>
      </c>
      <c r="D131" s="37" t="s">
        <v>161</v>
      </c>
      <c r="E131" s="37">
        <v>191495</v>
      </c>
      <c r="F131" s="37" t="s">
        <v>240</v>
      </c>
      <c r="G131" s="37" t="s">
        <v>104</v>
      </c>
      <c r="H131" s="37" t="s">
        <v>106</v>
      </c>
      <c r="I131" s="38"/>
      <c r="J131" s="37">
        <v>27498086</v>
      </c>
      <c r="K131" s="37" t="s">
        <v>127</v>
      </c>
      <c r="L131" s="37" t="str">
        <f>_xlfn.XLOOKUP(Tabla2__2[[#This Row],[CODIGO RUTA]],'DATA INFORME'!I:I,'DATA INFORME'!K:K)</f>
        <v>SI</v>
      </c>
      <c r="M131" s="37" t="str">
        <f>IF(Tabla2__2[[#This Row],[MYSTERY EFECTIVO]]="SI",_xlfn.XLOOKUP(Tabla2__2[[#This Row],[PREGUNTA]],ENCUESTA!G:G,ENCUESTA!D:D),"N/A")</f>
        <v>UNIFORME</v>
      </c>
      <c r="N1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1" s="37" t="str">
        <f>_xlfn.XLOOKUP(Tabla2__2[[#This Row],[PREGUNTA]],ENCUESTA!G:G,ENCUESTA!H:H)</f>
        <v>NO</v>
      </c>
      <c r="P131" s="37">
        <f>IF(Tabla2__2[[#This Row],[RTA]]=Tabla2__2[[#This Row],[RTA CORRECTA]],Tabla2__2[[#This Row],[TOTAL PUNTAJE]],0)</f>
        <v>1.3636363636363635</v>
      </c>
      <c r="Q131" s="37">
        <f t="shared" si="2"/>
        <v>0</v>
      </c>
      <c r="R131" s="37"/>
    </row>
    <row r="132" spans="1:18" x14ac:dyDescent="0.25">
      <c r="A132" s="37" t="s">
        <v>107</v>
      </c>
      <c r="B132" s="37" t="s">
        <v>93</v>
      </c>
      <c r="C132" t="s">
        <v>14</v>
      </c>
      <c r="D132" s="37" t="s">
        <v>161</v>
      </c>
      <c r="E132" s="37">
        <v>191495</v>
      </c>
      <c r="F132" s="37" t="s">
        <v>240</v>
      </c>
      <c r="G132" s="37" t="s">
        <v>103</v>
      </c>
      <c r="H132" s="37" t="s">
        <v>106</v>
      </c>
      <c r="I132" s="38"/>
      <c r="J132" s="37">
        <v>27498086</v>
      </c>
      <c r="K132" s="37" t="s">
        <v>127</v>
      </c>
      <c r="L132" s="37" t="str">
        <f>_xlfn.XLOOKUP(Tabla2__2[[#This Row],[CODIGO RUTA]],'DATA INFORME'!I:I,'DATA INFORME'!K:K)</f>
        <v>SI</v>
      </c>
      <c r="M132" s="37" t="str">
        <f>IF(Tabla2__2[[#This Row],[MYSTERY EFECTIVO]]="SI",_xlfn.XLOOKUP(Tabla2__2[[#This Row],[PREGUNTA]],ENCUESTA!G:G,ENCUESTA!D:D),"N/A")</f>
        <v>UNIFORME</v>
      </c>
      <c r="N1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2" s="37" t="str">
        <f>_xlfn.XLOOKUP(Tabla2__2[[#This Row],[PREGUNTA]],ENCUESTA!G:G,ENCUESTA!H:H)</f>
        <v>NO</v>
      </c>
      <c r="P132" s="37">
        <f>IF(Tabla2__2[[#This Row],[RTA]]=Tabla2__2[[#This Row],[RTA CORRECTA]],Tabla2__2[[#This Row],[TOTAL PUNTAJE]],0)</f>
        <v>1.3636363636363635</v>
      </c>
      <c r="Q132" s="37">
        <f t="shared" si="2"/>
        <v>0</v>
      </c>
      <c r="R132" s="37"/>
    </row>
    <row r="133" spans="1:18" x14ac:dyDescent="0.25">
      <c r="A133" s="37" t="s">
        <v>107</v>
      </c>
      <c r="B133" s="37" t="s">
        <v>93</v>
      </c>
      <c r="C133" t="s">
        <v>14</v>
      </c>
      <c r="D133" s="37" t="s">
        <v>161</v>
      </c>
      <c r="E133" s="37">
        <v>191495</v>
      </c>
      <c r="F133" s="37" t="s">
        <v>240</v>
      </c>
      <c r="G133" s="37" t="s">
        <v>102</v>
      </c>
      <c r="H133" s="37" t="s">
        <v>106</v>
      </c>
      <c r="I133" s="38"/>
      <c r="J133" s="37">
        <v>27498086</v>
      </c>
      <c r="K133" s="37" t="s">
        <v>127</v>
      </c>
      <c r="L133" s="37" t="str">
        <f>_xlfn.XLOOKUP(Tabla2__2[[#This Row],[CODIGO RUTA]],'DATA INFORME'!I:I,'DATA INFORME'!K:K)</f>
        <v>SI</v>
      </c>
      <c r="M133" s="37" t="str">
        <f>IF(Tabla2__2[[#This Row],[MYSTERY EFECTIVO]]="SI",_xlfn.XLOOKUP(Tabla2__2[[#This Row],[PREGUNTA]],ENCUESTA!G:G,ENCUESTA!D:D),"N/A")</f>
        <v>UNIFORME</v>
      </c>
      <c r="N1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3" s="37" t="str">
        <f>_xlfn.XLOOKUP(Tabla2__2[[#This Row],[PREGUNTA]],ENCUESTA!G:G,ENCUESTA!H:H)</f>
        <v>NO</v>
      </c>
      <c r="P133" s="37">
        <f>IF(Tabla2__2[[#This Row],[RTA]]=Tabla2__2[[#This Row],[RTA CORRECTA]],Tabla2__2[[#This Row],[TOTAL PUNTAJE]],0)</f>
        <v>1.3636363636363635</v>
      </c>
      <c r="Q133" s="37">
        <f t="shared" si="2"/>
        <v>0</v>
      </c>
      <c r="R133" s="37"/>
    </row>
    <row r="134" spans="1:18" x14ac:dyDescent="0.25">
      <c r="A134" s="37" t="s">
        <v>107</v>
      </c>
      <c r="B134" s="37" t="s">
        <v>93</v>
      </c>
      <c r="C134" t="s">
        <v>14</v>
      </c>
      <c r="D134" s="37" t="s">
        <v>161</v>
      </c>
      <c r="E134" s="37">
        <v>191495</v>
      </c>
      <c r="F134" s="37" t="s">
        <v>240</v>
      </c>
      <c r="G134" s="37" t="s">
        <v>101</v>
      </c>
      <c r="H134" s="37" t="s">
        <v>106</v>
      </c>
      <c r="I134" s="38"/>
      <c r="J134" s="37">
        <v>27498086</v>
      </c>
      <c r="K134" s="37" t="s">
        <v>127</v>
      </c>
      <c r="L134" s="37" t="str">
        <f>_xlfn.XLOOKUP(Tabla2__2[[#This Row],[CODIGO RUTA]],'DATA INFORME'!I:I,'DATA INFORME'!K:K)</f>
        <v>SI</v>
      </c>
      <c r="M134" s="37" t="str">
        <f>IF(Tabla2__2[[#This Row],[MYSTERY EFECTIVO]]="SI",_xlfn.XLOOKUP(Tabla2__2[[#This Row],[PREGUNTA]],ENCUESTA!G:G,ENCUESTA!D:D),"N/A")</f>
        <v>UNIFORME</v>
      </c>
      <c r="N1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4" s="37" t="str">
        <f>_xlfn.XLOOKUP(Tabla2__2[[#This Row],[PREGUNTA]],ENCUESTA!G:G,ENCUESTA!H:H)</f>
        <v>NO</v>
      </c>
      <c r="P134" s="37">
        <f>IF(Tabla2__2[[#This Row],[RTA]]=Tabla2__2[[#This Row],[RTA CORRECTA]],Tabla2__2[[#This Row],[TOTAL PUNTAJE]],0)</f>
        <v>1.3636363636363635</v>
      </c>
      <c r="Q134" s="37">
        <f t="shared" si="2"/>
        <v>0</v>
      </c>
      <c r="R134" s="37"/>
    </row>
    <row r="135" spans="1:18" x14ac:dyDescent="0.25">
      <c r="A135" s="37" t="s">
        <v>107</v>
      </c>
      <c r="B135" s="37" t="s">
        <v>93</v>
      </c>
      <c r="C135" t="s">
        <v>14</v>
      </c>
      <c r="D135" s="37" t="s">
        <v>161</v>
      </c>
      <c r="E135" s="37">
        <v>191495</v>
      </c>
      <c r="F135" s="37" t="s">
        <v>240</v>
      </c>
      <c r="G135" s="37" t="s">
        <v>100</v>
      </c>
      <c r="H135" s="37" t="s">
        <v>20</v>
      </c>
      <c r="I135" s="38"/>
      <c r="J135" s="37">
        <v>27498086</v>
      </c>
      <c r="K135" s="37" t="s">
        <v>127</v>
      </c>
      <c r="L135" s="37" t="str">
        <f>_xlfn.XLOOKUP(Tabla2__2[[#This Row],[CODIGO RUTA]],'DATA INFORME'!I:I,'DATA INFORME'!K:K)</f>
        <v>SI</v>
      </c>
      <c r="M135" s="37" t="str">
        <f>IF(Tabla2__2[[#This Row],[MYSTERY EFECTIVO]]="SI",_xlfn.XLOOKUP(Tabla2__2[[#This Row],[PREGUNTA]],ENCUESTA!G:G,ENCUESTA!D:D),"N/A")</f>
        <v>UNIFORME</v>
      </c>
      <c r="N1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5" s="37" t="str">
        <f>_xlfn.XLOOKUP(Tabla2__2[[#This Row],[PREGUNTA]],ENCUESTA!G:G,ENCUESTA!H:H)</f>
        <v>SI</v>
      </c>
      <c r="P135" s="37">
        <f>IF(Tabla2__2[[#This Row],[RTA]]=Tabla2__2[[#This Row],[RTA CORRECTA]],Tabla2__2[[#This Row],[TOTAL PUNTAJE]],0)</f>
        <v>1.3636363636363635</v>
      </c>
      <c r="Q135" s="37">
        <f t="shared" si="2"/>
        <v>0</v>
      </c>
      <c r="R135" s="37"/>
    </row>
    <row r="136" spans="1:18" x14ac:dyDescent="0.25">
      <c r="A136" s="37" t="s">
        <v>107</v>
      </c>
      <c r="B136" s="37" t="s">
        <v>93</v>
      </c>
      <c r="C136" t="s">
        <v>14</v>
      </c>
      <c r="D136" s="37" t="s">
        <v>161</v>
      </c>
      <c r="E136" s="37">
        <v>191495</v>
      </c>
      <c r="F136" s="37" t="s">
        <v>240</v>
      </c>
      <c r="G136" s="37" t="s">
        <v>99</v>
      </c>
      <c r="H136" s="37" t="s">
        <v>20</v>
      </c>
      <c r="I136" s="38"/>
      <c r="J136" s="37">
        <v>27498086</v>
      </c>
      <c r="K136" s="37" t="s">
        <v>127</v>
      </c>
      <c r="L136" s="37" t="str">
        <f>_xlfn.XLOOKUP(Tabla2__2[[#This Row],[CODIGO RUTA]],'DATA INFORME'!I:I,'DATA INFORME'!K:K)</f>
        <v>SI</v>
      </c>
      <c r="M136" s="37" t="str">
        <f>IF(Tabla2__2[[#This Row],[MYSTERY EFECTIVO]]="SI",_xlfn.XLOOKUP(Tabla2__2[[#This Row],[PREGUNTA]],ENCUESTA!G:G,ENCUESTA!D:D),"N/A")</f>
        <v>UNIFORME</v>
      </c>
      <c r="N1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6" s="37" t="str">
        <f>_xlfn.XLOOKUP(Tabla2__2[[#This Row],[PREGUNTA]],ENCUESTA!G:G,ENCUESTA!H:H)</f>
        <v>SI</v>
      </c>
      <c r="P136" s="37">
        <f>IF(Tabla2__2[[#This Row],[RTA]]=Tabla2__2[[#This Row],[RTA CORRECTA]],Tabla2__2[[#This Row],[TOTAL PUNTAJE]],0)</f>
        <v>1.3636363636363635</v>
      </c>
      <c r="Q136" s="37">
        <f t="shared" si="2"/>
        <v>0</v>
      </c>
      <c r="R136" s="37"/>
    </row>
    <row r="137" spans="1:18" x14ac:dyDescent="0.25">
      <c r="A137" s="37" t="s">
        <v>107</v>
      </c>
      <c r="B137" s="37" t="s">
        <v>93</v>
      </c>
      <c r="C137" t="s">
        <v>14</v>
      </c>
      <c r="D137" s="37" t="s">
        <v>161</v>
      </c>
      <c r="E137" s="37">
        <v>191495</v>
      </c>
      <c r="F137" s="37" t="s">
        <v>240</v>
      </c>
      <c r="G137" s="37" t="s">
        <v>135</v>
      </c>
      <c r="H137" s="37" t="s">
        <v>106</v>
      </c>
      <c r="I137" s="38"/>
      <c r="J137" s="37">
        <v>27498086</v>
      </c>
      <c r="K137" s="37" t="s">
        <v>127</v>
      </c>
      <c r="L137" s="37" t="str">
        <f>_xlfn.XLOOKUP(Tabla2__2[[#This Row],[CODIGO RUTA]],'DATA INFORME'!I:I,'DATA INFORME'!K:K)</f>
        <v>SI</v>
      </c>
      <c r="M137" s="37" t="str">
        <f>IF(Tabla2__2[[#This Row],[MYSTERY EFECTIVO]]="SI",_xlfn.XLOOKUP(Tabla2__2[[#This Row],[PREGUNTA]],ENCUESTA!G:G,ENCUESTA!D:D),"N/A")</f>
        <v>UNIFORME</v>
      </c>
      <c r="N1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7" s="37" t="str">
        <f>_xlfn.XLOOKUP(Tabla2__2[[#This Row],[PREGUNTA]],ENCUESTA!G:G,ENCUESTA!H:H)</f>
        <v>NO</v>
      </c>
      <c r="P137" s="37">
        <f>IF(Tabla2__2[[#This Row],[RTA]]=Tabla2__2[[#This Row],[RTA CORRECTA]],Tabla2__2[[#This Row],[TOTAL PUNTAJE]],0)</f>
        <v>1.3636363636363635</v>
      </c>
      <c r="Q137" s="37">
        <f t="shared" si="2"/>
        <v>0</v>
      </c>
      <c r="R137" s="37"/>
    </row>
    <row r="138" spans="1:18" x14ac:dyDescent="0.25">
      <c r="A138" s="37" t="s">
        <v>107</v>
      </c>
      <c r="B138" s="37" t="s">
        <v>93</v>
      </c>
      <c r="C138" t="s">
        <v>14</v>
      </c>
      <c r="D138" s="37" t="s">
        <v>161</v>
      </c>
      <c r="E138" s="37">
        <v>191495</v>
      </c>
      <c r="F138" s="37" t="s">
        <v>240</v>
      </c>
      <c r="G138" s="37" t="s">
        <v>35</v>
      </c>
      <c r="H138" s="37" t="s">
        <v>20</v>
      </c>
      <c r="I138" s="38"/>
      <c r="J138" s="37">
        <v>27498086</v>
      </c>
      <c r="K138" s="37" t="s">
        <v>127</v>
      </c>
      <c r="L138" s="37" t="str">
        <f>_xlfn.XLOOKUP(Tabla2__2[[#This Row],[CODIGO RUTA]],'DATA INFORME'!I:I,'DATA INFORME'!K:K)</f>
        <v>SI</v>
      </c>
      <c r="M138" s="37" t="str">
        <f>IF(Tabla2__2[[#This Row],[MYSTERY EFECTIVO]]="SI",_xlfn.XLOOKUP(Tabla2__2[[#This Row],[PREGUNTA]],ENCUESTA!G:G,ENCUESTA!D:D),"N/A")</f>
        <v>UNIFORME</v>
      </c>
      <c r="N1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8" s="37" t="str">
        <f>_xlfn.XLOOKUP(Tabla2__2[[#This Row],[PREGUNTA]],ENCUESTA!G:G,ENCUESTA!H:H)</f>
        <v>SI</v>
      </c>
      <c r="P138" s="37">
        <f>IF(Tabla2__2[[#This Row],[RTA]]=Tabla2__2[[#This Row],[RTA CORRECTA]],Tabla2__2[[#This Row],[TOTAL PUNTAJE]],0)</f>
        <v>1.3636363636363635</v>
      </c>
      <c r="Q138" s="37">
        <f t="shared" si="2"/>
        <v>0</v>
      </c>
      <c r="R138" s="37"/>
    </row>
    <row r="139" spans="1:18" x14ac:dyDescent="0.25">
      <c r="A139" s="37" t="s">
        <v>107</v>
      </c>
      <c r="B139" s="37" t="s">
        <v>93</v>
      </c>
      <c r="C139" t="s">
        <v>14</v>
      </c>
      <c r="D139" s="37" t="s">
        <v>161</v>
      </c>
      <c r="E139" s="37">
        <v>191495</v>
      </c>
      <c r="F139" s="37" t="s">
        <v>240</v>
      </c>
      <c r="G139" s="37" t="s">
        <v>134</v>
      </c>
      <c r="H139" s="37" t="s">
        <v>20</v>
      </c>
      <c r="I139" s="38"/>
      <c r="J139" s="37">
        <v>27498086</v>
      </c>
      <c r="K139" s="37" t="s">
        <v>127</v>
      </c>
      <c r="L139" s="37" t="str">
        <f>_xlfn.XLOOKUP(Tabla2__2[[#This Row],[CODIGO RUTA]],'DATA INFORME'!I:I,'DATA INFORME'!K:K)</f>
        <v>SI</v>
      </c>
      <c r="M139" s="37" t="str">
        <f>IF(Tabla2__2[[#This Row],[MYSTERY EFECTIVO]]="SI",_xlfn.XLOOKUP(Tabla2__2[[#This Row],[PREGUNTA]],ENCUESTA!G:G,ENCUESTA!D:D),"N/A")</f>
        <v>UNIFORME</v>
      </c>
      <c r="N1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39" s="37" t="str">
        <f>_xlfn.XLOOKUP(Tabla2__2[[#This Row],[PREGUNTA]],ENCUESTA!G:G,ENCUESTA!H:H)</f>
        <v>SI</v>
      </c>
      <c r="P139" s="37">
        <f>IF(Tabla2__2[[#This Row],[RTA]]=Tabla2__2[[#This Row],[RTA CORRECTA]],Tabla2__2[[#This Row],[TOTAL PUNTAJE]],0)</f>
        <v>1.3636363636363635</v>
      </c>
      <c r="Q139" s="37">
        <f t="shared" si="2"/>
        <v>0</v>
      </c>
      <c r="R139" s="37"/>
    </row>
    <row r="140" spans="1:18" x14ac:dyDescent="0.25">
      <c r="A140" s="37" t="s">
        <v>107</v>
      </c>
      <c r="B140" s="37" t="s">
        <v>93</v>
      </c>
      <c r="C140" t="s">
        <v>14</v>
      </c>
      <c r="D140" s="37" t="s">
        <v>161</v>
      </c>
      <c r="E140" s="37">
        <v>191495</v>
      </c>
      <c r="F140" s="37" t="s">
        <v>240</v>
      </c>
      <c r="G140" s="37" t="s">
        <v>98</v>
      </c>
      <c r="H140" s="37" t="s">
        <v>20</v>
      </c>
      <c r="I140" s="38"/>
      <c r="J140" s="37">
        <v>27498086</v>
      </c>
      <c r="K140" s="37" t="s">
        <v>127</v>
      </c>
      <c r="L140" s="37" t="str">
        <f>_xlfn.XLOOKUP(Tabla2__2[[#This Row],[CODIGO RUTA]],'DATA INFORME'!I:I,'DATA INFORME'!K:K)</f>
        <v>SI</v>
      </c>
      <c r="M140" s="37" t="str">
        <f>IF(Tabla2__2[[#This Row],[MYSTERY EFECTIVO]]="SI",_xlfn.XLOOKUP(Tabla2__2[[#This Row],[PREGUNTA]],ENCUESTA!G:G,ENCUESTA!D:D),"N/A")</f>
        <v>UNIFORME</v>
      </c>
      <c r="N1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40" s="37" t="str">
        <f>_xlfn.XLOOKUP(Tabla2__2[[#This Row],[PREGUNTA]],ENCUESTA!G:G,ENCUESTA!H:H)</f>
        <v>SI</v>
      </c>
      <c r="P140" s="37">
        <f>IF(Tabla2__2[[#This Row],[RTA]]=Tabla2__2[[#This Row],[RTA CORRECTA]],Tabla2__2[[#This Row],[TOTAL PUNTAJE]],0)</f>
        <v>1.3636363636363635</v>
      </c>
      <c r="Q140" s="37">
        <f t="shared" si="2"/>
        <v>0</v>
      </c>
      <c r="R140" s="37"/>
    </row>
    <row r="141" spans="1:18" x14ac:dyDescent="0.25">
      <c r="A141" s="37" t="s">
        <v>107</v>
      </c>
      <c r="B141" s="37" t="s">
        <v>93</v>
      </c>
      <c r="C141" t="s">
        <v>14</v>
      </c>
      <c r="D141" s="37" t="s">
        <v>161</v>
      </c>
      <c r="E141" s="37">
        <v>191495</v>
      </c>
      <c r="F141" s="37" t="s">
        <v>240</v>
      </c>
      <c r="G141" s="37" t="s">
        <v>97</v>
      </c>
      <c r="H141" s="37" t="s">
        <v>20</v>
      </c>
      <c r="I141" s="38"/>
      <c r="J141" s="37">
        <v>27498086</v>
      </c>
      <c r="K141" s="37" t="s">
        <v>127</v>
      </c>
      <c r="L141" s="37" t="str">
        <f>_xlfn.XLOOKUP(Tabla2__2[[#This Row],[CODIGO RUTA]],'DATA INFORME'!I:I,'DATA INFORME'!K:K)</f>
        <v>SI</v>
      </c>
      <c r="M141" s="37" t="str">
        <f>IF(Tabla2__2[[#This Row],[MYSTERY EFECTIVO]]="SI",_xlfn.XLOOKUP(Tabla2__2[[#This Row],[PREGUNTA]],ENCUESTA!G:G,ENCUESTA!D:D),"N/A")</f>
        <v>HORARIO</v>
      </c>
      <c r="N1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1" s="37" t="str">
        <f>_xlfn.XLOOKUP(Tabla2__2[[#This Row],[PREGUNTA]],ENCUESTA!G:G,ENCUESTA!H:H)</f>
        <v>SI</v>
      </c>
      <c r="P141" s="37">
        <f>IF(Tabla2__2[[#This Row],[RTA]]=Tabla2__2[[#This Row],[RTA CORRECTA]],Tabla2__2[[#This Row],[TOTAL PUNTAJE]],0)</f>
        <v>20</v>
      </c>
      <c r="Q141" s="37">
        <f t="shared" si="2"/>
        <v>0</v>
      </c>
      <c r="R141" s="37"/>
    </row>
    <row r="142" spans="1:18" x14ac:dyDescent="0.25">
      <c r="A142" s="37" t="s">
        <v>107</v>
      </c>
      <c r="B142" s="37" t="s">
        <v>93</v>
      </c>
      <c r="C142" t="s">
        <v>14</v>
      </c>
      <c r="D142" s="37" t="s">
        <v>113</v>
      </c>
      <c r="E142" s="37">
        <v>65453</v>
      </c>
      <c r="F142" s="37" t="s">
        <v>245</v>
      </c>
      <c r="G142" s="37" t="s">
        <v>133</v>
      </c>
      <c r="H142" s="37" t="s">
        <v>20</v>
      </c>
      <c r="I142" s="38"/>
      <c r="J142" s="37">
        <v>27498090</v>
      </c>
      <c r="K142" s="37" t="s">
        <v>127</v>
      </c>
      <c r="L142" s="37" t="str">
        <f>_xlfn.XLOOKUP(Tabla2__2[[#This Row],[CODIGO RUTA]],'DATA INFORME'!I:I,'DATA INFORME'!K:K)</f>
        <v>SI</v>
      </c>
      <c r="M142" s="37" t="str">
        <f>IF(Tabla2__2[[#This Row],[MYSTERY EFECTIVO]]="SI",_xlfn.XLOOKUP(Tabla2__2[[#This Row],[PREGUNTA]],ENCUESTA!G:G,ENCUESTA!D:D),"N/A")</f>
        <v>N/A</v>
      </c>
      <c r="N1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2" s="37">
        <f>_xlfn.XLOOKUP(Tabla2__2[[#This Row],[PREGUNTA]],ENCUESTA!G:G,ENCUESTA!H:H)</f>
        <v>0</v>
      </c>
      <c r="P142" s="37">
        <f>IF(Tabla2__2[[#This Row],[RTA]]=Tabla2__2[[#This Row],[RTA CORRECTA]],Tabla2__2[[#This Row],[TOTAL PUNTAJE]],0)</f>
        <v>0</v>
      </c>
      <c r="Q142" s="37">
        <f t="shared" si="2"/>
        <v>0</v>
      </c>
      <c r="R142" s="37"/>
    </row>
    <row r="143" spans="1:18" x14ac:dyDescent="0.25">
      <c r="A143" s="37" t="s">
        <v>107</v>
      </c>
      <c r="B143" s="37" t="s">
        <v>93</v>
      </c>
      <c r="C143" t="s">
        <v>15</v>
      </c>
      <c r="D143" s="37" t="s">
        <v>96</v>
      </c>
      <c r="E143" s="37">
        <v>126325</v>
      </c>
      <c r="F143" s="37" t="s">
        <v>256</v>
      </c>
      <c r="G143" s="37" t="s">
        <v>97</v>
      </c>
      <c r="H143" s="37" t="s">
        <v>20</v>
      </c>
      <c r="I143" s="38"/>
      <c r="J143" s="37">
        <v>27531935</v>
      </c>
      <c r="K143" s="37" t="s">
        <v>127</v>
      </c>
      <c r="L143" s="37" t="str">
        <f>_xlfn.XLOOKUP(Tabla2__2[[#This Row],[CODIGO RUTA]],'DATA INFORME'!I:I,'DATA INFORME'!K:K)</f>
        <v>SI</v>
      </c>
      <c r="M143" s="37" t="str">
        <f>IF(Tabla2__2[[#This Row],[MYSTERY EFECTIVO]]="SI",_xlfn.XLOOKUP(Tabla2__2[[#This Row],[PREGUNTA]],ENCUESTA!G:G,ENCUESTA!D:D),"N/A")</f>
        <v>HORARIO</v>
      </c>
      <c r="N1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3" s="37" t="str">
        <f>_xlfn.XLOOKUP(Tabla2__2[[#This Row],[PREGUNTA]],ENCUESTA!G:G,ENCUESTA!H:H)</f>
        <v>SI</v>
      </c>
      <c r="P143" s="37">
        <f>IF(Tabla2__2[[#This Row],[RTA]]=Tabla2__2[[#This Row],[RTA CORRECTA]],Tabla2__2[[#This Row],[TOTAL PUNTAJE]],0)</f>
        <v>20</v>
      </c>
      <c r="Q143" s="37">
        <f t="shared" si="2"/>
        <v>0</v>
      </c>
      <c r="R143" s="37"/>
    </row>
    <row r="144" spans="1:18" x14ac:dyDescent="0.25">
      <c r="A144" s="37" t="s">
        <v>107</v>
      </c>
      <c r="B144" s="37" t="s">
        <v>93</v>
      </c>
      <c r="C144" t="s">
        <v>15</v>
      </c>
      <c r="D144" s="37" t="s">
        <v>96</v>
      </c>
      <c r="E144" s="37">
        <v>126325</v>
      </c>
      <c r="F144" s="37" t="s">
        <v>256</v>
      </c>
      <c r="G144" s="37" t="s">
        <v>140</v>
      </c>
      <c r="H144" s="37" t="s">
        <v>106</v>
      </c>
      <c r="I144" s="38"/>
      <c r="J144" s="37">
        <v>27531935</v>
      </c>
      <c r="K144" s="37" t="s">
        <v>127</v>
      </c>
      <c r="L144" s="37" t="str">
        <f>_xlfn.XLOOKUP(Tabla2__2[[#This Row],[CODIGO RUTA]],'DATA INFORME'!I:I,'DATA INFORME'!K:K)</f>
        <v>SI</v>
      </c>
      <c r="M144" s="37" t="str">
        <f>IF(Tabla2__2[[#This Row],[MYSTERY EFECTIVO]]="SI",_xlfn.XLOOKUP(Tabla2__2[[#This Row],[PREGUNTA]],ENCUESTA!G:G,ENCUESTA!D:D),"N/A")</f>
        <v>PORTAFOLIO Y MANEJO DE OBJECIONES</v>
      </c>
      <c r="N1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44" s="37" t="str">
        <f>_xlfn.XLOOKUP(Tabla2__2[[#This Row],[PREGUNTA]],ENCUESTA!G:G,ENCUESTA!H:H)</f>
        <v>SI</v>
      </c>
      <c r="P144" s="37">
        <f>IF(Tabla2__2[[#This Row],[RTA]]=Tabla2__2[[#This Row],[RTA CORRECTA]],Tabla2__2[[#This Row],[TOTAL PUNTAJE]],0)</f>
        <v>0</v>
      </c>
      <c r="Q144" s="37">
        <f t="shared" si="2"/>
        <v>0</v>
      </c>
      <c r="R144" s="37"/>
    </row>
    <row r="145" spans="1:18" x14ac:dyDescent="0.25">
      <c r="A145" s="37" t="s">
        <v>107</v>
      </c>
      <c r="B145" s="37" t="s">
        <v>93</v>
      </c>
      <c r="C145" t="s">
        <v>15</v>
      </c>
      <c r="D145" s="37" t="s">
        <v>96</v>
      </c>
      <c r="E145" s="37">
        <v>126325</v>
      </c>
      <c r="F145" s="37" t="s">
        <v>256</v>
      </c>
      <c r="G145" s="37" t="s">
        <v>134</v>
      </c>
      <c r="H145" s="37" t="s">
        <v>20</v>
      </c>
      <c r="I145" s="38"/>
      <c r="J145" s="37">
        <v>27531935</v>
      </c>
      <c r="K145" s="37" t="s">
        <v>127</v>
      </c>
      <c r="L145" s="37" t="str">
        <f>_xlfn.XLOOKUP(Tabla2__2[[#This Row],[CODIGO RUTA]],'DATA INFORME'!I:I,'DATA INFORME'!K:K)</f>
        <v>SI</v>
      </c>
      <c r="M145" s="37" t="str">
        <f>IF(Tabla2__2[[#This Row],[MYSTERY EFECTIVO]]="SI",_xlfn.XLOOKUP(Tabla2__2[[#This Row],[PREGUNTA]],ENCUESTA!G:G,ENCUESTA!D:D),"N/A")</f>
        <v>UNIFORME</v>
      </c>
      <c r="N1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45" s="37" t="str">
        <f>_xlfn.XLOOKUP(Tabla2__2[[#This Row],[PREGUNTA]],ENCUESTA!G:G,ENCUESTA!H:H)</f>
        <v>SI</v>
      </c>
      <c r="P145" s="37">
        <f>IF(Tabla2__2[[#This Row],[RTA]]=Tabla2__2[[#This Row],[RTA CORRECTA]],Tabla2__2[[#This Row],[TOTAL PUNTAJE]],0)</f>
        <v>1.3636363636363635</v>
      </c>
      <c r="Q145" s="37">
        <f t="shared" si="2"/>
        <v>0</v>
      </c>
      <c r="R145" s="37"/>
    </row>
    <row r="146" spans="1:18" x14ac:dyDescent="0.25">
      <c r="A146" s="37" t="s">
        <v>107</v>
      </c>
      <c r="B146" s="37" t="s">
        <v>8</v>
      </c>
      <c r="C146" t="s">
        <v>15</v>
      </c>
      <c r="D146" s="37" t="s">
        <v>217</v>
      </c>
      <c r="E146" s="37">
        <v>406974</v>
      </c>
      <c r="F146" s="37" t="s">
        <v>298</v>
      </c>
      <c r="G146" s="37" t="s">
        <v>156</v>
      </c>
      <c r="H146" s="37" t="s">
        <v>106</v>
      </c>
      <c r="I146" s="38"/>
      <c r="J146" s="37">
        <v>27684336</v>
      </c>
      <c r="K146" s="37" t="s">
        <v>187</v>
      </c>
      <c r="L146" s="37" t="str">
        <f>_xlfn.XLOOKUP(Tabla2__2[[#This Row],[CODIGO RUTA]],'DATA INFORME'!I:I,'DATA INFORME'!K:K)</f>
        <v>SI</v>
      </c>
      <c r="M146" s="37" t="str">
        <f>IF(Tabla2__2[[#This Row],[MYSTERY EFECTIVO]]="SI",_xlfn.XLOOKUP(Tabla2__2[[#This Row],[PREGUNTA]],ENCUESTA!G:G,ENCUESTA!D:D),"N/A")</f>
        <v>LABOR DE VENTA</v>
      </c>
      <c r="N1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46" s="37" t="str">
        <f>_xlfn.XLOOKUP(Tabla2__2[[#This Row],[PREGUNTA]],ENCUESTA!G:G,ENCUESTA!H:H)</f>
        <v>SI</v>
      </c>
      <c r="P146" s="37">
        <f>IF(Tabla2__2[[#This Row],[RTA]]=Tabla2__2[[#This Row],[RTA CORRECTA]],Tabla2__2[[#This Row],[TOTAL PUNTAJE]],0)</f>
        <v>0</v>
      </c>
      <c r="Q146" s="37">
        <f t="shared" si="2"/>
        <v>0</v>
      </c>
      <c r="R146" s="37"/>
    </row>
    <row r="147" spans="1:18" x14ac:dyDescent="0.25">
      <c r="A147" s="37" t="s">
        <v>107</v>
      </c>
      <c r="B147" s="37" t="s">
        <v>8</v>
      </c>
      <c r="C147" t="s">
        <v>15</v>
      </c>
      <c r="D147" s="37" t="s">
        <v>217</v>
      </c>
      <c r="E147" s="37">
        <v>406974</v>
      </c>
      <c r="F147" s="37" t="s">
        <v>298</v>
      </c>
      <c r="G147" s="37" t="s">
        <v>155</v>
      </c>
      <c r="H147" s="37" t="s">
        <v>106</v>
      </c>
      <c r="I147" s="38"/>
      <c r="J147" s="37">
        <v>27684336</v>
      </c>
      <c r="K147" s="37" t="s">
        <v>187</v>
      </c>
      <c r="L147" s="37" t="str">
        <f>_xlfn.XLOOKUP(Tabla2__2[[#This Row],[CODIGO RUTA]],'DATA INFORME'!I:I,'DATA INFORME'!K:K)</f>
        <v>SI</v>
      </c>
      <c r="M147" s="37" t="str">
        <f>IF(Tabla2__2[[#This Row],[MYSTERY EFECTIVO]]="SI",_xlfn.XLOOKUP(Tabla2__2[[#This Row],[PREGUNTA]],ENCUESTA!G:G,ENCUESTA!D:D),"N/A")</f>
        <v>LABOR DE VENTA</v>
      </c>
      <c r="N1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47" s="37" t="str">
        <f>_xlfn.XLOOKUP(Tabla2__2[[#This Row],[PREGUNTA]],ENCUESTA!G:G,ENCUESTA!H:H)</f>
        <v>SI</v>
      </c>
      <c r="P147" s="37">
        <f>IF(Tabla2__2[[#This Row],[RTA]]=Tabla2__2[[#This Row],[RTA CORRECTA]],Tabla2__2[[#This Row],[TOTAL PUNTAJE]],0)</f>
        <v>0</v>
      </c>
      <c r="Q147" s="37">
        <f t="shared" si="2"/>
        <v>0</v>
      </c>
      <c r="R147" s="37"/>
    </row>
    <row r="148" spans="1:18" x14ac:dyDescent="0.25">
      <c r="A148" s="37" t="s">
        <v>107</v>
      </c>
      <c r="B148" s="37" t="s">
        <v>8</v>
      </c>
      <c r="C148" t="s">
        <v>15</v>
      </c>
      <c r="D148" s="37" t="s">
        <v>217</v>
      </c>
      <c r="E148" s="37">
        <v>406974</v>
      </c>
      <c r="F148" s="37" t="s">
        <v>298</v>
      </c>
      <c r="G148" s="37" t="s">
        <v>154</v>
      </c>
      <c r="H148" s="37" t="s">
        <v>20</v>
      </c>
      <c r="I148" s="38"/>
      <c r="J148" s="37">
        <v>27684336</v>
      </c>
      <c r="K148" s="37" t="s">
        <v>187</v>
      </c>
      <c r="L148" s="37" t="str">
        <f>_xlfn.XLOOKUP(Tabla2__2[[#This Row],[CODIGO RUTA]],'DATA INFORME'!I:I,'DATA INFORME'!K:K)</f>
        <v>SI</v>
      </c>
      <c r="M148" s="37" t="str">
        <f>IF(Tabla2__2[[#This Row],[MYSTERY EFECTIVO]]="SI",_xlfn.XLOOKUP(Tabla2__2[[#This Row],[PREGUNTA]],ENCUESTA!G:G,ENCUESTA!D:D),"N/A")</f>
        <v>UNIFORME</v>
      </c>
      <c r="N1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48" s="37" t="str">
        <f>_xlfn.XLOOKUP(Tabla2__2[[#This Row],[PREGUNTA]],ENCUESTA!G:G,ENCUESTA!H:H)</f>
        <v>SI</v>
      </c>
      <c r="P148" s="37">
        <f>IF(Tabla2__2[[#This Row],[RTA]]=Tabla2__2[[#This Row],[RTA CORRECTA]],Tabla2__2[[#This Row],[TOTAL PUNTAJE]],0)</f>
        <v>1.3636363636363635</v>
      </c>
      <c r="Q148" s="37">
        <f t="shared" si="2"/>
        <v>0</v>
      </c>
      <c r="R148" s="37"/>
    </row>
    <row r="149" spans="1:18" x14ac:dyDescent="0.25">
      <c r="A149" s="37" t="s">
        <v>107</v>
      </c>
      <c r="B149" s="37" t="s">
        <v>8</v>
      </c>
      <c r="C149" t="s">
        <v>15</v>
      </c>
      <c r="D149" s="37" t="s">
        <v>217</v>
      </c>
      <c r="E149" s="37">
        <v>406974</v>
      </c>
      <c r="F149" s="37" t="s">
        <v>298</v>
      </c>
      <c r="G149" s="37" t="s">
        <v>153</v>
      </c>
      <c r="H149" s="37" t="s">
        <v>106</v>
      </c>
      <c r="I149" s="38"/>
      <c r="J149" s="37">
        <v>27684336</v>
      </c>
      <c r="K149" s="37" t="s">
        <v>187</v>
      </c>
      <c r="L149" s="37" t="str">
        <f>_xlfn.XLOOKUP(Tabla2__2[[#This Row],[CODIGO RUTA]],'DATA INFORME'!I:I,'DATA INFORME'!K:K)</f>
        <v>SI</v>
      </c>
      <c r="M149" s="37" t="str">
        <f>IF(Tabla2__2[[#This Row],[MYSTERY EFECTIVO]]="SI",_xlfn.XLOOKUP(Tabla2__2[[#This Row],[PREGUNTA]],ENCUESTA!G:G,ENCUESTA!D:D),"N/A")</f>
        <v>PORTAFOLIO Y MANEJO DE OBJECIONES</v>
      </c>
      <c r="N1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49" s="37" t="str">
        <f>_xlfn.XLOOKUP(Tabla2__2[[#This Row],[PREGUNTA]],ENCUESTA!G:G,ENCUESTA!H:H)</f>
        <v>SI</v>
      </c>
      <c r="P149" s="37">
        <f>IF(Tabla2__2[[#This Row],[RTA]]=Tabla2__2[[#This Row],[RTA CORRECTA]],Tabla2__2[[#This Row],[TOTAL PUNTAJE]],0)</f>
        <v>0</v>
      </c>
      <c r="Q149" s="37">
        <f t="shared" si="2"/>
        <v>0</v>
      </c>
      <c r="R149" s="37"/>
    </row>
    <row r="150" spans="1:18" x14ac:dyDescent="0.25">
      <c r="A150" s="37" t="s">
        <v>107</v>
      </c>
      <c r="B150" s="37" t="s">
        <v>8</v>
      </c>
      <c r="C150" t="s">
        <v>15</v>
      </c>
      <c r="D150" s="37" t="s">
        <v>217</v>
      </c>
      <c r="E150" s="37">
        <v>406974</v>
      </c>
      <c r="F150" s="37" t="s">
        <v>298</v>
      </c>
      <c r="G150" s="37" t="s">
        <v>152</v>
      </c>
      <c r="H150" s="37" t="s">
        <v>188</v>
      </c>
      <c r="I150" s="38"/>
      <c r="J150" s="37">
        <v>27684336</v>
      </c>
      <c r="K150" s="37" t="s">
        <v>187</v>
      </c>
      <c r="L150" s="37" t="str">
        <f>_xlfn.XLOOKUP(Tabla2__2[[#This Row],[CODIGO RUTA]],'DATA INFORME'!I:I,'DATA INFORME'!K:K)</f>
        <v>SI</v>
      </c>
      <c r="M150" s="37" t="str">
        <f>IF(Tabla2__2[[#This Row],[MYSTERY EFECTIVO]]="SI",_xlfn.XLOOKUP(Tabla2__2[[#This Row],[PREGUNTA]],ENCUESTA!G:G,ENCUESTA!D:D),"N/A")</f>
        <v>N/A</v>
      </c>
      <c r="N1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0" s="37" t="str">
        <f>_xlfn.XLOOKUP(Tabla2__2[[#This Row],[PREGUNTA]],ENCUESTA!G:G,ENCUESTA!H:H)</f>
        <v>FALTA DE PRODUCTO, NO LE INTERESA EL PRODUCTO, NO TIENE DINERO, PREFIERE LA COMPETENCIA</v>
      </c>
      <c r="P150" s="37">
        <f>IF(Tabla2__2[[#This Row],[RTA]]=Tabla2__2[[#This Row],[RTA CORRECTA]],Tabla2__2[[#This Row],[TOTAL PUNTAJE]],0)</f>
        <v>0</v>
      </c>
      <c r="Q150" s="37">
        <f t="shared" si="2"/>
        <v>0</v>
      </c>
      <c r="R150" s="37"/>
    </row>
    <row r="151" spans="1:18" x14ac:dyDescent="0.25">
      <c r="A151" s="37" t="s">
        <v>107</v>
      </c>
      <c r="B151" s="37" t="s">
        <v>8</v>
      </c>
      <c r="C151" t="s">
        <v>15</v>
      </c>
      <c r="D151" s="37" t="s">
        <v>217</v>
      </c>
      <c r="E151" s="37">
        <v>406974</v>
      </c>
      <c r="F151" s="37" t="s">
        <v>298</v>
      </c>
      <c r="G151" s="37" t="s">
        <v>146</v>
      </c>
      <c r="H151" s="37" t="s">
        <v>106</v>
      </c>
      <c r="I151" s="38"/>
      <c r="J151" s="37">
        <v>27684336</v>
      </c>
      <c r="K151" s="37" t="s">
        <v>187</v>
      </c>
      <c r="L151" s="37" t="str">
        <f>_xlfn.XLOOKUP(Tabla2__2[[#This Row],[CODIGO RUTA]],'DATA INFORME'!I:I,'DATA INFORME'!K:K)</f>
        <v>SI</v>
      </c>
      <c r="M151" s="37" t="str">
        <f>IF(Tabla2__2[[#This Row],[MYSTERY EFECTIVO]]="SI",_xlfn.XLOOKUP(Tabla2__2[[#This Row],[PREGUNTA]],ENCUESTA!G:G,ENCUESTA!D:D),"N/A")</f>
        <v>ACTIVIDADES DEL MES</v>
      </c>
      <c r="N1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51" s="37" t="str">
        <f>_xlfn.XLOOKUP(Tabla2__2[[#This Row],[PREGUNTA]],ENCUESTA!G:G,ENCUESTA!H:H)</f>
        <v>SI</v>
      </c>
      <c r="P151" s="37">
        <f>IF(Tabla2__2[[#This Row],[RTA]]=Tabla2__2[[#This Row],[RTA CORRECTA]],Tabla2__2[[#This Row],[TOTAL PUNTAJE]],0)</f>
        <v>0</v>
      </c>
      <c r="Q151" s="37">
        <f t="shared" si="2"/>
        <v>0</v>
      </c>
      <c r="R151" s="37"/>
    </row>
    <row r="152" spans="1:18" x14ac:dyDescent="0.25">
      <c r="A152" s="37" t="s">
        <v>107</v>
      </c>
      <c r="B152" s="37" t="s">
        <v>8</v>
      </c>
      <c r="C152" t="s">
        <v>15</v>
      </c>
      <c r="D152" s="37" t="s">
        <v>217</v>
      </c>
      <c r="E152" s="37">
        <v>406974</v>
      </c>
      <c r="F152" s="37" t="s">
        <v>298</v>
      </c>
      <c r="G152" s="37" t="s">
        <v>145</v>
      </c>
      <c r="H152" s="37" t="s">
        <v>106</v>
      </c>
      <c r="I152" s="38"/>
      <c r="J152" s="37">
        <v>27684336</v>
      </c>
      <c r="K152" s="37" t="s">
        <v>187</v>
      </c>
      <c r="L152" s="37" t="str">
        <f>_xlfn.XLOOKUP(Tabla2__2[[#This Row],[CODIGO RUTA]],'DATA INFORME'!I:I,'DATA INFORME'!K:K)</f>
        <v>SI</v>
      </c>
      <c r="M152" s="37" t="str">
        <f>IF(Tabla2__2[[#This Row],[MYSTERY EFECTIVO]]="SI",_xlfn.XLOOKUP(Tabla2__2[[#This Row],[PREGUNTA]],ENCUESTA!G:G,ENCUESTA!D:D),"N/A")</f>
        <v>PORTAFOLIO Y MANEJO DE OBJECIONES</v>
      </c>
      <c r="N1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2" s="37" t="str">
        <f>_xlfn.XLOOKUP(Tabla2__2[[#This Row],[PREGUNTA]],ENCUESTA!G:G,ENCUESTA!H:H)</f>
        <v>SI</v>
      </c>
      <c r="P152" s="37">
        <f>IF(Tabla2__2[[#This Row],[RTA]]=Tabla2__2[[#This Row],[RTA CORRECTA]],Tabla2__2[[#This Row],[TOTAL PUNTAJE]],0)</f>
        <v>0</v>
      </c>
      <c r="Q152" s="37">
        <f t="shared" si="2"/>
        <v>0</v>
      </c>
      <c r="R152" s="37"/>
    </row>
    <row r="153" spans="1:18" x14ac:dyDescent="0.25">
      <c r="A153" s="37" t="s">
        <v>107</v>
      </c>
      <c r="B153" s="37" t="s">
        <v>8</v>
      </c>
      <c r="C153" t="s">
        <v>15</v>
      </c>
      <c r="D153" s="37" t="s">
        <v>217</v>
      </c>
      <c r="E153" s="37">
        <v>406974</v>
      </c>
      <c r="F153" s="37" t="s">
        <v>298</v>
      </c>
      <c r="G153" s="37" t="s">
        <v>144</v>
      </c>
      <c r="H153" s="37" t="s">
        <v>20</v>
      </c>
      <c r="I153" s="38"/>
      <c r="J153" s="37">
        <v>27684336</v>
      </c>
      <c r="K153" s="37" t="s">
        <v>187</v>
      </c>
      <c r="L153" s="37" t="str">
        <f>_xlfn.XLOOKUP(Tabla2__2[[#This Row],[CODIGO RUTA]],'DATA INFORME'!I:I,'DATA INFORME'!K:K)</f>
        <v>SI</v>
      </c>
      <c r="M153" s="37" t="str">
        <f>IF(Tabla2__2[[#This Row],[MYSTERY EFECTIVO]]="SI",_xlfn.XLOOKUP(Tabla2__2[[#This Row],[PREGUNTA]],ENCUESTA!G:G,ENCUESTA!D:D),"N/A")</f>
        <v>PORTAFOLIO Y MANEJO DE OBJECIONES</v>
      </c>
      <c r="N1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3" s="37" t="str">
        <f>_xlfn.XLOOKUP(Tabla2__2[[#This Row],[PREGUNTA]],ENCUESTA!G:G,ENCUESTA!H:H)</f>
        <v>SI</v>
      </c>
      <c r="P153" s="37">
        <f>IF(Tabla2__2[[#This Row],[RTA]]=Tabla2__2[[#This Row],[RTA CORRECTA]],Tabla2__2[[#This Row],[TOTAL PUNTAJE]],0)</f>
        <v>1.5384615384615385</v>
      </c>
      <c r="Q153" s="37">
        <f t="shared" si="2"/>
        <v>0</v>
      </c>
      <c r="R153" s="37"/>
    </row>
    <row r="154" spans="1:18" x14ac:dyDescent="0.25">
      <c r="A154" s="37" t="s">
        <v>107</v>
      </c>
      <c r="B154" s="37" t="s">
        <v>8</v>
      </c>
      <c r="C154" t="s">
        <v>15</v>
      </c>
      <c r="D154" s="37" t="s">
        <v>217</v>
      </c>
      <c r="E154" s="37">
        <v>406974</v>
      </c>
      <c r="F154" s="37" t="s">
        <v>298</v>
      </c>
      <c r="G154" s="37" t="s">
        <v>143</v>
      </c>
      <c r="H154" s="37" t="s">
        <v>106</v>
      </c>
      <c r="I154" s="38"/>
      <c r="J154" s="37">
        <v>27684336</v>
      </c>
      <c r="K154" s="37" t="s">
        <v>187</v>
      </c>
      <c r="L154" s="37" t="str">
        <f>_xlfn.XLOOKUP(Tabla2__2[[#This Row],[CODIGO RUTA]],'DATA INFORME'!I:I,'DATA INFORME'!K:K)</f>
        <v>SI</v>
      </c>
      <c r="M154" s="37" t="str">
        <f>IF(Tabla2__2[[#This Row],[MYSTERY EFECTIVO]]="SI",_xlfn.XLOOKUP(Tabla2__2[[#This Row],[PREGUNTA]],ENCUESTA!G:G,ENCUESTA!D:D),"N/A")</f>
        <v>PORTAFOLIO Y MANEJO DE OBJECIONES</v>
      </c>
      <c r="N1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4" s="37" t="str">
        <f>_xlfn.XLOOKUP(Tabla2__2[[#This Row],[PREGUNTA]],ENCUESTA!G:G,ENCUESTA!H:H)</f>
        <v>SI</v>
      </c>
      <c r="P154" s="37">
        <f>IF(Tabla2__2[[#This Row],[RTA]]=Tabla2__2[[#This Row],[RTA CORRECTA]],Tabla2__2[[#This Row],[TOTAL PUNTAJE]],0)</f>
        <v>0</v>
      </c>
      <c r="Q154" s="37">
        <f t="shared" si="2"/>
        <v>0</v>
      </c>
      <c r="R154" s="37"/>
    </row>
    <row r="155" spans="1:18" x14ac:dyDescent="0.25">
      <c r="A155" s="37" t="s">
        <v>107</v>
      </c>
      <c r="B155" s="37" t="s">
        <v>8</v>
      </c>
      <c r="C155" t="s">
        <v>15</v>
      </c>
      <c r="D155" s="37" t="s">
        <v>217</v>
      </c>
      <c r="E155" s="37">
        <v>406974</v>
      </c>
      <c r="F155" s="37" t="s">
        <v>298</v>
      </c>
      <c r="G155" s="37" t="s">
        <v>142</v>
      </c>
      <c r="H155" s="37" t="s">
        <v>106</v>
      </c>
      <c r="I155" s="38"/>
      <c r="J155" s="37">
        <v>27684336</v>
      </c>
      <c r="K155" s="37" t="s">
        <v>187</v>
      </c>
      <c r="L155" s="37" t="str">
        <f>_xlfn.XLOOKUP(Tabla2__2[[#This Row],[CODIGO RUTA]],'DATA INFORME'!I:I,'DATA INFORME'!K:K)</f>
        <v>SI</v>
      </c>
      <c r="M155" s="37" t="str">
        <f>IF(Tabla2__2[[#This Row],[MYSTERY EFECTIVO]]="SI",_xlfn.XLOOKUP(Tabla2__2[[#This Row],[PREGUNTA]],ENCUESTA!G:G,ENCUESTA!D:D),"N/A")</f>
        <v>PORTAFOLIO Y MANEJO DE OBJECIONES</v>
      </c>
      <c r="N1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5" s="37" t="str">
        <f>_xlfn.XLOOKUP(Tabla2__2[[#This Row],[PREGUNTA]],ENCUESTA!G:G,ENCUESTA!H:H)</f>
        <v>SI</v>
      </c>
      <c r="P155" s="37">
        <f>IF(Tabla2__2[[#This Row],[RTA]]=Tabla2__2[[#This Row],[RTA CORRECTA]],Tabla2__2[[#This Row],[TOTAL PUNTAJE]],0)</f>
        <v>0</v>
      </c>
      <c r="Q155" s="37">
        <f t="shared" si="2"/>
        <v>0</v>
      </c>
      <c r="R155" s="37"/>
    </row>
    <row r="156" spans="1:18" x14ac:dyDescent="0.25">
      <c r="A156" s="37" t="s">
        <v>107</v>
      </c>
      <c r="B156" s="37" t="s">
        <v>8</v>
      </c>
      <c r="C156" t="s">
        <v>15</v>
      </c>
      <c r="D156" s="37" t="s">
        <v>217</v>
      </c>
      <c r="E156" s="37">
        <v>406974</v>
      </c>
      <c r="F156" s="37" t="s">
        <v>298</v>
      </c>
      <c r="G156" s="37" t="s">
        <v>141</v>
      </c>
      <c r="H156" s="37" t="s">
        <v>106</v>
      </c>
      <c r="I156" s="38"/>
      <c r="J156" s="37">
        <v>27684336</v>
      </c>
      <c r="K156" s="37" t="s">
        <v>187</v>
      </c>
      <c r="L156" s="37" t="str">
        <f>_xlfn.XLOOKUP(Tabla2__2[[#This Row],[CODIGO RUTA]],'DATA INFORME'!I:I,'DATA INFORME'!K:K)</f>
        <v>SI</v>
      </c>
      <c r="M156" s="37" t="str">
        <f>IF(Tabla2__2[[#This Row],[MYSTERY EFECTIVO]]="SI",_xlfn.XLOOKUP(Tabla2__2[[#This Row],[PREGUNTA]],ENCUESTA!G:G,ENCUESTA!D:D),"N/A")</f>
        <v>PORTAFOLIO Y MANEJO DE OBJECIONES</v>
      </c>
      <c r="N1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6" s="37" t="str">
        <f>_xlfn.XLOOKUP(Tabla2__2[[#This Row],[PREGUNTA]],ENCUESTA!G:G,ENCUESTA!H:H)</f>
        <v>SI</v>
      </c>
      <c r="P156" s="37">
        <f>IF(Tabla2__2[[#This Row],[RTA]]=Tabla2__2[[#This Row],[RTA CORRECTA]],Tabla2__2[[#This Row],[TOTAL PUNTAJE]],0)</f>
        <v>0</v>
      </c>
      <c r="Q156" s="37">
        <f t="shared" si="2"/>
        <v>0</v>
      </c>
      <c r="R156" s="37"/>
    </row>
    <row r="157" spans="1:18" x14ac:dyDescent="0.25">
      <c r="A157" s="37" t="s">
        <v>107</v>
      </c>
      <c r="B157" s="37" t="s">
        <v>8</v>
      </c>
      <c r="C157" t="s">
        <v>15</v>
      </c>
      <c r="D157" s="37" t="s">
        <v>217</v>
      </c>
      <c r="E157" s="37">
        <v>406974</v>
      </c>
      <c r="F157" s="37" t="s">
        <v>298</v>
      </c>
      <c r="G157" s="37" t="s">
        <v>157</v>
      </c>
      <c r="H157" s="37" t="s">
        <v>20</v>
      </c>
      <c r="I157" s="38"/>
      <c r="J157" s="37">
        <v>27684336</v>
      </c>
      <c r="K157" s="37" t="s">
        <v>187</v>
      </c>
      <c r="L157" s="37" t="str">
        <f>_xlfn.XLOOKUP(Tabla2__2[[#This Row],[CODIGO RUTA]],'DATA INFORME'!I:I,'DATA INFORME'!K:K)</f>
        <v>SI</v>
      </c>
      <c r="M157" s="37" t="str">
        <f>IF(Tabla2__2[[#This Row],[MYSTERY EFECTIVO]]="SI",_xlfn.XLOOKUP(Tabla2__2[[#This Row],[PREGUNTA]],ENCUESTA!G:G,ENCUESTA!D:D),"N/A")</f>
        <v>N/A</v>
      </c>
      <c r="N1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7" s="37">
        <f>_xlfn.XLOOKUP(Tabla2__2[[#This Row],[PREGUNTA]],ENCUESTA!G:G,ENCUESTA!H:H)</f>
        <v>0</v>
      </c>
      <c r="P157" s="37">
        <f>IF(Tabla2__2[[#This Row],[RTA]]=Tabla2__2[[#This Row],[RTA CORRECTA]],Tabla2__2[[#This Row],[TOTAL PUNTAJE]],0)</f>
        <v>0</v>
      </c>
      <c r="Q157" s="37">
        <f t="shared" si="2"/>
        <v>0</v>
      </c>
      <c r="R157" s="37"/>
    </row>
    <row r="158" spans="1:18" x14ac:dyDescent="0.25">
      <c r="A158" s="37" t="s">
        <v>107</v>
      </c>
      <c r="B158" s="37" t="s">
        <v>8</v>
      </c>
      <c r="C158" t="s">
        <v>15</v>
      </c>
      <c r="D158" s="37" t="s">
        <v>217</v>
      </c>
      <c r="E158" s="37">
        <v>406974</v>
      </c>
      <c r="F158" s="37" t="s">
        <v>298</v>
      </c>
      <c r="G158" s="37" t="s">
        <v>140</v>
      </c>
      <c r="H158" s="37" t="s">
        <v>20</v>
      </c>
      <c r="I158" s="38"/>
      <c r="J158" s="37">
        <v>27684336</v>
      </c>
      <c r="K158" s="37" t="s">
        <v>187</v>
      </c>
      <c r="L158" s="37" t="str">
        <f>_xlfn.XLOOKUP(Tabla2__2[[#This Row],[CODIGO RUTA]],'DATA INFORME'!I:I,'DATA INFORME'!K:K)</f>
        <v>SI</v>
      </c>
      <c r="M158" s="37" t="str">
        <f>IF(Tabla2__2[[#This Row],[MYSTERY EFECTIVO]]="SI",_xlfn.XLOOKUP(Tabla2__2[[#This Row],[PREGUNTA]],ENCUESTA!G:G,ENCUESTA!D:D),"N/A")</f>
        <v>PORTAFOLIO Y MANEJO DE OBJECIONES</v>
      </c>
      <c r="N1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8" s="37" t="str">
        <f>_xlfn.XLOOKUP(Tabla2__2[[#This Row],[PREGUNTA]],ENCUESTA!G:G,ENCUESTA!H:H)</f>
        <v>SI</v>
      </c>
      <c r="P158" s="37">
        <f>IF(Tabla2__2[[#This Row],[RTA]]=Tabla2__2[[#This Row],[RTA CORRECTA]],Tabla2__2[[#This Row],[TOTAL PUNTAJE]],0)</f>
        <v>1.5384615384615385</v>
      </c>
      <c r="Q158" s="37">
        <f t="shared" si="2"/>
        <v>0</v>
      </c>
      <c r="R158" s="37"/>
    </row>
    <row r="159" spans="1:18" x14ac:dyDescent="0.25">
      <c r="A159" s="37" t="s">
        <v>107</v>
      </c>
      <c r="B159" s="37" t="s">
        <v>8</v>
      </c>
      <c r="C159" t="s">
        <v>15</v>
      </c>
      <c r="D159" s="37" t="s">
        <v>217</v>
      </c>
      <c r="E159" s="37">
        <v>406974</v>
      </c>
      <c r="F159" s="37" t="s">
        <v>298</v>
      </c>
      <c r="G159" s="37" t="s">
        <v>138</v>
      </c>
      <c r="H159" s="37" t="s">
        <v>106</v>
      </c>
      <c r="I159" s="38"/>
      <c r="J159" s="37">
        <v>27684336</v>
      </c>
      <c r="K159" s="37" t="s">
        <v>187</v>
      </c>
      <c r="L159" s="37" t="str">
        <f>_xlfn.XLOOKUP(Tabla2__2[[#This Row],[CODIGO RUTA]],'DATA INFORME'!I:I,'DATA INFORME'!K:K)</f>
        <v>SI</v>
      </c>
      <c r="M159" s="37" t="str">
        <f>IF(Tabla2__2[[#This Row],[MYSTERY EFECTIVO]]="SI",_xlfn.XLOOKUP(Tabla2__2[[#This Row],[PREGUNTA]],ENCUESTA!G:G,ENCUESTA!D:D),"N/A")</f>
        <v>PORTAFOLIO Y MANEJO DE OBJECIONES</v>
      </c>
      <c r="N1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59" s="37" t="str">
        <f>_xlfn.XLOOKUP(Tabla2__2[[#This Row],[PREGUNTA]],ENCUESTA!G:G,ENCUESTA!H:H)</f>
        <v>SI</v>
      </c>
      <c r="P159" s="37">
        <f>IF(Tabla2__2[[#This Row],[RTA]]=Tabla2__2[[#This Row],[RTA CORRECTA]],Tabla2__2[[#This Row],[TOTAL PUNTAJE]],0)</f>
        <v>0</v>
      </c>
      <c r="Q159" s="37">
        <f t="shared" si="2"/>
        <v>0</v>
      </c>
      <c r="R159" s="37"/>
    </row>
    <row r="160" spans="1:18" x14ac:dyDescent="0.25">
      <c r="A160" s="37" t="s">
        <v>107</v>
      </c>
      <c r="B160" s="37" t="s">
        <v>8</v>
      </c>
      <c r="C160" t="s">
        <v>15</v>
      </c>
      <c r="D160" s="37" t="s">
        <v>217</v>
      </c>
      <c r="E160" s="37">
        <v>406974</v>
      </c>
      <c r="F160" s="37" t="s">
        <v>298</v>
      </c>
      <c r="G160" s="37" t="s">
        <v>137</v>
      </c>
      <c r="H160" s="37" t="s">
        <v>20</v>
      </c>
      <c r="I160" s="38"/>
      <c r="J160" s="37">
        <v>27684336</v>
      </c>
      <c r="K160" s="37" t="s">
        <v>187</v>
      </c>
      <c r="L160" s="37" t="str">
        <f>_xlfn.XLOOKUP(Tabla2__2[[#This Row],[CODIGO RUTA]],'DATA INFORME'!I:I,'DATA INFORME'!K:K)</f>
        <v>SI</v>
      </c>
      <c r="M160" s="37" t="str">
        <f>IF(Tabla2__2[[#This Row],[MYSTERY EFECTIVO]]="SI",_xlfn.XLOOKUP(Tabla2__2[[#This Row],[PREGUNTA]],ENCUESTA!G:G,ENCUESTA!D:D),"N/A")</f>
        <v>PORTAFOLIO Y MANEJO DE OBJECIONES</v>
      </c>
      <c r="N1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60" s="37" t="str">
        <f>_xlfn.XLOOKUP(Tabla2__2[[#This Row],[PREGUNTA]],ENCUESTA!G:G,ENCUESTA!H:H)</f>
        <v>SI</v>
      </c>
      <c r="P160" s="37">
        <f>IF(Tabla2__2[[#This Row],[RTA]]=Tabla2__2[[#This Row],[RTA CORRECTA]],Tabla2__2[[#This Row],[TOTAL PUNTAJE]],0)</f>
        <v>1.5384615384615385</v>
      </c>
      <c r="Q160" s="37">
        <f t="shared" si="2"/>
        <v>0</v>
      </c>
      <c r="R160" s="37"/>
    </row>
    <row r="161" spans="1:18" x14ac:dyDescent="0.25">
      <c r="A161" s="37" t="s">
        <v>107</v>
      </c>
      <c r="B161" s="37" t="s">
        <v>8</v>
      </c>
      <c r="C161" t="s">
        <v>15</v>
      </c>
      <c r="D161" s="37" t="s">
        <v>217</v>
      </c>
      <c r="E161" s="37">
        <v>406974</v>
      </c>
      <c r="F161" s="37" t="s">
        <v>298</v>
      </c>
      <c r="G161" s="37" t="s">
        <v>136</v>
      </c>
      <c r="H161" s="37" t="s">
        <v>106</v>
      </c>
      <c r="I161" s="38"/>
      <c r="J161" s="37">
        <v>27684336</v>
      </c>
      <c r="K161" s="37" t="s">
        <v>187</v>
      </c>
      <c r="L161" s="37" t="str">
        <f>_xlfn.XLOOKUP(Tabla2__2[[#This Row],[CODIGO RUTA]],'DATA INFORME'!I:I,'DATA INFORME'!K:K)</f>
        <v>SI</v>
      </c>
      <c r="M161" s="37" t="str">
        <f>IF(Tabla2__2[[#This Row],[MYSTERY EFECTIVO]]="SI",_xlfn.XLOOKUP(Tabla2__2[[#This Row],[PREGUNTA]],ENCUESTA!G:G,ENCUESTA!D:D),"N/A")</f>
        <v>ABORDAJE</v>
      </c>
      <c r="N1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61" s="37" t="str">
        <f>_xlfn.XLOOKUP(Tabla2__2[[#This Row],[PREGUNTA]],ENCUESTA!G:G,ENCUESTA!H:H)</f>
        <v>SI</v>
      </c>
      <c r="P161" s="37">
        <f>IF(Tabla2__2[[#This Row],[RTA]]=Tabla2__2[[#This Row],[RTA CORRECTA]],Tabla2__2[[#This Row],[TOTAL PUNTAJE]],0)</f>
        <v>0</v>
      </c>
      <c r="Q161" s="37">
        <f t="shared" si="2"/>
        <v>0</v>
      </c>
      <c r="R161" s="37"/>
    </row>
    <row r="162" spans="1:18" x14ac:dyDescent="0.25">
      <c r="A162" s="37" t="s">
        <v>107</v>
      </c>
      <c r="B162" s="37" t="s">
        <v>8</v>
      </c>
      <c r="C162" t="s">
        <v>15</v>
      </c>
      <c r="D162" s="37" t="s">
        <v>217</v>
      </c>
      <c r="E162" s="37">
        <v>406974</v>
      </c>
      <c r="F162" s="37" t="s">
        <v>298</v>
      </c>
      <c r="G162" s="37" t="s">
        <v>104</v>
      </c>
      <c r="H162" s="37" t="s">
        <v>106</v>
      </c>
      <c r="I162" s="38"/>
      <c r="J162" s="37">
        <v>27684336</v>
      </c>
      <c r="K162" s="37" t="s">
        <v>187</v>
      </c>
      <c r="L162" s="37" t="str">
        <f>_xlfn.XLOOKUP(Tabla2__2[[#This Row],[CODIGO RUTA]],'DATA INFORME'!I:I,'DATA INFORME'!K:K)</f>
        <v>SI</v>
      </c>
      <c r="M162" s="37" t="str">
        <f>IF(Tabla2__2[[#This Row],[MYSTERY EFECTIVO]]="SI",_xlfn.XLOOKUP(Tabla2__2[[#This Row],[PREGUNTA]],ENCUESTA!G:G,ENCUESTA!D:D),"N/A")</f>
        <v>UNIFORME</v>
      </c>
      <c r="N1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2" s="37" t="str">
        <f>_xlfn.XLOOKUP(Tabla2__2[[#This Row],[PREGUNTA]],ENCUESTA!G:G,ENCUESTA!H:H)</f>
        <v>NO</v>
      </c>
      <c r="P162" s="37">
        <f>IF(Tabla2__2[[#This Row],[RTA]]=Tabla2__2[[#This Row],[RTA CORRECTA]],Tabla2__2[[#This Row],[TOTAL PUNTAJE]],0)</f>
        <v>1.3636363636363635</v>
      </c>
      <c r="Q162" s="37">
        <f t="shared" si="2"/>
        <v>0</v>
      </c>
      <c r="R162" s="37"/>
    </row>
    <row r="163" spans="1:18" x14ac:dyDescent="0.25">
      <c r="A163" s="37" t="s">
        <v>107</v>
      </c>
      <c r="B163" s="37" t="s">
        <v>8</v>
      </c>
      <c r="C163" t="s">
        <v>15</v>
      </c>
      <c r="D163" s="37" t="s">
        <v>217</v>
      </c>
      <c r="E163" s="37">
        <v>406974</v>
      </c>
      <c r="F163" s="37" t="s">
        <v>298</v>
      </c>
      <c r="G163" s="37" t="s">
        <v>103</v>
      </c>
      <c r="H163" s="37" t="s">
        <v>106</v>
      </c>
      <c r="I163" s="38"/>
      <c r="J163" s="37">
        <v>27684336</v>
      </c>
      <c r="K163" s="37" t="s">
        <v>187</v>
      </c>
      <c r="L163" s="37" t="str">
        <f>_xlfn.XLOOKUP(Tabla2__2[[#This Row],[CODIGO RUTA]],'DATA INFORME'!I:I,'DATA INFORME'!K:K)</f>
        <v>SI</v>
      </c>
      <c r="M163" s="37" t="str">
        <f>IF(Tabla2__2[[#This Row],[MYSTERY EFECTIVO]]="SI",_xlfn.XLOOKUP(Tabla2__2[[#This Row],[PREGUNTA]],ENCUESTA!G:G,ENCUESTA!D:D),"N/A")</f>
        <v>UNIFORME</v>
      </c>
      <c r="N1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3" s="37" t="str">
        <f>_xlfn.XLOOKUP(Tabla2__2[[#This Row],[PREGUNTA]],ENCUESTA!G:G,ENCUESTA!H:H)</f>
        <v>NO</v>
      </c>
      <c r="P163" s="37">
        <f>IF(Tabla2__2[[#This Row],[RTA]]=Tabla2__2[[#This Row],[RTA CORRECTA]],Tabla2__2[[#This Row],[TOTAL PUNTAJE]],0)</f>
        <v>1.3636363636363635</v>
      </c>
      <c r="Q163" s="37">
        <f t="shared" si="2"/>
        <v>0</v>
      </c>
      <c r="R163" s="37"/>
    </row>
    <row r="164" spans="1:18" x14ac:dyDescent="0.25">
      <c r="A164" s="37" t="s">
        <v>107</v>
      </c>
      <c r="B164" s="37" t="s">
        <v>8</v>
      </c>
      <c r="C164" t="s">
        <v>15</v>
      </c>
      <c r="D164" s="37" t="s">
        <v>217</v>
      </c>
      <c r="E164" s="37">
        <v>406974</v>
      </c>
      <c r="F164" s="37" t="s">
        <v>298</v>
      </c>
      <c r="G164" s="37" t="s">
        <v>102</v>
      </c>
      <c r="H164" s="37" t="s">
        <v>106</v>
      </c>
      <c r="I164" s="38"/>
      <c r="J164" s="37">
        <v>27684336</v>
      </c>
      <c r="K164" s="37" t="s">
        <v>187</v>
      </c>
      <c r="L164" s="37" t="str">
        <f>_xlfn.XLOOKUP(Tabla2__2[[#This Row],[CODIGO RUTA]],'DATA INFORME'!I:I,'DATA INFORME'!K:K)</f>
        <v>SI</v>
      </c>
      <c r="M164" s="37" t="str">
        <f>IF(Tabla2__2[[#This Row],[MYSTERY EFECTIVO]]="SI",_xlfn.XLOOKUP(Tabla2__2[[#This Row],[PREGUNTA]],ENCUESTA!G:G,ENCUESTA!D:D),"N/A")</f>
        <v>UNIFORME</v>
      </c>
      <c r="N1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4" s="37" t="str">
        <f>_xlfn.XLOOKUP(Tabla2__2[[#This Row],[PREGUNTA]],ENCUESTA!G:G,ENCUESTA!H:H)</f>
        <v>NO</v>
      </c>
      <c r="P164" s="37">
        <f>IF(Tabla2__2[[#This Row],[RTA]]=Tabla2__2[[#This Row],[RTA CORRECTA]],Tabla2__2[[#This Row],[TOTAL PUNTAJE]],0)</f>
        <v>1.3636363636363635</v>
      </c>
      <c r="Q164" s="37">
        <f t="shared" si="2"/>
        <v>0</v>
      </c>
      <c r="R164" s="37"/>
    </row>
    <row r="165" spans="1:18" x14ac:dyDescent="0.25">
      <c r="A165" s="37" t="s">
        <v>107</v>
      </c>
      <c r="B165" s="37" t="s">
        <v>8</v>
      </c>
      <c r="C165" t="s">
        <v>15</v>
      </c>
      <c r="D165" s="37" t="s">
        <v>217</v>
      </c>
      <c r="E165" s="37">
        <v>406974</v>
      </c>
      <c r="F165" s="37" t="s">
        <v>298</v>
      </c>
      <c r="G165" s="37" t="s">
        <v>101</v>
      </c>
      <c r="H165" s="37" t="s">
        <v>106</v>
      </c>
      <c r="I165" s="38"/>
      <c r="J165" s="37">
        <v>27684336</v>
      </c>
      <c r="K165" s="37" t="s">
        <v>187</v>
      </c>
      <c r="L165" s="37" t="str">
        <f>_xlfn.XLOOKUP(Tabla2__2[[#This Row],[CODIGO RUTA]],'DATA INFORME'!I:I,'DATA INFORME'!K:K)</f>
        <v>SI</v>
      </c>
      <c r="M165" s="37" t="str">
        <f>IF(Tabla2__2[[#This Row],[MYSTERY EFECTIVO]]="SI",_xlfn.XLOOKUP(Tabla2__2[[#This Row],[PREGUNTA]],ENCUESTA!G:G,ENCUESTA!D:D),"N/A")</f>
        <v>UNIFORME</v>
      </c>
      <c r="N1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5" s="37" t="str">
        <f>_xlfn.XLOOKUP(Tabla2__2[[#This Row],[PREGUNTA]],ENCUESTA!G:G,ENCUESTA!H:H)</f>
        <v>NO</v>
      </c>
      <c r="P165" s="37">
        <f>IF(Tabla2__2[[#This Row],[RTA]]=Tabla2__2[[#This Row],[RTA CORRECTA]],Tabla2__2[[#This Row],[TOTAL PUNTAJE]],0)</f>
        <v>1.3636363636363635</v>
      </c>
      <c r="Q165" s="37">
        <f t="shared" si="2"/>
        <v>0</v>
      </c>
      <c r="R165" s="37"/>
    </row>
    <row r="166" spans="1:18" x14ac:dyDescent="0.25">
      <c r="A166" s="37" t="s">
        <v>107</v>
      </c>
      <c r="B166" s="37" t="s">
        <v>8</v>
      </c>
      <c r="C166" t="s">
        <v>15</v>
      </c>
      <c r="D166" s="37" t="s">
        <v>217</v>
      </c>
      <c r="E166" s="37">
        <v>406974</v>
      </c>
      <c r="F166" s="37" t="s">
        <v>298</v>
      </c>
      <c r="G166" s="37" t="s">
        <v>100</v>
      </c>
      <c r="H166" s="37" t="s">
        <v>20</v>
      </c>
      <c r="I166" s="38"/>
      <c r="J166" s="37">
        <v>27684336</v>
      </c>
      <c r="K166" s="37" t="s">
        <v>187</v>
      </c>
      <c r="L166" s="37" t="str">
        <f>_xlfn.XLOOKUP(Tabla2__2[[#This Row],[CODIGO RUTA]],'DATA INFORME'!I:I,'DATA INFORME'!K:K)</f>
        <v>SI</v>
      </c>
      <c r="M166" s="37" t="str">
        <f>IF(Tabla2__2[[#This Row],[MYSTERY EFECTIVO]]="SI",_xlfn.XLOOKUP(Tabla2__2[[#This Row],[PREGUNTA]],ENCUESTA!G:G,ENCUESTA!D:D),"N/A")</f>
        <v>UNIFORME</v>
      </c>
      <c r="N1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6" s="37" t="str">
        <f>_xlfn.XLOOKUP(Tabla2__2[[#This Row],[PREGUNTA]],ENCUESTA!G:G,ENCUESTA!H:H)</f>
        <v>SI</v>
      </c>
      <c r="P166" s="37">
        <f>IF(Tabla2__2[[#This Row],[RTA]]=Tabla2__2[[#This Row],[RTA CORRECTA]],Tabla2__2[[#This Row],[TOTAL PUNTAJE]],0)</f>
        <v>1.3636363636363635</v>
      </c>
      <c r="Q166" s="37">
        <f t="shared" si="2"/>
        <v>0</v>
      </c>
      <c r="R166" s="37"/>
    </row>
    <row r="167" spans="1:18" x14ac:dyDescent="0.25">
      <c r="A167" s="37" t="s">
        <v>107</v>
      </c>
      <c r="B167" s="37" t="s">
        <v>8</v>
      </c>
      <c r="C167" t="s">
        <v>15</v>
      </c>
      <c r="D167" s="37" t="s">
        <v>217</v>
      </c>
      <c r="E167" s="37">
        <v>406974</v>
      </c>
      <c r="F167" s="37" t="s">
        <v>298</v>
      </c>
      <c r="G167" s="37" t="s">
        <v>99</v>
      </c>
      <c r="H167" s="37" t="s">
        <v>20</v>
      </c>
      <c r="I167" s="38"/>
      <c r="J167" s="37">
        <v>27684336</v>
      </c>
      <c r="K167" s="37" t="s">
        <v>187</v>
      </c>
      <c r="L167" s="37" t="str">
        <f>_xlfn.XLOOKUP(Tabla2__2[[#This Row],[CODIGO RUTA]],'DATA INFORME'!I:I,'DATA INFORME'!K:K)</f>
        <v>SI</v>
      </c>
      <c r="M167" s="37" t="str">
        <f>IF(Tabla2__2[[#This Row],[MYSTERY EFECTIVO]]="SI",_xlfn.XLOOKUP(Tabla2__2[[#This Row],[PREGUNTA]],ENCUESTA!G:G,ENCUESTA!D:D),"N/A")</f>
        <v>UNIFORME</v>
      </c>
      <c r="N1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7" s="37" t="str">
        <f>_xlfn.XLOOKUP(Tabla2__2[[#This Row],[PREGUNTA]],ENCUESTA!G:G,ENCUESTA!H:H)</f>
        <v>SI</v>
      </c>
      <c r="P167" s="37">
        <f>IF(Tabla2__2[[#This Row],[RTA]]=Tabla2__2[[#This Row],[RTA CORRECTA]],Tabla2__2[[#This Row],[TOTAL PUNTAJE]],0)</f>
        <v>1.3636363636363635</v>
      </c>
      <c r="Q167" s="37">
        <f t="shared" si="2"/>
        <v>0</v>
      </c>
      <c r="R167" s="37"/>
    </row>
    <row r="168" spans="1:18" x14ac:dyDescent="0.25">
      <c r="A168" s="37" t="s">
        <v>107</v>
      </c>
      <c r="B168" s="37" t="s">
        <v>8</v>
      </c>
      <c r="C168" t="s">
        <v>15</v>
      </c>
      <c r="D168" s="37" t="s">
        <v>217</v>
      </c>
      <c r="E168" s="37">
        <v>406974</v>
      </c>
      <c r="F168" s="37" t="s">
        <v>298</v>
      </c>
      <c r="G168" s="37" t="s">
        <v>135</v>
      </c>
      <c r="H168" s="37" t="s">
        <v>106</v>
      </c>
      <c r="I168" s="38"/>
      <c r="J168" s="37">
        <v>27684336</v>
      </c>
      <c r="K168" s="37" t="s">
        <v>187</v>
      </c>
      <c r="L168" s="37" t="str">
        <f>_xlfn.XLOOKUP(Tabla2__2[[#This Row],[CODIGO RUTA]],'DATA INFORME'!I:I,'DATA INFORME'!K:K)</f>
        <v>SI</v>
      </c>
      <c r="M168" s="37" t="str">
        <f>IF(Tabla2__2[[#This Row],[MYSTERY EFECTIVO]]="SI",_xlfn.XLOOKUP(Tabla2__2[[#This Row],[PREGUNTA]],ENCUESTA!G:G,ENCUESTA!D:D),"N/A")</f>
        <v>UNIFORME</v>
      </c>
      <c r="N1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8" s="37" t="str">
        <f>_xlfn.XLOOKUP(Tabla2__2[[#This Row],[PREGUNTA]],ENCUESTA!G:G,ENCUESTA!H:H)</f>
        <v>NO</v>
      </c>
      <c r="P168" s="37">
        <f>IF(Tabla2__2[[#This Row],[RTA]]=Tabla2__2[[#This Row],[RTA CORRECTA]],Tabla2__2[[#This Row],[TOTAL PUNTAJE]],0)</f>
        <v>1.3636363636363635</v>
      </c>
      <c r="Q168" s="37">
        <f t="shared" si="2"/>
        <v>0</v>
      </c>
      <c r="R168" s="37"/>
    </row>
    <row r="169" spans="1:18" x14ac:dyDescent="0.25">
      <c r="A169" s="37" t="s">
        <v>107</v>
      </c>
      <c r="B169" s="37" t="s">
        <v>8</v>
      </c>
      <c r="C169" t="s">
        <v>15</v>
      </c>
      <c r="D169" s="37" t="s">
        <v>217</v>
      </c>
      <c r="E169" s="37">
        <v>406974</v>
      </c>
      <c r="F169" s="37" t="s">
        <v>298</v>
      </c>
      <c r="G169" s="37" t="s">
        <v>35</v>
      </c>
      <c r="H169" s="37" t="s">
        <v>20</v>
      </c>
      <c r="I169" s="38"/>
      <c r="J169" s="37">
        <v>27684336</v>
      </c>
      <c r="K169" s="37" t="s">
        <v>187</v>
      </c>
      <c r="L169" s="37" t="str">
        <f>_xlfn.XLOOKUP(Tabla2__2[[#This Row],[CODIGO RUTA]],'DATA INFORME'!I:I,'DATA INFORME'!K:K)</f>
        <v>SI</v>
      </c>
      <c r="M169" s="37" t="str">
        <f>IF(Tabla2__2[[#This Row],[MYSTERY EFECTIVO]]="SI",_xlfn.XLOOKUP(Tabla2__2[[#This Row],[PREGUNTA]],ENCUESTA!G:G,ENCUESTA!D:D),"N/A")</f>
        <v>UNIFORME</v>
      </c>
      <c r="N1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69" s="37" t="str">
        <f>_xlfn.XLOOKUP(Tabla2__2[[#This Row],[PREGUNTA]],ENCUESTA!G:G,ENCUESTA!H:H)</f>
        <v>SI</v>
      </c>
      <c r="P169" s="37">
        <f>IF(Tabla2__2[[#This Row],[RTA]]=Tabla2__2[[#This Row],[RTA CORRECTA]],Tabla2__2[[#This Row],[TOTAL PUNTAJE]],0)</f>
        <v>1.3636363636363635</v>
      </c>
      <c r="Q169" s="37">
        <f t="shared" si="2"/>
        <v>0</v>
      </c>
      <c r="R169" s="37"/>
    </row>
    <row r="170" spans="1:18" x14ac:dyDescent="0.25">
      <c r="A170" s="37" t="s">
        <v>107</v>
      </c>
      <c r="B170" s="37" t="s">
        <v>8</v>
      </c>
      <c r="C170" t="s">
        <v>15</v>
      </c>
      <c r="D170" s="37" t="s">
        <v>217</v>
      </c>
      <c r="E170" s="37">
        <v>406974</v>
      </c>
      <c r="F170" s="37" t="s">
        <v>298</v>
      </c>
      <c r="G170" s="37" t="s">
        <v>139</v>
      </c>
      <c r="H170" s="37" t="s">
        <v>15</v>
      </c>
      <c r="I170" s="38"/>
      <c r="J170" s="37">
        <v>27684336</v>
      </c>
      <c r="K170" s="37" t="s">
        <v>187</v>
      </c>
      <c r="L170" s="37" t="str">
        <f>_xlfn.XLOOKUP(Tabla2__2[[#This Row],[CODIGO RUTA]],'DATA INFORME'!I:I,'DATA INFORME'!K:K)</f>
        <v>SI</v>
      </c>
      <c r="M170" s="37" t="str">
        <f>IF(Tabla2__2[[#This Row],[MYSTERY EFECTIVO]]="SI",_xlfn.XLOOKUP(Tabla2__2[[#This Row],[PREGUNTA]],ENCUESTA!G:G,ENCUESTA!D:D),"N/A")</f>
        <v>N/A</v>
      </c>
      <c r="N1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0" s="37" t="str">
        <f>_xlfn.XLOOKUP(Tabla2__2[[#This Row],[PREGUNTA]],ENCUESTA!G:G,ENCUESTA!H:H)</f>
        <v>MODERNO, ESPECIALIZADO</v>
      </c>
      <c r="P170" s="37">
        <f>IF(Tabla2__2[[#This Row],[RTA]]=Tabla2__2[[#This Row],[RTA CORRECTA]],Tabla2__2[[#This Row],[TOTAL PUNTAJE]],0)</f>
        <v>0</v>
      </c>
      <c r="Q170" s="37">
        <f t="shared" si="2"/>
        <v>0</v>
      </c>
      <c r="R170" s="37"/>
    </row>
    <row r="171" spans="1:18" x14ac:dyDescent="0.25">
      <c r="A171" s="37" t="s">
        <v>107</v>
      </c>
      <c r="B171" s="37" t="s">
        <v>8</v>
      </c>
      <c r="C171" t="s">
        <v>15</v>
      </c>
      <c r="D171" s="37" t="s">
        <v>217</v>
      </c>
      <c r="E171" s="37">
        <v>406974</v>
      </c>
      <c r="F171" s="37" t="s">
        <v>298</v>
      </c>
      <c r="G171" s="37" t="s">
        <v>158</v>
      </c>
      <c r="H171" s="37" t="s">
        <v>303</v>
      </c>
      <c r="I171" s="38"/>
      <c r="J171" s="37">
        <v>27684336</v>
      </c>
      <c r="K171" s="37" t="s">
        <v>187</v>
      </c>
      <c r="L171" s="37" t="str">
        <f>_xlfn.XLOOKUP(Tabla2__2[[#This Row],[CODIGO RUTA]],'DATA INFORME'!I:I,'DATA INFORME'!K:K)</f>
        <v>SI</v>
      </c>
      <c r="M171" s="37" t="str">
        <f>IF(Tabla2__2[[#This Row],[MYSTERY EFECTIVO]]="SI",_xlfn.XLOOKUP(Tabla2__2[[#This Row],[PREGUNTA]],ENCUESTA!G:G,ENCUESTA!D:D),"N/A")</f>
        <v>N/A</v>
      </c>
      <c r="N1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1" s="37">
        <f>_xlfn.XLOOKUP(Tabla2__2[[#This Row],[PREGUNTA]],ENCUESTA!G:G,ENCUESTA!H:H)</f>
        <v>0</v>
      </c>
      <c r="P171" s="37">
        <f>IF(Tabla2__2[[#This Row],[RTA]]=Tabla2__2[[#This Row],[RTA CORRECTA]],Tabla2__2[[#This Row],[TOTAL PUNTAJE]],0)</f>
        <v>0</v>
      </c>
      <c r="Q171" s="37">
        <f t="shared" si="2"/>
        <v>0</v>
      </c>
      <c r="R171" s="37"/>
    </row>
    <row r="172" spans="1:18" x14ac:dyDescent="0.25">
      <c r="A172" s="37" t="s">
        <v>107</v>
      </c>
      <c r="B172" s="37" t="s">
        <v>8</v>
      </c>
      <c r="C172" t="s">
        <v>15</v>
      </c>
      <c r="D172" s="37" t="s">
        <v>217</v>
      </c>
      <c r="E172" s="37">
        <v>12565</v>
      </c>
      <c r="F172" s="37" t="s">
        <v>312</v>
      </c>
      <c r="G172" s="37" t="s">
        <v>133</v>
      </c>
      <c r="H172" s="37" t="s">
        <v>20</v>
      </c>
      <c r="I172" s="38"/>
      <c r="J172" s="37">
        <v>27689425</v>
      </c>
      <c r="K172" s="37" t="s">
        <v>110</v>
      </c>
      <c r="L172" s="37" t="str">
        <f>_xlfn.XLOOKUP(Tabla2__2[[#This Row],[CODIGO RUTA]],'DATA INFORME'!I:I,'DATA INFORME'!K:K)</f>
        <v>SI</v>
      </c>
      <c r="M172" s="37" t="str">
        <f>IF(Tabla2__2[[#This Row],[MYSTERY EFECTIVO]]="SI",_xlfn.XLOOKUP(Tabla2__2[[#This Row],[PREGUNTA]],ENCUESTA!G:G,ENCUESTA!D:D),"N/A")</f>
        <v>N/A</v>
      </c>
      <c r="N1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2" s="37">
        <f>_xlfn.XLOOKUP(Tabla2__2[[#This Row],[PREGUNTA]],ENCUESTA!G:G,ENCUESTA!H:H)</f>
        <v>0</v>
      </c>
      <c r="P172" s="37">
        <f>IF(Tabla2__2[[#This Row],[RTA]]=Tabla2__2[[#This Row],[RTA CORRECTA]],Tabla2__2[[#This Row],[TOTAL PUNTAJE]],0)</f>
        <v>0</v>
      </c>
      <c r="Q172" s="37">
        <f t="shared" si="2"/>
        <v>0</v>
      </c>
      <c r="R172" s="37"/>
    </row>
    <row r="173" spans="1:18" x14ac:dyDescent="0.25">
      <c r="A173" s="37" t="s">
        <v>107</v>
      </c>
      <c r="B173" s="37" t="s">
        <v>8</v>
      </c>
      <c r="C173" t="s">
        <v>15</v>
      </c>
      <c r="D173" s="37" t="s">
        <v>217</v>
      </c>
      <c r="E173" s="37">
        <v>12565</v>
      </c>
      <c r="F173" s="37" t="s">
        <v>312</v>
      </c>
      <c r="G173" s="37" t="s">
        <v>97</v>
      </c>
      <c r="H173" s="37" t="s">
        <v>20</v>
      </c>
      <c r="I173" s="38"/>
      <c r="J173" s="37">
        <v>27689425</v>
      </c>
      <c r="K173" s="37" t="s">
        <v>110</v>
      </c>
      <c r="L173" s="37" t="str">
        <f>_xlfn.XLOOKUP(Tabla2__2[[#This Row],[CODIGO RUTA]],'DATA INFORME'!I:I,'DATA INFORME'!K:K)</f>
        <v>SI</v>
      </c>
      <c r="M173" s="37" t="str">
        <f>IF(Tabla2__2[[#This Row],[MYSTERY EFECTIVO]]="SI",_xlfn.XLOOKUP(Tabla2__2[[#This Row],[PREGUNTA]],ENCUESTA!G:G,ENCUESTA!D:D),"N/A")</f>
        <v>HORARIO</v>
      </c>
      <c r="N1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73" s="37" t="str">
        <f>_xlfn.XLOOKUP(Tabla2__2[[#This Row],[PREGUNTA]],ENCUESTA!G:G,ENCUESTA!H:H)</f>
        <v>SI</v>
      </c>
      <c r="P173" s="37">
        <f>IF(Tabla2__2[[#This Row],[RTA]]=Tabla2__2[[#This Row],[RTA CORRECTA]],Tabla2__2[[#This Row],[TOTAL PUNTAJE]],0)</f>
        <v>20</v>
      </c>
      <c r="Q173" s="37">
        <f t="shared" si="2"/>
        <v>0</v>
      </c>
      <c r="R173" s="37"/>
    </row>
    <row r="174" spans="1:18" x14ac:dyDescent="0.25">
      <c r="A174" s="37" t="s">
        <v>107</v>
      </c>
      <c r="B174" s="37" t="s">
        <v>8</v>
      </c>
      <c r="C174" t="s">
        <v>15</v>
      </c>
      <c r="D174" s="37" t="s">
        <v>217</v>
      </c>
      <c r="E174" s="37">
        <v>12565</v>
      </c>
      <c r="F174" s="37" t="s">
        <v>312</v>
      </c>
      <c r="G174" s="37" t="s">
        <v>155</v>
      </c>
      <c r="H174" s="37" t="s">
        <v>106</v>
      </c>
      <c r="I174" s="38"/>
      <c r="J174" s="37">
        <v>27689425</v>
      </c>
      <c r="K174" s="37" t="s">
        <v>110</v>
      </c>
      <c r="L174" s="37" t="str">
        <f>_xlfn.XLOOKUP(Tabla2__2[[#This Row],[CODIGO RUTA]],'DATA INFORME'!I:I,'DATA INFORME'!K:K)</f>
        <v>SI</v>
      </c>
      <c r="M174" s="37" t="str">
        <f>IF(Tabla2__2[[#This Row],[MYSTERY EFECTIVO]]="SI",_xlfn.XLOOKUP(Tabla2__2[[#This Row],[PREGUNTA]],ENCUESTA!G:G,ENCUESTA!D:D),"N/A")</f>
        <v>LABOR DE VENTA</v>
      </c>
      <c r="N1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74" s="37" t="str">
        <f>_xlfn.XLOOKUP(Tabla2__2[[#This Row],[PREGUNTA]],ENCUESTA!G:G,ENCUESTA!H:H)</f>
        <v>SI</v>
      </c>
      <c r="P174" s="37">
        <f>IF(Tabla2__2[[#This Row],[RTA]]=Tabla2__2[[#This Row],[RTA CORRECTA]],Tabla2__2[[#This Row],[TOTAL PUNTAJE]],0)</f>
        <v>0</v>
      </c>
      <c r="Q174" s="37">
        <f t="shared" si="2"/>
        <v>0</v>
      </c>
      <c r="R174" s="37"/>
    </row>
    <row r="175" spans="1:18" x14ac:dyDescent="0.25">
      <c r="A175" s="37" t="s">
        <v>107</v>
      </c>
      <c r="B175" s="37" t="s">
        <v>8</v>
      </c>
      <c r="C175" t="s">
        <v>15</v>
      </c>
      <c r="D175" s="37" t="s">
        <v>217</v>
      </c>
      <c r="E175" s="37">
        <v>12565</v>
      </c>
      <c r="F175" s="37" t="s">
        <v>312</v>
      </c>
      <c r="G175" s="37" t="s">
        <v>154</v>
      </c>
      <c r="H175" s="37" t="s">
        <v>20</v>
      </c>
      <c r="I175" s="38"/>
      <c r="J175" s="37">
        <v>27689425</v>
      </c>
      <c r="K175" s="37" t="s">
        <v>110</v>
      </c>
      <c r="L175" s="37" t="str">
        <f>_xlfn.XLOOKUP(Tabla2__2[[#This Row],[CODIGO RUTA]],'DATA INFORME'!I:I,'DATA INFORME'!K:K)</f>
        <v>SI</v>
      </c>
      <c r="M175" s="37" t="str">
        <f>IF(Tabla2__2[[#This Row],[MYSTERY EFECTIVO]]="SI",_xlfn.XLOOKUP(Tabla2__2[[#This Row],[PREGUNTA]],ENCUESTA!G:G,ENCUESTA!D:D),"N/A")</f>
        <v>UNIFORME</v>
      </c>
      <c r="N1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75" s="37" t="str">
        <f>_xlfn.XLOOKUP(Tabla2__2[[#This Row],[PREGUNTA]],ENCUESTA!G:G,ENCUESTA!H:H)</f>
        <v>SI</v>
      </c>
      <c r="P175" s="37">
        <f>IF(Tabla2__2[[#This Row],[RTA]]=Tabla2__2[[#This Row],[RTA CORRECTA]],Tabla2__2[[#This Row],[TOTAL PUNTAJE]],0)</f>
        <v>1.3636363636363635</v>
      </c>
      <c r="Q175" s="37">
        <f t="shared" si="2"/>
        <v>0</v>
      </c>
      <c r="R175" s="37"/>
    </row>
    <row r="176" spans="1:18" x14ac:dyDescent="0.25">
      <c r="A176" s="37" t="s">
        <v>107</v>
      </c>
      <c r="B176" s="37" t="s">
        <v>8</v>
      </c>
      <c r="C176" t="s">
        <v>15</v>
      </c>
      <c r="D176" s="37" t="s">
        <v>217</v>
      </c>
      <c r="E176" s="37">
        <v>12565</v>
      </c>
      <c r="F176" s="37" t="s">
        <v>312</v>
      </c>
      <c r="G176" s="37" t="s">
        <v>153</v>
      </c>
      <c r="H176" s="37" t="s">
        <v>20</v>
      </c>
      <c r="I176" s="38"/>
      <c r="J176" s="37">
        <v>27689425</v>
      </c>
      <c r="K176" s="37" t="s">
        <v>110</v>
      </c>
      <c r="L176" s="37" t="str">
        <f>_xlfn.XLOOKUP(Tabla2__2[[#This Row],[CODIGO RUTA]],'DATA INFORME'!I:I,'DATA INFORME'!K:K)</f>
        <v>SI</v>
      </c>
      <c r="M176" s="37" t="str">
        <f>IF(Tabla2__2[[#This Row],[MYSTERY EFECTIVO]]="SI",_xlfn.XLOOKUP(Tabla2__2[[#This Row],[PREGUNTA]],ENCUESTA!G:G,ENCUESTA!D:D),"N/A")</f>
        <v>PORTAFOLIO Y MANEJO DE OBJECIONES</v>
      </c>
      <c r="N1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76" s="37" t="str">
        <f>_xlfn.XLOOKUP(Tabla2__2[[#This Row],[PREGUNTA]],ENCUESTA!G:G,ENCUESTA!H:H)</f>
        <v>SI</v>
      </c>
      <c r="P176" s="37">
        <f>IF(Tabla2__2[[#This Row],[RTA]]=Tabla2__2[[#This Row],[RTA CORRECTA]],Tabla2__2[[#This Row],[TOTAL PUNTAJE]],0)</f>
        <v>1.5384615384615385</v>
      </c>
      <c r="Q176" s="37">
        <f t="shared" si="2"/>
        <v>0</v>
      </c>
      <c r="R176" s="37"/>
    </row>
    <row r="177" spans="1:18" x14ac:dyDescent="0.25">
      <c r="A177" s="37" t="s">
        <v>107</v>
      </c>
      <c r="B177" s="37" t="s">
        <v>8</v>
      </c>
      <c r="C177" t="s">
        <v>15</v>
      </c>
      <c r="D177" s="37" t="s">
        <v>217</v>
      </c>
      <c r="E177" s="37">
        <v>12565</v>
      </c>
      <c r="F177" s="37" t="s">
        <v>312</v>
      </c>
      <c r="G177" s="37" t="s">
        <v>152</v>
      </c>
      <c r="H177" s="37" t="s">
        <v>170</v>
      </c>
      <c r="I177" s="38"/>
      <c r="J177" s="37">
        <v>27689425</v>
      </c>
      <c r="K177" s="37" t="s">
        <v>110</v>
      </c>
      <c r="L177" s="37" t="str">
        <f>_xlfn.XLOOKUP(Tabla2__2[[#This Row],[CODIGO RUTA]],'DATA INFORME'!I:I,'DATA INFORME'!K:K)</f>
        <v>SI</v>
      </c>
      <c r="M177" s="37" t="str">
        <f>IF(Tabla2__2[[#This Row],[MYSTERY EFECTIVO]]="SI",_xlfn.XLOOKUP(Tabla2__2[[#This Row],[PREGUNTA]],ENCUESTA!G:G,ENCUESTA!D:D),"N/A")</f>
        <v>N/A</v>
      </c>
      <c r="N1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7" s="37" t="str">
        <f>_xlfn.XLOOKUP(Tabla2__2[[#This Row],[PREGUNTA]],ENCUESTA!G:G,ENCUESTA!H:H)</f>
        <v>FALTA DE PRODUCTO, NO LE INTERESA EL PRODUCTO, NO TIENE DINERO, PREFIERE LA COMPETENCIA</v>
      </c>
      <c r="P177" s="37">
        <f>IF(Tabla2__2[[#This Row],[RTA]]=Tabla2__2[[#This Row],[RTA CORRECTA]],Tabla2__2[[#This Row],[TOTAL PUNTAJE]],0)</f>
        <v>0</v>
      </c>
      <c r="Q177" s="37">
        <f t="shared" si="2"/>
        <v>0</v>
      </c>
      <c r="R177" s="37"/>
    </row>
    <row r="178" spans="1:18" x14ac:dyDescent="0.25">
      <c r="A178" s="37" t="s">
        <v>107</v>
      </c>
      <c r="B178" s="37" t="s">
        <v>8</v>
      </c>
      <c r="C178" t="s">
        <v>15</v>
      </c>
      <c r="D178" s="37" t="s">
        <v>217</v>
      </c>
      <c r="E178" s="37">
        <v>12565</v>
      </c>
      <c r="F178" s="37" t="s">
        <v>312</v>
      </c>
      <c r="G178" s="37" t="s">
        <v>146</v>
      </c>
      <c r="H178" s="37" t="s">
        <v>20</v>
      </c>
      <c r="I178" s="38"/>
      <c r="J178" s="37">
        <v>27689425</v>
      </c>
      <c r="K178" s="37" t="s">
        <v>110</v>
      </c>
      <c r="L178" s="37" t="str">
        <f>_xlfn.XLOOKUP(Tabla2__2[[#This Row],[CODIGO RUTA]],'DATA INFORME'!I:I,'DATA INFORME'!K:K)</f>
        <v>SI</v>
      </c>
      <c r="M178" s="37" t="str">
        <f>IF(Tabla2__2[[#This Row],[MYSTERY EFECTIVO]]="SI",_xlfn.XLOOKUP(Tabla2__2[[#This Row],[PREGUNTA]],ENCUESTA!G:G,ENCUESTA!D:D),"N/A")</f>
        <v>ACTIVIDADES DEL MES</v>
      </c>
      <c r="N1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78" s="37" t="str">
        <f>_xlfn.XLOOKUP(Tabla2__2[[#This Row],[PREGUNTA]],ENCUESTA!G:G,ENCUESTA!H:H)</f>
        <v>SI</v>
      </c>
      <c r="P178" s="37">
        <f>IF(Tabla2__2[[#This Row],[RTA]]=Tabla2__2[[#This Row],[RTA CORRECTA]],Tabla2__2[[#This Row],[TOTAL PUNTAJE]],0)</f>
        <v>5</v>
      </c>
      <c r="Q178" s="37">
        <f t="shared" si="2"/>
        <v>0</v>
      </c>
      <c r="R178" s="37"/>
    </row>
    <row r="179" spans="1:18" x14ac:dyDescent="0.25">
      <c r="A179" s="37" t="s">
        <v>107</v>
      </c>
      <c r="B179" s="37" t="s">
        <v>8</v>
      </c>
      <c r="C179" t="s">
        <v>15</v>
      </c>
      <c r="D179" s="37" t="s">
        <v>217</v>
      </c>
      <c r="E179" s="37">
        <v>12565</v>
      </c>
      <c r="F179" s="37" t="s">
        <v>312</v>
      </c>
      <c r="G179" s="37" t="s">
        <v>145</v>
      </c>
      <c r="H179" s="37" t="s">
        <v>20</v>
      </c>
      <c r="I179" s="38"/>
      <c r="J179" s="37">
        <v>27689425</v>
      </c>
      <c r="K179" s="37" t="s">
        <v>110</v>
      </c>
      <c r="L179" s="37" t="str">
        <f>_xlfn.XLOOKUP(Tabla2__2[[#This Row],[CODIGO RUTA]],'DATA INFORME'!I:I,'DATA INFORME'!K:K)</f>
        <v>SI</v>
      </c>
      <c r="M179" s="37" t="str">
        <f>IF(Tabla2__2[[#This Row],[MYSTERY EFECTIVO]]="SI",_xlfn.XLOOKUP(Tabla2__2[[#This Row],[PREGUNTA]],ENCUESTA!G:G,ENCUESTA!D:D),"N/A")</f>
        <v>PORTAFOLIO Y MANEJO DE OBJECIONES</v>
      </c>
      <c r="N1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79" s="37" t="str">
        <f>_xlfn.XLOOKUP(Tabla2__2[[#This Row],[PREGUNTA]],ENCUESTA!G:G,ENCUESTA!H:H)</f>
        <v>SI</v>
      </c>
      <c r="P179" s="37">
        <f>IF(Tabla2__2[[#This Row],[RTA]]=Tabla2__2[[#This Row],[RTA CORRECTA]],Tabla2__2[[#This Row],[TOTAL PUNTAJE]],0)</f>
        <v>1.5384615384615385</v>
      </c>
      <c r="Q179" s="37">
        <f t="shared" si="2"/>
        <v>0</v>
      </c>
      <c r="R179" s="37"/>
    </row>
    <row r="180" spans="1:18" x14ac:dyDescent="0.25">
      <c r="A180" s="37" t="s">
        <v>107</v>
      </c>
      <c r="B180" s="37" t="s">
        <v>8</v>
      </c>
      <c r="C180" t="s">
        <v>15</v>
      </c>
      <c r="D180" s="37" t="s">
        <v>217</v>
      </c>
      <c r="E180" s="37">
        <v>12565</v>
      </c>
      <c r="F180" s="37" t="s">
        <v>312</v>
      </c>
      <c r="G180" s="37" t="s">
        <v>144</v>
      </c>
      <c r="H180" s="37" t="s">
        <v>20</v>
      </c>
      <c r="I180" s="38"/>
      <c r="J180" s="37">
        <v>27689425</v>
      </c>
      <c r="K180" s="37" t="s">
        <v>110</v>
      </c>
      <c r="L180" s="37" t="str">
        <f>_xlfn.XLOOKUP(Tabla2__2[[#This Row],[CODIGO RUTA]],'DATA INFORME'!I:I,'DATA INFORME'!K:K)</f>
        <v>SI</v>
      </c>
      <c r="M180" s="37" t="str">
        <f>IF(Tabla2__2[[#This Row],[MYSTERY EFECTIVO]]="SI",_xlfn.XLOOKUP(Tabla2__2[[#This Row],[PREGUNTA]],ENCUESTA!G:G,ENCUESTA!D:D),"N/A")</f>
        <v>PORTAFOLIO Y MANEJO DE OBJECIONES</v>
      </c>
      <c r="N1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0" s="37" t="str">
        <f>_xlfn.XLOOKUP(Tabla2__2[[#This Row],[PREGUNTA]],ENCUESTA!G:G,ENCUESTA!H:H)</f>
        <v>SI</v>
      </c>
      <c r="P180" s="37">
        <f>IF(Tabla2__2[[#This Row],[RTA]]=Tabla2__2[[#This Row],[RTA CORRECTA]],Tabla2__2[[#This Row],[TOTAL PUNTAJE]],0)</f>
        <v>1.5384615384615385</v>
      </c>
      <c r="Q180" s="37">
        <f t="shared" si="2"/>
        <v>0</v>
      </c>
      <c r="R180" s="37"/>
    </row>
    <row r="181" spans="1:18" x14ac:dyDescent="0.25">
      <c r="A181" s="37" t="s">
        <v>107</v>
      </c>
      <c r="B181" s="37" t="s">
        <v>8</v>
      </c>
      <c r="C181" t="s">
        <v>15</v>
      </c>
      <c r="D181" s="37" t="s">
        <v>217</v>
      </c>
      <c r="E181" s="37">
        <v>12565</v>
      </c>
      <c r="F181" s="37" t="s">
        <v>312</v>
      </c>
      <c r="G181" s="37" t="s">
        <v>143</v>
      </c>
      <c r="H181" s="37" t="s">
        <v>20</v>
      </c>
      <c r="I181" s="38"/>
      <c r="J181" s="37">
        <v>27689425</v>
      </c>
      <c r="K181" s="37" t="s">
        <v>110</v>
      </c>
      <c r="L181" s="37" t="str">
        <f>_xlfn.XLOOKUP(Tabla2__2[[#This Row],[CODIGO RUTA]],'DATA INFORME'!I:I,'DATA INFORME'!K:K)</f>
        <v>SI</v>
      </c>
      <c r="M181" s="37" t="str">
        <f>IF(Tabla2__2[[#This Row],[MYSTERY EFECTIVO]]="SI",_xlfn.XLOOKUP(Tabla2__2[[#This Row],[PREGUNTA]],ENCUESTA!G:G,ENCUESTA!D:D),"N/A")</f>
        <v>PORTAFOLIO Y MANEJO DE OBJECIONES</v>
      </c>
      <c r="N1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1" s="37" t="str">
        <f>_xlfn.XLOOKUP(Tabla2__2[[#This Row],[PREGUNTA]],ENCUESTA!G:G,ENCUESTA!H:H)</f>
        <v>SI</v>
      </c>
      <c r="P181" s="37">
        <f>IF(Tabla2__2[[#This Row],[RTA]]=Tabla2__2[[#This Row],[RTA CORRECTA]],Tabla2__2[[#This Row],[TOTAL PUNTAJE]],0)</f>
        <v>1.5384615384615385</v>
      </c>
      <c r="Q181" s="37">
        <f t="shared" si="2"/>
        <v>0</v>
      </c>
      <c r="R181" s="37"/>
    </row>
    <row r="182" spans="1:18" x14ac:dyDescent="0.25">
      <c r="A182" s="37" t="s">
        <v>107</v>
      </c>
      <c r="B182" s="37" t="s">
        <v>8</v>
      </c>
      <c r="C182" t="s">
        <v>15</v>
      </c>
      <c r="D182" s="37" t="s">
        <v>217</v>
      </c>
      <c r="E182" s="37">
        <v>12565</v>
      </c>
      <c r="F182" s="37" t="s">
        <v>312</v>
      </c>
      <c r="G182" s="37" t="s">
        <v>142</v>
      </c>
      <c r="H182" s="37" t="s">
        <v>20</v>
      </c>
      <c r="I182" s="38"/>
      <c r="J182" s="37">
        <v>27689425</v>
      </c>
      <c r="K182" s="37" t="s">
        <v>110</v>
      </c>
      <c r="L182" s="37" t="str">
        <f>_xlfn.XLOOKUP(Tabla2__2[[#This Row],[CODIGO RUTA]],'DATA INFORME'!I:I,'DATA INFORME'!K:K)</f>
        <v>SI</v>
      </c>
      <c r="M182" s="37" t="str">
        <f>IF(Tabla2__2[[#This Row],[MYSTERY EFECTIVO]]="SI",_xlfn.XLOOKUP(Tabla2__2[[#This Row],[PREGUNTA]],ENCUESTA!G:G,ENCUESTA!D:D),"N/A")</f>
        <v>PORTAFOLIO Y MANEJO DE OBJECIONES</v>
      </c>
      <c r="N1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2" s="37" t="str">
        <f>_xlfn.XLOOKUP(Tabla2__2[[#This Row],[PREGUNTA]],ENCUESTA!G:G,ENCUESTA!H:H)</f>
        <v>SI</v>
      </c>
      <c r="P182" s="37">
        <f>IF(Tabla2__2[[#This Row],[RTA]]=Tabla2__2[[#This Row],[RTA CORRECTA]],Tabla2__2[[#This Row],[TOTAL PUNTAJE]],0)</f>
        <v>1.5384615384615385</v>
      </c>
      <c r="Q182" s="37">
        <f t="shared" si="2"/>
        <v>0</v>
      </c>
      <c r="R182" s="37"/>
    </row>
    <row r="183" spans="1:18" x14ac:dyDescent="0.25">
      <c r="A183" s="37" t="s">
        <v>107</v>
      </c>
      <c r="B183" s="37" t="s">
        <v>8</v>
      </c>
      <c r="C183" t="s">
        <v>15</v>
      </c>
      <c r="D183" s="37" t="s">
        <v>217</v>
      </c>
      <c r="E183" s="37">
        <v>12565</v>
      </c>
      <c r="F183" s="37" t="s">
        <v>312</v>
      </c>
      <c r="G183" s="37" t="s">
        <v>141</v>
      </c>
      <c r="H183" s="37" t="s">
        <v>20</v>
      </c>
      <c r="I183" s="38"/>
      <c r="J183" s="37">
        <v>27689425</v>
      </c>
      <c r="K183" s="37" t="s">
        <v>110</v>
      </c>
      <c r="L183" s="37" t="str">
        <f>_xlfn.XLOOKUP(Tabla2__2[[#This Row],[CODIGO RUTA]],'DATA INFORME'!I:I,'DATA INFORME'!K:K)</f>
        <v>SI</v>
      </c>
      <c r="M183" s="37" t="str">
        <f>IF(Tabla2__2[[#This Row],[MYSTERY EFECTIVO]]="SI",_xlfn.XLOOKUP(Tabla2__2[[#This Row],[PREGUNTA]],ENCUESTA!G:G,ENCUESTA!D:D),"N/A")</f>
        <v>PORTAFOLIO Y MANEJO DE OBJECIONES</v>
      </c>
      <c r="N1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3" s="37" t="str">
        <f>_xlfn.XLOOKUP(Tabla2__2[[#This Row],[PREGUNTA]],ENCUESTA!G:G,ENCUESTA!H:H)</f>
        <v>SI</v>
      </c>
      <c r="P183" s="37">
        <f>IF(Tabla2__2[[#This Row],[RTA]]=Tabla2__2[[#This Row],[RTA CORRECTA]],Tabla2__2[[#This Row],[TOTAL PUNTAJE]],0)</f>
        <v>1.5384615384615385</v>
      </c>
      <c r="Q183" s="37">
        <f t="shared" si="2"/>
        <v>0</v>
      </c>
      <c r="R183" s="37"/>
    </row>
    <row r="184" spans="1:18" x14ac:dyDescent="0.25">
      <c r="A184" s="37" t="s">
        <v>107</v>
      </c>
      <c r="B184" s="37" t="s">
        <v>8</v>
      </c>
      <c r="C184" t="s">
        <v>15</v>
      </c>
      <c r="D184" s="37" t="s">
        <v>217</v>
      </c>
      <c r="E184" s="37">
        <v>12565</v>
      </c>
      <c r="F184" s="37" t="s">
        <v>312</v>
      </c>
      <c r="G184" s="37" t="s">
        <v>140</v>
      </c>
      <c r="H184" s="37" t="s">
        <v>20</v>
      </c>
      <c r="I184" s="38"/>
      <c r="J184" s="37">
        <v>27689425</v>
      </c>
      <c r="K184" s="37" t="s">
        <v>110</v>
      </c>
      <c r="L184" s="37" t="str">
        <f>_xlfn.XLOOKUP(Tabla2__2[[#This Row],[CODIGO RUTA]],'DATA INFORME'!I:I,'DATA INFORME'!K:K)</f>
        <v>SI</v>
      </c>
      <c r="M184" s="37" t="str">
        <f>IF(Tabla2__2[[#This Row],[MYSTERY EFECTIVO]]="SI",_xlfn.XLOOKUP(Tabla2__2[[#This Row],[PREGUNTA]],ENCUESTA!G:G,ENCUESTA!D:D),"N/A")</f>
        <v>PORTAFOLIO Y MANEJO DE OBJECIONES</v>
      </c>
      <c r="N1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4" s="37" t="str">
        <f>_xlfn.XLOOKUP(Tabla2__2[[#This Row],[PREGUNTA]],ENCUESTA!G:G,ENCUESTA!H:H)</f>
        <v>SI</v>
      </c>
      <c r="P184" s="37">
        <f>IF(Tabla2__2[[#This Row],[RTA]]=Tabla2__2[[#This Row],[RTA CORRECTA]],Tabla2__2[[#This Row],[TOTAL PUNTAJE]],0)</f>
        <v>1.5384615384615385</v>
      </c>
      <c r="Q184" s="37">
        <f t="shared" si="2"/>
        <v>0</v>
      </c>
      <c r="R184" s="37"/>
    </row>
    <row r="185" spans="1:18" x14ac:dyDescent="0.25">
      <c r="A185" s="37" t="s">
        <v>107</v>
      </c>
      <c r="B185" s="37" t="s">
        <v>8</v>
      </c>
      <c r="C185" t="s">
        <v>15</v>
      </c>
      <c r="D185" s="37" t="s">
        <v>217</v>
      </c>
      <c r="E185" s="37">
        <v>12565</v>
      </c>
      <c r="F185" s="37" t="s">
        <v>312</v>
      </c>
      <c r="G185" s="37" t="s">
        <v>139</v>
      </c>
      <c r="H185" s="37" t="s">
        <v>15</v>
      </c>
      <c r="I185" s="38"/>
      <c r="J185" s="37">
        <v>27689425</v>
      </c>
      <c r="K185" s="37" t="s">
        <v>110</v>
      </c>
      <c r="L185" s="37" t="str">
        <f>_xlfn.XLOOKUP(Tabla2__2[[#This Row],[CODIGO RUTA]],'DATA INFORME'!I:I,'DATA INFORME'!K:K)</f>
        <v>SI</v>
      </c>
      <c r="M185" s="37" t="str">
        <f>IF(Tabla2__2[[#This Row],[MYSTERY EFECTIVO]]="SI",_xlfn.XLOOKUP(Tabla2__2[[#This Row],[PREGUNTA]],ENCUESTA!G:G,ENCUESTA!D:D),"N/A")</f>
        <v>N/A</v>
      </c>
      <c r="N1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5" s="37" t="str">
        <f>_xlfn.XLOOKUP(Tabla2__2[[#This Row],[PREGUNTA]],ENCUESTA!G:G,ENCUESTA!H:H)</f>
        <v>MODERNO, ESPECIALIZADO</v>
      </c>
      <c r="P185" s="37">
        <f>IF(Tabla2__2[[#This Row],[RTA]]=Tabla2__2[[#This Row],[RTA CORRECTA]],Tabla2__2[[#This Row],[TOTAL PUNTAJE]],0)</f>
        <v>0</v>
      </c>
      <c r="Q185" s="37">
        <f t="shared" si="2"/>
        <v>0</v>
      </c>
      <c r="R185" s="37"/>
    </row>
    <row r="186" spans="1:18" x14ac:dyDescent="0.25">
      <c r="A186" s="37" t="s">
        <v>107</v>
      </c>
      <c r="B186" s="37" t="s">
        <v>8</v>
      </c>
      <c r="C186" t="s">
        <v>15</v>
      </c>
      <c r="D186" s="37" t="s">
        <v>217</v>
      </c>
      <c r="E186" s="37">
        <v>12565</v>
      </c>
      <c r="F186" s="37" t="s">
        <v>312</v>
      </c>
      <c r="G186" s="37" t="s">
        <v>138</v>
      </c>
      <c r="H186" s="37" t="s">
        <v>20</v>
      </c>
      <c r="I186" s="38"/>
      <c r="J186" s="37">
        <v>27689425</v>
      </c>
      <c r="K186" s="37" t="s">
        <v>110</v>
      </c>
      <c r="L186" s="37" t="str">
        <f>_xlfn.XLOOKUP(Tabla2__2[[#This Row],[CODIGO RUTA]],'DATA INFORME'!I:I,'DATA INFORME'!K:K)</f>
        <v>SI</v>
      </c>
      <c r="M186" s="37" t="str">
        <f>IF(Tabla2__2[[#This Row],[MYSTERY EFECTIVO]]="SI",_xlfn.XLOOKUP(Tabla2__2[[#This Row],[PREGUNTA]],ENCUESTA!G:G,ENCUESTA!D:D),"N/A")</f>
        <v>PORTAFOLIO Y MANEJO DE OBJECIONES</v>
      </c>
      <c r="N1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6" s="37" t="str">
        <f>_xlfn.XLOOKUP(Tabla2__2[[#This Row],[PREGUNTA]],ENCUESTA!G:G,ENCUESTA!H:H)</f>
        <v>SI</v>
      </c>
      <c r="P186" s="37">
        <f>IF(Tabla2__2[[#This Row],[RTA]]=Tabla2__2[[#This Row],[RTA CORRECTA]],Tabla2__2[[#This Row],[TOTAL PUNTAJE]],0)</f>
        <v>1.5384615384615385</v>
      </c>
      <c r="Q186" s="37">
        <f t="shared" si="2"/>
        <v>0</v>
      </c>
      <c r="R186" s="37"/>
    </row>
    <row r="187" spans="1:18" x14ac:dyDescent="0.25">
      <c r="A187" s="37" t="s">
        <v>107</v>
      </c>
      <c r="B187" s="37" t="s">
        <v>8</v>
      </c>
      <c r="C187" t="s">
        <v>15</v>
      </c>
      <c r="D187" s="37" t="s">
        <v>217</v>
      </c>
      <c r="E187" s="37">
        <v>12565</v>
      </c>
      <c r="F187" s="37" t="s">
        <v>312</v>
      </c>
      <c r="G187" s="37" t="s">
        <v>137</v>
      </c>
      <c r="H187" s="37" t="s">
        <v>20</v>
      </c>
      <c r="I187" s="38"/>
      <c r="J187" s="37">
        <v>27689425</v>
      </c>
      <c r="K187" s="37" t="s">
        <v>110</v>
      </c>
      <c r="L187" s="37" t="str">
        <f>_xlfn.XLOOKUP(Tabla2__2[[#This Row],[CODIGO RUTA]],'DATA INFORME'!I:I,'DATA INFORME'!K:K)</f>
        <v>SI</v>
      </c>
      <c r="M187" s="37" t="str">
        <f>IF(Tabla2__2[[#This Row],[MYSTERY EFECTIVO]]="SI",_xlfn.XLOOKUP(Tabla2__2[[#This Row],[PREGUNTA]],ENCUESTA!G:G,ENCUESTA!D:D),"N/A")</f>
        <v>PORTAFOLIO Y MANEJO DE OBJECIONES</v>
      </c>
      <c r="N1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187" s="37" t="str">
        <f>_xlfn.XLOOKUP(Tabla2__2[[#This Row],[PREGUNTA]],ENCUESTA!G:G,ENCUESTA!H:H)</f>
        <v>SI</v>
      </c>
      <c r="P187" s="37">
        <f>IF(Tabla2__2[[#This Row],[RTA]]=Tabla2__2[[#This Row],[RTA CORRECTA]],Tabla2__2[[#This Row],[TOTAL PUNTAJE]],0)</f>
        <v>1.5384615384615385</v>
      </c>
      <c r="Q187" s="37">
        <f t="shared" si="2"/>
        <v>0</v>
      </c>
      <c r="R187" s="37"/>
    </row>
    <row r="188" spans="1:18" x14ac:dyDescent="0.25">
      <c r="A188" s="37" t="s">
        <v>107</v>
      </c>
      <c r="B188" s="37" t="s">
        <v>8</v>
      </c>
      <c r="C188" t="s">
        <v>15</v>
      </c>
      <c r="D188" s="37" t="s">
        <v>217</v>
      </c>
      <c r="E188" s="37">
        <v>12565</v>
      </c>
      <c r="F188" s="37" t="s">
        <v>312</v>
      </c>
      <c r="G188" s="37" t="s">
        <v>136</v>
      </c>
      <c r="H188" s="37" t="s">
        <v>20</v>
      </c>
      <c r="I188" s="38"/>
      <c r="J188" s="37">
        <v>27689425</v>
      </c>
      <c r="K188" s="37" t="s">
        <v>110</v>
      </c>
      <c r="L188" s="37" t="str">
        <f>_xlfn.XLOOKUP(Tabla2__2[[#This Row],[CODIGO RUTA]],'DATA INFORME'!I:I,'DATA INFORME'!K:K)</f>
        <v>SI</v>
      </c>
      <c r="M188" s="37" t="str">
        <f>IF(Tabla2__2[[#This Row],[MYSTERY EFECTIVO]]="SI",_xlfn.XLOOKUP(Tabla2__2[[#This Row],[PREGUNTA]],ENCUESTA!G:G,ENCUESTA!D:D),"N/A")</f>
        <v>ABORDAJE</v>
      </c>
      <c r="N1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8" s="37" t="str">
        <f>_xlfn.XLOOKUP(Tabla2__2[[#This Row],[PREGUNTA]],ENCUESTA!G:G,ENCUESTA!H:H)</f>
        <v>SI</v>
      </c>
      <c r="P188" s="37">
        <f>IF(Tabla2__2[[#This Row],[RTA]]=Tabla2__2[[#This Row],[RTA CORRECTA]],Tabla2__2[[#This Row],[TOTAL PUNTAJE]],0)</f>
        <v>20</v>
      </c>
      <c r="Q188" s="37">
        <f t="shared" si="2"/>
        <v>0</v>
      </c>
      <c r="R188" s="37"/>
    </row>
    <row r="189" spans="1:18" x14ac:dyDescent="0.25">
      <c r="A189" s="37" t="s">
        <v>107</v>
      </c>
      <c r="B189" s="37" t="s">
        <v>8</v>
      </c>
      <c r="C189" t="s">
        <v>15</v>
      </c>
      <c r="D189" s="37" t="s">
        <v>217</v>
      </c>
      <c r="E189" s="37">
        <v>12565</v>
      </c>
      <c r="F189" s="37" t="s">
        <v>312</v>
      </c>
      <c r="G189" s="37" t="s">
        <v>104</v>
      </c>
      <c r="H189" s="37" t="s">
        <v>106</v>
      </c>
      <c r="I189" s="38"/>
      <c r="J189" s="37">
        <v>27689425</v>
      </c>
      <c r="K189" s="37" t="s">
        <v>110</v>
      </c>
      <c r="L189" s="37" t="str">
        <f>_xlfn.XLOOKUP(Tabla2__2[[#This Row],[CODIGO RUTA]],'DATA INFORME'!I:I,'DATA INFORME'!K:K)</f>
        <v>SI</v>
      </c>
      <c r="M189" s="37" t="str">
        <f>IF(Tabla2__2[[#This Row],[MYSTERY EFECTIVO]]="SI",_xlfn.XLOOKUP(Tabla2__2[[#This Row],[PREGUNTA]],ENCUESTA!G:G,ENCUESTA!D:D),"N/A")</f>
        <v>UNIFORME</v>
      </c>
      <c r="N1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89" s="37" t="str">
        <f>_xlfn.XLOOKUP(Tabla2__2[[#This Row],[PREGUNTA]],ENCUESTA!G:G,ENCUESTA!H:H)</f>
        <v>NO</v>
      </c>
      <c r="P189" s="37">
        <f>IF(Tabla2__2[[#This Row],[RTA]]=Tabla2__2[[#This Row],[RTA CORRECTA]],Tabla2__2[[#This Row],[TOTAL PUNTAJE]],0)</f>
        <v>1.3636363636363635</v>
      </c>
      <c r="Q189" s="37">
        <f t="shared" si="2"/>
        <v>0</v>
      </c>
      <c r="R189" s="37"/>
    </row>
    <row r="190" spans="1:18" x14ac:dyDescent="0.25">
      <c r="A190" s="37" t="s">
        <v>107</v>
      </c>
      <c r="B190" s="37" t="s">
        <v>8</v>
      </c>
      <c r="C190" t="s">
        <v>15</v>
      </c>
      <c r="D190" s="37" t="s">
        <v>217</v>
      </c>
      <c r="E190" s="37">
        <v>12565</v>
      </c>
      <c r="F190" s="37" t="s">
        <v>312</v>
      </c>
      <c r="G190" s="37" t="s">
        <v>103</v>
      </c>
      <c r="H190" s="37" t="s">
        <v>106</v>
      </c>
      <c r="I190" s="38"/>
      <c r="J190" s="37">
        <v>27689425</v>
      </c>
      <c r="K190" s="37" t="s">
        <v>110</v>
      </c>
      <c r="L190" s="37" t="str">
        <f>_xlfn.XLOOKUP(Tabla2__2[[#This Row],[CODIGO RUTA]],'DATA INFORME'!I:I,'DATA INFORME'!K:K)</f>
        <v>SI</v>
      </c>
      <c r="M190" s="37" t="str">
        <f>IF(Tabla2__2[[#This Row],[MYSTERY EFECTIVO]]="SI",_xlfn.XLOOKUP(Tabla2__2[[#This Row],[PREGUNTA]],ENCUESTA!G:G,ENCUESTA!D:D),"N/A")</f>
        <v>UNIFORME</v>
      </c>
      <c r="N1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0" s="37" t="str">
        <f>_xlfn.XLOOKUP(Tabla2__2[[#This Row],[PREGUNTA]],ENCUESTA!G:G,ENCUESTA!H:H)</f>
        <v>NO</v>
      </c>
      <c r="P190" s="37">
        <f>IF(Tabla2__2[[#This Row],[RTA]]=Tabla2__2[[#This Row],[RTA CORRECTA]],Tabla2__2[[#This Row],[TOTAL PUNTAJE]],0)</f>
        <v>1.3636363636363635</v>
      </c>
      <c r="Q190" s="37">
        <f t="shared" si="2"/>
        <v>0</v>
      </c>
      <c r="R190" s="37"/>
    </row>
    <row r="191" spans="1:18" x14ac:dyDescent="0.25">
      <c r="A191" s="37" t="s">
        <v>107</v>
      </c>
      <c r="B191" s="37" t="s">
        <v>8</v>
      </c>
      <c r="C191" t="s">
        <v>15</v>
      </c>
      <c r="D191" s="37" t="s">
        <v>217</v>
      </c>
      <c r="E191" s="37">
        <v>12565</v>
      </c>
      <c r="F191" s="37" t="s">
        <v>312</v>
      </c>
      <c r="G191" s="37" t="s">
        <v>102</v>
      </c>
      <c r="H191" s="37" t="s">
        <v>106</v>
      </c>
      <c r="I191" s="38"/>
      <c r="J191" s="37">
        <v>27689425</v>
      </c>
      <c r="K191" s="37" t="s">
        <v>110</v>
      </c>
      <c r="L191" s="37" t="str">
        <f>_xlfn.XLOOKUP(Tabla2__2[[#This Row],[CODIGO RUTA]],'DATA INFORME'!I:I,'DATA INFORME'!K:K)</f>
        <v>SI</v>
      </c>
      <c r="M191" s="37" t="str">
        <f>IF(Tabla2__2[[#This Row],[MYSTERY EFECTIVO]]="SI",_xlfn.XLOOKUP(Tabla2__2[[#This Row],[PREGUNTA]],ENCUESTA!G:G,ENCUESTA!D:D),"N/A")</f>
        <v>UNIFORME</v>
      </c>
      <c r="N1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1" s="37" t="str">
        <f>_xlfn.XLOOKUP(Tabla2__2[[#This Row],[PREGUNTA]],ENCUESTA!G:G,ENCUESTA!H:H)</f>
        <v>NO</v>
      </c>
      <c r="P191" s="37">
        <f>IF(Tabla2__2[[#This Row],[RTA]]=Tabla2__2[[#This Row],[RTA CORRECTA]],Tabla2__2[[#This Row],[TOTAL PUNTAJE]],0)</f>
        <v>1.3636363636363635</v>
      </c>
      <c r="Q191" s="37">
        <f t="shared" si="2"/>
        <v>0</v>
      </c>
      <c r="R191" s="37"/>
    </row>
    <row r="192" spans="1:18" x14ac:dyDescent="0.25">
      <c r="A192" s="37" t="s">
        <v>107</v>
      </c>
      <c r="B192" s="37" t="s">
        <v>8</v>
      </c>
      <c r="C192" t="s">
        <v>15</v>
      </c>
      <c r="D192" s="37" t="s">
        <v>217</v>
      </c>
      <c r="E192" s="37">
        <v>12565</v>
      </c>
      <c r="F192" s="37" t="s">
        <v>312</v>
      </c>
      <c r="G192" s="37" t="s">
        <v>101</v>
      </c>
      <c r="H192" s="37" t="s">
        <v>106</v>
      </c>
      <c r="I192" s="38"/>
      <c r="J192" s="37">
        <v>27689425</v>
      </c>
      <c r="K192" s="37" t="s">
        <v>110</v>
      </c>
      <c r="L192" s="37" t="str">
        <f>_xlfn.XLOOKUP(Tabla2__2[[#This Row],[CODIGO RUTA]],'DATA INFORME'!I:I,'DATA INFORME'!K:K)</f>
        <v>SI</v>
      </c>
      <c r="M192" s="37" t="str">
        <f>IF(Tabla2__2[[#This Row],[MYSTERY EFECTIVO]]="SI",_xlfn.XLOOKUP(Tabla2__2[[#This Row],[PREGUNTA]],ENCUESTA!G:G,ENCUESTA!D:D),"N/A")</f>
        <v>UNIFORME</v>
      </c>
      <c r="N1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2" s="37" t="str">
        <f>_xlfn.XLOOKUP(Tabla2__2[[#This Row],[PREGUNTA]],ENCUESTA!G:G,ENCUESTA!H:H)</f>
        <v>NO</v>
      </c>
      <c r="P192" s="37">
        <f>IF(Tabla2__2[[#This Row],[RTA]]=Tabla2__2[[#This Row],[RTA CORRECTA]],Tabla2__2[[#This Row],[TOTAL PUNTAJE]],0)</f>
        <v>1.3636363636363635</v>
      </c>
      <c r="Q192" s="37">
        <f t="shared" si="2"/>
        <v>0</v>
      </c>
      <c r="R192" s="37"/>
    </row>
    <row r="193" spans="1:18" x14ac:dyDescent="0.25">
      <c r="A193" s="37" t="s">
        <v>107</v>
      </c>
      <c r="B193" s="37" t="s">
        <v>8</v>
      </c>
      <c r="C193" t="s">
        <v>15</v>
      </c>
      <c r="D193" s="37" t="s">
        <v>217</v>
      </c>
      <c r="E193" s="37">
        <v>12565</v>
      </c>
      <c r="F193" s="37" t="s">
        <v>312</v>
      </c>
      <c r="G193" s="37" t="s">
        <v>100</v>
      </c>
      <c r="H193" s="37" t="s">
        <v>20</v>
      </c>
      <c r="I193" s="38"/>
      <c r="J193" s="37">
        <v>27689425</v>
      </c>
      <c r="K193" s="37" t="s">
        <v>110</v>
      </c>
      <c r="L193" s="37" t="str">
        <f>_xlfn.XLOOKUP(Tabla2__2[[#This Row],[CODIGO RUTA]],'DATA INFORME'!I:I,'DATA INFORME'!K:K)</f>
        <v>SI</v>
      </c>
      <c r="M193" s="37" t="str">
        <f>IF(Tabla2__2[[#This Row],[MYSTERY EFECTIVO]]="SI",_xlfn.XLOOKUP(Tabla2__2[[#This Row],[PREGUNTA]],ENCUESTA!G:G,ENCUESTA!D:D),"N/A")</f>
        <v>UNIFORME</v>
      </c>
      <c r="N1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3" s="37" t="str">
        <f>_xlfn.XLOOKUP(Tabla2__2[[#This Row],[PREGUNTA]],ENCUESTA!G:G,ENCUESTA!H:H)</f>
        <v>SI</v>
      </c>
      <c r="P193" s="37">
        <f>IF(Tabla2__2[[#This Row],[RTA]]=Tabla2__2[[#This Row],[RTA CORRECTA]],Tabla2__2[[#This Row],[TOTAL PUNTAJE]],0)</f>
        <v>1.3636363636363635</v>
      </c>
      <c r="Q193" s="37">
        <f t="shared" si="2"/>
        <v>0</v>
      </c>
      <c r="R193" s="37"/>
    </row>
    <row r="194" spans="1:18" x14ac:dyDescent="0.25">
      <c r="A194" s="37" t="s">
        <v>107</v>
      </c>
      <c r="B194" s="37" t="s">
        <v>8</v>
      </c>
      <c r="C194" t="s">
        <v>15</v>
      </c>
      <c r="D194" s="37" t="s">
        <v>217</v>
      </c>
      <c r="E194" s="37">
        <v>12565</v>
      </c>
      <c r="F194" s="37" t="s">
        <v>312</v>
      </c>
      <c r="G194" s="37" t="s">
        <v>99</v>
      </c>
      <c r="H194" s="37" t="s">
        <v>20</v>
      </c>
      <c r="I194" s="38"/>
      <c r="J194" s="37">
        <v>27689425</v>
      </c>
      <c r="K194" s="37" t="s">
        <v>110</v>
      </c>
      <c r="L194" s="37" t="str">
        <f>_xlfn.XLOOKUP(Tabla2__2[[#This Row],[CODIGO RUTA]],'DATA INFORME'!I:I,'DATA INFORME'!K:K)</f>
        <v>SI</v>
      </c>
      <c r="M194" s="37" t="str">
        <f>IF(Tabla2__2[[#This Row],[MYSTERY EFECTIVO]]="SI",_xlfn.XLOOKUP(Tabla2__2[[#This Row],[PREGUNTA]],ENCUESTA!G:G,ENCUESTA!D:D),"N/A")</f>
        <v>UNIFORME</v>
      </c>
      <c r="N1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4" s="37" t="str">
        <f>_xlfn.XLOOKUP(Tabla2__2[[#This Row],[PREGUNTA]],ENCUESTA!G:G,ENCUESTA!H:H)</f>
        <v>SI</v>
      </c>
      <c r="P194" s="37">
        <f>IF(Tabla2__2[[#This Row],[RTA]]=Tabla2__2[[#This Row],[RTA CORRECTA]],Tabla2__2[[#This Row],[TOTAL PUNTAJE]],0)</f>
        <v>1.3636363636363635</v>
      </c>
      <c r="Q194" s="37">
        <f t="shared" ref="Q194:Q257" si="3">IF(OR(H194="Dog Chow húmedo",H194="Cat Chow húmedo",H194="Fancy Feast",H194="Felix",H194="Proplan húmedo",H194="One húmedo",H194="Snack Abrazzos",H194="Snak Dentalife",H194="Arenilla Tidy Cat"),N194,0)</f>
        <v>0</v>
      </c>
      <c r="R194" s="37"/>
    </row>
    <row r="195" spans="1:18" x14ac:dyDescent="0.25">
      <c r="A195" s="37" t="s">
        <v>107</v>
      </c>
      <c r="B195" s="37" t="s">
        <v>8</v>
      </c>
      <c r="C195" t="s">
        <v>15</v>
      </c>
      <c r="D195" s="37" t="s">
        <v>217</v>
      </c>
      <c r="E195" s="37">
        <v>12565</v>
      </c>
      <c r="F195" s="37" t="s">
        <v>312</v>
      </c>
      <c r="G195" s="37" t="s">
        <v>135</v>
      </c>
      <c r="H195" s="37" t="s">
        <v>106</v>
      </c>
      <c r="I195" s="38"/>
      <c r="J195" s="37">
        <v>27689425</v>
      </c>
      <c r="K195" s="37" t="s">
        <v>110</v>
      </c>
      <c r="L195" s="37" t="str">
        <f>_xlfn.XLOOKUP(Tabla2__2[[#This Row],[CODIGO RUTA]],'DATA INFORME'!I:I,'DATA INFORME'!K:K)</f>
        <v>SI</v>
      </c>
      <c r="M195" s="37" t="str">
        <f>IF(Tabla2__2[[#This Row],[MYSTERY EFECTIVO]]="SI",_xlfn.XLOOKUP(Tabla2__2[[#This Row],[PREGUNTA]],ENCUESTA!G:G,ENCUESTA!D:D),"N/A")</f>
        <v>UNIFORME</v>
      </c>
      <c r="N1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5" s="37" t="str">
        <f>_xlfn.XLOOKUP(Tabla2__2[[#This Row],[PREGUNTA]],ENCUESTA!G:G,ENCUESTA!H:H)</f>
        <v>NO</v>
      </c>
      <c r="P195" s="37">
        <f>IF(Tabla2__2[[#This Row],[RTA]]=Tabla2__2[[#This Row],[RTA CORRECTA]],Tabla2__2[[#This Row],[TOTAL PUNTAJE]],0)</f>
        <v>1.3636363636363635</v>
      </c>
      <c r="Q195" s="37">
        <f t="shared" si="3"/>
        <v>0</v>
      </c>
      <c r="R195" s="37"/>
    </row>
    <row r="196" spans="1:18" x14ac:dyDescent="0.25">
      <c r="A196" s="37" t="s">
        <v>107</v>
      </c>
      <c r="B196" s="37" t="s">
        <v>8</v>
      </c>
      <c r="C196" t="s">
        <v>15</v>
      </c>
      <c r="D196" s="37" t="s">
        <v>217</v>
      </c>
      <c r="E196" s="37">
        <v>12565</v>
      </c>
      <c r="F196" s="37" t="s">
        <v>312</v>
      </c>
      <c r="G196" s="37" t="s">
        <v>35</v>
      </c>
      <c r="H196" s="37" t="s">
        <v>20</v>
      </c>
      <c r="I196" s="38"/>
      <c r="J196" s="37">
        <v>27689425</v>
      </c>
      <c r="K196" s="37" t="s">
        <v>110</v>
      </c>
      <c r="L196" s="37" t="str">
        <f>_xlfn.XLOOKUP(Tabla2__2[[#This Row],[CODIGO RUTA]],'DATA INFORME'!I:I,'DATA INFORME'!K:K)</f>
        <v>SI</v>
      </c>
      <c r="M196" s="37" t="str">
        <f>IF(Tabla2__2[[#This Row],[MYSTERY EFECTIVO]]="SI",_xlfn.XLOOKUP(Tabla2__2[[#This Row],[PREGUNTA]],ENCUESTA!G:G,ENCUESTA!D:D),"N/A")</f>
        <v>UNIFORME</v>
      </c>
      <c r="N1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6" s="37" t="str">
        <f>_xlfn.XLOOKUP(Tabla2__2[[#This Row],[PREGUNTA]],ENCUESTA!G:G,ENCUESTA!H:H)</f>
        <v>SI</v>
      </c>
      <c r="P196" s="37">
        <f>IF(Tabla2__2[[#This Row],[RTA]]=Tabla2__2[[#This Row],[RTA CORRECTA]],Tabla2__2[[#This Row],[TOTAL PUNTAJE]],0)</f>
        <v>1.3636363636363635</v>
      </c>
      <c r="Q196" s="37">
        <f t="shared" si="3"/>
        <v>0</v>
      </c>
      <c r="R196" s="37"/>
    </row>
    <row r="197" spans="1:18" x14ac:dyDescent="0.25">
      <c r="A197" s="37" t="s">
        <v>107</v>
      </c>
      <c r="B197" s="37" t="s">
        <v>8</v>
      </c>
      <c r="C197" t="s">
        <v>15</v>
      </c>
      <c r="D197" s="37" t="s">
        <v>217</v>
      </c>
      <c r="E197" s="37">
        <v>12565</v>
      </c>
      <c r="F197" s="37" t="s">
        <v>312</v>
      </c>
      <c r="G197" s="37" t="s">
        <v>134</v>
      </c>
      <c r="H197" s="37" t="s">
        <v>20</v>
      </c>
      <c r="I197" s="38"/>
      <c r="J197" s="37">
        <v>27689425</v>
      </c>
      <c r="K197" s="37" t="s">
        <v>110</v>
      </c>
      <c r="L197" s="37" t="str">
        <f>_xlfn.XLOOKUP(Tabla2__2[[#This Row],[CODIGO RUTA]],'DATA INFORME'!I:I,'DATA INFORME'!K:K)</f>
        <v>SI</v>
      </c>
      <c r="M197" s="37" t="str">
        <f>IF(Tabla2__2[[#This Row],[MYSTERY EFECTIVO]]="SI",_xlfn.XLOOKUP(Tabla2__2[[#This Row],[PREGUNTA]],ENCUESTA!G:G,ENCUESTA!D:D),"N/A")</f>
        <v>UNIFORME</v>
      </c>
      <c r="N1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7" s="37" t="str">
        <f>_xlfn.XLOOKUP(Tabla2__2[[#This Row],[PREGUNTA]],ENCUESTA!G:G,ENCUESTA!H:H)</f>
        <v>SI</v>
      </c>
      <c r="P197" s="37">
        <f>IF(Tabla2__2[[#This Row],[RTA]]=Tabla2__2[[#This Row],[RTA CORRECTA]],Tabla2__2[[#This Row],[TOTAL PUNTAJE]],0)</f>
        <v>1.3636363636363635</v>
      </c>
      <c r="Q197" s="37">
        <f t="shared" si="3"/>
        <v>0</v>
      </c>
      <c r="R197" s="37"/>
    </row>
    <row r="198" spans="1:18" x14ac:dyDescent="0.25">
      <c r="A198" s="37" t="s">
        <v>107</v>
      </c>
      <c r="B198" s="37" t="s">
        <v>8</v>
      </c>
      <c r="C198" t="s">
        <v>15</v>
      </c>
      <c r="D198" s="37" t="s">
        <v>217</v>
      </c>
      <c r="E198" s="37">
        <v>12565</v>
      </c>
      <c r="F198" s="37" t="s">
        <v>312</v>
      </c>
      <c r="G198" s="37" t="s">
        <v>98</v>
      </c>
      <c r="H198" s="37" t="s">
        <v>20</v>
      </c>
      <c r="I198" s="38"/>
      <c r="J198" s="37">
        <v>27689425</v>
      </c>
      <c r="K198" s="37" t="s">
        <v>110</v>
      </c>
      <c r="L198" s="37" t="str">
        <f>_xlfn.XLOOKUP(Tabla2__2[[#This Row],[CODIGO RUTA]],'DATA INFORME'!I:I,'DATA INFORME'!K:K)</f>
        <v>SI</v>
      </c>
      <c r="M198" s="37" t="str">
        <f>IF(Tabla2__2[[#This Row],[MYSTERY EFECTIVO]]="SI",_xlfn.XLOOKUP(Tabla2__2[[#This Row],[PREGUNTA]],ENCUESTA!G:G,ENCUESTA!D:D),"N/A")</f>
        <v>UNIFORME</v>
      </c>
      <c r="N1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8" s="37" t="str">
        <f>_xlfn.XLOOKUP(Tabla2__2[[#This Row],[PREGUNTA]],ENCUESTA!G:G,ENCUESTA!H:H)</f>
        <v>SI</v>
      </c>
      <c r="P198" s="37">
        <f>IF(Tabla2__2[[#This Row],[RTA]]=Tabla2__2[[#This Row],[RTA CORRECTA]],Tabla2__2[[#This Row],[TOTAL PUNTAJE]],0)</f>
        <v>1.3636363636363635</v>
      </c>
      <c r="Q198" s="37">
        <f t="shared" si="3"/>
        <v>0</v>
      </c>
      <c r="R198" s="37"/>
    </row>
    <row r="199" spans="1:18" x14ac:dyDescent="0.25">
      <c r="A199" s="37" t="s">
        <v>107</v>
      </c>
      <c r="B199" s="37" t="s">
        <v>8</v>
      </c>
      <c r="C199" t="s">
        <v>15</v>
      </c>
      <c r="D199" s="37" t="s">
        <v>217</v>
      </c>
      <c r="E199" s="37">
        <v>406974</v>
      </c>
      <c r="F199" s="37" t="s">
        <v>298</v>
      </c>
      <c r="G199" s="37" t="s">
        <v>134</v>
      </c>
      <c r="H199" s="37" t="s">
        <v>20</v>
      </c>
      <c r="I199" s="38"/>
      <c r="J199" s="37">
        <v>27684336</v>
      </c>
      <c r="K199" s="37" t="s">
        <v>187</v>
      </c>
      <c r="L199" s="37" t="str">
        <f>_xlfn.XLOOKUP(Tabla2__2[[#This Row],[CODIGO RUTA]],'DATA INFORME'!I:I,'DATA INFORME'!K:K)</f>
        <v>SI</v>
      </c>
      <c r="M199" s="37" t="str">
        <f>IF(Tabla2__2[[#This Row],[MYSTERY EFECTIVO]]="SI",_xlfn.XLOOKUP(Tabla2__2[[#This Row],[PREGUNTA]],ENCUESTA!G:G,ENCUESTA!D:D),"N/A")</f>
        <v>UNIFORME</v>
      </c>
      <c r="N1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199" s="37" t="str">
        <f>_xlfn.XLOOKUP(Tabla2__2[[#This Row],[PREGUNTA]],ENCUESTA!G:G,ENCUESTA!H:H)</f>
        <v>SI</v>
      </c>
      <c r="P199" s="37">
        <f>IF(Tabla2__2[[#This Row],[RTA]]=Tabla2__2[[#This Row],[RTA CORRECTA]],Tabla2__2[[#This Row],[TOTAL PUNTAJE]],0)</f>
        <v>1.3636363636363635</v>
      </c>
      <c r="Q199" s="37">
        <f t="shared" si="3"/>
        <v>0</v>
      </c>
      <c r="R199" s="37"/>
    </row>
    <row r="200" spans="1:18" x14ac:dyDescent="0.25">
      <c r="A200" s="37" t="s">
        <v>107</v>
      </c>
      <c r="B200" s="37" t="s">
        <v>93</v>
      </c>
      <c r="C200" t="s">
        <v>15</v>
      </c>
      <c r="D200" s="37" t="s">
        <v>96</v>
      </c>
      <c r="E200" s="37">
        <v>126325</v>
      </c>
      <c r="F200" s="37" t="s">
        <v>256</v>
      </c>
      <c r="G200" s="37" t="s">
        <v>98</v>
      </c>
      <c r="H200" s="37" t="s">
        <v>20</v>
      </c>
      <c r="I200" s="38"/>
      <c r="J200" s="37">
        <v>27531935</v>
      </c>
      <c r="K200" s="37" t="s">
        <v>127</v>
      </c>
      <c r="L200" s="37" t="str">
        <f>_xlfn.XLOOKUP(Tabla2__2[[#This Row],[CODIGO RUTA]],'DATA INFORME'!I:I,'DATA INFORME'!K:K)</f>
        <v>SI</v>
      </c>
      <c r="M200" s="37" t="str">
        <f>IF(Tabla2__2[[#This Row],[MYSTERY EFECTIVO]]="SI",_xlfn.XLOOKUP(Tabla2__2[[#This Row],[PREGUNTA]],ENCUESTA!G:G,ENCUESTA!D:D),"N/A")</f>
        <v>UNIFORME</v>
      </c>
      <c r="N2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00" s="37" t="str">
        <f>_xlfn.XLOOKUP(Tabla2__2[[#This Row],[PREGUNTA]],ENCUESTA!G:G,ENCUESTA!H:H)</f>
        <v>SI</v>
      </c>
      <c r="P200" s="37">
        <f>IF(Tabla2__2[[#This Row],[RTA]]=Tabla2__2[[#This Row],[RTA CORRECTA]],Tabla2__2[[#This Row],[TOTAL PUNTAJE]],0)</f>
        <v>1.3636363636363635</v>
      </c>
      <c r="Q200" s="37">
        <f t="shared" si="3"/>
        <v>0</v>
      </c>
      <c r="R200" s="37"/>
    </row>
    <row r="201" spans="1:18" x14ac:dyDescent="0.25">
      <c r="A201" s="37" t="s">
        <v>107</v>
      </c>
      <c r="B201" s="37" t="s">
        <v>8</v>
      </c>
      <c r="C201" t="s">
        <v>15</v>
      </c>
      <c r="D201" s="37" t="s">
        <v>217</v>
      </c>
      <c r="E201" s="37">
        <v>406974</v>
      </c>
      <c r="F201" s="37" t="s">
        <v>298</v>
      </c>
      <c r="G201" s="37" t="s">
        <v>98</v>
      </c>
      <c r="H201" s="37" t="s">
        <v>20</v>
      </c>
      <c r="I201" s="38"/>
      <c r="J201" s="37">
        <v>27684336</v>
      </c>
      <c r="K201" s="37" t="s">
        <v>187</v>
      </c>
      <c r="L201" s="37" t="str">
        <f>_xlfn.XLOOKUP(Tabla2__2[[#This Row],[CODIGO RUTA]],'DATA INFORME'!I:I,'DATA INFORME'!K:K)</f>
        <v>SI</v>
      </c>
      <c r="M201" s="37" t="str">
        <f>IF(Tabla2__2[[#This Row],[MYSTERY EFECTIVO]]="SI",_xlfn.XLOOKUP(Tabla2__2[[#This Row],[PREGUNTA]],ENCUESTA!G:G,ENCUESTA!D:D),"N/A")</f>
        <v>UNIFORME</v>
      </c>
      <c r="N2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01" s="37" t="str">
        <f>_xlfn.XLOOKUP(Tabla2__2[[#This Row],[PREGUNTA]],ENCUESTA!G:G,ENCUESTA!H:H)</f>
        <v>SI</v>
      </c>
      <c r="P201" s="37">
        <f>IF(Tabla2__2[[#This Row],[RTA]]=Tabla2__2[[#This Row],[RTA CORRECTA]],Tabla2__2[[#This Row],[TOTAL PUNTAJE]],0)</f>
        <v>1.3636363636363635</v>
      </c>
      <c r="Q201" s="37">
        <f t="shared" si="3"/>
        <v>0</v>
      </c>
      <c r="R201" s="37"/>
    </row>
    <row r="202" spans="1:18" x14ac:dyDescent="0.25">
      <c r="A202" s="37" t="s">
        <v>107</v>
      </c>
      <c r="B202" s="37" t="s">
        <v>8</v>
      </c>
      <c r="C202" t="s">
        <v>15</v>
      </c>
      <c r="D202" s="37" t="s">
        <v>217</v>
      </c>
      <c r="E202" s="37">
        <v>406974</v>
      </c>
      <c r="F202" s="37" t="s">
        <v>298</v>
      </c>
      <c r="G202" s="37" t="s">
        <v>133</v>
      </c>
      <c r="H202" s="37" t="s">
        <v>20</v>
      </c>
      <c r="I202" s="38"/>
      <c r="J202" s="37">
        <v>27684336</v>
      </c>
      <c r="K202" s="37" t="s">
        <v>187</v>
      </c>
      <c r="L202" s="37" t="str">
        <f>_xlfn.XLOOKUP(Tabla2__2[[#This Row],[CODIGO RUTA]],'DATA INFORME'!I:I,'DATA INFORME'!K:K)</f>
        <v>SI</v>
      </c>
      <c r="M202" s="37" t="str">
        <f>IF(Tabla2__2[[#This Row],[MYSTERY EFECTIVO]]="SI",_xlfn.XLOOKUP(Tabla2__2[[#This Row],[PREGUNTA]],ENCUESTA!G:G,ENCUESTA!D:D),"N/A")</f>
        <v>N/A</v>
      </c>
      <c r="N2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2" s="37">
        <f>_xlfn.XLOOKUP(Tabla2__2[[#This Row],[PREGUNTA]],ENCUESTA!G:G,ENCUESTA!H:H)</f>
        <v>0</v>
      </c>
      <c r="P202" s="37">
        <f>IF(Tabla2__2[[#This Row],[RTA]]=Tabla2__2[[#This Row],[RTA CORRECTA]],Tabla2__2[[#This Row],[TOTAL PUNTAJE]],0)</f>
        <v>0</v>
      </c>
      <c r="Q202" s="37">
        <f t="shared" si="3"/>
        <v>0</v>
      </c>
      <c r="R202" s="37"/>
    </row>
    <row r="203" spans="1:18" x14ac:dyDescent="0.25">
      <c r="A203" s="37" t="s">
        <v>107</v>
      </c>
      <c r="B203" s="37" t="s">
        <v>93</v>
      </c>
      <c r="C203" t="s">
        <v>15</v>
      </c>
      <c r="D203" s="37" t="s">
        <v>96</v>
      </c>
      <c r="E203" s="37">
        <v>126325</v>
      </c>
      <c r="F203" s="37" t="s">
        <v>256</v>
      </c>
      <c r="G203" s="37" t="s">
        <v>156</v>
      </c>
      <c r="H203" s="37" t="s">
        <v>20</v>
      </c>
      <c r="I203" s="38"/>
      <c r="J203" s="37">
        <v>27531935</v>
      </c>
      <c r="K203" s="37" t="s">
        <v>127</v>
      </c>
      <c r="L203" s="37" t="str">
        <f>_xlfn.XLOOKUP(Tabla2__2[[#This Row],[CODIGO RUTA]],'DATA INFORME'!I:I,'DATA INFORME'!K:K)</f>
        <v>SI</v>
      </c>
      <c r="M203" s="37" t="str">
        <f>IF(Tabla2__2[[#This Row],[MYSTERY EFECTIVO]]="SI",_xlfn.XLOOKUP(Tabla2__2[[#This Row],[PREGUNTA]],ENCUESTA!G:G,ENCUESTA!D:D),"N/A")</f>
        <v>LABOR DE VENTA</v>
      </c>
      <c r="N2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03" s="37" t="str">
        <f>_xlfn.XLOOKUP(Tabla2__2[[#This Row],[PREGUNTA]],ENCUESTA!G:G,ENCUESTA!H:H)</f>
        <v>SI</v>
      </c>
      <c r="P203" s="37">
        <f>IF(Tabla2__2[[#This Row],[RTA]]=Tabla2__2[[#This Row],[RTA CORRECTA]],Tabla2__2[[#This Row],[TOTAL PUNTAJE]],0)</f>
        <v>7.5</v>
      </c>
      <c r="Q203" s="37">
        <f t="shared" si="3"/>
        <v>0</v>
      </c>
      <c r="R203" s="37"/>
    </row>
    <row r="204" spans="1:18" x14ac:dyDescent="0.25">
      <c r="A204" s="37" t="s">
        <v>107</v>
      </c>
      <c r="B204" s="37" t="s">
        <v>93</v>
      </c>
      <c r="C204" t="s">
        <v>15</v>
      </c>
      <c r="D204" s="37" t="s">
        <v>96</v>
      </c>
      <c r="E204" s="37">
        <v>126325</v>
      </c>
      <c r="F204" s="37" t="s">
        <v>256</v>
      </c>
      <c r="G204" s="37" t="s">
        <v>155</v>
      </c>
      <c r="H204" s="37" t="s">
        <v>20</v>
      </c>
      <c r="I204" s="38"/>
      <c r="J204" s="37">
        <v>27531935</v>
      </c>
      <c r="K204" s="37" t="s">
        <v>127</v>
      </c>
      <c r="L204" s="37" t="str">
        <f>_xlfn.XLOOKUP(Tabla2__2[[#This Row],[CODIGO RUTA]],'DATA INFORME'!I:I,'DATA INFORME'!K:K)</f>
        <v>SI</v>
      </c>
      <c r="M204" s="37" t="str">
        <f>IF(Tabla2__2[[#This Row],[MYSTERY EFECTIVO]]="SI",_xlfn.XLOOKUP(Tabla2__2[[#This Row],[PREGUNTA]],ENCUESTA!G:G,ENCUESTA!D:D),"N/A")</f>
        <v>LABOR DE VENTA</v>
      </c>
      <c r="N2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04" s="37" t="str">
        <f>_xlfn.XLOOKUP(Tabla2__2[[#This Row],[PREGUNTA]],ENCUESTA!G:G,ENCUESTA!H:H)</f>
        <v>SI</v>
      </c>
      <c r="P204" s="37">
        <f>IF(Tabla2__2[[#This Row],[RTA]]=Tabla2__2[[#This Row],[RTA CORRECTA]],Tabla2__2[[#This Row],[TOTAL PUNTAJE]],0)</f>
        <v>7.5</v>
      </c>
      <c r="Q204" s="37">
        <f t="shared" si="3"/>
        <v>0</v>
      </c>
      <c r="R204" s="37"/>
    </row>
    <row r="205" spans="1:18" x14ac:dyDescent="0.25">
      <c r="A205" s="37" t="s">
        <v>107</v>
      </c>
      <c r="B205" s="37" t="s">
        <v>93</v>
      </c>
      <c r="C205" t="s">
        <v>15</v>
      </c>
      <c r="D205" s="37" t="s">
        <v>96</v>
      </c>
      <c r="E205" s="37">
        <v>126325</v>
      </c>
      <c r="F205" s="37" t="s">
        <v>256</v>
      </c>
      <c r="G205" s="37" t="s">
        <v>154</v>
      </c>
      <c r="H205" s="37" t="s">
        <v>20</v>
      </c>
      <c r="I205" s="38"/>
      <c r="J205" s="37">
        <v>27531935</v>
      </c>
      <c r="K205" s="37" t="s">
        <v>127</v>
      </c>
      <c r="L205" s="37" t="str">
        <f>_xlfn.XLOOKUP(Tabla2__2[[#This Row],[CODIGO RUTA]],'DATA INFORME'!I:I,'DATA INFORME'!K:K)</f>
        <v>SI</v>
      </c>
      <c r="M205" s="37" t="str">
        <f>IF(Tabla2__2[[#This Row],[MYSTERY EFECTIVO]]="SI",_xlfn.XLOOKUP(Tabla2__2[[#This Row],[PREGUNTA]],ENCUESTA!G:G,ENCUESTA!D:D),"N/A")</f>
        <v>UNIFORME</v>
      </c>
      <c r="N2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05" s="37" t="str">
        <f>_xlfn.XLOOKUP(Tabla2__2[[#This Row],[PREGUNTA]],ENCUESTA!G:G,ENCUESTA!H:H)</f>
        <v>SI</v>
      </c>
      <c r="P205" s="37">
        <f>IF(Tabla2__2[[#This Row],[RTA]]=Tabla2__2[[#This Row],[RTA CORRECTA]],Tabla2__2[[#This Row],[TOTAL PUNTAJE]],0)</f>
        <v>1.3636363636363635</v>
      </c>
      <c r="Q205" s="37">
        <f t="shared" si="3"/>
        <v>0</v>
      </c>
      <c r="R205" s="37"/>
    </row>
    <row r="206" spans="1:18" x14ac:dyDescent="0.25">
      <c r="A206" s="37" t="s">
        <v>107</v>
      </c>
      <c r="B206" s="37" t="s">
        <v>93</v>
      </c>
      <c r="C206" t="s">
        <v>15</v>
      </c>
      <c r="D206" s="37" t="s">
        <v>96</v>
      </c>
      <c r="E206" s="37">
        <v>126325</v>
      </c>
      <c r="F206" s="37" t="s">
        <v>256</v>
      </c>
      <c r="G206" s="37" t="s">
        <v>153</v>
      </c>
      <c r="H206" s="37" t="s">
        <v>20</v>
      </c>
      <c r="I206" s="38"/>
      <c r="J206" s="37">
        <v>27531935</v>
      </c>
      <c r="K206" s="37" t="s">
        <v>127</v>
      </c>
      <c r="L206" s="37" t="str">
        <f>_xlfn.XLOOKUP(Tabla2__2[[#This Row],[CODIGO RUTA]],'DATA INFORME'!I:I,'DATA INFORME'!K:K)</f>
        <v>SI</v>
      </c>
      <c r="M206" s="37" t="str">
        <f>IF(Tabla2__2[[#This Row],[MYSTERY EFECTIVO]]="SI",_xlfn.XLOOKUP(Tabla2__2[[#This Row],[PREGUNTA]],ENCUESTA!G:G,ENCUESTA!D:D),"N/A")</f>
        <v>PORTAFOLIO Y MANEJO DE OBJECIONES</v>
      </c>
      <c r="N2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06" s="37" t="str">
        <f>_xlfn.XLOOKUP(Tabla2__2[[#This Row],[PREGUNTA]],ENCUESTA!G:G,ENCUESTA!H:H)</f>
        <v>SI</v>
      </c>
      <c r="P206" s="37">
        <f>IF(Tabla2__2[[#This Row],[RTA]]=Tabla2__2[[#This Row],[RTA CORRECTA]],Tabla2__2[[#This Row],[TOTAL PUNTAJE]],0)</f>
        <v>1.5384615384615385</v>
      </c>
      <c r="Q206" s="37">
        <f t="shared" si="3"/>
        <v>0</v>
      </c>
      <c r="R206" s="37"/>
    </row>
    <row r="207" spans="1:18" x14ac:dyDescent="0.25">
      <c r="A207" s="37" t="s">
        <v>107</v>
      </c>
      <c r="B207" s="37" t="s">
        <v>93</v>
      </c>
      <c r="C207" t="s">
        <v>15</v>
      </c>
      <c r="D207" s="37" t="s">
        <v>96</v>
      </c>
      <c r="E207" s="37">
        <v>126325</v>
      </c>
      <c r="F207" s="37" t="s">
        <v>256</v>
      </c>
      <c r="G207" s="37" t="s">
        <v>152</v>
      </c>
      <c r="H207" s="37" t="s">
        <v>170</v>
      </c>
      <c r="I207" s="38"/>
      <c r="J207" s="37">
        <v>27531935</v>
      </c>
      <c r="K207" s="37" t="s">
        <v>127</v>
      </c>
      <c r="L207" s="37" t="str">
        <f>_xlfn.XLOOKUP(Tabla2__2[[#This Row],[CODIGO RUTA]],'DATA INFORME'!I:I,'DATA INFORME'!K:K)</f>
        <v>SI</v>
      </c>
      <c r="M207" s="37" t="str">
        <f>IF(Tabla2__2[[#This Row],[MYSTERY EFECTIVO]]="SI",_xlfn.XLOOKUP(Tabla2__2[[#This Row],[PREGUNTA]],ENCUESTA!G:G,ENCUESTA!D:D),"N/A")</f>
        <v>N/A</v>
      </c>
      <c r="N2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7" s="37" t="str">
        <f>_xlfn.XLOOKUP(Tabla2__2[[#This Row],[PREGUNTA]],ENCUESTA!G:G,ENCUESTA!H:H)</f>
        <v>FALTA DE PRODUCTO, NO LE INTERESA EL PRODUCTO, NO TIENE DINERO, PREFIERE LA COMPETENCIA</v>
      </c>
      <c r="P207" s="37">
        <f>IF(Tabla2__2[[#This Row],[RTA]]=Tabla2__2[[#This Row],[RTA CORRECTA]],Tabla2__2[[#This Row],[TOTAL PUNTAJE]],0)</f>
        <v>0</v>
      </c>
      <c r="Q207" s="37">
        <f t="shared" si="3"/>
        <v>0</v>
      </c>
      <c r="R207" s="37"/>
    </row>
    <row r="208" spans="1:18" x14ac:dyDescent="0.25">
      <c r="A208" s="37" t="s">
        <v>107</v>
      </c>
      <c r="B208" s="37" t="s">
        <v>93</v>
      </c>
      <c r="C208" t="s">
        <v>15</v>
      </c>
      <c r="D208" s="37" t="s">
        <v>96</v>
      </c>
      <c r="E208" s="37">
        <v>126325</v>
      </c>
      <c r="F208" s="37" t="s">
        <v>256</v>
      </c>
      <c r="G208" s="37" t="s">
        <v>146</v>
      </c>
      <c r="H208" s="37" t="s">
        <v>20</v>
      </c>
      <c r="I208" s="38"/>
      <c r="J208" s="37">
        <v>27531935</v>
      </c>
      <c r="K208" s="37" t="s">
        <v>127</v>
      </c>
      <c r="L208" s="37" t="str">
        <f>_xlfn.XLOOKUP(Tabla2__2[[#This Row],[CODIGO RUTA]],'DATA INFORME'!I:I,'DATA INFORME'!K:K)</f>
        <v>SI</v>
      </c>
      <c r="M208" s="37" t="str">
        <f>IF(Tabla2__2[[#This Row],[MYSTERY EFECTIVO]]="SI",_xlfn.XLOOKUP(Tabla2__2[[#This Row],[PREGUNTA]],ENCUESTA!G:G,ENCUESTA!D:D),"N/A")</f>
        <v>ACTIVIDADES DEL MES</v>
      </c>
      <c r="N2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08" s="37" t="str">
        <f>_xlfn.XLOOKUP(Tabla2__2[[#This Row],[PREGUNTA]],ENCUESTA!G:G,ENCUESTA!H:H)</f>
        <v>SI</v>
      </c>
      <c r="P208" s="37">
        <f>IF(Tabla2__2[[#This Row],[RTA]]=Tabla2__2[[#This Row],[RTA CORRECTA]],Tabla2__2[[#This Row],[TOTAL PUNTAJE]],0)</f>
        <v>5</v>
      </c>
      <c r="Q208" s="37">
        <f t="shared" si="3"/>
        <v>0</v>
      </c>
      <c r="R208" s="37"/>
    </row>
    <row r="209" spans="1:18" x14ac:dyDescent="0.25">
      <c r="A209" s="37" t="s">
        <v>107</v>
      </c>
      <c r="B209" s="37" t="s">
        <v>93</v>
      </c>
      <c r="C209" t="s">
        <v>15</v>
      </c>
      <c r="D209" s="37" t="s">
        <v>96</v>
      </c>
      <c r="E209" s="37">
        <v>126325</v>
      </c>
      <c r="F209" s="37" t="s">
        <v>256</v>
      </c>
      <c r="G209" s="37" t="s">
        <v>145</v>
      </c>
      <c r="H209" s="37" t="s">
        <v>20</v>
      </c>
      <c r="I209" s="38"/>
      <c r="J209" s="37">
        <v>27531935</v>
      </c>
      <c r="K209" s="37" t="s">
        <v>127</v>
      </c>
      <c r="L209" s="37" t="str">
        <f>_xlfn.XLOOKUP(Tabla2__2[[#This Row],[CODIGO RUTA]],'DATA INFORME'!I:I,'DATA INFORME'!K:K)</f>
        <v>SI</v>
      </c>
      <c r="M209" s="37" t="str">
        <f>IF(Tabla2__2[[#This Row],[MYSTERY EFECTIVO]]="SI",_xlfn.XLOOKUP(Tabla2__2[[#This Row],[PREGUNTA]],ENCUESTA!G:G,ENCUESTA!D:D),"N/A")</f>
        <v>PORTAFOLIO Y MANEJO DE OBJECIONES</v>
      </c>
      <c r="N2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09" s="37" t="str">
        <f>_xlfn.XLOOKUP(Tabla2__2[[#This Row],[PREGUNTA]],ENCUESTA!G:G,ENCUESTA!H:H)</f>
        <v>SI</v>
      </c>
      <c r="P209" s="37">
        <f>IF(Tabla2__2[[#This Row],[RTA]]=Tabla2__2[[#This Row],[RTA CORRECTA]],Tabla2__2[[#This Row],[TOTAL PUNTAJE]],0)</f>
        <v>1.5384615384615385</v>
      </c>
      <c r="Q209" s="37">
        <f t="shared" si="3"/>
        <v>0</v>
      </c>
      <c r="R209" s="37"/>
    </row>
    <row r="210" spans="1:18" x14ac:dyDescent="0.25">
      <c r="A210" s="37" t="s">
        <v>107</v>
      </c>
      <c r="B210" s="37" t="s">
        <v>93</v>
      </c>
      <c r="C210" t="s">
        <v>15</v>
      </c>
      <c r="D210" s="37" t="s">
        <v>96</v>
      </c>
      <c r="E210" s="37">
        <v>126325</v>
      </c>
      <c r="F210" s="37" t="s">
        <v>256</v>
      </c>
      <c r="G210" s="37" t="s">
        <v>144</v>
      </c>
      <c r="H210" s="37" t="s">
        <v>20</v>
      </c>
      <c r="I210" s="38"/>
      <c r="J210" s="37">
        <v>27531935</v>
      </c>
      <c r="K210" s="37" t="s">
        <v>127</v>
      </c>
      <c r="L210" s="37" t="str">
        <f>_xlfn.XLOOKUP(Tabla2__2[[#This Row],[CODIGO RUTA]],'DATA INFORME'!I:I,'DATA INFORME'!K:K)</f>
        <v>SI</v>
      </c>
      <c r="M210" s="37" t="str">
        <f>IF(Tabla2__2[[#This Row],[MYSTERY EFECTIVO]]="SI",_xlfn.XLOOKUP(Tabla2__2[[#This Row],[PREGUNTA]],ENCUESTA!G:G,ENCUESTA!D:D),"N/A")</f>
        <v>PORTAFOLIO Y MANEJO DE OBJECIONES</v>
      </c>
      <c r="N2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10" s="37" t="str">
        <f>_xlfn.XLOOKUP(Tabla2__2[[#This Row],[PREGUNTA]],ENCUESTA!G:G,ENCUESTA!H:H)</f>
        <v>SI</v>
      </c>
      <c r="P210" s="37">
        <f>IF(Tabla2__2[[#This Row],[RTA]]=Tabla2__2[[#This Row],[RTA CORRECTA]],Tabla2__2[[#This Row],[TOTAL PUNTAJE]],0)</f>
        <v>1.5384615384615385</v>
      </c>
      <c r="Q210" s="37">
        <f t="shared" si="3"/>
        <v>0</v>
      </c>
      <c r="R210" s="37"/>
    </row>
    <row r="211" spans="1:18" x14ac:dyDescent="0.25">
      <c r="A211" s="37" t="s">
        <v>107</v>
      </c>
      <c r="B211" s="37" t="s">
        <v>93</v>
      </c>
      <c r="C211" t="s">
        <v>15</v>
      </c>
      <c r="D211" s="37" t="s">
        <v>96</v>
      </c>
      <c r="E211" s="37">
        <v>126325</v>
      </c>
      <c r="F211" s="37" t="s">
        <v>256</v>
      </c>
      <c r="G211" s="37" t="s">
        <v>143</v>
      </c>
      <c r="H211" s="37" t="s">
        <v>106</v>
      </c>
      <c r="I211" s="38"/>
      <c r="J211" s="37">
        <v>27531935</v>
      </c>
      <c r="K211" s="37" t="s">
        <v>127</v>
      </c>
      <c r="L211" s="37" t="str">
        <f>_xlfn.XLOOKUP(Tabla2__2[[#This Row],[CODIGO RUTA]],'DATA INFORME'!I:I,'DATA INFORME'!K:K)</f>
        <v>SI</v>
      </c>
      <c r="M211" s="37" t="str">
        <f>IF(Tabla2__2[[#This Row],[MYSTERY EFECTIVO]]="SI",_xlfn.XLOOKUP(Tabla2__2[[#This Row],[PREGUNTA]],ENCUESTA!G:G,ENCUESTA!D:D),"N/A")</f>
        <v>PORTAFOLIO Y MANEJO DE OBJECIONES</v>
      </c>
      <c r="N2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11" s="37" t="str">
        <f>_xlfn.XLOOKUP(Tabla2__2[[#This Row],[PREGUNTA]],ENCUESTA!G:G,ENCUESTA!H:H)</f>
        <v>SI</v>
      </c>
      <c r="P211" s="37">
        <f>IF(Tabla2__2[[#This Row],[RTA]]=Tabla2__2[[#This Row],[RTA CORRECTA]],Tabla2__2[[#This Row],[TOTAL PUNTAJE]],0)</f>
        <v>0</v>
      </c>
      <c r="Q211" s="37">
        <f t="shared" si="3"/>
        <v>0</v>
      </c>
      <c r="R211" s="37"/>
    </row>
    <row r="212" spans="1:18" x14ac:dyDescent="0.25">
      <c r="A212" s="37" t="s">
        <v>107</v>
      </c>
      <c r="B212" s="37" t="s">
        <v>93</v>
      </c>
      <c r="C212" t="s">
        <v>15</v>
      </c>
      <c r="D212" s="37" t="s">
        <v>96</v>
      </c>
      <c r="E212" s="37">
        <v>126325</v>
      </c>
      <c r="F212" s="37" t="s">
        <v>256</v>
      </c>
      <c r="G212" s="37" t="s">
        <v>142</v>
      </c>
      <c r="H212" s="37" t="s">
        <v>106</v>
      </c>
      <c r="I212" s="38"/>
      <c r="J212" s="37">
        <v>27531935</v>
      </c>
      <c r="K212" s="37" t="s">
        <v>127</v>
      </c>
      <c r="L212" s="37" t="str">
        <f>_xlfn.XLOOKUP(Tabla2__2[[#This Row],[CODIGO RUTA]],'DATA INFORME'!I:I,'DATA INFORME'!K:K)</f>
        <v>SI</v>
      </c>
      <c r="M212" s="37" t="str">
        <f>IF(Tabla2__2[[#This Row],[MYSTERY EFECTIVO]]="SI",_xlfn.XLOOKUP(Tabla2__2[[#This Row],[PREGUNTA]],ENCUESTA!G:G,ENCUESTA!D:D),"N/A")</f>
        <v>PORTAFOLIO Y MANEJO DE OBJECIONES</v>
      </c>
      <c r="N2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12" s="37" t="str">
        <f>_xlfn.XLOOKUP(Tabla2__2[[#This Row],[PREGUNTA]],ENCUESTA!G:G,ENCUESTA!H:H)</f>
        <v>SI</v>
      </c>
      <c r="P212" s="37">
        <f>IF(Tabla2__2[[#This Row],[RTA]]=Tabla2__2[[#This Row],[RTA CORRECTA]],Tabla2__2[[#This Row],[TOTAL PUNTAJE]],0)</f>
        <v>0</v>
      </c>
      <c r="Q212" s="37">
        <f t="shared" si="3"/>
        <v>0</v>
      </c>
      <c r="R212" s="37"/>
    </row>
    <row r="213" spans="1:18" x14ac:dyDescent="0.25">
      <c r="A213" s="37" t="s">
        <v>107</v>
      </c>
      <c r="B213" s="37" t="s">
        <v>93</v>
      </c>
      <c r="C213" t="s">
        <v>15</v>
      </c>
      <c r="D213" s="37" t="s">
        <v>96</v>
      </c>
      <c r="E213" s="37">
        <v>126325</v>
      </c>
      <c r="F213" s="37" t="s">
        <v>256</v>
      </c>
      <c r="G213" s="37" t="s">
        <v>141</v>
      </c>
      <c r="H213" s="37" t="s">
        <v>106</v>
      </c>
      <c r="I213" s="38"/>
      <c r="J213" s="37">
        <v>27531935</v>
      </c>
      <c r="K213" s="37" t="s">
        <v>127</v>
      </c>
      <c r="L213" s="37" t="str">
        <f>_xlfn.XLOOKUP(Tabla2__2[[#This Row],[CODIGO RUTA]],'DATA INFORME'!I:I,'DATA INFORME'!K:K)</f>
        <v>SI</v>
      </c>
      <c r="M213" s="37" t="str">
        <f>IF(Tabla2__2[[#This Row],[MYSTERY EFECTIVO]]="SI",_xlfn.XLOOKUP(Tabla2__2[[#This Row],[PREGUNTA]],ENCUESTA!G:G,ENCUESTA!D:D),"N/A")</f>
        <v>PORTAFOLIO Y MANEJO DE OBJECIONES</v>
      </c>
      <c r="N2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13" s="37" t="str">
        <f>_xlfn.XLOOKUP(Tabla2__2[[#This Row],[PREGUNTA]],ENCUESTA!G:G,ENCUESTA!H:H)</f>
        <v>SI</v>
      </c>
      <c r="P213" s="37">
        <f>IF(Tabla2__2[[#This Row],[RTA]]=Tabla2__2[[#This Row],[RTA CORRECTA]],Tabla2__2[[#This Row],[TOTAL PUNTAJE]],0)</f>
        <v>0</v>
      </c>
      <c r="Q213" s="37">
        <f t="shared" si="3"/>
        <v>0</v>
      </c>
      <c r="R213" s="37"/>
    </row>
    <row r="214" spans="1:18" x14ac:dyDescent="0.25">
      <c r="A214" s="37" t="s">
        <v>107</v>
      </c>
      <c r="B214" s="37" t="s">
        <v>93</v>
      </c>
      <c r="C214" t="s">
        <v>15</v>
      </c>
      <c r="D214" s="37" t="s">
        <v>96</v>
      </c>
      <c r="E214" s="37">
        <v>126325</v>
      </c>
      <c r="F214" s="37" t="s">
        <v>256</v>
      </c>
      <c r="G214" s="37" t="s">
        <v>157</v>
      </c>
      <c r="H214" s="37" t="s">
        <v>106</v>
      </c>
      <c r="I214" s="38"/>
      <c r="J214" s="37">
        <v>27531935</v>
      </c>
      <c r="K214" s="37" t="s">
        <v>127</v>
      </c>
      <c r="L214" s="37" t="str">
        <f>_xlfn.XLOOKUP(Tabla2__2[[#This Row],[CODIGO RUTA]],'DATA INFORME'!I:I,'DATA INFORME'!K:K)</f>
        <v>SI</v>
      </c>
      <c r="M214" s="37" t="str">
        <f>IF(Tabla2__2[[#This Row],[MYSTERY EFECTIVO]]="SI",_xlfn.XLOOKUP(Tabla2__2[[#This Row],[PREGUNTA]],ENCUESTA!G:G,ENCUESTA!D:D),"N/A")</f>
        <v>N/A</v>
      </c>
      <c r="N2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4" s="37">
        <f>_xlfn.XLOOKUP(Tabla2__2[[#This Row],[PREGUNTA]],ENCUESTA!G:G,ENCUESTA!H:H)</f>
        <v>0</v>
      </c>
      <c r="P214" s="37">
        <f>IF(Tabla2__2[[#This Row],[RTA]]=Tabla2__2[[#This Row],[RTA CORRECTA]],Tabla2__2[[#This Row],[TOTAL PUNTAJE]],0)</f>
        <v>0</v>
      </c>
      <c r="Q214" s="37">
        <f t="shared" si="3"/>
        <v>0</v>
      </c>
      <c r="R214" s="37"/>
    </row>
    <row r="215" spans="1:18" x14ac:dyDescent="0.25">
      <c r="A215" s="37" t="s">
        <v>107</v>
      </c>
      <c r="B215" s="37" t="s">
        <v>8</v>
      </c>
      <c r="C215" t="s">
        <v>15</v>
      </c>
      <c r="D215" s="37" t="s">
        <v>79</v>
      </c>
      <c r="E215" s="37">
        <v>442719</v>
      </c>
      <c r="F215" s="37" t="s">
        <v>228</v>
      </c>
      <c r="G215" s="37" t="s">
        <v>157</v>
      </c>
      <c r="H215" s="37" t="s">
        <v>106</v>
      </c>
      <c r="I215" s="38"/>
      <c r="J215" s="37">
        <v>27486785</v>
      </c>
      <c r="K215" s="37" t="s">
        <v>187</v>
      </c>
      <c r="L215" s="37" t="str">
        <f>_xlfn.XLOOKUP(Tabla2__2[[#This Row],[CODIGO RUTA]],'DATA INFORME'!I:I,'DATA INFORME'!K:K)</f>
        <v>SI</v>
      </c>
      <c r="M215" s="37" t="str">
        <f>IF(Tabla2__2[[#This Row],[MYSTERY EFECTIVO]]="SI",_xlfn.XLOOKUP(Tabla2__2[[#This Row],[PREGUNTA]],ENCUESTA!G:G,ENCUESTA!D:D),"N/A")</f>
        <v>N/A</v>
      </c>
      <c r="N2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5" s="37">
        <f>_xlfn.XLOOKUP(Tabla2__2[[#This Row],[PREGUNTA]],ENCUESTA!G:G,ENCUESTA!H:H)</f>
        <v>0</v>
      </c>
      <c r="P215" s="37">
        <f>IF(Tabla2__2[[#This Row],[RTA]]=Tabla2__2[[#This Row],[RTA CORRECTA]],Tabla2__2[[#This Row],[TOTAL PUNTAJE]],0)</f>
        <v>0</v>
      </c>
      <c r="Q215" s="37">
        <f t="shared" si="3"/>
        <v>0</v>
      </c>
      <c r="R215" s="37"/>
    </row>
    <row r="216" spans="1:18" x14ac:dyDescent="0.25">
      <c r="A216" s="37" t="s">
        <v>107</v>
      </c>
      <c r="B216" s="37" t="s">
        <v>93</v>
      </c>
      <c r="C216" t="s">
        <v>15</v>
      </c>
      <c r="D216" s="37" t="s">
        <v>96</v>
      </c>
      <c r="E216" s="37">
        <v>126325</v>
      </c>
      <c r="F216" s="37" t="s">
        <v>256</v>
      </c>
      <c r="G216" s="37" t="s">
        <v>138</v>
      </c>
      <c r="H216" s="37" t="s">
        <v>106</v>
      </c>
      <c r="I216" s="38"/>
      <c r="J216" s="37">
        <v>27531935</v>
      </c>
      <c r="K216" s="37" t="s">
        <v>127</v>
      </c>
      <c r="L216" s="37" t="str">
        <f>_xlfn.XLOOKUP(Tabla2__2[[#This Row],[CODIGO RUTA]],'DATA INFORME'!I:I,'DATA INFORME'!K:K)</f>
        <v>SI</v>
      </c>
      <c r="M216" s="37" t="str">
        <f>IF(Tabla2__2[[#This Row],[MYSTERY EFECTIVO]]="SI",_xlfn.XLOOKUP(Tabla2__2[[#This Row],[PREGUNTA]],ENCUESTA!G:G,ENCUESTA!D:D),"N/A")</f>
        <v>PORTAFOLIO Y MANEJO DE OBJECIONES</v>
      </c>
      <c r="N2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16" s="37" t="str">
        <f>_xlfn.XLOOKUP(Tabla2__2[[#This Row],[PREGUNTA]],ENCUESTA!G:G,ENCUESTA!H:H)</f>
        <v>SI</v>
      </c>
      <c r="P216" s="37">
        <f>IF(Tabla2__2[[#This Row],[RTA]]=Tabla2__2[[#This Row],[RTA CORRECTA]],Tabla2__2[[#This Row],[TOTAL PUNTAJE]],0)</f>
        <v>0</v>
      </c>
      <c r="Q216" s="37">
        <f t="shared" si="3"/>
        <v>0</v>
      </c>
      <c r="R216" s="37"/>
    </row>
    <row r="217" spans="1:18" x14ac:dyDescent="0.25">
      <c r="A217" s="37" t="s">
        <v>107</v>
      </c>
      <c r="B217" s="37" t="s">
        <v>93</v>
      </c>
      <c r="C217" t="s">
        <v>15</v>
      </c>
      <c r="D217" s="37" t="s">
        <v>96</v>
      </c>
      <c r="E217" s="37">
        <v>126325</v>
      </c>
      <c r="F217" s="37" t="s">
        <v>256</v>
      </c>
      <c r="G217" s="37" t="s">
        <v>137</v>
      </c>
      <c r="H217" s="37" t="s">
        <v>20</v>
      </c>
      <c r="I217" s="38"/>
      <c r="J217" s="37">
        <v>27531935</v>
      </c>
      <c r="K217" s="37" t="s">
        <v>127</v>
      </c>
      <c r="L217" s="37" t="str">
        <f>_xlfn.XLOOKUP(Tabla2__2[[#This Row],[CODIGO RUTA]],'DATA INFORME'!I:I,'DATA INFORME'!K:K)</f>
        <v>SI</v>
      </c>
      <c r="M217" s="37" t="str">
        <f>IF(Tabla2__2[[#This Row],[MYSTERY EFECTIVO]]="SI",_xlfn.XLOOKUP(Tabla2__2[[#This Row],[PREGUNTA]],ENCUESTA!G:G,ENCUESTA!D:D),"N/A")</f>
        <v>PORTAFOLIO Y MANEJO DE OBJECIONES</v>
      </c>
      <c r="N2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17" s="37" t="str">
        <f>_xlfn.XLOOKUP(Tabla2__2[[#This Row],[PREGUNTA]],ENCUESTA!G:G,ENCUESTA!H:H)</f>
        <v>SI</v>
      </c>
      <c r="P217" s="37">
        <f>IF(Tabla2__2[[#This Row],[RTA]]=Tabla2__2[[#This Row],[RTA CORRECTA]],Tabla2__2[[#This Row],[TOTAL PUNTAJE]],0)</f>
        <v>1.5384615384615385</v>
      </c>
      <c r="Q217" s="37">
        <f t="shared" si="3"/>
        <v>0</v>
      </c>
      <c r="R217" s="37"/>
    </row>
    <row r="218" spans="1:18" x14ac:dyDescent="0.25">
      <c r="A218" s="37" t="s">
        <v>107</v>
      </c>
      <c r="B218" s="37" t="s">
        <v>93</v>
      </c>
      <c r="C218" t="s">
        <v>15</v>
      </c>
      <c r="D218" s="37" t="s">
        <v>96</v>
      </c>
      <c r="E218" s="37">
        <v>126325</v>
      </c>
      <c r="F218" s="37" t="s">
        <v>256</v>
      </c>
      <c r="G218" s="37" t="s">
        <v>136</v>
      </c>
      <c r="H218" s="37" t="s">
        <v>20</v>
      </c>
      <c r="I218" s="38"/>
      <c r="J218" s="37">
        <v>27531935</v>
      </c>
      <c r="K218" s="37" t="s">
        <v>127</v>
      </c>
      <c r="L218" s="37" t="str">
        <f>_xlfn.XLOOKUP(Tabla2__2[[#This Row],[CODIGO RUTA]],'DATA INFORME'!I:I,'DATA INFORME'!K:K)</f>
        <v>SI</v>
      </c>
      <c r="M218" s="37" t="str">
        <f>IF(Tabla2__2[[#This Row],[MYSTERY EFECTIVO]]="SI",_xlfn.XLOOKUP(Tabla2__2[[#This Row],[PREGUNTA]],ENCUESTA!G:G,ENCUESTA!D:D),"N/A")</f>
        <v>ABORDAJE</v>
      </c>
      <c r="N2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18" s="37" t="str">
        <f>_xlfn.XLOOKUP(Tabla2__2[[#This Row],[PREGUNTA]],ENCUESTA!G:G,ENCUESTA!H:H)</f>
        <v>SI</v>
      </c>
      <c r="P218" s="37">
        <f>IF(Tabla2__2[[#This Row],[RTA]]=Tabla2__2[[#This Row],[RTA CORRECTA]],Tabla2__2[[#This Row],[TOTAL PUNTAJE]],0)</f>
        <v>20</v>
      </c>
      <c r="Q218" s="37">
        <f t="shared" si="3"/>
        <v>0</v>
      </c>
      <c r="R218" s="37"/>
    </row>
    <row r="219" spans="1:18" x14ac:dyDescent="0.25">
      <c r="A219" s="37" t="s">
        <v>107</v>
      </c>
      <c r="B219" s="37" t="s">
        <v>93</v>
      </c>
      <c r="C219" t="s">
        <v>15</v>
      </c>
      <c r="D219" s="37" t="s">
        <v>96</v>
      </c>
      <c r="E219" s="37">
        <v>126325</v>
      </c>
      <c r="F219" s="37" t="s">
        <v>256</v>
      </c>
      <c r="G219" s="37" t="s">
        <v>104</v>
      </c>
      <c r="H219" s="37" t="s">
        <v>106</v>
      </c>
      <c r="I219" s="38"/>
      <c r="J219" s="37">
        <v>27531935</v>
      </c>
      <c r="K219" s="37" t="s">
        <v>127</v>
      </c>
      <c r="L219" s="37" t="str">
        <f>_xlfn.XLOOKUP(Tabla2__2[[#This Row],[CODIGO RUTA]],'DATA INFORME'!I:I,'DATA INFORME'!K:K)</f>
        <v>SI</v>
      </c>
      <c r="M219" s="37" t="str">
        <f>IF(Tabla2__2[[#This Row],[MYSTERY EFECTIVO]]="SI",_xlfn.XLOOKUP(Tabla2__2[[#This Row],[PREGUNTA]],ENCUESTA!G:G,ENCUESTA!D:D),"N/A")</f>
        <v>UNIFORME</v>
      </c>
      <c r="N2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19" s="37" t="str">
        <f>_xlfn.XLOOKUP(Tabla2__2[[#This Row],[PREGUNTA]],ENCUESTA!G:G,ENCUESTA!H:H)</f>
        <v>NO</v>
      </c>
      <c r="P219" s="37">
        <f>IF(Tabla2__2[[#This Row],[RTA]]=Tabla2__2[[#This Row],[RTA CORRECTA]],Tabla2__2[[#This Row],[TOTAL PUNTAJE]],0)</f>
        <v>1.3636363636363635</v>
      </c>
      <c r="Q219" s="37">
        <f t="shared" si="3"/>
        <v>0</v>
      </c>
      <c r="R219" s="37"/>
    </row>
    <row r="220" spans="1:18" x14ac:dyDescent="0.25">
      <c r="A220" s="37" t="s">
        <v>107</v>
      </c>
      <c r="B220" s="37" t="s">
        <v>93</v>
      </c>
      <c r="C220" t="s">
        <v>15</v>
      </c>
      <c r="D220" s="37" t="s">
        <v>96</v>
      </c>
      <c r="E220" s="37">
        <v>126325</v>
      </c>
      <c r="F220" s="37" t="s">
        <v>256</v>
      </c>
      <c r="G220" s="37" t="s">
        <v>103</v>
      </c>
      <c r="H220" s="37" t="s">
        <v>106</v>
      </c>
      <c r="I220" s="38"/>
      <c r="J220" s="37">
        <v>27531935</v>
      </c>
      <c r="K220" s="37" t="s">
        <v>127</v>
      </c>
      <c r="L220" s="37" t="str">
        <f>_xlfn.XLOOKUP(Tabla2__2[[#This Row],[CODIGO RUTA]],'DATA INFORME'!I:I,'DATA INFORME'!K:K)</f>
        <v>SI</v>
      </c>
      <c r="M220" s="37" t="str">
        <f>IF(Tabla2__2[[#This Row],[MYSTERY EFECTIVO]]="SI",_xlfn.XLOOKUP(Tabla2__2[[#This Row],[PREGUNTA]],ENCUESTA!G:G,ENCUESTA!D:D),"N/A")</f>
        <v>UNIFORME</v>
      </c>
      <c r="N2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0" s="37" t="str">
        <f>_xlfn.XLOOKUP(Tabla2__2[[#This Row],[PREGUNTA]],ENCUESTA!G:G,ENCUESTA!H:H)</f>
        <v>NO</v>
      </c>
      <c r="P220" s="37">
        <f>IF(Tabla2__2[[#This Row],[RTA]]=Tabla2__2[[#This Row],[RTA CORRECTA]],Tabla2__2[[#This Row],[TOTAL PUNTAJE]],0)</f>
        <v>1.3636363636363635</v>
      </c>
      <c r="Q220" s="37">
        <f t="shared" si="3"/>
        <v>0</v>
      </c>
      <c r="R220" s="37"/>
    </row>
    <row r="221" spans="1:18" x14ac:dyDescent="0.25">
      <c r="A221" s="37" t="s">
        <v>107</v>
      </c>
      <c r="B221" s="37" t="s">
        <v>93</v>
      </c>
      <c r="C221" t="s">
        <v>15</v>
      </c>
      <c r="D221" s="37" t="s">
        <v>96</v>
      </c>
      <c r="E221" s="37">
        <v>126325</v>
      </c>
      <c r="F221" s="37" t="s">
        <v>256</v>
      </c>
      <c r="G221" s="37" t="s">
        <v>102</v>
      </c>
      <c r="H221" s="37" t="s">
        <v>106</v>
      </c>
      <c r="I221" s="38"/>
      <c r="J221" s="37">
        <v>27531935</v>
      </c>
      <c r="K221" s="37" t="s">
        <v>127</v>
      </c>
      <c r="L221" s="37" t="str">
        <f>_xlfn.XLOOKUP(Tabla2__2[[#This Row],[CODIGO RUTA]],'DATA INFORME'!I:I,'DATA INFORME'!K:K)</f>
        <v>SI</v>
      </c>
      <c r="M221" s="37" t="str">
        <f>IF(Tabla2__2[[#This Row],[MYSTERY EFECTIVO]]="SI",_xlfn.XLOOKUP(Tabla2__2[[#This Row],[PREGUNTA]],ENCUESTA!G:G,ENCUESTA!D:D),"N/A")</f>
        <v>UNIFORME</v>
      </c>
      <c r="N2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1" s="37" t="str">
        <f>_xlfn.XLOOKUP(Tabla2__2[[#This Row],[PREGUNTA]],ENCUESTA!G:G,ENCUESTA!H:H)</f>
        <v>NO</v>
      </c>
      <c r="P221" s="37">
        <f>IF(Tabla2__2[[#This Row],[RTA]]=Tabla2__2[[#This Row],[RTA CORRECTA]],Tabla2__2[[#This Row],[TOTAL PUNTAJE]],0)</f>
        <v>1.3636363636363635</v>
      </c>
      <c r="Q221" s="37">
        <f t="shared" si="3"/>
        <v>0</v>
      </c>
      <c r="R221" s="37"/>
    </row>
    <row r="222" spans="1:18" x14ac:dyDescent="0.25">
      <c r="A222" s="37" t="s">
        <v>107</v>
      </c>
      <c r="B222" s="37" t="s">
        <v>93</v>
      </c>
      <c r="C222" t="s">
        <v>15</v>
      </c>
      <c r="D222" s="37" t="s">
        <v>96</v>
      </c>
      <c r="E222" s="37">
        <v>126325</v>
      </c>
      <c r="F222" s="37" t="s">
        <v>256</v>
      </c>
      <c r="G222" s="37" t="s">
        <v>101</v>
      </c>
      <c r="H222" s="37" t="s">
        <v>106</v>
      </c>
      <c r="I222" s="38"/>
      <c r="J222" s="37">
        <v>27531935</v>
      </c>
      <c r="K222" s="37" t="s">
        <v>127</v>
      </c>
      <c r="L222" s="37" t="str">
        <f>_xlfn.XLOOKUP(Tabla2__2[[#This Row],[CODIGO RUTA]],'DATA INFORME'!I:I,'DATA INFORME'!K:K)</f>
        <v>SI</v>
      </c>
      <c r="M222" s="37" t="str">
        <f>IF(Tabla2__2[[#This Row],[MYSTERY EFECTIVO]]="SI",_xlfn.XLOOKUP(Tabla2__2[[#This Row],[PREGUNTA]],ENCUESTA!G:G,ENCUESTA!D:D),"N/A")</f>
        <v>UNIFORME</v>
      </c>
      <c r="N2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2" s="37" t="str">
        <f>_xlfn.XLOOKUP(Tabla2__2[[#This Row],[PREGUNTA]],ENCUESTA!G:G,ENCUESTA!H:H)</f>
        <v>NO</v>
      </c>
      <c r="P222" s="37">
        <f>IF(Tabla2__2[[#This Row],[RTA]]=Tabla2__2[[#This Row],[RTA CORRECTA]],Tabla2__2[[#This Row],[TOTAL PUNTAJE]],0)</f>
        <v>1.3636363636363635</v>
      </c>
      <c r="Q222" s="37">
        <f t="shared" si="3"/>
        <v>0</v>
      </c>
      <c r="R222" s="37"/>
    </row>
    <row r="223" spans="1:18" x14ac:dyDescent="0.25">
      <c r="A223" s="37" t="s">
        <v>107</v>
      </c>
      <c r="B223" s="37" t="s">
        <v>93</v>
      </c>
      <c r="C223" t="s">
        <v>15</v>
      </c>
      <c r="D223" s="37" t="s">
        <v>96</v>
      </c>
      <c r="E223" s="37">
        <v>126325</v>
      </c>
      <c r="F223" s="37" t="s">
        <v>256</v>
      </c>
      <c r="G223" s="37" t="s">
        <v>100</v>
      </c>
      <c r="H223" s="37" t="s">
        <v>20</v>
      </c>
      <c r="I223" s="38"/>
      <c r="J223" s="37">
        <v>27531935</v>
      </c>
      <c r="K223" s="37" t="s">
        <v>127</v>
      </c>
      <c r="L223" s="37" t="str">
        <f>_xlfn.XLOOKUP(Tabla2__2[[#This Row],[CODIGO RUTA]],'DATA INFORME'!I:I,'DATA INFORME'!K:K)</f>
        <v>SI</v>
      </c>
      <c r="M223" s="37" t="str">
        <f>IF(Tabla2__2[[#This Row],[MYSTERY EFECTIVO]]="SI",_xlfn.XLOOKUP(Tabla2__2[[#This Row],[PREGUNTA]],ENCUESTA!G:G,ENCUESTA!D:D),"N/A")</f>
        <v>UNIFORME</v>
      </c>
      <c r="N2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3" s="37" t="str">
        <f>_xlfn.XLOOKUP(Tabla2__2[[#This Row],[PREGUNTA]],ENCUESTA!G:G,ENCUESTA!H:H)</f>
        <v>SI</v>
      </c>
      <c r="P223" s="37">
        <f>IF(Tabla2__2[[#This Row],[RTA]]=Tabla2__2[[#This Row],[RTA CORRECTA]],Tabla2__2[[#This Row],[TOTAL PUNTAJE]],0)</f>
        <v>1.3636363636363635</v>
      </c>
      <c r="Q223" s="37">
        <f t="shared" si="3"/>
        <v>0</v>
      </c>
      <c r="R223" s="37"/>
    </row>
    <row r="224" spans="1:18" x14ac:dyDescent="0.25">
      <c r="A224" s="37" t="s">
        <v>107</v>
      </c>
      <c r="B224" s="37" t="s">
        <v>93</v>
      </c>
      <c r="C224" t="s">
        <v>15</v>
      </c>
      <c r="D224" s="37" t="s">
        <v>96</v>
      </c>
      <c r="E224" s="37">
        <v>126325</v>
      </c>
      <c r="F224" s="37" t="s">
        <v>256</v>
      </c>
      <c r="G224" s="37" t="s">
        <v>99</v>
      </c>
      <c r="H224" s="37" t="s">
        <v>20</v>
      </c>
      <c r="I224" s="38"/>
      <c r="J224" s="37">
        <v>27531935</v>
      </c>
      <c r="K224" s="37" t="s">
        <v>127</v>
      </c>
      <c r="L224" s="37" t="str">
        <f>_xlfn.XLOOKUP(Tabla2__2[[#This Row],[CODIGO RUTA]],'DATA INFORME'!I:I,'DATA INFORME'!K:K)</f>
        <v>SI</v>
      </c>
      <c r="M224" s="37" t="str">
        <f>IF(Tabla2__2[[#This Row],[MYSTERY EFECTIVO]]="SI",_xlfn.XLOOKUP(Tabla2__2[[#This Row],[PREGUNTA]],ENCUESTA!G:G,ENCUESTA!D:D),"N/A")</f>
        <v>UNIFORME</v>
      </c>
      <c r="N2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4" s="37" t="str">
        <f>_xlfn.XLOOKUP(Tabla2__2[[#This Row],[PREGUNTA]],ENCUESTA!G:G,ENCUESTA!H:H)</f>
        <v>SI</v>
      </c>
      <c r="P224" s="37">
        <f>IF(Tabla2__2[[#This Row],[RTA]]=Tabla2__2[[#This Row],[RTA CORRECTA]],Tabla2__2[[#This Row],[TOTAL PUNTAJE]],0)</f>
        <v>1.3636363636363635</v>
      </c>
      <c r="Q224" s="37">
        <f t="shared" si="3"/>
        <v>0</v>
      </c>
      <c r="R224" s="37"/>
    </row>
    <row r="225" spans="1:18" x14ac:dyDescent="0.25">
      <c r="A225" s="37" t="s">
        <v>107</v>
      </c>
      <c r="B225" s="37" t="s">
        <v>93</v>
      </c>
      <c r="C225" t="s">
        <v>15</v>
      </c>
      <c r="D225" s="37" t="s">
        <v>96</v>
      </c>
      <c r="E225" s="37">
        <v>126325</v>
      </c>
      <c r="F225" s="37" t="s">
        <v>256</v>
      </c>
      <c r="G225" s="37" t="s">
        <v>135</v>
      </c>
      <c r="H225" s="37" t="s">
        <v>106</v>
      </c>
      <c r="I225" s="38"/>
      <c r="J225" s="37">
        <v>27531935</v>
      </c>
      <c r="K225" s="37" t="s">
        <v>127</v>
      </c>
      <c r="L225" s="37" t="str">
        <f>_xlfn.XLOOKUP(Tabla2__2[[#This Row],[CODIGO RUTA]],'DATA INFORME'!I:I,'DATA INFORME'!K:K)</f>
        <v>SI</v>
      </c>
      <c r="M225" s="37" t="str">
        <f>IF(Tabla2__2[[#This Row],[MYSTERY EFECTIVO]]="SI",_xlfn.XLOOKUP(Tabla2__2[[#This Row],[PREGUNTA]],ENCUESTA!G:G,ENCUESTA!D:D),"N/A")</f>
        <v>UNIFORME</v>
      </c>
      <c r="N2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5" s="37" t="str">
        <f>_xlfn.XLOOKUP(Tabla2__2[[#This Row],[PREGUNTA]],ENCUESTA!G:G,ENCUESTA!H:H)</f>
        <v>NO</v>
      </c>
      <c r="P225" s="37">
        <f>IF(Tabla2__2[[#This Row],[RTA]]=Tabla2__2[[#This Row],[RTA CORRECTA]],Tabla2__2[[#This Row],[TOTAL PUNTAJE]],0)</f>
        <v>1.3636363636363635</v>
      </c>
      <c r="Q225" s="37">
        <f t="shared" si="3"/>
        <v>0</v>
      </c>
      <c r="R225" s="37"/>
    </row>
    <row r="226" spans="1:18" x14ac:dyDescent="0.25">
      <c r="A226" s="37" t="s">
        <v>107</v>
      </c>
      <c r="B226" s="37" t="s">
        <v>93</v>
      </c>
      <c r="C226" t="s">
        <v>15</v>
      </c>
      <c r="D226" s="37" t="s">
        <v>96</v>
      </c>
      <c r="E226" s="37">
        <v>126325</v>
      </c>
      <c r="F226" s="37" t="s">
        <v>256</v>
      </c>
      <c r="G226" s="37" t="s">
        <v>35</v>
      </c>
      <c r="H226" s="37" t="s">
        <v>20</v>
      </c>
      <c r="I226" s="38"/>
      <c r="J226" s="37">
        <v>27531935</v>
      </c>
      <c r="K226" s="37" t="s">
        <v>127</v>
      </c>
      <c r="L226" s="37" t="str">
        <f>_xlfn.XLOOKUP(Tabla2__2[[#This Row],[CODIGO RUTA]],'DATA INFORME'!I:I,'DATA INFORME'!K:K)</f>
        <v>SI</v>
      </c>
      <c r="M226" s="37" t="str">
        <f>IF(Tabla2__2[[#This Row],[MYSTERY EFECTIVO]]="SI",_xlfn.XLOOKUP(Tabla2__2[[#This Row],[PREGUNTA]],ENCUESTA!G:G,ENCUESTA!D:D),"N/A")</f>
        <v>UNIFORME</v>
      </c>
      <c r="N2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26" s="37" t="str">
        <f>_xlfn.XLOOKUP(Tabla2__2[[#This Row],[PREGUNTA]],ENCUESTA!G:G,ENCUESTA!H:H)</f>
        <v>SI</v>
      </c>
      <c r="P226" s="37">
        <f>IF(Tabla2__2[[#This Row],[RTA]]=Tabla2__2[[#This Row],[RTA CORRECTA]],Tabla2__2[[#This Row],[TOTAL PUNTAJE]],0)</f>
        <v>1.3636363636363635</v>
      </c>
      <c r="Q226" s="37">
        <f t="shared" si="3"/>
        <v>0</v>
      </c>
      <c r="R226" s="37"/>
    </row>
    <row r="227" spans="1:18" x14ac:dyDescent="0.25">
      <c r="A227" s="37" t="s">
        <v>107</v>
      </c>
      <c r="B227" s="37" t="s">
        <v>93</v>
      </c>
      <c r="C227" t="s">
        <v>15</v>
      </c>
      <c r="D227" s="37" t="s">
        <v>96</v>
      </c>
      <c r="E227" s="37">
        <v>126325</v>
      </c>
      <c r="F227" s="37" t="s">
        <v>256</v>
      </c>
      <c r="G227" s="37" t="s">
        <v>139</v>
      </c>
      <c r="H227" s="37" t="s">
        <v>15</v>
      </c>
      <c r="I227" s="38"/>
      <c r="J227" s="37">
        <v>27531935</v>
      </c>
      <c r="K227" s="37" t="s">
        <v>127</v>
      </c>
      <c r="L227" s="37" t="str">
        <f>_xlfn.XLOOKUP(Tabla2__2[[#This Row],[CODIGO RUTA]],'DATA INFORME'!I:I,'DATA INFORME'!K:K)</f>
        <v>SI</v>
      </c>
      <c r="M227" s="37" t="str">
        <f>IF(Tabla2__2[[#This Row],[MYSTERY EFECTIVO]]="SI",_xlfn.XLOOKUP(Tabla2__2[[#This Row],[PREGUNTA]],ENCUESTA!G:G,ENCUESTA!D:D),"N/A")</f>
        <v>N/A</v>
      </c>
      <c r="N2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7" s="37" t="str">
        <f>_xlfn.XLOOKUP(Tabla2__2[[#This Row],[PREGUNTA]],ENCUESTA!G:G,ENCUESTA!H:H)</f>
        <v>MODERNO, ESPECIALIZADO</v>
      </c>
      <c r="P227" s="37">
        <f>IF(Tabla2__2[[#This Row],[RTA]]=Tabla2__2[[#This Row],[RTA CORRECTA]],Tabla2__2[[#This Row],[TOTAL PUNTAJE]],0)</f>
        <v>0</v>
      </c>
      <c r="Q227" s="37">
        <f t="shared" si="3"/>
        <v>0</v>
      </c>
      <c r="R227" s="37"/>
    </row>
    <row r="228" spans="1:18" x14ac:dyDescent="0.25">
      <c r="A228" s="37" t="s">
        <v>107</v>
      </c>
      <c r="B228" s="37" t="s">
        <v>8</v>
      </c>
      <c r="C228" t="s">
        <v>14</v>
      </c>
      <c r="D228" s="37" t="s">
        <v>161</v>
      </c>
      <c r="E228" s="37">
        <v>435142</v>
      </c>
      <c r="F228" s="37" t="s">
        <v>291</v>
      </c>
      <c r="G228" s="37" t="s">
        <v>133</v>
      </c>
      <c r="H228" s="37" t="s">
        <v>20</v>
      </c>
      <c r="I228" s="38"/>
      <c r="J228" s="37">
        <v>27593677</v>
      </c>
      <c r="K228" s="37" t="s">
        <v>110</v>
      </c>
      <c r="L228" s="37" t="str">
        <f>_xlfn.XLOOKUP(Tabla2__2[[#This Row],[CODIGO RUTA]],'DATA INFORME'!I:I,'DATA INFORME'!K:K)</f>
        <v>SI</v>
      </c>
      <c r="M228" s="37" t="str">
        <f>IF(Tabla2__2[[#This Row],[MYSTERY EFECTIVO]]="SI",_xlfn.XLOOKUP(Tabla2__2[[#This Row],[PREGUNTA]],ENCUESTA!G:G,ENCUESTA!D:D),"N/A")</f>
        <v>N/A</v>
      </c>
      <c r="N2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8" s="37">
        <f>_xlfn.XLOOKUP(Tabla2__2[[#This Row],[PREGUNTA]],ENCUESTA!G:G,ENCUESTA!H:H)</f>
        <v>0</v>
      </c>
      <c r="P228" s="37">
        <f>IF(Tabla2__2[[#This Row],[RTA]]=Tabla2__2[[#This Row],[RTA CORRECTA]],Tabla2__2[[#This Row],[TOTAL PUNTAJE]],0)</f>
        <v>0</v>
      </c>
      <c r="Q228" s="37">
        <f t="shared" si="3"/>
        <v>0</v>
      </c>
      <c r="R228" s="37"/>
    </row>
    <row r="229" spans="1:18" x14ac:dyDescent="0.25">
      <c r="A229" s="37" t="s">
        <v>107</v>
      </c>
      <c r="B229" s="37" t="s">
        <v>8</v>
      </c>
      <c r="C229" t="s">
        <v>14</v>
      </c>
      <c r="D229" s="37" t="s">
        <v>161</v>
      </c>
      <c r="E229" s="37">
        <v>435142</v>
      </c>
      <c r="F229" s="37" t="s">
        <v>291</v>
      </c>
      <c r="G229" s="37" t="s">
        <v>97</v>
      </c>
      <c r="H229" s="37" t="s">
        <v>20</v>
      </c>
      <c r="I229" s="38"/>
      <c r="J229" s="37">
        <v>27593677</v>
      </c>
      <c r="K229" s="37" t="s">
        <v>110</v>
      </c>
      <c r="L229" s="37" t="str">
        <f>_xlfn.XLOOKUP(Tabla2__2[[#This Row],[CODIGO RUTA]],'DATA INFORME'!I:I,'DATA INFORME'!K:K)</f>
        <v>SI</v>
      </c>
      <c r="M229" s="37" t="str">
        <f>IF(Tabla2__2[[#This Row],[MYSTERY EFECTIVO]]="SI",_xlfn.XLOOKUP(Tabla2__2[[#This Row],[PREGUNTA]],ENCUESTA!G:G,ENCUESTA!D:D),"N/A")</f>
        <v>HORARIO</v>
      </c>
      <c r="N2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29" s="37" t="str">
        <f>_xlfn.XLOOKUP(Tabla2__2[[#This Row],[PREGUNTA]],ENCUESTA!G:G,ENCUESTA!H:H)</f>
        <v>SI</v>
      </c>
      <c r="P229" s="37">
        <f>IF(Tabla2__2[[#This Row],[RTA]]=Tabla2__2[[#This Row],[RTA CORRECTA]],Tabla2__2[[#This Row],[TOTAL PUNTAJE]],0)</f>
        <v>20</v>
      </c>
      <c r="Q229" s="37">
        <f t="shared" si="3"/>
        <v>0</v>
      </c>
      <c r="R229" s="37"/>
    </row>
    <row r="230" spans="1:18" x14ac:dyDescent="0.25">
      <c r="A230" s="37" t="s">
        <v>107</v>
      </c>
      <c r="B230" s="37" t="s">
        <v>8</v>
      </c>
      <c r="C230" t="s">
        <v>14</v>
      </c>
      <c r="D230" s="37" t="s">
        <v>161</v>
      </c>
      <c r="E230" s="37">
        <v>435142</v>
      </c>
      <c r="F230" s="37" t="s">
        <v>291</v>
      </c>
      <c r="G230" s="37" t="s">
        <v>98</v>
      </c>
      <c r="H230" s="37" t="s">
        <v>20</v>
      </c>
      <c r="I230" s="38"/>
      <c r="J230" s="37">
        <v>27593677</v>
      </c>
      <c r="K230" s="37" t="s">
        <v>110</v>
      </c>
      <c r="L230" s="37" t="str">
        <f>_xlfn.XLOOKUP(Tabla2__2[[#This Row],[CODIGO RUTA]],'DATA INFORME'!I:I,'DATA INFORME'!K:K)</f>
        <v>SI</v>
      </c>
      <c r="M230" s="37" t="str">
        <f>IF(Tabla2__2[[#This Row],[MYSTERY EFECTIVO]]="SI",_xlfn.XLOOKUP(Tabla2__2[[#This Row],[PREGUNTA]],ENCUESTA!G:G,ENCUESTA!D:D),"N/A")</f>
        <v>UNIFORME</v>
      </c>
      <c r="N2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30" s="37" t="str">
        <f>_xlfn.XLOOKUP(Tabla2__2[[#This Row],[PREGUNTA]],ENCUESTA!G:G,ENCUESTA!H:H)</f>
        <v>SI</v>
      </c>
      <c r="P230" s="37">
        <f>IF(Tabla2__2[[#This Row],[RTA]]=Tabla2__2[[#This Row],[RTA CORRECTA]],Tabla2__2[[#This Row],[TOTAL PUNTAJE]],0)</f>
        <v>1.3636363636363635</v>
      </c>
      <c r="Q230" s="37">
        <f t="shared" si="3"/>
        <v>0</v>
      </c>
      <c r="R230" s="37"/>
    </row>
    <row r="231" spans="1:18" x14ac:dyDescent="0.25">
      <c r="A231" s="37" t="s">
        <v>107</v>
      </c>
      <c r="B231" s="37" t="s">
        <v>8</v>
      </c>
      <c r="C231" t="s">
        <v>14</v>
      </c>
      <c r="D231" s="37" t="s">
        <v>161</v>
      </c>
      <c r="E231" s="37">
        <v>435142</v>
      </c>
      <c r="F231" s="37" t="s">
        <v>291</v>
      </c>
      <c r="G231" s="37" t="s">
        <v>158</v>
      </c>
      <c r="H231" s="37" t="s">
        <v>296</v>
      </c>
      <c r="I231" s="38"/>
      <c r="J231" s="37">
        <v>27593677</v>
      </c>
      <c r="K231" s="37" t="s">
        <v>110</v>
      </c>
      <c r="L231" s="37" t="str">
        <f>_xlfn.XLOOKUP(Tabla2__2[[#This Row],[CODIGO RUTA]],'DATA INFORME'!I:I,'DATA INFORME'!K:K)</f>
        <v>SI</v>
      </c>
      <c r="M231" s="37" t="str">
        <f>IF(Tabla2__2[[#This Row],[MYSTERY EFECTIVO]]="SI",_xlfn.XLOOKUP(Tabla2__2[[#This Row],[PREGUNTA]],ENCUESTA!G:G,ENCUESTA!D:D),"N/A")</f>
        <v>N/A</v>
      </c>
      <c r="N2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1" s="37">
        <f>_xlfn.XLOOKUP(Tabla2__2[[#This Row],[PREGUNTA]],ENCUESTA!G:G,ENCUESTA!H:H)</f>
        <v>0</v>
      </c>
      <c r="P231" s="37">
        <f>IF(Tabla2__2[[#This Row],[RTA]]=Tabla2__2[[#This Row],[RTA CORRECTA]],Tabla2__2[[#This Row],[TOTAL PUNTAJE]],0)</f>
        <v>0</v>
      </c>
      <c r="Q231" s="37">
        <f t="shared" si="3"/>
        <v>0</v>
      </c>
      <c r="R231" s="37"/>
    </row>
    <row r="232" spans="1:18" x14ac:dyDescent="0.25">
      <c r="A232" s="37" t="s">
        <v>107</v>
      </c>
      <c r="B232" s="37" t="s">
        <v>8</v>
      </c>
      <c r="C232" t="s">
        <v>14</v>
      </c>
      <c r="D232" s="37" t="s">
        <v>161</v>
      </c>
      <c r="E232" s="37">
        <v>435142</v>
      </c>
      <c r="F232" s="37" t="s">
        <v>291</v>
      </c>
      <c r="G232" s="37" t="s">
        <v>157</v>
      </c>
      <c r="H232" s="37" t="s">
        <v>20</v>
      </c>
      <c r="I232" s="38"/>
      <c r="J232" s="37">
        <v>27593677</v>
      </c>
      <c r="K232" s="37" t="s">
        <v>110</v>
      </c>
      <c r="L232" s="37" t="str">
        <f>_xlfn.XLOOKUP(Tabla2__2[[#This Row],[CODIGO RUTA]],'DATA INFORME'!I:I,'DATA INFORME'!K:K)</f>
        <v>SI</v>
      </c>
      <c r="M232" s="37" t="str">
        <f>IF(Tabla2__2[[#This Row],[MYSTERY EFECTIVO]]="SI",_xlfn.XLOOKUP(Tabla2__2[[#This Row],[PREGUNTA]],ENCUESTA!G:G,ENCUESTA!D:D),"N/A")</f>
        <v>N/A</v>
      </c>
      <c r="N2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2" s="37">
        <f>_xlfn.XLOOKUP(Tabla2__2[[#This Row],[PREGUNTA]],ENCUESTA!G:G,ENCUESTA!H:H)</f>
        <v>0</v>
      </c>
      <c r="P232" s="37">
        <f>IF(Tabla2__2[[#This Row],[RTA]]=Tabla2__2[[#This Row],[RTA CORRECTA]],Tabla2__2[[#This Row],[TOTAL PUNTAJE]],0)</f>
        <v>0</v>
      </c>
      <c r="Q232" s="37">
        <f t="shared" si="3"/>
        <v>0</v>
      </c>
      <c r="R232" s="37"/>
    </row>
    <row r="233" spans="1:18" x14ac:dyDescent="0.25">
      <c r="A233" s="37" t="s">
        <v>107</v>
      </c>
      <c r="B233" s="37" t="s">
        <v>8</v>
      </c>
      <c r="C233" t="s">
        <v>14</v>
      </c>
      <c r="D233" s="37" t="s">
        <v>161</v>
      </c>
      <c r="E233" s="37">
        <v>435142</v>
      </c>
      <c r="F233" s="37" t="s">
        <v>291</v>
      </c>
      <c r="G233" s="37" t="s">
        <v>156</v>
      </c>
      <c r="H233" s="37" t="s">
        <v>20</v>
      </c>
      <c r="I233" s="38"/>
      <c r="J233" s="37">
        <v>27593677</v>
      </c>
      <c r="K233" s="37" t="s">
        <v>110</v>
      </c>
      <c r="L233" s="37" t="str">
        <f>_xlfn.XLOOKUP(Tabla2__2[[#This Row],[CODIGO RUTA]],'DATA INFORME'!I:I,'DATA INFORME'!K:K)</f>
        <v>SI</v>
      </c>
      <c r="M233" s="37" t="str">
        <f>IF(Tabla2__2[[#This Row],[MYSTERY EFECTIVO]]="SI",_xlfn.XLOOKUP(Tabla2__2[[#This Row],[PREGUNTA]],ENCUESTA!G:G,ENCUESTA!D:D),"N/A")</f>
        <v>LABOR DE VENTA</v>
      </c>
      <c r="N2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33" s="37" t="str">
        <f>_xlfn.XLOOKUP(Tabla2__2[[#This Row],[PREGUNTA]],ENCUESTA!G:G,ENCUESTA!H:H)</f>
        <v>SI</v>
      </c>
      <c r="P233" s="37">
        <f>IF(Tabla2__2[[#This Row],[RTA]]=Tabla2__2[[#This Row],[RTA CORRECTA]],Tabla2__2[[#This Row],[TOTAL PUNTAJE]],0)</f>
        <v>7.5</v>
      </c>
      <c r="Q233" s="37">
        <f t="shared" si="3"/>
        <v>0</v>
      </c>
      <c r="R233" s="37"/>
    </row>
    <row r="234" spans="1:18" x14ac:dyDescent="0.25">
      <c r="A234" s="37" t="s">
        <v>107</v>
      </c>
      <c r="B234" s="37" t="s">
        <v>8</v>
      </c>
      <c r="C234" t="s">
        <v>14</v>
      </c>
      <c r="D234" s="37" t="s">
        <v>161</v>
      </c>
      <c r="E234" s="37">
        <v>435142</v>
      </c>
      <c r="F234" s="37" t="s">
        <v>291</v>
      </c>
      <c r="G234" s="37" t="s">
        <v>155</v>
      </c>
      <c r="H234" s="37" t="s">
        <v>106</v>
      </c>
      <c r="I234" s="38"/>
      <c r="J234" s="37">
        <v>27593677</v>
      </c>
      <c r="K234" s="37" t="s">
        <v>110</v>
      </c>
      <c r="L234" s="37" t="str">
        <f>_xlfn.XLOOKUP(Tabla2__2[[#This Row],[CODIGO RUTA]],'DATA INFORME'!I:I,'DATA INFORME'!K:K)</f>
        <v>SI</v>
      </c>
      <c r="M234" s="37" t="str">
        <f>IF(Tabla2__2[[#This Row],[MYSTERY EFECTIVO]]="SI",_xlfn.XLOOKUP(Tabla2__2[[#This Row],[PREGUNTA]],ENCUESTA!G:G,ENCUESTA!D:D),"N/A")</f>
        <v>LABOR DE VENTA</v>
      </c>
      <c r="N2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34" s="37" t="str">
        <f>_xlfn.XLOOKUP(Tabla2__2[[#This Row],[PREGUNTA]],ENCUESTA!G:G,ENCUESTA!H:H)</f>
        <v>SI</v>
      </c>
      <c r="P234" s="37">
        <f>IF(Tabla2__2[[#This Row],[RTA]]=Tabla2__2[[#This Row],[RTA CORRECTA]],Tabla2__2[[#This Row],[TOTAL PUNTAJE]],0)</f>
        <v>0</v>
      </c>
      <c r="Q234" s="37">
        <f t="shared" si="3"/>
        <v>0</v>
      </c>
      <c r="R234" s="37"/>
    </row>
    <row r="235" spans="1:18" x14ac:dyDescent="0.25">
      <c r="A235" s="37" t="s">
        <v>107</v>
      </c>
      <c r="B235" s="37" t="s">
        <v>8</v>
      </c>
      <c r="C235" t="s">
        <v>14</v>
      </c>
      <c r="D235" s="37" t="s">
        <v>161</v>
      </c>
      <c r="E235" s="37">
        <v>435142</v>
      </c>
      <c r="F235" s="37" t="s">
        <v>291</v>
      </c>
      <c r="G235" s="37" t="s">
        <v>154</v>
      </c>
      <c r="H235" s="37" t="s">
        <v>20</v>
      </c>
      <c r="I235" s="38"/>
      <c r="J235" s="37">
        <v>27593677</v>
      </c>
      <c r="K235" s="37" t="s">
        <v>110</v>
      </c>
      <c r="L235" s="37" t="str">
        <f>_xlfn.XLOOKUP(Tabla2__2[[#This Row],[CODIGO RUTA]],'DATA INFORME'!I:I,'DATA INFORME'!K:K)</f>
        <v>SI</v>
      </c>
      <c r="M235" s="37" t="str">
        <f>IF(Tabla2__2[[#This Row],[MYSTERY EFECTIVO]]="SI",_xlfn.XLOOKUP(Tabla2__2[[#This Row],[PREGUNTA]],ENCUESTA!G:G,ENCUESTA!D:D),"N/A")</f>
        <v>UNIFORME</v>
      </c>
      <c r="N2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35" s="37" t="str">
        <f>_xlfn.XLOOKUP(Tabla2__2[[#This Row],[PREGUNTA]],ENCUESTA!G:G,ENCUESTA!H:H)</f>
        <v>SI</v>
      </c>
      <c r="P235" s="37">
        <f>IF(Tabla2__2[[#This Row],[RTA]]=Tabla2__2[[#This Row],[RTA CORRECTA]],Tabla2__2[[#This Row],[TOTAL PUNTAJE]],0)</f>
        <v>1.3636363636363635</v>
      </c>
      <c r="Q235" s="37">
        <f t="shared" si="3"/>
        <v>0</v>
      </c>
      <c r="R235" s="37"/>
    </row>
    <row r="236" spans="1:18" x14ac:dyDescent="0.25">
      <c r="A236" s="37" t="s">
        <v>107</v>
      </c>
      <c r="B236" s="37" t="s">
        <v>8</v>
      </c>
      <c r="C236" t="s">
        <v>14</v>
      </c>
      <c r="D236" s="37" t="s">
        <v>161</v>
      </c>
      <c r="E236" s="37">
        <v>435142</v>
      </c>
      <c r="F236" s="37" t="s">
        <v>291</v>
      </c>
      <c r="G236" s="37" t="s">
        <v>153</v>
      </c>
      <c r="H236" s="37" t="s">
        <v>20</v>
      </c>
      <c r="I236" s="38"/>
      <c r="J236" s="37">
        <v>27593677</v>
      </c>
      <c r="K236" s="37" t="s">
        <v>110</v>
      </c>
      <c r="L236" s="37" t="str">
        <f>_xlfn.XLOOKUP(Tabla2__2[[#This Row],[CODIGO RUTA]],'DATA INFORME'!I:I,'DATA INFORME'!K:K)</f>
        <v>SI</v>
      </c>
      <c r="M236" s="37" t="str">
        <f>IF(Tabla2__2[[#This Row],[MYSTERY EFECTIVO]]="SI",_xlfn.XLOOKUP(Tabla2__2[[#This Row],[PREGUNTA]],ENCUESTA!G:G,ENCUESTA!D:D),"N/A")</f>
        <v>PORTAFOLIO Y MANEJO DE OBJECIONES</v>
      </c>
      <c r="N2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36" s="37" t="str">
        <f>_xlfn.XLOOKUP(Tabla2__2[[#This Row],[PREGUNTA]],ENCUESTA!G:G,ENCUESTA!H:H)</f>
        <v>SI</v>
      </c>
      <c r="P236" s="37">
        <f>IF(Tabla2__2[[#This Row],[RTA]]=Tabla2__2[[#This Row],[RTA CORRECTA]],Tabla2__2[[#This Row],[TOTAL PUNTAJE]],0)</f>
        <v>1.5384615384615385</v>
      </c>
      <c r="Q236" s="37">
        <f t="shared" si="3"/>
        <v>0</v>
      </c>
      <c r="R236" s="37"/>
    </row>
    <row r="237" spans="1:18" x14ac:dyDescent="0.25">
      <c r="A237" s="37" t="s">
        <v>107</v>
      </c>
      <c r="B237" s="37" t="s">
        <v>8</v>
      </c>
      <c r="C237" t="s">
        <v>14</v>
      </c>
      <c r="D237" s="37" t="s">
        <v>161</v>
      </c>
      <c r="E237" s="37">
        <v>435142</v>
      </c>
      <c r="F237" s="37" t="s">
        <v>291</v>
      </c>
      <c r="G237" s="37" t="s">
        <v>152</v>
      </c>
      <c r="H237" s="37" t="s">
        <v>170</v>
      </c>
      <c r="I237" s="38"/>
      <c r="J237" s="37">
        <v>27593677</v>
      </c>
      <c r="K237" s="37" t="s">
        <v>110</v>
      </c>
      <c r="L237" s="37" t="str">
        <f>_xlfn.XLOOKUP(Tabla2__2[[#This Row],[CODIGO RUTA]],'DATA INFORME'!I:I,'DATA INFORME'!K:K)</f>
        <v>SI</v>
      </c>
      <c r="M237" s="37" t="str">
        <f>IF(Tabla2__2[[#This Row],[MYSTERY EFECTIVO]]="SI",_xlfn.XLOOKUP(Tabla2__2[[#This Row],[PREGUNTA]],ENCUESTA!G:G,ENCUESTA!D:D),"N/A")</f>
        <v>N/A</v>
      </c>
      <c r="N2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7" s="37" t="str">
        <f>_xlfn.XLOOKUP(Tabla2__2[[#This Row],[PREGUNTA]],ENCUESTA!G:G,ENCUESTA!H:H)</f>
        <v>FALTA DE PRODUCTO, NO LE INTERESA EL PRODUCTO, NO TIENE DINERO, PREFIERE LA COMPETENCIA</v>
      </c>
      <c r="P237" s="37">
        <f>IF(Tabla2__2[[#This Row],[RTA]]=Tabla2__2[[#This Row],[RTA CORRECTA]],Tabla2__2[[#This Row],[TOTAL PUNTAJE]],0)</f>
        <v>0</v>
      </c>
      <c r="Q237" s="37">
        <f t="shared" si="3"/>
        <v>0</v>
      </c>
      <c r="R237" s="37"/>
    </row>
    <row r="238" spans="1:18" x14ac:dyDescent="0.25">
      <c r="A238" s="37" t="s">
        <v>107</v>
      </c>
      <c r="B238" s="37" t="s">
        <v>8</v>
      </c>
      <c r="C238" t="s">
        <v>14</v>
      </c>
      <c r="D238" s="37" t="s">
        <v>161</v>
      </c>
      <c r="E238" s="37">
        <v>435142</v>
      </c>
      <c r="F238" s="37" t="s">
        <v>291</v>
      </c>
      <c r="G238" s="37" t="s">
        <v>151</v>
      </c>
      <c r="H238" s="37" t="s">
        <v>20</v>
      </c>
      <c r="I238" s="38"/>
      <c r="J238" s="37">
        <v>27593677</v>
      </c>
      <c r="K238" s="37" t="s">
        <v>110</v>
      </c>
      <c r="L238" s="37" t="str">
        <f>_xlfn.XLOOKUP(Tabla2__2[[#This Row],[CODIGO RUTA]],'DATA INFORME'!I:I,'DATA INFORME'!K:K)</f>
        <v>SI</v>
      </c>
      <c r="M238" s="37" t="str">
        <f>IF(Tabla2__2[[#This Row],[MYSTERY EFECTIVO]]="SI",_xlfn.XLOOKUP(Tabla2__2[[#This Row],[PREGUNTA]],ENCUESTA!G:G,ENCUESTA!D:D),"N/A")</f>
        <v>ACTIVIDADES DEL MES</v>
      </c>
      <c r="N2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38" s="37" t="str">
        <f>_xlfn.XLOOKUP(Tabla2__2[[#This Row],[PREGUNTA]],ENCUESTA!G:G,ENCUESTA!H:H)</f>
        <v>SI</v>
      </c>
      <c r="P238" s="37">
        <f>IF(Tabla2__2[[#This Row],[RTA]]=Tabla2__2[[#This Row],[RTA CORRECTA]],Tabla2__2[[#This Row],[TOTAL PUNTAJE]],0)</f>
        <v>5</v>
      </c>
      <c r="Q238" s="37">
        <f t="shared" si="3"/>
        <v>0</v>
      </c>
      <c r="R238" s="37"/>
    </row>
    <row r="239" spans="1:18" x14ac:dyDescent="0.25">
      <c r="A239" s="37" t="s">
        <v>107</v>
      </c>
      <c r="B239" s="37" t="s">
        <v>8</v>
      </c>
      <c r="C239" t="s">
        <v>14</v>
      </c>
      <c r="D239" s="37" t="s">
        <v>161</v>
      </c>
      <c r="E239" s="37">
        <v>435142</v>
      </c>
      <c r="F239" s="37" t="s">
        <v>291</v>
      </c>
      <c r="G239" s="37" t="s">
        <v>150</v>
      </c>
      <c r="H239" s="37" t="s">
        <v>20</v>
      </c>
      <c r="I239" s="38"/>
      <c r="J239" s="37">
        <v>27593677</v>
      </c>
      <c r="K239" s="37" t="s">
        <v>110</v>
      </c>
      <c r="L239" s="37" t="str">
        <f>_xlfn.XLOOKUP(Tabla2__2[[#This Row],[CODIGO RUTA]],'DATA INFORME'!I:I,'DATA INFORME'!K:K)</f>
        <v>SI</v>
      </c>
      <c r="M239" s="37" t="str">
        <f>IF(Tabla2__2[[#This Row],[MYSTERY EFECTIVO]]="SI",_xlfn.XLOOKUP(Tabla2__2[[#This Row],[PREGUNTA]],ENCUESTA!G:G,ENCUESTA!D:D),"N/A")</f>
        <v>PORTAFOLIO Y MANEJO DE OBJECIONES</v>
      </c>
      <c r="N2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39" s="37" t="str">
        <f>_xlfn.XLOOKUP(Tabla2__2[[#This Row],[PREGUNTA]],ENCUESTA!G:G,ENCUESTA!H:H)</f>
        <v>SI</v>
      </c>
      <c r="P239" s="37">
        <f>IF(Tabla2__2[[#This Row],[RTA]]=Tabla2__2[[#This Row],[RTA CORRECTA]],Tabla2__2[[#This Row],[TOTAL PUNTAJE]],0)</f>
        <v>1.5384615384615385</v>
      </c>
      <c r="Q239" s="37">
        <f t="shared" si="3"/>
        <v>0</v>
      </c>
      <c r="R239" s="37"/>
    </row>
    <row r="240" spans="1:18" x14ac:dyDescent="0.25">
      <c r="A240" s="37" t="s">
        <v>107</v>
      </c>
      <c r="B240" s="37" t="s">
        <v>8</v>
      </c>
      <c r="C240" t="s">
        <v>14</v>
      </c>
      <c r="D240" s="37" t="s">
        <v>161</v>
      </c>
      <c r="E240" s="37">
        <v>435142</v>
      </c>
      <c r="F240" s="37" t="s">
        <v>291</v>
      </c>
      <c r="G240" s="37" t="s">
        <v>149</v>
      </c>
      <c r="H240" s="37" t="s">
        <v>20</v>
      </c>
      <c r="I240" s="38"/>
      <c r="J240" s="37">
        <v>27593677</v>
      </c>
      <c r="K240" s="37" t="s">
        <v>110</v>
      </c>
      <c r="L240" s="37" t="str">
        <f>_xlfn.XLOOKUP(Tabla2__2[[#This Row],[CODIGO RUTA]],'DATA INFORME'!I:I,'DATA INFORME'!K:K)</f>
        <v>SI</v>
      </c>
      <c r="M240" s="37" t="str">
        <f>IF(Tabla2__2[[#This Row],[MYSTERY EFECTIVO]]="SI",_xlfn.XLOOKUP(Tabla2__2[[#This Row],[PREGUNTA]],ENCUESTA!G:G,ENCUESTA!D:D),"N/A")</f>
        <v>PORTAFOLIO Y MANEJO DE OBJECIONES</v>
      </c>
      <c r="N2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40" s="37" t="str">
        <f>_xlfn.XLOOKUP(Tabla2__2[[#This Row],[PREGUNTA]],ENCUESTA!G:G,ENCUESTA!H:H)</f>
        <v>SI</v>
      </c>
      <c r="P240" s="37">
        <f>IF(Tabla2__2[[#This Row],[RTA]]=Tabla2__2[[#This Row],[RTA CORRECTA]],Tabla2__2[[#This Row],[TOTAL PUNTAJE]],0)</f>
        <v>1.5384615384615385</v>
      </c>
      <c r="Q240" s="37">
        <f t="shared" si="3"/>
        <v>0</v>
      </c>
      <c r="R240" s="37"/>
    </row>
    <row r="241" spans="1:18" x14ac:dyDescent="0.25">
      <c r="A241" s="37" t="s">
        <v>107</v>
      </c>
      <c r="B241" s="37" t="s">
        <v>8</v>
      </c>
      <c r="C241" t="s">
        <v>14</v>
      </c>
      <c r="D241" s="37" t="s">
        <v>161</v>
      </c>
      <c r="E241" s="37">
        <v>435142</v>
      </c>
      <c r="F241" s="37" t="s">
        <v>291</v>
      </c>
      <c r="G241" s="37" t="s">
        <v>148</v>
      </c>
      <c r="H241" s="37" t="s">
        <v>20</v>
      </c>
      <c r="I241" s="38"/>
      <c r="J241" s="37">
        <v>27593677</v>
      </c>
      <c r="K241" s="37" t="s">
        <v>110</v>
      </c>
      <c r="L241" s="37" t="str">
        <f>_xlfn.XLOOKUP(Tabla2__2[[#This Row],[CODIGO RUTA]],'DATA INFORME'!I:I,'DATA INFORME'!K:K)</f>
        <v>SI</v>
      </c>
      <c r="M241" s="37" t="str">
        <f>IF(Tabla2__2[[#This Row],[MYSTERY EFECTIVO]]="SI",_xlfn.XLOOKUP(Tabla2__2[[#This Row],[PREGUNTA]],ENCUESTA!G:G,ENCUESTA!D:D),"N/A")</f>
        <v>PORTAFOLIO Y MANEJO DE OBJECIONES</v>
      </c>
      <c r="N2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41" s="37" t="str">
        <f>_xlfn.XLOOKUP(Tabla2__2[[#This Row],[PREGUNTA]],ENCUESTA!G:G,ENCUESTA!H:H)</f>
        <v>SI</v>
      </c>
      <c r="P241" s="37">
        <f>IF(Tabla2__2[[#This Row],[RTA]]=Tabla2__2[[#This Row],[RTA CORRECTA]],Tabla2__2[[#This Row],[TOTAL PUNTAJE]],0)</f>
        <v>1.5384615384615385</v>
      </c>
      <c r="Q241" s="37">
        <f t="shared" si="3"/>
        <v>0</v>
      </c>
      <c r="R241" s="37"/>
    </row>
    <row r="242" spans="1:18" x14ac:dyDescent="0.25">
      <c r="A242" s="37" t="s">
        <v>107</v>
      </c>
      <c r="B242" s="37" t="s">
        <v>8</v>
      </c>
      <c r="C242" t="s">
        <v>14</v>
      </c>
      <c r="D242" s="37" t="s">
        <v>161</v>
      </c>
      <c r="E242" s="37">
        <v>435142</v>
      </c>
      <c r="F242" s="37" t="s">
        <v>291</v>
      </c>
      <c r="G242" s="37" t="s">
        <v>147</v>
      </c>
      <c r="H242" s="37" t="s">
        <v>20</v>
      </c>
      <c r="I242" s="38"/>
      <c r="J242" s="37">
        <v>27593677</v>
      </c>
      <c r="K242" s="37" t="s">
        <v>110</v>
      </c>
      <c r="L242" s="37" t="str">
        <f>_xlfn.XLOOKUP(Tabla2__2[[#This Row],[CODIGO RUTA]],'DATA INFORME'!I:I,'DATA INFORME'!K:K)</f>
        <v>SI</v>
      </c>
      <c r="M242" s="37" t="str">
        <f>IF(Tabla2__2[[#This Row],[MYSTERY EFECTIVO]]="SI",_xlfn.XLOOKUP(Tabla2__2[[#This Row],[PREGUNTA]],ENCUESTA!G:G,ENCUESTA!D:D),"N/A")</f>
        <v>PORTAFOLIO Y MANEJO DE OBJECIONES</v>
      </c>
      <c r="N2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42" s="37" t="str">
        <f>_xlfn.XLOOKUP(Tabla2__2[[#This Row],[PREGUNTA]],ENCUESTA!G:G,ENCUESTA!H:H)</f>
        <v>SI</v>
      </c>
      <c r="P242" s="37">
        <f>IF(Tabla2__2[[#This Row],[RTA]]=Tabla2__2[[#This Row],[RTA CORRECTA]],Tabla2__2[[#This Row],[TOTAL PUNTAJE]],0)</f>
        <v>1.5384615384615385</v>
      </c>
      <c r="Q242" s="37">
        <f t="shared" si="3"/>
        <v>0</v>
      </c>
      <c r="R242" s="37"/>
    </row>
    <row r="243" spans="1:18" x14ac:dyDescent="0.25">
      <c r="A243" s="37" t="s">
        <v>107</v>
      </c>
      <c r="B243" s="37" t="s">
        <v>8</v>
      </c>
      <c r="C243" t="s">
        <v>14</v>
      </c>
      <c r="D243" s="37" t="s">
        <v>161</v>
      </c>
      <c r="E243" s="37">
        <v>435142</v>
      </c>
      <c r="F243" s="37" t="s">
        <v>291</v>
      </c>
      <c r="G243" s="37" t="s">
        <v>139</v>
      </c>
      <c r="H243" s="37" t="s">
        <v>169</v>
      </c>
      <c r="I243" s="38"/>
      <c r="J243" s="37">
        <v>27593677</v>
      </c>
      <c r="K243" s="37" t="s">
        <v>110</v>
      </c>
      <c r="L243" s="37" t="str">
        <f>_xlfn.XLOOKUP(Tabla2__2[[#This Row],[CODIGO RUTA]],'DATA INFORME'!I:I,'DATA INFORME'!K:K)</f>
        <v>SI</v>
      </c>
      <c r="M243" s="37" t="str">
        <f>IF(Tabla2__2[[#This Row],[MYSTERY EFECTIVO]]="SI",_xlfn.XLOOKUP(Tabla2__2[[#This Row],[PREGUNTA]],ENCUESTA!G:G,ENCUESTA!D:D),"N/A")</f>
        <v>N/A</v>
      </c>
      <c r="N2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3" s="37" t="str">
        <f>_xlfn.XLOOKUP(Tabla2__2[[#This Row],[PREGUNTA]],ENCUESTA!G:G,ENCUESTA!H:H)</f>
        <v>MODERNO, ESPECIALIZADO</v>
      </c>
      <c r="P243" s="37">
        <f>IF(Tabla2__2[[#This Row],[RTA]]=Tabla2__2[[#This Row],[RTA CORRECTA]],Tabla2__2[[#This Row],[TOTAL PUNTAJE]],0)</f>
        <v>0</v>
      </c>
      <c r="Q243" s="37">
        <f t="shared" si="3"/>
        <v>0</v>
      </c>
      <c r="R243" s="37"/>
    </row>
    <row r="244" spans="1:18" x14ac:dyDescent="0.25">
      <c r="A244" s="37" t="s">
        <v>107</v>
      </c>
      <c r="B244" s="37" t="s">
        <v>8</v>
      </c>
      <c r="C244" t="s">
        <v>14</v>
      </c>
      <c r="D244" s="37" t="s">
        <v>161</v>
      </c>
      <c r="E244" s="37">
        <v>435142</v>
      </c>
      <c r="F244" s="37" t="s">
        <v>291</v>
      </c>
      <c r="G244" s="37" t="s">
        <v>138</v>
      </c>
      <c r="H244" s="37" t="s">
        <v>20</v>
      </c>
      <c r="I244" s="38"/>
      <c r="J244" s="37">
        <v>27593677</v>
      </c>
      <c r="K244" s="37" t="s">
        <v>110</v>
      </c>
      <c r="L244" s="37" t="str">
        <f>_xlfn.XLOOKUP(Tabla2__2[[#This Row],[CODIGO RUTA]],'DATA INFORME'!I:I,'DATA INFORME'!K:K)</f>
        <v>SI</v>
      </c>
      <c r="M244" s="37" t="str">
        <f>IF(Tabla2__2[[#This Row],[MYSTERY EFECTIVO]]="SI",_xlfn.XLOOKUP(Tabla2__2[[#This Row],[PREGUNTA]],ENCUESTA!G:G,ENCUESTA!D:D),"N/A")</f>
        <v>PORTAFOLIO Y MANEJO DE OBJECIONES</v>
      </c>
      <c r="N2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44" s="37" t="str">
        <f>_xlfn.XLOOKUP(Tabla2__2[[#This Row],[PREGUNTA]],ENCUESTA!G:G,ENCUESTA!H:H)</f>
        <v>SI</v>
      </c>
      <c r="P244" s="37">
        <f>IF(Tabla2__2[[#This Row],[RTA]]=Tabla2__2[[#This Row],[RTA CORRECTA]],Tabla2__2[[#This Row],[TOTAL PUNTAJE]],0)</f>
        <v>1.5384615384615385</v>
      </c>
      <c r="Q244" s="37">
        <f t="shared" si="3"/>
        <v>0</v>
      </c>
      <c r="R244" s="37"/>
    </row>
    <row r="245" spans="1:18" x14ac:dyDescent="0.25">
      <c r="A245" s="37" t="s">
        <v>107</v>
      </c>
      <c r="B245" s="37" t="s">
        <v>8</v>
      </c>
      <c r="C245" t="s">
        <v>14</v>
      </c>
      <c r="D245" s="37" t="s">
        <v>161</v>
      </c>
      <c r="E245" s="37">
        <v>435142</v>
      </c>
      <c r="F245" s="37" t="s">
        <v>291</v>
      </c>
      <c r="G245" s="37" t="s">
        <v>137</v>
      </c>
      <c r="H245" s="37" t="s">
        <v>106</v>
      </c>
      <c r="I245" s="38"/>
      <c r="J245" s="37">
        <v>27593677</v>
      </c>
      <c r="K245" s="37" t="s">
        <v>110</v>
      </c>
      <c r="L245" s="37" t="str">
        <f>_xlfn.XLOOKUP(Tabla2__2[[#This Row],[CODIGO RUTA]],'DATA INFORME'!I:I,'DATA INFORME'!K:K)</f>
        <v>SI</v>
      </c>
      <c r="M245" s="37" t="str">
        <f>IF(Tabla2__2[[#This Row],[MYSTERY EFECTIVO]]="SI",_xlfn.XLOOKUP(Tabla2__2[[#This Row],[PREGUNTA]],ENCUESTA!G:G,ENCUESTA!D:D),"N/A")</f>
        <v>PORTAFOLIO Y MANEJO DE OBJECIONES</v>
      </c>
      <c r="N2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245" s="37" t="str">
        <f>_xlfn.XLOOKUP(Tabla2__2[[#This Row],[PREGUNTA]],ENCUESTA!G:G,ENCUESTA!H:H)</f>
        <v>SI</v>
      </c>
      <c r="P245" s="37">
        <f>IF(Tabla2__2[[#This Row],[RTA]]=Tabla2__2[[#This Row],[RTA CORRECTA]],Tabla2__2[[#This Row],[TOTAL PUNTAJE]],0)</f>
        <v>0</v>
      </c>
      <c r="Q245" s="37">
        <f t="shared" si="3"/>
        <v>0</v>
      </c>
      <c r="R245" s="37"/>
    </row>
    <row r="246" spans="1:18" x14ac:dyDescent="0.25">
      <c r="A246" s="37" t="s">
        <v>107</v>
      </c>
      <c r="B246" s="37" t="s">
        <v>8</v>
      </c>
      <c r="C246" t="s">
        <v>14</v>
      </c>
      <c r="D246" s="37" t="s">
        <v>161</v>
      </c>
      <c r="E246" s="37">
        <v>435142</v>
      </c>
      <c r="F246" s="37" t="s">
        <v>291</v>
      </c>
      <c r="G246" s="37" t="s">
        <v>136</v>
      </c>
      <c r="H246" s="37" t="s">
        <v>20</v>
      </c>
      <c r="I246" s="38"/>
      <c r="J246" s="37">
        <v>27593677</v>
      </c>
      <c r="K246" s="37" t="s">
        <v>110</v>
      </c>
      <c r="L246" s="37" t="str">
        <f>_xlfn.XLOOKUP(Tabla2__2[[#This Row],[CODIGO RUTA]],'DATA INFORME'!I:I,'DATA INFORME'!K:K)</f>
        <v>SI</v>
      </c>
      <c r="M246" s="37" t="str">
        <f>IF(Tabla2__2[[#This Row],[MYSTERY EFECTIVO]]="SI",_xlfn.XLOOKUP(Tabla2__2[[#This Row],[PREGUNTA]],ENCUESTA!G:G,ENCUESTA!D:D),"N/A")</f>
        <v>ABORDAJE</v>
      </c>
      <c r="N2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46" s="37" t="str">
        <f>_xlfn.XLOOKUP(Tabla2__2[[#This Row],[PREGUNTA]],ENCUESTA!G:G,ENCUESTA!H:H)</f>
        <v>SI</v>
      </c>
      <c r="P246" s="37">
        <f>IF(Tabla2__2[[#This Row],[RTA]]=Tabla2__2[[#This Row],[RTA CORRECTA]],Tabla2__2[[#This Row],[TOTAL PUNTAJE]],0)</f>
        <v>20</v>
      </c>
      <c r="Q246" s="37">
        <f t="shared" si="3"/>
        <v>0</v>
      </c>
      <c r="R246" s="37"/>
    </row>
    <row r="247" spans="1:18" x14ac:dyDescent="0.25">
      <c r="A247" s="37" t="s">
        <v>107</v>
      </c>
      <c r="B247" s="37" t="s">
        <v>8</v>
      </c>
      <c r="C247" t="s">
        <v>14</v>
      </c>
      <c r="D247" s="37" t="s">
        <v>161</v>
      </c>
      <c r="E247" s="37">
        <v>435142</v>
      </c>
      <c r="F247" s="37" t="s">
        <v>291</v>
      </c>
      <c r="G247" s="37" t="s">
        <v>104</v>
      </c>
      <c r="H247" s="37" t="s">
        <v>106</v>
      </c>
      <c r="I247" s="38"/>
      <c r="J247" s="37">
        <v>27593677</v>
      </c>
      <c r="K247" s="37" t="s">
        <v>110</v>
      </c>
      <c r="L247" s="37" t="str">
        <f>_xlfn.XLOOKUP(Tabla2__2[[#This Row],[CODIGO RUTA]],'DATA INFORME'!I:I,'DATA INFORME'!K:K)</f>
        <v>SI</v>
      </c>
      <c r="M247" s="37" t="str">
        <f>IF(Tabla2__2[[#This Row],[MYSTERY EFECTIVO]]="SI",_xlfn.XLOOKUP(Tabla2__2[[#This Row],[PREGUNTA]],ENCUESTA!G:G,ENCUESTA!D:D),"N/A")</f>
        <v>UNIFORME</v>
      </c>
      <c r="N2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47" s="37" t="str">
        <f>_xlfn.XLOOKUP(Tabla2__2[[#This Row],[PREGUNTA]],ENCUESTA!G:G,ENCUESTA!H:H)</f>
        <v>NO</v>
      </c>
      <c r="P247" s="37">
        <f>IF(Tabla2__2[[#This Row],[RTA]]=Tabla2__2[[#This Row],[RTA CORRECTA]],Tabla2__2[[#This Row],[TOTAL PUNTAJE]],0)</f>
        <v>1.3636363636363635</v>
      </c>
      <c r="Q247" s="37">
        <f t="shared" si="3"/>
        <v>0</v>
      </c>
      <c r="R247" s="37"/>
    </row>
    <row r="248" spans="1:18" x14ac:dyDescent="0.25">
      <c r="A248" s="37" t="s">
        <v>107</v>
      </c>
      <c r="B248" s="37" t="s">
        <v>8</v>
      </c>
      <c r="C248" t="s">
        <v>14</v>
      </c>
      <c r="D248" s="37" t="s">
        <v>161</v>
      </c>
      <c r="E248" s="37">
        <v>435142</v>
      </c>
      <c r="F248" s="37" t="s">
        <v>291</v>
      </c>
      <c r="G248" s="37" t="s">
        <v>103</v>
      </c>
      <c r="H248" s="37" t="s">
        <v>106</v>
      </c>
      <c r="I248" s="38"/>
      <c r="J248" s="37">
        <v>27593677</v>
      </c>
      <c r="K248" s="37" t="s">
        <v>110</v>
      </c>
      <c r="L248" s="37" t="str">
        <f>_xlfn.XLOOKUP(Tabla2__2[[#This Row],[CODIGO RUTA]],'DATA INFORME'!I:I,'DATA INFORME'!K:K)</f>
        <v>SI</v>
      </c>
      <c r="M248" s="37" t="str">
        <f>IF(Tabla2__2[[#This Row],[MYSTERY EFECTIVO]]="SI",_xlfn.XLOOKUP(Tabla2__2[[#This Row],[PREGUNTA]],ENCUESTA!G:G,ENCUESTA!D:D),"N/A")</f>
        <v>UNIFORME</v>
      </c>
      <c r="N2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48" s="37" t="str">
        <f>_xlfn.XLOOKUP(Tabla2__2[[#This Row],[PREGUNTA]],ENCUESTA!G:G,ENCUESTA!H:H)</f>
        <v>NO</v>
      </c>
      <c r="P248" s="37">
        <f>IF(Tabla2__2[[#This Row],[RTA]]=Tabla2__2[[#This Row],[RTA CORRECTA]],Tabla2__2[[#This Row],[TOTAL PUNTAJE]],0)</f>
        <v>1.3636363636363635</v>
      </c>
      <c r="Q248" s="37">
        <f t="shared" si="3"/>
        <v>0</v>
      </c>
      <c r="R248" s="37"/>
    </row>
    <row r="249" spans="1:18" x14ac:dyDescent="0.25">
      <c r="A249" s="37" t="s">
        <v>107</v>
      </c>
      <c r="B249" s="37" t="s">
        <v>8</v>
      </c>
      <c r="C249" t="s">
        <v>14</v>
      </c>
      <c r="D249" s="37" t="s">
        <v>161</v>
      </c>
      <c r="E249" s="37">
        <v>435142</v>
      </c>
      <c r="F249" s="37" t="s">
        <v>291</v>
      </c>
      <c r="G249" s="37" t="s">
        <v>102</v>
      </c>
      <c r="H249" s="37" t="s">
        <v>106</v>
      </c>
      <c r="I249" s="38"/>
      <c r="J249" s="37">
        <v>27593677</v>
      </c>
      <c r="K249" s="37" t="s">
        <v>110</v>
      </c>
      <c r="L249" s="37" t="str">
        <f>_xlfn.XLOOKUP(Tabla2__2[[#This Row],[CODIGO RUTA]],'DATA INFORME'!I:I,'DATA INFORME'!K:K)</f>
        <v>SI</v>
      </c>
      <c r="M249" s="37" t="str">
        <f>IF(Tabla2__2[[#This Row],[MYSTERY EFECTIVO]]="SI",_xlfn.XLOOKUP(Tabla2__2[[#This Row],[PREGUNTA]],ENCUESTA!G:G,ENCUESTA!D:D),"N/A")</f>
        <v>UNIFORME</v>
      </c>
      <c r="N2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49" s="37" t="str">
        <f>_xlfn.XLOOKUP(Tabla2__2[[#This Row],[PREGUNTA]],ENCUESTA!G:G,ENCUESTA!H:H)</f>
        <v>NO</v>
      </c>
      <c r="P249" s="37">
        <f>IF(Tabla2__2[[#This Row],[RTA]]=Tabla2__2[[#This Row],[RTA CORRECTA]],Tabla2__2[[#This Row],[TOTAL PUNTAJE]],0)</f>
        <v>1.3636363636363635</v>
      </c>
      <c r="Q249" s="37">
        <f t="shared" si="3"/>
        <v>0</v>
      </c>
      <c r="R249" s="37"/>
    </row>
    <row r="250" spans="1:18" x14ac:dyDescent="0.25">
      <c r="A250" s="37" t="s">
        <v>107</v>
      </c>
      <c r="B250" s="37" t="s">
        <v>8</v>
      </c>
      <c r="C250" t="s">
        <v>14</v>
      </c>
      <c r="D250" s="37" t="s">
        <v>161</v>
      </c>
      <c r="E250" s="37">
        <v>435142</v>
      </c>
      <c r="F250" s="37" t="s">
        <v>291</v>
      </c>
      <c r="G250" s="37" t="s">
        <v>101</v>
      </c>
      <c r="H250" s="37" t="s">
        <v>106</v>
      </c>
      <c r="I250" s="38"/>
      <c r="J250" s="37">
        <v>27593677</v>
      </c>
      <c r="K250" s="37" t="s">
        <v>110</v>
      </c>
      <c r="L250" s="37" t="str">
        <f>_xlfn.XLOOKUP(Tabla2__2[[#This Row],[CODIGO RUTA]],'DATA INFORME'!I:I,'DATA INFORME'!K:K)</f>
        <v>SI</v>
      </c>
      <c r="M250" s="37" t="str">
        <f>IF(Tabla2__2[[#This Row],[MYSTERY EFECTIVO]]="SI",_xlfn.XLOOKUP(Tabla2__2[[#This Row],[PREGUNTA]],ENCUESTA!G:G,ENCUESTA!D:D),"N/A")</f>
        <v>UNIFORME</v>
      </c>
      <c r="N2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0" s="37" t="str">
        <f>_xlfn.XLOOKUP(Tabla2__2[[#This Row],[PREGUNTA]],ENCUESTA!G:G,ENCUESTA!H:H)</f>
        <v>NO</v>
      </c>
      <c r="P250" s="37">
        <f>IF(Tabla2__2[[#This Row],[RTA]]=Tabla2__2[[#This Row],[RTA CORRECTA]],Tabla2__2[[#This Row],[TOTAL PUNTAJE]],0)</f>
        <v>1.3636363636363635</v>
      </c>
      <c r="Q250" s="37">
        <f t="shared" si="3"/>
        <v>0</v>
      </c>
      <c r="R250" s="37"/>
    </row>
    <row r="251" spans="1:18" x14ac:dyDescent="0.25">
      <c r="A251" s="37" t="s">
        <v>107</v>
      </c>
      <c r="B251" s="37" t="s">
        <v>8</v>
      </c>
      <c r="C251" t="s">
        <v>14</v>
      </c>
      <c r="D251" s="37" t="s">
        <v>161</v>
      </c>
      <c r="E251" s="37">
        <v>435142</v>
      </c>
      <c r="F251" s="37" t="s">
        <v>291</v>
      </c>
      <c r="G251" s="37" t="s">
        <v>100</v>
      </c>
      <c r="H251" s="37" t="s">
        <v>20</v>
      </c>
      <c r="I251" s="38"/>
      <c r="J251" s="37">
        <v>27593677</v>
      </c>
      <c r="K251" s="37" t="s">
        <v>110</v>
      </c>
      <c r="L251" s="37" t="str">
        <f>_xlfn.XLOOKUP(Tabla2__2[[#This Row],[CODIGO RUTA]],'DATA INFORME'!I:I,'DATA INFORME'!K:K)</f>
        <v>SI</v>
      </c>
      <c r="M251" s="37" t="str">
        <f>IF(Tabla2__2[[#This Row],[MYSTERY EFECTIVO]]="SI",_xlfn.XLOOKUP(Tabla2__2[[#This Row],[PREGUNTA]],ENCUESTA!G:G,ENCUESTA!D:D),"N/A")</f>
        <v>UNIFORME</v>
      </c>
      <c r="N2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1" s="37" t="str">
        <f>_xlfn.XLOOKUP(Tabla2__2[[#This Row],[PREGUNTA]],ENCUESTA!G:G,ENCUESTA!H:H)</f>
        <v>SI</v>
      </c>
      <c r="P251" s="37">
        <f>IF(Tabla2__2[[#This Row],[RTA]]=Tabla2__2[[#This Row],[RTA CORRECTA]],Tabla2__2[[#This Row],[TOTAL PUNTAJE]],0)</f>
        <v>1.3636363636363635</v>
      </c>
      <c r="Q251" s="37">
        <f t="shared" si="3"/>
        <v>0</v>
      </c>
      <c r="R251" s="37"/>
    </row>
    <row r="252" spans="1:18" x14ac:dyDescent="0.25">
      <c r="A252" s="37" t="s">
        <v>107</v>
      </c>
      <c r="B252" s="37" t="s">
        <v>8</v>
      </c>
      <c r="C252" t="s">
        <v>14</v>
      </c>
      <c r="D252" s="37" t="s">
        <v>161</v>
      </c>
      <c r="E252" s="37">
        <v>435142</v>
      </c>
      <c r="F252" s="37" t="s">
        <v>291</v>
      </c>
      <c r="G252" s="37" t="s">
        <v>99</v>
      </c>
      <c r="H252" s="37" t="s">
        <v>20</v>
      </c>
      <c r="I252" s="38"/>
      <c r="J252" s="37">
        <v>27593677</v>
      </c>
      <c r="K252" s="37" t="s">
        <v>110</v>
      </c>
      <c r="L252" s="37" t="str">
        <f>_xlfn.XLOOKUP(Tabla2__2[[#This Row],[CODIGO RUTA]],'DATA INFORME'!I:I,'DATA INFORME'!K:K)</f>
        <v>SI</v>
      </c>
      <c r="M252" s="37" t="str">
        <f>IF(Tabla2__2[[#This Row],[MYSTERY EFECTIVO]]="SI",_xlfn.XLOOKUP(Tabla2__2[[#This Row],[PREGUNTA]],ENCUESTA!G:G,ENCUESTA!D:D),"N/A")</f>
        <v>UNIFORME</v>
      </c>
      <c r="N2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2" s="37" t="str">
        <f>_xlfn.XLOOKUP(Tabla2__2[[#This Row],[PREGUNTA]],ENCUESTA!G:G,ENCUESTA!H:H)</f>
        <v>SI</v>
      </c>
      <c r="P252" s="37">
        <f>IF(Tabla2__2[[#This Row],[RTA]]=Tabla2__2[[#This Row],[RTA CORRECTA]],Tabla2__2[[#This Row],[TOTAL PUNTAJE]],0)</f>
        <v>1.3636363636363635</v>
      </c>
      <c r="Q252" s="37">
        <f t="shared" si="3"/>
        <v>0</v>
      </c>
      <c r="R252" s="37"/>
    </row>
    <row r="253" spans="1:18" x14ac:dyDescent="0.25">
      <c r="A253" s="37" t="s">
        <v>107</v>
      </c>
      <c r="B253" s="37" t="s">
        <v>8</v>
      </c>
      <c r="C253" t="s">
        <v>14</v>
      </c>
      <c r="D253" s="37" t="s">
        <v>161</v>
      </c>
      <c r="E253" s="37">
        <v>435142</v>
      </c>
      <c r="F253" s="37" t="s">
        <v>291</v>
      </c>
      <c r="G253" s="37" t="s">
        <v>135</v>
      </c>
      <c r="H253" s="37" t="s">
        <v>106</v>
      </c>
      <c r="I253" s="38"/>
      <c r="J253" s="37">
        <v>27593677</v>
      </c>
      <c r="K253" s="37" t="s">
        <v>110</v>
      </c>
      <c r="L253" s="37" t="str">
        <f>_xlfn.XLOOKUP(Tabla2__2[[#This Row],[CODIGO RUTA]],'DATA INFORME'!I:I,'DATA INFORME'!K:K)</f>
        <v>SI</v>
      </c>
      <c r="M253" s="37" t="str">
        <f>IF(Tabla2__2[[#This Row],[MYSTERY EFECTIVO]]="SI",_xlfn.XLOOKUP(Tabla2__2[[#This Row],[PREGUNTA]],ENCUESTA!G:G,ENCUESTA!D:D),"N/A")</f>
        <v>UNIFORME</v>
      </c>
      <c r="N2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3" s="37" t="str">
        <f>_xlfn.XLOOKUP(Tabla2__2[[#This Row],[PREGUNTA]],ENCUESTA!G:G,ENCUESTA!H:H)</f>
        <v>NO</v>
      </c>
      <c r="P253" s="37">
        <f>IF(Tabla2__2[[#This Row],[RTA]]=Tabla2__2[[#This Row],[RTA CORRECTA]],Tabla2__2[[#This Row],[TOTAL PUNTAJE]],0)</f>
        <v>1.3636363636363635</v>
      </c>
      <c r="Q253" s="37">
        <f t="shared" si="3"/>
        <v>0</v>
      </c>
      <c r="R253" s="37"/>
    </row>
    <row r="254" spans="1:18" x14ac:dyDescent="0.25">
      <c r="A254" s="37" t="s">
        <v>107</v>
      </c>
      <c r="B254" s="37" t="s">
        <v>8</v>
      </c>
      <c r="C254" t="s">
        <v>14</v>
      </c>
      <c r="D254" s="37" t="s">
        <v>161</v>
      </c>
      <c r="E254" s="37">
        <v>435142</v>
      </c>
      <c r="F254" s="37" t="s">
        <v>291</v>
      </c>
      <c r="G254" s="37" t="s">
        <v>35</v>
      </c>
      <c r="H254" s="37" t="s">
        <v>20</v>
      </c>
      <c r="I254" s="38"/>
      <c r="J254" s="37">
        <v>27593677</v>
      </c>
      <c r="K254" s="37" t="s">
        <v>110</v>
      </c>
      <c r="L254" s="37" t="str">
        <f>_xlfn.XLOOKUP(Tabla2__2[[#This Row],[CODIGO RUTA]],'DATA INFORME'!I:I,'DATA INFORME'!K:K)</f>
        <v>SI</v>
      </c>
      <c r="M254" s="37" t="str">
        <f>IF(Tabla2__2[[#This Row],[MYSTERY EFECTIVO]]="SI",_xlfn.XLOOKUP(Tabla2__2[[#This Row],[PREGUNTA]],ENCUESTA!G:G,ENCUESTA!D:D),"N/A")</f>
        <v>UNIFORME</v>
      </c>
      <c r="N2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4" s="37" t="str">
        <f>_xlfn.XLOOKUP(Tabla2__2[[#This Row],[PREGUNTA]],ENCUESTA!G:G,ENCUESTA!H:H)</f>
        <v>SI</v>
      </c>
      <c r="P254" s="37">
        <f>IF(Tabla2__2[[#This Row],[RTA]]=Tabla2__2[[#This Row],[RTA CORRECTA]],Tabla2__2[[#This Row],[TOTAL PUNTAJE]],0)</f>
        <v>1.3636363636363635</v>
      </c>
      <c r="Q254" s="37">
        <f t="shared" si="3"/>
        <v>0</v>
      </c>
      <c r="R254" s="37"/>
    </row>
    <row r="255" spans="1:18" x14ac:dyDescent="0.25">
      <c r="A255" s="37" t="s">
        <v>107</v>
      </c>
      <c r="B255" s="37" t="s">
        <v>8</v>
      </c>
      <c r="C255" t="s">
        <v>14</v>
      </c>
      <c r="D255" s="37" t="s">
        <v>161</v>
      </c>
      <c r="E255" s="37">
        <v>435142</v>
      </c>
      <c r="F255" s="37" t="s">
        <v>291</v>
      </c>
      <c r="G255" s="37" t="s">
        <v>134</v>
      </c>
      <c r="H255" s="37" t="s">
        <v>20</v>
      </c>
      <c r="I255" s="38"/>
      <c r="J255" s="37">
        <v>27593677</v>
      </c>
      <c r="K255" s="37" t="s">
        <v>110</v>
      </c>
      <c r="L255" s="37" t="str">
        <f>_xlfn.XLOOKUP(Tabla2__2[[#This Row],[CODIGO RUTA]],'DATA INFORME'!I:I,'DATA INFORME'!K:K)</f>
        <v>SI</v>
      </c>
      <c r="M255" s="37" t="str">
        <f>IF(Tabla2__2[[#This Row],[MYSTERY EFECTIVO]]="SI",_xlfn.XLOOKUP(Tabla2__2[[#This Row],[PREGUNTA]],ENCUESTA!G:G,ENCUESTA!D:D),"N/A")</f>
        <v>UNIFORME</v>
      </c>
      <c r="N2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5" s="37" t="str">
        <f>_xlfn.XLOOKUP(Tabla2__2[[#This Row],[PREGUNTA]],ENCUESTA!G:G,ENCUESTA!H:H)</f>
        <v>SI</v>
      </c>
      <c r="P255" s="37">
        <f>IF(Tabla2__2[[#This Row],[RTA]]=Tabla2__2[[#This Row],[RTA CORRECTA]],Tabla2__2[[#This Row],[TOTAL PUNTAJE]],0)</f>
        <v>1.3636363636363635</v>
      </c>
      <c r="Q255" s="37">
        <f t="shared" si="3"/>
        <v>0</v>
      </c>
      <c r="R255" s="37"/>
    </row>
    <row r="256" spans="1:18" x14ac:dyDescent="0.25">
      <c r="A256" s="37" t="s">
        <v>107</v>
      </c>
      <c r="B256" s="37" t="s">
        <v>8</v>
      </c>
      <c r="C256" t="s">
        <v>15</v>
      </c>
      <c r="D256" s="37" t="s">
        <v>217</v>
      </c>
      <c r="E256" s="37">
        <v>406974</v>
      </c>
      <c r="F256" s="37" t="s">
        <v>298</v>
      </c>
      <c r="G256" s="37" t="s">
        <v>97</v>
      </c>
      <c r="H256" s="37" t="s">
        <v>20</v>
      </c>
      <c r="I256" s="38"/>
      <c r="J256" s="37">
        <v>27684336</v>
      </c>
      <c r="K256" s="37" t="s">
        <v>187</v>
      </c>
      <c r="L256" s="37" t="str">
        <f>_xlfn.XLOOKUP(Tabla2__2[[#This Row],[CODIGO RUTA]],'DATA INFORME'!I:I,'DATA INFORME'!K:K)</f>
        <v>SI</v>
      </c>
      <c r="M256" s="37" t="str">
        <f>IF(Tabla2__2[[#This Row],[MYSTERY EFECTIVO]]="SI",_xlfn.XLOOKUP(Tabla2__2[[#This Row],[PREGUNTA]],ENCUESTA!G:G,ENCUESTA!D:D),"N/A")</f>
        <v>HORARIO</v>
      </c>
      <c r="N2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56" s="37" t="str">
        <f>_xlfn.XLOOKUP(Tabla2__2[[#This Row],[PREGUNTA]],ENCUESTA!G:G,ENCUESTA!H:H)</f>
        <v>SI</v>
      </c>
      <c r="P256" s="37">
        <f>IF(Tabla2__2[[#This Row],[RTA]]=Tabla2__2[[#This Row],[RTA CORRECTA]],Tabla2__2[[#This Row],[TOTAL PUNTAJE]],0)</f>
        <v>20</v>
      </c>
      <c r="Q256" s="37">
        <f t="shared" si="3"/>
        <v>0</v>
      </c>
      <c r="R256" s="37"/>
    </row>
    <row r="257" spans="1:18" x14ac:dyDescent="0.25">
      <c r="A257" s="37" t="s">
        <v>107</v>
      </c>
      <c r="B257" s="37" t="s">
        <v>8</v>
      </c>
      <c r="C257" t="s">
        <v>15</v>
      </c>
      <c r="D257" s="37" t="s">
        <v>217</v>
      </c>
      <c r="E257" s="37">
        <v>12565</v>
      </c>
      <c r="F257" s="37" t="s">
        <v>312</v>
      </c>
      <c r="G257" s="37" t="s">
        <v>156</v>
      </c>
      <c r="H257" s="37" t="s">
        <v>20</v>
      </c>
      <c r="I257" s="38"/>
      <c r="J257" s="37">
        <v>27689425</v>
      </c>
      <c r="K257" s="37" t="s">
        <v>110</v>
      </c>
      <c r="L257" s="37" t="str">
        <f>_xlfn.XLOOKUP(Tabla2__2[[#This Row],[CODIGO RUTA]],'DATA INFORME'!I:I,'DATA INFORME'!K:K)</f>
        <v>SI</v>
      </c>
      <c r="M257" s="37" t="str">
        <f>IF(Tabla2__2[[#This Row],[MYSTERY EFECTIVO]]="SI",_xlfn.XLOOKUP(Tabla2__2[[#This Row],[PREGUNTA]],ENCUESTA!G:G,ENCUESTA!D:D),"N/A")</f>
        <v>LABOR DE VENTA</v>
      </c>
      <c r="N2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57" s="37" t="str">
        <f>_xlfn.XLOOKUP(Tabla2__2[[#This Row],[PREGUNTA]],ENCUESTA!G:G,ENCUESTA!H:H)</f>
        <v>SI</v>
      </c>
      <c r="P257" s="37">
        <f>IF(Tabla2__2[[#This Row],[RTA]]=Tabla2__2[[#This Row],[RTA CORRECTA]],Tabla2__2[[#This Row],[TOTAL PUNTAJE]],0)</f>
        <v>7.5</v>
      </c>
      <c r="Q257" s="37">
        <f t="shared" si="3"/>
        <v>0</v>
      </c>
      <c r="R257" s="37"/>
    </row>
    <row r="258" spans="1:18" x14ac:dyDescent="0.25">
      <c r="A258" s="37" t="s">
        <v>107</v>
      </c>
      <c r="B258" s="37" t="s">
        <v>8</v>
      </c>
      <c r="C258" t="s">
        <v>15</v>
      </c>
      <c r="D258" s="37" t="s">
        <v>79</v>
      </c>
      <c r="E258" s="37">
        <v>442719</v>
      </c>
      <c r="F258" s="37" t="s">
        <v>228</v>
      </c>
      <c r="G258" s="37" t="s">
        <v>156</v>
      </c>
      <c r="H258" s="37" t="s">
        <v>20</v>
      </c>
      <c r="I258" s="38"/>
      <c r="J258" s="37">
        <v>27486785</v>
      </c>
      <c r="K258" s="37" t="s">
        <v>187</v>
      </c>
      <c r="L258" s="37" t="str">
        <f>_xlfn.XLOOKUP(Tabla2__2[[#This Row],[CODIGO RUTA]],'DATA INFORME'!I:I,'DATA INFORME'!K:K)</f>
        <v>SI</v>
      </c>
      <c r="M258" s="37" t="str">
        <f>IF(Tabla2__2[[#This Row],[MYSTERY EFECTIVO]]="SI",_xlfn.XLOOKUP(Tabla2__2[[#This Row],[PREGUNTA]],ENCUESTA!G:G,ENCUESTA!D:D),"N/A")</f>
        <v>LABOR DE VENTA</v>
      </c>
      <c r="N2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58" s="37" t="str">
        <f>_xlfn.XLOOKUP(Tabla2__2[[#This Row],[PREGUNTA]],ENCUESTA!G:G,ENCUESTA!H:H)</f>
        <v>SI</v>
      </c>
      <c r="P258" s="37">
        <f>IF(Tabla2__2[[#This Row],[RTA]]=Tabla2__2[[#This Row],[RTA CORRECTA]],Tabla2__2[[#This Row],[TOTAL PUNTAJE]],0)</f>
        <v>7.5</v>
      </c>
      <c r="Q258" s="37">
        <f t="shared" ref="Q258:Q321" si="4">IF(OR(H258="Dog Chow húmedo",H258="Cat Chow húmedo",H258="Fancy Feast",H258="Felix",H258="Proplan húmedo",H258="One húmedo",H258="Snack Abrazzos",H258="Snak Dentalife",H258="Arenilla Tidy Cat"),N258,0)</f>
        <v>0</v>
      </c>
      <c r="R258" s="37"/>
    </row>
    <row r="259" spans="1:18" x14ac:dyDescent="0.25">
      <c r="A259" s="37" t="s">
        <v>107</v>
      </c>
      <c r="B259" s="37" t="s">
        <v>8</v>
      </c>
      <c r="C259" t="s">
        <v>15</v>
      </c>
      <c r="D259" s="37" t="s">
        <v>79</v>
      </c>
      <c r="E259" s="37">
        <v>442719</v>
      </c>
      <c r="F259" s="37" t="s">
        <v>228</v>
      </c>
      <c r="G259" s="37" t="s">
        <v>154</v>
      </c>
      <c r="H259" s="37" t="s">
        <v>20</v>
      </c>
      <c r="I259" s="38"/>
      <c r="J259" s="37">
        <v>27486785</v>
      </c>
      <c r="K259" s="37" t="s">
        <v>187</v>
      </c>
      <c r="L259" s="37" t="str">
        <f>_xlfn.XLOOKUP(Tabla2__2[[#This Row],[CODIGO RUTA]],'DATA INFORME'!I:I,'DATA INFORME'!K:K)</f>
        <v>SI</v>
      </c>
      <c r="M259" s="37" t="str">
        <f>IF(Tabla2__2[[#This Row],[MYSTERY EFECTIVO]]="SI",_xlfn.XLOOKUP(Tabla2__2[[#This Row],[PREGUNTA]],ENCUESTA!G:G,ENCUESTA!D:D),"N/A")</f>
        <v>UNIFORME</v>
      </c>
      <c r="N2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59" s="37" t="str">
        <f>_xlfn.XLOOKUP(Tabla2__2[[#This Row],[PREGUNTA]],ENCUESTA!G:G,ENCUESTA!H:H)</f>
        <v>SI</v>
      </c>
      <c r="P259" s="37">
        <f>IF(Tabla2__2[[#This Row],[RTA]]=Tabla2__2[[#This Row],[RTA CORRECTA]],Tabla2__2[[#This Row],[TOTAL PUNTAJE]],0)</f>
        <v>1.3636363636363635</v>
      </c>
      <c r="Q259" s="37">
        <f t="shared" si="4"/>
        <v>0</v>
      </c>
      <c r="R259" s="37"/>
    </row>
    <row r="260" spans="1:18" x14ac:dyDescent="0.25">
      <c r="A260" s="37" t="s">
        <v>107</v>
      </c>
      <c r="B260" s="37" t="s">
        <v>8</v>
      </c>
      <c r="C260" t="s">
        <v>14</v>
      </c>
      <c r="D260" s="37" t="s">
        <v>79</v>
      </c>
      <c r="E260" s="37">
        <v>108903</v>
      </c>
      <c r="F260" s="37" t="s">
        <v>191</v>
      </c>
      <c r="G260" s="37" t="s">
        <v>135</v>
      </c>
      <c r="H260" s="37" t="s">
        <v>106</v>
      </c>
      <c r="I260" s="38"/>
      <c r="J260" s="37">
        <v>27450345</v>
      </c>
      <c r="K260" s="37" t="s">
        <v>187</v>
      </c>
      <c r="L260" s="37" t="str">
        <f>_xlfn.XLOOKUP(Tabla2__2[[#This Row],[CODIGO RUTA]],'DATA INFORME'!I:I,'DATA INFORME'!K:K)</f>
        <v>SI</v>
      </c>
      <c r="M260" s="37" t="str">
        <f>IF(Tabla2__2[[#This Row],[MYSTERY EFECTIVO]]="SI",_xlfn.XLOOKUP(Tabla2__2[[#This Row],[PREGUNTA]],ENCUESTA!G:G,ENCUESTA!D:D),"N/A")</f>
        <v>UNIFORME</v>
      </c>
      <c r="N2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60" s="37" t="str">
        <f>_xlfn.XLOOKUP(Tabla2__2[[#This Row],[PREGUNTA]],ENCUESTA!G:G,ENCUESTA!H:H)</f>
        <v>NO</v>
      </c>
      <c r="P260" s="37">
        <f>IF(Tabla2__2[[#This Row],[RTA]]=Tabla2__2[[#This Row],[RTA CORRECTA]],Tabla2__2[[#This Row],[TOTAL PUNTAJE]],0)</f>
        <v>1.3636363636363635</v>
      </c>
      <c r="Q260" s="37">
        <f t="shared" si="4"/>
        <v>0</v>
      </c>
      <c r="R260" s="37"/>
    </row>
    <row r="261" spans="1:18" x14ac:dyDescent="0.25">
      <c r="A261" s="37" t="s">
        <v>107</v>
      </c>
      <c r="B261" s="37" t="s">
        <v>8</v>
      </c>
      <c r="C261" t="s">
        <v>14</v>
      </c>
      <c r="D261" s="37" t="s">
        <v>79</v>
      </c>
      <c r="E261" s="37">
        <v>108903</v>
      </c>
      <c r="F261" s="37" t="s">
        <v>191</v>
      </c>
      <c r="G261" s="37" t="s">
        <v>35</v>
      </c>
      <c r="H261" s="37" t="s">
        <v>20</v>
      </c>
      <c r="I261" s="38"/>
      <c r="J261" s="37">
        <v>27450345</v>
      </c>
      <c r="K261" s="37" t="s">
        <v>187</v>
      </c>
      <c r="L261" s="37" t="str">
        <f>_xlfn.XLOOKUP(Tabla2__2[[#This Row],[CODIGO RUTA]],'DATA INFORME'!I:I,'DATA INFORME'!K:K)</f>
        <v>SI</v>
      </c>
      <c r="M261" s="37" t="str">
        <f>IF(Tabla2__2[[#This Row],[MYSTERY EFECTIVO]]="SI",_xlfn.XLOOKUP(Tabla2__2[[#This Row],[PREGUNTA]],ENCUESTA!G:G,ENCUESTA!D:D),"N/A")</f>
        <v>UNIFORME</v>
      </c>
      <c r="N2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61" s="37" t="str">
        <f>_xlfn.XLOOKUP(Tabla2__2[[#This Row],[PREGUNTA]],ENCUESTA!G:G,ENCUESTA!H:H)</f>
        <v>SI</v>
      </c>
      <c r="P261" s="37">
        <f>IF(Tabla2__2[[#This Row],[RTA]]=Tabla2__2[[#This Row],[RTA CORRECTA]],Tabla2__2[[#This Row],[TOTAL PUNTAJE]],0)</f>
        <v>1.3636363636363635</v>
      </c>
      <c r="Q261" s="37">
        <f t="shared" si="4"/>
        <v>0</v>
      </c>
      <c r="R261" s="37"/>
    </row>
    <row r="262" spans="1:18" x14ac:dyDescent="0.25">
      <c r="A262" s="37" t="s">
        <v>107</v>
      </c>
      <c r="B262" s="37" t="s">
        <v>8</v>
      </c>
      <c r="C262" t="s">
        <v>14</v>
      </c>
      <c r="D262" s="37" t="s">
        <v>79</v>
      </c>
      <c r="E262" s="37">
        <v>108903</v>
      </c>
      <c r="F262" s="37" t="s">
        <v>191</v>
      </c>
      <c r="G262" s="37" t="s">
        <v>134</v>
      </c>
      <c r="H262" s="37" t="s">
        <v>20</v>
      </c>
      <c r="I262" s="38"/>
      <c r="J262" s="37">
        <v>27450345</v>
      </c>
      <c r="K262" s="37" t="s">
        <v>187</v>
      </c>
      <c r="L262" s="37" t="str">
        <f>_xlfn.XLOOKUP(Tabla2__2[[#This Row],[CODIGO RUTA]],'DATA INFORME'!I:I,'DATA INFORME'!K:K)</f>
        <v>SI</v>
      </c>
      <c r="M262" s="37" t="str">
        <f>IF(Tabla2__2[[#This Row],[MYSTERY EFECTIVO]]="SI",_xlfn.XLOOKUP(Tabla2__2[[#This Row],[PREGUNTA]],ENCUESTA!G:G,ENCUESTA!D:D),"N/A")</f>
        <v>UNIFORME</v>
      </c>
      <c r="N2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62" s="37" t="str">
        <f>_xlfn.XLOOKUP(Tabla2__2[[#This Row],[PREGUNTA]],ENCUESTA!G:G,ENCUESTA!H:H)</f>
        <v>SI</v>
      </c>
      <c r="P262" s="37">
        <f>IF(Tabla2__2[[#This Row],[RTA]]=Tabla2__2[[#This Row],[RTA CORRECTA]],Tabla2__2[[#This Row],[TOTAL PUNTAJE]],0)</f>
        <v>1.3636363636363635</v>
      </c>
      <c r="Q262" s="37">
        <f t="shared" si="4"/>
        <v>0</v>
      </c>
      <c r="R262" s="37"/>
    </row>
    <row r="263" spans="1:18" x14ac:dyDescent="0.25">
      <c r="A263" s="37" t="s">
        <v>107</v>
      </c>
      <c r="B263" s="37" t="s">
        <v>8</v>
      </c>
      <c r="C263" t="s">
        <v>14</v>
      </c>
      <c r="D263" s="37" t="s">
        <v>79</v>
      </c>
      <c r="E263" s="37">
        <v>108903</v>
      </c>
      <c r="F263" s="37" t="s">
        <v>191</v>
      </c>
      <c r="G263" s="37" t="s">
        <v>98</v>
      </c>
      <c r="H263" s="37" t="s">
        <v>20</v>
      </c>
      <c r="I263" s="38"/>
      <c r="J263" s="37">
        <v>27450345</v>
      </c>
      <c r="K263" s="37" t="s">
        <v>187</v>
      </c>
      <c r="L263" s="37" t="str">
        <f>_xlfn.XLOOKUP(Tabla2__2[[#This Row],[CODIGO RUTA]],'DATA INFORME'!I:I,'DATA INFORME'!K:K)</f>
        <v>SI</v>
      </c>
      <c r="M263" s="37" t="str">
        <f>IF(Tabla2__2[[#This Row],[MYSTERY EFECTIVO]]="SI",_xlfn.XLOOKUP(Tabla2__2[[#This Row],[PREGUNTA]],ENCUESTA!G:G,ENCUESTA!D:D),"N/A")</f>
        <v>UNIFORME</v>
      </c>
      <c r="N2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63" s="37" t="str">
        <f>_xlfn.XLOOKUP(Tabla2__2[[#This Row],[PREGUNTA]],ENCUESTA!G:G,ENCUESTA!H:H)</f>
        <v>SI</v>
      </c>
      <c r="P263" s="37">
        <f>IF(Tabla2__2[[#This Row],[RTA]]=Tabla2__2[[#This Row],[RTA CORRECTA]],Tabla2__2[[#This Row],[TOTAL PUNTAJE]],0)</f>
        <v>1.3636363636363635</v>
      </c>
      <c r="Q263" s="37">
        <f t="shared" si="4"/>
        <v>0</v>
      </c>
      <c r="R263" s="37"/>
    </row>
    <row r="264" spans="1:18" x14ac:dyDescent="0.25">
      <c r="A264" s="37" t="s">
        <v>107</v>
      </c>
      <c r="B264" s="37" t="s">
        <v>8</v>
      </c>
      <c r="C264" t="s">
        <v>14</v>
      </c>
      <c r="D264" s="37" t="s">
        <v>79</v>
      </c>
      <c r="E264" s="37">
        <v>108903</v>
      </c>
      <c r="F264" s="37" t="s">
        <v>191</v>
      </c>
      <c r="G264" s="37" t="s">
        <v>97</v>
      </c>
      <c r="H264" s="37" t="s">
        <v>20</v>
      </c>
      <c r="I264" s="38"/>
      <c r="J264" s="37">
        <v>27450345</v>
      </c>
      <c r="K264" s="37" t="s">
        <v>187</v>
      </c>
      <c r="L264" s="37" t="str">
        <f>_xlfn.XLOOKUP(Tabla2__2[[#This Row],[CODIGO RUTA]],'DATA INFORME'!I:I,'DATA INFORME'!K:K)</f>
        <v>SI</v>
      </c>
      <c r="M264" s="37" t="str">
        <f>IF(Tabla2__2[[#This Row],[MYSTERY EFECTIVO]]="SI",_xlfn.XLOOKUP(Tabla2__2[[#This Row],[PREGUNTA]],ENCUESTA!G:G,ENCUESTA!D:D),"N/A")</f>
        <v>HORARIO</v>
      </c>
      <c r="N2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4" s="37" t="str">
        <f>_xlfn.XLOOKUP(Tabla2__2[[#This Row],[PREGUNTA]],ENCUESTA!G:G,ENCUESTA!H:H)</f>
        <v>SI</v>
      </c>
      <c r="P264" s="37">
        <f>IF(Tabla2__2[[#This Row],[RTA]]=Tabla2__2[[#This Row],[RTA CORRECTA]],Tabla2__2[[#This Row],[TOTAL PUNTAJE]],0)</f>
        <v>20</v>
      </c>
      <c r="Q264" s="37">
        <f t="shared" si="4"/>
        <v>0</v>
      </c>
      <c r="R264" s="37"/>
    </row>
    <row r="265" spans="1:18" x14ac:dyDescent="0.25">
      <c r="A265" s="37" t="s">
        <v>107</v>
      </c>
      <c r="B265" s="37" t="s">
        <v>8</v>
      </c>
      <c r="C265" t="s">
        <v>14</v>
      </c>
      <c r="D265" s="37" t="s">
        <v>79</v>
      </c>
      <c r="E265" s="37">
        <v>108903</v>
      </c>
      <c r="F265" s="37" t="s">
        <v>191</v>
      </c>
      <c r="G265" s="37" t="s">
        <v>133</v>
      </c>
      <c r="H265" s="37" t="s">
        <v>20</v>
      </c>
      <c r="I265" s="38"/>
      <c r="J265" s="37">
        <v>27450345</v>
      </c>
      <c r="K265" s="37" t="s">
        <v>187</v>
      </c>
      <c r="L265" s="37" t="str">
        <f>_xlfn.XLOOKUP(Tabla2__2[[#This Row],[CODIGO RUTA]],'DATA INFORME'!I:I,'DATA INFORME'!K:K)</f>
        <v>SI</v>
      </c>
      <c r="M265" s="37" t="str">
        <f>IF(Tabla2__2[[#This Row],[MYSTERY EFECTIVO]]="SI",_xlfn.XLOOKUP(Tabla2__2[[#This Row],[PREGUNTA]],ENCUESTA!G:G,ENCUESTA!D:D),"N/A")</f>
        <v>N/A</v>
      </c>
      <c r="N2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5" s="37">
        <f>_xlfn.XLOOKUP(Tabla2__2[[#This Row],[PREGUNTA]],ENCUESTA!G:G,ENCUESTA!H:H)</f>
        <v>0</v>
      </c>
      <c r="P265" s="37">
        <f>IF(Tabla2__2[[#This Row],[RTA]]=Tabla2__2[[#This Row],[RTA CORRECTA]],Tabla2__2[[#This Row],[TOTAL PUNTAJE]],0)</f>
        <v>0</v>
      </c>
      <c r="Q265" s="37">
        <f t="shared" si="4"/>
        <v>0</v>
      </c>
      <c r="R265" s="37"/>
    </row>
    <row r="266" spans="1:18" x14ac:dyDescent="0.25">
      <c r="A266" s="37" t="s">
        <v>107</v>
      </c>
      <c r="B266" s="37" t="s">
        <v>8</v>
      </c>
      <c r="C266" t="s">
        <v>15</v>
      </c>
      <c r="D266" s="37" t="s">
        <v>79</v>
      </c>
      <c r="E266" s="37">
        <v>12394</v>
      </c>
      <c r="F266" s="37" t="s">
        <v>181</v>
      </c>
      <c r="G266" s="37" t="s">
        <v>158</v>
      </c>
      <c r="H266" s="37" t="s">
        <v>189</v>
      </c>
      <c r="I266" s="38"/>
      <c r="J266" s="37">
        <v>27444590</v>
      </c>
      <c r="K266" s="37" t="s">
        <v>187</v>
      </c>
      <c r="L266" s="37" t="str">
        <f>_xlfn.XLOOKUP(Tabla2__2[[#This Row],[CODIGO RUTA]],'DATA INFORME'!I:I,'DATA INFORME'!K:K)</f>
        <v xml:space="preserve"> NO</v>
      </c>
      <c r="M266" s="37" t="str">
        <f>IF(Tabla2__2[[#This Row],[MYSTERY EFECTIVO]]="SI",_xlfn.XLOOKUP(Tabla2__2[[#This Row],[PREGUNTA]],ENCUESTA!G:G,ENCUESTA!D:D),"N/A")</f>
        <v>N/A</v>
      </c>
      <c r="N2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6" s="37">
        <f>_xlfn.XLOOKUP(Tabla2__2[[#This Row],[PREGUNTA]],ENCUESTA!G:G,ENCUESTA!H:H)</f>
        <v>0</v>
      </c>
      <c r="P266" s="37">
        <f>IF(Tabla2__2[[#This Row],[RTA]]=Tabla2__2[[#This Row],[RTA CORRECTA]],Tabla2__2[[#This Row],[TOTAL PUNTAJE]],0)</f>
        <v>0</v>
      </c>
      <c r="Q266" s="37">
        <f t="shared" si="4"/>
        <v>0</v>
      </c>
      <c r="R266" s="37"/>
    </row>
    <row r="267" spans="1:18" x14ac:dyDescent="0.25">
      <c r="A267" s="37" t="s">
        <v>107</v>
      </c>
      <c r="B267" s="37" t="s">
        <v>8</v>
      </c>
      <c r="C267" t="s">
        <v>15</v>
      </c>
      <c r="D267" s="37" t="s">
        <v>79</v>
      </c>
      <c r="E267" s="37">
        <v>12394</v>
      </c>
      <c r="F267" s="37" t="s">
        <v>181</v>
      </c>
      <c r="G267" s="37" t="s">
        <v>157</v>
      </c>
      <c r="H267" s="37" t="s">
        <v>20</v>
      </c>
      <c r="I267" s="38"/>
      <c r="J267" s="37">
        <v>27444590</v>
      </c>
      <c r="K267" s="37" t="s">
        <v>187</v>
      </c>
      <c r="L267" s="37" t="str">
        <f>_xlfn.XLOOKUP(Tabla2__2[[#This Row],[CODIGO RUTA]],'DATA INFORME'!I:I,'DATA INFORME'!K:K)</f>
        <v xml:space="preserve"> NO</v>
      </c>
      <c r="M267" s="37" t="str">
        <f>IF(Tabla2__2[[#This Row],[MYSTERY EFECTIVO]]="SI",_xlfn.XLOOKUP(Tabla2__2[[#This Row],[PREGUNTA]],ENCUESTA!G:G,ENCUESTA!D:D),"N/A")</f>
        <v>N/A</v>
      </c>
      <c r="N2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7" s="37">
        <f>_xlfn.XLOOKUP(Tabla2__2[[#This Row],[PREGUNTA]],ENCUESTA!G:G,ENCUESTA!H:H)</f>
        <v>0</v>
      </c>
      <c r="P267" s="37">
        <f>IF(Tabla2__2[[#This Row],[RTA]]=Tabla2__2[[#This Row],[RTA CORRECTA]],Tabla2__2[[#This Row],[TOTAL PUNTAJE]],0)</f>
        <v>0</v>
      </c>
      <c r="Q267" s="37">
        <f t="shared" si="4"/>
        <v>0</v>
      </c>
      <c r="R267" s="37"/>
    </row>
    <row r="268" spans="1:18" x14ac:dyDescent="0.25">
      <c r="A268" s="37" t="s">
        <v>107</v>
      </c>
      <c r="B268" s="37" t="s">
        <v>8</v>
      </c>
      <c r="C268" t="s">
        <v>15</v>
      </c>
      <c r="D268" s="37" t="s">
        <v>79</v>
      </c>
      <c r="E268" s="37">
        <v>12394</v>
      </c>
      <c r="F268" s="37" t="s">
        <v>181</v>
      </c>
      <c r="G268" s="37" t="s">
        <v>156</v>
      </c>
      <c r="H268" s="37" t="s">
        <v>106</v>
      </c>
      <c r="I268" s="38"/>
      <c r="J268" s="37">
        <v>27444590</v>
      </c>
      <c r="K268" s="37" t="s">
        <v>187</v>
      </c>
      <c r="L268" s="37" t="str">
        <f>_xlfn.XLOOKUP(Tabla2__2[[#This Row],[CODIGO RUTA]],'DATA INFORME'!I:I,'DATA INFORME'!K:K)</f>
        <v xml:space="preserve"> NO</v>
      </c>
      <c r="M268" s="37" t="str">
        <f>IF(Tabla2__2[[#This Row],[MYSTERY EFECTIVO]]="SI",_xlfn.XLOOKUP(Tabla2__2[[#This Row],[PREGUNTA]],ENCUESTA!G:G,ENCUESTA!D:D),"N/A")</f>
        <v>N/A</v>
      </c>
      <c r="N2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8" s="37" t="str">
        <f>_xlfn.XLOOKUP(Tabla2__2[[#This Row],[PREGUNTA]],ENCUESTA!G:G,ENCUESTA!H:H)</f>
        <v>SI</v>
      </c>
      <c r="P268" s="37">
        <f>IF(Tabla2__2[[#This Row],[RTA]]=Tabla2__2[[#This Row],[RTA CORRECTA]],Tabla2__2[[#This Row],[TOTAL PUNTAJE]],0)</f>
        <v>0</v>
      </c>
      <c r="Q268" s="37">
        <f t="shared" si="4"/>
        <v>0</v>
      </c>
      <c r="R268" s="37"/>
    </row>
    <row r="269" spans="1:18" x14ac:dyDescent="0.25">
      <c r="A269" s="37" t="s">
        <v>107</v>
      </c>
      <c r="B269" s="37" t="s">
        <v>8</v>
      </c>
      <c r="C269" t="s">
        <v>15</v>
      </c>
      <c r="D269" s="37" t="s">
        <v>79</v>
      </c>
      <c r="E269" s="37">
        <v>12394</v>
      </c>
      <c r="F269" s="37" t="s">
        <v>181</v>
      </c>
      <c r="G269" s="37" t="s">
        <v>155</v>
      </c>
      <c r="H269" s="37" t="s">
        <v>106</v>
      </c>
      <c r="I269" s="38"/>
      <c r="J269" s="37">
        <v>27444590</v>
      </c>
      <c r="K269" s="37" t="s">
        <v>187</v>
      </c>
      <c r="L269" s="37" t="str">
        <f>_xlfn.XLOOKUP(Tabla2__2[[#This Row],[CODIGO RUTA]],'DATA INFORME'!I:I,'DATA INFORME'!K:K)</f>
        <v xml:space="preserve"> NO</v>
      </c>
      <c r="M269" s="37" t="str">
        <f>IF(Tabla2__2[[#This Row],[MYSTERY EFECTIVO]]="SI",_xlfn.XLOOKUP(Tabla2__2[[#This Row],[PREGUNTA]],ENCUESTA!G:G,ENCUESTA!D:D),"N/A")</f>
        <v>N/A</v>
      </c>
      <c r="N2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9" s="37" t="str">
        <f>_xlfn.XLOOKUP(Tabla2__2[[#This Row],[PREGUNTA]],ENCUESTA!G:G,ENCUESTA!H:H)</f>
        <v>SI</v>
      </c>
      <c r="P269" s="37">
        <f>IF(Tabla2__2[[#This Row],[RTA]]=Tabla2__2[[#This Row],[RTA CORRECTA]],Tabla2__2[[#This Row],[TOTAL PUNTAJE]],0)</f>
        <v>0</v>
      </c>
      <c r="Q269" s="37">
        <f t="shared" si="4"/>
        <v>0</v>
      </c>
      <c r="R269" s="37"/>
    </row>
    <row r="270" spans="1:18" x14ac:dyDescent="0.25">
      <c r="A270" s="37" t="s">
        <v>107</v>
      </c>
      <c r="B270" s="37" t="s">
        <v>8</v>
      </c>
      <c r="C270" t="s">
        <v>15</v>
      </c>
      <c r="D270" s="37" t="s">
        <v>79</v>
      </c>
      <c r="E270" s="37">
        <v>12394</v>
      </c>
      <c r="F270" s="37" t="s">
        <v>181</v>
      </c>
      <c r="G270" s="37" t="s">
        <v>154</v>
      </c>
      <c r="H270" s="37" t="s">
        <v>106</v>
      </c>
      <c r="I270" s="38"/>
      <c r="J270" s="37">
        <v>27444590</v>
      </c>
      <c r="K270" s="37" t="s">
        <v>187</v>
      </c>
      <c r="L270" s="37" t="str">
        <f>_xlfn.XLOOKUP(Tabla2__2[[#This Row],[CODIGO RUTA]],'DATA INFORME'!I:I,'DATA INFORME'!K:K)</f>
        <v xml:space="preserve"> NO</v>
      </c>
      <c r="M270" s="37" t="str">
        <f>IF(Tabla2__2[[#This Row],[MYSTERY EFECTIVO]]="SI",_xlfn.XLOOKUP(Tabla2__2[[#This Row],[PREGUNTA]],ENCUESTA!G:G,ENCUESTA!D:D),"N/A")</f>
        <v>N/A</v>
      </c>
      <c r="N2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0" s="37" t="str">
        <f>_xlfn.XLOOKUP(Tabla2__2[[#This Row],[PREGUNTA]],ENCUESTA!G:G,ENCUESTA!H:H)</f>
        <v>SI</v>
      </c>
      <c r="P270" s="37">
        <f>IF(Tabla2__2[[#This Row],[RTA]]=Tabla2__2[[#This Row],[RTA CORRECTA]],Tabla2__2[[#This Row],[TOTAL PUNTAJE]],0)</f>
        <v>0</v>
      </c>
      <c r="Q270" s="37">
        <f t="shared" si="4"/>
        <v>0</v>
      </c>
      <c r="R270" s="37"/>
    </row>
    <row r="271" spans="1:18" x14ac:dyDescent="0.25">
      <c r="A271" s="37" t="s">
        <v>107</v>
      </c>
      <c r="B271" s="37" t="s">
        <v>8</v>
      </c>
      <c r="C271" t="s">
        <v>15</v>
      </c>
      <c r="D271" s="37" t="s">
        <v>79</v>
      </c>
      <c r="E271" s="37">
        <v>12394</v>
      </c>
      <c r="F271" s="37" t="s">
        <v>181</v>
      </c>
      <c r="G271" s="37" t="s">
        <v>153</v>
      </c>
      <c r="H271" s="37" t="s">
        <v>106</v>
      </c>
      <c r="I271" s="38"/>
      <c r="J271" s="37">
        <v>27444590</v>
      </c>
      <c r="K271" s="37" t="s">
        <v>187</v>
      </c>
      <c r="L271" s="37" t="str">
        <f>_xlfn.XLOOKUP(Tabla2__2[[#This Row],[CODIGO RUTA]],'DATA INFORME'!I:I,'DATA INFORME'!K:K)</f>
        <v xml:space="preserve"> NO</v>
      </c>
      <c r="M271" s="37" t="str">
        <f>IF(Tabla2__2[[#This Row],[MYSTERY EFECTIVO]]="SI",_xlfn.XLOOKUP(Tabla2__2[[#This Row],[PREGUNTA]],ENCUESTA!G:G,ENCUESTA!D:D),"N/A")</f>
        <v>N/A</v>
      </c>
      <c r="N2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1" s="37" t="str">
        <f>_xlfn.XLOOKUP(Tabla2__2[[#This Row],[PREGUNTA]],ENCUESTA!G:G,ENCUESTA!H:H)</f>
        <v>SI</v>
      </c>
      <c r="P271" s="37">
        <f>IF(Tabla2__2[[#This Row],[RTA]]=Tabla2__2[[#This Row],[RTA CORRECTA]],Tabla2__2[[#This Row],[TOTAL PUNTAJE]],0)</f>
        <v>0</v>
      </c>
      <c r="Q271" s="37">
        <f t="shared" si="4"/>
        <v>0</v>
      </c>
      <c r="R271" s="37"/>
    </row>
    <row r="272" spans="1:18" x14ac:dyDescent="0.25">
      <c r="A272" s="37" t="s">
        <v>107</v>
      </c>
      <c r="B272" s="37" t="s">
        <v>8</v>
      </c>
      <c r="C272" t="s">
        <v>15</v>
      </c>
      <c r="D272" s="37" t="s">
        <v>79</v>
      </c>
      <c r="E272" s="37">
        <v>12394</v>
      </c>
      <c r="F272" s="37" t="s">
        <v>181</v>
      </c>
      <c r="G272" s="37" t="s">
        <v>152</v>
      </c>
      <c r="H272" s="37" t="s">
        <v>188</v>
      </c>
      <c r="I272" s="38"/>
      <c r="J272" s="37">
        <v>27444590</v>
      </c>
      <c r="K272" s="37" t="s">
        <v>187</v>
      </c>
      <c r="L272" s="37" t="str">
        <f>_xlfn.XLOOKUP(Tabla2__2[[#This Row],[CODIGO RUTA]],'DATA INFORME'!I:I,'DATA INFORME'!K:K)</f>
        <v xml:space="preserve"> NO</v>
      </c>
      <c r="M272" s="37" t="str">
        <f>IF(Tabla2__2[[#This Row],[MYSTERY EFECTIVO]]="SI",_xlfn.XLOOKUP(Tabla2__2[[#This Row],[PREGUNTA]],ENCUESTA!G:G,ENCUESTA!D:D),"N/A")</f>
        <v>N/A</v>
      </c>
      <c r="N2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2" s="37" t="str">
        <f>_xlfn.XLOOKUP(Tabla2__2[[#This Row],[PREGUNTA]],ENCUESTA!G:G,ENCUESTA!H:H)</f>
        <v>FALTA DE PRODUCTO, NO LE INTERESA EL PRODUCTO, NO TIENE DINERO, PREFIERE LA COMPETENCIA</v>
      </c>
      <c r="P272" s="37">
        <f>IF(Tabla2__2[[#This Row],[RTA]]=Tabla2__2[[#This Row],[RTA CORRECTA]],Tabla2__2[[#This Row],[TOTAL PUNTAJE]],0)</f>
        <v>0</v>
      </c>
      <c r="Q272" s="37">
        <f t="shared" si="4"/>
        <v>0</v>
      </c>
      <c r="R272" s="37"/>
    </row>
    <row r="273" spans="1:18" x14ac:dyDescent="0.25">
      <c r="A273" s="37" t="s">
        <v>107</v>
      </c>
      <c r="B273" s="37" t="s">
        <v>8</v>
      </c>
      <c r="C273" t="s">
        <v>14</v>
      </c>
      <c r="D273" s="37" t="s">
        <v>79</v>
      </c>
      <c r="E273" s="37">
        <v>108903</v>
      </c>
      <c r="F273" s="37" t="s">
        <v>191</v>
      </c>
      <c r="G273" s="37" t="s">
        <v>99</v>
      </c>
      <c r="H273" s="37" t="s">
        <v>20</v>
      </c>
      <c r="I273" s="38"/>
      <c r="J273" s="37">
        <v>27450345</v>
      </c>
      <c r="K273" s="37" t="s">
        <v>187</v>
      </c>
      <c r="L273" s="37" t="str">
        <f>_xlfn.XLOOKUP(Tabla2__2[[#This Row],[CODIGO RUTA]],'DATA INFORME'!I:I,'DATA INFORME'!K:K)</f>
        <v>SI</v>
      </c>
      <c r="M273" s="37" t="str">
        <f>IF(Tabla2__2[[#This Row],[MYSTERY EFECTIVO]]="SI",_xlfn.XLOOKUP(Tabla2__2[[#This Row],[PREGUNTA]],ENCUESTA!G:G,ENCUESTA!D:D),"N/A")</f>
        <v>UNIFORME</v>
      </c>
      <c r="N2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73" s="37" t="str">
        <f>_xlfn.XLOOKUP(Tabla2__2[[#This Row],[PREGUNTA]],ENCUESTA!G:G,ENCUESTA!H:H)</f>
        <v>SI</v>
      </c>
      <c r="P273" s="37">
        <f>IF(Tabla2__2[[#This Row],[RTA]]=Tabla2__2[[#This Row],[RTA CORRECTA]],Tabla2__2[[#This Row],[TOTAL PUNTAJE]],0)</f>
        <v>1.3636363636363635</v>
      </c>
      <c r="Q273" s="37">
        <f t="shared" si="4"/>
        <v>0</v>
      </c>
      <c r="R273" s="37"/>
    </row>
    <row r="274" spans="1:18" x14ac:dyDescent="0.25">
      <c r="A274" s="37" t="s">
        <v>107</v>
      </c>
      <c r="B274" s="37" t="s">
        <v>8</v>
      </c>
      <c r="C274" t="s">
        <v>15</v>
      </c>
      <c r="D274" s="37" t="s">
        <v>79</v>
      </c>
      <c r="E274" s="37">
        <v>12394</v>
      </c>
      <c r="F274" s="37" t="s">
        <v>181</v>
      </c>
      <c r="G274" s="37" t="s">
        <v>146</v>
      </c>
      <c r="H274" s="37" t="s">
        <v>106</v>
      </c>
      <c r="I274" s="38"/>
      <c r="J274" s="37">
        <v>27444590</v>
      </c>
      <c r="K274" s="37" t="s">
        <v>187</v>
      </c>
      <c r="L274" s="37" t="str">
        <f>_xlfn.XLOOKUP(Tabla2__2[[#This Row],[CODIGO RUTA]],'DATA INFORME'!I:I,'DATA INFORME'!K:K)</f>
        <v xml:space="preserve"> NO</v>
      </c>
      <c r="M274" s="37" t="str">
        <f>IF(Tabla2__2[[#This Row],[MYSTERY EFECTIVO]]="SI",_xlfn.XLOOKUP(Tabla2__2[[#This Row],[PREGUNTA]],ENCUESTA!G:G,ENCUESTA!D:D),"N/A")</f>
        <v>N/A</v>
      </c>
      <c r="N2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4" s="37" t="str">
        <f>_xlfn.XLOOKUP(Tabla2__2[[#This Row],[PREGUNTA]],ENCUESTA!G:G,ENCUESTA!H:H)</f>
        <v>SI</v>
      </c>
      <c r="P274" s="37">
        <f>IF(Tabla2__2[[#This Row],[RTA]]=Tabla2__2[[#This Row],[RTA CORRECTA]],Tabla2__2[[#This Row],[TOTAL PUNTAJE]],0)</f>
        <v>0</v>
      </c>
      <c r="Q274" s="37">
        <f t="shared" si="4"/>
        <v>0</v>
      </c>
      <c r="R274" s="37"/>
    </row>
    <row r="275" spans="1:18" x14ac:dyDescent="0.25">
      <c r="A275" s="37" t="s">
        <v>107</v>
      </c>
      <c r="B275" s="37" t="s">
        <v>8</v>
      </c>
      <c r="C275" t="s">
        <v>15</v>
      </c>
      <c r="D275" s="37" t="s">
        <v>79</v>
      </c>
      <c r="E275" s="37">
        <v>12394</v>
      </c>
      <c r="F275" s="37" t="s">
        <v>181</v>
      </c>
      <c r="G275" s="37" t="s">
        <v>144</v>
      </c>
      <c r="H275" s="37" t="s">
        <v>106</v>
      </c>
      <c r="I275" s="38"/>
      <c r="J275" s="37">
        <v>27444590</v>
      </c>
      <c r="K275" s="37" t="s">
        <v>187</v>
      </c>
      <c r="L275" s="37" t="str">
        <f>_xlfn.XLOOKUP(Tabla2__2[[#This Row],[CODIGO RUTA]],'DATA INFORME'!I:I,'DATA INFORME'!K:K)</f>
        <v xml:space="preserve"> NO</v>
      </c>
      <c r="M275" s="37" t="str">
        <f>IF(Tabla2__2[[#This Row],[MYSTERY EFECTIVO]]="SI",_xlfn.XLOOKUP(Tabla2__2[[#This Row],[PREGUNTA]],ENCUESTA!G:G,ENCUESTA!D:D),"N/A")</f>
        <v>N/A</v>
      </c>
      <c r="N2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5" s="37" t="str">
        <f>_xlfn.XLOOKUP(Tabla2__2[[#This Row],[PREGUNTA]],ENCUESTA!G:G,ENCUESTA!H:H)</f>
        <v>SI</v>
      </c>
      <c r="P275" s="37">
        <f>IF(Tabla2__2[[#This Row],[RTA]]=Tabla2__2[[#This Row],[RTA CORRECTA]],Tabla2__2[[#This Row],[TOTAL PUNTAJE]],0)</f>
        <v>0</v>
      </c>
      <c r="Q275" s="37">
        <f t="shared" si="4"/>
        <v>0</v>
      </c>
      <c r="R275" s="37"/>
    </row>
    <row r="276" spans="1:18" x14ac:dyDescent="0.25">
      <c r="A276" s="37" t="s">
        <v>107</v>
      </c>
      <c r="B276" s="37" t="s">
        <v>8</v>
      </c>
      <c r="C276" t="s">
        <v>15</v>
      </c>
      <c r="D276" s="37" t="s">
        <v>79</v>
      </c>
      <c r="E276" s="37">
        <v>12394</v>
      </c>
      <c r="F276" s="37" t="s">
        <v>181</v>
      </c>
      <c r="G276" s="37" t="s">
        <v>143</v>
      </c>
      <c r="H276" s="37" t="s">
        <v>106</v>
      </c>
      <c r="I276" s="38"/>
      <c r="J276" s="37">
        <v>27444590</v>
      </c>
      <c r="K276" s="37" t="s">
        <v>187</v>
      </c>
      <c r="L276" s="37" t="str">
        <f>_xlfn.XLOOKUP(Tabla2__2[[#This Row],[CODIGO RUTA]],'DATA INFORME'!I:I,'DATA INFORME'!K:K)</f>
        <v xml:space="preserve"> NO</v>
      </c>
      <c r="M276" s="37" t="str">
        <f>IF(Tabla2__2[[#This Row],[MYSTERY EFECTIVO]]="SI",_xlfn.XLOOKUP(Tabla2__2[[#This Row],[PREGUNTA]],ENCUESTA!G:G,ENCUESTA!D:D),"N/A")</f>
        <v>N/A</v>
      </c>
      <c r="N2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6" s="37" t="str">
        <f>_xlfn.XLOOKUP(Tabla2__2[[#This Row],[PREGUNTA]],ENCUESTA!G:G,ENCUESTA!H:H)</f>
        <v>SI</v>
      </c>
      <c r="P276" s="37">
        <f>IF(Tabla2__2[[#This Row],[RTA]]=Tabla2__2[[#This Row],[RTA CORRECTA]],Tabla2__2[[#This Row],[TOTAL PUNTAJE]],0)</f>
        <v>0</v>
      </c>
      <c r="Q276" s="37">
        <f t="shared" si="4"/>
        <v>0</v>
      </c>
      <c r="R276" s="37"/>
    </row>
    <row r="277" spans="1:18" x14ac:dyDescent="0.25">
      <c r="A277" s="37" t="s">
        <v>107</v>
      </c>
      <c r="B277" s="37" t="s">
        <v>8</v>
      </c>
      <c r="C277" t="s">
        <v>15</v>
      </c>
      <c r="D277" s="37" t="s">
        <v>79</v>
      </c>
      <c r="E277" s="37">
        <v>12394</v>
      </c>
      <c r="F277" s="37" t="s">
        <v>181</v>
      </c>
      <c r="G277" s="37" t="s">
        <v>142</v>
      </c>
      <c r="H277" s="37" t="s">
        <v>106</v>
      </c>
      <c r="I277" s="38"/>
      <c r="J277" s="37">
        <v>27444590</v>
      </c>
      <c r="K277" s="37" t="s">
        <v>187</v>
      </c>
      <c r="L277" s="37" t="str">
        <f>_xlfn.XLOOKUP(Tabla2__2[[#This Row],[CODIGO RUTA]],'DATA INFORME'!I:I,'DATA INFORME'!K:K)</f>
        <v xml:space="preserve"> NO</v>
      </c>
      <c r="M277" s="37" t="str">
        <f>IF(Tabla2__2[[#This Row],[MYSTERY EFECTIVO]]="SI",_xlfn.XLOOKUP(Tabla2__2[[#This Row],[PREGUNTA]],ENCUESTA!G:G,ENCUESTA!D:D),"N/A")</f>
        <v>N/A</v>
      </c>
      <c r="N2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7" s="37" t="str">
        <f>_xlfn.XLOOKUP(Tabla2__2[[#This Row],[PREGUNTA]],ENCUESTA!G:G,ENCUESTA!H:H)</f>
        <v>SI</v>
      </c>
      <c r="P277" s="37">
        <f>IF(Tabla2__2[[#This Row],[RTA]]=Tabla2__2[[#This Row],[RTA CORRECTA]],Tabla2__2[[#This Row],[TOTAL PUNTAJE]],0)</f>
        <v>0</v>
      </c>
      <c r="Q277" s="37">
        <f t="shared" si="4"/>
        <v>0</v>
      </c>
      <c r="R277" s="37"/>
    </row>
    <row r="278" spans="1:18" x14ac:dyDescent="0.25">
      <c r="A278" s="37" t="s">
        <v>107</v>
      </c>
      <c r="B278" s="37" t="s">
        <v>8</v>
      </c>
      <c r="C278" t="s">
        <v>15</v>
      </c>
      <c r="D278" s="37" t="s">
        <v>79</v>
      </c>
      <c r="E278" s="37">
        <v>12394</v>
      </c>
      <c r="F278" s="37" t="s">
        <v>181</v>
      </c>
      <c r="G278" s="37" t="s">
        <v>141</v>
      </c>
      <c r="H278" s="37" t="s">
        <v>106</v>
      </c>
      <c r="I278" s="38"/>
      <c r="J278" s="37">
        <v>27444590</v>
      </c>
      <c r="K278" s="37" t="s">
        <v>187</v>
      </c>
      <c r="L278" s="37" t="str">
        <f>_xlfn.XLOOKUP(Tabla2__2[[#This Row],[CODIGO RUTA]],'DATA INFORME'!I:I,'DATA INFORME'!K:K)</f>
        <v xml:space="preserve"> NO</v>
      </c>
      <c r="M278" s="37" t="str">
        <f>IF(Tabla2__2[[#This Row],[MYSTERY EFECTIVO]]="SI",_xlfn.XLOOKUP(Tabla2__2[[#This Row],[PREGUNTA]],ENCUESTA!G:G,ENCUESTA!D:D),"N/A")</f>
        <v>N/A</v>
      </c>
      <c r="N2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8" s="37" t="str">
        <f>_xlfn.XLOOKUP(Tabla2__2[[#This Row],[PREGUNTA]],ENCUESTA!G:G,ENCUESTA!H:H)</f>
        <v>SI</v>
      </c>
      <c r="P278" s="37">
        <f>IF(Tabla2__2[[#This Row],[RTA]]=Tabla2__2[[#This Row],[RTA CORRECTA]],Tabla2__2[[#This Row],[TOTAL PUNTAJE]],0)</f>
        <v>0</v>
      </c>
      <c r="Q278" s="37">
        <f t="shared" si="4"/>
        <v>0</v>
      </c>
      <c r="R278" s="37"/>
    </row>
    <row r="279" spans="1:18" x14ac:dyDescent="0.25">
      <c r="A279" s="37" t="s">
        <v>107</v>
      </c>
      <c r="B279" s="37" t="s">
        <v>8</v>
      </c>
      <c r="C279" t="s">
        <v>15</v>
      </c>
      <c r="D279" s="37" t="s">
        <v>79</v>
      </c>
      <c r="E279" s="37">
        <v>12394</v>
      </c>
      <c r="F279" s="37" t="s">
        <v>181</v>
      </c>
      <c r="G279" s="37" t="s">
        <v>140</v>
      </c>
      <c r="H279" s="37" t="s">
        <v>106</v>
      </c>
      <c r="I279" s="38"/>
      <c r="J279" s="37">
        <v>27444590</v>
      </c>
      <c r="K279" s="37" t="s">
        <v>187</v>
      </c>
      <c r="L279" s="37" t="str">
        <f>_xlfn.XLOOKUP(Tabla2__2[[#This Row],[CODIGO RUTA]],'DATA INFORME'!I:I,'DATA INFORME'!K:K)</f>
        <v xml:space="preserve"> NO</v>
      </c>
      <c r="M279" s="37" t="str">
        <f>IF(Tabla2__2[[#This Row],[MYSTERY EFECTIVO]]="SI",_xlfn.XLOOKUP(Tabla2__2[[#This Row],[PREGUNTA]],ENCUESTA!G:G,ENCUESTA!D:D),"N/A")</f>
        <v>N/A</v>
      </c>
      <c r="N2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9" s="37" t="str">
        <f>_xlfn.XLOOKUP(Tabla2__2[[#This Row],[PREGUNTA]],ENCUESTA!G:G,ENCUESTA!H:H)</f>
        <v>SI</v>
      </c>
      <c r="P279" s="37">
        <f>IF(Tabla2__2[[#This Row],[RTA]]=Tabla2__2[[#This Row],[RTA CORRECTA]],Tabla2__2[[#This Row],[TOTAL PUNTAJE]],0)</f>
        <v>0</v>
      </c>
      <c r="Q279" s="37">
        <f t="shared" si="4"/>
        <v>0</v>
      </c>
      <c r="R279" s="37"/>
    </row>
    <row r="280" spans="1:18" x14ac:dyDescent="0.25">
      <c r="A280" s="37" t="s">
        <v>107</v>
      </c>
      <c r="B280" s="37" t="s">
        <v>8</v>
      </c>
      <c r="C280" t="s">
        <v>15</v>
      </c>
      <c r="D280" s="37" t="s">
        <v>79</v>
      </c>
      <c r="E280" s="37">
        <v>12394</v>
      </c>
      <c r="F280" s="37" t="s">
        <v>181</v>
      </c>
      <c r="G280" s="37" t="s">
        <v>139</v>
      </c>
      <c r="H280" s="37" t="s">
        <v>15</v>
      </c>
      <c r="I280" s="38"/>
      <c r="J280" s="37">
        <v>27444590</v>
      </c>
      <c r="K280" s="37" t="s">
        <v>187</v>
      </c>
      <c r="L280" s="37" t="str">
        <f>_xlfn.XLOOKUP(Tabla2__2[[#This Row],[CODIGO RUTA]],'DATA INFORME'!I:I,'DATA INFORME'!K:K)</f>
        <v xml:space="preserve"> NO</v>
      </c>
      <c r="M280" s="37" t="str">
        <f>IF(Tabla2__2[[#This Row],[MYSTERY EFECTIVO]]="SI",_xlfn.XLOOKUP(Tabla2__2[[#This Row],[PREGUNTA]],ENCUESTA!G:G,ENCUESTA!D:D),"N/A")</f>
        <v>N/A</v>
      </c>
      <c r="N2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0" s="37" t="str">
        <f>_xlfn.XLOOKUP(Tabla2__2[[#This Row],[PREGUNTA]],ENCUESTA!G:G,ENCUESTA!H:H)</f>
        <v>MODERNO, ESPECIALIZADO</v>
      </c>
      <c r="P280" s="37">
        <f>IF(Tabla2__2[[#This Row],[RTA]]=Tabla2__2[[#This Row],[RTA CORRECTA]],Tabla2__2[[#This Row],[TOTAL PUNTAJE]],0)</f>
        <v>0</v>
      </c>
      <c r="Q280" s="37">
        <f t="shared" si="4"/>
        <v>0</v>
      </c>
      <c r="R280" s="37"/>
    </row>
    <row r="281" spans="1:18" x14ac:dyDescent="0.25">
      <c r="A281" s="37" t="s">
        <v>107</v>
      </c>
      <c r="B281" s="37" t="s">
        <v>8</v>
      </c>
      <c r="C281" t="s">
        <v>15</v>
      </c>
      <c r="D281" s="37" t="s">
        <v>79</v>
      </c>
      <c r="E281" s="37">
        <v>12394</v>
      </c>
      <c r="F281" s="37" t="s">
        <v>181</v>
      </c>
      <c r="G281" s="37" t="s">
        <v>138</v>
      </c>
      <c r="H281" s="37" t="s">
        <v>106</v>
      </c>
      <c r="I281" s="38"/>
      <c r="J281" s="37">
        <v>27444590</v>
      </c>
      <c r="K281" s="37" t="s">
        <v>187</v>
      </c>
      <c r="L281" s="37" t="str">
        <f>_xlfn.XLOOKUP(Tabla2__2[[#This Row],[CODIGO RUTA]],'DATA INFORME'!I:I,'DATA INFORME'!K:K)</f>
        <v xml:space="preserve"> NO</v>
      </c>
      <c r="M281" s="37" t="str">
        <f>IF(Tabla2__2[[#This Row],[MYSTERY EFECTIVO]]="SI",_xlfn.XLOOKUP(Tabla2__2[[#This Row],[PREGUNTA]],ENCUESTA!G:G,ENCUESTA!D:D),"N/A")</f>
        <v>N/A</v>
      </c>
      <c r="N2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1" s="37" t="str">
        <f>_xlfn.XLOOKUP(Tabla2__2[[#This Row],[PREGUNTA]],ENCUESTA!G:G,ENCUESTA!H:H)</f>
        <v>SI</v>
      </c>
      <c r="P281" s="37">
        <f>IF(Tabla2__2[[#This Row],[RTA]]=Tabla2__2[[#This Row],[RTA CORRECTA]],Tabla2__2[[#This Row],[TOTAL PUNTAJE]],0)</f>
        <v>0</v>
      </c>
      <c r="Q281" s="37">
        <f t="shared" si="4"/>
        <v>0</v>
      </c>
      <c r="R281" s="37"/>
    </row>
    <row r="282" spans="1:18" x14ac:dyDescent="0.25">
      <c r="A282" s="37" t="s">
        <v>107</v>
      </c>
      <c r="B282" s="37" t="s">
        <v>8</v>
      </c>
      <c r="C282" t="s">
        <v>15</v>
      </c>
      <c r="D282" s="37" t="s">
        <v>79</v>
      </c>
      <c r="E282" s="37">
        <v>12394</v>
      </c>
      <c r="F282" s="37" t="s">
        <v>181</v>
      </c>
      <c r="G282" s="37" t="s">
        <v>137</v>
      </c>
      <c r="H282" s="37" t="s">
        <v>106</v>
      </c>
      <c r="I282" s="38"/>
      <c r="J282" s="37">
        <v>27444590</v>
      </c>
      <c r="K282" s="37" t="s">
        <v>187</v>
      </c>
      <c r="L282" s="37" t="str">
        <f>_xlfn.XLOOKUP(Tabla2__2[[#This Row],[CODIGO RUTA]],'DATA INFORME'!I:I,'DATA INFORME'!K:K)</f>
        <v xml:space="preserve"> NO</v>
      </c>
      <c r="M282" s="37" t="str">
        <f>IF(Tabla2__2[[#This Row],[MYSTERY EFECTIVO]]="SI",_xlfn.XLOOKUP(Tabla2__2[[#This Row],[PREGUNTA]],ENCUESTA!G:G,ENCUESTA!D:D),"N/A")</f>
        <v>N/A</v>
      </c>
      <c r="N2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2" s="37" t="str">
        <f>_xlfn.XLOOKUP(Tabla2__2[[#This Row],[PREGUNTA]],ENCUESTA!G:G,ENCUESTA!H:H)</f>
        <v>SI</v>
      </c>
      <c r="P282" s="37">
        <f>IF(Tabla2__2[[#This Row],[RTA]]=Tabla2__2[[#This Row],[RTA CORRECTA]],Tabla2__2[[#This Row],[TOTAL PUNTAJE]],0)</f>
        <v>0</v>
      </c>
      <c r="Q282" s="37">
        <f t="shared" si="4"/>
        <v>0</v>
      </c>
      <c r="R282" s="37"/>
    </row>
    <row r="283" spans="1:18" x14ac:dyDescent="0.25">
      <c r="A283" s="37" t="s">
        <v>107</v>
      </c>
      <c r="B283" s="37" t="s">
        <v>8</v>
      </c>
      <c r="C283" t="s">
        <v>15</v>
      </c>
      <c r="D283" s="37" t="s">
        <v>79</v>
      </c>
      <c r="E283" s="37">
        <v>12394</v>
      </c>
      <c r="F283" s="37" t="s">
        <v>181</v>
      </c>
      <c r="G283" s="37" t="s">
        <v>136</v>
      </c>
      <c r="H283" s="37" t="s">
        <v>106</v>
      </c>
      <c r="I283" s="38"/>
      <c r="J283" s="37">
        <v>27444590</v>
      </c>
      <c r="K283" s="37" t="s">
        <v>187</v>
      </c>
      <c r="L283" s="37" t="str">
        <f>_xlfn.XLOOKUP(Tabla2__2[[#This Row],[CODIGO RUTA]],'DATA INFORME'!I:I,'DATA INFORME'!K:K)</f>
        <v xml:space="preserve"> NO</v>
      </c>
      <c r="M283" s="37" t="str">
        <f>IF(Tabla2__2[[#This Row],[MYSTERY EFECTIVO]]="SI",_xlfn.XLOOKUP(Tabla2__2[[#This Row],[PREGUNTA]],ENCUESTA!G:G,ENCUESTA!D:D),"N/A")</f>
        <v>N/A</v>
      </c>
      <c r="N2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3" s="37" t="str">
        <f>_xlfn.XLOOKUP(Tabla2__2[[#This Row],[PREGUNTA]],ENCUESTA!G:G,ENCUESTA!H:H)</f>
        <v>SI</v>
      </c>
      <c r="P283" s="37">
        <f>IF(Tabla2__2[[#This Row],[RTA]]=Tabla2__2[[#This Row],[RTA CORRECTA]],Tabla2__2[[#This Row],[TOTAL PUNTAJE]],0)</f>
        <v>0</v>
      </c>
      <c r="Q283" s="37">
        <f t="shared" si="4"/>
        <v>0</v>
      </c>
      <c r="R283" s="37"/>
    </row>
    <row r="284" spans="1:18" x14ac:dyDescent="0.25">
      <c r="A284" s="37" t="s">
        <v>107</v>
      </c>
      <c r="B284" s="37" t="s">
        <v>8</v>
      </c>
      <c r="C284" t="s">
        <v>15</v>
      </c>
      <c r="D284" s="37" t="s">
        <v>79</v>
      </c>
      <c r="E284" s="37">
        <v>12394</v>
      </c>
      <c r="F284" s="37" t="s">
        <v>181</v>
      </c>
      <c r="G284" s="37" t="s">
        <v>104</v>
      </c>
      <c r="H284" s="37" t="s">
        <v>106</v>
      </c>
      <c r="I284" s="38"/>
      <c r="J284" s="37">
        <v>27444590</v>
      </c>
      <c r="K284" s="37" t="s">
        <v>187</v>
      </c>
      <c r="L284" s="37" t="str">
        <f>_xlfn.XLOOKUP(Tabla2__2[[#This Row],[CODIGO RUTA]],'DATA INFORME'!I:I,'DATA INFORME'!K:K)</f>
        <v xml:space="preserve"> NO</v>
      </c>
      <c r="M284" s="37" t="str">
        <f>IF(Tabla2__2[[#This Row],[MYSTERY EFECTIVO]]="SI",_xlfn.XLOOKUP(Tabla2__2[[#This Row],[PREGUNTA]],ENCUESTA!G:G,ENCUESTA!D:D),"N/A")</f>
        <v>N/A</v>
      </c>
      <c r="N2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4" s="37" t="str">
        <f>_xlfn.XLOOKUP(Tabla2__2[[#This Row],[PREGUNTA]],ENCUESTA!G:G,ENCUESTA!H:H)</f>
        <v>NO</v>
      </c>
      <c r="P284" s="37">
        <f>IF(Tabla2__2[[#This Row],[RTA]]=Tabla2__2[[#This Row],[RTA CORRECTA]],Tabla2__2[[#This Row],[TOTAL PUNTAJE]],0)</f>
        <v>0</v>
      </c>
      <c r="Q284" s="37">
        <f t="shared" si="4"/>
        <v>0</v>
      </c>
      <c r="R284" s="37"/>
    </row>
    <row r="285" spans="1:18" x14ac:dyDescent="0.25">
      <c r="A285" s="37" t="s">
        <v>107</v>
      </c>
      <c r="B285" s="37" t="s">
        <v>8</v>
      </c>
      <c r="C285" t="s">
        <v>15</v>
      </c>
      <c r="D285" s="37" t="s">
        <v>79</v>
      </c>
      <c r="E285" s="37">
        <v>12394</v>
      </c>
      <c r="F285" s="37" t="s">
        <v>181</v>
      </c>
      <c r="G285" s="37" t="s">
        <v>103</v>
      </c>
      <c r="H285" s="37" t="s">
        <v>106</v>
      </c>
      <c r="I285" s="38"/>
      <c r="J285" s="37">
        <v>27444590</v>
      </c>
      <c r="K285" s="37" t="s">
        <v>187</v>
      </c>
      <c r="L285" s="37" t="str">
        <f>_xlfn.XLOOKUP(Tabla2__2[[#This Row],[CODIGO RUTA]],'DATA INFORME'!I:I,'DATA INFORME'!K:K)</f>
        <v xml:space="preserve"> NO</v>
      </c>
      <c r="M285" s="37" t="str">
        <f>IF(Tabla2__2[[#This Row],[MYSTERY EFECTIVO]]="SI",_xlfn.XLOOKUP(Tabla2__2[[#This Row],[PREGUNTA]],ENCUESTA!G:G,ENCUESTA!D:D),"N/A")</f>
        <v>N/A</v>
      </c>
      <c r="N2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5" s="37" t="str">
        <f>_xlfn.XLOOKUP(Tabla2__2[[#This Row],[PREGUNTA]],ENCUESTA!G:G,ENCUESTA!H:H)</f>
        <v>NO</v>
      </c>
      <c r="P285" s="37">
        <f>IF(Tabla2__2[[#This Row],[RTA]]=Tabla2__2[[#This Row],[RTA CORRECTA]],Tabla2__2[[#This Row],[TOTAL PUNTAJE]],0)</f>
        <v>0</v>
      </c>
      <c r="Q285" s="37">
        <f t="shared" si="4"/>
        <v>0</v>
      </c>
      <c r="R285" s="37"/>
    </row>
    <row r="286" spans="1:18" x14ac:dyDescent="0.25">
      <c r="A286" s="37" t="s">
        <v>107</v>
      </c>
      <c r="B286" s="37" t="s">
        <v>8</v>
      </c>
      <c r="C286" t="s">
        <v>15</v>
      </c>
      <c r="D286" s="37" t="s">
        <v>79</v>
      </c>
      <c r="E286" s="37">
        <v>12394</v>
      </c>
      <c r="F286" s="37" t="s">
        <v>181</v>
      </c>
      <c r="G286" s="37" t="s">
        <v>102</v>
      </c>
      <c r="H286" s="37" t="s">
        <v>106</v>
      </c>
      <c r="I286" s="38"/>
      <c r="J286" s="37">
        <v>27444590</v>
      </c>
      <c r="K286" s="37" t="s">
        <v>187</v>
      </c>
      <c r="L286" s="37" t="str">
        <f>_xlfn.XLOOKUP(Tabla2__2[[#This Row],[CODIGO RUTA]],'DATA INFORME'!I:I,'DATA INFORME'!K:K)</f>
        <v xml:space="preserve"> NO</v>
      </c>
      <c r="M286" s="37" t="str">
        <f>IF(Tabla2__2[[#This Row],[MYSTERY EFECTIVO]]="SI",_xlfn.XLOOKUP(Tabla2__2[[#This Row],[PREGUNTA]],ENCUESTA!G:G,ENCUESTA!D:D),"N/A")</f>
        <v>N/A</v>
      </c>
      <c r="N2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6" s="37" t="str">
        <f>_xlfn.XLOOKUP(Tabla2__2[[#This Row],[PREGUNTA]],ENCUESTA!G:G,ENCUESTA!H:H)</f>
        <v>NO</v>
      </c>
      <c r="P286" s="37">
        <f>IF(Tabla2__2[[#This Row],[RTA]]=Tabla2__2[[#This Row],[RTA CORRECTA]],Tabla2__2[[#This Row],[TOTAL PUNTAJE]],0)</f>
        <v>0</v>
      </c>
      <c r="Q286" s="37">
        <f t="shared" si="4"/>
        <v>0</v>
      </c>
      <c r="R286" s="37"/>
    </row>
    <row r="287" spans="1:18" x14ac:dyDescent="0.25">
      <c r="A287" s="37" t="s">
        <v>107</v>
      </c>
      <c r="B287" s="37" t="s">
        <v>8</v>
      </c>
      <c r="C287" t="s">
        <v>15</v>
      </c>
      <c r="D287" s="37" t="s">
        <v>79</v>
      </c>
      <c r="E287" s="37">
        <v>12394</v>
      </c>
      <c r="F287" s="37" t="s">
        <v>181</v>
      </c>
      <c r="G287" s="37" t="s">
        <v>101</v>
      </c>
      <c r="H287" s="37" t="s">
        <v>106</v>
      </c>
      <c r="I287" s="38"/>
      <c r="J287" s="37">
        <v>27444590</v>
      </c>
      <c r="K287" s="37" t="s">
        <v>187</v>
      </c>
      <c r="L287" s="37" t="str">
        <f>_xlfn.XLOOKUP(Tabla2__2[[#This Row],[CODIGO RUTA]],'DATA INFORME'!I:I,'DATA INFORME'!K:K)</f>
        <v xml:space="preserve"> NO</v>
      </c>
      <c r="M287" s="37" t="str">
        <f>IF(Tabla2__2[[#This Row],[MYSTERY EFECTIVO]]="SI",_xlfn.XLOOKUP(Tabla2__2[[#This Row],[PREGUNTA]],ENCUESTA!G:G,ENCUESTA!D:D),"N/A")</f>
        <v>N/A</v>
      </c>
      <c r="N2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7" s="37" t="str">
        <f>_xlfn.XLOOKUP(Tabla2__2[[#This Row],[PREGUNTA]],ENCUESTA!G:G,ENCUESTA!H:H)</f>
        <v>NO</v>
      </c>
      <c r="P287" s="37">
        <f>IF(Tabla2__2[[#This Row],[RTA]]=Tabla2__2[[#This Row],[RTA CORRECTA]],Tabla2__2[[#This Row],[TOTAL PUNTAJE]],0)</f>
        <v>0</v>
      </c>
      <c r="Q287" s="37">
        <f t="shared" si="4"/>
        <v>0</v>
      </c>
      <c r="R287" s="37"/>
    </row>
    <row r="288" spans="1:18" x14ac:dyDescent="0.25">
      <c r="A288" s="37" t="s">
        <v>107</v>
      </c>
      <c r="B288" s="37" t="s">
        <v>8</v>
      </c>
      <c r="C288" t="s">
        <v>15</v>
      </c>
      <c r="D288" s="37" t="s">
        <v>79</v>
      </c>
      <c r="E288" s="37">
        <v>12394</v>
      </c>
      <c r="F288" s="37" t="s">
        <v>181</v>
      </c>
      <c r="G288" s="37" t="s">
        <v>145</v>
      </c>
      <c r="H288" s="37" t="s">
        <v>106</v>
      </c>
      <c r="I288" s="38"/>
      <c r="J288" s="37">
        <v>27444590</v>
      </c>
      <c r="K288" s="37" t="s">
        <v>187</v>
      </c>
      <c r="L288" s="37" t="str">
        <f>_xlfn.XLOOKUP(Tabla2__2[[#This Row],[CODIGO RUTA]],'DATA INFORME'!I:I,'DATA INFORME'!K:K)</f>
        <v xml:space="preserve"> NO</v>
      </c>
      <c r="M288" s="37" t="str">
        <f>IF(Tabla2__2[[#This Row],[MYSTERY EFECTIVO]]="SI",_xlfn.XLOOKUP(Tabla2__2[[#This Row],[PREGUNTA]],ENCUESTA!G:G,ENCUESTA!D:D),"N/A")</f>
        <v>N/A</v>
      </c>
      <c r="N2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8" s="37" t="str">
        <f>_xlfn.XLOOKUP(Tabla2__2[[#This Row],[PREGUNTA]],ENCUESTA!G:G,ENCUESTA!H:H)</f>
        <v>SI</v>
      </c>
      <c r="P288" s="37">
        <f>IF(Tabla2__2[[#This Row],[RTA]]=Tabla2__2[[#This Row],[RTA CORRECTA]],Tabla2__2[[#This Row],[TOTAL PUNTAJE]],0)</f>
        <v>0</v>
      </c>
      <c r="Q288" s="37">
        <f t="shared" si="4"/>
        <v>0</v>
      </c>
      <c r="R288" s="37"/>
    </row>
    <row r="289" spans="1:18" x14ac:dyDescent="0.25">
      <c r="A289" s="37" t="s">
        <v>107</v>
      </c>
      <c r="B289" s="37" t="s">
        <v>8</v>
      </c>
      <c r="C289" t="s">
        <v>15</v>
      </c>
      <c r="D289" s="37" t="s">
        <v>79</v>
      </c>
      <c r="E289" s="37">
        <v>12394</v>
      </c>
      <c r="F289" s="37" t="s">
        <v>181</v>
      </c>
      <c r="G289" s="37" t="s">
        <v>100</v>
      </c>
      <c r="H289" s="37" t="s">
        <v>106</v>
      </c>
      <c r="I289" s="38"/>
      <c r="J289" s="37">
        <v>27444590</v>
      </c>
      <c r="K289" s="37" t="s">
        <v>187</v>
      </c>
      <c r="L289" s="37" t="str">
        <f>_xlfn.XLOOKUP(Tabla2__2[[#This Row],[CODIGO RUTA]],'DATA INFORME'!I:I,'DATA INFORME'!K:K)</f>
        <v xml:space="preserve"> NO</v>
      </c>
      <c r="M289" s="37" t="str">
        <f>IF(Tabla2__2[[#This Row],[MYSTERY EFECTIVO]]="SI",_xlfn.XLOOKUP(Tabla2__2[[#This Row],[PREGUNTA]],ENCUESTA!G:G,ENCUESTA!D:D),"N/A")</f>
        <v>N/A</v>
      </c>
      <c r="N2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9" s="37" t="str">
        <f>_xlfn.XLOOKUP(Tabla2__2[[#This Row],[PREGUNTA]],ENCUESTA!G:G,ENCUESTA!H:H)</f>
        <v>SI</v>
      </c>
      <c r="P289" s="37">
        <f>IF(Tabla2__2[[#This Row],[RTA]]=Tabla2__2[[#This Row],[RTA CORRECTA]],Tabla2__2[[#This Row],[TOTAL PUNTAJE]],0)</f>
        <v>0</v>
      </c>
      <c r="Q289" s="37">
        <f t="shared" si="4"/>
        <v>0</v>
      </c>
      <c r="R289" s="37"/>
    </row>
    <row r="290" spans="1:18" x14ac:dyDescent="0.25">
      <c r="A290" s="37" t="s">
        <v>107</v>
      </c>
      <c r="B290" s="37" t="s">
        <v>8</v>
      </c>
      <c r="C290" t="s">
        <v>14</v>
      </c>
      <c r="D290" s="37" t="s">
        <v>79</v>
      </c>
      <c r="E290" s="37">
        <v>108903</v>
      </c>
      <c r="F290" s="37" t="s">
        <v>191</v>
      </c>
      <c r="G290" s="37" t="s">
        <v>100</v>
      </c>
      <c r="H290" s="37" t="s">
        <v>20</v>
      </c>
      <c r="I290" s="38"/>
      <c r="J290" s="37">
        <v>27450345</v>
      </c>
      <c r="K290" s="37" t="s">
        <v>187</v>
      </c>
      <c r="L290" s="37" t="str">
        <f>_xlfn.XLOOKUP(Tabla2__2[[#This Row],[CODIGO RUTA]],'DATA INFORME'!I:I,'DATA INFORME'!K:K)</f>
        <v>SI</v>
      </c>
      <c r="M290" s="37" t="str">
        <f>IF(Tabla2__2[[#This Row],[MYSTERY EFECTIVO]]="SI",_xlfn.XLOOKUP(Tabla2__2[[#This Row],[PREGUNTA]],ENCUESTA!G:G,ENCUESTA!D:D),"N/A")</f>
        <v>UNIFORME</v>
      </c>
      <c r="N2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90" s="37" t="str">
        <f>_xlfn.XLOOKUP(Tabla2__2[[#This Row],[PREGUNTA]],ENCUESTA!G:G,ENCUESTA!H:H)</f>
        <v>SI</v>
      </c>
      <c r="P290" s="37">
        <f>IF(Tabla2__2[[#This Row],[RTA]]=Tabla2__2[[#This Row],[RTA CORRECTA]],Tabla2__2[[#This Row],[TOTAL PUNTAJE]],0)</f>
        <v>1.3636363636363635</v>
      </c>
      <c r="Q290" s="37">
        <f t="shared" si="4"/>
        <v>0</v>
      </c>
      <c r="R290" s="37"/>
    </row>
    <row r="291" spans="1:18" x14ac:dyDescent="0.25">
      <c r="A291" s="37" t="s">
        <v>107</v>
      </c>
      <c r="B291" s="37" t="s">
        <v>8</v>
      </c>
      <c r="C291" t="s">
        <v>14</v>
      </c>
      <c r="D291" s="37" t="s">
        <v>79</v>
      </c>
      <c r="E291" s="37">
        <v>108903</v>
      </c>
      <c r="F291" s="37" t="s">
        <v>191</v>
      </c>
      <c r="G291" s="37" t="s">
        <v>102</v>
      </c>
      <c r="H291" s="37" t="s">
        <v>106</v>
      </c>
      <c r="I291" s="38"/>
      <c r="J291" s="37">
        <v>27450345</v>
      </c>
      <c r="K291" s="37" t="s">
        <v>187</v>
      </c>
      <c r="L291" s="37" t="str">
        <f>_xlfn.XLOOKUP(Tabla2__2[[#This Row],[CODIGO RUTA]],'DATA INFORME'!I:I,'DATA INFORME'!K:K)</f>
        <v>SI</v>
      </c>
      <c r="M291" s="37" t="str">
        <f>IF(Tabla2__2[[#This Row],[MYSTERY EFECTIVO]]="SI",_xlfn.XLOOKUP(Tabla2__2[[#This Row],[PREGUNTA]],ENCUESTA!G:G,ENCUESTA!D:D),"N/A")</f>
        <v>UNIFORME</v>
      </c>
      <c r="N2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291" s="37" t="str">
        <f>_xlfn.XLOOKUP(Tabla2__2[[#This Row],[PREGUNTA]],ENCUESTA!G:G,ENCUESTA!H:H)</f>
        <v>NO</v>
      </c>
      <c r="P291" s="37">
        <f>IF(Tabla2__2[[#This Row],[RTA]]=Tabla2__2[[#This Row],[RTA CORRECTA]],Tabla2__2[[#This Row],[TOTAL PUNTAJE]],0)</f>
        <v>1.3636363636363635</v>
      </c>
      <c r="Q291" s="37">
        <f t="shared" si="4"/>
        <v>0</v>
      </c>
      <c r="R291" s="37"/>
    </row>
    <row r="292" spans="1:18" x14ac:dyDescent="0.25">
      <c r="A292" s="37" t="s">
        <v>107</v>
      </c>
      <c r="B292" s="37" t="s">
        <v>8</v>
      </c>
      <c r="C292" t="s">
        <v>14</v>
      </c>
      <c r="D292" s="37" t="s">
        <v>79</v>
      </c>
      <c r="E292" s="37">
        <v>454996</v>
      </c>
      <c r="F292" s="37" t="s">
        <v>196</v>
      </c>
      <c r="G292" s="37" t="s">
        <v>103</v>
      </c>
      <c r="H292" s="37" t="s">
        <v>106</v>
      </c>
      <c r="I292" s="38"/>
      <c r="J292" s="37">
        <v>27453760</v>
      </c>
      <c r="K292" s="37" t="s">
        <v>187</v>
      </c>
      <c r="L292" s="37" t="str">
        <f>_xlfn.XLOOKUP(Tabla2__2[[#This Row],[CODIGO RUTA]],'DATA INFORME'!I:I,'DATA INFORME'!K:K)</f>
        <v xml:space="preserve"> NO</v>
      </c>
      <c r="M292" s="37" t="str">
        <f>IF(Tabla2__2[[#This Row],[MYSTERY EFECTIVO]]="SI",_xlfn.XLOOKUP(Tabla2__2[[#This Row],[PREGUNTA]],ENCUESTA!G:G,ENCUESTA!D:D),"N/A")</f>
        <v>N/A</v>
      </c>
      <c r="N2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2" s="37" t="str">
        <f>_xlfn.XLOOKUP(Tabla2__2[[#This Row],[PREGUNTA]],ENCUESTA!G:G,ENCUESTA!H:H)</f>
        <v>NO</v>
      </c>
      <c r="P292" s="37">
        <f>IF(Tabla2__2[[#This Row],[RTA]]=Tabla2__2[[#This Row],[RTA CORRECTA]],Tabla2__2[[#This Row],[TOTAL PUNTAJE]],0)</f>
        <v>0</v>
      </c>
      <c r="Q292" s="37">
        <f t="shared" si="4"/>
        <v>0</v>
      </c>
      <c r="R292" s="37"/>
    </row>
    <row r="293" spans="1:18" x14ac:dyDescent="0.25">
      <c r="A293" s="37" t="s">
        <v>107</v>
      </c>
      <c r="B293" s="37" t="s">
        <v>8</v>
      </c>
      <c r="C293" t="s">
        <v>14</v>
      </c>
      <c r="D293" s="37" t="s">
        <v>79</v>
      </c>
      <c r="E293" s="37">
        <v>454996</v>
      </c>
      <c r="F293" s="37" t="s">
        <v>196</v>
      </c>
      <c r="G293" s="37" t="s">
        <v>102</v>
      </c>
      <c r="H293" s="37" t="s">
        <v>106</v>
      </c>
      <c r="I293" s="38"/>
      <c r="J293" s="37">
        <v>27453760</v>
      </c>
      <c r="K293" s="37" t="s">
        <v>187</v>
      </c>
      <c r="L293" s="37" t="str">
        <f>_xlfn.XLOOKUP(Tabla2__2[[#This Row],[CODIGO RUTA]],'DATA INFORME'!I:I,'DATA INFORME'!K:K)</f>
        <v xml:space="preserve"> NO</v>
      </c>
      <c r="M293" s="37" t="str">
        <f>IF(Tabla2__2[[#This Row],[MYSTERY EFECTIVO]]="SI",_xlfn.XLOOKUP(Tabla2__2[[#This Row],[PREGUNTA]],ENCUESTA!G:G,ENCUESTA!D:D),"N/A")</f>
        <v>N/A</v>
      </c>
      <c r="N2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3" s="37" t="str">
        <f>_xlfn.XLOOKUP(Tabla2__2[[#This Row],[PREGUNTA]],ENCUESTA!G:G,ENCUESTA!H:H)</f>
        <v>NO</v>
      </c>
      <c r="P293" s="37">
        <f>IF(Tabla2__2[[#This Row],[RTA]]=Tabla2__2[[#This Row],[RTA CORRECTA]],Tabla2__2[[#This Row],[TOTAL PUNTAJE]],0)</f>
        <v>0</v>
      </c>
      <c r="Q293" s="37">
        <f t="shared" si="4"/>
        <v>0</v>
      </c>
      <c r="R293" s="37"/>
    </row>
    <row r="294" spans="1:18" x14ac:dyDescent="0.25">
      <c r="A294" s="37" t="s">
        <v>107</v>
      </c>
      <c r="B294" s="37" t="s">
        <v>8</v>
      </c>
      <c r="C294" t="s">
        <v>14</v>
      </c>
      <c r="D294" s="37" t="s">
        <v>79</v>
      </c>
      <c r="E294" s="37">
        <v>454996</v>
      </c>
      <c r="F294" s="37" t="s">
        <v>196</v>
      </c>
      <c r="G294" s="37" t="s">
        <v>101</v>
      </c>
      <c r="H294" s="37" t="s">
        <v>106</v>
      </c>
      <c r="I294" s="38"/>
      <c r="J294" s="37">
        <v>27453760</v>
      </c>
      <c r="K294" s="37" t="s">
        <v>187</v>
      </c>
      <c r="L294" s="37" t="str">
        <f>_xlfn.XLOOKUP(Tabla2__2[[#This Row],[CODIGO RUTA]],'DATA INFORME'!I:I,'DATA INFORME'!K:K)</f>
        <v xml:space="preserve"> NO</v>
      </c>
      <c r="M294" s="37" t="str">
        <f>IF(Tabla2__2[[#This Row],[MYSTERY EFECTIVO]]="SI",_xlfn.XLOOKUP(Tabla2__2[[#This Row],[PREGUNTA]],ENCUESTA!G:G,ENCUESTA!D:D),"N/A")</f>
        <v>N/A</v>
      </c>
      <c r="N2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4" s="37" t="str">
        <f>_xlfn.XLOOKUP(Tabla2__2[[#This Row],[PREGUNTA]],ENCUESTA!G:G,ENCUESTA!H:H)</f>
        <v>NO</v>
      </c>
      <c r="P294" s="37">
        <f>IF(Tabla2__2[[#This Row],[RTA]]=Tabla2__2[[#This Row],[RTA CORRECTA]],Tabla2__2[[#This Row],[TOTAL PUNTAJE]],0)</f>
        <v>0</v>
      </c>
      <c r="Q294" s="37">
        <f t="shared" si="4"/>
        <v>0</v>
      </c>
      <c r="R294" s="37"/>
    </row>
    <row r="295" spans="1:18" x14ac:dyDescent="0.25">
      <c r="A295" s="37" t="s">
        <v>107</v>
      </c>
      <c r="B295" s="37" t="s">
        <v>8</v>
      </c>
      <c r="C295" t="s">
        <v>14</v>
      </c>
      <c r="D295" s="37" t="s">
        <v>79</v>
      </c>
      <c r="E295" s="37">
        <v>454996</v>
      </c>
      <c r="F295" s="37" t="s">
        <v>196</v>
      </c>
      <c r="G295" s="37" t="s">
        <v>100</v>
      </c>
      <c r="H295" s="37" t="s">
        <v>106</v>
      </c>
      <c r="I295" s="38"/>
      <c r="J295" s="37">
        <v>27453760</v>
      </c>
      <c r="K295" s="37" t="s">
        <v>187</v>
      </c>
      <c r="L295" s="37" t="str">
        <f>_xlfn.XLOOKUP(Tabla2__2[[#This Row],[CODIGO RUTA]],'DATA INFORME'!I:I,'DATA INFORME'!K:K)</f>
        <v xml:space="preserve"> NO</v>
      </c>
      <c r="M295" s="37" t="str">
        <f>IF(Tabla2__2[[#This Row],[MYSTERY EFECTIVO]]="SI",_xlfn.XLOOKUP(Tabla2__2[[#This Row],[PREGUNTA]],ENCUESTA!G:G,ENCUESTA!D:D),"N/A")</f>
        <v>N/A</v>
      </c>
      <c r="N2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5" s="37" t="str">
        <f>_xlfn.XLOOKUP(Tabla2__2[[#This Row],[PREGUNTA]],ENCUESTA!G:G,ENCUESTA!H:H)</f>
        <v>SI</v>
      </c>
      <c r="P295" s="37">
        <f>IF(Tabla2__2[[#This Row],[RTA]]=Tabla2__2[[#This Row],[RTA CORRECTA]],Tabla2__2[[#This Row],[TOTAL PUNTAJE]],0)</f>
        <v>0</v>
      </c>
      <c r="Q295" s="37">
        <f t="shared" si="4"/>
        <v>0</v>
      </c>
      <c r="R295" s="37"/>
    </row>
    <row r="296" spans="1:18" x14ac:dyDescent="0.25">
      <c r="A296" s="37" t="s">
        <v>107</v>
      </c>
      <c r="B296" s="37" t="s">
        <v>8</v>
      </c>
      <c r="C296" t="s">
        <v>14</v>
      </c>
      <c r="D296" s="37" t="s">
        <v>79</v>
      </c>
      <c r="E296" s="37">
        <v>454996</v>
      </c>
      <c r="F296" s="37" t="s">
        <v>196</v>
      </c>
      <c r="G296" s="37" t="s">
        <v>99</v>
      </c>
      <c r="H296" s="37" t="s">
        <v>106</v>
      </c>
      <c r="I296" s="38"/>
      <c r="J296" s="37">
        <v>27453760</v>
      </c>
      <c r="K296" s="37" t="s">
        <v>187</v>
      </c>
      <c r="L296" s="37" t="str">
        <f>_xlfn.XLOOKUP(Tabla2__2[[#This Row],[CODIGO RUTA]],'DATA INFORME'!I:I,'DATA INFORME'!K:K)</f>
        <v xml:space="preserve"> NO</v>
      </c>
      <c r="M296" s="37" t="str">
        <f>IF(Tabla2__2[[#This Row],[MYSTERY EFECTIVO]]="SI",_xlfn.XLOOKUP(Tabla2__2[[#This Row],[PREGUNTA]],ENCUESTA!G:G,ENCUESTA!D:D),"N/A")</f>
        <v>N/A</v>
      </c>
      <c r="N2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6" s="37" t="str">
        <f>_xlfn.XLOOKUP(Tabla2__2[[#This Row],[PREGUNTA]],ENCUESTA!G:G,ENCUESTA!H:H)</f>
        <v>SI</v>
      </c>
      <c r="P296" s="37">
        <f>IF(Tabla2__2[[#This Row],[RTA]]=Tabla2__2[[#This Row],[RTA CORRECTA]],Tabla2__2[[#This Row],[TOTAL PUNTAJE]],0)</f>
        <v>0</v>
      </c>
      <c r="Q296" s="37">
        <f t="shared" si="4"/>
        <v>0</v>
      </c>
      <c r="R296" s="37"/>
    </row>
    <row r="297" spans="1:18" x14ac:dyDescent="0.25">
      <c r="A297" s="37" t="s">
        <v>107</v>
      </c>
      <c r="B297" s="37" t="s">
        <v>8</v>
      </c>
      <c r="C297" t="s">
        <v>14</v>
      </c>
      <c r="D297" s="37" t="s">
        <v>79</v>
      </c>
      <c r="E297" s="37">
        <v>454996</v>
      </c>
      <c r="F297" s="37" t="s">
        <v>196</v>
      </c>
      <c r="G297" s="37" t="s">
        <v>135</v>
      </c>
      <c r="H297" s="37" t="s">
        <v>106</v>
      </c>
      <c r="I297" s="38"/>
      <c r="J297" s="37">
        <v>27453760</v>
      </c>
      <c r="K297" s="37" t="s">
        <v>187</v>
      </c>
      <c r="L297" s="37" t="str">
        <f>_xlfn.XLOOKUP(Tabla2__2[[#This Row],[CODIGO RUTA]],'DATA INFORME'!I:I,'DATA INFORME'!K:K)</f>
        <v xml:space="preserve"> NO</v>
      </c>
      <c r="M297" s="37" t="str">
        <f>IF(Tabla2__2[[#This Row],[MYSTERY EFECTIVO]]="SI",_xlfn.XLOOKUP(Tabla2__2[[#This Row],[PREGUNTA]],ENCUESTA!G:G,ENCUESTA!D:D),"N/A")</f>
        <v>N/A</v>
      </c>
      <c r="N2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7" s="37" t="str">
        <f>_xlfn.XLOOKUP(Tabla2__2[[#This Row],[PREGUNTA]],ENCUESTA!G:G,ENCUESTA!H:H)</f>
        <v>NO</v>
      </c>
      <c r="P297" s="37">
        <f>IF(Tabla2__2[[#This Row],[RTA]]=Tabla2__2[[#This Row],[RTA CORRECTA]],Tabla2__2[[#This Row],[TOTAL PUNTAJE]],0)</f>
        <v>0</v>
      </c>
      <c r="Q297" s="37">
        <f t="shared" si="4"/>
        <v>0</v>
      </c>
      <c r="R297" s="37"/>
    </row>
    <row r="298" spans="1:18" x14ac:dyDescent="0.25">
      <c r="A298" s="37" t="s">
        <v>107</v>
      </c>
      <c r="B298" s="37" t="s">
        <v>8</v>
      </c>
      <c r="C298" t="s">
        <v>14</v>
      </c>
      <c r="D298" s="37" t="s">
        <v>79</v>
      </c>
      <c r="E298" s="37">
        <v>454996</v>
      </c>
      <c r="F298" s="37" t="s">
        <v>196</v>
      </c>
      <c r="G298" s="37" t="s">
        <v>35</v>
      </c>
      <c r="H298" s="37" t="s">
        <v>106</v>
      </c>
      <c r="I298" s="38"/>
      <c r="J298" s="37">
        <v>27453760</v>
      </c>
      <c r="K298" s="37" t="s">
        <v>187</v>
      </c>
      <c r="L298" s="37" t="str">
        <f>_xlfn.XLOOKUP(Tabla2__2[[#This Row],[CODIGO RUTA]],'DATA INFORME'!I:I,'DATA INFORME'!K:K)</f>
        <v xml:space="preserve"> NO</v>
      </c>
      <c r="M298" s="37" t="str">
        <f>IF(Tabla2__2[[#This Row],[MYSTERY EFECTIVO]]="SI",_xlfn.XLOOKUP(Tabla2__2[[#This Row],[PREGUNTA]],ENCUESTA!G:G,ENCUESTA!D:D),"N/A")</f>
        <v>N/A</v>
      </c>
      <c r="N2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8" s="37" t="str">
        <f>_xlfn.XLOOKUP(Tabla2__2[[#This Row],[PREGUNTA]],ENCUESTA!G:G,ENCUESTA!H:H)</f>
        <v>SI</v>
      </c>
      <c r="P298" s="37">
        <f>IF(Tabla2__2[[#This Row],[RTA]]=Tabla2__2[[#This Row],[RTA CORRECTA]],Tabla2__2[[#This Row],[TOTAL PUNTAJE]],0)</f>
        <v>0</v>
      </c>
      <c r="Q298" s="37">
        <f t="shared" si="4"/>
        <v>0</v>
      </c>
      <c r="R298" s="37"/>
    </row>
    <row r="299" spans="1:18" x14ac:dyDescent="0.25">
      <c r="A299" s="37" t="s">
        <v>107</v>
      </c>
      <c r="B299" s="37" t="s">
        <v>8</v>
      </c>
      <c r="C299" t="s">
        <v>14</v>
      </c>
      <c r="D299" s="37" t="s">
        <v>79</v>
      </c>
      <c r="E299" s="37">
        <v>454996</v>
      </c>
      <c r="F299" s="37" t="s">
        <v>196</v>
      </c>
      <c r="G299" s="37" t="s">
        <v>134</v>
      </c>
      <c r="H299" s="37" t="s">
        <v>106</v>
      </c>
      <c r="I299" s="38"/>
      <c r="J299" s="37">
        <v>27453760</v>
      </c>
      <c r="K299" s="37" t="s">
        <v>187</v>
      </c>
      <c r="L299" s="37" t="str">
        <f>_xlfn.XLOOKUP(Tabla2__2[[#This Row],[CODIGO RUTA]],'DATA INFORME'!I:I,'DATA INFORME'!K:K)</f>
        <v xml:space="preserve"> NO</v>
      </c>
      <c r="M299" s="37" t="str">
        <f>IF(Tabla2__2[[#This Row],[MYSTERY EFECTIVO]]="SI",_xlfn.XLOOKUP(Tabla2__2[[#This Row],[PREGUNTA]],ENCUESTA!G:G,ENCUESTA!D:D),"N/A")</f>
        <v>N/A</v>
      </c>
      <c r="N2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9" s="37" t="str">
        <f>_xlfn.XLOOKUP(Tabla2__2[[#This Row],[PREGUNTA]],ENCUESTA!G:G,ENCUESTA!H:H)</f>
        <v>SI</v>
      </c>
      <c r="P299" s="37">
        <f>IF(Tabla2__2[[#This Row],[RTA]]=Tabla2__2[[#This Row],[RTA CORRECTA]],Tabla2__2[[#This Row],[TOTAL PUNTAJE]],0)</f>
        <v>0</v>
      </c>
      <c r="Q299" s="37">
        <f t="shared" si="4"/>
        <v>0</v>
      </c>
      <c r="R299" s="37"/>
    </row>
    <row r="300" spans="1:18" x14ac:dyDescent="0.25">
      <c r="A300" s="37" t="s">
        <v>107</v>
      </c>
      <c r="B300" s="37" t="s">
        <v>8</v>
      </c>
      <c r="C300" t="s">
        <v>14</v>
      </c>
      <c r="D300" s="37" t="s">
        <v>79</v>
      </c>
      <c r="E300" s="37">
        <v>454996</v>
      </c>
      <c r="F300" s="37" t="s">
        <v>196</v>
      </c>
      <c r="G300" s="37" t="s">
        <v>98</v>
      </c>
      <c r="H300" s="37" t="s">
        <v>106</v>
      </c>
      <c r="I300" s="38"/>
      <c r="J300" s="37">
        <v>27453760</v>
      </c>
      <c r="K300" s="37" t="s">
        <v>187</v>
      </c>
      <c r="L300" s="37" t="str">
        <f>_xlfn.XLOOKUP(Tabla2__2[[#This Row],[CODIGO RUTA]],'DATA INFORME'!I:I,'DATA INFORME'!K:K)</f>
        <v xml:space="preserve"> NO</v>
      </c>
      <c r="M300" s="37" t="str">
        <f>IF(Tabla2__2[[#This Row],[MYSTERY EFECTIVO]]="SI",_xlfn.XLOOKUP(Tabla2__2[[#This Row],[PREGUNTA]],ENCUESTA!G:G,ENCUESTA!D:D),"N/A")</f>
        <v>N/A</v>
      </c>
      <c r="N3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0" s="37" t="str">
        <f>_xlfn.XLOOKUP(Tabla2__2[[#This Row],[PREGUNTA]],ENCUESTA!G:G,ENCUESTA!H:H)</f>
        <v>SI</v>
      </c>
      <c r="P300" s="37">
        <f>IF(Tabla2__2[[#This Row],[RTA]]=Tabla2__2[[#This Row],[RTA CORRECTA]],Tabla2__2[[#This Row],[TOTAL PUNTAJE]],0)</f>
        <v>0</v>
      </c>
      <c r="Q300" s="37">
        <f t="shared" si="4"/>
        <v>0</v>
      </c>
      <c r="R300" s="37"/>
    </row>
    <row r="301" spans="1:18" x14ac:dyDescent="0.25">
      <c r="A301" s="37" t="s">
        <v>107</v>
      </c>
      <c r="B301" s="37" t="s">
        <v>8</v>
      </c>
      <c r="C301" t="s">
        <v>14</v>
      </c>
      <c r="D301" s="37" t="s">
        <v>79</v>
      </c>
      <c r="E301" s="37">
        <v>454996</v>
      </c>
      <c r="F301" s="37" t="s">
        <v>196</v>
      </c>
      <c r="G301" s="37" t="s">
        <v>97</v>
      </c>
      <c r="H301" s="37" t="s">
        <v>106</v>
      </c>
      <c r="I301" s="38"/>
      <c r="J301" s="37">
        <v>27453760</v>
      </c>
      <c r="K301" s="37" t="s">
        <v>187</v>
      </c>
      <c r="L301" s="37" t="str">
        <f>_xlfn.XLOOKUP(Tabla2__2[[#This Row],[CODIGO RUTA]],'DATA INFORME'!I:I,'DATA INFORME'!K:K)</f>
        <v xml:space="preserve"> NO</v>
      </c>
      <c r="M301" s="37" t="str">
        <f>IF(Tabla2__2[[#This Row],[MYSTERY EFECTIVO]]="SI",_xlfn.XLOOKUP(Tabla2__2[[#This Row],[PREGUNTA]],ENCUESTA!G:G,ENCUESTA!D:D),"N/A")</f>
        <v>N/A</v>
      </c>
      <c r="N3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1" s="37" t="str">
        <f>_xlfn.XLOOKUP(Tabla2__2[[#This Row],[PREGUNTA]],ENCUESTA!G:G,ENCUESTA!H:H)</f>
        <v>SI</v>
      </c>
      <c r="P301" s="37">
        <f>IF(Tabla2__2[[#This Row],[RTA]]=Tabla2__2[[#This Row],[RTA CORRECTA]],Tabla2__2[[#This Row],[TOTAL PUNTAJE]],0)</f>
        <v>0</v>
      </c>
      <c r="Q301" s="37">
        <f t="shared" si="4"/>
        <v>0</v>
      </c>
      <c r="R301" s="37"/>
    </row>
    <row r="302" spans="1:18" x14ac:dyDescent="0.25">
      <c r="A302" s="37" t="s">
        <v>107</v>
      </c>
      <c r="B302" s="37" t="s">
        <v>8</v>
      </c>
      <c r="C302" t="s">
        <v>14</v>
      </c>
      <c r="D302" s="37" t="s">
        <v>79</v>
      </c>
      <c r="E302" s="37">
        <v>454996</v>
      </c>
      <c r="F302" s="37" t="s">
        <v>196</v>
      </c>
      <c r="G302" s="37" t="s">
        <v>133</v>
      </c>
      <c r="H302" s="37" t="s">
        <v>106</v>
      </c>
      <c r="I302" s="38"/>
      <c r="J302" s="37">
        <v>27453760</v>
      </c>
      <c r="K302" s="37" t="s">
        <v>187</v>
      </c>
      <c r="L302" s="37" t="str">
        <f>_xlfn.XLOOKUP(Tabla2__2[[#This Row],[CODIGO RUTA]],'DATA INFORME'!I:I,'DATA INFORME'!K:K)</f>
        <v xml:space="preserve"> NO</v>
      </c>
      <c r="M302" s="37" t="str">
        <f>IF(Tabla2__2[[#This Row],[MYSTERY EFECTIVO]]="SI",_xlfn.XLOOKUP(Tabla2__2[[#This Row],[PREGUNTA]],ENCUESTA!G:G,ENCUESTA!D:D),"N/A")</f>
        <v>N/A</v>
      </c>
      <c r="N3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2" s="37">
        <f>_xlfn.XLOOKUP(Tabla2__2[[#This Row],[PREGUNTA]],ENCUESTA!G:G,ENCUESTA!H:H)</f>
        <v>0</v>
      </c>
      <c r="P302" s="37">
        <f>IF(Tabla2__2[[#This Row],[RTA]]=Tabla2__2[[#This Row],[RTA CORRECTA]],Tabla2__2[[#This Row],[TOTAL PUNTAJE]],0)</f>
        <v>0</v>
      </c>
      <c r="Q302" s="37">
        <f t="shared" si="4"/>
        <v>0</v>
      </c>
      <c r="R302" s="37"/>
    </row>
    <row r="303" spans="1:18" x14ac:dyDescent="0.25">
      <c r="A303" s="37" t="s">
        <v>107</v>
      </c>
      <c r="B303" s="37" t="s">
        <v>8</v>
      </c>
      <c r="C303" t="s">
        <v>14</v>
      </c>
      <c r="D303" s="37" t="s">
        <v>79</v>
      </c>
      <c r="E303" s="37">
        <v>108903</v>
      </c>
      <c r="F303" s="37" t="s">
        <v>191</v>
      </c>
      <c r="G303" s="37" t="s">
        <v>157</v>
      </c>
      <c r="H303" s="37" t="s">
        <v>106</v>
      </c>
      <c r="I303" s="38"/>
      <c r="J303" s="37">
        <v>27450345</v>
      </c>
      <c r="K303" s="37" t="s">
        <v>187</v>
      </c>
      <c r="L303" s="37" t="str">
        <f>_xlfn.XLOOKUP(Tabla2__2[[#This Row],[CODIGO RUTA]],'DATA INFORME'!I:I,'DATA INFORME'!K:K)</f>
        <v>SI</v>
      </c>
      <c r="M303" s="37" t="str">
        <f>IF(Tabla2__2[[#This Row],[MYSTERY EFECTIVO]]="SI",_xlfn.XLOOKUP(Tabla2__2[[#This Row],[PREGUNTA]],ENCUESTA!G:G,ENCUESTA!D:D),"N/A")</f>
        <v>N/A</v>
      </c>
      <c r="N3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3" s="37">
        <f>_xlfn.XLOOKUP(Tabla2__2[[#This Row],[PREGUNTA]],ENCUESTA!G:G,ENCUESTA!H:H)</f>
        <v>0</v>
      </c>
      <c r="P303" s="37">
        <f>IF(Tabla2__2[[#This Row],[RTA]]=Tabla2__2[[#This Row],[RTA CORRECTA]],Tabla2__2[[#This Row],[TOTAL PUNTAJE]],0)</f>
        <v>0</v>
      </c>
      <c r="Q303" s="37">
        <f t="shared" si="4"/>
        <v>0</v>
      </c>
      <c r="R303" s="37"/>
    </row>
    <row r="304" spans="1:18" x14ac:dyDescent="0.25">
      <c r="A304" s="37" t="s">
        <v>107</v>
      </c>
      <c r="B304" s="37" t="s">
        <v>8</v>
      </c>
      <c r="C304" t="s">
        <v>14</v>
      </c>
      <c r="D304" s="37" t="s">
        <v>79</v>
      </c>
      <c r="E304" s="37">
        <v>108903</v>
      </c>
      <c r="F304" s="37" t="s">
        <v>191</v>
      </c>
      <c r="G304" s="37" t="s">
        <v>156</v>
      </c>
      <c r="H304" s="37" t="s">
        <v>20</v>
      </c>
      <c r="I304" s="38"/>
      <c r="J304" s="37">
        <v>27450345</v>
      </c>
      <c r="K304" s="37" t="s">
        <v>187</v>
      </c>
      <c r="L304" s="37" t="str">
        <f>_xlfn.XLOOKUP(Tabla2__2[[#This Row],[CODIGO RUTA]],'DATA INFORME'!I:I,'DATA INFORME'!K:K)</f>
        <v>SI</v>
      </c>
      <c r="M304" s="37" t="str">
        <f>IF(Tabla2__2[[#This Row],[MYSTERY EFECTIVO]]="SI",_xlfn.XLOOKUP(Tabla2__2[[#This Row],[PREGUNTA]],ENCUESTA!G:G,ENCUESTA!D:D),"N/A")</f>
        <v>LABOR DE VENTA</v>
      </c>
      <c r="N3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04" s="37" t="str">
        <f>_xlfn.XLOOKUP(Tabla2__2[[#This Row],[PREGUNTA]],ENCUESTA!G:G,ENCUESTA!H:H)</f>
        <v>SI</v>
      </c>
      <c r="P304" s="37">
        <f>IF(Tabla2__2[[#This Row],[RTA]]=Tabla2__2[[#This Row],[RTA CORRECTA]],Tabla2__2[[#This Row],[TOTAL PUNTAJE]],0)</f>
        <v>7.5</v>
      </c>
      <c r="Q304" s="37">
        <f t="shared" si="4"/>
        <v>0</v>
      </c>
      <c r="R304" s="37"/>
    </row>
    <row r="305" spans="1:18" x14ac:dyDescent="0.25">
      <c r="A305" s="37" t="s">
        <v>107</v>
      </c>
      <c r="B305" s="37" t="s">
        <v>8</v>
      </c>
      <c r="C305" t="s">
        <v>14</v>
      </c>
      <c r="D305" s="37" t="s">
        <v>79</v>
      </c>
      <c r="E305" s="37">
        <v>108903</v>
      </c>
      <c r="F305" s="37" t="s">
        <v>191</v>
      </c>
      <c r="G305" s="37" t="s">
        <v>101</v>
      </c>
      <c r="H305" s="37" t="s">
        <v>106</v>
      </c>
      <c r="I305" s="38"/>
      <c r="J305" s="37">
        <v>27450345</v>
      </c>
      <c r="K305" s="37" t="s">
        <v>187</v>
      </c>
      <c r="L305" s="37" t="str">
        <f>_xlfn.XLOOKUP(Tabla2__2[[#This Row],[CODIGO RUTA]],'DATA INFORME'!I:I,'DATA INFORME'!K:K)</f>
        <v>SI</v>
      </c>
      <c r="M305" s="37" t="str">
        <f>IF(Tabla2__2[[#This Row],[MYSTERY EFECTIVO]]="SI",_xlfn.XLOOKUP(Tabla2__2[[#This Row],[PREGUNTA]],ENCUESTA!G:G,ENCUESTA!D:D),"N/A")</f>
        <v>UNIFORME</v>
      </c>
      <c r="N3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05" s="37" t="str">
        <f>_xlfn.XLOOKUP(Tabla2__2[[#This Row],[PREGUNTA]],ENCUESTA!G:G,ENCUESTA!H:H)</f>
        <v>NO</v>
      </c>
      <c r="P305" s="37">
        <f>IF(Tabla2__2[[#This Row],[RTA]]=Tabla2__2[[#This Row],[RTA CORRECTA]],Tabla2__2[[#This Row],[TOTAL PUNTAJE]],0)</f>
        <v>1.3636363636363635</v>
      </c>
      <c r="Q305" s="37">
        <f t="shared" si="4"/>
        <v>0</v>
      </c>
      <c r="R305" s="37"/>
    </row>
    <row r="306" spans="1:18" x14ac:dyDescent="0.25">
      <c r="A306" s="37" t="s">
        <v>107</v>
      </c>
      <c r="B306" s="37" t="s">
        <v>8</v>
      </c>
      <c r="C306" t="s">
        <v>14</v>
      </c>
      <c r="D306" s="37" t="s">
        <v>79</v>
      </c>
      <c r="E306" s="37">
        <v>108903</v>
      </c>
      <c r="F306" s="37" t="s">
        <v>191</v>
      </c>
      <c r="G306" s="37" t="s">
        <v>155</v>
      </c>
      <c r="H306" s="37" t="s">
        <v>20</v>
      </c>
      <c r="I306" s="38"/>
      <c r="J306" s="37">
        <v>27450345</v>
      </c>
      <c r="K306" s="37" t="s">
        <v>187</v>
      </c>
      <c r="L306" s="37" t="str">
        <f>_xlfn.XLOOKUP(Tabla2__2[[#This Row],[CODIGO RUTA]],'DATA INFORME'!I:I,'DATA INFORME'!K:K)</f>
        <v>SI</v>
      </c>
      <c r="M306" s="37" t="str">
        <f>IF(Tabla2__2[[#This Row],[MYSTERY EFECTIVO]]="SI",_xlfn.XLOOKUP(Tabla2__2[[#This Row],[PREGUNTA]],ENCUESTA!G:G,ENCUESTA!D:D),"N/A")</f>
        <v>LABOR DE VENTA</v>
      </c>
      <c r="N3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06" s="37" t="str">
        <f>_xlfn.XLOOKUP(Tabla2__2[[#This Row],[PREGUNTA]],ENCUESTA!G:G,ENCUESTA!H:H)</f>
        <v>SI</v>
      </c>
      <c r="P306" s="37">
        <f>IF(Tabla2__2[[#This Row],[RTA]]=Tabla2__2[[#This Row],[RTA CORRECTA]],Tabla2__2[[#This Row],[TOTAL PUNTAJE]],0)</f>
        <v>7.5</v>
      </c>
      <c r="Q306" s="37">
        <f t="shared" si="4"/>
        <v>0</v>
      </c>
      <c r="R306" s="37"/>
    </row>
    <row r="307" spans="1:18" x14ac:dyDescent="0.25">
      <c r="A307" s="37" t="s">
        <v>107</v>
      </c>
      <c r="B307" s="37" t="s">
        <v>8</v>
      </c>
      <c r="C307" t="s">
        <v>14</v>
      </c>
      <c r="D307" s="37" t="s">
        <v>79</v>
      </c>
      <c r="E307" s="37">
        <v>108903</v>
      </c>
      <c r="F307" s="37" t="s">
        <v>191</v>
      </c>
      <c r="G307" s="37" t="s">
        <v>153</v>
      </c>
      <c r="H307" s="37" t="s">
        <v>20</v>
      </c>
      <c r="I307" s="38"/>
      <c r="J307" s="37">
        <v>27450345</v>
      </c>
      <c r="K307" s="37" t="s">
        <v>187</v>
      </c>
      <c r="L307" s="37" t="str">
        <f>_xlfn.XLOOKUP(Tabla2__2[[#This Row],[CODIGO RUTA]],'DATA INFORME'!I:I,'DATA INFORME'!K:K)</f>
        <v>SI</v>
      </c>
      <c r="M307" s="37" t="str">
        <f>IF(Tabla2__2[[#This Row],[MYSTERY EFECTIVO]]="SI",_xlfn.XLOOKUP(Tabla2__2[[#This Row],[PREGUNTA]],ENCUESTA!G:G,ENCUESTA!D:D),"N/A")</f>
        <v>PORTAFOLIO Y MANEJO DE OBJECIONES</v>
      </c>
      <c r="N3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07" s="37" t="str">
        <f>_xlfn.XLOOKUP(Tabla2__2[[#This Row],[PREGUNTA]],ENCUESTA!G:G,ENCUESTA!H:H)</f>
        <v>SI</v>
      </c>
      <c r="P307" s="37">
        <f>IF(Tabla2__2[[#This Row],[RTA]]=Tabla2__2[[#This Row],[RTA CORRECTA]],Tabla2__2[[#This Row],[TOTAL PUNTAJE]],0)</f>
        <v>1.5384615384615385</v>
      </c>
      <c r="Q307" s="37">
        <f t="shared" si="4"/>
        <v>0</v>
      </c>
      <c r="R307" s="37"/>
    </row>
    <row r="308" spans="1:18" x14ac:dyDescent="0.25">
      <c r="A308" s="37" t="s">
        <v>107</v>
      </c>
      <c r="B308" s="37" t="s">
        <v>8</v>
      </c>
      <c r="C308" t="s">
        <v>14</v>
      </c>
      <c r="D308" s="37" t="s">
        <v>79</v>
      </c>
      <c r="E308" s="37">
        <v>108903</v>
      </c>
      <c r="F308" s="37" t="s">
        <v>191</v>
      </c>
      <c r="G308" s="37" t="s">
        <v>152</v>
      </c>
      <c r="H308" s="37" t="s">
        <v>170</v>
      </c>
      <c r="I308" s="38"/>
      <c r="J308" s="37">
        <v>27450345</v>
      </c>
      <c r="K308" s="37" t="s">
        <v>187</v>
      </c>
      <c r="L308" s="37" t="str">
        <f>_xlfn.XLOOKUP(Tabla2__2[[#This Row],[CODIGO RUTA]],'DATA INFORME'!I:I,'DATA INFORME'!K:K)</f>
        <v>SI</v>
      </c>
      <c r="M308" s="37" t="str">
        <f>IF(Tabla2__2[[#This Row],[MYSTERY EFECTIVO]]="SI",_xlfn.XLOOKUP(Tabla2__2[[#This Row],[PREGUNTA]],ENCUESTA!G:G,ENCUESTA!D:D),"N/A")</f>
        <v>N/A</v>
      </c>
      <c r="N3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8" s="37" t="str">
        <f>_xlfn.XLOOKUP(Tabla2__2[[#This Row],[PREGUNTA]],ENCUESTA!G:G,ENCUESTA!H:H)</f>
        <v>FALTA DE PRODUCTO, NO LE INTERESA EL PRODUCTO, NO TIENE DINERO, PREFIERE LA COMPETENCIA</v>
      </c>
      <c r="P308" s="37">
        <f>IF(Tabla2__2[[#This Row],[RTA]]=Tabla2__2[[#This Row],[RTA CORRECTA]],Tabla2__2[[#This Row],[TOTAL PUNTAJE]],0)</f>
        <v>0</v>
      </c>
      <c r="Q308" s="37">
        <f t="shared" si="4"/>
        <v>0</v>
      </c>
      <c r="R308" s="37"/>
    </row>
    <row r="309" spans="1:18" x14ac:dyDescent="0.25">
      <c r="A309" s="37" t="s">
        <v>107</v>
      </c>
      <c r="B309" s="37" t="s">
        <v>8</v>
      </c>
      <c r="C309" t="s">
        <v>14</v>
      </c>
      <c r="D309" s="37" t="s">
        <v>79</v>
      </c>
      <c r="E309" s="37">
        <v>108903</v>
      </c>
      <c r="F309" s="37" t="s">
        <v>191</v>
      </c>
      <c r="G309" s="37" t="s">
        <v>151</v>
      </c>
      <c r="H309" s="37" t="s">
        <v>106</v>
      </c>
      <c r="I309" s="38"/>
      <c r="J309" s="37">
        <v>27450345</v>
      </c>
      <c r="K309" s="37" t="s">
        <v>187</v>
      </c>
      <c r="L309" s="37" t="str">
        <f>_xlfn.XLOOKUP(Tabla2__2[[#This Row],[CODIGO RUTA]],'DATA INFORME'!I:I,'DATA INFORME'!K:K)</f>
        <v>SI</v>
      </c>
      <c r="M309" s="37" t="str">
        <f>IF(Tabla2__2[[#This Row],[MYSTERY EFECTIVO]]="SI",_xlfn.XLOOKUP(Tabla2__2[[#This Row],[PREGUNTA]],ENCUESTA!G:G,ENCUESTA!D:D),"N/A")</f>
        <v>ACTIVIDADES DEL MES</v>
      </c>
      <c r="N3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09" s="37" t="str">
        <f>_xlfn.XLOOKUP(Tabla2__2[[#This Row],[PREGUNTA]],ENCUESTA!G:G,ENCUESTA!H:H)</f>
        <v>SI</v>
      </c>
      <c r="P309" s="37">
        <f>IF(Tabla2__2[[#This Row],[RTA]]=Tabla2__2[[#This Row],[RTA CORRECTA]],Tabla2__2[[#This Row],[TOTAL PUNTAJE]],0)</f>
        <v>0</v>
      </c>
      <c r="Q309" s="37">
        <f t="shared" si="4"/>
        <v>0</v>
      </c>
      <c r="R309" s="37"/>
    </row>
    <row r="310" spans="1:18" x14ac:dyDescent="0.25">
      <c r="A310" s="37" t="s">
        <v>107</v>
      </c>
      <c r="B310" s="37" t="s">
        <v>8</v>
      </c>
      <c r="C310" t="s">
        <v>14</v>
      </c>
      <c r="D310" s="37" t="s">
        <v>79</v>
      </c>
      <c r="E310" s="37">
        <v>108903</v>
      </c>
      <c r="F310" s="37" t="s">
        <v>191</v>
      </c>
      <c r="G310" s="37" t="s">
        <v>150</v>
      </c>
      <c r="H310" s="37" t="s">
        <v>20</v>
      </c>
      <c r="I310" s="38"/>
      <c r="J310" s="37">
        <v>27450345</v>
      </c>
      <c r="K310" s="37" t="s">
        <v>187</v>
      </c>
      <c r="L310" s="37" t="str">
        <f>_xlfn.XLOOKUP(Tabla2__2[[#This Row],[CODIGO RUTA]],'DATA INFORME'!I:I,'DATA INFORME'!K:K)</f>
        <v>SI</v>
      </c>
      <c r="M310" s="37" t="str">
        <f>IF(Tabla2__2[[#This Row],[MYSTERY EFECTIVO]]="SI",_xlfn.XLOOKUP(Tabla2__2[[#This Row],[PREGUNTA]],ENCUESTA!G:G,ENCUESTA!D:D),"N/A")</f>
        <v>PORTAFOLIO Y MANEJO DE OBJECIONES</v>
      </c>
      <c r="N3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10" s="37" t="str">
        <f>_xlfn.XLOOKUP(Tabla2__2[[#This Row],[PREGUNTA]],ENCUESTA!G:G,ENCUESTA!H:H)</f>
        <v>SI</v>
      </c>
      <c r="P310" s="37">
        <f>IF(Tabla2__2[[#This Row],[RTA]]=Tabla2__2[[#This Row],[RTA CORRECTA]],Tabla2__2[[#This Row],[TOTAL PUNTAJE]],0)</f>
        <v>1.5384615384615385</v>
      </c>
      <c r="Q310" s="37">
        <f t="shared" si="4"/>
        <v>0</v>
      </c>
      <c r="R310" s="37"/>
    </row>
    <row r="311" spans="1:18" x14ac:dyDescent="0.25">
      <c r="A311" s="37" t="s">
        <v>107</v>
      </c>
      <c r="B311" s="37" t="s">
        <v>8</v>
      </c>
      <c r="C311" t="s">
        <v>14</v>
      </c>
      <c r="D311" s="37" t="s">
        <v>79</v>
      </c>
      <c r="E311" s="37">
        <v>108903</v>
      </c>
      <c r="F311" s="37" t="s">
        <v>191</v>
      </c>
      <c r="G311" s="37" t="s">
        <v>149</v>
      </c>
      <c r="H311" s="37" t="s">
        <v>20</v>
      </c>
      <c r="I311" s="38"/>
      <c r="J311" s="37">
        <v>27450345</v>
      </c>
      <c r="K311" s="37" t="s">
        <v>187</v>
      </c>
      <c r="L311" s="37" t="str">
        <f>_xlfn.XLOOKUP(Tabla2__2[[#This Row],[CODIGO RUTA]],'DATA INFORME'!I:I,'DATA INFORME'!K:K)</f>
        <v>SI</v>
      </c>
      <c r="M311" s="37" t="str">
        <f>IF(Tabla2__2[[#This Row],[MYSTERY EFECTIVO]]="SI",_xlfn.XLOOKUP(Tabla2__2[[#This Row],[PREGUNTA]],ENCUESTA!G:G,ENCUESTA!D:D),"N/A")</f>
        <v>PORTAFOLIO Y MANEJO DE OBJECIONES</v>
      </c>
      <c r="N3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11" s="37" t="str">
        <f>_xlfn.XLOOKUP(Tabla2__2[[#This Row],[PREGUNTA]],ENCUESTA!G:G,ENCUESTA!H:H)</f>
        <v>SI</v>
      </c>
      <c r="P311" s="37">
        <f>IF(Tabla2__2[[#This Row],[RTA]]=Tabla2__2[[#This Row],[RTA CORRECTA]],Tabla2__2[[#This Row],[TOTAL PUNTAJE]],0)</f>
        <v>1.5384615384615385</v>
      </c>
      <c r="Q311" s="37">
        <f t="shared" si="4"/>
        <v>0</v>
      </c>
      <c r="R311" s="37"/>
    </row>
    <row r="312" spans="1:18" x14ac:dyDescent="0.25">
      <c r="A312" s="37" t="s">
        <v>107</v>
      </c>
      <c r="B312" s="37" t="s">
        <v>8</v>
      </c>
      <c r="C312" t="s">
        <v>14</v>
      </c>
      <c r="D312" s="37" t="s">
        <v>79</v>
      </c>
      <c r="E312" s="37">
        <v>108903</v>
      </c>
      <c r="F312" s="37" t="s">
        <v>191</v>
      </c>
      <c r="G312" s="37" t="s">
        <v>148</v>
      </c>
      <c r="H312" s="37" t="s">
        <v>20</v>
      </c>
      <c r="I312" s="38"/>
      <c r="J312" s="37">
        <v>27450345</v>
      </c>
      <c r="K312" s="37" t="s">
        <v>187</v>
      </c>
      <c r="L312" s="37" t="str">
        <f>_xlfn.XLOOKUP(Tabla2__2[[#This Row],[CODIGO RUTA]],'DATA INFORME'!I:I,'DATA INFORME'!K:K)</f>
        <v>SI</v>
      </c>
      <c r="M312" s="37" t="str">
        <f>IF(Tabla2__2[[#This Row],[MYSTERY EFECTIVO]]="SI",_xlfn.XLOOKUP(Tabla2__2[[#This Row],[PREGUNTA]],ENCUESTA!G:G,ENCUESTA!D:D),"N/A")</f>
        <v>PORTAFOLIO Y MANEJO DE OBJECIONES</v>
      </c>
      <c r="N3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12" s="37" t="str">
        <f>_xlfn.XLOOKUP(Tabla2__2[[#This Row],[PREGUNTA]],ENCUESTA!G:G,ENCUESTA!H:H)</f>
        <v>SI</v>
      </c>
      <c r="P312" s="37">
        <f>IF(Tabla2__2[[#This Row],[RTA]]=Tabla2__2[[#This Row],[RTA CORRECTA]],Tabla2__2[[#This Row],[TOTAL PUNTAJE]],0)</f>
        <v>1.5384615384615385</v>
      </c>
      <c r="Q312" s="37">
        <f t="shared" si="4"/>
        <v>0</v>
      </c>
      <c r="R312" s="37"/>
    </row>
    <row r="313" spans="1:18" x14ac:dyDescent="0.25">
      <c r="A313" s="37" t="s">
        <v>107</v>
      </c>
      <c r="B313" s="37" t="s">
        <v>8</v>
      </c>
      <c r="C313" t="s">
        <v>14</v>
      </c>
      <c r="D313" s="37" t="s">
        <v>79</v>
      </c>
      <c r="E313" s="37">
        <v>108903</v>
      </c>
      <c r="F313" s="37" t="s">
        <v>191</v>
      </c>
      <c r="G313" s="37" t="s">
        <v>147</v>
      </c>
      <c r="H313" s="37" t="s">
        <v>20</v>
      </c>
      <c r="I313" s="38"/>
      <c r="J313" s="37">
        <v>27450345</v>
      </c>
      <c r="K313" s="37" t="s">
        <v>187</v>
      </c>
      <c r="L313" s="37" t="str">
        <f>_xlfn.XLOOKUP(Tabla2__2[[#This Row],[CODIGO RUTA]],'DATA INFORME'!I:I,'DATA INFORME'!K:K)</f>
        <v>SI</v>
      </c>
      <c r="M313" s="37" t="str">
        <f>IF(Tabla2__2[[#This Row],[MYSTERY EFECTIVO]]="SI",_xlfn.XLOOKUP(Tabla2__2[[#This Row],[PREGUNTA]],ENCUESTA!G:G,ENCUESTA!D:D),"N/A")</f>
        <v>PORTAFOLIO Y MANEJO DE OBJECIONES</v>
      </c>
      <c r="N3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13" s="37" t="str">
        <f>_xlfn.XLOOKUP(Tabla2__2[[#This Row],[PREGUNTA]],ENCUESTA!G:G,ENCUESTA!H:H)</f>
        <v>SI</v>
      </c>
      <c r="P313" s="37">
        <f>IF(Tabla2__2[[#This Row],[RTA]]=Tabla2__2[[#This Row],[RTA CORRECTA]],Tabla2__2[[#This Row],[TOTAL PUNTAJE]],0)</f>
        <v>1.5384615384615385</v>
      </c>
      <c r="Q313" s="37">
        <f t="shared" si="4"/>
        <v>0</v>
      </c>
      <c r="R313" s="37"/>
    </row>
    <row r="314" spans="1:18" x14ac:dyDescent="0.25">
      <c r="A314" s="37" t="s">
        <v>107</v>
      </c>
      <c r="B314" s="37" t="s">
        <v>8</v>
      </c>
      <c r="C314" t="s">
        <v>14</v>
      </c>
      <c r="D314" s="37" t="s">
        <v>79</v>
      </c>
      <c r="E314" s="37">
        <v>108903</v>
      </c>
      <c r="F314" s="37" t="s">
        <v>191</v>
      </c>
      <c r="G314" s="37" t="s">
        <v>139</v>
      </c>
      <c r="H314" s="37" t="s">
        <v>169</v>
      </c>
      <c r="I314" s="38"/>
      <c r="J314" s="37">
        <v>27450345</v>
      </c>
      <c r="K314" s="37" t="s">
        <v>187</v>
      </c>
      <c r="L314" s="37" t="str">
        <f>_xlfn.XLOOKUP(Tabla2__2[[#This Row],[CODIGO RUTA]],'DATA INFORME'!I:I,'DATA INFORME'!K:K)</f>
        <v>SI</v>
      </c>
      <c r="M314" s="37" t="str">
        <f>IF(Tabla2__2[[#This Row],[MYSTERY EFECTIVO]]="SI",_xlfn.XLOOKUP(Tabla2__2[[#This Row],[PREGUNTA]],ENCUESTA!G:G,ENCUESTA!D:D),"N/A")</f>
        <v>N/A</v>
      </c>
      <c r="N3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14" s="37" t="str">
        <f>_xlfn.XLOOKUP(Tabla2__2[[#This Row],[PREGUNTA]],ENCUESTA!G:G,ENCUESTA!H:H)</f>
        <v>MODERNO, ESPECIALIZADO</v>
      </c>
      <c r="P314" s="37">
        <f>IF(Tabla2__2[[#This Row],[RTA]]=Tabla2__2[[#This Row],[RTA CORRECTA]],Tabla2__2[[#This Row],[TOTAL PUNTAJE]],0)</f>
        <v>0</v>
      </c>
      <c r="Q314" s="37">
        <f t="shared" si="4"/>
        <v>0</v>
      </c>
      <c r="R314" s="37"/>
    </row>
    <row r="315" spans="1:18" x14ac:dyDescent="0.25">
      <c r="A315" s="37" t="s">
        <v>107</v>
      </c>
      <c r="B315" s="37" t="s">
        <v>8</v>
      </c>
      <c r="C315" t="s">
        <v>14</v>
      </c>
      <c r="D315" s="37" t="s">
        <v>79</v>
      </c>
      <c r="E315" s="37">
        <v>108903</v>
      </c>
      <c r="F315" s="37" t="s">
        <v>191</v>
      </c>
      <c r="G315" s="37" t="s">
        <v>138</v>
      </c>
      <c r="H315" s="37" t="s">
        <v>20</v>
      </c>
      <c r="I315" s="38"/>
      <c r="J315" s="37">
        <v>27450345</v>
      </c>
      <c r="K315" s="37" t="s">
        <v>187</v>
      </c>
      <c r="L315" s="37" t="str">
        <f>_xlfn.XLOOKUP(Tabla2__2[[#This Row],[CODIGO RUTA]],'DATA INFORME'!I:I,'DATA INFORME'!K:K)</f>
        <v>SI</v>
      </c>
      <c r="M315" s="37" t="str">
        <f>IF(Tabla2__2[[#This Row],[MYSTERY EFECTIVO]]="SI",_xlfn.XLOOKUP(Tabla2__2[[#This Row],[PREGUNTA]],ENCUESTA!G:G,ENCUESTA!D:D),"N/A")</f>
        <v>PORTAFOLIO Y MANEJO DE OBJECIONES</v>
      </c>
      <c r="N3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15" s="37" t="str">
        <f>_xlfn.XLOOKUP(Tabla2__2[[#This Row],[PREGUNTA]],ENCUESTA!G:G,ENCUESTA!H:H)</f>
        <v>SI</v>
      </c>
      <c r="P315" s="37">
        <f>IF(Tabla2__2[[#This Row],[RTA]]=Tabla2__2[[#This Row],[RTA CORRECTA]],Tabla2__2[[#This Row],[TOTAL PUNTAJE]],0)</f>
        <v>1.5384615384615385</v>
      </c>
      <c r="Q315" s="37">
        <f t="shared" si="4"/>
        <v>0</v>
      </c>
      <c r="R315" s="37"/>
    </row>
    <row r="316" spans="1:18" x14ac:dyDescent="0.25">
      <c r="A316" s="37" t="s">
        <v>107</v>
      </c>
      <c r="B316" s="37" t="s">
        <v>8</v>
      </c>
      <c r="C316" t="s">
        <v>14</v>
      </c>
      <c r="D316" s="37" t="s">
        <v>79</v>
      </c>
      <c r="E316" s="37">
        <v>108903</v>
      </c>
      <c r="F316" s="37" t="s">
        <v>191</v>
      </c>
      <c r="G316" s="37" t="s">
        <v>137</v>
      </c>
      <c r="H316" s="37" t="s">
        <v>20</v>
      </c>
      <c r="I316" s="38"/>
      <c r="J316" s="37">
        <v>27450345</v>
      </c>
      <c r="K316" s="37" t="s">
        <v>187</v>
      </c>
      <c r="L316" s="37" t="str">
        <f>_xlfn.XLOOKUP(Tabla2__2[[#This Row],[CODIGO RUTA]],'DATA INFORME'!I:I,'DATA INFORME'!K:K)</f>
        <v>SI</v>
      </c>
      <c r="M316" s="37" t="str">
        <f>IF(Tabla2__2[[#This Row],[MYSTERY EFECTIVO]]="SI",_xlfn.XLOOKUP(Tabla2__2[[#This Row],[PREGUNTA]],ENCUESTA!G:G,ENCUESTA!D:D),"N/A")</f>
        <v>PORTAFOLIO Y MANEJO DE OBJECIONES</v>
      </c>
      <c r="N3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16" s="37" t="str">
        <f>_xlfn.XLOOKUP(Tabla2__2[[#This Row],[PREGUNTA]],ENCUESTA!G:G,ENCUESTA!H:H)</f>
        <v>SI</v>
      </c>
      <c r="P316" s="37">
        <f>IF(Tabla2__2[[#This Row],[RTA]]=Tabla2__2[[#This Row],[RTA CORRECTA]],Tabla2__2[[#This Row],[TOTAL PUNTAJE]],0)</f>
        <v>1.5384615384615385</v>
      </c>
      <c r="Q316" s="37">
        <f t="shared" si="4"/>
        <v>0</v>
      </c>
      <c r="R316" s="37"/>
    </row>
    <row r="317" spans="1:18" x14ac:dyDescent="0.25">
      <c r="A317" s="37" t="s">
        <v>107</v>
      </c>
      <c r="B317" s="37" t="s">
        <v>8</v>
      </c>
      <c r="C317" t="s">
        <v>14</v>
      </c>
      <c r="D317" s="37" t="s">
        <v>79</v>
      </c>
      <c r="E317" s="37">
        <v>108903</v>
      </c>
      <c r="F317" s="37" t="s">
        <v>191</v>
      </c>
      <c r="G317" s="37" t="s">
        <v>136</v>
      </c>
      <c r="H317" s="37" t="s">
        <v>20</v>
      </c>
      <c r="I317" s="38"/>
      <c r="J317" s="37">
        <v>27450345</v>
      </c>
      <c r="K317" s="37" t="s">
        <v>187</v>
      </c>
      <c r="L317" s="37" t="str">
        <f>_xlfn.XLOOKUP(Tabla2__2[[#This Row],[CODIGO RUTA]],'DATA INFORME'!I:I,'DATA INFORME'!K:K)</f>
        <v>SI</v>
      </c>
      <c r="M317" s="37" t="str">
        <f>IF(Tabla2__2[[#This Row],[MYSTERY EFECTIVO]]="SI",_xlfn.XLOOKUP(Tabla2__2[[#This Row],[PREGUNTA]],ENCUESTA!G:G,ENCUESTA!D:D),"N/A")</f>
        <v>ABORDAJE</v>
      </c>
      <c r="N3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17" s="37" t="str">
        <f>_xlfn.XLOOKUP(Tabla2__2[[#This Row],[PREGUNTA]],ENCUESTA!G:G,ENCUESTA!H:H)</f>
        <v>SI</v>
      </c>
      <c r="P317" s="37">
        <f>IF(Tabla2__2[[#This Row],[RTA]]=Tabla2__2[[#This Row],[RTA CORRECTA]],Tabla2__2[[#This Row],[TOTAL PUNTAJE]],0)</f>
        <v>20</v>
      </c>
      <c r="Q317" s="37">
        <f t="shared" si="4"/>
        <v>0</v>
      </c>
      <c r="R317" s="37"/>
    </row>
    <row r="318" spans="1:18" x14ac:dyDescent="0.25">
      <c r="A318" s="37" t="s">
        <v>107</v>
      </c>
      <c r="B318" s="37" t="s">
        <v>8</v>
      </c>
      <c r="C318" t="s">
        <v>14</v>
      </c>
      <c r="D318" s="37" t="s">
        <v>79</v>
      </c>
      <c r="E318" s="37">
        <v>108903</v>
      </c>
      <c r="F318" s="37" t="s">
        <v>191</v>
      </c>
      <c r="G318" s="37" t="s">
        <v>104</v>
      </c>
      <c r="H318" s="37" t="s">
        <v>106</v>
      </c>
      <c r="I318" s="38"/>
      <c r="J318" s="37">
        <v>27450345</v>
      </c>
      <c r="K318" s="37" t="s">
        <v>187</v>
      </c>
      <c r="L318" s="37" t="str">
        <f>_xlfn.XLOOKUP(Tabla2__2[[#This Row],[CODIGO RUTA]],'DATA INFORME'!I:I,'DATA INFORME'!K:K)</f>
        <v>SI</v>
      </c>
      <c r="M318" s="37" t="str">
        <f>IF(Tabla2__2[[#This Row],[MYSTERY EFECTIVO]]="SI",_xlfn.XLOOKUP(Tabla2__2[[#This Row],[PREGUNTA]],ENCUESTA!G:G,ENCUESTA!D:D),"N/A")</f>
        <v>UNIFORME</v>
      </c>
      <c r="N3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18" s="37" t="str">
        <f>_xlfn.XLOOKUP(Tabla2__2[[#This Row],[PREGUNTA]],ENCUESTA!G:G,ENCUESTA!H:H)</f>
        <v>NO</v>
      </c>
      <c r="P318" s="37">
        <f>IF(Tabla2__2[[#This Row],[RTA]]=Tabla2__2[[#This Row],[RTA CORRECTA]],Tabla2__2[[#This Row],[TOTAL PUNTAJE]],0)</f>
        <v>1.3636363636363635</v>
      </c>
      <c r="Q318" s="37">
        <f t="shared" si="4"/>
        <v>0</v>
      </c>
      <c r="R318" s="37"/>
    </row>
    <row r="319" spans="1:18" x14ac:dyDescent="0.25">
      <c r="A319" s="37" t="s">
        <v>107</v>
      </c>
      <c r="B319" s="37" t="s">
        <v>8</v>
      </c>
      <c r="C319" t="s">
        <v>14</v>
      </c>
      <c r="D319" s="37" t="s">
        <v>79</v>
      </c>
      <c r="E319" s="37">
        <v>108903</v>
      </c>
      <c r="F319" s="37" t="s">
        <v>191</v>
      </c>
      <c r="G319" s="37" t="s">
        <v>103</v>
      </c>
      <c r="H319" s="37" t="s">
        <v>106</v>
      </c>
      <c r="I319" s="38"/>
      <c r="J319" s="37">
        <v>27450345</v>
      </c>
      <c r="K319" s="37" t="s">
        <v>187</v>
      </c>
      <c r="L319" s="37" t="str">
        <f>_xlfn.XLOOKUP(Tabla2__2[[#This Row],[CODIGO RUTA]],'DATA INFORME'!I:I,'DATA INFORME'!K:K)</f>
        <v>SI</v>
      </c>
      <c r="M319" s="37" t="str">
        <f>IF(Tabla2__2[[#This Row],[MYSTERY EFECTIVO]]="SI",_xlfn.XLOOKUP(Tabla2__2[[#This Row],[PREGUNTA]],ENCUESTA!G:G,ENCUESTA!D:D),"N/A")</f>
        <v>UNIFORME</v>
      </c>
      <c r="N3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19" s="37" t="str">
        <f>_xlfn.XLOOKUP(Tabla2__2[[#This Row],[PREGUNTA]],ENCUESTA!G:G,ENCUESTA!H:H)</f>
        <v>NO</v>
      </c>
      <c r="P319" s="37">
        <f>IF(Tabla2__2[[#This Row],[RTA]]=Tabla2__2[[#This Row],[RTA CORRECTA]],Tabla2__2[[#This Row],[TOTAL PUNTAJE]],0)</f>
        <v>1.3636363636363635</v>
      </c>
      <c r="Q319" s="37">
        <f t="shared" si="4"/>
        <v>0</v>
      </c>
      <c r="R319" s="37"/>
    </row>
    <row r="320" spans="1:18" x14ac:dyDescent="0.25">
      <c r="A320" s="37" t="s">
        <v>107</v>
      </c>
      <c r="B320" s="37" t="s">
        <v>8</v>
      </c>
      <c r="C320" t="s">
        <v>14</v>
      </c>
      <c r="D320" s="37" t="s">
        <v>79</v>
      </c>
      <c r="E320" s="37">
        <v>108903</v>
      </c>
      <c r="F320" s="37" t="s">
        <v>191</v>
      </c>
      <c r="G320" s="37" t="s">
        <v>154</v>
      </c>
      <c r="H320" s="37" t="s">
        <v>20</v>
      </c>
      <c r="I320" s="38"/>
      <c r="J320" s="37">
        <v>27450345</v>
      </c>
      <c r="K320" s="37" t="s">
        <v>187</v>
      </c>
      <c r="L320" s="37" t="str">
        <f>_xlfn.XLOOKUP(Tabla2__2[[#This Row],[CODIGO RUTA]],'DATA INFORME'!I:I,'DATA INFORME'!K:K)</f>
        <v>SI</v>
      </c>
      <c r="M320" s="37" t="str">
        <f>IF(Tabla2__2[[#This Row],[MYSTERY EFECTIVO]]="SI",_xlfn.XLOOKUP(Tabla2__2[[#This Row],[PREGUNTA]],ENCUESTA!G:G,ENCUESTA!D:D),"N/A")</f>
        <v>UNIFORME</v>
      </c>
      <c r="N3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20" s="37" t="str">
        <f>_xlfn.XLOOKUP(Tabla2__2[[#This Row],[PREGUNTA]],ENCUESTA!G:G,ENCUESTA!H:H)</f>
        <v>SI</v>
      </c>
      <c r="P320" s="37">
        <f>IF(Tabla2__2[[#This Row],[RTA]]=Tabla2__2[[#This Row],[RTA CORRECTA]],Tabla2__2[[#This Row],[TOTAL PUNTAJE]],0)</f>
        <v>1.3636363636363635</v>
      </c>
      <c r="Q320" s="37">
        <f t="shared" si="4"/>
        <v>0</v>
      </c>
      <c r="R320" s="37"/>
    </row>
    <row r="321" spans="1:18" x14ac:dyDescent="0.25">
      <c r="A321" s="37" t="s">
        <v>107</v>
      </c>
      <c r="B321" s="37" t="s">
        <v>8</v>
      </c>
      <c r="C321" t="s">
        <v>14</v>
      </c>
      <c r="D321" s="37" t="s">
        <v>79</v>
      </c>
      <c r="E321" s="37">
        <v>454996</v>
      </c>
      <c r="F321" s="37" t="s">
        <v>196</v>
      </c>
      <c r="G321" s="37" t="s">
        <v>104</v>
      </c>
      <c r="H321" s="37" t="s">
        <v>106</v>
      </c>
      <c r="I321" s="38"/>
      <c r="J321" s="37">
        <v>27453760</v>
      </c>
      <c r="K321" s="37" t="s">
        <v>187</v>
      </c>
      <c r="L321" s="37" t="str">
        <f>_xlfn.XLOOKUP(Tabla2__2[[#This Row],[CODIGO RUTA]],'DATA INFORME'!I:I,'DATA INFORME'!K:K)</f>
        <v xml:space="preserve"> NO</v>
      </c>
      <c r="M321" s="37" t="str">
        <f>IF(Tabla2__2[[#This Row],[MYSTERY EFECTIVO]]="SI",_xlfn.XLOOKUP(Tabla2__2[[#This Row],[PREGUNTA]],ENCUESTA!G:G,ENCUESTA!D:D),"N/A")</f>
        <v>N/A</v>
      </c>
      <c r="N3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1" s="37" t="str">
        <f>_xlfn.XLOOKUP(Tabla2__2[[#This Row],[PREGUNTA]],ENCUESTA!G:G,ENCUESTA!H:H)</f>
        <v>NO</v>
      </c>
      <c r="P321" s="37">
        <f>IF(Tabla2__2[[#This Row],[RTA]]=Tabla2__2[[#This Row],[RTA CORRECTA]],Tabla2__2[[#This Row],[TOTAL PUNTAJE]],0)</f>
        <v>0</v>
      </c>
      <c r="Q321" s="37">
        <f t="shared" si="4"/>
        <v>0</v>
      </c>
      <c r="R321" s="37"/>
    </row>
    <row r="322" spans="1:18" x14ac:dyDescent="0.25">
      <c r="A322" s="37" t="s">
        <v>107</v>
      </c>
      <c r="B322" s="37" t="s">
        <v>8</v>
      </c>
      <c r="C322" t="s">
        <v>15</v>
      </c>
      <c r="D322" s="37" t="s">
        <v>79</v>
      </c>
      <c r="E322" s="37">
        <v>12394</v>
      </c>
      <c r="F322" s="37" t="s">
        <v>181</v>
      </c>
      <c r="G322" s="37" t="s">
        <v>99</v>
      </c>
      <c r="H322" s="37" t="s">
        <v>106</v>
      </c>
      <c r="I322" s="38"/>
      <c r="J322" s="37">
        <v>27444590</v>
      </c>
      <c r="K322" s="37" t="s">
        <v>187</v>
      </c>
      <c r="L322" s="37" t="str">
        <f>_xlfn.XLOOKUP(Tabla2__2[[#This Row],[CODIGO RUTA]],'DATA INFORME'!I:I,'DATA INFORME'!K:K)</f>
        <v xml:space="preserve"> NO</v>
      </c>
      <c r="M322" s="37" t="str">
        <f>IF(Tabla2__2[[#This Row],[MYSTERY EFECTIVO]]="SI",_xlfn.XLOOKUP(Tabla2__2[[#This Row],[PREGUNTA]],ENCUESTA!G:G,ENCUESTA!D:D),"N/A")</f>
        <v>N/A</v>
      </c>
      <c r="N3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2" s="37" t="str">
        <f>_xlfn.XLOOKUP(Tabla2__2[[#This Row],[PREGUNTA]],ENCUESTA!G:G,ENCUESTA!H:H)</f>
        <v>SI</v>
      </c>
      <c r="P322" s="37">
        <f>IF(Tabla2__2[[#This Row],[RTA]]=Tabla2__2[[#This Row],[RTA CORRECTA]],Tabla2__2[[#This Row],[TOTAL PUNTAJE]],0)</f>
        <v>0</v>
      </c>
      <c r="Q322" s="37">
        <f t="shared" ref="Q322:Q385" si="5">IF(OR(H322="Dog Chow húmedo",H322="Cat Chow húmedo",H322="Fancy Feast",H322="Felix",H322="Proplan húmedo",H322="One húmedo",H322="Snack Abrazzos",H322="Snak Dentalife",H322="Arenilla Tidy Cat"),N322,0)</f>
        <v>0</v>
      </c>
      <c r="R322" s="37"/>
    </row>
    <row r="323" spans="1:18" x14ac:dyDescent="0.25">
      <c r="A323" s="37" t="s">
        <v>107</v>
      </c>
      <c r="B323" s="37" t="s">
        <v>8</v>
      </c>
      <c r="C323" t="s">
        <v>15</v>
      </c>
      <c r="D323" s="37" t="s">
        <v>79</v>
      </c>
      <c r="E323" s="37">
        <v>12394</v>
      </c>
      <c r="F323" s="37" t="s">
        <v>181</v>
      </c>
      <c r="G323" s="37" t="s">
        <v>35</v>
      </c>
      <c r="H323" s="37" t="s">
        <v>106</v>
      </c>
      <c r="I323" s="38"/>
      <c r="J323" s="37">
        <v>27444590</v>
      </c>
      <c r="K323" s="37" t="s">
        <v>187</v>
      </c>
      <c r="L323" s="37" t="str">
        <f>_xlfn.XLOOKUP(Tabla2__2[[#This Row],[CODIGO RUTA]],'DATA INFORME'!I:I,'DATA INFORME'!K:K)</f>
        <v xml:space="preserve"> NO</v>
      </c>
      <c r="M323" s="37" t="str">
        <f>IF(Tabla2__2[[#This Row],[MYSTERY EFECTIVO]]="SI",_xlfn.XLOOKUP(Tabla2__2[[#This Row],[PREGUNTA]],ENCUESTA!G:G,ENCUESTA!D:D),"N/A")</f>
        <v>N/A</v>
      </c>
      <c r="N3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3" s="37" t="str">
        <f>_xlfn.XLOOKUP(Tabla2__2[[#This Row],[PREGUNTA]],ENCUESTA!G:G,ENCUESTA!H:H)</f>
        <v>SI</v>
      </c>
      <c r="P323" s="37">
        <f>IF(Tabla2__2[[#This Row],[RTA]]=Tabla2__2[[#This Row],[RTA CORRECTA]],Tabla2__2[[#This Row],[TOTAL PUNTAJE]],0)</f>
        <v>0</v>
      </c>
      <c r="Q323" s="37">
        <f t="shared" si="5"/>
        <v>0</v>
      </c>
      <c r="R323" s="37"/>
    </row>
    <row r="324" spans="1:18" x14ac:dyDescent="0.25">
      <c r="A324" s="37" t="s">
        <v>107</v>
      </c>
      <c r="B324" s="37" t="s">
        <v>91</v>
      </c>
      <c r="C324" t="s">
        <v>15</v>
      </c>
      <c r="D324" s="37" t="s">
        <v>171</v>
      </c>
      <c r="E324" s="37">
        <v>428025</v>
      </c>
      <c r="F324" s="37" t="s">
        <v>174</v>
      </c>
      <c r="G324" s="37" t="s">
        <v>97</v>
      </c>
      <c r="H324" s="37" t="s">
        <v>20</v>
      </c>
      <c r="I324" s="38"/>
      <c r="J324" s="37">
        <v>27444155</v>
      </c>
      <c r="K324" s="37" t="s">
        <v>121</v>
      </c>
      <c r="L324" s="37" t="str">
        <f>_xlfn.XLOOKUP(Tabla2__2[[#This Row],[CODIGO RUTA]],'DATA INFORME'!I:I,'DATA INFORME'!K:K)</f>
        <v>SI</v>
      </c>
      <c r="M324" s="37" t="str">
        <f>IF(Tabla2__2[[#This Row],[MYSTERY EFECTIVO]]="SI",_xlfn.XLOOKUP(Tabla2__2[[#This Row],[PREGUNTA]],ENCUESTA!G:G,ENCUESTA!D:D),"N/A")</f>
        <v>HORARIO</v>
      </c>
      <c r="N3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24" s="37" t="str">
        <f>_xlfn.XLOOKUP(Tabla2__2[[#This Row],[PREGUNTA]],ENCUESTA!G:G,ENCUESTA!H:H)</f>
        <v>SI</v>
      </c>
      <c r="P324" s="37">
        <f>IF(Tabla2__2[[#This Row],[RTA]]=Tabla2__2[[#This Row],[RTA CORRECTA]],Tabla2__2[[#This Row],[TOTAL PUNTAJE]],0)</f>
        <v>20</v>
      </c>
      <c r="Q324" s="37">
        <f t="shared" si="5"/>
        <v>0</v>
      </c>
      <c r="R324" s="37"/>
    </row>
    <row r="325" spans="1:18" x14ac:dyDescent="0.25">
      <c r="A325" s="37" t="s">
        <v>107</v>
      </c>
      <c r="B325" s="37" t="s">
        <v>91</v>
      </c>
      <c r="C325" t="s">
        <v>15</v>
      </c>
      <c r="D325" s="37" t="s">
        <v>171</v>
      </c>
      <c r="E325" s="37">
        <v>428025</v>
      </c>
      <c r="F325" s="37" t="s">
        <v>174</v>
      </c>
      <c r="G325" s="37" t="s">
        <v>133</v>
      </c>
      <c r="H325" s="37" t="s">
        <v>20</v>
      </c>
      <c r="I325" s="38"/>
      <c r="J325" s="37">
        <v>27444155</v>
      </c>
      <c r="K325" s="37" t="s">
        <v>121</v>
      </c>
      <c r="L325" s="37" t="str">
        <f>_xlfn.XLOOKUP(Tabla2__2[[#This Row],[CODIGO RUTA]],'DATA INFORME'!I:I,'DATA INFORME'!K:K)</f>
        <v>SI</v>
      </c>
      <c r="M325" s="37" t="str">
        <f>IF(Tabla2__2[[#This Row],[MYSTERY EFECTIVO]]="SI",_xlfn.XLOOKUP(Tabla2__2[[#This Row],[PREGUNTA]],ENCUESTA!G:G,ENCUESTA!D:D),"N/A")</f>
        <v>N/A</v>
      </c>
      <c r="N3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5" s="37">
        <f>_xlfn.XLOOKUP(Tabla2__2[[#This Row],[PREGUNTA]],ENCUESTA!G:G,ENCUESTA!H:H)</f>
        <v>0</v>
      </c>
      <c r="P325" s="37">
        <f>IF(Tabla2__2[[#This Row],[RTA]]=Tabla2__2[[#This Row],[RTA CORRECTA]],Tabla2__2[[#This Row],[TOTAL PUNTAJE]],0)</f>
        <v>0</v>
      </c>
      <c r="Q325" s="37">
        <f t="shared" si="5"/>
        <v>0</v>
      </c>
      <c r="R325" s="37"/>
    </row>
    <row r="326" spans="1:18" x14ac:dyDescent="0.25">
      <c r="A326" s="37" t="s">
        <v>107</v>
      </c>
      <c r="B326" s="37" t="s">
        <v>8</v>
      </c>
      <c r="C326" t="s">
        <v>14</v>
      </c>
      <c r="D326" s="37" t="s">
        <v>161</v>
      </c>
      <c r="E326" s="37">
        <v>355955</v>
      </c>
      <c r="F326" s="37" t="s">
        <v>163</v>
      </c>
      <c r="G326" s="37" t="s">
        <v>157</v>
      </c>
      <c r="H326" s="37" t="s">
        <v>106</v>
      </c>
      <c r="I326" s="38"/>
      <c r="J326" s="37">
        <v>27420844</v>
      </c>
      <c r="K326" s="37" t="s">
        <v>110</v>
      </c>
      <c r="L326" s="37" t="str">
        <f>_xlfn.XLOOKUP(Tabla2__2[[#This Row],[CODIGO RUTA]],'DATA INFORME'!I:I,'DATA INFORME'!K:K)</f>
        <v>SI</v>
      </c>
      <c r="M326" s="37" t="str">
        <f>IF(Tabla2__2[[#This Row],[MYSTERY EFECTIVO]]="SI",_xlfn.XLOOKUP(Tabla2__2[[#This Row],[PREGUNTA]],ENCUESTA!G:G,ENCUESTA!D:D),"N/A")</f>
        <v>N/A</v>
      </c>
      <c r="N3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6" s="37">
        <f>_xlfn.XLOOKUP(Tabla2__2[[#This Row],[PREGUNTA]],ENCUESTA!G:G,ENCUESTA!H:H)</f>
        <v>0</v>
      </c>
      <c r="P326" s="37">
        <f>IF(Tabla2__2[[#This Row],[RTA]]=Tabla2__2[[#This Row],[RTA CORRECTA]],Tabla2__2[[#This Row],[TOTAL PUNTAJE]],0)</f>
        <v>0</v>
      </c>
      <c r="Q326" s="37">
        <f t="shared" si="5"/>
        <v>0</v>
      </c>
      <c r="R326" s="37"/>
    </row>
    <row r="327" spans="1:18" x14ac:dyDescent="0.25">
      <c r="A327" s="37" t="s">
        <v>107</v>
      </c>
      <c r="B327" s="37" t="s">
        <v>8</v>
      </c>
      <c r="C327" t="s">
        <v>14</v>
      </c>
      <c r="D327" s="37" t="s">
        <v>161</v>
      </c>
      <c r="E327" s="37">
        <v>355955</v>
      </c>
      <c r="F327" s="37" t="s">
        <v>163</v>
      </c>
      <c r="G327" s="37" t="s">
        <v>156</v>
      </c>
      <c r="H327" s="37" t="s">
        <v>20</v>
      </c>
      <c r="I327" s="38"/>
      <c r="J327" s="37">
        <v>27420844</v>
      </c>
      <c r="K327" s="37" t="s">
        <v>110</v>
      </c>
      <c r="L327" s="37" t="str">
        <f>_xlfn.XLOOKUP(Tabla2__2[[#This Row],[CODIGO RUTA]],'DATA INFORME'!I:I,'DATA INFORME'!K:K)</f>
        <v>SI</v>
      </c>
      <c r="M327" s="37" t="str">
        <f>IF(Tabla2__2[[#This Row],[MYSTERY EFECTIVO]]="SI",_xlfn.XLOOKUP(Tabla2__2[[#This Row],[PREGUNTA]],ENCUESTA!G:G,ENCUESTA!D:D),"N/A")</f>
        <v>LABOR DE VENTA</v>
      </c>
      <c r="N3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27" s="37" t="str">
        <f>_xlfn.XLOOKUP(Tabla2__2[[#This Row],[PREGUNTA]],ENCUESTA!G:G,ENCUESTA!H:H)</f>
        <v>SI</v>
      </c>
      <c r="P327" s="37">
        <f>IF(Tabla2__2[[#This Row],[RTA]]=Tabla2__2[[#This Row],[RTA CORRECTA]],Tabla2__2[[#This Row],[TOTAL PUNTAJE]],0)</f>
        <v>7.5</v>
      </c>
      <c r="Q327" s="37">
        <f t="shared" si="5"/>
        <v>0</v>
      </c>
      <c r="R327" s="37"/>
    </row>
    <row r="328" spans="1:18" x14ac:dyDescent="0.25">
      <c r="A328" s="37" t="s">
        <v>107</v>
      </c>
      <c r="B328" s="37" t="s">
        <v>8</v>
      </c>
      <c r="C328" t="s">
        <v>14</v>
      </c>
      <c r="D328" s="37" t="s">
        <v>161</v>
      </c>
      <c r="E328" s="37">
        <v>355955</v>
      </c>
      <c r="F328" s="37" t="s">
        <v>163</v>
      </c>
      <c r="G328" s="37" t="s">
        <v>155</v>
      </c>
      <c r="H328" s="37" t="s">
        <v>20</v>
      </c>
      <c r="I328" s="38"/>
      <c r="J328" s="37">
        <v>27420844</v>
      </c>
      <c r="K328" s="37" t="s">
        <v>110</v>
      </c>
      <c r="L328" s="37" t="str">
        <f>_xlfn.XLOOKUP(Tabla2__2[[#This Row],[CODIGO RUTA]],'DATA INFORME'!I:I,'DATA INFORME'!K:K)</f>
        <v>SI</v>
      </c>
      <c r="M328" s="37" t="str">
        <f>IF(Tabla2__2[[#This Row],[MYSTERY EFECTIVO]]="SI",_xlfn.XLOOKUP(Tabla2__2[[#This Row],[PREGUNTA]],ENCUESTA!G:G,ENCUESTA!D:D),"N/A")</f>
        <v>LABOR DE VENTA</v>
      </c>
      <c r="N3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28" s="37" t="str">
        <f>_xlfn.XLOOKUP(Tabla2__2[[#This Row],[PREGUNTA]],ENCUESTA!G:G,ENCUESTA!H:H)</f>
        <v>SI</v>
      </c>
      <c r="P328" s="37">
        <f>IF(Tabla2__2[[#This Row],[RTA]]=Tabla2__2[[#This Row],[RTA CORRECTA]],Tabla2__2[[#This Row],[TOTAL PUNTAJE]],0)</f>
        <v>7.5</v>
      </c>
      <c r="Q328" s="37">
        <f t="shared" si="5"/>
        <v>0</v>
      </c>
      <c r="R328" s="37"/>
    </row>
    <row r="329" spans="1:18" x14ac:dyDescent="0.25">
      <c r="A329" s="37" t="s">
        <v>107</v>
      </c>
      <c r="B329" s="37" t="s">
        <v>8</v>
      </c>
      <c r="C329" t="s">
        <v>14</v>
      </c>
      <c r="D329" s="37" t="s">
        <v>161</v>
      </c>
      <c r="E329" s="37">
        <v>355955</v>
      </c>
      <c r="F329" s="37" t="s">
        <v>163</v>
      </c>
      <c r="G329" s="37" t="s">
        <v>154</v>
      </c>
      <c r="H329" s="37" t="s">
        <v>20</v>
      </c>
      <c r="I329" s="38"/>
      <c r="J329" s="37">
        <v>27420844</v>
      </c>
      <c r="K329" s="37" t="s">
        <v>110</v>
      </c>
      <c r="L329" s="37" t="str">
        <f>_xlfn.XLOOKUP(Tabla2__2[[#This Row],[CODIGO RUTA]],'DATA INFORME'!I:I,'DATA INFORME'!K:K)</f>
        <v>SI</v>
      </c>
      <c r="M329" s="37" t="str">
        <f>IF(Tabla2__2[[#This Row],[MYSTERY EFECTIVO]]="SI",_xlfn.XLOOKUP(Tabla2__2[[#This Row],[PREGUNTA]],ENCUESTA!G:G,ENCUESTA!D:D),"N/A")</f>
        <v>UNIFORME</v>
      </c>
      <c r="N3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29" s="37" t="str">
        <f>_xlfn.XLOOKUP(Tabla2__2[[#This Row],[PREGUNTA]],ENCUESTA!G:G,ENCUESTA!H:H)</f>
        <v>SI</v>
      </c>
      <c r="P329" s="37">
        <f>IF(Tabla2__2[[#This Row],[RTA]]=Tabla2__2[[#This Row],[RTA CORRECTA]],Tabla2__2[[#This Row],[TOTAL PUNTAJE]],0)</f>
        <v>1.3636363636363635</v>
      </c>
      <c r="Q329" s="37">
        <f t="shared" si="5"/>
        <v>0</v>
      </c>
      <c r="R329" s="37"/>
    </row>
    <row r="330" spans="1:18" x14ac:dyDescent="0.25">
      <c r="A330" s="37" t="s">
        <v>107</v>
      </c>
      <c r="B330" s="37" t="s">
        <v>8</v>
      </c>
      <c r="C330" t="s">
        <v>14</v>
      </c>
      <c r="D330" s="37" t="s">
        <v>161</v>
      </c>
      <c r="E330" s="37">
        <v>355955</v>
      </c>
      <c r="F330" s="37" t="s">
        <v>163</v>
      </c>
      <c r="G330" s="37" t="s">
        <v>153</v>
      </c>
      <c r="H330" s="37" t="s">
        <v>20</v>
      </c>
      <c r="I330" s="38"/>
      <c r="J330" s="37">
        <v>27420844</v>
      </c>
      <c r="K330" s="37" t="s">
        <v>110</v>
      </c>
      <c r="L330" s="37" t="str">
        <f>_xlfn.XLOOKUP(Tabla2__2[[#This Row],[CODIGO RUTA]],'DATA INFORME'!I:I,'DATA INFORME'!K:K)</f>
        <v>SI</v>
      </c>
      <c r="M330" s="37" t="str">
        <f>IF(Tabla2__2[[#This Row],[MYSTERY EFECTIVO]]="SI",_xlfn.XLOOKUP(Tabla2__2[[#This Row],[PREGUNTA]],ENCUESTA!G:G,ENCUESTA!D:D),"N/A")</f>
        <v>PORTAFOLIO Y MANEJO DE OBJECIONES</v>
      </c>
      <c r="N3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30" s="37" t="str">
        <f>_xlfn.XLOOKUP(Tabla2__2[[#This Row],[PREGUNTA]],ENCUESTA!G:G,ENCUESTA!H:H)</f>
        <v>SI</v>
      </c>
      <c r="P330" s="37">
        <f>IF(Tabla2__2[[#This Row],[RTA]]=Tabla2__2[[#This Row],[RTA CORRECTA]],Tabla2__2[[#This Row],[TOTAL PUNTAJE]],0)</f>
        <v>1.5384615384615385</v>
      </c>
      <c r="Q330" s="37">
        <f t="shared" si="5"/>
        <v>0</v>
      </c>
      <c r="R330" s="37"/>
    </row>
    <row r="331" spans="1:18" x14ac:dyDescent="0.25">
      <c r="A331" s="37" t="s">
        <v>107</v>
      </c>
      <c r="B331" s="37" t="s">
        <v>8</v>
      </c>
      <c r="C331" t="s">
        <v>14</v>
      </c>
      <c r="D331" s="37" t="s">
        <v>161</v>
      </c>
      <c r="E331" s="37">
        <v>355955</v>
      </c>
      <c r="F331" s="37" t="s">
        <v>163</v>
      </c>
      <c r="G331" s="37" t="s">
        <v>152</v>
      </c>
      <c r="H331" s="37" t="s">
        <v>170</v>
      </c>
      <c r="I331" s="38"/>
      <c r="J331" s="37">
        <v>27420844</v>
      </c>
      <c r="K331" s="37" t="s">
        <v>110</v>
      </c>
      <c r="L331" s="37" t="str">
        <f>_xlfn.XLOOKUP(Tabla2__2[[#This Row],[CODIGO RUTA]],'DATA INFORME'!I:I,'DATA INFORME'!K:K)</f>
        <v>SI</v>
      </c>
      <c r="M331" s="37" t="str">
        <f>IF(Tabla2__2[[#This Row],[MYSTERY EFECTIVO]]="SI",_xlfn.XLOOKUP(Tabla2__2[[#This Row],[PREGUNTA]],ENCUESTA!G:G,ENCUESTA!D:D),"N/A")</f>
        <v>N/A</v>
      </c>
      <c r="N3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31" s="37" t="str">
        <f>_xlfn.XLOOKUP(Tabla2__2[[#This Row],[PREGUNTA]],ENCUESTA!G:G,ENCUESTA!H:H)</f>
        <v>FALTA DE PRODUCTO, NO LE INTERESA EL PRODUCTO, NO TIENE DINERO, PREFIERE LA COMPETENCIA</v>
      </c>
      <c r="P331" s="37">
        <f>IF(Tabla2__2[[#This Row],[RTA]]=Tabla2__2[[#This Row],[RTA CORRECTA]],Tabla2__2[[#This Row],[TOTAL PUNTAJE]],0)</f>
        <v>0</v>
      </c>
      <c r="Q331" s="37">
        <f t="shared" si="5"/>
        <v>0</v>
      </c>
      <c r="R331" s="37"/>
    </row>
    <row r="332" spans="1:18" x14ac:dyDescent="0.25">
      <c r="A332" s="37" t="s">
        <v>107</v>
      </c>
      <c r="B332" s="37" t="s">
        <v>8</v>
      </c>
      <c r="C332" t="s">
        <v>14</v>
      </c>
      <c r="D332" s="37" t="s">
        <v>161</v>
      </c>
      <c r="E332" s="37">
        <v>355955</v>
      </c>
      <c r="F332" s="37" t="s">
        <v>163</v>
      </c>
      <c r="G332" s="37" t="s">
        <v>151</v>
      </c>
      <c r="H332" s="37" t="s">
        <v>106</v>
      </c>
      <c r="I332" s="38"/>
      <c r="J332" s="37">
        <v>27420844</v>
      </c>
      <c r="K332" s="37" t="s">
        <v>110</v>
      </c>
      <c r="L332" s="37" t="str">
        <f>_xlfn.XLOOKUP(Tabla2__2[[#This Row],[CODIGO RUTA]],'DATA INFORME'!I:I,'DATA INFORME'!K:K)</f>
        <v>SI</v>
      </c>
      <c r="M332" s="37" t="str">
        <f>IF(Tabla2__2[[#This Row],[MYSTERY EFECTIVO]]="SI",_xlfn.XLOOKUP(Tabla2__2[[#This Row],[PREGUNTA]],ENCUESTA!G:G,ENCUESTA!D:D),"N/A")</f>
        <v>ACTIVIDADES DEL MES</v>
      </c>
      <c r="N3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32" s="37" t="str">
        <f>_xlfn.XLOOKUP(Tabla2__2[[#This Row],[PREGUNTA]],ENCUESTA!G:G,ENCUESTA!H:H)</f>
        <v>SI</v>
      </c>
      <c r="P332" s="37">
        <f>IF(Tabla2__2[[#This Row],[RTA]]=Tabla2__2[[#This Row],[RTA CORRECTA]],Tabla2__2[[#This Row],[TOTAL PUNTAJE]],0)</f>
        <v>0</v>
      </c>
      <c r="Q332" s="37">
        <f t="shared" si="5"/>
        <v>0</v>
      </c>
      <c r="R332" s="37"/>
    </row>
    <row r="333" spans="1:18" x14ac:dyDescent="0.25">
      <c r="A333" s="37" t="s">
        <v>107</v>
      </c>
      <c r="B333" s="37" t="s">
        <v>8</v>
      </c>
      <c r="C333" t="s">
        <v>14</v>
      </c>
      <c r="D333" s="37" t="s">
        <v>161</v>
      </c>
      <c r="E333" s="37">
        <v>355955</v>
      </c>
      <c r="F333" s="37" t="s">
        <v>163</v>
      </c>
      <c r="G333" s="37" t="s">
        <v>150</v>
      </c>
      <c r="H333" s="37" t="s">
        <v>106</v>
      </c>
      <c r="I333" s="38"/>
      <c r="J333" s="37">
        <v>27420844</v>
      </c>
      <c r="K333" s="37" t="s">
        <v>110</v>
      </c>
      <c r="L333" s="37" t="str">
        <f>_xlfn.XLOOKUP(Tabla2__2[[#This Row],[CODIGO RUTA]],'DATA INFORME'!I:I,'DATA INFORME'!K:K)</f>
        <v>SI</v>
      </c>
      <c r="M333" s="37" t="str">
        <f>IF(Tabla2__2[[#This Row],[MYSTERY EFECTIVO]]="SI",_xlfn.XLOOKUP(Tabla2__2[[#This Row],[PREGUNTA]],ENCUESTA!G:G,ENCUESTA!D:D),"N/A")</f>
        <v>PORTAFOLIO Y MANEJO DE OBJECIONES</v>
      </c>
      <c r="N3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33" s="37" t="str">
        <f>_xlfn.XLOOKUP(Tabla2__2[[#This Row],[PREGUNTA]],ENCUESTA!G:G,ENCUESTA!H:H)</f>
        <v>SI</v>
      </c>
      <c r="P333" s="37">
        <f>IF(Tabla2__2[[#This Row],[RTA]]=Tabla2__2[[#This Row],[RTA CORRECTA]],Tabla2__2[[#This Row],[TOTAL PUNTAJE]],0)</f>
        <v>0</v>
      </c>
      <c r="Q333" s="37">
        <f t="shared" si="5"/>
        <v>0</v>
      </c>
      <c r="R333" s="37"/>
    </row>
    <row r="334" spans="1:18" x14ac:dyDescent="0.25">
      <c r="A334" s="37" t="s">
        <v>107</v>
      </c>
      <c r="B334" s="37" t="s">
        <v>8</v>
      </c>
      <c r="C334" t="s">
        <v>14</v>
      </c>
      <c r="D334" s="37" t="s">
        <v>161</v>
      </c>
      <c r="E334" s="37">
        <v>355955</v>
      </c>
      <c r="F334" s="37" t="s">
        <v>163</v>
      </c>
      <c r="G334" s="37" t="s">
        <v>149</v>
      </c>
      <c r="H334" s="37" t="s">
        <v>20</v>
      </c>
      <c r="I334" s="38"/>
      <c r="J334" s="37">
        <v>27420844</v>
      </c>
      <c r="K334" s="37" t="s">
        <v>110</v>
      </c>
      <c r="L334" s="37" t="str">
        <f>_xlfn.XLOOKUP(Tabla2__2[[#This Row],[CODIGO RUTA]],'DATA INFORME'!I:I,'DATA INFORME'!K:K)</f>
        <v>SI</v>
      </c>
      <c r="M334" s="37" t="str">
        <f>IF(Tabla2__2[[#This Row],[MYSTERY EFECTIVO]]="SI",_xlfn.XLOOKUP(Tabla2__2[[#This Row],[PREGUNTA]],ENCUESTA!G:G,ENCUESTA!D:D),"N/A")</f>
        <v>PORTAFOLIO Y MANEJO DE OBJECIONES</v>
      </c>
      <c r="N3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34" s="37" t="str">
        <f>_xlfn.XLOOKUP(Tabla2__2[[#This Row],[PREGUNTA]],ENCUESTA!G:G,ENCUESTA!H:H)</f>
        <v>SI</v>
      </c>
      <c r="P334" s="37">
        <f>IF(Tabla2__2[[#This Row],[RTA]]=Tabla2__2[[#This Row],[RTA CORRECTA]],Tabla2__2[[#This Row],[TOTAL PUNTAJE]],0)</f>
        <v>1.5384615384615385</v>
      </c>
      <c r="Q334" s="37">
        <f t="shared" si="5"/>
        <v>0</v>
      </c>
      <c r="R334" s="37"/>
    </row>
    <row r="335" spans="1:18" x14ac:dyDescent="0.25">
      <c r="A335" s="37" t="s">
        <v>107</v>
      </c>
      <c r="B335" s="37" t="s">
        <v>8</v>
      </c>
      <c r="C335" t="s">
        <v>14</v>
      </c>
      <c r="D335" s="37" t="s">
        <v>161</v>
      </c>
      <c r="E335" s="37">
        <v>355955</v>
      </c>
      <c r="F335" s="37" t="s">
        <v>163</v>
      </c>
      <c r="G335" s="37" t="s">
        <v>148</v>
      </c>
      <c r="H335" s="37" t="s">
        <v>20</v>
      </c>
      <c r="I335" s="38"/>
      <c r="J335" s="37">
        <v>27420844</v>
      </c>
      <c r="K335" s="37" t="s">
        <v>110</v>
      </c>
      <c r="L335" s="37" t="str">
        <f>_xlfn.XLOOKUP(Tabla2__2[[#This Row],[CODIGO RUTA]],'DATA INFORME'!I:I,'DATA INFORME'!K:K)</f>
        <v>SI</v>
      </c>
      <c r="M335" s="37" t="str">
        <f>IF(Tabla2__2[[#This Row],[MYSTERY EFECTIVO]]="SI",_xlfn.XLOOKUP(Tabla2__2[[#This Row],[PREGUNTA]],ENCUESTA!G:G,ENCUESTA!D:D),"N/A")</f>
        <v>PORTAFOLIO Y MANEJO DE OBJECIONES</v>
      </c>
      <c r="N3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35" s="37" t="str">
        <f>_xlfn.XLOOKUP(Tabla2__2[[#This Row],[PREGUNTA]],ENCUESTA!G:G,ENCUESTA!H:H)</f>
        <v>SI</v>
      </c>
      <c r="P335" s="37">
        <f>IF(Tabla2__2[[#This Row],[RTA]]=Tabla2__2[[#This Row],[RTA CORRECTA]],Tabla2__2[[#This Row],[TOTAL PUNTAJE]],0)</f>
        <v>1.5384615384615385</v>
      </c>
      <c r="Q335" s="37">
        <f t="shared" si="5"/>
        <v>0</v>
      </c>
      <c r="R335" s="37"/>
    </row>
    <row r="336" spans="1:18" x14ac:dyDescent="0.25">
      <c r="A336" s="37" t="s">
        <v>107</v>
      </c>
      <c r="B336" s="37" t="s">
        <v>8</v>
      </c>
      <c r="C336" t="s">
        <v>14</v>
      </c>
      <c r="D336" s="37" t="s">
        <v>161</v>
      </c>
      <c r="E336" s="37">
        <v>355955</v>
      </c>
      <c r="F336" s="37" t="s">
        <v>163</v>
      </c>
      <c r="G336" s="37" t="s">
        <v>147</v>
      </c>
      <c r="H336" s="37" t="s">
        <v>20</v>
      </c>
      <c r="I336" s="38"/>
      <c r="J336" s="37">
        <v>27420844</v>
      </c>
      <c r="K336" s="37" t="s">
        <v>110</v>
      </c>
      <c r="L336" s="37" t="str">
        <f>_xlfn.XLOOKUP(Tabla2__2[[#This Row],[CODIGO RUTA]],'DATA INFORME'!I:I,'DATA INFORME'!K:K)</f>
        <v>SI</v>
      </c>
      <c r="M336" s="37" t="str">
        <f>IF(Tabla2__2[[#This Row],[MYSTERY EFECTIVO]]="SI",_xlfn.XLOOKUP(Tabla2__2[[#This Row],[PREGUNTA]],ENCUESTA!G:G,ENCUESTA!D:D),"N/A")</f>
        <v>PORTAFOLIO Y MANEJO DE OBJECIONES</v>
      </c>
      <c r="N3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36" s="37" t="str">
        <f>_xlfn.XLOOKUP(Tabla2__2[[#This Row],[PREGUNTA]],ENCUESTA!G:G,ENCUESTA!H:H)</f>
        <v>SI</v>
      </c>
      <c r="P336" s="37">
        <f>IF(Tabla2__2[[#This Row],[RTA]]=Tabla2__2[[#This Row],[RTA CORRECTA]],Tabla2__2[[#This Row],[TOTAL PUNTAJE]],0)</f>
        <v>1.5384615384615385</v>
      </c>
      <c r="Q336" s="37">
        <f t="shared" si="5"/>
        <v>0</v>
      </c>
      <c r="R336" s="37"/>
    </row>
    <row r="337" spans="1:18" x14ac:dyDescent="0.25">
      <c r="A337" s="37" t="s">
        <v>107</v>
      </c>
      <c r="B337" s="37" t="s">
        <v>91</v>
      </c>
      <c r="C337" t="s">
        <v>15</v>
      </c>
      <c r="D337" s="37" t="s">
        <v>171</v>
      </c>
      <c r="E337" s="37">
        <v>428025</v>
      </c>
      <c r="F337" s="37" t="s">
        <v>174</v>
      </c>
      <c r="G337" s="37" t="s">
        <v>98</v>
      </c>
      <c r="H337" s="37" t="s">
        <v>20</v>
      </c>
      <c r="I337" s="38"/>
      <c r="J337" s="37">
        <v>27444155</v>
      </c>
      <c r="K337" s="37" t="s">
        <v>121</v>
      </c>
      <c r="L337" s="37" t="str">
        <f>_xlfn.XLOOKUP(Tabla2__2[[#This Row],[CODIGO RUTA]],'DATA INFORME'!I:I,'DATA INFORME'!K:K)</f>
        <v>SI</v>
      </c>
      <c r="M337" s="37" t="str">
        <f>IF(Tabla2__2[[#This Row],[MYSTERY EFECTIVO]]="SI",_xlfn.XLOOKUP(Tabla2__2[[#This Row],[PREGUNTA]],ENCUESTA!G:G,ENCUESTA!D:D),"N/A")</f>
        <v>UNIFORME</v>
      </c>
      <c r="N3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37" s="37" t="str">
        <f>_xlfn.XLOOKUP(Tabla2__2[[#This Row],[PREGUNTA]],ENCUESTA!G:G,ENCUESTA!H:H)</f>
        <v>SI</v>
      </c>
      <c r="P337" s="37">
        <f>IF(Tabla2__2[[#This Row],[RTA]]=Tabla2__2[[#This Row],[RTA CORRECTA]],Tabla2__2[[#This Row],[TOTAL PUNTAJE]],0)</f>
        <v>1.3636363636363635</v>
      </c>
      <c r="Q337" s="37">
        <f t="shared" si="5"/>
        <v>0</v>
      </c>
      <c r="R337" s="37"/>
    </row>
    <row r="338" spans="1:18" x14ac:dyDescent="0.25">
      <c r="A338" s="37" t="s">
        <v>107</v>
      </c>
      <c r="B338" s="37" t="s">
        <v>8</v>
      </c>
      <c r="C338" t="s">
        <v>14</v>
      </c>
      <c r="D338" s="37" t="s">
        <v>161</v>
      </c>
      <c r="E338" s="37">
        <v>355955</v>
      </c>
      <c r="F338" s="37" t="s">
        <v>163</v>
      </c>
      <c r="G338" s="37" t="s">
        <v>139</v>
      </c>
      <c r="H338" s="37" t="s">
        <v>169</v>
      </c>
      <c r="I338" s="38"/>
      <c r="J338" s="37">
        <v>27420844</v>
      </c>
      <c r="K338" s="37" t="s">
        <v>110</v>
      </c>
      <c r="L338" s="37" t="str">
        <f>_xlfn.XLOOKUP(Tabla2__2[[#This Row],[CODIGO RUTA]],'DATA INFORME'!I:I,'DATA INFORME'!K:K)</f>
        <v>SI</v>
      </c>
      <c r="M338" s="37" t="str">
        <f>IF(Tabla2__2[[#This Row],[MYSTERY EFECTIVO]]="SI",_xlfn.XLOOKUP(Tabla2__2[[#This Row],[PREGUNTA]],ENCUESTA!G:G,ENCUESTA!D:D),"N/A")</f>
        <v>N/A</v>
      </c>
      <c r="N3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38" s="37" t="str">
        <f>_xlfn.XLOOKUP(Tabla2__2[[#This Row],[PREGUNTA]],ENCUESTA!G:G,ENCUESTA!H:H)</f>
        <v>MODERNO, ESPECIALIZADO</v>
      </c>
      <c r="P338" s="37">
        <f>IF(Tabla2__2[[#This Row],[RTA]]=Tabla2__2[[#This Row],[RTA CORRECTA]],Tabla2__2[[#This Row],[TOTAL PUNTAJE]],0)</f>
        <v>0</v>
      </c>
      <c r="Q338" s="37">
        <f t="shared" si="5"/>
        <v>0</v>
      </c>
      <c r="R338" s="37"/>
    </row>
    <row r="339" spans="1:18" x14ac:dyDescent="0.25">
      <c r="A339" s="37" t="s">
        <v>107</v>
      </c>
      <c r="B339" s="37" t="s">
        <v>8</v>
      </c>
      <c r="C339" t="s">
        <v>14</v>
      </c>
      <c r="D339" s="37" t="s">
        <v>161</v>
      </c>
      <c r="E339" s="37">
        <v>355955</v>
      </c>
      <c r="F339" s="37" t="s">
        <v>163</v>
      </c>
      <c r="G339" s="37" t="s">
        <v>137</v>
      </c>
      <c r="H339" s="37" t="s">
        <v>106</v>
      </c>
      <c r="I339" s="38"/>
      <c r="J339" s="37">
        <v>27420844</v>
      </c>
      <c r="K339" s="37" t="s">
        <v>110</v>
      </c>
      <c r="L339" s="37" t="str">
        <f>_xlfn.XLOOKUP(Tabla2__2[[#This Row],[CODIGO RUTA]],'DATA INFORME'!I:I,'DATA INFORME'!K:K)</f>
        <v>SI</v>
      </c>
      <c r="M339" s="37" t="str">
        <f>IF(Tabla2__2[[#This Row],[MYSTERY EFECTIVO]]="SI",_xlfn.XLOOKUP(Tabla2__2[[#This Row],[PREGUNTA]],ENCUESTA!G:G,ENCUESTA!D:D),"N/A")</f>
        <v>PORTAFOLIO Y MANEJO DE OBJECIONES</v>
      </c>
      <c r="N3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39" s="37" t="str">
        <f>_xlfn.XLOOKUP(Tabla2__2[[#This Row],[PREGUNTA]],ENCUESTA!G:G,ENCUESTA!H:H)</f>
        <v>SI</v>
      </c>
      <c r="P339" s="37">
        <f>IF(Tabla2__2[[#This Row],[RTA]]=Tabla2__2[[#This Row],[RTA CORRECTA]],Tabla2__2[[#This Row],[TOTAL PUNTAJE]],0)</f>
        <v>0</v>
      </c>
      <c r="Q339" s="37">
        <f t="shared" si="5"/>
        <v>0</v>
      </c>
      <c r="R339" s="37"/>
    </row>
    <row r="340" spans="1:18" x14ac:dyDescent="0.25">
      <c r="A340" s="37" t="s">
        <v>107</v>
      </c>
      <c r="B340" s="37" t="s">
        <v>8</v>
      </c>
      <c r="C340" t="s">
        <v>14</v>
      </c>
      <c r="D340" s="37" t="s">
        <v>161</v>
      </c>
      <c r="E340" s="37">
        <v>355955</v>
      </c>
      <c r="F340" s="37" t="s">
        <v>163</v>
      </c>
      <c r="G340" s="37" t="s">
        <v>136</v>
      </c>
      <c r="H340" s="37" t="s">
        <v>20</v>
      </c>
      <c r="I340" s="38"/>
      <c r="J340" s="37">
        <v>27420844</v>
      </c>
      <c r="K340" s="37" t="s">
        <v>110</v>
      </c>
      <c r="L340" s="37" t="str">
        <f>_xlfn.XLOOKUP(Tabla2__2[[#This Row],[CODIGO RUTA]],'DATA INFORME'!I:I,'DATA INFORME'!K:K)</f>
        <v>SI</v>
      </c>
      <c r="M340" s="37" t="str">
        <f>IF(Tabla2__2[[#This Row],[MYSTERY EFECTIVO]]="SI",_xlfn.XLOOKUP(Tabla2__2[[#This Row],[PREGUNTA]],ENCUESTA!G:G,ENCUESTA!D:D),"N/A")</f>
        <v>ABORDAJE</v>
      </c>
      <c r="N3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40" s="37" t="str">
        <f>_xlfn.XLOOKUP(Tabla2__2[[#This Row],[PREGUNTA]],ENCUESTA!G:G,ENCUESTA!H:H)</f>
        <v>SI</v>
      </c>
      <c r="P340" s="37">
        <f>IF(Tabla2__2[[#This Row],[RTA]]=Tabla2__2[[#This Row],[RTA CORRECTA]],Tabla2__2[[#This Row],[TOTAL PUNTAJE]],0)</f>
        <v>20</v>
      </c>
      <c r="Q340" s="37">
        <f t="shared" si="5"/>
        <v>0</v>
      </c>
      <c r="R340" s="37"/>
    </row>
    <row r="341" spans="1:18" x14ac:dyDescent="0.25">
      <c r="A341" s="37" t="s">
        <v>107</v>
      </c>
      <c r="B341" s="37" t="s">
        <v>8</v>
      </c>
      <c r="C341" t="s">
        <v>14</v>
      </c>
      <c r="D341" s="37" t="s">
        <v>161</v>
      </c>
      <c r="E341" s="37">
        <v>355955</v>
      </c>
      <c r="F341" s="37" t="s">
        <v>163</v>
      </c>
      <c r="G341" s="37" t="s">
        <v>104</v>
      </c>
      <c r="H341" s="37" t="s">
        <v>106</v>
      </c>
      <c r="I341" s="38"/>
      <c r="J341" s="37">
        <v>27420844</v>
      </c>
      <c r="K341" s="37" t="s">
        <v>110</v>
      </c>
      <c r="L341" s="37" t="str">
        <f>_xlfn.XLOOKUP(Tabla2__2[[#This Row],[CODIGO RUTA]],'DATA INFORME'!I:I,'DATA INFORME'!K:K)</f>
        <v>SI</v>
      </c>
      <c r="M341" s="37" t="str">
        <f>IF(Tabla2__2[[#This Row],[MYSTERY EFECTIVO]]="SI",_xlfn.XLOOKUP(Tabla2__2[[#This Row],[PREGUNTA]],ENCUESTA!G:G,ENCUESTA!D:D),"N/A")</f>
        <v>UNIFORME</v>
      </c>
      <c r="N3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1" s="37" t="str">
        <f>_xlfn.XLOOKUP(Tabla2__2[[#This Row],[PREGUNTA]],ENCUESTA!G:G,ENCUESTA!H:H)</f>
        <v>NO</v>
      </c>
      <c r="P341" s="37">
        <f>IF(Tabla2__2[[#This Row],[RTA]]=Tabla2__2[[#This Row],[RTA CORRECTA]],Tabla2__2[[#This Row],[TOTAL PUNTAJE]],0)</f>
        <v>1.3636363636363635</v>
      </c>
      <c r="Q341" s="37">
        <f t="shared" si="5"/>
        <v>0</v>
      </c>
      <c r="R341" s="37"/>
    </row>
    <row r="342" spans="1:18" x14ac:dyDescent="0.25">
      <c r="A342" s="37" t="s">
        <v>107</v>
      </c>
      <c r="B342" s="37" t="s">
        <v>8</v>
      </c>
      <c r="C342" t="s">
        <v>14</v>
      </c>
      <c r="D342" s="37" t="s">
        <v>161</v>
      </c>
      <c r="E342" s="37">
        <v>355955</v>
      </c>
      <c r="F342" s="37" t="s">
        <v>163</v>
      </c>
      <c r="G342" s="37" t="s">
        <v>103</v>
      </c>
      <c r="H342" s="37" t="s">
        <v>106</v>
      </c>
      <c r="I342" s="38"/>
      <c r="J342" s="37">
        <v>27420844</v>
      </c>
      <c r="K342" s="37" t="s">
        <v>110</v>
      </c>
      <c r="L342" s="37" t="str">
        <f>_xlfn.XLOOKUP(Tabla2__2[[#This Row],[CODIGO RUTA]],'DATA INFORME'!I:I,'DATA INFORME'!K:K)</f>
        <v>SI</v>
      </c>
      <c r="M342" s="37" t="str">
        <f>IF(Tabla2__2[[#This Row],[MYSTERY EFECTIVO]]="SI",_xlfn.XLOOKUP(Tabla2__2[[#This Row],[PREGUNTA]],ENCUESTA!G:G,ENCUESTA!D:D),"N/A")</f>
        <v>UNIFORME</v>
      </c>
      <c r="N3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2" s="37" t="str">
        <f>_xlfn.XLOOKUP(Tabla2__2[[#This Row],[PREGUNTA]],ENCUESTA!G:G,ENCUESTA!H:H)</f>
        <v>NO</v>
      </c>
      <c r="P342" s="37">
        <f>IF(Tabla2__2[[#This Row],[RTA]]=Tabla2__2[[#This Row],[RTA CORRECTA]],Tabla2__2[[#This Row],[TOTAL PUNTAJE]],0)</f>
        <v>1.3636363636363635</v>
      </c>
      <c r="Q342" s="37">
        <f t="shared" si="5"/>
        <v>0</v>
      </c>
      <c r="R342" s="37"/>
    </row>
    <row r="343" spans="1:18" x14ac:dyDescent="0.25">
      <c r="A343" s="37" t="s">
        <v>107</v>
      </c>
      <c r="B343" s="37" t="s">
        <v>8</v>
      </c>
      <c r="C343" t="s">
        <v>14</v>
      </c>
      <c r="D343" s="37" t="s">
        <v>161</v>
      </c>
      <c r="E343" s="37">
        <v>355955</v>
      </c>
      <c r="F343" s="37" t="s">
        <v>163</v>
      </c>
      <c r="G343" s="37" t="s">
        <v>102</v>
      </c>
      <c r="H343" s="37" t="s">
        <v>106</v>
      </c>
      <c r="I343" s="38"/>
      <c r="J343" s="37">
        <v>27420844</v>
      </c>
      <c r="K343" s="37" t="s">
        <v>110</v>
      </c>
      <c r="L343" s="37" t="str">
        <f>_xlfn.XLOOKUP(Tabla2__2[[#This Row],[CODIGO RUTA]],'DATA INFORME'!I:I,'DATA INFORME'!K:K)</f>
        <v>SI</v>
      </c>
      <c r="M343" s="37" t="str">
        <f>IF(Tabla2__2[[#This Row],[MYSTERY EFECTIVO]]="SI",_xlfn.XLOOKUP(Tabla2__2[[#This Row],[PREGUNTA]],ENCUESTA!G:G,ENCUESTA!D:D),"N/A")</f>
        <v>UNIFORME</v>
      </c>
      <c r="N3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3" s="37" t="str">
        <f>_xlfn.XLOOKUP(Tabla2__2[[#This Row],[PREGUNTA]],ENCUESTA!G:G,ENCUESTA!H:H)</f>
        <v>NO</v>
      </c>
      <c r="P343" s="37">
        <f>IF(Tabla2__2[[#This Row],[RTA]]=Tabla2__2[[#This Row],[RTA CORRECTA]],Tabla2__2[[#This Row],[TOTAL PUNTAJE]],0)</f>
        <v>1.3636363636363635</v>
      </c>
      <c r="Q343" s="37">
        <f t="shared" si="5"/>
        <v>0</v>
      </c>
      <c r="R343" s="37"/>
    </row>
    <row r="344" spans="1:18" x14ac:dyDescent="0.25">
      <c r="A344" s="37" t="s">
        <v>107</v>
      </c>
      <c r="B344" s="37" t="s">
        <v>8</v>
      </c>
      <c r="C344" t="s">
        <v>14</v>
      </c>
      <c r="D344" s="37" t="s">
        <v>161</v>
      </c>
      <c r="E344" s="37">
        <v>355955</v>
      </c>
      <c r="F344" s="37" t="s">
        <v>163</v>
      </c>
      <c r="G344" s="37" t="s">
        <v>101</v>
      </c>
      <c r="H344" s="37" t="s">
        <v>106</v>
      </c>
      <c r="I344" s="38"/>
      <c r="J344" s="37">
        <v>27420844</v>
      </c>
      <c r="K344" s="37" t="s">
        <v>110</v>
      </c>
      <c r="L344" s="37" t="str">
        <f>_xlfn.XLOOKUP(Tabla2__2[[#This Row],[CODIGO RUTA]],'DATA INFORME'!I:I,'DATA INFORME'!K:K)</f>
        <v>SI</v>
      </c>
      <c r="M344" s="37" t="str">
        <f>IF(Tabla2__2[[#This Row],[MYSTERY EFECTIVO]]="SI",_xlfn.XLOOKUP(Tabla2__2[[#This Row],[PREGUNTA]],ENCUESTA!G:G,ENCUESTA!D:D),"N/A")</f>
        <v>UNIFORME</v>
      </c>
      <c r="N3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4" s="37" t="str">
        <f>_xlfn.XLOOKUP(Tabla2__2[[#This Row],[PREGUNTA]],ENCUESTA!G:G,ENCUESTA!H:H)</f>
        <v>NO</v>
      </c>
      <c r="P344" s="37">
        <f>IF(Tabla2__2[[#This Row],[RTA]]=Tabla2__2[[#This Row],[RTA CORRECTA]],Tabla2__2[[#This Row],[TOTAL PUNTAJE]],0)</f>
        <v>1.3636363636363635</v>
      </c>
      <c r="Q344" s="37">
        <f t="shared" si="5"/>
        <v>0</v>
      </c>
      <c r="R344" s="37"/>
    </row>
    <row r="345" spans="1:18" x14ac:dyDescent="0.25">
      <c r="A345" s="37" t="s">
        <v>107</v>
      </c>
      <c r="B345" s="37" t="s">
        <v>8</v>
      </c>
      <c r="C345" t="s">
        <v>14</v>
      </c>
      <c r="D345" s="37" t="s">
        <v>161</v>
      </c>
      <c r="E345" s="37">
        <v>355955</v>
      </c>
      <c r="F345" s="37" t="s">
        <v>163</v>
      </c>
      <c r="G345" s="37" t="s">
        <v>100</v>
      </c>
      <c r="H345" s="37" t="s">
        <v>20</v>
      </c>
      <c r="I345" s="38"/>
      <c r="J345" s="37">
        <v>27420844</v>
      </c>
      <c r="K345" s="37" t="s">
        <v>110</v>
      </c>
      <c r="L345" s="37" t="str">
        <f>_xlfn.XLOOKUP(Tabla2__2[[#This Row],[CODIGO RUTA]],'DATA INFORME'!I:I,'DATA INFORME'!K:K)</f>
        <v>SI</v>
      </c>
      <c r="M345" s="37" t="str">
        <f>IF(Tabla2__2[[#This Row],[MYSTERY EFECTIVO]]="SI",_xlfn.XLOOKUP(Tabla2__2[[#This Row],[PREGUNTA]],ENCUESTA!G:G,ENCUESTA!D:D),"N/A")</f>
        <v>UNIFORME</v>
      </c>
      <c r="N3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5" s="37" t="str">
        <f>_xlfn.XLOOKUP(Tabla2__2[[#This Row],[PREGUNTA]],ENCUESTA!G:G,ENCUESTA!H:H)</f>
        <v>SI</v>
      </c>
      <c r="P345" s="37">
        <f>IF(Tabla2__2[[#This Row],[RTA]]=Tabla2__2[[#This Row],[RTA CORRECTA]],Tabla2__2[[#This Row],[TOTAL PUNTAJE]],0)</f>
        <v>1.3636363636363635</v>
      </c>
      <c r="Q345" s="37">
        <f t="shared" si="5"/>
        <v>0</v>
      </c>
      <c r="R345" s="37"/>
    </row>
    <row r="346" spans="1:18" x14ac:dyDescent="0.25">
      <c r="A346" s="37" t="s">
        <v>107</v>
      </c>
      <c r="B346" s="37" t="s">
        <v>8</v>
      </c>
      <c r="C346" t="s">
        <v>14</v>
      </c>
      <c r="D346" s="37" t="s">
        <v>161</v>
      </c>
      <c r="E346" s="37">
        <v>355955</v>
      </c>
      <c r="F346" s="37" t="s">
        <v>163</v>
      </c>
      <c r="G346" s="37" t="s">
        <v>99</v>
      </c>
      <c r="H346" s="37" t="s">
        <v>20</v>
      </c>
      <c r="I346" s="38"/>
      <c r="J346" s="37">
        <v>27420844</v>
      </c>
      <c r="K346" s="37" t="s">
        <v>110</v>
      </c>
      <c r="L346" s="37" t="str">
        <f>_xlfn.XLOOKUP(Tabla2__2[[#This Row],[CODIGO RUTA]],'DATA INFORME'!I:I,'DATA INFORME'!K:K)</f>
        <v>SI</v>
      </c>
      <c r="M346" s="37" t="str">
        <f>IF(Tabla2__2[[#This Row],[MYSTERY EFECTIVO]]="SI",_xlfn.XLOOKUP(Tabla2__2[[#This Row],[PREGUNTA]],ENCUESTA!G:G,ENCUESTA!D:D),"N/A")</f>
        <v>UNIFORME</v>
      </c>
      <c r="N3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6" s="37" t="str">
        <f>_xlfn.XLOOKUP(Tabla2__2[[#This Row],[PREGUNTA]],ENCUESTA!G:G,ENCUESTA!H:H)</f>
        <v>SI</v>
      </c>
      <c r="P346" s="37">
        <f>IF(Tabla2__2[[#This Row],[RTA]]=Tabla2__2[[#This Row],[RTA CORRECTA]],Tabla2__2[[#This Row],[TOTAL PUNTAJE]],0)</f>
        <v>1.3636363636363635</v>
      </c>
      <c r="Q346" s="37">
        <f t="shared" si="5"/>
        <v>0</v>
      </c>
      <c r="R346" s="37"/>
    </row>
    <row r="347" spans="1:18" x14ac:dyDescent="0.25">
      <c r="A347" s="37" t="s">
        <v>107</v>
      </c>
      <c r="B347" s="37" t="s">
        <v>8</v>
      </c>
      <c r="C347" t="s">
        <v>14</v>
      </c>
      <c r="D347" s="37" t="s">
        <v>161</v>
      </c>
      <c r="E347" s="37">
        <v>355955</v>
      </c>
      <c r="F347" s="37" t="s">
        <v>163</v>
      </c>
      <c r="G347" s="37" t="s">
        <v>135</v>
      </c>
      <c r="H347" s="37" t="s">
        <v>106</v>
      </c>
      <c r="I347" s="38"/>
      <c r="J347" s="37">
        <v>27420844</v>
      </c>
      <c r="K347" s="37" t="s">
        <v>110</v>
      </c>
      <c r="L347" s="37" t="str">
        <f>_xlfn.XLOOKUP(Tabla2__2[[#This Row],[CODIGO RUTA]],'DATA INFORME'!I:I,'DATA INFORME'!K:K)</f>
        <v>SI</v>
      </c>
      <c r="M347" s="37" t="str">
        <f>IF(Tabla2__2[[#This Row],[MYSTERY EFECTIVO]]="SI",_xlfn.XLOOKUP(Tabla2__2[[#This Row],[PREGUNTA]],ENCUESTA!G:G,ENCUESTA!D:D),"N/A")</f>
        <v>UNIFORME</v>
      </c>
      <c r="N3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7" s="37" t="str">
        <f>_xlfn.XLOOKUP(Tabla2__2[[#This Row],[PREGUNTA]],ENCUESTA!G:G,ENCUESTA!H:H)</f>
        <v>NO</v>
      </c>
      <c r="P347" s="37">
        <f>IF(Tabla2__2[[#This Row],[RTA]]=Tabla2__2[[#This Row],[RTA CORRECTA]],Tabla2__2[[#This Row],[TOTAL PUNTAJE]],0)</f>
        <v>1.3636363636363635</v>
      </c>
      <c r="Q347" s="37">
        <f t="shared" si="5"/>
        <v>0</v>
      </c>
      <c r="R347" s="37"/>
    </row>
    <row r="348" spans="1:18" x14ac:dyDescent="0.25">
      <c r="A348" s="37" t="s">
        <v>107</v>
      </c>
      <c r="B348" s="37" t="s">
        <v>8</v>
      </c>
      <c r="C348" t="s">
        <v>14</v>
      </c>
      <c r="D348" s="37" t="s">
        <v>161</v>
      </c>
      <c r="E348" s="37">
        <v>355955</v>
      </c>
      <c r="F348" s="37" t="s">
        <v>163</v>
      </c>
      <c r="G348" s="37" t="s">
        <v>35</v>
      </c>
      <c r="H348" s="37" t="s">
        <v>20</v>
      </c>
      <c r="I348" s="38"/>
      <c r="J348" s="37">
        <v>27420844</v>
      </c>
      <c r="K348" s="37" t="s">
        <v>110</v>
      </c>
      <c r="L348" s="37" t="str">
        <f>_xlfn.XLOOKUP(Tabla2__2[[#This Row],[CODIGO RUTA]],'DATA INFORME'!I:I,'DATA INFORME'!K:K)</f>
        <v>SI</v>
      </c>
      <c r="M348" s="37" t="str">
        <f>IF(Tabla2__2[[#This Row],[MYSTERY EFECTIVO]]="SI",_xlfn.XLOOKUP(Tabla2__2[[#This Row],[PREGUNTA]],ENCUESTA!G:G,ENCUESTA!D:D),"N/A")</f>
        <v>UNIFORME</v>
      </c>
      <c r="N3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8" s="37" t="str">
        <f>_xlfn.XLOOKUP(Tabla2__2[[#This Row],[PREGUNTA]],ENCUESTA!G:G,ENCUESTA!H:H)</f>
        <v>SI</v>
      </c>
      <c r="P348" s="37">
        <f>IF(Tabla2__2[[#This Row],[RTA]]=Tabla2__2[[#This Row],[RTA CORRECTA]],Tabla2__2[[#This Row],[TOTAL PUNTAJE]],0)</f>
        <v>1.3636363636363635</v>
      </c>
      <c r="Q348" s="37">
        <f t="shared" si="5"/>
        <v>0</v>
      </c>
      <c r="R348" s="37"/>
    </row>
    <row r="349" spans="1:18" x14ac:dyDescent="0.25">
      <c r="A349" s="37" t="s">
        <v>107</v>
      </c>
      <c r="B349" s="37" t="s">
        <v>8</v>
      </c>
      <c r="C349" t="s">
        <v>14</v>
      </c>
      <c r="D349" s="37" t="s">
        <v>161</v>
      </c>
      <c r="E349" s="37">
        <v>355955</v>
      </c>
      <c r="F349" s="37" t="s">
        <v>163</v>
      </c>
      <c r="G349" s="37" t="s">
        <v>134</v>
      </c>
      <c r="H349" s="37" t="s">
        <v>20</v>
      </c>
      <c r="I349" s="38"/>
      <c r="J349" s="37">
        <v>27420844</v>
      </c>
      <c r="K349" s="37" t="s">
        <v>110</v>
      </c>
      <c r="L349" s="37" t="str">
        <f>_xlfn.XLOOKUP(Tabla2__2[[#This Row],[CODIGO RUTA]],'DATA INFORME'!I:I,'DATA INFORME'!K:K)</f>
        <v>SI</v>
      </c>
      <c r="M349" s="37" t="str">
        <f>IF(Tabla2__2[[#This Row],[MYSTERY EFECTIVO]]="SI",_xlfn.XLOOKUP(Tabla2__2[[#This Row],[PREGUNTA]],ENCUESTA!G:G,ENCUESTA!D:D),"N/A")</f>
        <v>UNIFORME</v>
      </c>
      <c r="N3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49" s="37" t="str">
        <f>_xlfn.XLOOKUP(Tabla2__2[[#This Row],[PREGUNTA]],ENCUESTA!G:G,ENCUESTA!H:H)</f>
        <v>SI</v>
      </c>
      <c r="P349" s="37">
        <f>IF(Tabla2__2[[#This Row],[RTA]]=Tabla2__2[[#This Row],[RTA CORRECTA]],Tabla2__2[[#This Row],[TOTAL PUNTAJE]],0)</f>
        <v>1.3636363636363635</v>
      </c>
      <c r="Q349" s="37">
        <f t="shared" si="5"/>
        <v>0</v>
      </c>
      <c r="R349" s="37"/>
    </row>
    <row r="350" spans="1:18" x14ac:dyDescent="0.25">
      <c r="A350" s="37" t="s">
        <v>107</v>
      </c>
      <c r="B350" s="37" t="s">
        <v>8</v>
      </c>
      <c r="C350" t="s">
        <v>14</v>
      </c>
      <c r="D350" s="37" t="s">
        <v>161</v>
      </c>
      <c r="E350" s="37">
        <v>355955</v>
      </c>
      <c r="F350" s="37" t="s">
        <v>163</v>
      </c>
      <c r="G350" s="37" t="s">
        <v>98</v>
      </c>
      <c r="H350" s="37" t="s">
        <v>20</v>
      </c>
      <c r="I350" s="38"/>
      <c r="J350" s="37">
        <v>27420844</v>
      </c>
      <c r="K350" s="37" t="s">
        <v>110</v>
      </c>
      <c r="L350" s="37" t="str">
        <f>_xlfn.XLOOKUP(Tabla2__2[[#This Row],[CODIGO RUTA]],'DATA INFORME'!I:I,'DATA INFORME'!K:K)</f>
        <v>SI</v>
      </c>
      <c r="M350" s="37" t="str">
        <f>IF(Tabla2__2[[#This Row],[MYSTERY EFECTIVO]]="SI",_xlfn.XLOOKUP(Tabla2__2[[#This Row],[PREGUNTA]],ENCUESTA!G:G,ENCUESTA!D:D),"N/A")</f>
        <v>UNIFORME</v>
      </c>
      <c r="N3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50" s="37" t="str">
        <f>_xlfn.XLOOKUP(Tabla2__2[[#This Row],[PREGUNTA]],ENCUESTA!G:G,ENCUESTA!H:H)</f>
        <v>SI</v>
      </c>
      <c r="P350" s="37">
        <f>IF(Tabla2__2[[#This Row],[RTA]]=Tabla2__2[[#This Row],[RTA CORRECTA]],Tabla2__2[[#This Row],[TOTAL PUNTAJE]],0)</f>
        <v>1.3636363636363635</v>
      </c>
      <c r="Q350" s="37">
        <f t="shared" si="5"/>
        <v>0</v>
      </c>
      <c r="R350" s="37"/>
    </row>
    <row r="351" spans="1:18" x14ac:dyDescent="0.25">
      <c r="A351" s="37" t="s">
        <v>107</v>
      </c>
      <c r="B351" s="37" t="s">
        <v>8</v>
      </c>
      <c r="C351" t="s">
        <v>14</v>
      </c>
      <c r="D351" s="37" t="s">
        <v>161</v>
      </c>
      <c r="E351" s="37">
        <v>355955</v>
      </c>
      <c r="F351" s="37" t="s">
        <v>163</v>
      </c>
      <c r="G351" s="37" t="s">
        <v>97</v>
      </c>
      <c r="H351" s="37" t="s">
        <v>20</v>
      </c>
      <c r="I351" s="38"/>
      <c r="J351" s="37">
        <v>27420844</v>
      </c>
      <c r="K351" s="37" t="s">
        <v>110</v>
      </c>
      <c r="L351" s="37" t="str">
        <f>_xlfn.XLOOKUP(Tabla2__2[[#This Row],[CODIGO RUTA]],'DATA INFORME'!I:I,'DATA INFORME'!K:K)</f>
        <v>SI</v>
      </c>
      <c r="M351" s="37" t="str">
        <f>IF(Tabla2__2[[#This Row],[MYSTERY EFECTIVO]]="SI",_xlfn.XLOOKUP(Tabla2__2[[#This Row],[PREGUNTA]],ENCUESTA!G:G,ENCUESTA!D:D),"N/A")</f>
        <v>HORARIO</v>
      </c>
      <c r="N3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51" s="37" t="str">
        <f>_xlfn.XLOOKUP(Tabla2__2[[#This Row],[PREGUNTA]],ENCUESTA!G:G,ENCUESTA!H:H)</f>
        <v>SI</v>
      </c>
      <c r="P351" s="37">
        <f>IF(Tabla2__2[[#This Row],[RTA]]=Tabla2__2[[#This Row],[RTA CORRECTA]],Tabla2__2[[#This Row],[TOTAL PUNTAJE]],0)</f>
        <v>20</v>
      </c>
      <c r="Q351" s="37">
        <f t="shared" si="5"/>
        <v>0</v>
      </c>
      <c r="R351" s="37"/>
    </row>
    <row r="352" spans="1:18" x14ac:dyDescent="0.25">
      <c r="A352" s="37" t="s">
        <v>107</v>
      </c>
      <c r="B352" s="37" t="s">
        <v>8</v>
      </c>
      <c r="C352" t="s">
        <v>14</v>
      </c>
      <c r="D352" s="37" t="s">
        <v>161</v>
      </c>
      <c r="E352" s="37">
        <v>355955</v>
      </c>
      <c r="F352" s="37" t="s">
        <v>163</v>
      </c>
      <c r="G352" s="37" t="s">
        <v>138</v>
      </c>
      <c r="H352" s="37" t="s">
        <v>20</v>
      </c>
      <c r="I352" s="38"/>
      <c r="J352" s="37">
        <v>27420844</v>
      </c>
      <c r="K352" s="37" t="s">
        <v>110</v>
      </c>
      <c r="L352" s="37" t="str">
        <f>_xlfn.XLOOKUP(Tabla2__2[[#This Row],[CODIGO RUTA]],'DATA INFORME'!I:I,'DATA INFORME'!K:K)</f>
        <v>SI</v>
      </c>
      <c r="M352" s="37" t="str">
        <f>IF(Tabla2__2[[#This Row],[MYSTERY EFECTIVO]]="SI",_xlfn.XLOOKUP(Tabla2__2[[#This Row],[PREGUNTA]],ENCUESTA!G:G,ENCUESTA!D:D),"N/A")</f>
        <v>PORTAFOLIO Y MANEJO DE OBJECIONES</v>
      </c>
      <c r="N3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52" s="37" t="str">
        <f>_xlfn.XLOOKUP(Tabla2__2[[#This Row],[PREGUNTA]],ENCUESTA!G:G,ENCUESTA!H:H)</f>
        <v>SI</v>
      </c>
      <c r="P352" s="37">
        <f>IF(Tabla2__2[[#This Row],[RTA]]=Tabla2__2[[#This Row],[RTA CORRECTA]],Tabla2__2[[#This Row],[TOTAL PUNTAJE]],0)</f>
        <v>1.5384615384615385</v>
      </c>
      <c r="Q352" s="37">
        <f t="shared" si="5"/>
        <v>0</v>
      </c>
      <c r="R352" s="37"/>
    </row>
    <row r="353" spans="1:18" x14ac:dyDescent="0.25">
      <c r="A353" s="37" t="s">
        <v>107</v>
      </c>
      <c r="B353" s="37" t="s">
        <v>8</v>
      </c>
      <c r="C353" t="s">
        <v>15</v>
      </c>
      <c r="D353" s="37" t="s">
        <v>79</v>
      </c>
      <c r="E353" s="37">
        <v>12394</v>
      </c>
      <c r="F353" s="37" t="s">
        <v>181</v>
      </c>
      <c r="G353" s="37" t="s">
        <v>135</v>
      </c>
      <c r="H353" s="37" t="s">
        <v>106</v>
      </c>
      <c r="I353" s="38"/>
      <c r="J353" s="37">
        <v>27444590</v>
      </c>
      <c r="K353" s="37" t="s">
        <v>187</v>
      </c>
      <c r="L353" s="37" t="str">
        <f>_xlfn.XLOOKUP(Tabla2__2[[#This Row],[CODIGO RUTA]],'DATA INFORME'!I:I,'DATA INFORME'!K:K)</f>
        <v xml:space="preserve"> NO</v>
      </c>
      <c r="M353" s="37" t="str">
        <f>IF(Tabla2__2[[#This Row],[MYSTERY EFECTIVO]]="SI",_xlfn.XLOOKUP(Tabla2__2[[#This Row],[PREGUNTA]],ENCUESTA!G:G,ENCUESTA!D:D),"N/A")</f>
        <v>N/A</v>
      </c>
      <c r="N3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3" s="37" t="str">
        <f>_xlfn.XLOOKUP(Tabla2__2[[#This Row],[PREGUNTA]],ENCUESTA!G:G,ENCUESTA!H:H)</f>
        <v>NO</v>
      </c>
      <c r="P353" s="37">
        <f>IF(Tabla2__2[[#This Row],[RTA]]=Tabla2__2[[#This Row],[RTA CORRECTA]],Tabla2__2[[#This Row],[TOTAL PUNTAJE]],0)</f>
        <v>0</v>
      </c>
      <c r="Q353" s="37">
        <f t="shared" si="5"/>
        <v>0</v>
      </c>
      <c r="R353" s="37"/>
    </row>
    <row r="354" spans="1:18" x14ac:dyDescent="0.25">
      <c r="A354" s="37" t="s">
        <v>107</v>
      </c>
      <c r="B354" s="37" t="s">
        <v>91</v>
      </c>
      <c r="C354" t="s">
        <v>15</v>
      </c>
      <c r="D354" s="37" t="s">
        <v>171</v>
      </c>
      <c r="E354" s="37">
        <v>428025</v>
      </c>
      <c r="F354" s="37" t="s">
        <v>174</v>
      </c>
      <c r="G354" s="37" t="s">
        <v>134</v>
      </c>
      <c r="H354" s="37" t="s">
        <v>20</v>
      </c>
      <c r="I354" s="38"/>
      <c r="J354" s="37">
        <v>27444155</v>
      </c>
      <c r="K354" s="37" t="s">
        <v>121</v>
      </c>
      <c r="L354" s="37" t="str">
        <f>_xlfn.XLOOKUP(Tabla2__2[[#This Row],[CODIGO RUTA]],'DATA INFORME'!I:I,'DATA INFORME'!K:K)</f>
        <v>SI</v>
      </c>
      <c r="M354" s="37" t="str">
        <f>IF(Tabla2__2[[#This Row],[MYSTERY EFECTIVO]]="SI",_xlfn.XLOOKUP(Tabla2__2[[#This Row],[PREGUNTA]],ENCUESTA!G:G,ENCUESTA!D:D),"N/A")</f>
        <v>UNIFORME</v>
      </c>
      <c r="N3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54" s="37" t="str">
        <f>_xlfn.XLOOKUP(Tabla2__2[[#This Row],[PREGUNTA]],ENCUESTA!G:G,ENCUESTA!H:H)</f>
        <v>SI</v>
      </c>
      <c r="P354" s="37">
        <f>IF(Tabla2__2[[#This Row],[RTA]]=Tabla2__2[[#This Row],[RTA CORRECTA]],Tabla2__2[[#This Row],[TOTAL PUNTAJE]],0)</f>
        <v>1.3636363636363635</v>
      </c>
      <c r="Q354" s="37">
        <f t="shared" si="5"/>
        <v>0</v>
      </c>
      <c r="R354" s="37"/>
    </row>
    <row r="355" spans="1:18" x14ac:dyDescent="0.25">
      <c r="A355" s="37" t="s">
        <v>107</v>
      </c>
      <c r="B355" s="37" t="s">
        <v>91</v>
      </c>
      <c r="C355" t="s">
        <v>15</v>
      </c>
      <c r="D355" s="37" t="s">
        <v>171</v>
      </c>
      <c r="E355" s="37">
        <v>428025</v>
      </c>
      <c r="F355" s="37" t="s">
        <v>174</v>
      </c>
      <c r="G355" s="37" t="s">
        <v>135</v>
      </c>
      <c r="H355" s="37" t="s">
        <v>106</v>
      </c>
      <c r="I355" s="38"/>
      <c r="J355" s="37">
        <v>27444155</v>
      </c>
      <c r="K355" s="37" t="s">
        <v>121</v>
      </c>
      <c r="L355" s="37" t="str">
        <f>_xlfn.XLOOKUP(Tabla2__2[[#This Row],[CODIGO RUTA]],'DATA INFORME'!I:I,'DATA INFORME'!K:K)</f>
        <v>SI</v>
      </c>
      <c r="M355" s="37" t="str">
        <f>IF(Tabla2__2[[#This Row],[MYSTERY EFECTIVO]]="SI",_xlfn.XLOOKUP(Tabla2__2[[#This Row],[PREGUNTA]],ENCUESTA!G:G,ENCUESTA!D:D),"N/A")</f>
        <v>UNIFORME</v>
      </c>
      <c r="N3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55" s="37" t="str">
        <f>_xlfn.XLOOKUP(Tabla2__2[[#This Row],[PREGUNTA]],ENCUESTA!G:G,ENCUESTA!H:H)</f>
        <v>NO</v>
      </c>
      <c r="P355" s="37">
        <f>IF(Tabla2__2[[#This Row],[RTA]]=Tabla2__2[[#This Row],[RTA CORRECTA]],Tabla2__2[[#This Row],[TOTAL PUNTAJE]],0)</f>
        <v>1.3636363636363635</v>
      </c>
      <c r="Q355" s="37">
        <f t="shared" si="5"/>
        <v>0</v>
      </c>
      <c r="R355" s="37"/>
    </row>
    <row r="356" spans="1:18" x14ac:dyDescent="0.25">
      <c r="A356" s="37" t="s">
        <v>107</v>
      </c>
      <c r="B356" s="37" t="s">
        <v>8</v>
      </c>
      <c r="C356" t="s">
        <v>15</v>
      </c>
      <c r="D356" s="37" t="s">
        <v>79</v>
      </c>
      <c r="E356" s="37">
        <v>12394</v>
      </c>
      <c r="F356" s="37" t="s">
        <v>181</v>
      </c>
      <c r="G356" s="37" t="s">
        <v>134</v>
      </c>
      <c r="H356" s="37" t="s">
        <v>106</v>
      </c>
      <c r="I356" s="38"/>
      <c r="J356" s="37">
        <v>27444590</v>
      </c>
      <c r="K356" s="37" t="s">
        <v>187</v>
      </c>
      <c r="L356" s="37" t="str">
        <f>_xlfn.XLOOKUP(Tabla2__2[[#This Row],[CODIGO RUTA]],'DATA INFORME'!I:I,'DATA INFORME'!K:K)</f>
        <v xml:space="preserve"> NO</v>
      </c>
      <c r="M356" s="37" t="str">
        <f>IF(Tabla2__2[[#This Row],[MYSTERY EFECTIVO]]="SI",_xlfn.XLOOKUP(Tabla2__2[[#This Row],[PREGUNTA]],ENCUESTA!G:G,ENCUESTA!D:D),"N/A")</f>
        <v>N/A</v>
      </c>
      <c r="N3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6" s="37" t="str">
        <f>_xlfn.XLOOKUP(Tabla2__2[[#This Row],[PREGUNTA]],ENCUESTA!G:G,ENCUESTA!H:H)</f>
        <v>SI</v>
      </c>
      <c r="P356" s="37">
        <f>IF(Tabla2__2[[#This Row],[RTA]]=Tabla2__2[[#This Row],[RTA CORRECTA]],Tabla2__2[[#This Row],[TOTAL PUNTAJE]],0)</f>
        <v>0</v>
      </c>
      <c r="Q356" s="37">
        <f t="shared" si="5"/>
        <v>0</v>
      </c>
      <c r="R356" s="37"/>
    </row>
    <row r="357" spans="1:18" x14ac:dyDescent="0.25">
      <c r="A357" s="37" t="s">
        <v>107</v>
      </c>
      <c r="B357" s="37" t="s">
        <v>8</v>
      </c>
      <c r="C357" t="s">
        <v>15</v>
      </c>
      <c r="D357" s="37" t="s">
        <v>79</v>
      </c>
      <c r="E357" s="37">
        <v>12394</v>
      </c>
      <c r="F357" s="37" t="s">
        <v>181</v>
      </c>
      <c r="G357" s="37" t="s">
        <v>98</v>
      </c>
      <c r="H357" s="37" t="s">
        <v>106</v>
      </c>
      <c r="I357" s="38"/>
      <c r="J357" s="37">
        <v>27444590</v>
      </c>
      <c r="K357" s="37" t="s">
        <v>187</v>
      </c>
      <c r="L357" s="37" t="str">
        <f>_xlfn.XLOOKUP(Tabla2__2[[#This Row],[CODIGO RUTA]],'DATA INFORME'!I:I,'DATA INFORME'!K:K)</f>
        <v xml:space="preserve"> NO</v>
      </c>
      <c r="M357" s="37" t="str">
        <f>IF(Tabla2__2[[#This Row],[MYSTERY EFECTIVO]]="SI",_xlfn.XLOOKUP(Tabla2__2[[#This Row],[PREGUNTA]],ENCUESTA!G:G,ENCUESTA!D:D),"N/A")</f>
        <v>N/A</v>
      </c>
      <c r="N3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7" s="37" t="str">
        <f>_xlfn.XLOOKUP(Tabla2__2[[#This Row],[PREGUNTA]],ENCUESTA!G:G,ENCUESTA!H:H)</f>
        <v>SI</v>
      </c>
      <c r="P357" s="37">
        <f>IF(Tabla2__2[[#This Row],[RTA]]=Tabla2__2[[#This Row],[RTA CORRECTA]],Tabla2__2[[#This Row],[TOTAL PUNTAJE]],0)</f>
        <v>0</v>
      </c>
      <c r="Q357" s="37">
        <f t="shared" si="5"/>
        <v>0</v>
      </c>
      <c r="R357" s="37"/>
    </row>
    <row r="358" spans="1:18" x14ac:dyDescent="0.25">
      <c r="A358" s="37" t="s">
        <v>107</v>
      </c>
      <c r="B358" s="37" t="s">
        <v>8</v>
      </c>
      <c r="C358" t="s">
        <v>15</v>
      </c>
      <c r="D358" s="37" t="s">
        <v>79</v>
      </c>
      <c r="E358" s="37">
        <v>12394</v>
      </c>
      <c r="F358" s="37" t="s">
        <v>181</v>
      </c>
      <c r="G358" s="37" t="s">
        <v>97</v>
      </c>
      <c r="H358" s="37" t="s">
        <v>106</v>
      </c>
      <c r="I358" s="38"/>
      <c r="J358" s="37">
        <v>27444590</v>
      </c>
      <c r="K358" s="37" t="s">
        <v>187</v>
      </c>
      <c r="L358" s="37" t="str">
        <f>_xlfn.XLOOKUP(Tabla2__2[[#This Row],[CODIGO RUTA]],'DATA INFORME'!I:I,'DATA INFORME'!K:K)</f>
        <v xml:space="preserve"> NO</v>
      </c>
      <c r="M358" s="37" t="str">
        <f>IF(Tabla2__2[[#This Row],[MYSTERY EFECTIVO]]="SI",_xlfn.XLOOKUP(Tabla2__2[[#This Row],[PREGUNTA]],ENCUESTA!G:G,ENCUESTA!D:D),"N/A")</f>
        <v>N/A</v>
      </c>
      <c r="N3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8" s="37" t="str">
        <f>_xlfn.XLOOKUP(Tabla2__2[[#This Row],[PREGUNTA]],ENCUESTA!G:G,ENCUESTA!H:H)</f>
        <v>SI</v>
      </c>
      <c r="P358" s="37">
        <f>IF(Tabla2__2[[#This Row],[RTA]]=Tabla2__2[[#This Row],[RTA CORRECTA]],Tabla2__2[[#This Row],[TOTAL PUNTAJE]],0)</f>
        <v>0</v>
      </c>
      <c r="Q358" s="37">
        <f t="shared" si="5"/>
        <v>0</v>
      </c>
      <c r="R358" s="37"/>
    </row>
    <row r="359" spans="1:18" x14ac:dyDescent="0.25">
      <c r="A359" s="37" t="s">
        <v>107</v>
      </c>
      <c r="B359" s="37" t="s">
        <v>8</v>
      </c>
      <c r="C359" t="s">
        <v>15</v>
      </c>
      <c r="D359" s="37" t="s">
        <v>79</v>
      </c>
      <c r="E359" s="37">
        <v>12394</v>
      </c>
      <c r="F359" s="37" t="s">
        <v>181</v>
      </c>
      <c r="G359" s="37" t="s">
        <v>133</v>
      </c>
      <c r="H359" s="37" t="s">
        <v>106</v>
      </c>
      <c r="I359" s="38"/>
      <c r="J359" s="37">
        <v>27444590</v>
      </c>
      <c r="K359" s="37" t="s">
        <v>187</v>
      </c>
      <c r="L359" s="37" t="str">
        <f>_xlfn.XLOOKUP(Tabla2__2[[#This Row],[CODIGO RUTA]],'DATA INFORME'!I:I,'DATA INFORME'!K:K)</f>
        <v xml:space="preserve"> NO</v>
      </c>
      <c r="M359" s="37" t="str">
        <f>IF(Tabla2__2[[#This Row],[MYSTERY EFECTIVO]]="SI",_xlfn.XLOOKUP(Tabla2__2[[#This Row],[PREGUNTA]],ENCUESTA!G:G,ENCUESTA!D:D),"N/A")</f>
        <v>N/A</v>
      </c>
      <c r="N3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9" s="37">
        <f>_xlfn.XLOOKUP(Tabla2__2[[#This Row],[PREGUNTA]],ENCUESTA!G:G,ENCUESTA!H:H)</f>
        <v>0</v>
      </c>
      <c r="P359" s="37">
        <f>IF(Tabla2__2[[#This Row],[RTA]]=Tabla2__2[[#This Row],[RTA CORRECTA]],Tabla2__2[[#This Row],[TOTAL PUNTAJE]],0)</f>
        <v>0</v>
      </c>
      <c r="Q359" s="37">
        <f t="shared" si="5"/>
        <v>0</v>
      </c>
      <c r="R359" s="37"/>
    </row>
    <row r="360" spans="1:18" x14ac:dyDescent="0.25">
      <c r="A360" s="37" t="s">
        <v>107</v>
      </c>
      <c r="B360" s="37" t="s">
        <v>91</v>
      </c>
      <c r="C360" t="s">
        <v>15</v>
      </c>
      <c r="D360" s="37" t="s">
        <v>171</v>
      </c>
      <c r="E360" s="37">
        <v>428025</v>
      </c>
      <c r="F360" s="37" t="s">
        <v>174</v>
      </c>
      <c r="G360" s="37" t="s">
        <v>158</v>
      </c>
      <c r="H360" s="37" t="s">
        <v>179</v>
      </c>
      <c r="I360" s="38"/>
      <c r="J360" s="37">
        <v>27444155</v>
      </c>
      <c r="K360" s="37" t="s">
        <v>121</v>
      </c>
      <c r="L360" s="37" t="str">
        <f>_xlfn.XLOOKUP(Tabla2__2[[#This Row],[CODIGO RUTA]],'DATA INFORME'!I:I,'DATA INFORME'!K:K)</f>
        <v>SI</v>
      </c>
      <c r="M360" s="37" t="str">
        <f>IF(Tabla2__2[[#This Row],[MYSTERY EFECTIVO]]="SI",_xlfn.XLOOKUP(Tabla2__2[[#This Row],[PREGUNTA]],ENCUESTA!G:G,ENCUESTA!D:D),"N/A")</f>
        <v>N/A</v>
      </c>
      <c r="N3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0" s="37">
        <f>_xlfn.XLOOKUP(Tabla2__2[[#This Row],[PREGUNTA]],ENCUESTA!G:G,ENCUESTA!H:H)</f>
        <v>0</v>
      </c>
      <c r="P360" s="37">
        <f>IF(Tabla2__2[[#This Row],[RTA]]=Tabla2__2[[#This Row],[RTA CORRECTA]],Tabla2__2[[#This Row],[TOTAL PUNTAJE]],0)</f>
        <v>0</v>
      </c>
      <c r="Q360" s="37">
        <f t="shared" si="5"/>
        <v>0</v>
      </c>
      <c r="R360" s="37"/>
    </row>
    <row r="361" spans="1:18" x14ac:dyDescent="0.25">
      <c r="A361" s="37" t="s">
        <v>107</v>
      </c>
      <c r="B361" s="37" t="s">
        <v>91</v>
      </c>
      <c r="C361" t="s">
        <v>15</v>
      </c>
      <c r="D361" s="37" t="s">
        <v>171</v>
      </c>
      <c r="E361" s="37">
        <v>428025</v>
      </c>
      <c r="F361" s="37" t="s">
        <v>174</v>
      </c>
      <c r="G361" s="37" t="s">
        <v>157</v>
      </c>
      <c r="H361" s="37" t="s">
        <v>20</v>
      </c>
      <c r="I361" s="38"/>
      <c r="J361" s="37">
        <v>27444155</v>
      </c>
      <c r="K361" s="37" t="s">
        <v>121</v>
      </c>
      <c r="L361" s="37" t="str">
        <f>_xlfn.XLOOKUP(Tabla2__2[[#This Row],[CODIGO RUTA]],'DATA INFORME'!I:I,'DATA INFORME'!K:K)</f>
        <v>SI</v>
      </c>
      <c r="M361" s="37" t="str">
        <f>IF(Tabla2__2[[#This Row],[MYSTERY EFECTIVO]]="SI",_xlfn.XLOOKUP(Tabla2__2[[#This Row],[PREGUNTA]],ENCUESTA!G:G,ENCUESTA!D:D),"N/A")</f>
        <v>N/A</v>
      </c>
      <c r="N3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1" s="37">
        <f>_xlfn.XLOOKUP(Tabla2__2[[#This Row],[PREGUNTA]],ENCUESTA!G:G,ENCUESTA!H:H)</f>
        <v>0</v>
      </c>
      <c r="P361" s="37">
        <f>IF(Tabla2__2[[#This Row],[RTA]]=Tabla2__2[[#This Row],[RTA CORRECTA]],Tabla2__2[[#This Row],[TOTAL PUNTAJE]],0)</f>
        <v>0</v>
      </c>
      <c r="Q361" s="37">
        <f t="shared" si="5"/>
        <v>0</v>
      </c>
      <c r="R361" s="37"/>
    </row>
    <row r="362" spans="1:18" x14ac:dyDescent="0.25">
      <c r="A362" s="37" t="s">
        <v>107</v>
      </c>
      <c r="B362" s="37" t="s">
        <v>91</v>
      </c>
      <c r="C362" t="s">
        <v>15</v>
      </c>
      <c r="D362" s="37" t="s">
        <v>171</v>
      </c>
      <c r="E362" s="37">
        <v>428025</v>
      </c>
      <c r="F362" s="37" t="s">
        <v>174</v>
      </c>
      <c r="G362" s="37" t="s">
        <v>156</v>
      </c>
      <c r="H362" s="37" t="s">
        <v>20</v>
      </c>
      <c r="I362" s="38"/>
      <c r="J362" s="37">
        <v>27444155</v>
      </c>
      <c r="K362" s="37" t="s">
        <v>121</v>
      </c>
      <c r="L362" s="37" t="str">
        <f>_xlfn.XLOOKUP(Tabla2__2[[#This Row],[CODIGO RUTA]],'DATA INFORME'!I:I,'DATA INFORME'!K:K)</f>
        <v>SI</v>
      </c>
      <c r="M362" s="37" t="str">
        <f>IF(Tabla2__2[[#This Row],[MYSTERY EFECTIVO]]="SI",_xlfn.XLOOKUP(Tabla2__2[[#This Row],[PREGUNTA]],ENCUESTA!G:G,ENCUESTA!D:D),"N/A")</f>
        <v>LABOR DE VENTA</v>
      </c>
      <c r="N3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62" s="37" t="str">
        <f>_xlfn.XLOOKUP(Tabla2__2[[#This Row],[PREGUNTA]],ENCUESTA!G:G,ENCUESTA!H:H)</f>
        <v>SI</v>
      </c>
      <c r="P362" s="37">
        <f>IF(Tabla2__2[[#This Row],[RTA]]=Tabla2__2[[#This Row],[RTA CORRECTA]],Tabla2__2[[#This Row],[TOTAL PUNTAJE]],0)</f>
        <v>7.5</v>
      </c>
      <c r="Q362" s="37">
        <f t="shared" si="5"/>
        <v>0</v>
      </c>
      <c r="R362" s="37"/>
    </row>
    <row r="363" spans="1:18" x14ac:dyDescent="0.25">
      <c r="A363" s="37" t="s">
        <v>107</v>
      </c>
      <c r="B363" s="37" t="s">
        <v>91</v>
      </c>
      <c r="C363" t="s">
        <v>15</v>
      </c>
      <c r="D363" s="37" t="s">
        <v>171</v>
      </c>
      <c r="E363" s="37">
        <v>428025</v>
      </c>
      <c r="F363" s="37" t="s">
        <v>174</v>
      </c>
      <c r="G363" s="37" t="s">
        <v>155</v>
      </c>
      <c r="H363" s="37" t="s">
        <v>20</v>
      </c>
      <c r="I363" s="38"/>
      <c r="J363" s="37">
        <v>27444155</v>
      </c>
      <c r="K363" s="37" t="s">
        <v>121</v>
      </c>
      <c r="L363" s="37" t="str">
        <f>_xlfn.XLOOKUP(Tabla2__2[[#This Row],[CODIGO RUTA]],'DATA INFORME'!I:I,'DATA INFORME'!K:K)</f>
        <v>SI</v>
      </c>
      <c r="M363" s="37" t="str">
        <f>IF(Tabla2__2[[#This Row],[MYSTERY EFECTIVO]]="SI",_xlfn.XLOOKUP(Tabla2__2[[#This Row],[PREGUNTA]],ENCUESTA!G:G,ENCUESTA!D:D),"N/A")</f>
        <v>LABOR DE VENTA</v>
      </c>
      <c r="N3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63" s="37" t="str">
        <f>_xlfn.XLOOKUP(Tabla2__2[[#This Row],[PREGUNTA]],ENCUESTA!G:G,ENCUESTA!H:H)</f>
        <v>SI</v>
      </c>
      <c r="P363" s="37">
        <f>IF(Tabla2__2[[#This Row],[RTA]]=Tabla2__2[[#This Row],[RTA CORRECTA]],Tabla2__2[[#This Row],[TOTAL PUNTAJE]],0)</f>
        <v>7.5</v>
      </c>
      <c r="Q363" s="37">
        <f t="shared" si="5"/>
        <v>0</v>
      </c>
      <c r="R363" s="37"/>
    </row>
    <row r="364" spans="1:18" x14ac:dyDescent="0.25">
      <c r="A364" s="37" t="s">
        <v>107</v>
      </c>
      <c r="B364" s="37" t="s">
        <v>91</v>
      </c>
      <c r="C364" t="s">
        <v>15</v>
      </c>
      <c r="D364" s="37" t="s">
        <v>171</v>
      </c>
      <c r="E364" s="37">
        <v>428025</v>
      </c>
      <c r="F364" s="37" t="s">
        <v>174</v>
      </c>
      <c r="G364" s="37" t="s">
        <v>154</v>
      </c>
      <c r="H364" s="37" t="s">
        <v>20</v>
      </c>
      <c r="I364" s="38"/>
      <c r="J364" s="37">
        <v>27444155</v>
      </c>
      <c r="K364" s="37" t="s">
        <v>121</v>
      </c>
      <c r="L364" s="37" t="str">
        <f>_xlfn.XLOOKUP(Tabla2__2[[#This Row],[CODIGO RUTA]],'DATA INFORME'!I:I,'DATA INFORME'!K:K)</f>
        <v>SI</v>
      </c>
      <c r="M364" s="37" t="str">
        <f>IF(Tabla2__2[[#This Row],[MYSTERY EFECTIVO]]="SI",_xlfn.XLOOKUP(Tabla2__2[[#This Row],[PREGUNTA]],ENCUESTA!G:G,ENCUESTA!D:D),"N/A")</f>
        <v>UNIFORME</v>
      </c>
      <c r="N3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64" s="37" t="str">
        <f>_xlfn.XLOOKUP(Tabla2__2[[#This Row],[PREGUNTA]],ENCUESTA!G:G,ENCUESTA!H:H)</f>
        <v>SI</v>
      </c>
      <c r="P364" s="37">
        <f>IF(Tabla2__2[[#This Row],[RTA]]=Tabla2__2[[#This Row],[RTA CORRECTA]],Tabla2__2[[#This Row],[TOTAL PUNTAJE]],0)</f>
        <v>1.3636363636363635</v>
      </c>
      <c r="Q364" s="37">
        <f t="shared" si="5"/>
        <v>0</v>
      </c>
      <c r="R364" s="37"/>
    </row>
    <row r="365" spans="1:18" x14ac:dyDescent="0.25">
      <c r="A365" s="37" t="s">
        <v>107</v>
      </c>
      <c r="B365" s="37" t="s">
        <v>91</v>
      </c>
      <c r="C365" t="s">
        <v>15</v>
      </c>
      <c r="D365" s="37" t="s">
        <v>171</v>
      </c>
      <c r="E365" s="37">
        <v>428025</v>
      </c>
      <c r="F365" s="37" t="s">
        <v>174</v>
      </c>
      <c r="G365" s="37" t="s">
        <v>153</v>
      </c>
      <c r="H365" s="37" t="s">
        <v>20</v>
      </c>
      <c r="I365" s="38"/>
      <c r="J365" s="37">
        <v>27444155</v>
      </c>
      <c r="K365" s="37" t="s">
        <v>121</v>
      </c>
      <c r="L365" s="37" t="str">
        <f>_xlfn.XLOOKUP(Tabla2__2[[#This Row],[CODIGO RUTA]],'DATA INFORME'!I:I,'DATA INFORME'!K:K)</f>
        <v>SI</v>
      </c>
      <c r="M365" s="37" t="str">
        <f>IF(Tabla2__2[[#This Row],[MYSTERY EFECTIVO]]="SI",_xlfn.XLOOKUP(Tabla2__2[[#This Row],[PREGUNTA]],ENCUESTA!G:G,ENCUESTA!D:D),"N/A")</f>
        <v>PORTAFOLIO Y MANEJO DE OBJECIONES</v>
      </c>
      <c r="N3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65" s="37" t="str">
        <f>_xlfn.XLOOKUP(Tabla2__2[[#This Row],[PREGUNTA]],ENCUESTA!G:G,ENCUESTA!H:H)</f>
        <v>SI</v>
      </c>
      <c r="P365" s="37">
        <f>IF(Tabla2__2[[#This Row],[RTA]]=Tabla2__2[[#This Row],[RTA CORRECTA]],Tabla2__2[[#This Row],[TOTAL PUNTAJE]],0)</f>
        <v>1.5384615384615385</v>
      </c>
      <c r="Q365" s="37">
        <f t="shared" si="5"/>
        <v>0</v>
      </c>
      <c r="R365" s="37"/>
    </row>
    <row r="366" spans="1:18" x14ac:dyDescent="0.25">
      <c r="A366" s="37" t="s">
        <v>107</v>
      </c>
      <c r="B366" s="37" t="s">
        <v>91</v>
      </c>
      <c r="C366" t="s">
        <v>15</v>
      </c>
      <c r="D366" s="37" t="s">
        <v>171</v>
      </c>
      <c r="E366" s="37">
        <v>428025</v>
      </c>
      <c r="F366" s="37" t="s">
        <v>174</v>
      </c>
      <c r="G366" s="37" t="s">
        <v>152</v>
      </c>
      <c r="H366" s="37" t="s">
        <v>170</v>
      </c>
      <c r="I366" s="38"/>
      <c r="J366" s="37">
        <v>27444155</v>
      </c>
      <c r="K366" s="37" t="s">
        <v>121</v>
      </c>
      <c r="L366" s="37" t="str">
        <f>_xlfn.XLOOKUP(Tabla2__2[[#This Row],[CODIGO RUTA]],'DATA INFORME'!I:I,'DATA INFORME'!K:K)</f>
        <v>SI</v>
      </c>
      <c r="M366" s="37" t="str">
        <f>IF(Tabla2__2[[#This Row],[MYSTERY EFECTIVO]]="SI",_xlfn.XLOOKUP(Tabla2__2[[#This Row],[PREGUNTA]],ENCUESTA!G:G,ENCUESTA!D:D),"N/A")</f>
        <v>N/A</v>
      </c>
      <c r="N3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6" s="37" t="str">
        <f>_xlfn.XLOOKUP(Tabla2__2[[#This Row],[PREGUNTA]],ENCUESTA!G:G,ENCUESTA!H:H)</f>
        <v>FALTA DE PRODUCTO, NO LE INTERESA EL PRODUCTO, NO TIENE DINERO, PREFIERE LA COMPETENCIA</v>
      </c>
      <c r="P366" s="37">
        <f>IF(Tabla2__2[[#This Row],[RTA]]=Tabla2__2[[#This Row],[RTA CORRECTA]],Tabla2__2[[#This Row],[TOTAL PUNTAJE]],0)</f>
        <v>0</v>
      </c>
      <c r="Q366" s="37">
        <f t="shared" si="5"/>
        <v>0</v>
      </c>
      <c r="R366" s="37"/>
    </row>
    <row r="367" spans="1:18" x14ac:dyDescent="0.25">
      <c r="A367" s="37" t="s">
        <v>107</v>
      </c>
      <c r="B367" s="37" t="s">
        <v>91</v>
      </c>
      <c r="C367" t="s">
        <v>15</v>
      </c>
      <c r="D367" s="37" t="s">
        <v>171</v>
      </c>
      <c r="E367" s="37">
        <v>428025</v>
      </c>
      <c r="F367" s="37" t="s">
        <v>174</v>
      </c>
      <c r="G367" s="37" t="s">
        <v>146</v>
      </c>
      <c r="H367" s="37" t="s">
        <v>106</v>
      </c>
      <c r="I367" s="38"/>
      <c r="J367" s="37">
        <v>27444155</v>
      </c>
      <c r="K367" s="37" t="s">
        <v>121</v>
      </c>
      <c r="L367" s="37" t="str">
        <f>_xlfn.XLOOKUP(Tabla2__2[[#This Row],[CODIGO RUTA]],'DATA INFORME'!I:I,'DATA INFORME'!K:K)</f>
        <v>SI</v>
      </c>
      <c r="M367" s="37" t="str">
        <f>IF(Tabla2__2[[#This Row],[MYSTERY EFECTIVO]]="SI",_xlfn.XLOOKUP(Tabla2__2[[#This Row],[PREGUNTA]],ENCUESTA!G:G,ENCUESTA!D:D),"N/A")</f>
        <v>ACTIVIDADES DEL MES</v>
      </c>
      <c r="N3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7" s="37" t="str">
        <f>_xlfn.XLOOKUP(Tabla2__2[[#This Row],[PREGUNTA]],ENCUESTA!G:G,ENCUESTA!H:H)</f>
        <v>SI</v>
      </c>
      <c r="P367" s="37">
        <f>IF(Tabla2__2[[#This Row],[RTA]]=Tabla2__2[[#This Row],[RTA CORRECTA]],Tabla2__2[[#This Row],[TOTAL PUNTAJE]],0)</f>
        <v>0</v>
      </c>
      <c r="Q367" s="37">
        <f t="shared" si="5"/>
        <v>0</v>
      </c>
      <c r="R367" s="37"/>
    </row>
    <row r="368" spans="1:18" x14ac:dyDescent="0.25">
      <c r="A368" s="37" t="s">
        <v>107</v>
      </c>
      <c r="B368" s="37" t="s">
        <v>91</v>
      </c>
      <c r="C368" t="s">
        <v>15</v>
      </c>
      <c r="D368" s="37" t="s">
        <v>171</v>
      </c>
      <c r="E368" s="37">
        <v>428025</v>
      </c>
      <c r="F368" s="37" t="s">
        <v>174</v>
      </c>
      <c r="G368" s="37" t="s">
        <v>145</v>
      </c>
      <c r="H368" s="37" t="s">
        <v>20</v>
      </c>
      <c r="I368" s="38"/>
      <c r="J368" s="37">
        <v>27444155</v>
      </c>
      <c r="K368" s="37" t="s">
        <v>121</v>
      </c>
      <c r="L368" s="37" t="str">
        <f>_xlfn.XLOOKUP(Tabla2__2[[#This Row],[CODIGO RUTA]],'DATA INFORME'!I:I,'DATA INFORME'!K:K)</f>
        <v>SI</v>
      </c>
      <c r="M368" s="37" t="str">
        <f>IF(Tabla2__2[[#This Row],[MYSTERY EFECTIVO]]="SI",_xlfn.XLOOKUP(Tabla2__2[[#This Row],[PREGUNTA]],ENCUESTA!G:G,ENCUESTA!D:D),"N/A")</f>
        <v>PORTAFOLIO Y MANEJO DE OBJECIONES</v>
      </c>
      <c r="N3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68" s="37" t="str">
        <f>_xlfn.XLOOKUP(Tabla2__2[[#This Row],[PREGUNTA]],ENCUESTA!G:G,ENCUESTA!H:H)</f>
        <v>SI</v>
      </c>
      <c r="P368" s="37">
        <f>IF(Tabla2__2[[#This Row],[RTA]]=Tabla2__2[[#This Row],[RTA CORRECTA]],Tabla2__2[[#This Row],[TOTAL PUNTAJE]],0)</f>
        <v>1.5384615384615385</v>
      </c>
      <c r="Q368" s="37">
        <f t="shared" si="5"/>
        <v>0</v>
      </c>
      <c r="R368" s="37"/>
    </row>
    <row r="369" spans="1:18" x14ac:dyDescent="0.25">
      <c r="A369" s="37" t="s">
        <v>107</v>
      </c>
      <c r="B369" s="37" t="s">
        <v>91</v>
      </c>
      <c r="C369" t="s">
        <v>15</v>
      </c>
      <c r="D369" s="37" t="s">
        <v>171</v>
      </c>
      <c r="E369" s="37">
        <v>428025</v>
      </c>
      <c r="F369" s="37" t="s">
        <v>174</v>
      </c>
      <c r="G369" s="37" t="s">
        <v>35</v>
      </c>
      <c r="H369" s="37" t="s">
        <v>20</v>
      </c>
      <c r="I369" s="38"/>
      <c r="J369" s="37">
        <v>27444155</v>
      </c>
      <c r="K369" s="37" t="s">
        <v>121</v>
      </c>
      <c r="L369" s="37" t="str">
        <f>_xlfn.XLOOKUP(Tabla2__2[[#This Row],[CODIGO RUTA]],'DATA INFORME'!I:I,'DATA INFORME'!K:K)</f>
        <v>SI</v>
      </c>
      <c r="M369" s="37" t="str">
        <f>IF(Tabla2__2[[#This Row],[MYSTERY EFECTIVO]]="SI",_xlfn.XLOOKUP(Tabla2__2[[#This Row],[PREGUNTA]],ENCUESTA!G:G,ENCUESTA!D:D),"N/A")</f>
        <v>UNIFORME</v>
      </c>
      <c r="N3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69" s="37" t="str">
        <f>_xlfn.XLOOKUP(Tabla2__2[[#This Row],[PREGUNTA]],ENCUESTA!G:G,ENCUESTA!H:H)</f>
        <v>SI</v>
      </c>
      <c r="P369" s="37">
        <f>IF(Tabla2__2[[#This Row],[RTA]]=Tabla2__2[[#This Row],[RTA CORRECTA]],Tabla2__2[[#This Row],[TOTAL PUNTAJE]],0)</f>
        <v>1.3636363636363635</v>
      </c>
      <c r="Q369" s="37">
        <f t="shared" si="5"/>
        <v>0</v>
      </c>
      <c r="R369" s="37"/>
    </row>
    <row r="370" spans="1:18" x14ac:dyDescent="0.25">
      <c r="A370" s="37" t="s">
        <v>107</v>
      </c>
      <c r="B370" s="37" t="s">
        <v>91</v>
      </c>
      <c r="C370" t="s">
        <v>15</v>
      </c>
      <c r="D370" s="37" t="s">
        <v>171</v>
      </c>
      <c r="E370" s="37">
        <v>428025</v>
      </c>
      <c r="F370" s="37" t="s">
        <v>174</v>
      </c>
      <c r="G370" s="37" t="s">
        <v>144</v>
      </c>
      <c r="H370" s="37" t="s">
        <v>20</v>
      </c>
      <c r="I370" s="38"/>
      <c r="J370" s="37">
        <v>27444155</v>
      </c>
      <c r="K370" s="37" t="s">
        <v>121</v>
      </c>
      <c r="L370" s="37" t="str">
        <f>_xlfn.XLOOKUP(Tabla2__2[[#This Row],[CODIGO RUTA]],'DATA INFORME'!I:I,'DATA INFORME'!K:K)</f>
        <v>SI</v>
      </c>
      <c r="M370" s="37" t="str">
        <f>IF(Tabla2__2[[#This Row],[MYSTERY EFECTIVO]]="SI",_xlfn.XLOOKUP(Tabla2__2[[#This Row],[PREGUNTA]],ENCUESTA!G:G,ENCUESTA!D:D),"N/A")</f>
        <v>PORTAFOLIO Y MANEJO DE OBJECIONES</v>
      </c>
      <c r="N3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70" s="37" t="str">
        <f>_xlfn.XLOOKUP(Tabla2__2[[#This Row],[PREGUNTA]],ENCUESTA!G:G,ENCUESTA!H:H)</f>
        <v>SI</v>
      </c>
      <c r="P370" s="37">
        <f>IF(Tabla2__2[[#This Row],[RTA]]=Tabla2__2[[#This Row],[RTA CORRECTA]],Tabla2__2[[#This Row],[TOTAL PUNTAJE]],0)</f>
        <v>1.5384615384615385</v>
      </c>
      <c r="Q370" s="37">
        <f t="shared" si="5"/>
        <v>0</v>
      </c>
      <c r="R370" s="37"/>
    </row>
    <row r="371" spans="1:18" x14ac:dyDescent="0.25">
      <c r="A371" s="37" t="s">
        <v>107</v>
      </c>
      <c r="B371" s="37" t="s">
        <v>91</v>
      </c>
      <c r="C371" t="s">
        <v>15</v>
      </c>
      <c r="D371" s="37" t="s">
        <v>171</v>
      </c>
      <c r="E371" s="37">
        <v>428025</v>
      </c>
      <c r="F371" s="37" t="s">
        <v>174</v>
      </c>
      <c r="G371" s="37" t="s">
        <v>142</v>
      </c>
      <c r="H371" s="37" t="s">
        <v>20</v>
      </c>
      <c r="I371" s="38"/>
      <c r="J371" s="37">
        <v>27444155</v>
      </c>
      <c r="K371" s="37" t="s">
        <v>121</v>
      </c>
      <c r="L371" s="37" t="str">
        <f>_xlfn.XLOOKUP(Tabla2__2[[#This Row],[CODIGO RUTA]],'DATA INFORME'!I:I,'DATA INFORME'!K:K)</f>
        <v>SI</v>
      </c>
      <c r="M371" s="37" t="str">
        <f>IF(Tabla2__2[[#This Row],[MYSTERY EFECTIVO]]="SI",_xlfn.XLOOKUP(Tabla2__2[[#This Row],[PREGUNTA]],ENCUESTA!G:G,ENCUESTA!D:D),"N/A")</f>
        <v>PORTAFOLIO Y MANEJO DE OBJECIONES</v>
      </c>
      <c r="N3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71" s="37" t="str">
        <f>_xlfn.XLOOKUP(Tabla2__2[[#This Row],[PREGUNTA]],ENCUESTA!G:G,ENCUESTA!H:H)</f>
        <v>SI</v>
      </c>
      <c r="P371" s="37">
        <f>IF(Tabla2__2[[#This Row],[RTA]]=Tabla2__2[[#This Row],[RTA CORRECTA]],Tabla2__2[[#This Row],[TOTAL PUNTAJE]],0)</f>
        <v>1.5384615384615385</v>
      </c>
      <c r="Q371" s="37">
        <f t="shared" si="5"/>
        <v>0</v>
      </c>
      <c r="R371" s="37"/>
    </row>
    <row r="372" spans="1:18" x14ac:dyDescent="0.25">
      <c r="A372" s="37" t="s">
        <v>107</v>
      </c>
      <c r="B372" s="37" t="s">
        <v>91</v>
      </c>
      <c r="C372" t="s">
        <v>15</v>
      </c>
      <c r="D372" s="37" t="s">
        <v>171</v>
      </c>
      <c r="E372" s="37">
        <v>428025</v>
      </c>
      <c r="F372" s="37" t="s">
        <v>174</v>
      </c>
      <c r="G372" s="37" t="s">
        <v>141</v>
      </c>
      <c r="H372" s="37" t="s">
        <v>106</v>
      </c>
      <c r="I372" s="38"/>
      <c r="J372" s="37">
        <v>27444155</v>
      </c>
      <c r="K372" s="37" t="s">
        <v>121</v>
      </c>
      <c r="L372" s="37" t="str">
        <f>_xlfn.XLOOKUP(Tabla2__2[[#This Row],[CODIGO RUTA]],'DATA INFORME'!I:I,'DATA INFORME'!K:K)</f>
        <v>SI</v>
      </c>
      <c r="M372" s="37" t="str">
        <f>IF(Tabla2__2[[#This Row],[MYSTERY EFECTIVO]]="SI",_xlfn.XLOOKUP(Tabla2__2[[#This Row],[PREGUNTA]],ENCUESTA!G:G,ENCUESTA!D:D),"N/A")</f>
        <v>PORTAFOLIO Y MANEJO DE OBJECIONES</v>
      </c>
      <c r="N3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72" s="37" t="str">
        <f>_xlfn.XLOOKUP(Tabla2__2[[#This Row],[PREGUNTA]],ENCUESTA!G:G,ENCUESTA!H:H)</f>
        <v>SI</v>
      </c>
      <c r="P372" s="37">
        <f>IF(Tabla2__2[[#This Row],[RTA]]=Tabla2__2[[#This Row],[RTA CORRECTA]],Tabla2__2[[#This Row],[TOTAL PUNTAJE]],0)</f>
        <v>0</v>
      </c>
      <c r="Q372" s="37">
        <f t="shared" si="5"/>
        <v>0</v>
      </c>
      <c r="R372" s="37"/>
    </row>
    <row r="373" spans="1:18" x14ac:dyDescent="0.25">
      <c r="A373" s="37" t="s">
        <v>107</v>
      </c>
      <c r="B373" s="37" t="s">
        <v>91</v>
      </c>
      <c r="C373" t="s">
        <v>15</v>
      </c>
      <c r="D373" s="37" t="s">
        <v>171</v>
      </c>
      <c r="E373" s="37">
        <v>428025</v>
      </c>
      <c r="F373" s="37" t="s">
        <v>174</v>
      </c>
      <c r="G373" s="37" t="s">
        <v>140</v>
      </c>
      <c r="H373" s="37" t="s">
        <v>20</v>
      </c>
      <c r="I373" s="38"/>
      <c r="J373" s="37">
        <v>27444155</v>
      </c>
      <c r="K373" s="37" t="s">
        <v>121</v>
      </c>
      <c r="L373" s="37" t="str">
        <f>_xlfn.XLOOKUP(Tabla2__2[[#This Row],[CODIGO RUTA]],'DATA INFORME'!I:I,'DATA INFORME'!K:K)</f>
        <v>SI</v>
      </c>
      <c r="M373" s="37" t="str">
        <f>IF(Tabla2__2[[#This Row],[MYSTERY EFECTIVO]]="SI",_xlfn.XLOOKUP(Tabla2__2[[#This Row],[PREGUNTA]],ENCUESTA!G:G,ENCUESTA!D:D),"N/A")</f>
        <v>PORTAFOLIO Y MANEJO DE OBJECIONES</v>
      </c>
      <c r="N3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73" s="37" t="str">
        <f>_xlfn.XLOOKUP(Tabla2__2[[#This Row],[PREGUNTA]],ENCUESTA!G:G,ENCUESTA!H:H)</f>
        <v>SI</v>
      </c>
      <c r="P373" s="37">
        <f>IF(Tabla2__2[[#This Row],[RTA]]=Tabla2__2[[#This Row],[RTA CORRECTA]],Tabla2__2[[#This Row],[TOTAL PUNTAJE]],0)</f>
        <v>1.5384615384615385</v>
      </c>
      <c r="Q373" s="37">
        <f t="shared" si="5"/>
        <v>0</v>
      </c>
      <c r="R373" s="37"/>
    </row>
    <row r="374" spans="1:18" x14ac:dyDescent="0.25">
      <c r="A374" s="37" t="s">
        <v>107</v>
      </c>
      <c r="B374" s="37" t="s">
        <v>91</v>
      </c>
      <c r="C374" t="s">
        <v>15</v>
      </c>
      <c r="D374" s="37" t="s">
        <v>171</v>
      </c>
      <c r="E374" s="37">
        <v>428025</v>
      </c>
      <c r="F374" s="37" t="s">
        <v>174</v>
      </c>
      <c r="G374" s="37" t="s">
        <v>139</v>
      </c>
      <c r="H374" s="37" t="s">
        <v>15</v>
      </c>
      <c r="I374" s="38"/>
      <c r="J374" s="37">
        <v>27444155</v>
      </c>
      <c r="K374" s="37" t="s">
        <v>121</v>
      </c>
      <c r="L374" s="37" t="str">
        <f>_xlfn.XLOOKUP(Tabla2__2[[#This Row],[CODIGO RUTA]],'DATA INFORME'!I:I,'DATA INFORME'!K:K)</f>
        <v>SI</v>
      </c>
      <c r="M374" s="37" t="str">
        <f>IF(Tabla2__2[[#This Row],[MYSTERY EFECTIVO]]="SI",_xlfn.XLOOKUP(Tabla2__2[[#This Row],[PREGUNTA]],ENCUESTA!G:G,ENCUESTA!D:D),"N/A")</f>
        <v>N/A</v>
      </c>
      <c r="N3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4" s="37" t="str">
        <f>_xlfn.XLOOKUP(Tabla2__2[[#This Row],[PREGUNTA]],ENCUESTA!G:G,ENCUESTA!H:H)</f>
        <v>MODERNO, ESPECIALIZADO</v>
      </c>
      <c r="P374" s="37">
        <f>IF(Tabla2__2[[#This Row],[RTA]]=Tabla2__2[[#This Row],[RTA CORRECTA]],Tabla2__2[[#This Row],[TOTAL PUNTAJE]],0)</f>
        <v>0</v>
      </c>
      <c r="Q374" s="37">
        <f t="shared" si="5"/>
        <v>0</v>
      </c>
      <c r="R374" s="37"/>
    </row>
    <row r="375" spans="1:18" x14ac:dyDescent="0.25">
      <c r="A375" s="37" t="s">
        <v>107</v>
      </c>
      <c r="B375" s="37" t="s">
        <v>91</v>
      </c>
      <c r="C375" t="s">
        <v>15</v>
      </c>
      <c r="D375" s="37" t="s">
        <v>171</v>
      </c>
      <c r="E375" s="37">
        <v>428025</v>
      </c>
      <c r="F375" s="37" t="s">
        <v>174</v>
      </c>
      <c r="G375" s="37" t="s">
        <v>138</v>
      </c>
      <c r="H375" s="37" t="s">
        <v>20</v>
      </c>
      <c r="I375" s="38"/>
      <c r="J375" s="37">
        <v>27444155</v>
      </c>
      <c r="K375" s="37" t="s">
        <v>121</v>
      </c>
      <c r="L375" s="37" t="str">
        <f>_xlfn.XLOOKUP(Tabla2__2[[#This Row],[CODIGO RUTA]],'DATA INFORME'!I:I,'DATA INFORME'!K:K)</f>
        <v>SI</v>
      </c>
      <c r="M375" s="37" t="str">
        <f>IF(Tabla2__2[[#This Row],[MYSTERY EFECTIVO]]="SI",_xlfn.XLOOKUP(Tabla2__2[[#This Row],[PREGUNTA]],ENCUESTA!G:G,ENCUESTA!D:D),"N/A")</f>
        <v>PORTAFOLIO Y MANEJO DE OBJECIONES</v>
      </c>
      <c r="N3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75" s="37" t="str">
        <f>_xlfn.XLOOKUP(Tabla2__2[[#This Row],[PREGUNTA]],ENCUESTA!G:G,ENCUESTA!H:H)</f>
        <v>SI</v>
      </c>
      <c r="P375" s="37">
        <f>IF(Tabla2__2[[#This Row],[RTA]]=Tabla2__2[[#This Row],[RTA CORRECTA]],Tabla2__2[[#This Row],[TOTAL PUNTAJE]],0)</f>
        <v>1.5384615384615385</v>
      </c>
      <c r="Q375" s="37">
        <f t="shared" si="5"/>
        <v>0</v>
      </c>
      <c r="R375" s="37"/>
    </row>
    <row r="376" spans="1:18" x14ac:dyDescent="0.25">
      <c r="A376" s="37" t="s">
        <v>107</v>
      </c>
      <c r="B376" s="37" t="s">
        <v>91</v>
      </c>
      <c r="C376" t="s">
        <v>15</v>
      </c>
      <c r="D376" s="37" t="s">
        <v>171</v>
      </c>
      <c r="E376" s="37">
        <v>428025</v>
      </c>
      <c r="F376" s="37" t="s">
        <v>174</v>
      </c>
      <c r="G376" s="37" t="s">
        <v>137</v>
      </c>
      <c r="H376" s="37" t="s">
        <v>20</v>
      </c>
      <c r="I376" s="38"/>
      <c r="J376" s="37">
        <v>27444155</v>
      </c>
      <c r="K376" s="37" t="s">
        <v>121</v>
      </c>
      <c r="L376" s="37" t="str">
        <f>_xlfn.XLOOKUP(Tabla2__2[[#This Row],[CODIGO RUTA]],'DATA INFORME'!I:I,'DATA INFORME'!K:K)</f>
        <v>SI</v>
      </c>
      <c r="M376" s="37" t="str">
        <f>IF(Tabla2__2[[#This Row],[MYSTERY EFECTIVO]]="SI",_xlfn.XLOOKUP(Tabla2__2[[#This Row],[PREGUNTA]],ENCUESTA!G:G,ENCUESTA!D:D),"N/A")</f>
        <v>PORTAFOLIO Y MANEJO DE OBJECIONES</v>
      </c>
      <c r="N3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76" s="37" t="str">
        <f>_xlfn.XLOOKUP(Tabla2__2[[#This Row],[PREGUNTA]],ENCUESTA!G:G,ENCUESTA!H:H)</f>
        <v>SI</v>
      </c>
      <c r="P376" s="37">
        <f>IF(Tabla2__2[[#This Row],[RTA]]=Tabla2__2[[#This Row],[RTA CORRECTA]],Tabla2__2[[#This Row],[TOTAL PUNTAJE]],0)</f>
        <v>1.5384615384615385</v>
      </c>
      <c r="Q376" s="37">
        <f t="shared" si="5"/>
        <v>0</v>
      </c>
      <c r="R376" s="37"/>
    </row>
    <row r="377" spans="1:18" x14ac:dyDescent="0.25">
      <c r="A377" s="37" t="s">
        <v>107</v>
      </c>
      <c r="B377" s="37" t="s">
        <v>91</v>
      </c>
      <c r="C377" t="s">
        <v>15</v>
      </c>
      <c r="D377" s="37" t="s">
        <v>171</v>
      </c>
      <c r="E377" s="37">
        <v>428025</v>
      </c>
      <c r="F377" s="37" t="s">
        <v>174</v>
      </c>
      <c r="G377" s="37" t="s">
        <v>136</v>
      </c>
      <c r="H377" s="37" t="s">
        <v>106</v>
      </c>
      <c r="I377" s="38"/>
      <c r="J377" s="37">
        <v>27444155</v>
      </c>
      <c r="K377" s="37" t="s">
        <v>121</v>
      </c>
      <c r="L377" s="37" t="str">
        <f>_xlfn.XLOOKUP(Tabla2__2[[#This Row],[CODIGO RUTA]],'DATA INFORME'!I:I,'DATA INFORME'!K:K)</f>
        <v>SI</v>
      </c>
      <c r="M377" s="37" t="str">
        <f>IF(Tabla2__2[[#This Row],[MYSTERY EFECTIVO]]="SI",_xlfn.XLOOKUP(Tabla2__2[[#This Row],[PREGUNTA]],ENCUESTA!G:G,ENCUESTA!D:D),"N/A")</f>
        <v>ABORDAJE</v>
      </c>
      <c r="N3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77" s="37" t="str">
        <f>_xlfn.XLOOKUP(Tabla2__2[[#This Row],[PREGUNTA]],ENCUESTA!G:G,ENCUESTA!H:H)</f>
        <v>SI</v>
      </c>
      <c r="P377" s="37">
        <f>IF(Tabla2__2[[#This Row],[RTA]]=Tabla2__2[[#This Row],[RTA CORRECTA]],Tabla2__2[[#This Row],[TOTAL PUNTAJE]],0)</f>
        <v>0</v>
      </c>
      <c r="Q377" s="37">
        <f t="shared" si="5"/>
        <v>0</v>
      </c>
      <c r="R377" s="37"/>
    </row>
    <row r="378" spans="1:18" x14ac:dyDescent="0.25">
      <c r="A378" s="37" t="s">
        <v>107</v>
      </c>
      <c r="B378" s="37" t="s">
        <v>91</v>
      </c>
      <c r="C378" t="s">
        <v>15</v>
      </c>
      <c r="D378" s="37" t="s">
        <v>171</v>
      </c>
      <c r="E378" s="37">
        <v>428025</v>
      </c>
      <c r="F378" s="37" t="s">
        <v>174</v>
      </c>
      <c r="G378" s="37" t="s">
        <v>104</v>
      </c>
      <c r="H378" s="37" t="s">
        <v>106</v>
      </c>
      <c r="I378" s="38"/>
      <c r="J378" s="37">
        <v>27444155</v>
      </c>
      <c r="K378" s="37" t="s">
        <v>121</v>
      </c>
      <c r="L378" s="37" t="str">
        <f>_xlfn.XLOOKUP(Tabla2__2[[#This Row],[CODIGO RUTA]],'DATA INFORME'!I:I,'DATA INFORME'!K:K)</f>
        <v>SI</v>
      </c>
      <c r="M378" s="37" t="str">
        <f>IF(Tabla2__2[[#This Row],[MYSTERY EFECTIVO]]="SI",_xlfn.XLOOKUP(Tabla2__2[[#This Row],[PREGUNTA]],ENCUESTA!G:G,ENCUESTA!D:D),"N/A")</f>
        <v>UNIFORME</v>
      </c>
      <c r="N3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78" s="37" t="str">
        <f>_xlfn.XLOOKUP(Tabla2__2[[#This Row],[PREGUNTA]],ENCUESTA!G:G,ENCUESTA!H:H)</f>
        <v>NO</v>
      </c>
      <c r="P378" s="37">
        <f>IF(Tabla2__2[[#This Row],[RTA]]=Tabla2__2[[#This Row],[RTA CORRECTA]],Tabla2__2[[#This Row],[TOTAL PUNTAJE]],0)</f>
        <v>1.3636363636363635</v>
      </c>
      <c r="Q378" s="37">
        <f t="shared" si="5"/>
        <v>0</v>
      </c>
      <c r="R378" s="37"/>
    </row>
    <row r="379" spans="1:18" x14ac:dyDescent="0.25">
      <c r="A379" s="37" t="s">
        <v>107</v>
      </c>
      <c r="B379" s="37" t="s">
        <v>91</v>
      </c>
      <c r="C379" t="s">
        <v>15</v>
      </c>
      <c r="D379" s="37" t="s">
        <v>171</v>
      </c>
      <c r="E379" s="37">
        <v>428025</v>
      </c>
      <c r="F379" s="37" t="s">
        <v>174</v>
      </c>
      <c r="G379" s="37" t="s">
        <v>103</v>
      </c>
      <c r="H379" s="37" t="s">
        <v>106</v>
      </c>
      <c r="I379" s="38"/>
      <c r="J379" s="37">
        <v>27444155</v>
      </c>
      <c r="K379" s="37" t="s">
        <v>121</v>
      </c>
      <c r="L379" s="37" t="str">
        <f>_xlfn.XLOOKUP(Tabla2__2[[#This Row],[CODIGO RUTA]],'DATA INFORME'!I:I,'DATA INFORME'!K:K)</f>
        <v>SI</v>
      </c>
      <c r="M379" s="37" t="str">
        <f>IF(Tabla2__2[[#This Row],[MYSTERY EFECTIVO]]="SI",_xlfn.XLOOKUP(Tabla2__2[[#This Row],[PREGUNTA]],ENCUESTA!G:G,ENCUESTA!D:D),"N/A")</f>
        <v>UNIFORME</v>
      </c>
      <c r="N3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79" s="37" t="str">
        <f>_xlfn.XLOOKUP(Tabla2__2[[#This Row],[PREGUNTA]],ENCUESTA!G:G,ENCUESTA!H:H)</f>
        <v>NO</v>
      </c>
      <c r="P379" s="37">
        <f>IF(Tabla2__2[[#This Row],[RTA]]=Tabla2__2[[#This Row],[RTA CORRECTA]],Tabla2__2[[#This Row],[TOTAL PUNTAJE]],0)</f>
        <v>1.3636363636363635</v>
      </c>
      <c r="Q379" s="37">
        <f t="shared" si="5"/>
        <v>0</v>
      </c>
      <c r="R379" s="37"/>
    </row>
    <row r="380" spans="1:18" x14ac:dyDescent="0.25">
      <c r="A380" s="37" t="s">
        <v>107</v>
      </c>
      <c r="B380" s="37" t="s">
        <v>91</v>
      </c>
      <c r="C380" t="s">
        <v>15</v>
      </c>
      <c r="D380" s="37" t="s">
        <v>171</v>
      </c>
      <c r="E380" s="37">
        <v>428025</v>
      </c>
      <c r="F380" s="37" t="s">
        <v>174</v>
      </c>
      <c r="G380" s="37" t="s">
        <v>102</v>
      </c>
      <c r="H380" s="37" t="s">
        <v>106</v>
      </c>
      <c r="I380" s="38"/>
      <c r="J380" s="37">
        <v>27444155</v>
      </c>
      <c r="K380" s="37" t="s">
        <v>121</v>
      </c>
      <c r="L380" s="37" t="str">
        <f>_xlfn.XLOOKUP(Tabla2__2[[#This Row],[CODIGO RUTA]],'DATA INFORME'!I:I,'DATA INFORME'!K:K)</f>
        <v>SI</v>
      </c>
      <c r="M380" s="37" t="str">
        <f>IF(Tabla2__2[[#This Row],[MYSTERY EFECTIVO]]="SI",_xlfn.XLOOKUP(Tabla2__2[[#This Row],[PREGUNTA]],ENCUESTA!G:G,ENCUESTA!D:D),"N/A")</f>
        <v>UNIFORME</v>
      </c>
      <c r="N3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80" s="37" t="str">
        <f>_xlfn.XLOOKUP(Tabla2__2[[#This Row],[PREGUNTA]],ENCUESTA!G:G,ENCUESTA!H:H)</f>
        <v>NO</v>
      </c>
      <c r="P380" s="37">
        <f>IF(Tabla2__2[[#This Row],[RTA]]=Tabla2__2[[#This Row],[RTA CORRECTA]],Tabla2__2[[#This Row],[TOTAL PUNTAJE]],0)</f>
        <v>1.3636363636363635</v>
      </c>
      <c r="Q380" s="37">
        <f t="shared" si="5"/>
        <v>0</v>
      </c>
      <c r="R380" s="37"/>
    </row>
    <row r="381" spans="1:18" x14ac:dyDescent="0.25">
      <c r="A381" s="37" t="s">
        <v>107</v>
      </c>
      <c r="B381" s="37" t="s">
        <v>91</v>
      </c>
      <c r="C381" t="s">
        <v>15</v>
      </c>
      <c r="D381" s="37" t="s">
        <v>171</v>
      </c>
      <c r="E381" s="37">
        <v>428025</v>
      </c>
      <c r="F381" s="37" t="s">
        <v>174</v>
      </c>
      <c r="G381" s="37" t="s">
        <v>101</v>
      </c>
      <c r="H381" s="37" t="s">
        <v>106</v>
      </c>
      <c r="I381" s="38"/>
      <c r="J381" s="37">
        <v>27444155</v>
      </c>
      <c r="K381" s="37" t="s">
        <v>121</v>
      </c>
      <c r="L381" s="37" t="str">
        <f>_xlfn.XLOOKUP(Tabla2__2[[#This Row],[CODIGO RUTA]],'DATA INFORME'!I:I,'DATA INFORME'!K:K)</f>
        <v>SI</v>
      </c>
      <c r="M381" s="37" t="str">
        <f>IF(Tabla2__2[[#This Row],[MYSTERY EFECTIVO]]="SI",_xlfn.XLOOKUP(Tabla2__2[[#This Row],[PREGUNTA]],ENCUESTA!G:G,ENCUESTA!D:D),"N/A")</f>
        <v>UNIFORME</v>
      </c>
      <c r="N3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81" s="37" t="str">
        <f>_xlfn.XLOOKUP(Tabla2__2[[#This Row],[PREGUNTA]],ENCUESTA!G:G,ENCUESTA!H:H)</f>
        <v>NO</v>
      </c>
      <c r="P381" s="37">
        <f>IF(Tabla2__2[[#This Row],[RTA]]=Tabla2__2[[#This Row],[RTA CORRECTA]],Tabla2__2[[#This Row],[TOTAL PUNTAJE]],0)</f>
        <v>1.3636363636363635</v>
      </c>
      <c r="Q381" s="37">
        <f t="shared" si="5"/>
        <v>0</v>
      </c>
      <c r="R381" s="37"/>
    </row>
    <row r="382" spans="1:18" x14ac:dyDescent="0.25">
      <c r="A382" s="37" t="s">
        <v>107</v>
      </c>
      <c r="B382" s="37" t="s">
        <v>91</v>
      </c>
      <c r="C382" t="s">
        <v>15</v>
      </c>
      <c r="D382" s="37" t="s">
        <v>171</v>
      </c>
      <c r="E382" s="37">
        <v>428025</v>
      </c>
      <c r="F382" s="37" t="s">
        <v>174</v>
      </c>
      <c r="G382" s="37" t="s">
        <v>100</v>
      </c>
      <c r="H382" s="37" t="s">
        <v>20</v>
      </c>
      <c r="I382" s="38"/>
      <c r="J382" s="37">
        <v>27444155</v>
      </c>
      <c r="K382" s="37" t="s">
        <v>121</v>
      </c>
      <c r="L382" s="37" t="str">
        <f>_xlfn.XLOOKUP(Tabla2__2[[#This Row],[CODIGO RUTA]],'DATA INFORME'!I:I,'DATA INFORME'!K:K)</f>
        <v>SI</v>
      </c>
      <c r="M382" s="37" t="str">
        <f>IF(Tabla2__2[[#This Row],[MYSTERY EFECTIVO]]="SI",_xlfn.XLOOKUP(Tabla2__2[[#This Row],[PREGUNTA]],ENCUESTA!G:G,ENCUESTA!D:D),"N/A")</f>
        <v>UNIFORME</v>
      </c>
      <c r="N3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82" s="37" t="str">
        <f>_xlfn.XLOOKUP(Tabla2__2[[#This Row],[PREGUNTA]],ENCUESTA!G:G,ENCUESTA!H:H)</f>
        <v>SI</v>
      </c>
      <c r="P382" s="37">
        <f>IF(Tabla2__2[[#This Row],[RTA]]=Tabla2__2[[#This Row],[RTA CORRECTA]],Tabla2__2[[#This Row],[TOTAL PUNTAJE]],0)</f>
        <v>1.3636363636363635</v>
      </c>
      <c r="Q382" s="37">
        <f t="shared" si="5"/>
        <v>0</v>
      </c>
      <c r="R382" s="37"/>
    </row>
    <row r="383" spans="1:18" x14ac:dyDescent="0.25">
      <c r="A383" s="37" t="s">
        <v>107</v>
      </c>
      <c r="B383" s="37" t="s">
        <v>91</v>
      </c>
      <c r="C383" t="s">
        <v>15</v>
      </c>
      <c r="D383" s="37" t="s">
        <v>171</v>
      </c>
      <c r="E383" s="37">
        <v>428025</v>
      </c>
      <c r="F383" s="37" t="s">
        <v>174</v>
      </c>
      <c r="G383" s="37" t="s">
        <v>99</v>
      </c>
      <c r="H383" s="37" t="s">
        <v>20</v>
      </c>
      <c r="I383" s="38"/>
      <c r="J383" s="37">
        <v>27444155</v>
      </c>
      <c r="K383" s="37" t="s">
        <v>121</v>
      </c>
      <c r="L383" s="37" t="str">
        <f>_xlfn.XLOOKUP(Tabla2__2[[#This Row],[CODIGO RUTA]],'DATA INFORME'!I:I,'DATA INFORME'!K:K)</f>
        <v>SI</v>
      </c>
      <c r="M383" s="37" t="str">
        <f>IF(Tabla2__2[[#This Row],[MYSTERY EFECTIVO]]="SI",_xlfn.XLOOKUP(Tabla2__2[[#This Row],[PREGUNTA]],ENCUESTA!G:G,ENCUESTA!D:D),"N/A")</f>
        <v>UNIFORME</v>
      </c>
      <c r="N3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383" s="37" t="str">
        <f>_xlfn.XLOOKUP(Tabla2__2[[#This Row],[PREGUNTA]],ENCUESTA!G:G,ENCUESTA!H:H)</f>
        <v>SI</v>
      </c>
      <c r="P383" s="37">
        <f>IF(Tabla2__2[[#This Row],[RTA]]=Tabla2__2[[#This Row],[RTA CORRECTA]],Tabla2__2[[#This Row],[TOTAL PUNTAJE]],0)</f>
        <v>1.3636363636363635</v>
      </c>
      <c r="Q383" s="37">
        <f t="shared" si="5"/>
        <v>0</v>
      </c>
      <c r="R383" s="37"/>
    </row>
    <row r="384" spans="1:18" x14ac:dyDescent="0.25">
      <c r="A384" s="37" t="s">
        <v>107</v>
      </c>
      <c r="B384" s="37" t="s">
        <v>91</v>
      </c>
      <c r="C384" t="s">
        <v>15</v>
      </c>
      <c r="D384" s="37" t="s">
        <v>171</v>
      </c>
      <c r="E384" s="37">
        <v>428025</v>
      </c>
      <c r="F384" s="37" t="s">
        <v>174</v>
      </c>
      <c r="G384" s="37" t="s">
        <v>143</v>
      </c>
      <c r="H384" s="37" t="s">
        <v>106</v>
      </c>
      <c r="I384" s="38"/>
      <c r="J384" s="37">
        <v>27444155</v>
      </c>
      <c r="K384" s="37" t="s">
        <v>121</v>
      </c>
      <c r="L384" s="37" t="str">
        <f>_xlfn.XLOOKUP(Tabla2__2[[#This Row],[CODIGO RUTA]],'DATA INFORME'!I:I,'DATA INFORME'!K:K)</f>
        <v>SI</v>
      </c>
      <c r="M384" s="37" t="str">
        <f>IF(Tabla2__2[[#This Row],[MYSTERY EFECTIVO]]="SI",_xlfn.XLOOKUP(Tabla2__2[[#This Row],[PREGUNTA]],ENCUESTA!G:G,ENCUESTA!D:D),"N/A")</f>
        <v>PORTAFOLIO Y MANEJO DE OBJECIONES</v>
      </c>
      <c r="N3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384" s="37" t="str">
        <f>_xlfn.XLOOKUP(Tabla2__2[[#This Row],[PREGUNTA]],ENCUESTA!G:G,ENCUESTA!H:H)</f>
        <v>SI</v>
      </c>
      <c r="P384" s="37">
        <f>IF(Tabla2__2[[#This Row],[RTA]]=Tabla2__2[[#This Row],[RTA CORRECTA]],Tabla2__2[[#This Row],[TOTAL PUNTAJE]],0)</f>
        <v>0</v>
      </c>
      <c r="Q384" s="37">
        <f t="shared" si="5"/>
        <v>0</v>
      </c>
      <c r="R384" s="37"/>
    </row>
    <row r="385" spans="1:18" x14ac:dyDescent="0.25">
      <c r="A385" s="37" t="s">
        <v>107</v>
      </c>
      <c r="B385" s="37" t="s">
        <v>8</v>
      </c>
      <c r="C385" t="s">
        <v>14</v>
      </c>
      <c r="D385" s="37" t="s">
        <v>79</v>
      </c>
      <c r="E385" s="37">
        <v>454996</v>
      </c>
      <c r="F385" s="37" t="s">
        <v>196</v>
      </c>
      <c r="G385" s="37" t="s">
        <v>136</v>
      </c>
      <c r="H385" s="37" t="s">
        <v>106</v>
      </c>
      <c r="I385" s="38"/>
      <c r="J385" s="37">
        <v>27453760</v>
      </c>
      <c r="K385" s="37" t="s">
        <v>187</v>
      </c>
      <c r="L385" s="37" t="str">
        <f>_xlfn.XLOOKUP(Tabla2__2[[#This Row],[CODIGO RUTA]],'DATA INFORME'!I:I,'DATA INFORME'!K:K)</f>
        <v xml:space="preserve"> NO</v>
      </c>
      <c r="M385" s="37" t="str">
        <f>IF(Tabla2__2[[#This Row],[MYSTERY EFECTIVO]]="SI",_xlfn.XLOOKUP(Tabla2__2[[#This Row],[PREGUNTA]],ENCUESTA!G:G,ENCUESTA!D:D),"N/A")</f>
        <v>N/A</v>
      </c>
      <c r="N3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5" s="37" t="str">
        <f>_xlfn.XLOOKUP(Tabla2__2[[#This Row],[PREGUNTA]],ENCUESTA!G:G,ENCUESTA!H:H)</f>
        <v>SI</v>
      </c>
      <c r="P385" s="37">
        <f>IF(Tabla2__2[[#This Row],[RTA]]=Tabla2__2[[#This Row],[RTA CORRECTA]],Tabla2__2[[#This Row],[TOTAL PUNTAJE]],0)</f>
        <v>0</v>
      </c>
      <c r="Q385" s="37">
        <f t="shared" si="5"/>
        <v>0</v>
      </c>
      <c r="R385" s="37"/>
    </row>
    <row r="386" spans="1:18" x14ac:dyDescent="0.25">
      <c r="A386" s="37" t="s">
        <v>107</v>
      </c>
      <c r="B386" s="37" t="s">
        <v>8</v>
      </c>
      <c r="C386" t="s">
        <v>14</v>
      </c>
      <c r="D386" s="37" t="s">
        <v>79</v>
      </c>
      <c r="E386" s="37">
        <v>454996</v>
      </c>
      <c r="F386" s="37" t="s">
        <v>196</v>
      </c>
      <c r="G386" s="37" t="s">
        <v>137</v>
      </c>
      <c r="H386" s="37" t="s">
        <v>106</v>
      </c>
      <c r="I386" s="38"/>
      <c r="J386" s="37">
        <v>27453760</v>
      </c>
      <c r="K386" s="37" t="s">
        <v>187</v>
      </c>
      <c r="L386" s="37" t="str">
        <f>_xlfn.XLOOKUP(Tabla2__2[[#This Row],[CODIGO RUTA]],'DATA INFORME'!I:I,'DATA INFORME'!K:K)</f>
        <v xml:space="preserve"> NO</v>
      </c>
      <c r="M386" s="37" t="str">
        <f>IF(Tabla2__2[[#This Row],[MYSTERY EFECTIVO]]="SI",_xlfn.XLOOKUP(Tabla2__2[[#This Row],[PREGUNTA]],ENCUESTA!G:G,ENCUESTA!D:D),"N/A")</f>
        <v>N/A</v>
      </c>
      <c r="N3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6" s="37" t="str">
        <f>_xlfn.XLOOKUP(Tabla2__2[[#This Row],[PREGUNTA]],ENCUESTA!G:G,ENCUESTA!H:H)</f>
        <v>SI</v>
      </c>
      <c r="P386" s="37">
        <f>IF(Tabla2__2[[#This Row],[RTA]]=Tabla2__2[[#This Row],[RTA CORRECTA]],Tabla2__2[[#This Row],[TOTAL PUNTAJE]],0)</f>
        <v>0</v>
      </c>
      <c r="Q386" s="37">
        <f t="shared" ref="Q386:Q449" si="6">IF(OR(H386="Dog Chow húmedo",H386="Cat Chow húmedo",H386="Fancy Feast",H386="Felix",H386="Proplan húmedo",H386="One húmedo",H386="Snack Abrazzos",H386="Snak Dentalife",H386="Arenilla Tidy Cat"),N386,0)</f>
        <v>0</v>
      </c>
      <c r="R386" s="37"/>
    </row>
    <row r="387" spans="1:18" x14ac:dyDescent="0.25">
      <c r="A387" s="37" t="s">
        <v>107</v>
      </c>
      <c r="B387" s="37" t="s">
        <v>8</v>
      </c>
      <c r="C387" t="s">
        <v>14</v>
      </c>
      <c r="D387" s="37" t="s">
        <v>79</v>
      </c>
      <c r="E387" s="37">
        <v>454996</v>
      </c>
      <c r="F387" s="37" t="s">
        <v>196</v>
      </c>
      <c r="G387" s="37" t="s">
        <v>138</v>
      </c>
      <c r="H387" s="37" t="s">
        <v>106</v>
      </c>
      <c r="I387" s="38"/>
      <c r="J387" s="37">
        <v>27453760</v>
      </c>
      <c r="K387" s="37" t="s">
        <v>187</v>
      </c>
      <c r="L387" s="37" t="str">
        <f>_xlfn.XLOOKUP(Tabla2__2[[#This Row],[CODIGO RUTA]],'DATA INFORME'!I:I,'DATA INFORME'!K:K)</f>
        <v xml:space="preserve"> NO</v>
      </c>
      <c r="M387" s="37" t="str">
        <f>IF(Tabla2__2[[#This Row],[MYSTERY EFECTIVO]]="SI",_xlfn.XLOOKUP(Tabla2__2[[#This Row],[PREGUNTA]],ENCUESTA!G:G,ENCUESTA!D:D),"N/A")</f>
        <v>N/A</v>
      </c>
      <c r="N3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7" s="37" t="str">
        <f>_xlfn.XLOOKUP(Tabla2__2[[#This Row],[PREGUNTA]],ENCUESTA!G:G,ENCUESTA!H:H)</f>
        <v>SI</v>
      </c>
      <c r="P387" s="37">
        <f>IF(Tabla2__2[[#This Row],[RTA]]=Tabla2__2[[#This Row],[RTA CORRECTA]],Tabla2__2[[#This Row],[TOTAL PUNTAJE]],0)</f>
        <v>0</v>
      </c>
      <c r="Q387" s="37">
        <f t="shared" si="6"/>
        <v>0</v>
      </c>
      <c r="R387" s="37"/>
    </row>
    <row r="388" spans="1:18" x14ac:dyDescent="0.25">
      <c r="A388" s="37" t="s">
        <v>107</v>
      </c>
      <c r="B388" s="37" t="s">
        <v>8</v>
      </c>
      <c r="C388" t="s">
        <v>15</v>
      </c>
      <c r="D388" s="37" t="s">
        <v>217</v>
      </c>
      <c r="E388" s="37">
        <v>12662</v>
      </c>
      <c r="F388" s="37" t="s">
        <v>220</v>
      </c>
      <c r="G388" s="37" t="s">
        <v>146</v>
      </c>
      <c r="H388" s="37" t="s">
        <v>106</v>
      </c>
      <c r="I388" s="38"/>
      <c r="J388" s="37">
        <v>27484800</v>
      </c>
      <c r="K388" s="37" t="s">
        <v>187</v>
      </c>
      <c r="L388" s="37" t="str">
        <f>_xlfn.XLOOKUP(Tabla2__2[[#This Row],[CODIGO RUTA]],'DATA INFORME'!I:I,'DATA INFORME'!K:K)</f>
        <v xml:space="preserve"> NO</v>
      </c>
      <c r="M388" s="37" t="str">
        <f>IF(Tabla2__2[[#This Row],[MYSTERY EFECTIVO]]="SI",_xlfn.XLOOKUP(Tabla2__2[[#This Row],[PREGUNTA]],ENCUESTA!G:G,ENCUESTA!D:D),"N/A")</f>
        <v>N/A</v>
      </c>
      <c r="N3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8" s="37" t="str">
        <f>_xlfn.XLOOKUP(Tabla2__2[[#This Row],[PREGUNTA]],ENCUESTA!G:G,ENCUESTA!H:H)</f>
        <v>SI</v>
      </c>
      <c r="P388" s="37">
        <f>IF(Tabla2__2[[#This Row],[RTA]]=Tabla2__2[[#This Row],[RTA CORRECTA]],Tabla2__2[[#This Row],[TOTAL PUNTAJE]],0)</f>
        <v>0</v>
      </c>
      <c r="Q388" s="37">
        <f t="shared" si="6"/>
        <v>0</v>
      </c>
      <c r="R388" s="37"/>
    </row>
    <row r="389" spans="1:18" x14ac:dyDescent="0.25">
      <c r="A389" s="37" t="s">
        <v>107</v>
      </c>
      <c r="B389" s="37" t="s">
        <v>8</v>
      </c>
      <c r="C389" t="s">
        <v>15</v>
      </c>
      <c r="D389" s="37" t="s">
        <v>217</v>
      </c>
      <c r="E389" s="37">
        <v>12662</v>
      </c>
      <c r="F389" s="37" t="s">
        <v>220</v>
      </c>
      <c r="G389" s="37" t="s">
        <v>145</v>
      </c>
      <c r="H389" s="37" t="s">
        <v>106</v>
      </c>
      <c r="I389" s="38"/>
      <c r="J389" s="37">
        <v>27484800</v>
      </c>
      <c r="K389" s="37" t="s">
        <v>187</v>
      </c>
      <c r="L389" s="37" t="str">
        <f>_xlfn.XLOOKUP(Tabla2__2[[#This Row],[CODIGO RUTA]],'DATA INFORME'!I:I,'DATA INFORME'!K:K)</f>
        <v xml:space="preserve"> NO</v>
      </c>
      <c r="M389" s="37" t="str">
        <f>IF(Tabla2__2[[#This Row],[MYSTERY EFECTIVO]]="SI",_xlfn.XLOOKUP(Tabla2__2[[#This Row],[PREGUNTA]],ENCUESTA!G:G,ENCUESTA!D:D),"N/A")</f>
        <v>N/A</v>
      </c>
      <c r="N3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9" s="37" t="str">
        <f>_xlfn.XLOOKUP(Tabla2__2[[#This Row],[PREGUNTA]],ENCUESTA!G:G,ENCUESTA!H:H)</f>
        <v>SI</v>
      </c>
      <c r="P389" s="37">
        <f>IF(Tabla2__2[[#This Row],[RTA]]=Tabla2__2[[#This Row],[RTA CORRECTA]],Tabla2__2[[#This Row],[TOTAL PUNTAJE]],0)</f>
        <v>0</v>
      </c>
      <c r="Q389" s="37">
        <f t="shared" si="6"/>
        <v>0</v>
      </c>
      <c r="R389" s="37"/>
    </row>
    <row r="390" spans="1:18" x14ac:dyDescent="0.25">
      <c r="A390" s="37" t="s">
        <v>107</v>
      </c>
      <c r="B390" s="37" t="s">
        <v>8</v>
      </c>
      <c r="C390" t="s">
        <v>15</v>
      </c>
      <c r="D390" s="37" t="s">
        <v>217</v>
      </c>
      <c r="E390" s="37">
        <v>12662</v>
      </c>
      <c r="F390" s="37" t="s">
        <v>220</v>
      </c>
      <c r="G390" s="37" t="s">
        <v>144</v>
      </c>
      <c r="H390" s="37" t="s">
        <v>106</v>
      </c>
      <c r="I390" s="38"/>
      <c r="J390" s="37">
        <v>27484800</v>
      </c>
      <c r="K390" s="37" t="s">
        <v>187</v>
      </c>
      <c r="L390" s="37" t="str">
        <f>_xlfn.XLOOKUP(Tabla2__2[[#This Row],[CODIGO RUTA]],'DATA INFORME'!I:I,'DATA INFORME'!K:K)</f>
        <v xml:space="preserve"> NO</v>
      </c>
      <c r="M390" s="37" t="str">
        <f>IF(Tabla2__2[[#This Row],[MYSTERY EFECTIVO]]="SI",_xlfn.XLOOKUP(Tabla2__2[[#This Row],[PREGUNTA]],ENCUESTA!G:G,ENCUESTA!D:D),"N/A")</f>
        <v>N/A</v>
      </c>
      <c r="N3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0" s="37" t="str">
        <f>_xlfn.XLOOKUP(Tabla2__2[[#This Row],[PREGUNTA]],ENCUESTA!G:G,ENCUESTA!H:H)</f>
        <v>SI</v>
      </c>
      <c r="P390" s="37">
        <f>IF(Tabla2__2[[#This Row],[RTA]]=Tabla2__2[[#This Row],[RTA CORRECTA]],Tabla2__2[[#This Row],[TOTAL PUNTAJE]],0)</f>
        <v>0</v>
      </c>
      <c r="Q390" s="37">
        <f t="shared" si="6"/>
        <v>0</v>
      </c>
      <c r="R390" s="37"/>
    </row>
    <row r="391" spans="1:18" x14ac:dyDescent="0.25">
      <c r="A391" s="37" t="s">
        <v>107</v>
      </c>
      <c r="B391" s="37" t="s">
        <v>8</v>
      </c>
      <c r="C391" t="s">
        <v>15</v>
      </c>
      <c r="D391" s="37" t="s">
        <v>217</v>
      </c>
      <c r="E391" s="37">
        <v>12662</v>
      </c>
      <c r="F391" s="37" t="s">
        <v>220</v>
      </c>
      <c r="G391" s="37" t="s">
        <v>143</v>
      </c>
      <c r="H391" s="37" t="s">
        <v>106</v>
      </c>
      <c r="I391" s="38"/>
      <c r="J391" s="37">
        <v>27484800</v>
      </c>
      <c r="K391" s="37" t="s">
        <v>187</v>
      </c>
      <c r="L391" s="37" t="str">
        <f>_xlfn.XLOOKUP(Tabla2__2[[#This Row],[CODIGO RUTA]],'DATA INFORME'!I:I,'DATA INFORME'!K:K)</f>
        <v xml:space="preserve"> NO</v>
      </c>
      <c r="M391" s="37" t="str">
        <f>IF(Tabla2__2[[#This Row],[MYSTERY EFECTIVO]]="SI",_xlfn.XLOOKUP(Tabla2__2[[#This Row],[PREGUNTA]],ENCUESTA!G:G,ENCUESTA!D:D),"N/A")</f>
        <v>N/A</v>
      </c>
      <c r="N3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1" s="37" t="str">
        <f>_xlfn.XLOOKUP(Tabla2__2[[#This Row],[PREGUNTA]],ENCUESTA!G:G,ENCUESTA!H:H)</f>
        <v>SI</v>
      </c>
      <c r="P391" s="37">
        <f>IF(Tabla2__2[[#This Row],[RTA]]=Tabla2__2[[#This Row],[RTA CORRECTA]],Tabla2__2[[#This Row],[TOTAL PUNTAJE]],0)</f>
        <v>0</v>
      </c>
      <c r="Q391" s="37">
        <f t="shared" si="6"/>
        <v>0</v>
      </c>
      <c r="R391" s="37"/>
    </row>
    <row r="392" spans="1:18" x14ac:dyDescent="0.25">
      <c r="A392" s="37" t="s">
        <v>107</v>
      </c>
      <c r="B392" s="37" t="s">
        <v>8</v>
      </c>
      <c r="C392" t="s">
        <v>15</v>
      </c>
      <c r="D392" s="37" t="s">
        <v>217</v>
      </c>
      <c r="E392" s="37">
        <v>12662</v>
      </c>
      <c r="F392" s="37" t="s">
        <v>220</v>
      </c>
      <c r="G392" s="37" t="s">
        <v>142</v>
      </c>
      <c r="H392" s="37" t="s">
        <v>106</v>
      </c>
      <c r="I392" s="38"/>
      <c r="J392" s="37">
        <v>27484800</v>
      </c>
      <c r="K392" s="37" t="s">
        <v>187</v>
      </c>
      <c r="L392" s="37" t="str">
        <f>_xlfn.XLOOKUP(Tabla2__2[[#This Row],[CODIGO RUTA]],'DATA INFORME'!I:I,'DATA INFORME'!K:K)</f>
        <v xml:space="preserve"> NO</v>
      </c>
      <c r="M392" s="37" t="str">
        <f>IF(Tabla2__2[[#This Row],[MYSTERY EFECTIVO]]="SI",_xlfn.XLOOKUP(Tabla2__2[[#This Row],[PREGUNTA]],ENCUESTA!G:G,ENCUESTA!D:D),"N/A")</f>
        <v>N/A</v>
      </c>
      <c r="N3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2" s="37" t="str">
        <f>_xlfn.XLOOKUP(Tabla2__2[[#This Row],[PREGUNTA]],ENCUESTA!G:G,ENCUESTA!H:H)</f>
        <v>SI</v>
      </c>
      <c r="P392" s="37">
        <f>IF(Tabla2__2[[#This Row],[RTA]]=Tabla2__2[[#This Row],[RTA CORRECTA]],Tabla2__2[[#This Row],[TOTAL PUNTAJE]],0)</f>
        <v>0</v>
      </c>
      <c r="Q392" s="37">
        <f t="shared" si="6"/>
        <v>0</v>
      </c>
      <c r="R392" s="37"/>
    </row>
    <row r="393" spans="1:18" x14ac:dyDescent="0.25">
      <c r="A393" s="37" t="s">
        <v>107</v>
      </c>
      <c r="B393" s="37" t="s">
        <v>8</v>
      </c>
      <c r="C393" t="s">
        <v>15</v>
      </c>
      <c r="D393" s="37" t="s">
        <v>217</v>
      </c>
      <c r="E393" s="37">
        <v>12662</v>
      </c>
      <c r="F393" s="37" t="s">
        <v>220</v>
      </c>
      <c r="G393" s="37" t="s">
        <v>141</v>
      </c>
      <c r="H393" s="37" t="s">
        <v>106</v>
      </c>
      <c r="I393" s="38"/>
      <c r="J393" s="37">
        <v>27484800</v>
      </c>
      <c r="K393" s="37" t="s">
        <v>187</v>
      </c>
      <c r="L393" s="37" t="str">
        <f>_xlfn.XLOOKUP(Tabla2__2[[#This Row],[CODIGO RUTA]],'DATA INFORME'!I:I,'DATA INFORME'!K:K)</f>
        <v xml:space="preserve"> NO</v>
      </c>
      <c r="M393" s="37" t="str">
        <f>IF(Tabla2__2[[#This Row],[MYSTERY EFECTIVO]]="SI",_xlfn.XLOOKUP(Tabla2__2[[#This Row],[PREGUNTA]],ENCUESTA!G:G,ENCUESTA!D:D),"N/A")</f>
        <v>N/A</v>
      </c>
      <c r="N3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3" s="37" t="str">
        <f>_xlfn.XLOOKUP(Tabla2__2[[#This Row],[PREGUNTA]],ENCUESTA!G:G,ENCUESTA!H:H)</f>
        <v>SI</v>
      </c>
      <c r="P393" s="37">
        <f>IF(Tabla2__2[[#This Row],[RTA]]=Tabla2__2[[#This Row],[RTA CORRECTA]],Tabla2__2[[#This Row],[TOTAL PUNTAJE]],0)</f>
        <v>0</v>
      </c>
      <c r="Q393" s="37">
        <f t="shared" si="6"/>
        <v>0</v>
      </c>
      <c r="R393" s="37"/>
    </row>
    <row r="394" spans="1:18" x14ac:dyDescent="0.25">
      <c r="A394" s="37" t="s">
        <v>107</v>
      </c>
      <c r="B394" s="37" t="s">
        <v>8</v>
      </c>
      <c r="C394" t="s">
        <v>15</v>
      </c>
      <c r="D394" s="37" t="s">
        <v>217</v>
      </c>
      <c r="E394" s="37">
        <v>12662</v>
      </c>
      <c r="F394" s="37" t="s">
        <v>220</v>
      </c>
      <c r="G394" s="37" t="s">
        <v>140</v>
      </c>
      <c r="H394" s="37" t="s">
        <v>106</v>
      </c>
      <c r="I394" s="38"/>
      <c r="J394" s="37">
        <v>27484800</v>
      </c>
      <c r="K394" s="37" t="s">
        <v>187</v>
      </c>
      <c r="L394" s="37" t="str">
        <f>_xlfn.XLOOKUP(Tabla2__2[[#This Row],[CODIGO RUTA]],'DATA INFORME'!I:I,'DATA INFORME'!K:K)</f>
        <v xml:space="preserve"> NO</v>
      </c>
      <c r="M394" s="37" t="str">
        <f>IF(Tabla2__2[[#This Row],[MYSTERY EFECTIVO]]="SI",_xlfn.XLOOKUP(Tabla2__2[[#This Row],[PREGUNTA]],ENCUESTA!G:G,ENCUESTA!D:D),"N/A")</f>
        <v>N/A</v>
      </c>
      <c r="N3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4" s="37" t="str">
        <f>_xlfn.XLOOKUP(Tabla2__2[[#This Row],[PREGUNTA]],ENCUESTA!G:G,ENCUESTA!H:H)</f>
        <v>SI</v>
      </c>
      <c r="P394" s="37">
        <f>IF(Tabla2__2[[#This Row],[RTA]]=Tabla2__2[[#This Row],[RTA CORRECTA]],Tabla2__2[[#This Row],[TOTAL PUNTAJE]],0)</f>
        <v>0</v>
      </c>
      <c r="Q394" s="37">
        <f t="shared" si="6"/>
        <v>0</v>
      </c>
      <c r="R394" s="37"/>
    </row>
    <row r="395" spans="1:18" x14ac:dyDescent="0.25">
      <c r="A395" s="37" t="s">
        <v>107</v>
      </c>
      <c r="B395" s="37" t="s">
        <v>8</v>
      </c>
      <c r="C395" t="s">
        <v>15</v>
      </c>
      <c r="D395" s="37" t="s">
        <v>217</v>
      </c>
      <c r="E395" s="37">
        <v>12662</v>
      </c>
      <c r="F395" s="37" t="s">
        <v>220</v>
      </c>
      <c r="G395" s="37" t="s">
        <v>139</v>
      </c>
      <c r="H395" s="37" t="s">
        <v>15</v>
      </c>
      <c r="I395" s="38"/>
      <c r="J395" s="37">
        <v>27484800</v>
      </c>
      <c r="K395" s="37" t="s">
        <v>187</v>
      </c>
      <c r="L395" s="37" t="str">
        <f>_xlfn.XLOOKUP(Tabla2__2[[#This Row],[CODIGO RUTA]],'DATA INFORME'!I:I,'DATA INFORME'!K:K)</f>
        <v xml:space="preserve"> NO</v>
      </c>
      <c r="M395" s="37" t="str">
        <f>IF(Tabla2__2[[#This Row],[MYSTERY EFECTIVO]]="SI",_xlfn.XLOOKUP(Tabla2__2[[#This Row],[PREGUNTA]],ENCUESTA!G:G,ENCUESTA!D:D),"N/A")</f>
        <v>N/A</v>
      </c>
      <c r="N3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5" s="37" t="str">
        <f>_xlfn.XLOOKUP(Tabla2__2[[#This Row],[PREGUNTA]],ENCUESTA!G:G,ENCUESTA!H:H)</f>
        <v>MODERNO, ESPECIALIZADO</v>
      </c>
      <c r="P395" s="37">
        <f>IF(Tabla2__2[[#This Row],[RTA]]=Tabla2__2[[#This Row],[RTA CORRECTA]],Tabla2__2[[#This Row],[TOTAL PUNTAJE]],0)</f>
        <v>0</v>
      </c>
      <c r="Q395" s="37">
        <f t="shared" si="6"/>
        <v>0</v>
      </c>
      <c r="R395" s="37"/>
    </row>
    <row r="396" spans="1:18" x14ac:dyDescent="0.25">
      <c r="A396" s="37" t="s">
        <v>107</v>
      </c>
      <c r="B396" s="37" t="s">
        <v>8</v>
      </c>
      <c r="C396" t="s">
        <v>15</v>
      </c>
      <c r="D396" s="37" t="s">
        <v>217</v>
      </c>
      <c r="E396" s="37">
        <v>12662</v>
      </c>
      <c r="F396" s="37" t="s">
        <v>220</v>
      </c>
      <c r="G396" s="37" t="s">
        <v>138</v>
      </c>
      <c r="H396" s="37" t="s">
        <v>106</v>
      </c>
      <c r="I396" s="38"/>
      <c r="J396" s="37">
        <v>27484800</v>
      </c>
      <c r="K396" s="37" t="s">
        <v>187</v>
      </c>
      <c r="L396" s="37" t="str">
        <f>_xlfn.XLOOKUP(Tabla2__2[[#This Row],[CODIGO RUTA]],'DATA INFORME'!I:I,'DATA INFORME'!K:K)</f>
        <v xml:space="preserve"> NO</v>
      </c>
      <c r="M396" s="37" t="str">
        <f>IF(Tabla2__2[[#This Row],[MYSTERY EFECTIVO]]="SI",_xlfn.XLOOKUP(Tabla2__2[[#This Row],[PREGUNTA]],ENCUESTA!G:G,ENCUESTA!D:D),"N/A")</f>
        <v>N/A</v>
      </c>
      <c r="N3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6" s="37" t="str">
        <f>_xlfn.XLOOKUP(Tabla2__2[[#This Row],[PREGUNTA]],ENCUESTA!G:G,ENCUESTA!H:H)</f>
        <v>SI</v>
      </c>
      <c r="P396" s="37">
        <f>IF(Tabla2__2[[#This Row],[RTA]]=Tabla2__2[[#This Row],[RTA CORRECTA]],Tabla2__2[[#This Row],[TOTAL PUNTAJE]],0)</f>
        <v>0</v>
      </c>
      <c r="Q396" s="37">
        <f t="shared" si="6"/>
        <v>0</v>
      </c>
      <c r="R396" s="37"/>
    </row>
    <row r="397" spans="1:18" x14ac:dyDescent="0.25">
      <c r="A397" s="37" t="s">
        <v>107</v>
      </c>
      <c r="B397" s="37" t="s">
        <v>8</v>
      </c>
      <c r="C397" t="s">
        <v>15</v>
      </c>
      <c r="D397" s="37" t="s">
        <v>217</v>
      </c>
      <c r="E397" s="37">
        <v>12662</v>
      </c>
      <c r="F397" s="37" t="s">
        <v>220</v>
      </c>
      <c r="G397" s="37" t="s">
        <v>137</v>
      </c>
      <c r="H397" s="37" t="s">
        <v>106</v>
      </c>
      <c r="I397" s="38"/>
      <c r="J397" s="37">
        <v>27484800</v>
      </c>
      <c r="K397" s="37" t="s">
        <v>187</v>
      </c>
      <c r="L397" s="37" t="str">
        <f>_xlfn.XLOOKUP(Tabla2__2[[#This Row],[CODIGO RUTA]],'DATA INFORME'!I:I,'DATA INFORME'!K:K)</f>
        <v xml:space="preserve"> NO</v>
      </c>
      <c r="M397" s="37" t="str">
        <f>IF(Tabla2__2[[#This Row],[MYSTERY EFECTIVO]]="SI",_xlfn.XLOOKUP(Tabla2__2[[#This Row],[PREGUNTA]],ENCUESTA!G:G,ENCUESTA!D:D),"N/A")</f>
        <v>N/A</v>
      </c>
      <c r="N3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7" s="37" t="str">
        <f>_xlfn.XLOOKUP(Tabla2__2[[#This Row],[PREGUNTA]],ENCUESTA!G:G,ENCUESTA!H:H)</f>
        <v>SI</v>
      </c>
      <c r="P397" s="37">
        <f>IF(Tabla2__2[[#This Row],[RTA]]=Tabla2__2[[#This Row],[RTA CORRECTA]],Tabla2__2[[#This Row],[TOTAL PUNTAJE]],0)</f>
        <v>0</v>
      </c>
      <c r="Q397" s="37">
        <f t="shared" si="6"/>
        <v>0</v>
      </c>
      <c r="R397" s="37"/>
    </row>
    <row r="398" spans="1:18" x14ac:dyDescent="0.25">
      <c r="A398" s="37" t="s">
        <v>107</v>
      </c>
      <c r="B398" s="37" t="s">
        <v>8</v>
      </c>
      <c r="C398" t="s">
        <v>15</v>
      </c>
      <c r="D398" s="37" t="s">
        <v>217</v>
      </c>
      <c r="E398" s="37">
        <v>12662</v>
      </c>
      <c r="F398" s="37" t="s">
        <v>220</v>
      </c>
      <c r="G398" s="37" t="s">
        <v>136</v>
      </c>
      <c r="H398" s="37" t="s">
        <v>106</v>
      </c>
      <c r="I398" s="38"/>
      <c r="J398" s="37">
        <v>27484800</v>
      </c>
      <c r="K398" s="37" t="s">
        <v>187</v>
      </c>
      <c r="L398" s="37" t="str">
        <f>_xlfn.XLOOKUP(Tabla2__2[[#This Row],[CODIGO RUTA]],'DATA INFORME'!I:I,'DATA INFORME'!K:K)</f>
        <v xml:space="preserve"> NO</v>
      </c>
      <c r="M398" s="37" t="str">
        <f>IF(Tabla2__2[[#This Row],[MYSTERY EFECTIVO]]="SI",_xlfn.XLOOKUP(Tabla2__2[[#This Row],[PREGUNTA]],ENCUESTA!G:G,ENCUESTA!D:D),"N/A")</f>
        <v>N/A</v>
      </c>
      <c r="N3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8" s="37" t="str">
        <f>_xlfn.XLOOKUP(Tabla2__2[[#This Row],[PREGUNTA]],ENCUESTA!G:G,ENCUESTA!H:H)</f>
        <v>SI</v>
      </c>
      <c r="P398" s="37">
        <f>IF(Tabla2__2[[#This Row],[RTA]]=Tabla2__2[[#This Row],[RTA CORRECTA]],Tabla2__2[[#This Row],[TOTAL PUNTAJE]],0)</f>
        <v>0</v>
      </c>
      <c r="Q398" s="37">
        <f t="shared" si="6"/>
        <v>0</v>
      </c>
      <c r="R398" s="37"/>
    </row>
    <row r="399" spans="1:18" x14ac:dyDescent="0.25">
      <c r="A399" s="37" t="s">
        <v>107</v>
      </c>
      <c r="B399" s="37" t="s">
        <v>8</v>
      </c>
      <c r="C399" t="s">
        <v>15</v>
      </c>
      <c r="D399" s="37" t="s">
        <v>217</v>
      </c>
      <c r="E399" s="37">
        <v>12662</v>
      </c>
      <c r="F399" s="37" t="s">
        <v>220</v>
      </c>
      <c r="G399" s="37" t="s">
        <v>104</v>
      </c>
      <c r="H399" s="37" t="s">
        <v>106</v>
      </c>
      <c r="I399" s="38"/>
      <c r="J399" s="37">
        <v>27484800</v>
      </c>
      <c r="K399" s="37" t="s">
        <v>187</v>
      </c>
      <c r="L399" s="37" t="str">
        <f>_xlfn.XLOOKUP(Tabla2__2[[#This Row],[CODIGO RUTA]],'DATA INFORME'!I:I,'DATA INFORME'!K:K)</f>
        <v xml:space="preserve"> NO</v>
      </c>
      <c r="M399" s="37" t="str">
        <f>IF(Tabla2__2[[#This Row],[MYSTERY EFECTIVO]]="SI",_xlfn.XLOOKUP(Tabla2__2[[#This Row],[PREGUNTA]],ENCUESTA!G:G,ENCUESTA!D:D),"N/A")</f>
        <v>N/A</v>
      </c>
      <c r="N3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9" s="37" t="str">
        <f>_xlfn.XLOOKUP(Tabla2__2[[#This Row],[PREGUNTA]],ENCUESTA!G:G,ENCUESTA!H:H)</f>
        <v>NO</v>
      </c>
      <c r="P399" s="37">
        <f>IF(Tabla2__2[[#This Row],[RTA]]=Tabla2__2[[#This Row],[RTA CORRECTA]],Tabla2__2[[#This Row],[TOTAL PUNTAJE]],0)</f>
        <v>0</v>
      </c>
      <c r="Q399" s="37">
        <f t="shared" si="6"/>
        <v>0</v>
      </c>
      <c r="R399" s="37"/>
    </row>
    <row r="400" spans="1:18" x14ac:dyDescent="0.25">
      <c r="A400" s="37" t="s">
        <v>107</v>
      </c>
      <c r="B400" s="37" t="s">
        <v>8</v>
      </c>
      <c r="C400" t="s">
        <v>15</v>
      </c>
      <c r="D400" s="37" t="s">
        <v>217</v>
      </c>
      <c r="E400" s="37">
        <v>12662</v>
      </c>
      <c r="F400" s="37" t="s">
        <v>220</v>
      </c>
      <c r="G400" s="37" t="s">
        <v>103</v>
      </c>
      <c r="H400" s="37" t="s">
        <v>106</v>
      </c>
      <c r="I400" s="38"/>
      <c r="J400" s="37">
        <v>27484800</v>
      </c>
      <c r="K400" s="37" t="s">
        <v>187</v>
      </c>
      <c r="L400" s="37" t="str">
        <f>_xlfn.XLOOKUP(Tabla2__2[[#This Row],[CODIGO RUTA]],'DATA INFORME'!I:I,'DATA INFORME'!K:K)</f>
        <v xml:space="preserve"> NO</v>
      </c>
      <c r="M400" s="37" t="str">
        <f>IF(Tabla2__2[[#This Row],[MYSTERY EFECTIVO]]="SI",_xlfn.XLOOKUP(Tabla2__2[[#This Row],[PREGUNTA]],ENCUESTA!G:G,ENCUESTA!D:D),"N/A")</f>
        <v>N/A</v>
      </c>
      <c r="N4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0" s="37" t="str">
        <f>_xlfn.XLOOKUP(Tabla2__2[[#This Row],[PREGUNTA]],ENCUESTA!G:G,ENCUESTA!H:H)</f>
        <v>NO</v>
      </c>
      <c r="P400" s="37">
        <f>IF(Tabla2__2[[#This Row],[RTA]]=Tabla2__2[[#This Row],[RTA CORRECTA]],Tabla2__2[[#This Row],[TOTAL PUNTAJE]],0)</f>
        <v>0</v>
      </c>
      <c r="Q400" s="37">
        <f t="shared" si="6"/>
        <v>0</v>
      </c>
      <c r="R400" s="37"/>
    </row>
    <row r="401" spans="1:18" x14ac:dyDescent="0.25">
      <c r="A401" s="37" t="s">
        <v>107</v>
      </c>
      <c r="B401" s="37" t="s">
        <v>8</v>
      </c>
      <c r="C401" t="s">
        <v>15</v>
      </c>
      <c r="D401" s="37" t="s">
        <v>217</v>
      </c>
      <c r="E401" s="37">
        <v>12662</v>
      </c>
      <c r="F401" s="37" t="s">
        <v>220</v>
      </c>
      <c r="G401" s="37" t="s">
        <v>152</v>
      </c>
      <c r="H401" s="37" t="s">
        <v>201</v>
      </c>
      <c r="I401" s="38"/>
      <c r="J401" s="37">
        <v>27484800</v>
      </c>
      <c r="K401" s="37" t="s">
        <v>187</v>
      </c>
      <c r="L401" s="37" t="str">
        <f>_xlfn.XLOOKUP(Tabla2__2[[#This Row],[CODIGO RUTA]],'DATA INFORME'!I:I,'DATA INFORME'!K:K)</f>
        <v xml:space="preserve"> NO</v>
      </c>
      <c r="M401" s="37" t="str">
        <f>IF(Tabla2__2[[#This Row],[MYSTERY EFECTIVO]]="SI",_xlfn.XLOOKUP(Tabla2__2[[#This Row],[PREGUNTA]],ENCUESTA!G:G,ENCUESTA!D:D),"N/A")</f>
        <v>N/A</v>
      </c>
      <c r="N4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1" s="37" t="str">
        <f>_xlfn.XLOOKUP(Tabla2__2[[#This Row],[PREGUNTA]],ENCUESTA!G:G,ENCUESTA!H:H)</f>
        <v>FALTA DE PRODUCTO, NO LE INTERESA EL PRODUCTO, NO TIENE DINERO, PREFIERE LA COMPETENCIA</v>
      </c>
      <c r="P401" s="37">
        <f>IF(Tabla2__2[[#This Row],[RTA]]=Tabla2__2[[#This Row],[RTA CORRECTA]],Tabla2__2[[#This Row],[TOTAL PUNTAJE]],0)</f>
        <v>0</v>
      </c>
      <c r="Q401" s="37">
        <f t="shared" si="6"/>
        <v>0</v>
      </c>
      <c r="R401" s="37"/>
    </row>
    <row r="402" spans="1:18" x14ac:dyDescent="0.25">
      <c r="A402" s="37" t="s">
        <v>107</v>
      </c>
      <c r="B402" s="37" t="s">
        <v>8</v>
      </c>
      <c r="C402" t="s">
        <v>15</v>
      </c>
      <c r="D402" s="37" t="s">
        <v>217</v>
      </c>
      <c r="E402" s="37">
        <v>12662</v>
      </c>
      <c r="F402" s="37" t="s">
        <v>220</v>
      </c>
      <c r="G402" s="37" t="s">
        <v>102</v>
      </c>
      <c r="H402" s="37" t="s">
        <v>106</v>
      </c>
      <c r="I402" s="38"/>
      <c r="J402" s="37">
        <v>27484800</v>
      </c>
      <c r="K402" s="37" t="s">
        <v>187</v>
      </c>
      <c r="L402" s="37" t="str">
        <f>_xlfn.XLOOKUP(Tabla2__2[[#This Row],[CODIGO RUTA]],'DATA INFORME'!I:I,'DATA INFORME'!K:K)</f>
        <v xml:space="preserve"> NO</v>
      </c>
      <c r="M402" s="37" t="str">
        <f>IF(Tabla2__2[[#This Row],[MYSTERY EFECTIVO]]="SI",_xlfn.XLOOKUP(Tabla2__2[[#This Row],[PREGUNTA]],ENCUESTA!G:G,ENCUESTA!D:D),"N/A")</f>
        <v>N/A</v>
      </c>
      <c r="N4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2" s="37" t="str">
        <f>_xlfn.XLOOKUP(Tabla2__2[[#This Row],[PREGUNTA]],ENCUESTA!G:G,ENCUESTA!H:H)</f>
        <v>NO</v>
      </c>
      <c r="P402" s="37">
        <f>IF(Tabla2__2[[#This Row],[RTA]]=Tabla2__2[[#This Row],[RTA CORRECTA]],Tabla2__2[[#This Row],[TOTAL PUNTAJE]],0)</f>
        <v>0</v>
      </c>
      <c r="Q402" s="37">
        <f t="shared" si="6"/>
        <v>0</v>
      </c>
      <c r="R402" s="37"/>
    </row>
    <row r="403" spans="1:18" x14ac:dyDescent="0.25">
      <c r="A403" s="37" t="s">
        <v>107</v>
      </c>
      <c r="B403" s="37" t="s">
        <v>8</v>
      </c>
      <c r="C403" t="s">
        <v>15</v>
      </c>
      <c r="D403" s="37" t="s">
        <v>217</v>
      </c>
      <c r="E403" s="37">
        <v>12662</v>
      </c>
      <c r="F403" s="37" t="s">
        <v>220</v>
      </c>
      <c r="G403" s="37" t="s">
        <v>100</v>
      </c>
      <c r="H403" s="37" t="s">
        <v>106</v>
      </c>
      <c r="I403" s="38"/>
      <c r="J403" s="37">
        <v>27484800</v>
      </c>
      <c r="K403" s="37" t="s">
        <v>187</v>
      </c>
      <c r="L403" s="37" t="str">
        <f>_xlfn.XLOOKUP(Tabla2__2[[#This Row],[CODIGO RUTA]],'DATA INFORME'!I:I,'DATA INFORME'!K:K)</f>
        <v xml:space="preserve"> NO</v>
      </c>
      <c r="M403" s="37" t="str">
        <f>IF(Tabla2__2[[#This Row],[MYSTERY EFECTIVO]]="SI",_xlfn.XLOOKUP(Tabla2__2[[#This Row],[PREGUNTA]],ENCUESTA!G:G,ENCUESTA!D:D),"N/A")</f>
        <v>N/A</v>
      </c>
      <c r="N4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3" s="37" t="str">
        <f>_xlfn.XLOOKUP(Tabla2__2[[#This Row],[PREGUNTA]],ENCUESTA!G:G,ENCUESTA!H:H)</f>
        <v>SI</v>
      </c>
      <c r="P403" s="37">
        <f>IF(Tabla2__2[[#This Row],[RTA]]=Tabla2__2[[#This Row],[RTA CORRECTA]],Tabla2__2[[#This Row],[TOTAL PUNTAJE]],0)</f>
        <v>0</v>
      </c>
      <c r="Q403" s="37">
        <f t="shared" si="6"/>
        <v>0</v>
      </c>
      <c r="R403" s="37"/>
    </row>
    <row r="404" spans="1:18" x14ac:dyDescent="0.25">
      <c r="A404" s="37" t="s">
        <v>107</v>
      </c>
      <c r="B404" s="37" t="s">
        <v>8</v>
      </c>
      <c r="C404" t="s">
        <v>15</v>
      </c>
      <c r="D404" s="37" t="s">
        <v>217</v>
      </c>
      <c r="E404" s="37">
        <v>12662</v>
      </c>
      <c r="F404" s="37" t="s">
        <v>220</v>
      </c>
      <c r="G404" s="37" t="s">
        <v>99</v>
      </c>
      <c r="H404" s="37" t="s">
        <v>106</v>
      </c>
      <c r="I404" s="38"/>
      <c r="J404" s="37">
        <v>27484800</v>
      </c>
      <c r="K404" s="37" t="s">
        <v>187</v>
      </c>
      <c r="L404" s="37" t="str">
        <f>_xlfn.XLOOKUP(Tabla2__2[[#This Row],[CODIGO RUTA]],'DATA INFORME'!I:I,'DATA INFORME'!K:K)</f>
        <v xml:space="preserve"> NO</v>
      </c>
      <c r="M404" s="37" t="str">
        <f>IF(Tabla2__2[[#This Row],[MYSTERY EFECTIVO]]="SI",_xlfn.XLOOKUP(Tabla2__2[[#This Row],[PREGUNTA]],ENCUESTA!G:G,ENCUESTA!D:D),"N/A")</f>
        <v>N/A</v>
      </c>
      <c r="N4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4" s="37" t="str">
        <f>_xlfn.XLOOKUP(Tabla2__2[[#This Row],[PREGUNTA]],ENCUESTA!G:G,ENCUESTA!H:H)</f>
        <v>SI</v>
      </c>
      <c r="P404" s="37">
        <f>IF(Tabla2__2[[#This Row],[RTA]]=Tabla2__2[[#This Row],[RTA CORRECTA]],Tabla2__2[[#This Row],[TOTAL PUNTAJE]],0)</f>
        <v>0</v>
      </c>
      <c r="Q404" s="37">
        <f t="shared" si="6"/>
        <v>0</v>
      </c>
      <c r="R404" s="37"/>
    </row>
    <row r="405" spans="1:18" x14ac:dyDescent="0.25">
      <c r="A405" s="37" t="s">
        <v>107</v>
      </c>
      <c r="B405" s="37" t="s">
        <v>8</v>
      </c>
      <c r="C405" t="s">
        <v>15</v>
      </c>
      <c r="D405" s="37" t="s">
        <v>217</v>
      </c>
      <c r="E405" s="37">
        <v>12662</v>
      </c>
      <c r="F405" s="37" t="s">
        <v>220</v>
      </c>
      <c r="G405" s="37" t="s">
        <v>135</v>
      </c>
      <c r="H405" s="37" t="s">
        <v>106</v>
      </c>
      <c r="I405" s="38"/>
      <c r="J405" s="37">
        <v>27484800</v>
      </c>
      <c r="K405" s="37" t="s">
        <v>187</v>
      </c>
      <c r="L405" s="37" t="str">
        <f>_xlfn.XLOOKUP(Tabla2__2[[#This Row],[CODIGO RUTA]],'DATA INFORME'!I:I,'DATA INFORME'!K:K)</f>
        <v xml:space="preserve"> NO</v>
      </c>
      <c r="M405" s="37" t="str">
        <f>IF(Tabla2__2[[#This Row],[MYSTERY EFECTIVO]]="SI",_xlfn.XLOOKUP(Tabla2__2[[#This Row],[PREGUNTA]],ENCUESTA!G:G,ENCUESTA!D:D),"N/A")</f>
        <v>N/A</v>
      </c>
      <c r="N4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5" s="37" t="str">
        <f>_xlfn.XLOOKUP(Tabla2__2[[#This Row],[PREGUNTA]],ENCUESTA!G:G,ENCUESTA!H:H)</f>
        <v>NO</v>
      </c>
      <c r="P405" s="37">
        <f>IF(Tabla2__2[[#This Row],[RTA]]=Tabla2__2[[#This Row],[RTA CORRECTA]],Tabla2__2[[#This Row],[TOTAL PUNTAJE]],0)</f>
        <v>0</v>
      </c>
      <c r="Q405" s="37">
        <f t="shared" si="6"/>
        <v>0</v>
      </c>
      <c r="R405" s="37"/>
    </row>
    <row r="406" spans="1:18" x14ac:dyDescent="0.25">
      <c r="A406" s="37" t="s">
        <v>107</v>
      </c>
      <c r="B406" s="37" t="s">
        <v>8</v>
      </c>
      <c r="C406" t="s">
        <v>15</v>
      </c>
      <c r="D406" s="37" t="s">
        <v>217</v>
      </c>
      <c r="E406" s="37">
        <v>12662</v>
      </c>
      <c r="F406" s="37" t="s">
        <v>220</v>
      </c>
      <c r="G406" s="37" t="s">
        <v>35</v>
      </c>
      <c r="H406" s="37" t="s">
        <v>106</v>
      </c>
      <c r="I406" s="38"/>
      <c r="J406" s="37">
        <v>27484800</v>
      </c>
      <c r="K406" s="37" t="s">
        <v>187</v>
      </c>
      <c r="L406" s="37" t="str">
        <f>_xlfn.XLOOKUP(Tabla2__2[[#This Row],[CODIGO RUTA]],'DATA INFORME'!I:I,'DATA INFORME'!K:K)</f>
        <v xml:space="preserve"> NO</v>
      </c>
      <c r="M406" s="37" t="str">
        <f>IF(Tabla2__2[[#This Row],[MYSTERY EFECTIVO]]="SI",_xlfn.XLOOKUP(Tabla2__2[[#This Row],[PREGUNTA]],ENCUESTA!G:G,ENCUESTA!D:D),"N/A")</f>
        <v>N/A</v>
      </c>
      <c r="N4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6" s="37" t="str">
        <f>_xlfn.XLOOKUP(Tabla2__2[[#This Row],[PREGUNTA]],ENCUESTA!G:G,ENCUESTA!H:H)</f>
        <v>SI</v>
      </c>
      <c r="P406" s="37">
        <f>IF(Tabla2__2[[#This Row],[RTA]]=Tabla2__2[[#This Row],[RTA CORRECTA]],Tabla2__2[[#This Row],[TOTAL PUNTAJE]],0)</f>
        <v>0</v>
      </c>
      <c r="Q406" s="37">
        <f t="shared" si="6"/>
        <v>0</v>
      </c>
      <c r="R406" s="37"/>
    </row>
    <row r="407" spans="1:18" x14ac:dyDescent="0.25">
      <c r="A407" s="37" t="s">
        <v>107</v>
      </c>
      <c r="B407" s="37" t="s">
        <v>8</v>
      </c>
      <c r="C407" t="s">
        <v>15</v>
      </c>
      <c r="D407" s="37" t="s">
        <v>217</v>
      </c>
      <c r="E407" s="37">
        <v>12662</v>
      </c>
      <c r="F407" s="37" t="s">
        <v>220</v>
      </c>
      <c r="G407" s="37" t="s">
        <v>134</v>
      </c>
      <c r="H407" s="37" t="s">
        <v>106</v>
      </c>
      <c r="I407" s="38"/>
      <c r="J407" s="37">
        <v>27484800</v>
      </c>
      <c r="K407" s="37" t="s">
        <v>187</v>
      </c>
      <c r="L407" s="37" t="str">
        <f>_xlfn.XLOOKUP(Tabla2__2[[#This Row],[CODIGO RUTA]],'DATA INFORME'!I:I,'DATA INFORME'!K:K)</f>
        <v xml:space="preserve"> NO</v>
      </c>
      <c r="M407" s="37" t="str">
        <f>IF(Tabla2__2[[#This Row],[MYSTERY EFECTIVO]]="SI",_xlfn.XLOOKUP(Tabla2__2[[#This Row],[PREGUNTA]],ENCUESTA!G:G,ENCUESTA!D:D),"N/A")</f>
        <v>N/A</v>
      </c>
      <c r="N4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7" s="37" t="str">
        <f>_xlfn.XLOOKUP(Tabla2__2[[#This Row],[PREGUNTA]],ENCUESTA!G:G,ENCUESTA!H:H)</f>
        <v>SI</v>
      </c>
      <c r="P407" s="37">
        <f>IF(Tabla2__2[[#This Row],[RTA]]=Tabla2__2[[#This Row],[RTA CORRECTA]],Tabla2__2[[#This Row],[TOTAL PUNTAJE]],0)</f>
        <v>0</v>
      </c>
      <c r="Q407" s="37">
        <f t="shared" si="6"/>
        <v>0</v>
      </c>
      <c r="R407" s="37"/>
    </row>
    <row r="408" spans="1:18" x14ac:dyDescent="0.25">
      <c r="A408" s="37" t="s">
        <v>107</v>
      </c>
      <c r="B408" s="37" t="s">
        <v>8</v>
      </c>
      <c r="C408" t="s">
        <v>15</v>
      </c>
      <c r="D408" s="37" t="s">
        <v>217</v>
      </c>
      <c r="E408" s="37">
        <v>12662</v>
      </c>
      <c r="F408" s="37" t="s">
        <v>220</v>
      </c>
      <c r="G408" s="37" t="s">
        <v>98</v>
      </c>
      <c r="H408" s="37" t="s">
        <v>106</v>
      </c>
      <c r="I408" s="38"/>
      <c r="J408" s="37">
        <v>27484800</v>
      </c>
      <c r="K408" s="37" t="s">
        <v>187</v>
      </c>
      <c r="L408" s="37" t="str">
        <f>_xlfn.XLOOKUP(Tabla2__2[[#This Row],[CODIGO RUTA]],'DATA INFORME'!I:I,'DATA INFORME'!K:K)</f>
        <v xml:space="preserve"> NO</v>
      </c>
      <c r="M408" s="37" t="str">
        <f>IF(Tabla2__2[[#This Row],[MYSTERY EFECTIVO]]="SI",_xlfn.XLOOKUP(Tabla2__2[[#This Row],[PREGUNTA]],ENCUESTA!G:G,ENCUESTA!D:D),"N/A")</f>
        <v>N/A</v>
      </c>
      <c r="N4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8" s="37" t="str">
        <f>_xlfn.XLOOKUP(Tabla2__2[[#This Row],[PREGUNTA]],ENCUESTA!G:G,ENCUESTA!H:H)</f>
        <v>SI</v>
      </c>
      <c r="P408" s="37">
        <f>IF(Tabla2__2[[#This Row],[RTA]]=Tabla2__2[[#This Row],[RTA CORRECTA]],Tabla2__2[[#This Row],[TOTAL PUNTAJE]],0)</f>
        <v>0</v>
      </c>
      <c r="Q408" s="37">
        <f t="shared" si="6"/>
        <v>0</v>
      </c>
      <c r="R408" s="37"/>
    </row>
    <row r="409" spans="1:18" x14ac:dyDescent="0.25">
      <c r="A409" s="37" t="s">
        <v>107</v>
      </c>
      <c r="B409" s="37" t="s">
        <v>8</v>
      </c>
      <c r="C409" t="s">
        <v>15</v>
      </c>
      <c r="D409" s="37" t="s">
        <v>217</v>
      </c>
      <c r="E409" s="37">
        <v>12662</v>
      </c>
      <c r="F409" s="37" t="s">
        <v>220</v>
      </c>
      <c r="G409" s="37" t="s">
        <v>97</v>
      </c>
      <c r="H409" s="37" t="s">
        <v>106</v>
      </c>
      <c r="I409" s="38"/>
      <c r="J409" s="37">
        <v>27484800</v>
      </c>
      <c r="K409" s="37" t="s">
        <v>187</v>
      </c>
      <c r="L409" s="37" t="str">
        <f>_xlfn.XLOOKUP(Tabla2__2[[#This Row],[CODIGO RUTA]],'DATA INFORME'!I:I,'DATA INFORME'!K:K)</f>
        <v xml:space="preserve"> NO</v>
      </c>
      <c r="M409" s="37" t="str">
        <f>IF(Tabla2__2[[#This Row],[MYSTERY EFECTIVO]]="SI",_xlfn.XLOOKUP(Tabla2__2[[#This Row],[PREGUNTA]],ENCUESTA!G:G,ENCUESTA!D:D),"N/A")</f>
        <v>N/A</v>
      </c>
      <c r="N4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9" s="37" t="str">
        <f>_xlfn.XLOOKUP(Tabla2__2[[#This Row],[PREGUNTA]],ENCUESTA!G:G,ENCUESTA!H:H)</f>
        <v>SI</v>
      </c>
      <c r="P409" s="37">
        <f>IF(Tabla2__2[[#This Row],[RTA]]=Tabla2__2[[#This Row],[RTA CORRECTA]],Tabla2__2[[#This Row],[TOTAL PUNTAJE]],0)</f>
        <v>0</v>
      </c>
      <c r="Q409" s="37">
        <f t="shared" si="6"/>
        <v>0</v>
      </c>
      <c r="R409" s="37"/>
    </row>
    <row r="410" spans="1:18" x14ac:dyDescent="0.25">
      <c r="A410" s="37" t="s">
        <v>107</v>
      </c>
      <c r="B410" s="37" t="s">
        <v>8</v>
      </c>
      <c r="C410" t="s">
        <v>15</v>
      </c>
      <c r="D410" s="37" t="s">
        <v>217</v>
      </c>
      <c r="E410" s="37">
        <v>12662</v>
      </c>
      <c r="F410" s="37" t="s">
        <v>220</v>
      </c>
      <c r="G410" s="37" t="s">
        <v>133</v>
      </c>
      <c r="H410" s="37" t="s">
        <v>106</v>
      </c>
      <c r="I410" s="38"/>
      <c r="J410" s="37">
        <v>27484800</v>
      </c>
      <c r="K410" s="37" t="s">
        <v>187</v>
      </c>
      <c r="L410" s="37" t="str">
        <f>_xlfn.XLOOKUP(Tabla2__2[[#This Row],[CODIGO RUTA]],'DATA INFORME'!I:I,'DATA INFORME'!K:K)</f>
        <v xml:space="preserve"> NO</v>
      </c>
      <c r="M410" s="37" t="str">
        <f>IF(Tabla2__2[[#This Row],[MYSTERY EFECTIVO]]="SI",_xlfn.XLOOKUP(Tabla2__2[[#This Row],[PREGUNTA]],ENCUESTA!G:G,ENCUESTA!D:D),"N/A")</f>
        <v>N/A</v>
      </c>
      <c r="N4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0" s="37">
        <f>_xlfn.XLOOKUP(Tabla2__2[[#This Row],[PREGUNTA]],ENCUESTA!G:G,ENCUESTA!H:H)</f>
        <v>0</v>
      </c>
      <c r="P410" s="37">
        <f>IF(Tabla2__2[[#This Row],[RTA]]=Tabla2__2[[#This Row],[RTA CORRECTA]],Tabla2__2[[#This Row],[TOTAL PUNTAJE]],0)</f>
        <v>0</v>
      </c>
      <c r="Q410" s="37">
        <f t="shared" si="6"/>
        <v>0</v>
      </c>
      <c r="R410" s="37"/>
    </row>
    <row r="411" spans="1:18" x14ac:dyDescent="0.25">
      <c r="A411" s="37" t="s">
        <v>107</v>
      </c>
      <c r="B411" s="37" t="s">
        <v>112</v>
      </c>
      <c r="C411" t="s">
        <v>14</v>
      </c>
      <c r="D411" s="37" t="s">
        <v>161</v>
      </c>
      <c r="E411" s="37">
        <v>356594</v>
      </c>
      <c r="F411" s="37" t="s">
        <v>213</v>
      </c>
      <c r="G411" s="37" t="s">
        <v>157</v>
      </c>
      <c r="H411" s="37" t="s">
        <v>106</v>
      </c>
      <c r="I411" s="38"/>
      <c r="J411" s="37">
        <v>27480859</v>
      </c>
      <c r="K411" s="37" t="s">
        <v>117</v>
      </c>
      <c r="L411" s="37" t="str">
        <f>_xlfn.XLOOKUP(Tabla2__2[[#This Row],[CODIGO RUTA]],'DATA INFORME'!I:I,'DATA INFORME'!K:K)</f>
        <v>SI</v>
      </c>
      <c r="M411" s="37" t="str">
        <f>IF(Tabla2__2[[#This Row],[MYSTERY EFECTIVO]]="SI",_xlfn.XLOOKUP(Tabla2__2[[#This Row],[PREGUNTA]],ENCUESTA!G:G,ENCUESTA!D:D),"N/A")</f>
        <v>N/A</v>
      </c>
      <c r="N4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1" s="37">
        <f>_xlfn.XLOOKUP(Tabla2__2[[#This Row],[PREGUNTA]],ENCUESTA!G:G,ENCUESTA!H:H)</f>
        <v>0</v>
      </c>
      <c r="P411" s="37">
        <f>IF(Tabla2__2[[#This Row],[RTA]]=Tabla2__2[[#This Row],[RTA CORRECTA]],Tabla2__2[[#This Row],[TOTAL PUNTAJE]],0)</f>
        <v>0</v>
      </c>
      <c r="Q411" s="37">
        <f t="shared" si="6"/>
        <v>0</v>
      </c>
      <c r="R411" s="37"/>
    </row>
    <row r="412" spans="1:18" x14ac:dyDescent="0.25">
      <c r="A412" s="37" t="s">
        <v>107</v>
      </c>
      <c r="B412" s="37" t="s">
        <v>112</v>
      </c>
      <c r="C412" t="s">
        <v>14</v>
      </c>
      <c r="D412" s="37" t="s">
        <v>161</v>
      </c>
      <c r="E412" s="37">
        <v>356594</v>
      </c>
      <c r="F412" s="37" t="s">
        <v>213</v>
      </c>
      <c r="G412" s="37" t="s">
        <v>156</v>
      </c>
      <c r="H412" s="37" t="s">
        <v>20</v>
      </c>
      <c r="I412" s="38"/>
      <c r="J412" s="37">
        <v>27480859</v>
      </c>
      <c r="K412" s="37" t="s">
        <v>117</v>
      </c>
      <c r="L412" s="37" t="str">
        <f>_xlfn.XLOOKUP(Tabla2__2[[#This Row],[CODIGO RUTA]],'DATA INFORME'!I:I,'DATA INFORME'!K:K)</f>
        <v>SI</v>
      </c>
      <c r="M412" s="37" t="str">
        <f>IF(Tabla2__2[[#This Row],[MYSTERY EFECTIVO]]="SI",_xlfn.XLOOKUP(Tabla2__2[[#This Row],[PREGUNTA]],ENCUESTA!G:G,ENCUESTA!D:D),"N/A")</f>
        <v>LABOR DE VENTA</v>
      </c>
      <c r="N4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12" s="37" t="str">
        <f>_xlfn.XLOOKUP(Tabla2__2[[#This Row],[PREGUNTA]],ENCUESTA!G:G,ENCUESTA!H:H)</f>
        <v>SI</v>
      </c>
      <c r="P412" s="37">
        <f>IF(Tabla2__2[[#This Row],[RTA]]=Tabla2__2[[#This Row],[RTA CORRECTA]],Tabla2__2[[#This Row],[TOTAL PUNTAJE]],0)</f>
        <v>7.5</v>
      </c>
      <c r="Q412" s="37">
        <f t="shared" si="6"/>
        <v>0</v>
      </c>
      <c r="R412" s="37"/>
    </row>
    <row r="413" spans="1:18" x14ac:dyDescent="0.25">
      <c r="A413" s="37" t="s">
        <v>107</v>
      </c>
      <c r="B413" s="37" t="s">
        <v>112</v>
      </c>
      <c r="C413" t="s">
        <v>14</v>
      </c>
      <c r="D413" s="37" t="s">
        <v>161</v>
      </c>
      <c r="E413" s="37">
        <v>356594</v>
      </c>
      <c r="F413" s="37" t="s">
        <v>213</v>
      </c>
      <c r="G413" s="37" t="s">
        <v>155</v>
      </c>
      <c r="H413" s="37" t="s">
        <v>20</v>
      </c>
      <c r="I413" s="38"/>
      <c r="J413" s="37">
        <v>27480859</v>
      </c>
      <c r="K413" s="37" t="s">
        <v>117</v>
      </c>
      <c r="L413" s="37" t="str">
        <f>_xlfn.XLOOKUP(Tabla2__2[[#This Row],[CODIGO RUTA]],'DATA INFORME'!I:I,'DATA INFORME'!K:K)</f>
        <v>SI</v>
      </c>
      <c r="M413" s="37" t="str">
        <f>IF(Tabla2__2[[#This Row],[MYSTERY EFECTIVO]]="SI",_xlfn.XLOOKUP(Tabla2__2[[#This Row],[PREGUNTA]],ENCUESTA!G:G,ENCUESTA!D:D),"N/A")</f>
        <v>LABOR DE VENTA</v>
      </c>
      <c r="N4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13" s="37" t="str">
        <f>_xlfn.XLOOKUP(Tabla2__2[[#This Row],[PREGUNTA]],ENCUESTA!G:G,ENCUESTA!H:H)</f>
        <v>SI</v>
      </c>
      <c r="P413" s="37">
        <f>IF(Tabla2__2[[#This Row],[RTA]]=Tabla2__2[[#This Row],[RTA CORRECTA]],Tabla2__2[[#This Row],[TOTAL PUNTAJE]],0)</f>
        <v>7.5</v>
      </c>
      <c r="Q413" s="37">
        <f t="shared" si="6"/>
        <v>0</v>
      </c>
      <c r="R413" s="37"/>
    </row>
    <row r="414" spans="1:18" x14ac:dyDescent="0.25">
      <c r="A414" s="37" t="s">
        <v>107</v>
      </c>
      <c r="B414" s="37" t="s">
        <v>112</v>
      </c>
      <c r="C414" t="s">
        <v>14</v>
      </c>
      <c r="D414" s="37" t="s">
        <v>161</v>
      </c>
      <c r="E414" s="37">
        <v>356594</v>
      </c>
      <c r="F414" s="37" t="s">
        <v>213</v>
      </c>
      <c r="G414" s="37" t="s">
        <v>154</v>
      </c>
      <c r="H414" s="37" t="s">
        <v>20</v>
      </c>
      <c r="I414" s="38"/>
      <c r="J414" s="37">
        <v>27480859</v>
      </c>
      <c r="K414" s="37" t="s">
        <v>117</v>
      </c>
      <c r="L414" s="37" t="str">
        <f>_xlfn.XLOOKUP(Tabla2__2[[#This Row],[CODIGO RUTA]],'DATA INFORME'!I:I,'DATA INFORME'!K:K)</f>
        <v>SI</v>
      </c>
      <c r="M414" s="37" t="str">
        <f>IF(Tabla2__2[[#This Row],[MYSTERY EFECTIVO]]="SI",_xlfn.XLOOKUP(Tabla2__2[[#This Row],[PREGUNTA]],ENCUESTA!G:G,ENCUESTA!D:D),"N/A")</f>
        <v>UNIFORME</v>
      </c>
      <c r="N4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14" s="37" t="str">
        <f>_xlfn.XLOOKUP(Tabla2__2[[#This Row],[PREGUNTA]],ENCUESTA!G:G,ENCUESTA!H:H)</f>
        <v>SI</v>
      </c>
      <c r="P414" s="37">
        <f>IF(Tabla2__2[[#This Row],[RTA]]=Tabla2__2[[#This Row],[RTA CORRECTA]],Tabla2__2[[#This Row],[TOTAL PUNTAJE]],0)</f>
        <v>1.3636363636363635</v>
      </c>
      <c r="Q414" s="37">
        <f t="shared" si="6"/>
        <v>0</v>
      </c>
      <c r="R414" s="37"/>
    </row>
    <row r="415" spans="1:18" x14ac:dyDescent="0.25">
      <c r="A415" s="37" t="s">
        <v>107</v>
      </c>
      <c r="B415" s="37" t="s">
        <v>112</v>
      </c>
      <c r="C415" t="s">
        <v>14</v>
      </c>
      <c r="D415" s="37" t="s">
        <v>161</v>
      </c>
      <c r="E415" s="37">
        <v>356594</v>
      </c>
      <c r="F415" s="37" t="s">
        <v>213</v>
      </c>
      <c r="G415" s="37" t="s">
        <v>153</v>
      </c>
      <c r="H415" s="37" t="s">
        <v>20</v>
      </c>
      <c r="I415" s="38"/>
      <c r="J415" s="37">
        <v>27480859</v>
      </c>
      <c r="K415" s="37" t="s">
        <v>117</v>
      </c>
      <c r="L415" s="37" t="str">
        <f>_xlfn.XLOOKUP(Tabla2__2[[#This Row],[CODIGO RUTA]],'DATA INFORME'!I:I,'DATA INFORME'!K:K)</f>
        <v>SI</v>
      </c>
      <c r="M415" s="37" t="str">
        <f>IF(Tabla2__2[[#This Row],[MYSTERY EFECTIVO]]="SI",_xlfn.XLOOKUP(Tabla2__2[[#This Row],[PREGUNTA]],ENCUESTA!G:G,ENCUESTA!D:D),"N/A")</f>
        <v>PORTAFOLIO Y MANEJO DE OBJECIONES</v>
      </c>
      <c r="N4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15" s="37" t="str">
        <f>_xlfn.XLOOKUP(Tabla2__2[[#This Row],[PREGUNTA]],ENCUESTA!G:G,ENCUESTA!H:H)</f>
        <v>SI</v>
      </c>
      <c r="P415" s="37">
        <f>IF(Tabla2__2[[#This Row],[RTA]]=Tabla2__2[[#This Row],[RTA CORRECTA]],Tabla2__2[[#This Row],[TOTAL PUNTAJE]],0)</f>
        <v>1.5384615384615385</v>
      </c>
      <c r="Q415" s="37">
        <f t="shared" si="6"/>
        <v>0</v>
      </c>
      <c r="R415" s="37"/>
    </row>
    <row r="416" spans="1:18" x14ac:dyDescent="0.25">
      <c r="A416" s="37" t="s">
        <v>107</v>
      </c>
      <c r="B416" s="37" t="s">
        <v>8</v>
      </c>
      <c r="C416" t="s">
        <v>15</v>
      </c>
      <c r="D416" s="37" t="s">
        <v>217</v>
      </c>
      <c r="E416" s="37">
        <v>12662</v>
      </c>
      <c r="F416" s="37" t="s">
        <v>220</v>
      </c>
      <c r="G416" s="37" t="s">
        <v>101</v>
      </c>
      <c r="H416" s="37" t="s">
        <v>106</v>
      </c>
      <c r="I416" s="38"/>
      <c r="J416" s="37">
        <v>27484800</v>
      </c>
      <c r="K416" s="37" t="s">
        <v>187</v>
      </c>
      <c r="L416" s="37" t="str">
        <f>_xlfn.XLOOKUP(Tabla2__2[[#This Row],[CODIGO RUTA]],'DATA INFORME'!I:I,'DATA INFORME'!K:K)</f>
        <v xml:space="preserve"> NO</v>
      </c>
      <c r="M416" s="37" t="str">
        <f>IF(Tabla2__2[[#This Row],[MYSTERY EFECTIVO]]="SI",_xlfn.XLOOKUP(Tabla2__2[[#This Row],[PREGUNTA]],ENCUESTA!G:G,ENCUESTA!D:D),"N/A")</f>
        <v>N/A</v>
      </c>
      <c r="N4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6" s="37" t="str">
        <f>_xlfn.XLOOKUP(Tabla2__2[[#This Row],[PREGUNTA]],ENCUESTA!G:G,ENCUESTA!H:H)</f>
        <v>NO</v>
      </c>
      <c r="P416" s="37">
        <f>IF(Tabla2__2[[#This Row],[RTA]]=Tabla2__2[[#This Row],[RTA CORRECTA]],Tabla2__2[[#This Row],[TOTAL PUNTAJE]],0)</f>
        <v>0</v>
      </c>
      <c r="Q416" s="37">
        <f t="shared" si="6"/>
        <v>0</v>
      </c>
      <c r="R416" s="37"/>
    </row>
    <row r="417" spans="1:18" x14ac:dyDescent="0.25">
      <c r="A417" s="37" t="s">
        <v>107</v>
      </c>
      <c r="B417" s="37" t="s">
        <v>112</v>
      </c>
      <c r="C417" t="s">
        <v>14</v>
      </c>
      <c r="D417" s="37" t="s">
        <v>161</v>
      </c>
      <c r="E417" s="37">
        <v>356594</v>
      </c>
      <c r="F417" s="37" t="s">
        <v>213</v>
      </c>
      <c r="G417" s="37" t="s">
        <v>152</v>
      </c>
      <c r="H417" s="37" t="s">
        <v>170</v>
      </c>
      <c r="I417" s="38"/>
      <c r="J417" s="37">
        <v>27480859</v>
      </c>
      <c r="K417" s="37" t="s">
        <v>117</v>
      </c>
      <c r="L417" s="37" t="str">
        <f>_xlfn.XLOOKUP(Tabla2__2[[#This Row],[CODIGO RUTA]],'DATA INFORME'!I:I,'DATA INFORME'!K:K)</f>
        <v>SI</v>
      </c>
      <c r="M417" s="37" t="str">
        <f>IF(Tabla2__2[[#This Row],[MYSTERY EFECTIVO]]="SI",_xlfn.XLOOKUP(Tabla2__2[[#This Row],[PREGUNTA]],ENCUESTA!G:G,ENCUESTA!D:D),"N/A")</f>
        <v>N/A</v>
      </c>
      <c r="N4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7" s="37" t="str">
        <f>_xlfn.XLOOKUP(Tabla2__2[[#This Row],[PREGUNTA]],ENCUESTA!G:G,ENCUESTA!H:H)</f>
        <v>FALTA DE PRODUCTO, NO LE INTERESA EL PRODUCTO, NO TIENE DINERO, PREFIERE LA COMPETENCIA</v>
      </c>
      <c r="P417" s="37">
        <f>IF(Tabla2__2[[#This Row],[RTA]]=Tabla2__2[[#This Row],[RTA CORRECTA]],Tabla2__2[[#This Row],[TOTAL PUNTAJE]],0)</f>
        <v>0</v>
      </c>
      <c r="Q417" s="37">
        <f t="shared" si="6"/>
        <v>0</v>
      </c>
      <c r="R417" s="37"/>
    </row>
    <row r="418" spans="1:18" x14ac:dyDescent="0.25">
      <c r="A418" s="37" t="s">
        <v>107</v>
      </c>
      <c r="B418" s="37" t="s">
        <v>8</v>
      </c>
      <c r="C418" t="s">
        <v>15</v>
      </c>
      <c r="D418" s="37" t="s">
        <v>217</v>
      </c>
      <c r="E418" s="37">
        <v>12662</v>
      </c>
      <c r="F418" s="37" t="s">
        <v>220</v>
      </c>
      <c r="G418" s="37" t="s">
        <v>153</v>
      </c>
      <c r="H418" s="37" t="s">
        <v>106</v>
      </c>
      <c r="I418" s="38"/>
      <c r="J418" s="37">
        <v>27484800</v>
      </c>
      <c r="K418" s="37" t="s">
        <v>187</v>
      </c>
      <c r="L418" s="37" t="str">
        <f>_xlfn.XLOOKUP(Tabla2__2[[#This Row],[CODIGO RUTA]],'DATA INFORME'!I:I,'DATA INFORME'!K:K)</f>
        <v xml:space="preserve"> NO</v>
      </c>
      <c r="M418" s="37" t="str">
        <f>IF(Tabla2__2[[#This Row],[MYSTERY EFECTIVO]]="SI",_xlfn.XLOOKUP(Tabla2__2[[#This Row],[PREGUNTA]],ENCUESTA!G:G,ENCUESTA!D:D),"N/A")</f>
        <v>N/A</v>
      </c>
      <c r="N4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8" s="37" t="str">
        <f>_xlfn.XLOOKUP(Tabla2__2[[#This Row],[PREGUNTA]],ENCUESTA!G:G,ENCUESTA!H:H)</f>
        <v>SI</v>
      </c>
      <c r="P418" s="37">
        <f>IF(Tabla2__2[[#This Row],[RTA]]=Tabla2__2[[#This Row],[RTA CORRECTA]],Tabla2__2[[#This Row],[TOTAL PUNTAJE]],0)</f>
        <v>0</v>
      </c>
      <c r="Q418" s="37">
        <f t="shared" si="6"/>
        <v>0</v>
      </c>
      <c r="R418" s="37"/>
    </row>
    <row r="419" spans="1:18" x14ac:dyDescent="0.25">
      <c r="A419" s="37" t="s">
        <v>107</v>
      </c>
      <c r="B419" s="37" t="s">
        <v>8</v>
      </c>
      <c r="C419" t="s">
        <v>15</v>
      </c>
      <c r="D419" s="37" t="s">
        <v>217</v>
      </c>
      <c r="E419" s="37">
        <v>12662</v>
      </c>
      <c r="F419" s="37" t="s">
        <v>220</v>
      </c>
      <c r="G419" s="37" t="s">
        <v>155</v>
      </c>
      <c r="H419" s="37" t="s">
        <v>106</v>
      </c>
      <c r="I419" s="38"/>
      <c r="J419" s="37">
        <v>27484800</v>
      </c>
      <c r="K419" s="37" t="s">
        <v>187</v>
      </c>
      <c r="L419" s="37" t="str">
        <f>_xlfn.XLOOKUP(Tabla2__2[[#This Row],[CODIGO RUTA]],'DATA INFORME'!I:I,'DATA INFORME'!K:K)</f>
        <v xml:space="preserve"> NO</v>
      </c>
      <c r="M419" s="37" t="str">
        <f>IF(Tabla2__2[[#This Row],[MYSTERY EFECTIVO]]="SI",_xlfn.XLOOKUP(Tabla2__2[[#This Row],[PREGUNTA]],ENCUESTA!G:G,ENCUESTA!D:D),"N/A")</f>
        <v>N/A</v>
      </c>
      <c r="N4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9" s="37" t="str">
        <f>_xlfn.XLOOKUP(Tabla2__2[[#This Row],[PREGUNTA]],ENCUESTA!G:G,ENCUESTA!H:H)</f>
        <v>SI</v>
      </c>
      <c r="P419" s="37">
        <f>IF(Tabla2__2[[#This Row],[RTA]]=Tabla2__2[[#This Row],[RTA CORRECTA]],Tabla2__2[[#This Row],[TOTAL PUNTAJE]],0)</f>
        <v>0</v>
      </c>
      <c r="Q419" s="37">
        <f t="shared" si="6"/>
        <v>0</v>
      </c>
      <c r="R419" s="37"/>
    </row>
    <row r="420" spans="1:18" x14ac:dyDescent="0.25">
      <c r="A420" s="37" t="s">
        <v>107</v>
      </c>
      <c r="B420" s="37" t="s">
        <v>8</v>
      </c>
      <c r="C420" t="s">
        <v>15</v>
      </c>
      <c r="D420" s="37" t="s">
        <v>79</v>
      </c>
      <c r="E420" s="37">
        <v>442719</v>
      </c>
      <c r="F420" s="37" t="s">
        <v>228</v>
      </c>
      <c r="G420" s="37" t="s">
        <v>153</v>
      </c>
      <c r="H420" s="37" t="s">
        <v>20</v>
      </c>
      <c r="I420" s="38"/>
      <c r="J420" s="37">
        <v>27486785</v>
      </c>
      <c r="K420" s="37" t="s">
        <v>187</v>
      </c>
      <c r="L420" s="37" t="str">
        <f>_xlfn.XLOOKUP(Tabla2__2[[#This Row],[CODIGO RUTA]],'DATA INFORME'!I:I,'DATA INFORME'!K:K)</f>
        <v>SI</v>
      </c>
      <c r="M420" s="37" t="str">
        <f>IF(Tabla2__2[[#This Row],[MYSTERY EFECTIVO]]="SI",_xlfn.XLOOKUP(Tabla2__2[[#This Row],[PREGUNTA]],ENCUESTA!G:G,ENCUESTA!D:D),"N/A")</f>
        <v>PORTAFOLIO Y MANEJO DE OBJECIONES</v>
      </c>
      <c r="N4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0" s="37" t="str">
        <f>_xlfn.XLOOKUP(Tabla2__2[[#This Row],[PREGUNTA]],ENCUESTA!G:G,ENCUESTA!H:H)</f>
        <v>SI</v>
      </c>
      <c r="P420" s="37">
        <f>IF(Tabla2__2[[#This Row],[RTA]]=Tabla2__2[[#This Row],[RTA CORRECTA]],Tabla2__2[[#This Row],[TOTAL PUNTAJE]],0)</f>
        <v>1.5384615384615385</v>
      </c>
      <c r="Q420" s="37">
        <f t="shared" si="6"/>
        <v>0</v>
      </c>
      <c r="R420" s="37"/>
    </row>
    <row r="421" spans="1:18" x14ac:dyDescent="0.25">
      <c r="A421" s="37" t="s">
        <v>107</v>
      </c>
      <c r="B421" s="37" t="s">
        <v>8</v>
      </c>
      <c r="C421" t="s">
        <v>15</v>
      </c>
      <c r="D421" s="37" t="s">
        <v>79</v>
      </c>
      <c r="E421" s="37">
        <v>442719</v>
      </c>
      <c r="F421" s="37" t="s">
        <v>228</v>
      </c>
      <c r="G421" s="37" t="s">
        <v>152</v>
      </c>
      <c r="H421" s="37" t="s">
        <v>170</v>
      </c>
      <c r="I421" s="38"/>
      <c r="J421" s="37">
        <v>27486785</v>
      </c>
      <c r="K421" s="37" t="s">
        <v>187</v>
      </c>
      <c r="L421" s="37" t="str">
        <f>_xlfn.XLOOKUP(Tabla2__2[[#This Row],[CODIGO RUTA]],'DATA INFORME'!I:I,'DATA INFORME'!K:K)</f>
        <v>SI</v>
      </c>
      <c r="M421" s="37" t="str">
        <f>IF(Tabla2__2[[#This Row],[MYSTERY EFECTIVO]]="SI",_xlfn.XLOOKUP(Tabla2__2[[#This Row],[PREGUNTA]],ENCUESTA!G:G,ENCUESTA!D:D),"N/A")</f>
        <v>N/A</v>
      </c>
      <c r="N4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1" s="37" t="str">
        <f>_xlfn.XLOOKUP(Tabla2__2[[#This Row],[PREGUNTA]],ENCUESTA!G:G,ENCUESTA!H:H)</f>
        <v>FALTA DE PRODUCTO, NO LE INTERESA EL PRODUCTO, NO TIENE DINERO, PREFIERE LA COMPETENCIA</v>
      </c>
      <c r="P421" s="37">
        <f>IF(Tabla2__2[[#This Row],[RTA]]=Tabla2__2[[#This Row],[RTA CORRECTA]],Tabla2__2[[#This Row],[TOTAL PUNTAJE]],0)</f>
        <v>0</v>
      </c>
      <c r="Q421" s="37">
        <f t="shared" si="6"/>
        <v>0</v>
      </c>
      <c r="R421" s="37"/>
    </row>
    <row r="422" spans="1:18" x14ac:dyDescent="0.25">
      <c r="A422" s="37" t="s">
        <v>107</v>
      </c>
      <c r="B422" s="37" t="s">
        <v>8</v>
      </c>
      <c r="C422" t="s">
        <v>15</v>
      </c>
      <c r="D422" s="37" t="s">
        <v>79</v>
      </c>
      <c r="E422" s="37">
        <v>442719</v>
      </c>
      <c r="F422" s="37" t="s">
        <v>228</v>
      </c>
      <c r="G422" s="37" t="s">
        <v>146</v>
      </c>
      <c r="H422" s="37" t="s">
        <v>106</v>
      </c>
      <c r="I422" s="38"/>
      <c r="J422" s="37">
        <v>27486785</v>
      </c>
      <c r="K422" s="37" t="s">
        <v>187</v>
      </c>
      <c r="L422" s="37" t="str">
        <f>_xlfn.XLOOKUP(Tabla2__2[[#This Row],[CODIGO RUTA]],'DATA INFORME'!I:I,'DATA INFORME'!K:K)</f>
        <v>SI</v>
      </c>
      <c r="M422" s="37" t="str">
        <f>IF(Tabla2__2[[#This Row],[MYSTERY EFECTIVO]]="SI",_xlfn.XLOOKUP(Tabla2__2[[#This Row],[PREGUNTA]],ENCUESTA!G:G,ENCUESTA!D:D),"N/A")</f>
        <v>ACTIVIDADES DEL MES</v>
      </c>
      <c r="N4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22" s="37" t="str">
        <f>_xlfn.XLOOKUP(Tabla2__2[[#This Row],[PREGUNTA]],ENCUESTA!G:G,ENCUESTA!H:H)</f>
        <v>SI</v>
      </c>
      <c r="P422" s="37">
        <f>IF(Tabla2__2[[#This Row],[RTA]]=Tabla2__2[[#This Row],[RTA CORRECTA]],Tabla2__2[[#This Row],[TOTAL PUNTAJE]],0)</f>
        <v>0</v>
      </c>
      <c r="Q422" s="37">
        <f t="shared" si="6"/>
        <v>0</v>
      </c>
      <c r="R422" s="37"/>
    </row>
    <row r="423" spans="1:18" x14ac:dyDescent="0.25">
      <c r="A423" s="37" t="s">
        <v>107</v>
      </c>
      <c r="B423" s="37" t="s">
        <v>8</v>
      </c>
      <c r="C423" t="s">
        <v>15</v>
      </c>
      <c r="D423" s="37" t="s">
        <v>79</v>
      </c>
      <c r="E423" s="37">
        <v>442719</v>
      </c>
      <c r="F423" s="37" t="s">
        <v>228</v>
      </c>
      <c r="G423" s="37" t="s">
        <v>145</v>
      </c>
      <c r="H423" s="37" t="s">
        <v>20</v>
      </c>
      <c r="I423" s="38"/>
      <c r="J423" s="37">
        <v>27486785</v>
      </c>
      <c r="K423" s="37" t="s">
        <v>187</v>
      </c>
      <c r="L423" s="37" t="str">
        <f>_xlfn.XLOOKUP(Tabla2__2[[#This Row],[CODIGO RUTA]],'DATA INFORME'!I:I,'DATA INFORME'!K:K)</f>
        <v>SI</v>
      </c>
      <c r="M423" s="37" t="str">
        <f>IF(Tabla2__2[[#This Row],[MYSTERY EFECTIVO]]="SI",_xlfn.XLOOKUP(Tabla2__2[[#This Row],[PREGUNTA]],ENCUESTA!G:G,ENCUESTA!D:D),"N/A")</f>
        <v>PORTAFOLIO Y MANEJO DE OBJECIONES</v>
      </c>
      <c r="N4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3" s="37" t="str">
        <f>_xlfn.XLOOKUP(Tabla2__2[[#This Row],[PREGUNTA]],ENCUESTA!G:G,ENCUESTA!H:H)</f>
        <v>SI</v>
      </c>
      <c r="P423" s="37">
        <f>IF(Tabla2__2[[#This Row],[RTA]]=Tabla2__2[[#This Row],[RTA CORRECTA]],Tabla2__2[[#This Row],[TOTAL PUNTAJE]],0)</f>
        <v>1.5384615384615385</v>
      </c>
      <c r="Q423" s="37">
        <f t="shared" si="6"/>
        <v>0</v>
      </c>
      <c r="R423" s="37"/>
    </row>
    <row r="424" spans="1:18" x14ac:dyDescent="0.25">
      <c r="A424" s="37" t="s">
        <v>107</v>
      </c>
      <c r="B424" s="37" t="s">
        <v>8</v>
      </c>
      <c r="C424" t="s">
        <v>15</v>
      </c>
      <c r="D424" s="37" t="s">
        <v>79</v>
      </c>
      <c r="E424" s="37">
        <v>442719</v>
      </c>
      <c r="F424" s="37" t="s">
        <v>228</v>
      </c>
      <c r="G424" s="37" t="s">
        <v>144</v>
      </c>
      <c r="H424" s="37" t="s">
        <v>20</v>
      </c>
      <c r="I424" s="38"/>
      <c r="J424" s="37">
        <v>27486785</v>
      </c>
      <c r="K424" s="37" t="s">
        <v>187</v>
      </c>
      <c r="L424" s="37" t="str">
        <f>_xlfn.XLOOKUP(Tabla2__2[[#This Row],[CODIGO RUTA]],'DATA INFORME'!I:I,'DATA INFORME'!K:K)</f>
        <v>SI</v>
      </c>
      <c r="M424" s="37" t="str">
        <f>IF(Tabla2__2[[#This Row],[MYSTERY EFECTIVO]]="SI",_xlfn.XLOOKUP(Tabla2__2[[#This Row],[PREGUNTA]],ENCUESTA!G:G,ENCUESTA!D:D),"N/A")</f>
        <v>PORTAFOLIO Y MANEJO DE OBJECIONES</v>
      </c>
      <c r="N4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4" s="37" t="str">
        <f>_xlfn.XLOOKUP(Tabla2__2[[#This Row],[PREGUNTA]],ENCUESTA!G:G,ENCUESTA!H:H)</f>
        <v>SI</v>
      </c>
      <c r="P424" s="37">
        <f>IF(Tabla2__2[[#This Row],[RTA]]=Tabla2__2[[#This Row],[RTA CORRECTA]],Tabla2__2[[#This Row],[TOTAL PUNTAJE]],0)</f>
        <v>1.5384615384615385</v>
      </c>
      <c r="Q424" s="37">
        <f t="shared" si="6"/>
        <v>0</v>
      </c>
      <c r="R424" s="37"/>
    </row>
    <row r="425" spans="1:18" x14ac:dyDescent="0.25">
      <c r="A425" s="37" t="s">
        <v>107</v>
      </c>
      <c r="B425" s="37" t="s">
        <v>8</v>
      </c>
      <c r="C425" t="s">
        <v>15</v>
      </c>
      <c r="D425" s="37" t="s">
        <v>79</v>
      </c>
      <c r="E425" s="37">
        <v>442719</v>
      </c>
      <c r="F425" s="37" t="s">
        <v>228</v>
      </c>
      <c r="G425" s="37" t="s">
        <v>143</v>
      </c>
      <c r="H425" s="37" t="s">
        <v>20</v>
      </c>
      <c r="I425" s="38"/>
      <c r="J425" s="37">
        <v>27486785</v>
      </c>
      <c r="K425" s="37" t="s">
        <v>187</v>
      </c>
      <c r="L425" s="37" t="str">
        <f>_xlfn.XLOOKUP(Tabla2__2[[#This Row],[CODIGO RUTA]],'DATA INFORME'!I:I,'DATA INFORME'!K:K)</f>
        <v>SI</v>
      </c>
      <c r="M425" s="37" t="str">
        <f>IF(Tabla2__2[[#This Row],[MYSTERY EFECTIVO]]="SI",_xlfn.XLOOKUP(Tabla2__2[[#This Row],[PREGUNTA]],ENCUESTA!G:G,ENCUESTA!D:D),"N/A")</f>
        <v>PORTAFOLIO Y MANEJO DE OBJECIONES</v>
      </c>
      <c r="N4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5" s="37" t="str">
        <f>_xlfn.XLOOKUP(Tabla2__2[[#This Row],[PREGUNTA]],ENCUESTA!G:G,ENCUESTA!H:H)</f>
        <v>SI</v>
      </c>
      <c r="P425" s="37">
        <f>IF(Tabla2__2[[#This Row],[RTA]]=Tabla2__2[[#This Row],[RTA CORRECTA]],Tabla2__2[[#This Row],[TOTAL PUNTAJE]],0)</f>
        <v>1.5384615384615385</v>
      </c>
      <c r="Q425" s="37">
        <f t="shared" si="6"/>
        <v>0</v>
      </c>
      <c r="R425" s="37"/>
    </row>
    <row r="426" spans="1:18" x14ac:dyDescent="0.25">
      <c r="A426" s="37" t="s">
        <v>107</v>
      </c>
      <c r="B426" s="37" t="s">
        <v>8</v>
      </c>
      <c r="C426" t="s">
        <v>15</v>
      </c>
      <c r="D426" s="37" t="s">
        <v>79</v>
      </c>
      <c r="E426" s="37">
        <v>442719</v>
      </c>
      <c r="F426" s="37" t="s">
        <v>228</v>
      </c>
      <c r="G426" s="37" t="s">
        <v>142</v>
      </c>
      <c r="H426" s="37" t="s">
        <v>20</v>
      </c>
      <c r="I426" s="38"/>
      <c r="J426" s="37">
        <v>27486785</v>
      </c>
      <c r="K426" s="37" t="s">
        <v>187</v>
      </c>
      <c r="L426" s="37" t="str">
        <f>_xlfn.XLOOKUP(Tabla2__2[[#This Row],[CODIGO RUTA]],'DATA INFORME'!I:I,'DATA INFORME'!K:K)</f>
        <v>SI</v>
      </c>
      <c r="M426" s="37" t="str">
        <f>IF(Tabla2__2[[#This Row],[MYSTERY EFECTIVO]]="SI",_xlfn.XLOOKUP(Tabla2__2[[#This Row],[PREGUNTA]],ENCUESTA!G:G,ENCUESTA!D:D),"N/A")</f>
        <v>PORTAFOLIO Y MANEJO DE OBJECIONES</v>
      </c>
      <c r="N4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6" s="37" t="str">
        <f>_xlfn.XLOOKUP(Tabla2__2[[#This Row],[PREGUNTA]],ENCUESTA!G:G,ENCUESTA!H:H)</f>
        <v>SI</v>
      </c>
      <c r="P426" s="37">
        <f>IF(Tabla2__2[[#This Row],[RTA]]=Tabla2__2[[#This Row],[RTA CORRECTA]],Tabla2__2[[#This Row],[TOTAL PUNTAJE]],0)</f>
        <v>1.5384615384615385</v>
      </c>
      <c r="Q426" s="37">
        <f t="shared" si="6"/>
        <v>0</v>
      </c>
      <c r="R426" s="37"/>
    </row>
    <row r="427" spans="1:18" x14ac:dyDescent="0.25">
      <c r="A427" s="37" t="s">
        <v>107</v>
      </c>
      <c r="B427" s="37" t="s">
        <v>8</v>
      </c>
      <c r="C427" t="s">
        <v>15</v>
      </c>
      <c r="D427" s="37" t="s">
        <v>79</v>
      </c>
      <c r="E427" s="37">
        <v>442719</v>
      </c>
      <c r="F427" s="37" t="s">
        <v>228</v>
      </c>
      <c r="G427" s="37" t="s">
        <v>141</v>
      </c>
      <c r="H427" s="37" t="s">
        <v>20</v>
      </c>
      <c r="I427" s="38"/>
      <c r="J427" s="37">
        <v>27486785</v>
      </c>
      <c r="K427" s="37" t="s">
        <v>187</v>
      </c>
      <c r="L427" s="37" t="str">
        <f>_xlfn.XLOOKUP(Tabla2__2[[#This Row],[CODIGO RUTA]],'DATA INFORME'!I:I,'DATA INFORME'!K:K)</f>
        <v>SI</v>
      </c>
      <c r="M427" s="37" t="str">
        <f>IF(Tabla2__2[[#This Row],[MYSTERY EFECTIVO]]="SI",_xlfn.XLOOKUP(Tabla2__2[[#This Row],[PREGUNTA]],ENCUESTA!G:G,ENCUESTA!D:D),"N/A")</f>
        <v>PORTAFOLIO Y MANEJO DE OBJECIONES</v>
      </c>
      <c r="N4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7" s="37" t="str">
        <f>_xlfn.XLOOKUP(Tabla2__2[[#This Row],[PREGUNTA]],ENCUESTA!G:G,ENCUESTA!H:H)</f>
        <v>SI</v>
      </c>
      <c r="P427" s="37">
        <f>IF(Tabla2__2[[#This Row],[RTA]]=Tabla2__2[[#This Row],[RTA CORRECTA]],Tabla2__2[[#This Row],[TOTAL PUNTAJE]],0)</f>
        <v>1.5384615384615385</v>
      </c>
      <c r="Q427" s="37">
        <f t="shared" si="6"/>
        <v>0</v>
      </c>
      <c r="R427" s="37"/>
    </row>
    <row r="428" spans="1:18" x14ac:dyDescent="0.25">
      <c r="A428" s="37" t="s">
        <v>107</v>
      </c>
      <c r="B428" s="37" t="s">
        <v>8</v>
      </c>
      <c r="C428" t="s">
        <v>15</v>
      </c>
      <c r="D428" s="37" t="s">
        <v>79</v>
      </c>
      <c r="E428" s="37">
        <v>442719</v>
      </c>
      <c r="F428" s="37" t="s">
        <v>228</v>
      </c>
      <c r="G428" s="37" t="s">
        <v>140</v>
      </c>
      <c r="H428" s="37" t="s">
        <v>20</v>
      </c>
      <c r="I428" s="38"/>
      <c r="J428" s="37">
        <v>27486785</v>
      </c>
      <c r="K428" s="37" t="s">
        <v>187</v>
      </c>
      <c r="L428" s="37" t="str">
        <f>_xlfn.XLOOKUP(Tabla2__2[[#This Row],[CODIGO RUTA]],'DATA INFORME'!I:I,'DATA INFORME'!K:K)</f>
        <v>SI</v>
      </c>
      <c r="M428" s="37" t="str">
        <f>IF(Tabla2__2[[#This Row],[MYSTERY EFECTIVO]]="SI",_xlfn.XLOOKUP(Tabla2__2[[#This Row],[PREGUNTA]],ENCUESTA!G:G,ENCUESTA!D:D),"N/A")</f>
        <v>PORTAFOLIO Y MANEJO DE OBJECIONES</v>
      </c>
      <c r="N4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28" s="37" t="str">
        <f>_xlfn.XLOOKUP(Tabla2__2[[#This Row],[PREGUNTA]],ENCUESTA!G:G,ENCUESTA!H:H)</f>
        <v>SI</v>
      </c>
      <c r="P428" s="37">
        <f>IF(Tabla2__2[[#This Row],[RTA]]=Tabla2__2[[#This Row],[RTA CORRECTA]],Tabla2__2[[#This Row],[TOTAL PUNTAJE]],0)</f>
        <v>1.5384615384615385</v>
      </c>
      <c r="Q428" s="37">
        <f t="shared" si="6"/>
        <v>0</v>
      </c>
      <c r="R428" s="37"/>
    </row>
    <row r="429" spans="1:18" x14ac:dyDescent="0.25">
      <c r="A429" s="37" t="s">
        <v>107</v>
      </c>
      <c r="B429" s="37" t="s">
        <v>8</v>
      </c>
      <c r="C429" t="s">
        <v>15</v>
      </c>
      <c r="D429" s="37" t="s">
        <v>79</v>
      </c>
      <c r="E429" s="37">
        <v>442719</v>
      </c>
      <c r="F429" s="37" t="s">
        <v>228</v>
      </c>
      <c r="G429" s="37" t="s">
        <v>139</v>
      </c>
      <c r="H429" s="37" t="s">
        <v>15</v>
      </c>
      <c r="I429" s="38"/>
      <c r="J429" s="37">
        <v>27486785</v>
      </c>
      <c r="K429" s="37" t="s">
        <v>187</v>
      </c>
      <c r="L429" s="37" t="str">
        <f>_xlfn.XLOOKUP(Tabla2__2[[#This Row],[CODIGO RUTA]],'DATA INFORME'!I:I,'DATA INFORME'!K:K)</f>
        <v>SI</v>
      </c>
      <c r="M429" s="37" t="str">
        <f>IF(Tabla2__2[[#This Row],[MYSTERY EFECTIVO]]="SI",_xlfn.XLOOKUP(Tabla2__2[[#This Row],[PREGUNTA]],ENCUESTA!G:G,ENCUESTA!D:D),"N/A")</f>
        <v>N/A</v>
      </c>
      <c r="N4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9" s="37" t="str">
        <f>_xlfn.XLOOKUP(Tabla2__2[[#This Row],[PREGUNTA]],ENCUESTA!G:G,ENCUESTA!H:H)</f>
        <v>MODERNO, ESPECIALIZADO</v>
      </c>
      <c r="P429" s="37">
        <f>IF(Tabla2__2[[#This Row],[RTA]]=Tabla2__2[[#This Row],[RTA CORRECTA]],Tabla2__2[[#This Row],[TOTAL PUNTAJE]],0)</f>
        <v>0</v>
      </c>
      <c r="Q429" s="37">
        <f t="shared" si="6"/>
        <v>0</v>
      </c>
      <c r="R429" s="37"/>
    </row>
    <row r="430" spans="1:18" x14ac:dyDescent="0.25">
      <c r="A430" s="37" t="s">
        <v>107</v>
      </c>
      <c r="B430" s="37" t="s">
        <v>8</v>
      </c>
      <c r="C430" t="s">
        <v>15</v>
      </c>
      <c r="D430" s="37" t="s">
        <v>79</v>
      </c>
      <c r="E430" s="37">
        <v>442719</v>
      </c>
      <c r="F430" s="37" t="s">
        <v>228</v>
      </c>
      <c r="G430" s="37" t="s">
        <v>138</v>
      </c>
      <c r="H430" s="37" t="s">
        <v>20</v>
      </c>
      <c r="I430" s="38"/>
      <c r="J430" s="37">
        <v>27486785</v>
      </c>
      <c r="K430" s="37" t="s">
        <v>187</v>
      </c>
      <c r="L430" s="37" t="str">
        <f>_xlfn.XLOOKUP(Tabla2__2[[#This Row],[CODIGO RUTA]],'DATA INFORME'!I:I,'DATA INFORME'!K:K)</f>
        <v>SI</v>
      </c>
      <c r="M430" s="37" t="str">
        <f>IF(Tabla2__2[[#This Row],[MYSTERY EFECTIVO]]="SI",_xlfn.XLOOKUP(Tabla2__2[[#This Row],[PREGUNTA]],ENCUESTA!G:G,ENCUESTA!D:D),"N/A")</f>
        <v>PORTAFOLIO Y MANEJO DE OBJECIONES</v>
      </c>
      <c r="N4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30" s="37" t="str">
        <f>_xlfn.XLOOKUP(Tabla2__2[[#This Row],[PREGUNTA]],ENCUESTA!G:G,ENCUESTA!H:H)</f>
        <v>SI</v>
      </c>
      <c r="P430" s="37">
        <f>IF(Tabla2__2[[#This Row],[RTA]]=Tabla2__2[[#This Row],[RTA CORRECTA]],Tabla2__2[[#This Row],[TOTAL PUNTAJE]],0)</f>
        <v>1.5384615384615385</v>
      </c>
      <c r="Q430" s="37">
        <f t="shared" si="6"/>
        <v>0</v>
      </c>
      <c r="R430" s="37"/>
    </row>
    <row r="431" spans="1:18" x14ac:dyDescent="0.25">
      <c r="A431" s="37" t="s">
        <v>107</v>
      </c>
      <c r="B431" s="37" t="s">
        <v>8</v>
      </c>
      <c r="C431" t="s">
        <v>15</v>
      </c>
      <c r="D431" s="37" t="s">
        <v>79</v>
      </c>
      <c r="E431" s="37">
        <v>442719</v>
      </c>
      <c r="F431" s="37" t="s">
        <v>228</v>
      </c>
      <c r="G431" s="37" t="s">
        <v>137</v>
      </c>
      <c r="H431" s="37" t="s">
        <v>20</v>
      </c>
      <c r="I431" s="38"/>
      <c r="J431" s="37">
        <v>27486785</v>
      </c>
      <c r="K431" s="37" t="s">
        <v>187</v>
      </c>
      <c r="L431" s="37" t="str">
        <f>_xlfn.XLOOKUP(Tabla2__2[[#This Row],[CODIGO RUTA]],'DATA INFORME'!I:I,'DATA INFORME'!K:K)</f>
        <v>SI</v>
      </c>
      <c r="M431" s="37" t="str">
        <f>IF(Tabla2__2[[#This Row],[MYSTERY EFECTIVO]]="SI",_xlfn.XLOOKUP(Tabla2__2[[#This Row],[PREGUNTA]],ENCUESTA!G:G,ENCUESTA!D:D),"N/A")</f>
        <v>PORTAFOLIO Y MANEJO DE OBJECIONES</v>
      </c>
      <c r="N4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31" s="37" t="str">
        <f>_xlfn.XLOOKUP(Tabla2__2[[#This Row],[PREGUNTA]],ENCUESTA!G:G,ENCUESTA!H:H)</f>
        <v>SI</v>
      </c>
      <c r="P431" s="37">
        <f>IF(Tabla2__2[[#This Row],[RTA]]=Tabla2__2[[#This Row],[RTA CORRECTA]],Tabla2__2[[#This Row],[TOTAL PUNTAJE]],0)</f>
        <v>1.5384615384615385</v>
      </c>
      <c r="Q431" s="37">
        <f t="shared" si="6"/>
        <v>0</v>
      </c>
      <c r="R431" s="37"/>
    </row>
    <row r="432" spans="1:18" x14ac:dyDescent="0.25">
      <c r="A432" s="37" t="s">
        <v>107</v>
      </c>
      <c r="B432" s="37" t="s">
        <v>8</v>
      </c>
      <c r="C432" t="s">
        <v>15</v>
      </c>
      <c r="D432" s="37" t="s">
        <v>79</v>
      </c>
      <c r="E432" s="37">
        <v>442719</v>
      </c>
      <c r="F432" s="37" t="s">
        <v>228</v>
      </c>
      <c r="G432" s="37" t="s">
        <v>136</v>
      </c>
      <c r="H432" s="37" t="s">
        <v>20</v>
      </c>
      <c r="I432" s="38"/>
      <c r="J432" s="37">
        <v>27486785</v>
      </c>
      <c r="K432" s="37" t="s">
        <v>187</v>
      </c>
      <c r="L432" s="37" t="str">
        <f>_xlfn.XLOOKUP(Tabla2__2[[#This Row],[CODIGO RUTA]],'DATA INFORME'!I:I,'DATA INFORME'!K:K)</f>
        <v>SI</v>
      </c>
      <c r="M432" s="37" t="str">
        <f>IF(Tabla2__2[[#This Row],[MYSTERY EFECTIVO]]="SI",_xlfn.XLOOKUP(Tabla2__2[[#This Row],[PREGUNTA]],ENCUESTA!G:G,ENCUESTA!D:D),"N/A")</f>
        <v>ABORDAJE</v>
      </c>
      <c r="N4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32" s="37" t="str">
        <f>_xlfn.XLOOKUP(Tabla2__2[[#This Row],[PREGUNTA]],ENCUESTA!G:G,ENCUESTA!H:H)</f>
        <v>SI</v>
      </c>
      <c r="P432" s="37">
        <f>IF(Tabla2__2[[#This Row],[RTA]]=Tabla2__2[[#This Row],[RTA CORRECTA]],Tabla2__2[[#This Row],[TOTAL PUNTAJE]],0)</f>
        <v>20</v>
      </c>
      <c r="Q432" s="37">
        <f t="shared" si="6"/>
        <v>0</v>
      </c>
      <c r="R432" s="37"/>
    </row>
    <row r="433" spans="1:18" x14ac:dyDescent="0.25">
      <c r="A433" s="37" t="s">
        <v>107</v>
      </c>
      <c r="B433" s="37" t="s">
        <v>8</v>
      </c>
      <c r="C433" t="s">
        <v>15</v>
      </c>
      <c r="D433" s="37" t="s">
        <v>217</v>
      </c>
      <c r="E433" s="37">
        <v>12662</v>
      </c>
      <c r="F433" s="37" t="s">
        <v>220</v>
      </c>
      <c r="G433" s="37" t="s">
        <v>154</v>
      </c>
      <c r="H433" s="37" t="s">
        <v>106</v>
      </c>
      <c r="I433" s="38"/>
      <c r="J433" s="37">
        <v>27484800</v>
      </c>
      <c r="K433" s="37" t="s">
        <v>187</v>
      </c>
      <c r="L433" s="37" t="str">
        <f>_xlfn.XLOOKUP(Tabla2__2[[#This Row],[CODIGO RUTA]],'DATA INFORME'!I:I,'DATA INFORME'!K:K)</f>
        <v xml:space="preserve"> NO</v>
      </c>
      <c r="M433" s="37" t="str">
        <f>IF(Tabla2__2[[#This Row],[MYSTERY EFECTIVO]]="SI",_xlfn.XLOOKUP(Tabla2__2[[#This Row],[PREGUNTA]],ENCUESTA!G:G,ENCUESTA!D:D),"N/A")</f>
        <v>N/A</v>
      </c>
      <c r="N4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33" s="37" t="str">
        <f>_xlfn.XLOOKUP(Tabla2__2[[#This Row],[PREGUNTA]],ENCUESTA!G:G,ENCUESTA!H:H)</f>
        <v>SI</v>
      </c>
      <c r="P433" s="37">
        <f>IF(Tabla2__2[[#This Row],[RTA]]=Tabla2__2[[#This Row],[RTA CORRECTA]],Tabla2__2[[#This Row],[TOTAL PUNTAJE]],0)</f>
        <v>0</v>
      </c>
      <c r="Q433" s="37">
        <f t="shared" si="6"/>
        <v>0</v>
      </c>
      <c r="R433" s="37"/>
    </row>
    <row r="434" spans="1:18" x14ac:dyDescent="0.25">
      <c r="A434" s="37" t="s">
        <v>107</v>
      </c>
      <c r="B434" s="37" t="s">
        <v>8</v>
      </c>
      <c r="C434" t="s">
        <v>15</v>
      </c>
      <c r="D434" s="37" t="s">
        <v>79</v>
      </c>
      <c r="E434" s="37">
        <v>442719</v>
      </c>
      <c r="F434" s="37" t="s">
        <v>228</v>
      </c>
      <c r="G434" s="37" t="s">
        <v>104</v>
      </c>
      <c r="H434" s="37" t="s">
        <v>106</v>
      </c>
      <c r="I434" s="38"/>
      <c r="J434" s="37">
        <v>27486785</v>
      </c>
      <c r="K434" s="37" t="s">
        <v>187</v>
      </c>
      <c r="L434" s="37" t="str">
        <f>_xlfn.XLOOKUP(Tabla2__2[[#This Row],[CODIGO RUTA]],'DATA INFORME'!I:I,'DATA INFORME'!K:K)</f>
        <v>SI</v>
      </c>
      <c r="M434" s="37" t="str">
        <f>IF(Tabla2__2[[#This Row],[MYSTERY EFECTIVO]]="SI",_xlfn.XLOOKUP(Tabla2__2[[#This Row],[PREGUNTA]],ENCUESTA!G:G,ENCUESTA!D:D),"N/A")</f>
        <v>UNIFORME</v>
      </c>
      <c r="N4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34" s="37" t="str">
        <f>_xlfn.XLOOKUP(Tabla2__2[[#This Row],[PREGUNTA]],ENCUESTA!G:G,ENCUESTA!H:H)</f>
        <v>NO</v>
      </c>
      <c r="P434" s="37">
        <f>IF(Tabla2__2[[#This Row],[RTA]]=Tabla2__2[[#This Row],[RTA CORRECTA]],Tabla2__2[[#This Row],[TOTAL PUNTAJE]],0)</f>
        <v>1.3636363636363635</v>
      </c>
      <c r="Q434" s="37">
        <f t="shared" si="6"/>
        <v>0</v>
      </c>
      <c r="R434" s="37"/>
    </row>
    <row r="435" spans="1:18" x14ac:dyDescent="0.25">
      <c r="A435" s="37" t="s">
        <v>107</v>
      </c>
      <c r="B435" s="37" t="s">
        <v>8</v>
      </c>
      <c r="C435" t="s">
        <v>15</v>
      </c>
      <c r="D435" s="37" t="s">
        <v>79</v>
      </c>
      <c r="E435" s="37">
        <v>442719</v>
      </c>
      <c r="F435" s="37" t="s">
        <v>228</v>
      </c>
      <c r="G435" s="37" t="s">
        <v>102</v>
      </c>
      <c r="H435" s="37" t="s">
        <v>106</v>
      </c>
      <c r="I435" s="38"/>
      <c r="J435" s="37">
        <v>27486785</v>
      </c>
      <c r="K435" s="37" t="s">
        <v>187</v>
      </c>
      <c r="L435" s="37" t="str">
        <f>_xlfn.XLOOKUP(Tabla2__2[[#This Row],[CODIGO RUTA]],'DATA INFORME'!I:I,'DATA INFORME'!K:K)</f>
        <v>SI</v>
      </c>
      <c r="M435" s="37" t="str">
        <f>IF(Tabla2__2[[#This Row],[MYSTERY EFECTIVO]]="SI",_xlfn.XLOOKUP(Tabla2__2[[#This Row],[PREGUNTA]],ENCUESTA!G:G,ENCUESTA!D:D),"N/A")</f>
        <v>UNIFORME</v>
      </c>
      <c r="N4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35" s="37" t="str">
        <f>_xlfn.XLOOKUP(Tabla2__2[[#This Row],[PREGUNTA]],ENCUESTA!G:G,ENCUESTA!H:H)</f>
        <v>NO</v>
      </c>
      <c r="P435" s="37">
        <f>IF(Tabla2__2[[#This Row],[RTA]]=Tabla2__2[[#This Row],[RTA CORRECTA]],Tabla2__2[[#This Row],[TOTAL PUNTAJE]],0)</f>
        <v>1.3636363636363635</v>
      </c>
      <c r="Q435" s="37">
        <f t="shared" si="6"/>
        <v>0</v>
      </c>
      <c r="R435" s="37"/>
    </row>
    <row r="436" spans="1:18" x14ac:dyDescent="0.25">
      <c r="A436" s="37" t="s">
        <v>107</v>
      </c>
      <c r="B436" s="37" t="s">
        <v>8</v>
      </c>
      <c r="C436" t="s">
        <v>15</v>
      </c>
      <c r="D436" s="37" t="s">
        <v>79</v>
      </c>
      <c r="E436" s="37">
        <v>442719</v>
      </c>
      <c r="F436" s="37" t="s">
        <v>228</v>
      </c>
      <c r="G436" s="37" t="s">
        <v>101</v>
      </c>
      <c r="H436" s="37" t="s">
        <v>106</v>
      </c>
      <c r="I436" s="38"/>
      <c r="J436" s="37">
        <v>27486785</v>
      </c>
      <c r="K436" s="37" t="s">
        <v>187</v>
      </c>
      <c r="L436" s="37" t="str">
        <f>_xlfn.XLOOKUP(Tabla2__2[[#This Row],[CODIGO RUTA]],'DATA INFORME'!I:I,'DATA INFORME'!K:K)</f>
        <v>SI</v>
      </c>
      <c r="M436" s="37" t="str">
        <f>IF(Tabla2__2[[#This Row],[MYSTERY EFECTIVO]]="SI",_xlfn.XLOOKUP(Tabla2__2[[#This Row],[PREGUNTA]],ENCUESTA!G:G,ENCUESTA!D:D),"N/A")</f>
        <v>UNIFORME</v>
      </c>
      <c r="N4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36" s="37" t="str">
        <f>_xlfn.XLOOKUP(Tabla2__2[[#This Row],[PREGUNTA]],ENCUESTA!G:G,ENCUESTA!H:H)</f>
        <v>NO</v>
      </c>
      <c r="P436" s="37">
        <f>IF(Tabla2__2[[#This Row],[RTA]]=Tabla2__2[[#This Row],[RTA CORRECTA]],Tabla2__2[[#This Row],[TOTAL PUNTAJE]],0)</f>
        <v>1.3636363636363635</v>
      </c>
      <c r="Q436" s="37">
        <f t="shared" si="6"/>
        <v>0</v>
      </c>
      <c r="R436" s="37"/>
    </row>
    <row r="437" spans="1:18" x14ac:dyDescent="0.25">
      <c r="A437" s="37" t="s">
        <v>107</v>
      </c>
      <c r="B437" s="37" t="s">
        <v>8</v>
      </c>
      <c r="C437" t="s">
        <v>15</v>
      </c>
      <c r="D437" s="37" t="s">
        <v>79</v>
      </c>
      <c r="E437" s="37">
        <v>442719</v>
      </c>
      <c r="F437" s="37" t="s">
        <v>228</v>
      </c>
      <c r="G437" s="37" t="s">
        <v>100</v>
      </c>
      <c r="H437" s="37" t="s">
        <v>20</v>
      </c>
      <c r="I437" s="38"/>
      <c r="J437" s="37">
        <v>27486785</v>
      </c>
      <c r="K437" s="37" t="s">
        <v>187</v>
      </c>
      <c r="L437" s="37" t="str">
        <f>_xlfn.XLOOKUP(Tabla2__2[[#This Row],[CODIGO RUTA]],'DATA INFORME'!I:I,'DATA INFORME'!K:K)</f>
        <v>SI</v>
      </c>
      <c r="M437" s="37" t="str">
        <f>IF(Tabla2__2[[#This Row],[MYSTERY EFECTIVO]]="SI",_xlfn.XLOOKUP(Tabla2__2[[#This Row],[PREGUNTA]],ENCUESTA!G:G,ENCUESTA!D:D),"N/A")</f>
        <v>UNIFORME</v>
      </c>
      <c r="N4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37" s="37" t="str">
        <f>_xlfn.XLOOKUP(Tabla2__2[[#This Row],[PREGUNTA]],ENCUESTA!G:G,ENCUESTA!H:H)</f>
        <v>SI</v>
      </c>
      <c r="P437" s="37">
        <f>IF(Tabla2__2[[#This Row],[RTA]]=Tabla2__2[[#This Row],[RTA CORRECTA]],Tabla2__2[[#This Row],[TOTAL PUNTAJE]],0)</f>
        <v>1.3636363636363635</v>
      </c>
      <c r="Q437" s="37">
        <f t="shared" si="6"/>
        <v>0</v>
      </c>
      <c r="R437" s="37"/>
    </row>
    <row r="438" spans="1:18" x14ac:dyDescent="0.25">
      <c r="A438" s="37" t="s">
        <v>107</v>
      </c>
      <c r="B438" s="37" t="s">
        <v>8</v>
      </c>
      <c r="C438" t="s">
        <v>15</v>
      </c>
      <c r="D438" s="37" t="s">
        <v>79</v>
      </c>
      <c r="E438" s="37">
        <v>442719</v>
      </c>
      <c r="F438" s="37" t="s">
        <v>228</v>
      </c>
      <c r="G438" s="37" t="s">
        <v>99</v>
      </c>
      <c r="H438" s="37" t="s">
        <v>20</v>
      </c>
      <c r="I438" s="38"/>
      <c r="J438" s="37">
        <v>27486785</v>
      </c>
      <c r="K438" s="37" t="s">
        <v>187</v>
      </c>
      <c r="L438" s="37" t="str">
        <f>_xlfn.XLOOKUP(Tabla2__2[[#This Row],[CODIGO RUTA]],'DATA INFORME'!I:I,'DATA INFORME'!K:K)</f>
        <v>SI</v>
      </c>
      <c r="M438" s="37" t="str">
        <f>IF(Tabla2__2[[#This Row],[MYSTERY EFECTIVO]]="SI",_xlfn.XLOOKUP(Tabla2__2[[#This Row],[PREGUNTA]],ENCUESTA!G:G,ENCUESTA!D:D),"N/A")</f>
        <v>UNIFORME</v>
      </c>
      <c r="N4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38" s="37" t="str">
        <f>_xlfn.XLOOKUP(Tabla2__2[[#This Row],[PREGUNTA]],ENCUESTA!G:G,ENCUESTA!H:H)</f>
        <v>SI</v>
      </c>
      <c r="P438" s="37">
        <f>IF(Tabla2__2[[#This Row],[RTA]]=Tabla2__2[[#This Row],[RTA CORRECTA]],Tabla2__2[[#This Row],[TOTAL PUNTAJE]],0)</f>
        <v>1.3636363636363635</v>
      </c>
      <c r="Q438" s="37">
        <f t="shared" si="6"/>
        <v>0</v>
      </c>
      <c r="R438" s="37"/>
    </row>
    <row r="439" spans="1:18" x14ac:dyDescent="0.25">
      <c r="A439" s="37" t="s">
        <v>107</v>
      </c>
      <c r="B439" s="37" t="s">
        <v>8</v>
      </c>
      <c r="C439" t="s">
        <v>15</v>
      </c>
      <c r="D439" s="37" t="s">
        <v>79</v>
      </c>
      <c r="E439" s="37">
        <v>442719</v>
      </c>
      <c r="F439" s="37" t="s">
        <v>228</v>
      </c>
      <c r="G439" s="37" t="s">
        <v>135</v>
      </c>
      <c r="H439" s="37" t="s">
        <v>106</v>
      </c>
      <c r="I439" s="38"/>
      <c r="J439" s="37">
        <v>27486785</v>
      </c>
      <c r="K439" s="37" t="s">
        <v>187</v>
      </c>
      <c r="L439" s="37" t="str">
        <f>_xlfn.XLOOKUP(Tabla2__2[[#This Row],[CODIGO RUTA]],'DATA INFORME'!I:I,'DATA INFORME'!K:K)</f>
        <v>SI</v>
      </c>
      <c r="M439" s="37" t="str">
        <f>IF(Tabla2__2[[#This Row],[MYSTERY EFECTIVO]]="SI",_xlfn.XLOOKUP(Tabla2__2[[#This Row],[PREGUNTA]],ENCUESTA!G:G,ENCUESTA!D:D),"N/A")</f>
        <v>UNIFORME</v>
      </c>
      <c r="N4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39" s="37" t="str">
        <f>_xlfn.XLOOKUP(Tabla2__2[[#This Row],[PREGUNTA]],ENCUESTA!G:G,ENCUESTA!H:H)</f>
        <v>NO</v>
      </c>
      <c r="P439" s="37">
        <f>IF(Tabla2__2[[#This Row],[RTA]]=Tabla2__2[[#This Row],[RTA CORRECTA]],Tabla2__2[[#This Row],[TOTAL PUNTAJE]],0)</f>
        <v>1.3636363636363635</v>
      </c>
      <c r="Q439" s="37">
        <f t="shared" si="6"/>
        <v>0</v>
      </c>
      <c r="R439" s="37"/>
    </row>
    <row r="440" spans="1:18" x14ac:dyDescent="0.25">
      <c r="A440" s="37" t="s">
        <v>107</v>
      </c>
      <c r="B440" s="37" t="s">
        <v>8</v>
      </c>
      <c r="C440" t="s">
        <v>15</v>
      </c>
      <c r="D440" s="37" t="s">
        <v>79</v>
      </c>
      <c r="E440" s="37">
        <v>442719</v>
      </c>
      <c r="F440" s="37" t="s">
        <v>228</v>
      </c>
      <c r="G440" s="37" t="s">
        <v>35</v>
      </c>
      <c r="H440" s="37" t="s">
        <v>20</v>
      </c>
      <c r="I440" s="38"/>
      <c r="J440" s="37">
        <v>27486785</v>
      </c>
      <c r="K440" s="37" t="s">
        <v>187</v>
      </c>
      <c r="L440" s="37" t="str">
        <f>_xlfn.XLOOKUP(Tabla2__2[[#This Row],[CODIGO RUTA]],'DATA INFORME'!I:I,'DATA INFORME'!K:K)</f>
        <v>SI</v>
      </c>
      <c r="M440" s="37" t="str">
        <f>IF(Tabla2__2[[#This Row],[MYSTERY EFECTIVO]]="SI",_xlfn.XLOOKUP(Tabla2__2[[#This Row],[PREGUNTA]],ENCUESTA!G:G,ENCUESTA!D:D),"N/A")</f>
        <v>UNIFORME</v>
      </c>
      <c r="N4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40" s="37" t="str">
        <f>_xlfn.XLOOKUP(Tabla2__2[[#This Row],[PREGUNTA]],ENCUESTA!G:G,ENCUESTA!H:H)</f>
        <v>SI</v>
      </c>
      <c r="P440" s="37">
        <f>IF(Tabla2__2[[#This Row],[RTA]]=Tabla2__2[[#This Row],[RTA CORRECTA]],Tabla2__2[[#This Row],[TOTAL PUNTAJE]],0)</f>
        <v>1.3636363636363635</v>
      </c>
      <c r="Q440" s="37">
        <f t="shared" si="6"/>
        <v>0</v>
      </c>
      <c r="R440" s="37"/>
    </row>
    <row r="441" spans="1:18" x14ac:dyDescent="0.25">
      <c r="A441" s="37" t="s">
        <v>107</v>
      </c>
      <c r="B441" s="37" t="s">
        <v>8</v>
      </c>
      <c r="C441" t="s">
        <v>15</v>
      </c>
      <c r="D441" s="37" t="s">
        <v>79</v>
      </c>
      <c r="E441" s="37">
        <v>442719</v>
      </c>
      <c r="F441" s="37" t="s">
        <v>228</v>
      </c>
      <c r="G441" s="37" t="s">
        <v>134</v>
      </c>
      <c r="H441" s="37" t="s">
        <v>20</v>
      </c>
      <c r="I441" s="38"/>
      <c r="J441" s="37">
        <v>27486785</v>
      </c>
      <c r="K441" s="37" t="s">
        <v>187</v>
      </c>
      <c r="L441" s="37" t="str">
        <f>_xlfn.XLOOKUP(Tabla2__2[[#This Row],[CODIGO RUTA]],'DATA INFORME'!I:I,'DATA INFORME'!K:K)</f>
        <v>SI</v>
      </c>
      <c r="M441" s="37" t="str">
        <f>IF(Tabla2__2[[#This Row],[MYSTERY EFECTIVO]]="SI",_xlfn.XLOOKUP(Tabla2__2[[#This Row],[PREGUNTA]],ENCUESTA!G:G,ENCUESTA!D:D),"N/A")</f>
        <v>UNIFORME</v>
      </c>
      <c r="N4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41" s="37" t="str">
        <f>_xlfn.XLOOKUP(Tabla2__2[[#This Row],[PREGUNTA]],ENCUESTA!G:G,ENCUESTA!H:H)</f>
        <v>SI</v>
      </c>
      <c r="P441" s="37">
        <f>IF(Tabla2__2[[#This Row],[RTA]]=Tabla2__2[[#This Row],[RTA CORRECTA]],Tabla2__2[[#This Row],[TOTAL PUNTAJE]],0)</f>
        <v>1.3636363636363635</v>
      </c>
      <c r="Q441" s="37">
        <f t="shared" si="6"/>
        <v>0</v>
      </c>
      <c r="R441" s="37"/>
    </row>
    <row r="442" spans="1:18" x14ac:dyDescent="0.25">
      <c r="A442" s="37" t="s">
        <v>107</v>
      </c>
      <c r="B442" s="37" t="s">
        <v>8</v>
      </c>
      <c r="C442" t="s">
        <v>15</v>
      </c>
      <c r="D442" s="37" t="s">
        <v>79</v>
      </c>
      <c r="E442" s="37">
        <v>442719</v>
      </c>
      <c r="F442" s="37" t="s">
        <v>228</v>
      </c>
      <c r="G442" s="37" t="s">
        <v>98</v>
      </c>
      <c r="H442" s="37" t="s">
        <v>20</v>
      </c>
      <c r="I442" s="38"/>
      <c r="J442" s="37">
        <v>27486785</v>
      </c>
      <c r="K442" s="37" t="s">
        <v>187</v>
      </c>
      <c r="L442" s="37" t="str">
        <f>_xlfn.XLOOKUP(Tabla2__2[[#This Row],[CODIGO RUTA]],'DATA INFORME'!I:I,'DATA INFORME'!K:K)</f>
        <v>SI</v>
      </c>
      <c r="M442" s="37" t="str">
        <f>IF(Tabla2__2[[#This Row],[MYSTERY EFECTIVO]]="SI",_xlfn.XLOOKUP(Tabla2__2[[#This Row],[PREGUNTA]],ENCUESTA!G:G,ENCUESTA!D:D),"N/A")</f>
        <v>UNIFORME</v>
      </c>
      <c r="N4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42" s="37" t="str">
        <f>_xlfn.XLOOKUP(Tabla2__2[[#This Row],[PREGUNTA]],ENCUESTA!G:G,ENCUESTA!H:H)</f>
        <v>SI</v>
      </c>
      <c r="P442" s="37">
        <f>IF(Tabla2__2[[#This Row],[RTA]]=Tabla2__2[[#This Row],[RTA CORRECTA]],Tabla2__2[[#This Row],[TOTAL PUNTAJE]],0)</f>
        <v>1.3636363636363635</v>
      </c>
      <c r="Q442" s="37">
        <f t="shared" si="6"/>
        <v>0</v>
      </c>
      <c r="R442" s="37"/>
    </row>
    <row r="443" spans="1:18" x14ac:dyDescent="0.25">
      <c r="A443" s="37" t="s">
        <v>107</v>
      </c>
      <c r="B443" s="37" t="s">
        <v>8</v>
      </c>
      <c r="C443" t="s">
        <v>15</v>
      </c>
      <c r="D443" s="37" t="s">
        <v>79</v>
      </c>
      <c r="E443" s="37">
        <v>442719</v>
      </c>
      <c r="F443" s="37" t="s">
        <v>228</v>
      </c>
      <c r="G443" s="37" t="s">
        <v>97</v>
      </c>
      <c r="H443" s="37" t="s">
        <v>20</v>
      </c>
      <c r="I443" s="38"/>
      <c r="J443" s="37">
        <v>27486785</v>
      </c>
      <c r="K443" s="37" t="s">
        <v>187</v>
      </c>
      <c r="L443" s="37" t="str">
        <f>_xlfn.XLOOKUP(Tabla2__2[[#This Row],[CODIGO RUTA]],'DATA INFORME'!I:I,'DATA INFORME'!K:K)</f>
        <v>SI</v>
      </c>
      <c r="M443" s="37" t="str">
        <f>IF(Tabla2__2[[#This Row],[MYSTERY EFECTIVO]]="SI",_xlfn.XLOOKUP(Tabla2__2[[#This Row],[PREGUNTA]],ENCUESTA!G:G,ENCUESTA!D:D),"N/A")</f>
        <v>HORARIO</v>
      </c>
      <c r="N4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43" s="37" t="str">
        <f>_xlfn.XLOOKUP(Tabla2__2[[#This Row],[PREGUNTA]],ENCUESTA!G:G,ENCUESTA!H:H)</f>
        <v>SI</v>
      </c>
      <c r="P443" s="37">
        <f>IF(Tabla2__2[[#This Row],[RTA]]=Tabla2__2[[#This Row],[RTA CORRECTA]],Tabla2__2[[#This Row],[TOTAL PUNTAJE]],0)</f>
        <v>20</v>
      </c>
      <c r="Q443" s="37">
        <f t="shared" si="6"/>
        <v>0</v>
      </c>
      <c r="R443" s="37"/>
    </row>
    <row r="444" spans="1:18" x14ac:dyDescent="0.25">
      <c r="A444" s="37" t="s">
        <v>107</v>
      </c>
      <c r="B444" s="37" t="s">
        <v>8</v>
      </c>
      <c r="C444" t="s">
        <v>15</v>
      </c>
      <c r="D444" s="37" t="s">
        <v>79</v>
      </c>
      <c r="E444" s="37">
        <v>442719</v>
      </c>
      <c r="F444" s="37" t="s">
        <v>228</v>
      </c>
      <c r="G444" s="37" t="s">
        <v>133</v>
      </c>
      <c r="H444" s="37" t="s">
        <v>20</v>
      </c>
      <c r="I444" s="38"/>
      <c r="J444" s="37">
        <v>27486785</v>
      </c>
      <c r="K444" s="37" t="s">
        <v>187</v>
      </c>
      <c r="L444" s="37" t="str">
        <f>_xlfn.XLOOKUP(Tabla2__2[[#This Row],[CODIGO RUTA]],'DATA INFORME'!I:I,'DATA INFORME'!K:K)</f>
        <v>SI</v>
      </c>
      <c r="M444" s="37" t="str">
        <f>IF(Tabla2__2[[#This Row],[MYSTERY EFECTIVO]]="SI",_xlfn.XLOOKUP(Tabla2__2[[#This Row],[PREGUNTA]],ENCUESTA!G:G,ENCUESTA!D:D),"N/A")</f>
        <v>N/A</v>
      </c>
      <c r="N4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4" s="37">
        <f>_xlfn.XLOOKUP(Tabla2__2[[#This Row],[PREGUNTA]],ENCUESTA!G:G,ENCUESTA!H:H)</f>
        <v>0</v>
      </c>
      <c r="P444" s="37">
        <f>IF(Tabla2__2[[#This Row],[RTA]]=Tabla2__2[[#This Row],[RTA CORRECTA]],Tabla2__2[[#This Row],[TOTAL PUNTAJE]],0)</f>
        <v>0</v>
      </c>
      <c r="Q444" s="37">
        <f t="shared" si="6"/>
        <v>0</v>
      </c>
      <c r="R444" s="37"/>
    </row>
    <row r="445" spans="1:18" x14ac:dyDescent="0.25">
      <c r="A445" s="37" t="s">
        <v>107</v>
      </c>
      <c r="B445" s="37" t="s">
        <v>8</v>
      </c>
      <c r="C445" t="s">
        <v>15</v>
      </c>
      <c r="D445" s="37" t="s">
        <v>217</v>
      </c>
      <c r="E445" s="37">
        <v>12662</v>
      </c>
      <c r="F445" s="37" t="s">
        <v>220</v>
      </c>
      <c r="G445" s="37" t="s">
        <v>158</v>
      </c>
      <c r="H445" s="37" t="s">
        <v>225</v>
      </c>
      <c r="I445" s="38"/>
      <c r="J445" s="37">
        <v>27484800</v>
      </c>
      <c r="K445" s="37" t="s">
        <v>187</v>
      </c>
      <c r="L445" s="37" t="str">
        <f>_xlfn.XLOOKUP(Tabla2__2[[#This Row],[CODIGO RUTA]],'DATA INFORME'!I:I,'DATA INFORME'!K:K)</f>
        <v xml:space="preserve"> NO</v>
      </c>
      <c r="M445" s="37" t="str">
        <f>IF(Tabla2__2[[#This Row],[MYSTERY EFECTIVO]]="SI",_xlfn.XLOOKUP(Tabla2__2[[#This Row],[PREGUNTA]],ENCUESTA!G:G,ENCUESTA!D:D),"N/A")</f>
        <v>N/A</v>
      </c>
      <c r="N4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5" s="37">
        <f>_xlfn.XLOOKUP(Tabla2__2[[#This Row],[PREGUNTA]],ENCUESTA!G:G,ENCUESTA!H:H)</f>
        <v>0</v>
      </c>
      <c r="P445" s="37">
        <f>IF(Tabla2__2[[#This Row],[RTA]]=Tabla2__2[[#This Row],[RTA CORRECTA]],Tabla2__2[[#This Row],[TOTAL PUNTAJE]],0)</f>
        <v>0</v>
      </c>
      <c r="Q445" s="37">
        <f t="shared" si="6"/>
        <v>0</v>
      </c>
      <c r="R445" s="37"/>
    </row>
    <row r="446" spans="1:18" x14ac:dyDescent="0.25">
      <c r="A446" s="37" t="s">
        <v>107</v>
      </c>
      <c r="B446" s="37" t="s">
        <v>8</v>
      </c>
      <c r="C446" t="s">
        <v>15</v>
      </c>
      <c r="D446" s="37" t="s">
        <v>217</v>
      </c>
      <c r="E446" s="37">
        <v>12662</v>
      </c>
      <c r="F446" s="37" t="s">
        <v>220</v>
      </c>
      <c r="G446" s="37" t="s">
        <v>157</v>
      </c>
      <c r="H446" s="37" t="s">
        <v>20</v>
      </c>
      <c r="I446" s="38"/>
      <c r="J446" s="37">
        <v>27484800</v>
      </c>
      <c r="K446" s="37" t="s">
        <v>187</v>
      </c>
      <c r="L446" s="37" t="str">
        <f>_xlfn.XLOOKUP(Tabla2__2[[#This Row],[CODIGO RUTA]],'DATA INFORME'!I:I,'DATA INFORME'!K:K)</f>
        <v xml:space="preserve"> NO</v>
      </c>
      <c r="M446" s="37" t="str">
        <f>IF(Tabla2__2[[#This Row],[MYSTERY EFECTIVO]]="SI",_xlfn.XLOOKUP(Tabla2__2[[#This Row],[PREGUNTA]],ENCUESTA!G:G,ENCUESTA!D:D),"N/A")</f>
        <v>N/A</v>
      </c>
      <c r="N4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6" s="37">
        <f>_xlfn.XLOOKUP(Tabla2__2[[#This Row],[PREGUNTA]],ENCUESTA!G:G,ENCUESTA!H:H)</f>
        <v>0</v>
      </c>
      <c r="P446" s="37">
        <f>IF(Tabla2__2[[#This Row],[RTA]]=Tabla2__2[[#This Row],[RTA CORRECTA]],Tabla2__2[[#This Row],[TOTAL PUNTAJE]],0)</f>
        <v>0</v>
      </c>
      <c r="Q446" s="37">
        <f t="shared" si="6"/>
        <v>0</v>
      </c>
      <c r="R446" s="37"/>
    </row>
    <row r="447" spans="1:18" x14ac:dyDescent="0.25">
      <c r="A447" s="37" t="s">
        <v>107</v>
      </c>
      <c r="B447" s="37" t="s">
        <v>8</v>
      </c>
      <c r="C447" t="s">
        <v>15</v>
      </c>
      <c r="D447" s="37" t="s">
        <v>217</v>
      </c>
      <c r="E447" s="37">
        <v>12662</v>
      </c>
      <c r="F447" s="37" t="s">
        <v>220</v>
      </c>
      <c r="G447" s="37" t="s">
        <v>156</v>
      </c>
      <c r="H447" s="37" t="s">
        <v>106</v>
      </c>
      <c r="I447" s="38"/>
      <c r="J447" s="37">
        <v>27484800</v>
      </c>
      <c r="K447" s="37" t="s">
        <v>187</v>
      </c>
      <c r="L447" s="37" t="str">
        <f>_xlfn.XLOOKUP(Tabla2__2[[#This Row],[CODIGO RUTA]],'DATA INFORME'!I:I,'DATA INFORME'!K:K)</f>
        <v xml:space="preserve"> NO</v>
      </c>
      <c r="M447" s="37" t="str">
        <f>IF(Tabla2__2[[#This Row],[MYSTERY EFECTIVO]]="SI",_xlfn.XLOOKUP(Tabla2__2[[#This Row],[PREGUNTA]],ENCUESTA!G:G,ENCUESTA!D:D),"N/A")</f>
        <v>N/A</v>
      </c>
      <c r="N4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7" s="37" t="str">
        <f>_xlfn.XLOOKUP(Tabla2__2[[#This Row],[PREGUNTA]],ENCUESTA!G:G,ENCUESTA!H:H)</f>
        <v>SI</v>
      </c>
      <c r="P447" s="37">
        <f>IF(Tabla2__2[[#This Row],[RTA]]=Tabla2__2[[#This Row],[RTA CORRECTA]],Tabla2__2[[#This Row],[TOTAL PUNTAJE]],0)</f>
        <v>0</v>
      </c>
      <c r="Q447" s="37">
        <f t="shared" si="6"/>
        <v>0</v>
      </c>
      <c r="R447" s="37"/>
    </row>
    <row r="448" spans="1:18" x14ac:dyDescent="0.25">
      <c r="A448" s="37" t="s">
        <v>107</v>
      </c>
      <c r="B448" s="37" t="s">
        <v>8</v>
      </c>
      <c r="C448" t="s">
        <v>15</v>
      </c>
      <c r="D448" s="37" t="s">
        <v>79</v>
      </c>
      <c r="E448" s="37">
        <v>442719</v>
      </c>
      <c r="F448" s="37" t="s">
        <v>228</v>
      </c>
      <c r="G448" s="37" t="s">
        <v>103</v>
      </c>
      <c r="H448" s="37" t="s">
        <v>106</v>
      </c>
      <c r="I448" s="38"/>
      <c r="J448" s="37">
        <v>27486785</v>
      </c>
      <c r="K448" s="37" t="s">
        <v>187</v>
      </c>
      <c r="L448" s="37" t="str">
        <f>_xlfn.XLOOKUP(Tabla2__2[[#This Row],[CODIGO RUTA]],'DATA INFORME'!I:I,'DATA INFORME'!K:K)</f>
        <v>SI</v>
      </c>
      <c r="M448" s="37" t="str">
        <f>IF(Tabla2__2[[#This Row],[MYSTERY EFECTIVO]]="SI",_xlfn.XLOOKUP(Tabla2__2[[#This Row],[PREGUNTA]],ENCUESTA!G:G,ENCUESTA!D:D),"N/A")</f>
        <v>UNIFORME</v>
      </c>
      <c r="N4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48" s="37" t="str">
        <f>_xlfn.XLOOKUP(Tabla2__2[[#This Row],[PREGUNTA]],ENCUESTA!G:G,ENCUESTA!H:H)</f>
        <v>NO</v>
      </c>
      <c r="P448" s="37">
        <f>IF(Tabla2__2[[#This Row],[RTA]]=Tabla2__2[[#This Row],[RTA CORRECTA]],Tabla2__2[[#This Row],[TOTAL PUNTAJE]],0)</f>
        <v>1.3636363636363635</v>
      </c>
      <c r="Q448" s="37">
        <f t="shared" si="6"/>
        <v>0</v>
      </c>
      <c r="R448" s="37"/>
    </row>
    <row r="449" spans="1:18" x14ac:dyDescent="0.25">
      <c r="A449" s="37" t="s">
        <v>107</v>
      </c>
      <c r="B449" s="37" t="s">
        <v>112</v>
      </c>
      <c r="C449" t="s">
        <v>14</v>
      </c>
      <c r="D449" s="37" t="s">
        <v>161</v>
      </c>
      <c r="E449" s="37">
        <v>356594</v>
      </c>
      <c r="F449" s="37" t="s">
        <v>213</v>
      </c>
      <c r="G449" s="37" t="s">
        <v>151</v>
      </c>
      <c r="H449" s="37" t="s">
        <v>20</v>
      </c>
      <c r="I449" s="38"/>
      <c r="J449" s="37">
        <v>27480859</v>
      </c>
      <c r="K449" s="37" t="s">
        <v>117</v>
      </c>
      <c r="L449" s="37" t="str">
        <f>_xlfn.XLOOKUP(Tabla2__2[[#This Row],[CODIGO RUTA]],'DATA INFORME'!I:I,'DATA INFORME'!K:K)</f>
        <v>SI</v>
      </c>
      <c r="M449" s="37" t="str">
        <f>IF(Tabla2__2[[#This Row],[MYSTERY EFECTIVO]]="SI",_xlfn.XLOOKUP(Tabla2__2[[#This Row],[PREGUNTA]],ENCUESTA!G:G,ENCUESTA!D:D),"N/A")</f>
        <v>ACTIVIDADES DEL MES</v>
      </c>
      <c r="N4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49" s="37" t="str">
        <f>_xlfn.XLOOKUP(Tabla2__2[[#This Row],[PREGUNTA]],ENCUESTA!G:G,ENCUESTA!H:H)</f>
        <v>SI</v>
      </c>
      <c r="P449" s="37">
        <f>IF(Tabla2__2[[#This Row],[RTA]]=Tabla2__2[[#This Row],[RTA CORRECTA]],Tabla2__2[[#This Row],[TOTAL PUNTAJE]],0)</f>
        <v>5</v>
      </c>
      <c r="Q449" s="37">
        <f t="shared" si="6"/>
        <v>0</v>
      </c>
      <c r="R449" s="37"/>
    </row>
    <row r="450" spans="1:18" x14ac:dyDescent="0.25">
      <c r="A450" s="37" t="s">
        <v>107</v>
      </c>
      <c r="B450" s="37" t="s">
        <v>112</v>
      </c>
      <c r="C450" t="s">
        <v>14</v>
      </c>
      <c r="D450" s="37" t="s">
        <v>161</v>
      </c>
      <c r="E450" s="37">
        <v>356594</v>
      </c>
      <c r="F450" s="37" t="s">
        <v>213</v>
      </c>
      <c r="G450" s="37" t="s">
        <v>150</v>
      </c>
      <c r="H450" s="37" t="s">
        <v>106</v>
      </c>
      <c r="I450" s="38"/>
      <c r="J450" s="37">
        <v>27480859</v>
      </c>
      <c r="K450" s="37" t="s">
        <v>117</v>
      </c>
      <c r="L450" s="37" t="str">
        <f>_xlfn.XLOOKUP(Tabla2__2[[#This Row],[CODIGO RUTA]],'DATA INFORME'!I:I,'DATA INFORME'!K:K)</f>
        <v>SI</v>
      </c>
      <c r="M450" s="37" t="str">
        <f>IF(Tabla2__2[[#This Row],[MYSTERY EFECTIVO]]="SI",_xlfn.XLOOKUP(Tabla2__2[[#This Row],[PREGUNTA]],ENCUESTA!G:G,ENCUESTA!D:D),"N/A")</f>
        <v>PORTAFOLIO Y MANEJO DE OBJECIONES</v>
      </c>
      <c r="N4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50" s="37" t="str">
        <f>_xlfn.XLOOKUP(Tabla2__2[[#This Row],[PREGUNTA]],ENCUESTA!G:G,ENCUESTA!H:H)</f>
        <v>SI</v>
      </c>
      <c r="P450" s="37">
        <f>IF(Tabla2__2[[#This Row],[RTA]]=Tabla2__2[[#This Row],[RTA CORRECTA]],Tabla2__2[[#This Row],[TOTAL PUNTAJE]],0)</f>
        <v>0</v>
      </c>
      <c r="Q450" s="37">
        <f t="shared" ref="Q450:Q514" si="7">IF(OR(H450="Dog Chow húmedo",H450="Cat Chow húmedo",H450="Fancy Feast",H450="Felix",H450="Proplan húmedo",H450="One húmedo",H450="Snack Abrazzos",H450="Snak Dentalife",H450="Arenilla Tidy Cat"),N450,0)</f>
        <v>0</v>
      </c>
      <c r="R450" s="37"/>
    </row>
    <row r="451" spans="1:18" x14ac:dyDescent="0.25">
      <c r="A451" s="37" t="s">
        <v>107</v>
      </c>
      <c r="B451" s="37" t="s">
        <v>112</v>
      </c>
      <c r="C451" t="s">
        <v>14</v>
      </c>
      <c r="D451" s="37" t="s">
        <v>161</v>
      </c>
      <c r="E451" s="37">
        <v>356594</v>
      </c>
      <c r="F451" s="37" t="s">
        <v>213</v>
      </c>
      <c r="G451" s="37" t="s">
        <v>149</v>
      </c>
      <c r="H451" s="37" t="s">
        <v>106</v>
      </c>
      <c r="I451" s="38"/>
      <c r="J451" s="37">
        <v>27480859</v>
      </c>
      <c r="K451" s="37" t="s">
        <v>117</v>
      </c>
      <c r="L451" s="37" t="str">
        <f>_xlfn.XLOOKUP(Tabla2__2[[#This Row],[CODIGO RUTA]],'DATA INFORME'!I:I,'DATA INFORME'!K:K)</f>
        <v>SI</v>
      </c>
      <c r="M451" s="37" t="str">
        <f>IF(Tabla2__2[[#This Row],[MYSTERY EFECTIVO]]="SI",_xlfn.XLOOKUP(Tabla2__2[[#This Row],[PREGUNTA]],ENCUESTA!G:G,ENCUESTA!D:D),"N/A")</f>
        <v>PORTAFOLIO Y MANEJO DE OBJECIONES</v>
      </c>
      <c r="N4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51" s="37" t="str">
        <f>_xlfn.XLOOKUP(Tabla2__2[[#This Row],[PREGUNTA]],ENCUESTA!G:G,ENCUESTA!H:H)</f>
        <v>SI</v>
      </c>
      <c r="P451" s="37">
        <f>IF(Tabla2__2[[#This Row],[RTA]]=Tabla2__2[[#This Row],[RTA CORRECTA]],Tabla2__2[[#This Row],[TOTAL PUNTAJE]],0)</f>
        <v>0</v>
      </c>
      <c r="Q451" s="37">
        <f t="shared" si="7"/>
        <v>0</v>
      </c>
      <c r="R451" s="37"/>
    </row>
    <row r="452" spans="1:18" x14ac:dyDescent="0.25">
      <c r="A452" s="37" t="s">
        <v>107</v>
      </c>
      <c r="B452" s="37" t="s">
        <v>112</v>
      </c>
      <c r="C452" t="s">
        <v>15</v>
      </c>
      <c r="D452" s="37" t="s">
        <v>96</v>
      </c>
      <c r="E452" s="37">
        <v>13555</v>
      </c>
      <c r="F452" s="37" t="s">
        <v>204</v>
      </c>
      <c r="G452" s="37" t="s">
        <v>138</v>
      </c>
      <c r="H452" s="37" t="s">
        <v>106</v>
      </c>
      <c r="I452" s="38"/>
      <c r="J452" s="37">
        <v>27476525</v>
      </c>
      <c r="K452" s="37" t="s">
        <v>117</v>
      </c>
      <c r="L452" s="37" t="str">
        <f>_xlfn.XLOOKUP(Tabla2__2[[#This Row],[CODIGO RUTA]],'DATA INFORME'!I:I,'DATA INFORME'!K:K)</f>
        <v xml:space="preserve"> NO</v>
      </c>
      <c r="M452" s="37" t="str">
        <f>IF(Tabla2__2[[#This Row],[MYSTERY EFECTIVO]]="SI",_xlfn.XLOOKUP(Tabla2__2[[#This Row],[PREGUNTA]],ENCUESTA!G:G,ENCUESTA!D:D),"N/A")</f>
        <v>N/A</v>
      </c>
      <c r="N4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2" s="37" t="str">
        <f>_xlfn.XLOOKUP(Tabla2__2[[#This Row],[PREGUNTA]],ENCUESTA!G:G,ENCUESTA!H:H)</f>
        <v>SI</v>
      </c>
      <c r="P452" s="37">
        <f>IF(Tabla2__2[[#This Row],[RTA]]=Tabla2__2[[#This Row],[RTA CORRECTA]],Tabla2__2[[#This Row],[TOTAL PUNTAJE]],0)</f>
        <v>0</v>
      </c>
      <c r="Q452" s="37">
        <f t="shared" si="7"/>
        <v>0</v>
      </c>
      <c r="R452" s="37"/>
    </row>
    <row r="453" spans="1:18" x14ac:dyDescent="0.25">
      <c r="A453" s="37" t="s">
        <v>107</v>
      </c>
      <c r="B453" s="37" t="s">
        <v>112</v>
      </c>
      <c r="C453" t="s">
        <v>15</v>
      </c>
      <c r="D453" s="37" t="s">
        <v>96</v>
      </c>
      <c r="E453" s="37">
        <v>13555</v>
      </c>
      <c r="F453" s="37" t="s">
        <v>204</v>
      </c>
      <c r="G453" s="37" t="s">
        <v>137</v>
      </c>
      <c r="H453" s="37" t="s">
        <v>106</v>
      </c>
      <c r="I453" s="38"/>
      <c r="J453" s="37">
        <v>27476525</v>
      </c>
      <c r="K453" s="37" t="s">
        <v>117</v>
      </c>
      <c r="L453" s="37" t="str">
        <f>_xlfn.XLOOKUP(Tabla2__2[[#This Row],[CODIGO RUTA]],'DATA INFORME'!I:I,'DATA INFORME'!K:K)</f>
        <v xml:space="preserve"> NO</v>
      </c>
      <c r="M453" s="37" t="str">
        <f>IF(Tabla2__2[[#This Row],[MYSTERY EFECTIVO]]="SI",_xlfn.XLOOKUP(Tabla2__2[[#This Row],[PREGUNTA]],ENCUESTA!G:G,ENCUESTA!D:D),"N/A")</f>
        <v>N/A</v>
      </c>
      <c r="N4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3" s="37" t="str">
        <f>_xlfn.XLOOKUP(Tabla2__2[[#This Row],[PREGUNTA]],ENCUESTA!G:G,ENCUESTA!H:H)</f>
        <v>SI</v>
      </c>
      <c r="P453" s="37">
        <f>IF(Tabla2__2[[#This Row],[RTA]]=Tabla2__2[[#This Row],[RTA CORRECTA]],Tabla2__2[[#This Row],[TOTAL PUNTAJE]],0)</f>
        <v>0</v>
      </c>
      <c r="Q453" s="37">
        <f t="shared" si="7"/>
        <v>0</v>
      </c>
      <c r="R453" s="37"/>
    </row>
    <row r="454" spans="1:18" x14ac:dyDescent="0.25">
      <c r="A454" s="37" t="s">
        <v>107</v>
      </c>
      <c r="B454" s="37" t="s">
        <v>112</v>
      </c>
      <c r="C454" t="s">
        <v>15</v>
      </c>
      <c r="D454" s="37" t="s">
        <v>96</v>
      </c>
      <c r="E454" s="37">
        <v>13555</v>
      </c>
      <c r="F454" s="37" t="s">
        <v>204</v>
      </c>
      <c r="G454" s="37" t="s">
        <v>136</v>
      </c>
      <c r="H454" s="37" t="s">
        <v>106</v>
      </c>
      <c r="I454" s="38"/>
      <c r="J454" s="37">
        <v>27476525</v>
      </c>
      <c r="K454" s="37" t="s">
        <v>117</v>
      </c>
      <c r="L454" s="37" t="str">
        <f>_xlfn.XLOOKUP(Tabla2__2[[#This Row],[CODIGO RUTA]],'DATA INFORME'!I:I,'DATA INFORME'!K:K)</f>
        <v xml:space="preserve"> NO</v>
      </c>
      <c r="M454" s="37" t="str">
        <f>IF(Tabla2__2[[#This Row],[MYSTERY EFECTIVO]]="SI",_xlfn.XLOOKUP(Tabla2__2[[#This Row],[PREGUNTA]],ENCUESTA!G:G,ENCUESTA!D:D),"N/A")</f>
        <v>N/A</v>
      </c>
      <c r="N4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4" s="37" t="str">
        <f>_xlfn.XLOOKUP(Tabla2__2[[#This Row],[PREGUNTA]],ENCUESTA!G:G,ENCUESTA!H:H)</f>
        <v>SI</v>
      </c>
      <c r="P454" s="37">
        <f>IF(Tabla2__2[[#This Row],[RTA]]=Tabla2__2[[#This Row],[RTA CORRECTA]],Tabla2__2[[#This Row],[TOTAL PUNTAJE]],0)</f>
        <v>0</v>
      </c>
      <c r="Q454" s="37">
        <f t="shared" si="7"/>
        <v>0</v>
      </c>
      <c r="R454" s="37"/>
    </row>
    <row r="455" spans="1:18" x14ac:dyDescent="0.25">
      <c r="A455" s="37" t="s">
        <v>107</v>
      </c>
      <c r="B455" s="37" t="s">
        <v>112</v>
      </c>
      <c r="C455" t="s">
        <v>15</v>
      </c>
      <c r="D455" s="37" t="s">
        <v>96</v>
      </c>
      <c r="E455" s="37">
        <v>13555</v>
      </c>
      <c r="F455" s="37" t="s">
        <v>204</v>
      </c>
      <c r="G455" s="37" t="s">
        <v>104</v>
      </c>
      <c r="H455" s="37" t="s">
        <v>106</v>
      </c>
      <c r="I455" s="38"/>
      <c r="J455" s="37">
        <v>27476525</v>
      </c>
      <c r="K455" s="37" t="s">
        <v>117</v>
      </c>
      <c r="L455" s="37" t="str">
        <f>_xlfn.XLOOKUP(Tabla2__2[[#This Row],[CODIGO RUTA]],'DATA INFORME'!I:I,'DATA INFORME'!K:K)</f>
        <v xml:space="preserve"> NO</v>
      </c>
      <c r="M455" s="37" t="str">
        <f>IF(Tabla2__2[[#This Row],[MYSTERY EFECTIVO]]="SI",_xlfn.XLOOKUP(Tabla2__2[[#This Row],[PREGUNTA]],ENCUESTA!G:G,ENCUESTA!D:D),"N/A")</f>
        <v>N/A</v>
      </c>
      <c r="N4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5" s="37" t="str">
        <f>_xlfn.XLOOKUP(Tabla2__2[[#This Row],[PREGUNTA]],ENCUESTA!G:G,ENCUESTA!H:H)</f>
        <v>NO</v>
      </c>
      <c r="P455" s="37">
        <f>IF(Tabla2__2[[#This Row],[RTA]]=Tabla2__2[[#This Row],[RTA CORRECTA]],Tabla2__2[[#This Row],[TOTAL PUNTAJE]],0)</f>
        <v>0</v>
      </c>
      <c r="Q455" s="37">
        <f t="shared" si="7"/>
        <v>0</v>
      </c>
      <c r="R455" s="37"/>
    </row>
    <row r="456" spans="1:18" x14ac:dyDescent="0.25">
      <c r="A456" s="37" t="s">
        <v>107</v>
      </c>
      <c r="B456" s="37" t="s">
        <v>112</v>
      </c>
      <c r="C456" t="s">
        <v>15</v>
      </c>
      <c r="D456" s="37" t="s">
        <v>96</v>
      </c>
      <c r="E456" s="37">
        <v>13555</v>
      </c>
      <c r="F456" s="37" t="s">
        <v>204</v>
      </c>
      <c r="G456" s="37" t="s">
        <v>103</v>
      </c>
      <c r="H456" s="37" t="s">
        <v>106</v>
      </c>
      <c r="I456" s="38"/>
      <c r="J456" s="37">
        <v>27476525</v>
      </c>
      <c r="K456" s="37" t="s">
        <v>117</v>
      </c>
      <c r="L456" s="37" t="str">
        <f>_xlfn.XLOOKUP(Tabla2__2[[#This Row],[CODIGO RUTA]],'DATA INFORME'!I:I,'DATA INFORME'!K:K)</f>
        <v xml:space="preserve"> NO</v>
      </c>
      <c r="M456" s="37" t="str">
        <f>IF(Tabla2__2[[#This Row],[MYSTERY EFECTIVO]]="SI",_xlfn.XLOOKUP(Tabla2__2[[#This Row],[PREGUNTA]],ENCUESTA!G:G,ENCUESTA!D:D),"N/A")</f>
        <v>N/A</v>
      </c>
      <c r="N4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6" s="37" t="str">
        <f>_xlfn.XLOOKUP(Tabla2__2[[#This Row],[PREGUNTA]],ENCUESTA!G:G,ENCUESTA!H:H)</f>
        <v>NO</v>
      </c>
      <c r="P456" s="37">
        <f>IF(Tabla2__2[[#This Row],[RTA]]=Tabla2__2[[#This Row],[RTA CORRECTA]],Tabla2__2[[#This Row],[TOTAL PUNTAJE]],0)</f>
        <v>0</v>
      </c>
      <c r="Q456" s="37">
        <f t="shared" si="7"/>
        <v>0</v>
      </c>
      <c r="R456" s="37"/>
    </row>
    <row r="457" spans="1:18" x14ac:dyDescent="0.25">
      <c r="A457" s="37" t="s">
        <v>107</v>
      </c>
      <c r="B457" s="37" t="s">
        <v>112</v>
      </c>
      <c r="C457" t="s">
        <v>15</v>
      </c>
      <c r="D457" s="37" t="s">
        <v>96</v>
      </c>
      <c r="E457" s="37">
        <v>13555</v>
      </c>
      <c r="F457" s="37" t="s">
        <v>204</v>
      </c>
      <c r="G457" s="37" t="s">
        <v>102</v>
      </c>
      <c r="H457" s="37" t="s">
        <v>106</v>
      </c>
      <c r="I457" s="38"/>
      <c r="J457" s="37">
        <v>27476525</v>
      </c>
      <c r="K457" s="37" t="s">
        <v>117</v>
      </c>
      <c r="L457" s="37" t="str">
        <f>_xlfn.XLOOKUP(Tabla2__2[[#This Row],[CODIGO RUTA]],'DATA INFORME'!I:I,'DATA INFORME'!K:K)</f>
        <v xml:space="preserve"> NO</v>
      </c>
      <c r="M457" s="37" t="str">
        <f>IF(Tabla2__2[[#This Row],[MYSTERY EFECTIVO]]="SI",_xlfn.XLOOKUP(Tabla2__2[[#This Row],[PREGUNTA]],ENCUESTA!G:G,ENCUESTA!D:D),"N/A")</f>
        <v>N/A</v>
      </c>
      <c r="N4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7" s="37" t="str">
        <f>_xlfn.XLOOKUP(Tabla2__2[[#This Row],[PREGUNTA]],ENCUESTA!G:G,ENCUESTA!H:H)</f>
        <v>NO</v>
      </c>
      <c r="P457" s="37">
        <f>IF(Tabla2__2[[#This Row],[RTA]]=Tabla2__2[[#This Row],[RTA CORRECTA]],Tabla2__2[[#This Row],[TOTAL PUNTAJE]],0)</f>
        <v>0</v>
      </c>
      <c r="Q457" s="37">
        <f t="shared" si="7"/>
        <v>0</v>
      </c>
      <c r="R457" s="37"/>
    </row>
    <row r="458" spans="1:18" x14ac:dyDescent="0.25">
      <c r="A458" s="37" t="s">
        <v>107</v>
      </c>
      <c r="B458" s="37" t="s">
        <v>112</v>
      </c>
      <c r="C458" t="s">
        <v>15</v>
      </c>
      <c r="D458" s="37" t="s">
        <v>96</v>
      </c>
      <c r="E458" s="37">
        <v>13555</v>
      </c>
      <c r="F458" s="37" t="s">
        <v>204</v>
      </c>
      <c r="G458" s="37" t="s">
        <v>101</v>
      </c>
      <c r="H458" s="37" t="s">
        <v>106</v>
      </c>
      <c r="I458" s="38"/>
      <c r="J458" s="37">
        <v>27476525</v>
      </c>
      <c r="K458" s="37" t="s">
        <v>117</v>
      </c>
      <c r="L458" s="37" t="str">
        <f>_xlfn.XLOOKUP(Tabla2__2[[#This Row],[CODIGO RUTA]],'DATA INFORME'!I:I,'DATA INFORME'!K:K)</f>
        <v xml:space="preserve"> NO</v>
      </c>
      <c r="M458" s="37" t="str">
        <f>IF(Tabla2__2[[#This Row],[MYSTERY EFECTIVO]]="SI",_xlfn.XLOOKUP(Tabla2__2[[#This Row],[PREGUNTA]],ENCUESTA!G:G,ENCUESTA!D:D),"N/A")</f>
        <v>N/A</v>
      </c>
      <c r="N4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8" s="37" t="str">
        <f>_xlfn.XLOOKUP(Tabla2__2[[#This Row],[PREGUNTA]],ENCUESTA!G:G,ENCUESTA!H:H)</f>
        <v>NO</v>
      </c>
      <c r="P458" s="37">
        <f>IF(Tabla2__2[[#This Row],[RTA]]=Tabla2__2[[#This Row],[RTA CORRECTA]],Tabla2__2[[#This Row],[TOTAL PUNTAJE]],0)</f>
        <v>0</v>
      </c>
      <c r="Q458" s="37">
        <f t="shared" si="7"/>
        <v>0</v>
      </c>
      <c r="R458" s="37"/>
    </row>
    <row r="459" spans="1:18" x14ac:dyDescent="0.25">
      <c r="A459" s="37" t="s">
        <v>107</v>
      </c>
      <c r="B459" s="37" t="s">
        <v>112</v>
      </c>
      <c r="C459" t="s">
        <v>15</v>
      </c>
      <c r="D459" s="37" t="s">
        <v>96</v>
      </c>
      <c r="E459" s="37">
        <v>13555</v>
      </c>
      <c r="F459" s="37" t="s">
        <v>204</v>
      </c>
      <c r="G459" s="37" t="s">
        <v>100</v>
      </c>
      <c r="H459" s="37" t="s">
        <v>106</v>
      </c>
      <c r="I459" s="38"/>
      <c r="J459" s="37">
        <v>27476525</v>
      </c>
      <c r="K459" s="37" t="s">
        <v>117</v>
      </c>
      <c r="L459" s="37" t="str">
        <f>_xlfn.XLOOKUP(Tabla2__2[[#This Row],[CODIGO RUTA]],'DATA INFORME'!I:I,'DATA INFORME'!K:K)</f>
        <v xml:space="preserve"> NO</v>
      </c>
      <c r="M459" s="37" t="str">
        <f>IF(Tabla2__2[[#This Row],[MYSTERY EFECTIVO]]="SI",_xlfn.XLOOKUP(Tabla2__2[[#This Row],[PREGUNTA]],ENCUESTA!G:G,ENCUESTA!D:D),"N/A")</f>
        <v>N/A</v>
      </c>
      <c r="N4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9" s="37" t="str">
        <f>_xlfn.XLOOKUP(Tabla2__2[[#This Row],[PREGUNTA]],ENCUESTA!G:G,ENCUESTA!H:H)</f>
        <v>SI</v>
      </c>
      <c r="P459" s="37">
        <f>IF(Tabla2__2[[#This Row],[RTA]]=Tabla2__2[[#This Row],[RTA CORRECTA]],Tabla2__2[[#This Row],[TOTAL PUNTAJE]],0)</f>
        <v>0</v>
      </c>
      <c r="Q459" s="37">
        <f t="shared" si="7"/>
        <v>0</v>
      </c>
      <c r="R459" s="37"/>
    </row>
    <row r="460" spans="1:18" x14ac:dyDescent="0.25">
      <c r="A460" s="37" t="s">
        <v>107</v>
      </c>
      <c r="B460" s="37" t="s">
        <v>112</v>
      </c>
      <c r="C460" t="s">
        <v>15</v>
      </c>
      <c r="D460" s="37" t="s">
        <v>96</v>
      </c>
      <c r="E460" s="37">
        <v>13555</v>
      </c>
      <c r="F460" s="37" t="s">
        <v>204</v>
      </c>
      <c r="G460" s="37" t="s">
        <v>99</v>
      </c>
      <c r="H460" s="37" t="s">
        <v>106</v>
      </c>
      <c r="I460" s="38"/>
      <c r="J460" s="37">
        <v>27476525</v>
      </c>
      <c r="K460" s="37" t="s">
        <v>117</v>
      </c>
      <c r="L460" s="37" t="str">
        <f>_xlfn.XLOOKUP(Tabla2__2[[#This Row],[CODIGO RUTA]],'DATA INFORME'!I:I,'DATA INFORME'!K:K)</f>
        <v xml:space="preserve"> NO</v>
      </c>
      <c r="M460" s="37" t="str">
        <f>IF(Tabla2__2[[#This Row],[MYSTERY EFECTIVO]]="SI",_xlfn.XLOOKUP(Tabla2__2[[#This Row],[PREGUNTA]],ENCUESTA!G:G,ENCUESTA!D:D),"N/A")</f>
        <v>N/A</v>
      </c>
      <c r="N4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0" s="37" t="str">
        <f>_xlfn.XLOOKUP(Tabla2__2[[#This Row],[PREGUNTA]],ENCUESTA!G:G,ENCUESTA!H:H)</f>
        <v>SI</v>
      </c>
      <c r="P460" s="37">
        <f>IF(Tabla2__2[[#This Row],[RTA]]=Tabla2__2[[#This Row],[RTA CORRECTA]],Tabla2__2[[#This Row],[TOTAL PUNTAJE]],0)</f>
        <v>0</v>
      </c>
      <c r="Q460" s="37">
        <f t="shared" si="7"/>
        <v>0</v>
      </c>
      <c r="R460" s="37"/>
    </row>
    <row r="461" spans="1:18" x14ac:dyDescent="0.25">
      <c r="A461" s="37" t="s">
        <v>107</v>
      </c>
      <c r="B461" s="37" t="s">
        <v>112</v>
      </c>
      <c r="C461" t="s">
        <v>15</v>
      </c>
      <c r="D461" s="37" t="s">
        <v>96</v>
      </c>
      <c r="E461" s="37">
        <v>13555</v>
      </c>
      <c r="F461" s="37" t="s">
        <v>204</v>
      </c>
      <c r="G461" s="37" t="s">
        <v>135</v>
      </c>
      <c r="H461" s="37" t="s">
        <v>106</v>
      </c>
      <c r="I461" s="38"/>
      <c r="J461" s="37">
        <v>27476525</v>
      </c>
      <c r="K461" s="37" t="s">
        <v>117</v>
      </c>
      <c r="L461" s="37" t="str">
        <f>_xlfn.XLOOKUP(Tabla2__2[[#This Row],[CODIGO RUTA]],'DATA INFORME'!I:I,'DATA INFORME'!K:K)</f>
        <v xml:space="preserve"> NO</v>
      </c>
      <c r="M461" s="37" t="str">
        <f>IF(Tabla2__2[[#This Row],[MYSTERY EFECTIVO]]="SI",_xlfn.XLOOKUP(Tabla2__2[[#This Row],[PREGUNTA]],ENCUESTA!G:G,ENCUESTA!D:D),"N/A")</f>
        <v>N/A</v>
      </c>
      <c r="N4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1" s="37" t="str">
        <f>_xlfn.XLOOKUP(Tabla2__2[[#This Row],[PREGUNTA]],ENCUESTA!G:G,ENCUESTA!H:H)</f>
        <v>NO</v>
      </c>
      <c r="P461" s="37">
        <f>IF(Tabla2__2[[#This Row],[RTA]]=Tabla2__2[[#This Row],[RTA CORRECTA]],Tabla2__2[[#This Row],[TOTAL PUNTAJE]],0)</f>
        <v>0</v>
      </c>
      <c r="Q461" s="37">
        <f t="shared" si="7"/>
        <v>0</v>
      </c>
      <c r="R461" s="37"/>
    </row>
    <row r="462" spans="1:18" x14ac:dyDescent="0.25">
      <c r="A462" s="37" t="s">
        <v>107</v>
      </c>
      <c r="B462" s="37" t="s">
        <v>112</v>
      </c>
      <c r="C462" t="s">
        <v>15</v>
      </c>
      <c r="D462" s="37" t="s">
        <v>96</v>
      </c>
      <c r="E462" s="37">
        <v>13555</v>
      </c>
      <c r="F462" s="37" t="s">
        <v>204</v>
      </c>
      <c r="G462" s="37" t="s">
        <v>35</v>
      </c>
      <c r="H462" s="37" t="s">
        <v>106</v>
      </c>
      <c r="I462" s="38"/>
      <c r="J462" s="37">
        <v>27476525</v>
      </c>
      <c r="K462" s="37" t="s">
        <v>117</v>
      </c>
      <c r="L462" s="37" t="str">
        <f>_xlfn.XLOOKUP(Tabla2__2[[#This Row],[CODIGO RUTA]],'DATA INFORME'!I:I,'DATA INFORME'!K:K)</f>
        <v xml:space="preserve"> NO</v>
      </c>
      <c r="M462" s="37" t="str">
        <f>IF(Tabla2__2[[#This Row],[MYSTERY EFECTIVO]]="SI",_xlfn.XLOOKUP(Tabla2__2[[#This Row],[PREGUNTA]],ENCUESTA!G:G,ENCUESTA!D:D),"N/A")</f>
        <v>N/A</v>
      </c>
      <c r="N4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2" s="37" t="str">
        <f>_xlfn.XLOOKUP(Tabla2__2[[#This Row],[PREGUNTA]],ENCUESTA!G:G,ENCUESTA!H:H)</f>
        <v>SI</v>
      </c>
      <c r="P462" s="37">
        <f>IF(Tabla2__2[[#This Row],[RTA]]=Tabla2__2[[#This Row],[RTA CORRECTA]],Tabla2__2[[#This Row],[TOTAL PUNTAJE]],0)</f>
        <v>0</v>
      </c>
      <c r="Q462" s="37">
        <f t="shared" si="7"/>
        <v>0</v>
      </c>
      <c r="R462" s="37"/>
    </row>
    <row r="463" spans="1:18" x14ac:dyDescent="0.25">
      <c r="A463" s="37" t="s">
        <v>107</v>
      </c>
      <c r="B463" s="37" t="s">
        <v>112</v>
      </c>
      <c r="C463" t="s">
        <v>15</v>
      </c>
      <c r="D463" s="37" t="s">
        <v>96</v>
      </c>
      <c r="E463" s="37">
        <v>13555</v>
      </c>
      <c r="F463" s="37" t="s">
        <v>204</v>
      </c>
      <c r="G463" s="37" t="s">
        <v>134</v>
      </c>
      <c r="H463" s="37" t="s">
        <v>106</v>
      </c>
      <c r="I463" s="38"/>
      <c r="J463" s="37">
        <v>27476525</v>
      </c>
      <c r="K463" s="37" t="s">
        <v>117</v>
      </c>
      <c r="L463" s="37" t="str">
        <f>_xlfn.XLOOKUP(Tabla2__2[[#This Row],[CODIGO RUTA]],'DATA INFORME'!I:I,'DATA INFORME'!K:K)</f>
        <v xml:space="preserve"> NO</v>
      </c>
      <c r="M463" s="37" t="str">
        <f>IF(Tabla2__2[[#This Row],[MYSTERY EFECTIVO]]="SI",_xlfn.XLOOKUP(Tabla2__2[[#This Row],[PREGUNTA]],ENCUESTA!G:G,ENCUESTA!D:D),"N/A")</f>
        <v>N/A</v>
      </c>
      <c r="N4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3" s="37" t="str">
        <f>_xlfn.XLOOKUP(Tabla2__2[[#This Row],[PREGUNTA]],ENCUESTA!G:G,ENCUESTA!H:H)</f>
        <v>SI</v>
      </c>
      <c r="P463" s="37">
        <f>IF(Tabla2__2[[#This Row],[RTA]]=Tabla2__2[[#This Row],[RTA CORRECTA]],Tabla2__2[[#This Row],[TOTAL PUNTAJE]],0)</f>
        <v>0</v>
      </c>
      <c r="Q463" s="37">
        <f t="shared" si="7"/>
        <v>0</v>
      </c>
      <c r="R463" s="37"/>
    </row>
    <row r="464" spans="1:18" x14ac:dyDescent="0.25">
      <c r="A464" s="37" t="s">
        <v>107</v>
      </c>
      <c r="B464" s="37" t="s">
        <v>112</v>
      </c>
      <c r="C464" t="s">
        <v>15</v>
      </c>
      <c r="D464" s="37" t="s">
        <v>96</v>
      </c>
      <c r="E464" s="37">
        <v>13555</v>
      </c>
      <c r="F464" s="37" t="s">
        <v>204</v>
      </c>
      <c r="G464" s="37" t="s">
        <v>98</v>
      </c>
      <c r="H464" s="37" t="s">
        <v>106</v>
      </c>
      <c r="I464" s="38"/>
      <c r="J464" s="37">
        <v>27476525</v>
      </c>
      <c r="K464" s="37" t="s">
        <v>117</v>
      </c>
      <c r="L464" s="37" t="str">
        <f>_xlfn.XLOOKUP(Tabla2__2[[#This Row],[CODIGO RUTA]],'DATA INFORME'!I:I,'DATA INFORME'!K:K)</f>
        <v xml:space="preserve"> NO</v>
      </c>
      <c r="M464" s="37" t="str">
        <f>IF(Tabla2__2[[#This Row],[MYSTERY EFECTIVO]]="SI",_xlfn.XLOOKUP(Tabla2__2[[#This Row],[PREGUNTA]],ENCUESTA!G:G,ENCUESTA!D:D),"N/A")</f>
        <v>N/A</v>
      </c>
      <c r="N4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4" s="37" t="str">
        <f>_xlfn.XLOOKUP(Tabla2__2[[#This Row],[PREGUNTA]],ENCUESTA!G:G,ENCUESTA!H:H)</f>
        <v>SI</v>
      </c>
      <c r="P464" s="37">
        <f>IF(Tabla2__2[[#This Row],[RTA]]=Tabla2__2[[#This Row],[RTA CORRECTA]],Tabla2__2[[#This Row],[TOTAL PUNTAJE]],0)</f>
        <v>0</v>
      </c>
      <c r="Q464" s="37">
        <f t="shared" si="7"/>
        <v>0</v>
      </c>
      <c r="R464" s="37"/>
    </row>
    <row r="465" spans="1:18" x14ac:dyDescent="0.25">
      <c r="A465" s="37" t="s">
        <v>107</v>
      </c>
      <c r="B465" s="37" t="s">
        <v>112</v>
      </c>
      <c r="C465" t="s">
        <v>15</v>
      </c>
      <c r="D465" s="37" t="s">
        <v>96</v>
      </c>
      <c r="E465" s="37">
        <v>13555</v>
      </c>
      <c r="F465" s="37" t="s">
        <v>204</v>
      </c>
      <c r="G465" s="37" t="s">
        <v>139</v>
      </c>
      <c r="H465" s="37" t="s">
        <v>15</v>
      </c>
      <c r="I465" s="38"/>
      <c r="J465" s="37">
        <v>27476525</v>
      </c>
      <c r="K465" s="37" t="s">
        <v>117</v>
      </c>
      <c r="L465" s="37" t="str">
        <f>_xlfn.XLOOKUP(Tabla2__2[[#This Row],[CODIGO RUTA]],'DATA INFORME'!I:I,'DATA INFORME'!K:K)</f>
        <v xml:space="preserve"> NO</v>
      </c>
      <c r="M465" s="37" t="str">
        <f>IF(Tabla2__2[[#This Row],[MYSTERY EFECTIVO]]="SI",_xlfn.XLOOKUP(Tabla2__2[[#This Row],[PREGUNTA]],ENCUESTA!G:G,ENCUESTA!D:D),"N/A")</f>
        <v>N/A</v>
      </c>
      <c r="N4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5" s="37" t="str">
        <f>_xlfn.XLOOKUP(Tabla2__2[[#This Row],[PREGUNTA]],ENCUESTA!G:G,ENCUESTA!H:H)</f>
        <v>MODERNO, ESPECIALIZADO</v>
      </c>
      <c r="P465" s="37">
        <f>IF(Tabla2__2[[#This Row],[RTA]]=Tabla2__2[[#This Row],[RTA CORRECTA]],Tabla2__2[[#This Row],[TOTAL PUNTAJE]],0)</f>
        <v>0</v>
      </c>
      <c r="Q465" s="37">
        <f t="shared" si="7"/>
        <v>0</v>
      </c>
      <c r="R465" s="37"/>
    </row>
    <row r="466" spans="1:18" x14ac:dyDescent="0.25">
      <c r="A466" s="37" t="s">
        <v>107</v>
      </c>
      <c r="B466" s="37" t="s">
        <v>112</v>
      </c>
      <c r="C466" t="s">
        <v>15</v>
      </c>
      <c r="D466" s="37" t="s">
        <v>96</v>
      </c>
      <c r="E466" s="37">
        <v>13555</v>
      </c>
      <c r="F466" s="37" t="s">
        <v>204</v>
      </c>
      <c r="G466" s="37" t="s">
        <v>97</v>
      </c>
      <c r="H466" s="37" t="s">
        <v>106</v>
      </c>
      <c r="I466" s="38"/>
      <c r="J466" s="37">
        <v>27476525</v>
      </c>
      <c r="K466" s="37" t="s">
        <v>117</v>
      </c>
      <c r="L466" s="37" t="str">
        <f>_xlfn.XLOOKUP(Tabla2__2[[#This Row],[CODIGO RUTA]],'DATA INFORME'!I:I,'DATA INFORME'!K:K)</f>
        <v xml:space="preserve"> NO</v>
      </c>
      <c r="M466" s="37" t="str">
        <f>IF(Tabla2__2[[#This Row],[MYSTERY EFECTIVO]]="SI",_xlfn.XLOOKUP(Tabla2__2[[#This Row],[PREGUNTA]],ENCUESTA!G:G,ENCUESTA!D:D),"N/A")</f>
        <v>N/A</v>
      </c>
      <c r="N4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6" s="37" t="str">
        <f>_xlfn.XLOOKUP(Tabla2__2[[#This Row],[PREGUNTA]],ENCUESTA!G:G,ENCUESTA!H:H)</f>
        <v>SI</v>
      </c>
      <c r="P466" s="37">
        <f>IF(Tabla2__2[[#This Row],[RTA]]=Tabla2__2[[#This Row],[RTA CORRECTA]],Tabla2__2[[#This Row],[TOTAL PUNTAJE]],0)</f>
        <v>0</v>
      </c>
      <c r="Q466" s="37">
        <f t="shared" si="7"/>
        <v>0</v>
      </c>
      <c r="R466" s="37"/>
    </row>
    <row r="467" spans="1:18" x14ac:dyDescent="0.25">
      <c r="A467" s="37" t="s">
        <v>107</v>
      </c>
      <c r="B467" s="37" t="s">
        <v>8</v>
      </c>
      <c r="C467" t="s">
        <v>14</v>
      </c>
      <c r="D467" s="37" t="s">
        <v>79</v>
      </c>
      <c r="E467" s="37">
        <v>454996</v>
      </c>
      <c r="F467" s="37" t="s">
        <v>196</v>
      </c>
      <c r="G467" s="37" t="s">
        <v>158</v>
      </c>
      <c r="H467" s="37" t="s">
        <v>202</v>
      </c>
      <c r="I467" s="38"/>
      <c r="J467" s="37">
        <v>27453760</v>
      </c>
      <c r="K467" s="37" t="s">
        <v>187</v>
      </c>
      <c r="L467" s="37" t="str">
        <f>_xlfn.XLOOKUP(Tabla2__2[[#This Row],[CODIGO RUTA]],'DATA INFORME'!I:I,'DATA INFORME'!K:K)</f>
        <v xml:space="preserve"> NO</v>
      </c>
      <c r="M467" s="37" t="str">
        <f>IF(Tabla2__2[[#This Row],[MYSTERY EFECTIVO]]="SI",_xlfn.XLOOKUP(Tabla2__2[[#This Row],[PREGUNTA]],ENCUESTA!G:G,ENCUESTA!D:D),"N/A")</f>
        <v>N/A</v>
      </c>
      <c r="N4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7" s="37">
        <f>_xlfn.XLOOKUP(Tabla2__2[[#This Row],[PREGUNTA]],ENCUESTA!G:G,ENCUESTA!H:H)</f>
        <v>0</v>
      </c>
      <c r="P467" s="37">
        <f>IF(Tabla2__2[[#This Row],[RTA]]=Tabla2__2[[#This Row],[RTA CORRECTA]],Tabla2__2[[#This Row],[TOTAL PUNTAJE]],0)</f>
        <v>0</v>
      </c>
      <c r="Q467" s="37">
        <f t="shared" si="7"/>
        <v>0</v>
      </c>
      <c r="R467" s="37"/>
    </row>
    <row r="468" spans="1:18" x14ac:dyDescent="0.25">
      <c r="A468" s="37" t="s">
        <v>107</v>
      </c>
      <c r="B468" s="37" t="s">
        <v>8</v>
      </c>
      <c r="C468" t="s">
        <v>14</v>
      </c>
      <c r="D468" s="37" t="s">
        <v>79</v>
      </c>
      <c r="E468" s="37">
        <v>454996</v>
      </c>
      <c r="F468" s="37" t="s">
        <v>196</v>
      </c>
      <c r="G468" s="37" t="s">
        <v>157</v>
      </c>
      <c r="H468" s="37" t="s">
        <v>20</v>
      </c>
      <c r="I468" s="38"/>
      <c r="J468" s="37">
        <v>27453760</v>
      </c>
      <c r="K468" s="37" t="s">
        <v>187</v>
      </c>
      <c r="L468" s="37" t="str">
        <f>_xlfn.XLOOKUP(Tabla2__2[[#This Row],[CODIGO RUTA]],'DATA INFORME'!I:I,'DATA INFORME'!K:K)</f>
        <v xml:space="preserve"> NO</v>
      </c>
      <c r="M468" s="37" t="str">
        <f>IF(Tabla2__2[[#This Row],[MYSTERY EFECTIVO]]="SI",_xlfn.XLOOKUP(Tabla2__2[[#This Row],[PREGUNTA]],ENCUESTA!G:G,ENCUESTA!D:D),"N/A")</f>
        <v>N/A</v>
      </c>
      <c r="N4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8" s="37">
        <f>_xlfn.XLOOKUP(Tabla2__2[[#This Row],[PREGUNTA]],ENCUESTA!G:G,ENCUESTA!H:H)</f>
        <v>0</v>
      </c>
      <c r="P468" s="37">
        <f>IF(Tabla2__2[[#This Row],[RTA]]=Tabla2__2[[#This Row],[RTA CORRECTA]],Tabla2__2[[#This Row],[TOTAL PUNTAJE]],0)</f>
        <v>0</v>
      </c>
      <c r="Q468" s="37">
        <f t="shared" si="7"/>
        <v>0</v>
      </c>
      <c r="R468" s="37"/>
    </row>
    <row r="469" spans="1:18" x14ac:dyDescent="0.25">
      <c r="A469" s="37" t="s">
        <v>107</v>
      </c>
      <c r="B469" s="37" t="s">
        <v>8</v>
      </c>
      <c r="C469" t="s">
        <v>14</v>
      </c>
      <c r="D469" s="37" t="s">
        <v>79</v>
      </c>
      <c r="E469" s="37">
        <v>454996</v>
      </c>
      <c r="F469" s="37" t="s">
        <v>196</v>
      </c>
      <c r="G469" s="37" t="s">
        <v>156</v>
      </c>
      <c r="H469" s="37" t="s">
        <v>106</v>
      </c>
      <c r="I469" s="38"/>
      <c r="J469" s="37">
        <v>27453760</v>
      </c>
      <c r="K469" s="37" t="s">
        <v>187</v>
      </c>
      <c r="L469" s="37" t="str">
        <f>_xlfn.XLOOKUP(Tabla2__2[[#This Row],[CODIGO RUTA]],'DATA INFORME'!I:I,'DATA INFORME'!K:K)</f>
        <v xml:space="preserve"> NO</v>
      </c>
      <c r="M469" s="37" t="str">
        <f>IF(Tabla2__2[[#This Row],[MYSTERY EFECTIVO]]="SI",_xlfn.XLOOKUP(Tabla2__2[[#This Row],[PREGUNTA]],ENCUESTA!G:G,ENCUESTA!D:D),"N/A")</f>
        <v>N/A</v>
      </c>
      <c r="N4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9" s="37" t="str">
        <f>_xlfn.XLOOKUP(Tabla2__2[[#This Row],[PREGUNTA]],ENCUESTA!G:G,ENCUESTA!H:H)</f>
        <v>SI</v>
      </c>
      <c r="P469" s="37">
        <f>IF(Tabla2__2[[#This Row],[RTA]]=Tabla2__2[[#This Row],[RTA CORRECTA]],Tabla2__2[[#This Row],[TOTAL PUNTAJE]],0)</f>
        <v>0</v>
      </c>
      <c r="Q469" s="37">
        <f t="shared" si="7"/>
        <v>0</v>
      </c>
      <c r="R469" s="37"/>
    </row>
    <row r="470" spans="1:18" x14ac:dyDescent="0.25">
      <c r="A470" s="37" t="s">
        <v>107</v>
      </c>
      <c r="B470" s="37" t="s">
        <v>8</v>
      </c>
      <c r="C470" t="s">
        <v>14</v>
      </c>
      <c r="D470" s="37" t="s">
        <v>79</v>
      </c>
      <c r="E470" s="37">
        <v>454996</v>
      </c>
      <c r="F470" s="37" t="s">
        <v>196</v>
      </c>
      <c r="G470" s="37" t="s">
        <v>155</v>
      </c>
      <c r="H470" s="37" t="s">
        <v>106</v>
      </c>
      <c r="I470" s="38"/>
      <c r="J470" s="37">
        <v>27453760</v>
      </c>
      <c r="K470" s="37" t="s">
        <v>187</v>
      </c>
      <c r="L470" s="37" t="str">
        <f>_xlfn.XLOOKUP(Tabla2__2[[#This Row],[CODIGO RUTA]],'DATA INFORME'!I:I,'DATA INFORME'!K:K)</f>
        <v xml:space="preserve"> NO</v>
      </c>
      <c r="M470" s="37" t="str">
        <f>IF(Tabla2__2[[#This Row],[MYSTERY EFECTIVO]]="SI",_xlfn.XLOOKUP(Tabla2__2[[#This Row],[PREGUNTA]],ENCUESTA!G:G,ENCUESTA!D:D),"N/A")</f>
        <v>N/A</v>
      </c>
      <c r="N4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0" s="37" t="str">
        <f>_xlfn.XLOOKUP(Tabla2__2[[#This Row],[PREGUNTA]],ENCUESTA!G:G,ENCUESTA!H:H)</f>
        <v>SI</v>
      </c>
      <c r="P470" s="37">
        <f>IF(Tabla2__2[[#This Row],[RTA]]=Tabla2__2[[#This Row],[RTA CORRECTA]],Tabla2__2[[#This Row],[TOTAL PUNTAJE]],0)</f>
        <v>0</v>
      </c>
      <c r="Q470" s="37">
        <f t="shared" si="7"/>
        <v>0</v>
      </c>
      <c r="R470" s="37"/>
    </row>
    <row r="471" spans="1:18" x14ac:dyDescent="0.25">
      <c r="A471" s="37" t="s">
        <v>107</v>
      </c>
      <c r="B471" s="37" t="s">
        <v>8</v>
      </c>
      <c r="C471" t="s">
        <v>14</v>
      </c>
      <c r="D471" s="37" t="s">
        <v>79</v>
      </c>
      <c r="E471" s="37">
        <v>454996</v>
      </c>
      <c r="F471" s="37" t="s">
        <v>196</v>
      </c>
      <c r="G471" s="37" t="s">
        <v>154</v>
      </c>
      <c r="H471" s="37" t="s">
        <v>106</v>
      </c>
      <c r="I471" s="38"/>
      <c r="J471" s="37">
        <v>27453760</v>
      </c>
      <c r="K471" s="37" t="s">
        <v>187</v>
      </c>
      <c r="L471" s="37" t="str">
        <f>_xlfn.XLOOKUP(Tabla2__2[[#This Row],[CODIGO RUTA]],'DATA INFORME'!I:I,'DATA INFORME'!K:K)</f>
        <v xml:space="preserve"> NO</v>
      </c>
      <c r="M471" s="37" t="str">
        <f>IF(Tabla2__2[[#This Row],[MYSTERY EFECTIVO]]="SI",_xlfn.XLOOKUP(Tabla2__2[[#This Row],[PREGUNTA]],ENCUESTA!G:G,ENCUESTA!D:D),"N/A")</f>
        <v>N/A</v>
      </c>
      <c r="N4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1" s="37" t="str">
        <f>_xlfn.XLOOKUP(Tabla2__2[[#This Row],[PREGUNTA]],ENCUESTA!G:G,ENCUESTA!H:H)</f>
        <v>SI</v>
      </c>
      <c r="P471" s="37">
        <f>IF(Tabla2__2[[#This Row],[RTA]]=Tabla2__2[[#This Row],[RTA CORRECTA]],Tabla2__2[[#This Row],[TOTAL PUNTAJE]],0)</f>
        <v>0</v>
      </c>
      <c r="Q471" s="37">
        <f t="shared" si="7"/>
        <v>0</v>
      </c>
      <c r="R471" s="37"/>
    </row>
    <row r="472" spans="1:18" x14ac:dyDescent="0.25">
      <c r="A472" s="37" t="s">
        <v>107</v>
      </c>
      <c r="B472" s="37" t="s">
        <v>8</v>
      </c>
      <c r="C472" t="s">
        <v>14</v>
      </c>
      <c r="D472" s="37" t="s">
        <v>79</v>
      </c>
      <c r="E472" s="37">
        <v>454996</v>
      </c>
      <c r="F472" s="37" t="s">
        <v>196</v>
      </c>
      <c r="G472" s="37" t="s">
        <v>153</v>
      </c>
      <c r="H472" s="37" t="s">
        <v>106</v>
      </c>
      <c r="I472" s="38"/>
      <c r="J472" s="37">
        <v>27453760</v>
      </c>
      <c r="K472" s="37" t="s">
        <v>187</v>
      </c>
      <c r="L472" s="37" t="str">
        <f>_xlfn.XLOOKUP(Tabla2__2[[#This Row],[CODIGO RUTA]],'DATA INFORME'!I:I,'DATA INFORME'!K:K)</f>
        <v xml:space="preserve"> NO</v>
      </c>
      <c r="M472" s="37" t="str">
        <f>IF(Tabla2__2[[#This Row],[MYSTERY EFECTIVO]]="SI",_xlfn.XLOOKUP(Tabla2__2[[#This Row],[PREGUNTA]],ENCUESTA!G:G,ENCUESTA!D:D),"N/A")</f>
        <v>N/A</v>
      </c>
      <c r="N4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2" s="37" t="str">
        <f>_xlfn.XLOOKUP(Tabla2__2[[#This Row],[PREGUNTA]],ENCUESTA!G:G,ENCUESTA!H:H)</f>
        <v>SI</v>
      </c>
      <c r="P472" s="37">
        <f>IF(Tabla2__2[[#This Row],[RTA]]=Tabla2__2[[#This Row],[RTA CORRECTA]],Tabla2__2[[#This Row],[TOTAL PUNTAJE]],0)</f>
        <v>0</v>
      </c>
      <c r="Q472" s="37">
        <f t="shared" si="7"/>
        <v>0</v>
      </c>
      <c r="R472" s="37"/>
    </row>
    <row r="473" spans="1:18" x14ac:dyDescent="0.25">
      <c r="A473" s="37" t="s">
        <v>107</v>
      </c>
      <c r="B473" s="37" t="s">
        <v>8</v>
      </c>
      <c r="C473" t="s">
        <v>14</v>
      </c>
      <c r="D473" s="37" t="s">
        <v>79</v>
      </c>
      <c r="E473" s="37">
        <v>454996</v>
      </c>
      <c r="F473" s="37" t="s">
        <v>196</v>
      </c>
      <c r="G473" s="37" t="s">
        <v>152</v>
      </c>
      <c r="H473" s="37" t="s">
        <v>201</v>
      </c>
      <c r="I473" s="38"/>
      <c r="J473" s="37">
        <v>27453760</v>
      </c>
      <c r="K473" s="37" t="s">
        <v>187</v>
      </c>
      <c r="L473" s="37" t="str">
        <f>_xlfn.XLOOKUP(Tabla2__2[[#This Row],[CODIGO RUTA]],'DATA INFORME'!I:I,'DATA INFORME'!K:K)</f>
        <v xml:space="preserve"> NO</v>
      </c>
      <c r="M473" s="37" t="str">
        <f>IF(Tabla2__2[[#This Row],[MYSTERY EFECTIVO]]="SI",_xlfn.XLOOKUP(Tabla2__2[[#This Row],[PREGUNTA]],ENCUESTA!G:G,ENCUESTA!D:D),"N/A")</f>
        <v>N/A</v>
      </c>
      <c r="N4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3" s="37" t="str">
        <f>_xlfn.XLOOKUP(Tabla2__2[[#This Row],[PREGUNTA]],ENCUESTA!G:G,ENCUESTA!H:H)</f>
        <v>FALTA DE PRODUCTO, NO LE INTERESA EL PRODUCTO, NO TIENE DINERO, PREFIERE LA COMPETENCIA</v>
      </c>
      <c r="P473" s="37">
        <f>IF(Tabla2__2[[#This Row],[RTA]]=Tabla2__2[[#This Row],[RTA CORRECTA]],Tabla2__2[[#This Row],[TOTAL PUNTAJE]],0)</f>
        <v>0</v>
      </c>
      <c r="Q473" s="37">
        <f t="shared" si="7"/>
        <v>0</v>
      </c>
      <c r="R473" s="37"/>
    </row>
    <row r="474" spans="1:18" x14ac:dyDescent="0.25">
      <c r="A474" s="37" t="s">
        <v>107</v>
      </c>
      <c r="B474" s="37" t="s">
        <v>8</v>
      </c>
      <c r="C474" t="s">
        <v>14</v>
      </c>
      <c r="D474" s="37" t="s">
        <v>79</v>
      </c>
      <c r="E474" s="37">
        <v>454996</v>
      </c>
      <c r="F474" s="37" t="s">
        <v>196</v>
      </c>
      <c r="G474" s="37" t="s">
        <v>151</v>
      </c>
      <c r="H474" s="37" t="s">
        <v>106</v>
      </c>
      <c r="I474" s="38"/>
      <c r="J474" s="37">
        <v>27453760</v>
      </c>
      <c r="K474" s="37" t="s">
        <v>187</v>
      </c>
      <c r="L474" s="37" t="str">
        <f>_xlfn.XLOOKUP(Tabla2__2[[#This Row],[CODIGO RUTA]],'DATA INFORME'!I:I,'DATA INFORME'!K:K)</f>
        <v xml:space="preserve"> NO</v>
      </c>
      <c r="M474" s="37" t="str">
        <f>IF(Tabla2__2[[#This Row],[MYSTERY EFECTIVO]]="SI",_xlfn.XLOOKUP(Tabla2__2[[#This Row],[PREGUNTA]],ENCUESTA!G:G,ENCUESTA!D:D),"N/A")</f>
        <v>N/A</v>
      </c>
      <c r="N4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4" s="37" t="str">
        <f>_xlfn.XLOOKUP(Tabla2__2[[#This Row],[PREGUNTA]],ENCUESTA!G:G,ENCUESTA!H:H)</f>
        <v>SI</v>
      </c>
      <c r="P474" s="37">
        <f>IF(Tabla2__2[[#This Row],[RTA]]=Tabla2__2[[#This Row],[RTA CORRECTA]],Tabla2__2[[#This Row],[TOTAL PUNTAJE]],0)</f>
        <v>0</v>
      </c>
      <c r="Q474" s="37">
        <f t="shared" si="7"/>
        <v>0</v>
      </c>
      <c r="R474" s="37"/>
    </row>
    <row r="475" spans="1:18" x14ac:dyDescent="0.25">
      <c r="A475" s="37" t="s">
        <v>107</v>
      </c>
      <c r="B475" s="37" t="s">
        <v>8</v>
      </c>
      <c r="C475" t="s">
        <v>14</v>
      </c>
      <c r="D475" s="37" t="s">
        <v>79</v>
      </c>
      <c r="E475" s="37">
        <v>454996</v>
      </c>
      <c r="F475" s="37" t="s">
        <v>196</v>
      </c>
      <c r="G475" s="37" t="s">
        <v>150</v>
      </c>
      <c r="H475" s="37" t="s">
        <v>106</v>
      </c>
      <c r="I475" s="38"/>
      <c r="J475" s="37">
        <v>27453760</v>
      </c>
      <c r="K475" s="37" t="s">
        <v>187</v>
      </c>
      <c r="L475" s="37" t="str">
        <f>_xlfn.XLOOKUP(Tabla2__2[[#This Row],[CODIGO RUTA]],'DATA INFORME'!I:I,'DATA INFORME'!K:K)</f>
        <v xml:space="preserve"> NO</v>
      </c>
      <c r="M475" s="37" t="str">
        <f>IF(Tabla2__2[[#This Row],[MYSTERY EFECTIVO]]="SI",_xlfn.XLOOKUP(Tabla2__2[[#This Row],[PREGUNTA]],ENCUESTA!G:G,ENCUESTA!D:D),"N/A")</f>
        <v>N/A</v>
      </c>
      <c r="N4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5" s="37" t="str">
        <f>_xlfn.XLOOKUP(Tabla2__2[[#This Row],[PREGUNTA]],ENCUESTA!G:G,ENCUESTA!H:H)</f>
        <v>SI</v>
      </c>
      <c r="P475" s="37">
        <f>IF(Tabla2__2[[#This Row],[RTA]]=Tabla2__2[[#This Row],[RTA CORRECTA]],Tabla2__2[[#This Row],[TOTAL PUNTAJE]],0)</f>
        <v>0</v>
      </c>
      <c r="Q475" s="37">
        <f t="shared" si="7"/>
        <v>0</v>
      </c>
      <c r="R475" s="37"/>
    </row>
    <row r="476" spans="1:18" x14ac:dyDescent="0.25">
      <c r="A476" s="37" t="s">
        <v>107</v>
      </c>
      <c r="B476" s="37" t="s">
        <v>8</v>
      </c>
      <c r="C476" t="s">
        <v>14</v>
      </c>
      <c r="D476" s="37" t="s">
        <v>79</v>
      </c>
      <c r="E476" s="37">
        <v>454996</v>
      </c>
      <c r="F476" s="37" t="s">
        <v>196</v>
      </c>
      <c r="G476" s="37" t="s">
        <v>149</v>
      </c>
      <c r="H476" s="37" t="s">
        <v>106</v>
      </c>
      <c r="I476" s="38"/>
      <c r="J476" s="37">
        <v>27453760</v>
      </c>
      <c r="K476" s="37" t="s">
        <v>187</v>
      </c>
      <c r="L476" s="37" t="str">
        <f>_xlfn.XLOOKUP(Tabla2__2[[#This Row],[CODIGO RUTA]],'DATA INFORME'!I:I,'DATA INFORME'!K:K)</f>
        <v xml:space="preserve"> NO</v>
      </c>
      <c r="M476" s="37" t="str">
        <f>IF(Tabla2__2[[#This Row],[MYSTERY EFECTIVO]]="SI",_xlfn.XLOOKUP(Tabla2__2[[#This Row],[PREGUNTA]],ENCUESTA!G:G,ENCUESTA!D:D),"N/A")</f>
        <v>N/A</v>
      </c>
      <c r="N4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6" s="37" t="str">
        <f>_xlfn.XLOOKUP(Tabla2__2[[#This Row],[PREGUNTA]],ENCUESTA!G:G,ENCUESTA!H:H)</f>
        <v>SI</v>
      </c>
      <c r="P476" s="37">
        <f>IF(Tabla2__2[[#This Row],[RTA]]=Tabla2__2[[#This Row],[RTA CORRECTA]],Tabla2__2[[#This Row],[TOTAL PUNTAJE]],0)</f>
        <v>0</v>
      </c>
      <c r="Q476" s="37">
        <f t="shared" si="7"/>
        <v>0</v>
      </c>
      <c r="R476" s="37"/>
    </row>
    <row r="477" spans="1:18" x14ac:dyDescent="0.25">
      <c r="A477" s="37" t="s">
        <v>107</v>
      </c>
      <c r="B477" s="37" t="s">
        <v>8</v>
      </c>
      <c r="C477" t="s">
        <v>14</v>
      </c>
      <c r="D477" s="37" t="s">
        <v>79</v>
      </c>
      <c r="E477" s="37">
        <v>454996</v>
      </c>
      <c r="F477" s="37" t="s">
        <v>196</v>
      </c>
      <c r="G477" s="37" t="s">
        <v>148</v>
      </c>
      <c r="H477" s="37" t="s">
        <v>106</v>
      </c>
      <c r="I477" s="38"/>
      <c r="J477" s="37">
        <v>27453760</v>
      </c>
      <c r="K477" s="37" t="s">
        <v>187</v>
      </c>
      <c r="L477" s="37" t="str">
        <f>_xlfn.XLOOKUP(Tabla2__2[[#This Row],[CODIGO RUTA]],'DATA INFORME'!I:I,'DATA INFORME'!K:K)</f>
        <v xml:space="preserve"> NO</v>
      </c>
      <c r="M477" s="37" t="str">
        <f>IF(Tabla2__2[[#This Row],[MYSTERY EFECTIVO]]="SI",_xlfn.XLOOKUP(Tabla2__2[[#This Row],[PREGUNTA]],ENCUESTA!G:G,ENCUESTA!D:D),"N/A")</f>
        <v>N/A</v>
      </c>
      <c r="N4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7" s="37" t="str">
        <f>_xlfn.XLOOKUP(Tabla2__2[[#This Row],[PREGUNTA]],ENCUESTA!G:G,ENCUESTA!H:H)</f>
        <v>SI</v>
      </c>
      <c r="P477" s="37">
        <f>IF(Tabla2__2[[#This Row],[RTA]]=Tabla2__2[[#This Row],[RTA CORRECTA]],Tabla2__2[[#This Row],[TOTAL PUNTAJE]],0)</f>
        <v>0</v>
      </c>
      <c r="Q477" s="37">
        <f t="shared" si="7"/>
        <v>0</v>
      </c>
      <c r="R477" s="37"/>
    </row>
    <row r="478" spans="1:18" x14ac:dyDescent="0.25">
      <c r="A478" s="37" t="s">
        <v>107</v>
      </c>
      <c r="B478" s="37" t="s">
        <v>8</v>
      </c>
      <c r="C478" t="s">
        <v>14</v>
      </c>
      <c r="D478" s="37" t="s">
        <v>79</v>
      </c>
      <c r="E478" s="37">
        <v>454996</v>
      </c>
      <c r="F478" s="37" t="s">
        <v>196</v>
      </c>
      <c r="G478" s="37" t="s">
        <v>147</v>
      </c>
      <c r="H478" s="37" t="s">
        <v>106</v>
      </c>
      <c r="I478" s="38"/>
      <c r="J478" s="37">
        <v>27453760</v>
      </c>
      <c r="K478" s="37" t="s">
        <v>187</v>
      </c>
      <c r="L478" s="37" t="str">
        <f>_xlfn.XLOOKUP(Tabla2__2[[#This Row],[CODIGO RUTA]],'DATA INFORME'!I:I,'DATA INFORME'!K:K)</f>
        <v xml:space="preserve"> NO</v>
      </c>
      <c r="M478" s="37" t="str">
        <f>IF(Tabla2__2[[#This Row],[MYSTERY EFECTIVO]]="SI",_xlfn.XLOOKUP(Tabla2__2[[#This Row],[PREGUNTA]],ENCUESTA!G:G,ENCUESTA!D:D),"N/A")</f>
        <v>N/A</v>
      </c>
      <c r="N4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8" s="37" t="str">
        <f>_xlfn.XLOOKUP(Tabla2__2[[#This Row],[PREGUNTA]],ENCUESTA!G:G,ENCUESTA!H:H)</f>
        <v>SI</v>
      </c>
      <c r="P478" s="37">
        <f>IF(Tabla2__2[[#This Row],[RTA]]=Tabla2__2[[#This Row],[RTA CORRECTA]],Tabla2__2[[#This Row],[TOTAL PUNTAJE]],0)</f>
        <v>0</v>
      </c>
      <c r="Q478" s="37">
        <f t="shared" si="7"/>
        <v>0</v>
      </c>
      <c r="R478" s="37"/>
    </row>
    <row r="479" spans="1:18" x14ac:dyDescent="0.25">
      <c r="A479" s="37" t="s">
        <v>107</v>
      </c>
      <c r="B479" s="37" t="s">
        <v>8</v>
      </c>
      <c r="C479" t="s">
        <v>14</v>
      </c>
      <c r="D479" s="37" t="s">
        <v>79</v>
      </c>
      <c r="E479" s="37">
        <v>454996</v>
      </c>
      <c r="F479" s="37" t="s">
        <v>196</v>
      </c>
      <c r="G479" s="37" t="s">
        <v>139</v>
      </c>
      <c r="H479" s="37" t="s">
        <v>169</v>
      </c>
      <c r="I479" s="38"/>
      <c r="J479" s="37">
        <v>27453760</v>
      </c>
      <c r="K479" s="37" t="s">
        <v>187</v>
      </c>
      <c r="L479" s="37" t="str">
        <f>_xlfn.XLOOKUP(Tabla2__2[[#This Row],[CODIGO RUTA]],'DATA INFORME'!I:I,'DATA INFORME'!K:K)</f>
        <v xml:space="preserve"> NO</v>
      </c>
      <c r="M479" s="37" t="str">
        <f>IF(Tabla2__2[[#This Row],[MYSTERY EFECTIVO]]="SI",_xlfn.XLOOKUP(Tabla2__2[[#This Row],[PREGUNTA]],ENCUESTA!G:G,ENCUESTA!D:D),"N/A")</f>
        <v>N/A</v>
      </c>
      <c r="N4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9" s="37" t="str">
        <f>_xlfn.XLOOKUP(Tabla2__2[[#This Row],[PREGUNTA]],ENCUESTA!G:G,ENCUESTA!H:H)</f>
        <v>MODERNO, ESPECIALIZADO</v>
      </c>
      <c r="P479" s="37">
        <f>IF(Tabla2__2[[#This Row],[RTA]]=Tabla2__2[[#This Row],[RTA CORRECTA]],Tabla2__2[[#This Row],[TOTAL PUNTAJE]],0)</f>
        <v>0</v>
      </c>
      <c r="Q479" s="37">
        <f t="shared" si="7"/>
        <v>0</v>
      </c>
      <c r="R479" s="37"/>
    </row>
    <row r="480" spans="1:18" x14ac:dyDescent="0.25">
      <c r="A480" s="37" t="s">
        <v>107</v>
      </c>
      <c r="B480" s="37" t="s">
        <v>112</v>
      </c>
      <c r="C480" t="s">
        <v>15</v>
      </c>
      <c r="D480" s="37" t="s">
        <v>96</v>
      </c>
      <c r="E480" s="37">
        <v>13555</v>
      </c>
      <c r="F480" s="37" t="s">
        <v>204</v>
      </c>
      <c r="G480" s="37" t="s">
        <v>133</v>
      </c>
      <c r="H480" s="37" t="s">
        <v>106</v>
      </c>
      <c r="I480" s="38"/>
      <c r="J480" s="37">
        <v>27476525</v>
      </c>
      <c r="K480" s="37" t="s">
        <v>117</v>
      </c>
      <c r="L480" s="37" t="str">
        <f>_xlfn.XLOOKUP(Tabla2__2[[#This Row],[CODIGO RUTA]],'DATA INFORME'!I:I,'DATA INFORME'!K:K)</f>
        <v xml:space="preserve"> NO</v>
      </c>
      <c r="M480" s="37" t="str">
        <f>IF(Tabla2__2[[#This Row],[MYSTERY EFECTIVO]]="SI",_xlfn.XLOOKUP(Tabla2__2[[#This Row],[PREGUNTA]],ENCUESTA!G:G,ENCUESTA!D:D),"N/A")</f>
        <v>N/A</v>
      </c>
      <c r="N4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0" s="37">
        <f>_xlfn.XLOOKUP(Tabla2__2[[#This Row],[PREGUNTA]],ENCUESTA!G:G,ENCUESTA!H:H)</f>
        <v>0</v>
      </c>
      <c r="P480" s="37">
        <f>IF(Tabla2__2[[#This Row],[RTA]]=Tabla2__2[[#This Row],[RTA CORRECTA]],Tabla2__2[[#This Row],[TOTAL PUNTAJE]],0)</f>
        <v>0</v>
      </c>
      <c r="Q480" s="37">
        <f t="shared" si="7"/>
        <v>0</v>
      </c>
      <c r="R480" s="37"/>
    </row>
    <row r="481" spans="1:18" x14ac:dyDescent="0.25">
      <c r="A481" s="37" t="s">
        <v>107</v>
      </c>
      <c r="B481" s="37" t="s">
        <v>112</v>
      </c>
      <c r="C481" t="s">
        <v>15</v>
      </c>
      <c r="D481" s="37" t="s">
        <v>96</v>
      </c>
      <c r="E481" s="37">
        <v>13555</v>
      </c>
      <c r="F481" s="37" t="s">
        <v>204</v>
      </c>
      <c r="G481" s="37" t="s">
        <v>140</v>
      </c>
      <c r="H481" s="37" t="s">
        <v>106</v>
      </c>
      <c r="I481" s="38"/>
      <c r="J481" s="37">
        <v>27476525</v>
      </c>
      <c r="K481" s="37" t="s">
        <v>117</v>
      </c>
      <c r="L481" s="37" t="str">
        <f>_xlfn.XLOOKUP(Tabla2__2[[#This Row],[CODIGO RUTA]],'DATA INFORME'!I:I,'DATA INFORME'!K:K)</f>
        <v xml:space="preserve"> NO</v>
      </c>
      <c r="M481" s="37" t="str">
        <f>IF(Tabla2__2[[#This Row],[MYSTERY EFECTIVO]]="SI",_xlfn.XLOOKUP(Tabla2__2[[#This Row],[PREGUNTA]],ENCUESTA!G:G,ENCUESTA!D:D),"N/A")</f>
        <v>N/A</v>
      </c>
      <c r="N4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1" s="37" t="str">
        <f>_xlfn.XLOOKUP(Tabla2__2[[#This Row],[PREGUNTA]],ENCUESTA!G:G,ENCUESTA!H:H)</f>
        <v>SI</v>
      </c>
      <c r="P481" s="37">
        <f>IF(Tabla2__2[[#This Row],[RTA]]=Tabla2__2[[#This Row],[RTA CORRECTA]],Tabla2__2[[#This Row],[TOTAL PUNTAJE]],0)</f>
        <v>0</v>
      </c>
      <c r="Q481" s="37">
        <f t="shared" si="7"/>
        <v>0</v>
      </c>
      <c r="R481" s="37"/>
    </row>
    <row r="482" spans="1:18" x14ac:dyDescent="0.25">
      <c r="A482" s="37" t="s">
        <v>107</v>
      </c>
      <c r="B482" s="37" t="s">
        <v>112</v>
      </c>
      <c r="C482" t="s">
        <v>15</v>
      </c>
      <c r="D482" s="37" t="s">
        <v>96</v>
      </c>
      <c r="E482" s="37">
        <v>13555</v>
      </c>
      <c r="F482" s="37" t="s">
        <v>204</v>
      </c>
      <c r="G482" s="37" t="s">
        <v>141</v>
      </c>
      <c r="H482" s="37" t="s">
        <v>106</v>
      </c>
      <c r="I482" s="38"/>
      <c r="J482" s="37">
        <v>27476525</v>
      </c>
      <c r="K482" s="37" t="s">
        <v>117</v>
      </c>
      <c r="L482" s="37" t="str">
        <f>_xlfn.XLOOKUP(Tabla2__2[[#This Row],[CODIGO RUTA]],'DATA INFORME'!I:I,'DATA INFORME'!K:K)</f>
        <v xml:space="preserve"> NO</v>
      </c>
      <c r="M482" s="37" t="str">
        <f>IF(Tabla2__2[[#This Row],[MYSTERY EFECTIVO]]="SI",_xlfn.XLOOKUP(Tabla2__2[[#This Row],[PREGUNTA]],ENCUESTA!G:G,ENCUESTA!D:D),"N/A")</f>
        <v>N/A</v>
      </c>
      <c r="N4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2" s="37" t="str">
        <f>_xlfn.XLOOKUP(Tabla2__2[[#This Row],[PREGUNTA]],ENCUESTA!G:G,ENCUESTA!H:H)</f>
        <v>SI</v>
      </c>
      <c r="P482" s="37">
        <f>IF(Tabla2__2[[#This Row],[RTA]]=Tabla2__2[[#This Row],[RTA CORRECTA]],Tabla2__2[[#This Row],[TOTAL PUNTAJE]],0)</f>
        <v>0</v>
      </c>
      <c r="Q482" s="37">
        <f t="shared" si="7"/>
        <v>0</v>
      </c>
      <c r="R482" s="37"/>
    </row>
    <row r="483" spans="1:18" x14ac:dyDescent="0.25">
      <c r="A483" s="37" t="s">
        <v>107</v>
      </c>
      <c r="B483" s="37" t="s">
        <v>112</v>
      </c>
      <c r="C483" t="s">
        <v>15</v>
      </c>
      <c r="D483" s="37" t="s">
        <v>96</v>
      </c>
      <c r="E483" s="37">
        <v>13555</v>
      </c>
      <c r="F483" s="37" t="s">
        <v>204</v>
      </c>
      <c r="G483" s="37" t="s">
        <v>142</v>
      </c>
      <c r="H483" s="37" t="s">
        <v>106</v>
      </c>
      <c r="I483" s="38"/>
      <c r="J483" s="37">
        <v>27476525</v>
      </c>
      <c r="K483" s="37" t="s">
        <v>117</v>
      </c>
      <c r="L483" s="37" t="str">
        <f>_xlfn.XLOOKUP(Tabla2__2[[#This Row],[CODIGO RUTA]],'DATA INFORME'!I:I,'DATA INFORME'!K:K)</f>
        <v xml:space="preserve"> NO</v>
      </c>
      <c r="M483" s="37" t="str">
        <f>IF(Tabla2__2[[#This Row],[MYSTERY EFECTIVO]]="SI",_xlfn.XLOOKUP(Tabla2__2[[#This Row],[PREGUNTA]],ENCUESTA!G:G,ENCUESTA!D:D),"N/A")</f>
        <v>N/A</v>
      </c>
      <c r="N4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3" s="37" t="str">
        <f>_xlfn.XLOOKUP(Tabla2__2[[#This Row],[PREGUNTA]],ENCUESTA!G:G,ENCUESTA!H:H)</f>
        <v>SI</v>
      </c>
      <c r="P483" s="37">
        <f>IF(Tabla2__2[[#This Row],[RTA]]=Tabla2__2[[#This Row],[RTA CORRECTA]],Tabla2__2[[#This Row],[TOTAL PUNTAJE]],0)</f>
        <v>0</v>
      </c>
      <c r="Q483" s="37">
        <f t="shared" si="7"/>
        <v>0</v>
      </c>
      <c r="R483" s="37"/>
    </row>
    <row r="484" spans="1:18" x14ac:dyDescent="0.25">
      <c r="A484" s="37" t="s">
        <v>107</v>
      </c>
      <c r="B484" s="37" t="s">
        <v>112</v>
      </c>
      <c r="C484" t="s">
        <v>14</v>
      </c>
      <c r="D484" s="37" t="s">
        <v>161</v>
      </c>
      <c r="E484" s="37">
        <v>356594</v>
      </c>
      <c r="F484" s="37" t="s">
        <v>213</v>
      </c>
      <c r="G484" s="37" t="s">
        <v>148</v>
      </c>
      <c r="H484" s="37" t="s">
        <v>106</v>
      </c>
      <c r="I484" s="38"/>
      <c r="J484" s="37">
        <v>27480859</v>
      </c>
      <c r="K484" s="37" t="s">
        <v>117</v>
      </c>
      <c r="L484" s="37" t="str">
        <f>_xlfn.XLOOKUP(Tabla2__2[[#This Row],[CODIGO RUTA]],'DATA INFORME'!I:I,'DATA INFORME'!K:K)</f>
        <v>SI</v>
      </c>
      <c r="M484" s="37" t="str">
        <f>IF(Tabla2__2[[#This Row],[MYSTERY EFECTIVO]]="SI",_xlfn.XLOOKUP(Tabla2__2[[#This Row],[PREGUNTA]],ENCUESTA!G:G,ENCUESTA!D:D),"N/A")</f>
        <v>PORTAFOLIO Y MANEJO DE OBJECIONES</v>
      </c>
      <c r="N4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84" s="37" t="str">
        <f>_xlfn.XLOOKUP(Tabla2__2[[#This Row],[PREGUNTA]],ENCUESTA!G:G,ENCUESTA!H:H)</f>
        <v>SI</v>
      </c>
      <c r="P484" s="37">
        <f>IF(Tabla2__2[[#This Row],[RTA]]=Tabla2__2[[#This Row],[RTA CORRECTA]],Tabla2__2[[#This Row],[TOTAL PUNTAJE]],0)</f>
        <v>0</v>
      </c>
      <c r="Q484" s="37">
        <f t="shared" si="7"/>
        <v>0</v>
      </c>
      <c r="R484" s="37"/>
    </row>
    <row r="485" spans="1:18" x14ac:dyDescent="0.25">
      <c r="A485" s="37" t="s">
        <v>107</v>
      </c>
      <c r="B485" s="37" t="s">
        <v>112</v>
      </c>
      <c r="C485" t="s">
        <v>14</v>
      </c>
      <c r="D485" s="37" t="s">
        <v>161</v>
      </c>
      <c r="E485" s="37">
        <v>356594</v>
      </c>
      <c r="F485" s="37" t="s">
        <v>213</v>
      </c>
      <c r="G485" s="37" t="s">
        <v>147</v>
      </c>
      <c r="H485" s="37" t="s">
        <v>20</v>
      </c>
      <c r="I485" s="38"/>
      <c r="J485" s="37">
        <v>27480859</v>
      </c>
      <c r="K485" s="37" t="s">
        <v>117</v>
      </c>
      <c r="L485" s="37" t="str">
        <f>_xlfn.XLOOKUP(Tabla2__2[[#This Row],[CODIGO RUTA]],'DATA INFORME'!I:I,'DATA INFORME'!K:K)</f>
        <v>SI</v>
      </c>
      <c r="M485" s="37" t="str">
        <f>IF(Tabla2__2[[#This Row],[MYSTERY EFECTIVO]]="SI",_xlfn.XLOOKUP(Tabla2__2[[#This Row],[PREGUNTA]],ENCUESTA!G:G,ENCUESTA!D:D),"N/A")</f>
        <v>PORTAFOLIO Y MANEJO DE OBJECIONES</v>
      </c>
      <c r="N4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85" s="37" t="str">
        <f>_xlfn.XLOOKUP(Tabla2__2[[#This Row],[PREGUNTA]],ENCUESTA!G:G,ENCUESTA!H:H)</f>
        <v>SI</v>
      </c>
      <c r="P485" s="37">
        <f>IF(Tabla2__2[[#This Row],[RTA]]=Tabla2__2[[#This Row],[RTA CORRECTA]],Tabla2__2[[#This Row],[TOTAL PUNTAJE]],0)</f>
        <v>1.5384615384615385</v>
      </c>
      <c r="Q485" s="37">
        <f t="shared" si="7"/>
        <v>0</v>
      </c>
      <c r="R485" s="37"/>
    </row>
    <row r="486" spans="1:18" x14ac:dyDescent="0.25">
      <c r="A486" s="37" t="s">
        <v>107</v>
      </c>
      <c r="B486" s="37" t="s">
        <v>112</v>
      </c>
      <c r="C486" t="s">
        <v>14</v>
      </c>
      <c r="D486" s="37" t="s">
        <v>161</v>
      </c>
      <c r="E486" s="37">
        <v>356594</v>
      </c>
      <c r="F486" s="37" t="s">
        <v>213</v>
      </c>
      <c r="G486" s="37" t="s">
        <v>139</v>
      </c>
      <c r="H486" s="37" t="s">
        <v>169</v>
      </c>
      <c r="I486" s="38"/>
      <c r="J486" s="37">
        <v>27480859</v>
      </c>
      <c r="K486" s="37" t="s">
        <v>117</v>
      </c>
      <c r="L486" s="37" t="str">
        <f>_xlfn.XLOOKUP(Tabla2__2[[#This Row],[CODIGO RUTA]],'DATA INFORME'!I:I,'DATA INFORME'!K:K)</f>
        <v>SI</v>
      </c>
      <c r="M486" s="37" t="str">
        <f>IF(Tabla2__2[[#This Row],[MYSTERY EFECTIVO]]="SI",_xlfn.XLOOKUP(Tabla2__2[[#This Row],[PREGUNTA]],ENCUESTA!G:G,ENCUESTA!D:D),"N/A")</f>
        <v>N/A</v>
      </c>
      <c r="N4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6" s="37" t="str">
        <f>_xlfn.XLOOKUP(Tabla2__2[[#This Row],[PREGUNTA]],ENCUESTA!G:G,ENCUESTA!H:H)</f>
        <v>MODERNO, ESPECIALIZADO</v>
      </c>
      <c r="P486" s="37">
        <f>IF(Tabla2__2[[#This Row],[RTA]]=Tabla2__2[[#This Row],[RTA CORRECTA]],Tabla2__2[[#This Row],[TOTAL PUNTAJE]],0)</f>
        <v>0</v>
      </c>
      <c r="Q486" s="37">
        <f t="shared" si="7"/>
        <v>0</v>
      </c>
      <c r="R486" s="37"/>
    </row>
    <row r="487" spans="1:18" x14ac:dyDescent="0.25">
      <c r="A487" s="37" t="s">
        <v>107</v>
      </c>
      <c r="B487" s="37" t="s">
        <v>112</v>
      </c>
      <c r="C487" t="s">
        <v>14</v>
      </c>
      <c r="D487" s="37" t="s">
        <v>161</v>
      </c>
      <c r="E487" s="37">
        <v>356594</v>
      </c>
      <c r="F487" s="37" t="s">
        <v>213</v>
      </c>
      <c r="G487" s="37" t="s">
        <v>138</v>
      </c>
      <c r="H487" s="37" t="s">
        <v>20</v>
      </c>
      <c r="I487" s="38"/>
      <c r="J487" s="37">
        <v>27480859</v>
      </c>
      <c r="K487" s="37" t="s">
        <v>117</v>
      </c>
      <c r="L487" s="37" t="str">
        <f>_xlfn.XLOOKUP(Tabla2__2[[#This Row],[CODIGO RUTA]],'DATA INFORME'!I:I,'DATA INFORME'!K:K)</f>
        <v>SI</v>
      </c>
      <c r="M487" s="37" t="str">
        <f>IF(Tabla2__2[[#This Row],[MYSTERY EFECTIVO]]="SI",_xlfn.XLOOKUP(Tabla2__2[[#This Row],[PREGUNTA]],ENCUESTA!G:G,ENCUESTA!D:D),"N/A")</f>
        <v>PORTAFOLIO Y MANEJO DE OBJECIONES</v>
      </c>
      <c r="N4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87" s="37" t="str">
        <f>_xlfn.XLOOKUP(Tabla2__2[[#This Row],[PREGUNTA]],ENCUESTA!G:G,ENCUESTA!H:H)</f>
        <v>SI</v>
      </c>
      <c r="P487" s="37">
        <f>IF(Tabla2__2[[#This Row],[RTA]]=Tabla2__2[[#This Row],[RTA CORRECTA]],Tabla2__2[[#This Row],[TOTAL PUNTAJE]],0)</f>
        <v>1.5384615384615385</v>
      </c>
      <c r="Q487" s="37">
        <f t="shared" si="7"/>
        <v>0</v>
      </c>
      <c r="R487" s="37"/>
    </row>
    <row r="488" spans="1:18" x14ac:dyDescent="0.25">
      <c r="A488" s="37" t="s">
        <v>107</v>
      </c>
      <c r="B488" s="37" t="s">
        <v>112</v>
      </c>
      <c r="C488" t="s">
        <v>14</v>
      </c>
      <c r="D488" s="37" t="s">
        <v>161</v>
      </c>
      <c r="E488" s="37">
        <v>356594</v>
      </c>
      <c r="F488" s="37" t="s">
        <v>213</v>
      </c>
      <c r="G488" s="37" t="s">
        <v>137</v>
      </c>
      <c r="H488" s="37" t="s">
        <v>20</v>
      </c>
      <c r="I488" s="38"/>
      <c r="J488" s="37">
        <v>27480859</v>
      </c>
      <c r="K488" s="37" t="s">
        <v>117</v>
      </c>
      <c r="L488" s="37" t="str">
        <f>_xlfn.XLOOKUP(Tabla2__2[[#This Row],[CODIGO RUTA]],'DATA INFORME'!I:I,'DATA INFORME'!K:K)</f>
        <v>SI</v>
      </c>
      <c r="M488" s="37" t="str">
        <f>IF(Tabla2__2[[#This Row],[MYSTERY EFECTIVO]]="SI",_xlfn.XLOOKUP(Tabla2__2[[#This Row],[PREGUNTA]],ENCUESTA!G:G,ENCUESTA!D:D),"N/A")</f>
        <v>PORTAFOLIO Y MANEJO DE OBJECIONES</v>
      </c>
      <c r="N4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1.5384615384615385</v>
      </c>
      <c r="O488" s="37" t="str">
        <f>_xlfn.XLOOKUP(Tabla2__2[[#This Row],[PREGUNTA]],ENCUESTA!G:G,ENCUESTA!H:H)</f>
        <v>SI</v>
      </c>
      <c r="P488" s="37">
        <f>IF(Tabla2__2[[#This Row],[RTA]]=Tabla2__2[[#This Row],[RTA CORRECTA]],Tabla2__2[[#This Row],[TOTAL PUNTAJE]],0)</f>
        <v>1.5384615384615385</v>
      </c>
      <c r="Q488" s="37">
        <f t="shared" si="7"/>
        <v>0</v>
      </c>
      <c r="R488" s="37"/>
    </row>
    <row r="489" spans="1:18" x14ac:dyDescent="0.25">
      <c r="A489" s="37" t="s">
        <v>107</v>
      </c>
      <c r="B489" s="37" t="s">
        <v>112</v>
      </c>
      <c r="C489" t="s">
        <v>14</v>
      </c>
      <c r="D489" s="37" t="s">
        <v>161</v>
      </c>
      <c r="E489" s="37">
        <v>356594</v>
      </c>
      <c r="F489" s="37" t="s">
        <v>213</v>
      </c>
      <c r="G489" s="37" t="s">
        <v>136</v>
      </c>
      <c r="H489" s="37" t="s">
        <v>20</v>
      </c>
      <c r="I489" s="38"/>
      <c r="J489" s="37">
        <v>27480859</v>
      </c>
      <c r="K489" s="37" t="s">
        <v>117</v>
      </c>
      <c r="L489" s="37" t="str">
        <f>_xlfn.XLOOKUP(Tabla2__2[[#This Row],[CODIGO RUTA]],'DATA INFORME'!I:I,'DATA INFORME'!K:K)</f>
        <v>SI</v>
      </c>
      <c r="M489" s="37" t="str">
        <f>IF(Tabla2__2[[#This Row],[MYSTERY EFECTIVO]]="SI",_xlfn.XLOOKUP(Tabla2__2[[#This Row],[PREGUNTA]],ENCUESTA!G:G,ENCUESTA!D:D),"N/A")</f>
        <v>ABORDAJE</v>
      </c>
      <c r="N4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89" s="37" t="str">
        <f>_xlfn.XLOOKUP(Tabla2__2[[#This Row],[PREGUNTA]],ENCUESTA!G:G,ENCUESTA!H:H)</f>
        <v>SI</v>
      </c>
      <c r="P489" s="37">
        <f>IF(Tabla2__2[[#This Row],[RTA]]=Tabla2__2[[#This Row],[RTA CORRECTA]],Tabla2__2[[#This Row],[TOTAL PUNTAJE]],0)</f>
        <v>20</v>
      </c>
      <c r="Q489" s="37">
        <f t="shared" si="7"/>
        <v>0</v>
      </c>
      <c r="R489" s="37"/>
    </row>
    <row r="490" spans="1:18" x14ac:dyDescent="0.25">
      <c r="A490" s="37" t="s">
        <v>107</v>
      </c>
      <c r="B490" s="37" t="s">
        <v>112</v>
      </c>
      <c r="C490" t="s">
        <v>14</v>
      </c>
      <c r="D490" s="37" t="s">
        <v>161</v>
      </c>
      <c r="E490" s="37">
        <v>356594</v>
      </c>
      <c r="F490" s="37" t="s">
        <v>213</v>
      </c>
      <c r="G490" s="37" t="s">
        <v>104</v>
      </c>
      <c r="H490" s="37" t="s">
        <v>106</v>
      </c>
      <c r="I490" s="38"/>
      <c r="J490" s="37">
        <v>27480859</v>
      </c>
      <c r="K490" s="37" t="s">
        <v>117</v>
      </c>
      <c r="L490" s="37" t="str">
        <f>_xlfn.XLOOKUP(Tabla2__2[[#This Row],[CODIGO RUTA]],'DATA INFORME'!I:I,'DATA INFORME'!K:K)</f>
        <v>SI</v>
      </c>
      <c r="M490" s="37" t="str">
        <f>IF(Tabla2__2[[#This Row],[MYSTERY EFECTIVO]]="SI",_xlfn.XLOOKUP(Tabla2__2[[#This Row],[PREGUNTA]],ENCUESTA!G:G,ENCUESTA!D:D),"N/A")</f>
        <v>UNIFORME</v>
      </c>
      <c r="N4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0" s="37" t="str">
        <f>_xlfn.XLOOKUP(Tabla2__2[[#This Row],[PREGUNTA]],ENCUESTA!G:G,ENCUESTA!H:H)</f>
        <v>NO</v>
      </c>
      <c r="P490" s="37">
        <f>IF(Tabla2__2[[#This Row],[RTA]]=Tabla2__2[[#This Row],[RTA CORRECTA]],Tabla2__2[[#This Row],[TOTAL PUNTAJE]],0)</f>
        <v>1.3636363636363635</v>
      </c>
      <c r="Q490" s="37">
        <f t="shared" si="7"/>
        <v>0</v>
      </c>
      <c r="R490" s="37"/>
    </row>
    <row r="491" spans="1:18" x14ac:dyDescent="0.25">
      <c r="A491" s="37" t="s">
        <v>107</v>
      </c>
      <c r="B491" s="37" t="s">
        <v>112</v>
      </c>
      <c r="C491" t="s">
        <v>14</v>
      </c>
      <c r="D491" s="37" t="s">
        <v>161</v>
      </c>
      <c r="E491" s="37">
        <v>356594</v>
      </c>
      <c r="F491" s="37" t="s">
        <v>213</v>
      </c>
      <c r="G491" s="37" t="s">
        <v>103</v>
      </c>
      <c r="H491" s="37" t="s">
        <v>106</v>
      </c>
      <c r="I491" s="38"/>
      <c r="J491" s="37">
        <v>27480859</v>
      </c>
      <c r="K491" s="37" t="s">
        <v>117</v>
      </c>
      <c r="L491" s="37" t="str">
        <f>_xlfn.XLOOKUP(Tabla2__2[[#This Row],[CODIGO RUTA]],'DATA INFORME'!I:I,'DATA INFORME'!K:K)</f>
        <v>SI</v>
      </c>
      <c r="M491" s="37" t="str">
        <f>IF(Tabla2__2[[#This Row],[MYSTERY EFECTIVO]]="SI",_xlfn.XLOOKUP(Tabla2__2[[#This Row],[PREGUNTA]],ENCUESTA!G:G,ENCUESTA!D:D),"N/A")</f>
        <v>UNIFORME</v>
      </c>
      <c r="N4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1" s="37" t="str">
        <f>_xlfn.XLOOKUP(Tabla2__2[[#This Row],[PREGUNTA]],ENCUESTA!G:G,ENCUESTA!H:H)</f>
        <v>NO</v>
      </c>
      <c r="P491" s="37">
        <f>IF(Tabla2__2[[#This Row],[RTA]]=Tabla2__2[[#This Row],[RTA CORRECTA]],Tabla2__2[[#This Row],[TOTAL PUNTAJE]],0)</f>
        <v>1.3636363636363635</v>
      </c>
      <c r="Q491" s="37">
        <f t="shared" si="7"/>
        <v>0</v>
      </c>
      <c r="R491" s="37"/>
    </row>
    <row r="492" spans="1:18" x14ac:dyDescent="0.25">
      <c r="A492" s="37" t="s">
        <v>107</v>
      </c>
      <c r="B492" s="37" t="s">
        <v>112</v>
      </c>
      <c r="C492" t="s">
        <v>14</v>
      </c>
      <c r="D492" s="37" t="s">
        <v>161</v>
      </c>
      <c r="E492" s="37">
        <v>356594</v>
      </c>
      <c r="F492" s="37" t="s">
        <v>213</v>
      </c>
      <c r="G492" s="37" t="s">
        <v>102</v>
      </c>
      <c r="H492" s="37" t="s">
        <v>106</v>
      </c>
      <c r="I492" s="38"/>
      <c r="J492" s="37">
        <v>27480859</v>
      </c>
      <c r="K492" s="37" t="s">
        <v>117</v>
      </c>
      <c r="L492" s="37" t="str">
        <f>_xlfn.XLOOKUP(Tabla2__2[[#This Row],[CODIGO RUTA]],'DATA INFORME'!I:I,'DATA INFORME'!K:K)</f>
        <v>SI</v>
      </c>
      <c r="M492" s="37" t="str">
        <f>IF(Tabla2__2[[#This Row],[MYSTERY EFECTIVO]]="SI",_xlfn.XLOOKUP(Tabla2__2[[#This Row],[PREGUNTA]],ENCUESTA!G:G,ENCUESTA!D:D),"N/A")</f>
        <v>UNIFORME</v>
      </c>
      <c r="N4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2" s="37" t="str">
        <f>_xlfn.XLOOKUP(Tabla2__2[[#This Row],[PREGUNTA]],ENCUESTA!G:G,ENCUESTA!H:H)</f>
        <v>NO</v>
      </c>
      <c r="P492" s="37">
        <f>IF(Tabla2__2[[#This Row],[RTA]]=Tabla2__2[[#This Row],[RTA CORRECTA]],Tabla2__2[[#This Row],[TOTAL PUNTAJE]],0)</f>
        <v>1.3636363636363635</v>
      </c>
      <c r="Q492" s="37">
        <f t="shared" si="7"/>
        <v>0</v>
      </c>
      <c r="R492" s="37"/>
    </row>
    <row r="493" spans="1:18" x14ac:dyDescent="0.25">
      <c r="A493" s="37" t="s">
        <v>107</v>
      </c>
      <c r="B493" s="37" t="s">
        <v>112</v>
      </c>
      <c r="C493" t="s">
        <v>14</v>
      </c>
      <c r="D493" s="37" t="s">
        <v>161</v>
      </c>
      <c r="E493" s="37">
        <v>356594</v>
      </c>
      <c r="F493" s="37" t="s">
        <v>213</v>
      </c>
      <c r="G493" s="37" t="s">
        <v>101</v>
      </c>
      <c r="H493" s="37" t="s">
        <v>106</v>
      </c>
      <c r="I493" s="38"/>
      <c r="J493" s="37">
        <v>27480859</v>
      </c>
      <c r="K493" s="37" t="s">
        <v>117</v>
      </c>
      <c r="L493" s="37" t="str">
        <f>_xlfn.XLOOKUP(Tabla2__2[[#This Row],[CODIGO RUTA]],'DATA INFORME'!I:I,'DATA INFORME'!K:K)</f>
        <v>SI</v>
      </c>
      <c r="M493" s="37" t="str">
        <f>IF(Tabla2__2[[#This Row],[MYSTERY EFECTIVO]]="SI",_xlfn.XLOOKUP(Tabla2__2[[#This Row],[PREGUNTA]],ENCUESTA!G:G,ENCUESTA!D:D),"N/A")</f>
        <v>UNIFORME</v>
      </c>
      <c r="N4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3" s="37" t="str">
        <f>_xlfn.XLOOKUP(Tabla2__2[[#This Row],[PREGUNTA]],ENCUESTA!G:G,ENCUESTA!H:H)</f>
        <v>NO</v>
      </c>
      <c r="P493" s="37">
        <f>IF(Tabla2__2[[#This Row],[RTA]]=Tabla2__2[[#This Row],[RTA CORRECTA]],Tabla2__2[[#This Row],[TOTAL PUNTAJE]],0)</f>
        <v>1.3636363636363635</v>
      </c>
      <c r="Q493" s="37">
        <f t="shared" si="7"/>
        <v>0</v>
      </c>
      <c r="R493" s="37"/>
    </row>
    <row r="494" spans="1:18" x14ac:dyDescent="0.25">
      <c r="A494" s="37" t="s">
        <v>107</v>
      </c>
      <c r="B494" s="37" t="s">
        <v>112</v>
      </c>
      <c r="C494" t="s">
        <v>14</v>
      </c>
      <c r="D494" s="37" t="s">
        <v>161</v>
      </c>
      <c r="E494" s="37">
        <v>356594</v>
      </c>
      <c r="F494" s="37" t="s">
        <v>213</v>
      </c>
      <c r="G494" s="37" t="s">
        <v>100</v>
      </c>
      <c r="H494" s="37" t="s">
        <v>20</v>
      </c>
      <c r="I494" s="38"/>
      <c r="J494" s="37">
        <v>27480859</v>
      </c>
      <c r="K494" s="37" t="s">
        <v>117</v>
      </c>
      <c r="L494" s="37" t="str">
        <f>_xlfn.XLOOKUP(Tabla2__2[[#This Row],[CODIGO RUTA]],'DATA INFORME'!I:I,'DATA INFORME'!K:K)</f>
        <v>SI</v>
      </c>
      <c r="M494" s="37" t="str">
        <f>IF(Tabla2__2[[#This Row],[MYSTERY EFECTIVO]]="SI",_xlfn.XLOOKUP(Tabla2__2[[#This Row],[PREGUNTA]],ENCUESTA!G:G,ENCUESTA!D:D),"N/A")</f>
        <v>UNIFORME</v>
      </c>
      <c r="N4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4" s="37" t="str">
        <f>_xlfn.XLOOKUP(Tabla2__2[[#This Row],[PREGUNTA]],ENCUESTA!G:G,ENCUESTA!H:H)</f>
        <v>SI</v>
      </c>
      <c r="P494" s="37">
        <f>IF(Tabla2__2[[#This Row],[RTA]]=Tabla2__2[[#This Row],[RTA CORRECTA]],Tabla2__2[[#This Row],[TOTAL PUNTAJE]],0)</f>
        <v>1.3636363636363635</v>
      </c>
      <c r="Q494" s="37">
        <f t="shared" si="7"/>
        <v>0</v>
      </c>
      <c r="R494" s="37"/>
    </row>
    <row r="495" spans="1:18" x14ac:dyDescent="0.25">
      <c r="A495" s="37" t="s">
        <v>107</v>
      </c>
      <c r="B495" s="37" t="s">
        <v>112</v>
      </c>
      <c r="C495" t="s">
        <v>14</v>
      </c>
      <c r="D495" s="37" t="s">
        <v>161</v>
      </c>
      <c r="E495" s="37">
        <v>356594</v>
      </c>
      <c r="F495" s="37" t="s">
        <v>213</v>
      </c>
      <c r="G495" s="37" t="s">
        <v>99</v>
      </c>
      <c r="H495" s="37" t="s">
        <v>20</v>
      </c>
      <c r="I495" s="38"/>
      <c r="J495" s="37">
        <v>27480859</v>
      </c>
      <c r="K495" s="37" t="s">
        <v>117</v>
      </c>
      <c r="L495" s="37" t="str">
        <f>_xlfn.XLOOKUP(Tabla2__2[[#This Row],[CODIGO RUTA]],'DATA INFORME'!I:I,'DATA INFORME'!K:K)</f>
        <v>SI</v>
      </c>
      <c r="M495" s="37" t="str">
        <f>IF(Tabla2__2[[#This Row],[MYSTERY EFECTIVO]]="SI",_xlfn.XLOOKUP(Tabla2__2[[#This Row],[PREGUNTA]],ENCUESTA!G:G,ENCUESTA!D:D),"N/A")</f>
        <v>UNIFORME</v>
      </c>
      <c r="N4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5" s="37" t="str">
        <f>_xlfn.XLOOKUP(Tabla2__2[[#This Row],[PREGUNTA]],ENCUESTA!G:G,ENCUESTA!H:H)</f>
        <v>SI</v>
      </c>
      <c r="P495" s="37">
        <f>IF(Tabla2__2[[#This Row],[RTA]]=Tabla2__2[[#This Row],[RTA CORRECTA]],Tabla2__2[[#This Row],[TOTAL PUNTAJE]],0)</f>
        <v>1.3636363636363635</v>
      </c>
      <c r="Q495" s="37">
        <f t="shared" si="7"/>
        <v>0</v>
      </c>
      <c r="R495" s="37"/>
    </row>
    <row r="496" spans="1:18" x14ac:dyDescent="0.25">
      <c r="A496" s="37" t="s">
        <v>107</v>
      </c>
      <c r="B496" s="37" t="s">
        <v>112</v>
      </c>
      <c r="C496" t="s">
        <v>14</v>
      </c>
      <c r="D496" s="37" t="s">
        <v>161</v>
      </c>
      <c r="E496" s="37">
        <v>356594</v>
      </c>
      <c r="F496" s="37" t="s">
        <v>213</v>
      </c>
      <c r="G496" s="37" t="s">
        <v>135</v>
      </c>
      <c r="H496" s="37" t="s">
        <v>106</v>
      </c>
      <c r="I496" s="38"/>
      <c r="J496" s="37">
        <v>27480859</v>
      </c>
      <c r="K496" s="37" t="s">
        <v>117</v>
      </c>
      <c r="L496" s="37" t="str">
        <f>_xlfn.XLOOKUP(Tabla2__2[[#This Row],[CODIGO RUTA]],'DATA INFORME'!I:I,'DATA INFORME'!K:K)</f>
        <v>SI</v>
      </c>
      <c r="M496" s="37" t="str">
        <f>IF(Tabla2__2[[#This Row],[MYSTERY EFECTIVO]]="SI",_xlfn.XLOOKUP(Tabla2__2[[#This Row],[PREGUNTA]],ENCUESTA!G:G,ENCUESTA!D:D),"N/A")</f>
        <v>UNIFORME</v>
      </c>
      <c r="N4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6" s="37" t="str">
        <f>_xlfn.XLOOKUP(Tabla2__2[[#This Row],[PREGUNTA]],ENCUESTA!G:G,ENCUESTA!H:H)</f>
        <v>NO</v>
      </c>
      <c r="P496" s="37">
        <f>IF(Tabla2__2[[#This Row],[RTA]]=Tabla2__2[[#This Row],[RTA CORRECTA]],Tabla2__2[[#This Row],[TOTAL PUNTAJE]],0)</f>
        <v>1.3636363636363635</v>
      </c>
      <c r="Q496" s="37">
        <f t="shared" si="7"/>
        <v>0</v>
      </c>
      <c r="R496" s="37"/>
    </row>
    <row r="497" spans="1:18" x14ac:dyDescent="0.25">
      <c r="A497" s="37" t="s">
        <v>107</v>
      </c>
      <c r="B497" s="37" t="s">
        <v>112</v>
      </c>
      <c r="C497" t="s">
        <v>14</v>
      </c>
      <c r="D497" s="37" t="s">
        <v>161</v>
      </c>
      <c r="E497" s="37">
        <v>356594</v>
      </c>
      <c r="F497" s="37" t="s">
        <v>213</v>
      </c>
      <c r="G497" s="37" t="s">
        <v>35</v>
      </c>
      <c r="H497" s="37" t="s">
        <v>20</v>
      </c>
      <c r="I497" s="38"/>
      <c r="J497" s="37">
        <v>27480859</v>
      </c>
      <c r="K497" s="37" t="s">
        <v>117</v>
      </c>
      <c r="L497" s="37" t="str">
        <f>_xlfn.XLOOKUP(Tabla2__2[[#This Row],[CODIGO RUTA]],'DATA INFORME'!I:I,'DATA INFORME'!K:K)</f>
        <v>SI</v>
      </c>
      <c r="M497" s="37" t="str">
        <f>IF(Tabla2__2[[#This Row],[MYSTERY EFECTIVO]]="SI",_xlfn.XLOOKUP(Tabla2__2[[#This Row],[PREGUNTA]],ENCUESTA!G:G,ENCUESTA!D:D),"N/A")</f>
        <v>UNIFORME</v>
      </c>
      <c r="N4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7" s="37" t="str">
        <f>_xlfn.XLOOKUP(Tabla2__2[[#This Row],[PREGUNTA]],ENCUESTA!G:G,ENCUESTA!H:H)</f>
        <v>SI</v>
      </c>
      <c r="P497" s="37">
        <f>IF(Tabla2__2[[#This Row],[RTA]]=Tabla2__2[[#This Row],[RTA CORRECTA]],Tabla2__2[[#This Row],[TOTAL PUNTAJE]],0)</f>
        <v>1.3636363636363635</v>
      </c>
      <c r="Q497" s="37">
        <f t="shared" si="7"/>
        <v>0</v>
      </c>
      <c r="R497" s="37"/>
    </row>
    <row r="498" spans="1:18" x14ac:dyDescent="0.25">
      <c r="A498" s="37" t="s">
        <v>107</v>
      </c>
      <c r="B498" s="37" t="s">
        <v>112</v>
      </c>
      <c r="C498" t="s">
        <v>14</v>
      </c>
      <c r="D498" s="37" t="s">
        <v>161</v>
      </c>
      <c r="E498" s="37">
        <v>356594</v>
      </c>
      <c r="F498" s="37" t="s">
        <v>213</v>
      </c>
      <c r="G498" s="37" t="s">
        <v>134</v>
      </c>
      <c r="H498" s="37" t="s">
        <v>20</v>
      </c>
      <c r="I498" s="38"/>
      <c r="J498" s="37">
        <v>27480859</v>
      </c>
      <c r="K498" s="37" t="s">
        <v>117</v>
      </c>
      <c r="L498" s="37" t="str">
        <f>_xlfn.XLOOKUP(Tabla2__2[[#This Row],[CODIGO RUTA]],'DATA INFORME'!I:I,'DATA INFORME'!K:K)</f>
        <v>SI</v>
      </c>
      <c r="M498" s="37" t="str">
        <f>IF(Tabla2__2[[#This Row],[MYSTERY EFECTIVO]]="SI",_xlfn.XLOOKUP(Tabla2__2[[#This Row],[PREGUNTA]],ENCUESTA!G:G,ENCUESTA!D:D),"N/A")</f>
        <v>UNIFORME</v>
      </c>
      <c r="N4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8" s="37" t="str">
        <f>_xlfn.XLOOKUP(Tabla2__2[[#This Row],[PREGUNTA]],ENCUESTA!G:G,ENCUESTA!H:H)</f>
        <v>SI</v>
      </c>
      <c r="P498" s="37">
        <f>IF(Tabla2__2[[#This Row],[RTA]]=Tabla2__2[[#This Row],[RTA CORRECTA]],Tabla2__2[[#This Row],[TOTAL PUNTAJE]],0)</f>
        <v>1.3636363636363635</v>
      </c>
      <c r="Q498" s="37">
        <f t="shared" si="7"/>
        <v>0</v>
      </c>
      <c r="R498" s="37"/>
    </row>
    <row r="499" spans="1:18" x14ac:dyDescent="0.25">
      <c r="A499" s="37" t="s">
        <v>107</v>
      </c>
      <c r="B499" s="37" t="s">
        <v>112</v>
      </c>
      <c r="C499" t="s">
        <v>14</v>
      </c>
      <c r="D499" s="37" t="s">
        <v>161</v>
      </c>
      <c r="E499" s="37">
        <v>356594</v>
      </c>
      <c r="F499" s="37" t="s">
        <v>213</v>
      </c>
      <c r="G499" s="37" t="s">
        <v>98</v>
      </c>
      <c r="H499" s="37" t="s">
        <v>20</v>
      </c>
      <c r="I499" s="38"/>
      <c r="J499" s="37">
        <v>27480859</v>
      </c>
      <c r="K499" s="37" t="s">
        <v>117</v>
      </c>
      <c r="L499" s="37" t="str">
        <f>_xlfn.XLOOKUP(Tabla2__2[[#This Row],[CODIGO RUTA]],'DATA INFORME'!I:I,'DATA INFORME'!K:K)</f>
        <v>SI</v>
      </c>
      <c r="M499" s="37" t="str">
        <f>IF(Tabla2__2[[#This Row],[MYSTERY EFECTIVO]]="SI",_xlfn.XLOOKUP(Tabla2__2[[#This Row],[PREGUNTA]],ENCUESTA!G:G,ENCUESTA!D:D),"N/A")</f>
        <v>UNIFORME</v>
      </c>
      <c r="N4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1.3636363636363635</v>
      </c>
      <c r="O499" s="37" t="str">
        <f>_xlfn.XLOOKUP(Tabla2__2[[#This Row],[PREGUNTA]],ENCUESTA!G:G,ENCUESTA!H:H)</f>
        <v>SI</v>
      </c>
      <c r="P499" s="37">
        <f>IF(Tabla2__2[[#This Row],[RTA]]=Tabla2__2[[#This Row],[RTA CORRECTA]],Tabla2__2[[#This Row],[TOTAL PUNTAJE]],0)</f>
        <v>1.3636363636363635</v>
      </c>
      <c r="Q499" s="37">
        <f t="shared" si="7"/>
        <v>0</v>
      </c>
      <c r="R499" s="37"/>
    </row>
    <row r="500" spans="1:18" x14ac:dyDescent="0.25">
      <c r="A500" s="37" t="s">
        <v>107</v>
      </c>
      <c r="B500" s="37" t="s">
        <v>112</v>
      </c>
      <c r="C500" t="s">
        <v>14</v>
      </c>
      <c r="D500" s="37" t="s">
        <v>161</v>
      </c>
      <c r="E500" s="37">
        <v>356594</v>
      </c>
      <c r="F500" s="37" t="s">
        <v>213</v>
      </c>
      <c r="G500" s="37" t="s">
        <v>97</v>
      </c>
      <c r="H500" s="37" t="s">
        <v>20</v>
      </c>
      <c r="I500" s="38"/>
      <c r="J500" s="37">
        <v>27480859</v>
      </c>
      <c r="K500" s="37" t="s">
        <v>117</v>
      </c>
      <c r="L500" s="37" t="str">
        <f>_xlfn.XLOOKUP(Tabla2__2[[#This Row],[CODIGO RUTA]],'DATA INFORME'!I:I,'DATA INFORME'!K:K)</f>
        <v>SI</v>
      </c>
      <c r="M500" s="37" t="str">
        <f>IF(Tabla2__2[[#This Row],[MYSTERY EFECTIVO]]="SI",_xlfn.XLOOKUP(Tabla2__2[[#This Row],[PREGUNTA]],ENCUESTA!G:G,ENCUESTA!D:D),"N/A")</f>
        <v>HORARIO</v>
      </c>
      <c r="N5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00" s="37" t="str">
        <f>_xlfn.XLOOKUP(Tabla2__2[[#This Row],[PREGUNTA]],ENCUESTA!G:G,ENCUESTA!H:H)</f>
        <v>SI</v>
      </c>
      <c r="P500" s="37">
        <f>IF(Tabla2__2[[#This Row],[RTA]]=Tabla2__2[[#This Row],[RTA CORRECTA]],Tabla2__2[[#This Row],[TOTAL PUNTAJE]],0)</f>
        <v>20</v>
      </c>
      <c r="Q500" s="37">
        <f t="shared" si="7"/>
        <v>0</v>
      </c>
      <c r="R500" s="37"/>
    </row>
    <row r="501" spans="1:18" x14ac:dyDescent="0.25">
      <c r="A501" s="37" t="s">
        <v>107</v>
      </c>
      <c r="B501" s="37" t="s">
        <v>112</v>
      </c>
      <c r="C501" t="s">
        <v>14</v>
      </c>
      <c r="D501" s="37" t="s">
        <v>161</v>
      </c>
      <c r="E501" s="37">
        <v>356594</v>
      </c>
      <c r="F501" s="37" t="s">
        <v>213</v>
      </c>
      <c r="G501" s="37" t="s">
        <v>133</v>
      </c>
      <c r="H501" s="37" t="s">
        <v>20</v>
      </c>
      <c r="I501" s="38"/>
      <c r="J501" s="37">
        <v>27480859</v>
      </c>
      <c r="K501" s="37" t="s">
        <v>117</v>
      </c>
      <c r="L501" s="37" t="str">
        <f>_xlfn.XLOOKUP(Tabla2__2[[#This Row],[CODIGO RUTA]],'DATA INFORME'!I:I,'DATA INFORME'!K:K)</f>
        <v>SI</v>
      </c>
      <c r="M501" s="37" t="str">
        <f>IF(Tabla2__2[[#This Row],[MYSTERY EFECTIVO]]="SI",_xlfn.XLOOKUP(Tabla2__2[[#This Row],[PREGUNTA]],ENCUESTA!G:G,ENCUESTA!D:D),"N/A")</f>
        <v>N/A</v>
      </c>
      <c r="N5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1" s="37">
        <f>_xlfn.XLOOKUP(Tabla2__2[[#This Row],[PREGUNTA]],ENCUESTA!G:G,ENCUESTA!H:H)</f>
        <v>0</v>
      </c>
      <c r="P501" s="37">
        <f>IF(Tabla2__2[[#This Row],[RTA]]=Tabla2__2[[#This Row],[RTA CORRECTA]],Tabla2__2[[#This Row],[TOTAL PUNTAJE]],0)</f>
        <v>0</v>
      </c>
      <c r="Q501" s="37">
        <f t="shared" si="7"/>
        <v>0</v>
      </c>
      <c r="R501" s="37"/>
    </row>
    <row r="502" spans="1:18" x14ac:dyDescent="0.25">
      <c r="A502" s="37" t="s">
        <v>107</v>
      </c>
      <c r="B502" s="37" t="s">
        <v>112</v>
      </c>
      <c r="C502" t="s">
        <v>15</v>
      </c>
      <c r="D502" s="37" t="s">
        <v>96</v>
      </c>
      <c r="E502" s="37">
        <v>13555</v>
      </c>
      <c r="F502" s="37" t="s">
        <v>204</v>
      </c>
      <c r="G502" s="37" t="s">
        <v>158</v>
      </c>
      <c r="H502" s="37" t="s">
        <v>211</v>
      </c>
      <c r="I502" s="38"/>
      <c r="J502" s="37">
        <v>27476525</v>
      </c>
      <c r="K502" s="37" t="s">
        <v>117</v>
      </c>
      <c r="L502" s="37" t="str">
        <f>_xlfn.XLOOKUP(Tabla2__2[[#This Row],[CODIGO RUTA]],'DATA INFORME'!I:I,'DATA INFORME'!K:K)</f>
        <v xml:space="preserve"> NO</v>
      </c>
      <c r="M502" s="37" t="str">
        <f>IF(Tabla2__2[[#This Row],[MYSTERY EFECTIVO]]="SI",_xlfn.XLOOKUP(Tabla2__2[[#This Row],[PREGUNTA]],ENCUESTA!G:G,ENCUESTA!D:D),"N/A")</f>
        <v>N/A</v>
      </c>
      <c r="N5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2" s="37">
        <f>_xlfn.XLOOKUP(Tabla2__2[[#This Row],[PREGUNTA]],ENCUESTA!G:G,ENCUESTA!H:H)</f>
        <v>0</v>
      </c>
      <c r="P502" s="37">
        <f>IF(Tabla2__2[[#This Row],[RTA]]=Tabla2__2[[#This Row],[RTA CORRECTA]],Tabla2__2[[#This Row],[TOTAL PUNTAJE]],0)</f>
        <v>0</v>
      </c>
      <c r="Q502" s="37">
        <f t="shared" si="7"/>
        <v>0</v>
      </c>
      <c r="R502" s="37"/>
    </row>
    <row r="503" spans="1:18" x14ac:dyDescent="0.25">
      <c r="A503" s="37" t="s">
        <v>107</v>
      </c>
      <c r="B503" s="37" t="s">
        <v>112</v>
      </c>
      <c r="C503" t="s">
        <v>15</v>
      </c>
      <c r="D503" s="37" t="s">
        <v>96</v>
      </c>
      <c r="E503" s="37">
        <v>13555</v>
      </c>
      <c r="F503" s="37" t="s">
        <v>204</v>
      </c>
      <c r="G503" s="37" t="s">
        <v>157</v>
      </c>
      <c r="H503" s="37" t="s">
        <v>20</v>
      </c>
      <c r="I503" s="38"/>
      <c r="J503" s="37">
        <v>27476525</v>
      </c>
      <c r="K503" s="37" t="s">
        <v>117</v>
      </c>
      <c r="L503" s="37" t="str">
        <f>_xlfn.XLOOKUP(Tabla2__2[[#This Row],[CODIGO RUTA]],'DATA INFORME'!I:I,'DATA INFORME'!K:K)</f>
        <v xml:space="preserve"> NO</v>
      </c>
      <c r="M503" s="37" t="str">
        <f>IF(Tabla2__2[[#This Row],[MYSTERY EFECTIVO]]="SI",_xlfn.XLOOKUP(Tabla2__2[[#This Row],[PREGUNTA]],ENCUESTA!G:G,ENCUESTA!D:D),"N/A")</f>
        <v>N/A</v>
      </c>
      <c r="N5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3" s="37">
        <f>_xlfn.XLOOKUP(Tabla2__2[[#This Row],[PREGUNTA]],ENCUESTA!G:G,ENCUESTA!H:H)</f>
        <v>0</v>
      </c>
      <c r="P503" s="37">
        <f>IF(Tabla2__2[[#This Row],[RTA]]=Tabla2__2[[#This Row],[RTA CORRECTA]],Tabla2__2[[#This Row],[TOTAL PUNTAJE]],0)</f>
        <v>0</v>
      </c>
      <c r="Q503" s="37">
        <f t="shared" si="7"/>
        <v>0</v>
      </c>
      <c r="R503" s="37"/>
    </row>
    <row r="504" spans="1:18" x14ac:dyDescent="0.25">
      <c r="A504" s="37" t="s">
        <v>107</v>
      </c>
      <c r="B504" s="37" t="s">
        <v>112</v>
      </c>
      <c r="C504" t="s">
        <v>15</v>
      </c>
      <c r="D504" s="37" t="s">
        <v>96</v>
      </c>
      <c r="E504" s="37">
        <v>13555</v>
      </c>
      <c r="F504" s="37" t="s">
        <v>204</v>
      </c>
      <c r="G504" s="37" t="s">
        <v>156</v>
      </c>
      <c r="H504" s="37" t="s">
        <v>106</v>
      </c>
      <c r="I504" s="38"/>
      <c r="J504" s="37">
        <v>27476525</v>
      </c>
      <c r="K504" s="37" t="s">
        <v>117</v>
      </c>
      <c r="L504" s="37" t="str">
        <f>_xlfn.XLOOKUP(Tabla2__2[[#This Row],[CODIGO RUTA]],'DATA INFORME'!I:I,'DATA INFORME'!K:K)</f>
        <v xml:space="preserve"> NO</v>
      </c>
      <c r="M504" s="37" t="str">
        <f>IF(Tabla2__2[[#This Row],[MYSTERY EFECTIVO]]="SI",_xlfn.XLOOKUP(Tabla2__2[[#This Row],[PREGUNTA]],ENCUESTA!G:G,ENCUESTA!D:D),"N/A")</f>
        <v>N/A</v>
      </c>
      <c r="N5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4" s="37" t="str">
        <f>_xlfn.XLOOKUP(Tabla2__2[[#This Row],[PREGUNTA]],ENCUESTA!G:G,ENCUESTA!H:H)</f>
        <v>SI</v>
      </c>
      <c r="P504" s="37">
        <f>IF(Tabla2__2[[#This Row],[RTA]]=Tabla2__2[[#This Row],[RTA CORRECTA]],Tabla2__2[[#This Row],[TOTAL PUNTAJE]],0)</f>
        <v>0</v>
      </c>
      <c r="Q504" s="37">
        <f t="shared" si="7"/>
        <v>0</v>
      </c>
      <c r="R504" s="37"/>
    </row>
    <row r="505" spans="1:18" x14ac:dyDescent="0.25">
      <c r="A505" s="37" t="s">
        <v>107</v>
      </c>
      <c r="B505" s="37" t="s">
        <v>112</v>
      </c>
      <c r="C505" t="s">
        <v>15</v>
      </c>
      <c r="D505" s="37" t="s">
        <v>96</v>
      </c>
      <c r="E505" s="37">
        <v>13555</v>
      </c>
      <c r="F505" s="37" t="s">
        <v>204</v>
      </c>
      <c r="G505" s="37" t="s">
        <v>155</v>
      </c>
      <c r="H505" s="37" t="s">
        <v>106</v>
      </c>
      <c r="I505" s="38"/>
      <c r="J505" s="37">
        <v>27476525</v>
      </c>
      <c r="K505" s="37" t="s">
        <v>117</v>
      </c>
      <c r="L505" s="37" t="str">
        <f>_xlfn.XLOOKUP(Tabla2__2[[#This Row],[CODIGO RUTA]],'DATA INFORME'!I:I,'DATA INFORME'!K:K)</f>
        <v xml:space="preserve"> NO</v>
      </c>
      <c r="M505" s="37" t="str">
        <f>IF(Tabla2__2[[#This Row],[MYSTERY EFECTIVO]]="SI",_xlfn.XLOOKUP(Tabla2__2[[#This Row],[PREGUNTA]],ENCUESTA!G:G,ENCUESTA!D:D),"N/A")</f>
        <v>N/A</v>
      </c>
      <c r="N5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5" s="37" t="str">
        <f>_xlfn.XLOOKUP(Tabla2__2[[#This Row],[PREGUNTA]],ENCUESTA!G:G,ENCUESTA!H:H)</f>
        <v>SI</v>
      </c>
      <c r="P505" s="37">
        <f>IF(Tabla2__2[[#This Row],[RTA]]=Tabla2__2[[#This Row],[RTA CORRECTA]],Tabla2__2[[#This Row],[TOTAL PUNTAJE]],0)</f>
        <v>0</v>
      </c>
      <c r="Q505" s="37">
        <f t="shared" si="7"/>
        <v>0</v>
      </c>
      <c r="R505" s="37"/>
    </row>
    <row r="506" spans="1:18" x14ac:dyDescent="0.25">
      <c r="A506" s="37" t="s">
        <v>107</v>
      </c>
      <c r="B506" s="37" t="s">
        <v>112</v>
      </c>
      <c r="C506" t="s">
        <v>15</v>
      </c>
      <c r="D506" s="37" t="s">
        <v>96</v>
      </c>
      <c r="E506" s="37">
        <v>13555</v>
      </c>
      <c r="F506" s="37" t="s">
        <v>204</v>
      </c>
      <c r="G506" s="37" t="s">
        <v>154</v>
      </c>
      <c r="H506" s="37" t="s">
        <v>106</v>
      </c>
      <c r="I506" s="38"/>
      <c r="J506" s="37">
        <v>27476525</v>
      </c>
      <c r="K506" s="37" t="s">
        <v>117</v>
      </c>
      <c r="L506" s="37" t="str">
        <f>_xlfn.XLOOKUP(Tabla2__2[[#This Row],[CODIGO RUTA]],'DATA INFORME'!I:I,'DATA INFORME'!K:K)</f>
        <v xml:space="preserve"> NO</v>
      </c>
      <c r="M506" s="37" t="str">
        <f>IF(Tabla2__2[[#This Row],[MYSTERY EFECTIVO]]="SI",_xlfn.XLOOKUP(Tabla2__2[[#This Row],[PREGUNTA]],ENCUESTA!G:G,ENCUESTA!D:D),"N/A")</f>
        <v>N/A</v>
      </c>
      <c r="N5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6" s="37" t="str">
        <f>_xlfn.XLOOKUP(Tabla2__2[[#This Row],[PREGUNTA]],ENCUESTA!G:G,ENCUESTA!H:H)</f>
        <v>SI</v>
      </c>
      <c r="P506" s="37">
        <f>IF(Tabla2__2[[#This Row],[RTA]]=Tabla2__2[[#This Row],[RTA CORRECTA]],Tabla2__2[[#This Row],[TOTAL PUNTAJE]],0)</f>
        <v>0</v>
      </c>
      <c r="Q506" s="37">
        <f t="shared" si="7"/>
        <v>0</v>
      </c>
      <c r="R506" s="37"/>
    </row>
    <row r="507" spans="1:18" x14ac:dyDescent="0.25">
      <c r="A507" s="37" t="s">
        <v>107</v>
      </c>
      <c r="B507" s="37" t="s">
        <v>112</v>
      </c>
      <c r="C507" t="s">
        <v>15</v>
      </c>
      <c r="D507" s="37" t="s">
        <v>96</v>
      </c>
      <c r="E507" s="37">
        <v>13555</v>
      </c>
      <c r="F507" s="37" t="s">
        <v>204</v>
      </c>
      <c r="G507" s="37" t="s">
        <v>153</v>
      </c>
      <c r="H507" s="37" t="s">
        <v>106</v>
      </c>
      <c r="I507" s="38"/>
      <c r="J507" s="37">
        <v>27476525</v>
      </c>
      <c r="K507" s="37" t="s">
        <v>117</v>
      </c>
      <c r="L507" s="37" t="str">
        <f>_xlfn.XLOOKUP(Tabla2__2[[#This Row],[CODIGO RUTA]],'DATA INFORME'!I:I,'DATA INFORME'!K:K)</f>
        <v xml:space="preserve"> NO</v>
      </c>
      <c r="M507" s="37" t="str">
        <f>IF(Tabla2__2[[#This Row],[MYSTERY EFECTIVO]]="SI",_xlfn.XLOOKUP(Tabla2__2[[#This Row],[PREGUNTA]],ENCUESTA!G:G,ENCUESTA!D:D),"N/A")</f>
        <v>N/A</v>
      </c>
      <c r="N5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7" s="37" t="str">
        <f>_xlfn.XLOOKUP(Tabla2__2[[#This Row],[PREGUNTA]],ENCUESTA!G:G,ENCUESTA!H:H)</f>
        <v>SI</v>
      </c>
      <c r="P507" s="37">
        <f>IF(Tabla2__2[[#This Row],[RTA]]=Tabla2__2[[#This Row],[RTA CORRECTA]],Tabla2__2[[#This Row],[TOTAL PUNTAJE]],0)</f>
        <v>0</v>
      </c>
      <c r="Q507" s="37">
        <f t="shared" si="7"/>
        <v>0</v>
      </c>
      <c r="R507" s="37"/>
    </row>
    <row r="508" spans="1:18" x14ac:dyDescent="0.25">
      <c r="A508" s="37" t="s">
        <v>107</v>
      </c>
      <c r="B508" s="37" t="s">
        <v>112</v>
      </c>
      <c r="C508" t="s">
        <v>15</v>
      </c>
      <c r="D508" s="37" t="s">
        <v>96</v>
      </c>
      <c r="E508" s="37">
        <v>13555</v>
      </c>
      <c r="F508" s="37" t="s">
        <v>204</v>
      </c>
      <c r="G508" s="37" t="s">
        <v>152</v>
      </c>
      <c r="H508" s="37" t="s">
        <v>188</v>
      </c>
      <c r="I508" s="38"/>
      <c r="J508" s="37">
        <v>27476525</v>
      </c>
      <c r="K508" s="37" t="s">
        <v>117</v>
      </c>
      <c r="L508" s="37" t="str">
        <f>_xlfn.XLOOKUP(Tabla2__2[[#This Row],[CODIGO RUTA]],'DATA INFORME'!I:I,'DATA INFORME'!K:K)</f>
        <v xml:space="preserve"> NO</v>
      </c>
      <c r="M508" s="37" t="str">
        <f>IF(Tabla2__2[[#This Row],[MYSTERY EFECTIVO]]="SI",_xlfn.XLOOKUP(Tabla2__2[[#This Row],[PREGUNTA]],ENCUESTA!G:G,ENCUESTA!D:D),"N/A")</f>
        <v>N/A</v>
      </c>
      <c r="N5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8" s="37" t="str">
        <f>_xlfn.XLOOKUP(Tabla2__2[[#This Row],[PREGUNTA]],ENCUESTA!G:G,ENCUESTA!H:H)</f>
        <v>FALTA DE PRODUCTO, NO LE INTERESA EL PRODUCTO, NO TIENE DINERO, PREFIERE LA COMPETENCIA</v>
      </c>
      <c r="P508" s="37">
        <f>IF(Tabla2__2[[#This Row],[RTA]]=Tabla2__2[[#This Row],[RTA CORRECTA]],Tabla2__2[[#This Row],[TOTAL PUNTAJE]],0)</f>
        <v>0</v>
      </c>
      <c r="Q508" s="37">
        <f t="shared" si="7"/>
        <v>0</v>
      </c>
      <c r="R508" s="37"/>
    </row>
    <row r="509" spans="1:18" x14ac:dyDescent="0.25">
      <c r="A509" s="37" t="s">
        <v>107</v>
      </c>
      <c r="B509" s="37" t="s">
        <v>112</v>
      </c>
      <c r="C509" t="s">
        <v>15</v>
      </c>
      <c r="D509" s="37" t="s">
        <v>96</v>
      </c>
      <c r="E509" s="37">
        <v>13555</v>
      </c>
      <c r="F509" s="37" t="s">
        <v>204</v>
      </c>
      <c r="G509" s="37" t="s">
        <v>146</v>
      </c>
      <c r="H509" s="37" t="s">
        <v>106</v>
      </c>
      <c r="I509" s="38"/>
      <c r="J509" s="37">
        <v>27476525</v>
      </c>
      <c r="K509" s="37" t="s">
        <v>117</v>
      </c>
      <c r="L509" s="37" t="str">
        <f>_xlfn.XLOOKUP(Tabla2__2[[#This Row],[CODIGO RUTA]],'DATA INFORME'!I:I,'DATA INFORME'!K:K)</f>
        <v xml:space="preserve"> NO</v>
      </c>
      <c r="M509" s="37" t="str">
        <f>IF(Tabla2__2[[#This Row],[MYSTERY EFECTIVO]]="SI",_xlfn.XLOOKUP(Tabla2__2[[#This Row],[PREGUNTA]],ENCUESTA!G:G,ENCUESTA!D:D),"N/A")</f>
        <v>N/A</v>
      </c>
      <c r="N5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9" s="37" t="str">
        <f>_xlfn.XLOOKUP(Tabla2__2[[#This Row],[PREGUNTA]],ENCUESTA!G:G,ENCUESTA!H:H)</f>
        <v>SI</v>
      </c>
      <c r="P509" s="37">
        <f>IF(Tabla2__2[[#This Row],[RTA]]=Tabla2__2[[#This Row],[RTA CORRECTA]],Tabla2__2[[#This Row],[TOTAL PUNTAJE]],0)</f>
        <v>0</v>
      </c>
      <c r="Q509" s="37">
        <f t="shared" si="7"/>
        <v>0</v>
      </c>
      <c r="R509" s="37"/>
    </row>
    <row r="510" spans="1:18" x14ac:dyDescent="0.25">
      <c r="A510" s="37" t="s">
        <v>107</v>
      </c>
      <c r="B510" s="37" t="s">
        <v>112</v>
      </c>
      <c r="C510" t="s">
        <v>15</v>
      </c>
      <c r="D510" s="37" t="s">
        <v>96</v>
      </c>
      <c r="E510" s="37">
        <v>13555</v>
      </c>
      <c r="F510" s="37" t="s">
        <v>204</v>
      </c>
      <c r="G510" s="37" t="s">
        <v>145</v>
      </c>
      <c r="H510" s="37" t="s">
        <v>106</v>
      </c>
      <c r="I510" s="38"/>
      <c r="J510" s="37">
        <v>27476525</v>
      </c>
      <c r="K510" s="37" t="s">
        <v>117</v>
      </c>
      <c r="L510" s="37" t="str">
        <f>_xlfn.XLOOKUP(Tabla2__2[[#This Row],[CODIGO RUTA]],'DATA INFORME'!I:I,'DATA INFORME'!K:K)</f>
        <v xml:space="preserve"> NO</v>
      </c>
      <c r="M510" s="37" t="str">
        <f>IF(Tabla2__2[[#This Row],[MYSTERY EFECTIVO]]="SI",_xlfn.XLOOKUP(Tabla2__2[[#This Row],[PREGUNTA]],ENCUESTA!G:G,ENCUESTA!D:D),"N/A")</f>
        <v>N/A</v>
      </c>
      <c r="N5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0" s="37" t="str">
        <f>_xlfn.XLOOKUP(Tabla2__2[[#This Row],[PREGUNTA]],ENCUESTA!G:G,ENCUESTA!H:H)</f>
        <v>SI</v>
      </c>
      <c r="P510" s="37">
        <f>IF(Tabla2__2[[#This Row],[RTA]]=Tabla2__2[[#This Row],[RTA CORRECTA]],Tabla2__2[[#This Row],[TOTAL PUNTAJE]],0)</f>
        <v>0</v>
      </c>
      <c r="Q510" s="37">
        <f t="shared" si="7"/>
        <v>0</v>
      </c>
      <c r="R510" s="37"/>
    </row>
    <row r="511" spans="1:18" x14ac:dyDescent="0.25">
      <c r="A511" s="37" t="s">
        <v>107</v>
      </c>
      <c r="B511" s="37" t="s">
        <v>112</v>
      </c>
      <c r="C511" t="s">
        <v>15</v>
      </c>
      <c r="D511" s="37" t="s">
        <v>96</v>
      </c>
      <c r="E511" s="37">
        <v>13555</v>
      </c>
      <c r="F511" s="37" t="s">
        <v>204</v>
      </c>
      <c r="G511" s="37" t="s">
        <v>144</v>
      </c>
      <c r="H511" s="37" t="s">
        <v>106</v>
      </c>
      <c r="I511" s="38"/>
      <c r="J511" s="37">
        <v>27476525</v>
      </c>
      <c r="K511" s="37" t="s">
        <v>117</v>
      </c>
      <c r="L511" s="37" t="str">
        <f>_xlfn.XLOOKUP(Tabla2__2[[#This Row],[CODIGO RUTA]],'DATA INFORME'!I:I,'DATA INFORME'!K:K)</f>
        <v xml:space="preserve"> NO</v>
      </c>
      <c r="M511" s="37" t="str">
        <f>IF(Tabla2__2[[#This Row],[MYSTERY EFECTIVO]]="SI",_xlfn.XLOOKUP(Tabla2__2[[#This Row],[PREGUNTA]],ENCUESTA!G:G,ENCUESTA!D:D),"N/A")</f>
        <v>N/A</v>
      </c>
      <c r="N5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1" s="37" t="str">
        <f>_xlfn.XLOOKUP(Tabla2__2[[#This Row],[PREGUNTA]],ENCUESTA!G:G,ENCUESTA!H:H)</f>
        <v>SI</v>
      </c>
      <c r="P511" s="37">
        <f>IF(Tabla2__2[[#This Row],[RTA]]=Tabla2__2[[#This Row],[RTA CORRECTA]],Tabla2__2[[#This Row],[TOTAL PUNTAJE]],0)</f>
        <v>0</v>
      </c>
      <c r="Q511" s="37">
        <f t="shared" si="7"/>
        <v>0</v>
      </c>
      <c r="R511" s="37"/>
    </row>
    <row r="512" spans="1:18" x14ac:dyDescent="0.25">
      <c r="A512" s="37" t="s">
        <v>107</v>
      </c>
      <c r="B512" s="37" t="s">
        <v>112</v>
      </c>
      <c r="C512" t="s">
        <v>15</v>
      </c>
      <c r="D512" s="37" t="s">
        <v>96</v>
      </c>
      <c r="E512" s="37">
        <v>13555</v>
      </c>
      <c r="F512" s="37" t="s">
        <v>204</v>
      </c>
      <c r="G512" s="37" t="s">
        <v>143</v>
      </c>
      <c r="H512" s="37" t="s">
        <v>106</v>
      </c>
      <c r="I512" s="38"/>
      <c r="J512" s="37">
        <v>27476525</v>
      </c>
      <c r="K512" s="37" t="s">
        <v>117</v>
      </c>
      <c r="L512" s="37" t="str">
        <f>_xlfn.XLOOKUP(Tabla2__2[[#This Row],[CODIGO RUTA]],'DATA INFORME'!I:I,'DATA INFORME'!K:K)</f>
        <v xml:space="preserve"> NO</v>
      </c>
      <c r="M512" s="37" t="str">
        <f>IF(Tabla2__2[[#This Row],[MYSTERY EFECTIVO]]="SI",_xlfn.XLOOKUP(Tabla2__2[[#This Row],[PREGUNTA]],ENCUESTA!G:G,ENCUESTA!D:D),"N/A")</f>
        <v>N/A</v>
      </c>
      <c r="N5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2" s="37" t="str">
        <f>_xlfn.XLOOKUP(Tabla2__2[[#This Row],[PREGUNTA]],ENCUESTA!G:G,ENCUESTA!H:H)</f>
        <v>SI</v>
      </c>
      <c r="P512" s="37">
        <f>IF(Tabla2__2[[#This Row],[RTA]]=Tabla2__2[[#This Row],[RTA CORRECTA]],Tabla2__2[[#This Row],[TOTAL PUNTAJE]],0)</f>
        <v>0</v>
      </c>
      <c r="Q512" s="37">
        <f t="shared" si="7"/>
        <v>0</v>
      </c>
      <c r="R512" s="37"/>
    </row>
    <row r="513" spans="1:18" x14ac:dyDescent="0.25">
      <c r="A513" s="37" t="s">
        <v>107</v>
      </c>
      <c r="B513" s="37" t="s">
        <v>8</v>
      </c>
      <c r="C513" t="s">
        <v>15</v>
      </c>
      <c r="D513" s="37" t="s">
        <v>79</v>
      </c>
      <c r="E513" s="37">
        <v>442719</v>
      </c>
      <c r="F513" s="37" t="s">
        <v>228</v>
      </c>
      <c r="G513" s="37" t="s">
        <v>155</v>
      </c>
      <c r="H513" s="37" t="s">
        <v>20</v>
      </c>
      <c r="I513" s="38"/>
      <c r="J513" s="37">
        <v>27486785</v>
      </c>
      <c r="K513" s="37" t="s">
        <v>187</v>
      </c>
      <c r="L513" s="37" t="str">
        <f>_xlfn.XLOOKUP(Tabla2__2[[#This Row],[CODIGO RUTA]],'DATA INFORME'!I:I,'DATA INFORME'!K:K)</f>
        <v>SI</v>
      </c>
      <c r="M513" s="37" t="str">
        <f>IF(Tabla2__2[[#This Row],[MYSTERY EFECTIVO]]="SI",_xlfn.XLOOKUP(Tabla2__2[[#This Row],[PREGUNTA]],ENCUESTA!G:G,ENCUESTA!D:D),"N/A")</f>
        <v>LABOR DE VENTA</v>
      </c>
      <c r="N5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513" s="37" t="str">
        <f>_xlfn.XLOOKUP(Tabla2__2[[#This Row],[PREGUNTA]],ENCUESTA!G:G,ENCUESTA!H:H)</f>
        <v>SI</v>
      </c>
      <c r="P513" s="37">
        <f>IF(Tabla2__2[[#This Row],[RTA]]=Tabla2__2[[#This Row],[RTA CORRECTA]],Tabla2__2[[#This Row],[TOTAL PUNTAJE]],0)</f>
        <v>7.5</v>
      </c>
      <c r="Q513" s="37">
        <f t="shared" si="7"/>
        <v>0</v>
      </c>
      <c r="R513" s="37"/>
    </row>
    <row r="514" spans="1:18" x14ac:dyDescent="0.25">
      <c r="A514" s="37" t="s">
        <v>107</v>
      </c>
      <c r="B514" s="37" t="s">
        <v>8</v>
      </c>
      <c r="C514" t="s">
        <v>15</v>
      </c>
      <c r="D514" s="37" t="s">
        <v>217</v>
      </c>
      <c r="E514" s="37">
        <v>12565</v>
      </c>
      <c r="F514" s="37" t="s">
        <v>312</v>
      </c>
      <c r="G514" s="37" t="s">
        <v>157</v>
      </c>
      <c r="H514" s="37" t="s">
        <v>106</v>
      </c>
      <c r="I514" s="38"/>
      <c r="J514" s="37">
        <v>27689425</v>
      </c>
      <c r="K514" s="37" t="s">
        <v>110</v>
      </c>
      <c r="L514" s="37" t="str">
        <f>_xlfn.XLOOKUP(Tabla2__2[[#This Row],[CODIGO RUTA]],'DATA INFORME'!I:I,'DATA INFORME'!K:K)</f>
        <v>SI</v>
      </c>
      <c r="M514" s="37" t="str">
        <f>IF(Tabla2__2[[#This Row],[MYSTERY EFECTIVO]]="SI",_xlfn.XLOOKUP(Tabla2__2[[#This Row],[PREGUNTA]],ENCUESTA!G:G,ENCUESTA!D:D),"N/A")</f>
        <v>N/A</v>
      </c>
      <c r="N5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4" s="37">
        <f>_xlfn.XLOOKUP(Tabla2__2[[#This Row],[PREGUNTA]],ENCUESTA!G:G,ENCUESTA!H:H)</f>
        <v>0</v>
      </c>
      <c r="P514" s="37">
        <f>IF(Tabla2__2[[#This Row],[RTA]]=Tabla2__2[[#This Row],[RTA CORRECTA]],Tabla2__2[[#This Row],[TOTAL PUNTAJE]],0)</f>
        <v>0</v>
      </c>
      <c r="Q514" s="37">
        <f t="shared" si="7"/>
        <v>0</v>
      </c>
      <c r="R514" s="37"/>
    </row>
    <row r="515" spans="1:18" x14ac:dyDescent="0.25">
      <c r="A515" s="37"/>
      <c r="B515" s="37"/>
      <c r="C515" s="37"/>
      <c r="D515" s="37"/>
      <c r="E515" s="37"/>
      <c r="F515" s="37"/>
      <c r="G515" s="37"/>
      <c r="H515" s="38"/>
      <c r="I515" s="37"/>
      <c r="J515" s="37"/>
      <c r="K515" s="37"/>
      <c r="L515" s="37"/>
      <c r="M515" s="37"/>
      <c r="N515" s="37"/>
      <c r="O515" s="37"/>
      <c r="P515" s="37"/>
      <c r="Q515" s="37"/>
    </row>
    <row r="702" spans="18:18" x14ac:dyDescent="0.25">
      <c r="R702" s="37"/>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37"/>
  <sheetViews>
    <sheetView showGridLines="0" zoomScale="90" zoomScaleNormal="90" workbookViewId="0">
      <selection activeCell="I3" sqref="I3"/>
    </sheetView>
  </sheetViews>
  <sheetFormatPr baseColWidth="10" defaultColWidth="11.42578125" defaultRowHeight="15" x14ac:dyDescent="0.25"/>
  <cols>
    <col min="1" max="1" width="17.42578125" style="58" customWidth="1"/>
    <col min="2" max="2" width="18.28515625" style="58" bestFit="1" customWidth="1"/>
    <col min="3" max="3" width="14" style="59" bestFit="1" customWidth="1"/>
    <col min="4" max="4" width="45.5703125" style="44" bestFit="1" customWidth="1"/>
    <col min="5" max="5" width="48.140625" style="58" customWidth="1"/>
    <col min="6" max="6" width="12.42578125" style="57" bestFit="1" customWidth="1"/>
    <col min="7" max="7" width="13.5703125" style="57" bestFit="1" customWidth="1"/>
    <col min="8" max="8" width="11.5703125" style="57" bestFit="1" customWidth="1"/>
    <col min="9" max="9" width="12.85546875" style="57" bestFit="1" customWidth="1"/>
    <col min="10" max="16384" width="11.42578125" style="57"/>
  </cols>
  <sheetData>
    <row r="1" spans="1:9" ht="24" x14ac:dyDescent="0.25">
      <c r="A1" s="45" t="s">
        <v>22</v>
      </c>
      <c r="B1" s="45" t="s">
        <v>1</v>
      </c>
      <c r="C1" s="45" t="s">
        <v>26</v>
      </c>
      <c r="D1" s="45" t="s">
        <v>23</v>
      </c>
      <c r="E1" s="41" t="s">
        <v>38</v>
      </c>
      <c r="F1" s="6" t="s">
        <v>39</v>
      </c>
      <c r="G1" s="6" t="s">
        <v>40</v>
      </c>
      <c r="H1" s="6" t="s">
        <v>41</v>
      </c>
      <c r="I1" s="21" t="s">
        <v>42</v>
      </c>
    </row>
    <row r="2" spans="1:9" s="88" customFormat="1" x14ac:dyDescent="0.25">
      <c r="A2" s="66" t="s">
        <v>14</v>
      </c>
      <c r="B2" s="66" t="s">
        <v>93</v>
      </c>
      <c r="C2" s="66">
        <v>191495</v>
      </c>
      <c r="D2" s="50" t="s">
        <v>240</v>
      </c>
      <c r="E2" s="42">
        <v>1</v>
      </c>
      <c r="F2" s="52">
        <v>1</v>
      </c>
      <c r="G2" s="52">
        <f>IF(COUNTIFS(Export!I:I,Tabla1[[#This Row],[CODIGO PDV]])&gt;0,1,0)</f>
        <v>1</v>
      </c>
      <c r="H2" s="23">
        <f>COUNTIFS('DATA INFORME'!D:D,Tabla1[[#This Row],[CODIGO PDV]])</f>
        <v>1</v>
      </c>
      <c r="I2" s="53">
        <f>COUNTIFS('DATA INFORME'!D:D,Tabla1[[#This Row],[CODIGO PDV]],'DATA INFORME'!K:K,"SI")</f>
        <v>1</v>
      </c>
    </row>
    <row r="3" spans="1:9" s="88" customFormat="1" x14ac:dyDescent="0.25">
      <c r="A3" s="66" t="s">
        <v>15</v>
      </c>
      <c r="B3" s="66" t="s">
        <v>93</v>
      </c>
      <c r="C3" s="66">
        <v>126325</v>
      </c>
      <c r="D3" s="50" t="s">
        <v>256</v>
      </c>
      <c r="E3" s="23">
        <v>1</v>
      </c>
      <c r="F3" s="52">
        <v>1</v>
      </c>
      <c r="G3" s="52">
        <f>IF(COUNTIFS(Export!I:I,Tabla1[[#This Row],[CODIGO PDV]])&gt;0,1,0)</f>
        <v>1</v>
      </c>
      <c r="H3" s="23">
        <f>COUNTIFS('DATA INFORME'!D:D,Tabla1[[#This Row],[CODIGO PDV]])</f>
        <v>1</v>
      </c>
      <c r="I3" s="53">
        <f>COUNTIFS('DATA INFORME'!D:D,Tabla1[[#This Row],[CODIGO PDV]],'DATA INFORME'!K:K,"SI")</f>
        <v>1</v>
      </c>
    </row>
    <row r="4" spans="1:9" s="88" customFormat="1" x14ac:dyDescent="0.25">
      <c r="A4" s="66" t="s">
        <v>15</v>
      </c>
      <c r="B4" s="66" t="s">
        <v>93</v>
      </c>
      <c r="C4" s="66">
        <v>447964</v>
      </c>
      <c r="D4" s="50" t="s">
        <v>251</v>
      </c>
      <c r="E4" s="42">
        <v>1</v>
      </c>
      <c r="F4" s="52">
        <v>1</v>
      </c>
      <c r="G4" s="52">
        <f>IF(COUNTIFS(Export!I:I,Tabla1[[#This Row],[CODIGO PDV]])&gt;0,1,0)</f>
        <v>1</v>
      </c>
      <c r="H4" s="23">
        <f>COUNTIFS('DATA INFORME'!D:D,Tabla1[[#This Row],[CODIGO PDV]])</f>
        <v>1</v>
      </c>
      <c r="I4" s="53">
        <f>COUNTIFS('DATA INFORME'!D:D,Tabla1[[#This Row],[CODIGO PDV]],'DATA INFORME'!K:K,"SI")</f>
        <v>1</v>
      </c>
    </row>
    <row r="5" spans="1:9" s="88" customFormat="1" x14ac:dyDescent="0.25">
      <c r="A5" s="66" t="s">
        <v>14</v>
      </c>
      <c r="B5" s="66" t="s">
        <v>93</v>
      </c>
      <c r="C5" s="66">
        <v>65453</v>
      </c>
      <c r="D5" s="50" t="s">
        <v>245</v>
      </c>
      <c r="E5" s="43">
        <v>1</v>
      </c>
      <c r="F5" s="54">
        <v>1</v>
      </c>
      <c r="G5" s="52">
        <f>IF(COUNTIFS(Export!I:I,Tabla1[[#This Row],[CODIGO PDV]])&gt;0,1,0)</f>
        <v>1</v>
      </c>
      <c r="H5" s="23">
        <f>COUNTIFS('DATA INFORME'!D:D,Tabla1[[#This Row],[CODIGO PDV]])</f>
        <v>1</v>
      </c>
      <c r="I5" s="53">
        <f>COUNTIFS('DATA INFORME'!D:D,Tabla1[[#This Row],[CODIGO PDV]],'DATA INFORME'!K:K,"SI")</f>
        <v>1</v>
      </c>
    </row>
    <row r="6" spans="1:9" x14ac:dyDescent="0.25">
      <c r="A6" s="66" t="s">
        <v>14</v>
      </c>
      <c r="B6" s="66" t="s">
        <v>8</v>
      </c>
      <c r="C6" s="66">
        <v>355955</v>
      </c>
      <c r="D6" s="50" t="s">
        <v>163</v>
      </c>
      <c r="E6" s="23">
        <v>1</v>
      </c>
      <c r="F6" s="52">
        <v>1</v>
      </c>
      <c r="G6" s="52">
        <f>IF(COUNTIFS(Export!I:I,Tabla1[[#This Row],[CODIGO PDV]])&gt;0,1,0)</f>
        <v>1</v>
      </c>
      <c r="H6" s="23">
        <f>COUNTIFS('DATA INFORME'!D:D,Tabla1[[#This Row],[CODIGO PDV]])</f>
        <v>1</v>
      </c>
      <c r="I6" s="53">
        <f>COUNTIFS('DATA INFORME'!D:D,Tabla1[[#This Row],[CODIGO PDV]],'DATA INFORME'!K:K,"SI")</f>
        <v>1</v>
      </c>
    </row>
    <row r="7" spans="1:9" x14ac:dyDescent="0.25">
      <c r="A7" s="66" t="s">
        <v>14</v>
      </c>
      <c r="B7" s="66" t="s">
        <v>8</v>
      </c>
      <c r="C7" s="66">
        <v>435142</v>
      </c>
      <c r="D7" s="50" t="s">
        <v>291</v>
      </c>
      <c r="E7" s="42">
        <v>1</v>
      </c>
      <c r="F7" s="52">
        <v>1</v>
      </c>
      <c r="G7" s="52">
        <f>IF(COUNTIFS(Export!I:I,Tabla1[[#This Row],[CODIGO PDV]])&gt;0,1,0)</f>
        <v>1</v>
      </c>
      <c r="H7" s="23">
        <f>COUNTIFS('DATA INFORME'!D:D,Tabla1[[#This Row],[CODIGO PDV]])</f>
        <v>1</v>
      </c>
      <c r="I7" s="53">
        <f>COUNTIFS('DATA INFORME'!D:D,Tabla1[[#This Row],[CODIGO PDV]],'DATA INFORME'!K:K,"SI")</f>
        <v>1</v>
      </c>
    </row>
    <row r="8" spans="1:9" x14ac:dyDescent="0.25">
      <c r="A8" s="66" t="s">
        <v>15</v>
      </c>
      <c r="B8" s="60" t="s">
        <v>8</v>
      </c>
      <c r="C8" s="61">
        <v>12394</v>
      </c>
      <c r="D8" s="62" t="s">
        <v>181</v>
      </c>
      <c r="E8" s="51">
        <v>1</v>
      </c>
      <c r="F8" s="54">
        <v>1</v>
      </c>
      <c r="G8" s="54">
        <f>IF(COUNTIFS(Export!I:I,Tabla1[[#This Row],[CODIGO PDV]])&gt;0,1,0)</f>
        <v>1</v>
      </c>
      <c r="H8" s="51">
        <f>COUNTIFS('DATA INFORME'!D:D,Tabla1[[#This Row],[CODIGO PDV]])</f>
        <v>1</v>
      </c>
      <c r="I8" s="55">
        <f>COUNTIFS('DATA INFORME'!D:D,Tabla1[[#This Row],[CODIGO PDV]],'DATA INFORME'!K:K,"SI")</f>
        <v>0</v>
      </c>
    </row>
    <row r="9" spans="1:9" x14ac:dyDescent="0.25">
      <c r="A9" s="79" t="s">
        <v>14</v>
      </c>
      <c r="B9" s="80" t="s">
        <v>8</v>
      </c>
      <c r="C9" s="81">
        <v>108903</v>
      </c>
      <c r="D9" s="82" t="s">
        <v>191</v>
      </c>
      <c r="E9" s="23">
        <v>1</v>
      </c>
      <c r="F9" s="52">
        <v>1</v>
      </c>
      <c r="G9" s="52">
        <f>IF(COUNTIFS(Export!I:I,Tabla1[[#This Row],[CODIGO PDV]])&gt;0,1,0)</f>
        <v>1</v>
      </c>
      <c r="H9" s="23">
        <f>COUNTIFS('DATA INFORME'!D:D,Tabla1[[#This Row],[CODIGO PDV]])</f>
        <v>1</v>
      </c>
      <c r="I9" s="53">
        <f>COUNTIFS('DATA INFORME'!D:D,Tabla1[[#This Row],[CODIGO PDV]],'DATA INFORME'!K:K,"SI")</f>
        <v>1</v>
      </c>
    </row>
    <row r="10" spans="1:9" x14ac:dyDescent="0.25">
      <c r="A10" s="79" t="s">
        <v>14</v>
      </c>
      <c r="B10" s="80" t="s">
        <v>8</v>
      </c>
      <c r="C10" s="81">
        <v>454996</v>
      </c>
      <c r="D10" s="82" t="s">
        <v>196</v>
      </c>
      <c r="E10" s="23">
        <v>1</v>
      </c>
      <c r="F10" s="52">
        <v>1</v>
      </c>
      <c r="G10" s="52">
        <f>IF(COUNTIFS(Export!I:I,Tabla1[[#This Row],[CODIGO PDV]])&gt;0,1,0)</f>
        <v>1</v>
      </c>
      <c r="H10" s="23">
        <f>COUNTIFS('DATA INFORME'!D:D,Tabla1[[#This Row],[CODIGO PDV]])</f>
        <v>1</v>
      </c>
      <c r="I10" s="53">
        <f>COUNTIFS('DATA INFORME'!D:D,Tabla1[[#This Row],[CODIGO PDV]],'DATA INFORME'!K:K,"SI")</f>
        <v>0</v>
      </c>
    </row>
    <row r="11" spans="1:9" x14ac:dyDescent="0.25">
      <c r="A11" s="79" t="s">
        <v>15</v>
      </c>
      <c r="B11" s="80" t="s">
        <v>8</v>
      </c>
      <c r="C11" s="81">
        <v>12565</v>
      </c>
      <c r="D11" s="82" t="s">
        <v>312</v>
      </c>
      <c r="E11" s="23">
        <v>1</v>
      </c>
      <c r="F11" s="52">
        <v>1</v>
      </c>
      <c r="G11" s="52">
        <f>IF(COUNTIFS(Export!I:I,Tabla1[[#This Row],[CODIGO PDV]])&gt;0,1,0)</f>
        <v>1</v>
      </c>
      <c r="H11" s="23">
        <f>COUNTIFS('DATA INFORME'!D:D,Tabla1[[#This Row],[CODIGO PDV]])</f>
        <v>1</v>
      </c>
      <c r="I11" s="53">
        <f>COUNTIFS('DATA INFORME'!D:D,Tabla1[[#This Row],[CODIGO PDV]],'DATA INFORME'!K:K,"SI")</f>
        <v>1</v>
      </c>
    </row>
    <row r="12" spans="1:9" x14ac:dyDescent="0.25">
      <c r="A12" s="79" t="s">
        <v>15</v>
      </c>
      <c r="B12" s="80" t="s">
        <v>8</v>
      </c>
      <c r="C12" s="81">
        <v>12662</v>
      </c>
      <c r="D12" s="82" t="s">
        <v>220</v>
      </c>
      <c r="E12" s="23">
        <v>1</v>
      </c>
      <c r="F12" s="52">
        <v>1</v>
      </c>
      <c r="G12" s="52">
        <f>IF(COUNTIFS(Export!I:I,Tabla1[[#This Row],[CODIGO PDV]])&gt;0,1,0)</f>
        <v>1</v>
      </c>
      <c r="H12" s="23">
        <f>COUNTIFS('DATA INFORME'!D:D,Tabla1[[#This Row],[CODIGO PDV]])</f>
        <v>1</v>
      </c>
      <c r="I12" s="53">
        <f>COUNTIFS('DATA INFORME'!D:D,Tabla1[[#This Row],[CODIGO PDV]],'DATA INFORME'!K:K,"SI")</f>
        <v>0</v>
      </c>
    </row>
    <row r="13" spans="1:9" x14ac:dyDescent="0.25">
      <c r="A13" s="79" t="s">
        <v>15</v>
      </c>
      <c r="B13" s="80" t="s">
        <v>8</v>
      </c>
      <c r="C13" s="81">
        <v>406974</v>
      </c>
      <c r="D13" s="82" t="s">
        <v>298</v>
      </c>
      <c r="E13" s="23">
        <v>1</v>
      </c>
      <c r="F13" s="52">
        <v>1</v>
      </c>
      <c r="G13" s="52">
        <f>IF(COUNTIFS(Export!I:I,Tabla1[[#This Row],[CODIGO PDV]])&gt;0,1,0)</f>
        <v>1</v>
      </c>
      <c r="H13" s="23">
        <f>COUNTIFS('DATA INFORME'!D:D,Tabla1[[#This Row],[CODIGO PDV]])</f>
        <v>1</v>
      </c>
      <c r="I13" s="53">
        <f>COUNTIFS('DATA INFORME'!D:D,Tabla1[[#This Row],[CODIGO PDV]],'DATA INFORME'!K:K,"SI")</f>
        <v>1</v>
      </c>
    </row>
    <row r="14" spans="1:9" x14ac:dyDescent="0.25">
      <c r="A14" s="79" t="s">
        <v>14</v>
      </c>
      <c r="B14" s="80" t="s">
        <v>112</v>
      </c>
      <c r="C14" s="81">
        <v>356594</v>
      </c>
      <c r="D14" s="82" t="s">
        <v>213</v>
      </c>
      <c r="E14" s="23">
        <v>1</v>
      </c>
      <c r="F14" s="52">
        <v>1</v>
      </c>
      <c r="G14" s="52">
        <f>IF(COUNTIFS(Export!I:I,Tabla1[[#This Row],[CODIGO PDV]])&gt;0,1,0)</f>
        <v>1</v>
      </c>
      <c r="H14" s="23">
        <f>COUNTIFS('DATA INFORME'!D:D,Tabla1[[#This Row],[CODIGO PDV]])</f>
        <v>1</v>
      </c>
      <c r="I14" s="53">
        <f>COUNTIFS('DATA INFORME'!D:D,Tabla1[[#This Row],[CODIGO PDV]],'DATA INFORME'!K:K,"SI")</f>
        <v>1</v>
      </c>
    </row>
    <row r="15" spans="1:9" x14ac:dyDescent="0.25">
      <c r="A15" s="79" t="s">
        <v>14</v>
      </c>
      <c r="B15" s="80" t="s">
        <v>112</v>
      </c>
      <c r="C15" s="81">
        <v>356625</v>
      </c>
      <c r="D15" s="82" t="s">
        <v>235</v>
      </c>
      <c r="E15" s="23">
        <v>1</v>
      </c>
      <c r="F15" s="52">
        <v>1</v>
      </c>
      <c r="G15" s="52">
        <f>IF(COUNTIFS(Export!I:I,Tabla1[[#This Row],[CODIGO PDV]])&gt;0,1,0)</f>
        <v>1</v>
      </c>
      <c r="H15" s="23">
        <f>COUNTIFS('DATA INFORME'!D:D,Tabla1[[#This Row],[CODIGO PDV]])</f>
        <v>1</v>
      </c>
      <c r="I15" s="53">
        <f>COUNTIFS('DATA INFORME'!D:D,Tabla1[[#This Row],[CODIGO PDV]],'DATA INFORME'!K:K,"SI")</f>
        <v>1</v>
      </c>
    </row>
    <row r="16" spans="1:9" x14ac:dyDescent="0.25">
      <c r="A16" s="79" t="s">
        <v>15</v>
      </c>
      <c r="B16" s="80" t="s">
        <v>112</v>
      </c>
      <c r="C16" s="81">
        <v>365377</v>
      </c>
      <c r="D16" s="82" t="s">
        <v>305</v>
      </c>
      <c r="E16" s="23">
        <v>1</v>
      </c>
      <c r="F16" s="52">
        <v>1</v>
      </c>
      <c r="G16" s="52">
        <f>IF(COUNTIFS(Export!I:I,Tabla1[[#This Row],[CODIGO PDV]])&gt;0,1,0)</f>
        <v>1</v>
      </c>
      <c r="H16" s="23">
        <f>COUNTIFS('DATA INFORME'!D:D,Tabla1[[#This Row],[CODIGO PDV]])</f>
        <v>1</v>
      </c>
      <c r="I16" s="53">
        <f>COUNTIFS('DATA INFORME'!D:D,Tabla1[[#This Row],[CODIGO PDV]],'DATA INFORME'!K:K,"SI")</f>
        <v>0</v>
      </c>
    </row>
    <row r="17" spans="1:9" x14ac:dyDescent="0.25">
      <c r="A17" s="79" t="s">
        <v>15</v>
      </c>
      <c r="B17" s="80" t="s">
        <v>112</v>
      </c>
      <c r="C17" s="81">
        <v>13555</v>
      </c>
      <c r="D17" s="82" t="s">
        <v>204</v>
      </c>
      <c r="E17" s="23">
        <v>1</v>
      </c>
      <c r="F17" s="52">
        <v>1</v>
      </c>
      <c r="G17" s="52">
        <f>IF(COUNTIFS(Export!I:I,Tabla1[[#This Row],[CODIGO PDV]])&gt;0,1,0)</f>
        <v>1</v>
      </c>
      <c r="H17" s="23">
        <f>COUNTIFS('DATA INFORME'!D:D,Tabla1[[#This Row],[CODIGO PDV]])</f>
        <v>1</v>
      </c>
      <c r="I17" s="53">
        <f>COUNTIFS('DATA INFORME'!D:D,Tabla1[[#This Row],[CODIGO PDV]],'DATA INFORME'!K:K,"SI")</f>
        <v>0</v>
      </c>
    </row>
    <row r="18" spans="1:9" x14ac:dyDescent="0.25">
      <c r="A18" s="79" t="s">
        <v>15</v>
      </c>
      <c r="B18" s="80" t="s">
        <v>8</v>
      </c>
      <c r="C18" s="81">
        <v>442719</v>
      </c>
      <c r="D18" s="82" t="s">
        <v>228</v>
      </c>
      <c r="E18" s="23">
        <v>1</v>
      </c>
      <c r="F18" s="52">
        <v>1</v>
      </c>
      <c r="G18" s="52">
        <f>IF(COUNTIFS(Export!I:I,Tabla1[[#This Row],[CODIGO PDV]])&gt;0,1,0)</f>
        <v>1</v>
      </c>
      <c r="H18" s="23">
        <f>COUNTIFS('DATA INFORME'!D:D,Tabla1[[#This Row],[CODIGO PDV]])</f>
        <v>1</v>
      </c>
      <c r="I18" s="53">
        <f>COUNTIFS('DATA INFORME'!D:D,Tabla1[[#This Row],[CODIGO PDV]],'DATA INFORME'!K:K,"SI")</f>
        <v>1</v>
      </c>
    </row>
    <row r="19" spans="1:9" x14ac:dyDescent="0.25">
      <c r="A19" s="79" t="s">
        <v>15</v>
      </c>
      <c r="B19" s="80" t="s">
        <v>91</v>
      </c>
      <c r="C19" s="81">
        <v>428025</v>
      </c>
      <c r="D19" s="82" t="s">
        <v>174</v>
      </c>
      <c r="E19" s="23">
        <v>1</v>
      </c>
      <c r="F19" s="52">
        <v>1</v>
      </c>
      <c r="G19" s="52">
        <f>IF(COUNTIFS(Export!I:I,Tabla1[[#This Row],[CODIGO PDV]])&gt;0,1,0)</f>
        <v>1</v>
      </c>
      <c r="H19" s="23">
        <f>COUNTIFS('DATA INFORME'!D:D,Tabla1[[#This Row],[CODIGO PDV]])</f>
        <v>1</v>
      </c>
      <c r="I19" s="53">
        <f>COUNTIFS('DATA INFORME'!D:D,Tabla1[[#This Row],[CODIGO PDV]],'DATA INFORME'!K:K,"SI")</f>
        <v>1</v>
      </c>
    </row>
    <row r="20" spans="1:9" x14ac:dyDescent="0.25">
      <c r="A20" s="87"/>
      <c r="B20" s="74"/>
      <c r="C20" s="75"/>
      <c r="D20" s="76"/>
      <c r="E20" s="65"/>
      <c r="F20" s="64"/>
      <c r="G20" s="64"/>
      <c r="H20" s="65"/>
      <c r="I20" s="65"/>
    </row>
    <row r="21" spans="1:9" x14ac:dyDescent="0.25">
      <c r="A21" s="87"/>
      <c r="B21" s="74"/>
      <c r="C21" s="75"/>
      <c r="D21" s="76"/>
      <c r="E21" s="65"/>
      <c r="F21" s="64"/>
      <c r="G21" s="64"/>
      <c r="H21" s="65"/>
      <c r="I21" s="65"/>
    </row>
    <row r="22" spans="1:9" x14ac:dyDescent="0.25">
      <c r="A22" s="50"/>
      <c r="B22" s="74"/>
      <c r="C22" s="75"/>
      <c r="D22" s="76"/>
      <c r="E22" s="65"/>
      <c r="F22" s="64"/>
      <c r="G22" s="64"/>
      <c r="H22" s="65"/>
      <c r="I22" s="65"/>
    </row>
    <row r="23" spans="1:9" x14ac:dyDescent="0.25">
      <c r="A23" s="50"/>
      <c r="B23" s="74"/>
      <c r="C23" s="75"/>
      <c r="D23" s="76"/>
      <c r="E23" s="65"/>
      <c r="F23" s="64"/>
      <c r="G23" s="64"/>
      <c r="H23" s="65"/>
      <c r="I23" s="65"/>
    </row>
    <row r="24" spans="1:9" x14ac:dyDescent="0.25">
      <c r="A24" s="50"/>
      <c r="B24" s="74"/>
      <c r="C24" s="75"/>
      <c r="D24" s="76"/>
      <c r="E24" s="65"/>
      <c r="F24" s="64"/>
      <c r="G24" s="64"/>
      <c r="H24" s="65"/>
      <c r="I24" s="65"/>
    </row>
    <row r="25" spans="1:9" x14ac:dyDescent="0.25">
      <c r="A25" s="50"/>
      <c r="B25" s="74"/>
      <c r="C25" s="75"/>
      <c r="D25" s="76"/>
      <c r="E25" s="65"/>
      <c r="F25" s="64"/>
      <c r="G25" s="64"/>
      <c r="H25" s="65"/>
      <c r="I25" s="65"/>
    </row>
    <row r="26" spans="1:9" x14ac:dyDescent="0.25">
      <c r="A26" s="50"/>
      <c r="B26" s="74"/>
      <c r="C26" s="75"/>
      <c r="D26" s="76"/>
      <c r="E26" s="65"/>
      <c r="F26" s="64"/>
      <c r="G26" s="64"/>
      <c r="H26" s="65"/>
      <c r="I26" s="65"/>
    </row>
    <row r="27" spans="1:9" x14ac:dyDescent="0.25">
      <c r="A27" s="50"/>
      <c r="B27" s="74"/>
      <c r="C27" s="75"/>
      <c r="D27" s="76"/>
      <c r="E27" s="65"/>
      <c r="F27" s="64"/>
      <c r="G27" s="64"/>
      <c r="H27" s="65"/>
      <c r="I27" s="65"/>
    </row>
    <row r="28" spans="1:9" x14ac:dyDescent="0.25">
      <c r="A28" s="50"/>
      <c r="B28" s="74"/>
      <c r="C28" s="75"/>
      <c r="D28" s="76"/>
      <c r="E28" s="65"/>
      <c r="F28" s="64"/>
      <c r="G28" s="64"/>
      <c r="H28" s="65"/>
      <c r="I28" s="65"/>
    </row>
    <row r="29" spans="1:9" x14ac:dyDescent="0.25">
      <c r="A29" s="50"/>
      <c r="B29" s="74"/>
      <c r="C29" s="75"/>
      <c r="D29" s="76"/>
      <c r="E29" s="65"/>
      <c r="F29" s="64"/>
      <c r="G29" s="64"/>
      <c r="H29" s="65"/>
      <c r="I29" s="65"/>
    </row>
    <row r="30" spans="1:9" s="88" customFormat="1" x14ac:dyDescent="0.25">
      <c r="A30" s="67"/>
      <c r="B30" s="67"/>
      <c r="C30" s="67"/>
      <c r="D30" s="67"/>
      <c r="E30" s="67"/>
      <c r="F30" s="50"/>
      <c r="G30" s="50"/>
      <c r="H30" s="50"/>
      <c r="I30" s="50"/>
    </row>
    <row r="31" spans="1:9" ht="27.95" customHeight="1" x14ac:dyDescent="0.25">
      <c r="A31" s="45" t="s">
        <v>22</v>
      </c>
      <c r="B31" s="45" t="s">
        <v>1</v>
      </c>
      <c r="C31" s="45" t="s">
        <v>36</v>
      </c>
      <c r="D31" s="45" t="s">
        <v>37</v>
      </c>
      <c r="E31" s="56" t="s">
        <v>44</v>
      </c>
      <c r="F31" s="50"/>
      <c r="G31" s="50"/>
      <c r="H31" s="50"/>
      <c r="I31" s="50"/>
    </row>
    <row r="32" spans="1:9" ht="22.5" x14ac:dyDescent="0.25">
      <c r="A32" s="66" t="s">
        <v>15</v>
      </c>
      <c r="B32" s="60" t="s">
        <v>8</v>
      </c>
      <c r="C32" s="61">
        <v>12394</v>
      </c>
      <c r="D32" s="62" t="s">
        <v>181</v>
      </c>
      <c r="E32" s="46" t="s">
        <v>317</v>
      </c>
      <c r="F32" s="63"/>
      <c r="G32" s="64"/>
      <c r="H32" s="65"/>
      <c r="I32" s="65"/>
    </row>
    <row r="33" spans="1:9" x14ac:dyDescent="0.25">
      <c r="A33" s="79" t="s">
        <v>14</v>
      </c>
      <c r="B33" s="80" t="s">
        <v>8</v>
      </c>
      <c r="C33" s="81">
        <v>454996</v>
      </c>
      <c r="D33" s="82" t="s">
        <v>196</v>
      </c>
      <c r="E33" s="46" t="s">
        <v>318</v>
      </c>
      <c r="F33" s="50"/>
      <c r="G33" s="50"/>
      <c r="H33" s="50"/>
      <c r="I33" s="50"/>
    </row>
    <row r="34" spans="1:9" x14ac:dyDescent="0.25">
      <c r="A34" s="66" t="s">
        <v>15</v>
      </c>
      <c r="B34" s="60" t="s">
        <v>8</v>
      </c>
      <c r="C34" s="61">
        <v>12662</v>
      </c>
      <c r="D34" s="62" t="s">
        <v>220</v>
      </c>
      <c r="E34" s="46" t="s">
        <v>319</v>
      </c>
      <c r="F34" s="50"/>
      <c r="G34" s="50"/>
      <c r="H34" s="50"/>
      <c r="I34" s="50"/>
    </row>
    <row r="35" spans="1:9" x14ac:dyDescent="0.25">
      <c r="A35" s="79" t="s">
        <v>15</v>
      </c>
      <c r="B35" s="80" t="s">
        <v>112</v>
      </c>
      <c r="C35" s="81">
        <v>365377</v>
      </c>
      <c r="D35" s="82" t="s">
        <v>305</v>
      </c>
      <c r="E35" s="46" t="s">
        <v>320</v>
      </c>
      <c r="F35" s="50"/>
      <c r="G35" s="50"/>
      <c r="H35" s="50"/>
      <c r="I35" s="50"/>
    </row>
    <row r="36" spans="1:9" ht="22.5" x14ac:dyDescent="0.25">
      <c r="A36" s="66" t="s">
        <v>15</v>
      </c>
      <c r="B36" s="60" t="s">
        <v>112</v>
      </c>
      <c r="C36" s="61">
        <v>13555</v>
      </c>
      <c r="D36" s="62" t="s">
        <v>204</v>
      </c>
      <c r="E36" s="46" t="s">
        <v>317</v>
      </c>
    </row>
    <row r="37" spans="1:9" x14ac:dyDescent="0.25">
      <c r="A37" s="79"/>
      <c r="B37" s="80"/>
      <c r="C37" s="81"/>
      <c r="D37" s="82"/>
      <c r="E37" s="46"/>
    </row>
  </sheetData>
  <phoneticPr fontId="3" type="noConversion"/>
  <conditionalFormatting sqref="C2:C29">
    <cfRule type="duplicateValues" dxfId="4" priority="101"/>
  </conditionalFormatting>
  <conditionalFormatting sqref="C32:C37">
    <cfRule type="duplicateValues" dxfId="3" priority="1"/>
  </conditionalFormatting>
  <conditionalFormatting sqref="D1">
    <cfRule type="duplicateValues" dxfId="2" priority="36"/>
  </conditionalFormatting>
  <conditionalFormatting sqref="D31">
    <cfRule type="duplicateValues" dxfId="1" priority="9"/>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S19"/>
  <sheetViews>
    <sheetView workbookViewId="0">
      <selection activeCell="C7" sqref="C7"/>
    </sheetView>
  </sheetViews>
  <sheetFormatPr baseColWidth="10" defaultRowHeight="15" x14ac:dyDescent="0.25"/>
  <cols>
    <col min="1" max="1" width="14.5703125" bestFit="1" customWidth="1"/>
    <col min="2" max="2" width="14.42578125" bestFit="1" customWidth="1"/>
    <col min="3" max="3" width="36.5703125" bestFit="1" customWidth="1"/>
    <col min="4" max="4" width="15.28515625" bestFit="1" customWidth="1"/>
    <col min="5" max="5" width="38" bestFit="1" customWidth="1"/>
    <col min="6" max="6" width="27.28515625" bestFit="1" customWidth="1"/>
    <col min="7" max="7" width="29" bestFit="1" customWidth="1"/>
    <col min="8" max="8" width="15.5703125" bestFit="1" customWidth="1"/>
    <col min="9" max="9" width="16.28515625" bestFit="1" customWidth="1"/>
    <col min="10" max="10" width="11.5703125" bestFit="1" customWidth="1"/>
    <col min="11" max="11" width="34.42578125" bestFit="1" customWidth="1"/>
    <col min="12" max="12" width="56.5703125" bestFit="1" customWidth="1"/>
    <col min="13" max="14" width="81.140625" bestFit="1" customWidth="1"/>
    <col min="15" max="15" width="50.85546875" bestFit="1" customWidth="1"/>
    <col min="16" max="16" width="81.140625" bestFit="1" customWidth="1"/>
    <col min="17" max="17" width="68.5703125" bestFit="1" customWidth="1"/>
    <col min="18" max="18" width="53.28515625" bestFit="1" customWidth="1"/>
    <col min="19" max="21" width="81.140625" bestFit="1" customWidth="1"/>
    <col min="22" max="22" width="66.7109375" bestFit="1" customWidth="1"/>
    <col min="23" max="23" width="53.5703125" bestFit="1" customWidth="1"/>
    <col min="24" max="25" width="81.140625" customWidth="1"/>
    <col min="26" max="26" width="45" bestFit="1" customWidth="1"/>
    <col min="27" max="27" width="56.28515625" bestFit="1" customWidth="1"/>
    <col min="28" max="28" width="31.85546875" bestFit="1" customWidth="1"/>
    <col min="29" max="31" width="81.140625" customWidth="1"/>
    <col min="32" max="32" width="51.5703125" bestFit="1" customWidth="1"/>
    <col min="33" max="33" width="47.5703125" bestFit="1" customWidth="1"/>
    <col min="34" max="34" width="51" bestFit="1" customWidth="1"/>
    <col min="35" max="35" width="27.5703125" bestFit="1" customWidth="1"/>
    <col min="36" max="36" width="81.140625" customWidth="1"/>
    <col min="37" max="37" width="77.85546875" bestFit="1" customWidth="1"/>
    <col min="38" max="38" width="28.42578125" bestFit="1" customWidth="1"/>
    <col min="39" max="39" width="79.140625" bestFit="1" customWidth="1"/>
    <col min="40" max="45" width="81.140625" customWidth="1"/>
    <col min="46" max="46" width="66.7109375" bestFit="1" customWidth="1"/>
    <col min="47" max="47" width="48.5703125" bestFit="1" customWidth="1"/>
    <col min="48" max="53" width="81.140625" bestFit="1" customWidth="1"/>
    <col min="54" max="54" width="44.28515625" bestFit="1" customWidth="1"/>
    <col min="55" max="55" width="81.140625" bestFit="1" customWidth="1"/>
    <col min="56" max="56" width="60.140625" bestFit="1" customWidth="1"/>
    <col min="57" max="57" width="79.7109375" bestFit="1" customWidth="1"/>
    <col min="58" max="59" width="81.140625" bestFit="1" customWidth="1"/>
    <col min="60" max="60" width="54.85546875" bestFit="1" customWidth="1"/>
    <col min="61" max="61" width="57.5703125" bestFit="1" customWidth="1"/>
    <col min="62" max="62" width="50.85546875" bestFit="1" customWidth="1"/>
    <col min="63" max="63" width="50.42578125" bestFit="1" customWidth="1"/>
    <col min="64" max="64" width="41.5703125" bestFit="1" customWidth="1"/>
    <col min="65" max="65" width="78.5703125" bestFit="1" customWidth="1"/>
    <col min="66" max="66" width="81.140625" bestFit="1" customWidth="1"/>
    <col min="67" max="67" width="78.28515625" bestFit="1" customWidth="1"/>
    <col min="68" max="68" width="70.42578125" bestFit="1" customWidth="1"/>
    <col min="69" max="69" width="81.140625" bestFit="1" customWidth="1"/>
    <col min="70" max="70" width="46.5703125" bestFit="1" customWidth="1"/>
    <col min="71" max="71" width="50.42578125" bestFit="1" customWidth="1"/>
    <col min="72" max="72" width="25" bestFit="1" customWidth="1"/>
    <col min="73" max="73" width="38.5703125" bestFit="1" customWidth="1"/>
    <col min="74" max="74" width="37.7109375" bestFit="1" customWidth="1"/>
    <col min="75" max="75" width="33" bestFit="1" customWidth="1"/>
    <col min="76" max="76" width="24.5703125" bestFit="1" customWidth="1"/>
    <col min="77" max="77" width="38" bestFit="1" customWidth="1"/>
    <col min="78" max="78" width="81.140625" bestFit="1" customWidth="1"/>
    <col min="79" max="79" width="62.85546875" bestFit="1" customWidth="1"/>
    <col min="80" max="80" width="36.42578125" bestFit="1" customWidth="1"/>
    <col min="81" max="82" width="17.5703125" bestFit="1" customWidth="1"/>
    <col min="83" max="83" width="42.42578125" bestFit="1" customWidth="1"/>
    <col min="84" max="85" width="81.140625" bestFit="1" customWidth="1"/>
    <col min="86" max="86" width="50.85546875" bestFit="1" customWidth="1"/>
    <col min="87" max="87" width="81.140625" bestFit="1" customWidth="1"/>
    <col min="88" max="88" width="68.5703125" bestFit="1" customWidth="1"/>
    <col min="89" max="89" width="53.28515625" bestFit="1" customWidth="1"/>
    <col min="90" max="92" width="81.140625" bestFit="1" customWidth="1"/>
    <col min="93" max="93" width="66.7109375" bestFit="1" customWidth="1"/>
    <col min="94" max="94" width="55.85546875" bestFit="1" customWidth="1"/>
    <col min="95" max="96" width="81.140625" bestFit="1" customWidth="1"/>
    <col min="97" max="97" width="27.42578125" bestFit="1" customWidth="1"/>
    <col min="98" max="98" width="81.140625" bestFit="1" customWidth="1"/>
    <col min="99" max="99" width="77.140625" bestFit="1" customWidth="1"/>
    <col min="100" max="103" width="81.140625" bestFit="1" customWidth="1"/>
    <col min="104" max="104" width="77.28515625" bestFit="1" customWidth="1"/>
    <col min="105" max="105" width="70" bestFit="1" customWidth="1"/>
    <col min="106" max="106" width="32.140625" bestFit="1" customWidth="1"/>
    <col min="107" max="107" width="30.28515625" bestFit="1" customWidth="1"/>
    <col min="108" max="108" width="46.5703125" bestFit="1" customWidth="1"/>
    <col min="109" max="109" width="51" bestFit="1" customWidth="1"/>
    <col min="110" max="110" width="81.140625" bestFit="1" customWidth="1"/>
    <col min="111" max="111" width="81.140625" customWidth="1"/>
    <col min="112" max="112" width="73.140625" bestFit="1" customWidth="1"/>
    <col min="113" max="113" width="81.140625" bestFit="1" customWidth="1"/>
    <col min="114" max="118" width="81.140625" customWidth="1"/>
    <col min="119" max="119" width="31.7109375" bestFit="1" customWidth="1"/>
    <col min="120" max="120" width="81.140625" bestFit="1" customWidth="1"/>
    <col min="121" max="121" width="81.140625" customWidth="1"/>
    <col min="122" max="122" width="10.42578125" bestFit="1" customWidth="1"/>
    <col min="123" max="123" width="12.28515625" bestFit="1" customWidth="1"/>
    <col min="124" max="124" width="12.5703125" bestFit="1" customWidth="1"/>
    <col min="125" max="125" width="67.5703125" customWidth="1"/>
    <col min="126" max="130" width="80.7109375" customWidth="1"/>
    <col min="131" max="131" width="29.140625" customWidth="1"/>
    <col min="132" max="132" width="27.28515625" customWidth="1"/>
    <col min="133" max="133" width="9.7109375" customWidth="1"/>
    <col min="134" max="134" width="11.42578125" bestFit="1" customWidth="1"/>
    <col min="135" max="135" width="11.7109375" bestFit="1" customWidth="1"/>
    <col min="136" max="136" width="11.42578125" bestFit="1" customWidth="1"/>
    <col min="137" max="137" width="56" bestFit="1" customWidth="1"/>
    <col min="138" max="138" width="46.140625" bestFit="1" customWidth="1"/>
    <col min="139" max="140" width="56" bestFit="1" customWidth="1"/>
    <col min="141" max="141" width="48.28515625" bestFit="1" customWidth="1"/>
    <col min="142" max="145" width="56" bestFit="1" customWidth="1"/>
    <col min="146" max="146" width="48.85546875" bestFit="1" customWidth="1"/>
    <col min="147" max="148" width="56" bestFit="1" customWidth="1"/>
    <col min="149" max="149" width="25.28515625" bestFit="1" customWidth="1"/>
    <col min="150" max="154" width="56" bestFit="1" customWidth="1"/>
    <col min="155" max="155" width="42.42578125" bestFit="1" customWidth="1"/>
    <col min="156" max="156" width="46.140625" bestFit="1" customWidth="1"/>
    <col min="157" max="157" width="25.140625" bestFit="1" customWidth="1"/>
    <col min="158" max="165" width="56" bestFit="1" customWidth="1"/>
    <col min="166" max="166" width="29.140625" bestFit="1" customWidth="1"/>
    <col min="167" max="167" width="9.85546875" bestFit="1" customWidth="1"/>
    <col min="168" max="168" width="11.42578125" bestFit="1" customWidth="1"/>
  </cols>
  <sheetData>
    <row r="1" spans="1:45" x14ac:dyDescent="0.25">
      <c r="A1" t="s">
        <v>24</v>
      </c>
      <c r="B1" t="s">
        <v>1</v>
      </c>
      <c r="C1" t="s">
        <v>25</v>
      </c>
      <c r="D1" t="s">
        <v>26</v>
      </c>
      <c r="E1" t="s">
        <v>23</v>
      </c>
      <c r="F1" t="s">
        <v>51</v>
      </c>
      <c r="G1" t="s">
        <v>52</v>
      </c>
      <c r="H1" t="s">
        <v>29</v>
      </c>
      <c r="I1" t="s">
        <v>30</v>
      </c>
      <c r="J1" t="s">
        <v>31</v>
      </c>
      <c r="K1" t="s">
        <v>133</v>
      </c>
      <c r="L1" t="s">
        <v>97</v>
      </c>
      <c r="M1" t="s">
        <v>98</v>
      </c>
      <c r="N1" t="s">
        <v>134</v>
      </c>
      <c r="O1" t="s">
        <v>35</v>
      </c>
      <c r="P1" t="s">
        <v>135</v>
      </c>
      <c r="Q1" t="s">
        <v>99</v>
      </c>
      <c r="R1" t="s">
        <v>100</v>
      </c>
      <c r="S1" t="s">
        <v>101</v>
      </c>
      <c r="T1" t="s">
        <v>102</v>
      </c>
      <c r="U1" t="s">
        <v>103</v>
      </c>
      <c r="V1" t="s">
        <v>104</v>
      </c>
      <c r="W1" t="s">
        <v>136</v>
      </c>
      <c r="X1" t="s">
        <v>137</v>
      </c>
      <c r="Y1" t="s">
        <v>138</v>
      </c>
      <c r="Z1" t="s">
        <v>139</v>
      </c>
      <c r="AA1" t="s">
        <v>147</v>
      </c>
      <c r="AB1" t="s">
        <v>148</v>
      </c>
      <c r="AC1" t="s">
        <v>149</v>
      </c>
      <c r="AD1" t="s">
        <v>150</v>
      </c>
      <c r="AE1" t="s">
        <v>151</v>
      </c>
      <c r="AF1" t="s">
        <v>152</v>
      </c>
      <c r="AG1" t="s">
        <v>153</v>
      </c>
      <c r="AH1" t="s">
        <v>154</v>
      </c>
      <c r="AI1" t="s">
        <v>155</v>
      </c>
      <c r="AJ1" t="s">
        <v>156</v>
      </c>
      <c r="AK1" t="s">
        <v>157</v>
      </c>
      <c r="AL1" t="s">
        <v>140</v>
      </c>
      <c r="AM1" t="s">
        <v>141</v>
      </c>
      <c r="AN1" t="s">
        <v>142</v>
      </c>
      <c r="AO1" t="s">
        <v>143</v>
      </c>
      <c r="AP1" t="s">
        <v>144</v>
      </c>
      <c r="AQ1" t="s">
        <v>145</v>
      </c>
      <c r="AR1" t="s">
        <v>146</v>
      </c>
      <c r="AS1" t="s">
        <v>158</v>
      </c>
    </row>
    <row r="2" spans="1:45" x14ac:dyDescent="0.25">
      <c r="A2" t="s">
        <v>107</v>
      </c>
      <c r="B2" t="s">
        <v>93</v>
      </c>
      <c r="C2" t="s">
        <v>161</v>
      </c>
      <c r="D2">
        <v>191495</v>
      </c>
      <c r="E2" t="s">
        <v>240</v>
      </c>
      <c r="F2">
        <v>1</v>
      </c>
      <c r="G2" t="s">
        <v>164</v>
      </c>
      <c r="H2" s="86">
        <v>45825</v>
      </c>
      <c r="I2">
        <v>27498086</v>
      </c>
      <c r="J2" t="s">
        <v>127</v>
      </c>
      <c r="K2" t="s">
        <v>20</v>
      </c>
      <c r="L2" t="s">
        <v>20</v>
      </c>
      <c r="M2" t="s">
        <v>20</v>
      </c>
      <c r="N2" t="s">
        <v>20</v>
      </c>
      <c r="O2" t="s">
        <v>20</v>
      </c>
      <c r="P2" t="s">
        <v>81</v>
      </c>
      <c r="Q2" t="s">
        <v>20</v>
      </c>
      <c r="R2" t="s">
        <v>20</v>
      </c>
      <c r="S2" t="s">
        <v>81</v>
      </c>
      <c r="T2" t="s">
        <v>81</v>
      </c>
      <c r="U2" t="s">
        <v>81</v>
      </c>
      <c r="V2" t="s">
        <v>81</v>
      </c>
      <c r="W2" t="s">
        <v>20</v>
      </c>
      <c r="X2" t="s">
        <v>20</v>
      </c>
      <c r="Y2" t="s">
        <v>20</v>
      </c>
      <c r="Z2" t="s">
        <v>169</v>
      </c>
      <c r="AA2" t="s">
        <v>20</v>
      </c>
      <c r="AB2" t="s">
        <v>106</v>
      </c>
      <c r="AC2" t="s">
        <v>106</v>
      </c>
      <c r="AD2" t="s">
        <v>106</v>
      </c>
      <c r="AE2" t="s">
        <v>20</v>
      </c>
      <c r="AF2" t="s">
        <v>170</v>
      </c>
      <c r="AG2" t="s">
        <v>20</v>
      </c>
      <c r="AH2" t="s">
        <v>20</v>
      </c>
      <c r="AI2" t="s">
        <v>20</v>
      </c>
      <c r="AJ2" t="s">
        <v>20</v>
      </c>
      <c r="AK2" t="s">
        <v>81</v>
      </c>
    </row>
    <row r="3" spans="1:45" x14ac:dyDescent="0.25">
      <c r="A3" t="s">
        <v>107</v>
      </c>
      <c r="B3" t="s">
        <v>93</v>
      </c>
      <c r="C3" t="s">
        <v>96</v>
      </c>
      <c r="D3">
        <v>126325</v>
      </c>
      <c r="E3" t="s">
        <v>256</v>
      </c>
      <c r="F3">
        <v>1</v>
      </c>
      <c r="G3" t="s">
        <v>164</v>
      </c>
      <c r="H3" s="86">
        <v>45834.416678240741</v>
      </c>
      <c r="I3">
        <v>27531935</v>
      </c>
      <c r="J3" t="s">
        <v>127</v>
      </c>
      <c r="K3" t="s">
        <v>20</v>
      </c>
      <c r="L3" t="s">
        <v>20</v>
      </c>
      <c r="M3" t="s">
        <v>20</v>
      </c>
      <c r="N3" t="s">
        <v>20</v>
      </c>
      <c r="O3" t="s">
        <v>20</v>
      </c>
      <c r="P3" t="s">
        <v>81</v>
      </c>
      <c r="Q3" t="s">
        <v>20</v>
      </c>
      <c r="R3" t="s">
        <v>20</v>
      </c>
      <c r="S3" t="s">
        <v>81</v>
      </c>
      <c r="T3" t="s">
        <v>81</v>
      </c>
      <c r="U3" t="s">
        <v>81</v>
      </c>
      <c r="V3" t="s">
        <v>81</v>
      </c>
      <c r="W3" t="s">
        <v>20</v>
      </c>
      <c r="X3" t="s">
        <v>20</v>
      </c>
      <c r="Y3" t="s">
        <v>106</v>
      </c>
      <c r="Z3" t="s">
        <v>15</v>
      </c>
      <c r="AF3" t="s">
        <v>170</v>
      </c>
      <c r="AG3" t="s">
        <v>20</v>
      </c>
      <c r="AH3" t="s">
        <v>20</v>
      </c>
      <c r="AI3" t="s">
        <v>20</v>
      </c>
      <c r="AJ3" t="s">
        <v>20</v>
      </c>
      <c r="AK3" t="s">
        <v>81</v>
      </c>
      <c r="AL3" t="s">
        <v>81</v>
      </c>
      <c r="AM3" t="s">
        <v>81</v>
      </c>
      <c r="AN3" t="s">
        <v>81</v>
      </c>
      <c r="AO3" t="s">
        <v>81</v>
      </c>
      <c r="AP3" t="s">
        <v>20</v>
      </c>
      <c r="AQ3" t="s">
        <v>20</v>
      </c>
      <c r="AR3" t="s">
        <v>20</v>
      </c>
    </row>
    <row r="4" spans="1:45" x14ac:dyDescent="0.25">
      <c r="A4" t="s">
        <v>107</v>
      </c>
      <c r="B4" t="s">
        <v>93</v>
      </c>
      <c r="C4" t="s">
        <v>96</v>
      </c>
      <c r="D4">
        <v>447964</v>
      </c>
      <c r="E4" t="s">
        <v>251</v>
      </c>
      <c r="F4">
        <v>1</v>
      </c>
      <c r="G4" t="s">
        <v>164</v>
      </c>
      <c r="H4" s="86">
        <v>45825</v>
      </c>
      <c r="I4">
        <v>27521942</v>
      </c>
      <c r="J4" t="s">
        <v>127</v>
      </c>
      <c r="K4" t="s">
        <v>20</v>
      </c>
      <c r="L4" t="s">
        <v>20</v>
      </c>
      <c r="M4" t="s">
        <v>20</v>
      </c>
      <c r="N4" t="s">
        <v>20</v>
      </c>
      <c r="O4" t="s">
        <v>20</v>
      </c>
      <c r="P4" t="s">
        <v>81</v>
      </c>
      <c r="Q4" t="s">
        <v>20</v>
      </c>
      <c r="R4" t="s">
        <v>20</v>
      </c>
      <c r="S4" t="s">
        <v>81</v>
      </c>
      <c r="T4" t="s">
        <v>81</v>
      </c>
      <c r="U4" t="s">
        <v>81</v>
      </c>
      <c r="V4" t="s">
        <v>81</v>
      </c>
      <c r="W4" t="s">
        <v>20</v>
      </c>
      <c r="X4" t="s">
        <v>20</v>
      </c>
      <c r="Y4" t="s">
        <v>106</v>
      </c>
      <c r="Z4" t="s">
        <v>15</v>
      </c>
      <c r="AF4" t="s">
        <v>188</v>
      </c>
      <c r="AG4" t="s">
        <v>20</v>
      </c>
      <c r="AH4" t="s">
        <v>20</v>
      </c>
      <c r="AI4" t="s">
        <v>20</v>
      </c>
      <c r="AJ4" t="s">
        <v>20</v>
      </c>
      <c r="AK4" t="s">
        <v>81</v>
      </c>
      <c r="AL4" t="s">
        <v>106</v>
      </c>
      <c r="AM4" t="s">
        <v>106</v>
      </c>
      <c r="AN4" t="s">
        <v>106</v>
      </c>
      <c r="AO4" t="s">
        <v>106</v>
      </c>
      <c r="AP4" t="s">
        <v>106</v>
      </c>
      <c r="AQ4" t="s">
        <v>106</v>
      </c>
      <c r="AR4" t="s">
        <v>106</v>
      </c>
    </row>
    <row r="5" spans="1:45" x14ac:dyDescent="0.25">
      <c r="A5" t="s">
        <v>107</v>
      </c>
      <c r="B5" t="s">
        <v>93</v>
      </c>
      <c r="C5" t="s">
        <v>113</v>
      </c>
      <c r="D5">
        <v>65453</v>
      </c>
      <c r="E5" t="s">
        <v>245</v>
      </c>
      <c r="F5">
        <v>1</v>
      </c>
      <c r="G5" t="s">
        <v>164</v>
      </c>
      <c r="H5" s="86">
        <v>45826</v>
      </c>
      <c r="I5">
        <v>27498090</v>
      </c>
      <c r="J5" t="s">
        <v>127</v>
      </c>
      <c r="K5" t="s">
        <v>20</v>
      </c>
      <c r="L5" t="s">
        <v>20</v>
      </c>
      <c r="M5" t="s">
        <v>20</v>
      </c>
      <c r="N5" t="s">
        <v>20</v>
      </c>
      <c r="O5" t="s">
        <v>20</v>
      </c>
      <c r="P5" t="s">
        <v>81</v>
      </c>
      <c r="Q5" t="s">
        <v>20</v>
      </c>
      <c r="R5" t="s">
        <v>20</v>
      </c>
      <c r="S5" t="s">
        <v>81</v>
      </c>
      <c r="T5" t="s">
        <v>81</v>
      </c>
      <c r="U5" t="s">
        <v>81</v>
      </c>
      <c r="V5" t="s">
        <v>81</v>
      </c>
      <c r="W5" t="s">
        <v>20</v>
      </c>
      <c r="X5" t="s">
        <v>20</v>
      </c>
      <c r="Y5" t="s">
        <v>20</v>
      </c>
      <c r="Z5" t="s">
        <v>169</v>
      </c>
      <c r="AA5" t="s">
        <v>20</v>
      </c>
      <c r="AB5" t="s">
        <v>20</v>
      </c>
      <c r="AC5" t="s">
        <v>20</v>
      </c>
      <c r="AD5" t="s">
        <v>20</v>
      </c>
      <c r="AE5" t="s">
        <v>20</v>
      </c>
      <c r="AF5" t="s">
        <v>170</v>
      </c>
      <c r="AG5" t="s">
        <v>20</v>
      </c>
      <c r="AH5" t="s">
        <v>20</v>
      </c>
      <c r="AI5" t="s">
        <v>20</v>
      </c>
      <c r="AJ5" t="s">
        <v>20</v>
      </c>
      <c r="AK5" t="s">
        <v>81</v>
      </c>
    </row>
    <row r="6" spans="1:45" x14ac:dyDescent="0.25">
      <c r="A6" t="s">
        <v>107</v>
      </c>
      <c r="B6" t="s">
        <v>8</v>
      </c>
      <c r="C6" t="s">
        <v>161</v>
      </c>
      <c r="D6">
        <v>355955</v>
      </c>
      <c r="E6" t="s">
        <v>163</v>
      </c>
      <c r="F6">
        <v>1</v>
      </c>
      <c r="G6" t="s">
        <v>164</v>
      </c>
      <c r="H6" s="86">
        <v>45815</v>
      </c>
      <c r="I6">
        <v>27420844</v>
      </c>
      <c r="J6" t="s">
        <v>110</v>
      </c>
      <c r="K6" t="s">
        <v>20</v>
      </c>
      <c r="L6" t="s">
        <v>20</v>
      </c>
      <c r="M6" t="s">
        <v>20</v>
      </c>
      <c r="N6" t="s">
        <v>20</v>
      </c>
      <c r="O6" t="s">
        <v>20</v>
      </c>
      <c r="P6" t="s">
        <v>81</v>
      </c>
      <c r="Q6" t="s">
        <v>20</v>
      </c>
      <c r="R6" t="s">
        <v>20</v>
      </c>
      <c r="S6" t="s">
        <v>81</v>
      </c>
      <c r="T6" t="s">
        <v>81</v>
      </c>
      <c r="U6" t="s">
        <v>81</v>
      </c>
      <c r="V6" t="s">
        <v>81</v>
      </c>
      <c r="W6" t="s">
        <v>20</v>
      </c>
      <c r="X6" t="s">
        <v>81</v>
      </c>
      <c r="Y6" t="s">
        <v>20</v>
      </c>
      <c r="Z6" t="s">
        <v>169</v>
      </c>
      <c r="AA6" t="s">
        <v>20</v>
      </c>
      <c r="AB6" t="s">
        <v>20</v>
      </c>
      <c r="AC6" t="s">
        <v>20</v>
      </c>
      <c r="AD6" t="s">
        <v>81</v>
      </c>
      <c r="AE6" t="s">
        <v>81</v>
      </c>
      <c r="AF6" t="s">
        <v>170</v>
      </c>
      <c r="AG6" t="s">
        <v>20</v>
      </c>
      <c r="AH6" t="s">
        <v>20</v>
      </c>
      <c r="AI6" t="s">
        <v>20</v>
      </c>
      <c r="AJ6" t="s">
        <v>20</v>
      </c>
      <c r="AK6" t="s">
        <v>81</v>
      </c>
    </row>
    <row r="7" spans="1:45" x14ac:dyDescent="0.25">
      <c r="A7" t="s">
        <v>107</v>
      </c>
      <c r="B7" t="s">
        <v>8</v>
      </c>
      <c r="C7" t="s">
        <v>161</v>
      </c>
      <c r="D7">
        <v>435142</v>
      </c>
      <c r="E7" t="s">
        <v>291</v>
      </c>
      <c r="F7">
        <v>1</v>
      </c>
      <c r="G7" t="s">
        <v>164</v>
      </c>
      <c r="H7" s="86">
        <v>45835</v>
      </c>
      <c r="I7">
        <v>27593677</v>
      </c>
      <c r="J7" t="s">
        <v>110</v>
      </c>
      <c r="K7" t="s">
        <v>20</v>
      </c>
      <c r="L7" t="s">
        <v>20</v>
      </c>
      <c r="M7" t="s">
        <v>20</v>
      </c>
      <c r="N7" t="s">
        <v>20</v>
      </c>
      <c r="O7" t="s">
        <v>20</v>
      </c>
      <c r="P7" t="s">
        <v>81</v>
      </c>
      <c r="Q7" t="s">
        <v>20</v>
      </c>
      <c r="R7" t="s">
        <v>20</v>
      </c>
      <c r="S7" t="s">
        <v>81</v>
      </c>
      <c r="T7" t="s">
        <v>81</v>
      </c>
      <c r="U7" t="s">
        <v>81</v>
      </c>
      <c r="V7" t="s">
        <v>81</v>
      </c>
      <c r="W7" t="s">
        <v>20</v>
      </c>
      <c r="X7" t="s">
        <v>106</v>
      </c>
      <c r="Y7" t="s">
        <v>20</v>
      </c>
      <c r="Z7" t="s">
        <v>169</v>
      </c>
      <c r="AA7" t="s">
        <v>20</v>
      </c>
      <c r="AB7" t="s">
        <v>20</v>
      </c>
      <c r="AC7" t="s">
        <v>20</v>
      </c>
      <c r="AD7" t="s">
        <v>20</v>
      </c>
      <c r="AE7" t="s">
        <v>20</v>
      </c>
      <c r="AF7" t="s">
        <v>170</v>
      </c>
      <c r="AG7" t="s">
        <v>20</v>
      </c>
      <c r="AH7" t="s">
        <v>20</v>
      </c>
      <c r="AI7" t="s">
        <v>81</v>
      </c>
      <c r="AJ7" t="s">
        <v>20</v>
      </c>
      <c r="AK7" t="s">
        <v>20</v>
      </c>
      <c r="AS7" t="s">
        <v>296</v>
      </c>
    </row>
    <row r="8" spans="1:45" x14ac:dyDescent="0.25">
      <c r="A8" t="s">
        <v>107</v>
      </c>
      <c r="B8" t="s">
        <v>8</v>
      </c>
      <c r="C8" t="s">
        <v>79</v>
      </c>
      <c r="D8">
        <v>12394</v>
      </c>
      <c r="E8" t="s">
        <v>181</v>
      </c>
      <c r="F8">
        <v>1</v>
      </c>
      <c r="G8" t="s">
        <v>164</v>
      </c>
      <c r="H8" s="86">
        <v>45815</v>
      </c>
      <c r="I8">
        <v>27444590</v>
      </c>
      <c r="J8" t="s">
        <v>187</v>
      </c>
      <c r="K8" t="s">
        <v>81</v>
      </c>
      <c r="L8" t="s">
        <v>81</v>
      </c>
      <c r="M8" t="s">
        <v>81</v>
      </c>
      <c r="N8" t="s">
        <v>81</v>
      </c>
      <c r="O8" t="s">
        <v>81</v>
      </c>
      <c r="P8" t="s">
        <v>81</v>
      </c>
      <c r="Q8" t="s">
        <v>81</v>
      </c>
      <c r="R8" t="s">
        <v>81</v>
      </c>
      <c r="S8" t="s">
        <v>81</v>
      </c>
      <c r="T8" t="s">
        <v>81</v>
      </c>
      <c r="U8" t="s">
        <v>81</v>
      </c>
      <c r="V8" t="s">
        <v>81</v>
      </c>
      <c r="W8" t="s">
        <v>81</v>
      </c>
      <c r="X8" t="s">
        <v>81</v>
      </c>
      <c r="Y8" t="s">
        <v>81</v>
      </c>
      <c r="Z8" t="s">
        <v>15</v>
      </c>
      <c r="AF8" t="s">
        <v>188</v>
      </c>
      <c r="AG8" t="s">
        <v>81</v>
      </c>
      <c r="AH8" t="s">
        <v>81</v>
      </c>
      <c r="AI8" t="s">
        <v>81</v>
      </c>
      <c r="AJ8" t="s">
        <v>81</v>
      </c>
      <c r="AK8" t="s">
        <v>20</v>
      </c>
      <c r="AL8" t="s">
        <v>81</v>
      </c>
      <c r="AM8" t="s">
        <v>81</v>
      </c>
      <c r="AN8" t="s">
        <v>81</v>
      </c>
      <c r="AO8" t="s">
        <v>81</v>
      </c>
      <c r="AP8" t="s">
        <v>81</v>
      </c>
      <c r="AQ8" t="s">
        <v>81</v>
      </c>
      <c r="AR8" t="s">
        <v>81</v>
      </c>
      <c r="AS8" t="s">
        <v>189</v>
      </c>
    </row>
    <row r="9" spans="1:45" x14ac:dyDescent="0.25">
      <c r="A9" t="s">
        <v>107</v>
      </c>
      <c r="B9" t="s">
        <v>8</v>
      </c>
      <c r="C9" t="s">
        <v>79</v>
      </c>
      <c r="D9">
        <v>108903</v>
      </c>
      <c r="E9" t="s">
        <v>191</v>
      </c>
      <c r="F9">
        <v>1</v>
      </c>
      <c r="G9" t="s">
        <v>164</v>
      </c>
      <c r="H9" s="86">
        <v>45818</v>
      </c>
      <c r="I9">
        <v>27450345</v>
      </c>
      <c r="J9" t="s">
        <v>187</v>
      </c>
      <c r="K9" t="s">
        <v>20</v>
      </c>
      <c r="L9" t="s">
        <v>20</v>
      </c>
      <c r="M9" t="s">
        <v>20</v>
      </c>
      <c r="N9" t="s">
        <v>20</v>
      </c>
      <c r="O9" t="s">
        <v>20</v>
      </c>
      <c r="P9" t="s">
        <v>81</v>
      </c>
      <c r="Q9" t="s">
        <v>20</v>
      </c>
      <c r="R9" t="s">
        <v>20</v>
      </c>
      <c r="S9" t="s">
        <v>81</v>
      </c>
      <c r="T9" t="s">
        <v>81</v>
      </c>
      <c r="U9" t="s">
        <v>81</v>
      </c>
      <c r="V9" t="s">
        <v>81</v>
      </c>
      <c r="W9" t="s">
        <v>20</v>
      </c>
      <c r="X9" t="s">
        <v>20</v>
      </c>
      <c r="Y9" t="s">
        <v>20</v>
      </c>
      <c r="Z9" t="s">
        <v>169</v>
      </c>
      <c r="AA9" t="s">
        <v>20</v>
      </c>
      <c r="AB9" t="s">
        <v>20</v>
      </c>
      <c r="AC9" t="s">
        <v>20</v>
      </c>
      <c r="AD9" t="s">
        <v>20</v>
      </c>
      <c r="AE9" t="s">
        <v>81</v>
      </c>
      <c r="AF9" t="s">
        <v>170</v>
      </c>
      <c r="AG9" t="s">
        <v>20</v>
      </c>
      <c r="AH9" t="s">
        <v>20</v>
      </c>
      <c r="AI9" t="s">
        <v>20</v>
      </c>
      <c r="AJ9" t="s">
        <v>20</v>
      </c>
      <c r="AK9" t="s">
        <v>81</v>
      </c>
    </row>
    <row r="10" spans="1:45" x14ac:dyDescent="0.25">
      <c r="A10" t="s">
        <v>107</v>
      </c>
      <c r="B10" t="s">
        <v>8</v>
      </c>
      <c r="C10" t="s">
        <v>79</v>
      </c>
      <c r="D10">
        <v>442719</v>
      </c>
      <c r="E10" t="s">
        <v>228</v>
      </c>
      <c r="F10">
        <v>1</v>
      </c>
      <c r="G10" t="s">
        <v>164</v>
      </c>
      <c r="H10" s="86">
        <v>45821</v>
      </c>
      <c r="I10">
        <v>27486785</v>
      </c>
      <c r="J10" t="s">
        <v>187</v>
      </c>
      <c r="K10" t="s">
        <v>20</v>
      </c>
      <c r="L10" t="s">
        <v>20</v>
      </c>
      <c r="M10" t="s">
        <v>20</v>
      </c>
      <c r="N10" t="s">
        <v>20</v>
      </c>
      <c r="O10" t="s">
        <v>20</v>
      </c>
      <c r="P10" t="s">
        <v>81</v>
      </c>
      <c r="Q10" t="s">
        <v>20</v>
      </c>
      <c r="R10" t="s">
        <v>20</v>
      </c>
      <c r="S10" t="s">
        <v>81</v>
      </c>
      <c r="T10" t="s">
        <v>81</v>
      </c>
      <c r="U10" t="s">
        <v>81</v>
      </c>
      <c r="V10" t="s">
        <v>81</v>
      </c>
      <c r="W10" t="s">
        <v>20</v>
      </c>
      <c r="X10" t="s">
        <v>20</v>
      </c>
      <c r="Y10" t="s">
        <v>20</v>
      </c>
      <c r="Z10" t="s">
        <v>15</v>
      </c>
      <c r="AF10" t="s">
        <v>170</v>
      </c>
      <c r="AG10" t="s">
        <v>20</v>
      </c>
      <c r="AH10" t="s">
        <v>20</v>
      </c>
      <c r="AI10" t="s">
        <v>20</v>
      </c>
      <c r="AJ10" t="s">
        <v>20</v>
      </c>
      <c r="AK10" t="s">
        <v>81</v>
      </c>
      <c r="AL10" t="s">
        <v>20</v>
      </c>
      <c r="AM10" t="s">
        <v>20</v>
      </c>
      <c r="AN10" t="s">
        <v>20</v>
      </c>
      <c r="AO10" t="s">
        <v>20</v>
      </c>
      <c r="AP10" t="s">
        <v>20</v>
      </c>
      <c r="AQ10" t="s">
        <v>20</v>
      </c>
      <c r="AR10" t="s">
        <v>81</v>
      </c>
    </row>
    <row r="11" spans="1:45" x14ac:dyDescent="0.25">
      <c r="A11" t="s">
        <v>107</v>
      </c>
      <c r="B11" t="s">
        <v>8</v>
      </c>
      <c r="C11" t="s">
        <v>79</v>
      </c>
      <c r="D11">
        <v>454996</v>
      </c>
      <c r="E11" t="s">
        <v>196</v>
      </c>
      <c r="F11">
        <v>1</v>
      </c>
      <c r="G11" t="s">
        <v>164</v>
      </c>
      <c r="H11" s="86">
        <v>45819</v>
      </c>
      <c r="I11">
        <v>27453760</v>
      </c>
      <c r="J11" t="s">
        <v>187</v>
      </c>
      <c r="K11" t="s">
        <v>81</v>
      </c>
      <c r="L11" t="s">
        <v>81</v>
      </c>
      <c r="M11" t="s">
        <v>81</v>
      </c>
      <c r="N11" t="s">
        <v>81</v>
      </c>
      <c r="O11" t="s">
        <v>81</v>
      </c>
      <c r="P11" t="s">
        <v>81</v>
      </c>
      <c r="Q11" t="s">
        <v>81</v>
      </c>
      <c r="R11" t="s">
        <v>81</v>
      </c>
      <c r="S11" t="s">
        <v>81</v>
      </c>
      <c r="T11" t="s">
        <v>81</v>
      </c>
      <c r="U11" t="s">
        <v>81</v>
      </c>
      <c r="V11" t="s">
        <v>81</v>
      </c>
      <c r="W11" t="s">
        <v>81</v>
      </c>
      <c r="X11" t="s">
        <v>81</v>
      </c>
      <c r="Y11" t="s">
        <v>81</v>
      </c>
      <c r="Z11" t="s">
        <v>169</v>
      </c>
      <c r="AA11" t="s">
        <v>81</v>
      </c>
      <c r="AB11" t="s">
        <v>81</v>
      </c>
      <c r="AC11" t="s">
        <v>81</v>
      </c>
      <c r="AD11" t="s">
        <v>81</v>
      </c>
      <c r="AE11" t="s">
        <v>81</v>
      </c>
      <c r="AF11" t="s">
        <v>201</v>
      </c>
      <c r="AG11" t="s">
        <v>81</v>
      </c>
      <c r="AH11" t="s">
        <v>81</v>
      </c>
      <c r="AI11" t="s">
        <v>81</v>
      </c>
      <c r="AJ11" t="s">
        <v>81</v>
      </c>
      <c r="AK11" t="s">
        <v>20</v>
      </c>
      <c r="AS11" t="s">
        <v>202</v>
      </c>
    </row>
    <row r="12" spans="1:45" x14ac:dyDescent="0.25">
      <c r="A12" t="s">
        <v>107</v>
      </c>
      <c r="B12" t="s">
        <v>8</v>
      </c>
      <c r="C12" t="s">
        <v>217</v>
      </c>
      <c r="D12">
        <v>12565</v>
      </c>
      <c r="E12" t="s">
        <v>312</v>
      </c>
      <c r="F12">
        <v>1</v>
      </c>
      <c r="G12" t="s">
        <v>164</v>
      </c>
      <c r="H12" s="86">
        <v>45826</v>
      </c>
      <c r="I12">
        <v>27689425</v>
      </c>
      <c r="J12" t="s">
        <v>110</v>
      </c>
      <c r="K12" t="s">
        <v>20</v>
      </c>
      <c r="L12" t="s">
        <v>20</v>
      </c>
      <c r="M12" t="s">
        <v>20</v>
      </c>
      <c r="N12" t="s">
        <v>20</v>
      </c>
      <c r="O12" t="s">
        <v>20</v>
      </c>
      <c r="P12" t="s">
        <v>81</v>
      </c>
      <c r="Q12" t="s">
        <v>20</v>
      </c>
      <c r="R12" t="s">
        <v>20</v>
      </c>
      <c r="S12" t="s">
        <v>81</v>
      </c>
      <c r="T12" t="s">
        <v>81</v>
      </c>
      <c r="U12" t="s">
        <v>81</v>
      </c>
      <c r="V12" t="s">
        <v>81</v>
      </c>
      <c r="W12" t="s">
        <v>20</v>
      </c>
      <c r="X12" t="s">
        <v>20</v>
      </c>
      <c r="Y12" t="s">
        <v>20</v>
      </c>
      <c r="Z12" t="s">
        <v>15</v>
      </c>
      <c r="AF12" t="s">
        <v>170</v>
      </c>
      <c r="AG12" t="s">
        <v>20</v>
      </c>
      <c r="AH12" t="s">
        <v>20</v>
      </c>
      <c r="AI12" t="s">
        <v>81</v>
      </c>
      <c r="AJ12" t="s">
        <v>20</v>
      </c>
      <c r="AK12" t="s">
        <v>81</v>
      </c>
      <c r="AL12" t="s">
        <v>20</v>
      </c>
      <c r="AM12" t="s">
        <v>20</v>
      </c>
      <c r="AN12" t="s">
        <v>20</v>
      </c>
      <c r="AO12" t="s">
        <v>20</v>
      </c>
      <c r="AP12" t="s">
        <v>20</v>
      </c>
      <c r="AQ12" t="s">
        <v>20</v>
      </c>
      <c r="AR12" t="s">
        <v>20</v>
      </c>
    </row>
    <row r="13" spans="1:45" x14ac:dyDescent="0.25">
      <c r="A13" t="s">
        <v>107</v>
      </c>
      <c r="B13" t="s">
        <v>8</v>
      </c>
      <c r="C13" t="s">
        <v>217</v>
      </c>
      <c r="D13">
        <v>12662</v>
      </c>
      <c r="E13" t="s">
        <v>220</v>
      </c>
      <c r="F13">
        <v>1</v>
      </c>
      <c r="G13" t="s">
        <v>164</v>
      </c>
      <c r="H13" s="86">
        <v>45822</v>
      </c>
      <c r="I13">
        <v>27484800</v>
      </c>
      <c r="J13" t="s">
        <v>187</v>
      </c>
      <c r="K13" t="s">
        <v>81</v>
      </c>
      <c r="L13" t="s">
        <v>81</v>
      </c>
      <c r="M13" t="s">
        <v>81</v>
      </c>
      <c r="N13" t="s">
        <v>81</v>
      </c>
      <c r="O13" t="s">
        <v>81</v>
      </c>
      <c r="P13" t="s">
        <v>81</v>
      </c>
      <c r="Q13" t="s">
        <v>81</v>
      </c>
      <c r="R13" t="s">
        <v>81</v>
      </c>
      <c r="S13" t="s">
        <v>81</v>
      </c>
      <c r="T13" t="s">
        <v>81</v>
      </c>
      <c r="U13" t="s">
        <v>81</v>
      </c>
      <c r="V13" t="s">
        <v>81</v>
      </c>
      <c r="W13" t="s">
        <v>81</v>
      </c>
      <c r="X13" t="s">
        <v>81</v>
      </c>
      <c r="Y13" t="s">
        <v>81</v>
      </c>
      <c r="Z13" t="s">
        <v>15</v>
      </c>
      <c r="AF13" t="s">
        <v>201</v>
      </c>
      <c r="AG13" t="s">
        <v>81</v>
      </c>
      <c r="AH13" t="s">
        <v>81</v>
      </c>
      <c r="AI13" t="s">
        <v>81</v>
      </c>
      <c r="AJ13" t="s">
        <v>81</v>
      </c>
      <c r="AK13" t="s">
        <v>20</v>
      </c>
      <c r="AL13" t="s">
        <v>81</v>
      </c>
      <c r="AM13" t="s">
        <v>81</v>
      </c>
      <c r="AN13" t="s">
        <v>81</v>
      </c>
      <c r="AO13" t="s">
        <v>81</v>
      </c>
      <c r="AP13" t="s">
        <v>81</v>
      </c>
      <c r="AQ13" t="s">
        <v>81</v>
      </c>
      <c r="AR13" t="s">
        <v>81</v>
      </c>
      <c r="AS13" t="s">
        <v>225</v>
      </c>
    </row>
    <row r="14" spans="1:45" x14ac:dyDescent="0.25">
      <c r="A14" t="s">
        <v>107</v>
      </c>
      <c r="B14" t="s">
        <v>8</v>
      </c>
      <c r="C14" t="s">
        <v>217</v>
      </c>
      <c r="D14">
        <v>406974</v>
      </c>
      <c r="E14" t="s">
        <v>298</v>
      </c>
      <c r="F14">
        <v>1</v>
      </c>
      <c r="G14" t="s">
        <v>164</v>
      </c>
      <c r="H14" s="86">
        <v>45833</v>
      </c>
      <c r="I14">
        <v>27684336</v>
      </c>
      <c r="J14" t="s">
        <v>187</v>
      </c>
      <c r="K14" t="s">
        <v>20</v>
      </c>
      <c r="L14" t="s">
        <v>20</v>
      </c>
      <c r="M14" t="s">
        <v>20</v>
      </c>
      <c r="N14" t="s">
        <v>20</v>
      </c>
      <c r="O14" t="s">
        <v>20</v>
      </c>
      <c r="P14" t="s">
        <v>81</v>
      </c>
      <c r="Q14" t="s">
        <v>20</v>
      </c>
      <c r="R14" t="s">
        <v>20</v>
      </c>
      <c r="S14" t="s">
        <v>81</v>
      </c>
      <c r="T14" t="s">
        <v>81</v>
      </c>
      <c r="U14" t="s">
        <v>81</v>
      </c>
      <c r="V14" t="s">
        <v>81</v>
      </c>
      <c r="W14" t="s">
        <v>81</v>
      </c>
      <c r="X14" t="s">
        <v>20</v>
      </c>
      <c r="Y14" t="s">
        <v>81</v>
      </c>
      <c r="Z14" t="s">
        <v>15</v>
      </c>
      <c r="AF14" t="s">
        <v>188</v>
      </c>
      <c r="AG14" t="s">
        <v>81</v>
      </c>
      <c r="AH14" t="s">
        <v>20</v>
      </c>
      <c r="AI14" t="s">
        <v>81</v>
      </c>
      <c r="AJ14" t="s">
        <v>81</v>
      </c>
      <c r="AK14" t="s">
        <v>20</v>
      </c>
      <c r="AL14" t="s">
        <v>20</v>
      </c>
      <c r="AM14" t="s">
        <v>81</v>
      </c>
      <c r="AN14" t="s">
        <v>81</v>
      </c>
      <c r="AO14" t="s">
        <v>81</v>
      </c>
      <c r="AP14" t="s">
        <v>20</v>
      </c>
      <c r="AQ14" t="s">
        <v>81</v>
      </c>
      <c r="AR14" t="s">
        <v>81</v>
      </c>
      <c r="AS14" t="s">
        <v>303</v>
      </c>
    </row>
    <row r="15" spans="1:45" x14ac:dyDescent="0.25">
      <c r="A15" t="s">
        <v>107</v>
      </c>
      <c r="B15" t="s">
        <v>112</v>
      </c>
      <c r="C15" t="s">
        <v>161</v>
      </c>
      <c r="D15">
        <v>356594</v>
      </c>
      <c r="E15" t="s">
        <v>213</v>
      </c>
      <c r="F15">
        <v>1</v>
      </c>
      <c r="G15" t="s">
        <v>164</v>
      </c>
      <c r="H15" s="86">
        <v>45822</v>
      </c>
      <c r="I15">
        <v>27480859</v>
      </c>
      <c r="J15" t="s">
        <v>117</v>
      </c>
      <c r="K15" t="s">
        <v>20</v>
      </c>
      <c r="L15" t="s">
        <v>20</v>
      </c>
      <c r="M15" t="s">
        <v>20</v>
      </c>
      <c r="N15" t="s">
        <v>20</v>
      </c>
      <c r="O15" t="s">
        <v>20</v>
      </c>
      <c r="P15" t="s">
        <v>81</v>
      </c>
      <c r="Q15" t="s">
        <v>20</v>
      </c>
      <c r="R15" t="s">
        <v>20</v>
      </c>
      <c r="S15" t="s">
        <v>81</v>
      </c>
      <c r="T15" t="s">
        <v>81</v>
      </c>
      <c r="U15" t="s">
        <v>81</v>
      </c>
      <c r="V15" t="s">
        <v>81</v>
      </c>
      <c r="W15" t="s">
        <v>20</v>
      </c>
      <c r="X15" t="s">
        <v>20</v>
      </c>
      <c r="Y15" t="s">
        <v>20</v>
      </c>
      <c r="Z15" t="s">
        <v>169</v>
      </c>
      <c r="AA15" t="s">
        <v>20</v>
      </c>
      <c r="AB15" t="s">
        <v>81</v>
      </c>
      <c r="AC15" t="s">
        <v>81</v>
      </c>
      <c r="AD15" t="s">
        <v>81</v>
      </c>
      <c r="AE15" t="s">
        <v>20</v>
      </c>
      <c r="AF15" t="s">
        <v>170</v>
      </c>
      <c r="AG15" t="s">
        <v>20</v>
      </c>
      <c r="AH15" t="s">
        <v>20</v>
      </c>
      <c r="AI15" t="s">
        <v>20</v>
      </c>
      <c r="AJ15" t="s">
        <v>20</v>
      </c>
      <c r="AK15" t="s">
        <v>81</v>
      </c>
    </row>
    <row r="16" spans="1:45" x14ac:dyDescent="0.25">
      <c r="A16" t="s">
        <v>107</v>
      </c>
      <c r="B16" t="s">
        <v>112</v>
      </c>
      <c r="C16" t="s">
        <v>232</v>
      </c>
      <c r="D16">
        <v>356625</v>
      </c>
      <c r="E16" t="s">
        <v>235</v>
      </c>
      <c r="F16">
        <v>1</v>
      </c>
      <c r="G16" t="s">
        <v>164</v>
      </c>
      <c r="H16" s="86">
        <v>45825</v>
      </c>
      <c r="I16">
        <v>27493887</v>
      </c>
      <c r="J16" t="s">
        <v>117</v>
      </c>
      <c r="K16" t="s">
        <v>20</v>
      </c>
      <c r="L16" t="s">
        <v>20</v>
      </c>
      <c r="M16" t="s">
        <v>20</v>
      </c>
      <c r="N16" t="s">
        <v>20</v>
      </c>
      <c r="O16" t="s">
        <v>20</v>
      </c>
      <c r="P16" t="s">
        <v>81</v>
      </c>
      <c r="Q16" t="s">
        <v>20</v>
      </c>
      <c r="R16" t="s">
        <v>20</v>
      </c>
      <c r="S16" t="s">
        <v>81</v>
      </c>
      <c r="T16" t="s">
        <v>81</v>
      </c>
      <c r="U16" t="s">
        <v>81</v>
      </c>
      <c r="V16" t="s">
        <v>81</v>
      </c>
      <c r="W16" t="s">
        <v>20</v>
      </c>
      <c r="X16" t="s">
        <v>20</v>
      </c>
      <c r="Y16" t="s">
        <v>20</v>
      </c>
      <c r="Z16" t="s">
        <v>169</v>
      </c>
      <c r="AA16" t="s">
        <v>81</v>
      </c>
      <c r="AB16" t="s">
        <v>81</v>
      </c>
      <c r="AC16" t="s">
        <v>81</v>
      </c>
      <c r="AD16" t="s">
        <v>81</v>
      </c>
      <c r="AE16" t="s">
        <v>81</v>
      </c>
      <c r="AF16" t="s">
        <v>188</v>
      </c>
      <c r="AG16" t="s">
        <v>20</v>
      </c>
      <c r="AH16" t="s">
        <v>20</v>
      </c>
      <c r="AI16" t="s">
        <v>20</v>
      </c>
      <c r="AJ16" t="s">
        <v>20</v>
      </c>
      <c r="AK16" t="s">
        <v>81</v>
      </c>
    </row>
    <row r="17" spans="1:45" x14ac:dyDescent="0.25">
      <c r="A17" t="s">
        <v>107</v>
      </c>
      <c r="B17" t="s">
        <v>112</v>
      </c>
      <c r="C17" t="s">
        <v>122</v>
      </c>
      <c r="D17">
        <v>365377</v>
      </c>
      <c r="E17" t="s">
        <v>305</v>
      </c>
      <c r="F17">
        <v>2</v>
      </c>
      <c r="G17" t="s">
        <v>164</v>
      </c>
      <c r="H17" s="86">
        <v>45834</v>
      </c>
      <c r="I17">
        <v>27685551</v>
      </c>
      <c r="J17" t="s">
        <v>117</v>
      </c>
      <c r="K17" t="s">
        <v>81</v>
      </c>
      <c r="L17" t="s">
        <v>81</v>
      </c>
      <c r="M17" t="s">
        <v>81</v>
      </c>
      <c r="N17" t="s">
        <v>81</v>
      </c>
      <c r="O17" t="s">
        <v>81</v>
      </c>
      <c r="P17" t="s">
        <v>81</v>
      </c>
      <c r="Q17" t="s">
        <v>81</v>
      </c>
      <c r="R17" t="s">
        <v>81</v>
      </c>
      <c r="S17" t="s">
        <v>81</v>
      </c>
      <c r="T17" t="s">
        <v>81</v>
      </c>
      <c r="U17" t="s">
        <v>81</v>
      </c>
      <c r="V17" t="s">
        <v>81</v>
      </c>
      <c r="W17" t="s">
        <v>81</v>
      </c>
      <c r="X17" t="s">
        <v>81</v>
      </c>
      <c r="Y17" t="s">
        <v>81</v>
      </c>
      <c r="Z17" t="s">
        <v>15</v>
      </c>
      <c r="AF17" t="s">
        <v>188</v>
      </c>
      <c r="AG17" t="s">
        <v>81</v>
      </c>
      <c r="AH17" t="s">
        <v>81</v>
      </c>
      <c r="AI17" t="s">
        <v>81</v>
      </c>
      <c r="AJ17" t="s">
        <v>81</v>
      </c>
      <c r="AK17" t="s">
        <v>20</v>
      </c>
      <c r="AL17" t="s">
        <v>81</v>
      </c>
      <c r="AM17" t="s">
        <v>81</v>
      </c>
      <c r="AN17" t="s">
        <v>81</v>
      </c>
      <c r="AO17" t="s">
        <v>81</v>
      </c>
      <c r="AP17" t="s">
        <v>81</v>
      </c>
      <c r="AQ17" t="s">
        <v>81</v>
      </c>
      <c r="AR17" t="s">
        <v>81</v>
      </c>
    </row>
    <row r="18" spans="1:45" x14ac:dyDescent="0.25">
      <c r="A18" t="s">
        <v>107</v>
      </c>
      <c r="B18" t="s">
        <v>112</v>
      </c>
      <c r="C18" t="s">
        <v>96</v>
      </c>
      <c r="D18">
        <v>13555</v>
      </c>
      <c r="E18" t="s">
        <v>204</v>
      </c>
      <c r="F18">
        <v>1</v>
      </c>
      <c r="G18" t="s">
        <v>164</v>
      </c>
      <c r="H18" s="86">
        <v>45821</v>
      </c>
      <c r="I18">
        <v>27476525</v>
      </c>
      <c r="J18" t="s">
        <v>117</v>
      </c>
      <c r="K18" t="s">
        <v>81</v>
      </c>
      <c r="L18" t="s">
        <v>81</v>
      </c>
      <c r="M18" t="s">
        <v>81</v>
      </c>
      <c r="N18" t="s">
        <v>81</v>
      </c>
      <c r="O18" t="s">
        <v>81</v>
      </c>
      <c r="P18" t="s">
        <v>81</v>
      </c>
      <c r="Q18" t="s">
        <v>81</v>
      </c>
      <c r="R18" t="s">
        <v>81</v>
      </c>
      <c r="S18" t="s">
        <v>81</v>
      </c>
      <c r="T18" t="s">
        <v>81</v>
      </c>
      <c r="U18" t="s">
        <v>81</v>
      </c>
      <c r="V18" t="s">
        <v>81</v>
      </c>
      <c r="W18" t="s">
        <v>81</v>
      </c>
      <c r="X18" t="s">
        <v>81</v>
      </c>
      <c r="Y18" t="s">
        <v>81</v>
      </c>
      <c r="Z18" t="s">
        <v>15</v>
      </c>
      <c r="AF18" t="s">
        <v>188</v>
      </c>
      <c r="AG18" t="s">
        <v>81</v>
      </c>
      <c r="AH18" t="s">
        <v>81</v>
      </c>
      <c r="AI18" t="s">
        <v>81</v>
      </c>
      <c r="AJ18" t="s">
        <v>81</v>
      </c>
      <c r="AK18" t="s">
        <v>20</v>
      </c>
      <c r="AL18" t="s">
        <v>81</v>
      </c>
      <c r="AM18" t="s">
        <v>81</v>
      </c>
      <c r="AN18" t="s">
        <v>81</v>
      </c>
      <c r="AO18" t="s">
        <v>81</v>
      </c>
      <c r="AP18" t="s">
        <v>81</v>
      </c>
      <c r="AQ18" t="s">
        <v>81</v>
      </c>
      <c r="AR18" t="s">
        <v>81</v>
      </c>
      <c r="AS18" t="s">
        <v>211</v>
      </c>
    </row>
    <row r="19" spans="1:45" x14ac:dyDescent="0.25">
      <c r="A19" t="s">
        <v>107</v>
      </c>
      <c r="B19" t="s">
        <v>91</v>
      </c>
      <c r="C19" t="s">
        <v>171</v>
      </c>
      <c r="D19">
        <v>428025</v>
      </c>
      <c r="E19" t="s">
        <v>174</v>
      </c>
      <c r="F19">
        <v>1</v>
      </c>
      <c r="G19" t="s">
        <v>164</v>
      </c>
      <c r="H19" s="86">
        <v>45818</v>
      </c>
      <c r="I19">
        <v>27444155</v>
      </c>
      <c r="J19" t="s">
        <v>121</v>
      </c>
      <c r="K19" t="s">
        <v>20</v>
      </c>
      <c r="L19" t="s">
        <v>20</v>
      </c>
      <c r="M19" t="s">
        <v>20</v>
      </c>
      <c r="N19" t="s">
        <v>20</v>
      </c>
      <c r="O19" t="s">
        <v>20</v>
      </c>
      <c r="P19" t="s">
        <v>81</v>
      </c>
      <c r="Q19" t="s">
        <v>20</v>
      </c>
      <c r="R19" t="s">
        <v>20</v>
      </c>
      <c r="S19" t="s">
        <v>81</v>
      </c>
      <c r="T19" t="s">
        <v>81</v>
      </c>
      <c r="U19" t="s">
        <v>81</v>
      </c>
      <c r="V19" t="s">
        <v>81</v>
      </c>
      <c r="W19" t="s">
        <v>81</v>
      </c>
      <c r="X19" t="s">
        <v>20</v>
      </c>
      <c r="Y19" t="s">
        <v>20</v>
      </c>
      <c r="Z19" t="s">
        <v>15</v>
      </c>
      <c r="AF19" t="s">
        <v>170</v>
      </c>
      <c r="AG19" t="s">
        <v>20</v>
      </c>
      <c r="AH19" t="s">
        <v>20</v>
      </c>
      <c r="AI19" t="s">
        <v>20</v>
      </c>
      <c r="AJ19" t="s">
        <v>20</v>
      </c>
      <c r="AK19" t="s">
        <v>20</v>
      </c>
      <c r="AL19" t="s">
        <v>20</v>
      </c>
      <c r="AM19" t="s">
        <v>81</v>
      </c>
      <c r="AN19" t="s">
        <v>20</v>
      </c>
      <c r="AO19" t="s">
        <v>81</v>
      </c>
      <c r="AP19" t="s">
        <v>20</v>
      </c>
      <c r="AQ19" t="s">
        <v>20</v>
      </c>
      <c r="AR19" t="s">
        <v>81</v>
      </c>
      <c r="AS19" t="s">
        <v>179</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514"/>
  <sheetViews>
    <sheetView tabSelected="1" zoomScale="70" zoomScaleNormal="70" workbookViewId="0"/>
  </sheetViews>
  <sheetFormatPr baseColWidth="10" defaultColWidth="11.42578125" defaultRowHeight="15" x14ac:dyDescent="0.25"/>
  <cols>
    <col min="1" max="1" width="11.85546875" customWidth="1"/>
    <col min="2" max="2" width="11.42578125" customWidth="1"/>
    <col min="4" max="5" width="11.42578125" customWidth="1"/>
    <col min="6" max="6" width="13.140625" customWidth="1"/>
    <col min="7" max="7" width="11.42578125" style="2" customWidth="1"/>
    <col min="8" max="8" width="11.42578125" customWidth="1"/>
    <col min="9" max="9" width="13.5703125" style="34" customWidth="1"/>
    <col min="10" max="10" width="32.42578125" style="2" customWidth="1"/>
    <col min="11" max="11" width="13.42578125" customWidth="1"/>
    <col min="12" max="12" width="18.5703125" customWidth="1"/>
    <col min="13" max="13" width="9.140625" style="2" customWidth="1"/>
    <col min="14" max="14" width="32.140625" customWidth="1"/>
    <col min="15" max="15" width="91.28515625" customWidth="1"/>
    <col min="16" max="16" width="30.28515625" customWidth="1"/>
    <col min="17" max="17" width="14.5703125" customWidth="1"/>
    <col min="18" max="18" width="15" customWidth="1"/>
    <col min="19" max="19" width="18.7109375" style="36" customWidth="1"/>
    <col min="20" max="20" width="18.28515625" style="2" customWidth="1"/>
    <col min="21" max="21" width="24.42578125" style="2" customWidth="1"/>
    <col min="22" max="22" width="14.5703125" style="2" customWidth="1"/>
    <col min="23" max="23" width="11.42578125" style="2"/>
    <col min="24" max="24" width="20" style="2" customWidth="1"/>
    <col min="25" max="25" width="20.42578125" style="2" customWidth="1"/>
    <col min="26" max="26" width="18.140625" style="2" customWidth="1"/>
    <col min="27" max="27" width="11.42578125" style="2"/>
    <col min="28" max="28" width="21.5703125" style="2" customWidth="1"/>
    <col min="29" max="29" width="21.85546875" style="2" customWidth="1"/>
  </cols>
  <sheetData>
    <row r="1" spans="1:29" x14ac:dyDescent="0.25">
      <c r="A1" t="s">
        <v>24</v>
      </c>
      <c r="B1" t="s">
        <v>45</v>
      </c>
      <c r="C1" t="s">
        <v>1</v>
      </c>
      <c r="D1" t="s">
        <v>22</v>
      </c>
      <c r="E1" t="s">
        <v>25</v>
      </c>
      <c r="F1" t="s">
        <v>46</v>
      </c>
      <c r="G1" s="2" t="s">
        <v>47</v>
      </c>
      <c r="H1" t="s">
        <v>48</v>
      </c>
      <c r="I1" s="34" t="s">
        <v>26</v>
      </c>
      <c r="J1" s="2" t="s">
        <v>23</v>
      </c>
      <c r="K1" t="s">
        <v>49</v>
      </c>
      <c r="L1" t="s">
        <v>50</v>
      </c>
      <c r="M1" s="2" t="s">
        <v>51</v>
      </c>
      <c r="N1" t="s">
        <v>52</v>
      </c>
      <c r="O1" t="s">
        <v>27</v>
      </c>
      <c r="P1" t="s">
        <v>53</v>
      </c>
      <c r="Q1" t="s">
        <v>54</v>
      </c>
      <c r="R1" t="s">
        <v>55</v>
      </c>
      <c r="S1" s="36" t="s">
        <v>29</v>
      </c>
      <c r="T1" s="2" t="s">
        <v>56</v>
      </c>
      <c r="U1" s="2" t="s">
        <v>57</v>
      </c>
      <c r="V1" s="2" t="s">
        <v>30</v>
      </c>
      <c r="W1" s="2" t="s">
        <v>58</v>
      </c>
      <c r="X1" s="2" t="s">
        <v>59</v>
      </c>
      <c r="Y1" s="2" t="s">
        <v>60</v>
      </c>
      <c r="Z1" s="2" t="s">
        <v>61</v>
      </c>
      <c r="AA1" s="2" t="s">
        <v>31</v>
      </c>
      <c r="AB1" s="2" t="s">
        <v>62</v>
      </c>
      <c r="AC1" s="2" t="s">
        <v>63</v>
      </c>
    </row>
    <row r="2" spans="1:29" hidden="1" x14ac:dyDescent="0.25">
      <c r="A2" t="s">
        <v>107</v>
      </c>
      <c r="B2" t="s">
        <v>69</v>
      </c>
      <c r="C2" t="s">
        <v>8</v>
      </c>
      <c r="D2" t="s">
        <v>14</v>
      </c>
      <c r="E2" t="s">
        <v>161</v>
      </c>
      <c r="F2" t="s">
        <v>161</v>
      </c>
      <c r="G2" s="2" t="s">
        <v>69</v>
      </c>
      <c r="H2" t="s">
        <v>64</v>
      </c>
      <c r="I2" s="34" t="s">
        <v>162</v>
      </c>
      <c r="J2" s="2" t="s">
        <v>163</v>
      </c>
      <c r="K2" t="s">
        <v>64</v>
      </c>
      <c r="L2" t="s">
        <v>118</v>
      </c>
      <c r="M2" s="2" t="s">
        <v>78</v>
      </c>
      <c r="N2" t="s">
        <v>164</v>
      </c>
      <c r="O2" t="s">
        <v>133</v>
      </c>
      <c r="P2" s="2" t="s">
        <v>20</v>
      </c>
      <c r="Q2" t="s">
        <v>64</v>
      </c>
      <c r="R2" t="s">
        <v>64</v>
      </c>
      <c r="S2" s="85" t="s">
        <v>165</v>
      </c>
      <c r="T2" t="s">
        <v>166</v>
      </c>
      <c r="U2" t="s">
        <v>167</v>
      </c>
      <c r="V2" s="2" t="s">
        <v>168</v>
      </c>
      <c r="W2" s="2" t="s">
        <v>65</v>
      </c>
      <c r="Z2" s="2" t="s">
        <v>109</v>
      </c>
      <c r="AA2" s="2" t="s">
        <v>110</v>
      </c>
      <c r="AB2" s="2" t="s">
        <v>66</v>
      </c>
      <c r="AC2" s="2" t="s">
        <v>67</v>
      </c>
    </row>
    <row r="3" spans="1:29" hidden="1" x14ac:dyDescent="0.25">
      <c r="A3" t="s">
        <v>107</v>
      </c>
      <c r="B3" t="s">
        <v>69</v>
      </c>
      <c r="C3" t="s">
        <v>8</v>
      </c>
      <c r="D3" t="s">
        <v>14</v>
      </c>
      <c r="E3" t="s">
        <v>161</v>
      </c>
      <c r="F3" t="s">
        <v>161</v>
      </c>
      <c r="G3" s="2" t="s">
        <v>69</v>
      </c>
      <c r="H3" t="s">
        <v>64</v>
      </c>
      <c r="I3" s="34" t="s">
        <v>162</v>
      </c>
      <c r="J3" s="2" t="s">
        <v>163</v>
      </c>
      <c r="K3" t="s">
        <v>64</v>
      </c>
      <c r="L3" t="s">
        <v>118</v>
      </c>
      <c r="M3" s="2" t="s">
        <v>78</v>
      </c>
      <c r="N3" t="s">
        <v>164</v>
      </c>
      <c r="O3" t="s">
        <v>97</v>
      </c>
      <c r="P3" s="2" t="s">
        <v>20</v>
      </c>
      <c r="Q3" t="s">
        <v>64</v>
      </c>
      <c r="R3" t="s">
        <v>64</v>
      </c>
      <c r="S3" s="85" t="s">
        <v>165</v>
      </c>
      <c r="T3" t="s">
        <v>166</v>
      </c>
      <c r="U3" t="s">
        <v>167</v>
      </c>
      <c r="V3" s="2" t="s">
        <v>168</v>
      </c>
      <c r="W3" s="2" t="s">
        <v>65</v>
      </c>
      <c r="Z3" s="2" t="s">
        <v>109</v>
      </c>
      <c r="AA3" s="2" t="s">
        <v>110</v>
      </c>
      <c r="AB3" s="2" t="s">
        <v>66</v>
      </c>
      <c r="AC3" s="2" t="s">
        <v>67</v>
      </c>
    </row>
    <row r="4" spans="1:29" hidden="1" x14ac:dyDescent="0.25">
      <c r="A4" t="s">
        <v>107</v>
      </c>
      <c r="B4" t="s">
        <v>69</v>
      </c>
      <c r="C4" t="s">
        <v>8</v>
      </c>
      <c r="D4" t="s">
        <v>14</v>
      </c>
      <c r="E4" t="s">
        <v>161</v>
      </c>
      <c r="F4" t="s">
        <v>161</v>
      </c>
      <c r="G4" s="2" t="s">
        <v>69</v>
      </c>
      <c r="H4" t="s">
        <v>64</v>
      </c>
      <c r="I4" s="34" t="s">
        <v>162</v>
      </c>
      <c r="J4" s="2" t="s">
        <v>163</v>
      </c>
      <c r="K4" t="s">
        <v>64</v>
      </c>
      <c r="L4" t="s">
        <v>118</v>
      </c>
      <c r="M4" s="2" t="s">
        <v>78</v>
      </c>
      <c r="N4" t="s">
        <v>164</v>
      </c>
      <c r="O4" t="s">
        <v>98</v>
      </c>
      <c r="P4" s="2" t="s">
        <v>20</v>
      </c>
      <c r="Q4" t="s">
        <v>64</v>
      </c>
      <c r="R4" t="s">
        <v>64</v>
      </c>
      <c r="S4" s="85" t="s">
        <v>165</v>
      </c>
      <c r="T4" t="s">
        <v>166</v>
      </c>
      <c r="U4" t="s">
        <v>167</v>
      </c>
      <c r="V4" s="2" t="s">
        <v>168</v>
      </c>
      <c r="W4" s="2" t="s">
        <v>65</v>
      </c>
      <c r="Z4" s="2" t="s">
        <v>109</v>
      </c>
      <c r="AA4" s="2" t="s">
        <v>110</v>
      </c>
      <c r="AB4" s="2" t="s">
        <v>66</v>
      </c>
      <c r="AC4" s="2" t="s">
        <v>67</v>
      </c>
    </row>
    <row r="5" spans="1:29" hidden="1" x14ac:dyDescent="0.25">
      <c r="A5" t="s">
        <v>107</v>
      </c>
      <c r="B5" t="s">
        <v>69</v>
      </c>
      <c r="C5" t="s">
        <v>8</v>
      </c>
      <c r="D5" t="s">
        <v>14</v>
      </c>
      <c r="E5" t="s">
        <v>161</v>
      </c>
      <c r="F5" t="s">
        <v>161</v>
      </c>
      <c r="G5" s="2" t="s">
        <v>69</v>
      </c>
      <c r="H5" t="s">
        <v>64</v>
      </c>
      <c r="I5" s="34" t="s">
        <v>162</v>
      </c>
      <c r="J5" s="2" t="s">
        <v>163</v>
      </c>
      <c r="K5" t="s">
        <v>64</v>
      </c>
      <c r="L5" t="s">
        <v>118</v>
      </c>
      <c r="M5" s="2" t="s">
        <v>78</v>
      </c>
      <c r="N5" t="s">
        <v>164</v>
      </c>
      <c r="O5" t="s">
        <v>134</v>
      </c>
      <c r="P5" s="2" t="s">
        <v>20</v>
      </c>
      <c r="Q5" t="s">
        <v>64</v>
      </c>
      <c r="R5" t="s">
        <v>64</v>
      </c>
      <c r="S5" s="85" t="s">
        <v>165</v>
      </c>
      <c r="T5" t="s">
        <v>166</v>
      </c>
      <c r="U5" t="s">
        <v>167</v>
      </c>
      <c r="V5" s="2" t="s">
        <v>168</v>
      </c>
      <c r="W5" s="2" t="s">
        <v>65</v>
      </c>
      <c r="Z5" s="2" t="s">
        <v>109</v>
      </c>
      <c r="AA5" s="2" t="s">
        <v>110</v>
      </c>
      <c r="AB5" s="2" t="s">
        <v>66</v>
      </c>
      <c r="AC5" s="2" t="s">
        <v>67</v>
      </c>
    </row>
    <row r="6" spans="1:29" hidden="1" x14ac:dyDescent="0.25">
      <c r="A6" t="s">
        <v>107</v>
      </c>
      <c r="B6" t="s">
        <v>69</v>
      </c>
      <c r="C6" t="s">
        <v>8</v>
      </c>
      <c r="D6" t="s">
        <v>14</v>
      </c>
      <c r="E6" t="s">
        <v>161</v>
      </c>
      <c r="F6" t="s">
        <v>161</v>
      </c>
      <c r="G6" s="2" t="s">
        <v>69</v>
      </c>
      <c r="H6" t="s">
        <v>64</v>
      </c>
      <c r="I6" s="34" t="s">
        <v>162</v>
      </c>
      <c r="J6" s="2" t="s">
        <v>163</v>
      </c>
      <c r="K6" t="s">
        <v>64</v>
      </c>
      <c r="L6" t="s">
        <v>118</v>
      </c>
      <c r="M6" s="2" t="s">
        <v>78</v>
      </c>
      <c r="N6" t="s">
        <v>164</v>
      </c>
      <c r="O6" t="s">
        <v>35</v>
      </c>
      <c r="P6" s="2" t="s">
        <v>20</v>
      </c>
      <c r="Q6" t="s">
        <v>64</v>
      </c>
      <c r="R6" t="s">
        <v>64</v>
      </c>
      <c r="S6" s="85" t="s">
        <v>165</v>
      </c>
      <c r="T6" t="s">
        <v>166</v>
      </c>
      <c r="U6" t="s">
        <v>167</v>
      </c>
      <c r="V6" s="2" t="s">
        <v>168</v>
      </c>
      <c r="W6" s="2" t="s">
        <v>65</v>
      </c>
      <c r="Z6" s="2" t="s">
        <v>109</v>
      </c>
      <c r="AA6" s="2" t="s">
        <v>110</v>
      </c>
      <c r="AB6" s="2" t="s">
        <v>66</v>
      </c>
      <c r="AC6" s="2" t="s">
        <v>67</v>
      </c>
    </row>
    <row r="7" spans="1:29" hidden="1" x14ac:dyDescent="0.25">
      <c r="A7" t="s">
        <v>107</v>
      </c>
      <c r="B7" t="s">
        <v>69</v>
      </c>
      <c r="C7" t="s">
        <v>8</v>
      </c>
      <c r="D7" t="s">
        <v>14</v>
      </c>
      <c r="E7" t="s">
        <v>161</v>
      </c>
      <c r="F7" t="s">
        <v>161</v>
      </c>
      <c r="G7" s="2" t="s">
        <v>69</v>
      </c>
      <c r="H7" t="s">
        <v>64</v>
      </c>
      <c r="I7" s="34" t="s">
        <v>162</v>
      </c>
      <c r="J7" s="2" t="s">
        <v>163</v>
      </c>
      <c r="K7" t="s">
        <v>64</v>
      </c>
      <c r="L7" t="s">
        <v>118</v>
      </c>
      <c r="M7" s="2" t="s">
        <v>78</v>
      </c>
      <c r="N7" t="s">
        <v>164</v>
      </c>
      <c r="O7" t="s">
        <v>135</v>
      </c>
      <c r="P7" s="2" t="s">
        <v>81</v>
      </c>
      <c r="Q7" t="s">
        <v>64</v>
      </c>
      <c r="R7" t="s">
        <v>64</v>
      </c>
      <c r="S7" s="85" t="s">
        <v>165</v>
      </c>
      <c r="T7" t="s">
        <v>166</v>
      </c>
      <c r="U7" t="s">
        <v>167</v>
      </c>
      <c r="V7" s="2" t="s">
        <v>168</v>
      </c>
      <c r="W7" s="2" t="s">
        <v>65</v>
      </c>
      <c r="Z7" s="2" t="s">
        <v>109</v>
      </c>
      <c r="AA7" s="2" t="s">
        <v>110</v>
      </c>
      <c r="AB7" s="2" t="s">
        <v>66</v>
      </c>
      <c r="AC7" s="2" t="s">
        <v>67</v>
      </c>
    </row>
    <row r="8" spans="1:29" hidden="1" x14ac:dyDescent="0.25">
      <c r="A8" t="s">
        <v>107</v>
      </c>
      <c r="B8" t="s">
        <v>69</v>
      </c>
      <c r="C8" t="s">
        <v>8</v>
      </c>
      <c r="D8" t="s">
        <v>14</v>
      </c>
      <c r="E8" t="s">
        <v>161</v>
      </c>
      <c r="F8" t="s">
        <v>161</v>
      </c>
      <c r="G8" s="2" t="s">
        <v>69</v>
      </c>
      <c r="H8" t="s">
        <v>64</v>
      </c>
      <c r="I8" s="34" t="s">
        <v>162</v>
      </c>
      <c r="J8" s="2" t="s">
        <v>163</v>
      </c>
      <c r="K8" t="s">
        <v>64</v>
      </c>
      <c r="L8" t="s">
        <v>118</v>
      </c>
      <c r="M8" s="2" t="s">
        <v>78</v>
      </c>
      <c r="N8" t="s">
        <v>164</v>
      </c>
      <c r="O8" t="s">
        <v>99</v>
      </c>
      <c r="P8" s="2" t="s">
        <v>20</v>
      </c>
      <c r="Q8" t="s">
        <v>64</v>
      </c>
      <c r="R8" t="s">
        <v>64</v>
      </c>
      <c r="S8" s="85" t="s">
        <v>165</v>
      </c>
      <c r="T8" t="s">
        <v>166</v>
      </c>
      <c r="U8" t="s">
        <v>167</v>
      </c>
      <c r="V8" s="2" t="s">
        <v>168</v>
      </c>
      <c r="W8" s="2" t="s">
        <v>65</v>
      </c>
      <c r="Z8" s="2" t="s">
        <v>109</v>
      </c>
      <c r="AA8" s="2" t="s">
        <v>110</v>
      </c>
      <c r="AB8" s="2" t="s">
        <v>66</v>
      </c>
      <c r="AC8" s="2" t="s">
        <v>67</v>
      </c>
    </row>
    <row r="9" spans="1:29" hidden="1" x14ac:dyDescent="0.25">
      <c r="A9" t="s">
        <v>107</v>
      </c>
      <c r="B9" t="s">
        <v>69</v>
      </c>
      <c r="C9" t="s">
        <v>8</v>
      </c>
      <c r="D9" t="s">
        <v>14</v>
      </c>
      <c r="E9" t="s">
        <v>161</v>
      </c>
      <c r="F9" t="s">
        <v>161</v>
      </c>
      <c r="G9" s="2" t="s">
        <v>69</v>
      </c>
      <c r="H9" t="s">
        <v>64</v>
      </c>
      <c r="I9" s="34" t="s">
        <v>162</v>
      </c>
      <c r="J9" s="2" t="s">
        <v>163</v>
      </c>
      <c r="K9" t="s">
        <v>64</v>
      </c>
      <c r="L9" t="s">
        <v>118</v>
      </c>
      <c r="M9" s="2" t="s">
        <v>78</v>
      </c>
      <c r="N9" t="s">
        <v>164</v>
      </c>
      <c r="O9" t="s">
        <v>100</v>
      </c>
      <c r="P9" s="2" t="s">
        <v>20</v>
      </c>
      <c r="Q9" t="s">
        <v>64</v>
      </c>
      <c r="R9" t="s">
        <v>64</v>
      </c>
      <c r="S9" s="85" t="s">
        <v>165</v>
      </c>
      <c r="T9" t="s">
        <v>166</v>
      </c>
      <c r="U9" t="s">
        <v>167</v>
      </c>
      <c r="V9" s="2" t="s">
        <v>168</v>
      </c>
      <c r="W9" s="2" t="s">
        <v>65</v>
      </c>
      <c r="Z9" s="2" t="s">
        <v>109</v>
      </c>
      <c r="AA9" s="2" t="s">
        <v>110</v>
      </c>
      <c r="AB9" s="2" t="s">
        <v>66</v>
      </c>
      <c r="AC9" s="2" t="s">
        <v>67</v>
      </c>
    </row>
    <row r="10" spans="1:29" hidden="1" x14ac:dyDescent="0.25">
      <c r="A10" t="s">
        <v>107</v>
      </c>
      <c r="B10" t="s">
        <v>69</v>
      </c>
      <c r="C10" t="s">
        <v>8</v>
      </c>
      <c r="D10" t="s">
        <v>14</v>
      </c>
      <c r="E10" t="s">
        <v>161</v>
      </c>
      <c r="F10" t="s">
        <v>161</v>
      </c>
      <c r="G10" s="2" t="s">
        <v>69</v>
      </c>
      <c r="H10" t="s">
        <v>64</v>
      </c>
      <c r="I10" s="34" t="s">
        <v>162</v>
      </c>
      <c r="J10" s="2" t="s">
        <v>163</v>
      </c>
      <c r="K10" t="s">
        <v>64</v>
      </c>
      <c r="L10" t="s">
        <v>118</v>
      </c>
      <c r="M10" s="2" t="s">
        <v>78</v>
      </c>
      <c r="N10" t="s">
        <v>164</v>
      </c>
      <c r="O10" t="s">
        <v>101</v>
      </c>
      <c r="P10" s="2" t="s">
        <v>81</v>
      </c>
      <c r="Q10" t="s">
        <v>64</v>
      </c>
      <c r="R10" t="s">
        <v>64</v>
      </c>
      <c r="S10" s="85" t="s">
        <v>165</v>
      </c>
      <c r="T10" t="s">
        <v>166</v>
      </c>
      <c r="U10" t="s">
        <v>167</v>
      </c>
      <c r="V10" s="2" t="s">
        <v>168</v>
      </c>
      <c r="W10" s="2" t="s">
        <v>65</v>
      </c>
      <c r="Z10" s="2" t="s">
        <v>109</v>
      </c>
      <c r="AA10" s="2" t="s">
        <v>110</v>
      </c>
      <c r="AB10" s="2" t="s">
        <v>66</v>
      </c>
      <c r="AC10" s="2" t="s">
        <v>67</v>
      </c>
    </row>
    <row r="11" spans="1:29" hidden="1" x14ac:dyDescent="0.25">
      <c r="A11" t="s">
        <v>107</v>
      </c>
      <c r="B11" t="s">
        <v>69</v>
      </c>
      <c r="C11" t="s">
        <v>8</v>
      </c>
      <c r="D11" t="s">
        <v>14</v>
      </c>
      <c r="E11" t="s">
        <v>161</v>
      </c>
      <c r="F11" t="s">
        <v>161</v>
      </c>
      <c r="G11" s="2" t="s">
        <v>69</v>
      </c>
      <c r="H11" t="s">
        <v>64</v>
      </c>
      <c r="I11" s="34" t="s">
        <v>162</v>
      </c>
      <c r="J11" s="2" t="s">
        <v>163</v>
      </c>
      <c r="K11" t="s">
        <v>64</v>
      </c>
      <c r="L11" t="s">
        <v>118</v>
      </c>
      <c r="M11" s="2" t="s">
        <v>78</v>
      </c>
      <c r="N11" t="s">
        <v>164</v>
      </c>
      <c r="O11" t="s">
        <v>102</v>
      </c>
      <c r="P11" s="2" t="s">
        <v>81</v>
      </c>
      <c r="Q11" t="s">
        <v>64</v>
      </c>
      <c r="R11" t="s">
        <v>64</v>
      </c>
      <c r="S11" s="85" t="s">
        <v>165</v>
      </c>
      <c r="T11" t="s">
        <v>166</v>
      </c>
      <c r="U11" t="s">
        <v>167</v>
      </c>
      <c r="V11" s="2" t="s">
        <v>168</v>
      </c>
      <c r="W11" s="2" t="s">
        <v>65</v>
      </c>
      <c r="Z11" s="2" t="s">
        <v>109</v>
      </c>
      <c r="AA11" s="2" t="s">
        <v>110</v>
      </c>
      <c r="AB11" s="2" t="s">
        <v>66</v>
      </c>
      <c r="AC11" s="2" t="s">
        <v>67</v>
      </c>
    </row>
    <row r="12" spans="1:29" hidden="1" x14ac:dyDescent="0.25">
      <c r="A12" t="s">
        <v>107</v>
      </c>
      <c r="B12" t="s">
        <v>69</v>
      </c>
      <c r="C12" t="s">
        <v>8</v>
      </c>
      <c r="D12" t="s">
        <v>14</v>
      </c>
      <c r="E12" t="s">
        <v>161</v>
      </c>
      <c r="F12" t="s">
        <v>161</v>
      </c>
      <c r="G12" s="2" t="s">
        <v>69</v>
      </c>
      <c r="H12" t="s">
        <v>64</v>
      </c>
      <c r="I12" s="34" t="s">
        <v>162</v>
      </c>
      <c r="J12" s="2" t="s">
        <v>163</v>
      </c>
      <c r="K12" t="s">
        <v>64</v>
      </c>
      <c r="L12" t="s">
        <v>118</v>
      </c>
      <c r="M12" s="2" t="s">
        <v>78</v>
      </c>
      <c r="N12" t="s">
        <v>164</v>
      </c>
      <c r="O12" t="s">
        <v>103</v>
      </c>
      <c r="P12" s="2" t="s">
        <v>81</v>
      </c>
      <c r="Q12" t="s">
        <v>64</v>
      </c>
      <c r="R12" t="s">
        <v>64</v>
      </c>
      <c r="S12" s="85" t="s">
        <v>165</v>
      </c>
      <c r="T12" t="s">
        <v>166</v>
      </c>
      <c r="U12" t="s">
        <v>167</v>
      </c>
      <c r="V12" s="2" t="s">
        <v>168</v>
      </c>
      <c r="W12" s="2" t="s">
        <v>65</v>
      </c>
      <c r="Z12" s="2" t="s">
        <v>109</v>
      </c>
      <c r="AA12" s="2" t="s">
        <v>110</v>
      </c>
      <c r="AB12" s="2" t="s">
        <v>66</v>
      </c>
      <c r="AC12" s="2" t="s">
        <v>67</v>
      </c>
    </row>
    <row r="13" spans="1:29" hidden="1" x14ac:dyDescent="0.25">
      <c r="A13" t="s">
        <v>107</v>
      </c>
      <c r="B13" t="s">
        <v>69</v>
      </c>
      <c r="C13" t="s">
        <v>8</v>
      </c>
      <c r="D13" t="s">
        <v>14</v>
      </c>
      <c r="E13" t="s">
        <v>161</v>
      </c>
      <c r="F13" t="s">
        <v>161</v>
      </c>
      <c r="G13" s="2" t="s">
        <v>69</v>
      </c>
      <c r="H13" t="s">
        <v>64</v>
      </c>
      <c r="I13" s="34" t="s">
        <v>162</v>
      </c>
      <c r="J13" s="2" t="s">
        <v>163</v>
      </c>
      <c r="K13" t="s">
        <v>64</v>
      </c>
      <c r="L13" t="s">
        <v>118</v>
      </c>
      <c r="M13" s="2" t="s">
        <v>78</v>
      </c>
      <c r="N13" t="s">
        <v>164</v>
      </c>
      <c r="O13" t="s">
        <v>104</v>
      </c>
      <c r="P13" s="2" t="s">
        <v>81</v>
      </c>
      <c r="Q13" t="s">
        <v>64</v>
      </c>
      <c r="R13" t="s">
        <v>64</v>
      </c>
      <c r="S13" s="85" t="s">
        <v>165</v>
      </c>
      <c r="T13" t="s">
        <v>166</v>
      </c>
      <c r="U13" t="s">
        <v>167</v>
      </c>
      <c r="V13" s="2" t="s">
        <v>168</v>
      </c>
      <c r="W13" s="2" t="s">
        <v>65</v>
      </c>
      <c r="Z13" s="2" t="s">
        <v>109</v>
      </c>
      <c r="AA13" s="2" t="s">
        <v>110</v>
      </c>
      <c r="AB13" s="2" t="s">
        <v>66</v>
      </c>
      <c r="AC13" s="2" t="s">
        <v>67</v>
      </c>
    </row>
    <row r="14" spans="1:29" hidden="1" x14ac:dyDescent="0.25">
      <c r="A14" t="s">
        <v>107</v>
      </c>
      <c r="B14" t="s">
        <v>69</v>
      </c>
      <c r="C14" t="s">
        <v>8</v>
      </c>
      <c r="D14" t="s">
        <v>14</v>
      </c>
      <c r="E14" t="s">
        <v>161</v>
      </c>
      <c r="F14" t="s">
        <v>161</v>
      </c>
      <c r="G14" s="2" t="s">
        <v>69</v>
      </c>
      <c r="H14" t="s">
        <v>64</v>
      </c>
      <c r="I14" s="34" t="s">
        <v>162</v>
      </c>
      <c r="J14" s="2" t="s">
        <v>163</v>
      </c>
      <c r="K14" t="s">
        <v>64</v>
      </c>
      <c r="L14" t="s">
        <v>118</v>
      </c>
      <c r="M14" s="2" t="s">
        <v>78</v>
      </c>
      <c r="N14" t="s">
        <v>164</v>
      </c>
      <c r="O14" t="s">
        <v>136</v>
      </c>
      <c r="P14" s="2" t="s">
        <v>20</v>
      </c>
      <c r="Q14" t="s">
        <v>64</v>
      </c>
      <c r="R14" t="s">
        <v>64</v>
      </c>
      <c r="S14" s="85" t="s">
        <v>165</v>
      </c>
      <c r="T14" t="s">
        <v>166</v>
      </c>
      <c r="U14" t="s">
        <v>167</v>
      </c>
      <c r="V14" s="2" t="s">
        <v>168</v>
      </c>
      <c r="W14" s="2" t="s">
        <v>65</v>
      </c>
      <c r="Z14" s="2" t="s">
        <v>109</v>
      </c>
      <c r="AA14" s="2" t="s">
        <v>110</v>
      </c>
      <c r="AB14" s="2" t="s">
        <v>66</v>
      </c>
      <c r="AC14" s="2" t="s">
        <v>67</v>
      </c>
    </row>
    <row r="15" spans="1:29" hidden="1" x14ac:dyDescent="0.25">
      <c r="A15" t="s">
        <v>107</v>
      </c>
      <c r="B15" t="s">
        <v>69</v>
      </c>
      <c r="C15" t="s">
        <v>8</v>
      </c>
      <c r="D15" t="s">
        <v>14</v>
      </c>
      <c r="E15" t="s">
        <v>161</v>
      </c>
      <c r="F15" t="s">
        <v>161</v>
      </c>
      <c r="G15" s="2" t="s">
        <v>69</v>
      </c>
      <c r="H15" t="s">
        <v>64</v>
      </c>
      <c r="I15" s="34" t="s">
        <v>162</v>
      </c>
      <c r="J15" s="2" t="s">
        <v>163</v>
      </c>
      <c r="K15" t="s">
        <v>64</v>
      </c>
      <c r="L15" t="s">
        <v>118</v>
      </c>
      <c r="M15" s="2" t="s">
        <v>78</v>
      </c>
      <c r="N15" t="s">
        <v>164</v>
      </c>
      <c r="O15" t="s">
        <v>137</v>
      </c>
      <c r="P15" s="2" t="s">
        <v>81</v>
      </c>
      <c r="Q15" t="s">
        <v>64</v>
      </c>
      <c r="R15" t="s">
        <v>64</v>
      </c>
      <c r="S15" s="85" t="s">
        <v>165</v>
      </c>
      <c r="T15" t="s">
        <v>166</v>
      </c>
      <c r="U15" t="s">
        <v>167</v>
      </c>
      <c r="V15" s="2" t="s">
        <v>168</v>
      </c>
      <c r="W15" s="2" t="s">
        <v>65</v>
      </c>
      <c r="Z15" s="2" t="s">
        <v>109</v>
      </c>
      <c r="AA15" s="2" t="s">
        <v>110</v>
      </c>
      <c r="AB15" s="2" t="s">
        <v>66</v>
      </c>
      <c r="AC15" s="2" t="s">
        <v>67</v>
      </c>
    </row>
    <row r="16" spans="1:29" hidden="1" x14ac:dyDescent="0.25">
      <c r="A16" t="s">
        <v>107</v>
      </c>
      <c r="B16" t="s">
        <v>69</v>
      </c>
      <c r="C16" t="s">
        <v>8</v>
      </c>
      <c r="D16" t="s">
        <v>14</v>
      </c>
      <c r="E16" t="s">
        <v>161</v>
      </c>
      <c r="F16" t="s">
        <v>161</v>
      </c>
      <c r="G16" s="2" t="s">
        <v>69</v>
      </c>
      <c r="H16" t="s">
        <v>64</v>
      </c>
      <c r="I16" s="34" t="s">
        <v>162</v>
      </c>
      <c r="J16" s="2" t="s">
        <v>163</v>
      </c>
      <c r="K16" t="s">
        <v>64</v>
      </c>
      <c r="L16" t="s">
        <v>118</v>
      </c>
      <c r="M16" s="2" t="s">
        <v>78</v>
      </c>
      <c r="N16" t="s">
        <v>164</v>
      </c>
      <c r="O16" t="s">
        <v>138</v>
      </c>
      <c r="P16" s="2" t="s">
        <v>20</v>
      </c>
      <c r="Q16" t="s">
        <v>64</v>
      </c>
      <c r="R16" t="s">
        <v>64</v>
      </c>
      <c r="S16" s="85" t="s">
        <v>165</v>
      </c>
      <c r="T16" t="s">
        <v>166</v>
      </c>
      <c r="U16" t="s">
        <v>167</v>
      </c>
      <c r="V16" s="2" t="s">
        <v>168</v>
      </c>
      <c r="W16" s="2" t="s">
        <v>65</v>
      </c>
      <c r="Z16" s="2" t="s">
        <v>109</v>
      </c>
      <c r="AA16" s="2" t="s">
        <v>110</v>
      </c>
      <c r="AB16" s="2" t="s">
        <v>66</v>
      </c>
      <c r="AC16" s="2" t="s">
        <v>67</v>
      </c>
    </row>
    <row r="17" spans="1:29" hidden="1" x14ac:dyDescent="0.25">
      <c r="A17" t="s">
        <v>107</v>
      </c>
      <c r="B17" t="s">
        <v>69</v>
      </c>
      <c r="C17" t="s">
        <v>8</v>
      </c>
      <c r="D17" t="s">
        <v>14</v>
      </c>
      <c r="E17" t="s">
        <v>161</v>
      </c>
      <c r="F17" t="s">
        <v>161</v>
      </c>
      <c r="G17" s="2" t="s">
        <v>69</v>
      </c>
      <c r="H17" t="s">
        <v>64</v>
      </c>
      <c r="I17" s="34" t="s">
        <v>162</v>
      </c>
      <c r="J17" s="2" t="s">
        <v>163</v>
      </c>
      <c r="K17" t="s">
        <v>64</v>
      </c>
      <c r="L17" t="s">
        <v>118</v>
      </c>
      <c r="M17" s="2" t="s">
        <v>78</v>
      </c>
      <c r="N17" t="s">
        <v>164</v>
      </c>
      <c r="O17" t="s">
        <v>139</v>
      </c>
      <c r="P17" s="2" t="s">
        <v>169</v>
      </c>
      <c r="Q17" t="s">
        <v>64</v>
      </c>
      <c r="R17" t="s">
        <v>64</v>
      </c>
      <c r="S17" s="85" t="s">
        <v>165</v>
      </c>
      <c r="T17" t="s">
        <v>166</v>
      </c>
      <c r="U17" t="s">
        <v>167</v>
      </c>
      <c r="V17" s="2" t="s">
        <v>168</v>
      </c>
      <c r="W17" s="2" t="s">
        <v>65</v>
      </c>
      <c r="Z17" s="2" t="s">
        <v>109</v>
      </c>
      <c r="AA17" s="2" t="s">
        <v>110</v>
      </c>
      <c r="AB17" s="2" t="s">
        <v>66</v>
      </c>
      <c r="AC17" s="2" t="s">
        <v>67</v>
      </c>
    </row>
    <row r="18" spans="1:29" hidden="1" x14ac:dyDescent="0.25">
      <c r="A18" t="s">
        <v>107</v>
      </c>
      <c r="B18" t="s">
        <v>69</v>
      </c>
      <c r="C18" t="s">
        <v>8</v>
      </c>
      <c r="D18" t="s">
        <v>14</v>
      </c>
      <c r="E18" t="s">
        <v>161</v>
      </c>
      <c r="F18" t="s">
        <v>161</v>
      </c>
      <c r="G18" s="2" t="s">
        <v>69</v>
      </c>
      <c r="H18" t="s">
        <v>64</v>
      </c>
      <c r="I18" s="34" t="s">
        <v>162</v>
      </c>
      <c r="J18" s="2" t="s">
        <v>163</v>
      </c>
      <c r="K18" t="s">
        <v>64</v>
      </c>
      <c r="L18" t="s">
        <v>118</v>
      </c>
      <c r="M18" s="2" t="s">
        <v>78</v>
      </c>
      <c r="N18" t="s">
        <v>164</v>
      </c>
      <c r="O18" t="s">
        <v>147</v>
      </c>
      <c r="P18" s="2" t="s">
        <v>20</v>
      </c>
      <c r="Q18" t="s">
        <v>64</v>
      </c>
      <c r="R18" t="s">
        <v>64</v>
      </c>
      <c r="S18" s="85" t="s">
        <v>165</v>
      </c>
      <c r="T18" t="s">
        <v>166</v>
      </c>
      <c r="U18" t="s">
        <v>167</v>
      </c>
      <c r="V18" s="2" t="s">
        <v>168</v>
      </c>
      <c r="W18" s="2" t="s">
        <v>65</v>
      </c>
      <c r="Z18" s="2" t="s">
        <v>109</v>
      </c>
      <c r="AA18" s="2" t="s">
        <v>110</v>
      </c>
      <c r="AB18" s="2" t="s">
        <v>66</v>
      </c>
      <c r="AC18" s="2" t="s">
        <v>67</v>
      </c>
    </row>
    <row r="19" spans="1:29" hidden="1" x14ac:dyDescent="0.25">
      <c r="A19" t="s">
        <v>107</v>
      </c>
      <c r="B19" t="s">
        <v>69</v>
      </c>
      <c r="C19" t="s">
        <v>8</v>
      </c>
      <c r="D19" t="s">
        <v>14</v>
      </c>
      <c r="E19" t="s">
        <v>161</v>
      </c>
      <c r="F19" t="s">
        <v>161</v>
      </c>
      <c r="G19" s="2" t="s">
        <v>69</v>
      </c>
      <c r="H19" t="s">
        <v>64</v>
      </c>
      <c r="I19" s="34" t="s">
        <v>162</v>
      </c>
      <c r="J19" s="2" t="s">
        <v>163</v>
      </c>
      <c r="K19" t="s">
        <v>64</v>
      </c>
      <c r="L19" t="s">
        <v>118</v>
      </c>
      <c r="M19" s="2" t="s">
        <v>78</v>
      </c>
      <c r="N19" t="s">
        <v>164</v>
      </c>
      <c r="O19" t="s">
        <v>148</v>
      </c>
      <c r="P19" s="2" t="s">
        <v>20</v>
      </c>
      <c r="Q19" t="s">
        <v>64</v>
      </c>
      <c r="R19" t="s">
        <v>64</v>
      </c>
      <c r="S19" s="85" t="s">
        <v>165</v>
      </c>
      <c r="T19" t="s">
        <v>166</v>
      </c>
      <c r="U19" t="s">
        <v>167</v>
      </c>
      <c r="V19" s="2" t="s">
        <v>168</v>
      </c>
      <c r="W19" s="2" t="s">
        <v>65</v>
      </c>
      <c r="Z19" s="2" t="s">
        <v>109</v>
      </c>
      <c r="AA19" s="2" t="s">
        <v>110</v>
      </c>
      <c r="AB19" s="2" t="s">
        <v>66</v>
      </c>
      <c r="AC19" s="2" t="s">
        <v>67</v>
      </c>
    </row>
    <row r="20" spans="1:29" hidden="1" x14ac:dyDescent="0.25">
      <c r="A20" t="s">
        <v>107</v>
      </c>
      <c r="B20" t="s">
        <v>69</v>
      </c>
      <c r="C20" t="s">
        <v>8</v>
      </c>
      <c r="D20" t="s">
        <v>14</v>
      </c>
      <c r="E20" t="s">
        <v>161</v>
      </c>
      <c r="F20" t="s">
        <v>161</v>
      </c>
      <c r="G20" s="2" t="s">
        <v>69</v>
      </c>
      <c r="H20" t="s">
        <v>64</v>
      </c>
      <c r="I20" s="34" t="s">
        <v>162</v>
      </c>
      <c r="J20" s="2" t="s">
        <v>163</v>
      </c>
      <c r="K20" t="s">
        <v>64</v>
      </c>
      <c r="L20" t="s">
        <v>118</v>
      </c>
      <c r="M20" s="2" t="s">
        <v>78</v>
      </c>
      <c r="N20" t="s">
        <v>164</v>
      </c>
      <c r="O20" t="s">
        <v>149</v>
      </c>
      <c r="P20" s="2" t="s">
        <v>20</v>
      </c>
      <c r="Q20" t="s">
        <v>64</v>
      </c>
      <c r="R20" t="s">
        <v>64</v>
      </c>
      <c r="S20" s="85" t="s">
        <v>165</v>
      </c>
      <c r="T20" t="s">
        <v>166</v>
      </c>
      <c r="U20" t="s">
        <v>167</v>
      </c>
      <c r="V20" s="2" t="s">
        <v>168</v>
      </c>
      <c r="W20" s="2" t="s">
        <v>65</v>
      </c>
      <c r="Z20" s="2" t="s">
        <v>109</v>
      </c>
      <c r="AA20" s="2" t="s">
        <v>110</v>
      </c>
      <c r="AB20" s="2" t="s">
        <v>66</v>
      </c>
      <c r="AC20" s="2" t="s">
        <v>67</v>
      </c>
    </row>
    <row r="21" spans="1:29" hidden="1" x14ac:dyDescent="0.25">
      <c r="A21" t="s">
        <v>107</v>
      </c>
      <c r="B21" t="s">
        <v>69</v>
      </c>
      <c r="C21" t="s">
        <v>8</v>
      </c>
      <c r="D21" t="s">
        <v>14</v>
      </c>
      <c r="E21" t="s">
        <v>161</v>
      </c>
      <c r="F21" t="s">
        <v>161</v>
      </c>
      <c r="G21" s="2" t="s">
        <v>69</v>
      </c>
      <c r="H21" t="s">
        <v>64</v>
      </c>
      <c r="I21" s="34" t="s">
        <v>162</v>
      </c>
      <c r="J21" s="2" t="s">
        <v>163</v>
      </c>
      <c r="K21" t="s">
        <v>64</v>
      </c>
      <c r="L21" t="s">
        <v>118</v>
      </c>
      <c r="M21" s="2" t="s">
        <v>78</v>
      </c>
      <c r="N21" t="s">
        <v>164</v>
      </c>
      <c r="O21" t="s">
        <v>150</v>
      </c>
      <c r="P21" s="2" t="s">
        <v>81</v>
      </c>
      <c r="Q21" t="s">
        <v>64</v>
      </c>
      <c r="R21" t="s">
        <v>64</v>
      </c>
      <c r="S21" s="85" t="s">
        <v>165</v>
      </c>
      <c r="T21" t="s">
        <v>166</v>
      </c>
      <c r="U21" t="s">
        <v>167</v>
      </c>
      <c r="V21" s="2" t="s">
        <v>168</v>
      </c>
      <c r="W21" s="2" t="s">
        <v>65</v>
      </c>
      <c r="Z21" s="2" t="s">
        <v>109</v>
      </c>
      <c r="AA21" s="2" t="s">
        <v>110</v>
      </c>
      <c r="AB21" s="2" t="s">
        <v>66</v>
      </c>
      <c r="AC21" s="2" t="s">
        <v>67</v>
      </c>
    </row>
    <row r="22" spans="1:29" hidden="1" x14ac:dyDescent="0.25">
      <c r="A22" t="s">
        <v>107</v>
      </c>
      <c r="B22" t="s">
        <v>69</v>
      </c>
      <c r="C22" t="s">
        <v>8</v>
      </c>
      <c r="D22" t="s">
        <v>14</v>
      </c>
      <c r="E22" t="s">
        <v>161</v>
      </c>
      <c r="F22" t="s">
        <v>161</v>
      </c>
      <c r="G22" s="2" t="s">
        <v>69</v>
      </c>
      <c r="H22" t="s">
        <v>64</v>
      </c>
      <c r="I22" s="34" t="s">
        <v>162</v>
      </c>
      <c r="J22" s="2" t="s">
        <v>163</v>
      </c>
      <c r="K22" t="s">
        <v>64</v>
      </c>
      <c r="L22" t="s">
        <v>118</v>
      </c>
      <c r="M22" s="2" t="s">
        <v>78</v>
      </c>
      <c r="N22" t="s">
        <v>164</v>
      </c>
      <c r="O22" t="s">
        <v>151</v>
      </c>
      <c r="P22" s="2" t="s">
        <v>81</v>
      </c>
      <c r="Q22" t="s">
        <v>64</v>
      </c>
      <c r="R22" t="s">
        <v>64</v>
      </c>
      <c r="S22" s="85" t="s">
        <v>165</v>
      </c>
      <c r="T22" t="s">
        <v>166</v>
      </c>
      <c r="U22" t="s">
        <v>167</v>
      </c>
      <c r="V22" s="2" t="s">
        <v>168</v>
      </c>
      <c r="W22" s="2" t="s">
        <v>65</v>
      </c>
      <c r="Z22" s="2" t="s">
        <v>109</v>
      </c>
      <c r="AA22" s="2" t="s">
        <v>110</v>
      </c>
      <c r="AB22" s="2" t="s">
        <v>66</v>
      </c>
      <c r="AC22" s="2" t="s">
        <v>67</v>
      </c>
    </row>
    <row r="23" spans="1:29" hidden="1" x14ac:dyDescent="0.25">
      <c r="A23" t="s">
        <v>107</v>
      </c>
      <c r="B23" t="s">
        <v>69</v>
      </c>
      <c r="C23" t="s">
        <v>8</v>
      </c>
      <c r="D23" t="s">
        <v>14</v>
      </c>
      <c r="E23" t="s">
        <v>161</v>
      </c>
      <c r="F23" t="s">
        <v>161</v>
      </c>
      <c r="G23" s="2" t="s">
        <v>69</v>
      </c>
      <c r="H23" t="s">
        <v>64</v>
      </c>
      <c r="I23" s="34" t="s">
        <v>162</v>
      </c>
      <c r="J23" s="2" t="s">
        <v>163</v>
      </c>
      <c r="K23" t="s">
        <v>64</v>
      </c>
      <c r="L23" t="s">
        <v>118</v>
      </c>
      <c r="M23" s="2" t="s">
        <v>78</v>
      </c>
      <c r="N23" t="s">
        <v>164</v>
      </c>
      <c r="O23" t="s">
        <v>152</v>
      </c>
      <c r="P23" s="2" t="s">
        <v>170</v>
      </c>
      <c r="Q23" t="s">
        <v>64</v>
      </c>
      <c r="R23" t="s">
        <v>64</v>
      </c>
      <c r="S23" s="85" t="s">
        <v>165</v>
      </c>
      <c r="T23" t="s">
        <v>166</v>
      </c>
      <c r="U23" t="s">
        <v>167</v>
      </c>
      <c r="V23" s="2" t="s">
        <v>168</v>
      </c>
      <c r="W23" s="2" t="s">
        <v>65</v>
      </c>
      <c r="Z23" s="2" t="s">
        <v>109</v>
      </c>
      <c r="AA23" s="2" t="s">
        <v>110</v>
      </c>
      <c r="AB23" s="2" t="s">
        <v>66</v>
      </c>
      <c r="AC23" s="2" t="s">
        <v>67</v>
      </c>
    </row>
    <row r="24" spans="1:29" hidden="1" x14ac:dyDescent="0.25">
      <c r="A24" t="s">
        <v>107</v>
      </c>
      <c r="B24" t="s">
        <v>69</v>
      </c>
      <c r="C24" t="s">
        <v>8</v>
      </c>
      <c r="D24" t="s">
        <v>14</v>
      </c>
      <c r="E24" t="s">
        <v>161</v>
      </c>
      <c r="F24" t="s">
        <v>161</v>
      </c>
      <c r="G24" s="2" t="s">
        <v>69</v>
      </c>
      <c r="H24" t="s">
        <v>64</v>
      </c>
      <c r="I24" s="34" t="s">
        <v>162</v>
      </c>
      <c r="J24" s="2" t="s">
        <v>163</v>
      </c>
      <c r="K24" t="s">
        <v>64</v>
      </c>
      <c r="L24" t="s">
        <v>118</v>
      </c>
      <c r="M24" s="2" t="s">
        <v>78</v>
      </c>
      <c r="N24" t="s">
        <v>164</v>
      </c>
      <c r="O24" t="s">
        <v>153</v>
      </c>
      <c r="P24" s="2" t="s">
        <v>20</v>
      </c>
      <c r="Q24" t="s">
        <v>64</v>
      </c>
      <c r="R24" t="s">
        <v>64</v>
      </c>
      <c r="S24" s="85" t="s">
        <v>165</v>
      </c>
      <c r="T24" t="s">
        <v>166</v>
      </c>
      <c r="U24" t="s">
        <v>167</v>
      </c>
      <c r="V24" s="2" t="s">
        <v>168</v>
      </c>
      <c r="W24" s="2" t="s">
        <v>65</v>
      </c>
      <c r="Z24" s="2" t="s">
        <v>109</v>
      </c>
      <c r="AA24" s="2" t="s">
        <v>110</v>
      </c>
      <c r="AB24" s="2" t="s">
        <v>66</v>
      </c>
      <c r="AC24" s="2" t="s">
        <v>67</v>
      </c>
    </row>
    <row r="25" spans="1:29" hidden="1" x14ac:dyDescent="0.25">
      <c r="A25" t="s">
        <v>107</v>
      </c>
      <c r="B25" t="s">
        <v>69</v>
      </c>
      <c r="C25" t="s">
        <v>8</v>
      </c>
      <c r="D25" t="s">
        <v>14</v>
      </c>
      <c r="E25" t="s">
        <v>161</v>
      </c>
      <c r="F25" t="s">
        <v>161</v>
      </c>
      <c r="G25" s="2" t="s">
        <v>69</v>
      </c>
      <c r="H25" t="s">
        <v>64</v>
      </c>
      <c r="I25" s="34" t="s">
        <v>162</v>
      </c>
      <c r="J25" s="2" t="s">
        <v>163</v>
      </c>
      <c r="K25" t="s">
        <v>64</v>
      </c>
      <c r="L25" t="s">
        <v>118</v>
      </c>
      <c r="M25" s="2" t="s">
        <v>78</v>
      </c>
      <c r="N25" t="s">
        <v>164</v>
      </c>
      <c r="O25" t="s">
        <v>154</v>
      </c>
      <c r="P25" s="2" t="s">
        <v>20</v>
      </c>
      <c r="Q25" t="s">
        <v>64</v>
      </c>
      <c r="R25" t="s">
        <v>64</v>
      </c>
      <c r="S25" s="85" t="s">
        <v>165</v>
      </c>
      <c r="T25" t="s">
        <v>166</v>
      </c>
      <c r="U25" t="s">
        <v>167</v>
      </c>
      <c r="V25" s="2" t="s">
        <v>168</v>
      </c>
      <c r="W25" s="2" t="s">
        <v>65</v>
      </c>
      <c r="Z25" s="2" t="s">
        <v>109</v>
      </c>
      <c r="AA25" s="2" t="s">
        <v>110</v>
      </c>
      <c r="AB25" s="2" t="s">
        <v>66</v>
      </c>
      <c r="AC25" s="2" t="s">
        <v>67</v>
      </c>
    </row>
    <row r="26" spans="1:29" hidden="1" x14ac:dyDescent="0.25">
      <c r="A26" t="s">
        <v>107</v>
      </c>
      <c r="B26" t="s">
        <v>69</v>
      </c>
      <c r="C26" t="s">
        <v>8</v>
      </c>
      <c r="D26" t="s">
        <v>14</v>
      </c>
      <c r="E26" t="s">
        <v>161</v>
      </c>
      <c r="F26" t="s">
        <v>161</v>
      </c>
      <c r="G26" s="2" t="s">
        <v>69</v>
      </c>
      <c r="H26" t="s">
        <v>64</v>
      </c>
      <c r="I26" s="34" t="s">
        <v>162</v>
      </c>
      <c r="J26" s="2" t="s">
        <v>163</v>
      </c>
      <c r="K26" t="s">
        <v>64</v>
      </c>
      <c r="L26" t="s">
        <v>118</v>
      </c>
      <c r="M26" s="2" t="s">
        <v>78</v>
      </c>
      <c r="N26" t="s">
        <v>164</v>
      </c>
      <c r="O26" t="s">
        <v>155</v>
      </c>
      <c r="P26" s="2" t="s">
        <v>20</v>
      </c>
      <c r="Q26" t="s">
        <v>64</v>
      </c>
      <c r="R26" t="s">
        <v>64</v>
      </c>
      <c r="S26" s="85" t="s">
        <v>165</v>
      </c>
      <c r="T26" t="s">
        <v>166</v>
      </c>
      <c r="U26" t="s">
        <v>167</v>
      </c>
      <c r="V26" s="2" t="s">
        <v>168</v>
      </c>
      <c r="W26" s="2" t="s">
        <v>65</v>
      </c>
      <c r="Z26" s="2" t="s">
        <v>109</v>
      </c>
      <c r="AA26" s="2" t="s">
        <v>110</v>
      </c>
      <c r="AB26" s="2" t="s">
        <v>66</v>
      </c>
      <c r="AC26" s="2" t="s">
        <v>67</v>
      </c>
    </row>
    <row r="27" spans="1:29" hidden="1" x14ac:dyDescent="0.25">
      <c r="A27" t="s">
        <v>107</v>
      </c>
      <c r="B27" t="s">
        <v>69</v>
      </c>
      <c r="C27" t="s">
        <v>8</v>
      </c>
      <c r="D27" t="s">
        <v>14</v>
      </c>
      <c r="E27" t="s">
        <v>161</v>
      </c>
      <c r="F27" t="s">
        <v>161</v>
      </c>
      <c r="G27" s="2" t="s">
        <v>69</v>
      </c>
      <c r="H27" t="s">
        <v>64</v>
      </c>
      <c r="I27" s="34" t="s">
        <v>162</v>
      </c>
      <c r="J27" s="2" t="s">
        <v>163</v>
      </c>
      <c r="K27" t="s">
        <v>64</v>
      </c>
      <c r="L27" t="s">
        <v>118</v>
      </c>
      <c r="M27" s="2" t="s">
        <v>78</v>
      </c>
      <c r="N27" t="s">
        <v>164</v>
      </c>
      <c r="O27" t="s">
        <v>156</v>
      </c>
      <c r="P27" s="2" t="s">
        <v>20</v>
      </c>
      <c r="Q27" t="s">
        <v>64</v>
      </c>
      <c r="R27" t="s">
        <v>64</v>
      </c>
      <c r="S27" s="85" t="s">
        <v>165</v>
      </c>
      <c r="T27" t="s">
        <v>166</v>
      </c>
      <c r="U27" t="s">
        <v>167</v>
      </c>
      <c r="V27" s="2" t="s">
        <v>168</v>
      </c>
      <c r="W27" s="2" t="s">
        <v>65</v>
      </c>
      <c r="Z27" s="2" t="s">
        <v>109</v>
      </c>
      <c r="AA27" s="2" t="s">
        <v>110</v>
      </c>
      <c r="AB27" s="2" t="s">
        <v>66</v>
      </c>
      <c r="AC27" s="2" t="s">
        <v>67</v>
      </c>
    </row>
    <row r="28" spans="1:29" hidden="1" x14ac:dyDescent="0.25">
      <c r="A28" t="s">
        <v>107</v>
      </c>
      <c r="B28" t="s">
        <v>69</v>
      </c>
      <c r="C28" t="s">
        <v>8</v>
      </c>
      <c r="D28" t="s">
        <v>14</v>
      </c>
      <c r="E28" t="s">
        <v>161</v>
      </c>
      <c r="F28" t="s">
        <v>161</v>
      </c>
      <c r="G28" s="2" t="s">
        <v>69</v>
      </c>
      <c r="H28" t="s">
        <v>64</v>
      </c>
      <c r="I28" s="34" t="s">
        <v>162</v>
      </c>
      <c r="J28" s="2" t="s">
        <v>163</v>
      </c>
      <c r="K28" t="s">
        <v>64</v>
      </c>
      <c r="L28" t="s">
        <v>118</v>
      </c>
      <c r="M28" s="2" t="s">
        <v>78</v>
      </c>
      <c r="N28" t="s">
        <v>164</v>
      </c>
      <c r="O28" t="s">
        <v>157</v>
      </c>
      <c r="P28" s="2" t="s">
        <v>81</v>
      </c>
      <c r="Q28" t="s">
        <v>64</v>
      </c>
      <c r="R28" t="s">
        <v>64</v>
      </c>
      <c r="S28" s="85" t="s">
        <v>165</v>
      </c>
      <c r="T28" t="s">
        <v>166</v>
      </c>
      <c r="U28" t="s">
        <v>167</v>
      </c>
      <c r="V28" s="2" t="s">
        <v>168</v>
      </c>
      <c r="W28" s="2" t="s">
        <v>65</v>
      </c>
      <c r="Z28" s="2" t="s">
        <v>109</v>
      </c>
      <c r="AA28" s="2" t="s">
        <v>110</v>
      </c>
      <c r="AB28" s="2" t="s">
        <v>66</v>
      </c>
      <c r="AC28" s="2" t="s">
        <v>67</v>
      </c>
    </row>
    <row r="29" spans="1:29" hidden="1" x14ac:dyDescent="0.25">
      <c r="A29" t="s">
        <v>107</v>
      </c>
      <c r="B29" t="s">
        <v>90</v>
      </c>
      <c r="C29" t="s">
        <v>91</v>
      </c>
      <c r="D29" t="s">
        <v>15</v>
      </c>
      <c r="E29" t="s">
        <v>171</v>
      </c>
      <c r="F29" t="s">
        <v>172</v>
      </c>
      <c r="G29" s="2" t="s">
        <v>91</v>
      </c>
      <c r="H29" t="s">
        <v>64</v>
      </c>
      <c r="I29" s="34" t="s">
        <v>173</v>
      </c>
      <c r="J29" s="2" t="s">
        <v>174</v>
      </c>
      <c r="K29" t="s">
        <v>64</v>
      </c>
      <c r="L29" t="s">
        <v>175</v>
      </c>
      <c r="M29" s="2" t="s">
        <v>78</v>
      </c>
      <c r="N29" t="s">
        <v>164</v>
      </c>
      <c r="O29" t="s">
        <v>133</v>
      </c>
      <c r="P29" s="2" t="s">
        <v>20</v>
      </c>
      <c r="Q29" t="s">
        <v>64</v>
      </c>
      <c r="R29" t="s">
        <v>64</v>
      </c>
      <c r="S29" s="85" t="s">
        <v>95</v>
      </c>
      <c r="T29" t="s">
        <v>176</v>
      </c>
      <c r="U29" t="s">
        <v>177</v>
      </c>
      <c r="V29" s="2" t="s">
        <v>178</v>
      </c>
      <c r="W29" s="2" t="s">
        <v>65</v>
      </c>
      <c r="Z29" s="2" t="s">
        <v>120</v>
      </c>
      <c r="AA29" s="2" t="s">
        <v>121</v>
      </c>
      <c r="AB29" s="2" t="s">
        <v>66</v>
      </c>
      <c r="AC29" s="2" t="s">
        <v>67</v>
      </c>
    </row>
    <row r="30" spans="1:29" hidden="1" x14ac:dyDescent="0.25">
      <c r="A30" t="s">
        <v>107</v>
      </c>
      <c r="B30" t="s">
        <v>90</v>
      </c>
      <c r="C30" t="s">
        <v>91</v>
      </c>
      <c r="D30" t="s">
        <v>15</v>
      </c>
      <c r="E30" t="s">
        <v>171</v>
      </c>
      <c r="F30" t="s">
        <v>172</v>
      </c>
      <c r="G30" s="2" t="s">
        <v>91</v>
      </c>
      <c r="H30" t="s">
        <v>64</v>
      </c>
      <c r="I30" s="34" t="s">
        <v>173</v>
      </c>
      <c r="J30" s="2" t="s">
        <v>174</v>
      </c>
      <c r="K30" t="s">
        <v>64</v>
      </c>
      <c r="L30" t="s">
        <v>175</v>
      </c>
      <c r="M30" s="2" t="s">
        <v>78</v>
      </c>
      <c r="N30" t="s">
        <v>164</v>
      </c>
      <c r="O30" t="s">
        <v>97</v>
      </c>
      <c r="P30" s="2" t="s">
        <v>20</v>
      </c>
      <c r="Q30" t="s">
        <v>64</v>
      </c>
      <c r="R30" t="s">
        <v>64</v>
      </c>
      <c r="S30" s="85" t="s">
        <v>95</v>
      </c>
      <c r="T30" t="s">
        <v>176</v>
      </c>
      <c r="U30" t="s">
        <v>177</v>
      </c>
      <c r="V30" s="2" t="s">
        <v>178</v>
      </c>
      <c r="W30" s="2" t="s">
        <v>65</v>
      </c>
      <c r="Z30" s="2" t="s">
        <v>120</v>
      </c>
      <c r="AA30" s="2" t="s">
        <v>121</v>
      </c>
      <c r="AB30" s="2" t="s">
        <v>66</v>
      </c>
      <c r="AC30" s="2" t="s">
        <v>67</v>
      </c>
    </row>
    <row r="31" spans="1:29" hidden="1" x14ac:dyDescent="0.25">
      <c r="A31" t="s">
        <v>107</v>
      </c>
      <c r="B31" t="s">
        <v>90</v>
      </c>
      <c r="C31" t="s">
        <v>91</v>
      </c>
      <c r="D31" t="s">
        <v>15</v>
      </c>
      <c r="E31" t="s">
        <v>171</v>
      </c>
      <c r="F31" t="s">
        <v>172</v>
      </c>
      <c r="G31" s="2" t="s">
        <v>91</v>
      </c>
      <c r="H31" t="s">
        <v>64</v>
      </c>
      <c r="I31" s="34" t="s">
        <v>173</v>
      </c>
      <c r="J31" s="2" t="s">
        <v>174</v>
      </c>
      <c r="K31" t="s">
        <v>64</v>
      </c>
      <c r="L31" t="s">
        <v>175</v>
      </c>
      <c r="M31" s="2" t="s">
        <v>78</v>
      </c>
      <c r="N31" t="s">
        <v>164</v>
      </c>
      <c r="O31" t="s">
        <v>98</v>
      </c>
      <c r="P31" s="2" t="s">
        <v>20</v>
      </c>
      <c r="Q31" t="s">
        <v>64</v>
      </c>
      <c r="R31" t="s">
        <v>64</v>
      </c>
      <c r="S31" s="85" t="s">
        <v>95</v>
      </c>
      <c r="T31" t="s">
        <v>176</v>
      </c>
      <c r="U31" t="s">
        <v>177</v>
      </c>
      <c r="V31" s="2" t="s">
        <v>178</v>
      </c>
      <c r="W31" s="2" t="s">
        <v>65</v>
      </c>
      <c r="Z31" s="2" t="s">
        <v>120</v>
      </c>
      <c r="AA31" s="2" t="s">
        <v>121</v>
      </c>
      <c r="AB31" s="2" t="s">
        <v>66</v>
      </c>
      <c r="AC31" s="2" t="s">
        <v>67</v>
      </c>
    </row>
    <row r="32" spans="1:29" hidden="1" x14ac:dyDescent="0.25">
      <c r="A32" t="s">
        <v>107</v>
      </c>
      <c r="B32" t="s">
        <v>90</v>
      </c>
      <c r="C32" t="s">
        <v>91</v>
      </c>
      <c r="D32" t="s">
        <v>15</v>
      </c>
      <c r="E32" t="s">
        <v>171</v>
      </c>
      <c r="F32" t="s">
        <v>172</v>
      </c>
      <c r="G32" s="2" t="s">
        <v>91</v>
      </c>
      <c r="H32" t="s">
        <v>64</v>
      </c>
      <c r="I32" s="34" t="s">
        <v>173</v>
      </c>
      <c r="J32" s="2" t="s">
        <v>174</v>
      </c>
      <c r="K32" t="s">
        <v>64</v>
      </c>
      <c r="L32" t="s">
        <v>175</v>
      </c>
      <c r="M32" s="2" t="s">
        <v>78</v>
      </c>
      <c r="N32" t="s">
        <v>164</v>
      </c>
      <c r="O32" t="s">
        <v>134</v>
      </c>
      <c r="P32" s="2" t="s">
        <v>20</v>
      </c>
      <c r="Q32" t="s">
        <v>64</v>
      </c>
      <c r="R32" t="s">
        <v>64</v>
      </c>
      <c r="S32" s="85" t="s">
        <v>95</v>
      </c>
      <c r="T32" t="s">
        <v>176</v>
      </c>
      <c r="U32" t="s">
        <v>177</v>
      </c>
      <c r="V32" s="2" t="s">
        <v>178</v>
      </c>
      <c r="W32" s="2" t="s">
        <v>65</v>
      </c>
      <c r="Z32" s="2" t="s">
        <v>120</v>
      </c>
      <c r="AA32" s="2" t="s">
        <v>121</v>
      </c>
      <c r="AB32" s="2" t="s">
        <v>66</v>
      </c>
      <c r="AC32" s="2" t="s">
        <v>67</v>
      </c>
    </row>
    <row r="33" spans="1:29" hidden="1" x14ac:dyDescent="0.25">
      <c r="A33" t="s">
        <v>107</v>
      </c>
      <c r="B33" t="s">
        <v>90</v>
      </c>
      <c r="C33" t="s">
        <v>91</v>
      </c>
      <c r="D33" t="s">
        <v>15</v>
      </c>
      <c r="E33" t="s">
        <v>171</v>
      </c>
      <c r="F33" t="s">
        <v>172</v>
      </c>
      <c r="G33" s="2" t="s">
        <v>91</v>
      </c>
      <c r="H33" t="s">
        <v>64</v>
      </c>
      <c r="I33" s="34" t="s">
        <v>173</v>
      </c>
      <c r="J33" s="2" t="s">
        <v>174</v>
      </c>
      <c r="K33" t="s">
        <v>64</v>
      </c>
      <c r="L33" t="s">
        <v>175</v>
      </c>
      <c r="M33" s="2" t="s">
        <v>78</v>
      </c>
      <c r="N33" t="s">
        <v>164</v>
      </c>
      <c r="O33" t="s">
        <v>35</v>
      </c>
      <c r="P33" s="2" t="s">
        <v>20</v>
      </c>
      <c r="Q33" t="s">
        <v>64</v>
      </c>
      <c r="R33" t="s">
        <v>64</v>
      </c>
      <c r="S33" s="85" t="s">
        <v>95</v>
      </c>
      <c r="T33" t="s">
        <v>176</v>
      </c>
      <c r="U33" t="s">
        <v>177</v>
      </c>
      <c r="V33" s="2" t="s">
        <v>178</v>
      </c>
      <c r="W33" s="2" t="s">
        <v>65</v>
      </c>
      <c r="Z33" s="2" t="s">
        <v>120</v>
      </c>
      <c r="AA33" s="2" t="s">
        <v>121</v>
      </c>
      <c r="AB33" s="2" t="s">
        <v>66</v>
      </c>
      <c r="AC33" s="2" t="s">
        <v>67</v>
      </c>
    </row>
    <row r="34" spans="1:29" hidden="1" x14ac:dyDescent="0.25">
      <c r="A34" t="s">
        <v>107</v>
      </c>
      <c r="B34" t="s">
        <v>90</v>
      </c>
      <c r="C34" t="s">
        <v>91</v>
      </c>
      <c r="D34" t="s">
        <v>15</v>
      </c>
      <c r="E34" t="s">
        <v>171</v>
      </c>
      <c r="F34" t="s">
        <v>172</v>
      </c>
      <c r="G34" s="2" t="s">
        <v>91</v>
      </c>
      <c r="H34" t="s">
        <v>64</v>
      </c>
      <c r="I34" s="34" t="s">
        <v>173</v>
      </c>
      <c r="J34" s="2" t="s">
        <v>174</v>
      </c>
      <c r="K34" t="s">
        <v>64</v>
      </c>
      <c r="L34" t="s">
        <v>175</v>
      </c>
      <c r="M34" s="2" t="s">
        <v>78</v>
      </c>
      <c r="N34" t="s">
        <v>164</v>
      </c>
      <c r="O34" t="s">
        <v>135</v>
      </c>
      <c r="P34" s="2" t="s">
        <v>81</v>
      </c>
      <c r="Q34" t="s">
        <v>64</v>
      </c>
      <c r="R34" t="s">
        <v>64</v>
      </c>
      <c r="S34" s="85" t="s">
        <v>95</v>
      </c>
      <c r="T34" t="s">
        <v>176</v>
      </c>
      <c r="U34" t="s">
        <v>177</v>
      </c>
      <c r="V34" s="2" t="s">
        <v>178</v>
      </c>
      <c r="W34" s="2" t="s">
        <v>65</v>
      </c>
      <c r="Z34" s="2" t="s">
        <v>120</v>
      </c>
      <c r="AA34" s="2" t="s">
        <v>121</v>
      </c>
      <c r="AB34" s="2" t="s">
        <v>66</v>
      </c>
      <c r="AC34" s="2" t="s">
        <v>67</v>
      </c>
    </row>
    <row r="35" spans="1:29" hidden="1" x14ac:dyDescent="0.25">
      <c r="A35" t="s">
        <v>107</v>
      </c>
      <c r="B35" t="s">
        <v>90</v>
      </c>
      <c r="C35" t="s">
        <v>91</v>
      </c>
      <c r="D35" t="s">
        <v>15</v>
      </c>
      <c r="E35" t="s">
        <v>171</v>
      </c>
      <c r="F35" t="s">
        <v>172</v>
      </c>
      <c r="G35" s="2" t="s">
        <v>91</v>
      </c>
      <c r="H35" t="s">
        <v>64</v>
      </c>
      <c r="I35" s="34" t="s">
        <v>173</v>
      </c>
      <c r="J35" s="2" t="s">
        <v>174</v>
      </c>
      <c r="K35" t="s">
        <v>64</v>
      </c>
      <c r="L35" t="s">
        <v>175</v>
      </c>
      <c r="M35" s="2" t="s">
        <v>78</v>
      </c>
      <c r="N35" t="s">
        <v>164</v>
      </c>
      <c r="O35" t="s">
        <v>99</v>
      </c>
      <c r="P35" s="2" t="s">
        <v>20</v>
      </c>
      <c r="Q35" t="s">
        <v>64</v>
      </c>
      <c r="R35" t="s">
        <v>64</v>
      </c>
      <c r="S35" s="85" t="s">
        <v>95</v>
      </c>
      <c r="T35" t="s">
        <v>176</v>
      </c>
      <c r="U35" t="s">
        <v>177</v>
      </c>
      <c r="V35" s="2" t="s">
        <v>178</v>
      </c>
      <c r="W35" s="2" t="s">
        <v>65</v>
      </c>
      <c r="Z35" s="2" t="s">
        <v>120</v>
      </c>
      <c r="AA35" s="2" t="s">
        <v>121</v>
      </c>
      <c r="AB35" s="2" t="s">
        <v>66</v>
      </c>
      <c r="AC35" s="2" t="s">
        <v>67</v>
      </c>
    </row>
    <row r="36" spans="1:29" hidden="1" x14ac:dyDescent="0.25">
      <c r="A36" t="s">
        <v>107</v>
      </c>
      <c r="B36" t="s">
        <v>90</v>
      </c>
      <c r="C36" t="s">
        <v>91</v>
      </c>
      <c r="D36" t="s">
        <v>15</v>
      </c>
      <c r="E36" t="s">
        <v>171</v>
      </c>
      <c r="F36" t="s">
        <v>172</v>
      </c>
      <c r="G36" s="2" t="s">
        <v>91</v>
      </c>
      <c r="H36" t="s">
        <v>64</v>
      </c>
      <c r="I36" s="34" t="s">
        <v>173</v>
      </c>
      <c r="J36" s="2" t="s">
        <v>174</v>
      </c>
      <c r="K36" t="s">
        <v>64</v>
      </c>
      <c r="L36" t="s">
        <v>175</v>
      </c>
      <c r="M36" s="2" t="s">
        <v>78</v>
      </c>
      <c r="N36" t="s">
        <v>164</v>
      </c>
      <c r="O36" t="s">
        <v>100</v>
      </c>
      <c r="P36" s="2" t="s">
        <v>20</v>
      </c>
      <c r="Q36" t="s">
        <v>64</v>
      </c>
      <c r="R36" t="s">
        <v>64</v>
      </c>
      <c r="S36" s="85" t="s">
        <v>95</v>
      </c>
      <c r="T36" t="s">
        <v>176</v>
      </c>
      <c r="U36" t="s">
        <v>177</v>
      </c>
      <c r="V36" s="2" t="s">
        <v>178</v>
      </c>
      <c r="W36" s="2" t="s">
        <v>65</v>
      </c>
      <c r="Z36" s="2" t="s">
        <v>120</v>
      </c>
      <c r="AA36" s="2" t="s">
        <v>121</v>
      </c>
      <c r="AB36" s="2" t="s">
        <v>66</v>
      </c>
      <c r="AC36" s="2" t="s">
        <v>67</v>
      </c>
    </row>
    <row r="37" spans="1:29" hidden="1" x14ac:dyDescent="0.25">
      <c r="A37" t="s">
        <v>107</v>
      </c>
      <c r="B37" t="s">
        <v>90</v>
      </c>
      <c r="C37" t="s">
        <v>91</v>
      </c>
      <c r="D37" t="s">
        <v>15</v>
      </c>
      <c r="E37" t="s">
        <v>171</v>
      </c>
      <c r="F37" t="s">
        <v>172</v>
      </c>
      <c r="G37" s="2" t="s">
        <v>91</v>
      </c>
      <c r="H37" t="s">
        <v>64</v>
      </c>
      <c r="I37" s="34" t="s">
        <v>173</v>
      </c>
      <c r="J37" s="2" t="s">
        <v>174</v>
      </c>
      <c r="K37" t="s">
        <v>64</v>
      </c>
      <c r="L37" t="s">
        <v>175</v>
      </c>
      <c r="M37" s="2" t="s">
        <v>78</v>
      </c>
      <c r="N37" t="s">
        <v>164</v>
      </c>
      <c r="O37" t="s">
        <v>101</v>
      </c>
      <c r="P37" s="2" t="s">
        <v>81</v>
      </c>
      <c r="Q37" t="s">
        <v>64</v>
      </c>
      <c r="R37" t="s">
        <v>64</v>
      </c>
      <c r="S37" s="85" t="s">
        <v>95</v>
      </c>
      <c r="T37" t="s">
        <v>176</v>
      </c>
      <c r="U37" t="s">
        <v>177</v>
      </c>
      <c r="V37" s="2" t="s">
        <v>178</v>
      </c>
      <c r="W37" s="2" t="s">
        <v>65</v>
      </c>
      <c r="Z37" s="2" t="s">
        <v>120</v>
      </c>
      <c r="AA37" s="2" t="s">
        <v>121</v>
      </c>
      <c r="AB37" s="2" t="s">
        <v>66</v>
      </c>
      <c r="AC37" s="2" t="s">
        <v>67</v>
      </c>
    </row>
    <row r="38" spans="1:29" hidden="1" x14ac:dyDescent="0.25">
      <c r="A38" t="s">
        <v>107</v>
      </c>
      <c r="B38" t="s">
        <v>90</v>
      </c>
      <c r="C38" t="s">
        <v>91</v>
      </c>
      <c r="D38" t="s">
        <v>15</v>
      </c>
      <c r="E38" t="s">
        <v>171</v>
      </c>
      <c r="F38" t="s">
        <v>172</v>
      </c>
      <c r="G38" s="2" t="s">
        <v>91</v>
      </c>
      <c r="H38" t="s">
        <v>64</v>
      </c>
      <c r="I38" s="34" t="s">
        <v>173</v>
      </c>
      <c r="J38" s="2" t="s">
        <v>174</v>
      </c>
      <c r="K38" t="s">
        <v>64</v>
      </c>
      <c r="L38" t="s">
        <v>175</v>
      </c>
      <c r="M38" s="2" t="s">
        <v>78</v>
      </c>
      <c r="N38" t="s">
        <v>164</v>
      </c>
      <c r="O38" t="s">
        <v>102</v>
      </c>
      <c r="P38" s="2" t="s">
        <v>81</v>
      </c>
      <c r="Q38" t="s">
        <v>64</v>
      </c>
      <c r="R38" t="s">
        <v>64</v>
      </c>
      <c r="S38" s="85" t="s">
        <v>95</v>
      </c>
      <c r="T38" t="s">
        <v>176</v>
      </c>
      <c r="U38" t="s">
        <v>177</v>
      </c>
      <c r="V38" s="2" t="s">
        <v>178</v>
      </c>
      <c r="W38" s="2" t="s">
        <v>65</v>
      </c>
      <c r="Z38" s="2" t="s">
        <v>120</v>
      </c>
      <c r="AA38" s="2" t="s">
        <v>121</v>
      </c>
      <c r="AB38" s="2" t="s">
        <v>66</v>
      </c>
      <c r="AC38" s="2" t="s">
        <v>67</v>
      </c>
    </row>
    <row r="39" spans="1:29" hidden="1" x14ac:dyDescent="0.25">
      <c r="A39" t="s">
        <v>107</v>
      </c>
      <c r="B39" t="s">
        <v>90</v>
      </c>
      <c r="C39" t="s">
        <v>91</v>
      </c>
      <c r="D39" t="s">
        <v>15</v>
      </c>
      <c r="E39" t="s">
        <v>171</v>
      </c>
      <c r="F39" t="s">
        <v>172</v>
      </c>
      <c r="G39" s="2" t="s">
        <v>91</v>
      </c>
      <c r="H39" t="s">
        <v>64</v>
      </c>
      <c r="I39" s="34" t="s">
        <v>173</v>
      </c>
      <c r="J39" s="2" t="s">
        <v>174</v>
      </c>
      <c r="K39" t="s">
        <v>64</v>
      </c>
      <c r="L39" t="s">
        <v>175</v>
      </c>
      <c r="M39" s="2" t="s">
        <v>78</v>
      </c>
      <c r="N39" t="s">
        <v>164</v>
      </c>
      <c r="O39" t="s">
        <v>103</v>
      </c>
      <c r="P39" s="2" t="s">
        <v>81</v>
      </c>
      <c r="Q39" t="s">
        <v>64</v>
      </c>
      <c r="R39" t="s">
        <v>64</v>
      </c>
      <c r="S39" s="85" t="s">
        <v>95</v>
      </c>
      <c r="T39" t="s">
        <v>176</v>
      </c>
      <c r="U39" t="s">
        <v>177</v>
      </c>
      <c r="V39" s="2" t="s">
        <v>178</v>
      </c>
      <c r="W39" s="2" t="s">
        <v>65</v>
      </c>
      <c r="Z39" s="2" t="s">
        <v>120</v>
      </c>
      <c r="AA39" s="2" t="s">
        <v>121</v>
      </c>
      <c r="AB39" s="2" t="s">
        <v>66</v>
      </c>
      <c r="AC39" s="2" t="s">
        <v>67</v>
      </c>
    </row>
    <row r="40" spans="1:29" hidden="1" x14ac:dyDescent="0.25">
      <c r="A40" t="s">
        <v>107</v>
      </c>
      <c r="B40" t="s">
        <v>90</v>
      </c>
      <c r="C40" t="s">
        <v>91</v>
      </c>
      <c r="D40" t="s">
        <v>15</v>
      </c>
      <c r="E40" t="s">
        <v>171</v>
      </c>
      <c r="F40" t="s">
        <v>172</v>
      </c>
      <c r="G40" s="2" t="s">
        <v>91</v>
      </c>
      <c r="H40" t="s">
        <v>64</v>
      </c>
      <c r="I40" s="34" t="s">
        <v>173</v>
      </c>
      <c r="J40" s="2" t="s">
        <v>174</v>
      </c>
      <c r="K40" t="s">
        <v>64</v>
      </c>
      <c r="L40" t="s">
        <v>175</v>
      </c>
      <c r="M40" s="2" t="s">
        <v>78</v>
      </c>
      <c r="N40" t="s">
        <v>164</v>
      </c>
      <c r="O40" t="s">
        <v>104</v>
      </c>
      <c r="P40" s="2" t="s">
        <v>81</v>
      </c>
      <c r="Q40" t="s">
        <v>64</v>
      </c>
      <c r="R40" t="s">
        <v>64</v>
      </c>
      <c r="S40" s="85" t="s">
        <v>95</v>
      </c>
      <c r="T40" t="s">
        <v>176</v>
      </c>
      <c r="U40" t="s">
        <v>177</v>
      </c>
      <c r="V40" s="2" t="s">
        <v>178</v>
      </c>
      <c r="W40" s="2" t="s">
        <v>65</v>
      </c>
      <c r="Z40" s="2" t="s">
        <v>120</v>
      </c>
      <c r="AA40" s="2" t="s">
        <v>121</v>
      </c>
      <c r="AB40" s="2" t="s">
        <v>66</v>
      </c>
      <c r="AC40" s="2" t="s">
        <v>67</v>
      </c>
    </row>
    <row r="41" spans="1:29" hidden="1" x14ac:dyDescent="0.25">
      <c r="A41" t="s">
        <v>107</v>
      </c>
      <c r="B41" t="s">
        <v>90</v>
      </c>
      <c r="C41" t="s">
        <v>91</v>
      </c>
      <c r="D41" t="s">
        <v>15</v>
      </c>
      <c r="E41" t="s">
        <v>171</v>
      </c>
      <c r="F41" t="s">
        <v>172</v>
      </c>
      <c r="G41" s="2" t="s">
        <v>91</v>
      </c>
      <c r="H41" t="s">
        <v>64</v>
      </c>
      <c r="I41" s="34" t="s">
        <v>173</v>
      </c>
      <c r="J41" s="2" t="s">
        <v>174</v>
      </c>
      <c r="K41" t="s">
        <v>64</v>
      </c>
      <c r="L41" t="s">
        <v>175</v>
      </c>
      <c r="M41" s="2" t="s">
        <v>78</v>
      </c>
      <c r="N41" t="s">
        <v>164</v>
      </c>
      <c r="O41" t="s">
        <v>136</v>
      </c>
      <c r="P41" s="2" t="s">
        <v>81</v>
      </c>
      <c r="Q41" t="s">
        <v>64</v>
      </c>
      <c r="R41" t="s">
        <v>64</v>
      </c>
      <c r="S41" s="85" t="s">
        <v>95</v>
      </c>
      <c r="T41" t="s">
        <v>176</v>
      </c>
      <c r="U41" t="s">
        <v>177</v>
      </c>
      <c r="V41" s="2" t="s">
        <v>178</v>
      </c>
      <c r="W41" s="2" t="s">
        <v>65</v>
      </c>
      <c r="Z41" s="2" t="s">
        <v>120</v>
      </c>
      <c r="AA41" s="2" t="s">
        <v>121</v>
      </c>
      <c r="AB41" s="2" t="s">
        <v>66</v>
      </c>
      <c r="AC41" s="2" t="s">
        <v>67</v>
      </c>
    </row>
    <row r="42" spans="1:29" hidden="1" x14ac:dyDescent="0.25">
      <c r="A42" t="s">
        <v>107</v>
      </c>
      <c r="B42" t="s">
        <v>90</v>
      </c>
      <c r="C42" t="s">
        <v>91</v>
      </c>
      <c r="D42" t="s">
        <v>15</v>
      </c>
      <c r="E42" t="s">
        <v>171</v>
      </c>
      <c r="F42" t="s">
        <v>172</v>
      </c>
      <c r="G42" s="2" t="s">
        <v>91</v>
      </c>
      <c r="H42" t="s">
        <v>64</v>
      </c>
      <c r="I42" s="34" t="s">
        <v>173</v>
      </c>
      <c r="J42" s="2" t="s">
        <v>174</v>
      </c>
      <c r="K42" t="s">
        <v>64</v>
      </c>
      <c r="L42" t="s">
        <v>175</v>
      </c>
      <c r="M42" s="2" t="s">
        <v>78</v>
      </c>
      <c r="N42" t="s">
        <v>164</v>
      </c>
      <c r="O42" t="s">
        <v>137</v>
      </c>
      <c r="P42" s="2" t="s">
        <v>20</v>
      </c>
      <c r="Q42" t="s">
        <v>64</v>
      </c>
      <c r="R42" t="s">
        <v>64</v>
      </c>
      <c r="S42" s="85" t="s">
        <v>95</v>
      </c>
      <c r="T42" t="s">
        <v>176</v>
      </c>
      <c r="U42" t="s">
        <v>177</v>
      </c>
      <c r="V42" s="2" t="s">
        <v>178</v>
      </c>
      <c r="W42" s="2" t="s">
        <v>65</v>
      </c>
      <c r="Z42" s="2" t="s">
        <v>120</v>
      </c>
      <c r="AA42" s="2" t="s">
        <v>121</v>
      </c>
      <c r="AB42" s="2" t="s">
        <v>66</v>
      </c>
      <c r="AC42" s="2" t="s">
        <v>67</v>
      </c>
    </row>
    <row r="43" spans="1:29" hidden="1" x14ac:dyDescent="0.25">
      <c r="A43" t="s">
        <v>107</v>
      </c>
      <c r="B43" t="s">
        <v>90</v>
      </c>
      <c r="C43" t="s">
        <v>91</v>
      </c>
      <c r="D43" t="s">
        <v>15</v>
      </c>
      <c r="E43" t="s">
        <v>171</v>
      </c>
      <c r="F43" t="s">
        <v>172</v>
      </c>
      <c r="G43" s="2" t="s">
        <v>91</v>
      </c>
      <c r="H43" t="s">
        <v>64</v>
      </c>
      <c r="I43" s="34" t="s">
        <v>173</v>
      </c>
      <c r="J43" s="2" t="s">
        <v>174</v>
      </c>
      <c r="K43" t="s">
        <v>64</v>
      </c>
      <c r="L43" t="s">
        <v>175</v>
      </c>
      <c r="M43" s="2" t="s">
        <v>78</v>
      </c>
      <c r="N43" t="s">
        <v>164</v>
      </c>
      <c r="O43" t="s">
        <v>138</v>
      </c>
      <c r="P43" s="2" t="s">
        <v>20</v>
      </c>
      <c r="Q43" t="s">
        <v>64</v>
      </c>
      <c r="R43" t="s">
        <v>64</v>
      </c>
      <c r="S43" s="85" t="s">
        <v>95</v>
      </c>
      <c r="T43" t="s">
        <v>176</v>
      </c>
      <c r="U43" t="s">
        <v>177</v>
      </c>
      <c r="V43" s="2" t="s">
        <v>178</v>
      </c>
      <c r="W43" s="2" t="s">
        <v>65</v>
      </c>
      <c r="Z43" s="2" t="s">
        <v>120</v>
      </c>
      <c r="AA43" s="2" t="s">
        <v>121</v>
      </c>
      <c r="AB43" s="2" t="s">
        <v>66</v>
      </c>
      <c r="AC43" s="2" t="s">
        <v>67</v>
      </c>
    </row>
    <row r="44" spans="1:29" hidden="1" x14ac:dyDescent="0.25">
      <c r="A44" t="s">
        <v>107</v>
      </c>
      <c r="B44" t="s">
        <v>90</v>
      </c>
      <c r="C44" t="s">
        <v>91</v>
      </c>
      <c r="D44" t="s">
        <v>15</v>
      </c>
      <c r="E44" t="s">
        <v>171</v>
      </c>
      <c r="F44" t="s">
        <v>172</v>
      </c>
      <c r="G44" s="2" t="s">
        <v>91</v>
      </c>
      <c r="H44" t="s">
        <v>64</v>
      </c>
      <c r="I44" s="34" t="s">
        <v>173</v>
      </c>
      <c r="J44" s="2" t="s">
        <v>174</v>
      </c>
      <c r="K44" t="s">
        <v>64</v>
      </c>
      <c r="L44" t="s">
        <v>175</v>
      </c>
      <c r="M44" s="2" t="s">
        <v>78</v>
      </c>
      <c r="N44" t="s">
        <v>164</v>
      </c>
      <c r="O44" t="s">
        <v>139</v>
      </c>
      <c r="P44" s="2" t="s">
        <v>15</v>
      </c>
      <c r="Q44" t="s">
        <v>64</v>
      </c>
      <c r="R44" t="s">
        <v>64</v>
      </c>
      <c r="S44" s="85" t="s">
        <v>95</v>
      </c>
      <c r="T44" t="s">
        <v>176</v>
      </c>
      <c r="U44" t="s">
        <v>177</v>
      </c>
      <c r="V44" s="2" t="s">
        <v>178</v>
      </c>
      <c r="W44" s="2" t="s">
        <v>65</v>
      </c>
      <c r="Z44" s="2" t="s">
        <v>120</v>
      </c>
      <c r="AA44" s="2" t="s">
        <v>121</v>
      </c>
      <c r="AB44" s="2" t="s">
        <v>66</v>
      </c>
      <c r="AC44" s="2" t="s">
        <v>67</v>
      </c>
    </row>
    <row r="45" spans="1:29" hidden="1" x14ac:dyDescent="0.25">
      <c r="A45" t="s">
        <v>107</v>
      </c>
      <c r="B45" t="s">
        <v>90</v>
      </c>
      <c r="C45" t="s">
        <v>91</v>
      </c>
      <c r="D45" t="s">
        <v>15</v>
      </c>
      <c r="E45" t="s">
        <v>171</v>
      </c>
      <c r="F45" t="s">
        <v>172</v>
      </c>
      <c r="G45" s="2" t="s">
        <v>91</v>
      </c>
      <c r="H45" t="s">
        <v>64</v>
      </c>
      <c r="I45" s="34" t="s">
        <v>173</v>
      </c>
      <c r="J45" s="2" t="s">
        <v>174</v>
      </c>
      <c r="K45" t="s">
        <v>64</v>
      </c>
      <c r="L45" t="s">
        <v>175</v>
      </c>
      <c r="M45" s="2" t="s">
        <v>78</v>
      </c>
      <c r="N45" t="s">
        <v>164</v>
      </c>
      <c r="O45" t="s">
        <v>140</v>
      </c>
      <c r="P45" s="2" t="s">
        <v>20</v>
      </c>
      <c r="Q45" t="s">
        <v>64</v>
      </c>
      <c r="R45" t="s">
        <v>64</v>
      </c>
      <c r="S45" s="85" t="s">
        <v>95</v>
      </c>
      <c r="T45" t="s">
        <v>176</v>
      </c>
      <c r="U45" t="s">
        <v>177</v>
      </c>
      <c r="V45" s="2" t="s">
        <v>178</v>
      </c>
      <c r="W45" s="2" t="s">
        <v>65</v>
      </c>
      <c r="Z45" s="2" t="s">
        <v>120</v>
      </c>
      <c r="AA45" s="2" t="s">
        <v>121</v>
      </c>
      <c r="AB45" s="2" t="s">
        <v>66</v>
      </c>
      <c r="AC45" s="2" t="s">
        <v>67</v>
      </c>
    </row>
    <row r="46" spans="1:29" hidden="1" x14ac:dyDescent="0.25">
      <c r="A46" t="s">
        <v>107</v>
      </c>
      <c r="B46" t="s">
        <v>90</v>
      </c>
      <c r="C46" t="s">
        <v>91</v>
      </c>
      <c r="D46" t="s">
        <v>15</v>
      </c>
      <c r="E46" t="s">
        <v>171</v>
      </c>
      <c r="F46" t="s">
        <v>172</v>
      </c>
      <c r="G46" s="2" t="s">
        <v>91</v>
      </c>
      <c r="H46" t="s">
        <v>64</v>
      </c>
      <c r="I46" s="34" t="s">
        <v>173</v>
      </c>
      <c r="J46" s="2" t="s">
        <v>174</v>
      </c>
      <c r="K46" t="s">
        <v>64</v>
      </c>
      <c r="L46" t="s">
        <v>175</v>
      </c>
      <c r="M46" s="2" t="s">
        <v>78</v>
      </c>
      <c r="N46" t="s">
        <v>164</v>
      </c>
      <c r="O46" t="s">
        <v>141</v>
      </c>
      <c r="P46" s="2" t="s">
        <v>81</v>
      </c>
      <c r="Q46" t="s">
        <v>64</v>
      </c>
      <c r="R46" t="s">
        <v>64</v>
      </c>
      <c r="S46" s="85" t="s">
        <v>95</v>
      </c>
      <c r="T46" t="s">
        <v>176</v>
      </c>
      <c r="U46" t="s">
        <v>177</v>
      </c>
      <c r="V46" s="2" t="s">
        <v>178</v>
      </c>
      <c r="W46" s="2" t="s">
        <v>65</v>
      </c>
      <c r="Z46" s="2" t="s">
        <v>120</v>
      </c>
      <c r="AA46" s="2" t="s">
        <v>121</v>
      </c>
      <c r="AB46" s="2" t="s">
        <v>66</v>
      </c>
      <c r="AC46" s="2" t="s">
        <v>67</v>
      </c>
    </row>
    <row r="47" spans="1:29" hidden="1" x14ac:dyDescent="0.25">
      <c r="A47" t="s">
        <v>107</v>
      </c>
      <c r="B47" t="s">
        <v>90</v>
      </c>
      <c r="C47" t="s">
        <v>91</v>
      </c>
      <c r="D47" t="s">
        <v>15</v>
      </c>
      <c r="E47" t="s">
        <v>171</v>
      </c>
      <c r="F47" t="s">
        <v>172</v>
      </c>
      <c r="G47" s="2" t="s">
        <v>91</v>
      </c>
      <c r="H47" t="s">
        <v>64</v>
      </c>
      <c r="I47" s="34" t="s">
        <v>173</v>
      </c>
      <c r="J47" s="2" t="s">
        <v>174</v>
      </c>
      <c r="K47" t="s">
        <v>64</v>
      </c>
      <c r="L47" t="s">
        <v>175</v>
      </c>
      <c r="M47" s="2" t="s">
        <v>78</v>
      </c>
      <c r="N47" t="s">
        <v>164</v>
      </c>
      <c r="O47" t="s">
        <v>142</v>
      </c>
      <c r="P47" s="2" t="s">
        <v>20</v>
      </c>
      <c r="Q47" t="s">
        <v>64</v>
      </c>
      <c r="R47" t="s">
        <v>64</v>
      </c>
      <c r="S47" s="85" t="s">
        <v>95</v>
      </c>
      <c r="T47" t="s">
        <v>176</v>
      </c>
      <c r="U47" t="s">
        <v>177</v>
      </c>
      <c r="V47" s="2" t="s">
        <v>178</v>
      </c>
      <c r="W47" s="2" t="s">
        <v>65</v>
      </c>
      <c r="Z47" s="2" t="s">
        <v>120</v>
      </c>
      <c r="AA47" s="2" t="s">
        <v>121</v>
      </c>
      <c r="AB47" s="2" t="s">
        <v>66</v>
      </c>
      <c r="AC47" s="2" t="s">
        <v>67</v>
      </c>
    </row>
    <row r="48" spans="1:29" hidden="1" x14ac:dyDescent="0.25">
      <c r="A48" t="s">
        <v>107</v>
      </c>
      <c r="B48" t="s">
        <v>90</v>
      </c>
      <c r="C48" t="s">
        <v>91</v>
      </c>
      <c r="D48" t="s">
        <v>15</v>
      </c>
      <c r="E48" t="s">
        <v>171</v>
      </c>
      <c r="F48" t="s">
        <v>172</v>
      </c>
      <c r="G48" s="2" t="s">
        <v>91</v>
      </c>
      <c r="H48" t="s">
        <v>64</v>
      </c>
      <c r="I48" s="34" t="s">
        <v>173</v>
      </c>
      <c r="J48" s="2" t="s">
        <v>174</v>
      </c>
      <c r="K48" t="s">
        <v>64</v>
      </c>
      <c r="L48" t="s">
        <v>175</v>
      </c>
      <c r="M48" s="2" t="s">
        <v>78</v>
      </c>
      <c r="N48" t="s">
        <v>164</v>
      </c>
      <c r="O48" t="s">
        <v>143</v>
      </c>
      <c r="P48" s="2" t="s">
        <v>81</v>
      </c>
      <c r="Q48" t="s">
        <v>64</v>
      </c>
      <c r="R48" t="s">
        <v>64</v>
      </c>
      <c r="S48" s="85" t="s">
        <v>95</v>
      </c>
      <c r="T48" t="s">
        <v>176</v>
      </c>
      <c r="U48" t="s">
        <v>177</v>
      </c>
      <c r="V48" s="2" t="s">
        <v>178</v>
      </c>
      <c r="W48" s="2" t="s">
        <v>65</v>
      </c>
      <c r="Z48" s="2" t="s">
        <v>120</v>
      </c>
      <c r="AA48" s="2" t="s">
        <v>121</v>
      </c>
      <c r="AB48" s="2" t="s">
        <v>66</v>
      </c>
      <c r="AC48" s="2" t="s">
        <v>67</v>
      </c>
    </row>
    <row r="49" spans="1:29" hidden="1" x14ac:dyDescent="0.25">
      <c r="A49" t="s">
        <v>107</v>
      </c>
      <c r="B49" t="s">
        <v>90</v>
      </c>
      <c r="C49" t="s">
        <v>91</v>
      </c>
      <c r="D49" t="s">
        <v>15</v>
      </c>
      <c r="E49" t="s">
        <v>171</v>
      </c>
      <c r="F49" t="s">
        <v>172</v>
      </c>
      <c r="G49" s="2" t="s">
        <v>91</v>
      </c>
      <c r="H49" t="s">
        <v>64</v>
      </c>
      <c r="I49" s="34" t="s">
        <v>173</v>
      </c>
      <c r="J49" s="2" t="s">
        <v>174</v>
      </c>
      <c r="K49" t="s">
        <v>64</v>
      </c>
      <c r="L49" t="s">
        <v>175</v>
      </c>
      <c r="M49" s="2" t="s">
        <v>78</v>
      </c>
      <c r="N49" t="s">
        <v>164</v>
      </c>
      <c r="O49" t="s">
        <v>144</v>
      </c>
      <c r="P49" s="2" t="s">
        <v>20</v>
      </c>
      <c r="Q49" t="s">
        <v>64</v>
      </c>
      <c r="R49" t="s">
        <v>64</v>
      </c>
      <c r="S49" s="85" t="s">
        <v>95</v>
      </c>
      <c r="T49" t="s">
        <v>176</v>
      </c>
      <c r="U49" t="s">
        <v>177</v>
      </c>
      <c r="V49" s="2" t="s">
        <v>178</v>
      </c>
      <c r="W49" s="2" t="s">
        <v>65</v>
      </c>
      <c r="Z49" s="2" t="s">
        <v>120</v>
      </c>
      <c r="AA49" s="2" t="s">
        <v>121</v>
      </c>
      <c r="AB49" s="2" t="s">
        <v>66</v>
      </c>
      <c r="AC49" s="2" t="s">
        <v>67</v>
      </c>
    </row>
    <row r="50" spans="1:29" hidden="1" x14ac:dyDescent="0.25">
      <c r="A50" t="s">
        <v>107</v>
      </c>
      <c r="B50" t="s">
        <v>90</v>
      </c>
      <c r="C50" t="s">
        <v>91</v>
      </c>
      <c r="D50" t="s">
        <v>15</v>
      </c>
      <c r="E50" t="s">
        <v>171</v>
      </c>
      <c r="F50" t="s">
        <v>172</v>
      </c>
      <c r="G50" s="2" t="s">
        <v>91</v>
      </c>
      <c r="H50" t="s">
        <v>64</v>
      </c>
      <c r="I50" s="34" t="s">
        <v>173</v>
      </c>
      <c r="J50" s="2" t="s">
        <v>174</v>
      </c>
      <c r="K50" t="s">
        <v>64</v>
      </c>
      <c r="L50" t="s">
        <v>175</v>
      </c>
      <c r="M50" s="2" t="s">
        <v>78</v>
      </c>
      <c r="N50" t="s">
        <v>164</v>
      </c>
      <c r="O50" t="s">
        <v>145</v>
      </c>
      <c r="P50" s="2" t="s">
        <v>20</v>
      </c>
      <c r="Q50" t="s">
        <v>64</v>
      </c>
      <c r="R50" t="s">
        <v>64</v>
      </c>
      <c r="S50" s="85" t="s">
        <v>95</v>
      </c>
      <c r="T50" t="s">
        <v>176</v>
      </c>
      <c r="U50" t="s">
        <v>177</v>
      </c>
      <c r="V50" s="2" t="s">
        <v>178</v>
      </c>
      <c r="W50" s="2" t="s">
        <v>65</v>
      </c>
      <c r="Z50" s="2" t="s">
        <v>120</v>
      </c>
      <c r="AA50" s="2" t="s">
        <v>121</v>
      </c>
      <c r="AB50" s="2" t="s">
        <v>66</v>
      </c>
      <c r="AC50" s="2" t="s">
        <v>67</v>
      </c>
    </row>
    <row r="51" spans="1:29" hidden="1" x14ac:dyDescent="0.25">
      <c r="A51" t="s">
        <v>107</v>
      </c>
      <c r="B51" t="s">
        <v>90</v>
      </c>
      <c r="C51" t="s">
        <v>91</v>
      </c>
      <c r="D51" t="s">
        <v>15</v>
      </c>
      <c r="E51" t="s">
        <v>171</v>
      </c>
      <c r="F51" t="s">
        <v>172</v>
      </c>
      <c r="G51" s="2" t="s">
        <v>91</v>
      </c>
      <c r="H51" t="s">
        <v>64</v>
      </c>
      <c r="I51" s="34" t="s">
        <v>173</v>
      </c>
      <c r="J51" s="2" t="s">
        <v>174</v>
      </c>
      <c r="K51" t="s">
        <v>64</v>
      </c>
      <c r="L51" t="s">
        <v>175</v>
      </c>
      <c r="M51" s="2" t="s">
        <v>78</v>
      </c>
      <c r="N51" t="s">
        <v>164</v>
      </c>
      <c r="O51" t="s">
        <v>146</v>
      </c>
      <c r="P51" s="2" t="s">
        <v>81</v>
      </c>
      <c r="Q51" t="s">
        <v>64</v>
      </c>
      <c r="R51" t="s">
        <v>64</v>
      </c>
      <c r="S51" s="85" t="s">
        <v>95</v>
      </c>
      <c r="T51" t="s">
        <v>176</v>
      </c>
      <c r="U51" t="s">
        <v>177</v>
      </c>
      <c r="V51" s="2" t="s">
        <v>178</v>
      </c>
      <c r="W51" s="2" t="s">
        <v>65</v>
      </c>
      <c r="Z51" s="2" t="s">
        <v>120</v>
      </c>
      <c r="AA51" s="2" t="s">
        <v>121</v>
      </c>
      <c r="AB51" s="2" t="s">
        <v>66</v>
      </c>
      <c r="AC51" s="2" t="s">
        <v>67</v>
      </c>
    </row>
    <row r="52" spans="1:29" hidden="1" x14ac:dyDescent="0.25">
      <c r="A52" t="s">
        <v>107</v>
      </c>
      <c r="B52" t="s">
        <v>90</v>
      </c>
      <c r="C52" t="s">
        <v>91</v>
      </c>
      <c r="D52" t="s">
        <v>15</v>
      </c>
      <c r="E52" t="s">
        <v>171</v>
      </c>
      <c r="F52" t="s">
        <v>172</v>
      </c>
      <c r="G52" s="2" t="s">
        <v>91</v>
      </c>
      <c r="H52" t="s">
        <v>64</v>
      </c>
      <c r="I52" s="34" t="s">
        <v>173</v>
      </c>
      <c r="J52" s="2" t="s">
        <v>174</v>
      </c>
      <c r="K52" t="s">
        <v>64</v>
      </c>
      <c r="L52" t="s">
        <v>175</v>
      </c>
      <c r="M52" s="2" t="s">
        <v>78</v>
      </c>
      <c r="N52" t="s">
        <v>164</v>
      </c>
      <c r="O52" t="s">
        <v>152</v>
      </c>
      <c r="P52" s="2" t="s">
        <v>170</v>
      </c>
      <c r="Q52" t="s">
        <v>64</v>
      </c>
      <c r="R52" t="s">
        <v>64</v>
      </c>
      <c r="S52" s="85" t="s">
        <v>95</v>
      </c>
      <c r="T52" t="s">
        <v>176</v>
      </c>
      <c r="U52" t="s">
        <v>177</v>
      </c>
      <c r="V52" s="2" t="s">
        <v>178</v>
      </c>
      <c r="W52" s="2" t="s">
        <v>65</v>
      </c>
      <c r="Z52" s="2" t="s">
        <v>120</v>
      </c>
      <c r="AA52" s="2" t="s">
        <v>121</v>
      </c>
      <c r="AB52" s="2" t="s">
        <v>66</v>
      </c>
      <c r="AC52" s="2" t="s">
        <v>67</v>
      </c>
    </row>
    <row r="53" spans="1:29" hidden="1" x14ac:dyDescent="0.25">
      <c r="A53" t="s">
        <v>107</v>
      </c>
      <c r="B53" t="s">
        <v>90</v>
      </c>
      <c r="C53" t="s">
        <v>91</v>
      </c>
      <c r="D53" t="s">
        <v>15</v>
      </c>
      <c r="E53" t="s">
        <v>171</v>
      </c>
      <c r="F53" t="s">
        <v>172</v>
      </c>
      <c r="G53" s="2" t="s">
        <v>91</v>
      </c>
      <c r="H53" t="s">
        <v>64</v>
      </c>
      <c r="I53" s="34" t="s">
        <v>173</v>
      </c>
      <c r="J53" s="2" t="s">
        <v>174</v>
      </c>
      <c r="K53" t="s">
        <v>64</v>
      </c>
      <c r="L53" t="s">
        <v>175</v>
      </c>
      <c r="M53" s="2" t="s">
        <v>78</v>
      </c>
      <c r="N53" t="s">
        <v>164</v>
      </c>
      <c r="O53" t="s">
        <v>153</v>
      </c>
      <c r="P53" s="2" t="s">
        <v>20</v>
      </c>
      <c r="Q53" t="s">
        <v>64</v>
      </c>
      <c r="R53" t="s">
        <v>64</v>
      </c>
      <c r="S53" s="85" t="s">
        <v>95</v>
      </c>
      <c r="T53" t="s">
        <v>176</v>
      </c>
      <c r="U53" t="s">
        <v>177</v>
      </c>
      <c r="V53" s="2" t="s">
        <v>178</v>
      </c>
      <c r="W53" s="2" t="s">
        <v>65</v>
      </c>
      <c r="Z53" s="2" t="s">
        <v>120</v>
      </c>
      <c r="AA53" s="2" t="s">
        <v>121</v>
      </c>
      <c r="AB53" s="2" t="s">
        <v>66</v>
      </c>
      <c r="AC53" s="2" t="s">
        <v>67</v>
      </c>
    </row>
    <row r="54" spans="1:29" hidden="1" x14ac:dyDescent="0.25">
      <c r="A54" t="s">
        <v>107</v>
      </c>
      <c r="B54" t="s">
        <v>90</v>
      </c>
      <c r="C54" t="s">
        <v>91</v>
      </c>
      <c r="D54" t="s">
        <v>15</v>
      </c>
      <c r="E54" t="s">
        <v>171</v>
      </c>
      <c r="F54" t="s">
        <v>172</v>
      </c>
      <c r="G54" s="2" t="s">
        <v>91</v>
      </c>
      <c r="H54" t="s">
        <v>64</v>
      </c>
      <c r="I54" s="34" t="s">
        <v>173</v>
      </c>
      <c r="J54" s="2" t="s">
        <v>174</v>
      </c>
      <c r="K54" t="s">
        <v>64</v>
      </c>
      <c r="L54" t="s">
        <v>175</v>
      </c>
      <c r="M54" s="2" t="s">
        <v>78</v>
      </c>
      <c r="N54" t="s">
        <v>164</v>
      </c>
      <c r="O54" t="s">
        <v>154</v>
      </c>
      <c r="P54" s="2" t="s">
        <v>20</v>
      </c>
      <c r="Q54" t="s">
        <v>64</v>
      </c>
      <c r="R54" t="s">
        <v>64</v>
      </c>
      <c r="S54" s="85" t="s">
        <v>95</v>
      </c>
      <c r="T54" t="s">
        <v>176</v>
      </c>
      <c r="U54" t="s">
        <v>177</v>
      </c>
      <c r="V54" s="2" t="s">
        <v>178</v>
      </c>
      <c r="W54" s="2" t="s">
        <v>65</v>
      </c>
      <c r="Z54" s="2" t="s">
        <v>120</v>
      </c>
      <c r="AA54" s="2" t="s">
        <v>121</v>
      </c>
      <c r="AB54" s="2" t="s">
        <v>66</v>
      </c>
      <c r="AC54" s="2" t="s">
        <v>67</v>
      </c>
    </row>
    <row r="55" spans="1:29" hidden="1" x14ac:dyDescent="0.25">
      <c r="A55" t="s">
        <v>107</v>
      </c>
      <c r="B55" t="s">
        <v>90</v>
      </c>
      <c r="C55" t="s">
        <v>91</v>
      </c>
      <c r="D55" t="s">
        <v>15</v>
      </c>
      <c r="E55" t="s">
        <v>171</v>
      </c>
      <c r="F55" t="s">
        <v>172</v>
      </c>
      <c r="G55" s="2" t="s">
        <v>91</v>
      </c>
      <c r="H55" t="s">
        <v>64</v>
      </c>
      <c r="I55" s="34" t="s">
        <v>173</v>
      </c>
      <c r="J55" s="2" t="s">
        <v>174</v>
      </c>
      <c r="K55" t="s">
        <v>64</v>
      </c>
      <c r="L55" t="s">
        <v>175</v>
      </c>
      <c r="M55" s="2" t="s">
        <v>78</v>
      </c>
      <c r="N55" t="s">
        <v>164</v>
      </c>
      <c r="O55" t="s">
        <v>155</v>
      </c>
      <c r="P55" s="2" t="s">
        <v>20</v>
      </c>
      <c r="Q55" t="s">
        <v>64</v>
      </c>
      <c r="R55" t="s">
        <v>64</v>
      </c>
      <c r="S55" s="85" t="s">
        <v>95</v>
      </c>
      <c r="T55" t="s">
        <v>176</v>
      </c>
      <c r="U55" t="s">
        <v>177</v>
      </c>
      <c r="V55" s="2" t="s">
        <v>178</v>
      </c>
      <c r="W55" s="2" t="s">
        <v>65</v>
      </c>
      <c r="Z55" s="2" t="s">
        <v>120</v>
      </c>
      <c r="AA55" s="2" t="s">
        <v>121</v>
      </c>
      <c r="AB55" s="2" t="s">
        <v>66</v>
      </c>
      <c r="AC55" s="2" t="s">
        <v>67</v>
      </c>
    </row>
    <row r="56" spans="1:29" hidden="1" x14ac:dyDescent="0.25">
      <c r="A56" t="s">
        <v>107</v>
      </c>
      <c r="B56" t="s">
        <v>90</v>
      </c>
      <c r="C56" t="s">
        <v>91</v>
      </c>
      <c r="D56" t="s">
        <v>15</v>
      </c>
      <c r="E56" t="s">
        <v>171</v>
      </c>
      <c r="F56" t="s">
        <v>172</v>
      </c>
      <c r="G56" s="2" t="s">
        <v>91</v>
      </c>
      <c r="H56" t="s">
        <v>64</v>
      </c>
      <c r="I56" s="34" t="s">
        <v>173</v>
      </c>
      <c r="J56" s="2" t="s">
        <v>174</v>
      </c>
      <c r="K56" t="s">
        <v>64</v>
      </c>
      <c r="L56" t="s">
        <v>175</v>
      </c>
      <c r="M56" s="2" t="s">
        <v>78</v>
      </c>
      <c r="N56" t="s">
        <v>164</v>
      </c>
      <c r="O56" t="s">
        <v>156</v>
      </c>
      <c r="P56" s="2" t="s">
        <v>20</v>
      </c>
      <c r="Q56" t="s">
        <v>64</v>
      </c>
      <c r="R56" t="s">
        <v>64</v>
      </c>
      <c r="S56" s="85" t="s">
        <v>95</v>
      </c>
      <c r="T56" t="s">
        <v>176</v>
      </c>
      <c r="U56" t="s">
        <v>177</v>
      </c>
      <c r="V56" s="2" t="s">
        <v>178</v>
      </c>
      <c r="W56" s="2" t="s">
        <v>65</v>
      </c>
      <c r="Z56" s="2" t="s">
        <v>120</v>
      </c>
      <c r="AA56" s="2" t="s">
        <v>121</v>
      </c>
      <c r="AB56" s="2" t="s">
        <v>66</v>
      </c>
      <c r="AC56" s="2" t="s">
        <v>67</v>
      </c>
    </row>
    <row r="57" spans="1:29" hidden="1" x14ac:dyDescent="0.25">
      <c r="A57" t="s">
        <v>107</v>
      </c>
      <c r="B57" t="s">
        <v>90</v>
      </c>
      <c r="C57" t="s">
        <v>91</v>
      </c>
      <c r="D57" t="s">
        <v>15</v>
      </c>
      <c r="E57" t="s">
        <v>171</v>
      </c>
      <c r="F57" t="s">
        <v>172</v>
      </c>
      <c r="G57" s="2" t="s">
        <v>91</v>
      </c>
      <c r="H57" t="s">
        <v>64</v>
      </c>
      <c r="I57" s="34" t="s">
        <v>173</v>
      </c>
      <c r="J57" s="2" t="s">
        <v>174</v>
      </c>
      <c r="K57" t="s">
        <v>64</v>
      </c>
      <c r="L57" t="s">
        <v>175</v>
      </c>
      <c r="M57" s="2" t="s">
        <v>78</v>
      </c>
      <c r="N57" t="s">
        <v>164</v>
      </c>
      <c r="O57" t="s">
        <v>157</v>
      </c>
      <c r="P57" s="2" t="s">
        <v>20</v>
      </c>
      <c r="Q57" t="s">
        <v>64</v>
      </c>
      <c r="R57" t="s">
        <v>64</v>
      </c>
      <c r="S57" s="85" t="s">
        <v>95</v>
      </c>
      <c r="T57" t="s">
        <v>176</v>
      </c>
      <c r="U57" t="s">
        <v>177</v>
      </c>
      <c r="V57" s="2" t="s">
        <v>178</v>
      </c>
      <c r="W57" s="2" t="s">
        <v>65</v>
      </c>
      <c r="Z57" s="2" t="s">
        <v>120</v>
      </c>
      <c r="AA57" s="2" t="s">
        <v>121</v>
      </c>
      <c r="AB57" s="2" t="s">
        <v>66</v>
      </c>
      <c r="AC57" s="2" t="s">
        <v>67</v>
      </c>
    </row>
    <row r="58" spans="1:29" hidden="1" x14ac:dyDescent="0.25">
      <c r="A58" t="s">
        <v>107</v>
      </c>
      <c r="B58" t="s">
        <v>90</v>
      </c>
      <c r="C58" t="s">
        <v>91</v>
      </c>
      <c r="D58" t="s">
        <v>15</v>
      </c>
      <c r="E58" t="s">
        <v>171</v>
      </c>
      <c r="F58" t="s">
        <v>172</v>
      </c>
      <c r="G58" s="2" t="s">
        <v>91</v>
      </c>
      <c r="H58" t="s">
        <v>64</v>
      </c>
      <c r="I58" s="34" t="s">
        <v>173</v>
      </c>
      <c r="J58" s="2" t="s">
        <v>174</v>
      </c>
      <c r="K58" t="s">
        <v>64</v>
      </c>
      <c r="L58" t="s">
        <v>175</v>
      </c>
      <c r="M58" s="2" t="s">
        <v>78</v>
      </c>
      <c r="N58" t="s">
        <v>164</v>
      </c>
      <c r="O58" t="s">
        <v>158</v>
      </c>
      <c r="P58" s="2" t="s">
        <v>179</v>
      </c>
      <c r="Q58" t="s">
        <v>64</v>
      </c>
      <c r="R58" t="s">
        <v>64</v>
      </c>
      <c r="S58" s="85" t="s">
        <v>95</v>
      </c>
      <c r="T58" t="s">
        <v>176</v>
      </c>
      <c r="U58" t="s">
        <v>177</v>
      </c>
      <c r="V58" s="2" t="s">
        <v>178</v>
      </c>
      <c r="W58" s="2" t="s">
        <v>65</v>
      </c>
      <c r="Z58" s="2" t="s">
        <v>120</v>
      </c>
      <c r="AA58" s="2" t="s">
        <v>121</v>
      </c>
      <c r="AB58" s="2" t="s">
        <v>66</v>
      </c>
      <c r="AC58" s="2" t="s">
        <v>67</v>
      </c>
    </row>
    <row r="59" spans="1:29" hidden="1" x14ac:dyDescent="0.25">
      <c r="A59" t="s">
        <v>107</v>
      </c>
      <c r="B59" t="s">
        <v>69</v>
      </c>
      <c r="C59" t="s">
        <v>8</v>
      </c>
      <c r="D59" t="s">
        <v>15</v>
      </c>
      <c r="E59" t="s">
        <v>79</v>
      </c>
      <c r="F59" t="s">
        <v>79</v>
      </c>
      <c r="G59" s="2" t="s">
        <v>8</v>
      </c>
      <c r="H59" t="s">
        <v>64</v>
      </c>
      <c r="I59" s="34" t="s">
        <v>180</v>
      </c>
      <c r="J59" s="2" t="s">
        <v>181</v>
      </c>
      <c r="K59" t="s">
        <v>182</v>
      </c>
      <c r="L59" t="s">
        <v>89</v>
      </c>
      <c r="M59" s="2" t="s">
        <v>78</v>
      </c>
      <c r="N59" t="s">
        <v>164</v>
      </c>
      <c r="O59" t="s">
        <v>133</v>
      </c>
      <c r="P59" s="2" t="s">
        <v>81</v>
      </c>
      <c r="Q59" t="s">
        <v>64</v>
      </c>
      <c r="R59" t="s">
        <v>64</v>
      </c>
      <c r="S59" s="85" t="s">
        <v>165</v>
      </c>
      <c r="T59" t="s">
        <v>183</v>
      </c>
      <c r="U59" t="s">
        <v>184</v>
      </c>
      <c r="V59" s="2" t="s">
        <v>185</v>
      </c>
      <c r="W59" s="2" t="s">
        <v>65</v>
      </c>
      <c r="Z59" s="2" t="s">
        <v>186</v>
      </c>
      <c r="AA59" s="2" t="s">
        <v>187</v>
      </c>
      <c r="AB59" s="2" t="s">
        <v>66</v>
      </c>
      <c r="AC59" s="2" t="s">
        <v>67</v>
      </c>
    </row>
    <row r="60" spans="1:29" hidden="1" x14ac:dyDescent="0.25">
      <c r="A60" t="s">
        <v>107</v>
      </c>
      <c r="B60" t="s">
        <v>69</v>
      </c>
      <c r="C60" t="s">
        <v>8</v>
      </c>
      <c r="D60" t="s">
        <v>15</v>
      </c>
      <c r="E60" t="s">
        <v>79</v>
      </c>
      <c r="F60" t="s">
        <v>79</v>
      </c>
      <c r="G60" s="2" t="s">
        <v>8</v>
      </c>
      <c r="H60" t="s">
        <v>64</v>
      </c>
      <c r="I60" s="34" t="s">
        <v>180</v>
      </c>
      <c r="J60" s="2" t="s">
        <v>181</v>
      </c>
      <c r="K60" t="s">
        <v>182</v>
      </c>
      <c r="L60" t="s">
        <v>89</v>
      </c>
      <c r="M60" s="2" t="s">
        <v>78</v>
      </c>
      <c r="N60" t="s">
        <v>164</v>
      </c>
      <c r="O60" t="s">
        <v>97</v>
      </c>
      <c r="P60" s="2" t="s">
        <v>81</v>
      </c>
      <c r="Q60" t="s">
        <v>64</v>
      </c>
      <c r="R60" t="s">
        <v>64</v>
      </c>
      <c r="S60" s="85" t="s">
        <v>165</v>
      </c>
      <c r="T60" t="s">
        <v>183</v>
      </c>
      <c r="U60" t="s">
        <v>184</v>
      </c>
      <c r="V60" s="2" t="s">
        <v>185</v>
      </c>
      <c r="W60" s="2" t="s">
        <v>65</v>
      </c>
      <c r="Z60" s="2" t="s">
        <v>186</v>
      </c>
      <c r="AA60" s="2" t="s">
        <v>187</v>
      </c>
      <c r="AB60" s="2" t="s">
        <v>66</v>
      </c>
      <c r="AC60" s="2" t="s">
        <v>67</v>
      </c>
    </row>
    <row r="61" spans="1:29" hidden="1" x14ac:dyDescent="0.25">
      <c r="A61" t="s">
        <v>107</v>
      </c>
      <c r="B61" t="s">
        <v>69</v>
      </c>
      <c r="C61" t="s">
        <v>8</v>
      </c>
      <c r="D61" t="s">
        <v>15</v>
      </c>
      <c r="E61" t="s">
        <v>79</v>
      </c>
      <c r="F61" t="s">
        <v>79</v>
      </c>
      <c r="G61" s="2" t="s">
        <v>8</v>
      </c>
      <c r="H61" t="s">
        <v>64</v>
      </c>
      <c r="I61" s="34" t="s">
        <v>180</v>
      </c>
      <c r="J61" s="2" t="s">
        <v>181</v>
      </c>
      <c r="K61" t="s">
        <v>182</v>
      </c>
      <c r="L61" t="s">
        <v>89</v>
      </c>
      <c r="M61" s="2" t="s">
        <v>78</v>
      </c>
      <c r="N61" t="s">
        <v>164</v>
      </c>
      <c r="O61" t="s">
        <v>98</v>
      </c>
      <c r="P61" s="2" t="s">
        <v>81</v>
      </c>
      <c r="Q61" t="s">
        <v>64</v>
      </c>
      <c r="R61" t="s">
        <v>64</v>
      </c>
      <c r="S61" s="85" t="s">
        <v>165</v>
      </c>
      <c r="T61" t="s">
        <v>183</v>
      </c>
      <c r="U61" t="s">
        <v>184</v>
      </c>
      <c r="V61" s="2" t="s">
        <v>185</v>
      </c>
      <c r="W61" s="2" t="s">
        <v>65</v>
      </c>
      <c r="Z61" s="2" t="s">
        <v>186</v>
      </c>
      <c r="AA61" s="2" t="s">
        <v>187</v>
      </c>
      <c r="AB61" s="2" t="s">
        <v>66</v>
      </c>
      <c r="AC61" s="2" t="s">
        <v>67</v>
      </c>
    </row>
    <row r="62" spans="1:29" hidden="1" x14ac:dyDescent="0.25">
      <c r="A62" t="s">
        <v>107</v>
      </c>
      <c r="B62" t="s">
        <v>69</v>
      </c>
      <c r="C62" t="s">
        <v>8</v>
      </c>
      <c r="D62" t="s">
        <v>15</v>
      </c>
      <c r="E62" t="s">
        <v>79</v>
      </c>
      <c r="F62" t="s">
        <v>79</v>
      </c>
      <c r="G62" s="2" t="s">
        <v>8</v>
      </c>
      <c r="H62" t="s">
        <v>64</v>
      </c>
      <c r="I62" s="34" t="s">
        <v>180</v>
      </c>
      <c r="J62" s="2" t="s">
        <v>181</v>
      </c>
      <c r="K62" t="s">
        <v>182</v>
      </c>
      <c r="L62" t="s">
        <v>89</v>
      </c>
      <c r="M62" s="2" t="s">
        <v>78</v>
      </c>
      <c r="N62" t="s">
        <v>164</v>
      </c>
      <c r="O62" t="s">
        <v>134</v>
      </c>
      <c r="P62" s="2" t="s">
        <v>81</v>
      </c>
      <c r="Q62" t="s">
        <v>64</v>
      </c>
      <c r="R62" t="s">
        <v>64</v>
      </c>
      <c r="S62" s="85" t="s">
        <v>165</v>
      </c>
      <c r="T62" t="s">
        <v>183</v>
      </c>
      <c r="U62" t="s">
        <v>184</v>
      </c>
      <c r="V62" s="2" t="s">
        <v>185</v>
      </c>
      <c r="W62" s="2" t="s">
        <v>65</v>
      </c>
      <c r="Z62" s="2" t="s">
        <v>186</v>
      </c>
      <c r="AA62" s="2" t="s">
        <v>187</v>
      </c>
      <c r="AB62" s="2" t="s">
        <v>66</v>
      </c>
      <c r="AC62" s="2" t="s">
        <v>67</v>
      </c>
    </row>
    <row r="63" spans="1:29" hidden="1" x14ac:dyDescent="0.25">
      <c r="A63" t="s">
        <v>107</v>
      </c>
      <c r="B63" t="s">
        <v>69</v>
      </c>
      <c r="C63" t="s">
        <v>8</v>
      </c>
      <c r="D63" t="s">
        <v>15</v>
      </c>
      <c r="E63" t="s">
        <v>79</v>
      </c>
      <c r="F63" t="s">
        <v>79</v>
      </c>
      <c r="G63" s="2" t="s">
        <v>8</v>
      </c>
      <c r="H63" t="s">
        <v>64</v>
      </c>
      <c r="I63" s="34" t="s">
        <v>180</v>
      </c>
      <c r="J63" s="2" t="s">
        <v>181</v>
      </c>
      <c r="K63" t="s">
        <v>182</v>
      </c>
      <c r="L63" t="s">
        <v>89</v>
      </c>
      <c r="M63" s="2" t="s">
        <v>78</v>
      </c>
      <c r="N63" t="s">
        <v>164</v>
      </c>
      <c r="O63" t="s">
        <v>35</v>
      </c>
      <c r="P63" s="2" t="s">
        <v>81</v>
      </c>
      <c r="Q63" t="s">
        <v>64</v>
      </c>
      <c r="R63" t="s">
        <v>64</v>
      </c>
      <c r="S63" s="85" t="s">
        <v>165</v>
      </c>
      <c r="T63" t="s">
        <v>183</v>
      </c>
      <c r="U63" t="s">
        <v>184</v>
      </c>
      <c r="V63" s="2" t="s">
        <v>185</v>
      </c>
      <c r="W63" s="2" t="s">
        <v>65</v>
      </c>
      <c r="Z63" s="2" t="s">
        <v>186</v>
      </c>
      <c r="AA63" s="2" t="s">
        <v>187</v>
      </c>
      <c r="AB63" s="2" t="s">
        <v>66</v>
      </c>
      <c r="AC63" s="2" t="s">
        <v>67</v>
      </c>
    </row>
    <row r="64" spans="1:29" hidden="1" x14ac:dyDescent="0.25">
      <c r="A64" t="s">
        <v>107</v>
      </c>
      <c r="B64" t="s">
        <v>69</v>
      </c>
      <c r="C64" t="s">
        <v>8</v>
      </c>
      <c r="D64" t="s">
        <v>15</v>
      </c>
      <c r="E64" t="s">
        <v>79</v>
      </c>
      <c r="F64" t="s">
        <v>79</v>
      </c>
      <c r="G64" s="2" t="s">
        <v>8</v>
      </c>
      <c r="H64" t="s">
        <v>64</v>
      </c>
      <c r="I64" s="34" t="s">
        <v>180</v>
      </c>
      <c r="J64" s="2" t="s">
        <v>181</v>
      </c>
      <c r="K64" t="s">
        <v>182</v>
      </c>
      <c r="L64" t="s">
        <v>89</v>
      </c>
      <c r="M64" s="2" t="s">
        <v>78</v>
      </c>
      <c r="N64" t="s">
        <v>164</v>
      </c>
      <c r="O64" t="s">
        <v>135</v>
      </c>
      <c r="P64" s="2" t="s">
        <v>81</v>
      </c>
      <c r="Q64" t="s">
        <v>64</v>
      </c>
      <c r="R64" t="s">
        <v>64</v>
      </c>
      <c r="S64" s="85" t="s">
        <v>165</v>
      </c>
      <c r="T64" t="s">
        <v>183</v>
      </c>
      <c r="U64" t="s">
        <v>184</v>
      </c>
      <c r="V64" s="2" t="s">
        <v>185</v>
      </c>
      <c r="W64" s="2" t="s">
        <v>65</v>
      </c>
      <c r="Z64" s="2" t="s">
        <v>186</v>
      </c>
      <c r="AA64" s="2" t="s">
        <v>187</v>
      </c>
      <c r="AB64" s="2" t="s">
        <v>66</v>
      </c>
      <c r="AC64" s="2" t="s">
        <v>67</v>
      </c>
    </row>
    <row r="65" spans="1:29" hidden="1" x14ac:dyDescent="0.25">
      <c r="A65" t="s">
        <v>107</v>
      </c>
      <c r="B65" t="s">
        <v>69</v>
      </c>
      <c r="C65" t="s">
        <v>8</v>
      </c>
      <c r="D65" t="s">
        <v>15</v>
      </c>
      <c r="E65" t="s">
        <v>79</v>
      </c>
      <c r="F65" t="s">
        <v>79</v>
      </c>
      <c r="G65" s="2" t="s">
        <v>8</v>
      </c>
      <c r="H65" t="s">
        <v>64</v>
      </c>
      <c r="I65" s="34" t="s">
        <v>180</v>
      </c>
      <c r="J65" s="2" t="s">
        <v>181</v>
      </c>
      <c r="K65" t="s">
        <v>182</v>
      </c>
      <c r="L65" t="s">
        <v>89</v>
      </c>
      <c r="M65" s="2" t="s">
        <v>78</v>
      </c>
      <c r="N65" t="s">
        <v>164</v>
      </c>
      <c r="O65" t="s">
        <v>99</v>
      </c>
      <c r="P65" s="2" t="s">
        <v>81</v>
      </c>
      <c r="Q65" t="s">
        <v>64</v>
      </c>
      <c r="R65" t="s">
        <v>64</v>
      </c>
      <c r="S65" s="85" t="s">
        <v>165</v>
      </c>
      <c r="T65" t="s">
        <v>183</v>
      </c>
      <c r="U65" t="s">
        <v>184</v>
      </c>
      <c r="V65" s="2" t="s">
        <v>185</v>
      </c>
      <c r="W65" s="2" t="s">
        <v>65</v>
      </c>
      <c r="Z65" s="2" t="s">
        <v>186</v>
      </c>
      <c r="AA65" s="2" t="s">
        <v>187</v>
      </c>
      <c r="AB65" s="2" t="s">
        <v>66</v>
      </c>
      <c r="AC65" s="2" t="s">
        <v>67</v>
      </c>
    </row>
    <row r="66" spans="1:29" hidden="1" x14ac:dyDescent="0.25">
      <c r="A66" t="s">
        <v>107</v>
      </c>
      <c r="B66" t="s">
        <v>69</v>
      </c>
      <c r="C66" t="s">
        <v>8</v>
      </c>
      <c r="D66" t="s">
        <v>15</v>
      </c>
      <c r="E66" t="s">
        <v>79</v>
      </c>
      <c r="F66" t="s">
        <v>79</v>
      </c>
      <c r="G66" s="2" t="s">
        <v>8</v>
      </c>
      <c r="H66" t="s">
        <v>64</v>
      </c>
      <c r="I66" s="34" t="s">
        <v>180</v>
      </c>
      <c r="J66" s="2" t="s">
        <v>181</v>
      </c>
      <c r="K66" t="s">
        <v>182</v>
      </c>
      <c r="L66" t="s">
        <v>89</v>
      </c>
      <c r="M66" s="2" t="s">
        <v>78</v>
      </c>
      <c r="N66" t="s">
        <v>164</v>
      </c>
      <c r="O66" t="s">
        <v>100</v>
      </c>
      <c r="P66" s="2" t="s">
        <v>81</v>
      </c>
      <c r="Q66" t="s">
        <v>64</v>
      </c>
      <c r="R66" t="s">
        <v>64</v>
      </c>
      <c r="S66" s="85" t="s">
        <v>165</v>
      </c>
      <c r="T66" t="s">
        <v>183</v>
      </c>
      <c r="U66" t="s">
        <v>184</v>
      </c>
      <c r="V66" s="2" t="s">
        <v>185</v>
      </c>
      <c r="W66" s="2" t="s">
        <v>65</v>
      </c>
      <c r="Z66" s="2" t="s">
        <v>186</v>
      </c>
      <c r="AA66" s="2" t="s">
        <v>187</v>
      </c>
      <c r="AB66" s="2" t="s">
        <v>66</v>
      </c>
      <c r="AC66" s="2" t="s">
        <v>67</v>
      </c>
    </row>
    <row r="67" spans="1:29" hidden="1" x14ac:dyDescent="0.25">
      <c r="A67" t="s">
        <v>107</v>
      </c>
      <c r="B67" t="s">
        <v>69</v>
      </c>
      <c r="C67" t="s">
        <v>8</v>
      </c>
      <c r="D67" t="s">
        <v>15</v>
      </c>
      <c r="E67" t="s">
        <v>79</v>
      </c>
      <c r="F67" t="s">
        <v>79</v>
      </c>
      <c r="G67" s="2" t="s">
        <v>8</v>
      </c>
      <c r="H67" t="s">
        <v>64</v>
      </c>
      <c r="I67" s="34" t="s">
        <v>180</v>
      </c>
      <c r="J67" s="2" t="s">
        <v>181</v>
      </c>
      <c r="K67" t="s">
        <v>182</v>
      </c>
      <c r="L67" t="s">
        <v>89</v>
      </c>
      <c r="M67" s="2" t="s">
        <v>78</v>
      </c>
      <c r="N67" t="s">
        <v>164</v>
      </c>
      <c r="O67" t="s">
        <v>101</v>
      </c>
      <c r="P67" s="2" t="s">
        <v>81</v>
      </c>
      <c r="Q67" t="s">
        <v>64</v>
      </c>
      <c r="R67" t="s">
        <v>64</v>
      </c>
      <c r="S67" s="85" t="s">
        <v>165</v>
      </c>
      <c r="T67" t="s">
        <v>183</v>
      </c>
      <c r="U67" t="s">
        <v>184</v>
      </c>
      <c r="V67" s="2" t="s">
        <v>185</v>
      </c>
      <c r="W67" s="2" t="s">
        <v>65</v>
      </c>
      <c r="Z67" s="2" t="s">
        <v>186</v>
      </c>
      <c r="AA67" s="2" t="s">
        <v>187</v>
      </c>
      <c r="AB67" s="2" t="s">
        <v>66</v>
      </c>
      <c r="AC67" s="2" t="s">
        <v>67</v>
      </c>
    </row>
    <row r="68" spans="1:29" hidden="1" x14ac:dyDescent="0.25">
      <c r="A68" t="s">
        <v>107</v>
      </c>
      <c r="B68" t="s">
        <v>69</v>
      </c>
      <c r="C68" t="s">
        <v>8</v>
      </c>
      <c r="D68" t="s">
        <v>15</v>
      </c>
      <c r="E68" t="s">
        <v>79</v>
      </c>
      <c r="F68" t="s">
        <v>79</v>
      </c>
      <c r="G68" s="2" t="s">
        <v>8</v>
      </c>
      <c r="H68" t="s">
        <v>64</v>
      </c>
      <c r="I68" s="34" t="s">
        <v>180</v>
      </c>
      <c r="J68" s="2" t="s">
        <v>181</v>
      </c>
      <c r="K68" t="s">
        <v>182</v>
      </c>
      <c r="L68" t="s">
        <v>89</v>
      </c>
      <c r="M68" s="2" t="s">
        <v>78</v>
      </c>
      <c r="N68" t="s">
        <v>164</v>
      </c>
      <c r="O68" t="s">
        <v>102</v>
      </c>
      <c r="P68" s="2" t="s">
        <v>81</v>
      </c>
      <c r="Q68" t="s">
        <v>64</v>
      </c>
      <c r="R68" t="s">
        <v>64</v>
      </c>
      <c r="S68" s="85" t="s">
        <v>165</v>
      </c>
      <c r="T68" t="s">
        <v>183</v>
      </c>
      <c r="U68" t="s">
        <v>184</v>
      </c>
      <c r="V68" s="2" t="s">
        <v>185</v>
      </c>
      <c r="W68" s="2" t="s">
        <v>65</v>
      </c>
      <c r="Z68" s="2" t="s">
        <v>186</v>
      </c>
      <c r="AA68" s="2" t="s">
        <v>187</v>
      </c>
      <c r="AB68" s="2" t="s">
        <v>66</v>
      </c>
      <c r="AC68" s="2" t="s">
        <v>67</v>
      </c>
    </row>
    <row r="69" spans="1:29" hidden="1" x14ac:dyDescent="0.25">
      <c r="A69" t="s">
        <v>107</v>
      </c>
      <c r="B69" t="s">
        <v>69</v>
      </c>
      <c r="C69" t="s">
        <v>8</v>
      </c>
      <c r="D69" t="s">
        <v>15</v>
      </c>
      <c r="E69" t="s">
        <v>79</v>
      </c>
      <c r="F69" t="s">
        <v>79</v>
      </c>
      <c r="G69" s="2" t="s">
        <v>8</v>
      </c>
      <c r="H69" t="s">
        <v>64</v>
      </c>
      <c r="I69" s="34" t="s">
        <v>180</v>
      </c>
      <c r="J69" s="2" t="s">
        <v>181</v>
      </c>
      <c r="K69" t="s">
        <v>182</v>
      </c>
      <c r="L69" t="s">
        <v>89</v>
      </c>
      <c r="M69" s="2" t="s">
        <v>78</v>
      </c>
      <c r="N69" t="s">
        <v>164</v>
      </c>
      <c r="O69" t="s">
        <v>103</v>
      </c>
      <c r="P69" s="2" t="s">
        <v>81</v>
      </c>
      <c r="Q69" t="s">
        <v>64</v>
      </c>
      <c r="R69" t="s">
        <v>64</v>
      </c>
      <c r="S69" s="85" t="s">
        <v>165</v>
      </c>
      <c r="T69" t="s">
        <v>183</v>
      </c>
      <c r="U69" t="s">
        <v>184</v>
      </c>
      <c r="V69" s="2" t="s">
        <v>185</v>
      </c>
      <c r="W69" s="2" t="s">
        <v>65</v>
      </c>
      <c r="Z69" s="2" t="s">
        <v>186</v>
      </c>
      <c r="AA69" s="2" t="s">
        <v>187</v>
      </c>
      <c r="AB69" s="2" t="s">
        <v>66</v>
      </c>
      <c r="AC69" s="2" t="s">
        <v>67</v>
      </c>
    </row>
    <row r="70" spans="1:29" hidden="1" x14ac:dyDescent="0.25">
      <c r="A70" t="s">
        <v>107</v>
      </c>
      <c r="B70" t="s">
        <v>69</v>
      </c>
      <c r="C70" t="s">
        <v>8</v>
      </c>
      <c r="D70" t="s">
        <v>15</v>
      </c>
      <c r="E70" t="s">
        <v>79</v>
      </c>
      <c r="F70" t="s">
        <v>79</v>
      </c>
      <c r="G70" s="2" t="s">
        <v>8</v>
      </c>
      <c r="H70" t="s">
        <v>64</v>
      </c>
      <c r="I70" s="34" t="s">
        <v>180</v>
      </c>
      <c r="J70" s="2" t="s">
        <v>181</v>
      </c>
      <c r="K70" t="s">
        <v>182</v>
      </c>
      <c r="L70" t="s">
        <v>89</v>
      </c>
      <c r="M70" s="2" t="s">
        <v>78</v>
      </c>
      <c r="N70" t="s">
        <v>164</v>
      </c>
      <c r="O70" t="s">
        <v>104</v>
      </c>
      <c r="P70" s="2" t="s">
        <v>81</v>
      </c>
      <c r="Q70" t="s">
        <v>64</v>
      </c>
      <c r="R70" t="s">
        <v>64</v>
      </c>
      <c r="S70" s="85" t="s">
        <v>165</v>
      </c>
      <c r="T70" t="s">
        <v>183</v>
      </c>
      <c r="U70" t="s">
        <v>184</v>
      </c>
      <c r="V70" s="2" t="s">
        <v>185</v>
      </c>
      <c r="W70" s="2" t="s">
        <v>65</v>
      </c>
      <c r="Z70" s="2" t="s">
        <v>186</v>
      </c>
      <c r="AA70" s="2" t="s">
        <v>187</v>
      </c>
      <c r="AB70" s="2" t="s">
        <v>66</v>
      </c>
      <c r="AC70" s="2" t="s">
        <v>67</v>
      </c>
    </row>
    <row r="71" spans="1:29" hidden="1" x14ac:dyDescent="0.25">
      <c r="A71" t="s">
        <v>107</v>
      </c>
      <c r="B71" t="s">
        <v>69</v>
      </c>
      <c r="C71" t="s">
        <v>8</v>
      </c>
      <c r="D71" t="s">
        <v>15</v>
      </c>
      <c r="E71" t="s">
        <v>79</v>
      </c>
      <c r="F71" t="s">
        <v>79</v>
      </c>
      <c r="G71" s="2" t="s">
        <v>8</v>
      </c>
      <c r="H71" t="s">
        <v>64</v>
      </c>
      <c r="I71" s="34" t="s">
        <v>180</v>
      </c>
      <c r="J71" s="2" t="s">
        <v>181</v>
      </c>
      <c r="K71" t="s">
        <v>182</v>
      </c>
      <c r="L71" t="s">
        <v>89</v>
      </c>
      <c r="M71" s="2" t="s">
        <v>78</v>
      </c>
      <c r="N71" t="s">
        <v>164</v>
      </c>
      <c r="O71" t="s">
        <v>136</v>
      </c>
      <c r="P71" s="2" t="s">
        <v>81</v>
      </c>
      <c r="Q71" t="s">
        <v>64</v>
      </c>
      <c r="R71" t="s">
        <v>64</v>
      </c>
      <c r="S71" s="85" t="s">
        <v>165</v>
      </c>
      <c r="T71" t="s">
        <v>183</v>
      </c>
      <c r="U71" t="s">
        <v>184</v>
      </c>
      <c r="V71" s="2" t="s">
        <v>185</v>
      </c>
      <c r="W71" s="2" t="s">
        <v>65</v>
      </c>
      <c r="Z71" s="2" t="s">
        <v>186</v>
      </c>
      <c r="AA71" s="2" t="s">
        <v>187</v>
      </c>
      <c r="AB71" s="2" t="s">
        <v>66</v>
      </c>
      <c r="AC71" s="2" t="s">
        <v>67</v>
      </c>
    </row>
    <row r="72" spans="1:29" hidden="1" x14ac:dyDescent="0.25">
      <c r="A72" t="s">
        <v>107</v>
      </c>
      <c r="B72" t="s">
        <v>69</v>
      </c>
      <c r="C72" t="s">
        <v>8</v>
      </c>
      <c r="D72" t="s">
        <v>15</v>
      </c>
      <c r="E72" t="s">
        <v>79</v>
      </c>
      <c r="F72" t="s">
        <v>79</v>
      </c>
      <c r="G72" s="2" t="s">
        <v>8</v>
      </c>
      <c r="H72" t="s">
        <v>64</v>
      </c>
      <c r="I72" s="34" t="s">
        <v>180</v>
      </c>
      <c r="J72" s="2" t="s">
        <v>181</v>
      </c>
      <c r="K72" t="s">
        <v>182</v>
      </c>
      <c r="L72" t="s">
        <v>89</v>
      </c>
      <c r="M72" s="2" t="s">
        <v>78</v>
      </c>
      <c r="N72" t="s">
        <v>164</v>
      </c>
      <c r="O72" t="s">
        <v>137</v>
      </c>
      <c r="P72" s="2" t="s">
        <v>81</v>
      </c>
      <c r="Q72" t="s">
        <v>64</v>
      </c>
      <c r="R72" t="s">
        <v>64</v>
      </c>
      <c r="S72" s="85" t="s">
        <v>165</v>
      </c>
      <c r="T72" t="s">
        <v>183</v>
      </c>
      <c r="U72" t="s">
        <v>184</v>
      </c>
      <c r="V72" s="2" t="s">
        <v>185</v>
      </c>
      <c r="W72" s="2" t="s">
        <v>65</v>
      </c>
      <c r="Z72" s="2" t="s">
        <v>186</v>
      </c>
      <c r="AA72" s="2" t="s">
        <v>187</v>
      </c>
      <c r="AB72" s="2" t="s">
        <v>66</v>
      </c>
      <c r="AC72" s="2" t="s">
        <v>67</v>
      </c>
    </row>
    <row r="73" spans="1:29" hidden="1" x14ac:dyDescent="0.25">
      <c r="A73" t="s">
        <v>107</v>
      </c>
      <c r="B73" t="s">
        <v>69</v>
      </c>
      <c r="C73" t="s">
        <v>8</v>
      </c>
      <c r="D73" t="s">
        <v>15</v>
      </c>
      <c r="E73" t="s">
        <v>79</v>
      </c>
      <c r="F73" t="s">
        <v>79</v>
      </c>
      <c r="G73" s="2" t="s">
        <v>8</v>
      </c>
      <c r="H73" t="s">
        <v>64</v>
      </c>
      <c r="I73" s="34" t="s">
        <v>180</v>
      </c>
      <c r="J73" s="2" t="s">
        <v>181</v>
      </c>
      <c r="K73" t="s">
        <v>182</v>
      </c>
      <c r="L73" t="s">
        <v>89</v>
      </c>
      <c r="M73" s="2" t="s">
        <v>78</v>
      </c>
      <c r="N73" t="s">
        <v>164</v>
      </c>
      <c r="O73" t="s">
        <v>138</v>
      </c>
      <c r="P73" s="2" t="s">
        <v>81</v>
      </c>
      <c r="Q73" t="s">
        <v>64</v>
      </c>
      <c r="R73" t="s">
        <v>64</v>
      </c>
      <c r="S73" s="85" t="s">
        <v>165</v>
      </c>
      <c r="T73" t="s">
        <v>183</v>
      </c>
      <c r="U73" t="s">
        <v>184</v>
      </c>
      <c r="V73" s="2" t="s">
        <v>185</v>
      </c>
      <c r="W73" s="2" t="s">
        <v>65</v>
      </c>
      <c r="Z73" s="2" t="s">
        <v>186</v>
      </c>
      <c r="AA73" s="2" t="s">
        <v>187</v>
      </c>
      <c r="AB73" s="2" t="s">
        <v>66</v>
      </c>
      <c r="AC73" s="2" t="s">
        <v>67</v>
      </c>
    </row>
    <row r="74" spans="1:29" hidden="1" x14ac:dyDescent="0.25">
      <c r="A74" t="s">
        <v>107</v>
      </c>
      <c r="B74" t="s">
        <v>69</v>
      </c>
      <c r="C74" t="s">
        <v>8</v>
      </c>
      <c r="D74" t="s">
        <v>15</v>
      </c>
      <c r="E74" t="s">
        <v>79</v>
      </c>
      <c r="F74" t="s">
        <v>79</v>
      </c>
      <c r="G74" s="2" t="s">
        <v>8</v>
      </c>
      <c r="H74" t="s">
        <v>64</v>
      </c>
      <c r="I74" s="34" t="s">
        <v>180</v>
      </c>
      <c r="J74" s="2" t="s">
        <v>181</v>
      </c>
      <c r="K74" t="s">
        <v>182</v>
      </c>
      <c r="L74" t="s">
        <v>89</v>
      </c>
      <c r="M74" s="2" t="s">
        <v>78</v>
      </c>
      <c r="N74" t="s">
        <v>164</v>
      </c>
      <c r="O74" t="s">
        <v>139</v>
      </c>
      <c r="P74" s="2" t="s">
        <v>15</v>
      </c>
      <c r="Q74" t="s">
        <v>64</v>
      </c>
      <c r="R74" t="s">
        <v>64</v>
      </c>
      <c r="S74" s="85" t="s">
        <v>165</v>
      </c>
      <c r="T74" t="s">
        <v>183</v>
      </c>
      <c r="U74" t="s">
        <v>184</v>
      </c>
      <c r="V74" s="2" t="s">
        <v>185</v>
      </c>
      <c r="W74" s="2" t="s">
        <v>65</v>
      </c>
      <c r="Z74" s="2" t="s">
        <v>186</v>
      </c>
      <c r="AA74" s="2" t="s">
        <v>187</v>
      </c>
      <c r="AB74" s="2" t="s">
        <v>66</v>
      </c>
      <c r="AC74" s="2" t="s">
        <v>67</v>
      </c>
    </row>
    <row r="75" spans="1:29" hidden="1" x14ac:dyDescent="0.25">
      <c r="A75" t="s">
        <v>107</v>
      </c>
      <c r="B75" t="s">
        <v>69</v>
      </c>
      <c r="C75" t="s">
        <v>8</v>
      </c>
      <c r="D75" t="s">
        <v>15</v>
      </c>
      <c r="E75" t="s">
        <v>79</v>
      </c>
      <c r="F75" t="s">
        <v>79</v>
      </c>
      <c r="G75" s="2" t="s">
        <v>8</v>
      </c>
      <c r="H75" t="s">
        <v>64</v>
      </c>
      <c r="I75" s="34" t="s">
        <v>180</v>
      </c>
      <c r="J75" s="2" t="s">
        <v>181</v>
      </c>
      <c r="K75" t="s">
        <v>182</v>
      </c>
      <c r="L75" t="s">
        <v>89</v>
      </c>
      <c r="M75" s="2" t="s">
        <v>78</v>
      </c>
      <c r="N75" t="s">
        <v>164</v>
      </c>
      <c r="O75" t="s">
        <v>140</v>
      </c>
      <c r="P75" s="2" t="s">
        <v>81</v>
      </c>
      <c r="Q75" t="s">
        <v>64</v>
      </c>
      <c r="R75" t="s">
        <v>64</v>
      </c>
      <c r="S75" s="85" t="s">
        <v>165</v>
      </c>
      <c r="T75" t="s">
        <v>183</v>
      </c>
      <c r="U75" t="s">
        <v>184</v>
      </c>
      <c r="V75" s="2" t="s">
        <v>185</v>
      </c>
      <c r="W75" s="2" t="s">
        <v>65</v>
      </c>
      <c r="Z75" s="2" t="s">
        <v>186</v>
      </c>
      <c r="AA75" s="2" t="s">
        <v>187</v>
      </c>
      <c r="AB75" s="2" t="s">
        <v>66</v>
      </c>
      <c r="AC75" s="2" t="s">
        <v>67</v>
      </c>
    </row>
    <row r="76" spans="1:29" hidden="1" x14ac:dyDescent="0.25">
      <c r="A76" t="s">
        <v>107</v>
      </c>
      <c r="B76" t="s">
        <v>69</v>
      </c>
      <c r="C76" t="s">
        <v>8</v>
      </c>
      <c r="D76" t="s">
        <v>15</v>
      </c>
      <c r="E76" t="s">
        <v>79</v>
      </c>
      <c r="F76" t="s">
        <v>79</v>
      </c>
      <c r="G76" s="2" t="s">
        <v>8</v>
      </c>
      <c r="H76" t="s">
        <v>64</v>
      </c>
      <c r="I76" s="34" t="s">
        <v>180</v>
      </c>
      <c r="J76" s="2" t="s">
        <v>181</v>
      </c>
      <c r="K76" t="s">
        <v>182</v>
      </c>
      <c r="L76" t="s">
        <v>89</v>
      </c>
      <c r="M76" s="2" t="s">
        <v>78</v>
      </c>
      <c r="N76" t="s">
        <v>164</v>
      </c>
      <c r="O76" t="s">
        <v>141</v>
      </c>
      <c r="P76" s="2" t="s">
        <v>81</v>
      </c>
      <c r="Q76" t="s">
        <v>64</v>
      </c>
      <c r="R76" t="s">
        <v>64</v>
      </c>
      <c r="S76" s="85" t="s">
        <v>165</v>
      </c>
      <c r="T76" t="s">
        <v>183</v>
      </c>
      <c r="U76" t="s">
        <v>184</v>
      </c>
      <c r="V76" s="2" t="s">
        <v>185</v>
      </c>
      <c r="W76" s="2" t="s">
        <v>65</v>
      </c>
      <c r="Z76" s="2" t="s">
        <v>186</v>
      </c>
      <c r="AA76" s="2" t="s">
        <v>187</v>
      </c>
      <c r="AB76" s="2" t="s">
        <v>66</v>
      </c>
      <c r="AC76" s="2" t="s">
        <v>67</v>
      </c>
    </row>
    <row r="77" spans="1:29" hidden="1" x14ac:dyDescent="0.25">
      <c r="A77" t="s">
        <v>107</v>
      </c>
      <c r="B77" t="s">
        <v>69</v>
      </c>
      <c r="C77" t="s">
        <v>8</v>
      </c>
      <c r="D77" t="s">
        <v>15</v>
      </c>
      <c r="E77" t="s">
        <v>79</v>
      </c>
      <c r="F77" t="s">
        <v>79</v>
      </c>
      <c r="G77" s="2" t="s">
        <v>8</v>
      </c>
      <c r="H77" t="s">
        <v>64</v>
      </c>
      <c r="I77" s="34" t="s">
        <v>180</v>
      </c>
      <c r="J77" s="2" t="s">
        <v>181</v>
      </c>
      <c r="K77" t="s">
        <v>182</v>
      </c>
      <c r="L77" t="s">
        <v>89</v>
      </c>
      <c r="M77" s="2" t="s">
        <v>78</v>
      </c>
      <c r="N77" t="s">
        <v>164</v>
      </c>
      <c r="O77" t="s">
        <v>142</v>
      </c>
      <c r="P77" s="2" t="s">
        <v>81</v>
      </c>
      <c r="Q77" t="s">
        <v>64</v>
      </c>
      <c r="R77" t="s">
        <v>64</v>
      </c>
      <c r="S77" s="85" t="s">
        <v>165</v>
      </c>
      <c r="T77" t="s">
        <v>183</v>
      </c>
      <c r="U77" t="s">
        <v>184</v>
      </c>
      <c r="V77" s="2" t="s">
        <v>185</v>
      </c>
      <c r="W77" s="2" t="s">
        <v>65</v>
      </c>
      <c r="Z77" s="2" t="s">
        <v>186</v>
      </c>
      <c r="AA77" s="2" t="s">
        <v>187</v>
      </c>
      <c r="AB77" s="2" t="s">
        <v>66</v>
      </c>
      <c r="AC77" s="2" t="s">
        <v>67</v>
      </c>
    </row>
    <row r="78" spans="1:29" hidden="1" x14ac:dyDescent="0.25">
      <c r="A78" t="s">
        <v>107</v>
      </c>
      <c r="B78" t="s">
        <v>69</v>
      </c>
      <c r="C78" t="s">
        <v>8</v>
      </c>
      <c r="D78" t="s">
        <v>15</v>
      </c>
      <c r="E78" t="s">
        <v>79</v>
      </c>
      <c r="F78" t="s">
        <v>79</v>
      </c>
      <c r="G78" s="2" t="s">
        <v>8</v>
      </c>
      <c r="H78" t="s">
        <v>64</v>
      </c>
      <c r="I78" s="34" t="s">
        <v>180</v>
      </c>
      <c r="J78" s="2" t="s">
        <v>181</v>
      </c>
      <c r="K78" t="s">
        <v>182</v>
      </c>
      <c r="L78" t="s">
        <v>89</v>
      </c>
      <c r="M78" s="2" t="s">
        <v>78</v>
      </c>
      <c r="N78" t="s">
        <v>164</v>
      </c>
      <c r="O78" t="s">
        <v>143</v>
      </c>
      <c r="P78" s="2" t="s">
        <v>81</v>
      </c>
      <c r="Q78" t="s">
        <v>64</v>
      </c>
      <c r="R78" t="s">
        <v>64</v>
      </c>
      <c r="S78" s="85" t="s">
        <v>165</v>
      </c>
      <c r="T78" t="s">
        <v>183</v>
      </c>
      <c r="U78" t="s">
        <v>184</v>
      </c>
      <c r="V78" s="2" t="s">
        <v>185</v>
      </c>
      <c r="W78" s="2" t="s">
        <v>65</v>
      </c>
      <c r="Z78" s="2" t="s">
        <v>186</v>
      </c>
      <c r="AA78" s="2" t="s">
        <v>187</v>
      </c>
      <c r="AB78" s="2" t="s">
        <v>66</v>
      </c>
      <c r="AC78" s="2" t="s">
        <v>67</v>
      </c>
    </row>
    <row r="79" spans="1:29" hidden="1" x14ac:dyDescent="0.25">
      <c r="A79" t="s">
        <v>107</v>
      </c>
      <c r="B79" t="s">
        <v>69</v>
      </c>
      <c r="C79" t="s">
        <v>8</v>
      </c>
      <c r="D79" t="s">
        <v>15</v>
      </c>
      <c r="E79" t="s">
        <v>79</v>
      </c>
      <c r="F79" t="s">
        <v>79</v>
      </c>
      <c r="G79" s="2" t="s">
        <v>8</v>
      </c>
      <c r="H79" t="s">
        <v>64</v>
      </c>
      <c r="I79" s="34" t="s">
        <v>180</v>
      </c>
      <c r="J79" s="2" t="s">
        <v>181</v>
      </c>
      <c r="K79" t="s">
        <v>182</v>
      </c>
      <c r="L79" t="s">
        <v>89</v>
      </c>
      <c r="M79" s="2" t="s">
        <v>78</v>
      </c>
      <c r="N79" t="s">
        <v>164</v>
      </c>
      <c r="O79" t="s">
        <v>144</v>
      </c>
      <c r="P79" s="2" t="s">
        <v>81</v>
      </c>
      <c r="Q79" t="s">
        <v>64</v>
      </c>
      <c r="R79" t="s">
        <v>64</v>
      </c>
      <c r="S79" s="85" t="s">
        <v>165</v>
      </c>
      <c r="T79" t="s">
        <v>183</v>
      </c>
      <c r="U79" t="s">
        <v>184</v>
      </c>
      <c r="V79" s="2" t="s">
        <v>185</v>
      </c>
      <c r="W79" s="2" t="s">
        <v>65</v>
      </c>
      <c r="Z79" s="2" t="s">
        <v>186</v>
      </c>
      <c r="AA79" s="2" t="s">
        <v>187</v>
      </c>
      <c r="AB79" s="2" t="s">
        <v>66</v>
      </c>
      <c r="AC79" s="2" t="s">
        <v>67</v>
      </c>
    </row>
    <row r="80" spans="1:29" hidden="1" x14ac:dyDescent="0.25">
      <c r="A80" t="s">
        <v>107</v>
      </c>
      <c r="B80" t="s">
        <v>69</v>
      </c>
      <c r="C80" t="s">
        <v>8</v>
      </c>
      <c r="D80" t="s">
        <v>15</v>
      </c>
      <c r="E80" t="s">
        <v>79</v>
      </c>
      <c r="F80" t="s">
        <v>79</v>
      </c>
      <c r="G80" s="2" t="s">
        <v>8</v>
      </c>
      <c r="H80" t="s">
        <v>64</v>
      </c>
      <c r="I80" s="34" t="s">
        <v>180</v>
      </c>
      <c r="J80" s="2" t="s">
        <v>181</v>
      </c>
      <c r="K80" t="s">
        <v>182</v>
      </c>
      <c r="L80" t="s">
        <v>89</v>
      </c>
      <c r="M80" s="2" t="s">
        <v>78</v>
      </c>
      <c r="N80" t="s">
        <v>164</v>
      </c>
      <c r="O80" t="s">
        <v>145</v>
      </c>
      <c r="P80" s="2" t="s">
        <v>81</v>
      </c>
      <c r="Q80" t="s">
        <v>64</v>
      </c>
      <c r="R80" t="s">
        <v>64</v>
      </c>
      <c r="S80" s="85" t="s">
        <v>165</v>
      </c>
      <c r="T80" t="s">
        <v>183</v>
      </c>
      <c r="U80" t="s">
        <v>184</v>
      </c>
      <c r="V80" s="2" t="s">
        <v>185</v>
      </c>
      <c r="W80" s="2" t="s">
        <v>65</v>
      </c>
      <c r="Z80" s="2" t="s">
        <v>186</v>
      </c>
      <c r="AA80" s="2" t="s">
        <v>187</v>
      </c>
      <c r="AB80" s="2" t="s">
        <v>66</v>
      </c>
      <c r="AC80" s="2" t="s">
        <v>67</v>
      </c>
    </row>
    <row r="81" spans="1:29" hidden="1" x14ac:dyDescent="0.25">
      <c r="A81" t="s">
        <v>107</v>
      </c>
      <c r="B81" t="s">
        <v>69</v>
      </c>
      <c r="C81" t="s">
        <v>8</v>
      </c>
      <c r="D81" t="s">
        <v>15</v>
      </c>
      <c r="E81" t="s">
        <v>79</v>
      </c>
      <c r="F81" t="s">
        <v>79</v>
      </c>
      <c r="G81" s="2" t="s">
        <v>8</v>
      </c>
      <c r="H81" t="s">
        <v>64</v>
      </c>
      <c r="I81" s="34" t="s">
        <v>180</v>
      </c>
      <c r="J81" s="2" t="s">
        <v>181</v>
      </c>
      <c r="K81" t="s">
        <v>182</v>
      </c>
      <c r="L81" t="s">
        <v>89</v>
      </c>
      <c r="M81" s="2" t="s">
        <v>78</v>
      </c>
      <c r="N81" t="s">
        <v>164</v>
      </c>
      <c r="O81" t="s">
        <v>146</v>
      </c>
      <c r="P81" s="2" t="s">
        <v>81</v>
      </c>
      <c r="Q81" t="s">
        <v>64</v>
      </c>
      <c r="R81" t="s">
        <v>64</v>
      </c>
      <c r="S81" s="85" t="s">
        <v>165</v>
      </c>
      <c r="T81" t="s">
        <v>183</v>
      </c>
      <c r="U81" t="s">
        <v>184</v>
      </c>
      <c r="V81" s="2" t="s">
        <v>185</v>
      </c>
      <c r="W81" s="2" t="s">
        <v>65</v>
      </c>
      <c r="Z81" s="2" t="s">
        <v>186</v>
      </c>
      <c r="AA81" s="2" t="s">
        <v>187</v>
      </c>
      <c r="AB81" s="2" t="s">
        <v>66</v>
      </c>
      <c r="AC81" s="2" t="s">
        <v>67</v>
      </c>
    </row>
    <row r="82" spans="1:29" hidden="1" x14ac:dyDescent="0.25">
      <c r="A82" t="s">
        <v>107</v>
      </c>
      <c r="B82" t="s">
        <v>69</v>
      </c>
      <c r="C82" t="s">
        <v>8</v>
      </c>
      <c r="D82" t="s">
        <v>15</v>
      </c>
      <c r="E82" t="s">
        <v>79</v>
      </c>
      <c r="F82" t="s">
        <v>79</v>
      </c>
      <c r="G82" s="2" t="s">
        <v>8</v>
      </c>
      <c r="H82" t="s">
        <v>64</v>
      </c>
      <c r="I82" s="34" t="s">
        <v>180</v>
      </c>
      <c r="J82" s="2" t="s">
        <v>181</v>
      </c>
      <c r="K82" t="s">
        <v>182</v>
      </c>
      <c r="L82" t="s">
        <v>89</v>
      </c>
      <c r="M82" s="2" t="s">
        <v>78</v>
      </c>
      <c r="N82" t="s">
        <v>164</v>
      </c>
      <c r="O82" t="s">
        <v>152</v>
      </c>
      <c r="P82" s="2" t="s">
        <v>188</v>
      </c>
      <c r="Q82" t="s">
        <v>64</v>
      </c>
      <c r="R82" t="s">
        <v>64</v>
      </c>
      <c r="S82" s="85" t="s">
        <v>165</v>
      </c>
      <c r="T82" t="s">
        <v>183</v>
      </c>
      <c r="U82" t="s">
        <v>184</v>
      </c>
      <c r="V82" s="2" t="s">
        <v>185</v>
      </c>
      <c r="W82" s="2" t="s">
        <v>65</v>
      </c>
      <c r="Z82" s="2" t="s">
        <v>186</v>
      </c>
      <c r="AA82" s="2" t="s">
        <v>187</v>
      </c>
      <c r="AB82" s="2" t="s">
        <v>66</v>
      </c>
      <c r="AC82" s="2" t="s">
        <v>67</v>
      </c>
    </row>
    <row r="83" spans="1:29" hidden="1" x14ac:dyDescent="0.25">
      <c r="A83" t="s">
        <v>107</v>
      </c>
      <c r="B83" t="s">
        <v>69</v>
      </c>
      <c r="C83" t="s">
        <v>8</v>
      </c>
      <c r="D83" t="s">
        <v>15</v>
      </c>
      <c r="E83" t="s">
        <v>79</v>
      </c>
      <c r="F83" t="s">
        <v>79</v>
      </c>
      <c r="G83" s="2" t="s">
        <v>8</v>
      </c>
      <c r="H83" t="s">
        <v>64</v>
      </c>
      <c r="I83" s="34" t="s">
        <v>180</v>
      </c>
      <c r="J83" s="2" t="s">
        <v>181</v>
      </c>
      <c r="K83" t="s">
        <v>182</v>
      </c>
      <c r="L83" t="s">
        <v>89</v>
      </c>
      <c r="M83" s="2" t="s">
        <v>78</v>
      </c>
      <c r="N83" t="s">
        <v>164</v>
      </c>
      <c r="O83" t="s">
        <v>153</v>
      </c>
      <c r="P83" s="2" t="s">
        <v>81</v>
      </c>
      <c r="Q83" t="s">
        <v>64</v>
      </c>
      <c r="R83" t="s">
        <v>64</v>
      </c>
      <c r="S83" s="85" t="s">
        <v>165</v>
      </c>
      <c r="T83" t="s">
        <v>183</v>
      </c>
      <c r="U83" t="s">
        <v>184</v>
      </c>
      <c r="V83" s="2" t="s">
        <v>185</v>
      </c>
      <c r="W83" s="2" t="s">
        <v>65</v>
      </c>
      <c r="Z83" s="2" t="s">
        <v>186</v>
      </c>
      <c r="AA83" s="2" t="s">
        <v>187</v>
      </c>
      <c r="AB83" s="2" t="s">
        <v>66</v>
      </c>
      <c r="AC83" s="2" t="s">
        <v>67</v>
      </c>
    </row>
    <row r="84" spans="1:29" hidden="1" x14ac:dyDescent="0.25">
      <c r="A84" t="s">
        <v>107</v>
      </c>
      <c r="B84" t="s">
        <v>69</v>
      </c>
      <c r="C84" t="s">
        <v>8</v>
      </c>
      <c r="D84" t="s">
        <v>15</v>
      </c>
      <c r="E84" t="s">
        <v>79</v>
      </c>
      <c r="F84" t="s">
        <v>79</v>
      </c>
      <c r="G84" s="2" t="s">
        <v>8</v>
      </c>
      <c r="H84" t="s">
        <v>64</v>
      </c>
      <c r="I84" s="34" t="s">
        <v>180</v>
      </c>
      <c r="J84" s="2" t="s">
        <v>181</v>
      </c>
      <c r="K84" t="s">
        <v>182</v>
      </c>
      <c r="L84" t="s">
        <v>89</v>
      </c>
      <c r="M84" s="2" t="s">
        <v>78</v>
      </c>
      <c r="N84" t="s">
        <v>164</v>
      </c>
      <c r="O84" t="s">
        <v>154</v>
      </c>
      <c r="P84" s="2" t="s">
        <v>81</v>
      </c>
      <c r="Q84" t="s">
        <v>64</v>
      </c>
      <c r="R84" t="s">
        <v>64</v>
      </c>
      <c r="S84" s="85" t="s">
        <v>165</v>
      </c>
      <c r="T84" t="s">
        <v>183</v>
      </c>
      <c r="U84" t="s">
        <v>184</v>
      </c>
      <c r="V84" s="2" t="s">
        <v>185</v>
      </c>
      <c r="W84" s="2" t="s">
        <v>65</v>
      </c>
      <c r="Z84" s="2" t="s">
        <v>186</v>
      </c>
      <c r="AA84" s="2" t="s">
        <v>187</v>
      </c>
      <c r="AB84" s="2" t="s">
        <v>66</v>
      </c>
      <c r="AC84" s="2" t="s">
        <v>67</v>
      </c>
    </row>
    <row r="85" spans="1:29" hidden="1" x14ac:dyDescent="0.25">
      <c r="A85" t="s">
        <v>107</v>
      </c>
      <c r="B85" t="s">
        <v>69</v>
      </c>
      <c r="C85" t="s">
        <v>8</v>
      </c>
      <c r="D85" t="s">
        <v>15</v>
      </c>
      <c r="E85" t="s">
        <v>79</v>
      </c>
      <c r="F85" t="s">
        <v>79</v>
      </c>
      <c r="G85" s="2" t="s">
        <v>8</v>
      </c>
      <c r="H85" t="s">
        <v>64</v>
      </c>
      <c r="I85" s="34" t="s">
        <v>180</v>
      </c>
      <c r="J85" s="2" t="s">
        <v>181</v>
      </c>
      <c r="K85" t="s">
        <v>182</v>
      </c>
      <c r="L85" t="s">
        <v>89</v>
      </c>
      <c r="M85" s="2" t="s">
        <v>78</v>
      </c>
      <c r="N85" t="s">
        <v>164</v>
      </c>
      <c r="O85" t="s">
        <v>155</v>
      </c>
      <c r="P85" s="2" t="s">
        <v>81</v>
      </c>
      <c r="Q85" t="s">
        <v>64</v>
      </c>
      <c r="R85" t="s">
        <v>64</v>
      </c>
      <c r="S85" s="85" t="s">
        <v>165</v>
      </c>
      <c r="T85" t="s">
        <v>183</v>
      </c>
      <c r="U85" t="s">
        <v>184</v>
      </c>
      <c r="V85" s="2" t="s">
        <v>185</v>
      </c>
      <c r="W85" s="2" t="s">
        <v>65</v>
      </c>
      <c r="Z85" s="2" t="s">
        <v>186</v>
      </c>
      <c r="AA85" s="2" t="s">
        <v>187</v>
      </c>
      <c r="AB85" s="2" t="s">
        <v>66</v>
      </c>
      <c r="AC85" s="2" t="s">
        <v>67</v>
      </c>
    </row>
    <row r="86" spans="1:29" hidden="1" x14ac:dyDescent="0.25">
      <c r="A86" t="s">
        <v>107</v>
      </c>
      <c r="B86" t="s">
        <v>69</v>
      </c>
      <c r="C86" t="s">
        <v>8</v>
      </c>
      <c r="D86" t="s">
        <v>15</v>
      </c>
      <c r="E86" t="s">
        <v>79</v>
      </c>
      <c r="F86" t="s">
        <v>79</v>
      </c>
      <c r="G86" s="2" t="s">
        <v>8</v>
      </c>
      <c r="H86" t="s">
        <v>64</v>
      </c>
      <c r="I86" s="34" t="s">
        <v>180</v>
      </c>
      <c r="J86" s="2" t="s">
        <v>181</v>
      </c>
      <c r="K86" t="s">
        <v>182</v>
      </c>
      <c r="L86" t="s">
        <v>89</v>
      </c>
      <c r="M86" s="2" t="s">
        <v>78</v>
      </c>
      <c r="N86" t="s">
        <v>164</v>
      </c>
      <c r="O86" t="s">
        <v>156</v>
      </c>
      <c r="P86" s="2" t="s">
        <v>81</v>
      </c>
      <c r="Q86" t="s">
        <v>64</v>
      </c>
      <c r="R86" t="s">
        <v>64</v>
      </c>
      <c r="S86" s="85" t="s">
        <v>165</v>
      </c>
      <c r="T86" t="s">
        <v>183</v>
      </c>
      <c r="U86" t="s">
        <v>184</v>
      </c>
      <c r="V86" s="2" t="s">
        <v>185</v>
      </c>
      <c r="W86" s="2" t="s">
        <v>65</v>
      </c>
      <c r="Z86" s="2" t="s">
        <v>186</v>
      </c>
      <c r="AA86" s="2" t="s">
        <v>187</v>
      </c>
      <c r="AB86" s="2" t="s">
        <v>66</v>
      </c>
      <c r="AC86" s="2" t="s">
        <v>67</v>
      </c>
    </row>
    <row r="87" spans="1:29" hidden="1" x14ac:dyDescent="0.25">
      <c r="A87" t="s">
        <v>107</v>
      </c>
      <c r="B87" t="s">
        <v>69</v>
      </c>
      <c r="C87" t="s">
        <v>8</v>
      </c>
      <c r="D87" t="s">
        <v>15</v>
      </c>
      <c r="E87" t="s">
        <v>79</v>
      </c>
      <c r="F87" t="s">
        <v>79</v>
      </c>
      <c r="G87" s="2" t="s">
        <v>8</v>
      </c>
      <c r="H87" t="s">
        <v>64</v>
      </c>
      <c r="I87" s="34" t="s">
        <v>180</v>
      </c>
      <c r="J87" s="2" t="s">
        <v>181</v>
      </c>
      <c r="K87" t="s">
        <v>182</v>
      </c>
      <c r="L87" t="s">
        <v>89</v>
      </c>
      <c r="M87" s="2" t="s">
        <v>78</v>
      </c>
      <c r="N87" t="s">
        <v>164</v>
      </c>
      <c r="O87" t="s">
        <v>157</v>
      </c>
      <c r="P87" s="2" t="s">
        <v>20</v>
      </c>
      <c r="Q87" t="s">
        <v>64</v>
      </c>
      <c r="R87" t="s">
        <v>64</v>
      </c>
      <c r="S87" s="85" t="s">
        <v>165</v>
      </c>
      <c r="T87" t="s">
        <v>183</v>
      </c>
      <c r="U87" t="s">
        <v>184</v>
      </c>
      <c r="V87" s="2" t="s">
        <v>185</v>
      </c>
      <c r="W87" s="2" t="s">
        <v>65</v>
      </c>
      <c r="Z87" s="2" t="s">
        <v>186</v>
      </c>
      <c r="AA87" s="2" t="s">
        <v>187</v>
      </c>
      <c r="AB87" s="2" t="s">
        <v>66</v>
      </c>
      <c r="AC87" s="2" t="s">
        <v>67</v>
      </c>
    </row>
    <row r="88" spans="1:29" hidden="1" x14ac:dyDescent="0.25">
      <c r="A88" t="s">
        <v>107</v>
      </c>
      <c r="B88" t="s">
        <v>69</v>
      </c>
      <c r="C88" t="s">
        <v>8</v>
      </c>
      <c r="D88" t="s">
        <v>15</v>
      </c>
      <c r="E88" t="s">
        <v>79</v>
      </c>
      <c r="F88" t="s">
        <v>79</v>
      </c>
      <c r="G88" s="2" t="s">
        <v>8</v>
      </c>
      <c r="H88" t="s">
        <v>64</v>
      </c>
      <c r="I88" s="34" t="s">
        <v>180</v>
      </c>
      <c r="J88" s="2" t="s">
        <v>181</v>
      </c>
      <c r="K88" t="s">
        <v>182</v>
      </c>
      <c r="L88" t="s">
        <v>89</v>
      </c>
      <c r="M88" s="2" t="s">
        <v>78</v>
      </c>
      <c r="N88" t="s">
        <v>164</v>
      </c>
      <c r="O88" t="s">
        <v>158</v>
      </c>
      <c r="P88" s="2" t="s">
        <v>189</v>
      </c>
      <c r="Q88" t="s">
        <v>64</v>
      </c>
      <c r="R88" t="s">
        <v>64</v>
      </c>
      <c r="S88" s="85" t="s">
        <v>165</v>
      </c>
      <c r="T88" t="s">
        <v>183</v>
      </c>
      <c r="U88" t="s">
        <v>184</v>
      </c>
      <c r="V88" s="2" t="s">
        <v>185</v>
      </c>
      <c r="W88" s="2" t="s">
        <v>65</v>
      </c>
      <c r="Z88" s="2" t="s">
        <v>186</v>
      </c>
      <c r="AA88" s="2" t="s">
        <v>187</v>
      </c>
      <c r="AB88" s="2" t="s">
        <v>66</v>
      </c>
      <c r="AC88" s="2" t="s">
        <v>67</v>
      </c>
    </row>
    <row r="89" spans="1:29" hidden="1" x14ac:dyDescent="0.25">
      <c r="A89" t="s">
        <v>107</v>
      </c>
      <c r="B89" t="s">
        <v>69</v>
      </c>
      <c r="C89" t="s">
        <v>8</v>
      </c>
      <c r="D89" t="s">
        <v>14</v>
      </c>
      <c r="E89" t="s">
        <v>79</v>
      </c>
      <c r="F89" t="s">
        <v>79</v>
      </c>
      <c r="G89" s="2" t="s">
        <v>8</v>
      </c>
      <c r="H89" t="s">
        <v>64</v>
      </c>
      <c r="I89" s="34" t="s">
        <v>190</v>
      </c>
      <c r="J89" s="2" t="s">
        <v>191</v>
      </c>
      <c r="K89" t="s">
        <v>108</v>
      </c>
      <c r="L89" t="s">
        <v>89</v>
      </c>
      <c r="M89" s="2" t="s">
        <v>78</v>
      </c>
      <c r="N89" t="s">
        <v>164</v>
      </c>
      <c r="O89" t="s">
        <v>133</v>
      </c>
      <c r="P89" s="2" t="s">
        <v>20</v>
      </c>
      <c r="Q89" t="s">
        <v>64</v>
      </c>
      <c r="R89" t="s">
        <v>64</v>
      </c>
      <c r="S89" s="85" t="s">
        <v>95</v>
      </c>
      <c r="T89" t="s">
        <v>192</v>
      </c>
      <c r="U89" t="s">
        <v>193</v>
      </c>
      <c r="V89" s="2" t="s">
        <v>194</v>
      </c>
      <c r="W89" s="2" t="s">
        <v>65</v>
      </c>
      <c r="Z89" s="2" t="s">
        <v>186</v>
      </c>
      <c r="AA89" s="2" t="s">
        <v>187</v>
      </c>
      <c r="AB89" s="2" t="s">
        <v>66</v>
      </c>
      <c r="AC89" s="2" t="s">
        <v>67</v>
      </c>
    </row>
    <row r="90" spans="1:29" hidden="1" x14ac:dyDescent="0.25">
      <c r="A90" t="s">
        <v>107</v>
      </c>
      <c r="B90" t="s">
        <v>69</v>
      </c>
      <c r="C90" t="s">
        <v>8</v>
      </c>
      <c r="D90" t="s">
        <v>14</v>
      </c>
      <c r="E90" t="s">
        <v>79</v>
      </c>
      <c r="F90" t="s">
        <v>79</v>
      </c>
      <c r="G90" s="2" t="s">
        <v>8</v>
      </c>
      <c r="H90" t="s">
        <v>64</v>
      </c>
      <c r="I90" s="34" t="s">
        <v>190</v>
      </c>
      <c r="J90" s="2" t="s">
        <v>191</v>
      </c>
      <c r="K90" t="s">
        <v>108</v>
      </c>
      <c r="L90" t="s">
        <v>89</v>
      </c>
      <c r="M90" s="2" t="s">
        <v>78</v>
      </c>
      <c r="N90" t="s">
        <v>164</v>
      </c>
      <c r="O90" t="s">
        <v>97</v>
      </c>
      <c r="P90" s="2" t="s">
        <v>20</v>
      </c>
      <c r="Q90" t="s">
        <v>64</v>
      </c>
      <c r="R90" t="s">
        <v>64</v>
      </c>
      <c r="S90" s="85" t="s">
        <v>95</v>
      </c>
      <c r="T90" t="s">
        <v>192</v>
      </c>
      <c r="U90" t="s">
        <v>193</v>
      </c>
      <c r="V90" s="2" t="s">
        <v>194</v>
      </c>
      <c r="W90" s="2" t="s">
        <v>65</v>
      </c>
      <c r="Z90" s="2" t="s">
        <v>186</v>
      </c>
      <c r="AA90" s="2" t="s">
        <v>187</v>
      </c>
      <c r="AB90" s="2" t="s">
        <v>66</v>
      </c>
      <c r="AC90" s="2" t="s">
        <v>67</v>
      </c>
    </row>
    <row r="91" spans="1:29" hidden="1" x14ac:dyDescent="0.25">
      <c r="A91" t="s">
        <v>107</v>
      </c>
      <c r="B91" t="s">
        <v>69</v>
      </c>
      <c r="C91" t="s">
        <v>8</v>
      </c>
      <c r="D91" t="s">
        <v>14</v>
      </c>
      <c r="E91" t="s">
        <v>79</v>
      </c>
      <c r="F91" t="s">
        <v>79</v>
      </c>
      <c r="G91" s="2" t="s">
        <v>8</v>
      </c>
      <c r="H91" t="s">
        <v>64</v>
      </c>
      <c r="I91" s="34" t="s">
        <v>190</v>
      </c>
      <c r="J91" s="2" t="s">
        <v>191</v>
      </c>
      <c r="K91" t="s">
        <v>108</v>
      </c>
      <c r="L91" t="s">
        <v>89</v>
      </c>
      <c r="M91" s="2" t="s">
        <v>78</v>
      </c>
      <c r="N91" t="s">
        <v>164</v>
      </c>
      <c r="O91" t="s">
        <v>98</v>
      </c>
      <c r="P91" s="2" t="s">
        <v>20</v>
      </c>
      <c r="Q91" t="s">
        <v>64</v>
      </c>
      <c r="R91" t="s">
        <v>64</v>
      </c>
      <c r="S91" s="85" t="s">
        <v>95</v>
      </c>
      <c r="T91" t="s">
        <v>192</v>
      </c>
      <c r="U91" t="s">
        <v>193</v>
      </c>
      <c r="V91" s="2" t="s">
        <v>194</v>
      </c>
      <c r="W91" s="2" t="s">
        <v>65</v>
      </c>
      <c r="Z91" s="2" t="s">
        <v>186</v>
      </c>
      <c r="AA91" s="2" t="s">
        <v>187</v>
      </c>
      <c r="AB91" s="2" t="s">
        <v>66</v>
      </c>
      <c r="AC91" s="2" t="s">
        <v>67</v>
      </c>
    </row>
    <row r="92" spans="1:29" hidden="1" x14ac:dyDescent="0.25">
      <c r="A92" t="s">
        <v>107</v>
      </c>
      <c r="B92" t="s">
        <v>69</v>
      </c>
      <c r="C92" t="s">
        <v>8</v>
      </c>
      <c r="D92" t="s">
        <v>14</v>
      </c>
      <c r="E92" t="s">
        <v>79</v>
      </c>
      <c r="F92" t="s">
        <v>79</v>
      </c>
      <c r="G92" s="2" t="s">
        <v>8</v>
      </c>
      <c r="H92" t="s">
        <v>64</v>
      </c>
      <c r="I92" s="34" t="s">
        <v>190</v>
      </c>
      <c r="J92" s="2" t="s">
        <v>191</v>
      </c>
      <c r="K92" t="s">
        <v>108</v>
      </c>
      <c r="L92" t="s">
        <v>89</v>
      </c>
      <c r="M92" s="2" t="s">
        <v>78</v>
      </c>
      <c r="N92" t="s">
        <v>164</v>
      </c>
      <c r="O92" t="s">
        <v>134</v>
      </c>
      <c r="P92" s="2" t="s">
        <v>20</v>
      </c>
      <c r="Q92" t="s">
        <v>64</v>
      </c>
      <c r="R92" t="s">
        <v>64</v>
      </c>
      <c r="S92" s="85" t="s">
        <v>95</v>
      </c>
      <c r="T92" t="s">
        <v>192</v>
      </c>
      <c r="U92" t="s">
        <v>193</v>
      </c>
      <c r="V92" s="2" t="s">
        <v>194</v>
      </c>
      <c r="W92" s="2" t="s">
        <v>65</v>
      </c>
      <c r="Z92" s="2" t="s">
        <v>186</v>
      </c>
      <c r="AA92" s="2" t="s">
        <v>187</v>
      </c>
      <c r="AB92" s="2" t="s">
        <v>66</v>
      </c>
      <c r="AC92" s="2" t="s">
        <v>67</v>
      </c>
    </row>
    <row r="93" spans="1:29" hidden="1" x14ac:dyDescent="0.25">
      <c r="A93" t="s">
        <v>107</v>
      </c>
      <c r="B93" t="s">
        <v>69</v>
      </c>
      <c r="C93" t="s">
        <v>8</v>
      </c>
      <c r="D93" t="s">
        <v>14</v>
      </c>
      <c r="E93" t="s">
        <v>79</v>
      </c>
      <c r="F93" t="s">
        <v>79</v>
      </c>
      <c r="G93" s="2" t="s">
        <v>8</v>
      </c>
      <c r="H93" t="s">
        <v>64</v>
      </c>
      <c r="I93" s="34" t="s">
        <v>190</v>
      </c>
      <c r="J93" s="2" t="s">
        <v>191</v>
      </c>
      <c r="K93" t="s">
        <v>108</v>
      </c>
      <c r="L93" t="s">
        <v>89</v>
      </c>
      <c r="M93" s="2" t="s">
        <v>78</v>
      </c>
      <c r="N93" t="s">
        <v>164</v>
      </c>
      <c r="O93" t="s">
        <v>35</v>
      </c>
      <c r="P93" s="2" t="s">
        <v>20</v>
      </c>
      <c r="Q93" t="s">
        <v>64</v>
      </c>
      <c r="R93" t="s">
        <v>64</v>
      </c>
      <c r="S93" s="85" t="s">
        <v>95</v>
      </c>
      <c r="T93" t="s">
        <v>192</v>
      </c>
      <c r="U93" t="s">
        <v>193</v>
      </c>
      <c r="V93" s="2" t="s">
        <v>194</v>
      </c>
      <c r="W93" s="2" t="s">
        <v>65</v>
      </c>
      <c r="Z93" s="2" t="s">
        <v>186</v>
      </c>
      <c r="AA93" s="2" t="s">
        <v>187</v>
      </c>
      <c r="AB93" s="2" t="s">
        <v>66</v>
      </c>
      <c r="AC93" s="2" t="s">
        <v>67</v>
      </c>
    </row>
    <row r="94" spans="1:29" hidden="1" x14ac:dyDescent="0.25">
      <c r="A94" t="s">
        <v>107</v>
      </c>
      <c r="B94" t="s">
        <v>69</v>
      </c>
      <c r="C94" t="s">
        <v>8</v>
      </c>
      <c r="D94" t="s">
        <v>14</v>
      </c>
      <c r="E94" t="s">
        <v>79</v>
      </c>
      <c r="F94" t="s">
        <v>79</v>
      </c>
      <c r="G94" s="2" t="s">
        <v>8</v>
      </c>
      <c r="H94" t="s">
        <v>64</v>
      </c>
      <c r="I94" s="34" t="s">
        <v>190</v>
      </c>
      <c r="J94" s="2" t="s">
        <v>191</v>
      </c>
      <c r="K94" t="s">
        <v>108</v>
      </c>
      <c r="L94" t="s">
        <v>89</v>
      </c>
      <c r="M94" s="2" t="s">
        <v>78</v>
      </c>
      <c r="N94" t="s">
        <v>164</v>
      </c>
      <c r="O94" t="s">
        <v>135</v>
      </c>
      <c r="P94" s="2" t="s">
        <v>81</v>
      </c>
      <c r="Q94" t="s">
        <v>64</v>
      </c>
      <c r="R94" t="s">
        <v>64</v>
      </c>
      <c r="S94" s="85" t="s">
        <v>95</v>
      </c>
      <c r="T94" t="s">
        <v>192</v>
      </c>
      <c r="U94" t="s">
        <v>193</v>
      </c>
      <c r="V94" s="2" t="s">
        <v>194</v>
      </c>
      <c r="W94" s="2" t="s">
        <v>65</v>
      </c>
      <c r="Z94" s="2" t="s">
        <v>186</v>
      </c>
      <c r="AA94" s="2" t="s">
        <v>187</v>
      </c>
      <c r="AB94" s="2" t="s">
        <v>66</v>
      </c>
      <c r="AC94" s="2" t="s">
        <v>67</v>
      </c>
    </row>
    <row r="95" spans="1:29" hidden="1" x14ac:dyDescent="0.25">
      <c r="A95" t="s">
        <v>107</v>
      </c>
      <c r="B95" t="s">
        <v>69</v>
      </c>
      <c r="C95" t="s">
        <v>8</v>
      </c>
      <c r="D95" t="s">
        <v>14</v>
      </c>
      <c r="E95" t="s">
        <v>79</v>
      </c>
      <c r="F95" t="s">
        <v>79</v>
      </c>
      <c r="G95" s="2" t="s">
        <v>8</v>
      </c>
      <c r="H95" t="s">
        <v>64</v>
      </c>
      <c r="I95" s="34" t="s">
        <v>190</v>
      </c>
      <c r="J95" s="2" t="s">
        <v>191</v>
      </c>
      <c r="K95" t="s">
        <v>108</v>
      </c>
      <c r="L95" t="s">
        <v>89</v>
      </c>
      <c r="M95" s="2" t="s">
        <v>78</v>
      </c>
      <c r="N95" t="s">
        <v>164</v>
      </c>
      <c r="O95" t="s">
        <v>99</v>
      </c>
      <c r="P95" s="2" t="s">
        <v>20</v>
      </c>
      <c r="Q95" t="s">
        <v>64</v>
      </c>
      <c r="R95" t="s">
        <v>64</v>
      </c>
      <c r="S95" s="85" t="s">
        <v>95</v>
      </c>
      <c r="T95" t="s">
        <v>192</v>
      </c>
      <c r="U95" t="s">
        <v>193</v>
      </c>
      <c r="V95" s="2" t="s">
        <v>194</v>
      </c>
      <c r="W95" s="2" t="s">
        <v>65</v>
      </c>
      <c r="Z95" s="2" t="s">
        <v>186</v>
      </c>
      <c r="AA95" s="2" t="s">
        <v>187</v>
      </c>
      <c r="AB95" s="2" t="s">
        <v>66</v>
      </c>
      <c r="AC95" s="2" t="s">
        <v>67</v>
      </c>
    </row>
    <row r="96" spans="1:29" hidden="1" x14ac:dyDescent="0.25">
      <c r="A96" t="s">
        <v>107</v>
      </c>
      <c r="B96" t="s">
        <v>69</v>
      </c>
      <c r="C96" t="s">
        <v>8</v>
      </c>
      <c r="D96" t="s">
        <v>14</v>
      </c>
      <c r="E96" t="s">
        <v>79</v>
      </c>
      <c r="F96" t="s">
        <v>79</v>
      </c>
      <c r="G96" s="2" t="s">
        <v>8</v>
      </c>
      <c r="H96" t="s">
        <v>64</v>
      </c>
      <c r="I96" s="34" t="s">
        <v>190</v>
      </c>
      <c r="J96" s="2" t="s">
        <v>191</v>
      </c>
      <c r="K96" t="s">
        <v>108</v>
      </c>
      <c r="L96" t="s">
        <v>89</v>
      </c>
      <c r="M96" s="2" t="s">
        <v>78</v>
      </c>
      <c r="N96" t="s">
        <v>164</v>
      </c>
      <c r="O96" t="s">
        <v>100</v>
      </c>
      <c r="P96" s="2" t="s">
        <v>20</v>
      </c>
      <c r="Q96" t="s">
        <v>64</v>
      </c>
      <c r="R96" t="s">
        <v>64</v>
      </c>
      <c r="S96" s="85" t="s">
        <v>95</v>
      </c>
      <c r="T96" t="s">
        <v>192</v>
      </c>
      <c r="U96" t="s">
        <v>193</v>
      </c>
      <c r="V96" s="2" t="s">
        <v>194</v>
      </c>
      <c r="W96" s="2" t="s">
        <v>65</v>
      </c>
      <c r="Z96" s="2" t="s">
        <v>186</v>
      </c>
      <c r="AA96" s="2" t="s">
        <v>187</v>
      </c>
      <c r="AB96" s="2" t="s">
        <v>66</v>
      </c>
      <c r="AC96" s="2" t="s">
        <v>67</v>
      </c>
    </row>
    <row r="97" spans="1:29" hidden="1" x14ac:dyDescent="0.25">
      <c r="A97" t="s">
        <v>107</v>
      </c>
      <c r="B97" t="s">
        <v>69</v>
      </c>
      <c r="C97" t="s">
        <v>8</v>
      </c>
      <c r="D97" t="s">
        <v>14</v>
      </c>
      <c r="E97" t="s">
        <v>79</v>
      </c>
      <c r="F97" t="s">
        <v>79</v>
      </c>
      <c r="G97" s="2" t="s">
        <v>8</v>
      </c>
      <c r="H97" t="s">
        <v>64</v>
      </c>
      <c r="I97" s="34" t="s">
        <v>190</v>
      </c>
      <c r="J97" s="2" t="s">
        <v>191</v>
      </c>
      <c r="K97" t="s">
        <v>108</v>
      </c>
      <c r="L97" t="s">
        <v>89</v>
      </c>
      <c r="M97" s="2" t="s">
        <v>78</v>
      </c>
      <c r="N97" t="s">
        <v>164</v>
      </c>
      <c r="O97" t="s">
        <v>101</v>
      </c>
      <c r="P97" s="2" t="s">
        <v>81</v>
      </c>
      <c r="Q97" t="s">
        <v>64</v>
      </c>
      <c r="R97" t="s">
        <v>64</v>
      </c>
      <c r="S97" s="85" t="s">
        <v>95</v>
      </c>
      <c r="T97" t="s">
        <v>192</v>
      </c>
      <c r="U97" t="s">
        <v>193</v>
      </c>
      <c r="V97" s="2" t="s">
        <v>194</v>
      </c>
      <c r="W97" s="2" t="s">
        <v>65</v>
      </c>
      <c r="Z97" s="2" t="s">
        <v>186</v>
      </c>
      <c r="AA97" s="2" t="s">
        <v>187</v>
      </c>
      <c r="AB97" s="2" t="s">
        <v>66</v>
      </c>
      <c r="AC97" s="2" t="s">
        <v>67</v>
      </c>
    </row>
    <row r="98" spans="1:29" hidden="1" x14ac:dyDescent="0.25">
      <c r="A98" t="s">
        <v>107</v>
      </c>
      <c r="B98" t="s">
        <v>69</v>
      </c>
      <c r="C98" t="s">
        <v>8</v>
      </c>
      <c r="D98" t="s">
        <v>14</v>
      </c>
      <c r="E98" t="s">
        <v>79</v>
      </c>
      <c r="F98" t="s">
        <v>79</v>
      </c>
      <c r="G98" s="2" t="s">
        <v>8</v>
      </c>
      <c r="H98" t="s">
        <v>64</v>
      </c>
      <c r="I98" s="34" t="s">
        <v>190</v>
      </c>
      <c r="J98" s="2" t="s">
        <v>191</v>
      </c>
      <c r="K98" t="s">
        <v>108</v>
      </c>
      <c r="L98" t="s">
        <v>89</v>
      </c>
      <c r="M98" s="2" t="s">
        <v>78</v>
      </c>
      <c r="N98" t="s">
        <v>164</v>
      </c>
      <c r="O98" t="s">
        <v>102</v>
      </c>
      <c r="P98" s="2" t="s">
        <v>81</v>
      </c>
      <c r="Q98" t="s">
        <v>64</v>
      </c>
      <c r="R98" t="s">
        <v>64</v>
      </c>
      <c r="S98" s="85" t="s">
        <v>95</v>
      </c>
      <c r="T98" t="s">
        <v>192</v>
      </c>
      <c r="U98" t="s">
        <v>193</v>
      </c>
      <c r="V98" s="2" t="s">
        <v>194</v>
      </c>
      <c r="W98" s="2" t="s">
        <v>65</v>
      </c>
      <c r="Z98" s="2" t="s">
        <v>186</v>
      </c>
      <c r="AA98" s="2" t="s">
        <v>187</v>
      </c>
      <c r="AB98" s="2" t="s">
        <v>66</v>
      </c>
      <c r="AC98" s="2" t="s">
        <v>67</v>
      </c>
    </row>
    <row r="99" spans="1:29" hidden="1" x14ac:dyDescent="0.25">
      <c r="A99" t="s">
        <v>107</v>
      </c>
      <c r="B99" t="s">
        <v>69</v>
      </c>
      <c r="C99" t="s">
        <v>8</v>
      </c>
      <c r="D99" t="s">
        <v>14</v>
      </c>
      <c r="E99" t="s">
        <v>79</v>
      </c>
      <c r="F99" t="s">
        <v>79</v>
      </c>
      <c r="G99" s="2" t="s">
        <v>8</v>
      </c>
      <c r="H99" t="s">
        <v>64</v>
      </c>
      <c r="I99" s="34" t="s">
        <v>190</v>
      </c>
      <c r="J99" s="2" t="s">
        <v>191</v>
      </c>
      <c r="K99" t="s">
        <v>108</v>
      </c>
      <c r="L99" t="s">
        <v>89</v>
      </c>
      <c r="M99" s="2" t="s">
        <v>78</v>
      </c>
      <c r="N99" t="s">
        <v>164</v>
      </c>
      <c r="O99" t="s">
        <v>103</v>
      </c>
      <c r="P99" s="2" t="s">
        <v>81</v>
      </c>
      <c r="Q99" t="s">
        <v>64</v>
      </c>
      <c r="R99" t="s">
        <v>64</v>
      </c>
      <c r="S99" s="85" t="s">
        <v>95</v>
      </c>
      <c r="T99" t="s">
        <v>192</v>
      </c>
      <c r="U99" t="s">
        <v>193</v>
      </c>
      <c r="V99" s="2" t="s">
        <v>194</v>
      </c>
      <c r="W99" s="2" t="s">
        <v>65</v>
      </c>
      <c r="Z99" s="2" t="s">
        <v>186</v>
      </c>
      <c r="AA99" s="2" t="s">
        <v>187</v>
      </c>
      <c r="AB99" s="2" t="s">
        <v>66</v>
      </c>
      <c r="AC99" s="2" t="s">
        <v>67</v>
      </c>
    </row>
    <row r="100" spans="1:29" hidden="1" x14ac:dyDescent="0.25">
      <c r="A100" t="s">
        <v>107</v>
      </c>
      <c r="B100" t="s">
        <v>69</v>
      </c>
      <c r="C100" t="s">
        <v>8</v>
      </c>
      <c r="D100" t="s">
        <v>14</v>
      </c>
      <c r="E100" t="s">
        <v>79</v>
      </c>
      <c r="F100" t="s">
        <v>79</v>
      </c>
      <c r="G100" s="2" t="s">
        <v>8</v>
      </c>
      <c r="H100" t="s">
        <v>64</v>
      </c>
      <c r="I100" s="34" t="s">
        <v>190</v>
      </c>
      <c r="J100" s="2" t="s">
        <v>191</v>
      </c>
      <c r="K100" t="s">
        <v>108</v>
      </c>
      <c r="L100" t="s">
        <v>89</v>
      </c>
      <c r="M100" s="2" t="s">
        <v>78</v>
      </c>
      <c r="N100" t="s">
        <v>164</v>
      </c>
      <c r="O100" t="s">
        <v>104</v>
      </c>
      <c r="P100" s="2" t="s">
        <v>81</v>
      </c>
      <c r="Q100" t="s">
        <v>64</v>
      </c>
      <c r="R100" t="s">
        <v>64</v>
      </c>
      <c r="S100" s="85" t="s">
        <v>95</v>
      </c>
      <c r="T100" t="s">
        <v>192</v>
      </c>
      <c r="U100" t="s">
        <v>193</v>
      </c>
      <c r="V100" s="2" t="s">
        <v>194</v>
      </c>
      <c r="W100" s="2" t="s">
        <v>65</v>
      </c>
      <c r="Z100" s="2" t="s">
        <v>186</v>
      </c>
      <c r="AA100" s="2" t="s">
        <v>187</v>
      </c>
      <c r="AB100" s="2" t="s">
        <v>66</v>
      </c>
      <c r="AC100" s="2" t="s">
        <v>67</v>
      </c>
    </row>
    <row r="101" spans="1:29" hidden="1" x14ac:dyDescent="0.25">
      <c r="A101" t="s">
        <v>107</v>
      </c>
      <c r="B101" t="s">
        <v>69</v>
      </c>
      <c r="C101" t="s">
        <v>8</v>
      </c>
      <c r="D101" t="s">
        <v>14</v>
      </c>
      <c r="E101" t="s">
        <v>79</v>
      </c>
      <c r="F101" t="s">
        <v>79</v>
      </c>
      <c r="G101" s="2" t="s">
        <v>8</v>
      </c>
      <c r="H101" t="s">
        <v>64</v>
      </c>
      <c r="I101" s="34" t="s">
        <v>190</v>
      </c>
      <c r="J101" s="2" t="s">
        <v>191</v>
      </c>
      <c r="K101" t="s">
        <v>108</v>
      </c>
      <c r="L101" t="s">
        <v>89</v>
      </c>
      <c r="M101" s="2" t="s">
        <v>78</v>
      </c>
      <c r="N101" t="s">
        <v>164</v>
      </c>
      <c r="O101" t="s">
        <v>136</v>
      </c>
      <c r="P101" s="2" t="s">
        <v>20</v>
      </c>
      <c r="Q101" t="s">
        <v>64</v>
      </c>
      <c r="R101" t="s">
        <v>64</v>
      </c>
      <c r="S101" s="85" t="s">
        <v>95</v>
      </c>
      <c r="T101" t="s">
        <v>192</v>
      </c>
      <c r="U101" t="s">
        <v>193</v>
      </c>
      <c r="V101" s="2" t="s">
        <v>194</v>
      </c>
      <c r="W101" s="2" t="s">
        <v>65</v>
      </c>
      <c r="Z101" s="2" t="s">
        <v>186</v>
      </c>
      <c r="AA101" s="2" t="s">
        <v>187</v>
      </c>
      <c r="AB101" s="2" t="s">
        <v>66</v>
      </c>
      <c r="AC101" s="2" t="s">
        <v>67</v>
      </c>
    </row>
    <row r="102" spans="1:29" hidden="1" x14ac:dyDescent="0.25">
      <c r="A102" t="s">
        <v>107</v>
      </c>
      <c r="B102" t="s">
        <v>69</v>
      </c>
      <c r="C102" t="s">
        <v>8</v>
      </c>
      <c r="D102" t="s">
        <v>14</v>
      </c>
      <c r="E102" t="s">
        <v>79</v>
      </c>
      <c r="F102" t="s">
        <v>79</v>
      </c>
      <c r="G102" s="2" t="s">
        <v>8</v>
      </c>
      <c r="H102" t="s">
        <v>64</v>
      </c>
      <c r="I102" s="34" t="s">
        <v>190</v>
      </c>
      <c r="J102" s="2" t="s">
        <v>191</v>
      </c>
      <c r="K102" t="s">
        <v>108</v>
      </c>
      <c r="L102" t="s">
        <v>89</v>
      </c>
      <c r="M102" s="2" t="s">
        <v>78</v>
      </c>
      <c r="N102" t="s">
        <v>164</v>
      </c>
      <c r="O102" t="s">
        <v>137</v>
      </c>
      <c r="P102" s="2" t="s">
        <v>20</v>
      </c>
      <c r="Q102" t="s">
        <v>64</v>
      </c>
      <c r="R102" t="s">
        <v>64</v>
      </c>
      <c r="S102" s="85" t="s">
        <v>95</v>
      </c>
      <c r="T102" t="s">
        <v>192</v>
      </c>
      <c r="U102" t="s">
        <v>193</v>
      </c>
      <c r="V102" s="2" t="s">
        <v>194</v>
      </c>
      <c r="W102" s="2" t="s">
        <v>65</v>
      </c>
      <c r="Z102" s="2" t="s">
        <v>186</v>
      </c>
      <c r="AA102" s="2" t="s">
        <v>187</v>
      </c>
      <c r="AB102" s="2" t="s">
        <v>66</v>
      </c>
      <c r="AC102" s="2" t="s">
        <v>67</v>
      </c>
    </row>
    <row r="103" spans="1:29" hidden="1" x14ac:dyDescent="0.25">
      <c r="A103" t="s">
        <v>107</v>
      </c>
      <c r="B103" t="s">
        <v>69</v>
      </c>
      <c r="C103" t="s">
        <v>8</v>
      </c>
      <c r="D103" t="s">
        <v>14</v>
      </c>
      <c r="E103" t="s">
        <v>79</v>
      </c>
      <c r="F103" t="s">
        <v>79</v>
      </c>
      <c r="G103" s="2" t="s">
        <v>8</v>
      </c>
      <c r="H103" t="s">
        <v>64</v>
      </c>
      <c r="I103" s="34" t="s">
        <v>190</v>
      </c>
      <c r="J103" s="2" t="s">
        <v>191</v>
      </c>
      <c r="K103" t="s">
        <v>108</v>
      </c>
      <c r="L103" t="s">
        <v>89</v>
      </c>
      <c r="M103" s="2" t="s">
        <v>78</v>
      </c>
      <c r="N103" t="s">
        <v>164</v>
      </c>
      <c r="O103" t="s">
        <v>138</v>
      </c>
      <c r="P103" s="2" t="s">
        <v>20</v>
      </c>
      <c r="Q103" t="s">
        <v>64</v>
      </c>
      <c r="R103" t="s">
        <v>64</v>
      </c>
      <c r="S103" s="85" t="s">
        <v>95</v>
      </c>
      <c r="T103" t="s">
        <v>192</v>
      </c>
      <c r="U103" t="s">
        <v>193</v>
      </c>
      <c r="V103" s="2" t="s">
        <v>194</v>
      </c>
      <c r="W103" s="2" t="s">
        <v>65</v>
      </c>
      <c r="Z103" s="2" t="s">
        <v>186</v>
      </c>
      <c r="AA103" s="2" t="s">
        <v>187</v>
      </c>
      <c r="AB103" s="2" t="s">
        <v>66</v>
      </c>
      <c r="AC103" s="2" t="s">
        <v>67</v>
      </c>
    </row>
    <row r="104" spans="1:29" hidden="1" x14ac:dyDescent="0.25">
      <c r="A104" t="s">
        <v>107</v>
      </c>
      <c r="B104" t="s">
        <v>69</v>
      </c>
      <c r="C104" t="s">
        <v>8</v>
      </c>
      <c r="D104" t="s">
        <v>14</v>
      </c>
      <c r="E104" t="s">
        <v>79</v>
      </c>
      <c r="F104" t="s">
        <v>79</v>
      </c>
      <c r="G104" s="2" t="s">
        <v>8</v>
      </c>
      <c r="H104" t="s">
        <v>64</v>
      </c>
      <c r="I104" s="34" t="s">
        <v>190</v>
      </c>
      <c r="J104" s="2" t="s">
        <v>191</v>
      </c>
      <c r="K104" t="s">
        <v>108</v>
      </c>
      <c r="L104" t="s">
        <v>89</v>
      </c>
      <c r="M104" s="2" t="s">
        <v>78</v>
      </c>
      <c r="N104" t="s">
        <v>164</v>
      </c>
      <c r="O104" t="s">
        <v>139</v>
      </c>
      <c r="P104" s="2" t="s">
        <v>169</v>
      </c>
      <c r="Q104" t="s">
        <v>64</v>
      </c>
      <c r="R104" t="s">
        <v>64</v>
      </c>
      <c r="S104" s="85" t="s">
        <v>95</v>
      </c>
      <c r="T104" t="s">
        <v>192</v>
      </c>
      <c r="U104" t="s">
        <v>193</v>
      </c>
      <c r="V104" s="2" t="s">
        <v>194</v>
      </c>
      <c r="W104" s="2" t="s">
        <v>65</v>
      </c>
      <c r="Z104" s="2" t="s">
        <v>186</v>
      </c>
      <c r="AA104" s="2" t="s">
        <v>187</v>
      </c>
      <c r="AB104" s="2" t="s">
        <v>66</v>
      </c>
      <c r="AC104" s="2" t="s">
        <v>67</v>
      </c>
    </row>
    <row r="105" spans="1:29" hidden="1" x14ac:dyDescent="0.25">
      <c r="A105" t="s">
        <v>107</v>
      </c>
      <c r="B105" t="s">
        <v>69</v>
      </c>
      <c r="C105" t="s">
        <v>8</v>
      </c>
      <c r="D105" t="s">
        <v>14</v>
      </c>
      <c r="E105" t="s">
        <v>79</v>
      </c>
      <c r="F105" t="s">
        <v>79</v>
      </c>
      <c r="G105" s="2" t="s">
        <v>8</v>
      </c>
      <c r="H105" t="s">
        <v>64</v>
      </c>
      <c r="I105" s="34" t="s">
        <v>190</v>
      </c>
      <c r="J105" s="2" t="s">
        <v>191</v>
      </c>
      <c r="K105" t="s">
        <v>108</v>
      </c>
      <c r="L105" t="s">
        <v>89</v>
      </c>
      <c r="M105" s="2" t="s">
        <v>78</v>
      </c>
      <c r="N105" t="s">
        <v>164</v>
      </c>
      <c r="O105" t="s">
        <v>147</v>
      </c>
      <c r="P105" s="2" t="s">
        <v>20</v>
      </c>
      <c r="Q105" t="s">
        <v>64</v>
      </c>
      <c r="R105" t="s">
        <v>64</v>
      </c>
      <c r="S105" s="85" t="s">
        <v>95</v>
      </c>
      <c r="T105" t="s">
        <v>192</v>
      </c>
      <c r="U105" t="s">
        <v>193</v>
      </c>
      <c r="V105" s="2" t="s">
        <v>194</v>
      </c>
      <c r="W105" s="2" t="s">
        <v>65</v>
      </c>
      <c r="Z105" s="2" t="s">
        <v>186</v>
      </c>
      <c r="AA105" s="2" t="s">
        <v>187</v>
      </c>
      <c r="AB105" s="2" t="s">
        <v>66</v>
      </c>
      <c r="AC105" s="2" t="s">
        <v>67</v>
      </c>
    </row>
    <row r="106" spans="1:29" hidden="1" x14ac:dyDescent="0.25">
      <c r="A106" t="s">
        <v>107</v>
      </c>
      <c r="B106" t="s">
        <v>69</v>
      </c>
      <c r="C106" t="s">
        <v>8</v>
      </c>
      <c r="D106" t="s">
        <v>14</v>
      </c>
      <c r="E106" t="s">
        <v>79</v>
      </c>
      <c r="F106" t="s">
        <v>79</v>
      </c>
      <c r="G106" s="2" t="s">
        <v>8</v>
      </c>
      <c r="H106" t="s">
        <v>64</v>
      </c>
      <c r="I106" s="34" t="s">
        <v>190</v>
      </c>
      <c r="J106" s="2" t="s">
        <v>191</v>
      </c>
      <c r="K106" t="s">
        <v>108</v>
      </c>
      <c r="L106" t="s">
        <v>89</v>
      </c>
      <c r="M106" s="2" t="s">
        <v>78</v>
      </c>
      <c r="N106" t="s">
        <v>164</v>
      </c>
      <c r="O106" t="s">
        <v>148</v>
      </c>
      <c r="P106" s="2" t="s">
        <v>20</v>
      </c>
      <c r="Q106" t="s">
        <v>64</v>
      </c>
      <c r="R106" t="s">
        <v>64</v>
      </c>
      <c r="S106" s="85" t="s">
        <v>95</v>
      </c>
      <c r="T106" t="s">
        <v>192</v>
      </c>
      <c r="U106" t="s">
        <v>193</v>
      </c>
      <c r="V106" s="2" t="s">
        <v>194</v>
      </c>
      <c r="W106" s="2" t="s">
        <v>65</v>
      </c>
      <c r="Z106" s="2" t="s">
        <v>186</v>
      </c>
      <c r="AA106" s="2" t="s">
        <v>187</v>
      </c>
      <c r="AB106" s="2" t="s">
        <v>66</v>
      </c>
      <c r="AC106" s="2" t="s">
        <v>67</v>
      </c>
    </row>
    <row r="107" spans="1:29" hidden="1" x14ac:dyDescent="0.25">
      <c r="A107" t="s">
        <v>107</v>
      </c>
      <c r="B107" t="s">
        <v>69</v>
      </c>
      <c r="C107" t="s">
        <v>8</v>
      </c>
      <c r="D107" t="s">
        <v>14</v>
      </c>
      <c r="E107" t="s">
        <v>79</v>
      </c>
      <c r="F107" t="s">
        <v>79</v>
      </c>
      <c r="G107" s="2" t="s">
        <v>8</v>
      </c>
      <c r="H107" t="s">
        <v>64</v>
      </c>
      <c r="I107" s="34" t="s">
        <v>190</v>
      </c>
      <c r="J107" s="2" t="s">
        <v>191</v>
      </c>
      <c r="K107" t="s">
        <v>108</v>
      </c>
      <c r="L107" t="s">
        <v>89</v>
      </c>
      <c r="M107" s="2" t="s">
        <v>78</v>
      </c>
      <c r="N107" t="s">
        <v>164</v>
      </c>
      <c r="O107" t="s">
        <v>149</v>
      </c>
      <c r="P107" s="2" t="s">
        <v>20</v>
      </c>
      <c r="Q107" t="s">
        <v>64</v>
      </c>
      <c r="R107" t="s">
        <v>64</v>
      </c>
      <c r="S107" s="85" t="s">
        <v>95</v>
      </c>
      <c r="T107" t="s">
        <v>192</v>
      </c>
      <c r="U107" t="s">
        <v>193</v>
      </c>
      <c r="V107" s="2" t="s">
        <v>194</v>
      </c>
      <c r="W107" s="2" t="s">
        <v>65</v>
      </c>
      <c r="Z107" s="2" t="s">
        <v>186</v>
      </c>
      <c r="AA107" s="2" t="s">
        <v>187</v>
      </c>
      <c r="AB107" s="2" t="s">
        <v>66</v>
      </c>
      <c r="AC107" s="2" t="s">
        <v>67</v>
      </c>
    </row>
    <row r="108" spans="1:29" hidden="1" x14ac:dyDescent="0.25">
      <c r="A108" t="s">
        <v>107</v>
      </c>
      <c r="B108" t="s">
        <v>69</v>
      </c>
      <c r="C108" t="s">
        <v>8</v>
      </c>
      <c r="D108" t="s">
        <v>14</v>
      </c>
      <c r="E108" t="s">
        <v>79</v>
      </c>
      <c r="F108" t="s">
        <v>79</v>
      </c>
      <c r="G108" s="2" t="s">
        <v>8</v>
      </c>
      <c r="H108" t="s">
        <v>64</v>
      </c>
      <c r="I108" s="34" t="s">
        <v>190</v>
      </c>
      <c r="J108" s="2" t="s">
        <v>191</v>
      </c>
      <c r="K108" t="s">
        <v>108</v>
      </c>
      <c r="L108" t="s">
        <v>89</v>
      </c>
      <c r="M108" s="2" t="s">
        <v>78</v>
      </c>
      <c r="N108" t="s">
        <v>164</v>
      </c>
      <c r="O108" t="s">
        <v>150</v>
      </c>
      <c r="P108" s="2" t="s">
        <v>20</v>
      </c>
      <c r="Q108" t="s">
        <v>64</v>
      </c>
      <c r="R108" t="s">
        <v>64</v>
      </c>
      <c r="S108" s="85" t="s">
        <v>95</v>
      </c>
      <c r="T108" t="s">
        <v>192</v>
      </c>
      <c r="U108" t="s">
        <v>193</v>
      </c>
      <c r="V108" s="2" t="s">
        <v>194</v>
      </c>
      <c r="W108" s="2" t="s">
        <v>65</v>
      </c>
      <c r="Z108" s="2" t="s">
        <v>186</v>
      </c>
      <c r="AA108" s="2" t="s">
        <v>187</v>
      </c>
      <c r="AB108" s="2" t="s">
        <v>66</v>
      </c>
      <c r="AC108" s="2" t="s">
        <v>67</v>
      </c>
    </row>
    <row r="109" spans="1:29" hidden="1" x14ac:dyDescent="0.25">
      <c r="A109" t="s">
        <v>107</v>
      </c>
      <c r="B109" t="s">
        <v>69</v>
      </c>
      <c r="C109" t="s">
        <v>8</v>
      </c>
      <c r="D109" t="s">
        <v>14</v>
      </c>
      <c r="E109" t="s">
        <v>79</v>
      </c>
      <c r="F109" t="s">
        <v>79</v>
      </c>
      <c r="G109" s="2" t="s">
        <v>8</v>
      </c>
      <c r="H109" t="s">
        <v>64</v>
      </c>
      <c r="I109" s="34" t="s">
        <v>190</v>
      </c>
      <c r="J109" s="2" t="s">
        <v>191</v>
      </c>
      <c r="K109" t="s">
        <v>108</v>
      </c>
      <c r="L109" t="s">
        <v>89</v>
      </c>
      <c r="M109" s="2" t="s">
        <v>78</v>
      </c>
      <c r="N109" t="s">
        <v>164</v>
      </c>
      <c r="O109" t="s">
        <v>151</v>
      </c>
      <c r="P109" s="2" t="s">
        <v>81</v>
      </c>
      <c r="Q109" t="s">
        <v>64</v>
      </c>
      <c r="R109" t="s">
        <v>64</v>
      </c>
      <c r="S109" s="85" t="s">
        <v>95</v>
      </c>
      <c r="T109" t="s">
        <v>192</v>
      </c>
      <c r="U109" t="s">
        <v>193</v>
      </c>
      <c r="V109" s="2" t="s">
        <v>194</v>
      </c>
      <c r="W109" s="2" t="s">
        <v>65</v>
      </c>
      <c r="Z109" s="2" t="s">
        <v>186</v>
      </c>
      <c r="AA109" s="2" t="s">
        <v>187</v>
      </c>
      <c r="AB109" s="2" t="s">
        <v>66</v>
      </c>
      <c r="AC109" s="2" t="s">
        <v>67</v>
      </c>
    </row>
    <row r="110" spans="1:29" hidden="1" x14ac:dyDescent="0.25">
      <c r="A110" t="s">
        <v>107</v>
      </c>
      <c r="B110" t="s">
        <v>69</v>
      </c>
      <c r="C110" t="s">
        <v>8</v>
      </c>
      <c r="D110" t="s">
        <v>14</v>
      </c>
      <c r="E110" t="s">
        <v>79</v>
      </c>
      <c r="F110" t="s">
        <v>79</v>
      </c>
      <c r="G110" s="2" t="s">
        <v>8</v>
      </c>
      <c r="H110" t="s">
        <v>64</v>
      </c>
      <c r="I110" s="34" t="s">
        <v>190</v>
      </c>
      <c r="J110" s="2" t="s">
        <v>191</v>
      </c>
      <c r="K110" t="s">
        <v>108</v>
      </c>
      <c r="L110" t="s">
        <v>89</v>
      </c>
      <c r="M110" s="2" t="s">
        <v>78</v>
      </c>
      <c r="N110" t="s">
        <v>164</v>
      </c>
      <c r="O110" t="s">
        <v>152</v>
      </c>
      <c r="P110" s="2" t="s">
        <v>170</v>
      </c>
      <c r="Q110" t="s">
        <v>64</v>
      </c>
      <c r="R110" t="s">
        <v>64</v>
      </c>
      <c r="S110" s="85" t="s">
        <v>95</v>
      </c>
      <c r="T110" t="s">
        <v>192</v>
      </c>
      <c r="U110" t="s">
        <v>193</v>
      </c>
      <c r="V110" s="2" t="s">
        <v>194</v>
      </c>
      <c r="W110" s="2" t="s">
        <v>65</v>
      </c>
      <c r="Z110" s="2" t="s">
        <v>186</v>
      </c>
      <c r="AA110" s="2" t="s">
        <v>187</v>
      </c>
      <c r="AB110" s="2" t="s">
        <v>66</v>
      </c>
      <c r="AC110" s="2" t="s">
        <v>67</v>
      </c>
    </row>
    <row r="111" spans="1:29" hidden="1" x14ac:dyDescent="0.25">
      <c r="A111" t="s">
        <v>107</v>
      </c>
      <c r="B111" t="s">
        <v>69</v>
      </c>
      <c r="C111" t="s">
        <v>8</v>
      </c>
      <c r="D111" t="s">
        <v>14</v>
      </c>
      <c r="E111" t="s">
        <v>79</v>
      </c>
      <c r="F111" t="s">
        <v>79</v>
      </c>
      <c r="G111" s="2" t="s">
        <v>8</v>
      </c>
      <c r="H111" t="s">
        <v>64</v>
      </c>
      <c r="I111" s="34" t="s">
        <v>190</v>
      </c>
      <c r="J111" s="2" t="s">
        <v>191</v>
      </c>
      <c r="K111" t="s">
        <v>108</v>
      </c>
      <c r="L111" t="s">
        <v>89</v>
      </c>
      <c r="M111" s="2" t="s">
        <v>78</v>
      </c>
      <c r="N111" t="s">
        <v>164</v>
      </c>
      <c r="O111" t="s">
        <v>153</v>
      </c>
      <c r="P111" s="2" t="s">
        <v>20</v>
      </c>
      <c r="Q111" t="s">
        <v>64</v>
      </c>
      <c r="R111" t="s">
        <v>64</v>
      </c>
      <c r="S111" s="85" t="s">
        <v>95</v>
      </c>
      <c r="T111" t="s">
        <v>192</v>
      </c>
      <c r="U111" t="s">
        <v>193</v>
      </c>
      <c r="V111" s="2" t="s">
        <v>194</v>
      </c>
      <c r="W111" s="2" t="s">
        <v>65</v>
      </c>
      <c r="Z111" s="2" t="s">
        <v>186</v>
      </c>
      <c r="AA111" s="2" t="s">
        <v>187</v>
      </c>
      <c r="AB111" s="2" t="s">
        <v>66</v>
      </c>
      <c r="AC111" s="2" t="s">
        <v>67</v>
      </c>
    </row>
    <row r="112" spans="1:29" hidden="1" x14ac:dyDescent="0.25">
      <c r="A112" t="s">
        <v>107</v>
      </c>
      <c r="B112" t="s">
        <v>69</v>
      </c>
      <c r="C112" t="s">
        <v>8</v>
      </c>
      <c r="D112" t="s">
        <v>14</v>
      </c>
      <c r="E112" t="s">
        <v>79</v>
      </c>
      <c r="F112" t="s">
        <v>79</v>
      </c>
      <c r="G112" s="2" t="s">
        <v>8</v>
      </c>
      <c r="H112" t="s">
        <v>64</v>
      </c>
      <c r="I112" s="34" t="s">
        <v>190</v>
      </c>
      <c r="J112" s="2" t="s">
        <v>191</v>
      </c>
      <c r="K112" t="s">
        <v>108</v>
      </c>
      <c r="L112" t="s">
        <v>89</v>
      </c>
      <c r="M112" s="2" t="s">
        <v>78</v>
      </c>
      <c r="N112" t="s">
        <v>164</v>
      </c>
      <c r="O112" t="s">
        <v>154</v>
      </c>
      <c r="P112" s="2" t="s">
        <v>20</v>
      </c>
      <c r="Q112" t="s">
        <v>64</v>
      </c>
      <c r="R112" t="s">
        <v>64</v>
      </c>
      <c r="S112" s="85" t="s">
        <v>95</v>
      </c>
      <c r="T112" t="s">
        <v>192</v>
      </c>
      <c r="U112" t="s">
        <v>193</v>
      </c>
      <c r="V112" s="2" t="s">
        <v>194</v>
      </c>
      <c r="W112" s="2" t="s">
        <v>65</v>
      </c>
      <c r="Z112" s="2" t="s">
        <v>186</v>
      </c>
      <c r="AA112" s="2" t="s">
        <v>187</v>
      </c>
      <c r="AB112" s="2" t="s">
        <v>66</v>
      </c>
      <c r="AC112" s="2" t="s">
        <v>67</v>
      </c>
    </row>
    <row r="113" spans="1:29" hidden="1" x14ac:dyDescent="0.25">
      <c r="A113" t="s">
        <v>107</v>
      </c>
      <c r="B113" t="s">
        <v>69</v>
      </c>
      <c r="C113" t="s">
        <v>8</v>
      </c>
      <c r="D113" t="s">
        <v>14</v>
      </c>
      <c r="E113" t="s">
        <v>79</v>
      </c>
      <c r="F113" t="s">
        <v>79</v>
      </c>
      <c r="G113" s="2" t="s">
        <v>8</v>
      </c>
      <c r="H113" t="s">
        <v>64</v>
      </c>
      <c r="I113" s="34" t="s">
        <v>190</v>
      </c>
      <c r="J113" s="2" t="s">
        <v>191</v>
      </c>
      <c r="K113" t="s">
        <v>108</v>
      </c>
      <c r="L113" t="s">
        <v>89</v>
      </c>
      <c r="M113" s="2" t="s">
        <v>78</v>
      </c>
      <c r="N113" t="s">
        <v>164</v>
      </c>
      <c r="O113" t="s">
        <v>155</v>
      </c>
      <c r="P113" s="2" t="s">
        <v>20</v>
      </c>
      <c r="Q113" t="s">
        <v>64</v>
      </c>
      <c r="R113" t="s">
        <v>64</v>
      </c>
      <c r="S113" s="85" t="s">
        <v>95</v>
      </c>
      <c r="T113" t="s">
        <v>192</v>
      </c>
      <c r="U113" t="s">
        <v>193</v>
      </c>
      <c r="V113" s="2" t="s">
        <v>194</v>
      </c>
      <c r="W113" s="2" t="s">
        <v>65</v>
      </c>
      <c r="Z113" s="2" t="s">
        <v>186</v>
      </c>
      <c r="AA113" s="2" t="s">
        <v>187</v>
      </c>
      <c r="AB113" s="2" t="s">
        <v>66</v>
      </c>
      <c r="AC113" s="2" t="s">
        <v>67</v>
      </c>
    </row>
    <row r="114" spans="1:29" hidden="1" x14ac:dyDescent="0.25">
      <c r="A114" t="s">
        <v>107</v>
      </c>
      <c r="B114" t="s">
        <v>69</v>
      </c>
      <c r="C114" t="s">
        <v>8</v>
      </c>
      <c r="D114" t="s">
        <v>14</v>
      </c>
      <c r="E114" t="s">
        <v>79</v>
      </c>
      <c r="F114" t="s">
        <v>79</v>
      </c>
      <c r="G114" s="2" t="s">
        <v>8</v>
      </c>
      <c r="H114" t="s">
        <v>64</v>
      </c>
      <c r="I114" s="34" t="s">
        <v>190</v>
      </c>
      <c r="J114" s="2" t="s">
        <v>191</v>
      </c>
      <c r="K114" t="s">
        <v>108</v>
      </c>
      <c r="L114" t="s">
        <v>89</v>
      </c>
      <c r="M114" s="2" t="s">
        <v>78</v>
      </c>
      <c r="N114" t="s">
        <v>164</v>
      </c>
      <c r="O114" t="s">
        <v>156</v>
      </c>
      <c r="P114" s="2" t="s">
        <v>20</v>
      </c>
      <c r="Q114" t="s">
        <v>64</v>
      </c>
      <c r="R114" t="s">
        <v>64</v>
      </c>
      <c r="S114" s="85" t="s">
        <v>95</v>
      </c>
      <c r="T114" t="s">
        <v>192</v>
      </c>
      <c r="U114" t="s">
        <v>193</v>
      </c>
      <c r="V114" s="2" t="s">
        <v>194</v>
      </c>
      <c r="W114" s="2" t="s">
        <v>65</v>
      </c>
      <c r="Z114" s="2" t="s">
        <v>186</v>
      </c>
      <c r="AA114" s="2" t="s">
        <v>187</v>
      </c>
      <c r="AB114" s="2" t="s">
        <v>66</v>
      </c>
      <c r="AC114" s="2" t="s">
        <v>67</v>
      </c>
    </row>
    <row r="115" spans="1:29" hidden="1" x14ac:dyDescent="0.25">
      <c r="A115" t="s">
        <v>107</v>
      </c>
      <c r="B115" t="s">
        <v>69</v>
      </c>
      <c r="C115" t="s">
        <v>8</v>
      </c>
      <c r="D115" t="s">
        <v>14</v>
      </c>
      <c r="E115" t="s">
        <v>79</v>
      </c>
      <c r="F115" t="s">
        <v>79</v>
      </c>
      <c r="G115" s="2" t="s">
        <v>8</v>
      </c>
      <c r="H115" t="s">
        <v>64</v>
      </c>
      <c r="I115" s="34" t="s">
        <v>190</v>
      </c>
      <c r="J115" s="2" t="s">
        <v>191</v>
      </c>
      <c r="K115" t="s">
        <v>108</v>
      </c>
      <c r="L115" t="s">
        <v>89</v>
      </c>
      <c r="M115" s="2" t="s">
        <v>78</v>
      </c>
      <c r="N115" t="s">
        <v>164</v>
      </c>
      <c r="O115" t="s">
        <v>157</v>
      </c>
      <c r="P115" s="2" t="s">
        <v>81</v>
      </c>
      <c r="Q115" t="s">
        <v>64</v>
      </c>
      <c r="R115" t="s">
        <v>64</v>
      </c>
      <c r="S115" s="85" t="s">
        <v>95</v>
      </c>
      <c r="T115" t="s">
        <v>192</v>
      </c>
      <c r="U115" t="s">
        <v>193</v>
      </c>
      <c r="V115" s="2" t="s">
        <v>194</v>
      </c>
      <c r="W115" s="2" t="s">
        <v>65</v>
      </c>
      <c r="Z115" s="2" t="s">
        <v>186</v>
      </c>
      <c r="AA115" s="2" t="s">
        <v>187</v>
      </c>
      <c r="AB115" s="2" t="s">
        <v>66</v>
      </c>
      <c r="AC115" s="2" t="s">
        <v>67</v>
      </c>
    </row>
    <row r="116" spans="1:29" hidden="1" x14ac:dyDescent="0.25">
      <c r="A116" t="s">
        <v>107</v>
      </c>
      <c r="B116" t="s">
        <v>69</v>
      </c>
      <c r="C116" t="s">
        <v>8</v>
      </c>
      <c r="D116" t="s">
        <v>14</v>
      </c>
      <c r="E116" t="s">
        <v>79</v>
      </c>
      <c r="F116" t="s">
        <v>79</v>
      </c>
      <c r="G116" s="2" t="s">
        <v>8</v>
      </c>
      <c r="H116" t="s">
        <v>64</v>
      </c>
      <c r="I116" s="34" t="s">
        <v>195</v>
      </c>
      <c r="J116" s="2" t="s">
        <v>196</v>
      </c>
      <c r="K116" t="s">
        <v>64</v>
      </c>
      <c r="L116" t="s">
        <v>89</v>
      </c>
      <c r="M116" s="2" t="s">
        <v>78</v>
      </c>
      <c r="N116" t="s">
        <v>164</v>
      </c>
      <c r="O116" t="s">
        <v>133</v>
      </c>
      <c r="P116" s="2" t="s">
        <v>81</v>
      </c>
      <c r="Q116" t="s">
        <v>64</v>
      </c>
      <c r="R116" t="s">
        <v>64</v>
      </c>
      <c r="S116" s="85" t="s">
        <v>197</v>
      </c>
      <c r="T116" t="s">
        <v>198</v>
      </c>
      <c r="U116" t="s">
        <v>199</v>
      </c>
      <c r="V116" s="2" t="s">
        <v>200</v>
      </c>
      <c r="W116" s="2" t="s">
        <v>65</v>
      </c>
      <c r="Z116" s="2" t="s">
        <v>186</v>
      </c>
      <c r="AA116" s="2" t="s">
        <v>187</v>
      </c>
      <c r="AB116" s="2" t="s">
        <v>66</v>
      </c>
      <c r="AC116" s="2" t="s">
        <v>67</v>
      </c>
    </row>
    <row r="117" spans="1:29" hidden="1" x14ac:dyDescent="0.25">
      <c r="A117" t="s">
        <v>107</v>
      </c>
      <c r="B117" t="s">
        <v>69</v>
      </c>
      <c r="C117" t="s">
        <v>8</v>
      </c>
      <c r="D117" t="s">
        <v>14</v>
      </c>
      <c r="E117" t="s">
        <v>79</v>
      </c>
      <c r="F117" t="s">
        <v>79</v>
      </c>
      <c r="G117" s="2" t="s">
        <v>8</v>
      </c>
      <c r="H117" t="s">
        <v>64</v>
      </c>
      <c r="I117" s="34" t="s">
        <v>195</v>
      </c>
      <c r="J117" s="2" t="s">
        <v>196</v>
      </c>
      <c r="K117" t="s">
        <v>64</v>
      </c>
      <c r="L117" t="s">
        <v>89</v>
      </c>
      <c r="M117" s="2" t="s">
        <v>78</v>
      </c>
      <c r="N117" t="s">
        <v>164</v>
      </c>
      <c r="O117" t="s">
        <v>97</v>
      </c>
      <c r="P117" s="2" t="s">
        <v>81</v>
      </c>
      <c r="Q117" t="s">
        <v>64</v>
      </c>
      <c r="R117" t="s">
        <v>64</v>
      </c>
      <c r="S117" s="85" t="s">
        <v>197</v>
      </c>
      <c r="T117" t="s">
        <v>198</v>
      </c>
      <c r="U117" t="s">
        <v>199</v>
      </c>
      <c r="V117" s="2" t="s">
        <v>200</v>
      </c>
      <c r="W117" s="2" t="s">
        <v>65</v>
      </c>
      <c r="Z117" s="2" t="s">
        <v>186</v>
      </c>
      <c r="AA117" s="2" t="s">
        <v>187</v>
      </c>
      <c r="AB117" s="2" t="s">
        <v>66</v>
      </c>
      <c r="AC117" s="2" t="s">
        <v>67</v>
      </c>
    </row>
    <row r="118" spans="1:29" hidden="1" x14ac:dyDescent="0.25">
      <c r="A118" t="s">
        <v>107</v>
      </c>
      <c r="B118" t="s">
        <v>69</v>
      </c>
      <c r="C118" t="s">
        <v>8</v>
      </c>
      <c r="D118" t="s">
        <v>14</v>
      </c>
      <c r="E118" t="s">
        <v>79</v>
      </c>
      <c r="F118" t="s">
        <v>79</v>
      </c>
      <c r="G118" s="2" t="s">
        <v>8</v>
      </c>
      <c r="H118" t="s">
        <v>64</v>
      </c>
      <c r="I118" s="34" t="s">
        <v>195</v>
      </c>
      <c r="J118" s="2" t="s">
        <v>196</v>
      </c>
      <c r="K118" t="s">
        <v>64</v>
      </c>
      <c r="L118" t="s">
        <v>89</v>
      </c>
      <c r="M118" s="2" t="s">
        <v>78</v>
      </c>
      <c r="N118" t="s">
        <v>164</v>
      </c>
      <c r="O118" t="s">
        <v>98</v>
      </c>
      <c r="P118" s="2" t="s">
        <v>81</v>
      </c>
      <c r="Q118" t="s">
        <v>64</v>
      </c>
      <c r="R118" t="s">
        <v>64</v>
      </c>
      <c r="S118" s="85" t="s">
        <v>197</v>
      </c>
      <c r="T118" t="s">
        <v>198</v>
      </c>
      <c r="U118" t="s">
        <v>199</v>
      </c>
      <c r="V118" s="2" t="s">
        <v>200</v>
      </c>
      <c r="W118" s="2" t="s">
        <v>65</v>
      </c>
      <c r="Z118" s="2" t="s">
        <v>186</v>
      </c>
      <c r="AA118" s="2" t="s">
        <v>187</v>
      </c>
      <c r="AB118" s="2" t="s">
        <v>66</v>
      </c>
      <c r="AC118" s="2" t="s">
        <v>67</v>
      </c>
    </row>
    <row r="119" spans="1:29" hidden="1" x14ac:dyDescent="0.25">
      <c r="A119" t="s">
        <v>107</v>
      </c>
      <c r="B119" t="s">
        <v>69</v>
      </c>
      <c r="C119" t="s">
        <v>8</v>
      </c>
      <c r="D119" t="s">
        <v>14</v>
      </c>
      <c r="E119" t="s">
        <v>79</v>
      </c>
      <c r="F119" t="s">
        <v>79</v>
      </c>
      <c r="G119" s="2" t="s">
        <v>8</v>
      </c>
      <c r="H119" t="s">
        <v>64</v>
      </c>
      <c r="I119" s="34" t="s">
        <v>195</v>
      </c>
      <c r="J119" s="2" t="s">
        <v>196</v>
      </c>
      <c r="K119" t="s">
        <v>64</v>
      </c>
      <c r="L119" t="s">
        <v>89</v>
      </c>
      <c r="M119" s="2" t="s">
        <v>78</v>
      </c>
      <c r="N119" t="s">
        <v>164</v>
      </c>
      <c r="O119" t="s">
        <v>134</v>
      </c>
      <c r="P119" s="2" t="s">
        <v>81</v>
      </c>
      <c r="Q119" t="s">
        <v>64</v>
      </c>
      <c r="R119" t="s">
        <v>64</v>
      </c>
      <c r="S119" s="85" t="s">
        <v>197</v>
      </c>
      <c r="T119" t="s">
        <v>198</v>
      </c>
      <c r="U119" t="s">
        <v>199</v>
      </c>
      <c r="V119" s="2" t="s">
        <v>200</v>
      </c>
      <c r="W119" s="2" t="s">
        <v>65</v>
      </c>
      <c r="Z119" s="2" t="s">
        <v>186</v>
      </c>
      <c r="AA119" s="2" t="s">
        <v>187</v>
      </c>
      <c r="AB119" s="2" t="s">
        <v>66</v>
      </c>
      <c r="AC119" s="2" t="s">
        <v>67</v>
      </c>
    </row>
    <row r="120" spans="1:29" hidden="1" x14ac:dyDescent="0.25">
      <c r="A120" t="s">
        <v>107</v>
      </c>
      <c r="B120" t="s">
        <v>69</v>
      </c>
      <c r="C120" t="s">
        <v>8</v>
      </c>
      <c r="D120" t="s">
        <v>14</v>
      </c>
      <c r="E120" t="s">
        <v>79</v>
      </c>
      <c r="F120" t="s">
        <v>79</v>
      </c>
      <c r="G120" s="2" t="s">
        <v>8</v>
      </c>
      <c r="H120" t="s">
        <v>64</v>
      </c>
      <c r="I120" s="34" t="s">
        <v>195</v>
      </c>
      <c r="J120" s="2" t="s">
        <v>196</v>
      </c>
      <c r="K120" t="s">
        <v>64</v>
      </c>
      <c r="L120" t="s">
        <v>89</v>
      </c>
      <c r="M120" s="2" t="s">
        <v>78</v>
      </c>
      <c r="N120" t="s">
        <v>164</v>
      </c>
      <c r="O120" t="s">
        <v>35</v>
      </c>
      <c r="P120" s="2" t="s">
        <v>81</v>
      </c>
      <c r="Q120" t="s">
        <v>64</v>
      </c>
      <c r="R120" t="s">
        <v>64</v>
      </c>
      <c r="S120" s="85" t="s">
        <v>197</v>
      </c>
      <c r="T120" t="s">
        <v>198</v>
      </c>
      <c r="U120" t="s">
        <v>199</v>
      </c>
      <c r="V120" s="2" t="s">
        <v>200</v>
      </c>
      <c r="W120" s="2" t="s">
        <v>65</v>
      </c>
      <c r="Z120" s="2" t="s">
        <v>186</v>
      </c>
      <c r="AA120" s="2" t="s">
        <v>187</v>
      </c>
      <c r="AB120" s="2" t="s">
        <v>66</v>
      </c>
      <c r="AC120" s="2" t="s">
        <v>67</v>
      </c>
    </row>
    <row r="121" spans="1:29" hidden="1" x14ac:dyDescent="0.25">
      <c r="A121" t="s">
        <v>107</v>
      </c>
      <c r="B121" t="s">
        <v>69</v>
      </c>
      <c r="C121" t="s">
        <v>8</v>
      </c>
      <c r="D121" t="s">
        <v>14</v>
      </c>
      <c r="E121" t="s">
        <v>79</v>
      </c>
      <c r="F121" t="s">
        <v>79</v>
      </c>
      <c r="G121" s="2" t="s">
        <v>8</v>
      </c>
      <c r="H121" t="s">
        <v>64</v>
      </c>
      <c r="I121" s="34" t="s">
        <v>195</v>
      </c>
      <c r="J121" s="2" t="s">
        <v>196</v>
      </c>
      <c r="K121" t="s">
        <v>64</v>
      </c>
      <c r="L121" t="s">
        <v>89</v>
      </c>
      <c r="M121" s="2" t="s">
        <v>78</v>
      </c>
      <c r="N121" t="s">
        <v>164</v>
      </c>
      <c r="O121" t="s">
        <v>135</v>
      </c>
      <c r="P121" s="2" t="s">
        <v>81</v>
      </c>
      <c r="Q121" t="s">
        <v>64</v>
      </c>
      <c r="R121" t="s">
        <v>64</v>
      </c>
      <c r="S121" s="85" t="s">
        <v>197</v>
      </c>
      <c r="T121" t="s">
        <v>198</v>
      </c>
      <c r="U121" t="s">
        <v>199</v>
      </c>
      <c r="V121" s="2" t="s">
        <v>200</v>
      </c>
      <c r="W121" s="2" t="s">
        <v>65</v>
      </c>
      <c r="Z121" s="2" t="s">
        <v>186</v>
      </c>
      <c r="AA121" s="2" t="s">
        <v>187</v>
      </c>
      <c r="AB121" s="2" t="s">
        <v>66</v>
      </c>
      <c r="AC121" s="2" t="s">
        <v>67</v>
      </c>
    </row>
    <row r="122" spans="1:29" hidden="1" x14ac:dyDescent="0.25">
      <c r="A122" t="s">
        <v>107</v>
      </c>
      <c r="B122" t="s">
        <v>69</v>
      </c>
      <c r="C122" t="s">
        <v>8</v>
      </c>
      <c r="D122" t="s">
        <v>14</v>
      </c>
      <c r="E122" t="s">
        <v>79</v>
      </c>
      <c r="F122" t="s">
        <v>79</v>
      </c>
      <c r="G122" s="2" t="s">
        <v>8</v>
      </c>
      <c r="H122" t="s">
        <v>64</v>
      </c>
      <c r="I122" s="34" t="s">
        <v>195</v>
      </c>
      <c r="J122" s="2" t="s">
        <v>196</v>
      </c>
      <c r="K122" t="s">
        <v>64</v>
      </c>
      <c r="L122" t="s">
        <v>89</v>
      </c>
      <c r="M122" s="2" t="s">
        <v>78</v>
      </c>
      <c r="N122" t="s">
        <v>164</v>
      </c>
      <c r="O122" t="s">
        <v>99</v>
      </c>
      <c r="P122" s="2" t="s">
        <v>81</v>
      </c>
      <c r="Q122" t="s">
        <v>64</v>
      </c>
      <c r="R122" t="s">
        <v>64</v>
      </c>
      <c r="S122" s="85" t="s">
        <v>197</v>
      </c>
      <c r="T122" t="s">
        <v>198</v>
      </c>
      <c r="U122" t="s">
        <v>199</v>
      </c>
      <c r="V122" s="2" t="s">
        <v>200</v>
      </c>
      <c r="W122" s="2" t="s">
        <v>65</v>
      </c>
      <c r="Z122" s="2" t="s">
        <v>186</v>
      </c>
      <c r="AA122" s="2" t="s">
        <v>187</v>
      </c>
      <c r="AB122" s="2" t="s">
        <v>66</v>
      </c>
      <c r="AC122" s="2" t="s">
        <v>67</v>
      </c>
    </row>
    <row r="123" spans="1:29" hidden="1" x14ac:dyDescent="0.25">
      <c r="A123" t="s">
        <v>107</v>
      </c>
      <c r="B123" t="s">
        <v>69</v>
      </c>
      <c r="C123" t="s">
        <v>8</v>
      </c>
      <c r="D123" t="s">
        <v>14</v>
      </c>
      <c r="E123" t="s">
        <v>79</v>
      </c>
      <c r="F123" t="s">
        <v>79</v>
      </c>
      <c r="G123" s="2" t="s">
        <v>8</v>
      </c>
      <c r="H123" t="s">
        <v>64</v>
      </c>
      <c r="I123" s="34" t="s">
        <v>195</v>
      </c>
      <c r="J123" s="2" t="s">
        <v>196</v>
      </c>
      <c r="K123" t="s">
        <v>64</v>
      </c>
      <c r="L123" t="s">
        <v>89</v>
      </c>
      <c r="M123" s="2" t="s">
        <v>78</v>
      </c>
      <c r="N123" t="s">
        <v>164</v>
      </c>
      <c r="O123" t="s">
        <v>100</v>
      </c>
      <c r="P123" s="2" t="s">
        <v>81</v>
      </c>
      <c r="Q123" t="s">
        <v>64</v>
      </c>
      <c r="R123" t="s">
        <v>64</v>
      </c>
      <c r="S123" s="85" t="s">
        <v>197</v>
      </c>
      <c r="T123" t="s">
        <v>198</v>
      </c>
      <c r="U123" t="s">
        <v>199</v>
      </c>
      <c r="V123" s="2" t="s">
        <v>200</v>
      </c>
      <c r="W123" s="2" t="s">
        <v>65</v>
      </c>
      <c r="Z123" s="2" t="s">
        <v>186</v>
      </c>
      <c r="AA123" s="2" t="s">
        <v>187</v>
      </c>
      <c r="AB123" s="2" t="s">
        <v>66</v>
      </c>
      <c r="AC123" s="2" t="s">
        <v>67</v>
      </c>
    </row>
    <row r="124" spans="1:29" hidden="1" x14ac:dyDescent="0.25">
      <c r="A124" t="s">
        <v>107</v>
      </c>
      <c r="B124" t="s">
        <v>69</v>
      </c>
      <c r="C124" t="s">
        <v>8</v>
      </c>
      <c r="D124" t="s">
        <v>14</v>
      </c>
      <c r="E124" t="s">
        <v>79</v>
      </c>
      <c r="F124" t="s">
        <v>79</v>
      </c>
      <c r="G124" s="2" t="s">
        <v>8</v>
      </c>
      <c r="H124" t="s">
        <v>64</v>
      </c>
      <c r="I124" s="34" t="s">
        <v>195</v>
      </c>
      <c r="J124" s="2" t="s">
        <v>196</v>
      </c>
      <c r="K124" t="s">
        <v>64</v>
      </c>
      <c r="L124" t="s">
        <v>89</v>
      </c>
      <c r="M124" s="2" t="s">
        <v>78</v>
      </c>
      <c r="N124" t="s">
        <v>164</v>
      </c>
      <c r="O124" t="s">
        <v>101</v>
      </c>
      <c r="P124" s="2" t="s">
        <v>81</v>
      </c>
      <c r="Q124" t="s">
        <v>64</v>
      </c>
      <c r="R124" t="s">
        <v>64</v>
      </c>
      <c r="S124" s="85" t="s">
        <v>197</v>
      </c>
      <c r="T124" t="s">
        <v>198</v>
      </c>
      <c r="U124" t="s">
        <v>199</v>
      </c>
      <c r="V124" s="2" t="s">
        <v>200</v>
      </c>
      <c r="W124" s="2" t="s">
        <v>65</v>
      </c>
      <c r="Z124" s="2" t="s">
        <v>186</v>
      </c>
      <c r="AA124" s="2" t="s">
        <v>187</v>
      </c>
      <c r="AB124" s="2" t="s">
        <v>66</v>
      </c>
      <c r="AC124" s="2" t="s">
        <v>67</v>
      </c>
    </row>
    <row r="125" spans="1:29" hidden="1" x14ac:dyDescent="0.25">
      <c r="A125" t="s">
        <v>107</v>
      </c>
      <c r="B125" t="s">
        <v>69</v>
      </c>
      <c r="C125" t="s">
        <v>8</v>
      </c>
      <c r="D125" t="s">
        <v>14</v>
      </c>
      <c r="E125" t="s">
        <v>79</v>
      </c>
      <c r="F125" t="s">
        <v>79</v>
      </c>
      <c r="G125" s="2" t="s">
        <v>8</v>
      </c>
      <c r="H125" t="s">
        <v>64</v>
      </c>
      <c r="I125" s="34" t="s">
        <v>195</v>
      </c>
      <c r="J125" s="2" t="s">
        <v>196</v>
      </c>
      <c r="K125" t="s">
        <v>64</v>
      </c>
      <c r="L125" t="s">
        <v>89</v>
      </c>
      <c r="M125" s="2" t="s">
        <v>78</v>
      </c>
      <c r="N125" t="s">
        <v>164</v>
      </c>
      <c r="O125" t="s">
        <v>102</v>
      </c>
      <c r="P125" s="2" t="s">
        <v>81</v>
      </c>
      <c r="Q125" t="s">
        <v>64</v>
      </c>
      <c r="R125" t="s">
        <v>64</v>
      </c>
      <c r="S125" s="85" t="s">
        <v>197</v>
      </c>
      <c r="T125" t="s">
        <v>198</v>
      </c>
      <c r="U125" t="s">
        <v>199</v>
      </c>
      <c r="V125" s="2" t="s">
        <v>200</v>
      </c>
      <c r="W125" s="2" t="s">
        <v>65</v>
      </c>
      <c r="Z125" s="2" t="s">
        <v>186</v>
      </c>
      <c r="AA125" s="2" t="s">
        <v>187</v>
      </c>
      <c r="AB125" s="2" t="s">
        <v>66</v>
      </c>
      <c r="AC125" s="2" t="s">
        <v>67</v>
      </c>
    </row>
    <row r="126" spans="1:29" hidden="1" x14ac:dyDescent="0.25">
      <c r="A126" t="s">
        <v>107</v>
      </c>
      <c r="B126" t="s">
        <v>69</v>
      </c>
      <c r="C126" t="s">
        <v>8</v>
      </c>
      <c r="D126" t="s">
        <v>14</v>
      </c>
      <c r="E126" t="s">
        <v>79</v>
      </c>
      <c r="F126" t="s">
        <v>79</v>
      </c>
      <c r="G126" s="2" t="s">
        <v>8</v>
      </c>
      <c r="H126" t="s">
        <v>64</v>
      </c>
      <c r="I126" s="34" t="s">
        <v>195</v>
      </c>
      <c r="J126" s="2" t="s">
        <v>196</v>
      </c>
      <c r="K126" t="s">
        <v>64</v>
      </c>
      <c r="L126" t="s">
        <v>89</v>
      </c>
      <c r="M126" s="2" t="s">
        <v>78</v>
      </c>
      <c r="N126" t="s">
        <v>164</v>
      </c>
      <c r="O126" t="s">
        <v>103</v>
      </c>
      <c r="P126" s="2" t="s">
        <v>81</v>
      </c>
      <c r="Q126" t="s">
        <v>64</v>
      </c>
      <c r="R126" t="s">
        <v>64</v>
      </c>
      <c r="S126" s="85" t="s">
        <v>197</v>
      </c>
      <c r="T126" t="s">
        <v>198</v>
      </c>
      <c r="U126" t="s">
        <v>199</v>
      </c>
      <c r="V126" s="2" t="s">
        <v>200</v>
      </c>
      <c r="W126" s="2" t="s">
        <v>65</v>
      </c>
      <c r="Z126" s="2" t="s">
        <v>186</v>
      </c>
      <c r="AA126" s="2" t="s">
        <v>187</v>
      </c>
      <c r="AB126" s="2" t="s">
        <v>66</v>
      </c>
      <c r="AC126" s="2" t="s">
        <v>67</v>
      </c>
    </row>
    <row r="127" spans="1:29" hidden="1" x14ac:dyDescent="0.25">
      <c r="A127" t="s">
        <v>107</v>
      </c>
      <c r="B127" t="s">
        <v>69</v>
      </c>
      <c r="C127" t="s">
        <v>8</v>
      </c>
      <c r="D127" t="s">
        <v>14</v>
      </c>
      <c r="E127" t="s">
        <v>79</v>
      </c>
      <c r="F127" t="s">
        <v>79</v>
      </c>
      <c r="G127" s="2" t="s">
        <v>8</v>
      </c>
      <c r="H127" t="s">
        <v>64</v>
      </c>
      <c r="I127" s="34" t="s">
        <v>195</v>
      </c>
      <c r="J127" s="2" t="s">
        <v>196</v>
      </c>
      <c r="K127" t="s">
        <v>64</v>
      </c>
      <c r="L127" t="s">
        <v>89</v>
      </c>
      <c r="M127" s="2" t="s">
        <v>78</v>
      </c>
      <c r="N127" t="s">
        <v>164</v>
      </c>
      <c r="O127" t="s">
        <v>104</v>
      </c>
      <c r="P127" s="2" t="s">
        <v>81</v>
      </c>
      <c r="Q127" t="s">
        <v>64</v>
      </c>
      <c r="R127" t="s">
        <v>64</v>
      </c>
      <c r="S127" s="85" t="s">
        <v>197</v>
      </c>
      <c r="T127" t="s">
        <v>198</v>
      </c>
      <c r="U127" t="s">
        <v>199</v>
      </c>
      <c r="V127" s="2" t="s">
        <v>200</v>
      </c>
      <c r="W127" s="2" t="s">
        <v>65</v>
      </c>
      <c r="Z127" s="2" t="s">
        <v>186</v>
      </c>
      <c r="AA127" s="2" t="s">
        <v>187</v>
      </c>
      <c r="AB127" s="2" t="s">
        <v>66</v>
      </c>
      <c r="AC127" s="2" t="s">
        <v>67</v>
      </c>
    </row>
    <row r="128" spans="1:29" hidden="1" x14ac:dyDescent="0.25">
      <c r="A128" t="s">
        <v>107</v>
      </c>
      <c r="B128" t="s">
        <v>69</v>
      </c>
      <c r="C128" t="s">
        <v>8</v>
      </c>
      <c r="D128" t="s">
        <v>14</v>
      </c>
      <c r="E128" t="s">
        <v>79</v>
      </c>
      <c r="F128" t="s">
        <v>79</v>
      </c>
      <c r="G128" s="2" t="s">
        <v>8</v>
      </c>
      <c r="H128" t="s">
        <v>64</v>
      </c>
      <c r="I128" s="34" t="s">
        <v>195</v>
      </c>
      <c r="J128" s="2" t="s">
        <v>196</v>
      </c>
      <c r="K128" t="s">
        <v>64</v>
      </c>
      <c r="L128" t="s">
        <v>89</v>
      </c>
      <c r="M128" s="2" t="s">
        <v>78</v>
      </c>
      <c r="N128" t="s">
        <v>164</v>
      </c>
      <c r="O128" t="s">
        <v>136</v>
      </c>
      <c r="P128" s="2" t="s">
        <v>81</v>
      </c>
      <c r="Q128" t="s">
        <v>64</v>
      </c>
      <c r="R128" t="s">
        <v>64</v>
      </c>
      <c r="S128" s="85" t="s">
        <v>197</v>
      </c>
      <c r="T128" t="s">
        <v>198</v>
      </c>
      <c r="U128" t="s">
        <v>199</v>
      </c>
      <c r="V128" s="2" t="s">
        <v>200</v>
      </c>
      <c r="W128" s="2" t="s">
        <v>65</v>
      </c>
      <c r="Z128" s="2" t="s">
        <v>186</v>
      </c>
      <c r="AA128" s="2" t="s">
        <v>187</v>
      </c>
      <c r="AB128" s="2" t="s">
        <v>66</v>
      </c>
      <c r="AC128" s="2" t="s">
        <v>67</v>
      </c>
    </row>
    <row r="129" spans="1:29" hidden="1" x14ac:dyDescent="0.25">
      <c r="A129" t="s">
        <v>107</v>
      </c>
      <c r="B129" t="s">
        <v>69</v>
      </c>
      <c r="C129" t="s">
        <v>8</v>
      </c>
      <c r="D129" t="s">
        <v>14</v>
      </c>
      <c r="E129" t="s">
        <v>79</v>
      </c>
      <c r="F129" t="s">
        <v>79</v>
      </c>
      <c r="G129" s="2" t="s">
        <v>8</v>
      </c>
      <c r="H129" t="s">
        <v>64</v>
      </c>
      <c r="I129" s="34" t="s">
        <v>195</v>
      </c>
      <c r="J129" s="2" t="s">
        <v>196</v>
      </c>
      <c r="K129" t="s">
        <v>64</v>
      </c>
      <c r="L129" t="s">
        <v>89</v>
      </c>
      <c r="M129" s="2" t="s">
        <v>78</v>
      </c>
      <c r="N129" t="s">
        <v>164</v>
      </c>
      <c r="O129" t="s">
        <v>137</v>
      </c>
      <c r="P129" s="2" t="s">
        <v>81</v>
      </c>
      <c r="Q129" t="s">
        <v>64</v>
      </c>
      <c r="R129" t="s">
        <v>64</v>
      </c>
      <c r="S129" s="85" t="s">
        <v>197</v>
      </c>
      <c r="T129" t="s">
        <v>198</v>
      </c>
      <c r="U129" t="s">
        <v>199</v>
      </c>
      <c r="V129" s="2" t="s">
        <v>200</v>
      </c>
      <c r="W129" s="2" t="s">
        <v>65</v>
      </c>
      <c r="Z129" s="2" t="s">
        <v>186</v>
      </c>
      <c r="AA129" s="2" t="s">
        <v>187</v>
      </c>
      <c r="AB129" s="2" t="s">
        <v>66</v>
      </c>
      <c r="AC129" s="2" t="s">
        <v>67</v>
      </c>
    </row>
    <row r="130" spans="1:29" hidden="1" x14ac:dyDescent="0.25">
      <c r="A130" t="s">
        <v>107</v>
      </c>
      <c r="B130" t="s">
        <v>69</v>
      </c>
      <c r="C130" t="s">
        <v>8</v>
      </c>
      <c r="D130" t="s">
        <v>14</v>
      </c>
      <c r="E130" t="s">
        <v>79</v>
      </c>
      <c r="F130" t="s">
        <v>79</v>
      </c>
      <c r="G130" s="2" t="s">
        <v>8</v>
      </c>
      <c r="H130" t="s">
        <v>64</v>
      </c>
      <c r="I130" s="34" t="s">
        <v>195</v>
      </c>
      <c r="J130" s="2" t="s">
        <v>196</v>
      </c>
      <c r="K130" t="s">
        <v>64</v>
      </c>
      <c r="L130" t="s">
        <v>89</v>
      </c>
      <c r="M130" s="2" t="s">
        <v>78</v>
      </c>
      <c r="N130" t="s">
        <v>164</v>
      </c>
      <c r="O130" t="s">
        <v>138</v>
      </c>
      <c r="P130" s="2" t="s">
        <v>81</v>
      </c>
      <c r="Q130" t="s">
        <v>64</v>
      </c>
      <c r="R130" t="s">
        <v>64</v>
      </c>
      <c r="S130" s="85" t="s">
        <v>197</v>
      </c>
      <c r="T130" t="s">
        <v>198</v>
      </c>
      <c r="U130" t="s">
        <v>199</v>
      </c>
      <c r="V130" s="2" t="s">
        <v>200</v>
      </c>
      <c r="W130" s="2" t="s">
        <v>65</v>
      </c>
      <c r="Z130" s="2" t="s">
        <v>186</v>
      </c>
      <c r="AA130" s="2" t="s">
        <v>187</v>
      </c>
      <c r="AB130" s="2" t="s">
        <v>66</v>
      </c>
      <c r="AC130" s="2" t="s">
        <v>67</v>
      </c>
    </row>
    <row r="131" spans="1:29" hidden="1" x14ac:dyDescent="0.25">
      <c r="A131" t="s">
        <v>107</v>
      </c>
      <c r="B131" t="s">
        <v>69</v>
      </c>
      <c r="C131" t="s">
        <v>8</v>
      </c>
      <c r="D131" t="s">
        <v>14</v>
      </c>
      <c r="E131" t="s">
        <v>79</v>
      </c>
      <c r="F131" t="s">
        <v>79</v>
      </c>
      <c r="G131" s="2" t="s">
        <v>8</v>
      </c>
      <c r="H131" t="s">
        <v>64</v>
      </c>
      <c r="I131" s="34" t="s">
        <v>195</v>
      </c>
      <c r="J131" s="2" t="s">
        <v>196</v>
      </c>
      <c r="K131" t="s">
        <v>64</v>
      </c>
      <c r="L131" t="s">
        <v>89</v>
      </c>
      <c r="M131" s="2" t="s">
        <v>78</v>
      </c>
      <c r="N131" t="s">
        <v>164</v>
      </c>
      <c r="O131" t="s">
        <v>139</v>
      </c>
      <c r="P131" s="2" t="s">
        <v>169</v>
      </c>
      <c r="Q131" t="s">
        <v>64</v>
      </c>
      <c r="R131" t="s">
        <v>64</v>
      </c>
      <c r="S131" s="85" t="s">
        <v>197</v>
      </c>
      <c r="T131" t="s">
        <v>198</v>
      </c>
      <c r="U131" t="s">
        <v>199</v>
      </c>
      <c r="V131" s="2" t="s">
        <v>200</v>
      </c>
      <c r="W131" s="2" t="s">
        <v>65</v>
      </c>
      <c r="Z131" s="2" t="s">
        <v>186</v>
      </c>
      <c r="AA131" s="2" t="s">
        <v>187</v>
      </c>
      <c r="AB131" s="2" t="s">
        <v>66</v>
      </c>
      <c r="AC131" s="2" t="s">
        <v>67</v>
      </c>
    </row>
    <row r="132" spans="1:29" hidden="1" x14ac:dyDescent="0.25">
      <c r="A132" t="s">
        <v>107</v>
      </c>
      <c r="B132" t="s">
        <v>69</v>
      </c>
      <c r="C132" t="s">
        <v>8</v>
      </c>
      <c r="D132" t="s">
        <v>14</v>
      </c>
      <c r="E132" t="s">
        <v>79</v>
      </c>
      <c r="F132" t="s">
        <v>79</v>
      </c>
      <c r="G132" s="2" t="s">
        <v>8</v>
      </c>
      <c r="H132" t="s">
        <v>64</v>
      </c>
      <c r="I132" s="34" t="s">
        <v>195</v>
      </c>
      <c r="J132" s="2" t="s">
        <v>196</v>
      </c>
      <c r="K132" t="s">
        <v>64</v>
      </c>
      <c r="L132" t="s">
        <v>89</v>
      </c>
      <c r="M132" s="2" t="s">
        <v>78</v>
      </c>
      <c r="N132" t="s">
        <v>164</v>
      </c>
      <c r="O132" t="s">
        <v>147</v>
      </c>
      <c r="P132" s="2" t="s">
        <v>81</v>
      </c>
      <c r="Q132" t="s">
        <v>64</v>
      </c>
      <c r="R132" t="s">
        <v>64</v>
      </c>
      <c r="S132" s="85" t="s">
        <v>197</v>
      </c>
      <c r="T132" t="s">
        <v>198</v>
      </c>
      <c r="U132" t="s">
        <v>199</v>
      </c>
      <c r="V132" s="2" t="s">
        <v>200</v>
      </c>
      <c r="W132" s="2" t="s">
        <v>65</v>
      </c>
      <c r="Z132" s="2" t="s">
        <v>186</v>
      </c>
      <c r="AA132" s="2" t="s">
        <v>187</v>
      </c>
      <c r="AB132" s="2" t="s">
        <v>66</v>
      </c>
      <c r="AC132" s="2" t="s">
        <v>67</v>
      </c>
    </row>
    <row r="133" spans="1:29" hidden="1" x14ac:dyDescent="0.25">
      <c r="A133" t="s">
        <v>107</v>
      </c>
      <c r="B133" t="s">
        <v>69</v>
      </c>
      <c r="C133" t="s">
        <v>8</v>
      </c>
      <c r="D133" t="s">
        <v>14</v>
      </c>
      <c r="E133" t="s">
        <v>79</v>
      </c>
      <c r="F133" t="s">
        <v>79</v>
      </c>
      <c r="G133" s="2" t="s">
        <v>8</v>
      </c>
      <c r="H133" t="s">
        <v>64</v>
      </c>
      <c r="I133" s="34" t="s">
        <v>195</v>
      </c>
      <c r="J133" s="2" t="s">
        <v>196</v>
      </c>
      <c r="K133" t="s">
        <v>64</v>
      </c>
      <c r="L133" t="s">
        <v>89</v>
      </c>
      <c r="M133" s="2" t="s">
        <v>78</v>
      </c>
      <c r="N133" t="s">
        <v>164</v>
      </c>
      <c r="O133" t="s">
        <v>148</v>
      </c>
      <c r="P133" s="2" t="s">
        <v>81</v>
      </c>
      <c r="Q133" t="s">
        <v>64</v>
      </c>
      <c r="R133" t="s">
        <v>64</v>
      </c>
      <c r="S133" s="85" t="s">
        <v>197</v>
      </c>
      <c r="T133" t="s">
        <v>198</v>
      </c>
      <c r="U133" t="s">
        <v>199</v>
      </c>
      <c r="V133" s="2" t="s">
        <v>200</v>
      </c>
      <c r="W133" s="2" t="s">
        <v>65</v>
      </c>
      <c r="Z133" s="2" t="s">
        <v>186</v>
      </c>
      <c r="AA133" s="2" t="s">
        <v>187</v>
      </c>
      <c r="AB133" s="2" t="s">
        <v>66</v>
      </c>
      <c r="AC133" s="2" t="s">
        <v>67</v>
      </c>
    </row>
    <row r="134" spans="1:29" hidden="1" x14ac:dyDescent="0.25">
      <c r="A134" t="s">
        <v>107</v>
      </c>
      <c r="B134" t="s">
        <v>69</v>
      </c>
      <c r="C134" t="s">
        <v>8</v>
      </c>
      <c r="D134" t="s">
        <v>14</v>
      </c>
      <c r="E134" t="s">
        <v>79</v>
      </c>
      <c r="F134" t="s">
        <v>79</v>
      </c>
      <c r="G134" s="2" t="s">
        <v>8</v>
      </c>
      <c r="H134" t="s">
        <v>64</v>
      </c>
      <c r="I134" s="34" t="s">
        <v>195</v>
      </c>
      <c r="J134" s="2" t="s">
        <v>196</v>
      </c>
      <c r="K134" t="s">
        <v>64</v>
      </c>
      <c r="L134" t="s">
        <v>89</v>
      </c>
      <c r="M134" s="2" t="s">
        <v>78</v>
      </c>
      <c r="N134" t="s">
        <v>164</v>
      </c>
      <c r="O134" t="s">
        <v>149</v>
      </c>
      <c r="P134" s="2" t="s">
        <v>81</v>
      </c>
      <c r="Q134" t="s">
        <v>64</v>
      </c>
      <c r="R134" t="s">
        <v>64</v>
      </c>
      <c r="S134" s="85" t="s">
        <v>197</v>
      </c>
      <c r="T134" t="s">
        <v>198</v>
      </c>
      <c r="U134" t="s">
        <v>199</v>
      </c>
      <c r="V134" s="2" t="s">
        <v>200</v>
      </c>
      <c r="W134" s="2" t="s">
        <v>65</v>
      </c>
      <c r="Z134" s="2" t="s">
        <v>186</v>
      </c>
      <c r="AA134" s="2" t="s">
        <v>187</v>
      </c>
      <c r="AB134" s="2" t="s">
        <v>66</v>
      </c>
      <c r="AC134" s="2" t="s">
        <v>67</v>
      </c>
    </row>
    <row r="135" spans="1:29" hidden="1" x14ac:dyDescent="0.25">
      <c r="A135" t="s">
        <v>107</v>
      </c>
      <c r="B135" t="s">
        <v>69</v>
      </c>
      <c r="C135" t="s">
        <v>8</v>
      </c>
      <c r="D135" t="s">
        <v>14</v>
      </c>
      <c r="E135" t="s">
        <v>79</v>
      </c>
      <c r="F135" t="s">
        <v>79</v>
      </c>
      <c r="G135" s="2" t="s">
        <v>8</v>
      </c>
      <c r="H135" t="s">
        <v>64</v>
      </c>
      <c r="I135" s="34" t="s">
        <v>195</v>
      </c>
      <c r="J135" s="2" t="s">
        <v>196</v>
      </c>
      <c r="K135" t="s">
        <v>64</v>
      </c>
      <c r="L135" t="s">
        <v>89</v>
      </c>
      <c r="M135" s="2" t="s">
        <v>78</v>
      </c>
      <c r="N135" t="s">
        <v>164</v>
      </c>
      <c r="O135" t="s">
        <v>150</v>
      </c>
      <c r="P135" s="2" t="s">
        <v>81</v>
      </c>
      <c r="Q135" t="s">
        <v>64</v>
      </c>
      <c r="R135" t="s">
        <v>64</v>
      </c>
      <c r="S135" s="85" t="s">
        <v>197</v>
      </c>
      <c r="T135" t="s">
        <v>198</v>
      </c>
      <c r="U135" t="s">
        <v>199</v>
      </c>
      <c r="V135" s="2" t="s">
        <v>200</v>
      </c>
      <c r="W135" s="2" t="s">
        <v>65</v>
      </c>
      <c r="Z135" s="2" t="s">
        <v>186</v>
      </c>
      <c r="AA135" s="2" t="s">
        <v>187</v>
      </c>
      <c r="AB135" s="2" t="s">
        <v>66</v>
      </c>
      <c r="AC135" s="2" t="s">
        <v>67</v>
      </c>
    </row>
    <row r="136" spans="1:29" hidden="1" x14ac:dyDescent="0.25">
      <c r="A136" t="s">
        <v>107</v>
      </c>
      <c r="B136" t="s">
        <v>69</v>
      </c>
      <c r="C136" t="s">
        <v>8</v>
      </c>
      <c r="D136" t="s">
        <v>14</v>
      </c>
      <c r="E136" t="s">
        <v>79</v>
      </c>
      <c r="F136" t="s">
        <v>79</v>
      </c>
      <c r="G136" s="2" t="s">
        <v>8</v>
      </c>
      <c r="H136" t="s">
        <v>64</v>
      </c>
      <c r="I136" s="34" t="s">
        <v>195</v>
      </c>
      <c r="J136" s="2" t="s">
        <v>196</v>
      </c>
      <c r="K136" t="s">
        <v>64</v>
      </c>
      <c r="L136" t="s">
        <v>89</v>
      </c>
      <c r="M136" s="2" t="s">
        <v>78</v>
      </c>
      <c r="N136" t="s">
        <v>164</v>
      </c>
      <c r="O136" t="s">
        <v>151</v>
      </c>
      <c r="P136" s="2" t="s">
        <v>81</v>
      </c>
      <c r="Q136" t="s">
        <v>64</v>
      </c>
      <c r="R136" t="s">
        <v>64</v>
      </c>
      <c r="S136" s="85" t="s">
        <v>197</v>
      </c>
      <c r="T136" t="s">
        <v>198</v>
      </c>
      <c r="U136" t="s">
        <v>199</v>
      </c>
      <c r="V136" s="2" t="s">
        <v>200</v>
      </c>
      <c r="W136" s="2" t="s">
        <v>65</v>
      </c>
      <c r="Z136" s="2" t="s">
        <v>186</v>
      </c>
      <c r="AA136" s="2" t="s">
        <v>187</v>
      </c>
      <c r="AB136" s="2" t="s">
        <v>66</v>
      </c>
      <c r="AC136" s="2" t="s">
        <v>67</v>
      </c>
    </row>
    <row r="137" spans="1:29" hidden="1" x14ac:dyDescent="0.25">
      <c r="A137" t="s">
        <v>107</v>
      </c>
      <c r="B137" t="s">
        <v>69</v>
      </c>
      <c r="C137" t="s">
        <v>8</v>
      </c>
      <c r="D137" t="s">
        <v>14</v>
      </c>
      <c r="E137" t="s">
        <v>79</v>
      </c>
      <c r="F137" t="s">
        <v>79</v>
      </c>
      <c r="G137" s="2" t="s">
        <v>8</v>
      </c>
      <c r="H137" t="s">
        <v>64</v>
      </c>
      <c r="I137" s="34" t="s">
        <v>195</v>
      </c>
      <c r="J137" s="2" t="s">
        <v>196</v>
      </c>
      <c r="K137" t="s">
        <v>64</v>
      </c>
      <c r="L137" t="s">
        <v>89</v>
      </c>
      <c r="M137" s="2" t="s">
        <v>78</v>
      </c>
      <c r="N137" t="s">
        <v>164</v>
      </c>
      <c r="O137" t="s">
        <v>152</v>
      </c>
      <c r="P137" s="2" t="s">
        <v>201</v>
      </c>
      <c r="Q137" t="s">
        <v>64</v>
      </c>
      <c r="R137" t="s">
        <v>64</v>
      </c>
      <c r="S137" s="85" t="s">
        <v>197</v>
      </c>
      <c r="T137" t="s">
        <v>198</v>
      </c>
      <c r="U137" t="s">
        <v>199</v>
      </c>
      <c r="V137" s="2" t="s">
        <v>200</v>
      </c>
      <c r="W137" s="2" t="s">
        <v>65</v>
      </c>
      <c r="Z137" s="2" t="s">
        <v>186</v>
      </c>
      <c r="AA137" s="2" t="s">
        <v>187</v>
      </c>
      <c r="AB137" s="2" t="s">
        <v>66</v>
      </c>
      <c r="AC137" s="2" t="s">
        <v>67</v>
      </c>
    </row>
    <row r="138" spans="1:29" hidden="1" x14ac:dyDescent="0.25">
      <c r="A138" t="s">
        <v>107</v>
      </c>
      <c r="B138" t="s">
        <v>69</v>
      </c>
      <c r="C138" t="s">
        <v>8</v>
      </c>
      <c r="D138" t="s">
        <v>14</v>
      </c>
      <c r="E138" t="s">
        <v>79</v>
      </c>
      <c r="F138" t="s">
        <v>79</v>
      </c>
      <c r="G138" s="2" t="s">
        <v>8</v>
      </c>
      <c r="H138" t="s">
        <v>64</v>
      </c>
      <c r="I138" s="34" t="s">
        <v>195</v>
      </c>
      <c r="J138" s="2" t="s">
        <v>196</v>
      </c>
      <c r="K138" t="s">
        <v>64</v>
      </c>
      <c r="L138" t="s">
        <v>89</v>
      </c>
      <c r="M138" s="2" t="s">
        <v>78</v>
      </c>
      <c r="N138" t="s">
        <v>164</v>
      </c>
      <c r="O138" t="s">
        <v>153</v>
      </c>
      <c r="P138" s="2" t="s">
        <v>81</v>
      </c>
      <c r="Q138" t="s">
        <v>64</v>
      </c>
      <c r="R138" t="s">
        <v>64</v>
      </c>
      <c r="S138" s="85" t="s">
        <v>197</v>
      </c>
      <c r="T138" t="s">
        <v>198</v>
      </c>
      <c r="U138" t="s">
        <v>199</v>
      </c>
      <c r="V138" s="2" t="s">
        <v>200</v>
      </c>
      <c r="W138" s="2" t="s">
        <v>65</v>
      </c>
      <c r="Z138" s="2" t="s">
        <v>186</v>
      </c>
      <c r="AA138" s="2" t="s">
        <v>187</v>
      </c>
      <c r="AB138" s="2" t="s">
        <v>66</v>
      </c>
      <c r="AC138" s="2" t="s">
        <v>67</v>
      </c>
    </row>
    <row r="139" spans="1:29" hidden="1" x14ac:dyDescent="0.25">
      <c r="A139" t="s">
        <v>107</v>
      </c>
      <c r="B139" t="s">
        <v>69</v>
      </c>
      <c r="C139" t="s">
        <v>8</v>
      </c>
      <c r="D139" t="s">
        <v>14</v>
      </c>
      <c r="E139" t="s">
        <v>79</v>
      </c>
      <c r="F139" t="s">
        <v>79</v>
      </c>
      <c r="G139" s="2" t="s">
        <v>8</v>
      </c>
      <c r="H139" t="s">
        <v>64</v>
      </c>
      <c r="I139" s="34" t="s">
        <v>195</v>
      </c>
      <c r="J139" s="2" t="s">
        <v>196</v>
      </c>
      <c r="K139" t="s">
        <v>64</v>
      </c>
      <c r="L139" t="s">
        <v>89</v>
      </c>
      <c r="M139" s="2" t="s">
        <v>78</v>
      </c>
      <c r="N139" t="s">
        <v>164</v>
      </c>
      <c r="O139" t="s">
        <v>154</v>
      </c>
      <c r="P139" s="2" t="s">
        <v>81</v>
      </c>
      <c r="Q139" t="s">
        <v>64</v>
      </c>
      <c r="R139" t="s">
        <v>64</v>
      </c>
      <c r="S139" s="85" t="s">
        <v>197</v>
      </c>
      <c r="T139" t="s">
        <v>198</v>
      </c>
      <c r="U139" t="s">
        <v>199</v>
      </c>
      <c r="V139" s="2" t="s">
        <v>200</v>
      </c>
      <c r="W139" s="2" t="s">
        <v>65</v>
      </c>
      <c r="Z139" s="2" t="s">
        <v>186</v>
      </c>
      <c r="AA139" s="2" t="s">
        <v>187</v>
      </c>
      <c r="AB139" s="2" t="s">
        <v>66</v>
      </c>
      <c r="AC139" s="2" t="s">
        <v>67</v>
      </c>
    </row>
    <row r="140" spans="1:29" hidden="1" x14ac:dyDescent="0.25">
      <c r="A140" t="s">
        <v>107</v>
      </c>
      <c r="B140" t="s">
        <v>69</v>
      </c>
      <c r="C140" t="s">
        <v>8</v>
      </c>
      <c r="D140" t="s">
        <v>14</v>
      </c>
      <c r="E140" t="s">
        <v>79</v>
      </c>
      <c r="F140" t="s">
        <v>79</v>
      </c>
      <c r="G140" s="2" t="s">
        <v>8</v>
      </c>
      <c r="H140" t="s">
        <v>64</v>
      </c>
      <c r="I140" s="34" t="s">
        <v>195</v>
      </c>
      <c r="J140" s="2" t="s">
        <v>196</v>
      </c>
      <c r="K140" t="s">
        <v>64</v>
      </c>
      <c r="L140" t="s">
        <v>89</v>
      </c>
      <c r="M140" s="2" t="s">
        <v>78</v>
      </c>
      <c r="N140" t="s">
        <v>164</v>
      </c>
      <c r="O140" t="s">
        <v>155</v>
      </c>
      <c r="P140" s="2" t="s">
        <v>81</v>
      </c>
      <c r="Q140" t="s">
        <v>64</v>
      </c>
      <c r="R140" t="s">
        <v>64</v>
      </c>
      <c r="S140" s="85" t="s">
        <v>197</v>
      </c>
      <c r="T140" t="s">
        <v>198</v>
      </c>
      <c r="U140" t="s">
        <v>199</v>
      </c>
      <c r="V140" s="2" t="s">
        <v>200</v>
      </c>
      <c r="W140" s="2" t="s">
        <v>65</v>
      </c>
      <c r="Z140" s="2" t="s">
        <v>186</v>
      </c>
      <c r="AA140" s="2" t="s">
        <v>187</v>
      </c>
      <c r="AB140" s="2" t="s">
        <v>66</v>
      </c>
      <c r="AC140" s="2" t="s">
        <v>67</v>
      </c>
    </row>
    <row r="141" spans="1:29" hidden="1" x14ac:dyDescent="0.25">
      <c r="A141" t="s">
        <v>107</v>
      </c>
      <c r="B141" t="s">
        <v>69</v>
      </c>
      <c r="C141" t="s">
        <v>8</v>
      </c>
      <c r="D141" t="s">
        <v>14</v>
      </c>
      <c r="E141" t="s">
        <v>79</v>
      </c>
      <c r="F141" t="s">
        <v>79</v>
      </c>
      <c r="G141" s="2" t="s">
        <v>8</v>
      </c>
      <c r="H141" t="s">
        <v>64</v>
      </c>
      <c r="I141" s="34" t="s">
        <v>195</v>
      </c>
      <c r="J141" s="2" t="s">
        <v>196</v>
      </c>
      <c r="K141" t="s">
        <v>64</v>
      </c>
      <c r="L141" t="s">
        <v>89</v>
      </c>
      <c r="M141" s="2" t="s">
        <v>78</v>
      </c>
      <c r="N141" t="s">
        <v>164</v>
      </c>
      <c r="O141" t="s">
        <v>156</v>
      </c>
      <c r="P141" s="2" t="s">
        <v>81</v>
      </c>
      <c r="Q141" t="s">
        <v>64</v>
      </c>
      <c r="R141" t="s">
        <v>64</v>
      </c>
      <c r="S141" s="85" t="s">
        <v>197</v>
      </c>
      <c r="T141" t="s">
        <v>198</v>
      </c>
      <c r="U141" t="s">
        <v>199</v>
      </c>
      <c r="V141" s="2" t="s">
        <v>200</v>
      </c>
      <c r="W141" s="2" t="s">
        <v>65</v>
      </c>
      <c r="Z141" s="2" t="s">
        <v>186</v>
      </c>
      <c r="AA141" s="2" t="s">
        <v>187</v>
      </c>
      <c r="AB141" s="2" t="s">
        <v>66</v>
      </c>
      <c r="AC141" s="2" t="s">
        <v>67</v>
      </c>
    </row>
    <row r="142" spans="1:29" hidden="1" x14ac:dyDescent="0.25">
      <c r="A142" t="s">
        <v>107</v>
      </c>
      <c r="B142" t="s">
        <v>69</v>
      </c>
      <c r="C142" t="s">
        <v>8</v>
      </c>
      <c r="D142" t="s">
        <v>14</v>
      </c>
      <c r="E142" t="s">
        <v>79</v>
      </c>
      <c r="F142" t="s">
        <v>79</v>
      </c>
      <c r="G142" s="2" t="s">
        <v>8</v>
      </c>
      <c r="H142" t="s">
        <v>64</v>
      </c>
      <c r="I142" s="34" t="s">
        <v>195</v>
      </c>
      <c r="J142" s="2" t="s">
        <v>196</v>
      </c>
      <c r="K142" t="s">
        <v>64</v>
      </c>
      <c r="L142" t="s">
        <v>89</v>
      </c>
      <c r="M142" s="2" t="s">
        <v>78</v>
      </c>
      <c r="N142" t="s">
        <v>164</v>
      </c>
      <c r="O142" t="s">
        <v>157</v>
      </c>
      <c r="P142" s="2" t="s">
        <v>20</v>
      </c>
      <c r="Q142" t="s">
        <v>64</v>
      </c>
      <c r="R142" t="s">
        <v>64</v>
      </c>
      <c r="S142" s="85" t="s">
        <v>197</v>
      </c>
      <c r="T142" t="s">
        <v>198</v>
      </c>
      <c r="U142" t="s">
        <v>199</v>
      </c>
      <c r="V142" s="2" t="s">
        <v>200</v>
      </c>
      <c r="W142" s="2" t="s">
        <v>65</v>
      </c>
      <c r="Z142" s="2" t="s">
        <v>186</v>
      </c>
      <c r="AA142" s="2" t="s">
        <v>187</v>
      </c>
      <c r="AB142" s="2" t="s">
        <v>66</v>
      </c>
      <c r="AC142" s="2" t="s">
        <v>67</v>
      </c>
    </row>
    <row r="143" spans="1:29" hidden="1" x14ac:dyDescent="0.25">
      <c r="A143" t="s">
        <v>107</v>
      </c>
      <c r="B143" t="s">
        <v>69</v>
      </c>
      <c r="C143" t="s">
        <v>8</v>
      </c>
      <c r="D143" t="s">
        <v>14</v>
      </c>
      <c r="E143" t="s">
        <v>79</v>
      </c>
      <c r="F143" t="s">
        <v>79</v>
      </c>
      <c r="G143" s="2" t="s">
        <v>8</v>
      </c>
      <c r="H143" t="s">
        <v>64</v>
      </c>
      <c r="I143" s="34" t="s">
        <v>195</v>
      </c>
      <c r="J143" s="2" t="s">
        <v>196</v>
      </c>
      <c r="K143" t="s">
        <v>64</v>
      </c>
      <c r="L143" t="s">
        <v>89</v>
      </c>
      <c r="M143" s="2" t="s">
        <v>78</v>
      </c>
      <c r="N143" t="s">
        <v>164</v>
      </c>
      <c r="O143" t="s">
        <v>158</v>
      </c>
      <c r="P143" s="2" t="s">
        <v>202</v>
      </c>
      <c r="Q143" t="s">
        <v>64</v>
      </c>
      <c r="R143" t="s">
        <v>64</v>
      </c>
      <c r="S143" s="85" t="s">
        <v>197</v>
      </c>
      <c r="T143" t="s">
        <v>198</v>
      </c>
      <c r="U143" t="s">
        <v>199</v>
      </c>
      <c r="V143" s="2" t="s">
        <v>200</v>
      </c>
      <c r="W143" s="2" t="s">
        <v>65</v>
      </c>
      <c r="Z143" s="2" t="s">
        <v>186</v>
      </c>
      <c r="AA143" s="2" t="s">
        <v>187</v>
      </c>
      <c r="AB143" s="2" t="s">
        <v>66</v>
      </c>
      <c r="AC143" s="2" t="s">
        <v>67</v>
      </c>
    </row>
    <row r="144" spans="1:29" x14ac:dyDescent="0.25">
      <c r="A144" t="s">
        <v>107</v>
      </c>
      <c r="B144" t="s">
        <v>111</v>
      </c>
      <c r="C144" t="s">
        <v>112</v>
      </c>
      <c r="D144" t="s">
        <v>15</v>
      </c>
      <c r="E144" t="s">
        <v>96</v>
      </c>
      <c r="F144" t="s">
        <v>96</v>
      </c>
      <c r="G144" s="2" t="s">
        <v>112</v>
      </c>
      <c r="H144" t="s">
        <v>64</v>
      </c>
      <c r="I144" s="34" t="s">
        <v>203</v>
      </c>
      <c r="J144" s="2" t="s">
        <v>204</v>
      </c>
      <c r="K144" t="s">
        <v>205</v>
      </c>
      <c r="L144" t="s">
        <v>206</v>
      </c>
      <c r="M144" s="2" t="s">
        <v>78</v>
      </c>
      <c r="N144" t="s">
        <v>164</v>
      </c>
      <c r="O144" t="s">
        <v>133</v>
      </c>
      <c r="P144" s="2" t="s">
        <v>81</v>
      </c>
      <c r="Q144" t="s">
        <v>64</v>
      </c>
      <c r="R144" t="s">
        <v>64</v>
      </c>
      <c r="S144" s="85" t="s">
        <v>207</v>
      </c>
      <c r="T144" t="s">
        <v>208</v>
      </c>
      <c r="U144" t="s">
        <v>209</v>
      </c>
      <c r="V144" s="2" t="s">
        <v>210</v>
      </c>
      <c r="W144" s="2" t="s">
        <v>65</v>
      </c>
      <c r="Z144" s="2" t="s">
        <v>116</v>
      </c>
      <c r="AA144" s="2" t="s">
        <v>117</v>
      </c>
      <c r="AB144" s="2" t="s">
        <v>66</v>
      </c>
      <c r="AC144" s="2" t="s">
        <v>67</v>
      </c>
    </row>
    <row r="145" spans="1:29" x14ac:dyDescent="0.25">
      <c r="A145" t="s">
        <v>107</v>
      </c>
      <c r="B145" t="s">
        <v>111</v>
      </c>
      <c r="C145" t="s">
        <v>112</v>
      </c>
      <c r="D145" t="s">
        <v>15</v>
      </c>
      <c r="E145" t="s">
        <v>96</v>
      </c>
      <c r="F145" t="s">
        <v>96</v>
      </c>
      <c r="G145" s="2" t="s">
        <v>112</v>
      </c>
      <c r="H145" t="s">
        <v>64</v>
      </c>
      <c r="I145" s="34" t="s">
        <v>203</v>
      </c>
      <c r="J145" s="2" t="s">
        <v>204</v>
      </c>
      <c r="K145" t="s">
        <v>205</v>
      </c>
      <c r="L145" t="s">
        <v>206</v>
      </c>
      <c r="M145" s="2" t="s">
        <v>78</v>
      </c>
      <c r="N145" t="s">
        <v>164</v>
      </c>
      <c r="O145" t="s">
        <v>97</v>
      </c>
      <c r="P145" s="2" t="s">
        <v>81</v>
      </c>
      <c r="Q145" t="s">
        <v>64</v>
      </c>
      <c r="R145" t="s">
        <v>64</v>
      </c>
      <c r="S145" s="85" t="s">
        <v>207</v>
      </c>
      <c r="T145" t="s">
        <v>208</v>
      </c>
      <c r="U145" t="s">
        <v>209</v>
      </c>
      <c r="V145" s="2" t="s">
        <v>210</v>
      </c>
      <c r="W145" s="2" t="s">
        <v>65</v>
      </c>
      <c r="Z145" s="2" t="s">
        <v>116</v>
      </c>
      <c r="AA145" s="2" t="s">
        <v>117</v>
      </c>
      <c r="AB145" s="2" t="s">
        <v>66</v>
      </c>
      <c r="AC145" s="2" t="s">
        <v>67</v>
      </c>
    </row>
    <row r="146" spans="1:29" x14ac:dyDescent="0.25">
      <c r="A146" t="s">
        <v>107</v>
      </c>
      <c r="B146" t="s">
        <v>111</v>
      </c>
      <c r="C146" t="s">
        <v>112</v>
      </c>
      <c r="D146" t="s">
        <v>15</v>
      </c>
      <c r="E146" t="s">
        <v>96</v>
      </c>
      <c r="F146" t="s">
        <v>96</v>
      </c>
      <c r="G146" s="2" t="s">
        <v>112</v>
      </c>
      <c r="H146" t="s">
        <v>64</v>
      </c>
      <c r="I146" s="34" t="s">
        <v>203</v>
      </c>
      <c r="J146" s="2" t="s">
        <v>204</v>
      </c>
      <c r="K146" t="s">
        <v>205</v>
      </c>
      <c r="L146" t="s">
        <v>206</v>
      </c>
      <c r="M146" s="2" t="s">
        <v>78</v>
      </c>
      <c r="N146" t="s">
        <v>164</v>
      </c>
      <c r="O146" t="s">
        <v>98</v>
      </c>
      <c r="P146" s="2" t="s">
        <v>81</v>
      </c>
      <c r="Q146" t="s">
        <v>64</v>
      </c>
      <c r="R146" t="s">
        <v>64</v>
      </c>
      <c r="S146" s="85" t="s">
        <v>207</v>
      </c>
      <c r="T146" t="s">
        <v>208</v>
      </c>
      <c r="U146" t="s">
        <v>209</v>
      </c>
      <c r="V146" s="2" t="s">
        <v>210</v>
      </c>
      <c r="W146" s="2" t="s">
        <v>65</v>
      </c>
      <c r="Z146" s="2" t="s">
        <v>116</v>
      </c>
      <c r="AA146" s="2" t="s">
        <v>117</v>
      </c>
      <c r="AB146" s="2" t="s">
        <v>66</v>
      </c>
      <c r="AC146" s="2" t="s">
        <v>67</v>
      </c>
    </row>
    <row r="147" spans="1:29" x14ac:dyDescent="0.25">
      <c r="A147" t="s">
        <v>107</v>
      </c>
      <c r="B147" t="s">
        <v>111</v>
      </c>
      <c r="C147" t="s">
        <v>112</v>
      </c>
      <c r="D147" t="s">
        <v>15</v>
      </c>
      <c r="E147" t="s">
        <v>96</v>
      </c>
      <c r="F147" t="s">
        <v>96</v>
      </c>
      <c r="G147" s="2" t="s">
        <v>112</v>
      </c>
      <c r="H147" t="s">
        <v>64</v>
      </c>
      <c r="I147" s="34" t="s">
        <v>203</v>
      </c>
      <c r="J147" s="2" t="s">
        <v>204</v>
      </c>
      <c r="K147" t="s">
        <v>205</v>
      </c>
      <c r="L147" t="s">
        <v>206</v>
      </c>
      <c r="M147" s="2" t="s">
        <v>78</v>
      </c>
      <c r="N147" t="s">
        <v>164</v>
      </c>
      <c r="O147" t="s">
        <v>134</v>
      </c>
      <c r="P147" s="2" t="s">
        <v>81</v>
      </c>
      <c r="Q147" t="s">
        <v>64</v>
      </c>
      <c r="R147" t="s">
        <v>64</v>
      </c>
      <c r="S147" s="85" t="s">
        <v>207</v>
      </c>
      <c r="T147" t="s">
        <v>208</v>
      </c>
      <c r="U147" t="s">
        <v>209</v>
      </c>
      <c r="V147" s="2" t="s">
        <v>210</v>
      </c>
      <c r="W147" s="2" t="s">
        <v>65</v>
      </c>
      <c r="Z147" s="2" t="s">
        <v>116</v>
      </c>
      <c r="AA147" s="2" t="s">
        <v>117</v>
      </c>
      <c r="AB147" s="2" t="s">
        <v>66</v>
      </c>
      <c r="AC147" s="2" t="s">
        <v>67</v>
      </c>
    </row>
    <row r="148" spans="1:29" x14ac:dyDescent="0.25">
      <c r="A148" t="s">
        <v>107</v>
      </c>
      <c r="B148" t="s">
        <v>111</v>
      </c>
      <c r="C148" t="s">
        <v>112</v>
      </c>
      <c r="D148" t="s">
        <v>15</v>
      </c>
      <c r="E148" t="s">
        <v>96</v>
      </c>
      <c r="F148" t="s">
        <v>96</v>
      </c>
      <c r="G148" s="2" t="s">
        <v>112</v>
      </c>
      <c r="H148" t="s">
        <v>64</v>
      </c>
      <c r="I148" s="34" t="s">
        <v>203</v>
      </c>
      <c r="J148" s="2" t="s">
        <v>204</v>
      </c>
      <c r="K148" t="s">
        <v>205</v>
      </c>
      <c r="L148" t="s">
        <v>206</v>
      </c>
      <c r="M148" s="2" t="s">
        <v>78</v>
      </c>
      <c r="N148" t="s">
        <v>164</v>
      </c>
      <c r="O148" t="s">
        <v>35</v>
      </c>
      <c r="P148" s="2" t="s">
        <v>81</v>
      </c>
      <c r="Q148" t="s">
        <v>64</v>
      </c>
      <c r="R148" t="s">
        <v>64</v>
      </c>
      <c r="S148" s="85" t="s">
        <v>207</v>
      </c>
      <c r="T148" t="s">
        <v>208</v>
      </c>
      <c r="U148" t="s">
        <v>209</v>
      </c>
      <c r="V148" s="2" t="s">
        <v>210</v>
      </c>
      <c r="W148" s="2" t="s">
        <v>65</v>
      </c>
      <c r="Z148" s="2" t="s">
        <v>116</v>
      </c>
      <c r="AA148" s="2" t="s">
        <v>117</v>
      </c>
      <c r="AB148" s="2" t="s">
        <v>66</v>
      </c>
      <c r="AC148" s="2" t="s">
        <v>67</v>
      </c>
    </row>
    <row r="149" spans="1:29" x14ac:dyDescent="0.25">
      <c r="A149" t="s">
        <v>107</v>
      </c>
      <c r="B149" t="s">
        <v>111</v>
      </c>
      <c r="C149" t="s">
        <v>112</v>
      </c>
      <c r="D149" t="s">
        <v>15</v>
      </c>
      <c r="E149" t="s">
        <v>96</v>
      </c>
      <c r="F149" t="s">
        <v>96</v>
      </c>
      <c r="G149" s="2" t="s">
        <v>112</v>
      </c>
      <c r="H149" t="s">
        <v>64</v>
      </c>
      <c r="I149" s="34" t="s">
        <v>203</v>
      </c>
      <c r="J149" s="2" t="s">
        <v>204</v>
      </c>
      <c r="K149" t="s">
        <v>205</v>
      </c>
      <c r="L149" t="s">
        <v>206</v>
      </c>
      <c r="M149" s="2" t="s">
        <v>78</v>
      </c>
      <c r="N149" t="s">
        <v>164</v>
      </c>
      <c r="O149" t="s">
        <v>135</v>
      </c>
      <c r="P149" s="2" t="s">
        <v>81</v>
      </c>
      <c r="Q149" t="s">
        <v>64</v>
      </c>
      <c r="R149" t="s">
        <v>64</v>
      </c>
      <c r="S149" s="85" t="s">
        <v>207</v>
      </c>
      <c r="T149" t="s">
        <v>208</v>
      </c>
      <c r="U149" t="s">
        <v>209</v>
      </c>
      <c r="V149" s="2" t="s">
        <v>210</v>
      </c>
      <c r="W149" s="2" t="s">
        <v>65</v>
      </c>
      <c r="Z149" s="2" t="s">
        <v>116</v>
      </c>
      <c r="AA149" s="2" t="s">
        <v>117</v>
      </c>
      <c r="AB149" s="2" t="s">
        <v>66</v>
      </c>
      <c r="AC149" s="2" t="s">
        <v>67</v>
      </c>
    </row>
    <row r="150" spans="1:29" x14ac:dyDescent="0.25">
      <c r="A150" t="s">
        <v>107</v>
      </c>
      <c r="B150" t="s">
        <v>111</v>
      </c>
      <c r="C150" t="s">
        <v>112</v>
      </c>
      <c r="D150" t="s">
        <v>15</v>
      </c>
      <c r="E150" t="s">
        <v>96</v>
      </c>
      <c r="F150" t="s">
        <v>96</v>
      </c>
      <c r="G150" s="2" t="s">
        <v>112</v>
      </c>
      <c r="H150" t="s">
        <v>64</v>
      </c>
      <c r="I150" s="34" t="s">
        <v>203</v>
      </c>
      <c r="J150" s="2" t="s">
        <v>204</v>
      </c>
      <c r="K150" t="s">
        <v>205</v>
      </c>
      <c r="L150" t="s">
        <v>206</v>
      </c>
      <c r="M150" s="2" t="s">
        <v>78</v>
      </c>
      <c r="N150" t="s">
        <v>164</v>
      </c>
      <c r="O150" t="s">
        <v>99</v>
      </c>
      <c r="P150" s="2" t="s">
        <v>81</v>
      </c>
      <c r="Q150" t="s">
        <v>64</v>
      </c>
      <c r="R150" t="s">
        <v>64</v>
      </c>
      <c r="S150" s="85" t="s">
        <v>207</v>
      </c>
      <c r="T150" t="s">
        <v>208</v>
      </c>
      <c r="U150" t="s">
        <v>209</v>
      </c>
      <c r="V150" s="2" t="s">
        <v>210</v>
      </c>
      <c r="W150" s="2" t="s">
        <v>65</v>
      </c>
      <c r="Z150" s="2" t="s">
        <v>116</v>
      </c>
      <c r="AA150" s="2" t="s">
        <v>117</v>
      </c>
      <c r="AB150" s="2" t="s">
        <v>66</v>
      </c>
      <c r="AC150" s="2" t="s">
        <v>67</v>
      </c>
    </row>
    <row r="151" spans="1:29" x14ac:dyDescent="0.25">
      <c r="A151" t="s">
        <v>107</v>
      </c>
      <c r="B151" t="s">
        <v>111</v>
      </c>
      <c r="C151" t="s">
        <v>112</v>
      </c>
      <c r="D151" t="s">
        <v>15</v>
      </c>
      <c r="E151" t="s">
        <v>96</v>
      </c>
      <c r="F151" t="s">
        <v>96</v>
      </c>
      <c r="G151" s="2" t="s">
        <v>112</v>
      </c>
      <c r="H151" t="s">
        <v>64</v>
      </c>
      <c r="I151" s="34" t="s">
        <v>203</v>
      </c>
      <c r="J151" s="2" t="s">
        <v>204</v>
      </c>
      <c r="K151" t="s">
        <v>205</v>
      </c>
      <c r="L151" t="s">
        <v>206</v>
      </c>
      <c r="M151" s="2" t="s">
        <v>78</v>
      </c>
      <c r="N151" t="s">
        <v>164</v>
      </c>
      <c r="O151" t="s">
        <v>100</v>
      </c>
      <c r="P151" s="2" t="s">
        <v>81</v>
      </c>
      <c r="Q151" t="s">
        <v>64</v>
      </c>
      <c r="R151" t="s">
        <v>64</v>
      </c>
      <c r="S151" s="85" t="s">
        <v>207</v>
      </c>
      <c r="T151" t="s">
        <v>208</v>
      </c>
      <c r="U151" t="s">
        <v>209</v>
      </c>
      <c r="V151" s="2" t="s">
        <v>210</v>
      </c>
      <c r="W151" s="2" t="s">
        <v>65</v>
      </c>
      <c r="Z151" s="2" t="s">
        <v>116</v>
      </c>
      <c r="AA151" s="2" t="s">
        <v>117</v>
      </c>
      <c r="AB151" s="2" t="s">
        <v>66</v>
      </c>
      <c r="AC151" s="2" t="s">
        <v>67</v>
      </c>
    </row>
    <row r="152" spans="1:29" x14ac:dyDescent="0.25">
      <c r="A152" t="s">
        <v>107</v>
      </c>
      <c r="B152" t="s">
        <v>111</v>
      </c>
      <c r="C152" t="s">
        <v>112</v>
      </c>
      <c r="D152" t="s">
        <v>15</v>
      </c>
      <c r="E152" t="s">
        <v>96</v>
      </c>
      <c r="F152" t="s">
        <v>96</v>
      </c>
      <c r="G152" s="2" t="s">
        <v>112</v>
      </c>
      <c r="H152" t="s">
        <v>64</v>
      </c>
      <c r="I152" s="34" t="s">
        <v>203</v>
      </c>
      <c r="J152" s="2" t="s">
        <v>204</v>
      </c>
      <c r="K152" t="s">
        <v>205</v>
      </c>
      <c r="L152" t="s">
        <v>206</v>
      </c>
      <c r="M152" s="2" t="s">
        <v>78</v>
      </c>
      <c r="N152" t="s">
        <v>164</v>
      </c>
      <c r="O152" t="s">
        <v>101</v>
      </c>
      <c r="P152" s="2" t="s">
        <v>81</v>
      </c>
      <c r="Q152" t="s">
        <v>64</v>
      </c>
      <c r="R152" t="s">
        <v>64</v>
      </c>
      <c r="S152" s="85" t="s">
        <v>207</v>
      </c>
      <c r="T152" t="s">
        <v>208</v>
      </c>
      <c r="U152" t="s">
        <v>209</v>
      </c>
      <c r="V152" s="2" t="s">
        <v>210</v>
      </c>
      <c r="W152" s="2" t="s">
        <v>65</v>
      </c>
      <c r="Z152" s="2" t="s">
        <v>116</v>
      </c>
      <c r="AA152" s="2" t="s">
        <v>117</v>
      </c>
      <c r="AB152" s="2" t="s">
        <v>66</v>
      </c>
      <c r="AC152" s="2" t="s">
        <v>67</v>
      </c>
    </row>
    <row r="153" spans="1:29" x14ac:dyDescent="0.25">
      <c r="A153" t="s">
        <v>107</v>
      </c>
      <c r="B153" t="s">
        <v>111</v>
      </c>
      <c r="C153" t="s">
        <v>112</v>
      </c>
      <c r="D153" t="s">
        <v>15</v>
      </c>
      <c r="E153" t="s">
        <v>96</v>
      </c>
      <c r="F153" t="s">
        <v>96</v>
      </c>
      <c r="G153" s="2" t="s">
        <v>112</v>
      </c>
      <c r="H153" t="s">
        <v>64</v>
      </c>
      <c r="I153" s="34" t="s">
        <v>203</v>
      </c>
      <c r="J153" s="2" t="s">
        <v>204</v>
      </c>
      <c r="K153" t="s">
        <v>205</v>
      </c>
      <c r="L153" t="s">
        <v>206</v>
      </c>
      <c r="M153" s="2" t="s">
        <v>78</v>
      </c>
      <c r="N153" t="s">
        <v>164</v>
      </c>
      <c r="O153" t="s">
        <v>102</v>
      </c>
      <c r="P153" s="2" t="s">
        <v>81</v>
      </c>
      <c r="Q153" t="s">
        <v>64</v>
      </c>
      <c r="R153" t="s">
        <v>64</v>
      </c>
      <c r="S153" s="85" t="s">
        <v>207</v>
      </c>
      <c r="T153" t="s">
        <v>208</v>
      </c>
      <c r="U153" t="s">
        <v>209</v>
      </c>
      <c r="V153" s="2" t="s">
        <v>210</v>
      </c>
      <c r="W153" s="2" t="s">
        <v>65</v>
      </c>
      <c r="Z153" s="2" t="s">
        <v>116</v>
      </c>
      <c r="AA153" s="2" t="s">
        <v>117</v>
      </c>
      <c r="AB153" s="2" t="s">
        <v>66</v>
      </c>
      <c r="AC153" s="2" t="s">
        <v>67</v>
      </c>
    </row>
    <row r="154" spans="1:29" x14ac:dyDescent="0.25">
      <c r="A154" t="s">
        <v>107</v>
      </c>
      <c r="B154" t="s">
        <v>111</v>
      </c>
      <c r="C154" t="s">
        <v>112</v>
      </c>
      <c r="D154" t="s">
        <v>15</v>
      </c>
      <c r="E154" t="s">
        <v>96</v>
      </c>
      <c r="F154" t="s">
        <v>96</v>
      </c>
      <c r="G154" s="2" t="s">
        <v>112</v>
      </c>
      <c r="H154" t="s">
        <v>64</v>
      </c>
      <c r="I154" s="34" t="s">
        <v>203</v>
      </c>
      <c r="J154" s="2" t="s">
        <v>204</v>
      </c>
      <c r="K154" t="s">
        <v>205</v>
      </c>
      <c r="L154" t="s">
        <v>206</v>
      </c>
      <c r="M154" s="2" t="s">
        <v>78</v>
      </c>
      <c r="N154" t="s">
        <v>164</v>
      </c>
      <c r="O154" t="s">
        <v>103</v>
      </c>
      <c r="P154" s="2" t="s">
        <v>81</v>
      </c>
      <c r="Q154" t="s">
        <v>64</v>
      </c>
      <c r="R154" t="s">
        <v>64</v>
      </c>
      <c r="S154" s="85" t="s">
        <v>207</v>
      </c>
      <c r="T154" t="s">
        <v>208</v>
      </c>
      <c r="U154" t="s">
        <v>209</v>
      </c>
      <c r="V154" s="2" t="s">
        <v>210</v>
      </c>
      <c r="W154" s="2" t="s">
        <v>65</v>
      </c>
      <c r="Z154" s="2" t="s">
        <v>116</v>
      </c>
      <c r="AA154" s="2" t="s">
        <v>117</v>
      </c>
      <c r="AB154" s="2" t="s">
        <v>66</v>
      </c>
      <c r="AC154" s="2" t="s">
        <v>67</v>
      </c>
    </row>
    <row r="155" spans="1:29" x14ac:dyDescent="0.25">
      <c r="A155" t="s">
        <v>107</v>
      </c>
      <c r="B155" t="s">
        <v>111</v>
      </c>
      <c r="C155" t="s">
        <v>112</v>
      </c>
      <c r="D155" t="s">
        <v>15</v>
      </c>
      <c r="E155" t="s">
        <v>96</v>
      </c>
      <c r="F155" t="s">
        <v>96</v>
      </c>
      <c r="G155" s="2" t="s">
        <v>112</v>
      </c>
      <c r="H155" t="s">
        <v>64</v>
      </c>
      <c r="I155" s="34" t="s">
        <v>203</v>
      </c>
      <c r="J155" s="2" t="s">
        <v>204</v>
      </c>
      <c r="K155" t="s">
        <v>205</v>
      </c>
      <c r="L155" t="s">
        <v>206</v>
      </c>
      <c r="M155" s="2" t="s">
        <v>78</v>
      </c>
      <c r="N155" t="s">
        <v>164</v>
      </c>
      <c r="O155" t="s">
        <v>104</v>
      </c>
      <c r="P155" s="2" t="s">
        <v>81</v>
      </c>
      <c r="Q155" t="s">
        <v>64</v>
      </c>
      <c r="R155" t="s">
        <v>64</v>
      </c>
      <c r="S155" s="85" t="s">
        <v>207</v>
      </c>
      <c r="T155" t="s">
        <v>208</v>
      </c>
      <c r="U155" t="s">
        <v>209</v>
      </c>
      <c r="V155" s="2" t="s">
        <v>210</v>
      </c>
      <c r="W155" s="2" t="s">
        <v>65</v>
      </c>
      <c r="Z155" s="2" t="s">
        <v>116</v>
      </c>
      <c r="AA155" s="2" t="s">
        <v>117</v>
      </c>
      <c r="AB155" s="2" t="s">
        <v>66</v>
      </c>
      <c r="AC155" s="2" t="s">
        <v>67</v>
      </c>
    </row>
    <row r="156" spans="1:29" x14ac:dyDescent="0.25">
      <c r="A156" t="s">
        <v>107</v>
      </c>
      <c r="B156" t="s">
        <v>111</v>
      </c>
      <c r="C156" t="s">
        <v>112</v>
      </c>
      <c r="D156" t="s">
        <v>15</v>
      </c>
      <c r="E156" t="s">
        <v>96</v>
      </c>
      <c r="F156" t="s">
        <v>96</v>
      </c>
      <c r="G156" s="2" t="s">
        <v>112</v>
      </c>
      <c r="H156" t="s">
        <v>64</v>
      </c>
      <c r="I156" s="34" t="s">
        <v>203</v>
      </c>
      <c r="J156" s="2" t="s">
        <v>204</v>
      </c>
      <c r="K156" t="s">
        <v>205</v>
      </c>
      <c r="L156" t="s">
        <v>206</v>
      </c>
      <c r="M156" s="2" t="s">
        <v>78</v>
      </c>
      <c r="N156" t="s">
        <v>164</v>
      </c>
      <c r="O156" t="s">
        <v>136</v>
      </c>
      <c r="P156" s="2" t="s">
        <v>81</v>
      </c>
      <c r="Q156" t="s">
        <v>64</v>
      </c>
      <c r="R156" t="s">
        <v>64</v>
      </c>
      <c r="S156" s="85" t="s">
        <v>207</v>
      </c>
      <c r="T156" t="s">
        <v>208</v>
      </c>
      <c r="U156" t="s">
        <v>209</v>
      </c>
      <c r="V156" s="2" t="s">
        <v>210</v>
      </c>
      <c r="W156" s="2" t="s">
        <v>65</v>
      </c>
      <c r="Z156" s="2" t="s">
        <v>116</v>
      </c>
      <c r="AA156" s="2" t="s">
        <v>117</v>
      </c>
      <c r="AB156" s="2" t="s">
        <v>66</v>
      </c>
      <c r="AC156" s="2" t="s">
        <v>67</v>
      </c>
    </row>
    <row r="157" spans="1:29" x14ac:dyDescent="0.25">
      <c r="A157" t="s">
        <v>107</v>
      </c>
      <c r="B157" t="s">
        <v>111</v>
      </c>
      <c r="C157" t="s">
        <v>112</v>
      </c>
      <c r="D157" t="s">
        <v>15</v>
      </c>
      <c r="E157" t="s">
        <v>96</v>
      </c>
      <c r="F157" t="s">
        <v>96</v>
      </c>
      <c r="G157" s="2" t="s">
        <v>112</v>
      </c>
      <c r="H157" t="s">
        <v>64</v>
      </c>
      <c r="I157" s="34" t="s">
        <v>203</v>
      </c>
      <c r="J157" s="2" t="s">
        <v>204</v>
      </c>
      <c r="K157" t="s">
        <v>205</v>
      </c>
      <c r="L157" t="s">
        <v>206</v>
      </c>
      <c r="M157" s="2" t="s">
        <v>78</v>
      </c>
      <c r="N157" t="s">
        <v>164</v>
      </c>
      <c r="O157" t="s">
        <v>137</v>
      </c>
      <c r="P157" s="2" t="s">
        <v>81</v>
      </c>
      <c r="Q157" t="s">
        <v>64</v>
      </c>
      <c r="R157" t="s">
        <v>64</v>
      </c>
      <c r="S157" s="85" t="s">
        <v>207</v>
      </c>
      <c r="T157" t="s">
        <v>208</v>
      </c>
      <c r="U157" t="s">
        <v>209</v>
      </c>
      <c r="V157" s="2" t="s">
        <v>210</v>
      </c>
      <c r="W157" s="2" t="s">
        <v>65</v>
      </c>
      <c r="Z157" s="2" t="s">
        <v>116</v>
      </c>
      <c r="AA157" s="2" t="s">
        <v>117</v>
      </c>
      <c r="AB157" s="2" t="s">
        <v>66</v>
      </c>
      <c r="AC157" s="2" t="s">
        <v>67</v>
      </c>
    </row>
    <row r="158" spans="1:29" x14ac:dyDescent="0.25">
      <c r="A158" t="s">
        <v>107</v>
      </c>
      <c r="B158" t="s">
        <v>111</v>
      </c>
      <c r="C158" t="s">
        <v>112</v>
      </c>
      <c r="D158" t="s">
        <v>15</v>
      </c>
      <c r="E158" t="s">
        <v>96</v>
      </c>
      <c r="F158" t="s">
        <v>96</v>
      </c>
      <c r="G158" s="2" t="s">
        <v>112</v>
      </c>
      <c r="H158" t="s">
        <v>64</v>
      </c>
      <c r="I158" s="34" t="s">
        <v>203</v>
      </c>
      <c r="J158" s="2" t="s">
        <v>204</v>
      </c>
      <c r="K158" t="s">
        <v>205</v>
      </c>
      <c r="L158" t="s">
        <v>206</v>
      </c>
      <c r="M158" s="2" t="s">
        <v>78</v>
      </c>
      <c r="N158" t="s">
        <v>164</v>
      </c>
      <c r="O158" t="s">
        <v>138</v>
      </c>
      <c r="P158" s="2" t="s">
        <v>81</v>
      </c>
      <c r="Q158" t="s">
        <v>64</v>
      </c>
      <c r="R158" t="s">
        <v>64</v>
      </c>
      <c r="S158" s="85" t="s">
        <v>207</v>
      </c>
      <c r="T158" t="s">
        <v>208</v>
      </c>
      <c r="U158" t="s">
        <v>209</v>
      </c>
      <c r="V158" s="2" t="s">
        <v>210</v>
      </c>
      <c r="W158" s="2" t="s">
        <v>65</v>
      </c>
      <c r="Z158" s="2" t="s">
        <v>116</v>
      </c>
      <c r="AA158" s="2" t="s">
        <v>117</v>
      </c>
      <c r="AB158" s="2" t="s">
        <v>66</v>
      </c>
      <c r="AC158" s="2" t="s">
        <v>67</v>
      </c>
    </row>
    <row r="159" spans="1:29" x14ac:dyDescent="0.25">
      <c r="A159" t="s">
        <v>107</v>
      </c>
      <c r="B159" t="s">
        <v>111</v>
      </c>
      <c r="C159" t="s">
        <v>112</v>
      </c>
      <c r="D159" t="s">
        <v>15</v>
      </c>
      <c r="E159" t="s">
        <v>96</v>
      </c>
      <c r="F159" t="s">
        <v>96</v>
      </c>
      <c r="G159" s="2" t="s">
        <v>112</v>
      </c>
      <c r="H159" t="s">
        <v>64</v>
      </c>
      <c r="I159" s="34" t="s">
        <v>203</v>
      </c>
      <c r="J159" s="2" t="s">
        <v>204</v>
      </c>
      <c r="K159" t="s">
        <v>205</v>
      </c>
      <c r="L159" t="s">
        <v>206</v>
      </c>
      <c r="M159" s="2" t="s">
        <v>78</v>
      </c>
      <c r="N159" t="s">
        <v>164</v>
      </c>
      <c r="O159" t="s">
        <v>139</v>
      </c>
      <c r="P159" s="2" t="s">
        <v>15</v>
      </c>
      <c r="Q159" t="s">
        <v>64</v>
      </c>
      <c r="R159" t="s">
        <v>64</v>
      </c>
      <c r="S159" s="85" t="s">
        <v>207</v>
      </c>
      <c r="T159" t="s">
        <v>208</v>
      </c>
      <c r="U159" t="s">
        <v>209</v>
      </c>
      <c r="V159" s="2" t="s">
        <v>210</v>
      </c>
      <c r="W159" s="2" t="s">
        <v>65</v>
      </c>
      <c r="Z159" s="2" t="s">
        <v>116</v>
      </c>
      <c r="AA159" s="2" t="s">
        <v>117</v>
      </c>
      <c r="AB159" s="2" t="s">
        <v>66</v>
      </c>
      <c r="AC159" s="2" t="s">
        <v>67</v>
      </c>
    </row>
    <row r="160" spans="1:29" x14ac:dyDescent="0.25">
      <c r="A160" t="s">
        <v>107</v>
      </c>
      <c r="B160" t="s">
        <v>111</v>
      </c>
      <c r="C160" t="s">
        <v>112</v>
      </c>
      <c r="D160" t="s">
        <v>15</v>
      </c>
      <c r="E160" t="s">
        <v>96</v>
      </c>
      <c r="F160" t="s">
        <v>96</v>
      </c>
      <c r="G160" s="2" t="s">
        <v>112</v>
      </c>
      <c r="H160" t="s">
        <v>64</v>
      </c>
      <c r="I160" s="34" t="s">
        <v>203</v>
      </c>
      <c r="J160" s="2" t="s">
        <v>204</v>
      </c>
      <c r="K160" t="s">
        <v>205</v>
      </c>
      <c r="L160" t="s">
        <v>206</v>
      </c>
      <c r="M160" s="2" t="s">
        <v>78</v>
      </c>
      <c r="N160" t="s">
        <v>164</v>
      </c>
      <c r="O160" t="s">
        <v>140</v>
      </c>
      <c r="P160" s="2" t="s">
        <v>81</v>
      </c>
      <c r="Q160" t="s">
        <v>64</v>
      </c>
      <c r="R160" t="s">
        <v>64</v>
      </c>
      <c r="S160" s="85" t="s">
        <v>207</v>
      </c>
      <c r="T160" t="s">
        <v>208</v>
      </c>
      <c r="U160" t="s">
        <v>209</v>
      </c>
      <c r="V160" s="2" t="s">
        <v>210</v>
      </c>
      <c r="W160" s="2" t="s">
        <v>65</v>
      </c>
      <c r="Z160" s="2" t="s">
        <v>116</v>
      </c>
      <c r="AA160" s="2" t="s">
        <v>117</v>
      </c>
      <c r="AB160" s="2" t="s">
        <v>66</v>
      </c>
      <c r="AC160" s="2" t="s">
        <v>67</v>
      </c>
    </row>
    <row r="161" spans="1:29" x14ac:dyDescent="0.25">
      <c r="A161" t="s">
        <v>107</v>
      </c>
      <c r="B161" t="s">
        <v>111</v>
      </c>
      <c r="C161" t="s">
        <v>112</v>
      </c>
      <c r="D161" t="s">
        <v>15</v>
      </c>
      <c r="E161" t="s">
        <v>96</v>
      </c>
      <c r="F161" t="s">
        <v>96</v>
      </c>
      <c r="G161" s="2" t="s">
        <v>112</v>
      </c>
      <c r="H161" t="s">
        <v>64</v>
      </c>
      <c r="I161" s="34" t="s">
        <v>203</v>
      </c>
      <c r="J161" s="2" t="s">
        <v>204</v>
      </c>
      <c r="K161" t="s">
        <v>205</v>
      </c>
      <c r="L161" t="s">
        <v>206</v>
      </c>
      <c r="M161" s="2" t="s">
        <v>78</v>
      </c>
      <c r="N161" t="s">
        <v>164</v>
      </c>
      <c r="O161" t="s">
        <v>141</v>
      </c>
      <c r="P161" s="2" t="s">
        <v>81</v>
      </c>
      <c r="Q161" t="s">
        <v>64</v>
      </c>
      <c r="R161" t="s">
        <v>64</v>
      </c>
      <c r="S161" s="85" t="s">
        <v>207</v>
      </c>
      <c r="T161" t="s">
        <v>208</v>
      </c>
      <c r="U161" t="s">
        <v>209</v>
      </c>
      <c r="V161" s="2" t="s">
        <v>210</v>
      </c>
      <c r="W161" s="2" t="s">
        <v>65</v>
      </c>
      <c r="Z161" s="2" t="s">
        <v>116</v>
      </c>
      <c r="AA161" s="2" t="s">
        <v>117</v>
      </c>
      <c r="AB161" s="2" t="s">
        <v>66</v>
      </c>
      <c r="AC161" s="2" t="s">
        <v>67</v>
      </c>
    </row>
    <row r="162" spans="1:29" x14ac:dyDescent="0.25">
      <c r="A162" t="s">
        <v>107</v>
      </c>
      <c r="B162" t="s">
        <v>111</v>
      </c>
      <c r="C162" t="s">
        <v>112</v>
      </c>
      <c r="D162" t="s">
        <v>15</v>
      </c>
      <c r="E162" t="s">
        <v>96</v>
      </c>
      <c r="F162" t="s">
        <v>96</v>
      </c>
      <c r="G162" s="2" t="s">
        <v>112</v>
      </c>
      <c r="H162" t="s">
        <v>64</v>
      </c>
      <c r="I162" s="34" t="s">
        <v>203</v>
      </c>
      <c r="J162" s="2" t="s">
        <v>204</v>
      </c>
      <c r="K162" t="s">
        <v>205</v>
      </c>
      <c r="L162" t="s">
        <v>206</v>
      </c>
      <c r="M162" s="2" t="s">
        <v>78</v>
      </c>
      <c r="N162" t="s">
        <v>164</v>
      </c>
      <c r="O162" t="s">
        <v>142</v>
      </c>
      <c r="P162" s="2" t="s">
        <v>81</v>
      </c>
      <c r="Q162" t="s">
        <v>64</v>
      </c>
      <c r="R162" t="s">
        <v>64</v>
      </c>
      <c r="S162" s="85" t="s">
        <v>207</v>
      </c>
      <c r="T162" t="s">
        <v>208</v>
      </c>
      <c r="U162" t="s">
        <v>209</v>
      </c>
      <c r="V162" s="2" t="s">
        <v>210</v>
      </c>
      <c r="W162" s="2" t="s">
        <v>65</v>
      </c>
      <c r="Z162" s="2" t="s">
        <v>116</v>
      </c>
      <c r="AA162" s="2" t="s">
        <v>117</v>
      </c>
      <c r="AB162" s="2" t="s">
        <v>66</v>
      </c>
      <c r="AC162" s="2" t="s">
        <v>67</v>
      </c>
    </row>
    <row r="163" spans="1:29" x14ac:dyDescent="0.25">
      <c r="A163" t="s">
        <v>107</v>
      </c>
      <c r="B163" t="s">
        <v>111</v>
      </c>
      <c r="C163" t="s">
        <v>112</v>
      </c>
      <c r="D163" t="s">
        <v>15</v>
      </c>
      <c r="E163" t="s">
        <v>96</v>
      </c>
      <c r="F163" t="s">
        <v>96</v>
      </c>
      <c r="G163" s="2" t="s">
        <v>112</v>
      </c>
      <c r="H163" t="s">
        <v>64</v>
      </c>
      <c r="I163" s="34" t="s">
        <v>203</v>
      </c>
      <c r="J163" s="2" t="s">
        <v>204</v>
      </c>
      <c r="K163" t="s">
        <v>205</v>
      </c>
      <c r="L163" t="s">
        <v>206</v>
      </c>
      <c r="M163" s="2" t="s">
        <v>78</v>
      </c>
      <c r="N163" t="s">
        <v>164</v>
      </c>
      <c r="O163" t="s">
        <v>143</v>
      </c>
      <c r="P163" s="2" t="s">
        <v>81</v>
      </c>
      <c r="Q163" t="s">
        <v>64</v>
      </c>
      <c r="R163" t="s">
        <v>64</v>
      </c>
      <c r="S163" s="85" t="s">
        <v>207</v>
      </c>
      <c r="T163" t="s">
        <v>208</v>
      </c>
      <c r="U163" t="s">
        <v>209</v>
      </c>
      <c r="V163" s="2" t="s">
        <v>210</v>
      </c>
      <c r="W163" s="2" t="s">
        <v>65</v>
      </c>
      <c r="Z163" s="2" t="s">
        <v>116</v>
      </c>
      <c r="AA163" s="2" t="s">
        <v>117</v>
      </c>
      <c r="AB163" s="2" t="s">
        <v>66</v>
      </c>
      <c r="AC163" s="2" t="s">
        <v>67</v>
      </c>
    </row>
    <row r="164" spans="1:29" x14ac:dyDescent="0.25">
      <c r="A164" t="s">
        <v>107</v>
      </c>
      <c r="B164" t="s">
        <v>111</v>
      </c>
      <c r="C164" t="s">
        <v>112</v>
      </c>
      <c r="D164" t="s">
        <v>15</v>
      </c>
      <c r="E164" t="s">
        <v>96</v>
      </c>
      <c r="F164" t="s">
        <v>96</v>
      </c>
      <c r="G164" s="2" t="s">
        <v>112</v>
      </c>
      <c r="H164" t="s">
        <v>64</v>
      </c>
      <c r="I164" s="34" t="s">
        <v>203</v>
      </c>
      <c r="J164" s="2" t="s">
        <v>204</v>
      </c>
      <c r="K164" t="s">
        <v>205</v>
      </c>
      <c r="L164" t="s">
        <v>206</v>
      </c>
      <c r="M164" s="2" t="s">
        <v>78</v>
      </c>
      <c r="N164" t="s">
        <v>164</v>
      </c>
      <c r="O164" t="s">
        <v>144</v>
      </c>
      <c r="P164" s="2" t="s">
        <v>81</v>
      </c>
      <c r="Q164" t="s">
        <v>64</v>
      </c>
      <c r="R164" t="s">
        <v>64</v>
      </c>
      <c r="S164" s="85" t="s">
        <v>207</v>
      </c>
      <c r="T164" t="s">
        <v>208</v>
      </c>
      <c r="U164" t="s">
        <v>209</v>
      </c>
      <c r="V164" s="2" t="s">
        <v>210</v>
      </c>
      <c r="W164" s="2" t="s">
        <v>65</v>
      </c>
      <c r="Z164" s="2" t="s">
        <v>116</v>
      </c>
      <c r="AA164" s="2" t="s">
        <v>117</v>
      </c>
      <c r="AB164" s="2" t="s">
        <v>66</v>
      </c>
      <c r="AC164" s="2" t="s">
        <v>67</v>
      </c>
    </row>
    <row r="165" spans="1:29" x14ac:dyDescent="0.25">
      <c r="A165" t="s">
        <v>107</v>
      </c>
      <c r="B165" t="s">
        <v>111</v>
      </c>
      <c r="C165" t="s">
        <v>112</v>
      </c>
      <c r="D165" t="s">
        <v>15</v>
      </c>
      <c r="E165" t="s">
        <v>96</v>
      </c>
      <c r="F165" t="s">
        <v>96</v>
      </c>
      <c r="G165" s="2" t="s">
        <v>112</v>
      </c>
      <c r="H165" t="s">
        <v>64</v>
      </c>
      <c r="I165" s="34" t="s">
        <v>203</v>
      </c>
      <c r="J165" s="2" t="s">
        <v>204</v>
      </c>
      <c r="K165" t="s">
        <v>205</v>
      </c>
      <c r="L165" t="s">
        <v>206</v>
      </c>
      <c r="M165" s="2" t="s">
        <v>78</v>
      </c>
      <c r="N165" t="s">
        <v>164</v>
      </c>
      <c r="O165" t="s">
        <v>145</v>
      </c>
      <c r="P165" s="2" t="s">
        <v>81</v>
      </c>
      <c r="Q165" t="s">
        <v>64</v>
      </c>
      <c r="R165" t="s">
        <v>64</v>
      </c>
      <c r="S165" s="85" t="s">
        <v>207</v>
      </c>
      <c r="T165" t="s">
        <v>208</v>
      </c>
      <c r="U165" t="s">
        <v>209</v>
      </c>
      <c r="V165" s="2" t="s">
        <v>210</v>
      </c>
      <c r="W165" s="2" t="s">
        <v>65</v>
      </c>
      <c r="Z165" s="2" t="s">
        <v>116</v>
      </c>
      <c r="AA165" s="2" t="s">
        <v>117</v>
      </c>
      <c r="AB165" s="2" t="s">
        <v>66</v>
      </c>
      <c r="AC165" s="2" t="s">
        <v>67</v>
      </c>
    </row>
    <row r="166" spans="1:29" x14ac:dyDescent="0.25">
      <c r="A166" t="s">
        <v>107</v>
      </c>
      <c r="B166" t="s">
        <v>111</v>
      </c>
      <c r="C166" t="s">
        <v>112</v>
      </c>
      <c r="D166" t="s">
        <v>15</v>
      </c>
      <c r="E166" t="s">
        <v>96</v>
      </c>
      <c r="F166" t="s">
        <v>96</v>
      </c>
      <c r="G166" s="2" t="s">
        <v>112</v>
      </c>
      <c r="H166" t="s">
        <v>64</v>
      </c>
      <c r="I166" s="34" t="s">
        <v>203</v>
      </c>
      <c r="J166" s="2" t="s">
        <v>204</v>
      </c>
      <c r="K166" t="s">
        <v>205</v>
      </c>
      <c r="L166" t="s">
        <v>206</v>
      </c>
      <c r="M166" s="2" t="s">
        <v>78</v>
      </c>
      <c r="N166" t="s">
        <v>164</v>
      </c>
      <c r="O166" t="s">
        <v>146</v>
      </c>
      <c r="P166" s="2" t="s">
        <v>81</v>
      </c>
      <c r="Q166" t="s">
        <v>64</v>
      </c>
      <c r="R166" t="s">
        <v>64</v>
      </c>
      <c r="S166" s="85" t="s">
        <v>207</v>
      </c>
      <c r="T166" t="s">
        <v>208</v>
      </c>
      <c r="U166" t="s">
        <v>209</v>
      </c>
      <c r="V166" s="2" t="s">
        <v>210</v>
      </c>
      <c r="W166" s="2" t="s">
        <v>65</v>
      </c>
      <c r="Z166" s="2" t="s">
        <v>116</v>
      </c>
      <c r="AA166" s="2" t="s">
        <v>117</v>
      </c>
      <c r="AB166" s="2" t="s">
        <v>66</v>
      </c>
      <c r="AC166" s="2" t="s">
        <v>67</v>
      </c>
    </row>
    <row r="167" spans="1:29" x14ac:dyDescent="0.25">
      <c r="A167" t="s">
        <v>107</v>
      </c>
      <c r="B167" t="s">
        <v>111</v>
      </c>
      <c r="C167" t="s">
        <v>112</v>
      </c>
      <c r="D167" t="s">
        <v>15</v>
      </c>
      <c r="E167" t="s">
        <v>96</v>
      </c>
      <c r="F167" t="s">
        <v>96</v>
      </c>
      <c r="G167" s="2" t="s">
        <v>112</v>
      </c>
      <c r="H167" t="s">
        <v>64</v>
      </c>
      <c r="I167" s="34" t="s">
        <v>203</v>
      </c>
      <c r="J167" s="2" t="s">
        <v>204</v>
      </c>
      <c r="K167" t="s">
        <v>205</v>
      </c>
      <c r="L167" t="s">
        <v>206</v>
      </c>
      <c r="M167" s="2" t="s">
        <v>78</v>
      </c>
      <c r="N167" t="s">
        <v>164</v>
      </c>
      <c r="O167" t="s">
        <v>152</v>
      </c>
      <c r="P167" s="2" t="s">
        <v>188</v>
      </c>
      <c r="Q167" t="s">
        <v>64</v>
      </c>
      <c r="R167" t="s">
        <v>64</v>
      </c>
      <c r="S167" s="85" t="s">
        <v>207</v>
      </c>
      <c r="T167" t="s">
        <v>208</v>
      </c>
      <c r="U167" t="s">
        <v>209</v>
      </c>
      <c r="V167" s="2" t="s">
        <v>210</v>
      </c>
      <c r="W167" s="2" t="s">
        <v>65</v>
      </c>
      <c r="Z167" s="2" t="s">
        <v>116</v>
      </c>
      <c r="AA167" s="2" t="s">
        <v>117</v>
      </c>
      <c r="AB167" s="2" t="s">
        <v>66</v>
      </c>
      <c r="AC167" s="2" t="s">
        <v>67</v>
      </c>
    </row>
    <row r="168" spans="1:29" x14ac:dyDescent="0.25">
      <c r="A168" t="s">
        <v>107</v>
      </c>
      <c r="B168" t="s">
        <v>111</v>
      </c>
      <c r="C168" t="s">
        <v>112</v>
      </c>
      <c r="D168" t="s">
        <v>15</v>
      </c>
      <c r="E168" t="s">
        <v>96</v>
      </c>
      <c r="F168" t="s">
        <v>96</v>
      </c>
      <c r="G168" s="2" t="s">
        <v>112</v>
      </c>
      <c r="H168" t="s">
        <v>64</v>
      </c>
      <c r="I168" s="34" t="s">
        <v>203</v>
      </c>
      <c r="J168" s="2" t="s">
        <v>204</v>
      </c>
      <c r="K168" t="s">
        <v>205</v>
      </c>
      <c r="L168" t="s">
        <v>206</v>
      </c>
      <c r="M168" s="2" t="s">
        <v>78</v>
      </c>
      <c r="N168" t="s">
        <v>164</v>
      </c>
      <c r="O168" t="s">
        <v>153</v>
      </c>
      <c r="P168" s="2" t="s">
        <v>81</v>
      </c>
      <c r="Q168" t="s">
        <v>64</v>
      </c>
      <c r="R168" t="s">
        <v>64</v>
      </c>
      <c r="S168" s="85" t="s">
        <v>207</v>
      </c>
      <c r="T168" t="s">
        <v>208</v>
      </c>
      <c r="U168" t="s">
        <v>209</v>
      </c>
      <c r="V168" s="2" t="s">
        <v>210</v>
      </c>
      <c r="W168" s="2" t="s">
        <v>65</v>
      </c>
      <c r="Z168" s="2" t="s">
        <v>116</v>
      </c>
      <c r="AA168" s="2" t="s">
        <v>117</v>
      </c>
      <c r="AB168" s="2" t="s">
        <v>66</v>
      </c>
      <c r="AC168" s="2" t="s">
        <v>67</v>
      </c>
    </row>
    <row r="169" spans="1:29" x14ac:dyDescent="0.25">
      <c r="A169" t="s">
        <v>107</v>
      </c>
      <c r="B169" t="s">
        <v>111</v>
      </c>
      <c r="C169" t="s">
        <v>112</v>
      </c>
      <c r="D169" t="s">
        <v>15</v>
      </c>
      <c r="E169" t="s">
        <v>96</v>
      </c>
      <c r="F169" t="s">
        <v>96</v>
      </c>
      <c r="G169" s="2" t="s">
        <v>112</v>
      </c>
      <c r="H169" t="s">
        <v>64</v>
      </c>
      <c r="I169" s="34" t="s">
        <v>203</v>
      </c>
      <c r="J169" s="2" t="s">
        <v>204</v>
      </c>
      <c r="K169" t="s">
        <v>205</v>
      </c>
      <c r="L169" t="s">
        <v>206</v>
      </c>
      <c r="M169" s="2" t="s">
        <v>78</v>
      </c>
      <c r="N169" t="s">
        <v>164</v>
      </c>
      <c r="O169" t="s">
        <v>154</v>
      </c>
      <c r="P169" s="2" t="s">
        <v>81</v>
      </c>
      <c r="Q169" t="s">
        <v>64</v>
      </c>
      <c r="R169" t="s">
        <v>64</v>
      </c>
      <c r="S169" s="85" t="s">
        <v>207</v>
      </c>
      <c r="T169" t="s">
        <v>208</v>
      </c>
      <c r="U169" t="s">
        <v>209</v>
      </c>
      <c r="V169" s="2" t="s">
        <v>210</v>
      </c>
      <c r="W169" s="2" t="s">
        <v>65</v>
      </c>
      <c r="Z169" s="2" t="s">
        <v>116</v>
      </c>
      <c r="AA169" s="2" t="s">
        <v>117</v>
      </c>
      <c r="AB169" s="2" t="s">
        <v>66</v>
      </c>
      <c r="AC169" s="2" t="s">
        <v>67</v>
      </c>
    </row>
    <row r="170" spans="1:29" x14ac:dyDescent="0.25">
      <c r="A170" t="s">
        <v>107</v>
      </c>
      <c r="B170" t="s">
        <v>111</v>
      </c>
      <c r="C170" t="s">
        <v>112</v>
      </c>
      <c r="D170" t="s">
        <v>15</v>
      </c>
      <c r="E170" t="s">
        <v>96</v>
      </c>
      <c r="F170" t="s">
        <v>96</v>
      </c>
      <c r="G170" s="2" t="s">
        <v>112</v>
      </c>
      <c r="H170" t="s">
        <v>64</v>
      </c>
      <c r="I170" s="34" t="s">
        <v>203</v>
      </c>
      <c r="J170" s="2" t="s">
        <v>204</v>
      </c>
      <c r="K170" t="s">
        <v>205</v>
      </c>
      <c r="L170" t="s">
        <v>206</v>
      </c>
      <c r="M170" s="2" t="s">
        <v>78</v>
      </c>
      <c r="N170" t="s">
        <v>164</v>
      </c>
      <c r="O170" t="s">
        <v>155</v>
      </c>
      <c r="P170" s="2" t="s">
        <v>81</v>
      </c>
      <c r="Q170" t="s">
        <v>64</v>
      </c>
      <c r="R170" t="s">
        <v>64</v>
      </c>
      <c r="S170" s="85" t="s">
        <v>207</v>
      </c>
      <c r="T170" t="s">
        <v>208</v>
      </c>
      <c r="U170" t="s">
        <v>209</v>
      </c>
      <c r="V170" s="2" t="s">
        <v>210</v>
      </c>
      <c r="W170" s="2" t="s">
        <v>65</v>
      </c>
      <c r="Z170" s="2" t="s">
        <v>116</v>
      </c>
      <c r="AA170" s="2" t="s">
        <v>117</v>
      </c>
      <c r="AB170" s="2" t="s">
        <v>66</v>
      </c>
      <c r="AC170" s="2" t="s">
        <v>67</v>
      </c>
    </row>
    <row r="171" spans="1:29" x14ac:dyDescent="0.25">
      <c r="A171" t="s">
        <v>107</v>
      </c>
      <c r="B171" t="s">
        <v>111</v>
      </c>
      <c r="C171" t="s">
        <v>112</v>
      </c>
      <c r="D171" t="s">
        <v>15</v>
      </c>
      <c r="E171" t="s">
        <v>96</v>
      </c>
      <c r="F171" t="s">
        <v>96</v>
      </c>
      <c r="G171" s="2" t="s">
        <v>112</v>
      </c>
      <c r="H171" t="s">
        <v>64</v>
      </c>
      <c r="I171" s="34" t="s">
        <v>203</v>
      </c>
      <c r="J171" s="2" t="s">
        <v>204</v>
      </c>
      <c r="K171" t="s">
        <v>205</v>
      </c>
      <c r="L171" t="s">
        <v>206</v>
      </c>
      <c r="M171" s="2" t="s">
        <v>78</v>
      </c>
      <c r="N171" t="s">
        <v>164</v>
      </c>
      <c r="O171" t="s">
        <v>156</v>
      </c>
      <c r="P171" s="2" t="s">
        <v>81</v>
      </c>
      <c r="Q171" t="s">
        <v>64</v>
      </c>
      <c r="R171" t="s">
        <v>64</v>
      </c>
      <c r="S171" s="85" t="s">
        <v>207</v>
      </c>
      <c r="T171" t="s">
        <v>208</v>
      </c>
      <c r="U171" t="s">
        <v>209</v>
      </c>
      <c r="V171" s="2" t="s">
        <v>210</v>
      </c>
      <c r="W171" s="2" t="s">
        <v>65</v>
      </c>
      <c r="Z171" s="2" t="s">
        <v>116</v>
      </c>
      <c r="AA171" s="2" t="s">
        <v>117</v>
      </c>
      <c r="AB171" s="2" t="s">
        <v>66</v>
      </c>
      <c r="AC171" s="2" t="s">
        <v>67</v>
      </c>
    </row>
    <row r="172" spans="1:29" x14ac:dyDescent="0.25">
      <c r="A172" t="s">
        <v>107</v>
      </c>
      <c r="B172" t="s">
        <v>111</v>
      </c>
      <c r="C172" t="s">
        <v>112</v>
      </c>
      <c r="D172" t="s">
        <v>15</v>
      </c>
      <c r="E172" t="s">
        <v>96</v>
      </c>
      <c r="F172" t="s">
        <v>96</v>
      </c>
      <c r="G172" s="2" t="s">
        <v>112</v>
      </c>
      <c r="H172" t="s">
        <v>64</v>
      </c>
      <c r="I172" s="34" t="s">
        <v>203</v>
      </c>
      <c r="J172" s="2" t="s">
        <v>204</v>
      </c>
      <c r="K172" t="s">
        <v>205</v>
      </c>
      <c r="L172" t="s">
        <v>206</v>
      </c>
      <c r="M172" s="2" t="s">
        <v>78</v>
      </c>
      <c r="N172" t="s">
        <v>164</v>
      </c>
      <c r="O172" t="s">
        <v>157</v>
      </c>
      <c r="P172" s="2" t="s">
        <v>20</v>
      </c>
      <c r="Q172" t="s">
        <v>64</v>
      </c>
      <c r="R172" t="s">
        <v>64</v>
      </c>
      <c r="S172" s="85" t="s">
        <v>207</v>
      </c>
      <c r="T172" t="s">
        <v>208</v>
      </c>
      <c r="U172" t="s">
        <v>209</v>
      </c>
      <c r="V172" s="2" t="s">
        <v>210</v>
      </c>
      <c r="W172" s="2" t="s">
        <v>65</v>
      </c>
      <c r="Z172" s="2" t="s">
        <v>116</v>
      </c>
      <c r="AA172" s="2" t="s">
        <v>117</v>
      </c>
      <c r="AB172" s="2" t="s">
        <v>66</v>
      </c>
      <c r="AC172" s="2" t="s">
        <v>67</v>
      </c>
    </row>
    <row r="173" spans="1:29" x14ac:dyDescent="0.25">
      <c r="A173" t="s">
        <v>107</v>
      </c>
      <c r="B173" t="s">
        <v>111</v>
      </c>
      <c r="C173" t="s">
        <v>112</v>
      </c>
      <c r="D173" t="s">
        <v>15</v>
      </c>
      <c r="E173" t="s">
        <v>96</v>
      </c>
      <c r="F173" t="s">
        <v>96</v>
      </c>
      <c r="G173" s="2" t="s">
        <v>112</v>
      </c>
      <c r="H173" t="s">
        <v>64</v>
      </c>
      <c r="I173" s="34" t="s">
        <v>203</v>
      </c>
      <c r="J173" s="2" t="s">
        <v>204</v>
      </c>
      <c r="K173" t="s">
        <v>205</v>
      </c>
      <c r="L173" t="s">
        <v>206</v>
      </c>
      <c r="M173" s="2" t="s">
        <v>78</v>
      </c>
      <c r="N173" t="s">
        <v>164</v>
      </c>
      <c r="O173" t="s">
        <v>158</v>
      </c>
      <c r="P173" s="2" t="s">
        <v>211</v>
      </c>
      <c r="Q173" t="s">
        <v>64</v>
      </c>
      <c r="R173" t="s">
        <v>64</v>
      </c>
      <c r="S173" s="85" t="s">
        <v>207</v>
      </c>
      <c r="T173" t="s">
        <v>208</v>
      </c>
      <c r="U173" t="s">
        <v>209</v>
      </c>
      <c r="V173" s="2" t="s">
        <v>210</v>
      </c>
      <c r="W173" s="2" t="s">
        <v>65</v>
      </c>
      <c r="Z173" s="2" t="s">
        <v>116</v>
      </c>
      <c r="AA173" s="2" t="s">
        <v>117</v>
      </c>
      <c r="AB173" s="2" t="s">
        <v>66</v>
      </c>
      <c r="AC173" s="2" t="s">
        <v>67</v>
      </c>
    </row>
    <row r="174" spans="1:29" x14ac:dyDescent="0.25">
      <c r="A174" t="s">
        <v>107</v>
      </c>
      <c r="B174" t="s">
        <v>111</v>
      </c>
      <c r="C174" t="s">
        <v>112</v>
      </c>
      <c r="D174" t="s">
        <v>14</v>
      </c>
      <c r="E174" t="s">
        <v>161</v>
      </c>
      <c r="F174" t="s">
        <v>161</v>
      </c>
      <c r="G174" s="2" t="s">
        <v>112</v>
      </c>
      <c r="H174" t="s">
        <v>64</v>
      </c>
      <c r="I174" s="34" t="s">
        <v>212</v>
      </c>
      <c r="J174" s="2" t="s">
        <v>213</v>
      </c>
      <c r="K174" t="s">
        <v>108</v>
      </c>
      <c r="L174" t="s">
        <v>118</v>
      </c>
      <c r="M174" s="2" t="s">
        <v>78</v>
      </c>
      <c r="N174" t="s">
        <v>164</v>
      </c>
      <c r="O174" t="s">
        <v>133</v>
      </c>
      <c r="P174" s="2" t="s">
        <v>20</v>
      </c>
      <c r="Q174" t="s">
        <v>64</v>
      </c>
      <c r="R174" t="s">
        <v>64</v>
      </c>
      <c r="S174" s="85" t="s">
        <v>119</v>
      </c>
      <c r="T174" t="s">
        <v>214</v>
      </c>
      <c r="U174" t="s">
        <v>215</v>
      </c>
      <c r="V174" s="2" t="s">
        <v>216</v>
      </c>
      <c r="W174" s="2" t="s">
        <v>65</v>
      </c>
      <c r="Z174" s="2" t="s">
        <v>116</v>
      </c>
      <c r="AA174" s="2" t="s">
        <v>117</v>
      </c>
      <c r="AB174" s="2" t="s">
        <v>66</v>
      </c>
      <c r="AC174" s="2" t="s">
        <v>67</v>
      </c>
    </row>
    <row r="175" spans="1:29" x14ac:dyDescent="0.25">
      <c r="A175" t="s">
        <v>107</v>
      </c>
      <c r="B175" t="s">
        <v>111</v>
      </c>
      <c r="C175" t="s">
        <v>112</v>
      </c>
      <c r="D175" t="s">
        <v>14</v>
      </c>
      <c r="E175" t="s">
        <v>161</v>
      </c>
      <c r="F175" t="s">
        <v>161</v>
      </c>
      <c r="G175" s="2" t="s">
        <v>112</v>
      </c>
      <c r="H175" t="s">
        <v>64</v>
      </c>
      <c r="I175" s="34" t="s">
        <v>212</v>
      </c>
      <c r="J175" s="2" t="s">
        <v>213</v>
      </c>
      <c r="K175" t="s">
        <v>108</v>
      </c>
      <c r="L175" t="s">
        <v>118</v>
      </c>
      <c r="M175" s="2" t="s">
        <v>78</v>
      </c>
      <c r="N175" t="s">
        <v>164</v>
      </c>
      <c r="O175" t="s">
        <v>97</v>
      </c>
      <c r="P175" s="2" t="s">
        <v>20</v>
      </c>
      <c r="Q175" t="s">
        <v>64</v>
      </c>
      <c r="R175" t="s">
        <v>64</v>
      </c>
      <c r="S175" s="85" t="s">
        <v>119</v>
      </c>
      <c r="T175" t="s">
        <v>214</v>
      </c>
      <c r="U175" t="s">
        <v>215</v>
      </c>
      <c r="V175" s="2" t="s">
        <v>216</v>
      </c>
      <c r="W175" s="2" t="s">
        <v>65</v>
      </c>
      <c r="Z175" s="2" t="s">
        <v>116</v>
      </c>
      <c r="AA175" s="2" t="s">
        <v>117</v>
      </c>
      <c r="AB175" s="2" t="s">
        <v>66</v>
      </c>
      <c r="AC175" s="2" t="s">
        <v>67</v>
      </c>
    </row>
    <row r="176" spans="1:29" x14ac:dyDescent="0.25">
      <c r="A176" t="s">
        <v>107</v>
      </c>
      <c r="B176" t="s">
        <v>111</v>
      </c>
      <c r="C176" t="s">
        <v>112</v>
      </c>
      <c r="D176" t="s">
        <v>14</v>
      </c>
      <c r="E176" t="s">
        <v>161</v>
      </c>
      <c r="F176" t="s">
        <v>161</v>
      </c>
      <c r="G176" s="2" t="s">
        <v>112</v>
      </c>
      <c r="H176" t="s">
        <v>64</v>
      </c>
      <c r="I176" s="34" t="s">
        <v>212</v>
      </c>
      <c r="J176" s="2" t="s">
        <v>213</v>
      </c>
      <c r="K176" t="s">
        <v>108</v>
      </c>
      <c r="L176" t="s">
        <v>118</v>
      </c>
      <c r="M176" s="2" t="s">
        <v>78</v>
      </c>
      <c r="N176" t="s">
        <v>164</v>
      </c>
      <c r="O176" t="s">
        <v>98</v>
      </c>
      <c r="P176" s="2" t="s">
        <v>20</v>
      </c>
      <c r="Q176" t="s">
        <v>64</v>
      </c>
      <c r="R176" t="s">
        <v>64</v>
      </c>
      <c r="S176" s="85" t="s">
        <v>119</v>
      </c>
      <c r="T176" t="s">
        <v>214</v>
      </c>
      <c r="U176" t="s">
        <v>215</v>
      </c>
      <c r="V176" s="2" t="s">
        <v>216</v>
      </c>
      <c r="W176" s="2" t="s">
        <v>65</v>
      </c>
      <c r="Z176" s="2" t="s">
        <v>116</v>
      </c>
      <c r="AA176" s="2" t="s">
        <v>117</v>
      </c>
      <c r="AB176" s="2" t="s">
        <v>66</v>
      </c>
      <c r="AC176" s="2" t="s">
        <v>67</v>
      </c>
    </row>
    <row r="177" spans="1:29" x14ac:dyDescent="0.25">
      <c r="A177" t="s">
        <v>107</v>
      </c>
      <c r="B177" t="s">
        <v>111</v>
      </c>
      <c r="C177" t="s">
        <v>112</v>
      </c>
      <c r="D177" t="s">
        <v>14</v>
      </c>
      <c r="E177" t="s">
        <v>161</v>
      </c>
      <c r="F177" t="s">
        <v>161</v>
      </c>
      <c r="G177" s="2" t="s">
        <v>112</v>
      </c>
      <c r="H177" t="s">
        <v>64</v>
      </c>
      <c r="I177" s="34" t="s">
        <v>212</v>
      </c>
      <c r="J177" s="2" t="s">
        <v>213</v>
      </c>
      <c r="K177" t="s">
        <v>108</v>
      </c>
      <c r="L177" t="s">
        <v>118</v>
      </c>
      <c r="M177" s="2" t="s">
        <v>78</v>
      </c>
      <c r="N177" t="s">
        <v>164</v>
      </c>
      <c r="O177" t="s">
        <v>134</v>
      </c>
      <c r="P177" s="2" t="s">
        <v>20</v>
      </c>
      <c r="Q177" t="s">
        <v>64</v>
      </c>
      <c r="R177" t="s">
        <v>64</v>
      </c>
      <c r="S177" s="85" t="s">
        <v>119</v>
      </c>
      <c r="T177" t="s">
        <v>214</v>
      </c>
      <c r="U177" t="s">
        <v>215</v>
      </c>
      <c r="V177" s="2" t="s">
        <v>216</v>
      </c>
      <c r="W177" s="2" t="s">
        <v>65</v>
      </c>
      <c r="Z177" s="2" t="s">
        <v>116</v>
      </c>
      <c r="AA177" s="2" t="s">
        <v>117</v>
      </c>
      <c r="AB177" s="2" t="s">
        <v>66</v>
      </c>
      <c r="AC177" s="2" t="s">
        <v>67</v>
      </c>
    </row>
    <row r="178" spans="1:29" x14ac:dyDescent="0.25">
      <c r="A178" t="s">
        <v>107</v>
      </c>
      <c r="B178" t="s">
        <v>111</v>
      </c>
      <c r="C178" t="s">
        <v>112</v>
      </c>
      <c r="D178" t="s">
        <v>14</v>
      </c>
      <c r="E178" t="s">
        <v>161</v>
      </c>
      <c r="F178" t="s">
        <v>161</v>
      </c>
      <c r="G178" s="2" t="s">
        <v>112</v>
      </c>
      <c r="H178" t="s">
        <v>64</v>
      </c>
      <c r="I178" s="34" t="s">
        <v>212</v>
      </c>
      <c r="J178" s="2" t="s">
        <v>213</v>
      </c>
      <c r="K178" t="s">
        <v>108</v>
      </c>
      <c r="L178" t="s">
        <v>118</v>
      </c>
      <c r="M178" s="2" t="s">
        <v>78</v>
      </c>
      <c r="N178" t="s">
        <v>164</v>
      </c>
      <c r="O178" t="s">
        <v>35</v>
      </c>
      <c r="P178" s="2" t="s">
        <v>20</v>
      </c>
      <c r="Q178" t="s">
        <v>64</v>
      </c>
      <c r="R178" t="s">
        <v>64</v>
      </c>
      <c r="S178" s="85" t="s">
        <v>119</v>
      </c>
      <c r="T178" t="s">
        <v>214</v>
      </c>
      <c r="U178" t="s">
        <v>215</v>
      </c>
      <c r="V178" s="2" t="s">
        <v>216</v>
      </c>
      <c r="W178" s="2" t="s">
        <v>65</v>
      </c>
      <c r="Z178" s="2" t="s">
        <v>116</v>
      </c>
      <c r="AA178" s="2" t="s">
        <v>117</v>
      </c>
      <c r="AB178" s="2" t="s">
        <v>66</v>
      </c>
      <c r="AC178" s="2" t="s">
        <v>67</v>
      </c>
    </row>
    <row r="179" spans="1:29" x14ac:dyDescent="0.25">
      <c r="A179" t="s">
        <v>107</v>
      </c>
      <c r="B179" t="s">
        <v>111</v>
      </c>
      <c r="C179" t="s">
        <v>112</v>
      </c>
      <c r="D179" t="s">
        <v>14</v>
      </c>
      <c r="E179" t="s">
        <v>161</v>
      </c>
      <c r="F179" t="s">
        <v>161</v>
      </c>
      <c r="G179" s="2" t="s">
        <v>112</v>
      </c>
      <c r="H179" t="s">
        <v>64</v>
      </c>
      <c r="I179" s="34" t="s">
        <v>212</v>
      </c>
      <c r="J179" s="2" t="s">
        <v>213</v>
      </c>
      <c r="K179" t="s">
        <v>108</v>
      </c>
      <c r="L179" t="s">
        <v>118</v>
      </c>
      <c r="M179" s="2" t="s">
        <v>78</v>
      </c>
      <c r="N179" t="s">
        <v>164</v>
      </c>
      <c r="O179" t="s">
        <v>135</v>
      </c>
      <c r="P179" s="2" t="s">
        <v>81</v>
      </c>
      <c r="Q179" t="s">
        <v>64</v>
      </c>
      <c r="R179" t="s">
        <v>64</v>
      </c>
      <c r="S179" s="85" t="s">
        <v>119</v>
      </c>
      <c r="T179" t="s">
        <v>214</v>
      </c>
      <c r="U179" t="s">
        <v>215</v>
      </c>
      <c r="V179" s="2" t="s">
        <v>216</v>
      </c>
      <c r="W179" s="2" t="s">
        <v>65</v>
      </c>
      <c r="Z179" s="2" t="s">
        <v>116</v>
      </c>
      <c r="AA179" s="2" t="s">
        <v>117</v>
      </c>
      <c r="AB179" s="2" t="s">
        <v>66</v>
      </c>
      <c r="AC179" s="2" t="s">
        <v>67</v>
      </c>
    </row>
    <row r="180" spans="1:29" x14ac:dyDescent="0.25">
      <c r="A180" t="s">
        <v>107</v>
      </c>
      <c r="B180" t="s">
        <v>111</v>
      </c>
      <c r="C180" t="s">
        <v>112</v>
      </c>
      <c r="D180" t="s">
        <v>14</v>
      </c>
      <c r="E180" t="s">
        <v>161</v>
      </c>
      <c r="F180" t="s">
        <v>161</v>
      </c>
      <c r="G180" s="2" t="s">
        <v>112</v>
      </c>
      <c r="H180" t="s">
        <v>64</v>
      </c>
      <c r="I180" s="34" t="s">
        <v>212</v>
      </c>
      <c r="J180" s="2" t="s">
        <v>213</v>
      </c>
      <c r="K180" t="s">
        <v>108</v>
      </c>
      <c r="L180" t="s">
        <v>118</v>
      </c>
      <c r="M180" s="2" t="s">
        <v>78</v>
      </c>
      <c r="N180" t="s">
        <v>164</v>
      </c>
      <c r="O180" t="s">
        <v>99</v>
      </c>
      <c r="P180" s="2" t="s">
        <v>20</v>
      </c>
      <c r="Q180" t="s">
        <v>64</v>
      </c>
      <c r="R180" t="s">
        <v>64</v>
      </c>
      <c r="S180" s="85" t="s">
        <v>119</v>
      </c>
      <c r="T180" t="s">
        <v>214</v>
      </c>
      <c r="U180" t="s">
        <v>215</v>
      </c>
      <c r="V180" s="2" t="s">
        <v>216</v>
      </c>
      <c r="W180" s="2" t="s">
        <v>65</v>
      </c>
      <c r="Z180" s="2" t="s">
        <v>116</v>
      </c>
      <c r="AA180" s="2" t="s">
        <v>117</v>
      </c>
      <c r="AB180" s="2" t="s">
        <v>66</v>
      </c>
      <c r="AC180" s="2" t="s">
        <v>67</v>
      </c>
    </row>
    <row r="181" spans="1:29" x14ac:dyDescent="0.25">
      <c r="A181" t="s">
        <v>107</v>
      </c>
      <c r="B181" t="s">
        <v>111</v>
      </c>
      <c r="C181" t="s">
        <v>112</v>
      </c>
      <c r="D181" t="s">
        <v>14</v>
      </c>
      <c r="E181" t="s">
        <v>161</v>
      </c>
      <c r="F181" t="s">
        <v>161</v>
      </c>
      <c r="G181" s="2" t="s">
        <v>112</v>
      </c>
      <c r="H181" t="s">
        <v>64</v>
      </c>
      <c r="I181" s="34" t="s">
        <v>212</v>
      </c>
      <c r="J181" s="2" t="s">
        <v>213</v>
      </c>
      <c r="K181" t="s">
        <v>108</v>
      </c>
      <c r="L181" t="s">
        <v>118</v>
      </c>
      <c r="M181" s="2" t="s">
        <v>78</v>
      </c>
      <c r="N181" t="s">
        <v>164</v>
      </c>
      <c r="O181" t="s">
        <v>100</v>
      </c>
      <c r="P181" s="2" t="s">
        <v>20</v>
      </c>
      <c r="Q181" t="s">
        <v>64</v>
      </c>
      <c r="R181" t="s">
        <v>64</v>
      </c>
      <c r="S181" s="85" t="s">
        <v>119</v>
      </c>
      <c r="T181" t="s">
        <v>214</v>
      </c>
      <c r="U181" t="s">
        <v>215</v>
      </c>
      <c r="V181" s="2" t="s">
        <v>216</v>
      </c>
      <c r="W181" s="2" t="s">
        <v>65</v>
      </c>
      <c r="Z181" s="2" t="s">
        <v>116</v>
      </c>
      <c r="AA181" s="2" t="s">
        <v>117</v>
      </c>
      <c r="AB181" s="2" t="s">
        <v>66</v>
      </c>
      <c r="AC181" s="2" t="s">
        <v>67</v>
      </c>
    </row>
    <row r="182" spans="1:29" x14ac:dyDescent="0.25">
      <c r="A182" t="s">
        <v>107</v>
      </c>
      <c r="B182" t="s">
        <v>111</v>
      </c>
      <c r="C182" t="s">
        <v>112</v>
      </c>
      <c r="D182" t="s">
        <v>14</v>
      </c>
      <c r="E182" t="s">
        <v>161</v>
      </c>
      <c r="F182" t="s">
        <v>161</v>
      </c>
      <c r="G182" s="2" t="s">
        <v>112</v>
      </c>
      <c r="H182" t="s">
        <v>64</v>
      </c>
      <c r="I182" s="34" t="s">
        <v>212</v>
      </c>
      <c r="J182" s="2" t="s">
        <v>213</v>
      </c>
      <c r="K182" t="s">
        <v>108</v>
      </c>
      <c r="L182" t="s">
        <v>118</v>
      </c>
      <c r="M182" s="2" t="s">
        <v>78</v>
      </c>
      <c r="N182" t="s">
        <v>164</v>
      </c>
      <c r="O182" t="s">
        <v>101</v>
      </c>
      <c r="P182" s="2" t="s">
        <v>81</v>
      </c>
      <c r="Q182" t="s">
        <v>64</v>
      </c>
      <c r="R182" t="s">
        <v>64</v>
      </c>
      <c r="S182" s="85" t="s">
        <v>119</v>
      </c>
      <c r="T182" t="s">
        <v>214</v>
      </c>
      <c r="U182" t="s">
        <v>215</v>
      </c>
      <c r="V182" s="2" t="s">
        <v>216</v>
      </c>
      <c r="W182" s="2" t="s">
        <v>65</v>
      </c>
      <c r="Z182" s="2" t="s">
        <v>116</v>
      </c>
      <c r="AA182" s="2" t="s">
        <v>117</v>
      </c>
      <c r="AB182" s="2" t="s">
        <v>66</v>
      </c>
      <c r="AC182" s="2" t="s">
        <v>67</v>
      </c>
    </row>
    <row r="183" spans="1:29" x14ac:dyDescent="0.25">
      <c r="A183" t="s">
        <v>107</v>
      </c>
      <c r="B183" t="s">
        <v>111</v>
      </c>
      <c r="C183" t="s">
        <v>112</v>
      </c>
      <c r="D183" t="s">
        <v>14</v>
      </c>
      <c r="E183" t="s">
        <v>161</v>
      </c>
      <c r="F183" t="s">
        <v>161</v>
      </c>
      <c r="G183" s="2" t="s">
        <v>112</v>
      </c>
      <c r="H183" t="s">
        <v>64</v>
      </c>
      <c r="I183" s="34" t="s">
        <v>212</v>
      </c>
      <c r="J183" s="2" t="s">
        <v>213</v>
      </c>
      <c r="K183" t="s">
        <v>108</v>
      </c>
      <c r="L183" t="s">
        <v>118</v>
      </c>
      <c r="M183" s="2" t="s">
        <v>78</v>
      </c>
      <c r="N183" t="s">
        <v>164</v>
      </c>
      <c r="O183" t="s">
        <v>102</v>
      </c>
      <c r="P183" s="2" t="s">
        <v>81</v>
      </c>
      <c r="Q183" t="s">
        <v>64</v>
      </c>
      <c r="R183" t="s">
        <v>64</v>
      </c>
      <c r="S183" s="85" t="s">
        <v>119</v>
      </c>
      <c r="T183" t="s">
        <v>214</v>
      </c>
      <c r="U183" t="s">
        <v>215</v>
      </c>
      <c r="V183" s="2" t="s">
        <v>216</v>
      </c>
      <c r="W183" s="2" t="s">
        <v>65</v>
      </c>
      <c r="Z183" s="2" t="s">
        <v>116</v>
      </c>
      <c r="AA183" s="2" t="s">
        <v>117</v>
      </c>
      <c r="AB183" s="2" t="s">
        <v>66</v>
      </c>
      <c r="AC183" s="2" t="s">
        <v>67</v>
      </c>
    </row>
    <row r="184" spans="1:29" x14ac:dyDescent="0.25">
      <c r="A184" t="s">
        <v>107</v>
      </c>
      <c r="B184" t="s">
        <v>111</v>
      </c>
      <c r="C184" t="s">
        <v>112</v>
      </c>
      <c r="D184" t="s">
        <v>14</v>
      </c>
      <c r="E184" t="s">
        <v>161</v>
      </c>
      <c r="F184" t="s">
        <v>161</v>
      </c>
      <c r="G184" s="2" t="s">
        <v>112</v>
      </c>
      <c r="H184" t="s">
        <v>64</v>
      </c>
      <c r="I184" s="34" t="s">
        <v>212</v>
      </c>
      <c r="J184" s="2" t="s">
        <v>213</v>
      </c>
      <c r="K184" t="s">
        <v>108</v>
      </c>
      <c r="L184" t="s">
        <v>118</v>
      </c>
      <c r="M184" s="2" t="s">
        <v>78</v>
      </c>
      <c r="N184" t="s">
        <v>164</v>
      </c>
      <c r="O184" t="s">
        <v>103</v>
      </c>
      <c r="P184" s="2" t="s">
        <v>81</v>
      </c>
      <c r="Q184" t="s">
        <v>64</v>
      </c>
      <c r="R184" t="s">
        <v>64</v>
      </c>
      <c r="S184" s="85" t="s">
        <v>119</v>
      </c>
      <c r="T184" t="s">
        <v>214</v>
      </c>
      <c r="U184" t="s">
        <v>215</v>
      </c>
      <c r="V184" s="2" t="s">
        <v>216</v>
      </c>
      <c r="W184" s="2" t="s">
        <v>65</v>
      </c>
      <c r="Z184" s="2" t="s">
        <v>116</v>
      </c>
      <c r="AA184" s="2" t="s">
        <v>117</v>
      </c>
      <c r="AB184" s="2" t="s">
        <v>66</v>
      </c>
      <c r="AC184" s="2" t="s">
        <v>67</v>
      </c>
    </row>
    <row r="185" spans="1:29" x14ac:dyDescent="0.25">
      <c r="A185" t="s">
        <v>107</v>
      </c>
      <c r="B185" t="s">
        <v>111</v>
      </c>
      <c r="C185" t="s">
        <v>112</v>
      </c>
      <c r="D185" t="s">
        <v>14</v>
      </c>
      <c r="E185" t="s">
        <v>161</v>
      </c>
      <c r="F185" t="s">
        <v>161</v>
      </c>
      <c r="G185" s="2" t="s">
        <v>112</v>
      </c>
      <c r="H185" t="s">
        <v>64</v>
      </c>
      <c r="I185" s="34" t="s">
        <v>212</v>
      </c>
      <c r="J185" s="2" t="s">
        <v>213</v>
      </c>
      <c r="K185" t="s">
        <v>108</v>
      </c>
      <c r="L185" t="s">
        <v>118</v>
      </c>
      <c r="M185" s="2" t="s">
        <v>78</v>
      </c>
      <c r="N185" t="s">
        <v>164</v>
      </c>
      <c r="O185" t="s">
        <v>104</v>
      </c>
      <c r="P185" s="2" t="s">
        <v>81</v>
      </c>
      <c r="Q185" t="s">
        <v>64</v>
      </c>
      <c r="R185" t="s">
        <v>64</v>
      </c>
      <c r="S185" s="85" t="s">
        <v>119</v>
      </c>
      <c r="T185" t="s">
        <v>214</v>
      </c>
      <c r="U185" t="s">
        <v>215</v>
      </c>
      <c r="V185" s="2" t="s">
        <v>216</v>
      </c>
      <c r="W185" s="2" t="s">
        <v>65</v>
      </c>
      <c r="Z185" s="2" t="s">
        <v>116</v>
      </c>
      <c r="AA185" s="2" t="s">
        <v>117</v>
      </c>
      <c r="AB185" s="2" t="s">
        <v>66</v>
      </c>
      <c r="AC185" s="2" t="s">
        <v>67</v>
      </c>
    </row>
    <row r="186" spans="1:29" x14ac:dyDescent="0.25">
      <c r="A186" t="s">
        <v>107</v>
      </c>
      <c r="B186" t="s">
        <v>111</v>
      </c>
      <c r="C186" t="s">
        <v>112</v>
      </c>
      <c r="D186" t="s">
        <v>14</v>
      </c>
      <c r="E186" t="s">
        <v>161</v>
      </c>
      <c r="F186" t="s">
        <v>161</v>
      </c>
      <c r="G186" s="2" t="s">
        <v>112</v>
      </c>
      <c r="H186" t="s">
        <v>64</v>
      </c>
      <c r="I186" s="34" t="s">
        <v>212</v>
      </c>
      <c r="J186" s="2" t="s">
        <v>213</v>
      </c>
      <c r="K186" t="s">
        <v>108</v>
      </c>
      <c r="L186" t="s">
        <v>118</v>
      </c>
      <c r="M186" s="2" t="s">
        <v>78</v>
      </c>
      <c r="N186" t="s">
        <v>164</v>
      </c>
      <c r="O186" t="s">
        <v>136</v>
      </c>
      <c r="P186" s="2" t="s">
        <v>20</v>
      </c>
      <c r="Q186" t="s">
        <v>64</v>
      </c>
      <c r="R186" t="s">
        <v>64</v>
      </c>
      <c r="S186" s="85" t="s">
        <v>119</v>
      </c>
      <c r="T186" t="s">
        <v>214</v>
      </c>
      <c r="U186" t="s">
        <v>215</v>
      </c>
      <c r="V186" s="2" t="s">
        <v>216</v>
      </c>
      <c r="W186" s="2" t="s">
        <v>65</v>
      </c>
      <c r="Z186" s="2" t="s">
        <v>116</v>
      </c>
      <c r="AA186" s="2" t="s">
        <v>117</v>
      </c>
      <c r="AB186" s="2" t="s">
        <v>66</v>
      </c>
      <c r="AC186" s="2" t="s">
        <v>67</v>
      </c>
    </row>
    <row r="187" spans="1:29" x14ac:dyDescent="0.25">
      <c r="A187" t="s">
        <v>107</v>
      </c>
      <c r="B187" t="s">
        <v>111</v>
      </c>
      <c r="C187" t="s">
        <v>112</v>
      </c>
      <c r="D187" t="s">
        <v>14</v>
      </c>
      <c r="E187" t="s">
        <v>161</v>
      </c>
      <c r="F187" t="s">
        <v>161</v>
      </c>
      <c r="G187" s="2" t="s">
        <v>112</v>
      </c>
      <c r="H187" t="s">
        <v>64</v>
      </c>
      <c r="I187" s="34" t="s">
        <v>212</v>
      </c>
      <c r="J187" s="2" t="s">
        <v>213</v>
      </c>
      <c r="K187" t="s">
        <v>108</v>
      </c>
      <c r="L187" t="s">
        <v>118</v>
      </c>
      <c r="M187" s="2" t="s">
        <v>78</v>
      </c>
      <c r="N187" t="s">
        <v>164</v>
      </c>
      <c r="O187" t="s">
        <v>137</v>
      </c>
      <c r="P187" s="2" t="s">
        <v>20</v>
      </c>
      <c r="Q187" t="s">
        <v>64</v>
      </c>
      <c r="R187" t="s">
        <v>64</v>
      </c>
      <c r="S187" s="85" t="s">
        <v>119</v>
      </c>
      <c r="T187" t="s">
        <v>214</v>
      </c>
      <c r="U187" t="s">
        <v>215</v>
      </c>
      <c r="V187" s="2" t="s">
        <v>216</v>
      </c>
      <c r="W187" s="2" t="s">
        <v>65</v>
      </c>
      <c r="Z187" s="2" t="s">
        <v>116</v>
      </c>
      <c r="AA187" s="2" t="s">
        <v>117</v>
      </c>
      <c r="AB187" s="2" t="s">
        <v>66</v>
      </c>
      <c r="AC187" s="2" t="s">
        <v>67</v>
      </c>
    </row>
    <row r="188" spans="1:29" x14ac:dyDescent="0.25">
      <c r="A188" t="s">
        <v>107</v>
      </c>
      <c r="B188" t="s">
        <v>111</v>
      </c>
      <c r="C188" t="s">
        <v>112</v>
      </c>
      <c r="D188" t="s">
        <v>14</v>
      </c>
      <c r="E188" t="s">
        <v>161</v>
      </c>
      <c r="F188" t="s">
        <v>161</v>
      </c>
      <c r="G188" s="2" t="s">
        <v>112</v>
      </c>
      <c r="H188" t="s">
        <v>64</v>
      </c>
      <c r="I188" s="34" t="s">
        <v>212</v>
      </c>
      <c r="J188" s="2" t="s">
        <v>213</v>
      </c>
      <c r="K188" t="s">
        <v>108</v>
      </c>
      <c r="L188" t="s">
        <v>118</v>
      </c>
      <c r="M188" s="2" t="s">
        <v>78</v>
      </c>
      <c r="N188" t="s">
        <v>164</v>
      </c>
      <c r="O188" t="s">
        <v>138</v>
      </c>
      <c r="P188" s="2" t="s">
        <v>20</v>
      </c>
      <c r="Q188" t="s">
        <v>64</v>
      </c>
      <c r="R188" t="s">
        <v>64</v>
      </c>
      <c r="S188" s="85" t="s">
        <v>119</v>
      </c>
      <c r="T188" t="s">
        <v>214</v>
      </c>
      <c r="U188" t="s">
        <v>215</v>
      </c>
      <c r="V188" s="2" t="s">
        <v>216</v>
      </c>
      <c r="W188" s="2" t="s">
        <v>65</v>
      </c>
      <c r="Z188" s="2" t="s">
        <v>116</v>
      </c>
      <c r="AA188" s="2" t="s">
        <v>117</v>
      </c>
      <c r="AB188" s="2" t="s">
        <v>66</v>
      </c>
      <c r="AC188" s="2" t="s">
        <v>67</v>
      </c>
    </row>
    <row r="189" spans="1:29" x14ac:dyDescent="0.25">
      <c r="A189" t="s">
        <v>107</v>
      </c>
      <c r="B189" t="s">
        <v>111</v>
      </c>
      <c r="C189" t="s">
        <v>112</v>
      </c>
      <c r="D189" t="s">
        <v>14</v>
      </c>
      <c r="E189" t="s">
        <v>161</v>
      </c>
      <c r="F189" t="s">
        <v>161</v>
      </c>
      <c r="G189" s="2" t="s">
        <v>112</v>
      </c>
      <c r="H189" t="s">
        <v>64</v>
      </c>
      <c r="I189" s="34" t="s">
        <v>212</v>
      </c>
      <c r="J189" s="2" t="s">
        <v>213</v>
      </c>
      <c r="K189" t="s">
        <v>108</v>
      </c>
      <c r="L189" t="s">
        <v>118</v>
      </c>
      <c r="M189" s="2" t="s">
        <v>78</v>
      </c>
      <c r="N189" t="s">
        <v>164</v>
      </c>
      <c r="O189" t="s">
        <v>139</v>
      </c>
      <c r="P189" s="2" t="s">
        <v>169</v>
      </c>
      <c r="Q189" t="s">
        <v>64</v>
      </c>
      <c r="R189" t="s">
        <v>64</v>
      </c>
      <c r="S189" s="85" t="s">
        <v>119</v>
      </c>
      <c r="T189" t="s">
        <v>214</v>
      </c>
      <c r="U189" t="s">
        <v>215</v>
      </c>
      <c r="V189" s="2" t="s">
        <v>216</v>
      </c>
      <c r="W189" s="2" t="s">
        <v>65</v>
      </c>
      <c r="Z189" s="2" t="s">
        <v>116</v>
      </c>
      <c r="AA189" s="2" t="s">
        <v>117</v>
      </c>
      <c r="AB189" s="2" t="s">
        <v>66</v>
      </c>
      <c r="AC189" s="2" t="s">
        <v>67</v>
      </c>
    </row>
    <row r="190" spans="1:29" x14ac:dyDescent="0.25">
      <c r="A190" t="s">
        <v>107</v>
      </c>
      <c r="B190" t="s">
        <v>111</v>
      </c>
      <c r="C190" t="s">
        <v>112</v>
      </c>
      <c r="D190" t="s">
        <v>14</v>
      </c>
      <c r="E190" t="s">
        <v>161</v>
      </c>
      <c r="F190" t="s">
        <v>161</v>
      </c>
      <c r="G190" s="2" t="s">
        <v>112</v>
      </c>
      <c r="H190" t="s">
        <v>64</v>
      </c>
      <c r="I190" s="34" t="s">
        <v>212</v>
      </c>
      <c r="J190" s="2" t="s">
        <v>213</v>
      </c>
      <c r="K190" t="s">
        <v>108</v>
      </c>
      <c r="L190" t="s">
        <v>118</v>
      </c>
      <c r="M190" s="2" t="s">
        <v>78</v>
      </c>
      <c r="N190" t="s">
        <v>164</v>
      </c>
      <c r="O190" t="s">
        <v>147</v>
      </c>
      <c r="P190" s="2" t="s">
        <v>20</v>
      </c>
      <c r="Q190" t="s">
        <v>64</v>
      </c>
      <c r="R190" t="s">
        <v>64</v>
      </c>
      <c r="S190" s="85" t="s">
        <v>119</v>
      </c>
      <c r="T190" t="s">
        <v>214</v>
      </c>
      <c r="U190" t="s">
        <v>215</v>
      </c>
      <c r="V190" s="2" t="s">
        <v>216</v>
      </c>
      <c r="W190" s="2" t="s">
        <v>65</v>
      </c>
      <c r="Z190" s="2" t="s">
        <v>116</v>
      </c>
      <c r="AA190" s="2" t="s">
        <v>117</v>
      </c>
      <c r="AB190" s="2" t="s">
        <v>66</v>
      </c>
      <c r="AC190" s="2" t="s">
        <v>67</v>
      </c>
    </row>
    <row r="191" spans="1:29" x14ac:dyDescent="0.25">
      <c r="A191" t="s">
        <v>107</v>
      </c>
      <c r="B191" t="s">
        <v>111</v>
      </c>
      <c r="C191" t="s">
        <v>112</v>
      </c>
      <c r="D191" t="s">
        <v>14</v>
      </c>
      <c r="E191" t="s">
        <v>161</v>
      </c>
      <c r="F191" t="s">
        <v>161</v>
      </c>
      <c r="G191" s="2" t="s">
        <v>112</v>
      </c>
      <c r="H191" t="s">
        <v>64</v>
      </c>
      <c r="I191" s="34" t="s">
        <v>212</v>
      </c>
      <c r="J191" s="2" t="s">
        <v>213</v>
      </c>
      <c r="K191" t="s">
        <v>108</v>
      </c>
      <c r="L191" t="s">
        <v>118</v>
      </c>
      <c r="M191" s="2" t="s">
        <v>78</v>
      </c>
      <c r="N191" t="s">
        <v>164</v>
      </c>
      <c r="O191" t="s">
        <v>148</v>
      </c>
      <c r="P191" s="2" t="s">
        <v>81</v>
      </c>
      <c r="Q191" t="s">
        <v>64</v>
      </c>
      <c r="R191" t="s">
        <v>64</v>
      </c>
      <c r="S191" s="85" t="s">
        <v>119</v>
      </c>
      <c r="T191" t="s">
        <v>214</v>
      </c>
      <c r="U191" t="s">
        <v>215</v>
      </c>
      <c r="V191" s="2" t="s">
        <v>216</v>
      </c>
      <c r="W191" s="2" t="s">
        <v>65</v>
      </c>
      <c r="Z191" s="2" t="s">
        <v>116</v>
      </c>
      <c r="AA191" s="2" t="s">
        <v>117</v>
      </c>
      <c r="AB191" s="2" t="s">
        <v>66</v>
      </c>
      <c r="AC191" s="2" t="s">
        <v>67</v>
      </c>
    </row>
    <row r="192" spans="1:29" x14ac:dyDescent="0.25">
      <c r="A192" t="s">
        <v>107</v>
      </c>
      <c r="B192" t="s">
        <v>111</v>
      </c>
      <c r="C192" t="s">
        <v>112</v>
      </c>
      <c r="D192" t="s">
        <v>14</v>
      </c>
      <c r="E192" t="s">
        <v>161</v>
      </c>
      <c r="F192" t="s">
        <v>161</v>
      </c>
      <c r="G192" s="2" t="s">
        <v>112</v>
      </c>
      <c r="H192" t="s">
        <v>64</v>
      </c>
      <c r="I192" s="34" t="s">
        <v>212</v>
      </c>
      <c r="J192" s="2" t="s">
        <v>213</v>
      </c>
      <c r="K192" t="s">
        <v>108</v>
      </c>
      <c r="L192" t="s">
        <v>118</v>
      </c>
      <c r="M192" s="2" t="s">
        <v>78</v>
      </c>
      <c r="N192" t="s">
        <v>164</v>
      </c>
      <c r="O192" t="s">
        <v>149</v>
      </c>
      <c r="P192" s="2" t="s">
        <v>81</v>
      </c>
      <c r="Q192" t="s">
        <v>64</v>
      </c>
      <c r="R192" t="s">
        <v>64</v>
      </c>
      <c r="S192" s="85" t="s">
        <v>119</v>
      </c>
      <c r="T192" t="s">
        <v>214</v>
      </c>
      <c r="U192" t="s">
        <v>215</v>
      </c>
      <c r="V192" s="2" t="s">
        <v>216</v>
      </c>
      <c r="W192" s="2" t="s">
        <v>65</v>
      </c>
      <c r="Z192" s="2" t="s">
        <v>116</v>
      </c>
      <c r="AA192" s="2" t="s">
        <v>117</v>
      </c>
      <c r="AB192" s="2" t="s">
        <v>66</v>
      </c>
      <c r="AC192" s="2" t="s">
        <v>67</v>
      </c>
    </row>
    <row r="193" spans="1:29" x14ac:dyDescent="0.25">
      <c r="A193" t="s">
        <v>107</v>
      </c>
      <c r="B193" t="s">
        <v>111</v>
      </c>
      <c r="C193" t="s">
        <v>112</v>
      </c>
      <c r="D193" t="s">
        <v>14</v>
      </c>
      <c r="E193" t="s">
        <v>161</v>
      </c>
      <c r="F193" t="s">
        <v>161</v>
      </c>
      <c r="G193" s="2" t="s">
        <v>112</v>
      </c>
      <c r="H193" t="s">
        <v>64</v>
      </c>
      <c r="I193" s="34" t="s">
        <v>212</v>
      </c>
      <c r="J193" s="2" t="s">
        <v>213</v>
      </c>
      <c r="K193" t="s">
        <v>108</v>
      </c>
      <c r="L193" t="s">
        <v>118</v>
      </c>
      <c r="M193" s="2" t="s">
        <v>78</v>
      </c>
      <c r="N193" t="s">
        <v>164</v>
      </c>
      <c r="O193" t="s">
        <v>150</v>
      </c>
      <c r="P193" s="2" t="s">
        <v>81</v>
      </c>
      <c r="Q193" t="s">
        <v>64</v>
      </c>
      <c r="R193" t="s">
        <v>64</v>
      </c>
      <c r="S193" s="85" t="s">
        <v>119</v>
      </c>
      <c r="T193" t="s">
        <v>214</v>
      </c>
      <c r="U193" t="s">
        <v>215</v>
      </c>
      <c r="V193" s="2" t="s">
        <v>216</v>
      </c>
      <c r="W193" s="2" t="s">
        <v>65</v>
      </c>
      <c r="Z193" s="2" t="s">
        <v>116</v>
      </c>
      <c r="AA193" s="2" t="s">
        <v>117</v>
      </c>
      <c r="AB193" s="2" t="s">
        <v>66</v>
      </c>
      <c r="AC193" s="2" t="s">
        <v>67</v>
      </c>
    </row>
    <row r="194" spans="1:29" x14ac:dyDescent="0.25">
      <c r="A194" t="s">
        <v>107</v>
      </c>
      <c r="B194" t="s">
        <v>111</v>
      </c>
      <c r="C194" t="s">
        <v>112</v>
      </c>
      <c r="D194" t="s">
        <v>14</v>
      </c>
      <c r="E194" t="s">
        <v>161</v>
      </c>
      <c r="F194" t="s">
        <v>161</v>
      </c>
      <c r="G194" s="2" t="s">
        <v>112</v>
      </c>
      <c r="H194" t="s">
        <v>64</v>
      </c>
      <c r="I194" s="34" t="s">
        <v>212</v>
      </c>
      <c r="J194" s="2" t="s">
        <v>213</v>
      </c>
      <c r="K194" t="s">
        <v>108</v>
      </c>
      <c r="L194" t="s">
        <v>118</v>
      </c>
      <c r="M194" s="2" t="s">
        <v>78</v>
      </c>
      <c r="N194" t="s">
        <v>164</v>
      </c>
      <c r="O194" t="s">
        <v>151</v>
      </c>
      <c r="P194" s="2" t="s">
        <v>20</v>
      </c>
      <c r="Q194" t="s">
        <v>64</v>
      </c>
      <c r="R194" t="s">
        <v>64</v>
      </c>
      <c r="S194" s="85" t="s">
        <v>119</v>
      </c>
      <c r="T194" t="s">
        <v>214</v>
      </c>
      <c r="U194" t="s">
        <v>215</v>
      </c>
      <c r="V194" s="2" t="s">
        <v>216</v>
      </c>
      <c r="W194" s="2" t="s">
        <v>65</v>
      </c>
      <c r="Z194" s="2" t="s">
        <v>116</v>
      </c>
      <c r="AA194" s="2" t="s">
        <v>117</v>
      </c>
      <c r="AB194" s="2" t="s">
        <v>66</v>
      </c>
      <c r="AC194" s="2" t="s">
        <v>67</v>
      </c>
    </row>
    <row r="195" spans="1:29" x14ac:dyDescent="0.25">
      <c r="A195" t="s">
        <v>107</v>
      </c>
      <c r="B195" t="s">
        <v>111</v>
      </c>
      <c r="C195" t="s">
        <v>112</v>
      </c>
      <c r="D195" t="s">
        <v>14</v>
      </c>
      <c r="E195" t="s">
        <v>161</v>
      </c>
      <c r="F195" t="s">
        <v>161</v>
      </c>
      <c r="G195" s="2" t="s">
        <v>112</v>
      </c>
      <c r="H195" t="s">
        <v>64</v>
      </c>
      <c r="I195" s="34" t="s">
        <v>212</v>
      </c>
      <c r="J195" s="2" t="s">
        <v>213</v>
      </c>
      <c r="K195" t="s">
        <v>108</v>
      </c>
      <c r="L195" t="s">
        <v>118</v>
      </c>
      <c r="M195" s="2" t="s">
        <v>78</v>
      </c>
      <c r="N195" t="s">
        <v>164</v>
      </c>
      <c r="O195" t="s">
        <v>152</v>
      </c>
      <c r="P195" s="2" t="s">
        <v>170</v>
      </c>
      <c r="Q195" t="s">
        <v>64</v>
      </c>
      <c r="R195" t="s">
        <v>64</v>
      </c>
      <c r="S195" s="85" t="s">
        <v>119</v>
      </c>
      <c r="T195" t="s">
        <v>214</v>
      </c>
      <c r="U195" t="s">
        <v>215</v>
      </c>
      <c r="V195" s="2" t="s">
        <v>216</v>
      </c>
      <c r="W195" s="2" t="s">
        <v>65</v>
      </c>
      <c r="Z195" s="2" t="s">
        <v>116</v>
      </c>
      <c r="AA195" s="2" t="s">
        <v>117</v>
      </c>
      <c r="AB195" s="2" t="s">
        <v>66</v>
      </c>
      <c r="AC195" s="2" t="s">
        <v>67</v>
      </c>
    </row>
    <row r="196" spans="1:29" x14ac:dyDescent="0.25">
      <c r="A196" t="s">
        <v>107</v>
      </c>
      <c r="B196" t="s">
        <v>111</v>
      </c>
      <c r="C196" t="s">
        <v>112</v>
      </c>
      <c r="D196" t="s">
        <v>14</v>
      </c>
      <c r="E196" t="s">
        <v>161</v>
      </c>
      <c r="F196" t="s">
        <v>161</v>
      </c>
      <c r="G196" s="2" t="s">
        <v>112</v>
      </c>
      <c r="H196" t="s">
        <v>64</v>
      </c>
      <c r="I196" s="34" t="s">
        <v>212</v>
      </c>
      <c r="J196" s="2" t="s">
        <v>213</v>
      </c>
      <c r="K196" t="s">
        <v>108</v>
      </c>
      <c r="L196" t="s">
        <v>118</v>
      </c>
      <c r="M196" s="2" t="s">
        <v>78</v>
      </c>
      <c r="N196" t="s">
        <v>164</v>
      </c>
      <c r="O196" t="s">
        <v>153</v>
      </c>
      <c r="P196" s="2" t="s">
        <v>20</v>
      </c>
      <c r="Q196" t="s">
        <v>64</v>
      </c>
      <c r="R196" t="s">
        <v>64</v>
      </c>
      <c r="S196" s="85" t="s">
        <v>119</v>
      </c>
      <c r="T196" t="s">
        <v>214</v>
      </c>
      <c r="U196" t="s">
        <v>215</v>
      </c>
      <c r="V196" s="2" t="s">
        <v>216</v>
      </c>
      <c r="W196" s="2" t="s">
        <v>65</v>
      </c>
      <c r="Z196" s="2" t="s">
        <v>116</v>
      </c>
      <c r="AA196" s="2" t="s">
        <v>117</v>
      </c>
      <c r="AB196" s="2" t="s">
        <v>66</v>
      </c>
      <c r="AC196" s="2" t="s">
        <v>67</v>
      </c>
    </row>
    <row r="197" spans="1:29" x14ac:dyDescent="0.25">
      <c r="A197" t="s">
        <v>107</v>
      </c>
      <c r="B197" t="s">
        <v>111</v>
      </c>
      <c r="C197" t="s">
        <v>112</v>
      </c>
      <c r="D197" t="s">
        <v>14</v>
      </c>
      <c r="E197" t="s">
        <v>161</v>
      </c>
      <c r="F197" t="s">
        <v>161</v>
      </c>
      <c r="G197" s="2" t="s">
        <v>112</v>
      </c>
      <c r="H197" t="s">
        <v>64</v>
      </c>
      <c r="I197" s="34" t="s">
        <v>212</v>
      </c>
      <c r="J197" s="2" t="s">
        <v>213</v>
      </c>
      <c r="K197" t="s">
        <v>108</v>
      </c>
      <c r="L197" t="s">
        <v>118</v>
      </c>
      <c r="M197" s="2" t="s">
        <v>78</v>
      </c>
      <c r="N197" t="s">
        <v>164</v>
      </c>
      <c r="O197" t="s">
        <v>154</v>
      </c>
      <c r="P197" s="2" t="s">
        <v>20</v>
      </c>
      <c r="Q197" t="s">
        <v>64</v>
      </c>
      <c r="R197" t="s">
        <v>64</v>
      </c>
      <c r="S197" s="85" t="s">
        <v>119</v>
      </c>
      <c r="T197" t="s">
        <v>214</v>
      </c>
      <c r="U197" t="s">
        <v>215</v>
      </c>
      <c r="V197" s="2" t="s">
        <v>216</v>
      </c>
      <c r="W197" s="2" t="s">
        <v>65</v>
      </c>
      <c r="Z197" s="2" t="s">
        <v>116</v>
      </c>
      <c r="AA197" s="2" t="s">
        <v>117</v>
      </c>
      <c r="AB197" s="2" t="s">
        <v>66</v>
      </c>
      <c r="AC197" s="2" t="s">
        <v>67</v>
      </c>
    </row>
    <row r="198" spans="1:29" x14ac:dyDescent="0.25">
      <c r="A198" t="s">
        <v>107</v>
      </c>
      <c r="B198" t="s">
        <v>111</v>
      </c>
      <c r="C198" t="s">
        <v>112</v>
      </c>
      <c r="D198" t="s">
        <v>14</v>
      </c>
      <c r="E198" t="s">
        <v>161</v>
      </c>
      <c r="F198" t="s">
        <v>161</v>
      </c>
      <c r="G198" s="2" t="s">
        <v>112</v>
      </c>
      <c r="H198" t="s">
        <v>64</v>
      </c>
      <c r="I198" s="34" t="s">
        <v>212</v>
      </c>
      <c r="J198" s="2" t="s">
        <v>213</v>
      </c>
      <c r="K198" t="s">
        <v>108</v>
      </c>
      <c r="L198" t="s">
        <v>118</v>
      </c>
      <c r="M198" s="2" t="s">
        <v>78</v>
      </c>
      <c r="N198" t="s">
        <v>164</v>
      </c>
      <c r="O198" t="s">
        <v>155</v>
      </c>
      <c r="P198" s="2" t="s">
        <v>20</v>
      </c>
      <c r="Q198" t="s">
        <v>64</v>
      </c>
      <c r="R198" t="s">
        <v>64</v>
      </c>
      <c r="S198" s="85" t="s">
        <v>119</v>
      </c>
      <c r="T198" t="s">
        <v>214</v>
      </c>
      <c r="U198" t="s">
        <v>215</v>
      </c>
      <c r="V198" s="2" t="s">
        <v>216</v>
      </c>
      <c r="W198" s="2" t="s">
        <v>65</v>
      </c>
      <c r="Z198" s="2" t="s">
        <v>116</v>
      </c>
      <c r="AA198" s="2" t="s">
        <v>117</v>
      </c>
      <c r="AB198" s="2" t="s">
        <v>66</v>
      </c>
      <c r="AC198" s="2" t="s">
        <v>67</v>
      </c>
    </row>
    <row r="199" spans="1:29" x14ac:dyDescent="0.25">
      <c r="A199" t="s">
        <v>107</v>
      </c>
      <c r="B199" t="s">
        <v>111</v>
      </c>
      <c r="C199" t="s">
        <v>112</v>
      </c>
      <c r="D199" t="s">
        <v>14</v>
      </c>
      <c r="E199" t="s">
        <v>161</v>
      </c>
      <c r="F199" t="s">
        <v>161</v>
      </c>
      <c r="G199" s="2" t="s">
        <v>112</v>
      </c>
      <c r="H199" t="s">
        <v>64</v>
      </c>
      <c r="I199" s="34" t="s">
        <v>212</v>
      </c>
      <c r="J199" s="2" t="s">
        <v>213</v>
      </c>
      <c r="K199" t="s">
        <v>108</v>
      </c>
      <c r="L199" t="s">
        <v>118</v>
      </c>
      <c r="M199" s="2" t="s">
        <v>78</v>
      </c>
      <c r="N199" t="s">
        <v>164</v>
      </c>
      <c r="O199" t="s">
        <v>156</v>
      </c>
      <c r="P199" s="2" t="s">
        <v>20</v>
      </c>
      <c r="Q199" t="s">
        <v>64</v>
      </c>
      <c r="R199" t="s">
        <v>64</v>
      </c>
      <c r="S199" s="85" t="s">
        <v>119</v>
      </c>
      <c r="T199" t="s">
        <v>214</v>
      </c>
      <c r="U199" t="s">
        <v>215</v>
      </c>
      <c r="V199" s="2" t="s">
        <v>216</v>
      </c>
      <c r="W199" s="2" t="s">
        <v>65</v>
      </c>
      <c r="Z199" s="2" t="s">
        <v>116</v>
      </c>
      <c r="AA199" s="2" t="s">
        <v>117</v>
      </c>
      <c r="AB199" s="2" t="s">
        <v>66</v>
      </c>
      <c r="AC199" s="2" t="s">
        <v>67</v>
      </c>
    </row>
    <row r="200" spans="1:29" x14ac:dyDescent="0.25">
      <c r="A200" t="s">
        <v>107</v>
      </c>
      <c r="B200" t="s">
        <v>111</v>
      </c>
      <c r="C200" t="s">
        <v>112</v>
      </c>
      <c r="D200" t="s">
        <v>14</v>
      </c>
      <c r="E200" t="s">
        <v>161</v>
      </c>
      <c r="F200" t="s">
        <v>161</v>
      </c>
      <c r="G200" s="2" t="s">
        <v>112</v>
      </c>
      <c r="H200" t="s">
        <v>64</v>
      </c>
      <c r="I200" s="34" t="s">
        <v>212</v>
      </c>
      <c r="J200" s="2" t="s">
        <v>213</v>
      </c>
      <c r="K200" t="s">
        <v>108</v>
      </c>
      <c r="L200" t="s">
        <v>118</v>
      </c>
      <c r="M200" s="2" t="s">
        <v>78</v>
      </c>
      <c r="N200" t="s">
        <v>164</v>
      </c>
      <c r="O200" t="s">
        <v>157</v>
      </c>
      <c r="P200" s="2" t="s">
        <v>81</v>
      </c>
      <c r="Q200" t="s">
        <v>64</v>
      </c>
      <c r="R200" t="s">
        <v>64</v>
      </c>
      <c r="S200" s="85" t="s">
        <v>119</v>
      </c>
      <c r="T200" t="s">
        <v>214</v>
      </c>
      <c r="U200" t="s">
        <v>215</v>
      </c>
      <c r="V200" s="2" t="s">
        <v>216</v>
      </c>
      <c r="W200" s="2" t="s">
        <v>65</v>
      </c>
      <c r="Z200" s="2" t="s">
        <v>116</v>
      </c>
      <c r="AA200" s="2" t="s">
        <v>117</v>
      </c>
      <c r="AB200" s="2" t="s">
        <v>66</v>
      </c>
      <c r="AC200" s="2" t="s">
        <v>67</v>
      </c>
    </row>
    <row r="201" spans="1:29" hidden="1" x14ac:dyDescent="0.25">
      <c r="A201" t="s">
        <v>107</v>
      </c>
      <c r="B201" t="s">
        <v>69</v>
      </c>
      <c r="C201" t="s">
        <v>8</v>
      </c>
      <c r="D201" t="s">
        <v>15</v>
      </c>
      <c r="E201" t="s">
        <v>217</v>
      </c>
      <c r="F201" t="s">
        <v>218</v>
      </c>
      <c r="G201" s="2" t="s">
        <v>8</v>
      </c>
      <c r="H201" t="s">
        <v>64</v>
      </c>
      <c r="I201" s="34" t="s">
        <v>219</v>
      </c>
      <c r="J201" s="2" t="s">
        <v>220</v>
      </c>
      <c r="K201" t="s">
        <v>221</v>
      </c>
      <c r="L201" t="s">
        <v>218</v>
      </c>
      <c r="M201" s="2" t="s">
        <v>78</v>
      </c>
      <c r="N201" t="s">
        <v>164</v>
      </c>
      <c r="O201" t="s">
        <v>133</v>
      </c>
      <c r="P201" s="2" t="s">
        <v>81</v>
      </c>
      <c r="Q201" t="s">
        <v>64</v>
      </c>
      <c r="R201" t="s">
        <v>64</v>
      </c>
      <c r="S201" s="85" t="s">
        <v>119</v>
      </c>
      <c r="T201" t="s">
        <v>222</v>
      </c>
      <c r="U201" t="s">
        <v>223</v>
      </c>
      <c r="V201" s="2" t="s">
        <v>224</v>
      </c>
      <c r="W201" s="2" t="s">
        <v>65</v>
      </c>
      <c r="Z201" s="2" t="s">
        <v>186</v>
      </c>
      <c r="AA201" s="2" t="s">
        <v>187</v>
      </c>
      <c r="AB201" s="2" t="s">
        <v>66</v>
      </c>
      <c r="AC201" s="2" t="s">
        <v>67</v>
      </c>
    </row>
    <row r="202" spans="1:29" hidden="1" x14ac:dyDescent="0.25">
      <c r="A202" t="s">
        <v>107</v>
      </c>
      <c r="B202" t="s">
        <v>69</v>
      </c>
      <c r="C202" t="s">
        <v>8</v>
      </c>
      <c r="D202" t="s">
        <v>15</v>
      </c>
      <c r="E202" t="s">
        <v>217</v>
      </c>
      <c r="F202" t="s">
        <v>218</v>
      </c>
      <c r="G202" s="2" t="s">
        <v>8</v>
      </c>
      <c r="H202" t="s">
        <v>64</v>
      </c>
      <c r="I202" s="34" t="s">
        <v>219</v>
      </c>
      <c r="J202" s="2" t="s">
        <v>220</v>
      </c>
      <c r="K202" t="s">
        <v>221</v>
      </c>
      <c r="L202" t="s">
        <v>218</v>
      </c>
      <c r="M202" s="2" t="s">
        <v>78</v>
      </c>
      <c r="N202" t="s">
        <v>164</v>
      </c>
      <c r="O202" t="s">
        <v>97</v>
      </c>
      <c r="P202" s="2" t="s">
        <v>81</v>
      </c>
      <c r="Q202" t="s">
        <v>64</v>
      </c>
      <c r="R202" t="s">
        <v>64</v>
      </c>
      <c r="S202" s="85" t="s">
        <v>119</v>
      </c>
      <c r="T202" t="s">
        <v>222</v>
      </c>
      <c r="U202" t="s">
        <v>223</v>
      </c>
      <c r="V202" s="2" t="s">
        <v>224</v>
      </c>
      <c r="W202" s="2" t="s">
        <v>65</v>
      </c>
      <c r="Z202" s="2" t="s">
        <v>186</v>
      </c>
      <c r="AA202" s="2" t="s">
        <v>187</v>
      </c>
      <c r="AB202" s="2" t="s">
        <v>66</v>
      </c>
      <c r="AC202" s="2" t="s">
        <v>67</v>
      </c>
    </row>
    <row r="203" spans="1:29" hidden="1" x14ac:dyDescent="0.25">
      <c r="A203" t="s">
        <v>107</v>
      </c>
      <c r="B203" t="s">
        <v>69</v>
      </c>
      <c r="C203" t="s">
        <v>8</v>
      </c>
      <c r="D203" t="s">
        <v>15</v>
      </c>
      <c r="E203" t="s">
        <v>217</v>
      </c>
      <c r="F203" t="s">
        <v>218</v>
      </c>
      <c r="G203" s="2" t="s">
        <v>8</v>
      </c>
      <c r="H203" t="s">
        <v>64</v>
      </c>
      <c r="I203" s="34" t="s">
        <v>219</v>
      </c>
      <c r="J203" s="2" t="s">
        <v>220</v>
      </c>
      <c r="K203" t="s">
        <v>221</v>
      </c>
      <c r="L203" t="s">
        <v>218</v>
      </c>
      <c r="M203" s="2" t="s">
        <v>78</v>
      </c>
      <c r="N203" t="s">
        <v>164</v>
      </c>
      <c r="O203" t="s">
        <v>98</v>
      </c>
      <c r="P203" s="2" t="s">
        <v>81</v>
      </c>
      <c r="Q203" t="s">
        <v>64</v>
      </c>
      <c r="R203" t="s">
        <v>64</v>
      </c>
      <c r="S203" s="85" t="s">
        <v>119</v>
      </c>
      <c r="T203" t="s">
        <v>222</v>
      </c>
      <c r="U203" t="s">
        <v>223</v>
      </c>
      <c r="V203" s="2" t="s">
        <v>224</v>
      </c>
      <c r="W203" s="2" t="s">
        <v>65</v>
      </c>
      <c r="Z203" s="2" t="s">
        <v>186</v>
      </c>
      <c r="AA203" s="2" t="s">
        <v>187</v>
      </c>
      <c r="AB203" s="2" t="s">
        <v>66</v>
      </c>
      <c r="AC203" s="2" t="s">
        <v>67</v>
      </c>
    </row>
    <row r="204" spans="1:29" hidden="1" x14ac:dyDescent="0.25">
      <c r="A204" t="s">
        <v>107</v>
      </c>
      <c r="B204" t="s">
        <v>69</v>
      </c>
      <c r="C204" t="s">
        <v>8</v>
      </c>
      <c r="D204" t="s">
        <v>15</v>
      </c>
      <c r="E204" t="s">
        <v>217</v>
      </c>
      <c r="F204" t="s">
        <v>218</v>
      </c>
      <c r="G204" s="2" t="s">
        <v>8</v>
      </c>
      <c r="H204" t="s">
        <v>64</v>
      </c>
      <c r="I204" s="34" t="s">
        <v>219</v>
      </c>
      <c r="J204" s="2" t="s">
        <v>220</v>
      </c>
      <c r="K204" t="s">
        <v>221</v>
      </c>
      <c r="L204" t="s">
        <v>218</v>
      </c>
      <c r="M204" s="2" t="s">
        <v>78</v>
      </c>
      <c r="N204" t="s">
        <v>164</v>
      </c>
      <c r="O204" t="s">
        <v>134</v>
      </c>
      <c r="P204" s="2" t="s">
        <v>81</v>
      </c>
      <c r="Q204" t="s">
        <v>64</v>
      </c>
      <c r="R204" t="s">
        <v>64</v>
      </c>
      <c r="S204" s="85" t="s">
        <v>119</v>
      </c>
      <c r="T204" t="s">
        <v>222</v>
      </c>
      <c r="U204" t="s">
        <v>223</v>
      </c>
      <c r="V204" s="2" t="s">
        <v>224</v>
      </c>
      <c r="W204" s="2" t="s">
        <v>65</v>
      </c>
      <c r="Z204" s="2" t="s">
        <v>186</v>
      </c>
      <c r="AA204" s="2" t="s">
        <v>187</v>
      </c>
      <c r="AB204" s="2" t="s">
        <v>66</v>
      </c>
      <c r="AC204" s="2" t="s">
        <v>67</v>
      </c>
    </row>
    <row r="205" spans="1:29" hidden="1" x14ac:dyDescent="0.25">
      <c r="A205" t="s">
        <v>107</v>
      </c>
      <c r="B205" t="s">
        <v>69</v>
      </c>
      <c r="C205" t="s">
        <v>8</v>
      </c>
      <c r="D205" t="s">
        <v>15</v>
      </c>
      <c r="E205" t="s">
        <v>217</v>
      </c>
      <c r="F205" t="s">
        <v>218</v>
      </c>
      <c r="G205" s="2" t="s">
        <v>8</v>
      </c>
      <c r="H205" t="s">
        <v>64</v>
      </c>
      <c r="I205" s="34" t="s">
        <v>219</v>
      </c>
      <c r="J205" s="2" t="s">
        <v>220</v>
      </c>
      <c r="K205" t="s">
        <v>221</v>
      </c>
      <c r="L205" t="s">
        <v>218</v>
      </c>
      <c r="M205" s="2" t="s">
        <v>78</v>
      </c>
      <c r="N205" t="s">
        <v>164</v>
      </c>
      <c r="O205" t="s">
        <v>35</v>
      </c>
      <c r="P205" s="2" t="s">
        <v>81</v>
      </c>
      <c r="Q205" t="s">
        <v>64</v>
      </c>
      <c r="R205" t="s">
        <v>64</v>
      </c>
      <c r="S205" s="85" t="s">
        <v>119</v>
      </c>
      <c r="T205" t="s">
        <v>222</v>
      </c>
      <c r="U205" t="s">
        <v>223</v>
      </c>
      <c r="V205" s="2" t="s">
        <v>224</v>
      </c>
      <c r="W205" s="2" t="s">
        <v>65</v>
      </c>
      <c r="Z205" s="2" t="s">
        <v>186</v>
      </c>
      <c r="AA205" s="2" t="s">
        <v>187</v>
      </c>
      <c r="AB205" s="2" t="s">
        <v>66</v>
      </c>
      <c r="AC205" s="2" t="s">
        <v>67</v>
      </c>
    </row>
    <row r="206" spans="1:29" hidden="1" x14ac:dyDescent="0.25">
      <c r="A206" t="s">
        <v>107</v>
      </c>
      <c r="B206" t="s">
        <v>69</v>
      </c>
      <c r="C206" t="s">
        <v>8</v>
      </c>
      <c r="D206" t="s">
        <v>15</v>
      </c>
      <c r="E206" t="s">
        <v>217</v>
      </c>
      <c r="F206" t="s">
        <v>218</v>
      </c>
      <c r="G206" s="2" t="s">
        <v>8</v>
      </c>
      <c r="H206" t="s">
        <v>64</v>
      </c>
      <c r="I206" s="34" t="s">
        <v>219</v>
      </c>
      <c r="J206" s="2" t="s">
        <v>220</v>
      </c>
      <c r="K206" t="s">
        <v>221</v>
      </c>
      <c r="L206" t="s">
        <v>218</v>
      </c>
      <c r="M206" s="2" t="s">
        <v>78</v>
      </c>
      <c r="N206" t="s">
        <v>164</v>
      </c>
      <c r="O206" t="s">
        <v>135</v>
      </c>
      <c r="P206" s="2" t="s">
        <v>81</v>
      </c>
      <c r="Q206" t="s">
        <v>64</v>
      </c>
      <c r="R206" t="s">
        <v>64</v>
      </c>
      <c r="S206" s="85" t="s">
        <v>119</v>
      </c>
      <c r="T206" t="s">
        <v>222</v>
      </c>
      <c r="U206" t="s">
        <v>223</v>
      </c>
      <c r="V206" s="2" t="s">
        <v>224</v>
      </c>
      <c r="W206" s="2" t="s">
        <v>65</v>
      </c>
      <c r="Z206" s="2" t="s">
        <v>186</v>
      </c>
      <c r="AA206" s="2" t="s">
        <v>187</v>
      </c>
      <c r="AB206" s="2" t="s">
        <v>66</v>
      </c>
      <c r="AC206" s="2" t="s">
        <v>67</v>
      </c>
    </row>
    <row r="207" spans="1:29" hidden="1" x14ac:dyDescent="0.25">
      <c r="A207" t="s">
        <v>107</v>
      </c>
      <c r="B207" t="s">
        <v>69</v>
      </c>
      <c r="C207" t="s">
        <v>8</v>
      </c>
      <c r="D207" t="s">
        <v>15</v>
      </c>
      <c r="E207" t="s">
        <v>217</v>
      </c>
      <c r="F207" t="s">
        <v>218</v>
      </c>
      <c r="G207" s="2" t="s">
        <v>8</v>
      </c>
      <c r="H207" t="s">
        <v>64</v>
      </c>
      <c r="I207" s="34" t="s">
        <v>219</v>
      </c>
      <c r="J207" s="2" t="s">
        <v>220</v>
      </c>
      <c r="K207" t="s">
        <v>221</v>
      </c>
      <c r="L207" t="s">
        <v>218</v>
      </c>
      <c r="M207" s="2" t="s">
        <v>78</v>
      </c>
      <c r="N207" t="s">
        <v>164</v>
      </c>
      <c r="O207" t="s">
        <v>99</v>
      </c>
      <c r="P207" s="2" t="s">
        <v>81</v>
      </c>
      <c r="Q207" t="s">
        <v>64</v>
      </c>
      <c r="R207" t="s">
        <v>64</v>
      </c>
      <c r="S207" s="85" t="s">
        <v>119</v>
      </c>
      <c r="T207" t="s">
        <v>222</v>
      </c>
      <c r="U207" t="s">
        <v>223</v>
      </c>
      <c r="V207" s="2" t="s">
        <v>224</v>
      </c>
      <c r="W207" s="2" t="s">
        <v>65</v>
      </c>
      <c r="Z207" s="2" t="s">
        <v>186</v>
      </c>
      <c r="AA207" s="2" t="s">
        <v>187</v>
      </c>
      <c r="AB207" s="2" t="s">
        <v>66</v>
      </c>
      <c r="AC207" s="2" t="s">
        <v>67</v>
      </c>
    </row>
    <row r="208" spans="1:29" hidden="1" x14ac:dyDescent="0.25">
      <c r="A208" t="s">
        <v>107</v>
      </c>
      <c r="B208" t="s">
        <v>69</v>
      </c>
      <c r="C208" t="s">
        <v>8</v>
      </c>
      <c r="D208" t="s">
        <v>15</v>
      </c>
      <c r="E208" t="s">
        <v>217</v>
      </c>
      <c r="F208" t="s">
        <v>218</v>
      </c>
      <c r="G208" s="2" t="s">
        <v>8</v>
      </c>
      <c r="H208" t="s">
        <v>64</v>
      </c>
      <c r="I208" s="34" t="s">
        <v>219</v>
      </c>
      <c r="J208" s="2" t="s">
        <v>220</v>
      </c>
      <c r="K208" t="s">
        <v>221</v>
      </c>
      <c r="L208" t="s">
        <v>218</v>
      </c>
      <c r="M208" s="2" t="s">
        <v>78</v>
      </c>
      <c r="N208" t="s">
        <v>164</v>
      </c>
      <c r="O208" t="s">
        <v>100</v>
      </c>
      <c r="P208" s="2" t="s">
        <v>81</v>
      </c>
      <c r="Q208" t="s">
        <v>64</v>
      </c>
      <c r="R208" t="s">
        <v>64</v>
      </c>
      <c r="S208" s="85" t="s">
        <v>119</v>
      </c>
      <c r="T208" t="s">
        <v>222</v>
      </c>
      <c r="U208" t="s">
        <v>223</v>
      </c>
      <c r="V208" s="2" t="s">
        <v>224</v>
      </c>
      <c r="W208" s="2" t="s">
        <v>65</v>
      </c>
      <c r="Z208" s="2" t="s">
        <v>186</v>
      </c>
      <c r="AA208" s="2" t="s">
        <v>187</v>
      </c>
      <c r="AB208" s="2" t="s">
        <v>66</v>
      </c>
      <c r="AC208" s="2" t="s">
        <v>67</v>
      </c>
    </row>
    <row r="209" spans="1:29" hidden="1" x14ac:dyDescent="0.25">
      <c r="A209" t="s">
        <v>107</v>
      </c>
      <c r="B209" t="s">
        <v>69</v>
      </c>
      <c r="C209" t="s">
        <v>8</v>
      </c>
      <c r="D209" t="s">
        <v>15</v>
      </c>
      <c r="E209" t="s">
        <v>217</v>
      </c>
      <c r="F209" t="s">
        <v>218</v>
      </c>
      <c r="G209" s="2" t="s">
        <v>8</v>
      </c>
      <c r="H209" t="s">
        <v>64</v>
      </c>
      <c r="I209" s="34" t="s">
        <v>219</v>
      </c>
      <c r="J209" s="2" t="s">
        <v>220</v>
      </c>
      <c r="K209" t="s">
        <v>221</v>
      </c>
      <c r="L209" t="s">
        <v>218</v>
      </c>
      <c r="M209" s="2" t="s">
        <v>78</v>
      </c>
      <c r="N209" t="s">
        <v>164</v>
      </c>
      <c r="O209" t="s">
        <v>101</v>
      </c>
      <c r="P209" s="2" t="s">
        <v>81</v>
      </c>
      <c r="Q209" t="s">
        <v>64</v>
      </c>
      <c r="R209" t="s">
        <v>64</v>
      </c>
      <c r="S209" s="85" t="s">
        <v>119</v>
      </c>
      <c r="T209" t="s">
        <v>222</v>
      </c>
      <c r="U209" t="s">
        <v>223</v>
      </c>
      <c r="V209" s="2" t="s">
        <v>224</v>
      </c>
      <c r="W209" s="2" t="s">
        <v>65</v>
      </c>
      <c r="Z209" s="2" t="s">
        <v>186</v>
      </c>
      <c r="AA209" s="2" t="s">
        <v>187</v>
      </c>
      <c r="AB209" s="2" t="s">
        <v>66</v>
      </c>
      <c r="AC209" s="2" t="s">
        <v>67</v>
      </c>
    </row>
    <row r="210" spans="1:29" hidden="1" x14ac:dyDescent="0.25">
      <c r="A210" t="s">
        <v>107</v>
      </c>
      <c r="B210" t="s">
        <v>69</v>
      </c>
      <c r="C210" t="s">
        <v>8</v>
      </c>
      <c r="D210" t="s">
        <v>15</v>
      </c>
      <c r="E210" t="s">
        <v>217</v>
      </c>
      <c r="F210" t="s">
        <v>218</v>
      </c>
      <c r="G210" s="2" t="s">
        <v>8</v>
      </c>
      <c r="H210" t="s">
        <v>64</v>
      </c>
      <c r="I210" s="34" t="s">
        <v>219</v>
      </c>
      <c r="J210" s="2" t="s">
        <v>220</v>
      </c>
      <c r="K210" t="s">
        <v>221</v>
      </c>
      <c r="L210" t="s">
        <v>218</v>
      </c>
      <c r="M210" s="2" t="s">
        <v>78</v>
      </c>
      <c r="N210" t="s">
        <v>164</v>
      </c>
      <c r="O210" t="s">
        <v>102</v>
      </c>
      <c r="P210" s="2" t="s">
        <v>81</v>
      </c>
      <c r="Q210" t="s">
        <v>64</v>
      </c>
      <c r="R210" t="s">
        <v>64</v>
      </c>
      <c r="S210" s="85" t="s">
        <v>119</v>
      </c>
      <c r="T210" t="s">
        <v>222</v>
      </c>
      <c r="U210" t="s">
        <v>223</v>
      </c>
      <c r="V210" s="2" t="s">
        <v>224</v>
      </c>
      <c r="W210" s="2" t="s">
        <v>65</v>
      </c>
      <c r="Z210" s="2" t="s">
        <v>186</v>
      </c>
      <c r="AA210" s="2" t="s">
        <v>187</v>
      </c>
      <c r="AB210" s="2" t="s">
        <v>66</v>
      </c>
      <c r="AC210" s="2" t="s">
        <v>67</v>
      </c>
    </row>
    <row r="211" spans="1:29" hidden="1" x14ac:dyDescent="0.25">
      <c r="A211" t="s">
        <v>107</v>
      </c>
      <c r="B211" t="s">
        <v>69</v>
      </c>
      <c r="C211" t="s">
        <v>8</v>
      </c>
      <c r="D211" t="s">
        <v>15</v>
      </c>
      <c r="E211" t="s">
        <v>217</v>
      </c>
      <c r="F211" t="s">
        <v>218</v>
      </c>
      <c r="G211" s="2" t="s">
        <v>8</v>
      </c>
      <c r="H211" t="s">
        <v>64</v>
      </c>
      <c r="I211" s="34" t="s">
        <v>219</v>
      </c>
      <c r="J211" s="2" t="s">
        <v>220</v>
      </c>
      <c r="K211" t="s">
        <v>221</v>
      </c>
      <c r="L211" t="s">
        <v>218</v>
      </c>
      <c r="M211" s="2" t="s">
        <v>78</v>
      </c>
      <c r="N211" t="s">
        <v>164</v>
      </c>
      <c r="O211" t="s">
        <v>103</v>
      </c>
      <c r="P211" s="2" t="s">
        <v>81</v>
      </c>
      <c r="Q211" t="s">
        <v>64</v>
      </c>
      <c r="R211" t="s">
        <v>64</v>
      </c>
      <c r="S211" s="85" t="s">
        <v>119</v>
      </c>
      <c r="T211" t="s">
        <v>222</v>
      </c>
      <c r="U211" t="s">
        <v>223</v>
      </c>
      <c r="V211" s="2" t="s">
        <v>224</v>
      </c>
      <c r="W211" s="2" t="s">
        <v>65</v>
      </c>
      <c r="Z211" s="2" t="s">
        <v>186</v>
      </c>
      <c r="AA211" s="2" t="s">
        <v>187</v>
      </c>
      <c r="AB211" s="2" t="s">
        <v>66</v>
      </c>
      <c r="AC211" s="2" t="s">
        <v>67</v>
      </c>
    </row>
    <row r="212" spans="1:29" hidden="1" x14ac:dyDescent="0.25">
      <c r="A212" t="s">
        <v>107</v>
      </c>
      <c r="B212" t="s">
        <v>69</v>
      </c>
      <c r="C212" t="s">
        <v>8</v>
      </c>
      <c r="D212" t="s">
        <v>15</v>
      </c>
      <c r="E212" t="s">
        <v>217</v>
      </c>
      <c r="F212" t="s">
        <v>218</v>
      </c>
      <c r="G212" s="2" t="s">
        <v>8</v>
      </c>
      <c r="H212" t="s">
        <v>64</v>
      </c>
      <c r="I212" s="34" t="s">
        <v>219</v>
      </c>
      <c r="J212" s="2" t="s">
        <v>220</v>
      </c>
      <c r="K212" t="s">
        <v>221</v>
      </c>
      <c r="L212" t="s">
        <v>218</v>
      </c>
      <c r="M212" s="2" t="s">
        <v>78</v>
      </c>
      <c r="N212" t="s">
        <v>164</v>
      </c>
      <c r="O212" t="s">
        <v>104</v>
      </c>
      <c r="P212" s="2" t="s">
        <v>81</v>
      </c>
      <c r="Q212" t="s">
        <v>64</v>
      </c>
      <c r="R212" t="s">
        <v>64</v>
      </c>
      <c r="S212" s="85" t="s">
        <v>119</v>
      </c>
      <c r="T212" t="s">
        <v>222</v>
      </c>
      <c r="U212" t="s">
        <v>223</v>
      </c>
      <c r="V212" s="2" t="s">
        <v>224</v>
      </c>
      <c r="W212" s="2" t="s">
        <v>65</v>
      </c>
      <c r="Z212" s="2" t="s">
        <v>186</v>
      </c>
      <c r="AA212" s="2" t="s">
        <v>187</v>
      </c>
      <c r="AB212" s="2" t="s">
        <v>66</v>
      </c>
      <c r="AC212" s="2" t="s">
        <v>67</v>
      </c>
    </row>
    <row r="213" spans="1:29" hidden="1" x14ac:dyDescent="0.25">
      <c r="A213" t="s">
        <v>107</v>
      </c>
      <c r="B213" t="s">
        <v>69</v>
      </c>
      <c r="C213" t="s">
        <v>8</v>
      </c>
      <c r="D213" t="s">
        <v>15</v>
      </c>
      <c r="E213" t="s">
        <v>217</v>
      </c>
      <c r="F213" t="s">
        <v>218</v>
      </c>
      <c r="G213" s="2" t="s">
        <v>8</v>
      </c>
      <c r="H213" t="s">
        <v>64</v>
      </c>
      <c r="I213" s="34" t="s">
        <v>219</v>
      </c>
      <c r="J213" s="2" t="s">
        <v>220</v>
      </c>
      <c r="K213" t="s">
        <v>221</v>
      </c>
      <c r="L213" t="s">
        <v>218</v>
      </c>
      <c r="M213" s="2" t="s">
        <v>78</v>
      </c>
      <c r="N213" t="s">
        <v>164</v>
      </c>
      <c r="O213" t="s">
        <v>136</v>
      </c>
      <c r="P213" s="2" t="s">
        <v>81</v>
      </c>
      <c r="Q213" t="s">
        <v>64</v>
      </c>
      <c r="R213" t="s">
        <v>64</v>
      </c>
      <c r="S213" s="85" t="s">
        <v>119</v>
      </c>
      <c r="T213" t="s">
        <v>222</v>
      </c>
      <c r="U213" t="s">
        <v>223</v>
      </c>
      <c r="V213" s="2" t="s">
        <v>224</v>
      </c>
      <c r="W213" s="2" t="s">
        <v>65</v>
      </c>
      <c r="Z213" s="2" t="s">
        <v>186</v>
      </c>
      <c r="AA213" s="2" t="s">
        <v>187</v>
      </c>
      <c r="AB213" s="2" t="s">
        <v>66</v>
      </c>
      <c r="AC213" s="2" t="s">
        <v>67</v>
      </c>
    </row>
    <row r="214" spans="1:29" hidden="1" x14ac:dyDescent="0.25">
      <c r="A214" t="s">
        <v>107</v>
      </c>
      <c r="B214" t="s">
        <v>69</v>
      </c>
      <c r="C214" t="s">
        <v>8</v>
      </c>
      <c r="D214" t="s">
        <v>15</v>
      </c>
      <c r="E214" t="s">
        <v>217</v>
      </c>
      <c r="F214" t="s">
        <v>218</v>
      </c>
      <c r="G214" s="2" t="s">
        <v>8</v>
      </c>
      <c r="H214" t="s">
        <v>64</v>
      </c>
      <c r="I214" s="34" t="s">
        <v>219</v>
      </c>
      <c r="J214" s="2" t="s">
        <v>220</v>
      </c>
      <c r="K214" t="s">
        <v>221</v>
      </c>
      <c r="L214" t="s">
        <v>218</v>
      </c>
      <c r="M214" s="2" t="s">
        <v>78</v>
      </c>
      <c r="N214" t="s">
        <v>164</v>
      </c>
      <c r="O214" t="s">
        <v>137</v>
      </c>
      <c r="P214" s="2" t="s">
        <v>81</v>
      </c>
      <c r="Q214" t="s">
        <v>64</v>
      </c>
      <c r="R214" t="s">
        <v>64</v>
      </c>
      <c r="S214" s="85" t="s">
        <v>119</v>
      </c>
      <c r="T214" t="s">
        <v>222</v>
      </c>
      <c r="U214" t="s">
        <v>223</v>
      </c>
      <c r="V214" s="2" t="s">
        <v>224</v>
      </c>
      <c r="W214" s="2" t="s">
        <v>65</v>
      </c>
      <c r="Z214" s="2" t="s">
        <v>186</v>
      </c>
      <c r="AA214" s="2" t="s">
        <v>187</v>
      </c>
      <c r="AB214" s="2" t="s">
        <v>66</v>
      </c>
      <c r="AC214" s="2" t="s">
        <v>67</v>
      </c>
    </row>
    <row r="215" spans="1:29" hidden="1" x14ac:dyDescent="0.25">
      <c r="A215" t="s">
        <v>107</v>
      </c>
      <c r="B215" t="s">
        <v>69</v>
      </c>
      <c r="C215" t="s">
        <v>8</v>
      </c>
      <c r="D215" t="s">
        <v>15</v>
      </c>
      <c r="E215" t="s">
        <v>217</v>
      </c>
      <c r="F215" t="s">
        <v>218</v>
      </c>
      <c r="G215" s="2" t="s">
        <v>8</v>
      </c>
      <c r="H215" t="s">
        <v>64</v>
      </c>
      <c r="I215" s="34" t="s">
        <v>219</v>
      </c>
      <c r="J215" s="2" t="s">
        <v>220</v>
      </c>
      <c r="K215" t="s">
        <v>221</v>
      </c>
      <c r="L215" t="s">
        <v>218</v>
      </c>
      <c r="M215" s="2" t="s">
        <v>78</v>
      </c>
      <c r="N215" t="s">
        <v>164</v>
      </c>
      <c r="O215" t="s">
        <v>138</v>
      </c>
      <c r="P215" s="2" t="s">
        <v>81</v>
      </c>
      <c r="Q215" t="s">
        <v>64</v>
      </c>
      <c r="R215" t="s">
        <v>64</v>
      </c>
      <c r="S215" s="85" t="s">
        <v>119</v>
      </c>
      <c r="T215" t="s">
        <v>222</v>
      </c>
      <c r="U215" t="s">
        <v>223</v>
      </c>
      <c r="V215" s="2" t="s">
        <v>224</v>
      </c>
      <c r="W215" s="2" t="s">
        <v>65</v>
      </c>
      <c r="Z215" s="2" t="s">
        <v>186</v>
      </c>
      <c r="AA215" s="2" t="s">
        <v>187</v>
      </c>
      <c r="AB215" s="2" t="s">
        <v>66</v>
      </c>
      <c r="AC215" s="2" t="s">
        <v>67</v>
      </c>
    </row>
    <row r="216" spans="1:29" hidden="1" x14ac:dyDescent="0.25">
      <c r="A216" t="s">
        <v>107</v>
      </c>
      <c r="B216" t="s">
        <v>69</v>
      </c>
      <c r="C216" t="s">
        <v>8</v>
      </c>
      <c r="D216" t="s">
        <v>15</v>
      </c>
      <c r="E216" t="s">
        <v>217</v>
      </c>
      <c r="F216" t="s">
        <v>218</v>
      </c>
      <c r="G216" s="2" t="s">
        <v>8</v>
      </c>
      <c r="H216" t="s">
        <v>64</v>
      </c>
      <c r="I216" s="34" t="s">
        <v>219</v>
      </c>
      <c r="J216" s="2" t="s">
        <v>220</v>
      </c>
      <c r="K216" t="s">
        <v>221</v>
      </c>
      <c r="L216" t="s">
        <v>218</v>
      </c>
      <c r="M216" s="2" t="s">
        <v>78</v>
      </c>
      <c r="N216" t="s">
        <v>164</v>
      </c>
      <c r="O216" t="s">
        <v>139</v>
      </c>
      <c r="P216" s="2" t="s">
        <v>15</v>
      </c>
      <c r="Q216" t="s">
        <v>64</v>
      </c>
      <c r="R216" t="s">
        <v>64</v>
      </c>
      <c r="S216" s="85" t="s">
        <v>119</v>
      </c>
      <c r="T216" t="s">
        <v>222</v>
      </c>
      <c r="U216" t="s">
        <v>223</v>
      </c>
      <c r="V216" s="2" t="s">
        <v>224</v>
      </c>
      <c r="W216" s="2" t="s">
        <v>65</v>
      </c>
      <c r="Z216" s="2" t="s">
        <v>186</v>
      </c>
      <c r="AA216" s="2" t="s">
        <v>187</v>
      </c>
      <c r="AB216" s="2" t="s">
        <v>66</v>
      </c>
      <c r="AC216" s="2" t="s">
        <v>67</v>
      </c>
    </row>
    <row r="217" spans="1:29" hidden="1" x14ac:dyDescent="0.25">
      <c r="A217" t="s">
        <v>107</v>
      </c>
      <c r="B217" t="s">
        <v>69</v>
      </c>
      <c r="C217" t="s">
        <v>8</v>
      </c>
      <c r="D217" t="s">
        <v>15</v>
      </c>
      <c r="E217" t="s">
        <v>217</v>
      </c>
      <c r="F217" t="s">
        <v>218</v>
      </c>
      <c r="G217" s="2" t="s">
        <v>8</v>
      </c>
      <c r="H217" t="s">
        <v>64</v>
      </c>
      <c r="I217" s="34" t="s">
        <v>219</v>
      </c>
      <c r="J217" s="2" t="s">
        <v>220</v>
      </c>
      <c r="K217" t="s">
        <v>221</v>
      </c>
      <c r="L217" t="s">
        <v>218</v>
      </c>
      <c r="M217" s="2" t="s">
        <v>78</v>
      </c>
      <c r="N217" t="s">
        <v>164</v>
      </c>
      <c r="O217" t="s">
        <v>140</v>
      </c>
      <c r="P217" s="2" t="s">
        <v>81</v>
      </c>
      <c r="Q217" t="s">
        <v>64</v>
      </c>
      <c r="R217" t="s">
        <v>64</v>
      </c>
      <c r="S217" s="85" t="s">
        <v>119</v>
      </c>
      <c r="T217" t="s">
        <v>222</v>
      </c>
      <c r="U217" t="s">
        <v>223</v>
      </c>
      <c r="V217" s="2" t="s">
        <v>224</v>
      </c>
      <c r="W217" s="2" t="s">
        <v>65</v>
      </c>
      <c r="Z217" s="2" t="s">
        <v>186</v>
      </c>
      <c r="AA217" s="2" t="s">
        <v>187</v>
      </c>
      <c r="AB217" s="2" t="s">
        <v>66</v>
      </c>
      <c r="AC217" s="2" t="s">
        <v>67</v>
      </c>
    </row>
    <row r="218" spans="1:29" hidden="1" x14ac:dyDescent="0.25">
      <c r="A218" t="s">
        <v>107</v>
      </c>
      <c r="B218" t="s">
        <v>69</v>
      </c>
      <c r="C218" t="s">
        <v>8</v>
      </c>
      <c r="D218" t="s">
        <v>15</v>
      </c>
      <c r="E218" t="s">
        <v>217</v>
      </c>
      <c r="F218" t="s">
        <v>218</v>
      </c>
      <c r="G218" s="2" t="s">
        <v>8</v>
      </c>
      <c r="H218" t="s">
        <v>64</v>
      </c>
      <c r="I218" s="34" t="s">
        <v>219</v>
      </c>
      <c r="J218" s="2" t="s">
        <v>220</v>
      </c>
      <c r="K218" t="s">
        <v>221</v>
      </c>
      <c r="L218" t="s">
        <v>218</v>
      </c>
      <c r="M218" s="2" t="s">
        <v>78</v>
      </c>
      <c r="N218" t="s">
        <v>164</v>
      </c>
      <c r="O218" t="s">
        <v>141</v>
      </c>
      <c r="P218" s="2" t="s">
        <v>81</v>
      </c>
      <c r="Q218" t="s">
        <v>64</v>
      </c>
      <c r="R218" t="s">
        <v>64</v>
      </c>
      <c r="S218" s="85" t="s">
        <v>119</v>
      </c>
      <c r="T218" t="s">
        <v>222</v>
      </c>
      <c r="U218" t="s">
        <v>223</v>
      </c>
      <c r="V218" s="2" t="s">
        <v>224</v>
      </c>
      <c r="W218" s="2" t="s">
        <v>65</v>
      </c>
      <c r="Z218" s="2" t="s">
        <v>186</v>
      </c>
      <c r="AA218" s="2" t="s">
        <v>187</v>
      </c>
      <c r="AB218" s="2" t="s">
        <v>66</v>
      </c>
      <c r="AC218" s="2" t="s">
        <v>67</v>
      </c>
    </row>
    <row r="219" spans="1:29" hidden="1" x14ac:dyDescent="0.25">
      <c r="A219" t="s">
        <v>107</v>
      </c>
      <c r="B219" t="s">
        <v>69</v>
      </c>
      <c r="C219" t="s">
        <v>8</v>
      </c>
      <c r="D219" t="s">
        <v>15</v>
      </c>
      <c r="E219" t="s">
        <v>217</v>
      </c>
      <c r="F219" t="s">
        <v>218</v>
      </c>
      <c r="G219" s="2" t="s">
        <v>8</v>
      </c>
      <c r="H219" t="s">
        <v>64</v>
      </c>
      <c r="I219" s="34" t="s">
        <v>219</v>
      </c>
      <c r="J219" s="2" t="s">
        <v>220</v>
      </c>
      <c r="K219" t="s">
        <v>221</v>
      </c>
      <c r="L219" t="s">
        <v>218</v>
      </c>
      <c r="M219" s="2" t="s">
        <v>78</v>
      </c>
      <c r="N219" t="s">
        <v>164</v>
      </c>
      <c r="O219" t="s">
        <v>142</v>
      </c>
      <c r="P219" s="2" t="s">
        <v>81</v>
      </c>
      <c r="Q219" t="s">
        <v>64</v>
      </c>
      <c r="R219" t="s">
        <v>64</v>
      </c>
      <c r="S219" s="85" t="s">
        <v>119</v>
      </c>
      <c r="T219" t="s">
        <v>222</v>
      </c>
      <c r="U219" t="s">
        <v>223</v>
      </c>
      <c r="V219" s="2" t="s">
        <v>224</v>
      </c>
      <c r="W219" s="2" t="s">
        <v>65</v>
      </c>
      <c r="Z219" s="2" t="s">
        <v>186</v>
      </c>
      <c r="AA219" s="2" t="s">
        <v>187</v>
      </c>
      <c r="AB219" s="2" t="s">
        <v>66</v>
      </c>
      <c r="AC219" s="2" t="s">
        <v>67</v>
      </c>
    </row>
    <row r="220" spans="1:29" hidden="1" x14ac:dyDescent="0.25">
      <c r="A220" t="s">
        <v>107</v>
      </c>
      <c r="B220" t="s">
        <v>69</v>
      </c>
      <c r="C220" t="s">
        <v>8</v>
      </c>
      <c r="D220" t="s">
        <v>15</v>
      </c>
      <c r="E220" t="s">
        <v>217</v>
      </c>
      <c r="F220" t="s">
        <v>218</v>
      </c>
      <c r="G220" s="2" t="s">
        <v>8</v>
      </c>
      <c r="H220" t="s">
        <v>64</v>
      </c>
      <c r="I220" s="34" t="s">
        <v>219</v>
      </c>
      <c r="J220" s="2" t="s">
        <v>220</v>
      </c>
      <c r="K220" t="s">
        <v>221</v>
      </c>
      <c r="L220" t="s">
        <v>218</v>
      </c>
      <c r="M220" s="2" t="s">
        <v>78</v>
      </c>
      <c r="N220" t="s">
        <v>164</v>
      </c>
      <c r="O220" t="s">
        <v>143</v>
      </c>
      <c r="P220" s="2" t="s">
        <v>81</v>
      </c>
      <c r="Q220" t="s">
        <v>64</v>
      </c>
      <c r="R220" t="s">
        <v>64</v>
      </c>
      <c r="S220" s="85" t="s">
        <v>119</v>
      </c>
      <c r="T220" t="s">
        <v>222</v>
      </c>
      <c r="U220" t="s">
        <v>223</v>
      </c>
      <c r="V220" s="2" t="s">
        <v>224</v>
      </c>
      <c r="W220" s="2" t="s">
        <v>65</v>
      </c>
      <c r="Z220" s="2" t="s">
        <v>186</v>
      </c>
      <c r="AA220" s="2" t="s">
        <v>187</v>
      </c>
      <c r="AB220" s="2" t="s">
        <v>66</v>
      </c>
      <c r="AC220" s="2" t="s">
        <v>67</v>
      </c>
    </row>
    <row r="221" spans="1:29" hidden="1" x14ac:dyDescent="0.25">
      <c r="A221" t="s">
        <v>107</v>
      </c>
      <c r="B221" t="s">
        <v>69</v>
      </c>
      <c r="C221" t="s">
        <v>8</v>
      </c>
      <c r="D221" t="s">
        <v>15</v>
      </c>
      <c r="E221" t="s">
        <v>217</v>
      </c>
      <c r="F221" t="s">
        <v>218</v>
      </c>
      <c r="G221" s="2" t="s">
        <v>8</v>
      </c>
      <c r="H221" t="s">
        <v>64</v>
      </c>
      <c r="I221" s="34" t="s">
        <v>219</v>
      </c>
      <c r="J221" s="2" t="s">
        <v>220</v>
      </c>
      <c r="K221" t="s">
        <v>221</v>
      </c>
      <c r="L221" t="s">
        <v>218</v>
      </c>
      <c r="M221" s="2" t="s">
        <v>78</v>
      </c>
      <c r="N221" t="s">
        <v>164</v>
      </c>
      <c r="O221" t="s">
        <v>144</v>
      </c>
      <c r="P221" s="2" t="s">
        <v>81</v>
      </c>
      <c r="Q221" t="s">
        <v>64</v>
      </c>
      <c r="R221" t="s">
        <v>64</v>
      </c>
      <c r="S221" s="85" t="s">
        <v>119</v>
      </c>
      <c r="T221" t="s">
        <v>222</v>
      </c>
      <c r="U221" t="s">
        <v>223</v>
      </c>
      <c r="V221" s="2" t="s">
        <v>224</v>
      </c>
      <c r="W221" s="2" t="s">
        <v>65</v>
      </c>
      <c r="Z221" s="2" t="s">
        <v>186</v>
      </c>
      <c r="AA221" s="2" t="s">
        <v>187</v>
      </c>
      <c r="AB221" s="2" t="s">
        <v>66</v>
      </c>
      <c r="AC221" s="2" t="s">
        <v>67</v>
      </c>
    </row>
    <row r="222" spans="1:29" hidden="1" x14ac:dyDescent="0.25">
      <c r="A222" t="s">
        <v>107</v>
      </c>
      <c r="B222" t="s">
        <v>69</v>
      </c>
      <c r="C222" t="s">
        <v>8</v>
      </c>
      <c r="D222" t="s">
        <v>15</v>
      </c>
      <c r="E222" t="s">
        <v>217</v>
      </c>
      <c r="F222" t="s">
        <v>218</v>
      </c>
      <c r="G222" s="2" t="s">
        <v>8</v>
      </c>
      <c r="H222" t="s">
        <v>64</v>
      </c>
      <c r="I222" s="34" t="s">
        <v>219</v>
      </c>
      <c r="J222" s="2" t="s">
        <v>220</v>
      </c>
      <c r="K222" t="s">
        <v>221</v>
      </c>
      <c r="L222" t="s">
        <v>218</v>
      </c>
      <c r="M222" s="2" t="s">
        <v>78</v>
      </c>
      <c r="N222" t="s">
        <v>164</v>
      </c>
      <c r="O222" t="s">
        <v>145</v>
      </c>
      <c r="P222" s="2" t="s">
        <v>81</v>
      </c>
      <c r="Q222" t="s">
        <v>64</v>
      </c>
      <c r="R222" t="s">
        <v>64</v>
      </c>
      <c r="S222" s="85" t="s">
        <v>119</v>
      </c>
      <c r="T222" t="s">
        <v>222</v>
      </c>
      <c r="U222" t="s">
        <v>223</v>
      </c>
      <c r="V222" s="2" t="s">
        <v>224</v>
      </c>
      <c r="W222" s="2" t="s">
        <v>65</v>
      </c>
      <c r="Z222" s="2" t="s">
        <v>186</v>
      </c>
      <c r="AA222" s="2" t="s">
        <v>187</v>
      </c>
      <c r="AB222" s="2" t="s">
        <v>66</v>
      </c>
      <c r="AC222" s="2" t="s">
        <v>67</v>
      </c>
    </row>
    <row r="223" spans="1:29" hidden="1" x14ac:dyDescent="0.25">
      <c r="A223" t="s">
        <v>107</v>
      </c>
      <c r="B223" t="s">
        <v>69</v>
      </c>
      <c r="C223" t="s">
        <v>8</v>
      </c>
      <c r="D223" t="s">
        <v>15</v>
      </c>
      <c r="E223" t="s">
        <v>217</v>
      </c>
      <c r="F223" t="s">
        <v>218</v>
      </c>
      <c r="G223" s="2" t="s">
        <v>8</v>
      </c>
      <c r="H223" t="s">
        <v>64</v>
      </c>
      <c r="I223" s="34" t="s">
        <v>219</v>
      </c>
      <c r="J223" s="2" t="s">
        <v>220</v>
      </c>
      <c r="K223" t="s">
        <v>221</v>
      </c>
      <c r="L223" t="s">
        <v>218</v>
      </c>
      <c r="M223" s="2" t="s">
        <v>78</v>
      </c>
      <c r="N223" t="s">
        <v>164</v>
      </c>
      <c r="O223" t="s">
        <v>146</v>
      </c>
      <c r="P223" s="2" t="s">
        <v>81</v>
      </c>
      <c r="Q223" t="s">
        <v>64</v>
      </c>
      <c r="R223" t="s">
        <v>64</v>
      </c>
      <c r="S223" s="85" t="s">
        <v>119</v>
      </c>
      <c r="T223" t="s">
        <v>222</v>
      </c>
      <c r="U223" t="s">
        <v>223</v>
      </c>
      <c r="V223" s="2" t="s">
        <v>224</v>
      </c>
      <c r="W223" s="2" t="s">
        <v>65</v>
      </c>
      <c r="Z223" s="2" t="s">
        <v>186</v>
      </c>
      <c r="AA223" s="2" t="s">
        <v>187</v>
      </c>
      <c r="AB223" s="2" t="s">
        <v>66</v>
      </c>
      <c r="AC223" s="2" t="s">
        <v>67</v>
      </c>
    </row>
    <row r="224" spans="1:29" hidden="1" x14ac:dyDescent="0.25">
      <c r="A224" t="s">
        <v>107</v>
      </c>
      <c r="B224" t="s">
        <v>69</v>
      </c>
      <c r="C224" t="s">
        <v>8</v>
      </c>
      <c r="D224" t="s">
        <v>15</v>
      </c>
      <c r="E224" t="s">
        <v>217</v>
      </c>
      <c r="F224" t="s">
        <v>218</v>
      </c>
      <c r="G224" s="2" t="s">
        <v>8</v>
      </c>
      <c r="H224" t="s">
        <v>64</v>
      </c>
      <c r="I224" s="34" t="s">
        <v>219</v>
      </c>
      <c r="J224" s="2" t="s">
        <v>220</v>
      </c>
      <c r="K224" t="s">
        <v>221</v>
      </c>
      <c r="L224" t="s">
        <v>218</v>
      </c>
      <c r="M224" s="2" t="s">
        <v>78</v>
      </c>
      <c r="N224" t="s">
        <v>164</v>
      </c>
      <c r="O224" t="s">
        <v>152</v>
      </c>
      <c r="P224" s="2" t="s">
        <v>201</v>
      </c>
      <c r="Q224" t="s">
        <v>64</v>
      </c>
      <c r="R224" t="s">
        <v>64</v>
      </c>
      <c r="S224" s="85" t="s">
        <v>119</v>
      </c>
      <c r="T224" t="s">
        <v>222</v>
      </c>
      <c r="U224" t="s">
        <v>223</v>
      </c>
      <c r="V224" s="2" t="s">
        <v>224</v>
      </c>
      <c r="W224" s="2" t="s">
        <v>65</v>
      </c>
      <c r="Z224" s="2" t="s">
        <v>186</v>
      </c>
      <c r="AA224" s="2" t="s">
        <v>187</v>
      </c>
      <c r="AB224" s="2" t="s">
        <v>66</v>
      </c>
      <c r="AC224" s="2" t="s">
        <v>67</v>
      </c>
    </row>
    <row r="225" spans="1:29" hidden="1" x14ac:dyDescent="0.25">
      <c r="A225" t="s">
        <v>107</v>
      </c>
      <c r="B225" t="s">
        <v>69</v>
      </c>
      <c r="C225" t="s">
        <v>8</v>
      </c>
      <c r="D225" t="s">
        <v>15</v>
      </c>
      <c r="E225" t="s">
        <v>217</v>
      </c>
      <c r="F225" t="s">
        <v>218</v>
      </c>
      <c r="G225" s="2" t="s">
        <v>8</v>
      </c>
      <c r="H225" t="s">
        <v>64</v>
      </c>
      <c r="I225" s="34" t="s">
        <v>219</v>
      </c>
      <c r="J225" s="2" t="s">
        <v>220</v>
      </c>
      <c r="K225" t="s">
        <v>221</v>
      </c>
      <c r="L225" t="s">
        <v>218</v>
      </c>
      <c r="M225" s="2" t="s">
        <v>78</v>
      </c>
      <c r="N225" t="s">
        <v>164</v>
      </c>
      <c r="O225" t="s">
        <v>153</v>
      </c>
      <c r="P225" s="2" t="s">
        <v>81</v>
      </c>
      <c r="Q225" t="s">
        <v>64</v>
      </c>
      <c r="R225" t="s">
        <v>64</v>
      </c>
      <c r="S225" s="85" t="s">
        <v>119</v>
      </c>
      <c r="T225" t="s">
        <v>222</v>
      </c>
      <c r="U225" t="s">
        <v>223</v>
      </c>
      <c r="V225" s="2" t="s">
        <v>224</v>
      </c>
      <c r="W225" s="2" t="s">
        <v>65</v>
      </c>
      <c r="Z225" s="2" t="s">
        <v>186</v>
      </c>
      <c r="AA225" s="2" t="s">
        <v>187</v>
      </c>
      <c r="AB225" s="2" t="s">
        <v>66</v>
      </c>
      <c r="AC225" s="2" t="s">
        <v>67</v>
      </c>
    </row>
    <row r="226" spans="1:29" hidden="1" x14ac:dyDescent="0.25">
      <c r="A226" t="s">
        <v>107</v>
      </c>
      <c r="B226" t="s">
        <v>69</v>
      </c>
      <c r="C226" t="s">
        <v>8</v>
      </c>
      <c r="D226" t="s">
        <v>15</v>
      </c>
      <c r="E226" t="s">
        <v>217</v>
      </c>
      <c r="F226" t="s">
        <v>218</v>
      </c>
      <c r="G226" s="2" t="s">
        <v>8</v>
      </c>
      <c r="H226" t="s">
        <v>64</v>
      </c>
      <c r="I226" s="34" t="s">
        <v>219</v>
      </c>
      <c r="J226" s="2" t="s">
        <v>220</v>
      </c>
      <c r="K226" t="s">
        <v>221</v>
      </c>
      <c r="L226" t="s">
        <v>218</v>
      </c>
      <c r="M226" s="2" t="s">
        <v>78</v>
      </c>
      <c r="N226" t="s">
        <v>164</v>
      </c>
      <c r="O226" t="s">
        <v>154</v>
      </c>
      <c r="P226" s="2" t="s">
        <v>81</v>
      </c>
      <c r="Q226" t="s">
        <v>64</v>
      </c>
      <c r="R226" t="s">
        <v>64</v>
      </c>
      <c r="S226" s="85" t="s">
        <v>119</v>
      </c>
      <c r="T226" t="s">
        <v>222</v>
      </c>
      <c r="U226" t="s">
        <v>223</v>
      </c>
      <c r="V226" s="2" t="s">
        <v>224</v>
      </c>
      <c r="W226" s="2" t="s">
        <v>65</v>
      </c>
      <c r="Z226" s="2" t="s">
        <v>186</v>
      </c>
      <c r="AA226" s="2" t="s">
        <v>187</v>
      </c>
      <c r="AB226" s="2" t="s">
        <v>66</v>
      </c>
      <c r="AC226" s="2" t="s">
        <v>67</v>
      </c>
    </row>
    <row r="227" spans="1:29" hidden="1" x14ac:dyDescent="0.25">
      <c r="A227" t="s">
        <v>107</v>
      </c>
      <c r="B227" t="s">
        <v>69</v>
      </c>
      <c r="C227" t="s">
        <v>8</v>
      </c>
      <c r="D227" t="s">
        <v>15</v>
      </c>
      <c r="E227" t="s">
        <v>217</v>
      </c>
      <c r="F227" t="s">
        <v>218</v>
      </c>
      <c r="G227" s="2" t="s">
        <v>8</v>
      </c>
      <c r="H227" t="s">
        <v>64</v>
      </c>
      <c r="I227" s="34" t="s">
        <v>219</v>
      </c>
      <c r="J227" s="2" t="s">
        <v>220</v>
      </c>
      <c r="K227" t="s">
        <v>221</v>
      </c>
      <c r="L227" t="s">
        <v>218</v>
      </c>
      <c r="M227" s="2" t="s">
        <v>78</v>
      </c>
      <c r="N227" t="s">
        <v>164</v>
      </c>
      <c r="O227" t="s">
        <v>155</v>
      </c>
      <c r="P227" s="2" t="s">
        <v>81</v>
      </c>
      <c r="Q227" t="s">
        <v>64</v>
      </c>
      <c r="R227" t="s">
        <v>64</v>
      </c>
      <c r="S227" s="85" t="s">
        <v>119</v>
      </c>
      <c r="T227" t="s">
        <v>222</v>
      </c>
      <c r="U227" t="s">
        <v>223</v>
      </c>
      <c r="V227" s="2" t="s">
        <v>224</v>
      </c>
      <c r="W227" s="2" t="s">
        <v>65</v>
      </c>
      <c r="Z227" s="2" t="s">
        <v>186</v>
      </c>
      <c r="AA227" s="2" t="s">
        <v>187</v>
      </c>
      <c r="AB227" s="2" t="s">
        <v>66</v>
      </c>
      <c r="AC227" s="2" t="s">
        <v>67</v>
      </c>
    </row>
    <row r="228" spans="1:29" hidden="1" x14ac:dyDescent="0.25">
      <c r="A228" t="s">
        <v>107</v>
      </c>
      <c r="B228" t="s">
        <v>69</v>
      </c>
      <c r="C228" t="s">
        <v>8</v>
      </c>
      <c r="D228" t="s">
        <v>15</v>
      </c>
      <c r="E228" t="s">
        <v>217</v>
      </c>
      <c r="F228" t="s">
        <v>218</v>
      </c>
      <c r="G228" s="2" t="s">
        <v>8</v>
      </c>
      <c r="H228" t="s">
        <v>64</v>
      </c>
      <c r="I228" s="34" t="s">
        <v>219</v>
      </c>
      <c r="J228" s="2" t="s">
        <v>220</v>
      </c>
      <c r="K228" t="s">
        <v>221</v>
      </c>
      <c r="L228" t="s">
        <v>218</v>
      </c>
      <c r="M228" s="2" t="s">
        <v>78</v>
      </c>
      <c r="N228" t="s">
        <v>164</v>
      </c>
      <c r="O228" t="s">
        <v>156</v>
      </c>
      <c r="P228" s="2" t="s">
        <v>81</v>
      </c>
      <c r="Q228" t="s">
        <v>64</v>
      </c>
      <c r="R228" t="s">
        <v>64</v>
      </c>
      <c r="S228" s="85" t="s">
        <v>119</v>
      </c>
      <c r="T228" t="s">
        <v>222</v>
      </c>
      <c r="U228" t="s">
        <v>223</v>
      </c>
      <c r="V228" s="2" t="s">
        <v>224</v>
      </c>
      <c r="W228" s="2" t="s">
        <v>65</v>
      </c>
      <c r="Z228" s="2" t="s">
        <v>186</v>
      </c>
      <c r="AA228" s="2" t="s">
        <v>187</v>
      </c>
      <c r="AB228" s="2" t="s">
        <v>66</v>
      </c>
      <c r="AC228" s="2" t="s">
        <v>67</v>
      </c>
    </row>
    <row r="229" spans="1:29" hidden="1" x14ac:dyDescent="0.25">
      <c r="A229" t="s">
        <v>107</v>
      </c>
      <c r="B229" t="s">
        <v>69</v>
      </c>
      <c r="C229" t="s">
        <v>8</v>
      </c>
      <c r="D229" t="s">
        <v>15</v>
      </c>
      <c r="E229" t="s">
        <v>217</v>
      </c>
      <c r="F229" t="s">
        <v>218</v>
      </c>
      <c r="G229" s="2" t="s">
        <v>8</v>
      </c>
      <c r="H229" t="s">
        <v>64</v>
      </c>
      <c r="I229" s="34" t="s">
        <v>219</v>
      </c>
      <c r="J229" s="2" t="s">
        <v>220</v>
      </c>
      <c r="K229" t="s">
        <v>221</v>
      </c>
      <c r="L229" t="s">
        <v>218</v>
      </c>
      <c r="M229" s="2" t="s">
        <v>78</v>
      </c>
      <c r="N229" t="s">
        <v>164</v>
      </c>
      <c r="O229" t="s">
        <v>157</v>
      </c>
      <c r="P229" s="2" t="s">
        <v>20</v>
      </c>
      <c r="Q229" t="s">
        <v>64</v>
      </c>
      <c r="R229" t="s">
        <v>64</v>
      </c>
      <c r="S229" s="85" t="s">
        <v>119</v>
      </c>
      <c r="T229" t="s">
        <v>222</v>
      </c>
      <c r="U229" t="s">
        <v>223</v>
      </c>
      <c r="V229" s="2" t="s">
        <v>224</v>
      </c>
      <c r="W229" s="2" t="s">
        <v>65</v>
      </c>
      <c r="Z229" s="2" t="s">
        <v>186</v>
      </c>
      <c r="AA229" s="2" t="s">
        <v>187</v>
      </c>
      <c r="AB229" s="2" t="s">
        <v>66</v>
      </c>
      <c r="AC229" s="2" t="s">
        <v>67</v>
      </c>
    </row>
    <row r="230" spans="1:29" hidden="1" x14ac:dyDescent="0.25">
      <c r="A230" t="s">
        <v>107</v>
      </c>
      <c r="B230" t="s">
        <v>69</v>
      </c>
      <c r="C230" t="s">
        <v>8</v>
      </c>
      <c r="D230" t="s">
        <v>15</v>
      </c>
      <c r="E230" t="s">
        <v>217</v>
      </c>
      <c r="F230" t="s">
        <v>218</v>
      </c>
      <c r="G230" s="2" t="s">
        <v>8</v>
      </c>
      <c r="H230" t="s">
        <v>64</v>
      </c>
      <c r="I230" s="34" t="s">
        <v>219</v>
      </c>
      <c r="J230" s="2" t="s">
        <v>220</v>
      </c>
      <c r="K230" t="s">
        <v>221</v>
      </c>
      <c r="L230" t="s">
        <v>218</v>
      </c>
      <c r="M230" s="2" t="s">
        <v>78</v>
      </c>
      <c r="N230" t="s">
        <v>164</v>
      </c>
      <c r="O230" t="s">
        <v>158</v>
      </c>
      <c r="P230" s="2" t="s">
        <v>225</v>
      </c>
      <c r="Q230" t="s">
        <v>64</v>
      </c>
      <c r="R230" t="s">
        <v>64</v>
      </c>
      <c r="S230" s="85" t="s">
        <v>119</v>
      </c>
      <c r="T230" t="s">
        <v>222</v>
      </c>
      <c r="U230" t="s">
        <v>223</v>
      </c>
      <c r="V230" s="2" t="s">
        <v>224</v>
      </c>
      <c r="W230" s="2" t="s">
        <v>65</v>
      </c>
      <c r="Z230" s="2" t="s">
        <v>186</v>
      </c>
      <c r="AA230" s="2" t="s">
        <v>187</v>
      </c>
      <c r="AB230" s="2" t="s">
        <v>66</v>
      </c>
      <c r="AC230" s="2" t="s">
        <v>67</v>
      </c>
    </row>
    <row r="231" spans="1:29" hidden="1" x14ac:dyDescent="0.25">
      <c r="A231" t="s">
        <v>107</v>
      </c>
      <c r="B231" t="s">
        <v>226</v>
      </c>
      <c r="C231" t="s">
        <v>8</v>
      </c>
      <c r="D231" t="s">
        <v>15</v>
      </c>
      <c r="E231" t="s">
        <v>79</v>
      </c>
      <c r="F231" t="s">
        <v>79</v>
      </c>
      <c r="G231" s="2" t="s">
        <v>8</v>
      </c>
      <c r="H231" t="s">
        <v>64</v>
      </c>
      <c r="I231" s="34" t="s">
        <v>227</v>
      </c>
      <c r="J231" s="2" t="s">
        <v>228</v>
      </c>
      <c r="K231" t="s">
        <v>64</v>
      </c>
      <c r="L231" t="s">
        <v>89</v>
      </c>
      <c r="M231" s="2" t="s">
        <v>78</v>
      </c>
      <c r="N231" t="s">
        <v>164</v>
      </c>
      <c r="O231" t="s">
        <v>133</v>
      </c>
      <c r="P231" s="2" t="s">
        <v>20</v>
      </c>
      <c r="Q231" t="s">
        <v>64</v>
      </c>
      <c r="R231" t="s">
        <v>64</v>
      </c>
      <c r="S231" s="85" t="s">
        <v>207</v>
      </c>
      <c r="T231" t="s">
        <v>229</v>
      </c>
      <c r="U231" t="s">
        <v>230</v>
      </c>
      <c r="V231" s="2" t="s">
        <v>231</v>
      </c>
      <c r="W231" s="2" t="s">
        <v>65</v>
      </c>
      <c r="Z231" s="2" t="s">
        <v>186</v>
      </c>
      <c r="AA231" s="2" t="s">
        <v>187</v>
      </c>
      <c r="AB231" s="2" t="s">
        <v>66</v>
      </c>
      <c r="AC231" s="2" t="s">
        <v>67</v>
      </c>
    </row>
    <row r="232" spans="1:29" hidden="1" x14ac:dyDescent="0.25">
      <c r="A232" t="s">
        <v>107</v>
      </c>
      <c r="B232" t="s">
        <v>226</v>
      </c>
      <c r="C232" t="s">
        <v>8</v>
      </c>
      <c r="D232" t="s">
        <v>15</v>
      </c>
      <c r="E232" t="s">
        <v>79</v>
      </c>
      <c r="F232" t="s">
        <v>79</v>
      </c>
      <c r="G232" s="2" t="s">
        <v>8</v>
      </c>
      <c r="H232" t="s">
        <v>64</v>
      </c>
      <c r="I232" s="34" t="s">
        <v>227</v>
      </c>
      <c r="J232" s="2" t="s">
        <v>228</v>
      </c>
      <c r="K232" t="s">
        <v>64</v>
      </c>
      <c r="L232" t="s">
        <v>89</v>
      </c>
      <c r="M232" s="2" t="s">
        <v>78</v>
      </c>
      <c r="N232" t="s">
        <v>164</v>
      </c>
      <c r="O232" t="s">
        <v>97</v>
      </c>
      <c r="P232" s="2" t="s">
        <v>20</v>
      </c>
      <c r="Q232" t="s">
        <v>64</v>
      </c>
      <c r="R232" t="s">
        <v>64</v>
      </c>
      <c r="S232" s="85" t="s">
        <v>207</v>
      </c>
      <c r="T232" t="s">
        <v>229</v>
      </c>
      <c r="U232" t="s">
        <v>230</v>
      </c>
      <c r="V232" s="2" t="s">
        <v>231</v>
      </c>
      <c r="W232" s="2" t="s">
        <v>65</v>
      </c>
      <c r="Z232" s="2" t="s">
        <v>186</v>
      </c>
      <c r="AA232" s="2" t="s">
        <v>187</v>
      </c>
      <c r="AB232" s="2" t="s">
        <v>66</v>
      </c>
      <c r="AC232" s="2" t="s">
        <v>67</v>
      </c>
    </row>
    <row r="233" spans="1:29" hidden="1" x14ac:dyDescent="0.25">
      <c r="A233" t="s">
        <v>107</v>
      </c>
      <c r="B233" t="s">
        <v>226</v>
      </c>
      <c r="C233" t="s">
        <v>8</v>
      </c>
      <c r="D233" t="s">
        <v>15</v>
      </c>
      <c r="E233" t="s">
        <v>79</v>
      </c>
      <c r="F233" t="s">
        <v>79</v>
      </c>
      <c r="G233" s="2" t="s">
        <v>8</v>
      </c>
      <c r="H233" t="s">
        <v>64</v>
      </c>
      <c r="I233" s="34" t="s">
        <v>227</v>
      </c>
      <c r="J233" s="2" t="s">
        <v>228</v>
      </c>
      <c r="K233" t="s">
        <v>64</v>
      </c>
      <c r="L233" t="s">
        <v>89</v>
      </c>
      <c r="M233" s="2" t="s">
        <v>78</v>
      </c>
      <c r="N233" t="s">
        <v>164</v>
      </c>
      <c r="O233" t="s">
        <v>98</v>
      </c>
      <c r="P233" s="2" t="s">
        <v>20</v>
      </c>
      <c r="Q233" t="s">
        <v>64</v>
      </c>
      <c r="R233" t="s">
        <v>64</v>
      </c>
      <c r="S233" s="85" t="s">
        <v>207</v>
      </c>
      <c r="T233" t="s">
        <v>229</v>
      </c>
      <c r="U233" t="s">
        <v>230</v>
      </c>
      <c r="V233" s="2" t="s">
        <v>231</v>
      </c>
      <c r="W233" s="2" t="s">
        <v>65</v>
      </c>
      <c r="Z233" s="2" t="s">
        <v>186</v>
      </c>
      <c r="AA233" s="2" t="s">
        <v>187</v>
      </c>
      <c r="AB233" s="2" t="s">
        <v>66</v>
      </c>
      <c r="AC233" s="2" t="s">
        <v>67</v>
      </c>
    </row>
    <row r="234" spans="1:29" hidden="1" x14ac:dyDescent="0.25">
      <c r="A234" t="s">
        <v>107</v>
      </c>
      <c r="B234" t="s">
        <v>226</v>
      </c>
      <c r="C234" t="s">
        <v>8</v>
      </c>
      <c r="D234" t="s">
        <v>15</v>
      </c>
      <c r="E234" t="s">
        <v>79</v>
      </c>
      <c r="F234" t="s">
        <v>79</v>
      </c>
      <c r="G234" s="2" t="s">
        <v>8</v>
      </c>
      <c r="H234" t="s">
        <v>64</v>
      </c>
      <c r="I234" s="34" t="s">
        <v>227</v>
      </c>
      <c r="J234" s="2" t="s">
        <v>228</v>
      </c>
      <c r="K234" t="s">
        <v>64</v>
      </c>
      <c r="L234" t="s">
        <v>89</v>
      </c>
      <c r="M234" s="2" t="s">
        <v>78</v>
      </c>
      <c r="N234" t="s">
        <v>164</v>
      </c>
      <c r="O234" t="s">
        <v>134</v>
      </c>
      <c r="P234" s="2" t="s">
        <v>20</v>
      </c>
      <c r="Q234" t="s">
        <v>64</v>
      </c>
      <c r="R234" t="s">
        <v>64</v>
      </c>
      <c r="S234" s="85" t="s">
        <v>207</v>
      </c>
      <c r="T234" t="s">
        <v>229</v>
      </c>
      <c r="U234" t="s">
        <v>230</v>
      </c>
      <c r="V234" s="2" t="s">
        <v>231</v>
      </c>
      <c r="W234" s="2" t="s">
        <v>65</v>
      </c>
      <c r="Z234" s="2" t="s">
        <v>186</v>
      </c>
      <c r="AA234" s="2" t="s">
        <v>187</v>
      </c>
      <c r="AB234" s="2" t="s">
        <v>66</v>
      </c>
      <c r="AC234" s="2" t="s">
        <v>67</v>
      </c>
    </row>
    <row r="235" spans="1:29" hidden="1" x14ac:dyDescent="0.25">
      <c r="A235" t="s">
        <v>107</v>
      </c>
      <c r="B235" t="s">
        <v>226</v>
      </c>
      <c r="C235" t="s">
        <v>8</v>
      </c>
      <c r="D235" t="s">
        <v>15</v>
      </c>
      <c r="E235" t="s">
        <v>79</v>
      </c>
      <c r="F235" t="s">
        <v>79</v>
      </c>
      <c r="G235" s="2" t="s">
        <v>8</v>
      </c>
      <c r="H235" t="s">
        <v>64</v>
      </c>
      <c r="I235" s="34" t="s">
        <v>227</v>
      </c>
      <c r="J235" s="2" t="s">
        <v>228</v>
      </c>
      <c r="K235" t="s">
        <v>64</v>
      </c>
      <c r="L235" t="s">
        <v>89</v>
      </c>
      <c r="M235" s="2" t="s">
        <v>78</v>
      </c>
      <c r="N235" t="s">
        <v>164</v>
      </c>
      <c r="O235" t="s">
        <v>35</v>
      </c>
      <c r="P235" s="2" t="s">
        <v>20</v>
      </c>
      <c r="Q235" t="s">
        <v>64</v>
      </c>
      <c r="R235" t="s">
        <v>64</v>
      </c>
      <c r="S235" s="85" t="s">
        <v>207</v>
      </c>
      <c r="T235" t="s">
        <v>229</v>
      </c>
      <c r="U235" t="s">
        <v>230</v>
      </c>
      <c r="V235" s="2" t="s">
        <v>231</v>
      </c>
      <c r="W235" s="2" t="s">
        <v>65</v>
      </c>
      <c r="Z235" s="2" t="s">
        <v>186</v>
      </c>
      <c r="AA235" s="2" t="s">
        <v>187</v>
      </c>
      <c r="AB235" s="2" t="s">
        <v>66</v>
      </c>
      <c r="AC235" s="2" t="s">
        <v>67</v>
      </c>
    </row>
    <row r="236" spans="1:29" hidden="1" x14ac:dyDescent="0.25">
      <c r="A236" t="s">
        <v>107</v>
      </c>
      <c r="B236" t="s">
        <v>226</v>
      </c>
      <c r="C236" t="s">
        <v>8</v>
      </c>
      <c r="D236" t="s">
        <v>15</v>
      </c>
      <c r="E236" t="s">
        <v>79</v>
      </c>
      <c r="F236" t="s">
        <v>79</v>
      </c>
      <c r="G236" s="2" t="s">
        <v>8</v>
      </c>
      <c r="H236" t="s">
        <v>64</v>
      </c>
      <c r="I236" s="34" t="s">
        <v>227</v>
      </c>
      <c r="J236" s="2" t="s">
        <v>228</v>
      </c>
      <c r="K236" t="s">
        <v>64</v>
      </c>
      <c r="L236" t="s">
        <v>89</v>
      </c>
      <c r="M236" s="2" t="s">
        <v>78</v>
      </c>
      <c r="N236" t="s">
        <v>164</v>
      </c>
      <c r="O236" t="s">
        <v>135</v>
      </c>
      <c r="P236" s="2" t="s">
        <v>81</v>
      </c>
      <c r="Q236" t="s">
        <v>64</v>
      </c>
      <c r="R236" t="s">
        <v>64</v>
      </c>
      <c r="S236" s="85" t="s">
        <v>207</v>
      </c>
      <c r="T236" t="s">
        <v>229</v>
      </c>
      <c r="U236" t="s">
        <v>230</v>
      </c>
      <c r="V236" s="2" t="s">
        <v>231</v>
      </c>
      <c r="W236" s="2" t="s">
        <v>65</v>
      </c>
      <c r="Z236" s="2" t="s">
        <v>186</v>
      </c>
      <c r="AA236" s="2" t="s">
        <v>187</v>
      </c>
      <c r="AB236" s="2" t="s">
        <v>66</v>
      </c>
      <c r="AC236" s="2" t="s">
        <v>67</v>
      </c>
    </row>
    <row r="237" spans="1:29" hidden="1" x14ac:dyDescent="0.25">
      <c r="A237" t="s">
        <v>107</v>
      </c>
      <c r="B237" t="s">
        <v>226</v>
      </c>
      <c r="C237" t="s">
        <v>8</v>
      </c>
      <c r="D237" t="s">
        <v>15</v>
      </c>
      <c r="E237" t="s">
        <v>79</v>
      </c>
      <c r="F237" t="s">
        <v>79</v>
      </c>
      <c r="G237" s="2" t="s">
        <v>8</v>
      </c>
      <c r="H237" t="s">
        <v>64</v>
      </c>
      <c r="I237" s="34" t="s">
        <v>227</v>
      </c>
      <c r="J237" s="2" t="s">
        <v>228</v>
      </c>
      <c r="K237" t="s">
        <v>64</v>
      </c>
      <c r="L237" t="s">
        <v>89</v>
      </c>
      <c r="M237" s="2" t="s">
        <v>78</v>
      </c>
      <c r="N237" t="s">
        <v>164</v>
      </c>
      <c r="O237" t="s">
        <v>99</v>
      </c>
      <c r="P237" s="2" t="s">
        <v>20</v>
      </c>
      <c r="Q237" t="s">
        <v>64</v>
      </c>
      <c r="R237" t="s">
        <v>64</v>
      </c>
      <c r="S237" s="85" t="s">
        <v>207</v>
      </c>
      <c r="T237" t="s">
        <v>229</v>
      </c>
      <c r="U237" t="s">
        <v>230</v>
      </c>
      <c r="V237" s="2" t="s">
        <v>231</v>
      </c>
      <c r="W237" s="2" t="s">
        <v>65</v>
      </c>
      <c r="Z237" s="2" t="s">
        <v>186</v>
      </c>
      <c r="AA237" s="2" t="s">
        <v>187</v>
      </c>
      <c r="AB237" s="2" t="s">
        <v>66</v>
      </c>
      <c r="AC237" s="2" t="s">
        <v>67</v>
      </c>
    </row>
    <row r="238" spans="1:29" hidden="1" x14ac:dyDescent="0.25">
      <c r="A238" t="s">
        <v>107</v>
      </c>
      <c r="B238" t="s">
        <v>226</v>
      </c>
      <c r="C238" t="s">
        <v>8</v>
      </c>
      <c r="D238" t="s">
        <v>15</v>
      </c>
      <c r="E238" t="s">
        <v>79</v>
      </c>
      <c r="F238" t="s">
        <v>79</v>
      </c>
      <c r="G238" s="2" t="s">
        <v>8</v>
      </c>
      <c r="H238" t="s">
        <v>64</v>
      </c>
      <c r="I238" s="34" t="s">
        <v>227</v>
      </c>
      <c r="J238" s="2" t="s">
        <v>228</v>
      </c>
      <c r="K238" t="s">
        <v>64</v>
      </c>
      <c r="L238" t="s">
        <v>89</v>
      </c>
      <c r="M238" s="2" t="s">
        <v>78</v>
      </c>
      <c r="N238" t="s">
        <v>164</v>
      </c>
      <c r="O238" t="s">
        <v>100</v>
      </c>
      <c r="P238" s="2" t="s">
        <v>20</v>
      </c>
      <c r="Q238" t="s">
        <v>64</v>
      </c>
      <c r="R238" t="s">
        <v>64</v>
      </c>
      <c r="S238" s="85" t="s">
        <v>207</v>
      </c>
      <c r="T238" t="s">
        <v>229</v>
      </c>
      <c r="U238" t="s">
        <v>230</v>
      </c>
      <c r="V238" s="2" t="s">
        <v>231</v>
      </c>
      <c r="W238" s="2" t="s">
        <v>65</v>
      </c>
      <c r="Z238" s="2" t="s">
        <v>186</v>
      </c>
      <c r="AA238" s="2" t="s">
        <v>187</v>
      </c>
      <c r="AB238" s="2" t="s">
        <v>66</v>
      </c>
      <c r="AC238" s="2" t="s">
        <v>67</v>
      </c>
    </row>
    <row r="239" spans="1:29" hidden="1" x14ac:dyDescent="0.25">
      <c r="A239" t="s">
        <v>107</v>
      </c>
      <c r="B239" t="s">
        <v>226</v>
      </c>
      <c r="C239" t="s">
        <v>8</v>
      </c>
      <c r="D239" t="s">
        <v>15</v>
      </c>
      <c r="E239" t="s">
        <v>79</v>
      </c>
      <c r="F239" t="s">
        <v>79</v>
      </c>
      <c r="G239" s="2" t="s">
        <v>8</v>
      </c>
      <c r="H239" t="s">
        <v>64</v>
      </c>
      <c r="I239" s="34" t="s">
        <v>227</v>
      </c>
      <c r="J239" s="2" t="s">
        <v>228</v>
      </c>
      <c r="K239" t="s">
        <v>64</v>
      </c>
      <c r="L239" t="s">
        <v>89</v>
      </c>
      <c r="M239" s="2" t="s">
        <v>78</v>
      </c>
      <c r="N239" t="s">
        <v>164</v>
      </c>
      <c r="O239" t="s">
        <v>101</v>
      </c>
      <c r="P239" s="2" t="s">
        <v>81</v>
      </c>
      <c r="Q239" t="s">
        <v>64</v>
      </c>
      <c r="R239" t="s">
        <v>64</v>
      </c>
      <c r="S239" s="85" t="s">
        <v>207</v>
      </c>
      <c r="T239" t="s">
        <v>229</v>
      </c>
      <c r="U239" t="s">
        <v>230</v>
      </c>
      <c r="V239" s="2" t="s">
        <v>231</v>
      </c>
      <c r="W239" s="2" t="s">
        <v>65</v>
      </c>
      <c r="Z239" s="2" t="s">
        <v>186</v>
      </c>
      <c r="AA239" s="2" t="s">
        <v>187</v>
      </c>
      <c r="AB239" s="2" t="s">
        <v>66</v>
      </c>
      <c r="AC239" s="2" t="s">
        <v>67</v>
      </c>
    </row>
    <row r="240" spans="1:29" hidden="1" x14ac:dyDescent="0.25">
      <c r="A240" t="s">
        <v>107</v>
      </c>
      <c r="B240" t="s">
        <v>226</v>
      </c>
      <c r="C240" t="s">
        <v>8</v>
      </c>
      <c r="D240" t="s">
        <v>15</v>
      </c>
      <c r="E240" t="s">
        <v>79</v>
      </c>
      <c r="F240" t="s">
        <v>79</v>
      </c>
      <c r="G240" s="2" t="s">
        <v>8</v>
      </c>
      <c r="H240" t="s">
        <v>64</v>
      </c>
      <c r="I240" s="34" t="s">
        <v>227</v>
      </c>
      <c r="J240" s="2" t="s">
        <v>228</v>
      </c>
      <c r="K240" t="s">
        <v>64</v>
      </c>
      <c r="L240" t="s">
        <v>89</v>
      </c>
      <c r="M240" s="2" t="s">
        <v>78</v>
      </c>
      <c r="N240" t="s">
        <v>164</v>
      </c>
      <c r="O240" t="s">
        <v>102</v>
      </c>
      <c r="P240" s="2" t="s">
        <v>81</v>
      </c>
      <c r="Q240" t="s">
        <v>64</v>
      </c>
      <c r="R240" t="s">
        <v>64</v>
      </c>
      <c r="S240" s="85" t="s">
        <v>207</v>
      </c>
      <c r="T240" t="s">
        <v>229</v>
      </c>
      <c r="U240" t="s">
        <v>230</v>
      </c>
      <c r="V240" s="2" t="s">
        <v>231</v>
      </c>
      <c r="W240" s="2" t="s">
        <v>65</v>
      </c>
      <c r="Z240" s="2" t="s">
        <v>186</v>
      </c>
      <c r="AA240" s="2" t="s">
        <v>187</v>
      </c>
      <c r="AB240" s="2" t="s">
        <v>66</v>
      </c>
      <c r="AC240" s="2" t="s">
        <v>67</v>
      </c>
    </row>
    <row r="241" spans="1:29" hidden="1" x14ac:dyDescent="0.25">
      <c r="A241" t="s">
        <v>107</v>
      </c>
      <c r="B241" t="s">
        <v>226</v>
      </c>
      <c r="C241" t="s">
        <v>8</v>
      </c>
      <c r="D241" t="s">
        <v>15</v>
      </c>
      <c r="E241" t="s">
        <v>79</v>
      </c>
      <c r="F241" t="s">
        <v>79</v>
      </c>
      <c r="G241" s="2" t="s">
        <v>8</v>
      </c>
      <c r="H241" t="s">
        <v>64</v>
      </c>
      <c r="I241" s="34" t="s">
        <v>227</v>
      </c>
      <c r="J241" s="2" t="s">
        <v>228</v>
      </c>
      <c r="K241" t="s">
        <v>64</v>
      </c>
      <c r="L241" t="s">
        <v>89</v>
      </c>
      <c r="M241" s="2" t="s">
        <v>78</v>
      </c>
      <c r="N241" t="s">
        <v>164</v>
      </c>
      <c r="O241" t="s">
        <v>103</v>
      </c>
      <c r="P241" s="2" t="s">
        <v>81</v>
      </c>
      <c r="Q241" t="s">
        <v>64</v>
      </c>
      <c r="R241" t="s">
        <v>64</v>
      </c>
      <c r="S241" s="85" t="s">
        <v>207</v>
      </c>
      <c r="T241" t="s">
        <v>229</v>
      </c>
      <c r="U241" t="s">
        <v>230</v>
      </c>
      <c r="V241" s="2" t="s">
        <v>231</v>
      </c>
      <c r="W241" s="2" t="s">
        <v>65</v>
      </c>
      <c r="Z241" s="2" t="s">
        <v>186</v>
      </c>
      <c r="AA241" s="2" t="s">
        <v>187</v>
      </c>
      <c r="AB241" s="2" t="s">
        <v>66</v>
      </c>
      <c r="AC241" s="2" t="s">
        <v>67</v>
      </c>
    </row>
    <row r="242" spans="1:29" hidden="1" x14ac:dyDescent="0.25">
      <c r="A242" t="s">
        <v>107</v>
      </c>
      <c r="B242" t="s">
        <v>226</v>
      </c>
      <c r="C242" t="s">
        <v>8</v>
      </c>
      <c r="D242" t="s">
        <v>15</v>
      </c>
      <c r="E242" t="s">
        <v>79</v>
      </c>
      <c r="F242" t="s">
        <v>79</v>
      </c>
      <c r="G242" s="2" t="s">
        <v>8</v>
      </c>
      <c r="H242" t="s">
        <v>64</v>
      </c>
      <c r="I242" s="34" t="s">
        <v>227</v>
      </c>
      <c r="J242" s="2" t="s">
        <v>228</v>
      </c>
      <c r="K242" t="s">
        <v>64</v>
      </c>
      <c r="L242" t="s">
        <v>89</v>
      </c>
      <c r="M242" s="2" t="s">
        <v>78</v>
      </c>
      <c r="N242" t="s">
        <v>164</v>
      </c>
      <c r="O242" t="s">
        <v>104</v>
      </c>
      <c r="P242" s="2" t="s">
        <v>81</v>
      </c>
      <c r="Q242" t="s">
        <v>64</v>
      </c>
      <c r="R242" t="s">
        <v>64</v>
      </c>
      <c r="S242" s="85" t="s">
        <v>207</v>
      </c>
      <c r="T242" t="s">
        <v>229</v>
      </c>
      <c r="U242" t="s">
        <v>230</v>
      </c>
      <c r="V242" s="2" t="s">
        <v>231</v>
      </c>
      <c r="W242" s="2" t="s">
        <v>65</v>
      </c>
      <c r="Z242" s="2" t="s">
        <v>186</v>
      </c>
      <c r="AA242" s="2" t="s">
        <v>187</v>
      </c>
      <c r="AB242" s="2" t="s">
        <v>66</v>
      </c>
      <c r="AC242" s="2" t="s">
        <v>67</v>
      </c>
    </row>
    <row r="243" spans="1:29" hidden="1" x14ac:dyDescent="0.25">
      <c r="A243" t="s">
        <v>107</v>
      </c>
      <c r="B243" t="s">
        <v>226</v>
      </c>
      <c r="C243" t="s">
        <v>8</v>
      </c>
      <c r="D243" t="s">
        <v>15</v>
      </c>
      <c r="E243" t="s">
        <v>79</v>
      </c>
      <c r="F243" t="s">
        <v>79</v>
      </c>
      <c r="G243" s="2" t="s">
        <v>8</v>
      </c>
      <c r="H243" t="s">
        <v>64</v>
      </c>
      <c r="I243" s="34" t="s">
        <v>227</v>
      </c>
      <c r="J243" s="2" t="s">
        <v>228</v>
      </c>
      <c r="K243" t="s">
        <v>64</v>
      </c>
      <c r="L243" t="s">
        <v>89</v>
      </c>
      <c r="M243" s="2" t="s">
        <v>78</v>
      </c>
      <c r="N243" t="s">
        <v>164</v>
      </c>
      <c r="O243" t="s">
        <v>136</v>
      </c>
      <c r="P243" s="2" t="s">
        <v>20</v>
      </c>
      <c r="Q243" t="s">
        <v>64</v>
      </c>
      <c r="R243" t="s">
        <v>64</v>
      </c>
      <c r="S243" s="85" t="s">
        <v>207</v>
      </c>
      <c r="T243" t="s">
        <v>229</v>
      </c>
      <c r="U243" t="s">
        <v>230</v>
      </c>
      <c r="V243" s="2" t="s">
        <v>231</v>
      </c>
      <c r="W243" s="2" t="s">
        <v>65</v>
      </c>
      <c r="Z243" s="2" t="s">
        <v>186</v>
      </c>
      <c r="AA243" s="2" t="s">
        <v>187</v>
      </c>
      <c r="AB243" s="2" t="s">
        <v>66</v>
      </c>
      <c r="AC243" s="2" t="s">
        <v>67</v>
      </c>
    </row>
    <row r="244" spans="1:29" hidden="1" x14ac:dyDescent="0.25">
      <c r="A244" t="s">
        <v>107</v>
      </c>
      <c r="B244" t="s">
        <v>226</v>
      </c>
      <c r="C244" t="s">
        <v>8</v>
      </c>
      <c r="D244" t="s">
        <v>15</v>
      </c>
      <c r="E244" t="s">
        <v>79</v>
      </c>
      <c r="F244" t="s">
        <v>79</v>
      </c>
      <c r="G244" s="2" t="s">
        <v>8</v>
      </c>
      <c r="H244" t="s">
        <v>64</v>
      </c>
      <c r="I244" s="34" t="s">
        <v>227</v>
      </c>
      <c r="J244" s="2" t="s">
        <v>228</v>
      </c>
      <c r="K244" t="s">
        <v>64</v>
      </c>
      <c r="L244" t="s">
        <v>89</v>
      </c>
      <c r="M244" s="2" t="s">
        <v>78</v>
      </c>
      <c r="N244" t="s">
        <v>164</v>
      </c>
      <c r="O244" t="s">
        <v>137</v>
      </c>
      <c r="P244" s="2" t="s">
        <v>20</v>
      </c>
      <c r="Q244" t="s">
        <v>64</v>
      </c>
      <c r="R244" t="s">
        <v>64</v>
      </c>
      <c r="S244" s="85" t="s">
        <v>207</v>
      </c>
      <c r="T244" t="s">
        <v>229</v>
      </c>
      <c r="U244" t="s">
        <v>230</v>
      </c>
      <c r="V244" s="2" t="s">
        <v>231</v>
      </c>
      <c r="W244" s="2" t="s">
        <v>65</v>
      </c>
      <c r="Z244" s="2" t="s">
        <v>186</v>
      </c>
      <c r="AA244" s="2" t="s">
        <v>187</v>
      </c>
      <c r="AB244" s="2" t="s">
        <v>66</v>
      </c>
      <c r="AC244" s="2" t="s">
        <v>67</v>
      </c>
    </row>
    <row r="245" spans="1:29" hidden="1" x14ac:dyDescent="0.25">
      <c r="A245" t="s">
        <v>107</v>
      </c>
      <c r="B245" t="s">
        <v>226</v>
      </c>
      <c r="C245" t="s">
        <v>8</v>
      </c>
      <c r="D245" t="s">
        <v>15</v>
      </c>
      <c r="E245" t="s">
        <v>79</v>
      </c>
      <c r="F245" t="s">
        <v>79</v>
      </c>
      <c r="G245" s="2" t="s">
        <v>8</v>
      </c>
      <c r="H245" t="s">
        <v>64</v>
      </c>
      <c r="I245" s="34" t="s">
        <v>227</v>
      </c>
      <c r="J245" s="2" t="s">
        <v>228</v>
      </c>
      <c r="K245" t="s">
        <v>64</v>
      </c>
      <c r="L245" t="s">
        <v>89</v>
      </c>
      <c r="M245" s="2" t="s">
        <v>78</v>
      </c>
      <c r="N245" t="s">
        <v>164</v>
      </c>
      <c r="O245" t="s">
        <v>138</v>
      </c>
      <c r="P245" s="2" t="s">
        <v>20</v>
      </c>
      <c r="Q245" t="s">
        <v>64</v>
      </c>
      <c r="R245" t="s">
        <v>64</v>
      </c>
      <c r="S245" s="85" t="s">
        <v>207</v>
      </c>
      <c r="T245" t="s">
        <v>229</v>
      </c>
      <c r="U245" t="s">
        <v>230</v>
      </c>
      <c r="V245" s="2" t="s">
        <v>231</v>
      </c>
      <c r="W245" s="2" t="s">
        <v>65</v>
      </c>
      <c r="Z245" s="2" t="s">
        <v>186</v>
      </c>
      <c r="AA245" s="2" t="s">
        <v>187</v>
      </c>
      <c r="AB245" s="2" t="s">
        <v>66</v>
      </c>
      <c r="AC245" s="2" t="s">
        <v>67</v>
      </c>
    </row>
    <row r="246" spans="1:29" hidden="1" x14ac:dyDescent="0.25">
      <c r="A246" t="s">
        <v>107</v>
      </c>
      <c r="B246" t="s">
        <v>226</v>
      </c>
      <c r="C246" t="s">
        <v>8</v>
      </c>
      <c r="D246" t="s">
        <v>15</v>
      </c>
      <c r="E246" t="s">
        <v>79</v>
      </c>
      <c r="F246" t="s">
        <v>79</v>
      </c>
      <c r="G246" s="2" t="s">
        <v>8</v>
      </c>
      <c r="H246" t="s">
        <v>64</v>
      </c>
      <c r="I246" s="34" t="s">
        <v>227</v>
      </c>
      <c r="J246" s="2" t="s">
        <v>228</v>
      </c>
      <c r="K246" t="s">
        <v>64</v>
      </c>
      <c r="L246" t="s">
        <v>89</v>
      </c>
      <c r="M246" s="2" t="s">
        <v>78</v>
      </c>
      <c r="N246" t="s">
        <v>164</v>
      </c>
      <c r="O246" t="s">
        <v>139</v>
      </c>
      <c r="P246" s="2" t="s">
        <v>15</v>
      </c>
      <c r="Q246" t="s">
        <v>64</v>
      </c>
      <c r="R246" t="s">
        <v>64</v>
      </c>
      <c r="S246" s="85" t="s">
        <v>207</v>
      </c>
      <c r="T246" t="s">
        <v>229</v>
      </c>
      <c r="U246" t="s">
        <v>230</v>
      </c>
      <c r="V246" s="2" t="s">
        <v>231</v>
      </c>
      <c r="W246" s="2" t="s">
        <v>65</v>
      </c>
      <c r="Z246" s="2" t="s">
        <v>186</v>
      </c>
      <c r="AA246" s="2" t="s">
        <v>187</v>
      </c>
      <c r="AB246" s="2" t="s">
        <v>66</v>
      </c>
      <c r="AC246" s="2" t="s">
        <v>67</v>
      </c>
    </row>
    <row r="247" spans="1:29" hidden="1" x14ac:dyDescent="0.25">
      <c r="A247" t="s">
        <v>107</v>
      </c>
      <c r="B247" t="s">
        <v>226</v>
      </c>
      <c r="C247" t="s">
        <v>8</v>
      </c>
      <c r="D247" t="s">
        <v>15</v>
      </c>
      <c r="E247" t="s">
        <v>79</v>
      </c>
      <c r="F247" t="s">
        <v>79</v>
      </c>
      <c r="G247" s="2" t="s">
        <v>8</v>
      </c>
      <c r="H247" t="s">
        <v>64</v>
      </c>
      <c r="I247" s="34" t="s">
        <v>227</v>
      </c>
      <c r="J247" s="2" t="s">
        <v>228</v>
      </c>
      <c r="K247" t="s">
        <v>64</v>
      </c>
      <c r="L247" t="s">
        <v>89</v>
      </c>
      <c r="M247" s="2" t="s">
        <v>78</v>
      </c>
      <c r="N247" t="s">
        <v>164</v>
      </c>
      <c r="O247" t="s">
        <v>140</v>
      </c>
      <c r="P247" s="2" t="s">
        <v>20</v>
      </c>
      <c r="Q247" t="s">
        <v>64</v>
      </c>
      <c r="R247" t="s">
        <v>64</v>
      </c>
      <c r="S247" s="85" t="s">
        <v>207</v>
      </c>
      <c r="T247" t="s">
        <v>229</v>
      </c>
      <c r="U247" t="s">
        <v>230</v>
      </c>
      <c r="V247" s="2" t="s">
        <v>231</v>
      </c>
      <c r="W247" s="2" t="s">
        <v>65</v>
      </c>
      <c r="Z247" s="2" t="s">
        <v>186</v>
      </c>
      <c r="AA247" s="2" t="s">
        <v>187</v>
      </c>
      <c r="AB247" s="2" t="s">
        <v>66</v>
      </c>
      <c r="AC247" s="2" t="s">
        <v>67</v>
      </c>
    </row>
    <row r="248" spans="1:29" hidden="1" x14ac:dyDescent="0.25">
      <c r="A248" t="s">
        <v>107</v>
      </c>
      <c r="B248" t="s">
        <v>226</v>
      </c>
      <c r="C248" t="s">
        <v>8</v>
      </c>
      <c r="D248" t="s">
        <v>15</v>
      </c>
      <c r="E248" t="s">
        <v>79</v>
      </c>
      <c r="F248" t="s">
        <v>79</v>
      </c>
      <c r="G248" s="2" t="s">
        <v>8</v>
      </c>
      <c r="H248" t="s">
        <v>64</v>
      </c>
      <c r="I248" s="34" t="s">
        <v>227</v>
      </c>
      <c r="J248" s="2" t="s">
        <v>228</v>
      </c>
      <c r="K248" t="s">
        <v>64</v>
      </c>
      <c r="L248" t="s">
        <v>89</v>
      </c>
      <c r="M248" s="2" t="s">
        <v>78</v>
      </c>
      <c r="N248" t="s">
        <v>164</v>
      </c>
      <c r="O248" t="s">
        <v>141</v>
      </c>
      <c r="P248" s="2" t="s">
        <v>20</v>
      </c>
      <c r="Q248" t="s">
        <v>64</v>
      </c>
      <c r="R248" t="s">
        <v>64</v>
      </c>
      <c r="S248" s="85" t="s">
        <v>207</v>
      </c>
      <c r="T248" t="s">
        <v>229</v>
      </c>
      <c r="U248" t="s">
        <v>230</v>
      </c>
      <c r="V248" s="2" t="s">
        <v>231</v>
      </c>
      <c r="W248" s="2" t="s">
        <v>65</v>
      </c>
      <c r="Z248" s="2" t="s">
        <v>186</v>
      </c>
      <c r="AA248" s="2" t="s">
        <v>187</v>
      </c>
      <c r="AB248" s="2" t="s">
        <v>66</v>
      </c>
      <c r="AC248" s="2" t="s">
        <v>67</v>
      </c>
    </row>
    <row r="249" spans="1:29" hidden="1" x14ac:dyDescent="0.25">
      <c r="A249" t="s">
        <v>107</v>
      </c>
      <c r="B249" t="s">
        <v>226</v>
      </c>
      <c r="C249" t="s">
        <v>8</v>
      </c>
      <c r="D249" t="s">
        <v>15</v>
      </c>
      <c r="E249" t="s">
        <v>79</v>
      </c>
      <c r="F249" t="s">
        <v>79</v>
      </c>
      <c r="G249" s="2" t="s">
        <v>8</v>
      </c>
      <c r="H249" t="s">
        <v>64</v>
      </c>
      <c r="I249" s="34" t="s">
        <v>227</v>
      </c>
      <c r="J249" s="2" t="s">
        <v>228</v>
      </c>
      <c r="K249" t="s">
        <v>64</v>
      </c>
      <c r="L249" t="s">
        <v>89</v>
      </c>
      <c r="M249" s="2" t="s">
        <v>78</v>
      </c>
      <c r="N249" t="s">
        <v>164</v>
      </c>
      <c r="O249" t="s">
        <v>142</v>
      </c>
      <c r="P249" s="2" t="s">
        <v>20</v>
      </c>
      <c r="Q249" t="s">
        <v>64</v>
      </c>
      <c r="R249" t="s">
        <v>64</v>
      </c>
      <c r="S249" s="85" t="s">
        <v>207</v>
      </c>
      <c r="T249" t="s">
        <v>229</v>
      </c>
      <c r="U249" t="s">
        <v>230</v>
      </c>
      <c r="V249" s="2" t="s">
        <v>231</v>
      </c>
      <c r="W249" s="2" t="s">
        <v>65</v>
      </c>
      <c r="Z249" s="2" t="s">
        <v>186</v>
      </c>
      <c r="AA249" s="2" t="s">
        <v>187</v>
      </c>
      <c r="AB249" s="2" t="s">
        <v>66</v>
      </c>
      <c r="AC249" s="2" t="s">
        <v>67</v>
      </c>
    </row>
    <row r="250" spans="1:29" hidden="1" x14ac:dyDescent="0.25">
      <c r="A250" t="s">
        <v>107</v>
      </c>
      <c r="B250" t="s">
        <v>226</v>
      </c>
      <c r="C250" t="s">
        <v>8</v>
      </c>
      <c r="D250" t="s">
        <v>15</v>
      </c>
      <c r="E250" t="s">
        <v>79</v>
      </c>
      <c r="F250" t="s">
        <v>79</v>
      </c>
      <c r="G250" s="2" t="s">
        <v>8</v>
      </c>
      <c r="H250" t="s">
        <v>64</v>
      </c>
      <c r="I250" s="34" t="s">
        <v>227</v>
      </c>
      <c r="J250" s="2" t="s">
        <v>228</v>
      </c>
      <c r="K250" t="s">
        <v>64</v>
      </c>
      <c r="L250" t="s">
        <v>89</v>
      </c>
      <c r="M250" s="2" t="s">
        <v>78</v>
      </c>
      <c r="N250" t="s">
        <v>164</v>
      </c>
      <c r="O250" t="s">
        <v>143</v>
      </c>
      <c r="P250" s="2" t="s">
        <v>20</v>
      </c>
      <c r="Q250" t="s">
        <v>64</v>
      </c>
      <c r="R250" t="s">
        <v>64</v>
      </c>
      <c r="S250" s="85" t="s">
        <v>207</v>
      </c>
      <c r="T250" t="s">
        <v>229</v>
      </c>
      <c r="U250" t="s">
        <v>230</v>
      </c>
      <c r="V250" s="2" t="s">
        <v>231</v>
      </c>
      <c r="W250" s="2" t="s">
        <v>65</v>
      </c>
      <c r="Z250" s="2" t="s">
        <v>186</v>
      </c>
      <c r="AA250" s="2" t="s">
        <v>187</v>
      </c>
      <c r="AB250" s="2" t="s">
        <v>66</v>
      </c>
      <c r="AC250" s="2" t="s">
        <v>67</v>
      </c>
    </row>
    <row r="251" spans="1:29" hidden="1" x14ac:dyDescent="0.25">
      <c r="A251" t="s">
        <v>107</v>
      </c>
      <c r="B251" t="s">
        <v>226</v>
      </c>
      <c r="C251" t="s">
        <v>8</v>
      </c>
      <c r="D251" t="s">
        <v>15</v>
      </c>
      <c r="E251" t="s">
        <v>79</v>
      </c>
      <c r="F251" t="s">
        <v>79</v>
      </c>
      <c r="G251" s="2" t="s">
        <v>8</v>
      </c>
      <c r="H251" t="s">
        <v>64</v>
      </c>
      <c r="I251" s="34" t="s">
        <v>227</v>
      </c>
      <c r="J251" s="2" t="s">
        <v>228</v>
      </c>
      <c r="K251" t="s">
        <v>64</v>
      </c>
      <c r="L251" t="s">
        <v>89</v>
      </c>
      <c r="M251" s="2" t="s">
        <v>78</v>
      </c>
      <c r="N251" t="s">
        <v>164</v>
      </c>
      <c r="O251" t="s">
        <v>144</v>
      </c>
      <c r="P251" s="2" t="s">
        <v>20</v>
      </c>
      <c r="Q251" t="s">
        <v>64</v>
      </c>
      <c r="R251" t="s">
        <v>64</v>
      </c>
      <c r="S251" s="85" t="s">
        <v>207</v>
      </c>
      <c r="T251" t="s">
        <v>229</v>
      </c>
      <c r="U251" t="s">
        <v>230</v>
      </c>
      <c r="V251" s="2" t="s">
        <v>231</v>
      </c>
      <c r="W251" s="2" t="s">
        <v>65</v>
      </c>
      <c r="Z251" s="2" t="s">
        <v>186</v>
      </c>
      <c r="AA251" s="2" t="s">
        <v>187</v>
      </c>
      <c r="AB251" s="2" t="s">
        <v>66</v>
      </c>
      <c r="AC251" s="2" t="s">
        <v>67</v>
      </c>
    </row>
    <row r="252" spans="1:29" hidden="1" x14ac:dyDescent="0.25">
      <c r="A252" t="s">
        <v>107</v>
      </c>
      <c r="B252" t="s">
        <v>226</v>
      </c>
      <c r="C252" t="s">
        <v>8</v>
      </c>
      <c r="D252" t="s">
        <v>15</v>
      </c>
      <c r="E252" t="s">
        <v>79</v>
      </c>
      <c r="F252" t="s">
        <v>79</v>
      </c>
      <c r="G252" s="2" t="s">
        <v>8</v>
      </c>
      <c r="H252" t="s">
        <v>64</v>
      </c>
      <c r="I252" s="34" t="s">
        <v>227</v>
      </c>
      <c r="J252" s="2" t="s">
        <v>228</v>
      </c>
      <c r="K252" t="s">
        <v>64</v>
      </c>
      <c r="L252" t="s">
        <v>89</v>
      </c>
      <c r="M252" s="2" t="s">
        <v>78</v>
      </c>
      <c r="N252" t="s">
        <v>164</v>
      </c>
      <c r="O252" t="s">
        <v>145</v>
      </c>
      <c r="P252" s="2" t="s">
        <v>20</v>
      </c>
      <c r="Q252" t="s">
        <v>64</v>
      </c>
      <c r="R252" t="s">
        <v>64</v>
      </c>
      <c r="S252" s="85" t="s">
        <v>207</v>
      </c>
      <c r="T252" t="s">
        <v>229</v>
      </c>
      <c r="U252" t="s">
        <v>230</v>
      </c>
      <c r="V252" s="2" t="s">
        <v>231</v>
      </c>
      <c r="W252" s="2" t="s">
        <v>65</v>
      </c>
      <c r="Z252" s="2" t="s">
        <v>186</v>
      </c>
      <c r="AA252" s="2" t="s">
        <v>187</v>
      </c>
      <c r="AB252" s="2" t="s">
        <v>66</v>
      </c>
      <c r="AC252" s="2" t="s">
        <v>67</v>
      </c>
    </row>
    <row r="253" spans="1:29" hidden="1" x14ac:dyDescent="0.25">
      <c r="A253" t="s">
        <v>107</v>
      </c>
      <c r="B253" t="s">
        <v>226</v>
      </c>
      <c r="C253" t="s">
        <v>8</v>
      </c>
      <c r="D253" t="s">
        <v>15</v>
      </c>
      <c r="E253" t="s">
        <v>79</v>
      </c>
      <c r="F253" t="s">
        <v>79</v>
      </c>
      <c r="G253" s="2" t="s">
        <v>8</v>
      </c>
      <c r="H253" t="s">
        <v>64</v>
      </c>
      <c r="I253" s="34" t="s">
        <v>227</v>
      </c>
      <c r="J253" s="2" t="s">
        <v>228</v>
      </c>
      <c r="K253" t="s">
        <v>64</v>
      </c>
      <c r="L253" t="s">
        <v>89</v>
      </c>
      <c r="M253" s="2" t="s">
        <v>78</v>
      </c>
      <c r="N253" t="s">
        <v>164</v>
      </c>
      <c r="O253" t="s">
        <v>146</v>
      </c>
      <c r="P253" s="2" t="s">
        <v>81</v>
      </c>
      <c r="Q253" t="s">
        <v>64</v>
      </c>
      <c r="R253" t="s">
        <v>64</v>
      </c>
      <c r="S253" s="85" t="s">
        <v>207</v>
      </c>
      <c r="T253" t="s">
        <v>229</v>
      </c>
      <c r="U253" t="s">
        <v>230</v>
      </c>
      <c r="V253" s="2" t="s">
        <v>231</v>
      </c>
      <c r="W253" s="2" t="s">
        <v>65</v>
      </c>
      <c r="Z253" s="2" t="s">
        <v>186</v>
      </c>
      <c r="AA253" s="2" t="s">
        <v>187</v>
      </c>
      <c r="AB253" s="2" t="s">
        <v>66</v>
      </c>
      <c r="AC253" s="2" t="s">
        <v>67</v>
      </c>
    </row>
    <row r="254" spans="1:29" hidden="1" x14ac:dyDescent="0.25">
      <c r="A254" t="s">
        <v>107</v>
      </c>
      <c r="B254" t="s">
        <v>226</v>
      </c>
      <c r="C254" t="s">
        <v>8</v>
      </c>
      <c r="D254" t="s">
        <v>15</v>
      </c>
      <c r="E254" t="s">
        <v>79</v>
      </c>
      <c r="F254" t="s">
        <v>79</v>
      </c>
      <c r="G254" s="2" t="s">
        <v>8</v>
      </c>
      <c r="H254" t="s">
        <v>64</v>
      </c>
      <c r="I254" s="34" t="s">
        <v>227</v>
      </c>
      <c r="J254" s="2" t="s">
        <v>228</v>
      </c>
      <c r="K254" t="s">
        <v>64</v>
      </c>
      <c r="L254" t="s">
        <v>89</v>
      </c>
      <c r="M254" s="2" t="s">
        <v>78</v>
      </c>
      <c r="N254" t="s">
        <v>164</v>
      </c>
      <c r="O254" t="s">
        <v>152</v>
      </c>
      <c r="P254" s="2" t="s">
        <v>170</v>
      </c>
      <c r="Q254" t="s">
        <v>64</v>
      </c>
      <c r="R254" t="s">
        <v>64</v>
      </c>
      <c r="S254" s="85" t="s">
        <v>207</v>
      </c>
      <c r="T254" t="s">
        <v>229</v>
      </c>
      <c r="U254" t="s">
        <v>230</v>
      </c>
      <c r="V254" s="2" t="s">
        <v>231</v>
      </c>
      <c r="W254" s="2" t="s">
        <v>65</v>
      </c>
      <c r="Z254" s="2" t="s">
        <v>186</v>
      </c>
      <c r="AA254" s="2" t="s">
        <v>187</v>
      </c>
      <c r="AB254" s="2" t="s">
        <v>66</v>
      </c>
      <c r="AC254" s="2" t="s">
        <v>67</v>
      </c>
    </row>
    <row r="255" spans="1:29" hidden="1" x14ac:dyDescent="0.25">
      <c r="A255" t="s">
        <v>107</v>
      </c>
      <c r="B255" t="s">
        <v>226</v>
      </c>
      <c r="C255" t="s">
        <v>8</v>
      </c>
      <c r="D255" t="s">
        <v>15</v>
      </c>
      <c r="E255" t="s">
        <v>79</v>
      </c>
      <c r="F255" t="s">
        <v>79</v>
      </c>
      <c r="G255" s="2" t="s">
        <v>8</v>
      </c>
      <c r="H255" t="s">
        <v>64</v>
      </c>
      <c r="I255" s="34" t="s">
        <v>227</v>
      </c>
      <c r="J255" s="2" t="s">
        <v>228</v>
      </c>
      <c r="K255" t="s">
        <v>64</v>
      </c>
      <c r="L255" t="s">
        <v>89</v>
      </c>
      <c r="M255" s="2" t="s">
        <v>78</v>
      </c>
      <c r="N255" t="s">
        <v>164</v>
      </c>
      <c r="O255" t="s">
        <v>153</v>
      </c>
      <c r="P255" s="2" t="s">
        <v>20</v>
      </c>
      <c r="Q255" t="s">
        <v>64</v>
      </c>
      <c r="R255" t="s">
        <v>64</v>
      </c>
      <c r="S255" s="85" t="s">
        <v>207</v>
      </c>
      <c r="T255" t="s">
        <v>229</v>
      </c>
      <c r="U255" t="s">
        <v>230</v>
      </c>
      <c r="V255" s="2" t="s">
        <v>231</v>
      </c>
      <c r="W255" s="2" t="s">
        <v>65</v>
      </c>
      <c r="Z255" s="2" t="s">
        <v>186</v>
      </c>
      <c r="AA255" s="2" t="s">
        <v>187</v>
      </c>
      <c r="AB255" s="2" t="s">
        <v>66</v>
      </c>
      <c r="AC255" s="2" t="s">
        <v>67</v>
      </c>
    </row>
    <row r="256" spans="1:29" hidden="1" x14ac:dyDescent="0.25">
      <c r="A256" t="s">
        <v>107</v>
      </c>
      <c r="B256" t="s">
        <v>226</v>
      </c>
      <c r="C256" t="s">
        <v>8</v>
      </c>
      <c r="D256" t="s">
        <v>15</v>
      </c>
      <c r="E256" t="s">
        <v>79</v>
      </c>
      <c r="F256" t="s">
        <v>79</v>
      </c>
      <c r="G256" s="2" t="s">
        <v>8</v>
      </c>
      <c r="H256" t="s">
        <v>64</v>
      </c>
      <c r="I256" s="34" t="s">
        <v>227</v>
      </c>
      <c r="J256" s="2" t="s">
        <v>228</v>
      </c>
      <c r="K256" t="s">
        <v>64</v>
      </c>
      <c r="L256" t="s">
        <v>89</v>
      </c>
      <c r="M256" s="2" t="s">
        <v>78</v>
      </c>
      <c r="N256" t="s">
        <v>164</v>
      </c>
      <c r="O256" t="s">
        <v>154</v>
      </c>
      <c r="P256" s="2" t="s">
        <v>20</v>
      </c>
      <c r="Q256" t="s">
        <v>64</v>
      </c>
      <c r="R256" t="s">
        <v>64</v>
      </c>
      <c r="S256" s="85" t="s">
        <v>207</v>
      </c>
      <c r="T256" t="s">
        <v>229</v>
      </c>
      <c r="U256" t="s">
        <v>230</v>
      </c>
      <c r="V256" s="2" t="s">
        <v>231</v>
      </c>
      <c r="W256" s="2" t="s">
        <v>65</v>
      </c>
      <c r="Z256" s="2" t="s">
        <v>186</v>
      </c>
      <c r="AA256" s="2" t="s">
        <v>187</v>
      </c>
      <c r="AB256" s="2" t="s">
        <v>66</v>
      </c>
      <c r="AC256" s="2" t="s">
        <v>67</v>
      </c>
    </row>
    <row r="257" spans="1:29" hidden="1" x14ac:dyDescent="0.25">
      <c r="A257" t="s">
        <v>107</v>
      </c>
      <c r="B257" t="s">
        <v>226</v>
      </c>
      <c r="C257" t="s">
        <v>8</v>
      </c>
      <c r="D257" t="s">
        <v>15</v>
      </c>
      <c r="E257" t="s">
        <v>79</v>
      </c>
      <c r="F257" t="s">
        <v>79</v>
      </c>
      <c r="G257" s="2" t="s">
        <v>8</v>
      </c>
      <c r="H257" t="s">
        <v>64</v>
      </c>
      <c r="I257" s="34" t="s">
        <v>227</v>
      </c>
      <c r="J257" s="2" t="s">
        <v>228</v>
      </c>
      <c r="K257" t="s">
        <v>64</v>
      </c>
      <c r="L257" t="s">
        <v>89</v>
      </c>
      <c r="M257" s="2" t="s">
        <v>78</v>
      </c>
      <c r="N257" t="s">
        <v>164</v>
      </c>
      <c r="O257" t="s">
        <v>155</v>
      </c>
      <c r="P257" s="2" t="s">
        <v>20</v>
      </c>
      <c r="Q257" t="s">
        <v>64</v>
      </c>
      <c r="R257" t="s">
        <v>64</v>
      </c>
      <c r="S257" s="85" t="s">
        <v>207</v>
      </c>
      <c r="T257" t="s">
        <v>229</v>
      </c>
      <c r="U257" t="s">
        <v>230</v>
      </c>
      <c r="V257" s="2" t="s">
        <v>231</v>
      </c>
      <c r="W257" s="2" t="s">
        <v>65</v>
      </c>
      <c r="Z257" s="2" t="s">
        <v>186</v>
      </c>
      <c r="AA257" s="2" t="s">
        <v>187</v>
      </c>
      <c r="AB257" s="2" t="s">
        <v>66</v>
      </c>
      <c r="AC257" s="2" t="s">
        <v>67</v>
      </c>
    </row>
    <row r="258" spans="1:29" hidden="1" x14ac:dyDescent="0.25">
      <c r="A258" t="s">
        <v>107</v>
      </c>
      <c r="B258" t="s">
        <v>226</v>
      </c>
      <c r="C258" t="s">
        <v>8</v>
      </c>
      <c r="D258" t="s">
        <v>15</v>
      </c>
      <c r="E258" t="s">
        <v>79</v>
      </c>
      <c r="F258" t="s">
        <v>79</v>
      </c>
      <c r="G258" s="2" t="s">
        <v>8</v>
      </c>
      <c r="H258" t="s">
        <v>64</v>
      </c>
      <c r="I258" s="34" t="s">
        <v>227</v>
      </c>
      <c r="J258" s="2" t="s">
        <v>228</v>
      </c>
      <c r="K258" t="s">
        <v>64</v>
      </c>
      <c r="L258" t="s">
        <v>89</v>
      </c>
      <c r="M258" s="2" t="s">
        <v>78</v>
      </c>
      <c r="N258" t="s">
        <v>164</v>
      </c>
      <c r="O258" t="s">
        <v>156</v>
      </c>
      <c r="P258" s="2" t="s">
        <v>20</v>
      </c>
      <c r="Q258" t="s">
        <v>64</v>
      </c>
      <c r="R258" t="s">
        <v>64</v>
      </c>
      <c r="S258" s="85" t="s">
        <v>207</v>
      </c>
      <c r="T258" t="s">
        <v>229</v>
      </c>
      <c r="U258" t="s">
        <v>230</v>
      </c>
      <c r="V258" s="2" t="s">
        <v>231</v>
      </c>
      <c r="W258" s="2" t="s">
        <v>65</v>
      </c>
      <c r="Z258" s="2" t="s">
        <v>186</v>
      </c>
      <c r="AA258" s="2" t="s">
        <v>187</v>
      </c>
      <c r="AB258" s="2" t="s">
        <v>66</v>
      </c>
      <c r="AC258" s="2" t="s">
        <v>67</v>
      </c>
    </row>
    <row r="259" spans="1:29" hidden="1" x14ac:dyDescent="0.25">
      <c r="A259" t="s">
        <v>107</v>
      </c>
      <c r="B259" t="s">
        <v>226</v>
      </c>
      <c r="C259" t="s">
        <v>8</v>
      </c>
      <c r="D259" t="s">
        <v>15</v>
      </c>
      <c r="E259" t="s">
        <v>79</v>
      </c>
      <c r="F259" t="s">
        <v>79</v>
      </c>
      <c r="G259" s="2" t="s">
        <v>8</v>
      </c>
      <c r="H259" t="s">
        <v>64</v>
      </c>
      <c r="I259" s="34" t="s">
        <v>227</v>
      </c>
      <c r="J259" s="2" t="s">
        <v>228</v>
      </c>
      <c r="K259" t="s">
        <v>64</v>
      </c>
      <c r="L259" t="s">
        <v>89</v>
      </c>
      <c r="M259" s="2" t="s">
        <v>78</v>
      </c>
      <c r="N259" t="s">
        <v>164</v>
      </c>
      <c r="O259" t="s">
        <v>157</v>
      </c>
      <c r="P259" s="2" t="s">
        <v>81</v>
      </c>
      <c r="Q259" t="s">
        <v>64</v>
      </c>
      <c r="R259" t="s">
        <v>64</v>
      </c>
      <c r="S259" s="85" t="s">
        <v>207</v>
      </c>
      <c r="T259" t="s">
        <v>229</v>
      </c>
      <c r="U259" t="s">
        <v>230</v>
      </c>
      <c r="V259" s="2" t="s">
        <v>231</v>
      </c>
      <c r="W259" s="2" t="s">
        <v>65</v>
      </c>
      <c r="Z259" s="2" t="s">
        <v>186</v>
      </c>
      <c r="AA259" s="2" t="s">
        <v>187</v>
      </c>
      <c r="AB259" s="2" t="s">
        <v>66</v>
      </c>
      <c r="AC259" s="2" t="s">
        <v>67</v>
      </c>
    </row>
    <row r="260" spans="1:29" x14ac:dyDescent="0.25">
      <c r="A260" t="s">
        <v>107</v>
      </c>
      <c r="B260" t="s">
        <v>111</v>
      </c>
      <c r="C260" t="s">
        <v>112</v>
      </c>
      <c r="D260" t="s">
        <v>14</v>
      </c>
      <c r="E260" t="s">
        <v>232</v>
      </c>
      <c r="F260" t="s">
        <v>233</v>
      </c>
      <c r="G260" s="2" t="s">
        <v>112</v>
      </c>
      <c r="H260" t="s">
        <v>64</v>
      </c>
      <c r="I260" s="34" t="s">
        <v>234</v>
      </c>
      <c r="J260" s="2" t="s">
        <v>235</v>
      </c>
      <c r="K260" t="s">
        <v>108</v>
      </c>
      <c r="L260" t="s">
        <v>123</v>
      </c>
      <c r="M260" s="2" t="s">
        <v>78</v>
      </c>
      <c r="N260" t="s">
        <v>164</v>
      </c>
      <c r="O260" t="s">
        <v>133</v>
      </c>
      <c r="P260" s="2" t="s">
        <v>20</v>
      </c>
      <c r="Q260" t="s">
        <v>64</v>
      </c>
      <c r="R260" t="s">
        <v>64</v>
      </c>
      <c r="S260" s="85" t="s">
        <v>124</v>
      </c>
      <c r="T260" t="s">
        <v>236</v>
      </c>
      <c r="U260" t="s">
        <v>237</v>
      </c>
      <c r="V260" s="2" t="s">
        <v>238</v>
      </c>
      <c r="W260" s="2" t="s">
        <v>65</v>
      </c>
      <c r="Z260" s="2" t="s">
        <v>116</v>
      </c>
      <c r="AA260" s="2" t="s">
        <v>117</v>
      </c>
      <c r="AB260" s="2" t="s">
        <v>66</v>
      </c>
      <c r="AC260" s="2" t="s">
        <v>67</v>
      </c>
    </row>
    <row r="261" spans="1:29" x14ac:dyDescent="0.25">
      <c r="A261" t="s">
        <v>107</v>
      </c>
      <c r="B261" t="s">
        <v>111</v>
      </c>
      <c r="C261" t="s">
        <v>112</v>
      </c>
      <c r="D261" t="s">
        <v>14</v>
      </c>
      <c r="E261" t="s">
        <v>232</v>
      </c>
      <c r="F261" t="s">
        <v>233</v>
      </c>
      <c r="G261" s="2" t="s">
        <v>112</v>
      </c>
      <c r="H261" t="s">
        <v>64</v>
      </c>
      <c r="I261" s="34" t="s">
        <v>234</v>
      </c>
      <c r="J261" s="2" t="s">
        <v>235</v>
      </c>
      <c r="K261" t="s">
        <v>108</v>
      </c>
      <c r="L261" t="s">
        <v>123</v>
      </c>
      <c r="M261" s="2" t="s">
        <v>78</v>
      </c>
      <c r="N261" t="s">
        <v>164</v>
      </c>
      <c r="O261" t="s">
        <v>97</v>
      </c>
      <c r="P261" s="2" t="s">
        <v>20</v>
      </c>
      <c r="Q261" t="s">
        <v>64</v>
      </c>
      <c r="R261" t="s">
        <v>64</v>
      </c>
      <c r="S261" s="85" t="s">
        <v>124</v>
      </c>
      <c r="T261" t="s">
        <v>236</v>
      </c>
      <c r="U261" t="s">
        <v>237</v>
      </c>
      <c r="V261" s="2" t="s">
        <v>238</v>
      </c>
      <c r="W261" s="2" t="s">
        <v>65</v>
      </c>
      <c r="Z261" s="2" t="s">
        <v>116</v>
      </c>
      <c r="AA261" s="2" t="s">
        <v>117</v>
      </c>
      <c r="AB261" s="2" t="s">
        <v>66</v>
      </c>
      <c r="AC261" s="2" t="s">
        <v>67</v>
      </c>
    </row>
    <row r="262" spans="1:29" x14ac:dyDescent="0.25">
      <c r="A262" t="s">
        <v>107</v>
      </c>
      <c r="B262" t="s">
        <v>111</v>
      </c>
      <c r="C262" t="s">
        <v>112</v>
      </c>
      <c r="D262" t="s">
        <v>14</v>
      </c>
      <c r="E262" t="s">
        <v>232</v>
      </c>
      <c r="F262" t="s">
        <v>233</v>
      </c>
      <c r="G262" s="2" t="s">
        <v>112</v>
      </c>
      <c r="H262" t="s">
        <v>64</v>
      </c>
      <c r="I262" s="34" t="s">
        <v>234</v>
      </c>
      <c r="J262" s="2" t="s">
        <v>235</v>
      </c>
      <c r="K262" t="s">
        <v>108</v>
      </c>
      <c r="L262" t="s">
        <v>123</v>
      </c>
      <c r="M262" s="2" t="s">
        <v>78</v>
      </c>
      <c r="N262" t="s">
        <v>164</v>
      </c>
      <c r="O262" t="s">
        <v>98</v>
      </c>
      <c r="P262" s="2" t="s">
        <v>20</v>
      </c>
      <c r="Q262" t="s">
        <v>64</v>
      </c>
      <c r="R262" t="s">
        <v>64</v>
      </c>
      <c r="S262" s="85" t="s">
        <v>124</v>
      </c>
      <c r="T262" t="s">
        <v>236</v>
      </c>
      <c r="U262" t="s">
        <v>237</v>
      </c>
      <c r="V262" s="2" t="s">
        <v>238</v>
      </c>
      <c r="W262" s="2" t="s">
        <v>65</v>
      </c>
      <c r="Z262" s="2" t="s">
        <v>116</v>
      </c>
      <c r="AA262" s="2" t="s">
        <v>117</v>
      </c>
      <c r="AB262" s="2" t="s">
        <v>66</v>
      </c>
      <c r="AC262" s="2" t="s">
        <v>67</v>
      </c>
    </row>
    <row r="263" spans="1:29" x14ac:dyDescent="0.25">
      <c r="A263" t="s">
        <v>107</v>
      </c>
      <c r="B263" t="s">
        <v>111</v>
      </c>
      <c r="C263" t="s">
        <v>112</v>
      </c>
      <c r="D263" t="s">
        <v>14</v>
      </c>
      <c r="E263" t="s">
        <v>232</v>
      </c>
      <c r="F263" t="s">
        <v>233</v>
      </c>
      <c r="G263" s="2" t="s">
        <v>112</v>
      </c>
      <c r="H263" t="s">
        <v>64</v>
      </c>
      <c r="I263" s="34" t="s">
        <v>234</v>
      </c>
      <c r="J263" s="2" t="s">
        <v>235</v>
      </c>
      <c r="K263" t="s">
        <v>108</v>
      </c>
      <c r="L263" t="s">
        <v>123</v>
      </c>
      <c r="M263" s="2" t="s">
        <v>78</v>
      </c>
      <c r="N263" t="s">
        <v>164</v>
      </c>
      <c r="O263" t="s">
        <v>134</v>
      </c>
      <c r="P263" s="2" t="s">
        <v>20</v>
      </c>
      <c r="Q263" t="s">
        <v>64</v>
      </c>
      <c r="R263" t="s">
        <v>64</v>
      </c>
      <c r="S263" s="85" t="s">
        <v>124</v>
      </c>
      <c r="T263" t="s">
        <v>236</v>
      </c>
      <c r="U263" t="s">
        <v>237</v>
      </c>
      <c r="V263" s="2" t="s">
        <v>238</v>
      </c>
      <c r="W263" s="2" t="s">
        <v>65</v>
      </c>
      <c r="Z263" s="2" t="s">
        <v>116</v>
      </c>
      <c r="AA263" s="2" t="s">
        <v>117</v>
      </c>
      <c r="AB263" s="2" t="s">
        <v>66</v>
      </c>
      <c r="AC263" s="2" t="s">
        <v>67</v>
      </c>
    </row>
    <row r="264" spans="1:29" x14ac:dyDescent="0.25">
      <c r="A264" t="s">
        <v>107</v>
      </c>
      <c r="B264" t="s">
        <v>111</v>
      </c>
      <c r="C264" t="s">
        <v>112</v>
      </c>
      <c r="D264" t="s">
        <v>14</v>
      </c>
      <c r="E264" t="s">
        <v>232</v>
      </c>
      <c r="F264" t="s">
        <v>233</v>
      </c>
      <c r="G264" s="2" t="s">
        <v>112</v>
      </c>
      <c r="H264" t="s">
        <v>64</v>
      </c>
      <c r="I264" s="34" t="s">
        <v>234</v>
      </c>
      <c r="J264" s="2" t="s">
        <v>235</v>
      </c>
      <c r="K264" t="s">
        <v>108</v>
      </c>
      <c r="L264" t="s">
        <v>123</v>
      </c>
      <c r="M264" s="2" t="s">
        <v>78</v>
      </c>
      <c r="N264" t="s">
        <v>164</v>
      </c>
      <c r="O264" t="s">
        <v>35</v>
      </c>
      <c r="P264" s="2" t="s">
        <v>20</v>
      </c>
      <c r="Q264" t="s">
        <v>64</v>
      </c>
      <c r="R264" t="s">
        <v>64</v>
      </c>
      <c r="S264" s="85" t="s">
        <v>124</v>
      </c>
      <c r="T264" t="s">
        <v>236</v>
      </c>
      <c r="U264" t="s">
        <v>237</v>
      </c>
      <c r="V264" s="2" t="s">
        <v>238</v>
      </c>
      <c r="W264" s="2" t="s">
        <v>65</v>
      </c>
      <c r="Z264" s="2" t="s">
        <v>116</v>
      </c>
      <c r="AA264" s="2" t="s">
        <v>117</v>
      </c>
      <c r="AB264" s="2" t="s">
        <v>66</v>
      </c>
      <c r="AC264" s="2" t="s">
        <v>67</v>
      </c>
    </row>
    <row r="265" spans="1:29" x14ac:dyDescent="0.25">
      <c r="A265" t="s">
        <v>107</v>
      </c>
      <c r="B265" t="s">
        <v>111</v>
      </c>
      <c r="C265" t="s">
        <v>112</v>
      </c>
      <c r="D265" t="s">
        <v>14</v>
      </c>
      <c r="E265" t="s">
        <v>232</v>
      </c>
      <c r="F265" t="s">
        <v>233</v>
      </c>
      <c r="G265" s="2" t="s">
        <v>112</v>
      </c>
      <c r="H265" t="s">
        <v>64</v>
      </c>
      <c r="I265" s="34" t="s">
        <v>234</v>
      </c>
      <c r="J265" s="2" t="s">
        <v>235</v>
      </c>
      <c r="K265" t="s">
        <v>108</v>
      </c>
      <c r="L265" t="s">
        <v>123</v>
      </c>
      <c r="M265" s="2" t="s">
        <v>78</v>
      </c>
      <c r="N265" t="s">
        <v>164</v>
      </c>
      <c r="O265" t="s">
        <v>135</v>
      </c>
      <c r="P265" s="2" t="s">
        <v>81</v>
      </c>
      <c r="Q265" t="s">
        <v>64</v>
      </c>
      <c r="R265" t="s">
        <v>64</v>
      </c>
      <c r="S265" s="85" t="s">
        <v>124</v>
      </c>
      <c r="T265" t="s">
        <v>236</v>
      </c>
      <c r="U265" t="s">
        <v>237</v>
      </c>
      <c r="V265" s="2" t="s">
        <v>238</v>
      </c>
      <c r="W265" s="2" t="s">
        <v>65</v>
      </c>
      <c r="Z265" s="2" t="s">
        <v>116</v>
      </c>
      <c r="AA265" s="2" t="s">
        <v>117</v>
      </c>
      <c r="AB265" s="2" t="s">
        <v>66</v>
      </c>
      <c r="AC265" s="2" t="s">
        <v>67</v>
      </c>
    </row>
    <row r="266" spans="1:29" x14ac:dyDescent="0.25">
      <c r="A266" t="s">
        <v>107</v>
      </c>
      <c r="B266" t="s">
        <v>111</v>
      </c>
      <c r="C266" t="s">
        <v>112</v>
      </c>
      <c r="D266" t="s">
        <v>14</v>
      </c>
      <c r="E266" t="s">
        <v>232</v>
      </c>
      <c r="F266" t="s">
        <v>233</v>
      </c>
      <c r="G266" s="2" t="s">
        <v>112</v>
      </c>
      <c r="H266" t="s">
        <v>64</v>
      </c>
      <c r="I266" s="34" t="s">
        <v>234</v>
      </c>
      <c r="J266" s="2" t="s">
        <v>235</v>
      </c>
      <c r="K266" t="s">
        <v>108</v>
      </c>
      <c r="L266" t="s">
        <v>123</v>
      </c>
      <c r="M266" s="2" t="s">
        <v>78</v>
      </c>
      <c r="N266" t="s">
        <v>164</v>
      </c>
      <c r="O266" t="s">
        <v>99</v>
      </c>
      <c r="P266" s="2" t="s">
        <v>20</v>
      </c>
      <c r="Q266" t="s">
        <v>64</v>
      </c>
      <c r="R266" t="s">
        <v>64</v>
      </c>
      <c r="S266" s="85" t="s">
        <v>124</v>
      </c>
      <c r="T266" t="s">
        <v>236</v>
      </c>
      <c r="U266" t="s">
        <v>237</v>
      </c>
      <c r="V266" s="2" t="s">
        <v>238</v>
      </c>
      <c r="W266" s="2" t="s">
        <v>65</v>
      </c>
      <c r="Z266" s="2" t="s">
        <v>116</v>
      </c>
      <c r="AA266" s="2" t="s">
        <v>117</v>
      </c>
      <c r="AB266" s="2" t="s">
        <v>66</v>
      </c>
      <c r="AC266" s="2" t="s">
        <v>67</v>
      </c>
    </row>
    <row r="267" spans="1:29" x14ac:dyDescent="0.25">
      <c r="A267" t="s">
        <v>107</v>
      </c>
      <c r="B267" t="s">
        <v>111</v>
      </c>
      <c r="C267" t="s">
        <v>112</v>
      </c>
      <c r="D267" t="s">
        <v>14</v>
      </c>
      <c r="E267" t="s">
        <v>232</v>
      </c>
      <c r="F267" t="s">
        <v>233</v>
      </c>
      <c r="G267" s="2" t="s">
        <v>112</v>
      </c>
      <c r="H267" t="s">
        <v>64</v>
      </c>
      <c r="I267" s="34" t="s">
        <v>234</v>
      </c>
      <c r="J267" s="2" t="s">
        <v>235</v>
      </c>
      <c r="K267" t="s">
        <v>108</v>
      </c>
      <c r="L267" t="s">
        <v>123</v>
      </c>
      <c r="M267" s="2" t="s">
        <v>78</v>
      </c>
      <c r="N267" t="s">
        <v>164</v>
      </c>
      <c r="O267" t="s">
        <v>100</v>
      </c>
      <c r="P267" s="2" t="s">
        <v>20</v>
      </c>
      <c r="Q267" t="s">
        <v>64</v>
      </c>
      <c r="R267" t="s">
        <v>64</v>
      </c>
      <c r="S267" s="85" t="s">
        <v>124</v>
      </c>
      <c r="T267" t="s">
        <v>236</v>
      </c>
      <c r="U267" t="s">
        <v>237</v>
      </c>
      <c r="V267" s="2" t="s">
        <v>238</v>
      </c>
      <c r="W267" s="2" t="s">
        <v>65</v>
      </c>
      <c r="Z267" s="2" t="s">
        <v>116</v>
      </c>
      <c r="AA267" s="2" t="s">
        <v>117</v>
      </c>
      <c r="AB267" s="2" t="s">
        <v>66</v>
      </c>
      <c r="AC267" s="2" t="s">
        <v>67</v>
      </c>
    </row>
    <row r="268" spans="1:29" x14ac:dyDescent="0.25">
      <c r="A268" t="s">
        <v>107</v>
      </c>
      <c r="B268" t="s">
        <v>111</v>
      </c>
      <c r="C268" t="s">
        <v>112</v>
      </c>
      <c r="D268" t="s">
        <v>14</v>
      </c>
      <c r="E268" t="s">
        <v>232</v>
      </c>
      <c r="F268" t="s">
        <v>233</v>
      </c>
      <c r="G268" s="2" t="s">
        <v>112</v>
      </c>
      <c r="H268" t="s">
        <v>64</v>
      </c>
      <c r="I268" s="34" t="s">
        <v>234</v>
      </c>
      <c r="J268" s="2" t="s">
        <v>235</v>
      </c>
      <c r="K268" t="s">
        <v>108</v>
      </c>
      <c r="L268" t="s">
        <v>123</v>
      </c>
      <c r="M268" s="2" t="s">
        <v>78</v>
      </c>
      <c r="N268" t="s">
        <v>164</v>
      </c>
      <c r="O268" t="s">
        <v>101</v>
      </c>
      <c r="P268" s="2" t="s">
        <v>81</v>
      </c>
      <c r="Q268" t="s">
        <v>64</v>
      </c>
      <c r="R268" t="s">
        <v>64</v>
      </c>
      <c r="S268" s="85" t="s">
        <v>124</v>
      </c>
      <c r="T268" t="s">
        <v>236</v>
      </c>
      <c r="U268" t="s">
        <v>237</v>
      </c>
      <c r="V268" s="2" t="s">
        <v>238</v>
      </c>
      <c r="W268" s="2" t="s">
        <v>65</v>
      </c>
      <c r="Z268" s="2" t="s">
        <v>116</v>
      </c>
      <c r="AA268" s="2" t="s">
        <v>117</v>
      </c>
      <c r="AB268" s="2" t="s">
        <v>66</v>
      </c>
      <c r="AC268" s="2" t="s">
        <v>67</v>
      </c>
    </row>
    <row r="269" spans="1:29" x14ac:dyDescent="0.25">
      <c r="A269" t="s">
        <v>107</v>
      </c>
      <c r="B269" t="s">
        <v>111</v>
      </c>
      <c r="C269" t="s">
        <v>112</v>
      </c>
      <c r="D269" t="s">
        <v>14</v>
      </c>
      <c r="E269" t="s">
        <v>232</v>
      </c>
      <c r="F269" t="s">
        <v>233</v>
      </c>
      <c r="G269" s="2" t="s">
        <v>112</v>
      </c>
      <c r="H269" t="s">
        <v>64</v>
      </c>
      <c r="I269" s="34" t="s">
        <v>234</v>
      </c>
      <c r="J269" s="2" t="s">
        <v>235</v>
      </c>
      <c r="K269" t="s">
        <v>108</v>
      </c>
      <c r="L269" t="s">
        <v>123</v>
      </c>
      <c r="M269" s="2" t="s">
        <v>78</v>
      </c>
      <c r="N269" t="s">
        <v>164</v>
      </c>
      <c r="O269" t="s">
        <v>102</v>
      </c>
      <c r="P269" s="2" t="s">
        <v>81</v>
      </c>
      <c r="Q269" t="s">
        <v>64</v>
      </c>
      <c r="R269" t="s">
        <v>64</v>
      </c>
      <c r="S269" s="85" t="s">
        <v>124</v>
      </c>
      <c r="T269" t="s">
        <v>236</v>
      </c>
      <c r="U269" t="s">
        <v>237</v>
      </c>
      <c r="V269" s="2" t="s">
        <v>238</v>
      </c>
      <c r="W269" s="2" t="s">
        <v>65</v>
      </c>
      <c r="Z269" s="2" t="s">
        <v>116</v>
      </c>
      <c r="AA269" s="2" t="s">
        <v>117</v>
      </c>
      <c r="AB269" s="2" t="s">
        <v>66</v>
      </c>
      <c r="AC269" s="2" t="s">
        <v>67</v>
      </c>
    </row>
    <row r="270" spans="1:29" x14ac:dyDescent="0.25">
      <c r="A270" t="s">
        <v>107</v>
      </c>
      <c r="B270" t="s">
        <v>111</v>
      </c>
      <c r="C270" t="s">
        <v>112</v>
      </c>
      <c r="D270" t="s">
        <v>14</v>
      </c>
      <c r="E270" t="s">
        <v>232</v>
      </c>
      <c r="F270" t="s">
        <v>233</v>
      </c>
      <c r="G270" s="2" t="s">
        <v>112</v>
      </c>
      <c r="H270" t="s">
        <v>64</v>
      </c>
      <c r="I270" s="34" t="s">
        <v>234</v>
      </c>
      <c r="J270" s="2" t="s">
        <v>235</v>
      </c>
      <c r="K270" t="s">
        <v>108</v>
      </c>
      <c r="L270" t="s">
        <v>123</v>
      </c>
      <c r="M270" s="2" t="s">
        <v>78</v>
      </c>
      <c r="N270" t="s">
        <v>164</v>
      </c>
      <c r="O270" t="s">
        <v>103</v>
      </c>
      <c r="P270" s="2" t="s">
        <v>81</v>
      </c>
      <c r="Q270" t="s">
        <v>64</v>
      </c>
      <c r="R270" t="s">
        <v>64</v>
      </c>
      <c r="S270" s="85" t="s">
        <v>124</v>
      </c>
      <c r="T270" t="s">
        <v>236</v>
      </c>
      <c r="U270" t="s">
        <v>237</v>
      </c>
      <c r="V270" s="2" t="s">
        <v>238</v>
      </c>
      <c r="W270" s="2" t="s">
        <v>65</v>
      </c>
      <c r="Z270" s="2" t="s">
        <v>116</v>
      </c>
      <c r="AA270" s="2" t="s">
        <v>117</v>
      </c>
      <c r="AB270" s="2" t="s">
        <v>66</v>
      </c>
      <c r="AC270" s="2" t="s">
        <v>67</v>
      </c>
    </row>
    <row r="271" spans="1:29" x14ac:dyDescent="0.25">
      <c r="A271" t="s">
        <v>107</v>
      </c>
      <c r="B271" t="s">
        <v>111</v>
      </c>
      <c r="C271" t="s">
        <v>112</v>
      </c>
      <c r="D271" t="s">
        <v>14</v>
      </c>
      <c r="E271" t="s">
        <v>232</v>
      </c>
      <c r="F271" t="s">
        <v>233</v>
      </c>
      <c r="G271" s="2" t="s">
        <v>112</v>
      </c>
      <c r="H271" t="s">
        <v>64</v>
      </c>
      <c r="I271" s="34" t="s">
        <v>234</v>
      </c>
      <c r="J271" s="2" t="s">
        <v>235</v>
      </c>
      <c r="K271" t="s">
        <v>108</v>
      </c>
      <c r="L271" t="s">
        <v>123</v>
      </c>
      <c r="M271" s="2" t="s">
        <v>78</v>
      </c>
      <c r="N271" t="s">
        <v>164</v>
      </c>
      <c r="O271" t="s">
        <v>104</v>
      </c>
      <c r="P271" s="2" t="s">
        <v>81</v>
      </c>
      <c r="Q271" t="s">
        <v>64</v>
      </c>
      <c r="R271" t="s">
        <v>64</v>
      </c>
      <c r="S271" s="85" t="s">
        <v>124</v>
      </c>
      <c r="T271" t="s">
        <v>236</v>
      </c>
      <c r="U271" t="s">
        <v>237</v>
      </c>
      <c r="V271" s="2" t="s">
        <v>238</v>
      </c>
      <c r="W271" s="2" t="s">
        <v>65</v>
      </c>
      <c r="Z271" s="2" t="s">
        <v>116</v>
      </c>
      <c r="AA271" s="2" t="s">
        <v>117</v>
      </c>
      <c r="AB271" s="2" t="s">
        <v>66</v>
      </c>
      <c r="AC271" s="2" t="s">
        <v>67</v>
      </c>
    </row>
    <row r="272" spans="1:29" x14ac:dyDescent="0.25">
      <c r="A272" t="s">
        <v>107</v>
      </c>
      <c r="B272" t="s">
        <v>111</v>
      </c>
      <c r="C272" t="s">
        <v>112</v>
      </c>
      <c r="D272" t="s">
        <v>14</v>
      </c>
      <c r="E272" t="s">
        <v>232</v>
      </c>
      <c r="F272" t="s">
        <v>233</v>
      </c>
      <c r="G272" s="2" t="s">
        <v>112</v>
      </c>
      <c r="H272" t="s">
        <v>64</v>
      </c>
      <c r="I272" s="34" t="s">
        <v>234</v>
      </c>
      <c r="J272" s="2" t="s">
        <v>235</v>
      </c>
      <c r="K272" t="s">
        <v>108</v>
      </c>
      <c r="L272" t="s">
        <v>123</v>
      </c>
      <c r="M272" s="2" t="s">
        <v>78</v>
      </c>
      <c r="N272" t="s">
        <v>164</v>
      </c>
      <c r="O272" t="s">
        <v>136</v>
      </c>
      <c r="P272" s="2" t="s">
        <v>20</v>
      </c>
      <c r="Q272" t="s">
        <v>64</v>
      </c>
      <c r="R272" t="s">
        <v>64</v>
      </c>
      <c r="S272" s="85" t="s">
        <v>124</v>
      </c>
      <c r="T272" t="s">
        <v>236</v>
      </c>
      <c r="U272" t="s">
        <v>237</v>
      </c>
      <c r="V272" s="2" t="s">
        <v>238</v>
      </c>
      <c r="W272" s="2" t="s">
        <v>65</v>
      </c>
      <c r="Z272" s="2" t="s">
        <v>116</v>
      </c>
      <c r="AA272" s="2" t="s">
        <v>117</v>
      </c>
      <c r="AB272" s="2" t="s">
        <v>66</v>
      </c>
      <c r="AC272" s="2" t="s">
        <v>67</v>
      </c>
    </row>
    <row r="273" spans="1:29" x14ac:dyDescent="0.25">
      <c r="A273" t="s">
        <v>107</v>
      </c>
      <c r="B273" t="s">
        <v>111</v>
      </c>
      <c r="C273" t="s">
        <v>112</v>
      </c>
      <c r="D273" t="s">
        <v>14</v>
      </c>
      <c r="E273" t="s">
        <v>232</v>
      </c>
      <c r="F273" t="s">
        <v>233</v>
      </c>
      <c r="G273" s="2" t="s">
        <v>112</v>
      </c>
      <c r="H273" t="s">
        <v>64</v>
      </c>
      <c r="I273" s="34" t="s">
        <v>234</v>
      </c>
      <c r="J273" s="2" t="s">
        <v>235</v>
      </c>
      <c r="K273" t="s">
        <v>108</v>
      </c>
      <c r="L273" t="s">
        <v>123</v>
      </c>
      <c r="M273" s="2" t="s">
        <v>78</v>
      </c>
      <c r="N273" t="s">
        <v>164</v>
      </c>
      <c r="O273" t="s">
        <v>137</v>
      </c>
      <c r="P273" s="2" t="s">
        <v>20</v>
      </c>
      <c r="Q273" t="s">
        <v>64</v>
      </c>
      <c r="R273" t="s">
        <v>64</v>
      </c>
      <c r="S273" s="85" t="s">
        <v>124</v>
      </c>
      <c r="T273" t="s">
        <v>236</v>
      </c>
      <c r="U273" t="s">
        <v>237</v>
      </c>
      <c r="V273" s="2" t="s">
        <v>238</v>
      </c>
      <c r="W273" s="2" t="s">
        <v>65</v>
      </c>
      <c r="Z273" s="2" t="s">
        <v>116</v>
      </c>
      <c r="AA273" s="2" t="s">
        <v>117</v>
      </c>
      <c r="AB273" s="2" t="s">
        <v>66</v>
      </c>
      <c r="AC273" s="2" t="s">
        <v>67</v>
      </c>
    </row>
    <row r="274" spans="1:29" x14ac:dyDescent="0.25">
      <c r="A274" t="s">
        <v>107</v>
      </c>
      <c r="B274" t="s">
        <v>111</v>
      </c>
      <c r="C274" t="s">
        <v>112</v>
      </c>
      <c r="D274" t="s">
        <v>14</v>
      </c>
      <c r="E274" t="s">
        <v>232</v>
      </c>
      <c r="F274" t="s">
        <v>233</v>
      </c>
      <c r="G274" s="2" t="s">
        <v>112</v>
      </c>
      <c r="H274" t="s">
        <v>64</v>
      </c>
      <c r="I274" s="34" t="s">
        <v>234</v>
      </c>
      <c r="J274" s="2" t="s">
        <v>235</v>
      </c>
      <c r="K274" t="s">
        <v>108</v>
      </c>
      <c r="L274" t="s">
        <v>123</v>
      </c>
      <c r="M274" s="2" t="s">
        <v>78</v>
      </c>
      <c r="N274" t="s">
        <v>164</v>
      </c>
      <c r="O274" t="s">
        <v>138</v>
      </c>
      <c r="P274" s="2" t="s">
        <v>20</v>
      </c>
      <c r="Q274" t="s">
        <v>64</v>
      </c>
      <c r="R274" t="s">
        <v>64</v>
      </c>
      <c r="S274" s="85" t="s">
        <v>124</v>
      </c>
      <c r="T274" t="s">
        <v>236</v>
      </c>
      <c r="U274" t="s">
        <v>237</v>
      </c>
      <c r="V274" s="2" t="s">
        <v>238</v>
      </c>
      <c r="W274" s="2" t="s">
        <v>65</v>
      </c>
      <c r="Z274" s="2" t="s">
        <v>116</v>
      </c>
      <c r="AA274" s="2" t="s">
        <v>117</v>
      </c>
      <c r="AB274" s="2" t="s">
        <v>66</v>
      </c>
      <c r="AC274" s="2" t="s">
        <v>67</v>
      </c>
    </row>
    <row r="275" spans="1:29" x14ac:dyDescent="0.25">
      <c r="A275" t="s">
        <v>107</v>
      </c>
      <c r="B275" t="s">
        <v>111</v>
      </c>
      <c r="C275" t="s">
        <v>112</v>
      </c>
      <c r="D275" t="s">
        <v>14</v>
      </c>
      <c r="E275" t="s">
        <v>232</v>
      </c>
      <c r="F275" t="s">
        <v>233</v>
      </c>
      <c r="G275" s="2" t="s">
        <v>112</v>
      </c>
      <c r="H275" t="s">
        <v>64</v>
      </c>
      <c r="I275" s="34" t="s">
        <v>234</v>
      </c>
      <c r="J275" s="2" t="s">
        <v>235</v>
      </c>
      <c r="K275" t="s">
        <v>108</v>
      </c>
      <c r="L275" t="s">
        <v>123</v>
      </c>
      <c r="M275" s="2" t="s">
        <v>78</v>
      </c>
      <c r="N275" t="s">
        <v>164</v>
      </c>
      <c r="O275" t="s">
        <v>139</v>
      </c>
      <c r="P275" s="2" t="s">
        <v>169</v>
      </c>
      <c r="Q275" t="s">
        <v>64</v>
      </c>
      <c r="R275" t="s">
        <v>64</v>
      </c>
      <c r="S275" s="85" t="s">
        <v>124</v>
      </c>
      <c r="T275" t="s">
        <v>236</v>
      </c>
      <c r="U275" t="s">
        <v>237</v>
      </c>
      <c r="V275" s="2" t="s">
        <v>238</v>
      </c>
      <c r="W275" s="2" t="s">
        <v>65</v>
      </c>
      <c r="Z275" s="2" t="s">
        <v>116</v>
      </c>
      <c r="AA275" s="2" t="s">
        <v>117</v>
      </c>
      <c r="AB275" s="2" t="s">
        <v>66</v>
      </c>
      <c r="AC275" s="2" t="s">
        <v>67</v>
      </c>
    </row>
    <row r="276" spans="1:29" x14ac:dyDescent="0.25">
      <c r="A276" t="s">
        <v>107</v>
      </c>
      <c r="B276" t="s">
        <v>111</v>
      </c>
      <c r="C276" t="s">
        <v>112</v>
      </c>
      <c r="D276" t="s">
        <v>14</v>
      </c>
      <c r="E276" t="s">
        <v>232</v>
      </c>
      <c r="F276" t="s">
        <v>233</v>
      </c>
      <c r="G276" s="2" t="s">
        <v>112</v>
      </c>
      <c r="H276" t="s">
        <v>64</v>
      </c>
      <c r="I276" s="34" t="s">
        <v>234</v>
      </c>
      <c r="J276" s="2" t="s">
        <v>235</v>
      </c>
      <c r="K276" t="s">
        <v>108</v>
      </c>
      <c r="L276" t="s">
        <v>123</v>
      </c>
      <c r="M276" s="2" t="s">
        <v>78</v>
      </c>
      <c r="N276" t="s">
        <v>164</v>
      </c>
      <c r="O276" t="s">
        <v>147</v>
      </c>
      <c r="P276" s="2" t="s">
        <v>81</v>
      </c>
      <c r="Q276" t="s">
        <v>64</v>
      </c>
      <c r="R276" t="s">
        <v>64</v>
      </c>
      <c r="S276" s="85" t="s">
        <v>124</v>
      </c>
      <c r="T276" t="s">
        <v>236</v>
      </c>
      <c r="U276" t="s">
        <v>237</v>
      </c>
      <c r="V276" s="2" t="s">
        <v>238</v>
      </c>
      <c r="W276" s="2" t="s">
        <v>65</v>
      </c>
      <c r="Z276" s="2" t="s">
        <v>116</v>
      </c>
      <c r="AA276" s="2" t="s">
        <v>117</v>
      </c>
      <c r="AB276" s="2" t="s">
        <v>66</v>
      </c>
      <c r="AC276" s="2" t="s">
        <v>67</v>
      </c>
    </row>
    <row r="277" spans="1:29" x14ac:dyDescent="0.25">
      <c r="A277" t="s">
        <v>107</v>
      </c>
      <c r="B277" t="s">
        <v>111</v>
      </c>
      <c r="C277" t="s">
        <v>112</v>
      </c>
      <c r="D277" t="s">
        <v>14</v>
      </c>
      <c r="E277" t="s">
        <v>232</v>
      </c>
      <c r="F277" t="s">
        <v>233</v>
      </c>
      <c r="G277" s="2" t="s">
        <v>112</v>
      </c>
      <c r="H277" t="s">
        <v>64</v>
      </c>
      <c r="I277" s="34" t="s">
        <v>234</v>
      </c>
      <c r="J277" s="2" t="s">
        <v>235</v>
      </c>
      <c r="K277" t="s">
        <v>108</v>
      </c>
      <c r="L277" t="s">
        <v>123</v>
      </c>
      <c r="M277" s="2" t="s">
        <v>78</v>
      </c>
      <c r="N277" t="s">
        <v>164</v>
      </c>
      <c r="O277" t="s">
        <v>148</v>
      </c>
      <c r="P277" s="2" t="s">
        <v>81</v>
      </c>
      <c r="Q277" t="s">
        <v>64</v>
      </c>
      <c r="R277" t="s">
        <v>64</v>
      </c>
      <c r="S277" s="85" t="s">
        <v>124</v>
      </c>
      <c r="T277" t="s">
        <v>236</v>
      </c>
      <c r="U277" t="s">
        <v>237</v>
      </c>
      <c r="V277" s="2" t="s">
        <v>238</v>
      </c>
      <c r="W277" s="2" t="s">
        <v>65</v>
      </c>
      <c r="Z277" s="2" t="s">
        <v>116</v>
      </c>
      <c r="AA277" s="2" t="s">
        <v>117</v>
      </c>
      <c r="AB277" s="2" t="s">
        <v>66</v>
      </c>
      <c r="AC277" s="2" t="s">
        <v>67</v>
      </c>
    </row>
    <row r="278" spans="1:29" x14ac:dyDescent="0.25">
      <c r="A278" t="s">
        <v>107</v>
      </c>
      <c r="B278" t="s">
        <v>111</v>
      </c>
      <c r="C278" t="s">
        <v>112</v>
      </c>
      <c r="D278" t="s">
        <v>14</v>
      </c>
      <c r="E278" t="s">
        <v>232</v>
      </c>
      <c r="F278" t="s">
        <v>233</v>
      </c>
      <c r="G278" s="2" t="s">
        <v>112</v>
      </c>
      <c r="H278" t="s">
        <v>64</v>
      </c>
      <c r="I278" s="34" t="s">
        <v>234</v>
      </c>
      <c r="J278" s="2" t="s">
        <v>235</v>
      </c>
      <c r="K278" t="s">
        <v>108</v>
      </c>
      <c r="L278" t="s">
        <v>123</v>
      </c>
      <c r="M278" s="2" t="s">
        <v>78</v>
      </c>
      <c r="N278" t="s">
        <v>164</v>
      </c>
      <c r="O278" t="s">
        <v>149</v>
      </c>
      <c r="P278" s="2" t="s">
        <v>81</v>
      </c>
      <c r="Q278" t="s">
        <v>64</v>
      </c>
      <c r="R278" t="s">
        <v>64</v>
      </c>
      <c r="S278" s="85" t="s">
        <v>124</v>
      </c>
      <c r="T278" t="s">
        <v>236</v>
      </c>
      <c r="U278" t="s">
        <v>237</v>
      </c>
      <c r="V278" s="2" t="s">
        <v>238</v>
      </c>
      <c r="W278" s="2" t="s">
        <v>65</v>
      </c>
      <c r="Z278" s="2" t="s">
        <v>116</v>
      </c>
      <c r="AA278" s="2" t="s">
        <v>117</v>
      </c>
      <c r="AB278" s="2" t="s">
        <v>66</v>
      </c>
      <c r="AC278" s="2" t="s">
        <v>67</v>
      </c>
    </row>
    <row r="279" spans="1:29" x14ac:dyDescent="0.25">
      <c r="A279" t="s">
        <v>107</v>
      </c>
      <c r="B279" t="s">
        <v>111</v>
      </c>
      <c r="C279" t="s">
        <v>112</v>
      </c>
      <c r="D279" t="s">
        <v>14</v>
      </c>
      <c r="E279" t="s">
        <v>232</v>
      </c>
      <c r="F279" t="s">
        <v>233</v>
      </c>
      <c r="G279" s="2" t="s">
        <v>112</v>
      </c>
      <c r="H279" t="s">
        <v>64</v>
      </c>
      <c r="I279" s="34" t="s">
        <v>234</v>
      </c>
      <c r="J279" s="2" t="s">
        <v>235</v>
      </c>
      <c r="K279" t="s">
        <v>108</v>
      </c>
      <c r="L279" t="s">
        <v>123</v>
      </c>
      <c r="M279" s="2" t="s">
        <v>78</v>
      </c>
      <c r="N279" t="s">
        <v>164</v>
      </c>
      <c r="O279" t="s">
        <v>150</v>
      </c>
      <c r="P279" s="2" t="s">
        <v>81</v>
      </c>
      <c r="Q279" t="s">
        <v>64</v>
      </c>
      <c r="R279" t="s">
        <v>64</v>
      </c>
      <c r="S279" s="85" t="s">
        <v>124</v>
      </c>
      <c r="T279" t="s">
        <v>236</v>
      </c>
      <c r="U279" t="s">
        <v>237</v>
      </c>
      <c r="V279" s="2" t="s">
        <v>238</v>
      </c>
      <c r="W279" s="2" t="s">
        <v>65</v>
      </c>
      <c r="Z279" s="2" t="s">
        <v>116</v>
      </c>
      <c r="AA279" s="2" t="s">
        <v>117</v>
      </c>
      <c r="AB279" s="2" t="s">
        <v>66</v>
      </c>
      <c r="AC279" s="2" t="s">
        <v>67</v>
      </c>
    </row>
    <row r="280" spans="1:29" x14ac:dyDescent="0.25">
      <c r="A280" t="s">
        <v>107</v>
      </c>
      <c r="B280" t="s">
        <v>111</v>
      </c>
      <c r="C280" t="s">
        <v>112</v>
      </c>
      <c r="D280" t="s">
        <v>14</v>
      </c>
      <c r="E280" t="s">
        <v>232</v>
      </c>
      <c r="F280" t="s">
        <v>233</v>
      </c>
      <c r="G280" s="2" t="s">
        <v>112</v>
      </c>
      <c r="H280" t="s">
        <v>64</v>
      </c>
      <c r="I280" s="34" t="s">
        <v>234</v>
      </c>
      <c r="J280" s="2" t="s">
        <v>235</v>
      </c>
      <c r="K280" t="s">
        <v>108</v>
      </c>
      <c r="L280" t="s">
        <v>123</v>
      </c>
      <c r="M280" s="2" t="s">
        <v>78</v>
      </c>
      <c r="N280" t="s">
        <v>164</v>
      </c>
      <c r="O280" t="s">
        <v>151</v>
      </c>
      <c r="P280" s="2" t="s">
        <v>81</v>
      </c>
      <c r="Q280" t="s">
        <v>64</v>
      </c>
      <c r="R280" t="s">
        <v>64</v>
      </c>
      <c r="S280" s="85" t="s">
        <v>124</v>
      </c>
      <c r="T280" t="s">
        <v>236</v>
      </c>
      <c r="U280" t="s">
        <v>237</v>
      </c>
      <c r="V280" s="2" t="s">
        <v>238</v>
      </c>
      <c r="W280" s="2" t="s">
        <v>65</v>
      </c>
      <c r="Z280" s="2" t="s">
        <v>116</v>
      </c>
      <c r="AA280" s="2" t="s">
        <v>117</v>
      </c>
      <c r="AB280" s="2" t="s">
        <v>66</v>
      </c>
      <c r="AC280" s="2" t="s">
        <v>67</v>
      </c>
    </row>
    <row r="281" spans="1:29" x14ac:dyDescent="0.25">
      <c r="A281" t="s">
        <v>107</v>
      </c>
      <c r="B281" t="s">
        <v>111</v>
      </c>
      <c r="C281" t="s">
        <v>112</v>
      </c>
      <c r="D281" t="s">
        <v>14</v>
      </c>
      <c r="E281" t="s">
        <v>232</v>
      </c>
      <c r="F281" t="s">
        <v>233</v>
      </c>
      <c r="G281" s="2" t="s">
        <v>112</v>
      </c>
      <c r="H281" t="s">
        <v>64</v>
      </c>
      <c r="I281" s="34" t="s">
        <v>234</v>
      </c>
      <c r="J281" s="2" t="s">
        <v>235</v>
      </c>
      <c r="K281" t="s">
        <v>108</v>
      </c>
      <c r="L281" t="s">
        <v>123</v>
      </c>
      <c r="M281" s="2" t="s">
        <v>78</v>
      </c>
      <c r="N281" t="s">
        <v>164</v>
      </c>
      <c r="O281" t="s">
        <v>152</v>
      </c>
      <c r="P281" s="2" t="s">
        <v>188</v>
      </c>
      <c r="Q281" t="s">
        <v>64</v>
      </c>
      <c r="R281" t="s">
        <v>64</v>
      </c>
      <c r="S281" s="85" t="s">
        <v>124</v>
      </c>
      <c r="T281" t="s">
        <v>236</v>
      </c>
      <c r="U281" t="s">
        <v>237</v>
      </c>
      <c r="V281" s="2" t="s">
        <v>238</v>
      </c>
      <c r="W281" s="2" t="s">
        <v>65</v>
      </c>
      <c r="Z281" s="2" t="s">
        <v>116</v>
      </c>
      <c r="AA281" s="2" t="s">
        <v>117</v>
      </c>
      <c r="AB281" s="2" t="s">
        <v>66</v>
      </c>
      <c r="AC281" s="2" t="s">
        <v>67</v>
      </c>
    </row>
    <row r="282" spans="1:29" x14ac:dyDescent="0.25">
      <c r="A282" t="s">
        <v>107</v>
      </c>
      <c r="B282" t="s">
        <v>111</v>
      </c>
      <c r="C282" t="s">
        <v>112</v>
      </c>
      <c r="D282" t="s">
        <v>14</v>
      </c>
      <c r="E282" t="s">
        <v>232</v>
      </c>
      <c r="F282" t="s">
        <v>233</v>
      </c>
      <c r="G282" s="2" t="s">
        <v>112</v>
      </c>
      <c r="H282" t="s">
        <v>64</v>
      </c>
      <c r="I282" s="34" t="s">
        <v>234</v>
      </c>
      <c r="J282" s="2" t="s">
        <v>235</v>
      </c>
      <c r="K282" t="s">
        <v>108</v>
      </c>
      <c r="L282" t="s">
        <v>123</v>
      </c>
      <c r="M282" s="2" t="s">
        <v>78</v>
      </c>
      <c r="N282" t="s">
        <v>164</v>
      </c>
      <c r="O282" t="s">
        <v>153</v>
      </c>
      <c r="P282" s="2" t="s">
        <v>20</v>
      </c>
      <c r="Q282" t="s">
        <v>64</v>
      </c>
      <c r="R282" t="s">
        <v>64</v>
      </c>
      <c r="S282" s="85" t="s">
        <v>124</v>
      </c>
      <c r="T282" t="s">
        <v>236</v>
      </c>
      <c r="U282" t="s">
        <v>237</v>
      </c>
      <c r="V282" s="2" t="s">
        <v>238</v>
      </c>
      <c r="W282" s="2" t="s">
        <v>65</v>
      </c>
      <c r="Z282" s="2" t="s">
        <v>116</v>
      </c>
      <c r="AA282" s="2" t="s">
        <v>117</v>
      </c>
      <c r="AB282" s="2" t="s">
        <v>66</v>
      </c>
      <c r="AC282" s="2" t="s">
        <v>67</v>
      </c>
    </row>
    <row r="283" spans="1:29" x14ac:dyDescent="0.25">
      <c r="A283" t="s">
        <v>107</v>
      </c>
      <c r="B283" t="s">
        <v>111</v>
      </c>
      <c r="C283" t="s">
        <v>112</v>
      </c>
      <c r="D283" t="s">
        <v>14</v>
      </c>
      <c r="E283" t="s">
        <v>232</v>
      </c>
      <c r="F283" t="s">
        <v>233</v>
      </c>
      <c r="G283" s="2" t="s">
        <v>112</v>
      </c>
      <c r="H283" t="s">
        <v>64</v>
      </c>
      <c r="I283" s="34" t="s">
        <v>234</v>
      </c>
      <c r="J283" s="2" t="s">
        <v>235</v>
      </c>
      <c r="K283" t="s">
        <v>108</v>
      </c>
      <c r="L283" t="s">
        <v>123</v>
      </c>
      <c r="M283" s="2" t="s">
        <v>78</v>
      </c>
      <c r="N283" t="s">
        <v>164</v>
      </c>
      <c r="O283" t="s">
        <v>154</v>
      </c>
      <c r="P283" s="2" t="s">
        <v>20</v>
      </c>
      <c r="Q283" t="s">
        <v>64</v>
      </c>
      <c r="R283" t="s">
        <v>64</v>
      </c>
      <c r="S283" s="85" t="s">
        <v>124</v>
      </c>
      <c r="T283" t="s">
        <v>236</v>
      </c>
      <c r="U283" t="s">
        <v>237</v>
      </c>
      <c r="V283" s="2" t="s">
        <v>238</v>
      </c>
      <c r="W283" s="2" t="s">
        <v>65</v>
      </c>
      <c r="Z283" s="2" t="s">
        <v>116</v>
      </c>
      <c r="AA283" s="2" t="s">
        <v>117</v>
      </c>
      <c r="AB283" s="2" t="s">
        <v>66</v>
      </c>
      <c r="AC283" s="2" t="s">
        <v>67</v>
      </c>
    </row>
    <row r="284" spans="1:29" x14ac:dyDescent="0.25">
      <c r="A284" t="s">
        <v>107</v>
      </c>
      <c r="B284" t="s">
        <v>111</v>
      </c>
      <c r="C284" t="s">
        <v>112</v>
      </c>
      <c r="D284" t="s">
        <v>14</v>
      </c>
      <c r="E284" t="s">
        <v>232</v>
      </c>
      <c r="F284" t="s">
        <v>233</v>
      </c>
      <c r="G284" s="2" t="s">
        <v>112</v>
      </c>
      <c r="H284" t="s">
        <v>64</v>
      </c>
      <c r="I284" s="34" t="s">
        <v>234</v>
      </c>
      <c r="J284" s="2" t="s">
        <v>235</v>
      </c>
      <c r="K284" t="s">
        <v>108</v>
      </c>
      <c r="L284" t="s">
        <v>123</v>
      </c>
      <c r="M284" s="2" t="s">
        <v>78</v>
      </c>
      <c r="N284" t="s">
        <v>164</v>
      </c>
      <c r="O284" t="s">
        <v>155</v>
      </c>
      <c r="P284" s="2" t="s">
        <v>20</v>
      </c>
      <c r="Q284" t="s">
        <v>64</v>
      </c>
      <c r="R284" t="s">
        <v>64</v>
      </c>
      <c r="S284" s="85" t="s">
        <v>124</v>
      </c>
      <c r="T284" t="s">
        <v>236</v>
      </c>
      <c r="U284" t="s">
        <v>237</v>
      </c>
      <c r="V284" s="2" t="s">
        <v>238</v>
      </c>
      <c r="W284" s="2" t="s">
        <v>65</v>
      </c>
      <c r="Z284" s="2" t="s">
        <v>116</v>
      </c>
      <c r="AA284" s="2" t="s">
        <v>117</v>
      </c>
      <c r="AB284" s="2" t="s">
        <v>66</v>
      </c>
      <c r="AC284" s="2" t="s">
        <v>67</v>
      </c>
    </row>
    <row r="285" spans="1:29" x14ac:dyDescent="0.25">
      <c r="A285" t="s">
        <v>107</v>
      </c>
      <c r="B285" t="s">
        <v>111</v>
      </c>
      <c r="C285" t="s">
        <v>112</v>
      </c>
      <c r="D285" t="s">
        <v>14</v>
      </c>
      <c r="E285" t="s">
        <v>232</v>
      </c>
      <c r="F285" t="s">
        <v>233</v>
      </c>
      <c r="G285" s="2" t="s">
        <v>112</v>
      </c>
      <c r="H285" t="s">
        <v>64</v>
      </c>
      <c r="I285" s="34" t="s">
        <v>234</v>
      </c>
      <c r="J285" s="2" t="s">
        <v>235</v>
      </c>
      <c r="K285" t="s">
        <v>108</v>
      </c>
      <c r="L285" t="s">
        <v>123</v>
      </c>
      <c r="M285" s="2" t="s">
        <v>78</v>
      </c>
      <c r="N285" t="s">
        <v>164</v>
      </c>
      <c r="O285" t="s">
        <v>156</v>
      </c>
      <c r="P285" s="2" t="s">
        <v>20</v>
      </c>
      <c r="Q285" t="s">
        <v>64</v>
      </c>
      <c r="R285" t="s">
        <v>64</v>
      </c>
      <c r="S285" s="85" t="s">
        <v>124</v>
      </c>
      <c r="T285" t="s">
        <v>236</v>
      </c>
      <c r="U285" t="s">
        <v>237</v>
      </c>
      <c r="V285" s="2" t="s">
        <v>238</v>
      </c>
      <c r="W285" s="2" t="s">
        <v>65</v>
      </c>
      <c r="Z285" s="2" t="s">
        <v>116</v>
      </c>
      <c r="AA285" s="2" t="s">
        <v>117</v>
      </c>
      <c r="AB285" s="2" t="s">
        <v>66</v>
      </c>
      <c r="AC285" s="2" t="s">
        <v>67</v>
      </c>
    </row>
    <row r="286" spans="1:29" x14ac:dyDescent="0.25">
      <c r="A286" t="s">
        <v>107</v>
      </c>
      <c r="B286" t="s">
        <v>111</v>
      </c>
      <c r="C286" t="s">
        <v>112</v>
      </c>
      <c r="D286" t="s">
        <v>14</v>
      </c>
      <c r="E286" t="s">
        <v>232</v>
      </c>
      <c r="F286" t="s">
        <v>233</v>
      </c>
      <c r="G286" s="2" t="s">
        <v>112</v>
      </c>
      <c r="H286" t="s">
        <v>64</v>
      </c>
      <c r="I286" s="34" t="s">
        <v>234</v>
      </c>
      <c r="J286" s="2" t="s">
        <v>235</v>
      </c>
      <c r="K286" t="s">
        <v>108</v>
      </c>
      <c r="L286" t="s">
        <v>123</v>
      </c>
      <c r="M286" s="2" t="s">
        <v>78</v>
      </c>
      <c r="N286" t="s">
        <v>164</v>
      </c>
      <c r="O286" t="s">
        <v>157</v>
      </c>
      <c r="P286" s="2" t="s">
        <v>81</v>
      </c>
      <c r="Q286" t="s">
        <v>64</v>
      </c>
      <c r="R286" t="s">
        <v>64</v>
      </c>
      <c r="S286" s="85" t="s">
        <v>124</v>
      </c>
      <c r="T286" t="s">
        <v>236</v>
      </c>
      <c r="U286" t="s">
        <v>237</v>
      </c>
      <c r="V286" s="2" t="s">
        <v>238</v>
      </c>
      <c r="W286" s="2" t="s">
        <v>65</v>
      </c>
      <c r="Z286" s="2" t="s">
        <v>116</v>
      </c>
      <c r="AA286" s="2" t="s">
        <v>117</v>
      </c>
      <c r="AB286" s="2" t="s">
        <v>66</v>
      </c>
      <c r="AC286" s="2" t="s">
        <v>67</v>
      </c>
    </row>
    <row r="287" spans="1:29" hidden="1" x14ac:dyDescent="0.25">
      <c r="A287" t="s">
        <v>107</v>
      </c>
      <c r="B287" t="s">
        <v>92</v>
      </c>
      <c r="C287" t="s">
        <v>93</v>
      </c>
      <c r="D287" t="s">
        <v>14</v>
      </c>
      <c r="E287" t="s">
        <v>161</v>
      </c>
      <c r="F287" t="s">
        <v>161</v>
      </c>
      <c r="G287" s="2" t="s">
        <v>93</v>
      </c>
      <c r="H287" t="s">
        <v>64</v>
      </c>
      <c r="I287" s="34" t="s">
        <v>239</v>
      </c>
      <c r="J287" s="2" t="s">
        <v>240</v>
      </c>
      <c r="K287" t="s">
        <v>108</v>
      </c>
      <c r="L287" t="s">
        <v>118</v>
      </c>
      <c r="M287" s="2" t="s">
        <v>78</v>
      </c>
      <c r="N287" t="s">
        <v>164</v>
      </c>
      <c r="O287" t="s">
        <v>133</v>
      </c>
      <c r="P287" s="2" t="s">
        <v>20</v>
      </c>
      <c r="Q287" t="s">
        <v>64</v>
      </c>
      <c r="R287" t="s">
        <v>64</v>
      </c>
      <c r="S287" s="85" t="s">
        <v>124</v>
      </c>
      <c r="T287" t="s">
        <v>241</v>
      </c>
      <c r="U287" t="s">
        <v>242</v>
      </c>
      <c r="V287" s="2" t="s">
        <v>243</v>
      </c>
      <c r="W287" s="2" t="s">
        <v>65</v>
      </c>
      <c r="Z287" s="2" t="s">
        <v>126</v>
      </c>
      <c r="AA287" s="2" t="s">
        <v>127</v>
      </c>
      <c r="AB287" s="2" t="s">
        <v>66</v>
      </c>
      <c r="AC287" s="2" t="s">
        <v>67</v>
      </c>
    </row>
    <row r="288" spans="1:29" hidden="1" x14ac:dyDescent="0.25">
      <c r="A288" t="s">
        <v>107</v>
      </c>
      <c r="B288" t="s">
        <v>92</v>
      </c>
      <c r="C288" t="s">
        <v>93</v>
      </c>
      <c r="D288" t="s">
        <v>14</v>
      </c>
      <c r="E288" t="s">
        <v>161</v>
      </c>
      <c r="F288" t="s">
        <v>161</v>
      </c>
      <c r="G288" s="2" t="s">
        <v>93</v>
      </c>
      <c r="H288" t="s">
        <v>64</v>
      </c>
      <c r="I288" s="34" t="s">
        <v>239</v>
      </c>
      <c r="J288" s="2" t="s">
        <v>240</v>
      </c>
      <c r="K288" t="s">
        <v>108</v>
      </c>
      <c r="L288" t="s">
        <v>118</v>
      </c>
      <c r="M288" s="2" t="s">
        <v>78</v>
      </c>
      <c r="N288" t="s">
        <v>164</v>
      </c>
      <c r="O288" t="s">
        <v>97</v>
      </c>
      <c r="P288" s="2" t="s">
        <v>20</v>
      </c>
      <c r="Q288" t="s">
        <v>64</v>
      </c>
      <c r="R288" t="s">
        <v>64</v>
      </c>
      <c r="S288" s="85" t="s">
        <v>124</v>
      </c>
      <c r="T288" t="s">
        <v>241</v>
      </c>
      <c r="U288" t="s">
        <v>242</v>
      </c>
      <c r="V288" s="2" t="s">
        <v>243</v>
      </c>
      <c r="W288" s="2" t="s">
        <v>65</v>
      </c>
      <c r="Z288" s="2" t="s">
        <v>126</v>
      </c>
      <c r="AA288" s="2" t="s">
        <v>127</v>
      </c>
      <c r="AB288" s="2" t="s">
        <v>66</v>
      </c>
      <c r="AC288" s="2" t="s">
        <v>67</v>
      </c>
    </row>
    <row r="289" spans="1:29" hidden="1" x14ac:dyDescent="0.25">
      <c r="A289" t="s">
        <v>107</v>
      </c>
      <c r="B289" t="s">
        <v>92</v>
      </c>
      <c r="C289" t="s">
        <v>93</v>
      </c>
      <c r="D289" t="s">
        <v>14</v>
      </c>
      <c r="E289" t="s">
        <v>161</v>
      </c>
      <c r="F289" t="s">
        <v>161</v>
      </c>
      <c r="G289" s="2" t="s">
        <v>93</v>
      </c>
      <c r="H289" t="s">
        <v>64</v>
      </c>
      <c r="I289" s="34" t="s">
        <v>239</v>
      </c>
      <c r="J289" s="2" t="s">
        <v>240</v>
      </c>
      <c r="K289" t="s">
        <v>108</v>
      </c>
      <c r="L289" t="s">
        <v>118</v>
      </c>
      <c r="M289" s="2" t="s">
        <v>78</v>
      </c>
      <c r="N289" t="s">
        <v>164</v>
      </c>
      <c r="O289" t="s">
        <v>98</v>
      </c>
      <c r="P289" s="2" t="s">
        <v>20</v>
      </c>
      <c r="Q289" t="s">
        <v>64</v>
      </c>
      <c r="R289" t="s">
        <v>64</v>
      </c>
      <c r="S289" s="85" t="s">
        <v>124</v>
      </c>
      <c r="T289" t="s">
        <v>241</v>
      </c>
      <c r="U289" t="s">
        <v>242</v>
      </c>
      <c r="V289" s="2" t="s">
        <v>243</v>
      </c>
      <c r="W289" s="2" t="s">
        <v>65</v>
      </c>
      <c r="Z289" s="2" t="s">
        <v>126</v>
      </c>
      <c r="AA289" s="2" t="s">
        <v>127</v>
      </c>
      <c r="AB289" s="2" t="s">
        <v>66</v>
      </c>
      <c r="AC289" s="2" t="s">
        <v>67</v>
      </c>
    </row>
    <row r="290" spans="1:29" hidden="1" x14ac:dyDescent="0.25">
      <c r="A290" t="s">
        <v>107</v>
      </c>
      <c r="B290" t="s">
        <v>92</v>
      </c>
      <c r="C290" t="s">
        <v>93</v>
      </c>
      <c r="D290" t="s">
        <v>14</v>
      </c>
      <c r="E290" t="s">
        <v>161</v>
      </c>
      <c r="F290" t="s">
        <v>161</v>
      </c>
      <c r="G290" s="2" t="s">
        <v>93</v>
      </c>
      <c r="H290" t="s">
        <v>64</v>
      </c>
      <c r="I290" s="34" t="s">
        <v>239</v>
      </c>
      <c r="J290" s="2" t="s">
        <v>240</v>
      </c>
      <c r="K290" t="s">
        <v>108</v>
      </c>
      <c r="L290" t="s">
        <v>118</v>
      </c>
      <c r="M290" s="2" t="s">
        <v>78</v>
      </c>
      <c r="N290" t="s">
        <v>164</v>
      </c>
      <c r="O290" t="s">
        <v>134</v>
      </c>
      <c r="P290" s="2" t="s">
        <v>20</v>
      </c>
      <c r="Q290" t="s">
        <v>64</v>
      </c>
      <c r="R290" t="s">
        <v>64</v>
      </c>
      <c r="S290" s="85" t="s">
        <v>124</v>
      </c>
      <c r="T290" t="s">
        <v>241</v>
      </c>
      <c r="U290" t="s">
        <v>242</v>
      </c>
      <c r="V290" s="2" t="s">
        <v>243</v>
      </c>
      <c r="W290" s="2" t="s">
        <v>65</v>
      </c>
      <c r="Z290" s="2" t="s">
        <v>126</v>
      </c>
      <c r="AA290" s="2" t="s">
        <v>127</v>
      </c>
      <c r="AB290" s="2" t="s">
        <v>66</v>
      </c>
      <c r="AC290" s="2" t="s">
        <v>67</v>
      </c>
    </row>
    <row r="291" spans="1:29" hidden="1" x14ac:dyDescent="0.25">
      <c r="A291" t="s">
        <v>107</v>
      </c>
      <c r="B291" t="s">
        <v>92</v>
      </c>
      <c r="C291" t="s">
        <v>93</v>
      </c>
      <c r="D291" t="s">
        <v>14</v>
      </c>
      <c r="E291" t="s">
        <v>161</v>
      </c>
      <c r="F291" t="s">
        <v>161</v>
      </c>
      <c r="G291" s="2" t="s">
        <v>93</v>
      </c>
      <c r="H291" t="s">
        <v>64</v>
      </c>
      <c r="I291" s="34" t="s">
        <v>239</v>
      </c>
      <c r="J291" s="2" t="s">
        <v>240</v>
      </c>
      <c r="K291" t="s">
        <v>108</v>
      </c>
      <c r="L291" t="s">
        <v>118</v>
      </c>
      <c r="M291" s="2" t="s">
        <v>78</v>
      </c>
      <c r="N291" t="s">
        <v>164</v>
      </c>
      <c r="O291" t="s">
        <v>35</v>
      </c>
      <c r="P291" s="2" t="s">
        <v>20</v>
      </c>
      <c r="Q291" t="s">
        <v>64</v>
      </c>
      <c r="R291" t="s">
        <v>64</v>
      </c>
      <c r="S291" s="85" t="s">
        <v>124</v>
      </c>
      <c r="T291" t="s">
        <v>241</v>
      </c>
      <c r="U291" t="s">
        <v>242</v>
      </c>
      <c r="V291" s="2" t="s">
        <v>243</v>
      </c>
      <c r="W291" s="2" t="s">
        <v>65</v>
      </c>
      <c r="Z291" s="2" t="s">
        <v>126</v>
      </c>
      <c r="AA291" s="2" t="s">
        <v>127</v>
      </c>
      <c r="AB291" s="2" t="s">
        <v>66</v>
      </c>
      <c r="AC291" s="2" t="s">
        <v>67</v>
      </c>
    </row>
    <row r="292" spans="1:29" hidden="1" x14ac:dyDescent="0.25">
      <c r="A292" t="s">
        <v>107</v>
      </c>
      <c r="B292" t="s">
        <v>92</v>
      </c>
      <c r="C292" t="s">
        <v>93</v>
      </c>
      <c r="D292" t="s">
        <v>14</v>
      </c>
      <c r="E292" t="s">
        <v>161</v>
      </c>
      <c r="F292" t="s">
        <v>161</v>
      </c>
      <c r="G292" s="2" t="s">
        <v>93</v>
      </c>
      <c r="H292" t="s">
        <v>64</v>
      </c>
      <c r="I292" s="34" t="s">
        <v>239</v>
      </c>
      <c r="J292" s="2" t="s">
        <v>240</v>
      </c>
      <c r="K292" t="s">
        <v>108</v>
      </c>
      <c r="L292" t="s">
        <v>118</v>
      </c>
      <c r="M292" s="2" t="s">
        <v>78</v>
      </c>
      <c r="N292" t="s">
        <v>164</v>
      </c>
      <c r="O292" t="s">
        <v>135</v>
      </c>
      <c r="P292" s="2" t="s">
        <v>81</v>
      </c>
      <c r="Q292" t="s">
        <v>64</v>
      </c>
      <c r="R292" t="s">
        <v>64</v>
      </c>
      <c r="S292" s="85" t="s">
        <v>124</v>
      </c>
      <c r="T292" t="s">
        <v>241</v>
      </c>
      <c r="U292" t="s">
        <v>242</v>
      </c>
      <c r="V292" s="2" t="s">
        <v>243</v>
      </c>
      <c r="W292" s="2" t="s">
        <v>65</v>
      </c>
      <c r="Z292" s="2" t="s">
        <v>126</v>
      </c>
      <c r="AA292" s="2" t="s">
        <v>127</v>
      </c>
      <c r="AB292" s="2" t="s">
        <v>66</v>
      </c>
      <c r="AC292" s="2" t="s">
        <v>67</v>
      </c>
    </row>
    <row r="293" spans="1:29" hidden="1" x14ac:dyDescent="0.25">
      <c r="A293" t="s">
        <v>107</v>
      </c>
      <c r="B293" t="s">
        <v>92</v>
      </c>
      <c r="C293" t="s">
        <v>93</v>
      </c>
      <c r="D293" t="s">
        <v>14</v>
      </c>
      <c r="E293" t="s">
        <v>161</v>
      </c>
      <c r="F293" t="s">
        <v>161</v>
      </c>
      <c r="G293" s="2" t="s">
        <v>93</v>
      </c>
      <c r="H293" t="s">
        <v>64</v>
      </c>
      <c r="I293" s="34" t="s">
        <v>239</v>
      </c>
      <c r="J293" s="2" t="s">
        <v>240</v>
      </c>
      <c r="K293" t="s">
        <v>108</v>
      </c>
      <c r="L293" t="s">
        <v>118</v>
      </c>
      <c r="M293" s="2" t="s">
        <v>78</v>
      </c>
      <c r="N293" t="s">
        <v>164</v>
      </c>
      <c r="O293" t="s">
        <v>99</v>
      </c>
      <c r="P293" s="2" t="s">
        <v>20</v>
      </c>
      <c r="Q293" t="s">
        <v>64</v>
      </c>
      <c r="R293" t="s">
        <v>64</v>
      </c>
      <c r="S293" s="85" t="s">
        <v>124</v>
      </c>
      <c r="T293" t="s">
        <v>241</v>
      </c>
      <c r="U293" t="s">
        <v>242</v>
      </c>
      <c r="V293" s="2" t="s">
        <v>243</v>
      </c>
      <c r="W293" s="2" t="s">
        <v>65</v>
      </c>
      <c r="Z293" s="2" t="s">
        <v>126</v>
      </c>
      <c r="AA293" s="2" t="s">
        <v>127</v>
      </c>
      <c r="AB293" s="2" t="s">
        <v>66</v>
      </c>
      <c r="AC293" s="2" t="s">
        <v>67</v>
      </c>
    </row>
    <row r="294" spans="1:29" hidden="1" x14ac:dyDescent="0.25">
      <c r="A294" t="s">
        <v>107</v>
      </c>
      <c r="B294" t="s">
        <v>92</v>
      </c>
      <c r="C294" t="s">
        <v>93</v>
      </c>
      <c r="D294" t="s">
        <v>14</v>
      </c>
      <c r="E294" t="s">
        <v>161</v>
      </c>
      <c r="F294" t="s">
        <v>161</v>
      </c>
      <c r="G294" s="2" t="s">
        <v>93</v>
      </c>
      <c r="H294" t="s">
        <v>64</v>
      </c>
      <c r="I294" s="34" t="s">
        <v>239</v>
      </c>
      <c r="J294" s="2" t="s">
        <v>240</v>
      </c>
      <c r="K294" t="s">
        <v>108</v>
      </c>
      <c r="L294" t="s">
        <v>118</v>
      </c>
      <c r="M294" s="2" t="s">
        <v>78</v>
      </c>
      <c r="N294" t="s">
        <v>164</v>
      </c>
      <c r="O294" t="s">
        <v>100</v>
      </c>
      <c r="P294" s="2" t="s">
        <v>20</v>
      </c>
      <c r="Q294" t="s">
        <v>64</v>
      </c>
      <c r="R294" t="s">
        <v>64</v>
      </c>
      <c r="S294" s="85" t="s">
        <v>124</v>
      </c>
      <c r="T294" t="s">
        <v>241</v>
      </c>
      <c r="U294" t="s">
        <v>242</v>
      </c>
      <c r="V294" s="2" t="s">
        <v>243</v>
      </c>
      <c r="W294" s="2" t="s">
        <v>65</v>
      </c>
      <c r="Z294" s="2" t="s">
        <v>126</v>
      </c>
      <c r="AA294" s="2" t="s">
        <v>127</v>
      </c>
      <c r="AB294" s="2" t="s">
        <v>66</v>
      </c>
      <c r="AC294" s="2" t="s">
        <v>67</v>
      </c>
    </row>
    <row r="295" spans="1:29" hidden="1" x14ac:dyDescent="0.25">
      <c r="A295" t="s">
        <v>107</v>
      </c>
      <c r="B295" t="s">
        <v>92</v>
      </c>
      <c r="C295" t="s">
        <v>93</v>
      </c>
      <c r="D295" t="s">
        <v>14</v>
      </c>
      <c r="E295" t="s">
        <v>161</v>
      </c>
      <c r="F295" t="s">
        <v>161</v>
      </c>
      <c r="G295" s="2" t="s">
        <v>93</v>
      </c>
      <c r="H295" t="s">
        <v>64</v>
      </c>
      <c r="I295" s="34" t="s">
        <v>239</v>
      </c>
      <c r="J295" s="2" t="s">
        <v>240</v>
      </c>
      <c r="K295" t="s">
        <v>108</v>
      </c>
      <c r="L295" t="s">
        <v>118</v>
      </c>
      <c r="M295" s="2" t="s">
        <v>78</v>
      </c>
      <c r="N295" t="s">
        <v>164</v>
      </c>
      <c r="O295" t="s">
        <v>101</v>
      </c>
      <c r="P295" s="2" t="s">
        <v>81</v>
      </c>
      <c r="Q295" t="s">
        <v>64</v>
      </c>
      <c r="R295" t="s">
        <v>64</v>
      </c>
      <c r="S295" s="85" t="s">
        <v>124</v>
      </c>
      <c r="T295" t="s">
        <v>241</v>
      </c>
      <c r="U295" t="s">
        <v>242</v>
      </c>
      <c r="V295" s="2" t="s">
        <v>243</v>
      </c>
      <c r="W295" s="2" t="s">
        <v>65</v>
      </c>
      <c r="Z295" s="2" t="s">
        <v>126</v>
      </c>
      <c r="AA295" s="2" t="s">
        <v>127</v>
      </c>
      <c r="AB295" s="2" t="s">
        <v>66</v>
      </c>
      <c r="AC295" s="2" t="s">
        <v>67</v>
      </c>
    </row>
    <row r="296" spans="1:29" hidden="1" x14ac:dyDescent="0.25">
      <c r="A296" t="s">
        <v>107</v>
      </c>
      <c r="B296" t="s">
        <v>92</v>
      </c>
      <c r="C296" t="s">
        <v>93</v>
      </c>
      <c r="D296" t="s">
        <v>14</v>
      </c>
      <c r="E296" t="s">
        <v>161</v>
      </c>
      <c r="F296" t="s">
        <v>161</v>
      </c>
      <c r="G296" s="2" t="s">
        <v>93</v>
      </c>
      <c r="H296" t="s">
        <v>64</v>
      </c>
      <c r="I296" s="34" t="s">
        <v>239</v>
      </c>
      <c r="J296" s="2" t="s">
        <v>240</v>
      </c>
      <c r="K296" t="s">
        <v>108</v>
      </c>
      <c r="L296" t="s">
        <v>118</v>
      </c>
      <c r="M296" s="2" t="s">
        <v>78</v>
      </c>
      <c r="N296" t="s">
        <v>164</v>
      </c>
      <c r="O296" t="s">
        <v>102</v>
      </c>
      <c r="P296" s="2" t="s">
        <v>81</v>
      </c>
      <c r="Q296" t="s">
        <v>64</v>
      </c>
      <c r="R296" t="s">
        <v>64</v>
      </c>
      <c r="S296" s="85" t="s">
        <v>124</v>
      </c>
      <c r="T296" t="s">
        <v>241</v>
      </c>
      <c r="U296" t="s">
        <v>242</v>
      </c>
      <c r="V296" s="2" t="s">
        <v>243</v>
      </c>
      <c r="W296" s="2" t="s">
        <v>65</v>
      </c>
      <c r="Z296" s="2" t="s">
        <v>126</v>
      </c>
      <c r="AA296" s="2" t="s">
        <v>127</v>
      </c>
      <c r="AB296" s="2" t="s">
        <v>66</v>
      </c>
      <c r="AC296" s="2" t="s">
        <v>67</v>
      </c>
    </row>
    <row r="297" spans="1:29" hidden="1" x14ac:dyDescent="0.25">
      <c r="A297" t="s">
        <v>107</v>
      </c>
      <c r="B297" t="s">
        <v>92</v>
      </c>
      <c r="C297" t="s">
        <v>93</v>
      </c>
      <c r="D297" t="s">
        <v>14</v>
      </c>
      <c r="E297" t="s">
        <v>161</v>
      </c>
      <c r="F297" t="s">
        <v>161</v>
      </c>
      <c r="G297" s="2" t="s">
        <v>93</v>
      </c>
      <c r="H297" t="s">
        <v>64</v>
      </c>
      <c r="I297" s="34" t="s">
        <v>239</v>
      </c>
      <c r="J297" s="2" t="s">
        <v>240</v>
      </c>
      <c r="K297" t="s">
        <v>108</v>
      </c>
      <c r="L297" t="s">
        <v>118</v>
      </c>
      <c r="M297" s="2" t="s">
        <v>78</v>
      </c>
      <c r="N297" t="s">
        <v>164</v>
      </c>
      <c r="O297" t="s">
        <v>103</v>
      </c>
      <c r="P297" s="2" t="s">
        <v>81</v>
      </c>
      <c r="Q297" t="s">
        <v>64</v>
      </c>
      <c r="R297" t="s">
        <v>64</v>
      </c>
      <c r="S297" s="85" t="s">
        <v>124</v>
      </c>
      <c r="T297" t="s">
        <v>241</v>
      </c>
      <c r="U297" t="s">
        <v>242</v>
      </c>
      <c r="V297" s="2" t="s">
        <v>243</v>
      </c>
      <c r="W297" s="2" t="s">
        <v>65</v>
      </c>
      <c r="Z297" s="2" t="s">
        <v>126</v>
      </c>
      <c r="AA297" s="2" t="s">
        <v>127</v>
      </c>
      <c r="AB297" s="2" t="s">
        <v>66</v>
      </c>
      <c r="AC297" s="2" t="s">
        <v>67</v>
      </c>
    </row>
    <row r="298" spans="1:29" hidden="1" x14ac:dyDescent="0.25">
      <c r="A298" t="s">
        <v>107</v>
      </c>
      <c r="B298" t="s">
        <v>92</v>
      </c>
      <c r="C298" t="s">
        <v>93</v>
      </c>
      <c r="D298" t="s">
        <v>14</v>
      </c>
      <c r="E298" t="s">
        <v>161</v>
      </c>
      <c r="F298" t="s">
        <v>161</v>
      </c>
      <c r="G298" s="2" t="s">
        <v>93</v>
      </c>
      <c r="H298" t="s">
        <v>64</v>
      </c>
      <c r="I298" s="34" t="s">
        <v>239</v>
      </c>
      <c r="J298" s="2" t="s">
        <v>240</v>
      </c>
      <c r="K298" t="s">
        <v>108</v>
      </c>
      <c r="L298" t="s">
        <v>118</v>
      </c>
      <c r="M298" s="2" t="s">
        <v>78</v>
      </c>
      <c r="N298" t="s">
        <v>164</v>
      </c>
      <c r="O298" t="s">
        <v>104</v>
      </c>
      <c r="P298" s="2" t="s">
        <v>81</v>
      </c>
      <c r="Q298" t="s">
        <v>64</v>
      </c>
      <c r="R298" t="s">
        <v>64</v>
      </c>
      <c r="S298" s="85" t="s">
        <v>124</v>
      </c>
      <c r="T298" t="s">
        <v>241</v>
      </c>
      <c r="U298" t="s">
        <v>242</v>
      </c>
      <c r="V298" s="2" t="s">
        <v>243</v>
      </c>
      <c r="W298" s="2" t="s">
        <v>65</v>
      </c>
      <c r="Z298" s="2" t="s">
        <v>126</v>
      </c>
      <c r="AA298" s="2" t="s">
        <v>127</v>
      </c>
      <c r="AB298" s="2" t="s">
        <v>66</v>
      </c>
      <c r="AC298" s="2" t="s">
        <v>67</v>
      </c>
    </row>
    <row r="299" spans="1:29" hidden="1" x14ac:dyDescent="0.25">
      <c r="A299" t="s">
        <v>107</v>
      </c>
      <c r="B299" t="s">
        <v>92</v>
      </c>
      <c r="C299" t="s">
        <v>93</v>
      </c>
      <c r="D299" t="s">
        <v>14</v>
      </c>
      <c r="E299" t="s">
        <v>161</v>
      </c>
      <c r="F299" t="s">
        <v>161</v>
      </c>
      <c r="G299" s="2" t="s">
        <v>93</v>
      </c>
      <c r="H299" t="s">
        <v>64</v>
      </c>
      <c r="I299" s="34" t="s">
        <v>239</v>
      </c>
      <c r="J299" s="2" t="s">
        <v>240</v>
      </c>
      <c r="K299" t="s">
        <v>108</v>
      </c>
      <c r="L299" t="s">
        <v>118</v>
      </c>
      <c r="M299" s="2" t="s">
        <v>78</v>
      </c>
      <c r="N299" t="s">
        <v>164</v>
      </c>
      <c r="O299" t="s">
        <v>136</v>
      </c>
      <c r="P299" s="2" t="s">
        <v>20</v>
      </c>
      <c r="Q299" t="s">
        <v>64</v>
      </c>
      <c r="R299" t="s">
        <v>64</v>
      </c>
      <c r="S299" s="85" t="s">
        <v>124</v>
      </c>
      <c r="T299" t="s">
        <v>241</v>
      </c>
      <c r="U299" t="s">
        <v>242</v>
      </c>
      <c r="V299" s="2" t="s">
        <v>243</v>
      </c>
      <c r="W299" s="2" t="s">
        <v>65</v>
      </c>
      <c r="Z299" s="2" t="s">
        <v>126</v>
      </c>
      <c r="AA299" s="2" t="s">
        <v>127</v>
      </c>
      <c r="AB299" s="2" t="s">
        <v>66</v>
      </c>
      <c r="AC299" s="2" t="s">
        <v>67</v>
      </c>
    </row>
    <row r="300" spans="1:29" hidden="1" x14ac:dyDescent="0.25">
      <c r="A300" t="s">
        <v>107</v>
      </c>
      <c r="B300" t="s">
        <v>92</v>
      </c>
      <c r="C300" t="s">
        <v>93</v>
      </c>
      <c r="D300" t="s">
        <v>14</v>
      </c>
      <c r="E300" t="s">
        <v>161</v>
      </c>
      <c r="F300" t="s">
        <v>161</v>
      </c>
      <c r="G300" s="2" t="s">
        <v>93</v>
      </c>
      <c r="H300" t="s">
        <v>64</v>
      </c>
      <c r="I300" s="34" t="s">
        <v>239</v>
      </c>
      <c r="J300" s="2" t="s">
        <v>240</v>
      </c>
      <c r="K300" t="s">
        <v>108</v>
      </c>
      <c r="L300" t="s">
        <v>118</v>
      </c>
      <c r="M300" s="2" t="s">
        <v>78</v>
      </c>
      <c r="N300" t="s">
        <v>164</v>
      </c>
      <c r="O300" t="s">
        <v>137</v>
      </c>
      <c r="P300" s="2" t="s">
        <v>20</v>
      </c>
      <c r="Q300" t="s">
        <v>64</v>
      </c>
      <c r="R300" t="s">
        <v>64</v>
      </c>
      <c r="S300" s="85" t="s">
        <v>124</v>
      </c>
      <c r="T300" t="s">
        <v>241</v>
      </c>
      <c r="U300" t="s">
        <v>242</v>
      </c>
      <c r="V300" s="2" t="s">
        <v>243</v>
      </c>
      <c r="W300" s="2" t="s">
        <v>65</v>
      </c>
      <c r="Z300" s="2" t="s">
        <v>126</v>
      </c>
      <c r="AA300" s="2" t="s">
        <v>127</v>
      </c>
      <c r="AB300" s="2" t="s">
        <v>66</v>
      </c>
      <c r="AC300" s="2" t="s">
        <v>67</v>
      </c>
    </row>
    <row r="301" spans="1:29" hidden="1" x14ac:dyDescent="0.25">
      <c r="A301" t="s">
        <v>107</v>
      </c>
      <c r="B301" t="s">
        <v>92</v>
      </c>
      <c r="C301" t="s">
        <v>93</v>
      </c>
      <c r="D301" t="s">
        <v>14</v>
      </c>
      <c r="E301" t="s">
        <v>161</v>
      </c>
      <c r="F301" t="s">
        <v>161</v>
      </c>
      <c r="G301" s="2" t="s">
        <v>93</v>
      </c>
      <c r="H301" t="s">
        <v>64</v>
      </c>
      <c r="I301" s="34" t="s">
        <v>239</v>
      </c>
      <c r="J301" s="2" t="s">
        <v>240</v>
      </c>
      <c r="K301" t="s">
        <v>108</v>
      </c>
      <c r="L301" t="s">
        <v>118</v>
      </c>
      <c r="M301" s="2" t="s">
        <v>78</v>
      </c>
      <c r="N301" t="s">
        <v>164</v>
      </c>
      <c r="O301" t="s">
        <v>138</v>
      </c>
      <c r="P301" s="2" t="s">
        <v>20</v>
      </c>
      <c r="Q301" t="s">
        <v>64</v>
      </c>
      <c r="R301" t="s">
        <v>64</v>
      </c>
      <c r="S301" s="85" t="s">
        <v>124</v>
      </c>
      <c r="T301" t="s">
        <v>241</v>
      </c>
      <c r="U301" t="s">
        <v>242</v>
      </c>
      <c r="V301" s="2" t="s">
        <v>243</v>
      </c>
      <c r="W301" s="2" t="s">
        <v>65</v>
      </c>
      <c r="Z301" s="2" t="s">
        <v>126</v>
      </c>
      <c r="AA301" s="2" t="s">
        <v>127</v>
      </c>
      <c r="AB301" s="2" t="s">
        <v>66</v>
      </c>
      <c r="AC301" s="2" t="s">
        <v>67</v>
      </c>
    </row>
    <row r="302" spans="1:29" hidden="1" x14ac:dyDescent="0.25">
      <c r="A302" t="s">
        <v>107</v>
      </c>
      <c r="B302" t="s">
        <v>92</v>
      </c>
      <c r="C302" t="s">
        <v>93</v>
      </c>
      <c r="D302" t="s">
        <v>14</v>
      </c>
      <c r="E302" t="s">
        <v>161</v>
      </c>
      <c r="F302" t="s">
        <v>161</v>
      </c>
      <c r="G302" s="2" t="s">
        <v>93</v>
      </c>
      <c r="H302" t="s">
        <v>64</v>
      </c>
      <c r="I302" s="34" t="s">
        <v>239</v>
      </c>
      <c r="J302" s="2" t="s">
        <v>240</v>
      </c>
      <c r="K302" t="s">
        <v>108</v>
      </c>
      <c r="L302" t="s">
        <v>118</v>
      </c>
      <c r="M302" s="2" t="s">
        <v>78</v>
      </c>
      <c r="N302" t="s">
        <v>164</v>
      </c>
      <c r="O302" t="s">
        <v>139</v>
      </c>
      <c r="P302" s="2" t="s">
        <v>169</v>
      </c>
      <c r="Q302" t="s">
        <v>64</v>
      </c>
      <c r="R302" t="s">
        <v>64</v>
      </c>
      <c r="S302" s="85" t="s">
        <v>124</v>
      </c>
      <c r="T302" t="s">
        <v>241</v>
      </c>
      <c r="U302" t="s">
        <v>242</v>
      </c>
      <c r="V302" s="2" t="s">
        <v>243</v>
      </c>
      <c r="W302" s="2" t="s">
        <v>65</v>
      </c>
      <c r="Z302" s="2" t="s">
        <v>126</v>
      </c>
      <c r="AA302" s="2" t="s">
        <v>127</v>
      </c>
      <c r="AB302" s="2" t="s">
        <v>66</v>
      </c>
      <c r="AC302" s="2" t="s">
        <v>67</v>
      </c>
    </row>
    <row r="303" spans="1:29" hidden="1" x14ac:dyDescent="0.25">
      <c r="A303" t="s">
        <v>107</v>
      </c>
      <c r="B303" t="s">
        <v>92</v>
      </c>
      <c r="C303" t="s">
        <v>93</v>
      </c>
      <c r="D303" t="s">
        <v>14</v>
      </c>
      <c r="E303" t="s">
        <v>161</v>
      </c>
      <c r="F303" t="s">
        <v>161</v>
      </c>
      <c r="G303" s="2" t="s">
        <v>93</v>
      </c>
      <c r="H303" t="s">
        <v>64</v>
      </c>
      <c r="I303" s="34" t="s">
        <v>239</v>
      </c>
      <c r="J303" s="2" t="s">
        <v>240</v>
      </c>
      <c r="K303" t="s">
        <v>108</v>
      </c>
      <c r="L303" t="s">
        <v>118</v>
      </c>
      <c r="M303" s="2" t="s">
        <v>78</v>
      </c>
      <c r="N303" t="s">
        <v>164</v>
      </c>
      <c r="O303" t="s">
        <v>147</v>
      </c>
      <c r="P303" s="2" t="s">
        <v>20</v>
      </c>
      <c r="Q303" t="s">
        <v>64</v>
      </c>
      <c r="R303" t="s">
        <v>64</v>
      </c>
      <c r="S303" s="85" t="s">
        <v>124</v>
      </c>
      <c r="T303" t="s">
        <v>241</v>
      </c>
      <c r="U303" t="s">
        <v>242</v>
      </c>
      <c r="V303" s="2" t="s">
        <v>243</v>
      </c>
      <c r="W303" s="2" t="s">
        <v>65</v>
      </c>
      <c r="Z303" s="2" t="s">
        <v>126</v>
      </c>
      <c r="AA303" s="2" t="s">
        <v>127</v>
      </c>
      <c r="AB303" s="2" t="s">
        <v>66</v>
      </c>
      <c r="AC303" s="2" t="s">
        <v>67</v>
      </c>
    </row>
    <row r="304" spans="1:29" hidden="1" x14ac:dyDescent="0.25">
      <c r="A304" t="s">
        <v>107</v>
      </c>
      <c r="B304" t="s">
        <v>92</v>
      </c>
      <c r="C304" t="s">
        <v>93</v>
      </c>
      <c r="D304" t="s">
        <v>14</v>
      </c>
      <c r="E304" t="s">
        <v>161</v>
      </c>
      <c r="F304" t="s">
        <v>161</v>
      </c>
      <c r="G304" s="2" t="s">
        <v>93</v>
      </c>
      <c r="H304" t="s">
        <v>64</v>
      </c>
      <c r="I304" s="34" t="s">
        <v>239</v>
      </c>
      <c r="J304" s="2" t="s">
        <v>240</v>
      </c>
      <c r="K304" t="s">
        <v>108</v>
      </c>
      <c r="L304" t="s">
        <v>118</v>
      </c>
      <c r="M304" s="2" t="s">
        <v>78</v>
      </c>
      <c r="N304" t="s">
        <v>164</v>
      </c>
      <c r="O304" t="s">
        <v>148</v>
      </c>
      <c r="P304" s="2" t="s">
        <v>106</v>
      </c>
      <c r="Q304" t="s">
        <v>64</v>
      </c>
      <c r="R304" t="s">
        <v>64</v>
      </c>
      <c r="S304" s="85" t="s">
        <v>124</v>
      </c>
      <c r="T304" t="s">
        <v>241</v>
      </c>
      <c r="U304" t="s">
        <v>242</v>
      </c>
      <c r="V304" s="2" t="s">
        <v>243</v>
      </c>
      <c r="W304" s="2" t="s">
        <v>65</v>
      </c>
      <c r="Z304" s="2" t="s">
        <v>126</v>
      </c>
      <c r="AA304" s="2" t="s">
        <v>127</v>
      </c>
      <c r="AB304" s="2" t="s">
        <v>66</v>
      </c>
      <c r="AC304" s="2" t="s">
        <v>67</v>
      </c>
    </row>
    <row r="305" spans="1:29" hidden="1" x14ac:dyDescent="0.25">
      <c r="A305" t="s">
        <v>107</v>
      </c>
      <c r="B305" t="s">
        <v>92</v>
      </c>
      <c r="C305" t="s">
        <v>93</v>
      </c>
      <c r="D305" t="s">
        <v>14</v>
      </c>
      <c r="E305" t="s">
        <v>161</v>
      </c>
      <c r="F305" t="s">
        <v>161</v>
      </c>
      <c r="G305" s="2" t="s">
        <v>93</v>
      </c>
      <c r="H305" t="s">
        <v>64</v>
      </c>
      <c r="I305" s="34" t="s">
        <v>239</v>
      </c>
      <c r="J305" s="2" t="s">
        <v>240</v>
      </c>
      <c r="K305" t="s">
        <v>108</v>
      </c>
      <c r="L305" t="s">
        <v>118</v>
      </c>
      <c r="M305" s="2" t="s">
        <v>78</v>
      </c>
      <c r="N305" t="s">
        <v>164</v>
      </c>
      <c r="O305" t="s">
        <v>149</v>
      </c>
      <c r="P305" s="2" t="s">
        <v>106</v>
      </c>
      <c r="Q305" t="s">
        <v>64</v>
      </c>
      <c r="R305" t="s">
        <v>64</v>
      </c>
      <c r="S305" s="85" t="s">
        <v>124</v>
      </c>
      <c r="T305" t="s">
        <v>241</v>
      </c>
      <c r="U305" t="s">
        <v>242</v>
      </c>
      <c r="V305" s="2" t="s">
        <v>243</v>
      </c>
      <c r="W305" s="2" t="s">
        <v>65</v>
      </c>
      <c r="Z305" s="2" t="s">
        <v>126</v>
      </c>
      <c r="AA305" s="2" t="s">
        <v>127</v>
      </c>
      <c r="AB305" s="2" t="s">
        <v>66</v>
      </c>
      <c r="AC305" s="2" t="s">
        <v>67</v>
      </c>
    </row>
    <row r="306" spans="1:29" hidden="1" x14ac:dyDescent="0.25">
      <c r="A306" t="s">
        <v>107</v>
      </c>
      <c r="B306" t="s">
        <v>92</v>
      </c>
      <c r="C306" t="s">
        <v>93</v>
      </c>
      <c r="D306" t="s">
        <v>14</v>
      </c>
      <c r="E306" t="s">
        <v>161</v>
      </c>
      <c r="F306" t="s">
        <v>161</v>
      </c>
      <c r="G306" s="2" t="s">
        <v>93</v>
      </c>
      <c r="H306" t="s">
        <v>64</v>
      </c>
      <c r="I306" s="34" t="s">
        <v>239</v>
      </c>
      <c r="J306" s="2" t="s">
        <v>240</v>
      </c>
      <c r="K306" t="s">
        <v>108</v>
      </c>
      <c r="L306" t="s">
        <v>118</v>
      </c>
      <c r="M306" s="2" t="s">
        <v>78</v>
      </c>
      <c r="N306" t="s">
        <v>164</v>
      </c>
      <c r="O306" t="s">
        <v>150</v>
      </c>
      <c r="P306" s="2" t="s">
        <v>106</v>
      </c>
      <c r="Q306" t="s">
        <v>64</v>
      </c>
      <c r="R306" t="s">
        <v>64</v>
      </c>
      <c r="S306" s="85" t="s">
        <v>124</v>
      </c>
      <c r="T306" t="s">
        <v>241</v>
      </c>
      <c r="U306" t="s">
        <v>242</v>
      </c>
      <c r="V306" s="2" t="s">
        <v>243</v>
      </c>
      <c r="W306" s="2" t="s">
        <v>65</v>
      </c>
      <c r="Z306" s="2" t="s">
        <v>126</v>
      </c>
      <c r="AA306" s="2" t="s">
        <v>127</v>
      </c>
      <c r="AB306" s="2" t="s">
        <v>66</v>
      </c>
      <c r="AC306" s="2" t="s">
        <v>67</v>
      </c>
    </row>
    <row r="307" spans="1:29" hidden="1" x14ac:dyDescent="0.25">
      <c r="A307" t="s">
        <v>107</v>
      </c>
      <c r="B307" t="s">
        <v>92</v>
      </c>
      <c r="C307" t="s">
        <v>93</v>
      </c>
      <c r="D307" t="s">
        <v>14</v>
      </c>
      <c r="E307" t="s">
        <v>161</v>
      </c>
      <c r="F307" t="s">
        <v>161</v>
      </c>
      <c r="G307" s="2" t="s">
        <v>93</v>
      </c>
      <c r="H307" t="s">
        <v>64</v>
      </c>
      <c r="I307" s="34" t="s">
        <v>239</v>
      </c>
      <c r="J307" s="2" t="s">
        <v>240</v>
      </c>
      <c r="K307" t="s">
        <v>108</v>
      </c>
      <c r="L307" t="s">
        <v>118</v>
      </c>
      <c r="M307" s="2" t="s">
        <v>78</v>
      </c>
      <c r="N307" t="s">
        <v>164</v>
      </c>
      <c r="O307" t="s">
        <v>151</v>
      </c>
      <c r="P307" s="2" t="s">
        <v>20</v>
      </c>
      <c r="Q307" t="s">
        <v>64</v>
      </c>
      <c r="R307" t="s">
        <v>64</v>
      </c>
      <c r="S307" s="85" t="s">
        <v>124</v>
      </c>
      <c r="T307" t="s">
        <v>241</v>
      </c>
      <c r="U307" t="s">
        <v>242</v>
      </c>
      <c r="V307" s="2" t="s">
        <v>243</v>
      </c>
      <c r="W307" s="2" t="s">
        <v>65</v>
      </c>
      <c r="Z307" s="2" t="s">
        <v>126</v>
      </c>
      <c r="AA307" s="2" t="s">
        <v>127</v>
      </c>
      <c r="AB307" s="2" t="s">
        <v>66</v>
      </c>
      <c r="AC307" s="2" t="s">
        <v>67</v>
      </c>
    </row>
    <row r="308" spans="1:29" hidden="1" x14ac:dyDescent="0.25">
      <c r="A308" t="s">
        <v>107</v>
      </c>
      <c r="B308" t="s">
        <v>92</v>
      </c>
      <c r="C308" t="s">
        <v>93</v>
      </c>
      <c r="D308" t="s">
        <v>14</v>
      </c>
      <c r="E308" t="s">
        <v>161</v>
      </c>
      <c r="F308" t="s">
        <v>161</v>
      </c>
      <c r="G308" s="2" t="s">
        <v>93</v>
      </c>
      <c r="H308" t="s">
        <v>64</v>
      </c>
      <c r="I308" s="34" t="s">
        <v>239</v>
      </c>
      <c r="J308" s="2" t="s">
        <v>240</v>
      </c>
      <c r="K308" t="s">
        <v>108</v>
      </c>
      <c r="L308" t="s">
        <v>118</v>
      </c>
      <c r="M308" s="2" t="s">
        <v>78</v>
      </c>
      <c r="N308" t="s">
        <v>164</v>
      </c>
      <c r="O308" t="s">
        <v>152</v>
      </c>
      <c r="P308" s="2" t="s">
        <v>170</v>
      </c>
      <c r="Q308" t="s">
        <v>64</v>
      </c>
      <c r="R308" t="s">
        <v>64</v>
      </c>
      <c r="S308" s="85" t="s">
        <v>124</v>
      </c>
      <c r="T308" t="s">
        <v>241</v>
      </c>
      <c r="U308" t="s">
        <v>242</v>
      </c>
      <c r="V308" s="2" t="s">
        <v>243</v>
      </c>
      <c r="W308" s="2" t="s">
        <v>65</v>
      </c>
      <c r="Z308" s="2" t="s">
        <v>126</v>
      </c>
      <c r="AA308" s="2" t="s">
        <v>127</v>
      </c>
      <c r="AB308" s="2" t="s">
        <v>66</v>
      </c>
      <c r="AC308" s="2" t="s">
        <v>67</v>
      </c>
    </row>
    <row r="309" spans="1:29" hidden="1" x14ac:dyDescent="0.25">
      <c r="A309" t="s">
        <v>107</v>
      </c>
      <c r="B309" t="s">
        <v>92</v>
      </c>
      <c r="C309" t="s">
        <v>93</v>
      </c>
      <c r="D309" t="s">
        <v>14</v>
      </c>
      <c r="E309" t="s">
        <v>161</v>
      </c>
      <c r="F309" t="s">
        <v>161</v>
      </c>
      <c r="G309" s="2" t="s">
        <v>93</v>
      </c>
      <c r="H309" t="s">
        <v>64</v>
      </c>
      <c r="I309" s="34" t="s">
        <v>239</v>
      </c>
      <c r="J309" s="2" t="s">
        <v>240</v>
      </c>
      <c r="K309" t="s">
        <v>108</v>
      </c>
      <c r="L309" t="s">
        <v>118</v>
      </c>
      <c r="M309" s="2" t="s">
        <v>78</v>
      </c>
      <c r="N309" t="s">
        <v>164</v>
      </c>
      <c r="O309" t="s">
        <v>153</v>
      </c>
      <c r="P309" s="2" t="s">
        <v>20</v>
      </c>
      <c r="Q309" t="s">
        <v>64</v>
      </c>
      <c r="R309" t="s">
        <v>64</v>
      </c>
      <c r="S309" s="85" t="s">
        <v>124</v>
      </c>
      <c r="T309" t="s">
        <v>241</v>
      </c>
      <c r="U309" t="s">
        <v>242</v>
      </c>
      <c r="V309" s="2" t="s">
        <v>243</v>
      </c>
      <c r="W309" s="2" t="s">
        <v>65</v>
      </c>
      <c r="Z309" s="2" t="s">
        <v>126</v>
      </c>
      <c r="AA309" s="2" t="s">
        <v>127</v>
      </c>
      <c r="AB309" s="2" t="s">
        <v>66</v>
      </c>
      <c r="AC309" s="2" t="s">
        <v>67</v>
      </c>
    </row>
    <row r="310" spans="1:29" hidden="1" x14ac:dyDescent="0.25">
      <c r="A310" t="s">
        <v>107</v>
      </c>
      <c r="B310" t="s">
        <v>92</v>
      </c>
      <c r="C310" t="s">
        <v>93</v>
      </c>
      <c r="D310" t="s">
        <v>14</v>
      </c>
      <c r="E310" t="s">
        <v>161</v>
      </c>
      <c r="F310" t="s">
        <v>161</v>
      </c>
      <c r="G310" s="2" t="s">
        <v>93</v>
      </c>
      <c r="H310" t="s">
        <v>64</v>
      </c>
      <c r="I310" s="34" t="s">
        <v>239</v>
      </c>
      <c r="J310" s="2" t="s">
        <v>240</v>
      </c>
      <c r="K310" t="s">
        <v>108</v>
      </c>
      <c r="L310" t="s">
        <v>118</v>
      </c>
      <c r="M310" s="2" t="s">
        <v>78</v>
      </c>
      <c r="N310" t="s">
        <v>164</v>
      </c>
      <c r="O310" t="s">
        <v>154</v>
      </c>
      <c r="P310" s="2" t="s">
        <v>20</v>
      </c>
      <c r="Q310" t="s">
        <v>64</v>
      </c>
      <c r="R310" t="s">
        <v>64</v>
      </c>
      <c r="S310" s="85" t="s">
        <v>124</v>
      </c>
      <c r="T310" t="s">
        <v>241</v>
      </c>
      <c r="U310" t="s">
        <v>242</v>
      </c>
      <c r="V310" s="2" t="s">
        <v>243</v>
      </c>
      <c r="W310" s="2" t="s">
        <v>65</v>
      </c>
      <c r="Z310" s="2" t="s">
        <v>126</v>
      </c>
      <c r="AA310" s="2" t="s">
        <v>127</v>
      </c>
      <c r="AB310" s="2" t="s">
        <v>66</v>
      </c>
      <c r="AC310" s="2" t="s">
        <v>67</v>
      </c>
    </row>
    <row r="311" spans="1:29" hidden="1" x14ac:dyDescent="0.25">
      <c r="A311" t="s">
        <v>107</v>
      </c>
      <c r="B311" t="s">
        <v>92</v>
      </c>
      <c r="C311" t="s">
        <v>93</v>
      </c>
      <c r="D311" t="s">
        <v>14</v>
      </c>
      <c r="E311" t="s">
        <v>161</v>
      </c>
      <c r="F311" t="s">
        <v>161</v>
      </c>
      <c r="G311" s="2" t="s">
        <v>93</v>
      </c>
      <c r="H311" t="s">
        <v>64</v>
      </c>
      <c r="I311" s="34" t="s">
        <v>239</v>
      </c>
      <c r="J311" s="2" t="s">
        <v>240</v>
      </c>
      <c r="K311" t="s">
        <v>108</v>
      </c>
      <c r="L311" t="s">
        <v>118</v>
      </c>
      <c r="M311" s="2" t="s">
        <v>78</v>
      </c>
      <c r="N311" t="s">
        <v>164</v>
      </c>
      <c r="O311" t="s">
        <v>155</v>
      </c>
      <c r="P311" s="2" t="s">
        <v>20</v>
      </c>
      <c r="Q311" t="s">
        <v>64</v>
      </c>
      <c r="R311" t="s">
        <v>64</v>
      </c>
      <c r="S311" s="85" t="s">
        <v>124</v>
      </c>
      <c r="T311" t="s">
        <v>241</v>
      </c>
      <c r="U311" t="s">
        <v>242</v>
      </c>
      <c r="V311" s="2" t="s">
        <v>243</v>
      </c>
      <c r="W311" s="2" t="s">
        <v>65</v>
      </c>
      <c r="Z311" s="2" t="s">
        <v>126</v>
      </c>
      <c r="AA311" s="2" t="s">
        <v>127</v>
      </c>
      <c r="AB311" s="2" t="s">
        <v>66</v>
      </c>
      <c r="AC311" s="2" t="s">
        <v>67</v>
      </c>
    </row>
    <row r="312" spans="1:29" hidden="1" x14ac:dyDescent="0.25">
      <c r="A312" t="s">
        <v>107</v>
      </c>
      <c r="B312" t="s">
        <v>92</v>
      </c>
      <c r="C312" t="s">
        <v>93</v>
      </c>
      <c r="D312" t="s">
        <v>14</v>
      </c>
      <c r="E312" t="s">
        <v>161</v>
      </c>
      <c r="F312" t="s">
        <v>161</v>
      </c>
      <c r="G312" s="2" t="s">
        <v>93</v>
      </c>
      <c r="H312" t="s">
        <v>64</v>
      </c>
      <c r="I312" s="34" t="s">
        <v>239</v>
      </c>
      <c r="J312" s="2" t="s">
        <v>240</v>
      </c>
      <c r="K312" t="s">
        <v>108</v>
      </c>
      <c r="L312" t="s">
        <v>118</v>
      </c>
      <c r="M312" s="2" t="s">
        <v>78</v>
      </c>
      <c r="N312" t="s">
        <v>164</v>
      </c>
      <c r="O312" t="s">
        <v>156</v>
      </c>
      <c r="P312" s="2" t="s">
        <v>20</v>
      </c>
      <c r="Q312" t="s">
        <v>64</v>
      </c>
      <c r="R312" t="s">
        <v>64</v>
      </c>
      <c r="S312" s="85" t="s">
        <v>124</v>
      </c>
      <c r="T312" t="s">
        <v>241</v>
      </c>
      <c r="U312" t="s">
        <v>242</v>
      </c>
      <c r="V312" s="2" t="s">
        <v>243</v>
      </c>
      <c r="W312" s="2" t="s">
        <v>65</v>
      </c>
      <c r="Z312" s="2" t="s">
        <v>126</v>
      </c>
      <c r="AA312" s="2" t="s">
        <v>127</v>
      </c>
      <c r="AB312" s="2" t="s">
        <v>66</v>
      </c>
      <c r="AC312" s="2" t="s">
        <v>67</v>
      </c>
    </row>
    <row r="313" spans="1:29" hidden="1" x14ac:dyDescent="0.25">
      <c r="A313" t="s">
        <v>107</v>
      </c>
      <c r="B313" t="s">
        <v>92</v>
      </c>
      <c r="C313" t="s">
        <v>93</v>
      </c>
      <c r="D313" t="s">
        <v>14</v>
      </c>
      <c r="E313" t="s">
        <v>161</v>
      </c>
      <c r="F313" t="s">
        <v>161</v>
      </c>
      <c r="G313" s="2" t="s">
        <v>93</v>
      </c>
      <c r="H313" t="s">
        <v>64</v>
      </c>
      <c r="I313" s="34" t="s">
        <v>239</v>
      </c>
      <c r="J313" s="2" t="s">
        <v>240</v>
      </c>
      <c r="K313" t="s">
        <v>108</v>
      </c>
      <c r="L313" t="s">
        <v>118</v>
      </c>
      <c r="M313" s="2" t="s">
        <v>78</v>
      </c>
      <c r="N313" t="s">
        <v>164</v>
      </c>
      <c r="O313" t="s">
        <v>157</v>
      </c>
      <c r="P313" s="2" t="s">
        <v>81</v>
      </c>
      <c r="Q313" t="s">
        <v>64</v>
      </c>
      <c r="R313" t="s">
        <v>64</v>
      </c>
      <c r="S313" s="85" t="s">
        <v>124</v>
      </c>
      <c r="T313" t="s">
        <v>241</v>
      </c>
      <c r="U313" t="s">
        <v>242</v>
      </c>
      <c r="V313" s="2" t="s">
        <v>243</v>
      </c>
      <c r="W313" s="2" t="s">
        <v>65</v>
      </c>
      <c r="Z313" s="2" t="s">
        <v>126</v>
      </c>
      <c r="AA313" s="2" t="s">
        <v>127</v>
      </c>
      <c r="AB313" s="2" t="s">
        <v>66</v>
      </c>
      <c r="AC313" s="2" t="s">
        <v>67</v>
      </c>
    </row>
    <row r="314" spans="1:29" hidden="1" x14ac:dyDescent="0.25">
      <c r="A314" t="s">
        <v>107</v>
      </c>
      <c r="B314" t="s">
        <v>92</v>
      </c>
      <c r="C314" t="s">
        <v>93</v>
      </c>
      <c r="D314" t="s">
        <v>14</v>
      </c>
      <c r="E314" t="s">
        <v>113</v>
      </c>
      <c r="F314" t="s">
        <v>114</v>
      </c>
      <c r="G314" s="2" t="s">
        <v>93</v>
      </c>
      <c r="H314" t="s">
        <v>64</v>
      </c>
      <c r="I314" s="34" t="s">
        <v>244</v>
      </c>
      <c r="J314" s="2" t="s">
        <v>245</v>
      </c>
      <c r="K314" t="s">
        <v>108</v>
      </c>
      <c r="L314" t="s">
        <v>115</v>
      </c>
      <c r="M314" s="2" t="s">
        <v>78</v>
      </c>
      <c r="N314" t="s">
        <v>164</v>
      </c>
      <c r="O314" t="s">
        <v>133</v>
      </c>
      <c r="P314" s="2" t="s">
        <v>20</v>
      </c>
      <c r="Q314" t="s">
        <v>64</v>
      </c>
      <c r="R314" t="s">
        <v>64</v>
      </c>
      <c r="S314" s="85" t="s">
        <v>246</v>
      </c>
      <c r="T314" t="s">
        <v>247</v>
      </c>
      <c r="U314" t="s">
        <v>248</v>
      </c>
      <c r="V314" s="2" t="s">
        <v>249</v>
      </c>
      <c r="W314" s="2" t="s">
        <v>65</v>
      </c>
      <c r="Z314" s="2" t="s">
        <v>126</v>
      </c>
      <c r="AA314" s="2" t="s">
        <v>127</v>
      </c>
      <c r="AB314" s="2" t="s">
        <v>66</v>
      </c>
      <c r="AC314" s="2" t="s">
        <v>67</v>
      </c>
    </row>
    <row r="315" spans="1:29" hidden="1" x14ac:dyDescent="0.25">
      <c r="A315" t="s">
        <v>107</v>
      </c>
      <c r="B315" t="s">
        <v>92</v>
      </c>
      <c r="C315" t="s">
        <v>93</v>
      </c>
      <c r="D315" t="s">
        <v>14</v>
      </c>
      <c r="E315" t="s">
        <v>113</v>
      </c>
      <c r="F315" t="s">
        <v>114</v>
      </c>
      <c r="G315" s="2" t="s">
        <v>93</v>
      </c>
      <c r="H315" t="s">
        <v>64</v>
      </c>
      <c r="I315" s="34" t="s">
        <v>244</v>
      </c>
      <c r="J315" s="2" t="s">
        <v>245</v>
      </c>
      <c r="K315" t="s">
        <v>108</v>
      </c>
      <c r="L315" t="s">
        <v>115</v>
      </c>
      <c r="M315" s="2" t="s">
        <v>78</v>
      </c>
      <c r="N315" t="s">
        <v>164</v>
      </c>
      <c r="O315" t="s">
        <v>97</v>
      </c>
      <c r="P315" s="2" t="s">
        <v>20</v>
      </c>
      <c r="Q315" t="s">
        <v>64</v>
      </c>
      <c r="R315" t="s">
        <v>64</v>
      </c>
      <c r="S315" s="85" t="s">
        <v>246</v>
      </c>
      <c r="T315" t="s">
        <v>247</v>
      </c>
      <c r="U315" t="s">
        <v>248</v>
      </c>
      <c r="V315" s="2" t="s">
        <v>249</v>
      </c>
      <c r="W315" s="2" t="s">
        <v>65</v>
      </c>
      <c r="Z315" s="2" t="s">
        <v>126</v>
      </c>
      <c r="AA315" s="2" t="s">
        <v>127</v>
      </c>
      <c r="AB315" s="2" t="s">
        <v>66</v>
      </c>
      <c r="AC315" s="2" t="s">
        <v>67</v>
      </c>
    </row>
    <row r="316" spans="1:29" hidden="1" x14ac:dyDescent="0.25">
      <c r="A316" t="s">
        <v>107</v>
      </c>
      <c r="B316" t="s">
        <v>92</v>
      </c>
      <c r="C316" t="s">
        <v>93</v>
      </c>
      <c r="D316" t="s">
        <v>14</v>
      </c>
      <c r="E316" t="s">
        <v>113</v>
      </c>
      <c r="F316" t="s">
        <v>114</v>
      </c>
      <c r="G316" s="2" t="s">
        <v>93</v>
      </c>
      <c r="H316" t="s">
        <v>64</v>
      </c>
      <c r="I316" s="34" t="s">
        <v>244</v>
      </c>
      <c r="J316" s="2" t="s">
        <v>245</v>
      </c>
      <c r="K316" t="s">
        <v>108</v>
      </c>
      <c r="L316" t="s">
        <v>115</v>
      </c>
      <c r="M316" s="2" t="s">
        <v>78</v>
      </c>
      <c r="N316" t="s">
        <v>164</v>
      </c>
      <c r="O316" t="s">
        <v>98</v>
      </c>
      <c r="P316" s="2" t="s">
        <v>20</v>
      </c>
      <c r="Q316" t="s">
        <v>64</v>
      </c>
      <c r="R316" t="s">
        <v>64</v>
      </c>
      <c r="S316" s="85" t="s">
        <v>246</v>
      </c>
      <c r="T316" t="s">
        <v>247</v>
      </c>
      <c r="U316" t="s">
        <v>248</v>
      </c>
      <c r="V316" s="2" t="s">
        <v>249</v>
      </c>
      <c r="W316" s="2" t="s">
        <v>65</v>
      </c>
      <c r="Z316" s="2" t="s">
        <v>126</v>
      </c>
      <c r="AA316" s="2" t="s">
        <v>127</v>
      </c>
      <c r="AB316" s="2" t="s">
        <v>66</v>
      </c>
      <c r="AC316" s="2" t="s">
        <v>67</v>
      </c>
    </row>
    <row r="317" spans="1:29" hidden="1" x14ac:dyDescent="0.25">
      <c r="A317" t="s">
        <v>107</v>
      </c>
      <c r="B317" t="s">
        <v>92</v>
      </c>
      <c r="C317" t="s">
        <v>93</v>
      </c>
      <c r="D317" t="s">
        <v>14</v>
      </c>
      <c r="E317" t="s">
        <v>113</v>
      </c>
      <c r="F317" t="s">
        <v>114</v>
      </c>
      <c r="G317" s="2" t="s">
        <v>93</v>
      </c>
      <c r="H317" t="s">
        <v>64</v>
      </c>
      <c r="I317" s="34" t="s">
        <v>244</v>
      </c>
      <c r="J317" s="2" t="s">
        <v>245</v>
      </c>
      <c r="K317" t="s">
        <v>108</v>
      </c>
      <c r="L317" t="s">
        <v>115</v>
      </c>
      <c r="M317" s="2" t="s">
        <v>78</v>
      </c>
      <c r="N317" t="s">
        <v>164</v>
      </c>
      <c r="O317" t="s">
        <v>134</v>
      </c>
      <c r="P317" s="2" t="s">
        <v>20</v>
      </c>
      <c r="Q317" t="s">
        <v>64</v>
      </c>
      <c r="R317" t="s">
        <v>64</v>
      </c>
      <c r="S317" s="85" t="s">
        <v>246</v>
      </c>
      <c r="T317" t="s">
        <v>247</v>
      </c>
      <c r="U317" t="s">
        <v>248</v>
      </c>
      <c r="V317" s="2" t="s">
        <v>249</v>
      </c>
      <c r="W317" s="2" t="s">
        <v>65</v>
      </c>
      <c r="Z317" s="2" t="s">
        <v>126</v>
      </c>
      <c r="AA317" s="2" t="s">
        <v>127</v>
      </c>
      <c r="AB317" s="2" t="s">
        <v>66</v>
      </c>
      <c r="AC317" s="2" t="s">
        <v>67</v>
      </c>
    </row>
    <row r="318" spans="1:29" hidden="1" x14ac:dyDescent="0.25">
      <c r="A318" t="s">
        <v>107</v>
      </c>
      <c r="B318" t="s">
        <v>92</v>
      </c>
      <c r="C318" t="s">
        <v>93</v>
      </c>
      <c r="D318" t="s">
        <v>14</v>
      </c>
      <c r="E318" t="s">
        <v>113</v>
      </c>
      <c r="F318" t="s">
        <v>114</v>
      </c>
      <c r="G318" s="2" t="s">
        <v>93</v>
      </c>
      <c r="H318" t="s">
        <v>64</v>
      </c>
      <c r="I318" s="34" t="s">
        <v>244</v>
      </c>
      <c r="J318" s="2" t="s">
        <v>245</v>
      </c>
      <c r="K318" t="s">
        <v>108</v>
      </c>
      <c r="L318" t="s">
        <v>115</v>
      </c>
      <c r="M318" s="2" t="s">
        <v>78</v>
      </c>
      <c r="N318" t="s">
        <v>164</v>
      </c>
      <c r="O318" t="s">
        <v>35</v>
      </c>
      <c r="P318" s="2" t="s">
        <v>20</v>
      </c>
      <c r="Q318" t="s">
        <v>64</v>
      </c>
      <c r="R318" t="s">
        <v>64</v>
      </c>
      <c r="S318" s="85" t="s">
        <v>246</v>
      </c>
      <c r="T318" t="s">
        <v>247</v>
      </c>
      <c r="U318" t="s">
        <v>248</v>
      </c>
      <c r="V318" s="2" t="s">
        <v>249</v>
      </c>
      <c r="W318" s="2" t="s">
        <v>65</v>
      </c>
      <c r="Z318" s="2" t="s">
        <v>126</v>
      </c>
      <c r="AA318" s="2" t="s">
        <v>127</v>
      </c>
      <c r="AB318" s="2" t="s">
        <v>66</v>
      </c>
      <c r="AC318" s="2" t="s">
        <v>67</v>
      </c>
    </row>
    <row r="319" spans="1:29" hidden="1" x14ac:dyDescent="0.25">
      <c r="A319" t="s">
        <v>107</v>
      </c>
      <c r="B319" t="s">
        <v>92</v>
      </c>
      <c r="C319" t="s">
        <v>93</v>
      </c>
      <c r="D319" t="s">
        <v>14</v>
      </c>
      <c r="E319" t="s">
        <v>113</v>
      </c>
      <c r="F319" t="s">
        <v>114</v>
      </c>
      <c r="G319" s="2" t="s">
        <v>93</v>
      </c>
      <c r="H319" t="s">
        <v>64</v>
      </c>
      <c r="I319" s="34" t="s">
        <v>244</v>
      </c>
      <c r="J319" s="2" t="s">
        <v>245</v>
      </c>
      <c r="K319" t="s">
        <v>108</v>
      </c>
      <c r="L319" t="s">
        <v>115</v>
      </c>
      <c r="M319" s="2" t="s">
        <v>78</v>
      </c>
      <c r="N319" t="s">
        <v>164</v>
      </c>
      <c r="O319" t="s">
        <v>135</v>
      </c>
      <c r="P319" s="2" t="s">
        <v>81</v>
      </c>
      <c r="Q319" t="s">
        <v>64</v>
      </c>
      <c r="R319" t="s">
        <v>64</v>
      </c>
      <c r="S319" s="85" t="s">
        <v>246</v>
      </c>
      <c r="T319" t="s">
        <v>247</v>
      </c>
      <c r="U319" t="s">
        <v>248</v>
      </c>
      <c r="V319" s="2" t="s">
        <v>249</v>
      </c>
      <c r="W319" s="2" t="s">
        <v>65</v>
      </c>
      <c r="Z319" s="2" t="s">
        <v>126</v>
      </c>
      <c r="AA319" s="2" t="s">
        <v>127</v>
      </c>
      <c r="AB319" s="2" t="s">
        <v>66</v>
      </c>
      <c r="AC319" s="2" t="s">
        <v>67</v>
      </c>
    </row>
    <row r="320" spans="1:29" hidden="1" x14ac:dyDescent="0.25">
      <c r="A320" t="s">
        <v>107</v>
      </c>
      <c r="B320" t="s">
        <v>92</v>
      </c>
      <c r="C320" t="s">
        <v>93</v>
      </c>
      <c r="D320" t="s">
        <v>14</v>
      </c>
      <c r="E320" t="s">
        <v>113</v>
      </c>
      <c r="F320" t="s">
        <v>114</v>
      </c>
      <c r="G320" s="2" t="s">
        <v>93</v>
      </c>
      <c r="H320" t="s">
        <v>64</v>
      </c>
      <c r="I320" s="34" t="s">
        <v>244</v>
      </c>
      <c r="J320" s="2" t="s">
        <v>245</v>
      </c>
      <c r="K320" t="s">
        <v>108</v>
      </c>
      <c r="L320" t="s">
        <v>115</v>
      </c>
      <c r="M320" s="2" t="s">
        <v>78</v>
      </c>
      <c r="N320" t="s">
        <v>164</v>
      </c>
      <c r="O320" t="s">
        <v>99</v>
      </c>
      <c r="P320" s="2" t="s">
        <v>20</v>
      </c>
      <c r="Q320" t="s">
        <v>64</v>
      </c>
      <c r="R320" t="s">
        <v>64</v>
      </c>
      <c r="S320" s="85" t="s">
        <v>246</v>
      </c>
      <c r="T320" t="s">
        <v>247</v>
      </c>
      <c r="U320" t="s">
        <v>248</v>
      </c>
      <c r="V320" s="2" t="s">
        <v>249</v>
      </c>
      <c r="W320" s="2" t="s">
        <v>65</v>
      </c>
      <c r="Z320" s="2" t="s">
        <v>126</v>
      </c>
      <c r="AA320" s="2" t="s">
        <v>127</v>
      </c>
      <c r="AB320" s="2" t="s">
        <v>66</v>
      </c>
      <c r="AC320" s="2" t="s">
        <v>67</v>
      </c>
    </row>
    <row r="321" spans="1:29" hidden="1" x14ac:dyDescent="0.25">
      <c r="A321" t="s">
        <v>107</v>
      </c>
      <c r="B321" t="s">
        <v>92</v>
      </c>
      <c r="C321" t="s">
        <v>93</v>
      </c>
      <c r="D321" t="s">
        <v>14</v>
      </c>
      <c r="E321" t="s">
        <v>113</v>
      </c>
      <c r="F321" t="s">
        <v>114</v>
      </c>
      <c r="G321" s="2" t="s">
        <v>93</v>
      </c>
      <c r="H321" t="s">
        <v>64</v>
      </c>
      <c r="I321" s="34" t="s">
        <v>244</v>
      </c>
      <c r="J321" s="2" t="s">
        <v>245</v>
      </c>
      <c r="K321" t="s">
        <v>108</v>
      </c>
      <c r="L321" t="s">
        <v>115</v>
      </c>
      <c r="M321" s="2" t="s">
        <v>78</v>
      </c>
      <c r="N321" t="s">
        <v>164</v>
      </c>
      <c r="O321" t="s">
        <v>100</v>
      </c>
      <c r="P321" s="2" t="s">
        <v>20</v>
      </c>
      <c r="Q321" t="s">
        <v>64</v>
      </c>
      <c r="R321" t="s">
        <v>64</v>
      </c>
      <c r="S321" s="85" t="s">
        <v>246</v>
      </c>
      <c r="T321" t="s">
        <v>247</v>
      </c>
      <c r="U321" t="s">
        <v>248</v>
      </c>
      <c r="V321" s="2" t="s">
        <v>249</v>
      </c>
      <c r="W321" s="2" t="s">
        <v>65</v>
      </c>
      <c r="Z321" s="2" t="s">
        <v>126</v>
      </c>
      <c r="AA321" s="2" t="s">
        <v>127</v>
      </c>
      <c r="AB321" s="2" t="s">
        <v>66</v>
      </c>
      <c r="AC321" s="2" t="s">
        <v>67</v>
      </c>
    </row>
    <row r="322" spans="1:29" hidden="1" x14ac:dyDescent="0.25">
      <c r="A322" t="s">
        <v>107</v>
      </c>
      <c r="B322" t="s">
        <v>92</v>
      </c>
      <c r="C322" t="s">
        <v>93</v>
      </c>
      <c r="D322" t="s">
        <v>14</v>
      </c>
      <c r="E322" t="s">
        <v>113</v>
      </c>
      <c r="F322" t="s">
        <v>114</v>
      </c>
      <c r="G322" s="2" t="s">
        <v>93</v>
      </c>
      <c r="H322" t="s">
        <v>64</v>
      </c>
      <c r="I322" s="34" t="s">
        <v>244</v>
      </c>
      <c r="J322" s="2" t="s">
        <v>245</v>
      </c>
      <c r="K322" t="s">
        <v>108</v>
      </c>
      <c r="L322" t="s">
        <v>115</v>
      </c>
      <c r="M322" s="2" t="s">
        <v>78</v>
      </c>
      <c r="N322" t="s">
        <v>164</v>
      </c>
      <c r="O322" t="s">
        <v>101</v>
      </c>
      <c r="P322" s="2" t="s">
        <v>81</v>
      </c>
      <c r="Q322" t="s">
        <v>64</v>
      </c>
      <c r="R322" t="s">
        <v>64</v>
      </c>
      <c r="S322" s="85" t="s">
        <v>246</v>
      </c>
      <c r="T322" t="s">
        <v>247</v>
      </c>
      <c r="U322" t="s">
        <v>248</v>
      </c>
      <c r="V322" s="2" t="s">
        <v>249</v>
      </c>
      <c r="W322" s="2" t="s">
        <v>65</v>
      </c>
      <c r="Z322" s="2" t="s">
        <v>126</v>
      </c>
      <c r="AA322" s="2" t="s">
        <v>127</v>
      </c>
      <c r="AB322" s="2" t="s">
        <v>66</v>
      </c>
      <c r="AC322" s="2" t="s">
        <v>67</v>
      </c>
    </row>
    <row r="323" spans="1:29" hidden="1" x14ac:dyDescent="0.25">
      <c r="A323" t="s">
        <v>107</v>
      </c>
      <c r="B323" t="s">
        <v>92</v>
      </c>
      <c r="C323" t="s">
        <v>93</v>
      </c>
      <c r="D323" t="s">
        <v>14</v>
      </c>
      <c r="E323" t="s">
        <v>113</v>
      </c>
      <c r="F323" t="s">
        <v>114</v>
      </c>
      <c r="G323" s="2" t="s">
        <v>93</v>
      </c>
      <c r="H323" t="s">
        <v>64</v>
      </c>
      <c r="I323" s="34" t="s">
        <v>244</v>
      </c>
      <c r="J323" s="2" t="s">
        <v>245</v>
      </c>
      <c r="K323" t="s">
        <v>108</v>
      </c>
      <c r="L323" t="s">
        <v>115</v>
      </c>
      <c r="M323" s="2" t="s">
        <v>78</v>
      </c>
      <c r="N323" t="s">
        <v>164</v>
      </c>
      <c r="O323" t="s">
        <v>102</v>
      </c>
      <c r="P323" s="2" t="s">
        <v>81</v>
      </c>
      <c r="Q323" t="s">
        <v>64</v>
      </c>
      <c r="R323" t="s">
        <v>64</v>
      </c>
      <c r="S323" s="85" t="s">
        <v>246</v>
      </c>
      <c r="T323" t="s">
        <v>247</v>
      </c>
      <c r="U323" t="s">
        <v>248</v>
      </c>
      <c r="V323" s="2" t="s">
        <v>249</v>
      </c>
      <c r="W323" s="2" t="s">
        <v>65</v>
      </c>
      <c r="Z323" s="2" t="s">
        <v>126</v>
      </c>
      <c r="AA323" s="2" t="s">
        <v>127</v>
      </c>
      <c r="AB323" s="2" t="s">
        <v>66</v>
      </c>
      <c r="AC323" s="2" t="s">
        <v>67</v>
      </c>
    </row>
    <row r="324" spans="1:29" hidden="1" x14ac:dyDescent="0.25">
      <c r="A324" t="s">
        <v>107</v>
      </c>
      <c r="B324" t="s">
        <v>92</v>
      </c>
      <c r="C324" t="s">
        <v>93</v>
      </c>
      <c r="D324" t="s">
        <v>14</v>
      </c>
      <c r="E324" t="s">
        <v>113</v>
      </c>
      <c r="F324" t="s">
        <v>114</v>
      </c>
      <c r="G324" s="2" t="s">
        <v>93</v>
      </c>
      <c r="H324" t="s">
        <v>64</v>
      </c>
      <c r="I324" s="34" t="s">
        <v>244</v>
      </c>
      <c r="J324" s="2" t="s">
        <v>245</v>
      </c>
      <c r="K324" t="s">
        <v>108</v>
      </c>
      <c r="L324" t="s">
        <v>115</v>
      </c>
      <c r="M324" s="2" t="s">
        <v>78</v>
      </c>
      <c r="N324" t="s">
        <v>164</v>
      </c>
      <c r="O324" t="s">
        <v>103</v>
      </c>
      <c r="P324" s="2" t="s">
        <v>81</v>
      </c>
      <c r="Q324" t="s">
        <v>64</v>
      </c>
      <c r="R324" t="s">
        <v>64</v>
      </c>
      <c r="S324" s="85" t="s">
        <v>246</v>
      </c>
      <c r="T324" t="s">
        <v>247</v>
      </c>
      <c r="U324" t="s">
        <v>248</v>
      </c>
      <c r="V324" s="2" t="s">
        <v>249</v>
      </c>
      <c r="W324" s="2" t="s">
        <v>65</v>
      </c>
      <c r="Z324" s="2" t="s">
        <v>126</v>
      </c>
      <c r="AA324" s="2" t="s">
        <v>127</v>
      </c>
      <c r="AB324" s="2" t="s">
        <v>66</v>
      </c>
      <c r="AC324" s="2" t="s">
        <v>67</v>
      </c>
    </row>
    <row r="325" spans="1:29" hidden="1" x14ac:dyDescent="0.25">
      <c r="A325" t="s">
        <v>107</v>
      </c>
      <c r="B325" t="s">
        <v>92</v>
      </c>
      <c r="C325" t="s">
        <v>93</v>
      </c>
      <c r="D325" t="s">
        <v>14</v>
      </c>
      <c r="E325" t="s">
        <v>113</v>
      </c>
      <c r="F325" t="s">
        <v>114</v>
      </c>
      <c r="G325" s="2" t="s">
        <v>93</v>
      </c>
      <c r="H325" t="s">
        <v>64</v>
      </c>
      <c r="I325" s="34" t="s">
        <v>244</v>
      </c>
      <c r="J325" s="2" t="s">
        <v>245</v>
      </c>
      <c r="K325" t="s">
        <v>108</v>
      </c>
      <c r="L325" t="s">
        <v>115</v>
      </c>
      <c r="M325" s="2" t="s">
        <v>78</v>
      </c>
      <c r="N325" t="s">
        <v>164</v>
      </c>
      <c r="O325" t="s">
        <v>104</v>
      </c>
      <c r="P325" s="2" t="s">
        <v>81</v>
      </c>
      <c r="Q325" t="s">
        <v>64</v>
      </c>
      <c r="R325" t="s">
        <v>64</v>
      </c>
      <c r="S325" s="85" t="s">
        <v>246</v>
      </c>
      <c r="T325" t="s">
        <v>247</v>
      </c>
      <c r="U325" t="s">
        <v>248</v>
      </c>
      <c r="V325" s="2" t="s">
        <v>249</v>
      </c>
      <c r="W325" s="2" t="s">
        <v>65</v>
      </c>
      <c r="Z325" s="2" t="s">
        <v>126</v>
      </c>
      <c r="AA325" s="2" t="s">
        <v>127</v>
      </c>
      <c r="AB325" s="2" t="s">
        <v>66</v>
      </c>
      <c r="AC325" s="2" t="s">
        <v>67</v>
      </c>
    </row>
    <row r="326" spans="1:29" hidden="1" x14ac:dyDescent="0.25">
      <c r="A326" t="s">
        <v>107</v>
      </c>
      <c r="B326" t="s">
        <v>92</v>
      </c>
      <c r="C326" t="s">
        <v>93</v>
      </c>
      <c r="D326" t="s">
        <v>14</v>
      </c>
      <c r="E326" t="s">
        <v>113</v>
      </c>
      <c r="F326" t="s">
        <v>114</v>
      </c>
      <c r="G326" s="2" t="s">
        <v>93</v>
      </c>
      <c r="H326" t="s">
        <v>64</v>
      </c>
      <c r="I326" s="34" t="s">
        <v>244</v>
      </c>
      <c r="J326" s="2" t="s">
        <v>245</v>
      </c>
      <c r="K326" t="s">
        <v>108</v>
      </c>
      <c r="L326" t="s">
        <v>115</v>
      </c>
      <c r="M326" s="2" t="s">
        <v>78</v>
      </c>
      <c r="N326" t="s">
        <v>164</v>
      </c>
      <c r="O326" t="s">
        <v>136</v>
      </c>
      <c r="P326" s="2" t="s">
        <v>20</v>
      </c>
      <c r="Q326" t="s">
        <v>64</v>
      </c>
      <c r="R326" t="s">
        <v>64</v>
      </c>
      <c r="S326" s="85" t="s">
        <v>246</v>
      </c>
      <c r="T326" t="s">
        <v>247</v>
      </c>
      <c r="U326" t="s">
        <v>248</v>
      </c>
      <c r="V326" s="2" t="s">
        <v>249</v>
      </c>
      <c r="W326" s="2" t="s">
        <v>65</v>
      </c>
      <c r="Z326" s="2" t="s">
        <v>126</v>
      </c>
      <c r="AA326" s="2" t="s">
        <v>127</v>
      </c>
      <c r="AB326" s="2" t="s">
        <v>66</v>
      </c>
      <c r="AC326" s="2" t="s">
        <v>67</v>
      </c>
    </row>
    <row r="327" spans="1:29" hidden="1" x14ac:dyDescent="0.25">
      <c r="A327" t="s">
        <v>107</v>
      </c>
      <c r="B327" t="s">
        <v>92</v>
      </c>
      <c r="C327" t="s">
        <v>93</v>
      </c>
      <c r="D327" t="s">
        <v>14</v>
      </c>
      <c r="E327" t="s">
        <v>113</v>
      </c>
      <c r="F327" t="s">
        <v>114</v>
      </c>
      <c r="G327" s="2" t="s">
        <v>93</v>
      </c>
      <c r="H327" t="s">
        <v>64</v>
      </c>
      <c r="I327" s="34" t="s">
        <v>244</v>
      </c>
      <c r="J327" s="2" t="s">
        <v>245</v>
      </c>
      <c r="K327" t="s">
        <v>108</v>
      </c>
      <c r="L327" t="s">
        <v>115</v>
      </c>
      <c r="M327" s="2" t="s">
        <v>78</v>
      </c>
      <c r="N327" t="s">
        <v>164</v>
      </c>
      <c r="O327" t="s">
        <v>137</v>
      </c>
      <c r="P327" s="2" t="s">
        <v>20</v>
      </c>
      <c r="Q327" t="s">
        <v>64</v>
      </c>
      <c r="R327" t="s">
        <v>64</v>
      </c>
      <c r="S327" s="85" t="s">
        <v>246</v>
      </c>
      <c r="T327" t="s">
        <v>247</v>
      </c>
      <c r="U327" t="s">
        <v>248</v>
      </c>
      <c r="V327" s="2" t="s">
        <v>249</v>
      </c>
      <c r="W327" s="2" t="s">
        <v>65</v>
      </c>
      <c r="Z327" s="2" t="s">
        <v>126</v>
      </c>
      <c r="AA327" s="2" t="s">
        <v>127</v>
      </c>
      <c r="AB327" s="2" t="s">
        <v>66</v>
      </c>
      <c r="AC327" s="2" t="s">
        <v>67</v>
      </c>
    </row>
    <row r="328" spans="1:29" hidden="1" x14ac:dyDescent="0.25">
      <c r="A328" t="s">
        <v>107</v>
      </c>
      <c r="B328" t="s">
        <v>92</v>
      </c>
      <c r="C328" t="s">
        <v>93</v>
      </c>
      <c r="D328" t="s">
        <v>14</v>
      </c>
      <c r="E328" t="s">
        <v>113</v>
      </c>
      <c r="F328" t="s">
        <v>114</v>
      </c>
      <c r="G328" s="2" t="s">
        <v>93</v>
      </c>
      <c r="H328" t="s">
        <v>64</v>
      </c>
      <c r="I328" s="34" t="s">
        <v>244</v>
      </c>
      <c r="J328" s="2" t="s">
        <v>245</v>
      </c>
      <c r="K328" t="s">
        <v>108</v>
      </c>
      <c r="L328" t="s">
        <v>115</v>
      </c>
      <c r="M328" s="2" t="s">
        <v>78</v>
      </c>
      <c r="N328" t="s">
        <v>164</v>
      </c>
      <c r="O328" t="s">
        <v>138</v>
      </c>
      <c r="P328" s="2" t="s">
        <v>20</v>
      </c>
      <c r="Q328" t="s">
        <v>64</v>
      </c>
      <c r="R328" t="s">
        <v>64</v>
      </c>
      <c r="S328" s="85" t="s">
        <v>246</v>
      </c>
      <c r="T328" t="s">
        <v>247</v>
      </c>
      <c r="U328" t="s">
        <v>248</v>
      </c>
      <c r="V328" s="2" t="s">
        <v>249</v>
      </c>
      <c r="W328" s="2" t="s">
        <v>65</v>
      </c>
      <c r="Z328" s="2" t="s">
        <v>126</v>
      </c>
      <c r="AA328" s="2" t="s">
        <v>127</v>
      </c>
      <c r="AB328" s="2" t="s">
        <v>66</v>
      </c>
      <c r="AC328" s="2" t="s">
        <v>67</v>
      </c>
    </row>
    <row r="329" spans="1:29" hidden="1" x14ac:dyDescent="0.25">
      <c r="A329" t="s">
        <v>107</v>
      </c>
      <c r="B329" t="s">
        <v>92</v>
      </c>
      <c r="C329" t="s">
        <v>93</v>
      </c>
      <c r="D329" t="s">
        <v>14</v>
      </c>
      <c r="E329" t="s">
        <v>113</v>
      </c>
      <c r="F329" t="s">
        <v>114</v>
      </c>
      <c r="G329" s="2" t="s">
        <v>93</v>
      </c>
      <c r="H329" t="s">
        <v>64</v>
      </c>
      <c r="I329" s="34" t="s">
        <v>244</v>
      </c>
      <c r="J329" s="2" t="s">
        <v>245</v>
      </c>
      <c r="K329" t="s">
        <v>108</v>
      </c>
      <c r="L329" t="s">
        <v>115</v>
      </c>
      <c r="M329" s="2" t="s">
        <v>78</v>
      </c>
      <c r="N329" t="s">
        <v>164</v>
      </c>
      <c r="O329" t="s">
        <v>139</v>
      </c>
      <c r="P329" s="2" t="s">
        <v>169</v>
      </c>
      <c r="Q329" t="s">
        <v>64</v>
      </c>
      <c r="R329" t="s">
        <v>64</v>
      </c>
      <c r="S329" s="85" t="s">
        <v>246</v>
      </c>
      <c r="T329" t="s">
        <v>247</v>
      </c>
      <c r="U329" t="s">
        <v>248</v>
      </c>
      <c r="V329" s="2" t="s">
        <v>249</v>
      </c>
      <c r="W329" s="2" t="s">
        <v>65</v>
      </c>
      <c r="Z329" s="2" t="s">
        <v>126</v>
      </c>
      <c r="AA329" s="2" t="s">
        <v>127</v>
      </c>
      <c r="AB329" s="2" t="s">
        <v>66</v>
      </c>
      <c r="AC329" s="2" t="s">
        <v>67</v>
      </c>
    </row>
    <row r="330" spans="1:29" hidden="1" x14ac:dyDescent="0.25">
      <c r="A330" t="s">
        <v>107</v>
      </c>
      <c r="B330" t="s">
        <v>92</v>
      </c>
      <c r="C330" t="s">
        <v>93</v>
      </c>
      <c r="D330" t="s">
        <v>14</v>
      </c>
      <c r="E330" t="s">
        <v>113</v>
      </c>
      <c r="F330" t="s">
        <v>114</v>
      </c>
      <c r="G330" s="2" t="s">
        <v>93</v>
      </c>
      <c r="H330" t="s">
        <v>64</v>
      </c>
      <c r="I330" s="34" t="s">
        <v>244</v>
      </c>
      <c r="J330" s="2" t="s">
        <v>245</v>
      </c>
      <c r="K330" t="s">
        <v>108</v>
      </c>
      <c r="L330" t="s">
        <v>115</v>
      </c>
      <c r="M330" s="2" t="s">
        <v>78</v>
      </c>
      <c r="N330" t="s">
        <v>164</v>
      </c>
      <c r="O330" t="s">
        <v>147</v>
      </c>
      <c r="P330" s="2" t="s">
        <v>20</v>
      </c>
      <c r="Q330" t="s">
        <v>64</v>
      </c>
      <c r="R330" t="s">
        <v>64</v>
      </c>
      <c r="S330" s="85" t="s">
        <v>246</v>
      </c>
      <c r="T330" t="s">
        <v>247</v>
      </c>
      <c r="U330" t="s">
        <v>248</v>
      </c>
      <c r="V330" s="2" t="s">
        <v>249</v>
      </c>
      <c r="W330" s="2" t="s">
        <v>65</v>
      </c>
      <c r="Z330" s="2" t="s">
        <v>126</v>
      </c>
      <c r="AA330" s="2" t="s">
        <v>127</v>
      </c>
      <c r="AB330" s="2" t="s">
        <v>66</v>
      </c>
      <c r="AC330" s="2" t="s">
        <v>67</v>
      </c>
    </row>
    <row r="331" spans="1:29" hidden="1" x14ac:dyDescent="0.25">
      <c r="A331" t="s">
        <v>107</v>
      </c>
      <c r="B331" t="s">
        <v>92</v>
      </c>
      <c r="C331" t="s">
        <v>93</v>
      </c>
      <c r="D331" t="s">
        <v>14</v>
      </c>
      <c r="E331" t="s">
        <v>113</v>
      </c>
      <c r="F331" t="s">
        <v>114</v>
      </c>
      <c r="G331" s="2" t="s">
        <v>93</v>
      </c>
      <c r="H331" t="s">
        <v>64</v>
      </c>
      <c r="I331" s="34" t="s">
        <v>244</v>
      </c>
      <c r="J331" s="2" t="s">
        <v>245</v>
      </c>
      <c r="K331" t="s">
        <v>108</v>
      </c>
      <c r="L331" t="s">
        <v>115</v>
      </c>
      <c r="M331" s="2" t="s">
        <v>78</v>
      </c>
      <c r="N331" t="s">
        <v>164</v>
      </c>
      <c r="O331" t="s">
        <v>148</v>
      </c>
      <c r="P331" s="2" t="s">
        <v>20</v>
      </c>
      <c r="Q331" t="s">
        <v>64</v>
      </c>
      <c r="R331" t="s">
        <v>64</v>
      </c>
      <c r="S331" s="85" t="s">
        <v>246</v>
      </c>
      <c r="T331" t="s">
        <v>247</v>
      </c>
      <c r="U331" t="s">
        <v>248</v>
      </c>
      <c r="V331" s="2" t="s">
        <v>249</v>
      </c>
      <c r="W331" s="2" t="s">
        <v>65</v>
      </c>
      <c r="Z331" s="2" t="s">
        <v>126</v>
      </c>
      <c r="AA331" s="2" t="s">
        <v>127</v>
      </c>
      <c r="AB331" s="2" t="s">
        <v>66</v>
      </c>
      <c r="AC331" s="2" t="s">
        <v>67</v>
      </c>
    </row>
    <row r="332" spans="1:29" hidden="1" x14ac:dyDescent="0.25">
      <c r="A332" t="s">
        <v>107</v>
      </c>
      <c r="B332" t="s">
        <v>92</v>
      </c>
      <c r="C332" t="s">
        <v>93</v>
      </c>
      <c r="D332" t="s">
        <v>14</v>
      </c>
      <c r="E332" t="s">
        <v>113</v>
      </c>
      <c r="F332" t="s">
        <v>114</v>
      </c>
      <c r="G332" s="2" t="s">
        <v>93</v>
      </c>
      <c r="H332" t="s">
        <v>64</v>
      </c>
      <c r="I332" s="34" t="s">
        <v>244</v>
      </c>
      <c r="J332" s="2" t="s">
        <v>245</v>
      </c>
      <c r="K332" t="s">
        <v>108</v>
      </c>
      <c r="L332" t="s">
        <v>115</v>
      </c>
      <c r="M332" s="2" t="s">
        <v>78</v>
      </c>
      <c r="N332" t="s">
        <v>164</v>
      </c>
      <c r="O332" t="s">
        <v>149</v>
      </c>
      <c r="P332" s="2" t="s">
        <v>20</v>
      </c>
      <c r="Q332" t="s">
        <v>64</v>
      </c>
      <c r="R332" t="s">
        <v>64</v>
      </c>
      <c r="S332" s="85" t="s">
        <v>246</v>
      </c>
      <c r="T332" t="s">
        <v>247</v>
      </c>
      <c r="U332" t="s">
        <v>248</v>
      </c>
      <c r="V332" s="2" t="s">
        <v>249</v>
      </c>
      <c r="W332" s="2" t="s">
        <v>65</v>
      </c>
      <c r="Z332" s="2" t="s">
        <v>126</v>
      </c>
      <c r="AA332" s="2" t="s">
        <v>127</v>
      </c>
      <c r="AB332" s="2" t="s">
        <v>66</v>
      </c>
      <c r="AC332" s="2" t="s">
        <v>67</v>
      </c>
    </row>
    <row r="333" spans="1:29" hidden="1" x14ac:dyDescent="0.25">
      <c r="A333" t="s">
        <v>107</v>
      </c>
      <c r="B333" t="s">
        <v>92</v>
      </c>
      <c r="C333" t="s">
        <v>93</v>
      </c>
      <c r="D333" t="s">
        <v>14</v>
      </c>
      <c r="E333" t="s">
        <v>113</v>
      </c>
      <c r="F333" t="s">
        <v>114</v>
      </c>
      <c r="G333" s="2" t="s">
        <v>93</v>
      </c>
      <c r="H333" t="s">
        <v>64</v>
      </c>
      <c r="I333" s="34" t="s">
        <v>244</v>
      </c>
      <c r="J333" s="2" t="s">
        <v>245</v>
      </c>
      <c r="K333" t="s">
        <v>108</v>
      </c>
      <c r="L333" t="s">
        <v>115</v>
      </c>
      <c r="M333" s="2" t="s">
        <v>78</v>
      </c>
      <c r="N333" t="s">
        <v>164</v>
      </c>
      <c r="O333" t="s">
        <v>150</v>
      </c>
      <c r="P333" s="2" t="s">
        <v>20</v>
      </c>
      <c r="Q333" t="s">
        <v>64</v>
      </c>
      <c r="R333" t="s">
        <v>64</v>
      </c>
      <c r="S333" s="85" t="s">
        <v>246</v>
      </c>
      <c r="T333" t="s">
        <v>247</v>
      </c>
      <c r="U333" t="s">
        <v>248</v>
      </c>
      <c r="V333" s="2" t="s">
        <v>249</v>
      </c>
      <c r="W333" s="2" t="s">
        <v>65</v>
      </c>
      <c r="Z333" s="2" t="s">
        <v>126</v>
      </c>
      <c r="AA333" s="2" t="s">
        <v>127</v>
      </c>
      <c r="AB333" s="2" t="s">
        <v>66</v>
      </c>
      <c r="AC333" s="2" t="s">
        <v>67</v>
      </c>
    </row>
    <row r="334" spans="1:29" hidden="1" x14ac:dyDescent="0.25">
      <c r="A334" t="s">
        <v>107</v>
      </c>
      <c r="B334" t="s">
        <v>92</v>
      </c>
      <c r="C334" t="s">
        <v>93</v>
      </c>
      <c r="D334" t="s">
        <v>14</v>
      </c>
      <c r="E334" t="s">
        <v>113</v>
      </c>
      <c r="F334" t="s">
        <v>114</v>
      </c>
      <c r="G334" s="2" t="s">
        <v>93</v>
      </c>
      <c r="H334" t="s">
        <v>64</v>
      </c>
      <c r="I334" s="34" t="s">
        <v>244</v>
      </c>
      <c r="J334" s="2" t="s">
        <v>245</v>
      </c>
      <c r="K334" t="s">
        <v>108</v>
      </c>
      <c r="L334" t="s">
        <v>115</v>
      </c>
      <c r="M334" s="2" t="s">
        <v>78</v>
      </c>
      <c r="N334" t="s">
        <v>164</v>
      </c>
      <c r="O334" t="s">
        <v>151</v>
      </c>
      <c r="P334" s="2" t="s">
        <v>20</v>
      </c>
      <c r="Q334" t="s">
        <v>64</v>
      </c>
      <c r="R334" t="s">
        <v>64</v>
      </c>
      <c r="S334" s="85" t="s">
        <v>246</v>
      </c>
      <c r="T334" t="s">
        <v>247</v>
      </c>
      <c r="U334" t="s">
        <v>248</v>
      </c>
      <c r="V334" s="2" t="s">
        <v>249</v>
      </c>
      <c r="W334" s="2" t="s">
        <v>65</v>
      </c>
      <c r="Z334" s="2" t="s">
        <v>126</v>
      </c>
      <c r="AA334" s="2" t="s">
        <v>127</v>
      </c>
      <c r="AB334" s="2" t="s">
        <v>66</v>
      </c>
      <c r="AC334" s="2" t="s">
        <v>67</v>
      </c>
    </row>
    <row r="335" spans="1:29" hidden="1" x14ac:dyDescent="0.25">
      <c r="A335" t="s">
        <v>107</v>
      </c>
      <c r="B335" t="s">
        <v>92</v>
      </c>
      <c r="C335" t="s">
        <v>93</v>
      </c>
      <c r="D335" t="s">
        <v>14</v>
      </c>
      <c r="E335" t="s">
        <v>113</v>
      </c>
      <c r="F335" t="s">
        <v>114</v>
      </c>
      <c r="G335" s="2" t="s">
        <v>93</v>
      </c>
      <c r="H335" t="s">
        <v>64</v>
      </c>
      <c r="I335" s="34" t="s">
        <v>244</v>
      </c>
      <c r="J335" s="2" t="s">
        <v>245</v>
      </c>
      <c r="K335" t="s">
        <v>108</v>
      </c>
      <c r="L335" t="s">
        <v>115</v>
      </c>
      <c r="M335" s="2" t="s">
        <v>78</v>
      </c>
      <c r="N335" t="s">
        <v>164</v>
      </c>
      <c r="O335" t="s">
        <v>152</v>
      </c>
      <c r="P335" s="2" t="s">
        <v>170</v>
      </c>
      <c r="Q335" t="s">
        <v>64</v>
      </c>
      <c r="R335" t="s">
        <v>64</v>
      </c>
      <c r="S335" s="85" t="s">
        <v>246</v>
      </c>
      <c r="T335" t="s">
        <v>247</v>
      </c>
      <c r="U335" t="s">
        <v>248</v>
      </c>
      <c r="V335" s="2" t="s">
        <v>249</v>
      </c>
      <c r="W335" s="2" t="s">
        <v>65</v>
      </c>
      <c r="Z335" s="2" t="s">
        <v>126</v>
      </c>
      <c r="AA335" s="2" t="s">
        <v>127</v>
      </c>
      <c r="AB335" s="2" t="s">
        <v>66</v>
      </c>
      <c r="AC335" s="2" t="s">
        <v>67</v>
      </c>
    </row>
    <row r="336" spans="1:29" hidden="1" x14ac:dyDescent="0.25">
      <c r="A336" t="s">
        <v>107</v>
      </c>
      <c r="B336" t="s">
        <v>92</v>
      </c>
      <c r="C336" t="s">
        <v>93</v>
      </c>
      <c r="D336" t="s">
        <v>14</v>
      </c>
      <c r="E336" t="s">
        <v>113</v>
      </c>
      <c r="F336" t="s">
        <v>114</v>
      </c>
      <c r="G336" s="2" t="s">
        <v>93</v>
      </c>
      <c r="H336" t="s">
        <v>64</v>
      </c>
      <c r="I336" s="34" t="s">
        <v>244</v>
      </c>
      <c r="J336" s="2" t="s">
        <v>245</v>
      </c>
      <c r="K336" t="s">
        <v>108</v>
      </c>
      <c r="L336" t="s">
        <v>115</v>
      </c>
      <c r="M336" s="2" t="s">
        <v>78</v>
      </c>
      <c r="N336" t="s">
        <v>164</v>
      </c>
      <c r="O336" t="s">
        <v>153</v>
      </c>
      <c r="P336" s="2" t="s">
        <v>20</v>
      </c>
      <c r="Q336" t="s">
        <v>64</v>
      </c>
      <c r="R336" t="s">
        <v>64</v>
      </c>
      <c r="S336" s="85" t="s">
        <v>246</v>
      </c>
      <c r="T336" t="s">
        <v>247</v>
      </c>
      <c r="U336" t="s">
        <v>248</v>
      </c>
      <c r="V336" s="2" t="s">
        <v>249</v>
      </c>
      <c r="W336" s="2" t="s">
        <v>65</v>
      </c>
      <c r="Z336" s="2" t="s">
        <v>126</v>
      </c>
      <c r="AA336" s="2" t="s">
        <v>127</v>
      </c>
      <c r="AB336" s="2" t="s">
        <v>66</v>
      </c>
      <c r="AC336" s="2" t="s">
        <v>67</v>
      </c>
    </row>
    <row r="337" spans="1:29" hidden="1" x14ac:dyDescent="0.25">
      <c r="A337" t="s">
        <v>107</v>
      </c>
      <c r="B337" t="s">
        <v>92</v>
      </c>
      <c r="C337" t="s">
        <v>93</v>
      </c>
      <c r="D337" t="s">
        <v>14</v>
      </c>
      <c r="E337" t="s">
        <v>113</v>
      </c>
      <c r="F337" t="s">
        <v>114</v>
      </c>
      <c r="G337" s="2" t="s">
        <v>93</v>
      </c>
      <c r="H337" t="s">
        <v>64</v>
      </c>
      <c r="I337" s="34" t="s">
        <v>244</v>
      </c>
      <c r="J337" s="2" t="s">
        <v>245</v>
      </c>
      <c r="K337" t="s">
        <v>108</v>
      </c>
      <c r="L337" t="s">
        <v>115</v>
      </c>
      <c r="M337" s="2" t="s">
        <v>78</v>
      </c>
      <c r="N337" t="s">
        <v>164</v>
      </c>
      <c r="O337" t="s">
        <v>154</v>
      </c>
      <c r="P337" s="2" t="s">
        <v>20</v>
      </c>
      <c r="Q337" t="s">
        <v>64</v>
      </c>
      <c r="R337" t="s">
        <v>64</v>
      </c>
      <c r="S337" s="85" t="s">
        <v>246</v>
      </c>
      <c r="T337" t="s">
        <v>247</v>
      </c>
      <c r="U337" t="s">
        <v>248</v>
      </c>
      <c r="V337" s="2" t="s">
        <v>249</v>
      </c>
      <c r="W337" s="2" t="s">
        <v>65</v>
      </c>
      <c r="Z337" s="2" t="s">
        <v>126</v>
      </c>
      <c r="AA337" s="2" t="s">
        <v>127</v>
      </c>
      <c r="AB337" s="2" t="s">
        <v>66</v>
      </c>
      <c r="AC337" s="2" t="s">
        <v>67</v>
      </c>
    </row>
    <row r="338" spans="1:29" hidden="1" x14ac:dyDescent="0.25">
      <c r="A338" t="s">
        <v>107</v>
      </c>
      <c r="B338" t="s">
        <v>92</v>
      </c>
      <c r="C338" t="s">
        <v>93</v>
      </c>
      <c r="D338" t="s">
        <v>14</v>
      </c>
      <c r="E338" t="s">
        <v>113</v>
      </c>
      <c r="F338" t="s">
        <v>114</v>
      </c>
      <c r="G338" s="2" t="s">
        <v>93</v>
      </c>
      <c r="H338" t="s">
        <v>64</v>
      </c>
      <c r="I338" s="34" t="s">
        <v>244</v>
      </c>
      <c r="J338" s="2" t="s">
        <v>245</v>
      </c>
      <c r="K338" t="s">
        <v>108</v>
      </c>
      <c r="L338" t="s">
        <v>115</v>
      </c>
      <c r="M338" s="2" t="s">
        <v>78</v>
      </c>
      <c r="N338" t="s">
        <v>164</v>
      </c>
      <c r="O338" t="s">
        <v>155</v>
      </c>
      <c r="P338" s="2" t="s">
        <v>20</v>
      </c>
      <c r="Q338" t="s">
        <v>64</v>
      </c>
      <c r="R338" t="s">
        <v>64</v>
      </c>
      <c r="S338" s="85" t="s">
        <v>246</v>
      </c>
      <c r="T338" t="s">
        <v>247</v>
      </c>
      <c r="U338" t="s">
        <v>248</v>
      </c>
      <c r="V338" s="2" t="s">
        <v>249</v>
      </c>
      <c r="W338" s="2" t="s">
        <v>65</v>
      </c>
      <c r="Z338" s="2" t="s">
        <v>126</v>
      </c>
      <c r="AA338" s="2" t="s">
        <v>127</v>
      </c>
      <c r="AB338" s="2" t="s">
        <v>66</v>
      </c>
      <c r="AC338" s="2" t="s">
        <v>67</v>
      </c>
    </row>
    <row r="339" spans="1:29" hidden="1" x14ac:dyDescent="0.25">
      <c r="A339" t="s">
        <v>107</v>
      </c>
      <c r="B339" t="s">
        <v>92</v>
      </c>
      <c r="C339" t="s">
        <v>93</v>
      </c>
      <c r="D339" t="s">
        <v>14</v>
      </c>
      <c r="E339" t="s">
        <v>113</v>
      </c>
      <c r="F339" t="s">
        <v>114</v>
      </c>
      <c r="G339" s="2" t="s">
        <v>93</v>
      </c>
      <c r="H339" t="s">
        <v>64</v>
      </c>
      <c r="I339" s="34" t="s">
        <v>244</v>
      </c>
      <c r="J339" s="2" t="s">
        <v>245</v>
      </c>
      <c r="K339" t="s">
        <v>108</v>
      </c>
      <c r="L339" t="s">
        <v>115</v>
      </c>
      <c r="M339" s="2" t="s">
        <v>78</v>
      </c>
      <c r="N339" t="s">
        <v>164</v>
      </c>
      <c r="O339" t="s">
        <v>156</v>
      </c>
      <c r="P339" s="2" t="s">
        <v>20</v>
      </c>
      <c r="Q339" t="s">
        <v>64</v>
      </c>
      <c r="R339" t="s">
        <v>64</v>
      </c>
      <c r="S339" s="85" t="s">
        <v>246</v>
      </c>
      <c r="T339" t="s">
        <v>247</v>
      </c>
      <c r="U339" t="s">
        <v>248</v>
      </c>
      <c r="V339" s="2" t="s">
        <v>249</v>
      </c>
      <c r="W339" s="2" t="s">
        <v>65</v>
      </c>
      <c r="Z339" s="2" t="s">
        <v>126</v>
      </c>
      <c r="AA339" s="2" t="s">
        <v>127</v>
      </c>
      <c r="AB339" s="2" t="s">
        <v>66</v>
      </c>
      <c r="AC339" s="2" t="s">
        <v>67</v>
      </c>
    </row>
    <row r="340" spans="1:29" hidden="1" x14ac:dyDescent="0.25">
      <c r="A340" t="s">
        <v>107</v>
      </c>
      <c r="B340" t="s">
        <v>92</v>
      </c>
      <c r="C340" t="s">
        <v>93</v>
      </c>
      <c r="D340" t="s">
        <v>14</v>
      </c>
      <c r="E340" t="s">
        <v>113</v>
      </c>
      <c r="F340" t="s">
        <v>114</v>
      </c>
      <c r="G340" s="2" t="s">
        <v>93</v>
      </c>
      <c r="H340" t="s">
        <v>64</v>
      </c>
      <c r="I340" s="34" t="s">
        <v>244</v>
      </c>
      <c r="J340" s="2" t="s">
        <v>245</v>
      </c>
      <c r="K340" t="s">
        <v>108</v>
      </c>
      <c r="L340" t="s">
        <v>115</v>
      </c>
      <c r="M340" s="2" t="s">
        <v>78</v>
      </c>
      <c r="N340" t="s">
        <v>164</v>
      </c>
      <c r="O340" t="s">
        <v>157</v>
      </c>
      <c r="P340" s="2" t="s">
        <v>81</v>
      </c>
      <c r="Q340" t="s">
        <v>64</v>
      </c>
      <c r="R340" t="s">
        <v>64</v>
      </c>
      <c r="S340" s="85" t="s">
        <v>246</v>
      </c>
      <c r="T340" t="s">
        <v>247</v>
      </c>
      <c r="U340" t="s">
        <v>248</v>
      </c>
      <c r="V340" s="2" t="s">
        <v>249</v>
      </c>
      <c r="W340" s="2" t="s">
        <v>65</v>
      </c>
      <c r="Z340" s="2" t="s">
        <v>126</v>
      </c>
      <c r="AA340" s="2" t="s">
        <v>127</v>
      </c>
      <c r="AB340" s="2" t="s">
        <v>66</v>
      </c>
      <c r="AC340" s="2" t="s">
        <v>67</v>
      </c>
    </row>
    <row r="341" spans="1:29" hidden="1" x14ac:dyDescent="0.25">
      <c r="A341" t="s">
        <v>107</v>
      </c>
      <c r="B341" t="s">
        <v>92</v>
      </c>
      <c r="C341" t="s">
        <v>93</v>
      </c>
      <c r="D341" t="s">
        <v>15</v>
      </c>
      <c r="E341" t="s">
        <v>96</v>
      </c>
      <c r="F341" t="s">
        <v>96</v>
      </c>
      <c r="G341" s="2" t="s">
        <v>92</v>
      </c>
      <c r="H341" t="s">
        <v>64</v>
      </c>
      <c r="I341" s="34" t="s">
        <v>250</v>
      </c>
      <c r="J341" s="2" t="s">
        <v>251</v>
      </c>
      <c r="K341" t="s">
        <v>64</v>
      </c>
      <c r="L341" t="s">
        <v>125</v>
      </c>
      <c r="M341" s="2" t="s">
        <v>78</v>
      </c>
      <c r="N341" t="s">
        <v>164</v>
      </c>
      <c r="O341" t="s">
        <v>133</v>
      </c>
      <c r="P341" s="2" t="s">
        <v>20</v>
      </c>
      <c r="Q341" t="s">
        <v>64</v>
      </c>
      <c r="R341" t="s">
        <v>64</v>
      </c>
      <c r="S341" s="85" t="s">
        <v>124</v>
      </c>
      <c r="T341" t="s">
        <v>252</v>
      </c>
      <c r="U341" t="s">
        <v>253</v>
      </c>
      <c r="V341" s="2" t="s">
        <v>254</v>
      </c>
      <c r="W341" s="2" t="s">
        <v>65</v>
      </c>
      <c r="Z341" s="2" t="s">
        <v>126</v>
      </c>
      <c r="AA341" s="2" t="s">
        <v>127</v>
      </c>
      <c r="AB341" s="2" t="s">
        <v>66</v>
      </c>
      <c r="AC341" s="2" t="s">
        <v>67</v>
      </c>
    </row>
    <row r="342" spans="1:29" hidden="1" x14ac:dyDescent="0.25">
      <c r="A342" t="s">
        <v>107</v>
      </c>
      <c r="B342" t="s">
        <v>92</v>
      </c>
      <c r="C342" t="s">
        <v>93</v>
      </c>
      <c r="D342" t="s">
        <v>15</v>
      </c>
      <c r="E342" t="s">
        <v>96</v>
      </c>
      <c r="F342" t="s">
        <v>96</v>
      </c>
      <c r="G342" s="2" t="s">
        <v>92</v>
      </c>
      <c r="H342" t="s">
        <v>64</v>
      </c>
      <c r="I342" s="34" t="s">
        <v>250</v>
      </c>
      <c r="J342" s="2" t="s">
        <v>251</v>
      </c>
      <c r="K342" t="s">
        <v>64</v>
      </c>
      <c r="L342" t="s">
        <v>125</v>
      </c>
      <c r="M342" s="2" t="s">
        <v>78</v>
      </c>
      <c r="N342" t="s">
        <v>164</v>
      </c>
      <c r="O342" t="s">
        <v>97</v>
      </c>
      <c r="P342" s="2" t="s">
        <v>20</v>
      </c>
      <c r="Q342" t="s">
        <v>64</v>
      </c>
      <c r="R342" t="s">
        <v>64</v>
      </c>
      <c r="S342" s="85" t="s">
        <v>124</v>
      </c>
      <c r="T342" t="s">
        <v>252</v>
      </c>
      <c r="U342" t="s">
        <v>253</v>
      </c>
      <c r="V342" s="2" t="s">
        <v>254</v>
      </c>
      <c r="W342" s="2" t="s">
        <v>65</v>
      </c>
      <c r="Z342" s="2" t="s">
        <v>126</v>
      </c>
      <c r="AA342" s="2" t="s">
        <v>127</v>
      </c>
      <c r="AB342" s="2" t="s">
        <v>66</v>
      </c>
      <c r="AC342" s="2" t="s">
        <v>67</v>
      </c>
    </row>
    <row r="343" spans="1:29" hidden="1" x14ac:dyDescent="0.25">
      <c r="A343" t="s">
        <v>107</v>
      </c>
      <c r="B343" t="s">
        <v>92</v>
      </c>
      <c r="C343" t="s">
        <v>93</v>
      </c>
      <c r="D343" t="s">
        <v>15</v>
      </c>
      <c r="E343" t="s">
        <v>96</v>
      </c>
      <c r="F343" t="s">
        <v>96</v>
      </c>
      <c r="G343" s="2" t="s">
        <v>92</v>
      </c>
      <c r="H343" t="s">
        <v>64</v>
      </c>
      <c r="I343" s="34" t="s">
        <v>250</v>
      </c>
      <c r="J343" s="2" t="s">
        <v>251</v>
      </c>
      <c r="K343" t="s">
        <v>64</v>
      </c>
      <c r="L343" t="s">
        <v>125</v>
      </c>
      <c r="M343" s="2" t="s">
        <v>78</v>
      </c>
      <c r="N343" t="s">
        <v>164</v>
      </c>
      <c r="O343" t="s">
        <v>98</v>
      </c>
      <c r="P343" s="2" t="s">
        <v>20</v>
      </c>
      <c r="Q343" t="s">
        <v>64</v>
      </c>
      <c r="R343" t="s">
        <v>64</v>
      </c>
      <c r="S343" s="85" t="s">
        <v>124</v>
      </c>
      <c r="T343" t="s">
        <v>252</v>
      </c>
      <c r="U343" t="s">
        <v>253</v>
      </c>
      <c r="V343" s="2" t="s">
        <v>254</v>
      </c>
      <c r="W343" s="2" t="s">
        <v>65</v>
      </c>
      <c r="Z343" s="2" t="s">
        <v>126</v>
      </c>
      <c r="AA343" s="2" t="s">
        <v>127</v>
      </c>
      <c r="AB343" s="2" t="s">
        <v>66</v>
      </c>
      <c r="AC343" s="2" t="s">
        <v>67</v>
      </c>
    </row>
    <row r="344" spans="1:29" hidden="1" x14ac:dyDescent="0.25">
      <c r="A344" t="s">
        <v>107</v>
      </c>
      <c r="B344" t="s">
        <v>92</v>
      </c>
      <c r="C344" t="s">
        <v>93</v>
      </c>
      <c r="D344" t="s">
        <v>15</v>
      </c>
      <c r="E344" t="s">
        <v>96</v>
      </c>
      <c r="F344" t="s">
        <v>96</v>
      </c>
      <c r="G344" s="2" t="s">
        <v>92</v>
      </c>
      <c r="H344" t="s">
        <v>64</v>
      </c>
      <c r="I344" s="34" t="s">
        <v>250</v>
      </c>
      <c r="J344" s="2" t="s">
        <v>251</v>
      </c>
      <c r="K344" t="s">
        <v>64</v>
      </c>
      <c r="L344" t="s">
        <v>125</v>
      </c>
      <c r="M344" s="2" t="s">
        <v>78</v>
      </c>
      <c r="N344" t="s">
        <v>164</v>
      </c>
      <c r="O344" t="s">
        <v>134</v>
      </c>
      <c r="P344" s="2" t="s">
        <v>20</v>
      </c>
      <c r="Q344" t="s">
        <v>64</v>
      </c>
      <c r="R344" t="s">
        <v>64</v>
      </c>
      <c r="S344" s="85" t="s">
        <v>124</v>
      </c>
      <c r="T344" t="s">
        <v>252</v>
      </c>
      <c r="U344" t="s">
        <v>253</v>
      </c>
      <c r="V344" s="2" t="s">
        <v>254</v>
      </c>
      <c r="W344" s="2" t="s">
        <v>65</v>
      </c>
      <c r="Z344" s="2" t="s">
        <v>126</v>
      </c>
      <c r="AA344" s="2" t="s">
        <v>127</v>
      </c>
      <c r="AB344" s="2" t="s">
        <v>66</v>
      </c>
      <c r="AC344" s="2" t="s">
        <v>67</v>
      </c>
    </row>
    <row r="345" spans="1:29" hidden="1" x14ac:dyDescent="0.25">
      <c r="A345" t="s">
        <v>107</v>
      </c>
      <c r="B345" t="s">
        <v>92</v>
      </c>
      <c r="C345" t="s">
        <v>93</v>
      </c>
      <c r="D345" t="s">
        <v>15</v>
      </c>
      <c r="E345" t="s">
        <v>96</v>
      </c>
      <c r="F345" t="s">
        <v>96</v>
      </c>
      <c r="G345" s="2" t="s">
        <v>92</v>
      </c>
      <c r="H345" t="s">
        <v>64</v>
      </c>
      <c r="I345" s="34" t="s">
        <v>250</v>
      </c>
      <c r="J345" s="2" t="s">
        <v>251</v>
      </c>
      <c r="K345" t="s">
        <v>64</v>
      </c>
      <c r="L345" t="s">
        <v>125</v>
      </c>
      <c r="M345" s="2" t="s">
        <v>78</v>
      </c>
      <c r="N345" t="s">
        <v>164</v>
      </c>
      <c r="O345" t="s">
        <v>35</v>
      </c>
      <c r="P345" s="2" t="s">
        <v>20</v>
      </c>
      <c r="Q345" t="s">
        <v>64</v>
      </c>
      <c r="R345" t="s">
        <v>64</v>
      </c>
      <c r="S345" s="85" t="s">
        <v>124</v>
      </c>
      <c r="T345" t="s">
        <v>252</v>
      </c>
      <c r="U345" t="s">
        <v>253</v>
      </c>
      <c r="V345" s="2" t="s">
        <v>254</v>
      </c>
      <c r="W345" s="2" t="s">
        <v>65</v>
      </c>
      <c r="Z345" s="2" t="s">
        <v>126</v>
      </c>
      <c r="AA345" s="2" t="s">
        <v>127</v>
      </c>
      <c r="AB345" s="2" t="s">
        <v>66</v>
      </c>
      <c r="AC345" s="2" t="s">
        <v>67</v>
      </c>
    </row>
    <row r="346" spans="1:29" hidden="1" x14ac:dyDescent="0.25">
      <c r="A346" t="s">
        <v>107</v>
      </c>
      <c r="B346" t="s">
        <v>92</v>
      </c>
      <c r="C346" t="s">
        <v>93</v>
      </c>
      <c r="D346" t="s">
        <v>15</v>
      </c>
      <c r="E346" t="s">
        <v>96</v>
      </c>
      <c r="F346" t="s">
        <v>96</v>
      </c>
      <c r="G346" s="2" t="s">
        <v>92</v>
      </c>
      <c r="H346" t="s">
        <v>64</v>
      </c>
      <c r="I346" s="34" t="s">
        <v>250</v>
      </c>
      <c r="J346" s="2" t="s">
        <v>251</v>
      </c>
      <c r="K346" t="s">
        <v>64</v>
      </c>
      <c r="L346" t="s">
        <v>125</v>
      </c>
      <c r="M346" s="2" t="s">
        <v>78</v>
      </c>
      <c r="N346" t="s">
        <v>164</v>
      </c>
      <c r="O346" t="s">
        <v>135</v>
      </c>
      <c r="P346" s="2" t="s">
        <v>81</v>
      </c>
      <c r="Q346" t="s">
        <v>64</v>
      </c>
      <c r="R346" t="s">
        <v>64</v>
      </c>
      <c r="S346" s="85" t="s">
        <v>124</v>
      </c>
      <c r="T346" t="s">
        <v>252</v>
      </c>
      <c r="U346" t="s">
        <v>253</v>
      </c>
      <c r="V346" s="2" t="s">
        <v>254</v>
      </c>
      <c r="W346" s="2" t="s">
        <v>65</v>
      </c>
      <c r="Z346" s="2" t="s">
        <v>126</v>
      </c>
      <c r="AA346" s="2" t="s">
        <v>127</v>
      </c>
      <c r="AB346" s="2" t="s">
        <v>66</v>
      </c>
      <c r="AC346" s="2" t="s">
        <v>67</v>
      </c>
    </row>
    <row r="347" spans="1:29" hidden="1" x14ac:dyDescent="0.25">
      <c r="A347" t="s">
        <v>107</v>
      </c>
      <c r="B347" t="s">
        <v>92</v>
      </c>
      <c r="C347" t="s">
        <v>93</v>
      </c>
      <c r="D347" t="s">
        <v>15</v>
      </c>
      <c r="E347" t="s">
        <v>96</v>
      </c>
      <c r="F347" t="s">
        <v>96</v>
      </c>
      <c r="G347" s="2" t="s">
        <v>92</v>
      </c>
      <c r="H347" t="s">
        <v>64</v>
      </c>
      <c r="I347" s="34" t="s">
        <v>250</v>
      </c>
      <c r="J347" s="2" t="s">
        <v>251</v>
      </c>
      <c r="K347" t="s">
        <v>64</v>
      </c>
      <c r="L347" t="s">
        <v>125</v>
      </c>
      <c r="M347" s="2" t="s">
        <v>78</v>
      </c>
      <c r="N347" t="s">
        <v>164</v>
      </c>
      <c r="O347" t="s">
        <v>99</v>
      </c>
      <c r="P347" s="2" t="s">
        <v>20</v>
      </c>
      <c r="Q347" t="s">
        <v>64</v>
      </c>
      <c r="R347" t="s">
        <v>64</v>
      </c>
      <c r="S347" s="85" t="s">
        <v>124</v>
      </c>
      <c r="T347" t="s">
        <v>252</v>
      </c>
      <c r="U347" t="s">
        <v>253</v>
      </c>
      <c r="V347" s="2" t="s">
        <v>254</v>
      </c>
      <c r="W347" s="2" t="s">
        <v>65</v>
      </c>
      <c r="Z347" s="2" t="s">
        <v>126</v>
      </c>
      <c r="AA347" s="2" t="s">
        <v>127</v>
      </c>
      <c r="AB347" s="2" t="s">
        <v>66</v>
      </c>
      <c r="AC347" s="2" t="s">
        <v>67</v>
      </c>
    </row>
    <row r="348" spans="1:29" hidden="1" x14ac:dyDescent="0.25">
      <c r="A348" t="s">
        <v>107</v>
      </c>
      <c r="B348" t="s">
        <v>92</v>
      </c>
      <c r="C348" t="s">
        <v>93</v>
      </c>
      <c r="D348" t="s">
        <v>15</v>
      </c>
      <c r="E348" t="s">
        <v>96</v>
      </c>
      <c r="F348" t="s">
        <v>96</v>
      </c>
      <c r="G348" s="2" t="s">
        <v>92</v>
      </c>
      <c r="H348" t="s">
        <v>64</v>
      </c>
      <c r="I348" s="34" t="s">
        <v>250</v>
      </c>
      <c r="J348" s="2" t="s">
        <v>251</v>
      </c>
      <c r="K348" t="s">
        <v>64</v>
      </c>
      <c r="L348" t="s">
        <v>125</v>
      </c>
      <c r="M348" s="2" t="s">
        <v>78</v>
      </c>
      <c r="N348" t="s">
        <v>164</v>
      </c>
      <c r="O348" t="s">
        <v>100</v>
      </c>
      <c r="P348" s="2" t="s">
        <v>20</v>
      </c>
      <c r="Q348" t="s">
        <v>64</v>
      </c>
      <c r="R348" t="s">
        <v>64</v>
      </c>
      <c r="S348" s="85" t="s">
        <v>124</v>
      </c>
      <c r="T348" t="s">
        <v>252</v>
      </c>
      <c r="U348" t="s">
        <v>253</v>
      </c>
      <c r="V348" s="2" t="s">
        <v>254</v>
      </c>
      <c r="W348" s="2" t="s">
        <v>65</v>
      </c>
      <c r="Z348" s="2" t="s">
        <v>126</v>
      </c>
      <c r="AA348" s="2" t="s">
        <v>127</v>
      </c>
      <c r="AB348" s="2" t="s">
        <v>66</v>
      </c>
      <c r="AC348" s="2" t="s">
        <v>67</v>
      </c>
    </row>
    <row r="349" spans="1:29" hidden="1" x14ac:dyDescent="0.25">
      <c r="A349" t="s">
        <v>107</v>
      </c>
      <c r="B349" t="s">
        <v>92</v>
      </c>
      <c r="C349" t="s">
        <v>93</v>
      </c>
      <c r="D349" t="s">
        <v>15</v>
      </c>
      <c r="E349" t="s">
        <v>96</v>
      </c>
      <c r="F349" t="s">
        <v>96</v>
      </c>
      <c r="G349" s="2" t="s">
        <v>92</v>
      </c>
      <c r="H349" t="s">
        <v>64</v>
      </c>
      <c r="I349" s="34" t="s">
        <v>250</v>
      </c>
      <c r="J349" s="2" t="s">
        <v>251</v>
      </c>
      <c r="K349" t="s">
        <v>64</v>
      </c>
      <c r="L349" t="s">
        <v>125</v>
      </c>
      <c r="M349" s="2" t="s">
        <v>78</v>
      </c>
      <c r="N349" t="s">
        <v>164</v>
      </c>
      <c r="O349" t="s">
        <v>101</v>
      </c>
      <c r="P349" s="2" t="s">
        <v>81</v>
      </c>
      <c r="Q349" t="s">
        <v>64</v>
      </c>
      <c r="R349" t="s">
        <v>64</v>
      </c>
      <c r="S349" s="85" t="s">
        <v>124</v>
      </c>
      <c r="T349" t="s">
        <v>252</v>
      </c>
      <c r="U349" t="s">
        <v>253</v>
      </c>
      <c r="V349" s="2" t="s">
        <v>254</v>
      </c>
      <c r="W349" s="2" t="s">
        <v>65</v>
      </c>
      <c r="Z349" s="2" t="s">
        <v>126</v>
      </c>
      <c r="AA349" s="2" t="s">
        <v>127</v>
      </c>
      <c r="AB349" s="2" t="s">
        <v>66</v>
      </c>
      <c r="AC349" s="2" t="s">
        <v>67</v>
      </c>
    </row>
    <row r="350" spans="1:29" hidden="1" x14ac:dyDescent="0.25">
      <c r="A350" t="s">
        <v>107</v>
      </c>
      <c r="B350" t="s">
        <v>92</v>
      </c>
      <c r="C350" t="s">
        <v>93</v>
      </c>
      <c r="D350" t="s">
        <v>15</v>
      </c>
      <c r="E350" t="s">
        <v>96</v>
      </c>
      <c r="F350" t="s">
        <v>96</v>
      </c>
      <c r="G350" s="2" t="s">
        <v>92</v>
      </c>
      <c r="H350" t="s">
        <v>64</v>
      </c>
      <c r="I350" s="34" t="s">
        <v>250</v>
      </c>
      <c r="J350" s="2" t="s">
        <v>251</v>
      </c>
      <c r="K350" t="s">
        <v>64</v>
      </c>
      <c r="L350" t="s">
        <v>125</v>
      </c>
      <c r="M350" s="2" t="s">
        <v>78</v>
      </c>
      <c r="N350" t="s">
        <v>164</v>
      </c>
      <c r="O350" t="s">
        <v>102</v>
      </c>
      <c r="P350" s="2" t="s">
        <v>81</v>
      </c>
      <c r="Q350" t="s">
        <v>64</v>
      </c>
      <c r="R350" t="s">
        <v>64</v>
      </c>
      <c r="S350" s="85" t="s">
        <v>124</v>
      </c>
      <c r="T350" t="s">
        <v>252</v>
      </c>
      <c r="U350" t="s">
        <v>253</v>
      </c>
      <c r="V350" s="2" t="s">
        <v>254</v>
      </c>
      <c r="W350" s="2" t="s">
        <v>65</v>
      </c>
      <c r="Z350" s="2" t="s">
        <v>126</v>
      </c>
      <c r="AA350" s="2" t="s">
        <v>127</v>
      </c>
      <c r="AB350" s="2" t="s">
        <v>66</v>
      </c>
      <c r="AC350" s="2" t="s">
        <v>67</v>
      </c>
    </row>
    <row r="351" spans="1:29" hidden="1" x14ac:dyDescent="0.25">
      <c r="A351" t="s">
        <v>107</v>
      </c>
      <c r="B351" t="s">
        <v>92</v>
      </c>
      <c r="C351" t="s">
        <v>93</v>
      </c>
      <c r="D351" t="s">
        <v>15</v>
      </c>
      <c r="E351" t="s">
        <v>96</v>
      </c>
      <c r="F351" t="s">
        <v>96</v>
      </c>
      <c r="G351" s="2" t="s">
        <v>92</v>
      </c>
      <c r="H351" t="s">
        <v>64</v>
      </c>
      <c r="I351" s="34" t="s">
        <v>250</v>
      </c>
      <c r="J351" s="2" t="s">
        <v>251</v>
      </c>
      <c r="K351" t="s">
        <v>64</v>
      </c>
      <c r="L351" t="s">
        <v>125</v>
      </c>
      <c r="M351" s="2" t="s">
        <v>78</v>
      </c>
      <c r="N351" t="s">
        <v>164</v>
      </c>
      <c r="O351" t="s">
        <v>103</v>
      </c>
      <c r="P351" s="2" t="s">
        <v>81</v>
      </c>
      <c r="Q351" t="s">
        <v>64</v>
      </c>
      <c r="R351" t="s">
        <v>64</v>
      </c>
      <c r="S351" s="85" t="s">
        <v>124</v>
      </c>
      <c r="T351" t="s">
        <v>252</v>
      </c>
      <c r="U351" t="s">
        <v>253</v>
      </c>
      <c r="V351" s="2" t="s">
        <v>254</v>
      </c>
      <c r="W351" s="2" t="s">
        <v>65</v>
      </c>
      <c r="Z351" s="2" t="s">
        <v>126</v>
      </c>
      <c r="AA351" s="2" t="s">
        <v>127</v>
      </c>
      <c r="AB351" s="2" t="s">
        <v>66</v>
      </c>
      <c r="AC351" s="2" t="s">
        <v>67</v>
      </c>
    </row>
    <row r="352" spans="1:29" hidden="1" x14ac:dyDescent="0.25">
      <c r="A352" t="s">
        <v>107</v>
      </c>
      <c r="B352" t="s">
        <v>92</v>
      </c>
      <c r="C352" t="s">
        <v>93</v>
      </c>
      <c r="D352" t="s">
        <v>15</v>
      </c>
      <c r="E352" t="s">
        <v>96</v>
      </c>
      <c r="F352" t="s">
        <v>96</v>
      </c>
      <c r="G352" s="2" t="s">
        <v>92</v>
      </c>
      <c r="H352" t="s">
        <v>64</v>
      </c>
      <c r="I352" s="34" t="s">
        <v>250</v>
      </c>
      <c r="J352" s="2" t="s">
        <v>251</v>
      </c>
      <c r="K352" t="s">
        <v>64</v>
      </c>
      <c r="L352" t="s">
        <v>125</v>
      </c>
      <c r="M352" s="2" t="s">
        <v>78</v>
      </c>
      <c r="N352" t="s">
        <v>164</v>
      </c>
      <c r="O352" t="s">
        <v>104</v>
      </c>
      <c r="P352" s="2" t="s">
        <v>81</v>
      </c>
      <c r="Q352" t="s">
        <v>64</v>
      </c>
      <c r="R352" t="s">
        <v>64</v>
      </c>
      <c r="S352" s="85" t="s">
        <v>124</v>
      </c>
      <c r="T352" t="s">
        <v>252</v>
      </c>
      <c r="U352" t="s">
        <v>253</v>
      </c>
      <c r="V352" s="2" t="s">
        <v>254</v>
      </c>
      <c r="W352" s="2" t="s">
        <v>65</v>
      </c>
      <c r="Z352" s="2" t="s">
        <v>126</v>
      </c>
      <c r="AA352" s="2" t="s">
        <v>127</v>
      </c>
      <c r="AB352" s="2" t="s">
        <v>66</v>
      </c>
      <c r="AC352" s="2" t="s">
        <v>67</v>
      </c>
    </row>
    <row r="353" spans="1:29" hidden="1" x14ac:dyDescent="0.25">
      <c r="A353" t="s">
        <v>107</v>
      </c>
      <c r="B353" t="s">
        <v>92</v>
      </c>
      <c r="C353" t="s">
        <v>93</v>
      </c>
      <c r="D353" t="s">
        <v>15</v>
      </c>
      <c r="E353" t="s">
        <v>96</v>
      </c>
      <c r="F353" t="s">
        <v>96</v>
      </c>
      <c r="G353" s="2" t="s">
        <v>92</v>
      </c>
      <c r="H353" t="s">
        <v>64</v>
      </c>
      <c r="I353" s="34" t="s">
        <v>250</v>
      </c>
      <c r="J353" s="2" t="s">
        <v>251</v>
      </c>
      <c r="K353" t="s">
        <v>64</v>
      </c>
      <c r="L353" t="s">
        <v>125</v>
      </c>
      <c r="M353" s="2" t="s">
        <v>78</v>
      </c>
      <c r="N353" t="s">
        <v>164</v>
      </c>
      <c r="O353" t="s">
        <v>136</v>
      </c>
      <c r="P353" s="2" t="s">
        <v>20</v>
      </c>
      <c r="Q353" t="s">
        <v>64</v>
      </c>
      <c r="R353" t="s">
        <v>64</v>
      </c>
      <c r="S353" s="85" t="s">
        <v>124</v>
      </c>
      <c r="T353" t="s">
        <v>252</v>
      </c>
      <c r="U353" t="s">
        <v>253</v>
      </c>
      <c r="V353" s="2" t="s">
        <v>254</v>
      </c>
      <c r="W353" s="2" t="s">
        <v>65</v>
      </c>
      <c r="Z353" s="2" t="s">
        <v>126</v>
      </c>
      <c r="AA353" s="2" t="s">
        <v>127</v>
      </c>
      <c r="AB353" s="2" t="s">
        <v>66</v>
      </c>
      <c r="AC353" s="2" t="s">
        <v>67</v>
      </c>
    </row>
    <row r="354" spans="1:29" hidden="1" x14ac:dyDescent="0.25">
      <c r="A354" t="s">
        <v>107</v>
      </c>
      <c r="B354" t="s">
        <v>92</v>
      </c>
      <c r="C354" t="s">
        <v>93</v>
      </c>
      <c r="D354" t="s">
        <v>15</v>
      </c>
      <c r="E354" t="s">
        <v>96</v>
      </c>
      <c r="F354" t="s">
        <v>96</v>
      </c>
      <c r="G354" s="2" t="s">
        <v>92</v>
      </c>
      <c r="H354" t="s">
        <v>64</v>
      </c>
      <c r="I354" s="34" t="s">
        <v>250</v>
      </c>
      <c r="J354" s="2" t="s">
        <v>251</v>
      </c>
      <c r="K354" t="s">
        <v>64</v>
      </c>
      <c r="L354" t="s">
        <v>125</v>
      </c>
      <c r="M354" s="2" t="s">
        <v>78</v>
      </c>
      <c r="N354" t="s">
        <v>164</v>
      </c>
      <c r="O354" t="s">
        <v>137</v>
      </c>
      <c r="P354" s="2" t="s">
        <v>20</v>
      </c>
      <c r="Q354" t="s">
        <v>64</v>
      </c>
      <c r="R354" t="s">
        <v>64</v>
      </c>
      <c r="S354" s="85" t="s">
        <v>124</v>
      </c>
      <c r="T354" t="s">
        <v>252</v>
      </c>
      <c r="U354" t="s">
        <v>253</v>
      </c>
      <c r="V354" s="2" t="s">
        <v>254</v>
      </c>
      <c r="W354" s="2" t="s">
        <v>65</v>
      </c>
      <c r="Z354" s="2" t="s">
        <v>126</v>
      </c>
      <c r="AA354" s="2" t="s">
        <v>127</v>
      </c>
      <c r="AB354" s="2" t="s">
        <v>66</v>
      </c>
      <c r="AC354" s="2" t="s">
        <v>67</v>
      </c>
    </row>
    <row r="355" spans="1:29" hidden="1" x14ac:dyDescent="0.25">
      <c r="A355" t="s">
        <v>107</v>
      </c>
      <c r="B355" t="s">
        <v>92</v>
      </c>
      <c r="C355" t="s">
        <v>93</v>
      </c>
      <c r="D355" t="s">
        <v>15</v>
      </c>
      <c r="E355" t="s">
        <v>96</v>
      </c>
      <c r="F355" t="s">
        <v>96</v>
      </c>
      <c r="G355" s="2" t="s">
        <v>92</v>
      </c>
      <c r="H355" t="s">
        <v>64</v>
      </c>
      <c r="I355" s="34" t="s">
        <v>250</v>
      </c>
      <c r="J355" s="2" t="s">
        <v>251</v>
      </c>
      <c r="K355" t="s">
        <v>64</v>
      </c>
      <c r="L355" t="s">
        <v>125</v>
      </c>
      <c r="M355" s="2" t="s">
        <v>78</v>
      </c>
      <c r="N355" t="s">
        <v>164</v>
      </c>
      <c r="O355" t="s">
        <v>138</v>
      </c>
      <c r="P355" s="2" t="s">
        <v>106</v>
      </c>
      <c r="Q355" t="s">
        <v>64</v>
      </c>
      <c r="R355" t="s">
        <v>64</v>
      </c>
      <c r="S355" s="85" t="s">
        <v>124</v>
      </c>
      <c r="T355" t="s">
        <v>252</v>
      </c>
      <c r="U355" t="s">
        <v>253</v>
      </c>
      <c r="V355" s="2" t="s">
        <v>254</v>
      </c>
      <c r="W355" s="2" t="s">
        <v>65</v>
      </c>
      <c r="Z355" s="2" t="s">
        <v>126</v>
      </c>
      <c r="AA355" s="2" t="s">
        <v>127</v>
      </c>
      <c r="AB355" s="2" t="s">
        <v>66</v>
      </c>
      <c r="AC355" s="2" t="s">
        <v>67</v>
      </c>
    </row>
    <row r="356" spans="1:29" hidden="1" x14ac:dyDescent="0.25">
      <c r="A356" t="s">
        <v>107</v>
      </c>
      <c r="B356" t="s">
        <v>92</v>
      </c>
      <c r="C356" t="s">
        <v>93</v>
      </c>
      <c r="D356" t="s">
        <v>15</v>
      </c>
      <c r="E356" t="s">
        <v>96</v>
      </c>
      <c r="F356" t="s">
        <v>96</v>
      </c>
      <c r="G356" s="2" t="s">
        <v>92</v>
      </c>
      <c r="H356" t="s">
        <v>64</v>
      </c>
      <c r="I356" s="34" t="s">
        <v>250</v>
      </c>
      <c r="J356" s="2" t="s">
        <v>251</v>
      </c>
      <c r="K356" t="s">
        <v>64</v>
      </c>
      <c r="L356" t="s">
        <v>125</v>
      </c>
      <c r="M356" s="2" t="s">
        <v>78</v>
      </c>
      <c r="N356" t="s">
        <v>164</v>
      </c>
      <c r="O356" t="s">
        <v>139</v>
      </c>
      <c r="P356" s="2" t="s">
        <v>15</v>
      </c>
      <c r="Q356" t="s">
        <v>64</v>
      </c>
      <c r="R356" t="s">
        <v>64</v>
      </c>
      <c r="S356" s="85" t="s">
        <v>124</v>
      </c>
      <c r="T356" t="s">
        <v>252</v>
      </c>
      <c r="U356" t="s">
        <v>253</v>
      </c>
      <c r="V356" s="2" t="s">
        <v>254</v>
      </c>
      <c r="W356" s="2" t="s">
        <v>65</v>
      </c>
      <c r="Z356" s="2" t="s">
        <v>126</v>
      </c>
      <c r="AA356" s="2" t="s">
        <v>127</v>
      </c>
      <c r="AB356" s="2" t="s">
        <v>66</v>
      </c>
      <c r="AC356" s="2" t="s">
        <v>67</v>
      </c>
    </row>
    <row r="357" spans="1:29" hidden="1" x14ac:dyDescent="0.25">
      <c r="A357" t="s">
        <v>107</v>
      </c>
      <c r="B357" t="s">
        <v>92</v>
      </c>
      <c r="C357" t="s">
        <v>93</v>
      </c>
      <c r="D357" t="s">
        <v>15</v>
      </c>
      <c r="E357" t="s">
        <v>96</v>
      </c>
      <c r="F357" t="s">
        <v>96</v>
      </c>
      <c r="G357" s="2" t="s">
        <v>92</v>
      </c>
      <c r="H357" t="s">
        <v>64</v>
      </c>
      <c r="I357" s="34" t="s">
        <v>250</v>
      </c>
      <c r="J357" s="2" t="s">
        <v>251</v>
      </c>
      <c r="K357" t="s">
        <v>64</v>
      </c>
      <c r="L357" t="s">
        <v>125</v>
      </c>
      <c r="M357" s="2" t="s">
        <v>78</v>
      </c>
      <c r="N357" t="s">
        <v>164</v>
      </c>
      <c r="O357" t="s">
        <v>140</v>
      </c>
      <c r="P357" s="2" t="s">
        <v>106</v>
      </c>
      <c r="Q357" t="s">
        <v>64</v>
      </c>
      <c r="R357" t="s">
        <v>64</v>
      </c>
      <c r="S357" s="85" t="s">
        <v>124</v>
      </c>
      <c r="T357" t="s">
        <v>252</v>
      </c>
      <c r="U357" t="s">
        <v>253</v>
      </c>
      <c r="V357" s="2" t="s">
        <v>254</v>
      </c>
      <c r="W357" s="2" t="s">
        <v>65</v>
      </c>
      <c r="Z357" s="2" t="s">
        <v>126</v>
      </c>
      <c r="AA357" s="2" t="s">
        <v>127</v>
      </c>
      <c r="AB357" s="2" t="s">
        <v>66</v>
      </c>
      <c r="AC357" s="2" t="s">
        <v>67</v>
      </c>
    </row>
    <row r="358" spans="1:29" hidden="1" x14ac:dyDescent="0.25">
      <c r="A358" t="s">
        <v>107</v>
      </c>
      <c r="B358" t="s">
        <v>92</v>
      </c>
      <c r="C358" t="s">
        <v>93</v>
      </c>
      <c r="D358" t="s">
        <v>15</v>
      </c>
      <c r="E358" t="s">
        <v>96</v>
      </c>
      <c r="F358" t="s">
        <v>96</v>
      </c>
      <c r="G358" s="2" t="s">
        <v>92</v>
      </c>
      <c r="H358" t="s">
        <v>64</v>
      </c>
      <c r="I358" s="34" t="s">
        <v>250</v>
      </c>
      <c r="J358" s="2" t="s">
        <v>251</v>
      </c>
      <c r="K358" t="s">
        <v>64</v>
      </c>
      <c r="L358" t="s">
        <v>125</v>
      </c>
      <c r="M358" s="2" t="s">
        <v>78</v>
      </c>
      <c r="N358" t="s">
        <v>164</v>
      </c>
      <c r="O358" t="s">
        <v>141</v>
      </c>
      <c r="P358" s="2" t="s">
        <v>106</v>
      </c>
      <c r="Q358" t="s">
        <v>64</v>
      </c>
      <c r="R358" t="s">
        <v>64</v>
      </c>
      <c r="S358" s="85" t="s">
        <v>124</v>
      </c>
      <c r="T358" t="s">
        <v>252</v>
      </c>
      <c r="U358" t="s">
        <v>253</v>
      </c>
      <c r="V358" s="2" t="s">
        <v>254</v>
      </c>
      <c r="W358" s="2" t="s">
        <v>65</v>
      </c>
      <c r="Z358" s="2" t="s">
        <v>126</v>
      </c>
      <c r="AA358" s="2" t="s">
        <v>127</v>
      </c>
      <c r="AB358" s="2" t="s">
        <v>66</v>
      </c>
      <c r="AC358" s="2" t="s">
        <v>67</v>
      </c>
    </row>
    <row r="359" spans="1:29" hidden="1" x14ac:dyDescent="0.25">
      <c r="A359" t="s">
        <v>107</v>
      </c>
      <c r="B359" t="s">
        <v>92</v>
      </c>
      <c r="C359" t="s">
        <v>93</v>
      </c>
      <c r="D359" t="s">
        <v>15</v>
      </c>
      <c r="E359" t="s">
        <v>96</v>
      </c>
      <c r="F359" t="s">
        <v>96</v>
      </c>
      <c r="G359" s="2" t="s">
        <v>92</v>
      </c>
      <c r="H359" t="s">
        <v>64</v>
      </c>
      <c r="I359" s="34" t="s">
        <v>250</v>
      </c>
      <c r="J359" s="2" t="s">
        <v>251</v>
      </c>
      <c r="K359" t="s">
        <v>64</v>
      </c>
      <c r="L359" t="s">
        <v>125</v>
      </c>
      <c r="M359" s="2" t="s">
        <v>78</v>
      </c>
      <c r="N359" t="s">
        <v>164</v>
      </c>
      <c r="O359" t="s">
        <v>142</v>
      </c>
      <c r="P359" s="2" t="s">
        <v>106</v>
      </c>
      <c r="Q359" t="s">
        <v>64</v>
      </c>
      <c r="R359" t="s">
        <v>64</v>
      </c>
      <c r="S359" s="85" t="s">
        <v>124</v>
      </c>
      <c r="T359" t="s">
        <v>252</v>
      </c>
      <c r="U359" t="s">
        <v>253</v>
      </c>
      <c r="V359" s="2" t="s">
        <v>254</v>
      </c>
      <c r="W359" s="2" t="s">
        <v>65</v>
      </c>
      <c r="Z359" s="2" t="s">
        <v>126</v>
      </c>
      <c r="AA359" s="2" t="s">
        <v>127</v>
      </c>
      <c r="AB359" s="2" t="s">
        <v>66</v>
      </c>
      <c r="AC359" s="2" t="s">
        <v>67</v>
      </c>
    </row>
    <row r="360" spans="1:29" hidden="1" x14ac:dyDescent="0.25">
      <c r="A360" t="s">
        <v>107</v>
      </c>
      <c r="B360" t="s">
        <v>92</v>
      </c>
      <c r="C360" t="s">
        <v>93</v>
      </c>
      <c r="D360" t="s">
        <v>15</v>
      </c>
      <c r="E360" t="s">
        <v>96</v>
      </c>
      <c r="F360" t="s">
        <v>96</v>
      </c>
      <c r="G360" s="2" t="s">
        <v>92</v>
      </c>
      <c r="H360" t="s">
        <v>64</v>
      </c>
      <c r="I360" s="34" t="s">
        <v>250</v>
      </c>
      <c r="J360" s="2" t="s">
        <v>251</v>
      </c>
      <c r="K360" t="s">
        <v>64</v>
      </c>
      <c r="L360" t="s">
        <v>125</v>
      </c>
      <c r="M360" s="2" t="s">
        <v>78</v>
      </c>
      <c r="N360" t="s">
        <v>164</v>
      </c>
      <c r="O360" t="s">
        <v>143</v>
      </c>
      <c r="P360" s="2" t="s">
        <v>106</v>
      </c>
      <c r="Q360" t="s">
        <v>64</v>
      </c>
      <c r="R360" t="s">
        <v>64</v>
      </c>
      <c r="S360" s="85" t="s">
        <v>124</v>
      </c>
      <c r="T360" t="s">
        <v>252</v>
      </c>
      <c r="U360" t="s">
        <v>253</v>
      </c>
      <c r="V360" s="2" t="s">
        <v>254</v>
      </c>
      <c r="W360" s="2" t="s">
        <v>65</v>
      </c>
      <c r="Z360" s="2" t="s">
        <v>126</v>
      </c>
      <c r="AA360" s="2" t="s">
        <v>127</v>
      </c>
      <c r="AB360" s="2" t="s">
        <v>66</v>
      </c>
      <c r="AC360" s="2" t="s">
        <v>67</v>
      </c>
    </row>
    <row r="361" spans="1:29" hidden="1" x14ac:dyDescent="0.25">
      <c r="A361" t="s">
        <v>107</v>
      </c>
      <c r="B361" t="s">
        <v>92</v>
      </c>
      <c r="C361" t="s">
        <v>93</v>
      </c>
      <c r="D361" t="s">
        <v>15</v>
      </c>
      <c r="E361" t="s">
        <v>96</v>
      </c>
      <c r="F361" t="s">
        <v>96</v>
      </c>
      <c r="G361" s="2" t="s">
        <v>92</v>
      </c>
      <c r="H361" t="s">
        <v>64</v>
      </c>
      <c r="I361" s="34" t="s">
        <v>250</v>
      </c>
      <c r="J361" s="2" t="s">
        <v>251</v>
      </c>
      <c r="K361" t="s">
        <v>64</v>
      </c>
      <c r="L361" t="s">
        <v>125</v>
      </c>
      <c r="M361" s="2" t="s">
        <v>78</v>
      </c>
      <c r="N361" t="s">
        <v>164</v>
      </c>
      <c r="O361" t="s">
        <v>144</v>
      </c>
      <c r="P361" s="2" t="s">
        <v>106</v>
      </c>
      <c r="Q361" t="s">
        <v>64</v>
      </c>
      <c r="R361" t="s">
        <v>64</v>
      </c>
      <c r="S361" s="85" t="s">
        <v>124</v>
      </c>
      <c r="T361" t="s">
        <v>252</v>
      </c>
      <c r="U361" t="s">
        <v>253</v>
      </c>
      <c r="V361" s="2" t="s">
        <v>254</v>
      </c>
      <c r="W361" s="2" t="s">
        <v>65</v>
      </c>
      <c r="Z361" s="2" t="s">
        <v>126</v>
      </c>
      <c r="AA361" s="2" t="s">
        <v>127</v>
      </c>
      <c r="AB361" s="2" t="s">
        <v>66</v>
      </c>
      <c r="AC361" s="2" t="s">
        <v>67</v>
      </c>
    </row>
    <row r="362" spans="1:29" hidden="1" x14ac:dyDescent="0.25">
      <c r="A362" t="s">
        <v>107</v>
      </c>
      <c r="B362" t="s">
        <v>92</v>
      </c>
      <c r="C362" t="s">
        <v>93</v>
      </c>
      <c r="D362" t="s">
        <v>15</v>
      </c>
      <c r="E362" t="s">
        <v>96</v>
      </c>
      <c r="F362" t="s">
        <v>96</v>
      </c>
      <c r="G362" s="2" t="s">
        <v>92</v>
      </c>
      <c r="H362" t="s">
        <v>64</v>
      </c>
      <c r="I362" s="34" t="s">
        <v>250</v>
      </c>
      <c r="J362" s="2" t="s">
        <v>251</v>
      </c>
      <c r="K362" t="s">
        <v>64</v>
      </c>
      <c r="L362" t="s">
        <v>125</v>
      </c>
      <c r="M362" s="2" t="s">
        <v>78</v>
      </c>
      <c r="N362" t="s">
        <v>164</v>
      </c>
      <c r="O362" t="s">
        <v>145</v>
      </c>
      <c r="P362" s="2" t="s">
        <v>106</v>
      </c>
      <c r="Q362" t="s">
        <v>64</v>
      </c>
      <c r="R362" t="s">
        <v>64</v>
      </c>
      <c r="S362" s="85" t="s">
        <v>124</v>
      </c>
      <c r="T362" t="s">
        <v>252</v>
      </c>
      <c r="U362" t="s">
        <v>253</v>
      </c>
      <c r="V362" s="2" t="s">
        <v>254</v>
      </c>
      <c r="W362" s="2" t="s">
        <v>65</v>
      </c>
      <c r="Z362" s="2" t="s">
        <v>126</v>
      </c>
      <c r="AA362" s="2" t="s">
        <v>127</v>
      </c>
      <c r="AB362" s="2" t="s">
        <v>66</v>
      </c>
      <c r="AC362" s="2" t="s">
        <v>67</v>
      </c>
    </row>
    <row r="363" spans="1:29" hidden="1" x14ac:dyDescent="0.25">
      <c r="A363" t="s">
        <v>107</v>
      </c>
      <c r="B363" t="s">
        <v>92</v>
      </c>
      <c r="C363" t="s">
        <v>93</v>
      </c>
      <c r="D363" t="s">
        <v>15</v>
      </c>
      <c r="E363" t="s">
        <v>96</v>
      </c>
      <c r="F363" t="s">
        <v>96</v>
      </c>
      <c r="G363" s="2" t="s">
        <v>92</v>
      </c>
      <c r="H363" t="s">
        <v>64</v>
      </c>
      <c r="I363" s="34" t="s">
        <v>250</v>
      </c>
      <c r="J363" s="2" t="s">
        <v>251</v>
      </c>
      <c r="K363" t="s">
        <v>64</v>
      </c>
      <c r="L363" t="s">
        <v>125</v>
      </c>
      <c r="M363" s="2" t="s">
        <v>78</v>
      </c>
      <c r="N363" t="s">
        <v>164</v>
      </c>
      <c r="O363" t="s">
        <v>146</v>
      </c>
      <c r="P363" s="2" t="s">
        <v>106</v>
      </c>
      <c r="Q363" t="s">
        <v>64</v>
      </c>
      <c r="R363" t="s">
        <v>64</v>
      </c>
      <c r="S363" s="85" t="s">
        <v>124</v>
      </c>
      <c r="T363" t="s">
        <v>252</v>
      </c>
      <c r="U363" t="s">
        <v>253</v>
      </c>
      <c r="V363" s="2" t="s">
        <v>254</v>
      </c>
      <c r="W363" s="2" t="s">
        <v>65</v>
      </c>
      <c r="Z363" s="2" t="s">
        <v>126</v>
      </c>
      <c r="AA363" s="2" t="s">
        <v>127</v>
      </c>
      <c r="AB363" s="2" t="s">
        <v>66</v>
      </c>
      <c r="AC363" s="2" t="s">
        <v>67</v>
      </c>
    </row>
    <row r="364" spans="1:29" hidden="1" x14ac:dyDescent="0.25">
      <c r="A364" t="s">
        <v>107</v>
      </c>
      <c r="B364" t="s">
        <v>92</v>
      </c>
      <c r="C364" t="s">
        <v>93</v>
      </c>
      <c r="D364" t="s">
        <v>15</v>
      </c>
      <c r="E364" t="s">
        <v>96</v>
      </c>
      <c r="F364" t="s">
        <v>96</v>
      </c>
      <c r="G364" s="2" t="s">
        <v>92</v>
      </c>
      <c r="H364" t="s">
        <v>64</v>
      </c>
      <c r="I364" s="34" t="s">
        <v>250</v>
      </c>
      <c r="J364" s="2" t="s">
        <v>251</v>
      </c>
      <c r="K364" t="s">
        <v>64</v>
      </c>
      <c r="L364" t="s">
        <v>125</v>
      </c>
      <c r="M364" s="2" t="s">
        <v>78</v>
      </c>
      <c r="N364" t="s">
        <v>164</v>
      </c>
      <c r="O364" t="s">
        <v>152</v>
      </c>
      <c r="P364" s="2" t="s">
        <v>188</v>
      </c>
      <c r="Q364" t="s">
        <v>64</v>
      </c>
      <c r="R364" t="s">
        <v>64</v>
      </c>
      <c r="S364" s="85" t="s">
        <v>124</v>
      </c>
      <c r="T364" t="s">
        <v>252</v>
      </c>
      <c r="U364" t="s">
        <v>253</v>
      </c>
      <c r="V364" s="2" t="s">
        <v>254</v>
      </c>
      <c r="W364" s="2" t="s">
        <v>65</v>
      </c>
      <c r="Z364" s="2" t="s">
        <v>126</v>
      </c>
      <c r="AA364" s="2" t="s">
        <v>127</v>
      </c>
      <c r="AB364" s="2" t="s">
        <v>66</v>
      </c>
      <c r="AC364" s="2" t="s">
        <v>67</v>
      </c>
    </row>
    <row r="365" spans="1:29" hidden="1" x14ac:dyDescent="0.25">
      <c r="A365" t="s">
        <v>107</v>
      </c>
      <c r="B365" t="s">
        <v>92</v>
      </c>
      <c r="C365" t="s">
        <v>93</v>
      </c>
      <c r="D365" t="s">
        <v>15</v>
      </c>
      <c r="E365" t="s">
        <v>96</v>
      </c>
      <c r="F365" t="s">
        <v>96</v>
      </c>
      <c r="G365" s="2" t="s">
        <v>92</v>
      </c>
      <c r="H365" t="s">
        <v>64</v>
      </c>
      <c r="I365" s="34" t="s">
        <v>250</v>
      </c>
      <c r="J365" s="2" t="s">
        <v>251</v>
      </c>
      <c r="K365" t="s">
        <v>64</v>
      </c>
      <c r="L365" t="s">
        <v>125</v>
      </c>
      <c r="M365" s="2" t="s">
        <v>78</v>
      </c>
      <c r="N365" t="s">
        <v>164</v>
      </c>
      <c r="O365" t="s">
        <v>153</v>
      </c>
      <c r="P365" s="2" t="s">
        <v>20</v>
      </c>
      <c r="Q365" t="s">
        <v>64</v>
      </c>
      <c r="R365" t="s">
        <v>64</v>
      </c>
      <c r="S365" s="85" t="s">
        <v>124</v>
      </c>
      <c r="T365" t="s">
        <v>252</v>
      </c>
      <c r="U365" t="s">
        <v>253</v>
      </c>
      <c r="V365" s="2" t="s">
        <v>254</v>
      </c>
      <c r="W365" s="2" t="s">
        <v>65</v>
      </c>
      <c r="Z365" s="2" t="s">
        <v>126</v>
      </c>
      <c r="AA365" s="2" t="s">
        <v>127</v>
      </c>
      <c r="AB365" s="2" t="s">
        <v>66</v>
      </c>
      <c r="AC365" s="2" t="s">
        <v>67</v>
      </c>
    </row>
    <row r="366" spans="1:29" hidden="1" x14ac:dyDescent="0.25">
      <c r="A366" t="s">
        <v>107</v>
      </c>
      <c r="B366" t="s">
        <v>92</v>
      </c>
      <c r="C366" t="s">
        <v>93</v>
      </c>
      <c r="D366" t="s">
        <v>15</v>
      </c>
      <c r="E366" t="s">
        <v>96</v>
      </c>
      <c r="F366" t="s">
        <v>96</v>
      </c>
      <c r="G366" s="2" t="s">
        <v>92</v>
      </c>
      <c r="H366" t="s">
        <v>64</v>
      </c>
      <c r="I366" s="34" t="s">
        <v>250</v>
      </c>
      <c r="J366" s="2" t="s">
        <v>251</v>
      </c>
      <c r="K366" t="s">
        <v>64</v>
      </c>
      <c r="L366" t="s">
        <v>125</v>
      </c>
      <c r="M366" s="2" t="s">
        <v>78</v>
      </c>
      <c r="N366" t="s">
        <v>164</v>
      </c>
      <c r="O366" t="s">
        <v>154</v>
      </c>
      <c r="P366" s="2" t="s">
        <v>20</v>
      </c>
      <c r="Q366" t="s">
        <v>64</v>
      </c>
      <c r="R366" t="s">
        <v>64</v>
      </c>
      <c r="S366" s="85" t="s">
        <v>124</v>
      </c>
      <c r="T366" t="s">
        <v>252</v>
      </c>
      <c r="U366" t="s">
        <v>253</v>
      </c>
      <c r="V366" s="2" t="s">
        <v>254</v>
      </c>
      <c r="W366" s="2" t="s">
        <v>65</v>
      </c>
      <c r="Z366" s="2" t="s">
        <v>126</v>
      </c>
      <c r="AA366" s="2" t="s">
        <v>127</v>
      </c>
      <c r="AB366" s="2" t="s">
        <v>66</v>
      </c>
      <c r="AC366" s="2" t="s">
        <v>67</v>
      </c>
    </row>
    <row r="367" spans="1:29" hidden="1" x14ac:dyDescent="0.25">
      <c r="A367" t="s">
        <v>107</v>
      </c>
      <c r="B367" t="s">
        <v>92</v>
      </c>
      <c r="C367" t="s">
        <v>93</v>
      </c>
      <c r="D367" t="s">
        <v>15</v>
      </c>
      <c r="E367" t="s">
        <v>96</v>
      </c>
      <c r="F367" t="s">
        <v>96</v>
      </c>
      <c r="G367" s="2" t="s">
        <v>92</v>
      </c>
      <c r="H367" t="s">
        <v>64</v>
      </c>
      <c r="I367" s="34" t="s">
        <v>250</v>
      </c>
      <c r="J367" s="2" t="s">
        <v>251</v>
      </c>
      <c r="K367" t="s">
        <v>64</v>
      </c>
      <c r="L367" t="s">
        <v>125</v>
      </c>
      <c r="M367" s="2" t="s">
        <v>78</v>
      </c>
      <c r="N367" t="s">
        <v>164</v>
      </c>
      <c r="O367" t="s">
        <v>155</v>
      </c>
      <c r="P367" s="2" t="s">
        <v>20</v>
      </c>
      <c r="Q367" t="s">
        <v>64</v>
      </c>
      <c r="R367" t="s">
        <v>64</v>
      </c>
      <c r="S367" s="85" t="s">
        <v>124</v>
      </c>
      <c r="T367" t="s">
        <v>252</v>
      </c>
      <c r="U367" t="s">
        <v>253</v>
      </c>
      <c r="V367" s="2" t="s">
        <v>254</v>
      </c>
      <c r="W367" s="2" t="s">
        <v>65</v>
      </c>
      <c r="Z367" s="2" t="s">
        <v>126</v>
      </c>
      <c r="AA367" s="2" t="s">
        <v>127</v>
      </c>
      <c r="AB367" s="2" t="s">
        <v>66</v>
      </c>
      <c r="AC367" s="2" t="s">
        <v>67</v>
      </c>
    </row>
    <row r="368" spans="1:29" hidden="1" x14ac:dyDescent="0.25">
      <c r="A368" t="s">
        <v>107</v>
      </c>
      <c r="B368" t="s">
        <v>92</v>
      </c>
      <c r="C368" t="s">
        <v>93</v>
      </c>
      <c r="D368" t="s">
        <v>15</v>
      </c>
      <c r="E368" t="s">
        <v>96</v>
      </c>
      <c r="F368" t="s">
        <v>96</v>
      </c>
      <c r="G368" s="2" t="s">
        <v>92</v>
      </c>
      <c r="H368" t="s">
        <v>64</v>
      </c>
      <c r="I368" s="34" t="s">
        <v>250</v>
      </c>
      <c r="J368" s="2" t="s">
        <v>251</v>
      </c>
      <c r="K368" t="s">
        <v>64</v>
      </c>
      <c r="L368" t="s">
        <v>125</v>
      </c>
      <c r="M368" s="2" t="s">
        <v>78</v>
      </c>
      <c r="N368" t="s">
        <v>164</v>
      </c>
      <c r="O368" t="s">
        <v>156</v>
      </c>
      <c r="P368" s="2" t="s">
        <v>20</v>
      </c>
      <c r="Q368" t="s">
        <v>64</v>
      </c>
      <c r="R368" t="s">
        <v>64</v>
      </c>
      <c r="S368" s="85" t="s">
        <v>124</v>
      </c>
      <c r="T368" t="s">
        <v>252</v>
      </c>
      <c r="U368" t="s">
        <v>253</v>
      </c>
      <c r="V368" s="2" t="s">
        <v>254</v>
      </c>
      <c r="W368" s="2" t="s">
        <v>65</v>
      </c>
      <c r="Z368" s="2" t="s">
        <v>126</v>
      </c>
      <c r="AA368" s="2" t="s">
        <v>127</v>
      </c>
      <c r="AB368" s="2" t="s">
        <v>66</v>
      </c>
      <c r="AC368" s="2" t="s">
        <v>67</v>
      </c>
    </row>
    <row r="369" spans="1:29" hidden="1" x14ac:dyDescent="0.25">
      <c r="A369" t="s">
        <v>107</v>
      </c>
      <c r="B369" t="s">
        <v>92</v>
      </c>
      <c r="C369" t="s">
        <v>93</v>
      </c>
      <c r="D369" t="s">
        <v>15</v>
      </c>
      <c r="E369" t="s">
        <v>96</v>
      </c>
      <c r="F369" t="s">
        <v>96</v>
      </c>
      <c r="G369" s="2" t="s">
        <v>92</v>
      </c>
      <c r="H369" t="s">
        <v>64</v>
      </c>
      <c r="I369" s="34" t="s">
        <v>250</v>
      </c>
      <c r="J369" s="2" t="s">
        <v>251</v>
      </c>
      <c r="K369" t="s">
        <v>64</v>
      </c>
      <c r="L369" t="s">
        <v>125</v>
      </c>
      <c r="M369" s="2" t="s">
        <v>78</v>
      </c>
      <c r="N369" t="s">
        <v>164</v>
      </c>
      <c r="O369" t="s">
        <v>157</v>
      </c>
      <c r="P369" s="2" t="s">
        <v>81</v>
      </c>
      <c r="Q369" t="s">
        <v>64</v>
      </c>
      <c r="R369" t="s">
        <v>64</v>
      </c>
      <c r="S369" s="85" t="s">
        <v>124</v>
      </c>
      <c r="T369" t="s">
        <v>252</v>
      </c>
      <c r="U369" t="s">
        <v>253</v>
      </c>
      <c r="V369" s="2" t="s">
        <v>254</v>
      </c>
      <c r="W369" s="2" t="s">
        <v>65</v>
      </c>
      <c r="Z369" s="2" t="s">
        <v>126</v>
      </c>
      <c r="AA369" s="2" t="s">
        <v>127</v>
      </c>
      <c r="AB369" s="2" t="s">
        <v>66</v>
      </c>
      <c r="AC369" s="2" t="s">
        <v>67</v>
      </c>
    </row>
    <row r="370" spans="1:29" hidden="1" x14ac:dyDescent="0.25">
      <c r="A370" t="s">
        <v>107</v>
      </c>
      <c r="B370" t="s">
        <v>92</v>
      </c>
      <c r="C370" t="s">
        <v>93</v>
      </c>
      <c r="D370" t="s">
        <v>15</v>
      </c>
      <c r="E370" t="s">
        <v>96</v>
      </c>
      <c r="F370" t="s">
        <v>96</v>
      </c>
      <c r="G370" s="2" t="s">
        <v>92</v>
      </c>
      <c r="H370" t="s">
        <v>64</v>
      </c>
      <c r="I370" s="34" t="s">
        <v>255</v>
      </c>
      <c r="J370" s="2" t="s">
        <v>256</v>
      </c>
      <c r="K370" t="s">
        <v>257</v>
      </c>
      <c r="L370" t="s">
        <v>125</v>
      </c>
      <c r="M370" s="2" t="s">
        <v>78</v>
      </c>
      <c r="N370" t="s">
        <v>164</v>
      </c>
      <c r="O370" t="s">
        <v>133</v>
      </c>
      <c r="P370" s="2" t="s">
        <v>20</v>
      </c>
      <c r="Q370" t="s">
        <v>64</v>
      </c>
      <c r="R370" t="s">
        <v>64</v>
      </c>
      <c r="S370" s="85" t="s">
        <v>258</v>
      </c>
      <c r="T370" t="s">
        <v>259</v>
      </c>
      <c r="U370" t="s">
        <v>260</v>
      </c>
      <c r="V370" s="2" t="s">
        <v>261</v>
      </c>
      <c r="W370" s="2" t="s">
        <v>65</v>
      </c>
      <c r="Z370" s="2" t="s">
        <v>126</v>
      </c>
      <c r="AA370" s="2" t="s">
        <v>127</v>
      </c>
      <c r="AB370" s="2" t="s">
        <v>66</v>
      </c>
      <c r="AC370" s="2" t="s">
        <v>67</v>
      </c>
    </row>
    <row r="371" spans="1:29" hidden="1" x14ac:dyDescent="0.25">
      <c r="A371" t="s">
        <v>107</v>
      </c>
      <c r="B371" t="s">
        <v>92</v>
      </c>
      <c r="C371" t="s">
        <v>93</v>
      </c>
      <c r="D371" t="s">
        <v>15</v>
      </c>
      <c r="E371" t="s">
        <v>96</v>
      </c>
      <c r="F371" t="s">
        <v>96</v>
      </c>
      <c r="G371" s="2" t="s">
        <v>92</v>
      </c>
      <c r="H371" t="s">
        <v>64</v>
      </c>
      <c r="I371" s="34" t="s">
        <v>255</v>
      </c>
      <c r="J371" s="2" t="s">
        <v>256</v>
      </c>
      <c r="K371" t="s">
        <v>257</v>
      </c>
      <c r="L371" t="s">
        <v>125</v>
      </c>
      <c r="M371" s="2" t="s">
        <v>78</v>
      </c>
      <c r="N371" t="s">
        <v>164</v>
      </c>
      <c r="O371" t="s">
        <v>97</v>
      </c>
      <c r="P371" s="2" t="s">
        <v>20</v>
      </c>
      <c r="Q371" t="s">
        <v>64</v>
      </c>
      <c r="R371" t="s">
        <v>64</v>
      </c>
      <c r="S371" s="85" t="s">
        <v>258</v>
      </c>
      <c r="T371" t="s">
        <v>259</v>
      </c>
      <c r="U371" t="s">
        <v>262</v>
      </c>
      <c r="V371" s="2" t="s">
        <v>261</v>
      </c>
      <c r="W371" s="2" t="s">
        <v>65</v>
      </c>
      <c r="Z371" s="2" t="s">
        <v>126</v>
      </c>
      <c r="AA371" s="2" t="s">
        <v>127</v>
      </c>
      <c r="AB371" s="2" t="s">
        <v>66</v>
      </c>
      <c r="AC371" s="2" t="s">
        <v>67</v>
      </c>
    </row>
    <row r="372" spans="1:29" hidden="1" x14ac:dyDescent="0.25">
      <c r="A372" t="s">
        <v>107</v>
      </c>
      <c r="B372" t="s">
        <v>92</v>
      </c>
      <c r="C372" t="s">
        <v>93</v>
      </c>
      <c r="D372" t="s">
        <v>15</v>
      </c>
      <c r="E372" t="s">
        <v>96</v>
      </c>
      <c r="F372" t="s">
        <v>96</v>
      </c>
      <c r="G372" s="2" t="s">
        <v>92</v>
      </c>
      <c r="H372" t="s">
        <v>64</v>
      </c>
      <c r="I372" s="34" t="s">
        <v>255</v>
      </c>
      <c r="J372" s="2" t="s">
        <v>256</v>
      </c>
      <c r="K372" t="s">
        <v>257</v>
      </c>
      <c r="L372" t="s">
        <v>125</v>
      </c>
      <c r="M372" s="2" t="s">
        <v>78</v>
      </c>
      <c r="N372" t="s">
        <v>164</v>
      </c>
      <c r="O372" t="s">
        <v>98</v>
      </c>
      <c r="P372" s="2" t="s">
        <v>20</v>
      </c>
      <c r="Q372" t="s">
        <v>64</v>
      </c>
      <c r="R372" t="s">
        <v>64</v>
      </c>
      <c r="S372" s="85" t="s">
        <v>258</v>
      </c>
      <c r="T372" t="s">
        <v>259</v>
      </c>
      <c r="U372" t="s">
        <v>263</v>
      </c>
      <c r="V372" s="2" t="s">
        <v>261</v>
      </c>
      <c r="W372" s="2" t="s">
        <v>65</v>
      </c>
      <c r="Z372" s="2" t="s">
        <v>126</v>
      </c>
      <c r="AA372" s="2" t="s">
        <v>127</v>
      </c>
      <c r="AB372" s="2" t="s">
        <v>66</v>
      </c>
      <c r="AC372" s="2" t="s">
        <v>67</v>
      </c>
    </row>
    <row r="373" spans="1:29" hidden="1" x14ac:dyDescent="0.25">
      <c r="A373" t="s">
        <v>107</v>
      </c>
      <c r="B373" t="s">
        <v>92</v>
      </c>
      <c r="C373" t="s">
        <v>93</v>
      </c>
      <c r="D373" t="s">
        <v>15</v>
      </c>
      <c r="E373" t="s">
        <v>96</v>
      </c>
      <c r="F373" t="s">
        <v>96</v>
      </c>
      <c r="G373" s="2" t="s">
        <v>92</v>
      </c>
      <c r="H373" t="s">
        <v>64</v>
      </c>
      <c r="I373" s="34" t="s">
        <v>255</v>
      </c>
      <c r="J373" s="2" t="s">
        <v>256</v>
      </c>
      <c r="K373" t="s">
        <v>257</v>
      </c>
      <c r="L373" t="s">
        <v>125</v>
      </c>
      <c r="M373" s="2" t="s">
        <v>78</v>
      </c>
      <c r="N373" t="s">
        <v>164</v>
      </c>
      <c r="O373" t="s">
        <v>134</v>
      </c>
      <c r="P373" s="2" t="s">
        <v>20</v>
      </c>
      <c r="Q373" t="s">
        <v>64</v>
      </c>
      <c r="R373" t="s">
        <v>64</v>
      </c>
      <c r="S373" s="85" t="s">
        <v>258</v>
      </c>
      <c r="T373" t="s">
        <v>259</v>
      </c>
      <c r="U373" t="s">
        <v>264</v>
      </c>
      <c r="V373" s="2" t="s">
        <v>261</v>
      </c>
      <c r="W373" s="2" t="s">
        <v>65</v>
      </c>
      <c r="Z373" s="2" t="s">
        <v>126</v>
      </c>
      <c r="AA373" s="2" t="s">
        <v>127</v>
      </c>
      <c r="AB373" s="2" t="s">
        <v>66</v>
      </c>
      <c r="AC373" s="2" t="s">
        <v>67</v>
      </c>
    </row>
    <row r="374" spans="1:29" hidden="1" x14ac:dyDescent="0.25">
      <c r="A374" t="s">
        <v>107</v>
      </c>
      <c r="B374" t="s">
        <v>92</v>
      </c>
      <c r="C374" t="s">
        <v>93</v>
      </c>
      <c r="D374" t="s">
        <v>15</v>
      </c>
      <c r="E374" t="s">
        <v>96</v>
      </c>
      <c r="F374" t="s">
        <v>96</v>
      </c>
      <c r="G374" s="2" t="s">
        <v>92</v>
      </c>
      <c r="H374" t="s">
        <v>64</v>
      </c>
      <c r="I374" s="34" t="s">
        <v>255</v>
      </c>
      <c r="J374" s="2" t="s">
        <v>256</v>
      </c>
      <c r="K374" t="s">
        <v>257</v>
      </c>
      <c r="L374" t="s">
        <v>125</v>
      </c>
      <c r="M374" s="2" t="s">
        <v>78</v>
      </c>
      <c r="N374" t="s">
        <v>164</v>
      </c>
      <c r="O374" t="s">
        <v>35</v>
      </c>
      <c r="P374" s="2" t="s">
        <v>20</v>
      </c>
      <c r="Q374" t="s">
        <v>64</v>
      </c>
      <c r="R374" t="s">
        <v>64</v>
      </c>
      <c r="S374" s="85" t="s">
        <v>258</v>
      </c>
      <c r="T374" t="s">
        <v>259</v>
      </c>
      <c r="U374" t="s">
        <v>265</v>
      </c>
      <c r="V374" s="2" t="s">
        <v>261</v>
      </c>
      <c r="W374" s="2" t="s">
        <v>65</v>
      </c>
      <c r="Z374" s="2" t="s">
        <v>126</v>
      </c>
      <c r="AA374" s="2" t="s">
        <v>127</v>
      </c>
      <c r="AB374" s="2" t="s">
        <v>66</v>
      </c>
      <c r="AC374" s="2" t="s">
        <v>67</v>
      </c>
    </row>
    <row r="375" spans="1:29" hidden="1" x14ac:dyDescent="0.25">
      <c r="A375" t="s">
        <v>107</v>
      </c>
      <c r="B375" t="s">
        <v>92</v>
      </c>
      <c r="C375" t="s">
        <v>93</v>
      </c>
      <c r="D375" t="s">
        <v>15</v>
      </c>
      <c r="E375" t="s">
        <v>96</v>
      </c>
      <c r="F375" t="s">
        <v>96</v>
      </c>
      <c r="G375" s="2" t="s">
        <v>92</v>
      </c>
      <c r="H375" t="s">
        <v>64</v>
      </c>
      <c r="I375" s="34" t="s">
        <v>255</v>
      </c>
      <c r="J375" s="2" t="s">
        <v>256</v>
      </c>
      <c r="K375" t="s">
        <v>257</v>
      </c>
      <c r="L375" t="s">
        <v>125</v>
      </c>
      <c r="M375" s="2" t="s">
        <v>78</v>
      </c>
      <c r="N375" t="s">
        <v>164</v>
      </c>
      <c r="O375" t="s">
        <v>135</v>
      </c>
      <c r="P375" s="2" t="s">
        <v>81</v>
      </c>
      <c r="Q375" t="s">
        <v>64</v>
      </c>
      <c r="R375" t="s">
        <v>64</v>
      </c>
      <c r="S375" s="85" t="s">
        <v>258</v>
      </c>
      <c r="T375" t="s">
        <v>259</v>
      </c>
      <c r="U375" t="s">
        <v>266</v>
      </c>
      <c r="V375" s="2" t="s">
        <v>261</v>
      </c>
      <c r="W375" s="2" t="s">
        <v>65</v>
      </c>
      <c r="Z375" s="2" t="s">
        <v>126</v>
      </c>
      <c r="AA375" s="2" t="s">
        <v>127</v>
      </c>
      <c r="AB375" s="2" t="s">
        <v>66</v>
      </c>
      <c r="AC375" s="2" t="s">
        <v>67</v>
      </c>
    </row>
    <row r="376" spans="1:29" hidden="1" x14ac:dyDescent="0.25">
      <c r="A376" t="s">
        <v>107</v>
      </c>
      <c r="B376" t="s">
        <v>92</v>
      </c>
      <c r="C376" t="s">
        <v>93</v>
      </c>
      <c r="D376" t="s">
        <v>15</v>
      </c>
      <c r="E376" t="s">
        <v>96</v>
      </c>
      <c r="F376" t="s">
        <v>96</v>
      </c>
      <c r="G376" s="2" t="s">
        <v>92</v>
      </c>
      <c r="H376" t="s">
        <v>64</v>
      </c>
      <c r="I376" s="34" t="s">
        <v>255</v>
      </c>
      <c r="J376" s="2" t="s">
        <v>256</v>
      </c>
      <c r="K376" t="s">
        <v>257</v>
      </c>
      <c r="L376" t="s">
        <v>125</v>
      </c>
      <c r="M376" s="2" t="s">
        <v>78</v>
      </c>
      <c r="N376" t="s">
        <v>164</v>
      </c>
      <c r="O376" t="s">
        <v>99</v>
      </c>
      <c r="P376" s="2" t="s">
        <v>20</v>
      </c>
      <c r="Q376" t="s">
        <v>64</v>
      </c>
      <c r="R376" t="s">
        <v>64</v>
      </c>
      <c r="S376" s="85" t="s">
        <v>258</v>
      </c>
      <c r="T376" t="s">
        <v>259</v>
      </c>
      <c r="U376" t="s">
        <v>267</v>
      </c>
      <c r="V376" s="2" t="s">
        <v>261</v>
      </c>
      <c r="W376" s="2" t="s">
        <v>65</v>
      </c>
      <c r="Z376" s="2" t="s">
        <v>126</v>
      </c>
      <c r="AA376" s="2" t="s">
        <v>127</v>
      </c>
      <c r="AB376" s="2" t="s">
        <v>66</v>
      </c>
      <c r="AC376" s="2" t="s">
        <v>67</v>
      </c>
    </row>
    <row r="377" spans="1:29" hidden="1" x14ac:dyDescent="0.25">
      <c r="A377" t="s">
        <v>107</v>
      </c>
      <c r="B377" t="s">
        <v>92</v>
      </c>
      <c r="C377" t="s">
        <v>93</v>
      </c>
      <c r="D377" t="s">
        <v>15</v>
      </c>
      <c r="E377" t="s">
        <v>96</v>
      </c>
      <c r="F377" t="s">
        <v>96</v>
      </c>
      <c r="G377" s="2" t="s">
        <v>92</v>
      </c>
      <c r="H377" t="s">
        <v>64</v>
      </c>
      <c r="I377" s="34" t="s">
        <v>255</v>
      </c>
      <c r="J377" s="2" t="s">
        <v>256</v>
      </c>
      <c r="K377" t="s">
        <v>257</v>
      </c>
      <c r="L377" t="s">
        <v>125</v>
      </c>
      <c r="M377" s="2" t="s">
        <v>78</v>
      </c>
      <c r="N377" t="s">
        <v>164</v>
      </c>
      <c r="O377" t="s">
        <v>100</v>
      </c>
      <c r="P377" s="2" t="s">
        <v>20</v>
      </c>
      <c r="Q377" t="s">
        <v>64</v>
      </c>
      <c r="R377" t="s">
        <v>64</v>
      </c>
      <c r="S377" s="85" t="s">
        <v>258</v>
      </c>
      <c r="T377" t="s">
        <v>259</v>
      </c>
      <c r="U377" t="s">
        <v>268</v>
      </c>
      <c r="V377" s="2" t="s">
        <v>261</v>
      </c>
      <c r="W377" s="2" t="s">
        <v>65</v>
      </c>
      <c r="Z377" s="2" t="s">
        <v>126</v>
      </c>
      <c r="AA377" s="2" t="s">
        <v>127</v>
      </c>
      <c r="AB377" s="2" t="s">
        <v>66</v>
      </c>
      <c r="AC377" s="2" t="s">
        <v>67</v>
      </c>
    </row>
    <row r="378" spans="1:29" hidden="1" x14ac:dyDescent="0.25">
      <c r="A378" t="s">
        <v>107</v>
      </c>
      <c r="B378" t="s">
        <v>92</v>
      </c>
      <c r="C378" t="s">
        <v>93</v>
      </c>
      <c r="D378" t="s">
        <v>15</v>
      </c>
      <c r="E378" t="s">
        <v>96</v>
      </c>
      <c r="F378" t="s">
        <v>96</v>
      </c>
      <c r="G378" s="2" t="s">
        <v>92</v>
      </c>
      <c r="H378" t="s">
        <v>64</v>
      </c>
      <c r="I378" s="34" t="s">
        <v>255</v>
      </c>
      <c r="J378" s="2" t="s">
        <v>256</v>
      </c>
      <c r="K378" t="s">
        <v>257</v>
      </c>
      <c r="L378" t="s">
        <v>125</v>
      </c>
      <c r="M378" s="2" t="s">
        <v>78</v>
      </c>
      <c r="N378" t="s">
        <v>164</v>
      </c>
      <c r="O378" t="s">
        <v>101</v>
      </c>
      <c r="P378" s="2" t="s">
        <v>81</v>
      </c>
      <c r="Q378" t="s">
        <v>64</v>
      </c>
      <c r="R378" t="s">
        <v>64</v>
      </c>
      <c r="S378" s="85" t="s">
        <v>258</v>
      </c>
      <c r="T378" t="s">
        <v>259</v>
      </c>
      <c r="U378" t="s">
        <v>269</v>
      </c>
      <c r="V378" s="2" t="s">
        <v>261</v>
      </c>
      <c r="W378" s="2" t="s">
        <v>65</v>
      </c>
      <c r="Z378" s="2" t="s">
        <v>126</v>
      </c>
      <c r="AA378" s="2" t="s">
        <v>127</v>
      </c>
      <c r="AB378" s="2" t="s">
        <v>66</v>
      </c>
      <c r="AC378" s="2" t="s">
        <v>67</v>
      </c>
    </row>
    <row r="379" spans="1:29" hidden="1" x14ac:dyDescent="0.25">
      <c r="A379" t="s">
        <v>107</v>
      </c>
      <c r="B379" t="s">
        <v>92</v>
      </c>
      <c r="C379" t="s">
        <v>93</v>
      </c>
      <c r="D379" t="s">
        <v>15</v>
      </c>
      <c r="E379" t="s">
        <v>96</v>
      </c>
      <c r="F379" t="s">
        <v>96</v>
      </c>
      <c r="G379" s="2" t="s">
        <v>92</v>
      </c>
      <c r="H379" t="s">
        <v>64</v>
      </c>
      <c r="I379" s="34" t="s">
        <v>255</v>
      </c>
      <c r="J379" s="2" t="s">
        <v>256</v>
      </c>
      <c r="K379" t="s">
        <v>257</v>
      </c>
      <c r="L379" t="s">
        <v>125</v>
      </c>
      <c r="M379" s="2" t="s">
        <v>78</v>
      </c>
      <c r="N379" t="s">
        <v>164</v>
      </c>
      <c r="O379" t="s">
        <v>102</v>
      </c>
      <c r="P379" s="2" t="s">
        <v>81</v>
      </c>
      <c r="Q379" t="s">
        <v>64</v>
      </c>
      <c r="R379" t="s">
        <v>64</v>
      </c>
      <c r="S379" s="85" t="s">
        <v>258</v>
      </c>
      <c r="T379" t="s">
        <v>259</v>
      </c>
      <c r="U379" t="s">
        <v>270</v>
      </c>
      <c r="V379" s="2" t="s">
        <v>261</v>
      </c>
      <c r="W379" s="2" t="s">
        <v>65</v>
      </c>
      <c r="Z379" s="2" t="s">
        <v>126</v>
      </c>
      <c r="AA379" s="2" t="s">
        <v>127</v>
      </c>
      <c r="AB379" s="2" t="s">
        <v>66</v>
      </c>
      <c r="AC379" s="2" t="s">
        <v>67</v>
      </c>
    </row>
    <row r="380" spans="1:29" hidden="1" x14ac:dyDescent="0.25">
      <c r="A380" t="s">
        <v>107</v>
      </c>
      <c r="B380" t="s">
        <v>92</v>
      </c>
      <c r="C380" t="s">
        <v>93</v>
      </c>
      <c r="D380" t="s">
        <v>15</v>
      </c>
      <c r="E380" t="s">
        <v>96</v>
      </c>
      <c r="F380" t="s">
        <v>96</v>
      </c>
      <c r="G380" s="2" t="s">
        <v>92</v>
      </c>
      <c r="H380" t="s">
        <v>64</v>
      </c>
      <c r="I380" s="34" t="s">
        <v>255</v>
      </c>
      <c r="J380" s="2" t="s">
        <v>256</v>
      </c>
      <c r="K380" t="s">
        <v>257</v>
      </c>
      <c r="L380" t="s">
        <v>125</v>
      </c>
      <c r="M380" s="2" t="s">
        <v>78</v>
      </c>
      <c r="N380" t="s">
        <v>164</v>
      </c>
      <c r="O380" t="s">
        <v>103</v>
      </c>
      <c r="P380" s="2" t="s">
        <v>81</v>
      </c>
      <c r="Q380" t="s">
        <v>64</v>
      </c>
      <c r="R380" t="s">
        <v>64</v>
      </c>
      <c r="S380" s="85" t="s">
        <v>258</v>
      </c>
      <c r="T380" t="s">
        <v>259</v>
      </c>
      <c r="U380" t="s">
        <v>271</v>
      </c>
      <c r="V380" s="2" t="s">
        <v>261</v>
      </c>
      <c r="W380" s="2" t="s">
        <v>65</v>
      </c>
      <c r="Z380" s="2" t="s">
        <v>126</v>
      </c>
      <c r="AA380" s="2" t="s">
        <v>127</v>
      </c>
      <c r="AB380" s="2" t="s">
        <v>66</v>
      </c>
      <c r="AC380" s="2" t="s">
        <v>67</v>
      </c>
    </row>
    <row r="381" spans="1:29" hidden="1" x14ac:dyDescent="0.25">
      <c r="A381" t="s">
        <v>107</v>
      </c>
      <c r="B381" t="s">
        <v>92</v>
      </c>
      <c r="C381" t="s">
        <v>93</v>
      </c>
      <c r="D381" t="s">
        <v>15</v>
      </c>
      <c r="E381" t="s">
        <v>96</v>
      </c>
      <c r="F381" t="s">
        <v>96</v>
      </c>
      <c r="G381" s="2" t="s">
        <v>92</v>
      </c>
      <c r="H381" t="s">
        <v>64</v>
      </c>
      <c r="I381" s="34" t="s">
        <v>255</v>
      </c>
      <c r="J381" s="2" t="s">
        <v>256</v>
      </c>
      <c r="K381" t="s">
        <v>257</v>
      </c>
      <c r="L381" t="s">
        <v>125</v>
      </c>
      <c r="M381" s="2" t="s">
        <v>78</v>
      </c>
      <c r="N381" t="s">
        <v>164</v>
      </c>
      <c r="O381" t="s">
        <v>104</v>
      </c>
      <c r="P381" s="2" t="s">
        <v>81</v>
      </c>
      <c r="Q381" t="s">
        <v>64</v>
      </c>
      <c r="R381" t="s">
        <v>64</v>
      </c>
      <c r="S381" s="85" t="s">
        <v>258</v>
      </c>
      <c r="T381" t="s">
        <v>259</v>
      </c>
      <c r="U381" t="s">
        <v>272</v>
      </c>
      <c r="V381" s="2" t="s">
        <v>261</v>
      </c>
      <c r="W381" s="2" t="s">
        <v>65</v>
      </c>
      <c r="Z381" s="2" t="s">
        <v>126</v>
      </c>
      <c r="AA381" s="2" t="s">
        <v>127</v>
      </c>
      <c r="AB381" s="2" t="s">
        <v>66</v>
      </c>
      <c r="AC381" s="2" t="s">
        <v>67</v>
      </c>
    </row>
    <row r="382" spans="1:29" hidden="1" x14ac:dyDescent="0.25">
      <c r="A382" t="s">
        <v>107</v>
      </c>
      <c r="B382" t="s">
        <v>92</v>
      </c>
      <c r="C382" t="s">
        <v>93</v>
      </c>
      <c r="D382" t="s">
        <v>15</v>
      </c>
      <c r="E382" t="s">
        <v>96</v>
      </c>
      <c r="F382" t="s">
        <v>96</v>
      </c>
      <c r="G382" s="2" t="s">
        <v>92</v>
      </c>
      <c r="H382" t="s">
        <v>64</v>
      </c>
      <c r="I382" s="34" t="s">
        <v>255</v>
      </c>
      <c r="J382" s="2" t="s">
        <v>256</v>
      </c>
      <c r="K382" t="s">
        <v>257</v>
      </c>
      <c r="L382" t="s">
        <v>125</v>
      </c>
      <c r="M382" s="2" t="s">
        <v>78</v>
      </c>
      <c r="N382" t="s">
        <v>164</v>
      </c>
      <c r="O382" t="s">
        <v>136</v>
      </c>
      <c r="P382" s="2" t="s">
        <v>20</v>
      </c>
      <c r="Q382" t="s">
        <v>64</v>
      </c>
      <c r="R382" t="s">
        <v>64</v>
      </c>
      <c r="S382" s="85" t="s">
        <v>258</v>
      </c>
      <c r="T382" t="s">
        <v>259</v>
      </c>
      <c r="U382" t="s">
        <v>273</v>
      </c>
      <c r="V382" s="2" t="s">
        <v>261</v>
      </c>
      <c r="W382" s="2" t="s">
        <v>65</v>
      </c>
      <c r="Z382" s="2" t="s">
        <v>126</v>
      </c>
      <c r="AA382" s="2" t="s">
        <v>127</v>
      </c>
      <c r="AB382" s="2" t="s">
        <v>66</v>
      </c>
      <c r="AC382" s="2" t="s">
        <v>67</v>
      </c>
    </row>
    <row r="383" spans="1:29" hidden="1" x14ac:dyDescent="0.25">
      <c r="A383" t="s">
        <v>107</v>
      </c>
      <c r="B383" t="s">
        <v>92</v>
      </c>
      <c r="C383" t="s">
        <v>93</v>
      </c>
      <c r="D383" t="s">
        <v>15</v>
      </c>
      <c r="E383" t="s">
        <v>96</v>
      </c>
      <c r="F383" t="s">
        <v>96</v>
      </c>
      <c r="G383" s="2" t="s">
        <v>92</v>
      </c>
      <c r="H383" t="s">
        <v>64</v>
      </c>
      <c r="I383" s="34" t="s">
        <v>255</v>
      </c>
      <c r="J383" s="2" t="s">
        <v>256</v>
      </c>
      <c r="K383" t="s">
        <v>257</v>
      </c>
      <c r="L383" t="s">
        <v>125</v>
      </c>
      <c r="M383" s="2" t="s">
        <v>78</v>
      </c>
      <c r="N383" t="s">
        <v>164</v>
      </c>
      <c r="O383" t="s">
        <v>137</v>
      </c>
      <c r="P383" s="2" t="s">
        <v>20</v>
      </c>
      <c r="Q383" t="s">
        <v>64</v>
      </c>
      <c r="R383" t="s">
        <v>64</v>
      </c>
      <c r="S383" s="85" t="s">
        <v>258</v>
      </c>
      <c r="T383" t="s">
        <v>259</v>
      </c>
      <c r="U383" t="s">
        <v>274</v>
      </c>
      <c r="V383" s="2" t="s">
        <v>261</v>
      </c>
      <c r="W383" s="2" t="s">
        <v>65</v>
      </c>
      <c r="Z383" s="2" t="s">
        <v>126</v>
      </c>
      <c r="AA383" s="2" t="s">
        <v>127</v>
      </c>
      <c r="AB383" s="2" t="s">
        <v>66</v>
      </c>
      <c r="AC383" s="2" t="s">
        <v>67</v>
      </c>
    </row>
    <row r="384" spans="1:29" hidden="1" x14ac:dyDescent="0.25">
      <c r="A384" t="s">
        <v>107</v>
      </c>
      <c r="B384" t="s">
        <v>92</v>
      </c>
      <c r="C384" t="s">
        <v>93</v>
      </c>
      <c r="D384" t="s">
        <v>15</v>
      </c>
      <c r="E384" t="s">
        <v>96</v>
      </c>
      <c r="F384" t="s">
        <v>96</v>
      </c>
      <c r="G384" s="2" t="s">
        <v>92</v>
      </c>
      <c r="H384" t="s">
        <v>64</v>
      </c>
      <c r="I384" s="34" t="s">
        <v>255</v>
      </c>
      <c r="J384" s="2" t="s">
        <v>256</v>
      </c>
      <c r="K384" t="s">
        <v>257</v>
      </c>
      <c r="L384" t="s">
        <v>125</v>
      </c>
      <c r="M384" s="2" t="s">
        <v>78</v>
      </c>
      <c r="N384" t="s">
        <v>164</v>
      </c>
      <c r="O384" t="s">
        <v>138</v>
      </c>
      <c r="P384" s="2" t="s">
        <v>106</v>
      </c>
      <c r="Q384" t="s">
        <v>64</v>
      </c>
      <c r="R384" t="s">
        <v>64</v>
      </c>
      <c r="S384" s="85" t="s">
        <v>258</v>
      </c>
      <c r="T384" t="s">
        <v>259</v>
      </c>
      <c r="U384" t="s">
        <v>275</v>
      </c>
      <c r="V384" s="2" t="s">
        <v>261</v>
      </c>
      <c r="W384" s="2" t="s">
        <v>65</v>
      </c>
      <c r="Z384" s="2" t="s">
        <v>126</v>
      </c>
      <c r="AA384" s="2" t="s">
        <v>127</v>
      </c>
      <c r="AB384" s="2" t="s">
        <v>66</v>
      </c>
      <c r="AC384" s="2" t="s">
        <v>67</v>
      </c>
    </row>
    <row r="385" spans="1:29" hidden="1" x14ac:dyDescent="0.25">
      <c r="A385" t="s">
        <v>107</v>
      </c>
      <c r="B385" t="s">
        <v>92</v>
      </c>
      <c r="C385" t="s">
        <v>93</v>
      </c>
      <c r="D385" t="s">
        <v>15</v>
      </c>
      <c r="E385" t="s">
        <v>96</v>
      </c>
      <c r="F385" t="s">
        <v>96</v>
      </c>
      <c r="G385" s="2" t="s">
        <v>92</v>
      </c>
      <c r="H385" t="s">
        <v>64</v>
      </c>
      <c r="I385" s="34" t="s">
        <v>255</v>
      </c>
      <c r="J385" s="2" t="s">
        <v>256</v>
      </c>
      <c r="K385" t="s">
        <v>257</v>
      </c>
      <c r="L385" t="s">
        <v>125</v>
      </c>
      <c r="M385" s="2" t="s">
        <v>78</v>
      </c>
      <c r="N385" t="s">
        <v>164</v>
      </c>
      <c r="O385" t="s">
        <v>139</v>
      </c>
      <c r="P385" s="2" t="s">
        <v>15</v>
      </c>
      <c r="Q385" t="s">
        <v>64</v>
      </c>
      <c r="R385" t="s">
        <v>64</v>
      </c>
      <c r="S385" s="85" t="s">
        <v>258</v>
      </c>
      <c r="T385" t="s">
        <v>259</v>
      </c>
      <c r="U385" t="s">
        <v>276</v>
      </c>
      <c r="V385" s="2" t="s">
        <v>261</v>
      </c>
      <c r="W385" s="2" t="s">
        <v>65</v>
      </c>
      <c r="Z385" s="2" t="s">
        <v>126</v>
      </c>
      <c r="AA385" s="2" t="s">
        <v>127</v>
      </c>
      <c r="AB385" s="2" t="s">
        <v>66</v>
      </c>
      <c r="AC385" s="2" t="s">
        <v>67</v>
      </c>
    </row>
    <row r="386" spans="1:29" hidden="1" x14ac:dyDescent="0.25">
      <c r="A386" t="s">
        <v>107</v>
      </c>
      <c r="B386" t="s">
        <v>92</v>
      </c>
      <c r="C386" t="s">
        <v>93</v>
      </c>
      <c r="D386" t="s">
        <v>15</v>
      </c>
      <c r="E386" t="s">
        <v>96</v>
      </c>
      <c r="F386" t="s">
        <v>96</v>
      </c>
      <c r="G386" s="2" t="s">
        <v>92</v>
      </c>
      <c r="H386" t="s">
        <v>64</v>
      </c>
      <c r="I386" s="34" t="s">
        <v>255</v>
      </c>
      <c r="J386" s="2" t="s">
        <v>256</v>
      </c>
      <c r="K386" t="s">
        <v>257</v>
      </c>
      <c r="L386" t="s">
        <v>125</v>
      </c>
      <c r="M386" s="2" t="s">
        <v>78</v>
      </c>
      <c r="N386" t="s">
        <v>164</v>
      </c>
      <c r="O386" t="s">
        <v>140</v>
      </c>
      <c r="P386" s="2" t="s">
        <v>81</v>
      </c>
      <c r="Q386" t="s">
        <v>64</v>
      </c>
      <c r="R386" t="s">
        <v>64</v>
      </c>
      <c r="S386" s="85" t="s">
        <v>258</v>
      </c>
      <c r="T386" t="s">
        <v>259</v>
      </c>
      <c r="U386" t="s">
        <v>277</v>
      </c>
      <c r="V386" s="2" t="s">
        <v>261</v>
      </c>
      <c r="W386" s="2" t="s">
        <v>65</v>
      </c>
      <c r="Z386" s="2" t="s">
        <v>126</v>
      </c>
      <c r="AA386" s="2" t="s">
        <v>127</v>
      </c>
      <c r="AB386" s="2" t="s">
        <v>66</v>
      </c>
      <c r="AC386" s="2" t="s">
        <v>67</v>
      </c>
    </row>
    <row r="387" spans="1:29" hidden="1" x14ac:dyDescent="0.25">
      <c r="A387" t="s">
        <v>107</v>
      </c>
      <c r="B387" t="s">
        <v>92</v>
      </c>
      <c r="C387" t="s">
        <v>93</v>
      </c>
      <c r="D387" t="s">
        <v>15</v>
      </c>
      <c r="E387" t="s">
        <v>96</v>
      </c>
      <c r="F387" t="s">
        <v>96</v>
      </c>
      <c r="G387" s="2" t="s">
        <v>92</v>
      </c>
      <c r="H387" t="s">
        <v>64</v>
      </c>
      <c r="I387" s="34" t="s">
        <v>255</v>
      </c>
      <c r="J387" s="2" t="s">
        <v>256</v>
      </c>
      <c r="K387" t="s">
        <v>257</v>
      </c>
      <c r="L387" t="s">
        <v>125</v>
      </c>
      <c r="M387" s="2" t="s">
        <v>78</v>
      </c>
      <c r="N387" t="s">
        <v>164</v>
      </c>
      <c r="O387" t="s">
        <v>141</v>
      </c>
      <c r="P387" s="2" t="s">
        <v>81</v>
      </c>
      <c r="Q387" t="s">
        <v>64</v>
      </c>
      <c r="R387" t="s">
        <v>64</v>
      </c>
      <c r="S387" s="85" t="s">
        <v>258</v>
      </c>
      <c r="T387" t="s">
        <v>259</v>
      </c>
      <c r="U387" t="s">
        <v>278</v>
      </c>
      <c r="V387" s="2" t="s">
        <v>261</v>
      </c>
      <c r="W387" s="2" t="s">
        <v>65</v>
      </c>
      <c r="Z387" s="2" t="s">
        <v>126</v>
      </c>
      <c r="AA387" s="2" t="s">
        <v>127</v>
      </c>
      <c r="AB387" s="2" t="s">
        <v>66</v>
      </c>
      <c r="AC387" s="2" t="s">
        <v>67</v>
      </c>
    </row>
    <row r="388" spans="1:29" hidden="1" x14ac:dyDescent="0.25">
      <c r="A388" t="s">
        <v>107</v>
      </c>
      <c r="B388" t="s">
        <v>92</v>
      </c>
      <c r="C388" t="s">
        <v>93</v>
      </c>
      <c r="D388" t="s">
        <v>15</v>
      </c>
      <c r="E388" t="s">
        <v>96</v>
      </c>
      <c r="F388" t="s">
        <v>96</v>
      </c>
      <c r="G388" s="2" t="s">
        <v>92</v>
      </c>
      <c r="H388" t="s">
        <v>64</v>
      </c>
      <c r="I388" s="34" t="s">
        <v>255</v>
      </c>
      <c r="J388" s="2" t="s">
        <v>256</v>
      </c>
      <c r="K388" t="s">
        <v>257</v>
      </c>
      <c r="L388" t="s">
        <v>125</v>
      </c>
      <c r="M388" s="2" t="s">
        <v>78</v>
      </c>
      <c r="N388" t="s">
        <v>164</v>
      </c>
      <c r="O388" t="s">
        <v>142</v>
      </c>
      <c r="P388" s="2" t="s">
        <v>81</v>
      </c>
      <c r="Q388" t="s">
        <v>64</v>
      </c>
      <c r="R388" t="s">
        <v>64</v>
      </c>
      <c r="S388" s="85" t="s">
        <v>258</v>
      </c>
      <c r="T388" t="s">
        <v>259</v>
      </c>
      <c r="U388" t="s">
        <v>279</v>
      </c>
      <c r="V388" s="2" t="s">
        <v>261</v>
      </c>
      <c r="W388" s="2" t="s">
        <v>65</v>
      </c>
      <c r="Z388" s="2" t="s">
        <v>126</v>
      </c>
      <c r="AA388" s="2" t="s">
        <v>127</v>
      </c>
      <c r="AB388" s="2" t="s">
        <v>66</v>
      </c>
      <c r="AC388" s="2" t="s">
        <v>67</v>
      </c>
    </row>
    <row r="389" spans="1:29" hidden="1" x14ac:dyDescent="0.25">
      <c r="A389" t="s">
        <v>107</v>
      </c>
      <c r="B389" t="s">
        <v>92</v>
      </c>
      <c r="C389" t="s">
        <v>93</v>
      </c>
      <c r="D389" t="s">
        <v>15</v>
      </c>
      <c r="E389" t="s">
        <v>96</v>
      </c>
      <c r="F389" t="s">
        <v>96</v>
      </c>
      <c r="G389" s="2" t="s">
        <v>92</v>
      </c>
      <c r="H389" t="s">
        <v>64</v>
      </c>
      <c r="I389" s="34" t="s">
        <v>255</v>
      </c>
      <c r="J389" s="2" t="s">
        <v>256</v>
      </c>
      <c r="K389" t="s">
        <v>257</v>
      </c>
      <c r="L389" t="s">
        <v>125</v>
      </c>
      <c r="M389" s="2" t="s">
        <v>78</v>
      </c>
      <c r="N389" t="s">
        <v>164</v>
      </c>
      <c r="O389" t="s">
        <v>143</v>
      </c>
      <c r="P389" s="2" t="s">
        <v>81</v>
      </c>
      <c r="Q389" t="s">
        <v>64</v>
      </c>
      <c r="R389" t="s">
        <v>64</v>
      </c>
      <c r="S389" s="85" t="s">
        <v>258</v>
      </c>
      <c r="T389" t="s">
        <v>259</v>
      </c>
      <c r="U389" t="s">
        <v>280</v>
      </c>
      <c r="V389" s="2" t="s">
        <v>261</v>
      </c>
      <c r="W389" s="2" t="s">
        <v>65</v>
      </c>
      <c r="Z389" s="2" t="s">
        <v>126</v>
      </c>
      <c r="AA389" s="2" t="s">
        <v>127</v>
      </c>
      <c r="AB389" s="2" t="s">
        <v>66</v>
      </c>
      <c r="AC389" s="2" t="s">
        <v>67</v>
      </c>
    </row>
    <row r="390" spans="1:29" hidden="1" x14ac:dyDescent="0.25">
      <c r="A390" t="s">
        <v>107</v>
      </c>
      <c r="B390" t="s">
        <v>92</v>
      </c>
      <c r="C390" t="s">
        <v>93</v>
      </c>
      <c r="D390" t="s">
        <v>15</v>
      </c>
      <c r="E390" t="s">
        <v>96</v>
      </c>
      <c r="F390" t="s">
        <v>96</v>
      </c>
      <c r="G390" s="2" t="s">
        <v>92</v>
      </c>
      <c r="H390" t="s">
        <v>64</v>
      </c>
      <c r="I390" s="34" t="s">
        <v>255</v>
      </c>
      <c r="J390" s="2" t="s">
        <v>256</v>
      </c>
      <c r="K390" t="s">
        <v>257</v>
      </c>
      <c r="L390" t="s">
        <v>125</v>
      </c>
      <c r="M390" s="2" t="s">
        <v>78</v>
      </c>
      <c r="N390" t="s">
        <v>164</v>
      </c>
      <c r="O390" t="s">
        <v>144</v>
      </c>
      <c r="P390" s="2" t="s">
        <v>20</v>
      </c>
      <c r="Q390" t="s">
        <v>64</v>
      </c>
      <c r="R390" t="s">
        <v>64</v>
      </c>
      <c r="S390" s="85" t="s">
        <v>258</v>
      </c>
      <c r="T390" t="s">
        <v>259</v>
      </c>
      <c r="U390" t="s">
        <v>281</v>
      </c>
      <c r="V390" s="2" t="s">
        <v>261</v>
      </c>
      <c r="W390" s="2" t="s">
        <v>65</v>
      </c>
      <c r="Z390" s="2" t="s">
        <v>126</v>
      </c>
      <c r="AA390" s="2" t="s">
        <v>127</v>
      </c>
      <c r="AB390" s="2" t="s">
        <v>66</v>
      </c>
      <c r="AC390" s="2" t="s">
        <v>67</v>
      </c>
    </row>
    <row r="391" spans="1:29" hidden="1" x14ac:dyDescent="0.25">
      <c r="A391" t="s">
        <v>107</v>
      </c>
      <c r="B391" t="s">
        <v>92</v>
      </c>
      <c r="C391" t="s">
        <v>93</v>
      </c>
      <c r="D391" t="s">
        <v>15</v>
      </c>
      <c r="E391" t="s">
        <v>96</v>
      </c>
      <c r="F391" t="s">
        <v>96</v>
      </c>
      <c r="G391" s="2" t="s">
        <v>92</v>
      </c>
      <c r="H391" t="s">
        <v>64</v>
      </c>
      <c r="I391" s="34" t="s">
        <v>255</v>
      </c>
      <c r="J391" s="2" t="s">
        <v>256</v>
      </c>
      <c r="K391" t="s">
        <v>257</v>
      </c>
      <c r="L391" t="s">
        <v>125</v>
      </c>
      <c r="M391" s="2" t="s">
        <v>78</v>
      </c>
      <c r="N391" t="s">
        <v>164</v>
      </c>
      <c r="O391" t="s">
        <v>145</v>
      </c>
      <c r="P391" s="2" t="s">
        <v>20</v>
      </c>
      <c r="Q391" t="s">
        <v>64</v>
      </c>
      <c r="R391" t="s">
        <v>64</v>
      </c>
      <c r="S391" s="85" t="s">
        <v>258</v>
      </c>
      <c r="T391" t="s">
        <v>259</v>
      </c>
      <c r="U391" t="s">
        <v>282</v>
      </c>
      <c r="V391" s="2" t="s">
        <v>261</v>
      </c>
      <c r="W391" s="2" t="s">
        <v>65</v>
      </c>
      <c r="Z391" s="2" t="s">
        <v>126</v>
      </c>
      <c r="AA391" s="2" t="s">
        <v>127</v>
      </c>
      <c r="AB391" s="2" t="s">
        <v>66</v>
      </c>
      <c r="AC391" s="2" t="s">
        <v>67</v>
      </c>
    </row>
    <row r="392" spans="1:29" hidden="1" x14ac:dyDescent="0.25">
      <c r="A392" t="s">
        <v>107</v>
      </c>
      <c r="B392" t="s">
        <v>92</v>
      </c>
      <c r="C392" t="s">
        <v>93</v>
      </c>
      <c r="D392" t="s">
        <v>15</v>
      </c>
      <c r="E392" t="s">
        <v>96</v>
      </c>
      <c r="F392" t="s">
        <v>96</v>
      </c>
      <c r="G392" s="2" t="s">
        <v>92</v>
      </c>
      <c r="H392" t="s">
        <v>64</v>
      </c>
      <c r="I392" s="34" t="s">
        <v>255</v>
      </c>
      <c r="J392" s="2" t="s">
        <v>256</v>
      </c>
      <c r="K392" t="s">
        <v>257</v>
      </c>
      <c r="L392" t="s">
        <v>125</v>
      </c>
      <c r="M392" s="2" t="s">
        <v>78</v>
      </c>
      <c r="N392" t="s">
        <v>164</v>
      </c>
      <c r="O392" t="s">
        <v>146</v>
      </c>
      <c r="P392" s="2" t="s">
        <v>20</v>
      </c>
      <c r="Q392" t="s">
        <v>64</v>
      </c>
      <c r="R392" t="s">
        <v>64</v>
      </c>
      <c r="S392" s="85" t="s">
        <v>258</v>
      </c>
      <c r="T392" t="s">
        <v>259</v>
      </c>
      <c r="U392" t="s">
        <v>283</v>
      </c>
      <c r="V392" s="2" t="s">
        <v>261</v>
      </c>
      <c r="W392" s="2" t="s">
        <v>65</v>
      </c>
      <c r="Z392" s="2" t="s">
        <v>126</v>
      </c>
      <c r="AA392" s="2" t="s">
        <v>127</v>
      </c>
      <c r="AB392" s="2" t="s">
        <v>66</v>
      </c>
      <c r="AC392" s="2" t="s">
        <v>67</v>
      </c>
    </row>
    <row r="393" spans="1:29" hidden="1" x14ac:dyDescent="0.25">
      <c r="A393" t="s">
        <v>107</v>
      </c>
      <c r="B393" t="s">
        <v>92</v>
      </c>
      <c r="C393" t="s">
        <v>93</v>
      </c>
      <c r="D393" t="s">
        <v>15</v>
      </c>
      <c r="E393" t="s">
        <v>96</v>
      </c>
      <c r="F393" t="s">
        <v>96</v>
      </c>
      <c r="G393" s="2" t="s">
        <v>92</v>
      </c>
      <c r="H393" t="s">
        <v>64</v>
      </c>
      <c r="I393" s="34" t="s">
        <v>255</v>
      </c>
      <c r="J393" s="2" t="s">
        <v>256</v>
      </c>
      <c r="K393" t="s">
        <v>257</v>
      </c>
      <c r="L393" t="s">
        <v>125</v>
      </c>
      <c r="M393" s="2" t="s">
        <v>78</v>
      </c>
      <c r="N393" t="s">
        <v>164</v>
      </c>
      <c r="O393" t="s">
        <v>152</v>
      </c>
      <c r="P393" s="2" t="s">
        <v>170</v>
      </c>
      <c r="Q393" t="s">
        <v>64</v>
      </c>
      <c r="R393" t="s">
        <v>64</v>
      </c>
      <c r="S393" s="85" t="s">
        <v>258</v>
      </c>
      <c r="T393" t="s">
        <v>259</v>
      </c>
      <c r="U393" t="s">
        <v>284</v>
      </c>
      <c r="V393" s="2" t="s">
        <v>261</v>
      </c>
      <c r="W393" s="2" t="s">
        <v>65</v>
      </c>
      <c r="Z393" s="2" t="s">
        <v>126</v>
      </c>
      <c r="AA393" s="2" t="s">
        <v>127</v>
      </c>
      <c r="AB393" s="2" t="s">
        <v>66</v>
      </c>
      <c r="AC393" s="2" t="s">
        <v>67</v>
      </c>
    </row>
    <row r="394" spans="1:29" hidden="1" x14ac:dyDescent="0.25">
      <c r="A394" t="s">
        <v>107</v>
      </c>
      <c r="B394" t="s">
        <v>92</v>
      </c>
      <c r="C394" t="s">
        <v>93</v>
      </c>
      <c r="D394" t="s">
        <v>15</v>
      </c>
      <c r="E394" t="s">
        <v>96</v>
      </c>
      <c r="F394" t="s">
        <v>96</v>
      </c>
      <c r="G394" s="2" t="s">
        <v>92</v>
      </c>
      <c r="H394" t="s">
        <v>64</v>
      </c>
      <c r="I394" s="34" t="s">
        <v>255</v>
      </c>
      <c r="J394" s="2" t="s">
        <v>256</v>
      </c>
      <c r="K394" t="s">
        <v>257</v>
      </c>
      <c r="L394" t="s">
        <v>125</v>
      </c>
      <c r="M394" s="2" t="s">
        <v>78</v>
      </c>
      <c r="N394" t="s">
        <v>164</v>
      </c>
      <c r="O394" t="s">
        <v>153</v>
      </c>
      <c r="P394" s="2" t="s">
        <v>20</v>
      </c>
      <c r="Q394" t="s">
        <v>64</v>
      </c>
      <c r="R394" t="s">
        <v>64</v>
      </c>
      <c r="S394" s="85" t="s">
        <v>258</v>
      </c>
      <c r="T394" t="s">
        <v>259</v>
      </c>
      <c r="U394" t="s">
        <v>285</v>
      </c>
      <c r="V394" s="2" t="s">
        <v>261</v>
      </c>
      <c r="W394" s="2" t="s">
        <v>65</v>
      </c>
      <c r="Z394" s="2" t="s">
        <v>126</v>
      </c>
      <c r="AA394" s="2" t="s">
        <v>127</v>
      </c>
      <c r="AB394" s="2" t="s">
        <v>66</v>
      </c>
      <c r="AC394" s="2" t="s">
        <v>67</v>
      </c>
    </row>
    <row r="395" spans="1:29" hidden="1" x14ac:dyDescent="0.25">
      <c r="A395" t="s">
        <v>107</v>
      </c>
      <c r="B395" t="s">
        <v>92</v>
      </c>
      <c r="C395" t="s">
        <v>93</v>
      </c>
      <c r="D395" t="s">
        <v>15</v>
      </c>
      <c r="E395" t="s">
        <v>96</v>
      </c>
      <c r="F395" t="s">
        <v>96</v>
      </c>
      <c r="G395" s="2" t="s">
        <v>92</v>
      </c>
      <c r="H395" t="s">
        <v>64</v>
      </c>
      <c r="I395" s="34" t="s">
        <v>255</v>
      </c>
      <c r="J395" s="2" t="s">
        <v>256</v>
      </c>
      <c r="K395" t="s">
        <v>257</v>
      </c>
      <c r="L395" t="s">
        <v>125</v>
      </c>
      <c r="M395" s="2" t="s">
        <v>78</v>
      </c>
      <c r="N395" t="s">
        <v>164</v>
      </c>
      <c r="O395" t="s">
        <v>154</v>
      </c>
      <c r="P395" s="2" t="s">
        <v>20</v>
      </c>
      <c r="Q395" t="s">
        <v>64</v>
      </c>
      <c r="R395" t="s">
        <v>64</v>
      </c>
      <c r="S395" s="85" t="s">
        <v>258</v>
      </c>
      <c r="T395" t="s">
        <v>259</v>
      </c>
      <c r="U395" t="s">
        <v>286</v>
      </c>
      <c r="V395" s="2" t="s">
        <v>261</v>
      </c>
      <c r="W395" s="2" t="s">
        <v>65</v>
      </c>
      <c r="Z395" s="2" t="s">
        <v>126</v>
      </c>
      <c r="AA395" s="2" t="s">
        <v>127</v>
      </c>
      <c r="AB395" s="2" t="s">
        <v>66</v>
      </c>
      <c r="AC395" s="2" t="s">
        <v>67</v>
      </c>
    </row>
    <row r="396" spans="1:29" hidden="1" x14ac:dyDescent="0.25">
      <c r="A396" t="s">
        <v>107</v>
      </c>
      <c r="B396" t="s">
        <v>92</v>
      </c>
      <c r="C396" t="s">
        <v>93</v>
      </c>
      <c r="D396" t="s">
        <v>15</v>
      </c>
      <c r="E396" t="s">
        <v>96</v>
      </c>
      <c r="F396" t="s">
        <v>96</v>
      </c>
      <c r="G396" s="2" t="s">
        <v>92</v>
      </c>
      <c r="H396" t="s">
        <v>64</v>
      </c>
      <c r="I396" s="34" t="s">
        <v>255</v>
      </c>
      <c r="J396" s="2" t="s">
        <v>256</v>
      </c>
      <c r="K396" t="s">
        <v>257</v>
      </c>
      <c r="L396" t="s">
        <v>125</v>
      </c>
      <c r="M396" s="2" t="s">
        <v>78</v>
      </c>
      <c r="N396" t="s">
        <v>164</v>
      </c>
      <c r="O396" t="s">
        <v>155</v>
      </c>
      <c r="P396" s="2" t="s">
        <v>20</v>
      </c>
      <c r="Q396" t="s">
        <v>64</v>
      </c>
      <c r="R396" t="s">
        <v>64</v>
      </c>
      <c r="S396" s="85" t="s">
        <v>258</v>
      </c>
      <c r="T396" t="s">
        <v>259</v>
      </c>
      <c r="U396" t="s">
        <v>287</v>
      </c>
      <c r="V396" s="2" t="s">
        <v>261</v>
      </c>
      <c r="W396" s="2" t="s">
        <v>65</v>
      </c>
      <c r="Z396" s="2" t="s">
        <v>126</v>
      </c>
      <c r="AA396" s="2" t="s">
        <v>127</v>
      </c>
      <c r="AB396" s="2" t="s">
        <v>66</v>
      </c>
      <c r="AC396" s="2" t="s">
        <v>67</v>
      </c>
    </row>
    <row r="397" spans="1:29" hidden="1" x14ac:dyDescent="0.25">
      <c r="A397" t="s">
        <v>107</v>
      </c>
      <c r="B397" t="s">
        <v>92</v>
      </c>
      <c r="C397" t="s">
        <v>93</v>
      </c>
      <c r="D397" t="s">
        <v>15</v>
      </c>
      <c r="E397" t="s">
        <v>96</v>
      </c>
      <c r="F397" t="s">
        <v>96</v>
      </c>
      <c r="G397" s="2" t="s">
        <v>92</v>
      </c>
      <c r="H397" t="s">
        <v>64</v>
      </c>
      <c r="I397" s="34" t="s">
        <v>255</v>
      </c>
      <c r="J397" s="2" t="s">
        <v>256</v>
      </c>
      <c r="K397" t="s">
        <v>257</v>
      </c>
      <c r="L397" t="s">
        <v>125</v>
      </c>
      <c r="M397" s="2" t="s">
        <v>78</v>
      </c>
      <c r="N397" t="s">
        <v>164</v>
      </c>
      <c r="O397" t="s">
        <v>156</v>
      </c>
      <c r="P397" s="2" t="s">
        <v>20</v>
      </c>
      <c r="Q397" t="s">
        <v>64</v>
      </c>
      <c r="R397" t="s">
        <v>64</v>
      </c>
      <c r="S397" s="85" t="s">
        <v>258</v>
      </c>
      <c r="T397" t="s">
        <v>259</v>
      </c>
      <c r="U397" t="s">
        <v>288</v>
      </c>
      <c r="V397" s="2" t="s">
        <v>261</v>
      </c>
      <c r="W397" s="2" t="s">
        <v>65</v>
      </c>
      <c r="Z397" s="2" t="s">
        <v>126</v>
      </c>
      <c r="AA397" s="2" t="s">
        <v>127</v>
      </c>
      <c r="AB397" s="2" t="s">
        <v>66</v>
      </c>
      <c r="AC397" s="2" t="s">
        <v>67</v>
      </c>
    </row>
    <row r="398" spans="1:29" hidden="1" x14ac:dyDescent="0.25">
      <c r="A398" t="s">
        <v>107</v>
      </c>
      <c r="B398" t="s">
        <v>92</v>
      </c>
      <c r="C398" t="s">
        <v>93</v>
      </c>
      <c r="D398" t="s">
        <v>15</v>
      </c>
      <c r="E398" t="s">
        <v>96</v>
      </c>
      <c r="F398" t="s">
        <v>96</v>
      </c>
      <c r="G398" s="2" t="s">
        <v>92</v>
      </c>
      <c r="H398" t="s">
        <v>64</v>
      </c>
      <c r="I398" s="34" t="s">
        <v>255</v>
      </c>
      <c r="J398" s="2" t="s">
        <v>256</v>
      </c>
      <c r="K398" t="s">
        <v>257</v>
      </c>
      <c r="L398" t="s">
        <v>125</v>
      </c>
      <c r="M398" s="2" t="s">
        <v>78</v>
      </c>
      <c r="N398" t="s">
        <v>164</v>
      </c>
      <c r="O398" t="s">
        <v>157</v>
      </c>
      <c r="P398" s="2" t="s">
        <v>81</v>
      </c>
      <c r="Q398" t="s">
        <v>64</v>
      </c>
      <c r="R398" t="s">
        <v>64</v>
      </c>
      <c r="S398" s="85" t="s">
        <v>258</v>
      </c>
      <c r="T398" t="s">
        <v>259</v>
      </c>
      <c r="U398" t="s">
        <v>289</v>
      </c>
      <c r="V398" s="2" t="s">
        <v>261</v>
      </c>
      <c r="W398" s="2" t="s">
        <v>65</v>
      </c>
      <c r="Z398" s="2" t="s">
        <v>126</v>
      </c>
      <c r="AA398" s="2" t="s">
        <v>127</v>
      </c>
      <c r="AB398" s="2" t="s">
        <v>66</v>
      </c>
      <c r="AC398" s="2" t="s">
        <v>67</v>
      </c>
    </row>
    <row r="399" spans="1:29" hidden="1" x14ac:dyDescent="0.25">
      <c r="A399" t="s">
        <v>107</v>
      </c>
      <c r="B399" t="s">
        <v>69</v>
      </c>
      <c r="C399" t="s">
        <v>8</v>
      </c>
      <c r="D399" t="s">
        <v>14</v>
      </c>
      <c r="E399" t="s">
        <v>161</v>
      </c>
      <c r="F399" t="s">
        <v>161</v>
      </c>
      <c r="G399" s="2" t="s">
        <v>69</v>
      </c>
      <c r="H399" t="s">
        <v>64</v>
      </c>
      <c r="I399" s="34" t="s">
        <v>290</v>
      </c>
      <c r="J399" s="2" t="s">
        <v>291</v>
      </c>
      <c r="K399" t="s">
        <v>108</v>
      </c>
      <c r="L399" t="s">
        <v>118</v>
      </c>
      <c r="M399" s="2" t="s">
        <v>78</v>
      </c>
      <c r="N399" t="s">
        <v>164</v>
      </c>
      <c r="O399" t="s">
        <v>133</v>
      </c>
      <c r="P399" s="2" t="s">
        <v>20</v>
      </c>
      <c r="Q399" t="s">
        <v>64</v>
      </c>
      <c r="R399" t="s">
        <v>64</v>
      </c>
      <c r="S399" s="85" t="s">
        <v>292</v>
      </c>
      <c r="T399" t="s">
        <v>293</v>
      </c>
      <c r="U399" t="s">
        <v>294</v>
      </c>
      <c r="V399" s="2" t="s">
        <v>295</v>
      </c>
      <c r="W399" s="2" t="s">
        <v>65</v>
      </c>
      <c r="Z399" s="2" t="s">
        <v>109</v>
      </c>
      <c r="AA399" s="2" t="s">
        <v>110</v>
      </c>
      <c r="AB399" s="2" t="s">
        <v>66</v>
      </c>
      <c r="AC399" s="2" t="s">
        <v>67</v>
      </c>
    </row>
    <row r="400" spans="1:29" hidden="1" x14ac:dyDescent="0.25">
      <c r="A400" t="s">
        <v>107</v>
      </c>
      <c r="B400" t="s">
        <v>69</v>
      </c>
      <c r="C400" t="s">
        <v>8</v>
      </c>
      <c r="D400" t="s">
        <v>14</v>
      </c>
      <c r="E400" t="s">
        <v>161</v>
      </c>
      <c r="F400" t="s">
        <v>161</v>
      </c>
      <c r="G400" s="2" t="s">
        <v>69</v>
      </c>
      <c r="H400" t="s">
        <v>64</v>
      </c>
      <c r="I400" s="34" t="s">
        <v>290</v>
      </c>
      <c r="J400" s="2" t="s">
        <v>291</v>
      </c>
      <c r="K400" t="s">
        <v>108</v>
      </c>
      <c r="L400" t="s">
        <v>118</v>
      </c>
      <c r="M400" s="2" t="s">
        <v>78</v>
      </c>
      <c r="N400" t="s">
        <v>164</v>
      </c>
      <c r="O400" t="s">
        <v>97</v>
      </c>
      <c r="P400" s="2" t="s">
        <v>20</v>
      </c>
      <c r="Q400" t="s">
        <v>64</v>
      </c>
      <c r="R400" t="s">
        <v>64</v>
      </c>
      <c r="S400" s="85" t="s">
        <v>292</v>
      </c>
      <c r="T400" t="s">
        <v>293</v>
      </c>
      <c r="U400" t="s">
        <v>294</v>
      </c>
      <c r="V400" s="2" t="s">
        <v>295</v>
      </c>
      <c r="W400" s="2" t="s">
        <v>65</v>
      </c>
      <c r="Z400" s="2" t="s">
        <v>109</v>
      </c>
      <c r="AA400" s="2" t="s">
        <v>110</v>
      </c>
      <c r="AB400" s="2" t="s">
        <v>66</v>
      </c>
      <c r="AC400" s="2" t="s">
        <v>67</v>
      </c>
    </row>
    <row r="401" spans="1:29" hidden="1" x14ac:dyDescent="0.25">
      <c r="A401" t="s">
        <v>107</v>
      </c>
      <c r="B401" t="s">
        <v>69</v>
      </c>
      <c r="C401" t="s">
        <v>8</v>
      </c>
      <c r="D401" t="s">
        <v>14</v>
      </c>
      <c r="E401" t="s">
        <v>161</v>
      </c>
      <c r="F401" t="s">
        <v>161</v>
      </c>
      <c r="G401" s="2" t="s">
        <v>69</v>
      </c>
      <c r="H401" t="s">
        <v>64</v>
      </c>
      <c r="I401" s="34" t="s">
        <v>290</v>
      </c>
      <c r="J401" s="2" t="s">
        <v>291</v>
      </c>
      <c r="K401" t="s">
        <v>108</v>
      </c>
      <c r="L401" t="s">
        <v>118</v>
      </c>
      <c r="M401" s="2" t="s">
        <v>78</v>
      </c>
      <c r="N401" t="s">
        <v>164</v>
      </c>
      <c r="O401" t="s">
        <v>98</v>
      </c>
      <c r="P401" s="2" t="s">
        <v>20</v>
      </c>
      <c r="Q401" t="s">
        <v>64</v>
      </c>
      <c r="R401" t="s">
        <v>64</v>
      </c>
      <c r="S401" s="85" t="s">
        <v>292</v>
      </c>
      <c r="T401" t="s">
        <v>293</v>
      </c>
      <c r="U401" t="s">
        <v>294</v>
      </c>
      <c r="V401" s="2" t="s">
        <v>295</v>
      </c>
      <c r="W401" s="2" t="s">
        <v>65</v>
      </c>
      <c r="Z401" s="2" t="s">
        <v>109</v>
      </c>
      <c r="AA401" s="2" t="s">
        <v>110</v>
      </c>
      <c r="AB401" s="2" t="s">
        <v>66</v>
      </c>
      <c r="AC401" s="2" t="s">
        <v>67</v>
      </c>
    </row>
    <row r="402" spans="1:29" hidden="1" x14ac:dyDescent="0.25">
      <c r="A402" t="s">
        <v>107</v>
      </c>
      <c r="B402" t="s">
        <v>69</v>
      </c>
      <c r="C402" t="s">
        <v>8</v>
      </c>
      <c r="D402" t="s">
        <v>14</v>
      </c>
      <c r="E402" t="s">
        <v>161</v>
      </c>
      <c r="F402" t="s">
        <v>161</v>
      </c>
      <c r="G402" s="2" t="s">
        <v>69</v>
      </c>
      <c r="H402" t="s">
        <v>64</v>
      </c>
      <c r="I402" s="34" t="s">
        <v>290</v>
      </c>
      <c r="J402" s="2" t="s">
        <v>291</v>
      </c>
      <c r="K402" t="s">
        <v>108</v>
      </c>
      <c r="L402" t="s">
        <v>118</v>
      </c>
      <c r="M402" s="2" t="s">
        <v>78</v>
      </c>
      <c r="N402" t="s">
        <v>164</v>
      </c>
      <c r="O402" t="s">
        <v>134</v>
      </c>
      <c r="P402" s="2" t="s">
        <v>20</v>
      </c>
      <c r="Q402" t="s">
        <v>64</v>
      </c>
      <c r="R402" t="s">
        <v>64</v>
      </c>
      <c r="S402" s="85" t="s">
        <v>292</v>
      </c>
      <c r="T402" t="s">
        <v>293</v>
      </c>
      <c r="U402" t="s">
        <v>294</v>
      </c>
      <c r="V402" s="2" t="s">
        <v>295</v>
      </c>
      <c r="W402" s="2" t="s">
        <v>65</v>
      </c>
      <c r="Z402" s="2" t="s">
        <v>109</v>
      </c>
      <c r="AA402" s="2" t="s">
        <v>110</v>
      </c>
      <c r="AB402" s="2" t="s">
        <v>66</v>
      </c>
      <c r="AC402" s="2" t="s">
        <v>67</v>
      </c>
    </row>
    <row r="403" spans="1:29" hidden="1" x14ac:dyDescent="0.25">
      <c r="A403" t="s">
        <v>107</v>
      </c>
      <c r="B403" t="s">
        <v>69</v>
      </c>
      <c r="C403" t="s">
        <v>8</v>
      </c>
      <c r="D403" t="s">
        <v>14</v>
      </c>
      <c r="E403" t="s">
        <v>161</v>
      </c>
      <c r="F403" t="s">
        <v>161</v>
      </c>
      <c r="G403" s="2" t="s">
        <v>69</v>
      </c>
      <c r="H403" t="s">
        <v>64</v>
      </c>
      <c r="I403" s="34" t="s">
        <v>290</v>
      </c>
      <c r="J403" s="2" t="s">
        <v>291</v>
      </c>
      <c r="K403" t="s">
        <v>108</v>
      </c>
      <c r="L403" t="s">
        <v>118</v>
      </c>
      <c r="M403" s="2" t="s">
        <v>78</v>
      </c>
      <c r="N403" t="s">
        <v>164</v>
      </c>
      <c r="O403" t="s">
        <v>35</v>
      </c>
      <c r="P403" s="2" t="s">
        <v>20</v>
      </c>
      <c r="Q403" t="s">
        <v>64</v>
      </c>
      <c r="R403" t="s">
        <v>64</v>
      </c>
      <c r="S403" s="85" t="s">
        <v>292</v>
      </c>
      <c r="T403" t="s">
        <v>293</v>
      </c>
      <c r="U403" t="s">
        <v>294</v>
      </c>
      <c r="V403" s="2" t="s">
        <v>295</v>
      </c>
      <c r="W403" s="2" t="s">
        <v>65</v>
      </c>
      <c r="Z403" s="2" t="s">
        <v>109</v>
      </c>
      <c r="AA403" s="2" t="s">
        <v>110</v>
      </c>
      <c r="AB403" s="2" t="s">
        <v>66</v>
      </c>
      <c r="AC403" s="2" t="s">
        <v>67</v>
      </c>
    </row>
    <row r="404" spans="1:29" hidden="1" x14ac:dyDescent="0.25">
      <c r="A404" t="s">
        <v>107</v>
      </c>
      <c r="B404" t="s">
        <v>69</v>
      </c>
      <c r="C404" t="s">
        <v>8</v>
      </c>
      <c r="D404" t="s">
        <v>14</v>
      </c>
      <c r="E404" t="s">
        <v>161</v>
      </c>
      <c r="F404" t="s">
        <v>161</v>
      </c>
      <c r="G404" s="2" t="s">
        <v>69</v>
      </c>
      <c r="H404" t="s">
        <v>64</v>
      </c>
      <c r="I404" s="34" t="s">
        <v>290</v>
      </c>
      <c r="J404" s="2" t="s">
        <v>291</v>
      </c>
      <c r="K404" t="s">
        <v>108</v>
      </c>
      <c r="L404" t="s">
        <v>118</v>
      </c>
      <c r="M404" s="2" t="s">
        <v>78</v>
      </c>
      <c r="N404" t="s">
        <v>164</v>
      </c>
      <c r="O404" t="s">
        <v>135</v>
      </c>
      <c r="P404" s="2" t="s">
        <v>81</v>
      </c>
      <c r="Q404" t="s">
        <v>64</v>
      </c>
      <c r="R404" t="s">
        <v>64</v>
      </c>
      <c r="S404" s="85" t="s">
        <v>292</v>
      </c>
      <c r="T404" t="s">
        <v>293</v>
      </c>
      <c r="U404" t="s">
        <v>294</v>
      </c>
      <c r="V404" s="2" t="s">
        <v>295</v>
      </c>
      <c r="W404" s="2" t="s">
        <v>65</v>
      </c>
      <c r="Z404" s="2" t="s">
        <v>109</v>
      </c>
      <c r="AA404" s="2" t="s">
        <v>110</v>
      </c>
      <c r="AB404" s="2" t="s">
        <v>66</v>
      </c>
      <c r="AC404" s="2" t="s">
        <v>67</v>
      </c>
    </row>
    <row r="405" spans="1:29" hidden="1" x14ac:dyDescent="0.25">
      <c r="A405" t="s">
        <v>107</v>
      </c>
      <c r="B405" t="s">
        <v>69</v>
      </c>
      <c r="C405" t="s">
        <v>8</v>
      </c>
      <c r="D405" t="s">
        <v>14</v>
      </c>
      <c r="E405" t="s">
        <v>161</v>
      </c>
      <c r="F405" t="s">
        <v>161</v>
      </c>
      <c r="G405" s="2" t="s">
        <v>69</v>
      </c>
      <c r="H405" t="s">
        <v>64</v>
      </c>
      <c r="I405" s="34" t="s">
        <v>290</v>
      </c>
      <c r="J405" s="2" t="s">
        <v>291</v>
      </c>
      <c r="K405" t="s">
        <v>108</v>
      </c>
      <c r="L405" t="s">
        <v>118</v>
      </c>
      <c r="M405" s="2" t="s">
        <v>78</v>
      </c>
      <c r="N405" t="s">
        <v>164</v>
      </c>
      <c r="O405" t="s">
        <v>99</v>
      </c>
      <c r="P405" s="2" t="s">
        <v>20</v>
      </c>
      <c r="Q405" t="s">
        <v>64</v>
      </c>
      <c r="R405" t="s">
        <v>64</v>
      </c>
      <c r="S405" s="85" t="s">
        <v>292</v>
      </c>
      <c r="T405" t="s">
        <v>293</v>
      </c>
      <c r="U405" t="s">
        <v>294</v>
      </c>
      <c r="V405" s="2" t="s">
        <v>295</v>
      </c>
      <c r="W405" s="2" t="s">
        <v>65</v>
      </c>
      <c r="Z405" s="2" t="s">
        <v>109</v>
      </c>
      <c r="AA405" s="2" t="s">
        <v>110</v>
      </c>
      <c r="AB405" s="2" t="s">
        <v>66</v>
      </c>
      <c r="AC405" s="2" t="s">
        <v>67</v>
      </c>
    </row>
    <row r="406" spans="1:29" hidden="1" x14ac:dyDescent="0.25">
      <c r="A406" t="s">
        <v>107</v>
      </c>
      <c r="B406" t="s">
        <v>69</v>
      </c>
      <c r="C406" t="s">
        <v>8</v>
      </c>
      <c r="D406" t="s">
        <v>14</v>
      </c>
      <c r="E406" t="s">
        <v>161</v>
      </c>
      <c r="F406" t="s">
        <v>161</v>
      </c>
      <c r="G406" s="2" t="s">
        <v>69</v>
      </c>
      <c r="H406" t="s">
        <v>64</v>
      </c>
      <c r="I406" s="34" t="s">
        <v>290</v>
      </c>
      <c r="J406" s="2" t="s">
        <v>291</v>
      </c>
      <c r="K406" t="s">
        <v>108</v>
      </c>
      <c r="L406" t="s">
        <v>118</v>
      </c>
      <c r="M406" s="2" t="s">
        <v>78</v>
      </c>
      <c r="N406" t="s">
        <v>164</v>
      </c>
      <c r="O406" t="s">
        <v>100</v>
      </c>
      <c r="P406" s="2" t="s">
        <v>20</v>
      </c>
      <c r="Q406" t="s">
        <v>64</v>
      </c>
      <c r="R406" t="s">
        <v>64</v>
      </c>
      <c r="S406" s="85" t="s">
        <v>292</v>
      </c>
      <c r="T406" t="s">
        <v>293</v>
      </c>
      <c r="U406" t="s">
        <v>294</v>
      </c>
      <c r="V406" s="2" t="s">
        <v>295</v>
      </c>
      <c r="W406" s="2" t="s">
        <v>65</v>
      </c>
      <c r="Z406" s="2" t="s">
        <v>109</v>
      </c>
      <c r="AA406" s="2" t="s">
        <v>110</v>
      </c>
      <c r="AB406" s="2" t="s">
        <v>66</v>
      </c>
      <c r="AC406" s="2" t="s">
        <v>67</v>
      </c>
    </row>
    <row r="407" spans="1:29" hidden="1" x14ac:dyDescent="0.25">
      <c r="A407" t="s">
        <v>107</v>
      </c>
      <c r="B407" t="s">
        <v>69</v>
      </c>
      <c r="C407" t="s">
        <v>8</v>
      </c>
      <c r="D407" t="s">
        <v>14</v>
      </c>
      <c r="E407" t="s">
        <v>161</v>
      </c>
      <c r="F407" t="s">
        <v>161</v>
      </c>
      <c r="G407" s="2" t="s">
        <v>69</v>
      </c>
      <c r="H407" t="s">
        <v>64</v>
      </c>
      <c r="I407" s="34" t="s">
        <v>290</v>
      </c>
      <c r="J407" s="2" t="s">
        <v>291</v>
      </c>
      <c r="K407" t="s">
        <v>108</v>
      </c>
      <c r="L407" t="s">
        <v>118</v>
      </c>
      <c r="M407" s="2" t="s">
        <v>78</v>
      </c>
      <c r="N407" t="s">
        <v>164</v>
      </c>
      <c r="O407" t="s">
        <v>101</v>
      </c>
      <c r="P407" s="2" t="s">
        <v>81</v>
      </c>
      <c r="Q407" t="s">
        <v>64</v>
      </c>
      <c r="R407" t="s">
        <v>64</v>
      </c>
      <c r="S407" s="85" t="s">
        <v>292</v>
      </c>
      <c r="T407" t="s">
        <v>293</v>
      </c>
      <c r="U407" t="s">
        <v>294</v>
      </c>
      <c r="V407" s="2" t="s">
        <v>295</v>
      </c>
      <c r="W407" s="2" t="s">
        <v>65</v>
      </c>
      <c r="Z407" s="2" t="s">
        <v>109</v>
      </c>
      <c r="AA407" s="2" t="s">
        <v>110</v>
      </c>
      <c r="AB407" s="2" t="s">
        <v>66</v>
      </c>
      <c r="AC407" s="2" t="s">
        <v>67</v>
      </c>
    </row>
    <row r="408" spans="1:29" hidden="1" x14ac:dyDescent="0.25">
      <c r="A408" t="s">
        <v>107</v>
      </c>
      <c r="B408" t="s">
        <v>69</v>
      </c>
      <c r="C408" t="s">
        <v>8</v>
      </c>
      <c r="D408" t="s">
        <v>14</v>
      </c>
      <c r="E408" t="s">
        <v>161</v>
      </c>
      <c r="F408" t="s">
        <v>161</v>
      </c>
      <c r="G408" s="2" t="s">
        <v>69</v>
      </c>
      <c r="H408" t="s">
        <v>64</v>
      </c>
      <c r="I408" s="34" t="s">
        <v>290</v>
      </c>
      <c r="J408" s="2" t="s">
        <v>291</v>
      </c>
      <c r="K408" t="s">
        <v>108</v>
      </c>
      <c r="L408" t="s">
        <v>118</v>
      </c>
      <c r="M408" s="2" t="s">
        <v>78</v>
      </c>
      <c r="N408" t="s">
        <v>164</v>
      </c>
      <c r="O408" t="s">
        <v>102</v>
      </c>
      <c r="P408" s="2" t="s">
        <v>81</v>
      </c>
      <c r="Q408" t="s">
        <v>64</v>
      </c>
      <c r="R408" t="s">
        <v>64</v>
      </c>
      <c r="S408" s="85" t="s">
        <v>292</v>
      </c>
      <c r="T408" t="s">
        <v>293</v>
      </c>
      <c r="U408" t="s">
        <v>294</v>
      </c>
      <c r="V408" s="2" t="s">
        <v>295</v>
      </c>
      <c r="W408" s="2" t="s">
        <v>65</v>
      </c>
      <c r="Z408" s="2" t="s">
        <v>109</v>
      </c>
      <c r="AA408" s="2" t="s">
        <v>110</v>
      </c>
      <c r="AB408" s="2" t="s">
        <v>66</v>
      </c>
      <c r="AC408" s="2" t="s">
        <v>67</v>
      </c>
    </row>
    <row r="409" spans="1:29" hidden="1" x14ac:dyDescent="0.25">
      <c r="A409" t="s">
        <v>107</v>
      </c>
      <c r="B409" t="s">
        <v>69</v>
      </c>
      <c r="C409" t="s">
        <v>8</v>
      </c>
      <c r="D409" t="s">
        <v>14</v>
      </c>
      <c r="E409" t="s">
        <v>161</v>
      </c>
      <c r="F409" t="s">
        <v>161</v>
      </c>
      <c r="G409" s="2" t="s">
        <v>69</v>
      </c>
      <c r="H409" t="s">
        <v>64</v>
      </c>
      <c r="I409" s="34" t="s">
        <v>290</v>
      </c>
      <c r="J409" s="2" t="s">
        <v>291</v>
      </c>
      <c r="K409" t="s">
        <v>108</v>
      </c>
      <c r="L409" t="s">
        <v>118</v>
      </c>
      <c r="M409" s="2" t="s">
        <v>78</v>
      </c>
      <c r="N409" t="s">
        <v>164</v>
      </c>
      <c r="O409" t="s">
        <v>103</v>
      </c>
      <c r="P409" s="2" t="s">
        <v>81</v>
      </c>
      <c r="Q409" t="s">
        <v>64</v>
      </c>
      <c r="R409" t="s">
        <v>64</v>
      </c>
      <c r="S409" s="85" t="s">
        <v>292</v>
      </c>
      <c r="T409" t="s">
        <v>293</v>
      </c>
      <c r="U409" t="s">
        <v>294</v>
      </c>
      <c r="V409" s="2" t="s">
        <v>295</v>
      </c>
      <c r="W409" s="2" t="s">
        <v>65</v>
      </c>
      <c r="Z409" s="2" t="s">
        <v>109</v>
      </c>
      <c r="AA409" s="2" t="s">
        <v>110</v>
      </c>
      <c r="AB409" s="2" t="s">
        <v>66</v>
      </c>
      <c r="AC409" s="2" t="s">
        <v>67</v>
      </c>
    </row>
    <row r="410" spans="1:29" hidden="1" x14ac:dyDescent="0.25">
      <c r="A410" t="s">
        <v>107</v>
      </c>
      <c r="B410" t="s">
        <v>69</v>
      </c>
      <c r="C410" t="s">
        <v>8</v>
      </c>
      <c r="D410" t="s">
        <v>14</v>
      </c>
      <c r="E410" t="s">
        <v>161</v>
      </c>
      <c r="F410" t="s">
        <v>161</v>
      </c>
      <c r="G410" s="2" t="s">
        <v>69</v>
      </c>
      <c r="H410" t="s">
        <v>64</v>
      </c>
      <c r="I410" s="34" t="s">
        <v>290</v>
      </c>
      <c r="J410" s="2" t="s">
        <v>291</v>
      </c>
      <c r="K410" t="s">
        <v>108</v>
      </c>
      <c r="L410" t="s">
        <v>118</v>
      </c>
      <c r="M410" s="2" t="s">
        <v>78</v>
      </c>
      <c r="N410" t="s">
        <v>164</v>
      </c>
      <c r="O410" t="s">
        <v>104</v>
      </c>
      <c r="P410" s="2" t="s">
        <v>81</v>
      </c>
      <c r="Q410" t="s">
        <v>64</v>
      </c>
      <c r="R410" t="s">
        <v>64</v>
      </c>
      <c r="S410" s="85" t="s">
        <v>292</v>
      </c>
      <c r="T410" t="s">
        <v>293</v>
      </c>
      <c r="U410" t="s">
        <v>294</v>
      </c>
      <c r="V410" s="2" t="s">
        <v>295</v>
      </c>
      <c r="W410" s="2" t="s">
        <v>65</v>
      </c>
      <c r="Z410" s="2" t="s">
        <v>109</v>
      </c>
      <c r="AA410" s="2" t="s">
        <v>110</v>
      </c>
      <c r="AB410" s="2" t="s">
        <v>66</v>
      </c>
      <c r="AC410" s="2" t="s">
        <v>67</v>
      </c>
    </row>
    <row r="411" spans="1:29" hidden="1" x14ac:dyDescent="0.25">
      <c r="A411" t="s">
        <v>107</v>
      </c>
      <c r="B411" t="s">
        <v>69</v>
      </c>
      <c r="C411" t="s">
        <v>8</v>
      </c>
      <c r="D411" t="s">
        <v>14</v>
      </c>
      <c r="E411" t="s">
        <v>161</v>
      </c>
      <c r="F411" t="s">
        <v>161</v>
      </c>
      <c r="G411" s="2" t="s">
        <v>69</v>
      </c>
      <c r="H411" t="s">
        <v>64</v>
      </c>
      <c r="I411" s="34" t="s">
        <v>290</v>
      </c>
      <c r="J411" s="2" t="s">
        <v>291</v>
      </c>
      <c r="K411" t="s">
        <v>108</v>
      </c>
      <c r="L411" t="s">
        <v>118</v>
      </c>
      <c r="M411" s="2" t="s">
        <v>78</v>
      </c>
      <c r="N411" t="s">
        <v>164</v>
      </c>
      <c r="O411" t="s">
        <v>136</v>
      </c>
      <c r="P411" s="2" t="s">
        <v>20</v>
      </c>
      <c r="Q411" t="s">
        <v>64</v>
      </c>
      <c r="R411" t="s">
        <v>64</v>
      </c>
      <c r="S411" s="85" t="s">
        <v>292</v>
      </c>
      <c r="T411" t="s">
        <v>293</v>
      </c>
      <c r="U411" t="s">
        <v>294</v>
      </c>
      <c r="V411" s="2" t="s">
        <v>295</v>
      </c>
      <c r="W411" s="2" t="s">
        <v>65</v>
      </c>
      <c r="Z411" s="2" t="s">
        <v>109</v>
      </c>
      <c r="AA411" s="2" t="s">
        <v>110</v>
      </c>
      <c r="AB411" s="2" t="s">
        <v>66</v>
      </c>
      <c r="AC411" s="2" t="s">
        <v>67</v>
      </c>
    </row>
    <row r="412" spans="1:29" hidden="1" x14ac:dyDescent="0.25">
      <c r="A412" t="s">
        <v>107</v>
      </c>
      <c r="B412" t="s">
        <v>69</v>
      </c>
      <c r="C412" t="s">
        <v>8</v>
      </c>
      <c r="D412" t="s">
        <v>14</v>
      </c>
      <c r="E412" t="s">
        <v>161</v>
      </c>
      <c r="F412" t="s">
        <v>161</v>
      </c>
      <c r="G412" s="2" t="s">
        <v>69</v>
      </c>
      <c r="H412" t="s">
        <v>64</v>
      </c>
      <c r="I412" s="34" t="s">
        <v>290</v>
      </c>
      <c r="J412" s="2" t="s">
        <v>291</v>
      </c>
      <c r="K412" t="s">
        <v>108</v>
      </c>
      <c r="L412" t="s">
        <v>118</v>
      </c>
      <c r="M412" s="2" t="s">
        <v>78</v>
      </c>
      <c r="N412" t="s">
        <v>164</v>
      </c>
      <c r="O412" t="s">
        <v>137</v>
      </c>
      <c r="P412" s="2" t="s">
        <v>106</v>
      </c>
      <c r="Q412" t="s">
        <v>64</v>
      </c>
      <c r="R412" t="s">
        <v>64</v>
      </c>
      <c r="S412" s="85" t="s">
        <v>292</v>
      </c>
      <c r="T412" t="s">
        <v>293</v>
      </c>
      <c r="U412" t="s">
        <v>294</v>
      </c>
      <c r="V412" s="2" t="s">
        <v>295</v>
      </c>
      <c r="W412" s="2" t="s">
        <v>65</v>
      </c>
      <c r="Z412" s="2" t="s">
        <v>109</v>
      </c>
      <c r="AA412" s="2" t="s">
        <v>110</v>
      </c>
      <c r="AB412" s="2" t="s">
        <v>66</v>
      </c>
      <c r="AC412" s="2" t="s">
        <v>67</v>
      </c>
    </row>
    <row r="413" spans="1:29" hidden="1" x14ac:dyDescent="0.25">
      <c r="A413" t="s">
        <v>107</v>
      </c>
      <c r="B413" t="s">
        <v>69</v>
      </c>
      <c r="C413" t="s">
        <v>8</v>
      </c>
      <c r="D413" t="s">
        <v>14</v>
      </c>
      <c r="E413" t="s">
        <v>161</v>
      </c>
      <c r="F413" t="s">
        <v>161</v>
      </c>
      <c r="G413" s="2" t="s">
        <v>69</v>
      </c>
      <c r="H413" t="s">
        <v>64</v>
      </c>
      <c r="I413" s="34" t="s">
        <v>290</v>
      </c>
      <c r="J413" s="2" t="s">
        <v>291</v>
      </c>
      <c r="K413" t="s">
        <v>108</v>
      </c>
      <c r="L413" t="s">
        <v>118</v>
      </c>
      <c r="M413" s="2" t="s">
        <v>78</v>
      </c>
      <c r="N413" t="s">
        <v>164</v>
      </c>
      <c r="O413" t="s">
        <v>138</v>
      </c>
      <c r="P413" s="2" t="s">
        <v>20</v>
      </c>
      <c r="Q413" t="s">
        <v>64</v>
      </c>
      <c r="R413" t="s">
        <v>64</v>
      </c>
      <c r="S413" s="85" t="s">
        <v>292</v>
      </c>
      <c r="T413" t="s">
        <v>293</v>
      </c>
      <c r="U413" t="s">
        <v>294</v>
      </c>
      <c r="V413" s="2" t="s">
        <v>295</v>
      </c>
      <c r="W413" s="2" t="s">
        <v>65</v>
      </c>
      <c r="Z413" s="2" t="s">
        <v>109</v>
      </c>
      <c r="AA413" s="2" t="s">
        <v>110</v>
      </c>
      <c r="AB413" s="2" t="s">
        <v>66</v>
      </c>
      <c r="AC413" s="2" t="s">
        <v>67</v>
      </c>
    </row>
    <row r="414" spans="1:29" hidden="1" x14ac:dyDescent="0.25">
      <c r="A414" t="s">
        <v>107</v>
      </c>
      <c r="B414" t="s">
        <v>69</v>
      </c>
      <c r="C414" t="s">
        <v>8</v>
      </c>
      <c r="D414" t="s">
        <v>14</v>
      </c>
      <c r="E414" t="s">
        <v>161</v>
      </c>
      <c r="F414" t="s">
        <v>161</v>
      </c>
      <c r="G414" s="2" t="s">
        <v>69</v>
      </c>
      <c r="H414" t="s">
        <v>64</v>
      </c>
      <c r="I414" s="34" t="s">
        <v>290</v>
      </c>
      <c r="J414" s="2" t="s">
        <v>291</v>
      </c>
      <c r="K414" t="s">
        <v>108</v>
      </c>
      <c r="L414" t="s">
        <v>118</v>
      </c>
      <c r="M414" s="2" t="s">
        <v>78</v>
      </c>
      <c r="N414" t="s">
        <v>164</v>
      </c>
      <c r="O414" t="s">
        <v>139</v>
      </c>
      <c r="P414" s="2" t="s">
        <v>169</v>
      </c>
      <c r="Q414" t="s">
        <v>64</v>
      </c>
      <c r="R414" t="s">
        <v>64</v>
      </c>
      <c r="S414" s="85" t="s">
        <v>292</v>
      </c>
      <c r="T414" t="s">
        <v>293</v>
      </c>
      <c r="U414" t="s">
        <v>294</v>
      </c>
      <c r="V414" s="2" t="s">
        <v>295</v>
      </c>
      <c r="W414" s="2" t="s">
        <v>65</v>
      </c>
      <c r="Z414" s="2" t="s">
        <v>109</v>
      </c>
      <c r="AA414" s="2" t="s">
        <v>110</v>
      </c>
      <c r="AB414" s="2" t="s">
        <v>66</v>
      </c>
      <c r="AC414" s="2" t="s">
        <v>67</v>
      </c>
    </row>
    <row r="415" spans="1:29" hidden="1" x14ac:dyDescent="0.25">
      <c r="A415" t="s">
        <v>107</v>
      </c>
      <c r="B415" t="s">
        <v>69</v>
      </c>
      <c r="C415" t="s">
        <v>8</v>
      </c>
      <c r="D415" t="s">
        <v>14</v>
      </c>
      <c r="E415" t="s">
        <v>161</v>
      </c>
      <c r="F415" t="s">
        <v>161</v>
      </c>
      <c r="G415" s="2" t="s">
        <v>69</v>
      </c>
      <c r="H415" t="s">
        <v>64</v>
      </c>
      <c r="I415" s="34" t="s">
        <v>290</v>
      </c>
      <c r="J415" s="2" t="s">
        <v>291</v>
      </c>
      <c r="K415" t="s">
        <v>108</v>
      </c>
      <c r="L415" t="s">
        <v>118</v>
      </c>
      <c r="M415" s="2" t="s">
        <v>78</v>
      </c>
      <c r="N415" t="s">
        <v>164</v>
      </c>
      <c r="O415" t="s">
        <v>147</v>
      </c>
      <c r="P415" s="2" t="s">
        <v>20</v>
      </c>
      <c r="Q415" t="s">
        <v>64</v>
      </c>
      <c r="R415" t="s">
        <v>64</v>
      </c>
      <c r="S415" s="85" t="s">
        <v>292</v>
      </c>
      <c r="T415" t="s">
        <v>293</v>
      </c>
      <c r="U415" t="s">
        <v>294</v>
      </c>
      <c r="V415" s="2" t="s">
        <v>295</v>
      </c>
      <c r="W415" s="2" t="s">
        <v>65</v>
      </c>
      <c r="Z415" s="2" t="s">
        <v>109</v>
      </c>
      <c r="AA415" s="2" t="s">
        <v>110</v>
      </c>
      <c r="AB415" s="2" t="s">
        <v>66</v>
      </c>
      <c r="AC415" s="2" t="s">
        <v>67</v>
      </c>
    </row>
    <row r="416" spans="1:29" hidden="1" x14ac:dyDescent="0.25">
      <c r="A416" t="s">
        <v>107</v>
      </c>
      <c r="B416" t="s">
        <v>69</v>
      </c>
      <c r="C416" t="s">
        <v>8</v>
      </c>
      <c r="D416" t="s">
        <v>14</v>
      </c>
      <c r="E416" t="s">
        <v>161</v>
      </c>
      <c r="F416" t="s">
        <v>161</v>
      </c>
      <c r="G416" s="2" t="s">
        <v>69</v>
      </c>
      <c r="H416" t="s">
        <v>64</v>
      </c>
      <c r="I416" s="34" t="s">
        <v>290</v>
      </c>
      <c r="J416" s="2" t="s">
        <v>291</v>
      </c>
      <c r="K416" t="s">
        <v>108</v>
      </c>
      <c r="L416" t="s">
        <v>118</v>
      </c>
      <c r="M416" s="2" t="s">
        <v>78</v>
      </c>
      <c r="N416" t="s">
        <v>164</v>
      </c>
      <c r="O416" t="s">
        <v>148</v>
      </c>
      <c r="P416" s="2" t="s">
        <v>20</v>
      </c>
      <c r="Q416" t="s">
        <v>64</v>
      </c>
      <c r="R416" t="s">
        <v>64</v>
      </c>
      <c r="S416" s="85" t="s">
        <v>292</v>
      </c>
      <c r="T416" t="s">
        <v>293</v>
      </c>
      <c r="U416" t="s">
        <v>294</v>
      </c>
      <c r="V416" s="2" t="s">
        <v>295</v>
      </c>
      <c r="W416" s="2" t="s">
        <v>65</v>
      </c>
      <c r="Z416" s="2" t="s">
        <v>109</v>
      </c>
      <c r="AA416" s="2" t="s">
        <v>110</v>
      </c>
      <c r="AB416" s="2" t="s">
        <v>66</v>
      </c>
      <c r="AC416" s="2" t="s">
        <v>67</v>
      </c>
    </row>
    <row r="417" spans="1:29" hidden="1" x14ac:dyDescent="0.25">
      <c r="A417" t="s">
        <v>107</v>
      </c>
      <c r="B417" t="s">
        <v>69</v>
      </c>
      <c r="C417" t="s">
        <v>8</v>
      </c>
      <c r="D417" t="s">
        <v>14</v>
      </c>
      <c r="E417" t="s">
        <v>161</v>
      </c>
      <c r="F417" t="s">
        <v>161</v>
      </c>
      <c r="G417" s="2" t="s">
        <v>69</v>
      </c>
      <c r="H417" t="s">
        <v>64</v>
      </c>
      <c r="I417" s="34" t="s">
        <v>290</v>
      </c>
      <c r="J417" s="2" t="s">
        <v>291</v>
      </c>
      <c r="K417" t="s">
        <v>108</v>
      </c>
      <c r="L417" t="s">
        <v>118</v>
      </c>
      <c r="M417" s="2" t="s">
        <v>78</v>
      </c>
      <c r="N417" t="s">
        <v>164</v>
      </c>
      <c r="O417" t="s">
        <v>149</v>
      </c>
      <c r="P417" s="2" t="s">
        <v>20</v>
      </c>
      <c r="Q417" t="s">
        <v>64</v>
      </c>
      <c r="R417" t="s">
        <v>64</v>
      </c>
      <c r="S417" s="85" t="s">
        <v>292</v>
      </c>
      <c r="T417" t="s">
        <v>293</v>
      </c>
      <c r="U417" t="s">
        <v>294</v>
      </c>
      <c r="V417" s="2" t="s">
        <v>295</v>
      </c>
      <c r="W417" s="2" t="s">
        <v>65</v>
      </c>
      <c r="Z417" s="2" t="s">
        <v>109</v>
      </c>
      <c r="AA417" s="2" t="s">
        <v>110</v>
      </c>
      <c r="AB417" s="2" t="s">
        <v>66</v>
      </c>
      <c r="AC417" s="2" t="s">
        <v>67</v>
      </c>
    </row>
    <row r="418" spans="1:29" hidden="1" x14ac:dyDescent="0.25">
      <c r="A418" t="s">
        <v>107</v>
      </c>
      <c r="B418" t="s">
        <v>69</v>
      </c>
      <c r="C418" t="s">
        <v>8</v>
      </c>
      <c r="D418" t="s">
        <v>14</v>
      </c>
      <c r="E418" t="s">
        <v>161</v>
      </c>
      <c r="F418" t="s">
        <v>161</v>
      </c>
      <c r="G418" s="2" t="s">
        <v>69</v>
      </c>
      <c r="H418" t="s">
        <v>64</v>
      </c>
      <c r="I418" s="34" t="s">
        <v>290</v>
      </c>
      <c r="J418" s="2" t="s">
        <v>291</v>
      </c>
      <c r="K418" t="s">
        <v>108</v>
      </c>
      <c r="L418" t="s">
        <v>118</v>
      </c>
      <c r="M418" s="2" t="s">
        <v>78</v>
      </c>
      <c r="N418" t="s">
        <v>164</v>
      </c>
      <c r="O418" t="s">
        <v>150</v>
      </c>
      <c r="P418" s="2" t="s">
        <v>20</v>
      </c>
      <c r="Q418" t="s">
        <v>64</v>
      </c>
      <c r="R418" t="s">
        <v>64</v>
      </c>
      <c r="S418" s="85" t="s">
        <v>292</v>
      </c>
      <c r="T418" t="s">
        <v>293</v>
      </c>
      <c r="U418" t="s">
        <v>294</v>
      </c>
      <c r="V418" s="2" t="s">
        <v>295</v>
      </c>
      <c r="W418" s="2" t="s">
        <v>65</v>
      </c>
      <c r="Z418" s="2" t="s">
        <v>109</v>
      </c>
      <c r="AA418" s="2" t="s">
        <v>110</v>
      </c>
      <c r="AB418" s="2" t="s">
        <v>66</v>
      </c>
      <c r="AC418" s="2" t="s">
        <v>67</v>
      </c>
    </row>
    <row r="419" spans="1:29" hidden="1" x14ac:dyDescent="0.25">
      <c r="A419" t="s">
        <v>107</v>
      </c>
      <c r="B419" t="s">
        <v>69</v>
      </c>
      <c r="C419" t="s">
        <v>8</v>
      </c>
      <c r="D419" t="s">
        <v>14</v>
      </c>
      <c r="E419" t="s">
        <v>161</v>
      </c>
      <c r="F419" t="s">
        <v>161</v>
      </c>
      <c r="G419" s="2" t="s">
        <v>69</v>
      </c>
      <c r="H419" t="s">
        <v>64</v>
      </c>
      <c r="I419" s="34" t="s">
        <v>290</v>
      </c>
      <c r="J419" s="2" t="s">
        <v>291</v>
      </c>
      <c r="K419" t="s">
        <v>108</v>
      </c>
      <c r="L419" t="s">
        <v>118</v>
      </c>
      <c r="M419" s="2" t="s">
        <v>78</v>
      </c>
      <c r="N419" t="s">
        <v>164</v>
      </c>
      <c r="O419" t="s">
        <v>151</v>
      </c>
      <c r="P419" s="2" t="s">
        <v>20</v>
      </c>
      <c r="Q419" t="s">
        <v>64</v>
      </c>
      <c r="R419" t="s">
        <v>64</v>
      </c>
      <c r="S419" s="85" t="s">
        <v>292</v>
      </c>
      <c r="T419" t="s">
        <v>293</v>
      </c>
      <c r="U419" t="s">
        <v>294</v>
      </c>
      <c r="V419" s="2" t="s">
        <v>295</v>
      </c>
      <c r="W419" s="2" t="s">
        <v>65</v>
      </c>
      <c r="Z419" s="2" t="s">
        <v>109</v>
      </c>
      <c r="AA419" s="2" t="s">
        <v>110</v>
      </c>
      <c r="AB419" s="2" t="s">
        <v>66</v>
      </c>
      <c r="AC419" s="2" t="s">
        <v>67</v>
      </c>
    </row>
    <row r="420" spans="1:29" hidden="1" x14ac:dyDescent="0.25">
      <c r="A420" t="s">
        <v>107</v>
      </c>
      <c r="B420" t="s">
        <v>69</v>
      </c>
      <c r="C420" t="s">
        <v>8</v>
      </c>
      <c r="D420" t="s">
        <v>14</v>
      </c>
      <c r="E420" t="s">
        <v>161</v>
      </c>
      <c r="F420" t="s">
        <v>161</v>
      </c>
      <c r="G420" s="2" t="s">
        <v>69</v>
      </c>
      <c r="H420" t="s">
        <v>64</v>
      </c>
      <c r="I420" s="34" t="s">
        <v>290</v>
      </c>
      <c r="J420" s="2" t="s">
        <v>291</v>
      </c>
      <c r="K420" t="s">
        <v>108</v>
      </c>
      <c r="L420" t="s">
        <v>118</v>
      </c>
      <c r="M420" s="2" t="s">
        <v>78</v>
      </c>
      <c r="N420" t="s">
        <v>164</v>
      </c>
      <c r="O420" t="s">
        <v>152</v>
      </c>
      <c r="P420" s="2" t="s">
        <v>170</v>
      </c>
      <c r="Q420" t="s">
        <v>64</v>
      </c>
      <c r="R420" t="s">
        <v>64</v>
      </c>
      <c r="S420" s="85" t="s">
        <v>292</v>
      </c>
      <c r="T420" t="s">
        <v>293</v>
      </c>
      <c r="U420" t="s">
        <v>294</v>
      </c>
      <c r="V420" s="2" t="s">
        <v>295</v>
      </c>
      <c r="W420" s="2" t="s">
        <v>65</v>
      </c>
      <c r="Z420" s="2" t="s">
        <v>109</v>
      </c>
      <c r="AA420" s="2" t="s">
        <v>110</v>
      </c>
      <c r="AB420" s="2" t="s">
        <v>66</v>
      </c>
      <c r="AC420" s="2" t="s">
        <v>67</v>
      </c>
    </row>
    <row r="421" spans="1:29" hidden="1" x14ac:dyDescent="0.25">
      <c r="A421" t="s">
        <v>107</v>
      </c>
      <c r="B421" t="s">
        <v>69</v>
      </c>
      <c r="C421" t="s">
        <v>8</v>
      </c>
      <c r="D421" t="s">
        <v>14</v>
      </c>
      <c r="E421" t="s">
        <v>161</v>
      </c>
      <c r="F421" t="s">
        <v>161</v>
      </c>
      <c r="G421" s="2" t="s">
        <v>69</v>
      </c>
      <c r="H421" t="s">
        <v>64</v>
      </c>
      <c r="I421" s="34" t="s">
        <v>290</v>
      </c>
      <c r="J421" s="2" t="s">
        <v>291</v>
      </c>
      <c r="K421" t="s">
        <v>108</v>
      </c>
      <c r="L421" t="s">
        <v>118</v>
      </c>
      <c r="M421" s="2" t="s">
        <v>78</v>
      </c>
      <c r="N421" t="s">
        <v>164</v>
      </c>
      <c r="O421" t="s">
        <v>153</v>
      </c>
      <c r="P421" s="2" t="s">
        <v>20</v>
      </c>
      <c r="Q421" t="s">
        <v>64</v>
      </c>
      <c r="R421" t="s">
        <v>64</v>
      </c>
      <c r="S421" s="85" t="s">
        <v>292</v>
      </c>
      <c r="T421" t="s">
        <v>293</v>
      </c>
      <c r="U421" t="s">
        <v>294</v>
      </c>
      <c r="V421" s="2" t="s">
        <v>295</v>
      </c>
      <c r="W421" s="2" t="s">
        <v>65</v>
      </c>
      <c r="Z421" s="2" t="s">
        <v>109</v>
      </c>
      <c r="AA421" s="2" t="s">
        <v>110</v>
      </c>
      <c r="AB421" s="2" t="s">
        <v>66</v>
      </c>
      <c r="AC421" s="2" t="s">
        <v>67</v>
      </c>
    </row>
    <row r="422" spans="1:29" hidden="1" x14ac:dyDescent="0.25">
      <c r="A422" t="s">
        <v>107</v>
      </c>
      <c r="B422" t="s">
        <v>69</v>
      </c>
      <c r="C422" t="s">
        <v>8</v>
      </c>
      <c r="D422" t="s">
        <v>14</v>
      </c>
      <c r="E422" t="s">
        <v>161</v>
      </c>
      <c r="F422" t="s">
        <v>161</v>
      </c>
      <c r="G422" s="2" t="s">
        <v>69</v>
      </c>
      <c r="H422" t="s">
        <v>64</v>
      </c>
      <c r="I422" s="34" t="s">
        <v>290</v>
      </c>
      <c r="J422" s="2" t="s">
        <v>291</v>
      </c>
      <c r="K422" t="s">
        <v>108</v>
      </c>
      <c r="L422" t="s">
        <v>118</v>
      </c>
      <c r="M422" s="2" t="s">
        <v>78</v>
      </c>
      <c r="N422" t="s">
        <v>164</v>
      </c>
      <c r="O422" t="s">
        <v>154</v>
      </c>
      <c r="P422" s="2" t="s">
        <v>20</v>
      </c>
      <c r="Q422" t="s">
        <v>64</v>
      </c>
      <c r="R422" t="s">
        <v>64</v>
      </c>
      <c r="S422" s="85" t="s">
        <v>292</v>
      </c>
      <c r="T422" t="s">
        <v>293</v>
      </c>
      <c r="U422" t="s">
        <v>294</v>
      </c>
      <c r="V422" s="2" t="s">
        <v>295</v>
      </c>
      <c r="W422" s="2" t="s">
        <v>65</v>
      </c>
      <c r="Z422" s="2" t="s">
        <v>109</v>
      </c>
      <c r="AA422" s="2" t="s">
        <v>110</v>
      </c>
      <c r="AB422" s="2" t="s">
        <v>66</v>
      </c>
      <c r="AC422" s="2" t="s">
        <v>67</v>
      </c>
    </row>
    <row r="423" spans="1:29" hidden="1" x14ac:dyDescent="0.25">
      <c r="A423" t="s">
        <v>107</v>
      </c>
      <c r="B423" t="s">
        <v>69</v>
      </c>
      <c r="C423" t="s">
        <v>8</v>
      </c>
      <c r="D423" t="s">
        <v>14</v>
      </c>
      <c r="E423" t="s">
        <v>161</v>
      </c>
      <c r="F423" t="s">
        <v>161</v>
      </c>
      <c r="G423" s="2" t="s">
        <v>69</v>
      </c>
      <c r="H423" t="s">
        <v>64</v>
      </c>
      <c r="I423" s="34" t="s">
        <v>290</v>
      </c>
      <c r="J423" s="2" t="s">
        <v>291</v>
      </c>
      <c r="K423" t="s">
        <v>108</v>
      </c>
      <c r="L423" t="s">
        <v>118</v>
      </c>
      <c r="M423" s="2" t="s">
        <v>78</v>
      </c>
      <c r="N423" t="s">
        <v>164</v>
      </c>
      <c r="O423" t="s">
        <v>155</v>
      </c>
      <c r="P423" s="2" t="s">
        <v>81</v>
      </c>
      <c r="Q423" t="s">
        <v>64</v>
      </c>
      <c r="R423" t="s">
        <v>64</v>
      </c>
      <c r="S423" s="85" t="s">
        <v>292</v>
      </c>
      <c r="T423" t="s">
        <v>293</v>
      </c>
      <c r="U423" t="s">
        <v>294</v>
      </c>
      <c r="V423" s="2" t="s">
        <v>295</v>
      </c>
      <c r="W423" s="2" t="s">
        <v>65</v>
      </c>
      <c r="Z423" s="2" t="s">
        <v>109</v>
      </c>
      <c r="AA423" s="2" t="s">
        <v>110</v>
      </c>
      <c r="AB423" s="2" t="s">
        <v>66</v>
      </c>
      <c r="AC423" s="2" t="s">
        <v>67</v>
      </c>
    </row>
    <row r="424" spans="1:29" hidden="1" x14ac:dyDescent="0.25">
      <c r="A424" t="s">
        <v>107</v>
      </c>
      <c r="B424" t="s">
        <v>69</v>
      </c>
      <c r="C424" t="s">
        <v>8</v>
      </c>
      <c r="D424" t="s">
        <v>14</v>
      </c>
      <c r="E424" t="s">
        <v>161</v>
      </c>
      <c r="F424" t="s">
        <v>161</v>
      </c>
      <c r="G424" s="2" t="s">
        <v>69</v>
      </c>
      <c r="H424" t="s">
        <v>64</v>
      </c>
      <c r="I424" s="34" t="s">
        <v>290</v>
      </c>
      <c r="J424" s="2" t="s">
        <v>291</v>
      </c>
      <c r="K424" t="s">
        <v>108</v>
      </c>
      <c r="L424" t="s">
        <v>118</v>
      </c>
      <c r="M424" s="2" t="s">
        <v>78</v>
      </c>
      <c r="N424" t="s">
        <v>164</v>
      </c>
      <c r="O424" t="s">
        <v>156</v>
      </c>
      <c r="P424" s="2" t="s">
        <v>20</v>
      </c>
      <c r="Q424" t="s">
        <v>64</v>
      </c>
      <c r="R424" t="s">
        <v>64</v>
      </c>
      <c r="S424" s="85" t="s">
        <v>292</v>
      </c>
      <c r="T424" t="s">
        <v>293</v>
      </c>
      <c r="U424" t="s">
        <v>294</v>
      </c>
      <c r="V424" s="2" t="s">
        <v>295</v>
      </c>
      <c r="W424" s="2" t="s">
        <v>65</v>
      </c>
      <c r="Z424" s="2" t="s">
        <v>109</v>
      </c>
      <c r="AA424" s="2" t="s">
        <v>110</v>
      </c>
      <c r="AB424" s="2" t="s">
        <v>66</v>
      </c>
      <c r="AC424" s="2" t="s">
        <v>67</v>
      </c>
    </row>
    <row r="425" spans="1:29" hidden="1" x14ac:dyDescent="0.25">
      <c r="A425" t="s">
        <v>107</v>
      </c>
      <c r="B425" t="s">
        <v>69</v>
      </c>
      <c r="C425" t="s">
        <v>8</v>
      </c>
      <c r="D425" t="s">
        <v>14</v>
      </c>
      <c r="E425" t="s">
        <v>161</v>
      </c>
      <c r="F425" t="s">
        <v>161</v>
      </c>
      <c r="G425" s="2" t="s">
        <v>69</v>
      </c>
      <c r="H425" t="s">
        <v>64</v>
      </c>
      <c r="I425" s="34" t="s">
        <v>290</v>
      </c>
      <c r="J425" s="2" t="s">
        <v>291</v>
      </c>
      <c r="K425" t="s">
        <v>108</v>
      </c>
      <c r="L425" t="s">
        <v>118</v>
      </c>
      <c r="M425" s="2" t="s">
        <v>78</v>
      </c>
      <c r="N425" t="s">
        <v>164</v>
      </c>
      <c r="O425" t="s">
        <v>157</v>
      </c>
      <c r="P425" s="2" t="s">
        <v>20</v>
      </c>
      <c r="Q425" t="s">
        <v>64</v>
      </c>
      <c r="R425" t="s">
        <v>64</v>
      </c>
      <c r="S425" s="85" t="s">
        <v>292</v>
      </c>
      <c r="T425" t="s">
        <v>293</v>
      </c>
      <c r="U425" t="s">
        <v>294</v>
      </c>
      <c r="V425" s="2" t="s">
        <v>295</v>
      </c>
      <c r="W425" s="2" t="s">
        <v>65</v>
      </c>
      <c r="Z425" s="2" t="s">
        <v>109</v>
      </c>
      <c r="AA425" s="2" t="s">
        <v>110</v>
      </c>
      <c r="AB425" s="2" t="s">
        <v>66</v>
      </c>
      <c r="AC425" s="2" t="s">
        <v>67</v>
      </c>
    </row>
    <row r="426" spans="1:29" hidden="1" x14ac:dyDescent="0.25">
      <c r="A426" t="s">
        <v>107</v>
      </c>
      <c r="B426" t="s">
        <v>69</v>
      </c>
      <c r="C426" t="s">
        <v>8</v>
      </c>
      <c r="D426" t="s">
        <v>14</v>
      </c>
      <c r="E426" t="s">
        <v>161</v>
      </c>
      <c r="F426" t="s">
        <v>161</v>
      </c>
      <c r="G426" s="2" t="s">
        <v>69</v>
      </c>
      <c r="H426" t="s">
        <v>64</v>
      </c>
      <c r="I426" s="34" t="s">
        <v>290</v>
      </c>
      <c r="J426" s="2" t="s">
        <v>291</v>
      </c>
      <c r="K426" t="s">
        <v>108</v>
      </c>
      <c r="L426" t="s">
        <v>118</v>
      </c>
      <c r="M426" s="2" t="s">
        <v>78</v>
      </c>
      <c r="N426" t="s">
        <v>164</v>
      </c>
      <c r="O426" t="s">
        <v>158</v>
      </c>
      <c r="P426" s="2" t="s">
        <v>296</v>
      </c>
      <c r="Q426" t="s">
        <v>64</v>
      </c>
      <c r="R426" t="s">
        <v>64</v>
      </c>
      <c r="S426" s="85" t="s">
        <v>292</v>
      </c>
      <c r="T426" t="s">
        <v>293</v>
      </c>
      <c r="U426" t="s">
        <v>294</v>
      </c>
      <c r="V426" s="2" t="s">
        <v>295</v>
      </c>
      <c r="W426" s="2" t="s">
        <v>65</v>
      </c>
      <c r="Z426" s="2" t="s">
        <v>109</v>
      </c>
      <c r="AA426" s="2" t="s">
        <v>110</v>
      </c>
      <c r="AB426" s="2" t="s">
        <v>66</v>
      </c>
      <c r="AC426" s="2" t="s">
        <v>67</v>
      </c>
    </row>
    <row r="427" spans="1:29" hidden="1" x14ac:dyDescent="0.25">
      <c r="A427" t="s">
        <v>107</v>
      </c>
      <c r="B427" t="s">
        <v>69</v>
      </c>
      <c r="C427" t="s">
        <v>8</v>
      </c>
      <c r="D427" t="s">
        <v>15</v>
      </c>
      <c r="E427" t="s">
        <v>217</v>
      </c>
      <c r="F427" t="s">
        <v>218</v>
      </c>
      <c r="G427" s="2" t="s">
        <v>8</v>
      </c>
      <c r="H427" t="s">
        <v>64</v>
      </c>
      <c r="I427" s="34" t="s">
        <v>297</v>
      </c>
      <c r="J427" s="2" t="s">
        <v>298</v>
      </c>
      <c r="K427" t="s">
        <v>299</v>
      </c>
      <c r="L427" t="s">
        <v>218</v>
      </c>
      <c r="M427" s="2" t="s">
        <v>78</v>
      </c>
      <c r="N427" t="s">
        <v>164</v>
      </c>
      <c r="O427" t="s">
        <v>133</v>
      </c>
      <c r="P427" s="2" t="s">
        <v>20</v>
      </c>
      <c r="Q427" t="s">
        <v>64</v>
      </c>
      <c r="R427" t="s">
        <v>64</v>
      </c>
      <c r="S427" s="85" t="s">
        <v>94</v>
      </c>
      <c r="T427" t="s">
        <v>300</v>
      </c>
      <c r="U427" t="s">
        <v>301</v>
      </c>
      <c r="V427" s="2" t="s">
        <v>302</v>
      </c>
      <c r="W427" s="2" t="s">
        <v>65</v>
      </c>
      <c r="Z427" s="2" t="s">
        <v>186</v>
      </c>
      <c r="AA427" s="2" t="s">
        <v>187</v>
      </c>
      <c r="AB427" s="2" t="s">
        <v>66</v>
      </c>
      <c r="AC427" s="2" t="s">
        <v>67</v>
      </c>
    </row>
    <row r="428" spans="1:29" hidden="1" x14ac:dyDescent="0.25">
      <c r="A428" t="s">
        <v>107</v>
      </c>
      <c r="B428" t="s">
        <v>69</v>
      </c>
      <c r="C428" t="s">
        <v>8</v>
      </c>
      <c r="D428" t="s">
        <v>15</v>
      </c>
      <c r="E428" t="s">
        <v>217</v>
      </c>
      <c r="F428" t="s">
        <v>218</v>
      </c>
      <c r="G428" s="2" t="s">
        <v>8</v>
      </c>
      <c r="H428" t="s">
        <v>64</v>
      </c>
      <c r="I428" s="34" t="s">
        <v>297</v>
      </c>
      <c r="J428" s="2" t="s">
        <v>298</v>
      </c>
      <c r="K428" t="s">
        <v>299</v>
      </c>
      <c r="L428" t="s">
        <v>218</v>
      </c>
      <c r="M428" s="2" t="s">
        <v>78</v>
      </c>
      <c r="N428" t="s">
        <v>164</v>
      </c>
      <c r="O428" t="s">
        <v>97</v>
      </c>
      <c r="P428" s="2" t="s">
        <v>20</v>
      </c>
      <c r="Q428" t="s">
        <v>64</v>
      </c>
      <c r="R428" t="s">
        <v>64</v>
      </c>
      <c r="S428" s="85" t="s">
        <v>94</v>
      </c>
      <c r="T428" t="s">
        <v>300</v>
      </c>
      <c r="U428" t="s">
        <v>301</v>
      </c>
      <c r="V428" s="2" t="s">
        <v>302</v>
      </c>
      <c r="W428" s="2" t="s">
        <v>65</v>
      </c>
      <c r="Z428" s="2" t="s">
        <v>186</v>
      </c>
      <c r="AA428" s="2" t="s">
        <v>187</v>
      </c>
      <c r="AB428" s="2" t="s">
        <v>66</v>
      </c>
      <c r="AC428" s="2" t="s">
        <v>67</v>
      </c>
    </row>
    <row r="429" spans="1:29" hidden="1" x14ac:dyDescent="0.25">
      <c r="A429" t="s">
        <v>107</v>
      </c>
      <c r="B429" t="s">
        <v>69</v>
      </c>
      <c r="C429" t="s">
        <v>8</v>
      </c>
      <c r="D429" t="s">
        <v>15</v>
      </c>
      <c r="E429" t="s">
        <v>217</v>
      </c>
      <c r="F429" t="s">
        <v>218</v>
      </c>
      <c r="G429" s="2" t="s">
        <v>8</v>
      </c>
      <c r="H429" t="s">
        <v>64</v>
      </c>
      <c r="I429" s="34" t="s">
        <v>297</v>
      </c>
      <c r="J429" s="2" t="s">
        <v>298</v>
      </c>
      <c r="K429" t="s">
        <v>299</v>
      </c>
      <c r="L429" t="s">
        <v>218</v>
      </c>
      <c r="M429" s="2" t="s">
        <v>78</v>
      </c>
      <c r="N429" t="s">
        <v>164</v>
      </c>
      <c r="O429" t="s">
        <v>98</v>
      </c>
      <c r="P429" s="2" t="s">
        <v>20</v>
      </c>
      <c r="Q429" t="s">
        <v>64</v>
      </c>
      <c r="R429" t="s">
        <v>64</v>
      </c>
      <c r="S429" s="85" t="s">
        <v>94</v>
      </c>
      <c r="T429" t="s">
        <v>300</v>
      </c>
      <c r="U429" t="s">
        <v>301</v>
      </c>
      <c r="V429" s="2" t="s">
        <v>302</v>
      </c>
      <c r="W429" s="2" t="s">
        <v>65</v>
      </c>
      <c r="Z429" s="2" t="s">
        <v>186</v>
      </c>
      <c r="AA429" s="2" t="s">
        <v>187</v>
      </c>
      <c r="AB429" s="2" t="s">
        <v>66</v>
      </c>
      <c r="AC429" s="2" t="s">
        <v>67</v>
      </c>
    </row>
    <row r="430" spans="1:29" hidden="1" x14ac:dyDescent="0.25">
      <c r="A430" t="s">
        <v>107</v>
      </c>
      <c r="B430" t="s">
        <v>69</v>
      </c>
      <c r="C430" t="s">
        <v>8</v>
      </c>
      <c r="D430" t="s">
        <v>15</v>
      </c>
      <c r="E430" t="s">
        <v>217</v>
      </c>
      <c r="F430" t="s">
        <v>218</v>
      </c>
      <c r="G430" s="2" t="s">
        <v>8</v>
      </c>
      <c r="H430" t="s">
        <v>64</v>
      </c>
      <c r="I430" s="34" t="s">
        <v>297</v>
      </c>
      <c r="J430" s="2" t="s">
        <v>298</v>
      </c>
      <c r="K430" t="s">
        <v>299</v>
      </c>
      <c r="L430" t="s">
        <v>218</v>
      </c>
      <c r="M430" s="2" t="s">
        <v>78</v>
      </c>
      <c r="N430" t="s">
        <v>164</v>
      </c>
      <c r="O430" t="s">
        <v>134</v>
      </c>
      <c r="P430" s="2" t="s">
        <v>20</v>
      </c>
      <c r="Q430" t="s">
        <v>64</v>
      </c>
      <c r="R430" t="s">
        <v>64</v>
      </c>
      <c r="S430" s="85" t="s">
        <v>94</v>
      </c>
      <c r="T430" t="s">
        <v>300</v>
      </c>
      <c r="U430" t="s">
        <v>301</v>
      </c>
      <c r="V430" s="2" t="s">
        <v>302</v>
      </c>
      <c r="W430" s="2" t="s">
        <v>65</v>
      </c>
      <c r="Z430" s="2" t="s">
        <v>186</v>
      </c>
      <c r="AA430" s="2" t="s">
        <v>187</v>
      </c>
      <c r="AB430" s="2" t="s">
        <v>66</v>
      </c>
      <c r="AC430" s="2" t="s">
        <v>67</v>
      </c>
    </row>
    <row r="431" spans="1:29" hidden="1" x14ac:dyDescent="0.25">
      <c r="A431" t="s">
        <v>107</v>
      </c>
      <c r="B431" t="s">
        <v>69</v>
      </c>
      <c r="C431" t="s">
        <v>8</v>
      </c>
      <c r="D431" t="s">
        <v>15</v>
      </c>
      <c r="E431" t="s">
        <v>217</v>
      </c>
      <c r="F431" t="s">
        <v>218</v>
      </c>
      <c r="G431" s="2" t="s">
        <v>8</v>
      </c>
      <c r="H431" t="s">
        <v>64</v>
      </c>
      <c r="I431" s="34" t="s">
        <v>297</v>
      </c>
      <c r="J431" s="2" t="s">
        <v>298</v>
      </c>
      <c r="K431" t="s">
        <v>299</v>
      </c>
      <c r="L431" t="s">
        <v>218</v>
      </c>
      <c r="M431" s="2" t="s">
        <v>78</v>
      </c>
      <c r="N431" t="s">
        <v>164</v>
      </c>
      <c r="O431" t="s">
        <v>35</v>
      </c>
      <c r="P431" s="2" t="s">
        <v>20</v>
      </c>
      <c r="Q431" t="s">
        <v>64</v>
      </c>
      <c r="R431" t="s">
        <v>64</v>
      </c>
      <c r="S431" s="85" t="s">
        <v>94</v>
      </c>
      <c r="T431" t="s">
        <v>300</v>
      </c>
      <c r="U431" t="s">
        <v>301</v>
      </c>
      <c r="V431" s="2" t="s">
        <v>302</v>
      </c>
      <c r="W431" s="2" t="s">
        <v>65</v>
      </c>
      <c r="Z431" s="2" t="s">
        <v>186</v>
      </c>
      <c r="AA431" s="2" t="s">
        <v>187</v>
      </c>
      <c r="AB431" s="2" t="s">
        <v>66</v>
      </c>
      <c r="AC431" s="2" t="s">
        <v>67</v>
      </c>
    </row>
    <row r="432" spans="1:29" hidden="1" x14ac:dyDescent="0.25">
      <c r="A432" t="s">
        <v>107</v>
      </c>
      <c r="B432" t="s">
        <v>69</v>
      </c>
      <c r="C432" t="s">
        <v>8</v>
      </c>
      <c r="D432" t="s">
        <v>15</v>
      </c>
      <c r="E432" t="s">
        <v>217</v>
      </c>
      <c r="F432" t="s">
        <v>218</v>
      </c>
      <c r="G432" s="2" t="s">
        <v>8</v>
      </c>
      <c r="H432" t="s">
        <v>64</v>
      </c>
      <c r="I432" s="34" t="s">
        <v>297</v>
      </c>
      <c r="J432" s="2" t="s">
        <v>298</v>
      </c>
      <c r="K432" t="s">
        <v>299</v>
      </c>
      <c r="L432" t="s">
        <v>218</v>
      </c>
      <c r="M432" s="2" t="s">
        <v>78</v>
      </c>
      <c r="N432" t="s">
        <v>164</v>
      </c>
      <c r="O432" t="s">
        <v>135</v>
      </c>
      <c r="P432" s="2" t="s">
        <v>81</v>
      </c>
      <c r="Q432" t="s">
        <v>64</v>
      </c>
      <c r="R432" t="s">
        <v>64</v>
      </c>
      <c r="S432" s="85" t="s">
        <v>94</v>
      </c>
      <c r="T432" t="s">
        <v>300</v>
      </c>
      <c r="U432" t="s">
        <v>301</v>
      </c>
      <c r="V432" s="2" t="s">
        <v>302</v>
      </c>
      <c r="W432" s="2" t="s">
        <v>65</v>
      </c>
      <c r="Z432" s="2" t="s">
        <v>186</v>
      </c>
      <c r="AA432" s="2" t="s">
        <v>187</v>
      </c>
      <c r="AB432" s="2" t="s">
        <v>66</v>
      </c>
      <c r="AC432" s="2" t="s">
        <v>67</v>
      </c>
    </row>
    <row r="433" spans="1:29" hidden="1" x14ac:dyDescent="0.25">
      <c r="A433" t="s">
        <v>107</v>
      </c>
      <c r="B433" t="s">
        <v>69</v>
      </c>
      <c r="C433" t="s">
        <v>8</v>
      </c>
      <c r="D433" t="s">
        <v>15</v>
      </c>
      <c r="E433" t="s">
        <v>217</v>
      </c>
      <c r="F433" t="s">
        <v>218</v>
      </c>
      <c r="G433" s="2" t="s">
        <v>8</v>
      </c>
      <c r="H433" t="s">
        <v>64</v>
      </c>
      <c r="I433" s="34" t="s">
        <v>297</v>
      </c>
      <c r="J433" s="2" t="s">
        <v>298</v>
      </c>
      <c r="K433" t="s">
        <v>299</v>
      </c>
      <c r="L433" t="s">
        <v>218</v>
      </c>
      <c r="M433" s="2" t="s">
        <v>78</v>
      </c>
      <c r="N433" t="s">
        <v>164</v>
      </c>
      <c r="O433" t="s">
        <v>99</v>
      </c>
      <c r="P433" s="2" t="s">
        <v>20</v>
      </c>
      <c r="Q433" t="s">
        <v>64</v>
      </c>
      <c r="R433" t="s">
        <v>64</v>
      </c>
      <c r="S433" s="85" t="s">
        <v>94</v>
      </c>
      <c r="T433" t="s">
        <v>300</v>
      </c>
      <c r="U433" t="s">
        <v>301</v>
      </c>
      <c r="V433" s="2" t="s">
        <v>302</v>
      </c>
      <c r="W433" s="2" t="s">
        <v>65</v>
      </c>
      <c r="Z433" s="2" t="s">
        <v>186</v>
      </c>
      <c r="AA433" s="2" t="s">
        <v>187</v>
      </c>
      <c r="AB433" s="2" t="s">
        <v>66</v>
      </c>
      <c r="AC433" s="2" t="s">
        <v>67</v>
      </c>
    </row>
    <row r="434" spans="1:29" hidden="1" x14ac:dyDescent="0.25">
      <c r="A434" t="s">
        <v>107</v>
      </c>
      <c r="B434" t="s">
        <v>69</v>
      </c>
      <c r="C434" t="s">
        <v>8</v>
      </c>
      <c r="D434" t="s">
        <v>15</v>
      </c>
      <c r="E434" t="s">
        <v>217</v>
      </c>
      <c r="F434" t="s">
        <v>218</v>
      </c>
      <c r="G434" s="2" t="s">
        <v>8</v>
      </c>
      <c r="H434" t="s">
        <v>64</v>
      </c>
      <c r="I434" s="34" t="s">
        <v>297</v>
      </c>
      <c r="J434" s="2" t="s">
        <v>298</v>
      </c>
      <c r="K434" t="s">
        <v>299</v>
      </c>
      <c r="L434" t="s">
        <v>218</v>
      </c>
      <c r="M434" s="2" t="s">
        <v>78</v>
      </c>
      <c r="N434" t="s">
        <v>164</v>
      </c>
      <c r="O434" t="s">
        <v>100</v>
      </c>
      <c r="P434" s="2" t="s">
        <v>20</v>
      </c>
      <c r="Q434" t="s">
        <v>64</v>
      </c>
      <c r="R434" t="s">
        <v>64</v>
      </c>
      <c r="S434" s="85" t="s">
        <v>94</v>
      </c>
      <c r="T434" t="s">
        <v>300</v>
      </c>
      <c r="U434" t="s">
        <v>301</v>
      </c>
      <c r="V434" s="2" t="s">
        <v>302</v>
      </c>
      <c r="W434" s="2" t="s">
        <v>65</v>
      </c>
      <c r="Z434" s="2" t="s">
        <v>186</v>
      </c>
      <c r="AA434" s="2" t="s">
        <v>187</v>
      </c>
      <c r="AB434" s="2" t="s">
        <v>66</v>
      </c>
      <c r="AC434" s="2" t="s">
        <v>67</v>
      </c>
    </row>
    <row r="435" spans="1:29" hidden="1" x14ac:dyDescent="0.25">
      <c r="A435" t="s">
        <v>107</v>
      </c>
      <c r="B435" t="s">
        <v>69</v>
      </c>
      <c r="C435" t="s">
        <v>8</v>
      </c>
      <c r="D435" t="s">
        <v>15</v>
      </c>
      <c r="E435" t="s">
        <v>217</v>
      </c>
      <c r="F435" t="s">
        <v>218</v>
      </c>
      <c r="G435" s="2" t="s">
        <v>8</v>
      </c>
      <c r="H435" t="s">
        <v>64</v>
      </c>
      <c r="I435" s="34" t="s">
        <v>297</v>
      </c>
      <c r="J435" s="2" t="s">
        <v>298</v>
      </c>
      <c r="K435" t="s">
        <v>299</v>
      </c>
      <c r="L435" t="s">
        <v>218</v>
      </c>
      <c r="M435" s="2" t="s">
        <v>78</v>
      </c>
      <c r="N435" t="s">
        <v>164</v>
      </c>
      <c r="O435" t="s">
        <v>101</v>
      </c>
      <c r="P435" s="2" t="s">
        <v>81</v>
      </c>
      <c r="Q435" t="s">
        <v>64</v>
      </c>
      <c r="R435" t="s">
        <v>64</v>
      </c>
      <c r="S435" s="85" t="s">
        <v>94</v>
      </c>
      <c r="T435" t="s">
        <v>300</v>
      </c>
      <c r="U435" t="s">
        <v>301</v>
      </c>
      <c r="V435" s="2" t="s">
        <v>302</v>
      </c>
      <c r="W435" s="2" t="s">
        <v>65</v>
      </c>
      <c r="Z435" s="2" t="s">
        <v>186</v>
      </c>
      <c r="AA435" s="2" t="s">
        <v>187</v>
      </c>
      <c r="AB435" s="2" t="s">
        <v>66</v>
      </c>
      <c r="AC435" s="2" t="s">
        <v>67</v>
      </c>
    </row>
    <row r="436" spans="1:29" hidden="1" x14ac:dyDescent="0.25">
      <c r="A436" t="s">
        <v>107</v>
      </c>
      <c r="B436" t="s">
        <v>69</v>
      </c>
      <c r="C436" t="s">
        <v>8</v>
      </c>
      <c r="D436" t="s">
        <v>15</v>
      </c>
      <c r="E436" t="s">
        <v>217</v>
      </c>
      <c r="F436" t="s">
        <v>218</v>
      </c>
      <c r="G436" s="2" t="s">
        <v>8</v>
      </c>
      <c r="H436" t="s">
        <v>64</v>
      </c>
      <c r="I436" s="34" t="s">
        <v>297</v>
      </c>
      <c r="J436" s="2" t="s">
        <v>298</v>
      </c>
      <c r="K436" t="s">
        <v>299</v>
      </c>
      <c r="L436" t="s">
        <v>218</v>
      </c>
      <c r="M436" s="2" t="s">
        <v>78</v>
      </c>
      <c r="N436" t="s">
        <v>164</v>
      </c>
      <c r="O436" t="s">
        <v>102</v>
      </c>
      <c r="P436" s="2" t="s">
        <v>81</v>
      </c>
      <c r="Q436" t="s">
        <v>64</v>
      </c>
      <c r="R436" t="s">
        <v>64</v>
      </c>
      <c r="S436" s="85" t="s">
        <v>94</v>
      </c>
      <c r="T436" t="s">
        <v>300</v>
      </c>
      <c r="U436" t="s">
        <v>301</v>
      </c>
      <c r="V436" s="2" t="s">
        <v>302</v>
      </c>
      <c r="W436" s="2" t="s">
        <v>65</v>
      </c>
      <c r="Z436" s="2" t="s">
        <v>186</v>
      </c>
      <c r="AA436" s="2" t="s">
        <v>187</v>
      </c>
      <c r="AB436" s="2" t="s">
        <v>66</v>
      </c>
      <c r="AC436" s="2" t="s">
        <v>67</v>
      </c>
    </row>
    <row r="437" spans="1:29" hidden="1" x14ac:dyDescent="0.25">
      <c r="A437" t="s">
        <v>107</v>
      </c>
      <c r="B437" t="s">
        <v>69</v>
      </c>
      <c r="C437" t="s">
        <v>8</v>
      </c>
      <c r="D437" t="s">
        <v>15</v>
      </c>
      <c r="E437" t="s">
        <v>217</v>
      </c>
      <c r="F437" t="s">
        <v>218</v>
      </c>
      <c r="G437" s="2" t="s">
        <v>8</v>
      </c>
      <c r="H437" t="s">
        <v>64</v>
      </c>
      <c r="I437" s="34" t="s">
        <v>297</v>
      </c>
      <c r="J437" s="2" t="s">
        <v>298</v>
      </c>
      <c r="K437" t="s">
        <v>299</v>
      </c>
      <c r="L437" t="s">
        <v>218</v>
      </c>
      <c r="M437" s="2" t="s">
        <v>78</v>
      </c>
      <c r="N437" t="s">
        <v>164</v>
      </c>
      <c r="O437" t="s">
        <v>103</v>
      </c>
      <c r="P437" s="2" t="s">
        <v>81</v>
      </c>
      <c r="Q437" t="s">
        <v>64</v>
      </c>
      <c r="R437" t="s">
        <v>64</v>
      </c>
      <c r="S437" s="85" t="s">
        <v>94</v>
      </c>
      <c r="T437" t="s">
        <v>300</v>
      </c>
      <c r="U437" t="s">
        <v>301</v>
      </c>
      <c r="V437" s="2" t="s">
        <v>302</v>
      </c>
      <c r="W437" s="2" t="s">
        <v>65</v>
      </c>
      <c r="Z437" s="2" t="s">
        <v>186</v>
      </c>
      <c r="AA437" s="2" t="s">
        <v>187</v>
      </c>
      <c r="AB437" s="2" t="s">
        <v>66</v>
      </c>
      <c r="AC437" s="2" t="s">
        <v>67</v>
      </c>
    </row>
    <row r="438" spans="1:29" hidden="1" x14ac:dyDescent="0.25">
      <c r="A438" t="s">
        <v>107</v>
      </c>
      <c r="B438" t="s">
        <v>69</v>
      </c>
      <c r="C438" t="s">
        <v>8</v>
      </c>
      <c r="D438" t="s">
        <v>15</v>
      </c>
      <c r="E438" t="s">
        <v>217</v>
      </c>
      <c r="F438" t="s">
        <v>218</v>
      </c>
      <c r="G438" s="2" t="s">
        <v>8</v>
      </c>
      <c r="H438" t="s">
        <v>64</v>
      </c>
      <c r="I438" s="34" t="s">
        <v>297</v>
      </c>
      <c r="J438" s="2" t="s">
        <v>298</v>
      </c>
      <c r="K438" t="s">
        <v>299</v>
      </c>
      <c r="L438" t="s">
        <v>218</v>
      </c>
      <c r="M438" s="2" t="s">
        <v>78</v>
      </c>
      <c r="N438" t="s">
        <v>164</v>
      </c>
      <c r="O438" t="s">
        <v>104</v>
      </c>
      <c r="P438" s="2" t="s">
        <v>81</v>
      </c>
      <c r="Q438" t="s">
        <v>64</v>
      </c>
      <c r="R438" t="s">
        <v>64</v>
      </c>
      <c r="S438" s="85" t="s">
        <v>94</v>
      </c>
      <c r="T438" t="s">
        <v>300</v>
      </c>
      <c r="U438" t="s">
        <v>301</v>
      </c>
      <c r="V438" s="2" t="s">
        <v>302</v>
      </c>
      <c r="W438" s="2" t="s">
        <v>65</v>
      </c>
      <c r="Z438" s="2" t="s">
        <v>186</v>
      </c>
      <c r="AA438" s="2" t="s">
        <v>187</v>
      </c>
      <c r="AB438" s="2" t="s">
        <v>66</v>
      </c>
      <c r="AC438" s="2" t="s">
        <v>67</v>
      </c>
    </row>
    <row r="439" spans="1:29" hidden="1" x14ac:dyDescent="0.25">
      <c r="A439" t="s">
        <v>107</v>
      </c>
      <c r="B439" t="s">
        <v>69</v>
      </c>
      <c r="C439" t="s">
        <v>8</v>
      </c>
      <c r="D439" t="s">
        <v>15</v>
      </c>
      <c r="E439" t="s">
        <v>217</v>
      </c>
      <c r="F439" t="s">
        <v>218</v>
      </c>
      <c r="G439" s="2" t="s">
        <v>8</v>
      </c>
      <c r="H439" t="s">
        <v>64</v>
      </c>
      <c r="I439" s="34" t="s">
        <v>297</v>
      </c>
      <c r="J439" s="2" t="s">
        <v>298</v>
      </c>
      <c r="K439" t="s">
        <v>299</v>
      </c>
      <c r="L439" t="s">
        <v>218</v>
      </c>
      <c r="M439" s="2" t="s">
        <v>78</v>
      </c>
      <c r="N439" t="s">
        <v>164</v>
      </c>
      <c r="O439" t="s">
        <v>136</v>
      </c>
      <c r="P439" s="2" t="s">
        <v>81</v>
      </c>
      <c r="Q439" t="s">
        <v>64</v>
      </c>
      <c r="R439" t="s">
        <v>64</v>
      </c>
      <c r="S439" s="85" t="s">
        <v>94</v>
      </c>
      <c r="T439" t="s">
        <v>300</v>
      </c>
      <c r="U439" t="s">
        <v>301</v>
      </c>
      <c r="V439" s="2" t="s">
        <v>302</v>
      </c>
      <c r="W439" s="2" t="s">
        <v>65</v>
      </c>
      <c r="Z439" s="2" t="s">
        <v>186</v>
      </c>
      <c r="AA439" s="2" t="s">
        <v>187</v>
      </c>
      <c r="AB439" s="2" t="s">
        <v>66</v>
      </c>
      <c r="AC439" s="2" t="s">
        <v>67</v>
      </c>
    </row>
    <row r="440" spans="1:29" hidden="1" x14ac:dyDescent="0.25">
      <c r="A440" t="s">
        <v>107</v>
      </c>
      <c r="B440" t="s">
        <v>69</v>
      </c>
      <c r="C440" t="s">
        <v>8</v>
      </c>
      <c r="D440" t="s">
        <v>15</v>
      </c>
      <c r="E440" t="s">
        <v>217</v>
      </c>
      <c r="F440" t="s">
        <v>218</v>
      </c>
      <c r="G440" s="2" t="s">
        <v>8</v>
      </c>
      <c r="H440" t="s">
        <v>64</v>
      </c>
      <c r="I440" s="34" t="s">
        <v>297</v>
      </c>
      <c r="J440" s="2" t="s">
        <v>298</v>
      </c>
      <c r="K440" t="s">
        <v>299</v>
      </c>
      <c r="L440" t="s">
        <v>218</v>
      </c>
      <c r="M440" s="2" t="s">
        <v>78</v>
      </c>
      <c r="N440" t="s">
        <v>164</v>
      </c>
      <c r="O440" t="s">
        <v>137</v>
      </c>
      <c r="P440" s="2" t="s">
        <v>20</v>
      </c>
      <c r="Q440" t="s">
        <v>64</v>
      </c>
      <c r="R440" t="s">
        <v>64</v>
      </c>
      <c r="S440" s="85" t="s">
        <v>94</v>
      </c>
      <c r="T440" t="s">
        <v>300</v>
      </c>
      <c r="U440" t="s">
        <v>301</v>
      </c>
      <c r="V440" s="2" t="s">
        <v>302</v>
      </c>
      <c r="W440" s="2" t="s">
        <v>65</v>
      </c>
      <c r="Z440" s="2" t="s">
        <v>186</v>
      </c>
      <c r="AA440" s="2" t="s">
        <v>187</v>
      </c>
      <c r="AB440" s="2" t="s">
        <v>66</v>
      </c>
      <c r="AC440" s="2" t="s">
        <v>67</v>
      </c>
    </row>
    <row r="441" spans="1:29" hidden="1" x14ac:dyDescent="0.25">
      <c r="A441" t="s">
        <v>107</v>
      </c>
      <c r="B441" t="s">
        <v>69</v>
      </c>
      <c r="C441" t="s">
        <v>8</v>
      </c>
      <c r="D441" t="s">
        <v>15</v>
      </c>
      <c r="E441" t="s">
        <v>217</v>
      </c>
      <c r="F441" t="s">
        <v>218</v>
      </c>
      <c r="G441" s="2" t="s">
        <v>8</v>
      </c>
      <c r="H441" t="s">
        <v>64</v>
      </c>
      <c r="I441" s="34" t="s">
        <v>297</v>
      </c>
      <c r="J441" s="2" t="s">
        <v>298</v>
      </c>
      <c r="K441" t="s">
        <v>299</v>
      </c>
      <c r="L441" t="s">
        <v>218</v>
      </c>
      <c r="M441" s="2" t="s">
        <v>78</v>
      </c>
      <c r="N441" t="s">
        <v>164</v>
      </c>
      <c r="O441" t="s">
        <v>138</v>
      </c>
      <c r="P441" s="2" t="s">
        <v>81</v>
      </c>
      <c r="Q441" t="s">
        <v>64</v>
      </c>
      <c r="R441" t="s">
        <v>64</v>
      </c>
      <c r="S441" s="85" t="s">
        <v>94</v>
      </c>
      <c r="T441" t="s">
        <v>300</v>
      </c>
      <c r="U441" t="s">
        <v>301</v>
      </c>
      <c r="V441" s="2" t="s">
        <v>302</v>
      </c>
      <c r="W441" s="2" t="s">
        <v>65</v>
      </c>
      <c r="Z441" s="2" t="s">
        <v>186</v>
      </c>
      <c r="AA441" s="2" t="s">
        <v>187</v>
      </c>
      <c r="AB441" s="2" t="s">
        <v>66</v>
      </c>
      <c r="AC441" s="2" t="s">
        <v>67</v>
      </c>
    </row>
    <row r="442" spans="1:29" hidden="1" x14ac:dyDescent="0.25">
      <c r="A442" t="s">
        <v>107</v>
      </c>
      <c r="B442" t="s">
        <v>69</v>
      </c>
      <c r="C442" t="s">
        <v>8</v>
      </c>
      <c r="D442" t="s">
        <v>15</v>
      </c>
      <c r="E442" t="s">
        <v>217</v>
      </c>
      <c r="F442" t="s">
        <v>218</v>
      </c>
      <c r="G442" s="2" t="s">
        <v>8</v>
      </c>
      <c r="H442" t="s">
        <v>64</v>
      </c>
      <c r="I442" s="34" t="s">
        <v>297</v>
      </c>
      <c r="J442" s="2" t="s">
        <v>298</v>
      </c>
      <c r="K442" t="s">
        <v>299</v>
      </c>
      <c r="L442" t="s">
        <v>218</v>
      </c>
      <c r="M442" s="2" t="s">
        <v>78</v>
      </c>
      <c r="N442" t="s">
        <v>164</v>
      </c>
      <c r="O442" t="s">
        <v>139</v>
      </c>
      <c r="P442" s="2" t="s">
        <v>15</v>
      </c>
      <c r="Q442" t="s">
        <v>64</v>
      </c>
      <c r="R442" t="s">
        <v>64</v>
      </c>
      <c r="S442" s="85" t="s">
        <v>94</v>
      </c>
      <c r="T442" t="s">
        <v>300</v>
      </c>
      <c r="U442" t="s">
        <v>301</v>
      </c>
      <c r="V442" s="2" t="s">
        <v>302</v>
      </c>
      <c r="W442" s="2" t="s">
        <v>65</v>
      </c>
      <c r="Z442" s="2" t="s">
        <v>186</v>
      </c>
      <c r="AA442" s="2" t="s">
        <v>187</v>
      </c>
      <c r="AB442" s="2" t="s">
        <v>66</v>
      </c>
      <c r="AC442" s="2" t="s">
        <v>67</v>
      </c>
    </row>
    <row r="443" spans="1:29" hidden="1" x14ac:dyDescent="0.25">
      <c r="A443" t="s">
        <v>107</v>
      </c>
      <c r="B443" t="s">
        <v>69</v>
      </c>
      <c r="C443" t="s">
        <v>8</v>
      </c>
      <c r="D443" t="s">
        <v>15</v>
      </c>
      <c r="E443" t="s">
        <v>217</v>
      </c>
      <c r="F443" t="s">
        <v>218</v>
      </c>
      <c r="G443" s="2" t="s">
        <v>8</v>
      </c>
      <c r="H443" t="s">
        <v>64</v>
      </c>
      <c r="I443" s="34" t="s">
        <v>297</v>
      </c>
      <c r="J443" s="2" t="s">
        <v>298</v>
      </c>
      <c r="K443" t="s">
        <v>299</v>
      </c>
      <c r="L443" t="s">
        <v>218</v>
      </c>
      <c r="M443" s="2" t="s">
        <v>78</v>
      </c>
      <c r="N443" t="s">
        <v>164</v>
      </c>
      <c r="O443" t="s">
        <v>140</v>
      </c>
      <c r="P443" s="2" t="s">
        <v>20</v>
      </c>
      <c r="Q443" t="s">
        <v>64</v>
      </c>
      <c r="R443" t="s">
        <v>64</v>
      </c>
      <c r="S443" s="85" t="s">
        <v>94</v>
      </c>
      <c r="T443" t="s">
        <v>300</v>
      </c>
      <c r="U443" t="s">
        <v>301</v>
      </c>
      <c r="V443" s="2" t="s">
        <v>302</v>
      </c>
      <c r="W443" s="2" t="s">
        <v>65</v>
      </c>
      <c r="Z443" s="2" t="s">
        <v>186</v>
      </c>
      <c r="AA443" s="2" t="s">
        <v>187</v>
      </c>
      <c r="AB443" s="2" t="s">
        <v>66</v>
      </c>
      <c r="AC443" s="2" t="s">
        <v>67</v>
      </c>
    </row>
    <row r="444" spans="1:29" hidden="1" x14ac:dyDescent="0.25">
      <c r="A444" t="s">
        <v>107</v>
      </c>
      <c r="B444" t="s">
        <v>69</v>
      </c>
      <c r="C444" t="s">
        <v>8</v>
      </c>
      <c r="D444" t="s">
        <v>15</v>
      </c>
      <c r="E444" t="s">
        <v>217</v>
      </c>
      <c r="F444" t="s">
        <v>218</v>
      </c>
      <c r="G444" s="2" t="s">
        <v>8</v>
      </c>
      <c r="H444" t="s">
        <v>64</v>
      </c>
      <c r="I444" s="34" t="s">
        <v>297</v>
      </c>
      <c r="J444" s="2" t="s">
        <v>298</v>
      </c>
      <c r="K444" t="s">
        <v>299</v>
      </c>
      <c r="L444" t="s">
        <v>218</v>
      </c>
      <c r="M444" s="2" t="s">
        <v>78</v>
      </c>
      <c r="N444" t="s">
        <v>164</v>
      </c>
      <c r="O444" t="s">
        <v>141</v>
      </c>
      <c r="P444" s="2" t="s">
        <v>81</v>
      </c>
      <c r="Q444" t="s">
        <v>64</v>
      </c>
      <c r="R444" t="s">
        <v>64</v>
      </c>
      <c r="S444" s="85" t="s">
        <v>94</v>
      </c>
      <c r="T444" t="s">
        <v>300</v>
      </c>
      <c r="U444" t="s">
        <v>301</v>
      </c>
      <c r="V444" s="2" t="s">
        <v>302</v>
      </c>
      <c r="W444" s="2" t="s">
        <v>65</v>
      </c>
      <c r="Z444" s="2" t="s">
        <v>186</v>
      </c>
      <c r="AA444" s="2" t="s">
        <v>187</v>
      </c>
      <c r="AB444" s="2" t="s">
        <v>66</v>
      </c>
      <c r="AC444" s="2" t="s">
        <v>67</v>
      </c>
    </row>
    <row r="445" spans="1:29" hidden="1" x14ac:dyDescent="0.25">
      <c r="A445" t="s">
        <v>107</v>
      </c>
      <c r="B445" t="s">
        <v>69</v>
      </c>
      <c r="C445" t="s">
        <v>8</v>
      </c>
      <c r="D445" t="s">
        <v>15</v>
      </c>
      <c r="E445" t="s">
        <v>217</v>
      </c>
      <c r="F445" t="s">
        <v>218</v>
      </c>
      <c r="G445" s="2" t="s">
        <v>8</v>
      </c>
      <c r="H445" t="s">
        <v>64</v>
      </c>
      <c r="I445" s="34" t="s">
        <v>297</v>
      </c>
      <c r="J445" s="2" t="s">
        <v>298</v>
      </c>
      <c r="K445" t="s">
        <v>299</v>
      </c>
      <c r="L445" t="s">
        <v>218</v>
      </c>
      <c r="M445" s="2" t="s">
        <v>78</v>
      </c>
      <c r="N445" t="s">
        <v>164</v>
      </c>
      <c r="O445" t="s">
        <v>142</v>
      </c>
      <c r="P445" s="2" t="s">
        <v>81</v>
      </c>
      <c r="Q445" t="s">
        <v>64</v>
      </c>
      <c r="R445" t="s">
        <v>64</v>
      </c>
      <c r="S445" s="85" t="s">
        <v>94</v>
      </c>
      <c r="T445" t="s">
        <v>300</v>
      </c>
      <c r="U445" t="s">
        <v>301</v>
      </c>
      <c r="V445" s="2" t="s">
        <v>302</v>
      </c>
      <c r="W445" s="2" t="s">
        <v>65</v>
      </c>
      <c r="Z445" s="2" t="s">
        <v>186</v>
      </c>
      <c r="AA445" s="2" t="s">
        <v>187</v>
      </c>
      <c r="AB445" s="2" t="s">
        <v>66</v>
      </c>
      <c r="AC445" s="2" t="s">
        <v>67</v>
      </c>
    </row>
    <row r="446" spans="1:29" hidden="1" x14ac:dyDescent="0.25">
      <c r="A446" t="s">
        <v>107</v>
      </c>
      <c r="B446" t="s">
        <v>69</v>
      </c>
      <c r="C446" t="s">
        <v>8</v>
      </c>
      <c r="D446" t="s">
        <v>15</v>
      </c>
      <c r="E446" t="s">
        <v>217</v>
      </c>
      <c r="F446" t="s">
        <v>218</v>
      </c>
      <c r="G446" s="2" t="s">
        <v>8</v>
      </c>
      <c r="H446" t="s">
        <v>64</v>
      </c>
      <c r="I446" s="34" t="s">
        <v>297</v>
      </c>
      <c r="J446" s="2" t="s">
        <v>298</v>
      </c>
      <c r="K446" t="s">
        <v>299</v>
      </c>
      <c r="L446" t="s">
        <v>218</v>
      </c>
      <c r="M446" s="2" t="s">
        <v>78</v>
      </c>
      <c r="N446" t="s">
        <v>164</v>
      </c>
      <c r="O446" t="s">
        <v>143</v>
      </c>
      <c r="P446" s="2" t="s">
        <v>81</v>
      </c>
      <c r="Q446" t="s">
        <v>64</v>
      </c>
      <c r="R446" t="s">
        <v>64</v>
      </c>
      <c r="S446" s="85" t="s">
        <v>94</v>
      </c>
      <c r="T446" t="s">
        <v>300</v>
      </c>
      <c r="U446" t="s">
        <v>301</v>
      </c>
      <c r="V446" s="2" t="s">
        <v>302</v>
      </c>
      <c r="W446" s="2" t="s">
        <v>65</v>
      </c>
      <c r="Z446" s="2" t="s">
        <v>186</v>
      </c>
      <c r="AA446" s="2" t="s">
        <v>187</v>
      </c>
      <c r="AB446" s="2" t="s">
        <v>66</v>
      </c>
      <c r="AC446" s="2" t="s">
        <v>67</v>
      </c>
    </row>
    <row r="447" spans="1:29" hidden="1" x14ac:dyDescent="0.25">
      <c r="A447" t="s">
        <v>107</v>
      </c>
      <c r="B447" t="s">
        <v>69</v>
      </c>
      <c r="C447" t="s">
        <v>8</v>
      </c>
      <c r="D447" t="s">
        <v>15</v>
      </c>
      <c r="E447" t="s">
        <v>217</v>
      </c>
      <c r="F447" t="s">
        <v>218</v>
      </c>
      <c r="G447" s="2" t="s">
        <v>8</v>
      </c>
      <c r="H447" t="s">
        <v>64</v>
      </c>
      <c r="I447" s="34" t="s">
        <v>297</v>
      </c>
      <c r="J447" s="2" t="s">
        <v>298</v>
      </c>
      <c r="K447" t="s">
        <v>299</v>
      </c>
      <c r="L447" t="s">
        <v>218</v>
      </c>
      <c r="M447" s="2" t="s">
        <v>78</v>
      </c>
      <c r="N447" t="s">
        <v>164</v>
      </c>
      <c r="O447" t="s">
        <v>144</v>
      </c>
      <c r="P447" s="2" t="s">
        <v>20</v>
      </c>
      <c r="Q447" t="s">
        <v>64</v>
      </c>
      <c r="R447" t="s">
        <v>64</v>
      </c>
      <c r="S447" s="85" t="s">
        <v>94</v>
      </c>
      <c r="T447" t="s">
        <v>300</v>
      </c>
      <c r="U447" t="s">
        <v>301</v>
      </c>
      <c r="V447" s="2" t="s">
        <v>302</v>
      </c>
      <c r="W447" s="2" t="s">
        <v>65</v>
      </c>
      <c r="Z447" s="2" t="s">
        <v>186</v>
      </c>
      <c r="AA447" s="2" t="s">
        <v>187</v>
      </c>
      <c r="AB447" s="2" t="s">
        <v>66</v>
      </c>
      <c r="AC447" s="2" t="s">
        <v>67</v>
      </c>
    </row>
    <row r="448" spans="1:29" hidden="1" x14ac:dyDescent="0.25">
      <c r="A448" t="s">
        <v>107</v>
      </c>
      <c r="B448" t="s">
        <v>69</v>
      </c>
      <c r="C448" t="s">
        <v>8</v>
      </c>
      <c r="D448" t="s">
        <v>15</v>
      </c>
      <c r="E448" t="s">
        <v>217</v>
      </c>
      <c r="F448" t="s">
        <v>218</v>
      </c>
      <c r="G448" s="2" t="s">
        <v>8</v>
      </c>
      <c r="H448" t="s">
        <v>64</v>
      </c>
      <c r="I448" s="34" t="s">
        <v>297</v>
      </c>
      <c r="J448" s="2" t="s">
        <v>298</v>
      </c>
      <c r="K448" t="s">
        <v>299</v>
      </c>
      <c r="L448" t="s">
        <v>218</v>
      </c>
      <c r="M448" s="2" t="s">
        <v>78</v>
      </c>
      <c r="N448" t="s">
        <v>164</v>
      </c>
      <c r="O448" t="s">
        <v>145</v>
      </c>
      <c r="P448" s="2" t="s">
        <v>81</v>
      </c>
      <c r="Q448" t="s">
        <v>64</v>
      </c>
      <c r="R448" t="s">
        <v>64</v>
      </c>
      <c r="S448" s="85" t="s">
        <v>94</v>
      </c>
      <c r="T448" t="s">
        <v>300</v>
      </c>
      <c r="U448" t="s">
        <v>301</v>
      </c>
      <c r="V448" s="2" t="s">
        <v>302</v>
      </c>
      <c r="W448" s="2" t="s">
        <v>65</v>
      </c>
      <c r="Z448" s="2" t="s">
        <v>186</v>
      </c>
      <c r="AA448" s="2" t="s">
        <v>187</v>
      </c>
      <c r="AB448" s="2" t="s">
        <v>66</v>
      </c>
      <c r="AC448" s="2" t="s">
        <v>67</v>
      </c>
    </row>
    <row r="449" spans="1:29" hidden="1" x14ac:dyDescent="0.25">
      <c r="A449" t="s">
        <v>107</v>
      </c>
      <c r="B449" t="s">
        <v>69</v>
      </c>
      <c r="C449" t="s">
        <v>8</v>
      </c>
      <c r="D449" t="s">
        <v>15</v>
      </c>
      <c r="E449" t="s">
        <v>217</v>
      </c>
      <c r="F449" t="s">
        <v>218</v>
      </c>
      <c r="G449" s="2" t="s">
        <v>8</v>
      </c>
      <c r="H449" t="s">
        <v>64</v>
      </c>
      <c r="I449" s="34" t="s">
        <v>297</v>
      </c>
      <c r="J449" s="2" t="s">
        <v>298</v>
      </c>
      <c r="K449" t="s">
        <v>299</v>
      </c>
      <c r="L449" t="s">
        <v>218</v>
      </c>
      <c r="M449" s="2" t="s">
        <v>78</v>
      </c>
      <c r="N449" t="s">
        <v>164</v>
      </c>
      <c r="O449" t="s">
        <v>146</v>
      </c>
      <c r="P449" s="2" t="s">
        <v>81</v>
      </c>
      <c r="Q449" t="s">
        <v>64</v>
      </c>
      <c r="R449" t="s">
        <v>64</v>
      </c>
      <c r="S449" s="85" t="s">
        <v>94</v>
      </c>
      <c r="T449" t="s">
        <v>300</v>
      </c>
      <c r="U449" t="s">
        <v>301</v>
      </c>
      <c r="V449" s="2" t="s">
        <v>302</v>
      </c>
      <c r="W449" s="2" t="s">
        <v>65</v>
      </c>
      <c r="Z449" s="2" t="s">
        <v>186</v>
      </c>
      <c r="AA449" s="2" t="s">
        <v>187</v>
      </c>
      <c r="AB449" s="2" t="s">
        <v>66</v>
      </c>
      <c r="AC449" s="2" t="s">
        <v>67</v>
      </c>
    </row>
    <row r="450" spans="1:29" hidden="1" x14ac:dyDescent="0.25">
      <c r="A450" t="s">
        <v>107</v>
      </c>
      <c r="B450" t="s">
        <v>69</v>
      </c>
      <c r="C450" t="s">
        <v>8</v>
      </c>
      <c r="D450" t="s">
        <v>15</v>
      </c>
      <c r="E450" t="s">
        <v>217</v>
      </c>
      <c r="F450" t="s">
        <v>218</v>
      </c>
      <c r="G450" s="2" t="s">
        <v>8</v>
      </c>
      <c r="H450" t="s">
        <v>64</v>
      </c>
      <c r="I450" s="34" t="s">
        <v>297</v>
      </c>
      <c r="J450" s="2" t="s">
        <v>298</v>
      </c>
      <c r="K450" t="s">
        <v>299</v>
      </c>
      <c r="L450" t="s">
        <v>218</v>
      </c>
      <c r="M450" s="2" t="s">
        <v>78</v>
      </c>
      <c r="N450" t="s">
        <v>164</v>
      </c>
      <c r="O450" t="s">
        <v>152</v>
      </c>
      <c r="P450" s="2" t="s">
        <v>188</v>
      </c>
      <c r="Q450" t="s">
        <v>64</v>
      </c>
      <c r="R450" t="s">
        <v>64</v>
      </c>
      <c r="S450" s="85" t="s">
        <v>94</v>
      </c>
      <c r="T450" t="s">
        <v>300</v>
      </c>
      <c r="U450" t="s">
        <v>301</v>
      </c>
      <c r="V450" s="2" t="s">
        <v>302</v>
      </c>
      <c r="W450" s="2" t="s">
        <v>65</v>
      </c>
      <c r="Z450" s="2" t="s">
        <v>186</v>
      </c>
      <c r="AA450" s="2" t="s">
        <v>187</v>
      </c>
      <c r="AB450" s="2" t="s">
        <v>66</v>
      </c>
      <c r="AC450" s="2" t="s">
        <v>67</v>
      </c>
    </row>
    <row r="451" spans="1:29" hidden="1" x14ac:dyDescent="0.25">
      <c r="A451" t="s">
        <v>107</v>
      </c>
      <c r="B451" t="s">
        <v>69</v>
      </c>
      <c r="C451" t="s">
        <v>8</v>
      </c>
      <c r="D451" t="s">
        <v>15</v>
      </c>
      <c r="E451" t="s">
        <v>217</v>
      </c>
      <c r="F451" t="s">
        <v>218</v>
      </c>
      <c r="G451" s="2" t="s">
        <v>8</v>
      </c>
      <c r="H451" t="s">
        <v>64</v>
      </c>
      <c r="I451" s="34" t="s">
        <v>297</v>
      </c>
      <c r="J451" s="2" t="s">
        <v>298</v>
      </c>
      <c r="K451" t="s">
        <v>299</v>
      </c>
      <c r="L451" t="s">
        <v>218</v>
      </c>
      <c r="M451" s="2" t="s">
        <v>78</v>
      </c>
      <c r="N451" t="s">
        <v>164</v>
      </c>
      <c r="O451" t="s">
        <v>153</v>
      </c>
      <c r="P451" s="2" t="s">
        <v>81</v>
      </c>
      <c r="Q451" t="s">
        <v>64</v>
      </c>
      <c r="R451" t="s">
        <v>64</v>
      </c>
      <c r="S451" s="85" t="s">
        <v>94</v>
      </c>
      <c r="T451" t="s">
        <v>300</v>
      </c>
      <c r="U451" t="s">
        <v>301</v>
      </c>
      <c r="V451" s="2" t="s">
        <v>302</v>
      </c>
      <c r="W451" s="2" t="s">
        <v>65</v>
      </c>
      <c r="Z451" s="2" t="s">
        <v>186</v>
      </c>
      <c r="AA451" s="2" t="s">
        <v>187</v>
      </c>
      <c r="AB451" s="2" t="s">
        <v>66</v>
      </c>
      <c r="AC451" s="2" t="s">
        <v>67</v>
      </c>
    </row>
    <row r="452" spans="1:29" hidden="1" x14ac:dyDescent="0.25">
      <c r="A452" t="s">
        <v>107</v>
      </c>
      <c r="B452" t="s">
        <v>69</v>
      </c>
      <c r="C452" t="s">
        <v>8</v>
      </c>
      <c r="D452" t="s">
        <v>15</v>
      </c>
      <c r="E452" t="s">
        <v>217</v>
      </c>
      <c r="F452" t="s">
        <v>218</v>
      </c>
      <c r="G452" s="2" t="s">
        <v>8</v>
      </c>
      <c r="H452" t="s">
        <v>64</v>
      </c>
      <c r="I452" s="34" t="s">
        <v>297</v>
      </c>
      <c r="J452" s="2" t="s">
        <v>298</v>
      </c>
      <c r="K452" t="s">
        <v>299</v>
      </c>
      <c r="L452" t="s">
        <v>218</v>
      </c>
      <c r="M452" s="2" t="s">
        <v>78</v>
      </c>
      <c r="N452" t="s">
        <v>164</v>
      </c>
      <c r="O452" t="s">
        <v>154</v>
      </c>
      <c r="P452" s="2" t="s">
        <v>20</v>
      </c>
      <c r="Q452" t="s">
        <v>64</v>
      </c>
      <c r="R452" t="s">
        <v>64</v>
      </c>
      <c r="S452" s="85" t="s">
        <v>94</v>
      </c>
      <c r="T452" t="s">
        <v>300</v>
      </c>
      <c r="U452" t="s">
        <v>301</v>
      </c>
      <c r="V452" s="2" t="s">
        <v>302</v>
      </c>
      <c r="W452" s="2" t="s">
        <v>65</v>
      </c>
      <c r="Z452" s="2" t="s">
        <v>186</v>
      </c>
      <c r="AA452" s="2" t="s">
        <v>187</v>
      </c>
      <c r="AB452" s="2" t="s">
        <v>66</v>
      </c>
      <c r="AC452" s="2" t="s">
        <v>67</v>
      </c>
    </row>
    <row r="453" spans="1:29" hidden="1" x14ac:dyDescent="0.25">
      <c r="A453" t="s">
        <v>107</v>
      </c>
      <c r="B453" t="s">
        <v>69</v>
      </c>
      <c r="C453" t="s">
        <v>8</v>
      </c>
      <c r="D453" t="s">
        <v>15</v>
      </c>
      <c r="E453" t="s">
        <v>217</v>
      </c>
      <c r="F453" t="s">
        <v>218</v>
      </c>
      <c r="G453" s="2" t="s">
        <v>8</v>
      </c>
      <c r="H453" t="s">
        <v>64</v>
      </c>
      <c r="I453" s="34" t="s">
        <v>297</v>
      </c>
      <c r="J453" s="2" t="s">
        <v>298</v>
      </c>
      <c r="K453" t="s">
        <v>299</v>
      </c>
      <c r="L453" t="s">
        <v>218</v>
      </c>
      <c r="M453" s="2" t="s">
        <v>78</v>
      </c>
      <c r="N453" t="s">
        <v>164</v>
      </c>
      <c r="O453" t="s">
        <v>155</v>
      </c>
      <c r="P453" s="2" t="s">
        <v>81</v>
      </c>
      <c r="Q453" t="s">
        <v>64</v>
      </c>
      <c r="R453" t="s">
        <v>64</v>
      </c>
      <c r="S453" s="85" t="s">
        <v>94</v>
      </c>
      <c r="T453" t="s">
        <v>300</v>
      </c>
      <c r="U453" t="s">
        <v>301</v>
      </c>
      <c r="V453" s="2" t="s">
        <v>302</v>
      </c>
      <c r="W453" s="2" t="s">
        <v>65</v>
      </c>
      <c r="Z453" s="2" t="s">
        <v>186</v>
      </c>
      <c r="AA453" s="2" t="s">
        <v>187</v>
      </c>
      <c r="AB453" s="2" t="s">
        <v>66</v>
      </c>
      <c r="AC453" s="2" t="s">
        <v>67</v>
      </c>
    </row>
    <row r="454" spans="1:29" hidden="1" x14ac:dyDescent="0.25">
      <c r="A454" t="s">
        <v>107</v>
      </c>
      <c r="B454" t="s">
        <v>69</v>
      </c>
      <c r="C454" t="s">
        <v>8</v>
      </c>
      <c r="D454" t="s">
        <v>15</v>
      </c>
      <c r="E454" t="s">
        <v>217</v>
      </c>
      <c r="F454" t="s">
        <v>218</v>
      </c>
      <c r="G454" s="2" t="s">
        <v>8</v>
      </c>
      <c r="H454" t="s">
        <v>64</v>
      </c>
      <c r="I454" s="34" t="s">
        <v>297</v>
      </c>
      <c r="J454" s="2" t="s">
        <v>298</v>
      </c>
      <c r="K454" t="s">
        <v>299</v>
      </c>
      <c r="L454" t="s">
        <v>218</v>
      </c>
      <c r="M454" s="2" t="s">
        <v>78</v>
      </c>
      <c r="N454" t="s">
        <v>164</v>
      </c>
      <c r="O454" t="s">
        <v>156</v>
      </c>
      <c r="P454" s="2" t="s">
        <v>81</v>
      </c>
      <c r="Q454" t="s">
        <v>64</v>
      </c>
      <c r="R454" t="s">
        <v>64</v>
      </c>
      <c r="S454" s="85" t="s">
        <v>94</v>
      </c>
      <c r="T454" t="s">
        <v>300</v>
      </c>
      <c r="U454" t="s">
        <v>301</v>
      </c>
      <c r="V454" s="2" t="s">
        <v>302</v>
      </c>
      <c r="W454" s="2" t="s">
        <v>65</v>
      </c>
      <c r="Z454" s="2" t="s">
        <v>186</v>
      </c>
      <c r="AA454" s="2" t="s">
        <v>187</v>
      </c>
      <c r="AB454" s="2" t="s">
        <v>66</v>
      </c>
      <c r="AC454" s="2" t="s">
        <v>67</v>
      </c>
    </row>
    <row r="455" spans="1:29" hidden="1" x14ac:dyDescent="0.25">
      <c r="A455" t="s">
        <v>107</v>
      </c>
      <c r="B455" t="s">
        <v>69</v>
      </c>
      <c r="C455" t="s">
        <v>8</v>
      </c>
      <c r="D455" t="s">
        <v>15</v>
      </c>
      <c r="E455" t="s">
        <v>217</v>
      </c>
      <c r="F455" t="s">
        <v>218</v>
      </c>
      <c r="G455" s="2" t="s">
        <v>8</v>
      </c>
      <c r="H455" t="s">
        <v>64</v>
      </c>
      <c r="I455" s="34" t="s">
        <v>297</v>
      </c>
      <c r="J455" s="2" t="s">
        <v>298</v>
      </c>
      <c r="K455" t="s">
        <v>299</v>
      </c>
      <c r="L455" t="s">
        <v>218</v>
      </c>
      <c r="M455" s="2" t="s">
        <v>78</v>
      </c>
      <c r="N455" t="s">
        <v>164</v>
      </c>
      <c r="O455" t="s">
        <v>157</v>
      </c>
      <c r="P455" s="2" t="s">
        <v>20</v>
      </c>
      <c r="Q455" t="s">
        <v>64</v>
      </c>
      <c r="R455" t="s">
        <v>64</v>
      </c>
      <c r="S455" s="85" t="s">
        <v>94</v>
      </c>
      <c r="T455" t="s">
        <v>300</v>
      </c>
      <c r="U455" t="s">
        <v>301</v>
      </c>
      <c r="V455" s="2" t="s">
        <v>302</v>
      </c>
      <c r="W455" s="2" t="s">
        <v>65</v>
      </c>
      <c r="Z455" s="2" t="s">
        <v>186</v>
      </c>
      <c r="AA455" s="2" t="s">
        <v>187</v>
      </c>
      <c r="AB455" s="2" t="s">
        <v>66</v>
      </c>
      <c r="AC455" s="2" t="s">
        <v>67</v>
      </c>
    </row>
    <row r="456" spans="1:29" hidden="1" x14ac:dyDescent="0.25">
      <c r="A456" t="s">
        <v>107</v>
      </c>
      <c r="B456" t="s">
        <v>69</v>
      </c>
      <c r="C456" t="s">
        <v>8</v>
      </c>
      <c r="D456" t="s">
        <v>15</v>
      </c>
      <c r="E456" t="s">
        <v>217</v>
      </c>
      <c r="F456" t="s">
        <v>218</v>
      </c>
      <c r="G456" s="2" t="s">
        <v>8</v>
      </c>
      <c r="H456" t="s">
        <v>64</v>
      </c>
      <c r="I456" s="34" t="s">
        <v>297</v>
      </c>
      <c r="J456" s="2" t="s">
        <v>298</v>
      </c>
      <c r="K456" t="s">
        <v>299</v>
      </c>
      <c r="L456" t="s">
        <v>218</v>
      </c>
      <c r="M456" s="2" t="s">
        <v>78</v>
      </c>
      <c r="N456" t="s">
        <v>164</v>
      </c>
      <c r="O456" t="s">
        <v>158</v>
      </c>
      <c r="P456" s="2" t="s">
        <v>303</v>
      </c>
      <c r="Q456" t="s">
        <v>64</v>
      </c>
      <c r="R456" t="s">
        <v>64</v>
      </c>
      <c r="S456" s="85" t="s">
        <v>94</v>
      </c>
      <c r="T456" t="s">
        <v>300</v>
      </c>
      <c r="U456" t="s">
        <v>301</v>
      </c>
      <c r="V456" s="2" t="s">
        <v>302</v>
      </c>
      <c r="W456" s="2" t="s">
        <v>65</v>
      </c>
      <c r="Z456" s="2" t="s">
        <v>186</v>
      </c>
      <c r="AA456" s="2" t="s">
        <v>187</v>
      </c>
      <c r="AB456" s="2" t="s">
        <v>66</v>
      </c>
      <c r="AC456" s="2" t="s">
        <v>67</v>
      </c>
    </row>
    <row r="457" spans="1:29" x14ac:dyDescent="0.25">
      <c r="A457" t="s">
        <v>107</v>
      </c>
      <c r="B457" t="s">
        <v>111</v>
      </c>
      <c r="C457" t="s">
        <v>112</v>
      </c>
      <c r="D457" t="s">
        <v>15</v>
      </c>
      <c r="E457" t="s">
        <v>122</v>
      </c>
      <c r="F457" t="s">
        <v>122</v>
      </c>
      <c r="G457" s="2" t="s">
        <v>112</v>
      </c>
      <c r="H457" t="s">
        <v>64</v>
      </c>
      <c r="I457" s="34" t="s">
        <v>304</v>
      </c>
      <c r="J457" s="2" t="s">
        <v>305</v>
      </c>
      <c r="K457" t="s">
        <v>64</v>
      </c>
      <c r="L457" t="s">
        <v>123</v>
      </c>
      <c r="M457" s="2" t="s">
        <v>306</v>
      </c>
      <c r="N457" t="s">
        <v>164</v>
      </c>
      <c r="O457" t="s">
        <v>133</v>
      </c>
      <c r="P457" s="2" t="s">
        <v>81</v>
      </c>
      <c r="Q457" t="s">
        <v>64</v>
      </c>
      <c r="R457" t="s">
        <v>64</v>
      </c>
      <c r="S457" s="85" t="s">
        <v>307</v>
      </c>
      <c r="T457" t="s">
        <v>308</v>
      </c>
      <c r="U457" t="s">
        <v>309</v>
      </c>
      <c r="V457" s="2" t="s">
        <v>310</v>
      </c>
      <c r="W457" s="2" t="s">
        <v>65</v>
      </c>
      <c r="Z457" s="2" t="s">
        <v>116</v>
      </c>
      <c r="AA457" s="2" t="s">
        <v>117</v>
      </c>
      <c r="AB457" s="2" t="s">
        <v>66</v>
      </c>
      <c r="AC457" s="2" t="s">
        <v>67</v>
      </c>
    </row>
    <row r="458" spans="1:29" x14ac:dyDescent="0.25">
      <c r="A458" t="s">
        <v>107</v>
      </c>
      <c r="B458" t="s">
        <v>111</v>
      </c>
      <c r="C458" t="s">
        <v>112</v>
      </c>
      <c r="D458" t="s">
        <v>15</v>
      </c>
      <c r="E458" t="s">
        <v>122</v>
      </c>
      <c r="F458" t="s">
        <v>122</v>
      </c>
      <c r="G458" s="2" t="s">
        <v>112</v>
      </c>
      <c r="H458" t="s">
        <v>64</v>
      </c>
      <c r="I458" s="34" t="s">
        <v>304</v>
      </c>
      <c r="J458" s="2" t="s">
        <v>305</v>
      </c>
      <c r="K458" t="s">
        <v>64</v>
      </c>
      <c r="L458" t="s">
        <v>123</v>
      </c>
      <c r="M458" s="2" t="s">
        <v>306</v>
      </c>
      <c r="N458" t="s">
        <v>164</v>
      </c>
      <c r="O458" t="s">
        <v>97</v>
      </c>
      <c r="P458" s="2" t="s">
        <v>81</v>
      </c>
      <c r="Q458" t="s">
        <v>64</v>
      </c>
      <c r="R458" t="s">
        <v>64</v>
      </c>
      <c r="S458" s="85" t="s">
        <v>307</v>
      </c>
      <c r="T458" t="s">
        <v>308</v>
      </c>
      <c r="U458" t="s">
        <v>309</v>
      </c>
      <c r="V458" s="2" t="s">
        <v>310</v>
      </c>
      <c r="W458" s="2" t="s">
        <v>65</v>
      </c>
      <c r="Z458" s="2" t="s">
        <v>116</v>
      </c>
      <c r="AA458" s="2" t="s">
        <v>117</v>
      </c>
      <c r="AB458" s="2" t="s">
        <v>66</v>
      </c>
      <c r="AC458" s="2" t="s">
        <v>67</v>
      </c>
    </row>
    <row r="459" spans="1:29" x14ac:dyDescent="0.25">
      <c r="A459" t="s">
        <v>107</v>
      </c>
      <c r="B459" t="s">
        <v>111</v>
      </c>
      <c r="C459" t="s">
        <v>112</v>
      </c>
      <c r="D459" t="s">
        <v>15</v>
      </c>
      <c r="E459" t="s">
        <v>122</v>
      </c>
      <c r="F459" t="s">
        <v>122</v>
      </c>
      <c r="G459" s="2" t="s">
        <v>112</v>
      </c>
      <c r="H459" t="s">
        <v>64</v>
      </c>
      <c r="I459" s="34" t="s">
        <v>304</v>
      </c>
      <c r="J459" s="2" t="s">
        <v>305</v>
      </c>
      <c r="K459" t="s">
        <v>64</v>
      </c>
      <c r="L459" t="s">
        <v>123</v>
      </c>
      <c r="M459" s="2" t="s">
        <v>306</v>
      </c>
      <c r="N459" t="s">
        <v>164</v>
      </c>
      <c r="O459" t="s">
        <v>98</v>
      </c>
      <c r="P459" s="2" t="s">
        <v>81</v>
      </c>
      <c r="Q459" t="s">
        <v>64</v>
      </c>
      <c r="R459" t="s">
        <v>64</v>
      </c>
      <c r="S459" s="85" t="s">
        <v>307</v>
      </c>
      <c r="T459" t="s">
        <v>308</v>
      </c>
      <c r="U459" t="s">
        <v>309</v>
      </c>
      <c r="V459" s="2" t="s">
        <v>310</v>
      </c>
      <c r="W459" s="2" t="s">
        <v>65</v>
      </c>
      <c r="Z459" s="2" t="s">
        <v>116</v>
      </c>
      <c r="AA459" s="2" t="s">
        <v>117</v>
      </c>
      <c r="AB459" s="2" t="s">
        <v>66</v>
      </c>
      <c r="AC459" s="2" t="s">
        <v>67</v>
      </c>
    </row>
    <row r="460" spans="1:29" x14ac:dyDescent="0.25">
      <c r="A460" t="s">
        <v>107</v>
      </c>
      <c r="B460" t="s">
        <v>111</v>
      </c>
      <c r="C460" t="s">
        <v>112</v>
      </c>
      <c r="D460" t="s">
        <v>15</v>
      </c>
      <c r="E460" t="s">
        <v>122</v>
      </c>
      <c r="F460" t="s">
        <v>122</v>
      </c>
      <c r="G460" s="2" t="s">
        <v>112</v>
      </c>
      <c r="H460" t="s">
        <v>64</v>
      </c>
      <c r="I460" s="34" t="s">
        <v>304</v>
      </c>
      <c r="J460" s="2" t="s">
        <v>305</v>
      </c>
      <c r="K460" t="s">
        <v>64</v>
      </c>
      <c r="L460" t="s">
        <v>123</v>
      </c>
      <c r="M460" s="2" t="s">
        <v>306</v>
      </c>
      <c r="N460" t="s">
        <v>164</v>
      </c>
      <c r="O460" t="s">
        <v>134</v>
      </c>
      <c r="P460" s="2" t="s">
        <v>81</v>
      </c>
      <c r="Q460" t="s">
        <v>64</v>
      </c>
      <c r="R460" t="s">
        <v>64</v>
      </c>
      <c r="S460" s="85" t="s">
        <v>307</v>
      </c>
      <c r="T460" t="s">
        <v>308</v>
      </c>
      <c r="U460" t="s">
        <v>309</v>
      </c>
      <c r="V460" s="2" t="s">
        <v>310</v>
      </c>
      <c r="W460" s="2" t="s">
        <v>65</v>
      </c>
      <c r="Z460" s="2" t="s">
        <v>116</v>
      </c>
      <c r="AA460" s="2" t="s">
        <v>117</v>
      </c>
      <c r="AB460" s="2" t="s">
        <v>66</v>
      </c>
      <c r="AC460" s="2" t="s">
        <v>67</v>
      </c>
    </row>
    <row r="461" spans="1:29" x14ac:dyDescent="0.25">
      <c r="A461" t="s">
        <v>107</v>
      </c>
      <c r="B461" t="s">
        <v>111</v>
      </c>
      <c r="C461" t="s">
        <v>112</v>
      </c>
      <c r="D461" t="s">
        <v>15</v>
      </c>
      <c r="E461" t="s">
        <v>122</v>
      </c>
      <c r="F461" t="s">
        <v>122</v>
      </c>
      <c r="G461" s="2" t="s">
        <v>112</v>
      </c>
      <c r="H461" t="s">
        <v>64</v>
      </c>
      <c r="I461" s="34" t="s">
        <v>304</v>
      </c>
      <c r="J461" s="2" t="s">
        <v>305</v>
      </c>
      <c r="K461" t="s">
        <v>64</v>
      </c>
      <c r="L461" t="s">
        <v>123</v>
      </c>
      <c r="M461" s="2" t="s">
        <v>306</v>
      </c>
      <c r="N461" t="s">
        <v>164</v>
      </c>
      <c r="O461" t="s">
        <v>35</v>
      </c>
      <c r="P461" s="2" t="s">
        <v>81</v>
      </c>
      <c r="Q461" t="s">
        <v>64</v>
      </c>
      <c r="R461" t="s">
        <v>64</v>
      </c>
      <c r="S461" s="85" t="s">
        <v>307</v>
      </c>
      <c r="T461" t="s">
        <v>308</v>
      </c>
      <c r="U461" t="s">
        <v>309</v>
      </c>
      <c r="V461" s="2" t="s">
        <v>310</v>
      </c>
      <c r="W461" s="2" t="s">
        <v>65</v>
      </c>
      <c r="Z461" s="2" t="s">
        <v>116</v>
      </c>
      <c r="AA461" s="2" t="s">
        <v>117</v>
      </c>
      <c r="AB461" s="2" t="s">
        <v>66</v>
      </c>
      <c r="AC461" s="2" t="s">
        <v>67</v>
      </c>
    </row>
    <row r="462" spans="1:29" x14ac:dyDescent="0.25">
      <c r="A462" t="s">
        <v>107</v>
      </c>
      <c r="B462" t="s">
        <v>111</v>
      </c>
      <c r="C462" t="s">
        <v>112</v>
      </c>
      <c r="D462" t="s">
        <v>15</v>
      </c>
      <c r="E462" t="s">
        <v>122</v>
      </c>
      <c r="F462" t="s">
        <v>122</v>
      </c>
      <c r="G462" s="2" t="s">
        <v>112</v>
      </c>
      <c r="H462" t="s">
        <v>64</v>
      </c>
      <c r="I462" s="34" t="s">
        <v>304</v>
      </c>
      <c r="J462" s="2" t="s">
        <v>305</v>
      </c>
      <c r="K462" t="s">
        <v>64</v>
      </c>
      <c r="L462" t="s">
        <v>123</v>
      </c>
      <c r="M462" s="2" t="s">
        <v>306</v>
      </c>
      <c r="N462" t="s">
        <v>164</v>
      </c>
      <c r="O462" t="s">
        <v>135</v>
      </c>
      <c r="P462" s="2" t="s">
        <v>81</v>
      </c>
      <c r="Q462" t="s">
        <v>64</v>
      </c>
      <c r="R462" t="s">
        <v>64</v>
      </c>
      <c r="S462" s="85" t="s">
        <v>307</v>
      </c>
      <c r="T462" t="s">
        <v>308</v>
      </c>
      <c r="U462" t="s">
        <v>309</v>
      </c>
      <c r="V462" s="2" t="s">
        <v>310</v>
      </c>
      <c r="W462" s="2" t="s">
        <v>65</v>
      </c>
      <c r="Z462" s="2" t="s">
        <v>116</v>
      </c>
      <c r="AA462" s="2" t="s">
        <v>117</v>
      </c>
      <c r="AB462" s="2" t="s">
        <v>66</v>
      </c>
      <c r="AC462" s="2" t="s">
        <v>67</v>
      </c>
    </row>
    <row r="463" spans="1:29" x14ac:dyDescent="0.25">
      <c r="A463" t="s">
        <v>107</v>
      </c>
      <c r="B463" t="s">
        <v>111</v>
      </c>
      <c r="C463" t="s">
        <v>112</v>
      </c>
      <c r="D463" t="s">
        <v>15</v>
      </c>
      <c r="E463" t="s">
        <v>122</v>
      </c>
      <c r="F463" t="s">
        <v>122</v>
      </c>
      <c r="G463" s="2" t="s">
        <v>112</v>
      </c>
      <c r="H463" t="s">
        <v>64</v>
      </c>
      <c r="I463" s="34" t="s">
        <v>304</v>
      </c>
      <c r="J463" s="2" t="s">
        <v>305</v>
      </c>
      <c r="K463" t="s">
        <v>64</v>
      </c>
      <c r="L463" t="s">
        <v>123</v>
      </c>
      <c r="M463" s="2" t="s">
        <v>306</v>
      </c>
      <c r="N463" t="s">
        <v>164</v>
      </c>
      <c r="O463" t="s">
        <v>99</v>
      </c>
      <c r="P463" s="2" t="s">
        <v>81</v>
      </c>
      <c r="Q463" t="s">
        <v>64</v>
      </c>
      <c r="R463" t="s">
        <v>64</v>
      </c>
      <c r="S463" s="85" t="s">
        <v>307</v>
      </c>
      <c r="T463" t="s">
        <v>308</v>
      </c>
      <c r="U463" t="s">
        <v>309</v>
      </c>
      <c r="V463" s="2" t="s">
        <v>310</v>
      </c>
      <c r="W463" s="2" t="s">
        <v>65</v>
      </c>
      <c r="Z463" s="2" t="s">
        <v>116</v>
      </c>
      <c r="AA463" s="2" t="s">
        <v>117</v>
      </c>
      <c r="AB463" s="2" t="s">
        <v>66</v>
      </c>
      <c r="AC463" s="2" t="s">
        <v>67</v>
      </c>
    </row>
    <row r="464" spans="1:29" x14ac:dyDescent="0.25">
      <c r="A464" t="s">
        <v>107</v>
      </c>
      <c r="B464" t="s">
        <v>111</v>
      </c>
      <c r="C464" t="s">
        <v>112</v>
      </c>
      <c r="D464" t="s">
        <v>15</v>
      </c>
      <c r="E464" t="s">
        <v>122</v>
      </c>
      <c r="F464" t="s">
        <v>122</v>
      </c>
      <c r="G464" s="2" t="s">
        <v>112</v>
      </c>
      <c r="H464" t="s">
        <v>64</v>
      </c>
      <c r="I464" s="34" t="s">
        <v>304</v>
      </c>
      <c r="J464" s="2" t="s">
        <v>305</v>
      </c>
      <c r="K464" t="s">
        <v>64</v>
      </c>
      <c r="L464" t="s">
        <v>123</v>
      </c>
      <c r="M464" s="2" t="s">
        <v>306</v>
      </c>
      <c r="N464" t="s">
        <v>164</v>
      </c>
      <c r="O464" t="s">
        <v>100</v>
      </c>
      <c r="P464" s="2" t="s">
        <v>81</v>
      </c>
      <c r="Q464" t="s">
        <v>64</v>
      </c>
      <c r="R464" t="s">
        <v>64</v>
      </c>
      <c r="S464" s="85" t="s">
        <v>307</v>
      </c>
      <c r="T464" t="s">
        <v>308</v>
      </c>
      <c r="U464" t="s">
        <v>309</v>
      </c>
      <c r="V464" s="2" t="s">
        <v>310</v>
      </c>
      <c r="W464" s="2" t="s">
        <v>65</v>
      </c>
      <c r="Z464" s="2" t="s">
        <v>116</v>
      </c>
      <c r="AA464" s="2" t="s">
        <v>117</v>
      </c>
      <c r="AB464" s="2" t="s">
        <v>66</v>
      </c>
      <c r="AC464" s="2" t="s">
        <v>67</v>
      </c>
    </row>
    <row r="465" spans="1:29" x14ac:dyDescent="0.25">
      <c r="A465" t="s">
        <v>107</v>
      </c>
      <c r="B465" t="s">
        <v>111</v>
      </c>
      <c r="C465" t="s">
        <v>112</v>
      </c>
      <c r="D465" t="s">
        <v>15</v>
      </c>
      <c r="E465" t="s">
        <v>122</v>
      </c>
      <c r="F465" t="s">
        <v>122</v>
      </c>
      <c r="G465" s="2" t="s">
        <v>112</v>
      </c>
      <c r="H465" t="s">
        <v>64</v>
      </c>
      <c r="I465" s="34" t="s">
        <v>304</v>
      </c>
      <c r="J465" s="2" t="s">
        <v>305</v>
      </c>
      <c r="K465" t="s">
        <v>64</v>
      </c>
      <c r="L465" t="s">
        <v>123</v>
      </c>
      <c r="M465" s="2" t="s">
        <v>306</v>
      </c>
      <c r="N465" t="s">
        <v>164</v>
      </c>
      <c r="O465" t="s">
        <v>101</v>
      </c>
      <c r="P465" s="2" t="s">
        <v>81</v>
      </c>
      <c r="Q465" t="s">
        <v>64</v>
      </c>
      <c r="R465" t="s">
        <v>64</v>
      </c>
      <c r="S465" s="85" t="s">
        <v>307</v>
      </c>
      <c r="T465" t="s">
        <v>308</v>
      </c>
      <c r="U465" t="s">
        <v>309</v>
      </c>
      <c r="V465" s="2" t="s">
        <v>310</v>
      </c>
      <c r="W465" s="2" t="s">
        <v>65</v>
      </c>
      <c r="Z465" s="2" t="s">
        <v>116</v>
      </c>
      <c r="AA465" s="2" t="s">
        <v>117</v>
      </c>
      <c r="AB465" s="2" t="s">
        <v>66</v>
      </c>
      <c r="AC465" s="2" t="s">
        <v>67</v>
      </c>
    </row>
    <row r="466" spans="1:29" x14ac:dyDescent="0.25">
      <c r="A466" t="s">
        <v>107</v>
      </c>
      <c r="B466" t="s">
        <v>111</v>
      </c>
      <c r="C466" t="s">
        <v>112</v>
      </c>
      <c r="D466" t="s">
        <v>15</v>
      </c>
      <c r="E466" t="s">
        <v>122</v>
      </c>
      <c r="F466" t="s">
        <v>122</v>
      </c>
      <c r="G466" s="2" t="s">
        <v>112</v>
      </c>
      <c r="H466" t="s">
        <v>64</v>
      </c>
      <c r="I466" s="34" t="s">
        <v>304</v>
      </c>
      <c r="J466" s="2" t="s">
        <v>305</v>
      </c>
      <c r="K466" t="s">
        <v>64</v>
      </c>
      <c r="L466" t="s">
        <v>123</v>
      </c>
      <c r="M466" s="2" t="s">
        <v>306</v>
      </c>
      <c r="N466" t="s">
        <v>164</v>
      </c>
      <c r="O466" t="s">
        <v>102</v>
      </c>
      <c r="P466" s="2" t="s">
        <v>81</v>
      </c>
      <c r="Q466" t="s">
        <v>64</v>
      </c>
      <c r="R466" t="s">
        <v>64</v>
      </c>
      <c r="S466" s="85" t="s">
        <v>307</v>
      </c>
      <c r="T466" t="s">
        <v>308</v>
      </c>
      <c r="U466" t="s">
        <v>309</v>
      </c>
      <c r="V466" s="2" t="s">
        <v>310</v>
      </c>
      <c r="W466" s="2" t="s">
        <v>65</v>
      </c>
      <c r="Z466" s="2" t="s">
        <v>116</v>
      </c>
      <c r="AA466" s="2" t="s">
        <v>117</v>
      </c>
      <c r="AB466" s="2" t="s">
        <v>66</v>
      </c>
      <c r="AC466" s="2" t="s">
        <v>67</v>
      </c>
    </row>
    <row r="467" spans="1:29" x14ac:dyDescent="0.25">
      <c r="A467" t="s">
        <v>107</v>
      </c>
      <c r="B467" t="s">
        <v>111</v>
      </c>
      <c r="C467" t="s">
        <v>112</v>
      </c>
      <c r="D467" t="s">
        <v>15</v>
      </c>
      <c r="E467" t="s">
        <v>122</v>
      </c>
      <c r="F467" t="s">
        <v>122</v>
      </c>
      <c r="G467" s="2" t="s">
        <v>112</v>
      </c>
      <c r="H467" t="s">
        <v>64</v>
      </c>
      <c r="I467" s="34" t="s">
        <v>304</v>
      </c>
      <c r="J467" s="2" t="s">
        <v>305</v>
      </c>
      <c r="K467" t="s">
        <v>64</v>
      </c>
      <c r="L467" t="s">
        <v>123</v>
      </c>
      <c r="M467" s="2" t="s">
        <v>306</v>
      </c>
      <c r="N467" t="s">
        <v>164</v>
      </c>
      <c r="O467" t="s">
        <v>103</v>
      </c>
      <c r="P467" s="2" t="s">
        <v>81</v>
      </c>
      <c r="Q467" t="s">
        <v>64</v>
      </c>
      <c r="R467" t="s">
        <v>64</v>
      </c>
      <c r="S467" s="85" t="s">
        <v>307</v>
      </c>
      <c r="T467" t="s">
        <v>308</v>
      </c>
      <c r="U467" t="s">
        <v>309</v>
      </c>
      <c r="V467" s="2" t="s">
        <v>310</v>
      </c>
      <c r="W467" s="2" t="s">
        <v>65</v>
      </c>
      <c r="Z467" s="2" t="s">
        <v>116</v>
      </c>
      <c r="AA467" s="2" t="s">
        <v>117</v>
      </c>
      <c r="AB467" s="2" t="s">
        <v>66</v>
      </c>
      <c r="AC467" s="2" t="s">
        <v>67</v>
      </c>
    </row>
    <row r="468" spans="1:29" x14ac:dyDescent="0.25">
      <c r="A468" t="s">
        <v>107</v>
      </c>
      <c r="B468" t="s">
        <v>111</v>
      </c>
      <c r="C468" t="s">
        <v>112</v>
      </c>
      <c r="D468" t="s">
        <v>15</v>
      </c>
      <c r="E468" t="s">
        <v>122</v>
      </c>
      <c r="F468" t="s">
        <v>122</v>
      </c>
      <c r="G468" s="2" t="s">
        <v>112</v>
      </c>
      <c r="H468" t="s">
        <v>64</v>
      </c>
      <c r="I468" s="34" t="s">
        <v>304</v>
      </c>
      <c r="J468" s="2" t="s">
        <v>305</v>
      </c>
      <c r="K468" t="s">
        <v>64</v>
      </c>
      <c r="L468" t="s">
        <v>123</v>
      </c>
      <c r="M468" s="2" t="s">
        <v>306</v>
      </c>
      <c r="N468" t="s">
        <v>164</v>
      </c>
      <c r="O468" t="s">
        <v>104</v>
      </c>
      <c r="P468" s="2" t="s">
        <v>81</v>
      </c>
      <c r="Q468" t="s">
        <v>64</v>
      </c>
      <c r="R468" t="s">
        <v>64</v>
      </c>
      <c r="S468" s="85" t="s">
        <v>307</v>
      </c>
      <c r="T468" t="s">
        <v>308</v>
      </c>
      <c r="U468" t="s">
        <v>309</v>
      </c>
      <c r="V468" s="2" t="s">
        <v>310</v>
      </c>
      <c r="W468" s="2" t="s">
        <v>65</v>
      </c>
      <c r="Z468" s="2" t="s">
        <v>116</v>
      </c>
      <c r="AA468" s="2" t="s">
        <v>117</v>
      </c>
      <c r="AB468" s="2" t="s">
        <v>66</v>
      </c>
      <c r="AC468" s="2" t="s">
        <v>67</v>
      </c>
    </row>
    <row r="469" spans="1:29" x14ac:dyDescent="0.25">
      <c r="A469" t="s">
        <v>107</v>
      </c>
      <c r="B469" t="s">
        <v>111</v>
      </c>
      <c r="C469" t="s">
        <v>112</v>
      </c>
      <c r="D469" t="s">
        <v>15</v>
      </c>
      <c r="E469" t="s">
        <v>122</v>
      </c>
      <c r="F469" t="s">
        <v>122</v>
      </c>
      <c r="G469" s="2" t="s">
        <v>112</v>
      </c>
      <c r="H469" t="s">
        <v>64</v>
      </c>
      <c r="I469" s="34" t="s">
        <v>304</v>
      </c>
      <c r="J469" s="2" t="s">
        <v>305</v>
      </c>
      <c r="K469" t="s">
        <v>64</v>
      </c>
      <c r="L469" t="s">
        <v>123</v>
      </c>
      <c r="M469" s="2" t="s">
        <v>306</v>
      </c>
      <c r="N469" t="s">
        <v>164</v>
      </c>
      <c r="O469" t="s">
        <v>136</v>
      </c>
      <c r="P469" s="2" t="s">
        <v>81</v>
      </c>
      <c r="Q469" t="s">
        <v>64</v>
      </c>
      <c r="R469" t="s">
        <v>64</v>
      </c>
      <c r="S469" s="85" t="s">
        <v>307</v>
      </c>
      <c r="T469" t="s">
        <v>308</v>
      </c>
      <c r="U469" t="s">
        <v>309</v>
      </c>
      <c r="V469" s="2" t="s">
        <v>310</v>
      </c>
      <c r="W469" s="2" t="s">
        <v>65</v>
      </c>
      <c r="Z469" s="2" t="s">
        <v>116</v>
      </c>
      <c r="AA469" s="2" t="s">
        <v>117</v>
      </c>
      <c r="AB469" s="2" t="s">
        <v>66</v>
      </c>
      <c r="AC469" s="2" t="s">
        <v>67</v>
      </c>
    </row>
    <row r="470" spans="1:29" x14ac:dyDescent="0.25">
      <c r="A470" t="s">
        <v>107</v>
      </c>
      <c r="B470" t="s">
        <v>111</v>
      </c>
      <c r="C470" t="s">
        <v>112</v>
      </c>
      <c r="D470" t="s">
        <v>15</v>
      </c>
      <c r="E470" t="s">
        <v>122</v>
      </c>
      <c r="F470" t="s">
        <v>122</v>
      </c>
      <c r="G470" s="2" t="s">
        <v>112</v>
      </c>
      <c r="H470" t="s">
        <v>64</v>
      </c>
      <c r="I470" s="34" t="s">
        <v>304</v>
      </c>
      <c r="J470" s="2" t="s">
        <v>305</v>
      </c>
      <c r="K470" t="s">
        <v>64</v>
      </c>
      <c r="L470" t="s">
        <v>123</v>
      </c>
      <c r="M470" s="2" t="s">
        <v>306</v>
      </c>
      <c r="N470" t="s">
        <v>164</v>
      </c>
      <c r="O470" t="s">
        <v>137</v>
      </c>
      <c r="P470" s="2" t="s">
        <v>81</v>
      </c>
      <c r="Q470" t="s">
        <v>64</v>
      </c>
      <c r="R470" t="s">
        <v>64</v>
      </c>
      <c r="S470" s="85" t="s">
        <v>307</v>
      </c>
      <c r="T470" t="s">
        <v>308</v>
      </c>
      <c r="U470" t="s">
        <v>309</v>
      </c>
      <c r="V470" s="2" t="s">
        <v>310</v>
      </c>
      <c r="W470" s="2" t="s">
        <v>65</v>
      </c>
      <c r="Z470" s="2" t="s">
        <v>116</v>
      </c>
      <c r="AA470" s="2" t="s">
        <v>117</v>
      </c>
      <c r="AB470" s="2" t="s">
        <v>66</v>
      </c>
      <c r="AC470" s="2" t="s">
        <v>67</v>
      </c>
    </row>
    <row r="471" spans="1:29" x14ac:dyDescent="0.25">
      <c r="A471" t="s">
        <v>107</v>
      </c>
      <c r="B471" t="s">
        <v>111</v>
      </c>
      <c r="C471" t="s">
        <v>112</v>
      </c>
      <c r="D471" t="s">
        <v>15</v>
      </c>
      <c r="E471" t="s">
        <v>122</v>
      </c>
      <c r="F471" t="s">
        <v>122</v>
      </c>
      <c r="G471" s="2" t="s">
        <v>112</v>
      </c>
      <c r="H471" t="s">
        <v>64</v>
      </c>
      <c r="I471" s="34" t="s">
        <v>304</v>
      </c>
      <c r="J471" s="2" t="s">
        <v>305</v>
      </c>
      <c r="K471" t="s">
        <v>64</v>
      </c>
      <c r="L471" t="s">
        <v>123</v>
      </c>
      <c r="M471" s="2" t="s">
        <v>306</v>
      </c>
      <c r="N471" t="s">
        <v>164</v>
      </c>
      <c r="O471" t="s">
        <v>138</v>
      </c>
      <c r="P471" s="2" t="s">
        <v>81</v>
      </c>
      <c r="Q471" t="s">
        <v>64</v>
      </c>
      <c r="R471" t="s">
        <v>64</v>
      </c>
      <c r="S471" s="85" t="s">
        <v>307</v>
      </c>
      <c r="T471" t="s">
        <v>308</v>
      </c>
      <c r="U471" t="s">
        <v>309</v>
      </c>
      <c r="V471" s="2" t="s">
        <v>310</v>
      </c>
      <c r="W471" s="2" t="s">
        <v>65</v>
      </c>
      <c r="Z471" s="2" t="s">
        <v>116</v>
      </c>
      <c r="AA471" s="2" t="s">
        <v>117</v>
      </c>
      <c r="AB471" s="2" t="s">
        <v>66</v>
      </c>
      <c r="AC471" s="2" t="s">
        <v>67</v>
      </c>
    </row>
    <row r="472" spans="1:29" x14ac:dyDescent="0.25">
      <c r="A472" t="s">
        <v>107</v>
      </c>
      <c r="B472" t="s">
        <v>111</v>
      </c>
      <c r="C472" t="s">
        <v>112</v>
      </c>
      <c r="D472" t="s">
        <v>15</v>
      </c>
      <c r="E472" t="s">
        <v>122</v>
      </c>
      <c r="F472" t="s">
        <v>122</v>
      </c>
      <c r="G472" s="2" t="s">
        <v>112</v>
      </c>
      <c r="H472" t="s">
        <v>64</v>
      </c>
      <c r="I472" s="34" t="s">
        <v>304</v>
      </c>
      <c r="J472" s="2" t="s">
        <v>305</v>
      </c>
      <c r="K472" t="s">
        <v>64</v>
      </c>
      <c r="L472" t="s">
        <v>123</v>
      </c>
      <c r="M472" s="2" t="s">
        <v>306</v>
      </c>
      <c r="N472" t="s">
        <v>164</v>
      </c>
      <c r="O472" t="s">
        <v>139</v>
      </c>
      <c r="P472" s="2" t="s">
        <v>15</v>
      </c>
      <c r="Q472" t="s">
        <v>64</v>
      </c>
      <c r="R472" t="s">
        <v>64</v>
      </c>
      <c r="S472" s="85" t="s">
        <v>307</v>
      </c>
      <c r="T472" t="s">
        <v>308</v>
      </c>
      <c r="U472" t="s">
        <v>309</v>
      </c>
      <c r="V472" s="2" t="s">
        <v>310</v>
      </c>
      <c r="W472" s="2" t="s">
        <v>65</v>
      </c>
      <c r="Z472" s="2" t="s">
        <v>116</v>
      </c>
      <c r="AA472" s="2" t="s">
        <v>117</v>
      </c>
      <c r="AB472" s="2" t="s">
        <v>66</v>
      </c>
      <c r="AC472" s="2" t="s">
        <v>67</v>
      </c>
    </row>
    <row r="473" spans="1:29" x14ac:dyDescent="0.25">
      <c r="A473" t="s">
        <v>107</v>
      </c>
      <c r="B473" t="s">
        <v>111</v>
      </c>
      <c r="C473" t="s">
        <v>112</v>
      </c>
      <c r="D473" t="s">
        <v>15</v>
      </c>
      <c r="E473" t="s">
        <v>122</v>
      </c>
      <c r="F473" t="s">
        <v>122</v>
      </c>
      <c r="G473" s="2" t="s">
        <v>112</v>
      </c>
      <c r="H473" t="s">
        <v>64</v>
      </c>
      <c r="I473" s="34" t="s">
        <v>304</v>
      </c>
      <c r="J473" s="2" t="s">
        <v>305</v>
      </c>
      <c r="K473" t="s">
        <v>64</v>
      </c>
      <c r="L473" t="s">
        <v>123</v>
      </c>
      <c r="M473" s="2" t="s">
        <v>306</v>
      </c>
      <c r="N473" t="s">
        <v>164</v>
      </c>
      <c r="O473" t="s">
        <v>140</v>
      </c>
      <c r="P473" s="2" t="s">
        <v>81</v>
      </c>
      <c r="Q473" t="s">
        <v>64</v>
      </c>
      <c r="R473" t="s">
        <v>64</v>
      </c>
      <c r="S473" s="85" t="s">
        <v>307</v>
      </c>
      <c r="T473" t="s">
        <v>308</v>
      </c>
      <c r="U473" t="s">
        <v>309</v>
      </c>
      <c r="V473" s="2" t="s">
        <v>310</v>
      </c>
      <c r="W473" s="2" t="s">
        <v>65</v>
      </c>
      <c r="Z473" s="2" t="s">
        <v>116</v>
      </c>
      <c r="AA473" s="2" t="s">
        <v>117</v>
      </c>
      <c r="AB473" s="2" t="s">
        <v>66</v>
      </c>
      <c r="AC473" s="2" t="s">
        <v>67</v>
      </c>
    </row>
    <row r="474" spans="1:29" x14ac:dyDescent="0.25">
      <c r="A474" t="s">
        <v>107</v>
      </c>
      <c r="B474" t="s">
        <v>111</v>
      </c>
      <c r="C474" t="s">
        <v>112</v>
      </c>
      <c r="D474" t="s">
        <v>15</v>
      </c>
      <c r="E474" t="s">
        <v>122</v>
      </c>
      <c r="F474" t="s">
        <v>122</v>
      </c>
      <c r="G474" s="2" t="s">
        <v>112</v>
      </c>
      <c r="H474" t="s">
        <v>64</v>
      </c>
      <c r="I474" s="34" t="s">
        <v>304</v>
      </c>
      <c r="J474" s="2" t="s">
        <v>305</v>
      </c>
      <c r="K474" t="s">
        <v>64</v>
      </c>
      <c r="L474" t="s">
        <v>123</v>
      </c>
      <c r="M474" s="2" t="s">
        <v>306</v>
      </c>
      <c r="N474" t="s">
        <v>164</v>
      </c>
      <c r="O474" t="s">
        <v>141</v>
      </c>
      <c r="P474" s="2" t="s">
        <v>81</v>
      </c>
      <c r="Q474" t="s">
        <v>64</v>
      </c>
      <c r="R474" t="s">
        <v>64</v>
      </c>
      <c r="S474" s="85" t="s">
        <v>307</v>
      </c>
      <c r="T474" t="s">
        <v>308</v>
      </c>
      <c r="U474" t="s">
        <v>309</v>
      </c>
      <c r="V474" s="2" t="s">
        <v>310</v>
      </c>
      <c r="W474" s="2" t="s">
        <v>65</v>
      </c>
      <c r="Z474" s="2" t="s">
        <v>116</v>
      </c>
      <c r="AA474" s="2" t="s">
        <v>117</v>
      </c>
      <c r="AB474" s="2" t="s">
        <v>66</v>
      </c>
      <c r="AC474" s="2" t="s">
        <v>67</v>
      </c>
    </row>
    <row r="475" spans="1:29" x14ac:dyDescent="0.25">
      <c r="A475" t="s">
        <v>107</v>
      </c>
      <c r="B475" t="s">
        <v>111</v>
      </c>
      <c r="C475" t="s">
        <v>112</v>
      </c>
      <c r="D475" t="s">
        <v>15</v>
      </c>
      <c r="E475" t="s">
        <v>122</v>
      </c>
      <c r="F475" t="s">
        <v>122</v>
      </c>
      <c r="G475" s="2" t="s">
        <v>112</v>
      </c>
      <c r="H475" t="s">
        <v>64</v>
      </c>
      <c r="I475" s="34" t="s">
        <v>304</v>
      </c>
      <c r="J475" s="2" t="s">
        <v>305</v>
      </c>
      <c r="K475" t="s">
        <v>64</v>
      </c>
      <c r="L475" t="s">
        <v>123</v>
      </c>
      <c r="M475" s="2" t="s">
        <v>306</v>
      </c>
      <c r="N475" t="s">
        <v>164</v>
      </c>
      <c r="O475" t="s">
        <v>142</v>
      </c>
      <c r="P475" s="2" t="s">
        <v>81</v>
      </c>
      <c r="Q475" t="s">
        <v>64</v>
      </c>
      <c r="R475" t="s">
        <v>64</v>
      </c>
      <c r="S475" s="85" t="s">
        <v>307</v>
      </c>
      <c r="T475" t="s">
        <v>308</v>
      </c>
      <c r="U475" t="s">
        <v>309</v>
      </c>
      <c r="V475" s="2" t="s">
        <v>310</v>
      </c>
      <c r="W475" s="2" t="s">
        <v>65</v>
      </c>
      <c r="Z475" s="2" t="s">
        <v>116</v>
      </c>
      <c r="AA475" s="2" t="s">
        <v>117</v>
      </c>
      <c r="AB475" s="2" t="s">
        <v>66</v>
      </c>
      <c r="AC475" s="2" t="s">
        <v>67</v>
      </c>
    </row>
    <row r="476" spans="1:29" x14ac:dyDescent="0.25">
      <c r="A476" t="s">
        <v>107</v>
      </c>
      <c r="B476" t="s">
        <v>111</v>
      </c>
      <c r="C476" t="s">
        <v>112</v>
      </c>
      <c r="D476" t="s">
        <v>15</v>
      </c>
      <c r="E476" t="s">
        <v>122</v>
      </c>
      <c r="F476" t="s">
        <v>122</v>
      </c>
      <c r="G476" s="2" t="s">
        <v>112</v>
      </c>
      <c r="H476" t="s">
        <v>64</v>
      </c>
      <c r="I476" s="34" t="s">
        <v>304</v>
      </c>
      <c r="J476" s="2" t="s">
        <v>305</v>
      </c>
      <c r="K476" t="s">
        <v>64</v>
      </c>
      <c r="L476" t="s">
        <v>123</v>
      </c>
      <c r="M476" s="2" t="s">
        <v>306</v>
      </c>
      <c r="N476" t="s">
        <v>164</v>
      </c>
      <c r="O476" t="s">
        <v>143</v>
      </c>
      <c r="P476" s="2" t="s">
        <v>81</v>
      </c>
      <c r="Q476" t="s">
        <v>64</v>
      </c>
      <c r="R476" t="s">
        <v>64</v>
      </c>
      <c r="S476" s="85" t="s">
        <v>307</v>
      </c>
      <c r="T476" t="s">
        <v>308</v>
      </c>
      <c r="U476" t="s">
        <v>309</v>
      </c>
      <c r="V476" s="2" t="s">
        <v>310</v>
      </c>
      <c r="W476" s="2" t="s">
        <v>65</v>
      </c>
      <c r="Z476" s="2" t="s">
        <v>116</v>
      </c>
      <c r="AA476" s="2" t="s">
        <v>117</v>
      </c>
      <c r="AB476" s="2" t="s">
        <v>66</v>
      </c>
      <c r="AC476" s="2" t="s">
        <v>67</v>
      </c>
    </row>
    <row r="477" spans="1:29" x14ac:dyDescent="0.25">
      <c r="A477" t="s">
        <v>107</v>
      </c>
      <c r="B477" t="s">
        <v>111</v>
      </c>
      <c r="C477" t="s">
        <v>112</v>
      </c>
      <c r="D477" t="s">
        <v>15</v>
      </c>
      <c r="E477" t="s">
        <v>122</v>
      </c>
      <c r="F477" t="s">
        <v>122</v>
      </c>
      <c r="G477" s="2" t="s">
        <v>112</v>
      </c>
      <c r="H477" t="s">
        <v>64</v>
      </c>
      <c r="I477" s="34" t="s">
        <v>304</v>
      </c>
      <c r="J477" s="2" t="s">
        <v>305</v>
      </c>
      <c r="K477" t="s">
        <v>64</v>
      </c>
      <c r="L477" t="s">
        <v>123</v>
      </c>
      <c r="M477" s="2" t="s">
        <v>306</v>
      </c>
      <c r="N477" t="s">
        <v>164</v>
      </c>
      <c r="O477" t="s">
        <v>144</v>
      </c>
      <c r="P477" s="2" t="s">
        <v>81</v>
      </c>
      <c r="Q477" t="s">
        <v>64</v>
      </c>
      <c r="R477" t="s">
        <v>64</v>
      </c>
      <c r="S477" s="85" t="s">
        <v>307</v>
      </c>
      <c r="T477" t="s">
        <v>308</v>
      </c>
      <c r="U477" t="s">
        <v>309</v>
      </c>
      <c r="V477" s="2" t="s">
        <v>310</v>
      </c>
      <c r="W477" s="2" t="s">
        <v>65</v>
      </c>
      <c r="Z477" s="2" t="s">
        <v>116</v>
      </c>
      <c r="AA477" s="2" t="s">
        <v>117</v>
      </c>
      <c r="AB477" s="2" t="s">
        <v>66</v>
      </c>
      <c r="AC477" s="2" t="s">
        <v>67</v>
      </c>
    </row>
    <row r="478" spans="1:29" x14ac:dyDescent="0.25">
      <c r="A478" t="s">
        <v>107</v>
      </c>
      <c r="B478" t="s">
        <v>111</v>
      </c>
      <c r="C478" t="s">
        <v>112</v>
      </c>
      <c r="D478" t="s">
        <v>15</v>
      </c>
      <c r="E478" t="s">
        <v>122</v>
      </c>
      <c r="F478" t="s">
        <v>122</v>
      </c>
      <c r="G478" s="2" t="s">
        <v>112</v>
      </c>
      <c r="H478" t="s">
        <v>64</v>
      </c>
      <c r="I478" s="34" t="s">
        <v>304</v>
      </c>
      <c r="J478" s="2" t="s">
        <v>305</v>
      </c>
      <c r="K478" t="s">
        <v>64</v>
      </c>
      <c r="L478" t="s">
        <v>123</v>
      </c>
      <c r="M478" s="2" t="s">
        <v>306</v>
      </c>
      <c r="N478" t="s">
        <v>164</v>
      </c>
      <c r="O478" t="s">
        <v>145</v>
      </c>
      <c r="P478" s="2" t="s">
        <v>81</v>
      </c>
      <c r="Q478" t="s">
        <v>64</v>
      </c>
      <c r="R478" t="s">
        <v>64</v>
      </c>
      <c r="S478" s="85" t="s">
        <v>307</v>
      </c>
      <c r="T478" t="s">
        <v>308</v>
      </c>
      <c r="U478" t="s">
        <v>309</v>
      </c>
      <c r="V478" s="2" t="s">
        <v>310</v>
      </c>
      <c r="W478" s="2" t="s">
        <v>65</v>
      </c>
      <c r="Z478" s="2" t="s">
        <v>116</v>
      </c>
      <c r="AA478" s="2" t="s">
        <v>117</v>
      </c>
      <c r="AB478" s="2" t="s">
        <v>66</v>
      </c>
      <c r="AC478" s="2" t="s">
        <v>67</v>
      </c>
    </row>
    <row r="479" spans="1:29" x14ac:dyDescent="0.25">
      <c r="A479" t="s">
        <v>107</v>
      </c>
      <c r="B479" t="s">
        <v>111</v>
      </c>
      <c r="C479" t="s">
        <v>112</v>
      </c>
      <c r="D479" t="s">
        <v>15</v>
      </c>
      <c r="E479" t="s">
        <v>122</v>
      </c>
      <c r="F479" t="s">
        <v>122</v>
      </c>
      <c r="G479" s="2" t="s">
        <v>112</v>
      </c>
      <c r="H479" t="s">
        <v>64</v>
      </c>
      <c r="I479" s="34" t="s">
        <v>304</v>
      </c>
      <c r="J479" s="2" t="s">
        <v>305</v>
      </c>
      <c r="K479" t="s">
        <v>64</v>
      </c>
      <c r="L479" t="s">
        <v>123</v>
      </c>
      <c r="M479" s="2" t="s">
        <v>306</v>
      </c>
      <c r="N479" t="s">
        <v>164</v>
      </c>
      <c r="O479" t="s">
        <v>146</v>
      </c>
      <c r="P479" s="2" t="s">
        <v>81</v>
      </c>
      <c r="Q479" t="s">
        <v>64</v>
      </c>
      <c r="R479" t="s">
        <v>64</v>
      </c>
      <c r="S479" s="85" t="s">
        <v>307</v>
      </c>
      <c r="T479" t="s">
        <v>308</v>
      </c>
      <c r="U479" t="s">
        <v>309</v>
      </c>
      <c r="V479" s="2" t="s">
        <v>310</v>
      </c>
      <c r="W479" s="2" t="s">
        <v>65</v>
      </c>
      <c r="Z479" s="2" t="s">
        <v>116</v>
      </c>
      <c r="AA479" s="2" t="s">
        <v>117</v>
      </c>
      <c r="AB479" s="2" t="s">
        <v>66</v>
      </c>
      <c r="AC479" s="2" t="s">
        <v>67</v>
      </c>
    </row>
    <row r="480" spans="1:29" x14ac:dyDescent="0.25">
      <c r="A480" t="s">
        <v>107</v>
      </c>
      <c r="B480" t="s">
        <v>111</v>
      </c>
      <c r="C480" t="s">
        <v>112</v>
      </c>
      <c r="D480" t="s">
        <v>15</v>
      </c>
      <c r="E480" t="s">
        <v>122</v>
      </c>
      <c r="F480" t="s">
        <v>122</v>
      </c>
      <c r="G480" s="2" t="s">
        <v>112</v>
      </c>
      <c r="H480" t="s">
        <v>64</v>
      </c>
      <c r="I480" s="34" t="s">
        <v>304</v>
      </c>
      <c r="J480" s="2" t="s">
        <v>305</v>
      </c>
      <c r="K480" t="s">
        <v>64</v>
      </c>
      <c r="L480" t="s">
        <v>123</v>
      </c>
      <c r="M480" s="2" t="s">
        <v>306</v>
      </c>
      <c r="N480" t="s">
        <v>164</v>
      </c>
      <c r="O480" t="s">
        <v>152</v>
      </c>
      <c r="P480" s="2" t="s">
        <v>188</v>
      </c>
      <c r="Q480" t="s">
        <v>64</v>
      </c>
      <c r="R480" t="s">
        <v>64</v>
      </c>
      <c r="S480" s="85" t="s">
        <v>307</v>
      </c>
      <c r="T480" t="s">
        <v>308</v>
      </c>
      <c r="U480" t="s">
        <v>309</v>
      </c>
      <c r="V480" s="2" t="s">
        <v>310</v>
      </c>
      <c r="W480" s="2" t="s">
        <v>65</v>
      </c>
      <c r="Z480" s="2" t="s">
        <v>116</v>
      </c>
      <c r="AA480" s="2" t="s">
        <v>117</v>
      </c>
      <c r="AB480" s="2" t="s">
        <v>66</v>
      </c>
      <c r="AC480" s="2" t="s">
        <v>67</v>
      </c>
    </row>
    <row r="481" spans="1:29" x14ac:dyDescent="0.25">
      <c r="A481" t="s">
        <v>107</v>
      </c>
      <c r="B481" t="s">
        <v>111</v>
      </c>
      <c r="C481" t="s">
        <v>112</v>
      </c>
      <c r="D481" t="s">
        <v>15</v>
      </c>
      <c r="E481" t="s">
        <v>122</v>
      </c>
      <c r="F481" t="s">
        <v>122</v>
      </c>
      <c r="G481" s="2" t="s">
        <v>112</v>
      </c>
      <c r="H481" t="s">
        <v>64</v>
      </c>
      <c r="I481" s="34" t="s">
        <v>304</v>
      </c>
      <c r="J481" s="2" t="s">
        <v>305</v>
      </c>
      <c r="K481" t="s">
        <v>64</v>
      </c>
      <c r="L481" t="s">
        <v>123</v>
      </c>
      <c r="M481" s="2" t="s">
        <v>306</v>
      </c>
      <c r="N481" t="s">
        <v>164</v>
      </c>
      <c r="O481" t="s">
        <v>153</v>
      </c>
      <c r="P481" s="2" t="s">
        <v>81</v>
      </c>
      <c r="Q481" t="s">
        <v>64</v>
      </c>
      <c r="R481" t="s">
        <v>64</v>
      </c>
      <c r="S481" s="85" t="s">
        <v>307</v>
      </c>
      <c r="T481" t="s">
        <v>308</v>
      </c>
      <c r="U481" t="s">
        <v>309</v>
      </c>
      <c r="V481" s="2" t="s">
        <v>310</v>
      </c>
      <c r="W481" s="2" t="s">
        <v>65</v>
      </c>
      <c r="Z481" s="2" t="s">
        <v>116</v>
      </c>
      <c r="AA481" s="2" t="s">
        <v>117</v>
      </c>
      <c r="AB481" s="2" t="s">
        <v>66</v>
      </c>
      <c r="AC481" s="2" t="s">
        <v>67</v>
      </c>
    </row>
    <row r="482" spans="1:29" x14ac:dyDescent="0.25">
      <c r="A482" t="s">
        <v>107</v>
      </c>
      <c r="B482" t="s">
        <v>111</v>
      </c>
      <c r="C482" t="s">
        <v>112</v>
      </c>
      <c r="D482" t="s">
        <v>15</v>
      </c>
      <c r="E482" t="s">
        <v>122</v>
      </c>
      <c r="F482" t="s">
        <v>122</v>
      </c>
      <c r="G482" s="2" t="s">
        <v>112</v>
      </c>
      <c r="H482" t="s">
        <v>64</v>
      </c>
      <c r="I482" s="34" t="s">
        <v>304</v>
      </c>
      <c r="J482" s="2" t="s">
        <v>305</v>
      </c>
      <c r="K482" t="s">
        <v>64</v>
      </c>
      <c r="L482" t="s">
        <v>123</v>
      </c>
      <c r="M482" s="2" t="s">
        <v>306</v>
      </c>
      <c r="N482" t="s">
        <v>164</v>
      </c>
      <c r="O482" t="s">
        <v>154</v>
      </c>
      <c r="P482" s="2" t="s">
        <v>81</v>
      </c>
      <c r="Q482" t="s">
        <v>64</v>
      </c>
      <c r="R482" t="s">
        <v>64</v>
      </c>
      <c r="S482" s="85" t="s">
        <v>307</v>
      </c>
      <c r="T482" t="s">
        <v>308</v>
      </c>
      <c r="U482" t="s">
        <v>309</v>
      </c>
      <c r="V482" s="2" t="s">
        <v>310</v>
      </c>
      <c r="W482" s="2" t="s">
        <v>65</v>
      </c>
      <c r="Z482" s="2" t="s">
        <v>116</v>
      </c>
      <c r="AA482" s="2" t="s">
        <v>117</v>
      </c>
      <c r="AB482" s="2" t="s">
        <v>66</v>
      </c>
      <c r="AC482" s="2" t="s">
        <v>67</v>
      </c>
    </row>
    <row r="483" spans="1:29" x14ac:dyDescent="0.25">
      <c r="A483" t="s">
        <v>107</v>
      </c>
      <c r="B483" t="s">
        <v>111</v>
      </c>
      <c r="C483" t="s">
        <v>112</v>
      </c>
      <c r="D483" t="s">
        <v>15</v>
      </c>
      <c r="E483" t="s">
        <v>122</v>
      </c>
      <c r="F483" t="s">
        <v>122</v>
      </c>
      <c r="G483" s="2" t="s">
        <v>112</v>
      </c>
      <c r="H483" t="s">
        <v>64</v>
      </c>
      <c r="I483" s="34" t="s">
        <v>304</v>
      </c>
      <c r="J483" s="2" t="s">
        <v>305</v>
      </c>
      <c r="K483" t="s">
        <v>64</v>
      </c>
      <c r="L483" t="s">
        <v>123</v>
      </c>
      <c r="M483" s="2" t="s">
        <v>306</v>
      </c>
      <c r="N483" t="s">
        <v>164</v>
      </c>
      <c r="O483" t="s">
        <v>155</v>
      </c>
      <c r="P483" s="2" t="s">
        <v>81</v>
      </c>
      <c r="Q483" t="s">
        <v>64</v>
      </c>
      <c r="R483" t="s">
        <v>64</v>
      </c>
      <c r="S483" s="85" t="s">
        <v>307</v>
      </c>
      <c r="T483" t="s">
        <v>308</v>
      </c>
      <c r="U483" t="s">
        <v>309</v>
      </c>
      <c r="V483" s="2" t="s">
        <v>310</v>
      </c>
      <c r="W483" s="2" t="s">
        <v>65</v>
      </c>
      <c r="Z483" s="2" t="s">
        <v>116</v>
      </c>
      <c r="AA483" s="2" t="s">
        <v>117</v>
      </c>
      <c r="AB483" s="2" t="s">
        <v>66</v>
      </c>
      <c r="AC483" s="2" t="s">
        <v>67</v>
      </c>
    </row>
    <row r="484" spans="1:29" x14ac:dyDescent="0.25">
      <c r="A484" t="s">
        <v>107</v>
      </c>
      <c r="B484" t="s">
        <v>111</v>
      </c>
      <c r="C484" t="s">
        <v>112</v>
      </c>
      <c r="D484" t="s">
        <v>15</v>
      </c>
      <c r="E484" t="s">
        <v>122</v>
      </c>
      <c r="F484" t="s">
        <v>122</v>
      </c>
      <c r="G484" s="2" t="s">
        <v>112</v>
      </c>
      <c r="H484" t="s">
        <v>64</v>
      </c>
      <c r="I484" s="34" t="s">
        <v>304</v>
      </c>
      <c r="J484" s="2" t="s">
        <v>305</v>
      </c>
      <c r="K484" t="s">
        <v>64</v>
      </c>
      <c r="L484" t="s">
        <v>123</v>
      </c>
      <c r="M484" s="2" t="s">
        <v>306</v>
      </c>
      <c r="N484" t="s">
        <v>164</v>
      </c>
      <c r="O484" t="s">
        <v>156</v>
      </c>
      <c r="P484" s="2" t="s">
        <v>81</v>
      </c>
      <c r="Q484" t="s">
        <v>64</v>
      </c>
      <c r="R484" t="s">
        <v>64</v>
      </c>
      <c r="S484" s="85" t="s">
        <v>307</v>
      </c>
      <c r="T484" t="s">
        <v>308</v>
      </c>
      <c r="U484" t="s">
        <v>309</v>
      </c>
      <c r="V484" s="2" t="s">
        <v>310</v>
      </c>
      <c r="W484" s="2" t="s">
        <v>65</v>
      </c>
      <c r="Z484" s="2" t="s">
        <v>116</v>
      </c>
      <c r="AA484" s="2" t="s">
        <v>117</v>
      </c>
      <c r="AB484" s="2" t="s">
        <v>66</v>
      </c>
      <c r="AC484" s="2" t="s">
        <v>67</v>
      </c>
    </row>
    <row r="485" spans="1:29" x14ac:dyDescent="0.25">
      <c r="A485" t="s">
        <v>107</v>
      </c>
      <c r="B485" t="s">
        <v>111</v>
      </c>
      <c r="C485" t="s">
        <v>112</v>
      </c>
      <c r="D485" t="s">
        <v>15</v>
      </c>
      <c r="E485" t="s">
        <v>122</v>
      </c>
      <c r="F485" t="s">
        <v>122</v>
      </c>
      <c r="G485" s="2" t="s">
        <v>112</v>
      </c>
      <c r="H485" t="s">
        <v>64</v>
      </c>
      <c r="I485" s="34" t="s">
        <v>304</v>
      </c>
      <c r="J485" s="2" t="s">
        <v>305</v>
      </c>
      <c r="K485" t="s">
        <v>64</v>
      </c>
      <c r="L485" t="s">
        <v>123</v>
      </c>
      <c r="M485" s="2" t="s">
        <v>306</v>
      </c>
      <c r="N485" t="s">
        <v>164</v>
      </c>
      <c r="O485" t="s">
        <v>157</v>
      </c>
      <c r="P485" s="2" t="s">
        <v>20</v>
      </c>
      <c r="Q485" t="s">
        <v>64</v>
      </c>
      <c r="R485" t="s">
        <v>64</v>
      </c>
      <c r="S485" s="85" t="s">
        <v>307</v>
      </c>
      <c r="T485" t="s">
        <v>308</v>
      </c>
      <c r="U485" t="s">
        <v>309</v>
      </c>
      <c r="V485" s="2" t="s">
        <v>310</v>
      </c>
      <c r="W485" s="2" t="s">
        <v>65</v>
      </c>
      <c r="Z485" s="2" t="s">
        <v>116</v>
      </c>
      <c r="AA485" s="2" t="s">
        <v>117</v>
      </c>
      <c r="AB485" s="2" t="s">
        <v>66</v>
      </c>
      <c r="AC485" s="2" t="s">
        <v>67</v>
      </c>
    </row>
    <row r="486" spans="1:29" hidden="1" x14ac:dyDescent="0.25">
      <c r="A486" t="s">
        <v>107</v>
      </c>
      <c r="B486" t="s">
        <v>69</v>
      </c>
      <c r="C486" t="s">
        <v>8</v>
      </c>
      <c r="D486" t="s">
        <v>15</v>
      </c>
      <c r="E486" t="s">
        <v>217</v>
      </c>
      <c r="F486" t="s">
        <v>218</v>
      </c>
      <c r="G486" s="2" t="s">
        <v>8</v>
      </c>
      <c r="H486" t="s">
        <v>64</v>
      </c>
      <c r="I486" s="34" t="s">
        <v>311</v>
      </c>
      <c r="J486" s="2" t="s">
        <v>312</v>
      </c>
      <c r="K486" t="s">
        <v>313</v>
      </c>
      <c r="L486" t="s">
        <v>218</v>
      </c>
      <c r="M486" s="2" t="s">
        <v>78</v>
      </c>
      <c r="N486" t="s">
        <v>164</v>
      </c>
      <c r="O486" t="s">
        <v>133</v>
      </c>
      <c r="P486" s="2" t="s">
        <v>20</v>
      </c>
      <c r="Q486" t="s">
        <v>64</v>
      </c>
      <c r="R486" t="s">
        <v>64</v>
      </c>
      <c r="S486" s="85" t="s">
        <v>246</v>
      </c>
      <c r="T486" t="s">
        <v>314</v>
      </c>
      <c r="U486" t="s">
        <v>315</v>
      </c>
      <c r="V486" s="2" t="s">
        <v>316</v>
      </c>
      <c r="W486" s="2" t="s">
        <v>65</v>
      </c>
      <c r="Z486" s="2" t="s">
        <v>109</v>
      </c>
      <c r="AA486" s="2" t="s">
        <v>110</v>
      </c>
      <c r="AB486" s="2" t="s">
        <v>66</v>
      </c>
      <c r="AC486" s="2" t="s">
        <v>67</v>
      </c>
    </row>
    <row r="487" spans="1:29" hidden="1" x14ac:dyDescent="0.25">
      <c r="A487" t="s">
        <v>107</v>
      </c>
      <c r="B487" t="s">
        <v>69</v>
      </c>
      <c r="C487" t="s">
        <v>8</v>
      </c>
      <c r="D487" t="s">
        <v>15</v>
      </c>
      <c r="E487" t="s">
        <v>217</v>
      </c>
      <c r="F487" t="s">
        <v>218</v>
      </c>
      <c r="G487" s="2" t="s">
        <v>8</v>
      </c>
      <c r="H487" t="s">
        <v>64</v>
      </c>
      <c r="I487" s="34" t="s">
        <v>311</v>
      </c>
      <c r="J487" s="2" t="s">
        <v>312</v>
      </c>
      <c r="K487" t="s">
        <v>313</v>
      </c>
      <c r="L487" t="s">
        <v>218</v>
      </c>
      <c r="M487" s="2" t="s">
        <v>78</v>
      </c>
      <c r="N487" t="s">
        <v>164</v>
      </c>
      <c r="O487" t="s">
        <v>97</v>
      </c>
      <c r="P487" s="2" t="s">
        <v>20</v>
      </c>
      <c r="Q487" t="s">
        <v>64</v>
      </c>
      <c r="R487" t="s">
        <v>64</v>
      </c>
      <c r="S487" s="85" t="s">
        <v>246</v>
      </c>
      <c r="T487" t="s">
        <v>314</v>
      </c>
      <c r="U487" t="s">
        <v>315</v>
      </c>
      <c r="V487" s="2" t="s">
        <v>316</v>
      </c>
      <c r="W487" s="2" t="s">
        <v>65</v>
      </c>
      <c r="Z487" s="2" t="s">
        <v>109</v>
      </c>
      <c r="AA487" s="2" t="s">
        <v>110</v>
      </c>
      <c r="AB487" s="2" t="s">
        <v>66</v>
      </c>
      <c r="AC487" s="2" t="s">
        <v>67</v>
      </c>
    </row>
    <row r="488" spans="1:29" hidden="1" x14ac:dyDescent="0.25">
      <c r="A488" t="s">
        <v>107</v>
      </c>
      <c r="B488" t="s">
        <v>69</v>
      </c>
      <c r="C488" t="s">
        <v>8</v>
      </c>
      <c r="D488" t="s">
        <v>15</v>
      </c>
      <c r="E488" t="s">
        <v>217</v>
      </c>
      <c r="F488" t="s">
        <v>218</v>
      </c>
      <c r="G488" s="2" t="s">
        <v>8</v>
      </c>
      <c r="H488" t="s">
        <v>64</v>
      </c>
      <c r="I488" s="34" t="s">
        <v>311</v>
      </c>
      <c r="J488" s="2" t="s">
        <v>312</v>
      </c>
      <c r="K488" t="s">
        <v>313</v>
      </c>
      <c r="L488" t="s">
        <v>218</v>
      </c>
      <c r="M488" s="2" t="s">
        <v>78</v>
      </c>
      <c r="N488" t="s">
        <v>164</v>
      </c>
      <c r="O488" t="s">
        <v>98</v>
      </c>
      <c r="P488" s="2" t="s">
        <v>20</v>
      </c>
      <c r="Q488" t="s">
        <v>64</v>
      </c>
      <c r="R488" t="s">
        <v>64</v>
      </c>
      <c r="S488" s="85" t="s">
        <v>246</v>
      </c>
      <c r="T488" t="s">
        <v>314</v>
      </c>
      <c r="U488" t="s">
        <v>315</v>
      </c>
      <c r="V488" s="2" t="s">
        <v>316</v>
      </c>
      <c r="W488" s="2" t="s">
        <v>65</v>
      </c>
      <c r="Z488" s="2" t="s">
        <v>109</v>
      </c>
      <c r="AA488" s="2" t="s">
        <v>110</v>
      </c>
      <c r="AB488" s="2" t="s">
        <v>66</v>
      </c>
      <c r="AC488" s="2" t="s">
        <v>67</v>
      </c>
    </row>
    <row r="489" spans="1:29" hidden="1" x14ac:dyDescent="0.25">
      <c r="A489" t="s">
        <v>107</v>
      </c>
      <c r="B489" t="s">
        <v>69</v>
      </c>
      <c r="C489" t="s">
        <v>8</v>
      </c>
      <c r="D489" t="s">
        <v>15</v>
      </c>
      <c r="E489" t="s">
        <v>217</v>
      </c>
      <c r="F489" t="s">
        <v>218</v>
      </c>
      <c r="G489" s="2" t="s">
        <v>8</v>
      </c>
      <c r="H489" t="s">
        <v>64</v>
      </c>
      <c r="I489" s="34" t="s">
        <v>311</v>
      </c>
      <c r="J489" s="2" t="s">
        <v>312</v>
      </c>
      <c r="K489" t="s">
        <v>313</v>
      </c>
      <c r="L489" t="s">
        <v>218</v>
      </c>
      <c r="M489" s="2" t="s">
        <v>78</v>
      </c>
      <c r="N489" t="s">
        <v>164</v>
      </c>
      <c r="O489" t="s">
        <v>134</v>
      </c>
      <c r="P489" s="2" t="s">
        <v>20</v>
      </c>
      <c r="Q489" t="s">
        <v>64</v>
      </c>
      <c r="R489" t="s">
        <v>64</v>
      </c>
      <c r="S489" s="85" t="s">
        <v>246</v>
      </c>
      <c r="T489" t="s">
        <v>314</v>
      </c>
      <c r="U489" t="s">
        <v>315</v>
      </c>
      <c r="V489" s="2" t="s">
        <v>316</v>
      </c>
      <c r="W489" s="2" t="s">
        <v>65</v>
      </c>
      <c r="Z489" s="2" t="s">
        <v>109</v>
      </c>
      <c r="AA489" s="2" t="s">
        <v>110</v>
      </c>
      <c r="AB489" s="2" t="s">
        <v>66</v>
      </c>
      <c r="AC489" s="2" t="s">
        <v>67</v>
      </c>
    </row>
    <row r="490" spans="1:29" hidden="1" x14ac:dyDescent="0.25">
      <c r="A490" t="s">
        <v>107</v>
      </c>
      <c r="B490" t="s">
        <v>69</v>
      </c>
      <c r="C490" t="s">
        <v>8</v>
      </c>
      <c r="D490" t="s">
        <v>15</v>
      </c>
      <c r="E490" t="s">
        <v>217</v>
      </c>
      <c r="F490" t="s">
        <v>218</v>
      </c>
      <c r="G490" s="2" t="s">
        <v>8</v>
      </c>
      <c r="H490" t="s">
        <v>64</v>
      </c>
      <c r="I490" s="34" t="s">
        <v>311</v>
      </c>
      <c r="J490" s="2" t="s">
        <v>312</v>
      </c>
      <c r="K490" t="s">
        <v>313</v>
      </c>
      <c r="L490" t="s">
        <v>218</v>
      </c>
      <c r="M490" s="2" t="s">
        <v>78</v>
      </c>
      <c r="N490" t="s">
        <v>164</v>
      </c>
      <c r="O490" t="s">
        <v>35</v>
      </c>
      <c r="P490" s="2" t="s">
        <v>20</v>
      </c>
      <c r="Q490" t="s">
        <v>64</v>
      </c>
      <c r="R490" t="s">
        <v>64</v>
      </c>
      <c r="S490" s="85" t="s">
        <v>246</v>
      </c>
      <c r="T490" t="s">
        <v>314</v>
      </c>
      <c r="U490" t="s">
        <v>315</v>
      </c>
      <c r="V490" s="2" t="s">
        <v>316</v>
      </c>
      <c r="W490" s="2" t="s">
        <v>65</v>
      </c>
      <c r="Z490" s="2" t="s">
        <v>109</v>
      </c>
      <c r="AA490" s="2" t="s">
        <v>110</v>
      </c>
      <c r="AB490" s="2" t="s">
        <v>66</v>
      </c>
      <c r="AC490" s="2" t="s">
        <v>67</v>
      </c>
    </row>
    <row r="491" spans="1:29" hidden="1" x14ac:dyDescent="0.25">
      <c r="A491" t="s">
        <v>107</v>
      </c>
      <c r="B491" t="s">
        <v>69</v>
      </c>
      <c r="C491" t="s">
        <v>8</v>
      </c>
      <c r="D491" t="s">
        <v>15</v>
      </c>
      <c r="E491" t="s">
        <v>217</v>
      </c>
      <c r="F491" t="s">
        <v>218</v>
      </c>
      <c r="G491" s="2" t="s">
        <v>8</v>
      </c>
      <c r="H491" t="s">
        <v>64</v>
      </c>
      <c r="I491" s="34" t="s">
        <v>311</v>
      </c>
      <c r="J491" s="2" t="s">
        <v>312</v>
      </c>
      <c r="K491" t="s">
        <v>313</v>
      </c>
      <c r="L491" t="s">
        <v>218</v>
      </c>
      <c r="M491" s="2" t="s">
        <v>78</v>
      </c>
      <c r="N491" t="s">
        <v>164</v>
      </c>
      <c r="O491" t="s">
        <v>135</v>
      </c>
      <c r="P491" s="2" t="s">
        <v>81</v>
      </c>
      <c r="Q491" t="s">
        <v>64</v>
      </c>
      <c r="R491" t="s">
        <v>64</v>
      </c>
      <c r="S491" s="85" t="s">
        <v>246</v>
      </c>
      <c r="T491" t="s">
        <v>314</v>
      </c>
      <c r="U491" t="s">
        <v>315</v>
      </c>
      <c r="V491" s="2" t="s">
        <v>316</v>
      </c>
      <c r="W491" s="2" t="s">
        <v>65</v>
      </c>
      <c r="Z491" s="2" t="s">
        <v>109</v>
      </c>
      <c r="AA491" s="2" t="s">
        <v>110</v>
      </c>
      <c r="AB491" s="2" t="s">
        <v>66</v>
      </c>
      <c r="AC491" s="2" t="s">
        <v>67</v>
      </c>
    </row>
    <row r="492" spans="1:29" hidden="1" x14ac:dyDescent="0.25">
      <c r="A492" t="s">
        <v>107</v>
      </c>
      <c r="B492" t="s">
        <v>69</v>
      </c>
      <c r="C492" t="s">
        <v>8</v>
      </c>
      <c r="D492" t="s">
        <v>15</v>
      </c>
      <c r="E492" t="s">
        <v>217</v>
      </c>
      <c r="F492" t="s">
        <v>218</v>
      </c>
      <c r="G492" s="2" t="s">
        <v>8</v>
      </c>
      <c r="H492" t="s">
        <v>64</v>
      </c>
      <c r="I492" s="34" t="s">
        <v>311</v>
      </c>
      <c r="J492" s="2" t="s">
        <v>312</v>
      </c>
      <c r="K492" t="s">
        <v>313</v>
      </c>
      <c r="L492" t="s">
        <v>218</v>
      </c>
      <c r="M492" s="2" t="s">
        <v>78</v>
      </c>
      <c r="N492" t="s">
        <v>164</v>
      </c>
      <c r="O492" t="s">
        <v>99</v>
      </c>
      <c r="P492" s="2" t="s">
        <v>20</v>
      </c>
      <c r="Q492" t="s">
        <v>64</v>
      </c>
      <c r="R492" t="s">
        <v>64</v>
      </c>
      <c r="S492" s="85" t="s">
        <v>246</v>
      </c>
      <c r="T492" t="s">
        <v>314</v>
      </c>
      <c r="U492" t="s">
        <v>315</v>
      </c>
      <c r="V492" s="2" t="s">
        <v>316</v>
      </c>
      <c r="W492" s="2" t="s">
        <v>65</v>
      </c>
      <c r="Z492" s="2" t="s">
        <v>109</v>
      </c>
      <c r="AA492" s="2" t="s">
        <v>110</v>
      </c>
      <c r="AB492" s="2" t="s">
        <v>66</v>
      </c>
      <c r="AC492" s="2" t="s">
        <v>67</v>
      </c>
    </row>
    <row r="493" spans="1:29" hidden="1" x14ac:dyDescent="0.25">
      <c r="A493" t="s">
        <v>107</v>
      </c>
      <c r="B493" t="s">
        <v>69</v>
      </c>
      <c r="C493" t="s">
        <v>8</v>
      </c>
      <c r="D493" t="s">
        <v>15</v>
      </c>
      <c r="E493" t="s">
        <v>217</v>
      </c>
      <c r="F493" t="s">
        <v>218</v>
      </c>
      <c r="G493" s="2" t="s">
        <v>8</v>
      </c>
      <c r="H493" t="s">
        <v>64</v>
      </c>
      <c r="I493" s="34" t="s">
        <v>311</v>
      </c>
      <c r="J493" s="2" t="s">
        <v>312</v>
      </c>
      <c r="K493" t="s">
        <v>313</v>
      </c>
      <c r="L493" t="s">
        <v>218</v>
      </c>
      <c r="M493" s="2" t="s">
        <v>78</v>
      </c>
      <c r="N493" t="s">
        <v>164</v>
      </c>
      <c r="O493" t="s">
        <v>100</v>
      </c>
      <c r="P493" s="2" t="s">
        <v>20</v>
      </c>
      <c r="Q493" t="s">
        <v>64</v>
      </c>
      <c r="R493" t="s">
        <v>64</v>
      </c>
      <c r="S493" s="85" t="s">
        <v>246</v>
      </c>
      <c r="T493" t="s">
        <v>314</v>
      </c>
      <c r="U493" t="s">
        <v>315</v>
      </c>
      <c r="V493" s="2" t="s">
        <v>316</v>
      </c>
      <c r="W493" s="2" t="s">
        <v>65</v>
      </c>
      <c r="Z493" s="2" t="s">
        <v>109</v>
      </c>
      <c r="AA493" s="2" t="s">
        <v>110</v>
      </c>
      <c r="AB493" s="2" t="s">
        <v>66</v>
      </c>
      <c r="AC493" s="2" t="s">
        <v>67</v>
      </c>
    </row>
    <row r="494" spans="1:29" hidden="1" x14ac:dyDescent="0.25">
      <c r="A494" t="s">
        <v>107</v>
      </c>
      <c r="B494" t="s">
        <v>69</v>
      </c>
      <c r="C494" t="s">
        <v>8</v>
      </c>
      <c r="D494" t="s">
        <v>15</v>
      </c>
      <c r="E494" t="s">
        <v>217</v>
      </c>
      <c r="F494" t="s">
        <v>218</v>
      </c>
      <c r="G494" s="2" t="s">
        <v>8</v>
      </c>
      <c r="H494" t="s">
        <v>64</v>
      </c>
      <c r="I494" s="34" t="s">
        <v>311</v>
      </c>
      <c r="J494" s="2" t="s">
        <v>312</v>
      </c>
      <c r="K494" t="s">
        <v>313</v>
      </c>
      <c r="L494" t="s">
        <v>218</v>
      </c>
      <c r="M494" s="2" t="s">
        <v>78</v>
      </c>
      <c r="N494" t="s">
        <v>164</v>
      </c>
      <c r="O494" t="s">
        <v>101</v>
      </c>
      <c r="P494" s="2" t="s">
        <v>81</v>
      </c>
      <c r="Q494" t="s">
        <v>64</v>
      </c>
      <c r="R494" t="s">
        <v>64</v>
      </c>
      <c r="S494" s="85" t="s">
        <v>246</v>
      </c>
      <c r="T494" t="s">
        <v>314</v>
      </c>
      <c r="U494" t="s">
        <v>315</v>
      </c>
      <c r="V494" s="2" t="s">
        <v>316</v>
      </c>
      <c r="W494" s="2" t="s">
        <v>65</v>
      </c>
      <c r="Z494" s="2" t="s">
        <v>109</v>
      </c>
      <c r="AA494" s="2" t="s">
        <v>110</v>
      </c>
      <c r="AB494" s="2" t="s">
        <v>66</v>
      </c>
      <c r="AC494" s="2" t="s">
        <v>67</v>
      </c>
    </row>
    <row r="495" spans="1:29" hidden="1" x14ac:dyDescent="0.25">
      <c r="A495" t="s">
        <v>107</v>
      </c>
      <c r="B495" t="s">
        <v>69</v>
      </c>
      <c r="C495" t="s">
        <v>8</v>
      </c>
      <c r="D495" t="s">
        <v>15</v>
      </c>
      <c r="E495" t="s">
        <v>217</v>
      </c>
      <c r="F495" t="s">
        <v>218</v>
      </c>
      <c r="G495" s="2" t="s">
        <v>8</v>
      </c>
      <c r="H495" t="s">
        <v>64</v>
      </c>
      <c r="I495" s="34" t="s">
        <v>311</v>
      </c>
      <c r="J495" s="2" t="s">
        <v>312</v>
      </c>
      <c r="K495" t="s">
        <v>313</v>
      </c>
      <c r="L495" t="s">
        <v>218</v>
      </c>
      <c r="M495" s="2" t="s">
        <v>78</v>
      </c>
      <c r="N495" t="s">
        <v>164</v>
      </c>
      <c r="O495" t="s">
        <v>102</v>
      </c>
      <c r="P495" s="2" t="s">
        <v>81</v>
      </c>
      <c r="Q495" t="s">
        <v>64</v>
      </c>
      <c r="R495" t="s">
        <v>64</v>
      </c>
      <c r="S495" s="85" t="s">
        <v>246</v>
      </c>
      <c r="T495" t="s">
        <v>314</v>
      </c>
      <c r="U495" t="s">
        <v>315</v>
      </c>
      <c r="V495" s="2" t="s">
        <v>316</v>
      </c>
      <c r="W495" s="2" t="s">
        <v>65</v>
      </c>
      <c r="Z495" s="2" t="s">
        <v>109</v>
      </c>
      <c r="AA495" s="2" t="s">
        <v>110</v>
      </c>
      <c r="AB495" s="2" t="s">
        <v>66</v>
      </c>
      <c r="AC495" s="2" t="s">
        <v>67</v>
      </c>
    </row>
    <row r="496" spans="1:29" hidden="1" x14ac:dyDescent="0.25">
      <c r="A496" t="s">
        <v>107</v>
      </c>
      <c r="B496" t="s">
        <v>69</v>
      </c>
      <c r="C496" t="s">
        <v>8</v>
      </c>
      <c r="D496" t="s">
        <v>15</v>
      </c>
      <c r="E496" t="s">
        <v>217</v>
      </c>
      <c r="F496" t="s">
        <v>218</v>
      </c>
      <c r="G496" s="2" t="s">
        <v>8</v>
      </c>
      <c r="H496" t="s">
        <v>64</v>
      </c>
      <c r="I496" s="34" t="s">
        <v>311</v>
      </c>
      <c r="J496" s="2" t="s">
        <v>312</v>
      </c>
      <c r="K496" t="s">
        <v>313</v>
      </c>
      <c r="L496" t="s">
        <v>218</v>
      </c>
      <c r="M496" s="2" t="s">
        <v>78</v>
      </c>
      <c r="N496" t="s">
        <v>164</v>
      </c>
      <c r="O496" t="s">
        <v>103</v>
      </c>
      <c r="P496" s="2" t="s">
        <v>81</v>
      </c>
      <c r="Q496" t="s">
        <v>64</v>
      </c>
      <c r="R496" t="s">
        <v>64</v>
      </c>
      <c r="S496" s="85" t="s">
        <v>246</v>
      </c>
      <c r="T496" t="s">
        <v>314</v>
      </c>
      <c r="U496" t="s">
        <v>315</v>
      </c>
      <c r="V496" s="2" t="s">
        <v>316</v>
      </c>
      <c r="W496" s="2" t="s">
        <v>65</v>
      </c>
      <c r="Z496" s="2" t="s">
        <v>109</v>
      </c>
      <c r="AA496" s="2" t="s">
        <v>110</v>
      </c>
      <c r="AB496" s="2" t="s">
        <v>66</v>
      </c>
      <c r="AC496" s="2" t="s">
        <v>67</v>
      </c>
    </row>
    <row r="497" spans="1:29" hidden="1" x14ac:dyDescent="0.25">
      <c r="A497" t="s">
        <v>107</v>
      </c>
      <c r="B497" t="s">
        <v>69</v>
      </c>
      <c r="C497" t="s">
        <v>8</v>
      </c>
      <c r="D497" t="s">
        <v>15</v>
      </c>
      <c r="E497" t="s">
        <v>217</v>
      </c>
      <c r="F497" t="s">
        <v>218</v>
      </c>
      <c r="G497" s="2" t="s">
        <v>8</v>
      </c>
      <c r="H497" t="s">
        <v>64</v>
      </c>
      <c r="I497" s="34" t="s">
        <v>311</v>
      </c>
      <c r="J497" s="2" t="s">
        <v>312</v>
      </c>
      <c r="K497" t="s">
        <v>313</v>
      </c>
      <c r="L497" t="s">
        <v>218</v>
      </c>
      <c r="M497" s="2" t="s">
        <v>78</v>
      </c>
      <c r="N497" t="s">
        <v>164</v>
      </c>
      <c r="O497" t="s">
        <v>104</v>
      </c>
      <c r="P497" s="2" t="s">
        <v>81</v>
      </c>
      <c r="Q497" t="s">
        <v>64</v>
      </c>
      <c r="R497" t="s">
        <v>64</v>
      </c>
      <c r="S497" s="85" t="s">
        <v>246</v>
      </c>
      <c r="T497" t="s">
        <v>314</v>
      </c>
      <c r="U497" t="s">
        <v>315</v>
      </c>
      <c r="V497" s="2" t="s">
        <v>316</v>
      </c>
      <c r="W497" s="2" t="s">
        <v>65</v>
      </c>
      <c r="Z497" s="2" t="s">
        <v>109</v>
      </c>
      <c r="AA497" s="2" t="s">
        <v>110</v>
      </c>
      <c r="AB497" s="2" t="s">
        <v>66</v>
      </c>
      <c r="AC497" s="2" t="s">
        <v>67</v>
      </c>
    </row>
    <row r="498" spans="1:29" hidden="1" x14ac:dyDescent="0.25">
      <c r="A498" t="s">
        <v>107</v>
      </c>
      <c r="B498" t="s">
        <v>69</v>
      </c>
      <c r="C498" t="s">
        <v>8</v>
      </c>
      <c r="D498" t="s">
        <v>15</v>
      </c>
      <c r="E498" t="s">
        <v>217</v>
      </c>
      <c r="F498" t="s">
        <v>218</v>
      </c>
      <c r="G498" s="2" t="s">
        <v>8</v>
      </c>
      <c r="H498" t="s">
        <v>64</v>
      </c>
      <c r="I498" s="34" t="s">
        <v>311</v>
      </c>
      <c r="J498" s="2" t="s">
        <v>312</v>
      </c>
      <c r="K498" t="s">
        <v>313</v>
      </c>
      <c r="L498" t="s">
        <v>218</v>
      </c>
      <c r="M498" s="2" t="s">
        <v>78</v>
      </c>
      <c r="N498" t="s">
        <v>164</v>
      </c>
      <c r="O498" t="s">
        <v>136</v>
      </c>
      <c r="P498" s="2" t="s">
        <v>20</v>
      </c>
      <c r="Q498" t="s">
        <v>64</v>
      </c>
      <c r="R498" t="s">
        <v>64</v>
      </c>
      <c r="S498" s="85" t="s">
        <v>246</v>
      </c>
      <c r="T498" t="s">
        <v>314</v>
      </c>
      <c r="U498" t="s">
        <v>315</v>
      </c>
      <c r="V498" s="2" t="s">
        <v>316</v>
      </c>
      <c r="W498" s="2" t="s">
        <v>65</v>
      </c>
      <c r="Z498" s="2" t="s">
        <v>109</v>
      </c>
      <c r="AA498" s="2" t="s">
        <v>110</v>
      </c>
      <c r="AB498" s="2" t="s">
        <v>66</v>
      </c>
      <c r="AC498" s="2" t="s">
        <v>67</v>
      </c>
    </row>
    <row r="499" spans="1:29" hidden="1" x14ac:dyDescent="0.25">
      <c r="A499" t="s">
        <v>107</v>
      </c>
      <c r="B499" t="s">
        <v>69</v>
      </c>
      <c r="C499" t="s">
        <v>8</v>
      </c>
      <c r="D499" t="s">
        <v>15</v>
      </c>
      <c r="E499" t="s">
        <v>217</v>
      </c>
      <c r="F499" t="s">
        <v>218</v>
      </c>
      <c r="G499" s="2" t="s">
        <v>8</v>
      </c>
      <c r="H499" t="s">
        <v>64</v>
      </c>
      <c r="I499" s="34" t="s">
        <v>311</v>
      </c>
      <c r="J499" s="2" t="s">
        <v>312</v>
      </c>
      <c r="K499" t="s">
        <v>313</v>
      </c>
      <c r="L499" t="s">
        <v>218</v>
      </c>
      <c r="M499" s="2" t="s">
        <v>78</v>
      </c>
      <c r="N499" t="s">
        <v>164</v>
      </c>
      <c r="O499" t="s">
        <v>137</v>
      </c>
      <c r="P499" s="2" t="s">
        <v>20</v>
      </c>
      <c r="Q499" t="s">
        <v>64</v>
      </c>
      <c r="R499" t="s">
        <v>64</v>
      </c>
      <c r="S499" s="85" t="s">
        <v>246</v>
      </c>
      <c r="T499" t="s">
        <v>314</v>
      </c>
      <c r="U499" t="s">
        <v>315</v>
      </c>
      <c r="V499" s="2" t="s">
        <v>316</v>
      </c>
      <c r="W499" s="2" t="s">
        <v>65</v>
      </c>
      <c r="Z499" s="2" t="s">
        <v>109</v>
      </c>
      <c r="AA499" s="2" t="s">
        <v>110</v>
      </c>
      <c r="AB499" s="2" t="s">
        <v>66</v>
      </c>
      <c r="AC499" s="2" t="s">
        <v>67</v>
      </c>
    </row>
    <row r="500" spans="1:29" hidden="1" x14ac:dyDescent="0.25">
      <c r="A500" t="s">
        <v>107</v>
      </c>
      <c r="B500" t="s">
        <v>69</v>
      </c>
      <c r="C500" t="s">
        <v>8</v>
      </c>
      <c r="D500" t="s">
        <v>15</v>
      </c>
      <c r="E500" t="s">
        <v>217</v>
      </c>
      <c r="F500" t="s">
        <v>218</v>
      </c>
      <c r="G500" s="2" t="s">
        <v>8</v>
      </c>
      <c r="H500" t="s">
        <v>64</v>
      </c>
      <c r="I500" s="34" t="s">
        <v>311</v>
      </c>
      <c r="J500" s="2" t="s">
        <v>312</v>
      </c>
      <c r="K500" t="s">
        <v>313</v>
      </c>
      <c r="L500" t="s">
        <v>218</v>
      </c>
      <c r="M500" s="2" t="s">
        <v>78</v>
      </c>
      <c r="N500" t="s">
        <v>164</v>
      </c>
      <c r="O500" t="s">
        <v>138</v>
      </c>
      <c r="P500" s="2" t="s">
        <v>20</v>
      </c>
      <c r="Q500" t="s">
        <v>64</v>
      </c>
      <c r="R500" t="s">
        <v>64</v>
      </c>
      <c r="S500" s="85" t="s">
        <v>246</v>
      </c>
      <c r="T500" t="s">
        <v>314</v>
      </c>
      <c r="U500" t="s">
        <v>315</v>
      </c>
      <c r="V500" s="2" t="s">
        <v>316</v>
      </c>
      <c r="W500" s="2" t="s">
        <v>65</v>
      </c>
      <c r="Z500" s="2" t="s">
        <v>109</v>
      </c>
      <c r="AA500" s="2" t="s">
        <v>110</v>
      </c>
      <c r="AB500" s="2" t="s">
        <v>66</v>
      </c>
      <c r="AC500" s="2" t="s">
        <v>67</v>
      </c>
    </row>
    <row r="501" spans="1:29" hidden="1" x14ac:dyDescent="0.25">
      <c r="A501" t="s">
        <v>107</v>
      </c>
      <c r="B501" t="s">
        <v>69</v>
      </c>
      <c r="C501" t="s">
        <v>8</v>
      </c>
      <c r="D501" t="s">
        <v>15</v>
      </c>
      <c r="E501" t="s">
        <v>217</v>
      </c>
      <c r="F501" t="s">
        <v>218</v>
      </c>
      <c r="G501" s="2" t="s">
        <v>8</v>
      </c>
      <c r="H501" t="s">
        <v>64</v>
      </c>
      <c r="I501" s="34" t="s">
        <v>311</v>
      </c>
      <c r="J501" s="2" t="s">
        <v>312</v>
      </c>
      <c r="K501" t="s">
        <v>313</v>
      </c>
      <c r="L501" t="s">
        <v>218</v>
      </c>
      <c r="M501" s="2" t="s">
        <v>78</v>
      </c>
      <c r="N501" t="s">
        <v>164</v>
      </c>
      <c r="O501" t="s">
        <v>139</v>
      </c>
      <c r="P501" s="2" t="s">
        <v>15</v>
      </c>
      <c r="Q501" t="s">
        <v>64</v>
      </c>
      <c r="R501" t="s">
        <v>64</v>
      </c>
      <c r="S501" s="85" t="s">
        <v>246</v>
      </c>
      <c r="T501" t="s">
        <v>314</v>
      </c>
      <c r="U501" t="s">
        <v>315</v>
      </c>
      <c r="V501" s="2" t="s">
        <v>316</v>
      </c>
      <c r="W501" s="2" t="s">
        <v>65</v>
      </c>
      <c r="Z501" s="2" t="s">
        <v>109</v>
      </c>
      <c r="AA501" s="2" t="s">
        <v>110</v>
      </c>
      <c r="AB501" s="2" t="s">
        <v>66</v>
      </c>
      <c r="AC501" s="2" t="s">
        <v>67</v>
      </c>
    </row>
    <row r="502" spans="1:29" hidden="1" x14ac:dyDescent="0.25">
      <c r="A502" t="s">
        <v>107</v>
      </c>
      <c r="B502" t="s">
        <v>69</v>
      </c>
      <c r="C502" t="s">
        <v>8</v>
      </c>
      <c r="D502" t="s">
        <v>15</v>
      </c>
      <c r="E502" t="s">
        <v>217</v>
      </c>
      <c r="F502" t="s">
        <v>218</v>
      </c>
      <c r="G502" s="2" t="s">
        <v>8</v>
      </c>
      <c r="H502" t="s">
        <v>64</v>
      </c>
      <c r="I502" s="34" t="s">
        <v>311</v>
      </c>
      <c r="J502" s="2" t="s">
        <v>312</v>
      </c>
      <c r="K502" t="s">
        <v>313</v>
      </c>
      <c r="L502" t="s">
        <v>218</v>
      </c>
      <c r="M502" s="2" t="s">
        <v>78</v>
      </c>
      <c r="N502" t="s">
        <v>164</v>
      </c>
      <c r="O502" t="s">
        <v>140</v>
      </c>
      <c r="P502" s="2" t="s">
        <v>20</v>
      </c>
      <c r="Q502" t="s">
        <v>64</v>
      </c>
      <c r="R502" t="s">
        <v>64</v>
      </c>
      <c r="S502" s="85" t="s">
        <v>246</v>
      </c>
      <c r="T502" t="s">
        <v>314</v>
      </c>
      <c r="U502" t="s">
        <v>315</v>
      </c>
      <c r="V502" s="2" t="s">
        <v>316</v>
      </c>
      <c r="W502" s="2" t="s">
        <v>65</v>
      </c>
      <c r="Z502" s="2" t="s">
        <v>109</v>
      </c>
      <c r="AA502" s="2" t="s">
        <v>110</v>
      </c>
      <c r="AB502" s="2" t="s">
        <v>66</v>
      </c>
      <c r="AC502" s="2" t="s">
        <v>67</v>
      </c>
    </row>
    <row r="503" spans="1:29" hidden="1" x14ac:dyDescent="0.25">
      <c r="A503" t="s">
        <v>107</v>
      </c>
      <c r="B503" t="s">
        <v>69</v>
      </c>
      <c r="C503" t="s">
        <v>8</v>
      </c>
      <c r="D503" t="s">
        <v>15</v>
      </c>
      <c r="E503" t="s">
        <v>217</v>
      </c>
      <c r="F503" t="s">
        <v>218</v>
      </c>
      <c r="G503" s="2" t="s">
        <v>8</v>
      </c>
      <c r="H503" t="s">
        <v>64</v>
      </c>
      <c r="I503" s="34" t="s">
        <v>311</v>
      </c>
      <c r="J503" s="2" t="s">
        <v>312</v>
      </c>
      <c r="K503" t="s">
        <v>313</v>
      </c>
      <c r="L503" t="s">
        <v>218</v>
      </c>
      <c r="M503" s="2" t="s">
        <v>78</v>
      </c>
      <c r="N503" t="s">
        <v>164</v>
      </c>
      <c r="O503" t="s">
        <v>141</v>
      </c>
      <c r="P503" s="2" t="s">
        <v>20</v>
      </c>
      <c r="Q503" t="s">
        <v>64</v>
      </c>
      <c r="R503" t="s">
        <v>64</v>
      </c>
      <c r="S503" s="85" t="s">
        <v>246</v>
      </c>
      <c r="T503" t="s">
        <v>314</v>
      </c>
      <c r="U503" t="s">
        <v>315</v>
      </c>
      <c r="V503" s="2" t="s">
        <v>316</v>
      </c>
      <c r="W503" s="2" t="s">
        <v>65</v>
      </c>
      <c r="Z503" s="2" t="s">
        <v>109</v>
      </c>
      <c r="AA503" s="2" t="s">
        <v>110</v>
      </c>
      <c r="AB503" s="2" t="s">
        <v>66</v>
      </c>
      <c r="AC503" s="2" t="s">
        <v>67</v>
      </c>
    </row>
    <row r="504" spans="1:29" hidden="1" x14ac:dyDescent="0.25">
      <c r="A504" t="s">
        <v>107</v>
      </c>
      <c r="B504" t="s">
        <v>69</v>
      </c>
      <c r="C504" t="s">
        <v>8</v>
      </c>
      <c r="D504" t="s">
        <v>15</v>
      </c>
      <c r="E504" t="s">
        <v>217</v>
      </c>
      <c r="F504" t="s">
        <v>218</v>
      </c>
      <c r="G504" s="2" t="s">
        <v>8</v>
      </c>
      <c r="H504" t="s">
        <v>64</v>
      </c>
      <c r="I504" s="34" t="s">
        <v>311</v>
      </c>
      <c r="J504" s="2" t="s">
        <v>312</v>
      </c>
      <c r="K504" t="s">
        <v>313</v>
      </c>
      <c r="L504" t="s">
        <v>218</v>
      </c>
      <c r="M504" s="2" t="s">
        <v>78</v>
      </c>
      <c r="N504" t="s">
        <v>164</v>
      </c>
      <c r="O504" t="s">
        <v>142</v>
      </c>
      <c r="P504" s="2" t="s">
        <v>20</v>
      </c>
      <c r="Q504" t="s">
        <v>64</v>
      </c>
      <c r="R504" t="s">
        <v>64</v>
      </c>
      <c r="S504" s="85" t="s">
        <v>246</v>
      </c>
      <c r="T504" t="s">
        <v>314</v>
      </c>
      <c r="U504" t="s">
        <v>315</v>
      </c>
      <c r="V504" s="2" t="s">
        <v>316</v>
      </c>
      <c r="W504" s="2" t="s">
        <v>65</v>
      </c>
      <c r="Z504" s="2" t="s">
        <v>109</v>
      </c>
      <c r="AA504" s="2" t="s">
        <v>110</v>
      </c>
      <c r="AB504" s="2" t="s">
        <v>66</v>
      </c>
      <c r="AC504" s="2" t="s">
        <v>67</v>
      </c>
    </row>
    <row r="505" spans="1:29" hidden="1" x14ac:dyDescent="0.25">
      <c r="A505" t="s">
        <v>107</v>
      </c>
      <c r="B505" t="s">
        <v>69</v>
      </c>
      <c r="C505" t="s">
        <v>8</v>
      </c>
      <c r="D505" t="s">
        <v>15</v>
      </c>
      <c r="E505" t="s">
        <v>217</v>
      </c>
      <c r="F505" t="s">
        <v>218</v>
      </c>
      <c r="G505" s="2" t="s">
        <v>8</v>
      </c>
      <c r="H505" t="s">
        <v>64</v>
      </c>
      <c r="I505" s="34" t="s">
        <v>311</v>
      </c>
      <c r="J505" s="2" t="s">
        <v>312</v>
      </c>
      <c r="K505" t="s">
        <v>313</v>
      </c>
      <c r="L505" t="s">
        <v>218</v>
      </c>
      <c r="M505" s="2" t="s">
        <v>78</v>
      </c>
      <c r="N505" t="s">
        <v>164</v>
      </c>
      <c r="O505" t="s">
        <v>143</v>
      </c>
      <c r="P505" s="2" t="s">
        <v>20</v>
      </c>
      <c r="Q505" t="s">
        <v>64</v>
      </c>
      <c r="R505" t="s">
        <v>64</v>
      </c>
      <c r="S505" s="85" t="s">
        <v>246</v>
      </c>
      <c r="T505" t="s">
        <v>314</v>
      </c>
      <c r="U505" t="s">
        <v>315</v>
      </c>
      <c r="V505" s="2" t="s">
        <v>316</v>
      </c>
      <c r="W505" s="2" t="s">
        <v>65</v>
      </c>
      <c r="Z505" s="2" t="s">
        <v>109</v>
      </c>
      <c r="AA505" s="2" t="s">
        <v>110</v>
      </c>
      <c r="AB505" s="2" t="s">
        <v>66</v>
      </c>
      <c r="AC505" s="2" t="s">
        <v>67</v>
      </c>
    </row>
    <row r="506" spans="1:29" hidden="1" x14ac:dyDescent="0.25">
      <c r="A506" t="s">
        <v>107</v>
      </c>
      <c r="B506" t="s">
        <v>69</v>
      </c>
      <c r="C506" t="s">
        <v>8</v>
      </c>
      <c r="D506" t="s">
        <v>15</v>
      </c>
      <c r="E506" t="s">
        <v>217</v>
      </c>
      <c r="F506" t="s">
        <v>218</v>
      </c>
      <c r="G506" s="2" t="s">
        <v>8</v>
      </c>
      <c r="H506" t="s">
        <v>64</v>
      </c>
      <c r="I506" s="34" t="s">
        <v>311</v>
      </c>
      <c r="J506" s="2" t="s">
        <v>312</v>
      </c>
      <c r="K506" t="s">
        <v>313</v>
      </c>
      <c r="L506" t="s">
        <v>218</v>
      </c>
      <c r="M506" s="2" t="s">
        <v>78</v>
      </c>
      <c r="N506" t="s">
        <v>164</v>
      </c>
      <c r="O506" t="s">
        <v>144</v>
      </c>
      <c r="P506" s="2" t="s">
        <v>20</v>
      </c>
      <c r="Q506" t="s">
        <v>64</v>
      </c>
      <c r="R506" t="s">
        <v>64</v>
      </c>
      <c r="S506" s="85" t="s">
        <v>246</v>
      </c>
      <c r="T506" t="s">
        <v>314</v>
      </c>
      <c r="U506" t="s">
        <v>315</v>
      </c>
      <c r="V506" s="2" t="s">
        <v>316</v>
      </c>
      <c r="W506" s="2" t="s">
        <v>65</v>
      </c>
      <c r="Z506" s="2" t="s">
        <v>109</v>
      </c>
      <c r="AA506" s="2" t="s">
        <v>110</v>
      </c>
      <c r="AB506" s="2" t="s">
        <v>66</v>
      </c>
      <c r="AC506" s="2" t="s">
        <v>67</v>
      </c>
    </row>
    <row r="507" spans="1:29" hidden="1" x14ac:dyDescent="0.25">
      <c r="A507" t="s">
        <v>107</v>
      </c>
      <c r="B507" t="s">
        <v>69</v>
      </c>
      <c r="C507" t="s">
        <v>8</v>
      </c>
      <c r="D507" t="s">
        <v>15</v>
      </c>
      <c r="E507" t="s">
        <v>217</v>
      </c>
      <c r="F507" t="s">
        <v>218</v>
      </c>
      <c r="G507" s="2" t="s">
        <v>8</v>
      </c>
      <c r="H507" t="s">
        <v>64</v>
      </c>
      <c r="I507" s="34" t="s">
        <v>311</v>
      </c>
      <c r="J507" s="2" t="s">
        <v>312</v>
      </c>
      <c r="K507" t="s">
        <v>313</v>
      </c>
      <c r="L507" t="s">
        <v>218</v>
      </c>
      <c r="M507" s="2" t="s">
        <v>78</v>
      </c>
      <c r="N507" t="s">
        <v>164</v>
      </c>
      <c r="O507" t="s">
        <v>145</v>
      </c>
      <c r="P507" s="2" t="s">
        <v>20</v>
      </c>
      <c r="Q507" t="s">
        <v>64</v>
      </c>
      <c r="R507" t="s">
        <v>64</v>
      </c>
      <c r="S507" s="85" t="s">
        <v>246</v>
      </c>
      <c r="T507" t="s">
        <v>314</v>
      </c>
      <c r="U507" t="s">
        <v>315</v>
      </c>
      <c r="V507" s="2" t="s">
        <v>316</v>
      </c>
      <c r="W507" s="2" t="s">
        <v>65</v>
      </c>
      <c r="Z507" s="2" t="s">
        <v>109</v>
      </c>
      <c r="AA507" s="2" t="s">
        <v>110</v>
      </c>
      <c r="AB507" s="2" t="s">
        <v>66</v>
      </c>
      <c r="AC507" s="2" t="s">
        <v>67</v>
      </c>
    </row>
    <row r="508" spans="1:29" hidden="1" x14ac:dyDescent="0.25">
      <c r="A508" t="s">
        <v>107</v>
      </c>
      <c r="B508" t="s">
        <v>69</v>
      </c>
      <c r="C508" t="s">
        <v>8</v>
      </c>
      <c r="D508" t="s">
        <v>15</v>
      </c>
      <c r="E508" t="s">
        <v>217</v>
      </c>
      <c r="F508" t="s">
        <v>218</v>
      </c>
      <c r="G508" s="2" t="s">
        <v>8</v>
      </c>
      <c r="H508" t="s">
        <v>64</v>
      </c>
      <c r="I508" s="34" t="s">
        <v>311</v>
      </c>
      <c r="J508" s="2" t="s">
        <v>312</v>
      </c>
      <c r="K508" t="s">
        <v>313</v>
      </c>
      <c r="L508" t="s">
        <v>218</v>
      </c>
      <c r="M508" s="2" t="s">
        <v>78</v>
      </c>
      <c r="N508" t="s">
        <v>164</v>
      </c>
      <c r="O508" t="s">
        <v>146</v>
      </c>
      <c r="P508" s="2" t="s">
        <v>20</v>
      </c>
      <c r="Q508" t="s">
        <v>64</v>
      </c>
      <c r="R508" t="s">
        <v>64</v>
      </c>
      <c r="S508" s="85" t="s">
        <v>246</v>
      </c>
      <c r="T508" t="s">
        <v>314</v>
      </c>
      <c r="U508" t="s">
        <v>315</v>
      </c>
      <c r="V508" s="2" t="s">
        <v>316</v>
      </c>
      <c r="W508" s="2" t="s">
        <v>65</v>
      </c>
      <c r="Z508" s="2" t="s">
        <v>109</v>
      </c>
      <c r="AA508" s="2" t="s">
        <v>110</v>
      </c>
      <c r="AB508" s="2" t="s">
        <v>66</v>
      </c>
      <c r="AC508" s="2" t="s">
        <v>67</v>
      </c>
    </row>
    <row r="509" spans="1:29" hidden="1" x14ac:dyDescent="0.25">
      <c r="A509" t="s">
        <v>107</v>
      </c>
      <c r="B509" t="s">
        <v>69</v>
      </c>
      <c r="C509" t="s">
        <v>8</v>
      </c>
      <c r="D509" t="s">
        <v>15</v>
      </c>
      <c r="E509" t="s">
        <v>217</v>
      </c>
      <c r="F509" t="s">
        <v>218</v>
      </c>
      <c r="G509" s="2" t="s">
        <v>8</v>
      </c>
      <c r="H509" t="s">
        <v>64</v>
      </c>
      <c r="I509" s="34" t="s">
        <v>311</v>
      </c>
      <c r="J509" s="2" t="s">
        <v>312</v>
      </c>
      <c r="K509" t="s">
        <v>313</v>
      </c>
      <c r="L509" t="s">
        <v>218</v>
      </c>
      <c r="M509" s="2" t="s">
        <v>78</v>
      </c>
      <c r="N509" t="s">
        <v>164</v>
      </c>
      <c r="O509" t="s">
        <v>152</v>
      </c>
      <c r="P509" s="2" t="s">
        <v>170</v>
      </c>
      <c r="Q509" t="s">
        <v>64</v>
      </c>
      <c r="R509" t="s">
        <v>64</v>
      </c>
      <c r="S509" s="85" t="s">
        <v>246</v>
      </c>
      <c r="T509" t="s">
        <v>314</v>
      </c>
      <c r="U509" t="s">
        <v>315</v>
      </c>
      <c r="V509" s="2" t="s">
        <v>316</v>
      </c>
      <c r="W509" s="2" t="s">
        <v>65</v>
      </c>
      <c r="Z509" s="2" t="s">
        <v>109</v>
      </c>
      <c r="AA509" s="2" t="s">
        <v>110</v>
      </c>
      <c r="AB509" s="2" t="s">
        <v>66</v>
      </c>
      <c r="AC509" s="2" t="s">
        <v>67</v>
      </c>
    </row>
    <row r="510" spans="1:29" hidden="1" x14ac:dyDescent="0.25">
      <c r="A510" t="s">
        <v>107</v>
      </c>
      <c r="B510" t="s">
        <v>69</v>
      </c>
      <c r="C510" t="s">
        <v>8</v>
      </c>
      <c r="D510" t="s">
        <v>15</v>
      </c>
      <c r="E510" t="s">
        <v>217</v>
      </c>
      <c r="F510" t="s">
        <v>218</v>
      </c>
      <c r="G510" s="2" t="s">
        <v>8</v>
      </c>
      <c r="H510" t="s">
        <v>64</v>
      </c>
      <c r="I510" s="34" t="s">
        <v>311</v>
      </c>
      <c r="J510" s="2" t="s">
        <v>312</v>
      </c>
      <c r="K510" t="s">
        <v>313</v>
      </c>
      <c r="L510" t="s">
        <v>218</v>
      </c>
      <c r="M510" s="2" t="s">
        <v>78</v>
      </c>
      <c r="N510" t="s">
        <v>164</v>
      </c>
      <c r="O510" t="s">
        <v>153</v>
      </c>
      <c r="P510" s="2" t="s">
        <v>20</v>
      </c>
      <c r="Q510" t="s">
        <v>64</v>
      </c>
      <c r="R510" t="s">
        <v>64</v>
      </c>
      <c r="S510" s="85" t="s">
        <v>246</v>
      </c>
      <c r="T510" t="s">
        <v>314</v>
      </c>
      <c r="U510" t="s">
        <v>315</v>
      </c>
      <c r="V510" s="2" t="s">
        <v>316</v>
      </c>
      <c r="W510" s="2" t="s">
        <v>65</v>
      </c>
      <c r="Z510" s="2" t="s">
        <v>109</v>
      </c>
      <c r="AA510" s="2" t="s">
        <v>110</v>
      </c>
      <c r="AB510" s="2" t="s">
        <v>66</v>
      </c>
      <c r="AC510" s="2" t="s">
        <v>67</v>
      </c>
    </row>
    <row r="511" spans="1:29" hidden="1" x14ac:dyDescent="0.25">
      <c r="A511" t="s">
        <v>107</v>
      </c>
      <c r="B511" t="s">
        <v>69</v>
      </c>
      <c r="C511" t="s">
        <v>8</v>
      </c>
      <c r="D511" t="s">
        <v>15</v>
      </c>
      <c r="E511" t="s">
        <v>217</v>
      </c>
      <c r="F511" t="s">
        <v>218</v>
      </c>
      <c r="G511" s="2" t="s">
        <v>8</v>
      </c>
      <c r="H511" t="s">
        <v>64</v>
      </c>
      <c r="I511" s="34" t="s">
        <v>311</v>
      </c>
      <c r="J511" s="2" t="s">
        <v>312</v>
      </c>
      <c r="K511" t="s">
        <v>313</v>
      </c>
      <c r="L511" t="s">
        <v>218</v>
      </c>
      <c r="M511" s="2" t="s">
        <v>78</v>
      </c>
      <c r="N511" t="s">
        <v>164</v>
      </c>
      <c r="O511" t="s">
        <v>154</v>
      </c>
      <c r="P511" s="2" t="s">
        <v>20</v>
      </c>
      <c r="Q511" t="s">
        <v>64</v>
      </c>
      <c r="R511" t="s">
        <v>64</v>
      </c>
      <c r="S511" s="85" t="s">
        <v>246</v>
      </c>
      <c r="T511" t="s">
        <v>314</v>
      </c>
      <c r="U511" t="s">
        <v>315</v>
      </c>
      <c r="V511" s="2" t="s">
        <v>316</v>
      </c>
      <c r="W511" s="2" t="s">
        <v>65</v>
      </c>
      <c r="Z511" s="2" t="s">
        <v>109</v>
      </c>
      <c r="AA511" s="2" t="s">
        <v>110</v>
      </c>
      <c r="AB511" s="2" t="s">
        <v>66</v>
      </c>
      <c r="AC511" s="2" t="s">
        <v>67</v>
      </c>
    </row>
    <row r="512" spans="1:29" hidden="1" x14ac:dyDescent="0.25">
      <c r="A512" t="s">
        <v>107</v>
      </c>
      <c r="B512" t="s">
        <v>69</v>
      </c>
      <c r="C512" t="s">
        <v>8</v>
      </c>
      <c r="D512" t="s">
        <v>15</v>
      </c>
      <c r="E512" t="s">
        <v>217</v>
      </c>
      <c r="F512" t="s">
        <v>218</v>
      </c>
      <c r="G512" s="2" t="s">
        <v>8</v>
      </c>
      <c r="H512" t="s">
        <v>64</v>
      </c>
      <c r="I512" s="34" t="s">
        <v>311</v>
      </c>
      <c r="J512" s="2" t="s">
        <v>312</v>
      </c>
      <c r="K512" t="s">
        <v>313</v>
      </c>
      <c r="L512" t="s">
        <v>218</v>
      </c>
      <c r="M512" s="2" t="s">
        <v>78</v>
      </c>
      <c r="N512" t="s">
        <v>164</v>
      </c>
      <c r="O512" t="s">
        <v>155</v>
      </c>
      <c r="P512" s="2" t="s">
        <v>81</v>
      </c>
      <c r="Q512" t="s">
        <v>64</v>
      </c>
      <c r="R512" t="s">
        <v>64</v>
      </c>
      <c r="S512" s="85" t="s">
        <v>246</v>
      </c>
      <c r="T512" t="s">
        <v>314</v>
      </c>
      <c r="U512" t="s">
        <v>315</v>
      </c>
      <c r="V512" s="2" t="s">
        <v>316</v>
      </c>
      <c r="W512" s="2" t="s">
        <v>65</v>
      </c>
      <c r="Z512" s="2" t="s">
        <v>109</v>
      </c>
      <c r="AA512" s="2" t="s">
        <v>110</v>
      </c>
      <c r="AB512" s="2" t="s">
        <v>66</v>
      </c>
      <c r="AC512" s="2" t="s">
        <v>67</v>
      </c>
    </row>
    <row r="513" spans="1:29" hidden="1" x14ac:dyDescent="0.25">
      <c r="A513" t="s">
        <v>107</v>
      </c>
      <c r="B513" t="s">
        <v>69</v>
      </c>
      <c r="C513" t="s">
        <v>8</v>
      </c>
      <c r="D513" t="s">
        <v>15</v>
      </c>
      <c r="E513" t="s">
        <v>217</v>
      </c>
      <c r="F513" t="s">
        <v>218</v>
      </c>
      <c r="G513" s="2" t="s">
        <v>8</v>
      </c>
      <c r="H513" t="s">
        <v>64</v>
      </c>
      <c r="I513" s="34" t="s">
        <v>311</v>
      </c>
      <c r="J513" s="2" t="s">
        <v>312</v>
      </c>
      <c r="K513" t="s">
        <v>313</v>
      </c>
      <c r="L513" t="s">
        <v>218</v>
      </c>
      <c r="M513" s="2" t="s">
        <v>78</v>
      </c>
      <c r="N513" t="s">
        <v>164</v>
      </c>
      <c r="O513" t="s">
        <v>156</v>
      </c>
      <c r="P513" s="2" t="s">
        <v>20</v>
      </c>
      <c r="Q513" t="s">
        <v>64</v>
      </c>
      <c r="R513" t="s">
        <v>64</v>
      </c>
      <c r="S513" s="85" t="s">
        <v>246</v>
      </c>
      <c r="T513" t="s">
        <v>314</v>
      </c>
      <c r="U513" t="s">
        <v>315</v>
      </c>
      <c r="V513" s="2" t="s">
        <v>316</v>
      </c>
      <c r="W513" s="2" t="s">
        <v>65</v>
      </c>
      <c r="Z513" s="2" t="s">
        <v>109</v>
      </c>
      <c r="AA513" s="2" t="s">
        <v>110</v>
      </c>
      <c r="AB513" s="2" t="s">
        <v>66</v>
      </c>
      <c r="AC513" s="2" t="s">
        <v>67</v>
      </c>
    </row>
    <row r="514" spans="1:29" hidden="1" x14ac:dyDescent="0.25">
      <c r="A514" t="s">
        <v>107</v>
      </c>
      <c r="B514" t="s">
        <v>69</v>
      </c>
      <c r="C514" t="s">
        <v>8</v>
      </c>
      <c r="D514" t="s">
        <v>15</v>
      </c>
      <c r="E514" t="s">
        <v>217</v>
      </c>
      <c r="F514" t="s">
        <v>218</v>
      </c>
      <c r="G514" s="2" t="s">
        <v>8</v>
      </c>
      <c r="H514" t="s">
        <v>64</v>
      </c>
      <c r="I514" s="34" t="s">
        <v>311</v>
      </c>
      <c r="J514" s="2" t="s">
        <v>312</v>
      </c>
      <c r="K514" t="s">
        <v>313</v>
      </c>
      <c r="L514" t="s">
        <v>218</v>
      </c>
      <c r="M514" s="2" t="s">
        <v>78</v>
      </c>
      <c r="N514" t="s">
        <v>164</v>
      </c>
      <c r="O514" t="s">
        <v>157</v>
      </c>
      <c r="P514" s="2" t="s">
        <v>81</v>
      </c>
      <c r="Q514" t="s">
        <v>64</v>
      </c>
      <c r="R514" t="s">
        <v>64</v>
      </c>
      <c r="S514" s="85" t="s">
        <v>246</v>
      </c>
      <c r="T514" t="s">
        <v>314</v>
      </c>
      <c r="U514" t="s">
        <v>315</v>
      </c>
      <c r="V514" s="2" t="s">
        <v>316</v>
      </c>
      <c r="W514" s="2" t="s">
        <v>65</v>
      </c>
      <c r="Z514" s="2" t="s">
        <v>109</v>
      </c>
      <c r="AA514" s="2" t="s">
        <v>110</v>
      </c>
      <c r="AB514" s="2" t="s">
        <v>66</v>
      </c>
      <c r="AC514" s="2" t="s">
        <v>67</v>
      </c>
    </row>
  </sheetData>
  <phoneticPr fontId="3" type="noConversion"/>
  <conditionalFormatting sqref="O1:O1048576">
    <cfRule type="duplicateValues" dxfId="0" priority="8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L37"/>
  <sheetViews>
    <sheetView showGridLines="0" zoomScale="50" zoomScaleNormal="50" workbookViewId="0">
      <selection activeCell="G29" sqref="G29"/>
    </sheetView>
  </sheetViews>
  <sheetFormatPr baseColWidth="10" defaultColWidth="11.42578125" defaultRowHeight="15" customHeight="1" x14ac:dyDescent="0.25"/>
  <cols>
    <col min="1" max="1" width="24" style="77" bestFit="1" customWidth="1"/>
    <col min="2" max="2" width="27.140625" style="77" bestFit="1" customWidth="1"/>
    <col min="3" max="3" width="20.140625" style="77" bestFit="1" customWidth="1"/>
    <col min="4" max="4" width="24" customWidth="1"/>
    <col min="5" max="5" width="14.85546875" bestFit="1" customWidth="1"/>
    <col min="6" max="6" width="13.140625" customWidth="1"/>
    <col min="7" max="7" width="84" customWidth="1"/>
    <col min="8" max="8" width="41" customWidth="1"/>
    <col min="9" max="9" width="11.42578125" customWidth="1"/>
    <col min="11" max="11" width="47.7109375" bestFit="1" customWidth="1"/>
    <col min="12" max="12" width="22" bestFit="1" customWidth="1"/>
  </cols>
  <sheetData>
    <row r="1" spans="1:12" ht="15" customHeight="1" x14ac:dyDescent="0.25">
      <c r="A1" s="27" t="s">
        <v>43</v>
      </c>
      <c r="B1" s="27" t="s">
        <v>14</v>
      </c>
      <c r="C1" s="27" t="s">
        <v>15</v>
      </c>
      <c r="D1" s="26" t="s">
        <v>13</v>
      </c>
      <c r="E1" s="47" t="s">
        <v>70</v>
      </c>
      <c r="F1" s="39" t="s">
        <v>71</v>
      </c>
      <c r="G1" s="39" t="s">
        <v>27</v>
      </c>
      <c r="H1" s="40" t="s">
        <v>33</v>
      </c>
      <c r="I1" s="12"/>
      <c r="K1" s="30" t="s">
        <v>13</v>
      </c>
      <c r="L1" s="32" t="s">
        <v>74</v>
      </c>
    </row>
    <row r="2" spans="1:12" ht="15" customHeight="1" x14ac:dyDescent="0.25">
      <c r="A2" s="48">
        <v>0</v>
      </c>
      <c r="B2" s="48">
        <v>0</v>
      </c>
      <c r="C2" s="48">
        <v>0</v>
      </c>
      <c r="D2" s="28" t="s">
        <v>68</v>
      </c>
      <c r="E2" s="48">
        <v>0</v>
      </c>
      <c r="F2" s="22" t="s">
        <v>72</v>
      </c>
      <c r="G2" s="22" t="s">
        <v>133</v>
      </c>
      <c r="H2" s="22"/>
      <c r="K2" s="28" t="s">
        <v>17</v>
      </c>
      <c r="L2" s="83">
        <v>0.2</v>
      </c>
    </row>
    <row r="3" spans="1:12" ht="15" customHeight="1" x14ac:dyDescent="0.25">
      <c r="A3" s="48">
        <v>20</v>
      </c>
      <c r="B3" s="48">
        <v>20</v>
      </c>
      <c r="C3" s="48">
        <v>20</v>
      </c>
      <c r="D3" s="28" t="s">
        <v>17</v>
      </c>
      <c r="E3" s="48">
        <v>20</v>
      </c>
      <c r="F3" s="22" t="s">
        <v>72</v>
      </c>
      <c r="G3" s="22" t="s">
        <v>97</v>
      </c>
      <c r="H3" s="22" t="s">
        <v>20</v>
      </c>
      <c r="K3" s="28" t="s">
        <v>129</v>
      </c>
      <c r="L3" s="83">
        <v>0.15</v>
      </c>
    </row>
    <row r="4" spans="1:12" ht="15" customHeight="1" x14ac:dyDescent="0.25">
      <c r="A4" s="48">
        <f t="shared" ref="A4:C13" si="0">15/11</f>
        <v>1.3636363636363635</v>
      </c>
      <c r="B4" s="48">
        <f t="shared" si="0"/>
        <v>1.3636363636363635</v>
      </c>
      <c r="C4" s="48">
        <f t="shared" si="0"/>
        <v>1.3636363636363635</v>
      </c>
      <c r="D4" s="28" t="s">
        <v>129</v>
      </c>
      <c r="E4" s="48">
        <f>15/11</f>
        <v>1.3636363636363635</v>
      </c>
      <c r="F4" s="22" t="s">
        <v>72</v>
      </c>
      <c r="G4" s="22" t="s">
        <v>98</v>
      </c>
      <c r="H4" s="22" t="s">
        <v>20</v>
      </c>
      <c r="K4" s="28" t="s">
        <v>130</v>
      </c>
      <c r="L4" s="83">
        <v>0.2</v>
      </c>
    </row>
    <row r="5" spans="1:12" ht="15" customHeight="1" x14ac:dyDescent="0.25">
      <c r="A5" s="48">
        <f t="shared" si="0"/>
        <v>1.3636363636363635</v>
      </c>
      <c r="B5" s="48">
        <f t="shared" si="0"/>
        <v>1.3636363636363635</v>
      </c>
      <c r="C5" s="48">
        <f t="shared" si="0"/>
        <v>1.3636363636363635</v>
      </c>
      <c r="D5" s="28" t="s">
        <v>129</v>
      </c>
      <c r="E5" s="48">
        <f t="shared" ref="E5:E13" si="1">15/11</f>
        <v>1.3636363636363635</v>
      </c>
      <c r="F5" s="22" t="s">
        <v>72</v>
      </c>
      <c r="G5" s="22" t="s">
        <v>134</v>
      </c>
      <c r="H5" s="22" t="s">
        <v>20</v>
      </c>
      <c r="K5" s="28" t="s">
        <v>131</v>
      </c>
      <c r="L5" s="83">
        <v>0.2</v>
      </c>
    </row>
    <row r="6" spans="1:12" ht="15" customHeight="1" x14ac:dyDescent="0.25">
      <c r="A6" s="48">
        <f t="shared" si="0"/>
        <v>1.3636363636363635</v>
      </c>
      <c r="B6" s="48">
        <f t="shared" si="0"/>
        <v>1.3636363636363635</v>
      </c>
      <c r="C6" s="48">
        <f t="shared" si="0"/>
        <v>1.3636363636363635</v>
      </c>
      <c r="D6" s="28" t="s">
        <v>129</v>
      </c>
      <c r="E6" s="48">
        <f t="shared" si="1"/>
        <v>1.3636363636363635</v>
      </c>
      <c r="F6" s="22" t="s">
        <v>72</v>
      </c>
      <c r="G6" s="22" t="s">
        <v>35</v>
      </c>
      <c r="H6" s="22" t="s">
        <v>20</v>
      </c>
      <c r="K6" s="28" t="s">
        <v>132</v>
      </c>
      <c r="L6" s="83">
        <v>0.15</v>
      </c>
    </row>
    <row r="7" spans="1:12" ht="15" customHeight="1" x14ac:dyDescent="0.25">
      <c r="A7" s="48">
        <f t="shared" si="0"/>
        <v>1.3636363636363635</v>
      </c>
      <c r="B7" s="48">
        <f t="shared" si="0"/>
        <v>1.3636363636363635</v>
      </c>
      <c r="C7" s="48">
        <f t="shared" si="0"/>
        <v>1.3636363636363635</v>
      </c>
      <c r="D7" s="28" t="s">
        <v>129</v>
      </c>
      <c r="E7" s="48">
        <f t="shared" si="1"/>
        <v>1.3636363636363635</v>
      </c>
      <c r="F7" s="22" t="s">
        <v>72</v>
      </c>
      <c r="G7" s="22" t="s">
        <v>135</v>
      </c>
      <c r="H7" s="22" t="s">
        <v>106</v>
      </c>
      <c r="K7" s="22" t="s">
        <v>105</v>
      </c>
      <c r="L7" s="84">
        <v>0.1</v>
      </c>
    </row>
    <row r="8" spans="1:12" ht="15" customHeight="1" x14ac:dyDescent="0.25">
      <c r="A8" s="48">
        <f t="shared" si="0"/>
        <v>1.3636363636363635</v>
      </c>
      <c r="B8" s="48">
        <f t="shared" si="0"/>
        <v>1.3636363636363635</v>
      </c>
      <c r="C8" s="48">
        <f t="shared" si="0"/>
        <v>1.3636363636363635</v>
      </c>
      <c r="D8" s="28" t="s">
        <v>129</v>
      </c>
      <c r="E8" s="48">
        <f t="shared" si="1"/>
        <v>1.3636363636363635</v>
      </c>
      <c r="F8" s="22" t="s">
        <v>72</v>
      </c>
      <c r="G8" s="22" t="s">
        <v>99</v>
      </c>
      <c r="H8" s="22" t="s">
        <v>20</v>
      </c>
      <c r="K8" s="31" t="s">
        <v>73</v>
      </c>
      <c r="L8" s="33">
        <f>SUM(L2:L7)</f>
        <v>1</v>
      </c>
    </row>
    <row r="9" spans="1:12" ht="15" customHeight="1" x14ac:dyDescent="0.25">
      <c r="A9" s="48">
        <f t="shared" si="0"/>
        <v>1.3636363636363635</v>
      </c>
      <c r="B9" s="48">
        <f t="shared" si="0"/>
        <v>1.3636363636363635</v>
      </c>
      <c r="C9" s="48">
        <f t="shared" si="0"/>
        <v>1.3636363636363635</v>
      </c>
      <c r="D9" s="28" t="s">
        <v>129</v>
      </c>
      <c r="E9" s="48">
        <f t="shared" si="1"/>
        <v>1.3636363636363635</v>
      </c>
      <c r="F9" s="22" t="s">
        <v>72</v>
      </c>
      <c r="G9" s="22" t="s">
        <v>100</v>
      </c>
      <c r="H9" s="22" t="s">
        <v>20</v>
      </c>
    </row>
    <row r="10" spans="1:12" ht="15" customHeight="1" x14ac:dyDescent="0.25">
      <c r="A10" s="48">
        <f t="shared" si="0"/>
        <v>1.3636363636363635</v>
      </c>
      <c r="B10" s="48">
        <f t="shared" si="0"/>
        <v>1.3636363636363635</v>
      </c>
      <c r="C10" s="48">
        <f t="shared" si="0"/>
        <v>1.3636363636363635</v>
      </c>
      <c r="D10" s="28" t="s">
        <v>129</v>
      </c>
      <c r="E10" s="48">
        <f t="shared" si="1"/>
        <v>1.3636363636363635</v>
      </c>
      <c r="F10" s="22" t="s">
        <v>72</v>
      </c>
      <c r="G10" s="22" t="s">
        <v>101</v>
      </c>
      <c r="H10" s="22" t="s">
        <v>106</v>
      </c>
    </row>
    <row r="11" spans="1:12" ht="15" customHeight="1" x14ac:dyDescent="0.25">
      <c r="A11" s="48">
        <f t="shared" si="0"/>
        <v>1.3636363636363635</v>
      </c>
      <c r="B11" s="48">
        <f t="shared" si="0"/>
        <v>1.3636363636363635</v>
      </c>
      <c r="C11" s="48">
        <f t="shared" si="0"/>
        <v>1.3636363636363635</v>
      </c>
      <c r="D11" s="28" t="s">
        <v>129</v>
      </c>
      <c r="E11" s="48">
        <f t="shared" si="1"/>
        <v>1.3636363636363635</v>
      </c>
      <c r="F11" s="22" t="s">
        <v>72</v>
      </c>
      <c r="G11" s="22" t="s">
        <v>102</v>
      </c>
      <c r="H11" s="22" t="s">
        <v>106</v>
      </c>
    </row>
    <row r="12" spans="1:12" ht="15" customHeight="1" x14ac:dyDescent="0.25">
      <c r="A12" s="48">
        <f t="shared" si="0"/>
        <v>1.3636363636363635</v>
      </c>
      <c r="B12" s="48">
        <f t="shared" si="0"/>
        <v>1.3636363636363635</v>
      </c>
      <c r="C12" s="48">
        <f t="shared" si="0"/>
        <v>1.3636363636363635</v>
      </c>
      <c r="D12" s="28" t="s">
        <v>129</v>
      </c>
      <c r="E12" s="48">
        <f t="shared" si="1"/>
        <v>1.3636363636363635</v>
      </c>
      <c r="F12" s="22" t="s">
        <v>72</v>
      </c>
      <c r="G12" s="22" t="s">
        <v>103</v>
      </c>
      <c r="H12" s="22" t="s">
        <v>106</v>
      </c>
    </row>
    <row r="13" spans="1:12" ht="15" customHeight="1" x14ac:dyDescent="0.25">
      <c r="A13" s="48">
        <f t="shared" si="0"/>
        <v>1.3636363636363635</v>
      </c>
      <c r="B13" s="48">
        <f t="shared" si="0"/>
        <v>1.3636363636363635</v>
      </c>
      <c r="C13" s="48">
        <f t="shared" si="0"/>
        <v>1.3636363636363635</v>
      </c>
      <c r="D13" s="28" t="s">
        <v>129</v>
      </c>
      <c r="E13" s="48">
        <f t="shared" si="1"/>
        <v>1.3636363636363635</v>
      </c>
      <c r="F13" s="22" t="s">
        <v>72</v>
      </c>
      <c r="G13" s="22" t="s">
        <v>104</v>
      </c>
      <c r="H13" s="22" t="s">
        <v>106</v>
      </c>
    </row>
    <row r="14" spans="1:12" ht="15" customHeight="1" x14ac:dyDescent="0.25">
      <c r="A14" s="48">
        <v>20</v>
      </c>
      <c r="B14" s="48">
        <v>20</v>
      </c>
      <c r="C14" s="48">
        <v>20</v>
      </c>
      <c r="D14" s="28" t="s">
        <v>130</v>
      </c>
      <c r="E14" s="48">
        <v>20</v>
      </c>
      <c r="F14" s="22" t="s">
        <v>72</v>
      </c>
      <c r="G14" s="22" t="s">
        <v>136</v>
      </c>
      <c r="H14" s="22" t="s">
        <v>20</v>
      </c>
    </row>
    <row r="15" spans="1:12" ht="15" customHeight="1" x14ac:dyDescent="0.25">
      <c r="A15" s="48">
        <f t="shared" ref="A15:C16" si="2">20/13</f>
        <v>1.5384615384615385</v>
      </c>
      <c r="B15" s="48">
        <f t="shared" si="2"/>
        <v>1.5384615384615385</v>
      </c>
      <c r="C15" s="48">
        <f t="shared" si="2"/>
        <v>1.5384615384615385</v>
      </c>
      <c r="D15" s="28" t="s">
        <v>131</v>
      </c>
      <c r="E15" s="48">
        <f>20/13</f>
        <v>1.5384615384615385</v>
      </c>
      <c r="F15" s="22" t="s">
        <v>72</v>
      </c>
      <c r="G15" s="22" t="s">
        <v>137</v>
      </c>
      <c r="H15" s="22" t="s">
        <v>20</v>
      </c>
    </row>
    <row r="16" spans="1:12" ht="15" customHeight="1" x14ac:dyDescent="0.25">
      <c r="A16" s="48">
        <f t="shared" si="2"/>
        <v>1.5384615384615385</v>
      </c>
      <c r="B16" s="48">
        <f t="shared" si="2"/>
        <v>1.5384615384615385</v>
      </c>
      <c r="C16" s="48">
        <f t="shared" si="2"/>
        <v>1.5384615384615385</v>
      </c>
      <c r="D16" s="28" t="s">
        <v>131</v>
      </c>
      <c r="E16" s="48">
        <f t="shared" ref="E16" si="3">20/13</f>
        <v>1.5384615384615385</v>
      </c>
      <c r="F16" s="22" t="s">
        <v>72</v>
      </c>
      <c r="G16" s="49" t="s">
        <v>138</v>
      </c>
      <c r="H16" s="22" t="s">
        <v>20</v>
      </c>
    </row>
    <row r="17" spans="1:8" ht="15" customHeight="1" x14ac:dyDescent="0.25">
      <c r="A17" s="48">
        <v>0</v>
      </c>
      <c r="B17" s="48">
        <v>0</v>
      </c>
      <c r="C17" s="48">
        <v>0</v>
      </c>
      <c r="D17" s="28" t="s">
        <v>68</v>
      </c>
      <c r="E17" s="48">
        <v>0</v>
      </c>
      <c r="F17" s="22" t="s">
        <v>72</v>
      </c>
      <c r="G17" s="49" t="s">
        <v>139</v>
      </c>
      <c r="H17" s="22" t="s">
        <v>159</v>
      </c>
    </row>
    <row r="18" spans="1:8" ht="15" customHeight="1" x14ac:dyDescent="0.25">
      <c r="A18" s="48">
        <f t="shared" ref="A18:C23" si="4">20/13</f>
        <v>1.5384615384615385</v>
      </c>
      <c r="B18" s="48">
        <f t="shared" si="4"/>
        <v>1.5384615384615385</v>
      </c>
      <c r="C18" s="48">
        <f t="shared" si="4"/>
        <v>1.5384615384615385</v>
      </c>
      <c r="D18" s="28" t="s">
        <v>131</v>
      </c>
      <c r="E18" s="48">
        <f t="shared" ref="E18:E23" si="5">20/13</f>
        <v>1.5384615384615385</v>
      </c>
      <c r="F18" s="22" t="s">
        <v>72</v>
      </c>
      <c r="G18" s="49" t="s">
        <v>140</v>
      </c>
      <c r="H18" s="22" t="s">
        <v>20</v>
      </c>
    </row>
    <row r="19" spans="1:8" ht="15" customHeight="1" x14ac:dyDescent="0.25">
      <c r="A19" s="48">
        <f t="shared" si="4"/>
        <v>1.5384615384615385</v>
      </c>
      <c r="B19" s="48">
        <f t="shared" si="4"/>
        <v>1.5384615384615385</v>
      </c>
      <c r="C19" s="48">
        <f t="shared" si="4"/>
        <v>1.5384615384615385</v>
      </c>
      <c r="D19" s="28" t="s">
        <v>131</v>
      </c>
      <c r="E19" s="48">
        <f t="shared" si="5"/>
        <v>1.5384615384615385</v>
      </c>
      <c r="F19" s="22" t="s">
        <v>72</v>
      </c>
      <c r="G19" s="22" t="s">
        <v>141</v>
      </c>
      <c r="H19" s="22" t="s">
        <v>20</v>
      </c>
    </row>
    <row r="20" spans="1:8" ht="15" customHeight="1" x14ac:dyDescent="0.25">
      <c r="A20" s="48">
        <f t="shared" si="4"/>
        <v>1.5384615384615385</v>
      </c>
      <c r="B20" s="48">
        <f t="shared" si="4"/>
        <v>1.5384615384615385</v>
      </c>
      <c r="C20" s="48">
        <f t="shared" si="4"/>
        <v>1.5384615384615385</v>
      </c>
      <c r="D20" s="28" t="s">
        <v>131</v>
      </c>
      <c r="E20" s="48">
        <f t="shared" si="5"/>
        <v>1.5384615384615385</v>
      </c>
      <c r="F20" s="22" t="s">
        <v>72</v>
      </c>
      <c r="G20" s="22" t="s">
        <v>142</v>
      </c>
      <c r="H20" s="22" t="s">
        <v>20</v>
      </c>
    </row>
    <row r="21" spans="1:8" ht="15" customHeight="1" x14ac:dyDescent="0.25">
      <c r="A21" s="48">
        <f t="shared" si="4"/>
        <v>1.5384615384615385</v>
      </c>
      <c r="B21" s="48">
        <f t="shared" si="4"/>
        <v>1.5384615384615385</v>
      </c>
      <c r="C21" s="48">
        <f t="shared" si="4"/>
        <v>1.5384615384615385</v>
      </c>
      <c r="D21" s="28" t="s">
        <v>131</v>
      </c>
      <c r="E21" s="48">
        <f t="shared" si="5"/>
        <v>1.5384615384615385</v>
      </c>
      <c r="F21" s="22" t="s">
        <v>72</v>
      </c>
      <c r="G21" s="22" t="s">
        <v>143</v>
      </c>
      <c r="H21" s="22" t="s">
        <v>20</v>
      </c>
    </row>
    <row r="22" spans="1:8" ht="15" customHeight="1" x14ac:dyDescent="0.25">
      <c r="A22" s="48">
        <f t="shared" si="4"/>
        <v>1.5384615384615385</v>
      </c>
      <c r="B22" s="48">
        <f t="shared" si="4"/>
        <v>1.5384615384615385</v>
      </c>
      <c r="C22" s="48">
        <f t="shared" si="4"/>
        <v>1.5384615384615385</v>
      </c>
      <c r="D22" s="28" t="s">
        <v>131</v>
      </c>
      <c r="E22" s="48">
        <f t="shared" si="5"/>
        <v>1.5384615384615385</v>
      </c>
      <c r="F22" s="22" t="s">
        <v>72</v>
      </c>
      <c r="G22" s="22" t="s">
        <v>144</v>
      </c>
      <c r="H22" s="22" t="s">
        <v>20</v>
      </c>
    </row>
    <row r="23" spans="1:8" ht="15" customHeight="1" x14ac:dyDescent="0.25">
      <c r="A23" s="48">
        <f t="shared" si="4"/>
        <v>1.5384615384615385</v>
      </c>
      <c r="B23" s="48">
        <f t="shared" si="4"/>
        <v>1.5384615384615385</v>
      </c>
      <c r="C23" s="48">
        <f t="shared" si="4"/>
        <v>1.5384615384615385</v>
      </c>
      <c r="D23" s="22" t="s">
        <v>131</v>
      </c>
      <c r="E23" s="48">
        <f t="shared" si="5"/>
        <v>1.5384615384615385</v>
      </c>
      <c r="F23" s="22" t="s">
        <v>72</v>
      </c>
      <c r="G23" s="22" t="s">
        <v>145</v>
      </c>
      <c r="H23" s="22" t="s">
        <v>20</v>
      </c>
    </row>
    <row r="24" spans="1:8" ht="15" customHeight="1" x14ac:dyDescent="0.25">
      <c r="A24" s="48">
        <f t="shared" ref="A24:C24" si="6">10/2</f>
        <v>5</v>
      </c>
      <c r="B24" s="48">
        <f t="shared" si="6"/>
        <v>5</v>
      </c>
      <c r="C24" s="48">
        <f t="shared" si="6"/>
        <v>5</v>
      </c>
      <c r="D24" s="22" t="s">
        <v>105</v>
      </c>
      <c r="E24" s="48">
        <f>10/2</f>
        <v>5</v>
      </c>
      <c r="F24" s="22" t="s">
        <v>72</v>
      </c>
      <c r="G24" s="22" t="s">
        <v>146</v>
      </c>
      <c r="H24" s="22" t="s">
        <v>20</v>
      </c>
    </row>
    <row r="25" spans="1:8" ht="15" customHeight="1" x14ac:dyDescent="0.25">
      <c r="A25" s="48">
        <f t="shared" ref="A25:C28" si="7">20/13</f>
        <v>1.5384615384615385</v>
      </c>
      <c r="B25" s="48">
        <f t="shared" si="7"/>
        <v>1.5384615384615385</v>
      </c>
      <c r="C25" s="48">
        <f t="shared" si="7"/>
        <v>1.5384615384615385</v>
      </c>
      <c r="D25" s="22" t="s">
        <v>131</v>
      </c>
      <c r="E25" s="48">
        <f t="shared" ref="E25:E28" si="8">20/13</f>
        <v>1.5384615384615385</v>
      </c>
      <c r="F25" s="22" t="s">
        <v>72</v>
      </c>
      <c r="G25" s="22" t="s">
        <v>147</v>
      </c>
      <c r="H25" s="22" t="s">
        <v>20</v>
      </c>
    </row>
    <row r="26" spans="1:8" ht="15" customHeight="1" x14ac:dyDescent="0.25">
      <c r="A26" s="48">
        <f t="shared" si="7"/>
        <v>1.5384615384615385</v>
      </c>
      <c r="B26" s="48">
        <f t="shared" si="7"/>
        <v>1.5384615384615385</v>
      </c>
      <c r="C26" s="48">
        <f t="shared" si="7"/>
        <v>1.5384615384615385</v>
      </c>
      <c r="D26" s="22" t="s">
        <v>131</v>
      </c>
      <c r="E26" s="48">
        <f t="shared" si="8"/>
        <v>1.5384615384615385</v>
      </c>
      <c r="F26" s="22" t="s">
        <v>72</v>
      </c>
      <c r="G26" s="22" t="s">
        <v>148</v>
      </c>
      <c r="H26" s="22" t="s">
        <v>20</v>
      </c>
    </row>
    <row r="27" spans="1:8" ht="15" customHeight="1" x14ac:dyDescent="0.25">
      <c r="A27" s="48">
        <f t="shared" si="7"/>
        <v>1.5384615384615385</v>
      </c>
      <c r="B27" s="48">
        <f t="shared" si="7"/>
        <v>1.5384615384615385</v>
      </c>
      <c r="C27" s="48">
        <f t="shared" si="7"/>
        <v>1.5384615384615385</v>
      </c>
      <c r="D27" s="22" t="s">
        <v>131</v>
      </c>
      <c r="E27" s="48">
        <f t="shared" si="8"/>
        <v>1.5384615384615385</v>
      </c>
      <c r="F27" s="22" t="s">
        <v>72</v>
      </c>
      <c r="G27" s="22" t="s">
        <v>149</v>
      </c>
      <c r="H27" s="22" t="s">
        <v>20</v>
      </c>
    </row>
    <row r="28" spans="1:8" ht="15" customHeight="1" x14ac:dyDescent="0.25">
      <c r="A28" s="48">
        <f t="shared" si="7"/>
        <v>1.5384615384615385</v>
      </c>
      <c r="B28" s="48">
        <f t="shared" si="7"/>
        <v>1.5384615384615385</v>
      </c>
      <c r="C28" s="48">
        <f t="shared" si="7"/>
        <v>1.5384615384615385</v>
      </c>
      <c r="D28" s="22" t="s">
        <v>131</v>
      </c>
      <c r="E28" s="48">
        <f t="shared" si="8"/>
        <v>1.5384615384615385</v>
      </c>
      <c r="F28" s="22" t="s">
        <v>72</v>
      </c>
      <c r="G28" s="22" t="s">
        <v>150</v>
      </c>
      <c r="H28" s="22" t="s">
        <v>20</v>
      </c>
    </row>
    <row r="29" spans="1:8" ht="15" customHeight="1" x14ac:dyDescent="0.25">
      <c r="A29" s="48">
        <f t="shared" ref="A29:C29" si="9">10/2</f>
        <v>5</v>
      </c>
      <c r="B29" s="48">
        <f t="shared" si="9"/>
        <v>5</v>
      </c>
      <c r="C29" s="48">
        <f t="shared" si="9"/>
        <v>5</v>
      </c>
      <c r="D29" s="22" t="s">
        <v>105</v>
      </c>
      <c r="E29" s="48">
        <f>10/2</f>
        <v>5</v>
      </c>
      <c r="F29" s="22" t="s">
        <v>72</v>
      </c>
      <c r="G29" s="22" t="s">
        <v>151</v>
      </c>
      <c r="H29" s="22" t="s">
        <v>20</v>
      </c>
    </row>
    <row r="30" spans="1:8" ht="15" customHeight="1" x14ac:dyDescent="0.25">
      <c r="A30" s="78">
        <v>0</v>
      </c>
      <c r="B30" s="78">
        <v>0</v>
      </c>
      <c r="C30" s="78">
        <v>0</v>
      </c>
      <c r="D30" s="22" t="s">
        <v>68</v>
      </c>
      <c r="E30" s="78">
        <v>0</v>
      </c>
      <c r="F30" s="22" t="s">
        <v>72</v>
      </c>
      <c r="G30" s="22" t="s">
        <v>152</v>
      </c>
      <c r="H30" s="22" t="s">
        <v>160</v>
      </c>
    </row>
    <row r="31" spans="1:8" ht="15" customHeight="1" x14ac:dyDescent="0.25">
      <c r="A31" s="48">
        <f t="shared" ref="A31:C31" si="10">20/13</f>
        <v>1.5384615384615385</v>
      </c>
      <c r="B31" s="48">
        <f t="shared" si="10"/>
        <v>1.5384615384615385</v>
      </c>
      <c r="C31" s="48">
        <f t="shared" si="10"/>
        <v>1.5384615384615385</v>
      </c>
      <c r="D31" s="22" t="s">
        <v>131</v>
      </c>
      <c r="E31" s="48">
        <f>20/13</f>
        <v>1.5384615384615385</v>
      </c>
      <c r="F31" s="22" t="s">
        <v>72</v>
      </c>
      <c r="G31" s="22" t="s">
        <v>153</v>
      </c>
      <c r="H31" s="22" t="s">
        <v>20</v>
      </c>
    </row>
    <row r="32" spans="1:8" ht="15" customHeight="1" x14ac:dyDescent="0.25">
      <c r="A32" s="48">
        <f t="shared" ref="A32:C32" si="11">15/11</f>
        <v>1.3636363636363635</v>
      </c>
      <c r="B32" s="48">
        <f t="shared" si="11"/>
        <v>1.3636363636363635</v>
      </c>
      <c r="C32" s="48">
        <f t="shared" si="11"/>
        <v>1.3636363636363635</v>
      </c>
      <c r="D32" s="22" t="s">
        <v>129</v>
      </c>
      <c r="E32" s="48">
        <f t="shared" ref="E32" si="12">15/11</f>
        <v>1.3636363636363635</v>
      </c>
      <c r="F32" s="22" t="s">
        <v>72</v>
      </c>
      <c r="G32" s="22" t="s">
        <v>154</v>
      </c>
      <c r="H32" s="22" t="s">
        <v>20</v>
      </c>
    </row>
    <row r="33" spans="1:8" ht="15" customHeight="1" x14ac:dyDescent="0.25">
      <c r="A33" s="78">
        <f t="shared" ref="A33:C34" si="13">15/2</f>
        <v>7.5</v>
      </c>
      <c r="B33" s="78">
        <f t="shared" si="13"/>
        <v>7.5</v>
      </c>
      <c r="C33" s="78">
        <f t="shared" si="13"/>
        <v>7.5</v>
      </c>
      <c r="D33" s="22" t="s">
        <v>132</v>
      </c>
      <c r="E33" s="78">
        <f>15/2</f>
        <v>7.5</v>
      </c>
      <c r="F33" s="22" t="s">
        <v>72</v>
      </c>
      <c r="G33" s="22" t="s">
        <v>155</v>
      </c>
      <c r="H33" s="22" t="s">
        <v>20</v>
      </c>
    </row>
    <row r="34" spans="1:8" ht="15" customHeight="1" x14ac:dyDescent="0.25">
      <c r="A34" s="78">
        <f t="shared" si="13"/>
        <v>7.5</v>
      </c>
      <c r="B34" s="78">
        <f t="shared" si="13"/>
        <v>7.5</v>
      </c>
      <c r="C34" s="78">
        <f t="shared" si="13"/>
        <v>7.5</v>
      </c>
      <c r="D34" s="22" t="s">
        <v>132</v>
      </c>
      <c r="E34" s="78">
        <f>15/2</f>
        <v>7.5</v>
      </c>
      <c r="F34" s="22" t="s">
        <v>72</v>
      </c>
      <c r="G34" s="22" t="s">
        <v>156</v>
      </c>
      <c r="H34" s="22" t="s">
        <v>20</v>
      </c>
    </row>
    <row r="35" spans="1:8" ht="15" customHeight="1" x14ac:dyDescent="0.25">
      <c r="A35" s="78">
        <v>0</v>
      </c>
      <c r="B35" s="78">
        <v>0</v>
      </c>
      <c r="C35" s="78">
        <v>0</v>
      </c>
      <c r="D35" s="22" t="s">
        <v>68</v>
      </c>
      <c r="E35" s="78">
        <v>0</v>
      </c>
      <c r="F35" s="22" t="s">
        <v>72</v>
      </c>
      <c r="G35" s="22" t="s">
        <v>157</v>
      </c>
      <c r="H35" s="22"/>
    </row>
    <row r="36" spans="1:8" ht="15" customHeight="1" x14ac:dyDescent="0.25">
      <c r="A36" s="78">
        <v>0</v>
      </c>
      <c r="B36" s="78">
        <v>0</v>
      </c>
      <c r="C36" s="78">
        <v>0</v>
      </c>
      <c r="D36" s="22" t="s">
        <v>68</v>
      </c>
      <c r="E36" s="78">
        <v>0</v>
      </c>
      <c r="F36" s="22" t="s">
        <v>80</v>
      </c>
      <c r="G36" s="22" t="s">
        <v>158</v>
      </c>
      <c r="H36" s="22"/>
    </row>
    <row r="37" spans="1:8" ht="15" customHeight="1" x14ac:dyDescent="0.25">
      <c r="A37"/>
      <c r="B37"/>
      <c r="C37"/>
    </row>
  </sheetData>
  <autoFilter ref="A1:H36"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39B8D18AB98464181D1E85108248829" ma:contentTypeVersion="17" ma:contentTypeDescription="Crear nuevo documento." ma:contentTypeScope="" ma:versionID="b9cea1c05ae2262eed0cd5c2b2009515">
  <xsd:schema xmlns:xsd="http://www.w3.org/2001/XMLSchema" xmlns:xs="http://www.w3.org/2001/XMLSchema" xmlns:p="http://schemas.microsoft.com/office/2006/metadata/properties" xmlns:ns2="932c55c3-b5e0-4673-a25e-773070737706" xmlns:ns3="1828f71f-f3a5-414e-8b06-277e7a91b4d5" targetNamespace="http://schemas.microsoft.com/office/2006/metadata/properties" ma:root="true" ma:fieldsID="e080551d790acb6b42469279dd31adeb" ns2:_="" ns3:_="">
    <xsd:import namespace="932c55c3-b5e0-4673-a25e-773070737706"/>
    <xsd:import namespace="1828f71f-f3a5-414e-8b06-277e7a91b4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c55c3-b5e0-4673-a25e-7730707377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fb041b7-8286-4f54-8f47-108c36162468"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28f71f-f3a5-414e-8b06-277e7a91b4d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6f7eabd3-d49c-4116-8f8a-f44327f7309c}" ma:internalName="TaxCatchAll" ma:showField="CatchAllData" ma:web="1828f71f-f3a5-414e-8b06-277e7a91b4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32c55c3-b5e0-4673-a25e-773070737706">
      <Terms xmlns="http://schemas.microsoft.com/office/infopath/2007/PartnerControls"/>
    </lcf76f155ced4ddcb4097134ff3c332f>
    <TaxCatchAll xmlns="1828f71f-f3a5-414e-8b06-277e7a91b4d5" xsi:nil="true"/>
  </documentManagement>
</p:properties>
</file>

<file path=customXml/itemProps1.xml><?xml version="1.0" encoding="utf-8"?>
<ds:datastoreItem xmlns:ds="http://schemas.openxmlformats.org/officeDocument/2006/customXml" ds:itemID="{3A97DFE0-2812-4F8D-BEA5-EADA0185B0EC}">
  <ds:schemaRefs>
    <ds:schemaRef ds:uri="http://schemas.microsoft.com/DataMashup"/>
  </ds:schemaRefs>
</ds:datastoreItem>
</file>

<file path=customXml/itemProps2.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3.xml><?xml version="1.0" encoding="utf-8"?>
<ds:datastoreItem xmlns:ds="http://schemas.openxmlformats.org/officeDocument/2006/customXml" ds:itemID="{15F2CE94-53F8-4324-B8C6-5F39C65C07CF}"/>
</file>

<file path=customXml/itemProps4.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2025-08-15T16:53:22Z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0x010100239B8D18AB98464181D1E85108248829</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