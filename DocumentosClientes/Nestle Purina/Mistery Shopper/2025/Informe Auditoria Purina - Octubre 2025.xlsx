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listos-my.sharepoint.com/personal/diego_guerrero_visionymarketing_com_co/Documents/Desktop/Diego Guerrero/NESTLÉ/PURINA/OCTUBRE/Informe/"/>
    </mc:Choice>
  </mc:AlternateContent>
  <xr:revisionPtr revIDLastSave="1201" documentId="8_{AEDEEC47-FF89-4AE5-ABD7-66D1B1D358E3}" xr6:coauthVersionLast="47" xr6:coauthVersionMax="47" xr10:uidLastSave="{47D635EF-1995-4BF5-9ADB-9D7A0983CD33}"/>
  <bookViews>
    <workbookView xWindow="-120" yWindow="-120" windowWidth="20730" windowHeight="11040" tabRatio="989" xr2:uid="{22547094-DDA4-4673-ADB1-0AED661F9EB6}"/>
  </bookViews>
  <sheets>
    <sheet name="INFORME" sheetId="4" r:id="rId1"/>
    <sheet name="Videos" sheetId="15" r:id="rId2"/>
    <sheet name="PUNTAJES" sheetId="5" r:id="rId3"/>
    <sheet name="Panel" sheetId="1" r:id="rId4"/>
    <sheet name="DATA INFORME" sheetId="12" r:id="rId5"/>
    <sheet name="Export" sheetId="2" r:id="rId6"/>
    <sheet name="ENCUESTA" sheetId="8" r:id="rId7"/>
  </sheets>
  <definedNames>
    <definedName name="_xlnm._FilterDatabase" localSheetId="6" hidden="1">ENCUESTA!$A$1:$H$25</definedName>
    <definedName name="_xlnm._FilterDatabase" localSheetId="3" hidden="1">Panel!#REF!</definedName>
    <definedName name="_xlnm._FilterDatabase" localSheetId="1" hidden="1">Videos!$A$1:$C$4</definedName>
    <definedName name="DatosExternos_1" localSheetId="4" hidden="1">'DATA INFORME'!$A$1:$AM$13</definedName>
    <definedName name="DatosExternos_2" localSheetId="2" hidden="1">PUNTAJES!$A$1:$K$291</definedName>
    <definedName name="SegmentaciónDeDatos_CIUDAD">#N/A</definedName>
    <definedName name="SegmentaciónDeDatos_NOMBRE_COMERCIAL">#N/A</definedName>
  </definedNames>
  <calcPr calcId="191028"/>
  <pivotCaches>
    <pivotCache cacheId="0" r:id="rId8"/>
    <pivotCache cacheId="1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L3" i="5"/>
  <c r="L4" i="5"/>
  <c r="L5" i="5"/>
  <c r="L6" i="5"/>
  <c r="L7" i="5"/>
  <c r="L8" i="5"/>
  <c r="M8" i="5" s="1"/>
  <c r="L9" i="5"/>
  <c r="L10" i="5"/>
  <c r="L11" i="5"/>
  <c r="L12" i="5"/>
  <c r="L13" i="5"/>
  <c r="L14" i="5"/>
  <c r="L15" i="5"/>
  <c r="L16" i="5"/>
  <c r="M16" i="5" s="1"/>
  <c r="L17" i="5"/>
  <c r="L18" i="5"/>
  <c r="L19" i="5"/>
  <c r="L20" i="5"/>
  <c r="L21" i="5"/>
  <c r="L22" i="5"/>
  <c r="L23" i="5"/>
  <c r="L24" i="5"/>
  <c r="M24" i="5" s="1"/>
  <c r="L25" i="5"/>
  <c r="L26" i="5"/>
  <c r="L27" i="5"/>
  <c r="L28" i="5"/>
  <c r="L29" i="5"/>
  <c r="L30" i="5"/>
  <c r="L31" i="5"/>
  <c r="L32" i="5"/>
  <c r="M32" i="5" s="1"/>
  <c r="L33" i="5"/>
  <c r="L34" i="5"/>
  <c r="L35" i="5"/>
  <c r="L36" i="5"/>
  <c r="L37" i="5"/>
  <c r="L38" i="5"/>
  <c r="L39" i="5"/>
  <c r="L40" i="5"/>
  <c r="M40" i="5" s="1"/>
  <c r="L41" i="5"/>
  <c r="L42" i="5"/>
  <c r="L43" i="5"/>
  <c r="L44" i="5"/>
  <c r="L45" i="5"/>
  <c r="L46" i="5"/>
  <c r="L47" i="5"/>
  <c r="L48" i="5"/>
  <c r="M48" i="5" s="1"/>
  <c r="L49" i="5"/>
  <c r="L50" i="5"/>
  <c r="L51" i="5"/>
  <c r="L52" i="5"/>
  <c r="L53" i="5"/>
  <c r="L54" i="5"/>
  <c r="L55" i="5"/>
  <c r="L56" i="5"/>
  <c r="M56" i="5" s="1"/>
  <c r="L57" i="5"/>
  <c r="L58" i="5"/>
  <c r="L59" i="5"/>
  <c r="L60" i="5"/>
  <c r="L61" i="5"/>
  <c r="L62" i="5"/>
  <c r="L63" i="5"/>
  <c r="L64" i="5"/>
  <c r="M64" i="5" s="1"/>
  <c r="L65" i="5"/>
  <c r="L66" i="5"/>
  <c r="L67" i="5"/>
  <c r="L68" i="5"/>
  <c r="L69" i="5"/>
  <c r="L70" i="5"/>
  <c r="L71" i="5"/>
  <c r="L72" i="5"/>
  <c r="M72" i="5" s="1"/>
  <c r="L73" i="5"/>
  <c r="L74" i="5"/>
  <c r="L75" i="5"/>
  <c r="L76" i="5"/>
  <c r="L77" i="5"/>
  <c r="L78" i="5"/>
  <c r="L79" i="5"/>
  <c r="L80" i="5"/>
  <c r="M80" i="5" s="1"/>
  <c r="L81" i="5"/>
  <c r="L82" i="5"/>
  <c r="L83" i="5"/>
  <c r="L84" i="5"/>
  <c r="L85" i="5"/>
  <c r="L86" i="5"/>
  <c r="L87" i="5"/>
  <c r="L88" i="5"/>
  <c r="M88" i="5" s="1"/>
  <c r="L89" i="5"/>
  <c r="L90" i="5"/>
  <c r="L91" i="5"/>
  <c r="L92" i="5"/>
  <c r="L93" i="5"/>
  <c r="L94" i="5"/>
  <c r="L95" i="5"/>
  <c r="L96" i="5"/>
  <c r="M96" i="5" s="1"/>
  <c r="L97" i="5"/>
  <c r="L98" i="5"/>
  <c r="L99" i="5"/>
  <c r="L100" i="5"/>
  <c r="L101" i="5"/>
  <c r="L102" i="5"/>
  <c r="L103" i="5"/>
  <c r="L104" i="5"/>
  <c r="M104" i="5" s="1"/>
  <c r="L105" i="5"/>
  <c r="L106" i="5"/>
  <c r="L107" i="5"/>
  <c r="L108" i="5"/>
  <c r="L109" i="5"/>
  <c r="L110" i="5"/>
  <c r="L111" i="5"/>
  <c r="L112" i="5"/>
  <c r="M112" i="5" s="1"/>
  <c r="L113" i="5"/>
  <c r="L114" i="5"/>
  <c r="L115" i="5"/>
  <c r="L116" i="5"/>
  <c r="L117" i="5"/>
  <c r="L118" i="5"/>
  <c r="L119" i="5"/>
  <c r="L120" i="5"/>
  <c r="M120" i="5" s="1"/>
  <c r="L121" i="5"/>
  <c r="L122" i="5"/>
  <c r="L123" i="5"/>
  <c r="L124" i="5"/>
  <c r="L125" i="5"/>
  <c r="L126" i="5"/>
  <c r="L127" i="5"/>
  <c r="L128" i="5"/>
  <c r="M128" i="5" s="1"/>
  <c r="L129" i="5"/>
  <c r="L130" i="5"/>
  <c r="L131" i="5"/>
  <c r="L132" i="5"/>
  <c r="L133" i="5"/>
  <c r="L134" i="5"/>
  <c r="L135" i="5"/>
  <c r="L136" i="5"/>
  <c r="M136" i="5" s="1"/>
  <c r="L137" i="5"/>
  <c r="L138" i="5"/>
  <c r="L139" i="5"/>
  <c r="L140" i="5"/>
  <c r="L141" i="5"/>
  <c r="L142" i="5"/>
  <c r="L143" i="5"/>
  <c r="L144" i="5"/>
  <c r="M144" i="5" s="1"/>
  <c r="L145" i="5"/>
  <c r="L146" i="5"/>
  <c r="L147" i="5"/>
  <c r="L148" i="5"/>
  <c r="L149" i="5"/>
  <c r="L150" i="5"/>
  <c r="L151" i="5"/>
  <c r="L152" i="5"/>
  <c r="M152" i="5" s="1"/>
  <c r="L153" i="5"/>
  <c r="L154" i="5"/>
  <c r="L155" i="5"/>
  <c r="L156" i="5"/>
  <c r="L157" i="5"/>
  <c r="L158" i="5"/>
  <c r="L159" i="5"/>
  <c r="L160" i="5"/>
  <c r="M160" i="5" s="1"/>
  <c r="L161" i="5"/>
  <c r="L162" i="5"/>
  <c r="L163" i="5"/>
  <c r="L164" i="5"/>
  <c r="L165" i="5"/>
  <c r="L166" i="5"/>
  <c r="L167" i="5"/>
  <c r="L168" i="5"/>
  <c r="M168" i="5" s="1"/>
  <c r="L169" i="5"/>
  <c r="L170" i="5"/>
  <c r="L171" i="5"/>
  <c r="L172" i="5"/>
  <c r="L173" i="5"/>
  <c r="L174" i="5"/>
  <c r="L175" i="5"/>
  <c r="L176" i="5"/>
  <c r="M176" i="5" s="1"/>
  <c r="L177" i="5"/>
  <c r="L178" i="5"/>
  <c r="L179" i="5"/>
  <c r="L180" i="5"/>
  <c r="L181" i="5"/>
  <c r="L182" i="5"/>
  <c r="L183" i="5"/>
  <c r="L184" i="5"/>
  <c r="M184" i="5" s="1"/>
  <c r="L185" i="5"/>
  <c r="L186" i="5"/>
  <c r="L187" i="5"/>
  <c r="L188" i="5"/>
  <c r="L189" i="5"/>
  <c r="L190" i="5"/>
  <c r="L191" i="5"/>
  <c r="L192" i="5"/>
  <c r="M192" i="5" s="1"/>
  <c r="L193" i="5"/>
  <c r="L194" i="5"/>
  <c r="L195" i="5"/>
  <c r="L196" i="5"/>
  <c r="L197" i="5"/>
  <c r="L198" i="5"/>
  <c r="L199" i="5"/>
  <c r="L200" i="5"/>
  <c r="M200" i="5" s="1"/>
  <c r="L201" i="5"/>
  <c r="L202" i="5"/>
  <c r="L203" i="5"/>
  <c r="L204" i="5"/>
  <c r="L205" i="5"/>
  <c r="L206" i="5"/>
  <c r="L207" i="5"/>
  <c r="L208" i="5"/>
  <c r="M208" i="5" s="1"/>
  <c r="L209" i="5"/>
  <c r="L210" i="5"/>
  <c r="L211" i="5"/>
  <c r="L212" i="5"/>
  <c r="L213" i="5"/>
  <c r="L214" i="5"/>
  <c r="L215" i="5"/>
  <c r="L216" i="5"/>
  <c r="M216" i="5" s="1"/>
  <c r="L217" i="5"/>
  <c r="L218" i="5"/>
  <c r="L219" i="5"/>
  <c r="L220" i="5"/>
  <c r="L221" i="5"/>
  <c r="L222" i="5"/>
  <c r="L223" i="5"/>
  <c r="L224" i="5"/>
  <c r="M224" i="5" s="1"/>
  <c r="L225" i="5"/>
  <c r="L226" i="5"/>
  <c r="L227" i="5"/>
  <c r="L228" i="5"/>
  <c r="L229" i="5"/>
  <c r="L230" i="5"/>
  <c r="L231" i="5"/>
  <c r="L232" i="5"/>
  <c r="M232" i="5" s="1"/>
  <c r="L233" i="5"/>
  <c r="L234" i="5"/>
  <c r="L235" i="5"/>
  <c r="L236" i="5"/>
  <c r="L237" i="5"/>
  <c r="L238" i="5"/>
  <c r="L239" i="5"/>
  <c r="L240" i="5"/>
  <c r="M240" i="5" s="1"/>
  <c r="L241" i="5"/>
  <c r="L242" i="5"/>
  <c r="L243" i="5"/>
  <c r="L244" i="5"/>
  <c r="L245" i="5"/>
  <c r="L246" i="5"/>
  <c r="L247" i="5"/>
  <c r="L248" i="5"/>
  <c r="M248" i="5" s="1"/>
  <c r="L249" i="5"/>
  <c r="L250" i="5"/>
  <c r="L251" i="5"/>
  <c r="L252" i="5"/>
  <c r="L253" i="5"/>
  <c r="L254" i="5"/>
  <c r="L255" i="5"/>
  <c r="L256" i="5"/>
  <c r="M256" i="5" s="1"/>
  <c r="L257" i="5"/>
  <c r="L258" i="5"/>
  <c r="L259" i="5"/>
  <c r="L260" i="5"/>
  <c r="L261" i="5"/>
  <c r="L262" i="5"/>
  <c r="L263" i="5"/>
  <c r="L264" i="5"/>
  <c r="M264" i="5" s="1"/>
  <c r="L265" i="5"/>
  <c r="L266" i="5"/>
  <c r="L267" i="5"/>
  <c r="L268" i="5"/>
  <c r="L269" i="5"/>
  <c r="L270" i="5"/>
  <c r="L271" i="5"/>
  <c r="L272" i="5"/>
  <c r="M272" i="5" s="1"/>
  <c r="L273" i="5"/>
  <c r="L274" i="5"/>
  <c r="L275" i="5"/>
  <c r="L276" i="5"/>
  <c r="L277" i="5"/>
  <c r="L278" i="5"/>
  <c r="L279" i="5"/>
  <c r="L280" i="5"/>
  <c r="M280" i="5" s="1"/>
  <c r="L281" i="5"/>
  <c r="L282" i="5"/>
  <c r="L283" i="5"/>
  <c r="L284" i="5"/>
  <c r="L285" i="5"/>
  <c r="L286" i="5"/>
  <c r="L287" i="5"/>
  <c r="L288" i="5"/>
  <c r="M288" i="5" s="1"/>
  <c r="L289" i="5"/>
  <c r="L290" i="5"/>
  <c r="L291" i="5"/>
  <c r="M2" i="5"/>
  <c r="M3" i="5"/>
  <c r="M4" i="5"/>
  <c r="M5" i="5"/>
  <c r="M6" i="5"/>
  <c r="M7" i="5"/>
  <c r="M9" i="5"/>
  <c r="M10" i="5"/>
  <c r="M11" i="5"/>
  <c r="M12" i="5"/>
  <c r="M13" i="5"/>
  <c r="M14" i="5"/>
  <c r="M15" i="5"/>
  <c r="M17" i="5"/>
  <c r="M18" i="5"/>
  <c r="M19" i="5"/>
  <c r="M20" i="5"/>
  <c r="M21" i="5"/>
  <c r="M22" i="5"/>
  <c r="M23" i="5"/>
  <c r="M25" i="5"/>
  <c r="M26" i="5"/>
  <c r="M27" i="5"/>
  <c r="M28" i="5"/>
  <c r="M29" i="5"/>
  <c r="M30" i="5"/>
  <c r="M31" i="5"/>
  <c r="M33" i="5"/>
  <c r="M34" i="5"/>
  <c r="M35" i="5"/>
  <c r="M36" i="5"/>
  <c r="M37" i="5"/>
  <c r="M38" i="5"/>
  <c r="M39" i="5"/>
  <c r="M41" i="5"/>
  <c r="M42" i="5"/>
  <c r="M43" i="5"/>
  <c r="M44" i="5"/>
  <c r="M45" i="5"/>
  <c r="M46" i="5"/>
  <c r="M47" i="5"/>
  <c r="M49" i="5"/>
  <c r="M50" i="5"/>
  <c r="M51" i="5"/>
  <c r="M52" i="5"/>
  <c r="M53" i="5"/>
  <c r="M54" i="5"/>
  <c r="M55" i="5"/>
  <c r="M57" i="5"/>
  <c r="M58" i="5"/>
  <c r="M59" i="5"/>
  <c r="M60" i="5"/>
  <c r="M61" i="5"/>
  <c r="M62" i="5"/>
  <c r="M63" i="5"/>
  <c r="M65" i="5"/>
  <c r="M66" i="5"/>
  <c r="M67" i="5"/>
  <c r="M68" i="5"/>
  <c r="M69" i="5"/>
  <c r="M70" i="5"/>
  <c r="M71" i="5"/>
  <c r="M73" i="5"/>
  <c r="M74" i="5"/>
  <c r="M75" i="5"/>
  <c r="M76" i="5"/>
  <c r="M77" i="5"/>
  <c r="M78" i="5"/>
  <c r="M79" i="5"/>
  <c r="M81" i="5"/>
  <c r="M82" i="5"/>
  <c r="M83" i="5"/>
  <c r="M84" i="5"/>
  <c r="M85" i="5"/>
  <c r="M86" i="5"/>
  <c r="M87" i="5"/>
  <c r="M89" i="5"/>
  <c r="M90" i="5"/>
  <c r="M91" i="5"/>
  <c r="M92" i="5"/>
  <c r="M93" i="5"/>
  <c r="M94" i="5"/>
  <c r="M95" i="5"/>
  <c r="M97" i="5"/>
  <c r="M98" i="5"/>
  <c r="M99" i="5"/>
  <c r="M100" i="5"/>
  <c r="M101" i="5"/>
  <c r="M102" i="5"/>
  <c r="M103" i="5"/>
  <c r="M105" i="5"/>
  <c r="M106" i="5"/>
  <c r="M107" i="5"/>
  <c r="M108" i="5"/>
  <c r="M109" i="5"/>
  <c r="M110" i="5"/>
  <c r="M111" i="5"/>
  <c r="M113" i="5"/>
  <c r="M114" i="5"/>
  <c r="M115" i="5"/>
  <c r="M116" i="5"/>
  <c r="M117" i="5"/>
  <c r="M118" i="5"/>
  <c r="M119" i="5"/>
  <c r="M121" i="5"/>
  <c r="M122" i="5"/>
  <c r="M123" i="5"/>
  <c r="M124" i="5"/>
  <c r="M125" i="5"/>
  <c r="M126" i="5"/>
  <c r="M127" i="5"/>
  <c r="M129" i="5"/>
  <c r="M130" i="5"/>
  <c r="M131" i="5"/>
  <c r="M132" i="5"/>
  <c r="M133" i="5"/>
  <c r="M134" i="5"/>
  <c r="M135" i="5"/>
  <c r="M137" i="5"/>
  <c r="M138" i="5"/>
  <c r="M139" i="5"/>
  <c r="M140" i="5"/>
  <c r="M141" i="5"/>
  <c r="M142" i="5"/>
  <c r="M143" i="5"/>
  <c r="M145" i="5"/>
  <c r="M146" i="5"/>
  <c r="M147" i="5"/>
  <c r="M148" i="5"/>
  <c r="M149" i="5"/>
  <c r="M150" i="5"/>
  <c r="M151" i="5"/>
  <c r="M153" i="5"/>
  <c r="M154" i="5"/>
  <c r="M155" i="5"/>
  <c r="M156" i="5"/>
  <c r="M157" i="5"/>
  <c r="M158" i="5"/>
  <c r="M159" i="5"/>
  <c r="M161" i="5"/>
  <c r="M162" i="5"/>
  <c r="M163" i="5"/>
  <c r="M164" i="5"/>
  <c r="M165" i="5"/>
  <c r="M166" i="5"/>
  <c r="M167" i="5"/>
  <c r="M169" i="5"/>
  <c r="M170" i="5"/>
  <c r="M171" i="5"/>
  <c r="M172" i="5"/>
  <c r="M173" i="5"/>
  <c r="M174" i="5"/>
  <c r="M175" i="5"/>
  <c r="M177" i="5"/>
  <c r="M178" i="5"/>
  <c r="M179" i="5"/>
  <c r="M180" i="5"/>
  <c r="M181" i="5"/>
  <c r="M182" i="5"/>
  <c r="M183" i="5"/>
  <c r="M185" i="5"/>
  <c r="M186" i="5"/>
  <c r="M187" i="5"/>
  <c r="M188" i="5"/>
  <c r="M189" i="5"/>
  <c r="M190" i="5"/>
  <c r="M191" i="5"/>
  <c r="M193" i="5"/>
  <c r="M194" i="5"/>
  <c r="M195" i="5"/>
  <c r="M196" i="5"/>
  <c r="M197" i="5"/>
  <c r="M198" i="5"/>
  <c r="M199" i="5"/>
  <c r="M201" i="5"/>
  <c r="M202" i="5"/>
  <c r="M203" i="5"/>
  <c r="M204" i="5"/>
  <c r="M205" i="5"/>
  <c r="M206" i="5"/>
  <c r="M207" i="5"/>
  <c r="M209" i="5"/>
  <c r="M210" i="5"/>
  <c r="M211" i="5"/>
  <c r="M212" i="5"/>
  <c r="M213" i="5"/>
  <c r="M214" i="5"/>
  <c r="M215" i="5"/>
  <c r="M217" i="5"/>
  <c r="M218" i="5"/>
  <c r="M219" i="5"/>
  <c r="M220" i="5"/>
  <c r="M221" i="5"/>
  <c r="M222" i="5"/>
  <c r="M223" i="5"/>
  <c r="M225" i="5"/>
  <c r="M226" i="5"/>
  <c r="M227" i="5"/>
  <c r="M228" i="5"/>
  <c r="M229" i="5"/>
  <c r="M230" i="5"/>
  <c r="M231" i="5"/>
  <c r="M233" i="5"/>
  <c r="M234" i="5"/>
  <c r="M235" i="5"/>
  <c r="M236" i="5"/>
  <c r="M237" i="5"/>
  <c r="M238" i="5"/>
  <c r="M239" i="5"/>
  <c r="M241" i="5"/>
  <c r="M242" i="5"/>
  <c r="M243" i="5"/>
  <c r="M244" i="5"/>
  <c r="M245" i="5"/>
  <c r="M246" i="5"/>
  <c r="M247" i="5"/>
  <c r="M249" i="5"/>
  <c r="M250" i="5"/>
  <c r="M251" i="5"/>
  <c r="M252" i="5"/>
  <c r="M253" i="5"/>
  <c r="M254" i="5"/>
  <c r="M255" i="5"/>
  <c r="M257" i="5"/>
  <c r="M258" i="5"/>
  <c r="M259" i="5"/>
  <c r="M260" i="5"/>
  <c r="M261" i="5"/>
  <c r="M262" i="5"/>
  <c r="M263" i="5"/>
  <c r="M265" i="5"/>
  <c r="M266" i="5"/>
  <c r="M267" i="5"/>
  <c r="M268" i="5"/>
  <c r="M269" i="5"/>
  <c r="M270" i="5"/>
  <c r="M271" i="5"/>
  <c r="M273" i="5"/>
  <c r="M274" i="5"/>
  <c r="M275" i="5"/>
  <c r="M276" i="5"/>
  <c r="M277" i="5"/>
  <c r="M278" i="5"/>
  <c r="M279" i="5"/>
  <c r="M281" i="5"/>
  <c r="M282" i="5"/>
  <c r="M283" i="5"/>
  <c r="M284" i="5"/>
  <c r="M285" i="5"/>
  <c r="M286" i="5"/>
  <c r="M287" i="5"/>
  <c r="M289" i="5"/>
  <c r="M290" i="5"/>
  <c r="M291" i="5"/>
  <c r="N2" i="5"/>
  <c r="N3" i="5"/>
  <c r="N4" i="5"/>
  <c r="N5" i="5"/>
  <c r="N6" i="5"/>
  <c r="N7" i="5"/>
  <c r="N9" i="5"/>
  <c r="P9" i="5" s="1"/>
  <c r="N10" i="5"/>
  <c r="N11" i="5"/>
  <c r="N12" i="5"/>
  <c r="N13" i="5"/>
  <c r="N14" i="5"/>
  <c r="N15" i="5"/>
  <c r="N17" i="5"/>
  <c r="N18" i="5"/>
  <c r="N19" i="5"/>
  <c r="N20" i="5"/>
  <c r="N21" i="5"/>
  <c r="N22" i="5"/>
  <c r="N23" i="5"/>
  <c r="N25" i="5"/>
  <c r="N26" i="5"/>
  <c r="N27" i="5"/>
  <c r="P27" i="5" s="1"/>
  <c r="N28" i="5"/>
  <c r="N29" i="5"/>
  <c r="N30" i="5"/>
  <c r="N31" i="5"/>
  <c r="N33" i="5"/>
  <c r="N34" i="5"/>
  <c r="N35" i="5"/>
  <c r="N36" i="5"/>
  <c r="N37" i="5"/>
  <c r="N38" i="5"/>
  <c r="N39" i="5"/>
  <c r="N41" i="5"/>
  <c r="N42" i="5"/>
  <c r="N43" i="5"/>
  <c r="N44" i="5"/>
  <c r="N45" i="5"/>
  <c r="P45" i="5" s="1"/>
  <c r="N46" i="5"/>
  <c r="N47" i="5"/>
  <c r="N49" i="5"/>
  <c r="N50" i="5"/>
  <c r="N51" i="5"/>
  <c r="N52" i="5"/>
  <c r="N53" i="5"/>
  <c r="N54" i="5"/>
  <c r="P54" i="5" s="1"/>
  <c r="N55" i="5"/>
  <c r="N57" i="5"/>
  <c r="N58" i="5"/>
  <c r="N59" i="5"/>
  <c r="N60" i="5"/>
  <c r="N61" i="5"/>
  <c r="N62" i="5"/>
  <c r="N63" i="5"/>
  <c r="P63" i="5" s="1"/>
  <c r="N65" i="5"/>
  <c r="N66" i="5"/>
  <c r="N67" i="5"/>
  <c r="N68" i="5"/>
  <c r="N69" i="5"/>
  <c r="N70" i="5"/>
  <c r="N71" i="5"/>
  <c r="N73" i="5"/>
  <c r="N74" i="5"/>
  <c r="N75" i="5"/>
  <c r="N76" i="5"/>
  <c r="N77" i="5"/>
  <c r="N78" i="5"/>
  <c r="N79" i="5"/>
  <c r="N81" i="5"/>
  <c r="N82" i="5"/>
  <c r="N83" i="5"/>
  <c r="N84" i="5"/>
  <c r="N85" i="5"/>
  <c r="N86" i="5"/>
  <c r="N87" i="5"/>
  <c r="N89" i="5"/>
  <c r="N90" i="5"/>
  <c r="N91" i="5"/>
  <c r="P91" i="5" s="1"/>
  <c r="N92" i="5"/>
  <c r="N93" i="5"/>
  <c r="N94" i="5"/>
  <c r="N95" i="5"/>
  <c r="N97" i="5"/>
  <c r="N98" i="5"/>
  <c r="N99" i="5"/>
  <c r="N100" i="5"/>
  <c r="N101" i="5"/>
  <c r="N102" i="5"/>
  <c r="N103" i="5"/>
  <c r="N105" i="5"/>
  <c r="N106" i="5"/>
  <c r="N107" i="5"/>
  <c r="N108" i="5"/>
  <c r="N109" i="5"/>
  <c r="P109" i="5" s="1"/>
  <c r="N110" i="5"/>
  <c r="N111" i="5"/>
  <c r="N113" i="5"/>
  <c r="N114" i="5"/>
  <c r="N115" i="5"/>
  <c r="N116" i="5"/>
  <c r="N117" i="5"/>
  <c r="N118" i="5"/>
  <c r="N119" i="5"/>
  <c r="N121" i="5"/>
  <c r="N122" i="5"/>
  <c r="N123" i="5"/>
  <c r="N124" i="5"/>
  <c r="N125" i="5"/>
  <c r="N126" i="5"/>
  <c r="N127" i="5"/>
  <c r="N129" i="5"/>
  <c r="N130" i="5"/>
  <c r="N131" i="5"/>
  <c r="N132" i="5"/>
  <c r="N133" i="5"/>
  <c r="N134" i="5"/>
  <c r="N135" i="5"/>
  <c r="N137" i="5"/>
  <c r="N138" i="5"/>
  <c r="N139" i="5"/>
  <c r="N140" i="5"/>
  <c r="N141" i="5"/>
  <c r="N142" i="5"/>
  <c r="N143" i="5"/>
  <c r="N145" i="5"/>
  <c r="N146" i="5"/>
  <c r="N147" i="5"/>
  <c r="N148" i="5"/>
  <c r="N149" i="5"/>
  <c r="N150" i="5"/>
  <c r="N151" i="5"/>
  <c r="N153" i="5"/>
  <c r="N154" i="5"/>
  <c r="N155" i="5"/>
  <c r="N156" i="5"/>
  <c r="N157" i="5"/>
  <c r="N158" i="5"/>
  <c r="N159" i="5"/>
  <c r="N161" i="5"/>
  <c r="N162" i="5"/>
  <c r="N163" i="5"/>
  <c r="N164" i="5"/>
  <c r="P164" i="5" s="1"/>
  <c r="N165" i="5"/>
  <c r="N166" i="5"/>
  <c r="N167" i="5"/>
  <c r="N169" i="5"/>
  <c r="N170" i="5"/>
  <c r="N171" i="5"/>
  <c r="N172" i="5"/>
  <c r="N173" i="5"/>
  <c r="P173" i="5" s="1"/>
  <c r="N174" i="5"/>
  <c r="N175" i="5"/>
  <c r="N177" i="5"/>
  <c r="N178" i="5"/>
  <c r="N179" i="5"/>
  <c r="N180" i="5"/>
  <c r="N181" i="5"/>
  <c r="N182" i="5"/>
  <c r="P182" i="5" s="1"/>
  <c r="N183" i="5"/>
  <c r="N185" i="5"/>
  <c r="N186" i="5"/>
  <c r="N187" i="5"/>
  <c r="N188" i="5"/>
  <c r="N189" i="5"/>
  <c r="N190" i="5"/>
  <c r="N191" i="5"/>
  <c r="P191" i="5" s="1"/>
  <c r="N193" i="5"/>
  <c r="N194" i="5"/>
  <c r="N195" i="5"/>
  <c r="N196" i="5"/>
  <c r="N197" i="5"/>
  <c r="N198" i="5"/>
  <c r="N199" i="5"/>
  <c r="N201" i="5"/>
  <c r="P201" i="5" s="1"/>
  <c r="N202" i="5"/>
  <c r="N203" i="5"/>
  <c r="N204" i="5"/>
  <c r="N205" i="5"/>
  <c r="N206" i="5"/>
  <c r="N207" i="5"/>
  <c r="N209" i="5"/>
  <c r="N210" i="5"/>
  <c r="N211" i="5"/>
  <c r="N212" i="5"/>
  <c r="N213" i="5"/>
  <c r="N214" i="5"/>
  <c r="N215" i="5"/>
  <c r="N217" i="5"/>
  <c r="N218" i="5"/>
  <c r="N219" i="5"/>
  <c r="N220" i="5"/>
  <c r="N221" i="5"/>
  <c r="N222" i="5"/>
  <c r="N223" i="5"/>
  <c r="N225" i="5"/>
  <c r="N226" i="5"/>
  <c r="N227" i="5"/>
  <c r="N228" i="5"/>
  <c r="N229" i="5"/>
  <c r="N230" i="5"/>
  <c r="N231" i="5"/>
  <c r="N233" i="5"/>
  <c r="N234" i="5"/>
  <c r="N235" i="5"/>
  <c r="N236" i="5"/>
  <c r="N237" i="5"/>
  <c r="P237" i="5" s="1"/>
  <c r="N238" i="5"/>
  <c r="N239" i="5"/>
  <c r="N241" i="5"/>
  <c r="N242" i="5"/>
  <c r="N243" i="5"/>
  <c r="N244" i="5"/>
  <c r="N245" i="5"/>
  <c r="N246" i="5"/>
  <c r="P246" i="5" s="1"/>
  <c r="N247" i="5"/>
  <c r="N249" i="5"/>
  <c r="N250" i="5"/>
  <c r="N251" i="5"/>
  <c r="N252" i="5"/>
  <c r="N253" i="5"/>
  <c r="N254" i="5"/>
  <c r="N255" i="5"/>
  <c r="N257" i="5"/>
  <c r="N258" i="5"/>
  <c r="N259" i="5"/>
  <c r="N260" i="5"/>
  <c r="N261" i="5"/>
  <c r="N262" i="5"/>
  <c r="N263" i="5"/>
  <c r="N265" i="5"/>
  <c r="P265" i="5" s="1"/>
  <c r="N266" i="5"/>
  <c r="N267" i="5"/>
  <c r="N268" i="5"/>
  <c r="N269" i="5"/>
  <c r="N270" i="5"/>
  <c r="N271" i="5"/>
  <c r="N273" i="5"/>
  <c r="N274" i="5"/>
  <c r="N275" i="5"/>
  <c r="N276" i="5"/>
  <c r="N277" i="5"/>
  <c r="N278" i="5"/>
  <c r="N279" i="5"/>
  <c r="N281" i="5"/>
  <c r="N282" i="5"/>
  <c r="N283" i="5"/>
  <c r="N284" i="5"/>
  <c r="N285" i="5"/>
  <c r="N286" i="5"/>
  <c r="N287" i="5"/>
  <c r="N289" i="5"/>
  <c r="N290" i="5"/>
  <c r="N291" i="5"/>
  <c r="O2" i="5"/>
  <c r="P2" i="5" s="1"/>
  <c r="O3" i="5"/>
  <c r="O4" i="5"/>
  <c r="O5" i="5"/>
  <c r="O6" i="5"/>
  <c r="O7" i="5"/>
  <c r="O8" i="5"/>
  <c r="O9" i="5"/>
  <c r="O10" i="5"/>
  <c r="P10" i="5" s="1"/>
  <c r="O11" i="5"/>
  <c r="O12" i="5"/>
  <c r="O13" i="5"/>
  <c r="O14" i="5"/>
  <c r="O15" i="5"/>
  <c r="O16" i="5"/>
  <c r="O17" i="5"/>
  <c r="O18" i="5"/>
  <c r="P18" i="5" s="1"/>
  <c r="O19" i="5"/>
  <c r="O20" i="5"/>
  <c r="O21" i="5"/>
  <c r="O22" i="5"/>
  <c r="O23" i="5"/>
  <c r="O24" i="5"/>
  <c r="O25" i="5"/>
  <c r="O26" i="5"/>
  <c r="P26" i="5" s="1"/>
  <c r="O27" i="5"/>
  <c r="O28" i="5"/>
  <c r="O29" i="5"/>
  <c r="O30" i="5"/>
  <c r="O31" i="5"/>
  <c r="O32" i="5"/>
  <c r="O33" i="5"/>
  <c r="O34" i="5"/>
  <c r="P34" i="5" s="1"/>
  <c r="O35" i="5"/>
  <c r="O36" i="5"/>
  <c r="O37" i="5"/>
  <c r="O38" i="5"/>
  <c r="O39" i="5"/>
  <c r="O40" i="5"/>
  <c r="O41" i="5"/>
  <c r="O42" i="5"/>
  <c r="P42" i="5" s="1"/>
  <c r="O43" i="5"/>
  <c r="O44" i="5"/>
  <c r="O45" i="5"/>
  <c r="O46" i="5"/>
  <c r="O47" i="5"/>
  <c r="O48" i="5"/>
  <c r="O49" i="5"/>
  <c r="O50" i="5"/>
  <c r="P50" i="5" s="1"/>
  <c r="O51" i="5"/>
  <c r="O52" i="5"/>
  <c r="O53" i="5"/>
  <c r="O54" i="5"/>
  <c r="O55" i="5"/>
  <c r="O56" i="5"/>
  <c r="O57" i="5"/>
  <c r="O58" i="5"/>
  <c r="P58" i="5" s="1"/>
  <c r="O59" i="5"/>
  <c r="O60" i="5"/>
  <c r="O61" i="5"/>
  <c r="O62" i="5"/>
  <c r="O63" i="5"/>
  <c r="O64" i="5"/>
  <c r="O65" i="5"/>
  <c r="O66" i="5"/>
  <c r="P66" i="5" s="1"/>
  <c r="O67" i="5"/>
  <c r="O68" i="5"/>
  <c r="O69" i="5"/>
  <c r="O70" i="5"/>
  <c r="O71" i="5"/>
  <c r="O72" i="5"/>
  <c r="O73" i="5"/>
  <c r="O74" i="5"/>
  <c r="P74" i="5" s="1"/>
  <c r="O75" i="5"/>
  <c r="O76" i="5"/>
  <c r="O77" i="5"/>
  <c r="O78" i="5"/>
  <c r="O79" i="5"/>
  <c r="O80" i="5"/>
  <c r="O81" i="5"/>
  <c r="O82" i="5"/>
  <c r="P82" i="5" s="1"/>
  <c r="O83" i="5"/>
  <c r="O84" i="5"/>
  <c r="O85" i="5"/>
  <c r="O86" i="5"/>
  <c r="O87" i="5"/>
  <c r="O88" i="5"/>
  <c r="O89" i="5"/>
  <c r="O90" i="5"/>
  <c r="P90" i="5" s="1"/>
  <c r="O91" i="5"/>
  <c r="O92" i="5"/>
  <c r="O93" i="5"/>
  <c r="P93" i="5" s="1"/>
  <c r="O94" i="5"/>
  <c r="O95" i="5"/>
  <c r="O96" i="5"/>
  <c r="O97" i="5"/>
  <c r="O98" i="5"/>
  <c r="P98" i="5" s="1"/>
  <c r="O99" i="5"/>
  <c r="O100" i="5"/>
  <c r="O101" i="5"/>
  <c r="O102" i="5"/>
  <c r="O103" i="5"/>
  <c r="O104" i="5"/>
  <c r="O105" i="5"/>
  <c r="O106" i="5"/>
  <c r="P106" i="5" s="1"/>
  <c r="O107" i="5"/>
  <c r="O108" i="5"/>
  <c r="O109" i="5"/>
  <c r="O110" i="5"/>
  <c r="O111" i="5"/>
  <c r="O112" i="5"/>
  <c r="O113" i="5"/>
  <c r="O114" i="5"/>
  <c r="P114" i="5" s="1"/>
  <c r="O115" i="5"/>
  <c r="O116" i="5"/>
  <c r="O117" i="5"/>
  <c r="P117" i="5" s="1"/>
  <c r="O118" i="5"/>
  <c r="O119" i="5"/>
  <c r="O120" i="5"/>
  <c r="O121" i="5"/>
  <c r="O122" i="5"/>
  <c r="P122" i="5" s="1"/>
  <c r="O123" i="5"/>
  <c r="O124" i="5"/>
  <c r="O125" i="5"/>
  <c r="P125" i="5" s="1"/>
  <c r="O126" i="5"/>
  <c r="O127" i="5"/>
  <c r="O128" i="5"/>
  <c r="O129" i="5"/>
  <c r="O130" i="5"/>
  <c r="P130" i="5" s="1"/>
  <c r="O131" i="5"/>
  <c r="O132" i="5"/>
  <c r="O133" i="5"/>
  <c r="O134" i="5"/>
  <c r="O135" i="5"/>
  <c r="O136" i="5"/>
  <c r="O137" i="5"/>
  <c r="O138" i="5"/>
  <c r="P138" i="5" s="1"/>
  <c r="O139" i="5"/>
  <c r="P139" i="5" s="1"/>
  <c r="O140" i="5"/>
  <c r="O141" i="5"/>
  <c r="P141" i="5" s="1"/>
  <c r="O142" i="5"/>
  <c r="O143" i="5"/>
  <c r="O144" i="5"/>
  <c r="O145" i="5"/>
  <c r="O146" i="5"/>
  <c r="P146" i="5" s="1"/>
  <c r="O147" i="5"/>
  <c r="P147" i="5" s="1"/>
  <c r="O148" i="5"/>
  <c r="O149" i="5"/>
  <c r="P149" i="5" s="1"/>
  <c r="O150" i="5"/>
  <c r="O151" i="5"/>
  <c r="O152" i="5"/>
  <c r="O153" i="5"/>
  <c r="O154" i="5"/>
  <c r="O155" i="5"/>
  <c r="O156" i="5"/>
  <c r="O157" i="5"/>
  <c r="P157" i="5" s="1"/>
  <c r="O158" i="5"/>
  <c r="O159" i="5"/>
  <c r="P159" i="5" s="1"/>
  <c r="O160" i="5"/>
  <c r="O161" i="5"/>
  <c r="O162" i="5"/>
  <c r="P162" i="5" s="1"/>
  <c r="O163" i="5"/>
  <c r="P163" i="5" s="1"/>
  <c r="O164" i="5"/>
  <c r="O165" i="5"/>
  <c r="P165" i="5" s="1"/>
  <c r="O166" i="5"/>
  <c r="O167" i="5"/>
  <c r="O168" i="5"/>
  <c r="O169" i="5"/>
  <c r="O170" i="5"/>
  <c r="P170" i="5" s="1"/>
  <c r="O171" i="5"/>
  <c r="P171" i="5" s="1"/>
  <c r="O172" i="5"/>
  <c r="O173" i="5"/>
  <c r="O174" i="5"/>
  <c r="O175" i="5"/>
  <c r="P175" i="5" s="1"/>
  <c r="O176" i="5"/>
  <c r="O177" i="5"/>
  <c r="P177" i="5" s="1"/>
  <c r="O178" i="5"/>
  <c r="P178" i="5" s="1"/>
  <c r="O179" i="5"/>
  <c r="P179" i="5" s="1"/>
  <c r="O180" i="5"/>
  <c r="O181" i="5"/>
  <c r="P181" i="5" s="1"/>
  <c r="O182" i="5"/>
  <c r="O183" i="5"/>
  <c r="O184" i="5"/>
  <c r="O185" i="5"/>
  <c r="O186" i="5"/>
  <c r="P186" i="5" s="1"/>
  <c r="O187" i="5"/>
  <c r="P187" i="5" s="1"/>
  <c r="O188" i="5"/>
  <c r="O189" i="5"/>
  <c r="O190" i="5"/>
  <c r="O191" i="5"/>
  <c r="O192" i="5"/>
  <c r="O193" i="5"/>
  <c r="P193" i="5" s="1"/>
  <c r="O194" i="5"/>
  <c r="P194" i="5" s="1"/>
  <c r="O195" i="5"/>
  <c r="P195" i="5" s="1"/>
  <c r="O196" i="5"/>
  <c r="O197" i="5"/>
  <c r="P197" i="5" s="1"/>
  <c r="O198" i="5"/>
  <c r="O199" i="5"/>
  <c r="O200" i="5"/>
  <c r="O201" i="5"/>
  <c r="O202" i="5"/>
  <c r="P202" i="5" s="1"/>
  <c r="O203" i="5"/>
  <c r="P203" i="5" s="1"/>
  <c r="O204" i="5"/>
  <c r="O205" i="5"/>
  <c r="P205" i="5" s="1"/>
  <c r="O206" i="5"/>
  <c r="O207" i="5"/>
  <c r="O208" i="5"/>
  <c r="O209" i="5"/>
  <c r="O210" i="5"/>
  <c r="P210" i="5" s="1"/>
  <c r="O211" i="5"/>
  <c r="P211" i="5" s="1"/>
  <c r="O212" i="5"/>
  <c r="O213" i="5"/>
  <c r="P213" i="5" s="1"/>
  <c r="O214" i="5"/>
  <c r="O215" i="5"/>
  <c r="O216" i="5"/>
  <c r="O217" i="5"/>
  <c r="O218" i="5"/>
  <c r="P218" i="5" s="1"/>
  <c r="O219" i="5"/>
  <c r="O220" i="5"/>
  <c r="O221" i="5"/>
  <c r="P221" i="5" s="1"/>
  <c r="O222" i="5"/>
  <c r="O223" i="5"/>
  <c r="P223" i="5" s="1"/>
  <c r="O224" i="5"/>
  <c r="O225" i="5"/>
  <c r="O226" i="5"/>
  <c r="P226" i="5" s="1"/>
  <c r="O227" i="5"/>
  <c r="P227" i="5" s="1"/>
  <c r="O228" i="5"/>
  <c r="O229" i="5"/>
  <c r="P229" i="5" s="1"/>
  <c r="O230" i="5"/>
  <c r="O231" i="5"/>
  <c r="P231" i="5" s="1"/>
  <c r="O232" i="5"/>
  <c r="P232" i="5" s="1"/>
  <c r="O233" i="5"/>
  <c r="O234" i="5"/>
  <c r="P234" i="5" s="1"/>
  <c r="O235" i="5"/>
  <c r="P235" i="5" s="1"/>
  <c r="O236" i="5"/>
  <c r="O237" i="5"/>
  <c r="O238" i="5"/>
  <c r="O239" i="5"/>
  <c r="P239" i="5" s="1"/>
  <c r="O240" i="5"/>
  <c r="O241" i="5"/>
  <c r="P241" i="5" s="1"/>
  <c r="O242" i="5"/>
  <c r="P242" i="5" s="1"/>
  <c r="O243" i="5"/>
  <c r="P243" i="5" s="1"/>
  <c r="O244" i="5"/>
  <c r="O245" i="5"/>
  <c r="P245" i="5" s="1"/>
  <c r="O246" i="5"/>
  <c r="O247" i="5"/>
  <c r="O248" i="5"/>
  <c r="O249" i="5"/>
  <c r="O250" i="5"/>
  <c r="P250" i="5" s="1"/>
  <c r="O251" i="5"/>
  <c r="P251" i="5" s="1"/>
  <c r="O252" i="5"/>
  <c r="O253" i="5"/>
  <c r="O254" i="5"/>
  <c r="O255" i="5"/>
  <c r="O256" i="5"/>
  <c r="O257" i="5"/>
  <c r="P257" i="5" s="1"/>
  <c r="O258" i="5"/>
  <c r="P258" i="5" s="1"/>
  <c r="O259" i="5"/>
  <c r="P259" i="5" s="1"/>
  <c r="O260" i="5"/>
  <c r="O261" i="5"/>
  <c r="P261" i="5" s="1"/>
  <c r="O262" i="5"/>
  <c r="O263" i="5"/>
  <c r="O264" i="5"/>
  <c r="O265" i="5"/>
  <c r="O266" i="5"/>
  <c r="P266" i="5" s="1"/>
  <c r="O267" i="5"/>
  <c r="P267" i="5" s="1"/>
  <c r="O268" i="5"/>
  <c r="O269" i="5"/>
  <c r="P269" i="5" s="1"/>
  <c r="O270" i="5"/>
  <c r="O271" i="5"/>
  <c r="P271" i="5" s="1"/>
  <c r="O272" i="5"/>
  <c r="O273" i="5"/>
  <c r="O274" i="5"/>
  <c r="P274" i="5" s="1"/>
  <c r="O275" i="5"/>
  <c r="P275" i="5" s="1"/>
  <c r="O276" i="5"/>
  <c r="O277" i="5"/>
  <c r="P277" i="5" s="1"/>
  <c r="O278" i="5"/>
  <c r="O279" i="5"/>
  <c r="P279" i="5" s="1"/>
  <c r="O280" i="5"/>
  <c r="P280" i="5" s="1"/>
  <c r="O281" i="5"/>
  <c r="P281" i="5" s="1"/>
  <c r="O282" i="5"/>
  <c r="P282" i="5" s="1"/>
  <c r="O283" i="5"/>
  <c r="P283" i="5" s="1"/>
  <c r="O284" i="5"/>
  <c r="O285" i="5"/>
  <c r="P285" i="5" s="1"/>
  <c r="O286" i="5"/>
  <c r="P286" i="5" s="1"/>
  <c r="O287" i="5"/>
  <c r="P287" i="5" s="1"/>
  <c r="O288" i="5"/>
  <c r="O289" i="5"/>
  <c r="P289" i="5" s="1"/>
  <c r="O290" i="5"/>
  <c r="P290" i="5" s="1"/>
  <c r="O291" i="5"/>
  <c r="P291" i="5" s="1"/>
  <c r="P3" i="5"/>
  <c r="P4" i="5"/>
  <c r="P5" i="5"/>
  <c r="P6" i="5"/>
  <c r="P7" i="5"/>
  <c r="P11" i="5"/>
  <c r="P13" i="5"/>
  <c r="P14" i="5"/>
  <c r="P15" i="5"/>
  <c r="P17" i="5"/>
  <c r="P19" i="5"/>
  <c r="P21" i="5"/>
  <c r="P22" i="5"/>
  <c r="P23" i="5"/>
  <c r="P25" i="5"/>
  <c r="P29" i="5"/>
  <c r="P30" i="5"/>
  <c r="P31" i="5"/>
  <c r="P33" i="5"/>
  <c r="P35" i="5"/>
  <c r="P36" i="5"/>
  <c r="P37" i="5"/>
  <c r="P38" i="5"/>
  <c r="P39" i="5"/>
  <c r="P41" i="5"/>
  <c r="P43" i="5"/>
  <c r="P46" i="5"/>
  <c r="P47" i="5"/>
  <c r="P49" i="5"/>
  <c r="P51" i="5"/>
  <c r="P53" i="5"/>
  <c r="P55" i="5"/>
  <c r="P57" i="5"/>
  <c r="P59" i="5"/>
  <c r="P61" i="5"/>
  <c r="P62" i="5"/>
  <c r="P65" i="5"/>
  <c r="P67" i="5"/>
  <c r="P69" i="5"/>
  <c r="P70" i="5"/>
  <c r="P71" i="5"/>
  <c r="P73" i="5"/>
  <c r="P75" i="5"/>
  <c r="P77" i="5"/>
  <c r="P78" i="5"/>
  <c r="P79" i="5"/>
  <c r="P80" i="5"/>
  <c r="P81" i="5"/>
  <c r="P83" i="5"/>
  <c r="P84" i="5"/>
  <c r="P85" i="5"/>
  <c r="P86" i="5"/>
  <c r="P87" i="5"/>
  <c r="P88" i="5"/>
  <c r="P89" i="5"/>
  <c r="P94" i="5"/>
  <c r="P95" i="5"/>
  <c r="P97" i="5"/>
  <c r="P99" i="5"/>
  <c r="P101" i="5"/>
  <c r="P102" i="5"/>
  <c r="P103" i="5"/>
  <c r="P105" i="5"/>
  <c r="P107" i="5"/>
  <c r="P110" i="5"/>
  <c r="P111" i="5"/>
  <c r="P113" i="5"/>
  <c r="P115" i="5"/>
  <c r="P118" i="5"/>
  <c r="P119" i="5"/>
  <c r="P120" i="5"/>
  <c r="P121" i="5"/>
  <c r="P123" i="5"/>
  <c r="P124" i="5"/>
  <c r="P126" i="5"/>
  <c r="P127" i="5"/>
  <c r="P128" i="5"/>
  <c r="P129" i="5"/>
  <c r="P131" i="5"/>
  <c r="P133" i="5"/>
  <c r="P134" i="5"/>
  <c r="P135" i="5"/>
  <c r="P136" i="5"/>
  <c r="P137" i="5"/>
  <c r="P140" i="5"/>
  <c r="P142" i="5"/>
  <c r="P143" i="5"/>
  <c r="P145" i="5"/>
  <c r="P150" i="5"/>
  <c r="P151" i="5"/>
  <c r="P153" i="5"/>
  <c r="P154" i="5"/>
  <c r="P156" i="5"/>
  <c r="P158" i="5"/>
  <c r="P160" i="5"/>
  <c r="P161" i="5"/>
  <c r="P166" i="5"/>
  <c r="P167" i="5"/>
  <c r="P169" i="5"/>
  <c r="P172" i="5"/>
  <c r="P174" i="5"/>
  <c r="P180" i="5"/>
  <c r="P183" i="5"/>
  <c r="P185" i="5"/>
  <c r="P188" i="5"/>
  <c r="P189" i="5"/>
  <c r="P190" i="5"/>
  <c r="P198" i="5"/>
  <c r="P199" i="5"/>
  <c r="P204" i="5"/>
  <c r="P206" i="5"/>
  <c r="P207" i="5"/>
  <c r="P209" i="5"/>
  <c r="P214" i="5"/>
  <c r="P215" i="5"/>
  <c r="P217" i="5"/>
  <c r="P220" i="5"/>
  <c r="P222" i="5"/>
  <c r="P224" i="5"/>
  <c r="P225" i="5"/>
  <c r="P228" i="5"/>
  <c r="P230" i="5"/>
  <c r="P233" i="5"/>
  <c r="P236" i="5"/>
  <c r="P238" i="5"/>
  <c r="P244" i="5"/>
  <c r="P247" i="5"/>
  <c r="P249" i="5"/>
  <c r="P252" i="5"/>
  <c r="P253" i="5"/>
  <c r="P254" i="5"/>
  <c r="P262" i="5"/>
  <c r="P263" i="5"/>
  <c r="P268" i="5"/>
  <c r="P270" i="5"/>
  <c r="P273" i="5"/>
  <c r="P276" i="5"/>
  <c r="P278" i="5"/>
  <c r="P284"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P219" i="5" l="1"/>
  <c r="P155" i="5"/>
  <c r="P255" i="5"/>
  <c r="P92" i="5"/>
  <c r="P28" i="5"/>
  <c r="P100" i="5"/>
  <c r="P108" i="5"/>
  <c r="P44" i="5"/>
  <c r="P116" i="5"/>
  <c r="P52" i="5"/>
  <c r="P60" i="5"/>
  <c r="P260" i="5"/>
  <c r="P196" i="5"/>
  <c r="P132" i="5"/>
  <c r="P68" i="5"/>
  <c r="P76" i="5"/>
  <c r="P12" i="5"/>
  <c r="P212" i="5"/>
  <c r="P148" i="5"/>
  <c r="P20" i="5"/>
  <c r="N288" i="5"/>
  <c r="P288" i="5" s="1"/>
  <c r="N280" i="5"/>
  <c r="N272" i="5"/>
  <c r="P272" i="5" s="1"/>
  <c r="N264" i="5"/>
  <c r="P264" i="5" s="1"/>
  <c r="N256" i="5"/>
  <c r="P256" i="5" s="1"/>
  <c r="N248" i="5"/>
  <c r="P248" i="5" s="1"/>
  <c r="N240" i="5"/>
  <c r="P240" i="5" s="1"/>
  <c r="N232" i="5"/>
  <c r="N224" i="5"/>
  <c r="N216" i="5"/>
  <c r="P216" i="5" s="1"/>
  <c r="N208" i="5"/>
  <c r="P208" i="5" s="1"/>
  <c r="N200" i="5"/>
  <c r="P200" i="5" s="1"/>
  <c r="N192" i="5"/>
  <c r="P192" i="5" s="1"/>
  <c r="N184" i="5"/>
  <c r="P184" i="5" s="1"/>
  <c r="N176" i="5"/>
  <c r="P176" i="5" s="1"/>
  <c r="N168" i="5"/>
  <c r="P168" i="5" s="1"/>
  <c r="N160" i="5"/>
  <c r="N152" i="5"/>
  <c r="P152" i="5" s="1"/>
  <c r="N144" i="5"/>
  <c r="P144" i="5" s="1"/>
  <c r="N136" i="5"/>
  <c r="N128" i="5"/>
  <c r="N120" i="5"/>
  <c r="N112" i="5"/>
  <c r="P112" i="5" s="1"/>
  <c r="N104" i="5"/>
  <c r="P104" i="5" s="1"/>
  <c r="N96" i="5"/>
  <c r="P96" i="5" s="1"/>
  <c r="N88" i="5"/>
  <c r="N80" i="5"/>
  <c r="N72" i="5"/>
  <c r="P72" i="5" s="1"/>
  <c r="N64" i="5"/>
  <c r="P64" i="5" s="1"/>
  <c r="N56" i="5"/>
  <c r="P56" i="5" s="1"/>
  <c r="N48" i="5"/>
  <c r="P48" i="5" s="1"/>
  <c r="N40" i="5"/>
  <c r="P40" i="5" s="1"/>
  <c r="N32" i="5"/>
  <c r="P32" i="5" s="1"/>
  <c r="N24" i="5"/>
  <c r="P24" i="5" s="1"/>
  <c r="N16" i="5"/>
  <c r="P16" i="5" s="1"/>
  <c r="N8" i="5"/>
  <c r="P8" i="5" s="1"/>
  <c r="E24" i="1" l="1"/>
  <c r="A11" i="1"/>
  <c r="A12" i="1"/>
  <c r="A13" i="1"/>
  <c r="G11" i="1"/>
  <c r="G12" i="1"/>
  <c r="G13" i="1"/>
  <c r="H11" i="1"/>
  <c r="H12" i="1"/>
  <c r="H13" i="1"/>
  <c r="I11" i="1"/>
  <c r="I12" i="1"/>
  <c r="I13" i="1"/>
  <c r="G8" i="1" l="1"/>
  <c r="G9" i="1"/>
  <c r="G10" i="1"/>
  <c r="H8" i="1"/>
  <c r="H9" i="1"/>
  <c r="H10" i="1"/>
  <c r="I8" i="1"/>
  <c r="I9" i="1"/>
  <c r="I10" i="1"/>
  <c r="B27" i="8"/>
  <c r="B26" i="8"/>
  <c r="B25" i="8"/>
  <c r="C24" i="8"/>
  <c r="C23" i="8"/>
  <c r="C21" i="8"/>
  <c r="B21" i="8"/>
  <c r="A21" i="8"/>
  <c r="C20" i="8"/>
  <c r="B20" i="8"/>
  <c r="A20" i="8"/>
  <c r="C19" i="8"/>
  <c r="B19" i="8"/>
  <c r="A19" i="8"/>
  <c r="C18" i="8"/>
  <c r="B18" i="8"/>
  <c r="A18" i="8"/>
  <c r="C17" i="8"/>
  <c r="B17" i="8"/>
  <c r="A17" i="8"/>
  <c r="C16" i="8"/>
  <c r="B16" i="8"/>
  <c r="A16" i="8"/>
  <c r="C15" i="8"/>
  <c r="B15" i="8"/>
  <c r="A15" i="8"/>
  <c r="C14" i="8"/>
  <c r="B14" i="8"/>
  <c r="A14" i="8"/>
  <c r="C13" i="8"/>
  <c r="B13" i="8"/>
  <c r="A13" i="8"/>
  <c r="C12" i="8"/>
  <c r="B12" i="8"/>
  <c r="A12" i="8"/>
  <c r="C11" i="8"/>
  <c r="B11" i="8"/>
  <c r="A11" i="8"/>
  <c r="C10" i="8"/>
  <c r="B10" i="8"/>
  <c r="A10" i="8"/>
  <c r="C9" i="8"/>
  <c r="B9" i="8"/>
  <c r="A9" i="8"/>
  <c r="C8" i="8"/>
  <c r="B8" i="8"/>
  <c r="A8" i="8"/>
  <c r="C7" i="8"/>
  <c r="B7" i="8"/>
  <c r="A7" i="8"/>
  <c r="C6" i="8"/>
  <c r="B6" i="8"/>
  <c r="A6" i="8"/>
  <c r="C5" i="8"/>
  <c r="B5" i="8"/>
  <c r="A5" i="8"/>
  <c r="C4" i="8"/>
  <c r="B4" i="8"/>
  <c r="A4" i="8"/>
  <c r="E28" i="8"/>
  <c r="E27" i="8"/>
  <c r="E26" i="8"/>
  <c r="E25" i="8"/>
  <c r="E24" i="8"/>
  <c r="E23" i="8"/>
  <c r="E21" i="8"/>
  <c r="E20" i="8"/>
  <c r="E19" i="8"/>
  <c r="E18" i="8"/>
  <c r="E17" i="8"/>
  <c r="E16" i="8"/>
  <c r="E15" i="8"/>
  <c r="E14" i="8"/>
  <c r="A8" i="1" l="1"/>
  <c r="A2" i="1"/>
  <c r="A7" i="1"/>
  <c r="A5" i="1"/>
  <c r="A6" i="1"/>
  <c r="A4" i="1"/>
  <c r="A10" i="1"/>
  <c r="A3" i="1"/>
  <c r="A9" i="1"/>
  <c r="G6" i="1"/>
  <c r="G7" i="1"/>
  <c r="H6" i="1"/>
  <c r="H7" i="1"/>
  <c r="I6" i="1"/>
  <c r="I7" i="1"/>
  <c r="E13" i="8"/>
  <c r="E12" i="8"/>
  <c r="E11" i="8"/>
  <c r="E10" i="8"/>
  <c r="E9" i="8"/>
  <c r="E8" i="8"/>
  <c r="E7" i="8"/>
  <c r="E6" i="8"/>
  <c r="E5" i="8"/>
  <c r="E4" i="8"/>
  <c r="G5" i="1" l="1"/>
  <c r="H5" i="1"/>
  <c r="I5" i="1"/>
  <c r="H4" i="1"/>
  <c r="H3" i="1"/>
  <c r="H2" i="1"/>
  <c r="G2" i="1"/>
  <c r="I4" i="1"/>
  <c r="I3" i="1"/>
  <c r="G3" i="1"/>
  <c r="I2" i="1" l="1"/>
  <c r="G4" i="1"/>
  <c r="K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FD3B2-8356-441F-947B-6941990BB748}" keepAlive="1" name="Consulta - Errores en Tabla2 (2)" description="Conexión a la consulta 'Errores en Tabla2 (2)' en el libro." type="5" refreshedVersion="0" background="1">
    <dbPr connection="Provider=Microsoft.Mashup.OleDb.1;Data Source=$Workbook$;Location=&quot;Errores en Tabla2 (2)&quot;;Extended Properties=&quot;&quot;" command="SELECT * FROM [Errores en Tabla2 (2)]"/>
  </connection>
  <connection id="2" xr16:uid="{71BDF42B-3F4E-4244-9118-E9B987176825}" keepAlive="1" name="Consulta - Tabla2 (2)" description="Conexión a la consulta 'Tabla2 (2)' en el libro." type="5" refreshedVersion="8" background="1" saveData="1">
    <dbPr connection="Provider=Microsoft.Mashup.OleDb.1;Data Source=$Workbook$;Location=&quot;Tabla2 (2)&quot;;Extended Properties=&quot;&quot;" command="SELECT * FROM [Tabla2 (2)]"/>
  </connection>
  <connection id="3" xr16:uid="{1547C4EA-4CA0-48B9-8457-0A1BCB87B976}" keepAlive="1" name="Consulta - Tabla2 (3)" description="Conexión a la consulta 'Tabla2 (3)' en el libro." type="5" refreshedVersion="8" background="1" saveData="1">
    <dbPr connection="Provider=Microsoft.Mashup.OleDb.1;Data Source=$Workbook$;Location=&quot;Tabla2 (3)&quot;;Extended Properties=&quot;&quot;" command="SELECT * FROM [Tabla2 (3)]"/>
  </connection>
</connections>
</file>

<file path=xl/sharedStrings.xml><?xml version="1.0" encoding="utf-8"?>
<sst xmlns="http://schemas.openxmlformats.org/spreadsheetml/2006/main" count="10660" uniqueCount="297">
  <si>
    <t>EJECUCION DEL PLAN</t>
  </si>
  <si>
    <t>CIUDAD</t>
  </si>
  <si>
    <t>#PDV Obj.</t>
  </si>
  <si>
    <t>#PDV Eje.</t>
  </si>
  <si>
    <t>.% Ejecucion</t>
  </si>
  <si>
    <t>Obj Mystery</t>
  </si>
  <si>
    <t>Mystery Eje.</t>
  </si>
  <si>
    <t>% Efectividad.</t>
  </si>
  <si>
    <t>BOGOTA</t>
  </si>
  <si>
    <t>Total general</t>
  </si>
  <si>
    <t>MYSTERY POR CLUSTER</t>
  </si>
  <si>
    <t>Suma de % MYSTERY</t>
  </si>
  <si>
    <t>Etiquetas de columna</t>
  </si>
  <si>
    <t>CLUSTER</t>
  </si>
  <si>
    <t>ESPECIALIZADO</t>
  </si>
  <si>
    <t>MODERNO</t>
  </si>
  <si>
    <t>% MYSTERY</t>
  </si>
  <si>
    <t>HORARIO</t>
  </si>
  <si>
    <t>MYSTERY POR CLUSTER - CIUDAD</t>
  </si>
  <si>
    <t>MYSTERY EFECTIVO</t>
  </si>
  <si>
    <t>SI</t>
  </si>
  <si>
    <t>MYSTERY POR PDV</t>
  </si>
  <si>
    <t>CANAL</t>
  </si>
  <si>
    <t>NOMBRE COMERCIAL</t>
  </si>
  <si>
    <t>ACTIVIDAD</t>
  </si>
  <si>
    <t>CADENA</t>
  </si>
  <si>
    <t>CODIGO PDV</t>
  </si>
  <si>
    <t>PREGUNTA</t>
  </si>
  <si>
    <t>RTA</t>
  </si>
  <si>
    <t>FECHA VISITA</t>
  </si>
  <si>
    <t>CODIGO RUTA</t>
  </si>
  <si>
    <t>USUARIO</t>
  </si>
  <si>
    <t>TOTAL PUNTAJE</t>
  </si>
  <si>
    <t>RTA CORRECTA</t>
  </si>
  <si>
    <t>PUNTAJE OBTENIDO</t>
  </si>
  <si>
    <t>CUENTA CON CALZADO DE ACUERDO AL UNIFORME</t>
  </si>
  <si>
    <t>VUM</t>
  </si>
  <si>
    <t>NOMBRE PDV</t>
  </si>
  <si>
    <t>Objetivo Mystery</t>
  </si>
  <si>
    <t>#PDV Objetivos</t>
  </si>
  <si>
    <t>#PDV Ejecutados</t>
  </si>
  <si>
    <t># Visitas</t>
  </si>
  <si>
    <t>Mystery Ejecutado</t>
  </si>
  <si>
    <t>TRADICIONAL</t>
  </si>
  <si>
    <t>NOVEDAD</t>
  </si>
  <si>
    <t>REGIONAL</t>
  </si>
  <si>
    <t>SUBCADENA</t>
  </si>
  <si>
    <t>ZONA</t>
  </si>
  <si>
    <t>RV</t>
  </si>
  <si>
    <t>CODIGO EAN</t>
  </si>
  <si>
    <t>TIPO PUNTO VENTA</t>
  </si>
  <si>
    <t>CONSECUTIVO ENCUESTA</t>
  </si>
  <si>
    <t>NOMBRE ENCUESTA</t>
  </si>
  <si>
    <t>RESPUESTA</t>
  </si>
  <si>
    <t>CODIGO FOTO</t>
  </si>
  <si>
    <t>OBSERVACION</t>
  </si>
  <si>
    <t>FECHA INICIO VISITA</t>
  </si>
  <si>
    <t>FECHA CREACIÓN RESPUESTA</t>
  </si>
  <si>
    <t>CLIENTE</t>
  </si>
  <si>
    <t>CODIGO EXHIBICION</t>
  </si>
  <si>
    <t>NOMBRE EXHIBICION</t>
  </si>
  <si>
    <t>NOMBRE USUARIO</t>
  </si>
  <si>
    <t xml:space="preserve">NOMBRE SUPERVISOR </t>
  </si>
  <si>
    <t>USUARIO SUPERVISOR</t>
  </si>
  <si>
    <t/>
  </si>
  <si>
    <t>PRODUCTIVIDAD</t>
  </si>
  <si>
    <t>CAMILO MONTAÑO RESTREPO</t>
  </si>
  <si>
    <t>camilo.montano</t>
  </si>
  <si>
    <t>N/A</t>
  </si>
  <si>
    <t>CENTRO</t>
  </si>
  <si>
    <t>PESO</t>
  </si>
  <si>
    <t>TIPO</t>
  </si>
  <si>
    <t>UNICA</t>
  </si>
  <si>
    <t>TOTAL GENERAL</t>
  </si>
  <si>
    <t>PESO CLUSTER</t>
  </si>
  <si>
    <t>Columna1</t>
  </si>
  <si>
    <t>SI(O(G17="Dog Chow";G17="Cat Chow";G17="Alpo";G17="Gatsy";G17="Feliz");N17;0)</t>
  </si>
  <si>
    <t>SI(O(G29="Dog Chow húmedo";G29="Cat Chow húmedo";G29="Fancy Feast";G29="Felix";G29="Proplan húmedo";G29="One húmedo";G29="Snack Abrazzos";G29="Snak Dentalife";G29="Arenilla Tidy Cat");N29;0)</t>
  </si>
  <si>
    <t>1</t>
  </si>
  <si>
    <t>ABIERTA</t>
  </si>
  <si>
    <t>VIDEO 1</t>
  </si>
  <si>
    <t>VIDEO 2</t>
  </si>
  <si>
    <t>VIDEO 3</t>
  </si>
  <si>
    <t>-</t>
  </si>
  <si>
    <t>Columna2</t>
  </si>
  <si>
    <t>VIDEO 4</t>
  </si>
  <si>
    <t>VIDEO 5</t>
  </si>
  <si>
    <t>SE LOGRA REALIZAR LA AUDITORIA?</t>
  </si>
  <si>
    <t>¿CUMPLE HORARIO DE ENTRADA O SALIDA DE LA TIENDA?</t>
  </si>
  <si>
    <t>CUENTA CON PANTALON DEL UNIFORME SEGÚN EL CARGO (NEGRO / ROJO / TURQUESA / JEAN)</t>
  </si>
  <si>
    <t>CUENTA CON CAMISA DEL UNIFORME Y LOGOS SEGÚN EL CARGO (NEGRA / GRIS / ROJA / TURQUESA) (ES PERMITIDO USAR DEBAJO DE LA CAMISA BUSO MANGA LARGA NEGRO)</t>
  </si>
  <si>
    <t>POSEE ALGUNA PRENDA ENCIMA DEL UNIFORME NO AUTORIZADA POR LA MARCA (UNICAMENTE ESTA PERMITIDO CHALECO DE SODIMAC Y EASY)</t>
  </si>
  <si>
    <t>EL UNIFORME Y ZAPATOS SE ENCUENTRAN LIMPIOS Y EN BUEN ESTADO</t>
  </si>
  <si>
    <t>SU CABELLO LUCE LIMPIO, ORGANIZADO O RECOGIDO</t>
  </si>
  <si>
    <t>PRESENTA EXCESO DE MAQUILLAJE QUE NO CUMPLE CON EL CODIGO DE VESTIMENTA</t>
  </si>
  <si>
    <t>TIENE TATUAJES O PIERCINGS VISIBLES QUE NO CUMPLE CON EL CODIGO DE VESTIMENTA</t>
  </si>
  <si>
    <t>TIENE UÑAS LLAMATIVAS Y/O LARGAS QUE NO CUMPLE CON EL CODIGO DE VESTIMENTA</t>
  </si>
  <si>
    <t>USA ACCESORIOS QUE NO CUMPLE CON EL CODIGO DE VESTIMENTA</t>
  </si>
  <si>
    <t>EL LINEAL SE ENCUENTRA LIMPIO Y ORGANIZADO</t>
  </si>
  <si>
    <t>LOS PRODUCTOS TIENEN EL PRECIO Y ESTAN ACORDE O CORRESPONDIENTE A CADA REFERENCIA</t>
  </si>
  <si>
    <t>LOS PRODUCTOS ESTAN SURTIDOS DE ACUERDO A PEPS O FIFO (REVISAR TANTO PRODUCTO SECO COMO HUMEDO)</t>
  </si>
  <si>
    <t>CONOCE LOS INFALTABLES DEL PUNTO DE VENTA Y CUENTA CON EL MATERIAL DE APOYO (AYUDAVENTAS INFALTABLES)</t>
  </si>
  <si>
    <t>CONOCE Y TIENE SURTIDO DE ACUERDO A LA ESTRATEGIA DE EXHIBICIÓN (ETAPAS DE VIDA - SEGMENTACIÓN DE MARCAS)</t>
  </si>
  <si>
    <t>CUAL ES LA ESTRATEGIA DE EXHIBICIÓN PARA LAS MARCAS MAINSTRAIN (ALPO Y GATSY) DE PURINA Y PORQUE?</t>
  </si>
  <si>
    <t>CONOCE EL % DE PARTICIPACIÓN QUE TIENE EN EL PUNTO DE VENTA E INFORMA CUAL ES ESE %</t>
  </si>
  <si>
    <t>SELECCIONE EL CANAL DEL PDV AUDITADO?</t>
  </si>
  <si>
    <t>DESEA AÑADIR ALGUNA OBSERVACION / NOVEDAD CON LA AUDITORIA REALIZADA?</t>
  </si>
  <si>
    <t>INDIQUE OBSERVACIÓN/NOVEDAD</t>
  </si>
  <si>
    <t>PRESENTACIÓN PERSONAL</t>
  </si>
  <si>
    <t>EJECUCION DEL PDV</t>
  </si>
  <si>
    <t>ACTIVIDADES DEL MES</t>
  </si>
  <si>
    <t>EJECUCIÓN DEL PDV</t>
  </si>
  <si>
    <t>NO</t>
  </si>
  <si>
    <t>NESTLE PURINA</t>
  </si>
  <si>
    <t>0</t>
  </si>
  <si>
    <t xml:space="preserve">User 1 </t>
  </si>
  <si>
    <t>NestleP.1</t>
  </si>
  <si>
    <t xml:space="preserve"> TRADICIONAL</t>
  </si>
  <si>
    <t>PACIFICO</t>
  </si>
  <si>
    <t>CALI</t>
  </si>
  <si>
    <t xml:space="preserve">User 7 </t>
  </si>
  <si>
    <t>NestleP.7</t>
  </si>
  <si>
    <t>MERCA Z</t>
  </si>
  <si>
    <t>SUPERMERCADOS INDEPENDIENTES</t>
  </si>
  <si>
    <t>(Todas)</t>
  </si>
  <si>
    <t>CONOCE EL % DE PARTICIPACIÓN QUE TIENEN LAS MARCAS DE PURINA DENTRO DEL UNIVERSO?</t>
  </si>
  <si>
    <t>CM - TIENE IMPLEMENTADO EL MATERIAL POP CORRECPONDIENTE A LAS PROMOCIONES QUE APLICAN EN EL PDV?</t>
  </si>
  <si>
    <t>CM - TIENE IMPLEMENTADAS LAS EXHIBICIONES NEGOCIADAS EN EL PDV?</t>
  </si>
  <si>
    <t>CE - SE ENCUENTRA EN EL LINEAL LAS REFERENCIAS 1,5 EN PU Y ADU DE LA MARCA EXCELLENT?</t>
  </si>
  <si>
    <t>CE - SE ENCUENTRA LA NUEVA REFERENCIA DE EXCELLENT ESTIRILIZADO DE 1K?</t>
  </si>
  <si>
    <t>CT - ESTA IMPLEMENTADA LA NUEVA ESTRATEGIA DE BAJA DE PRECIOS?</t>
  </si>
  <si>
    <t xml:space="preserve"> ESPECIALIZADO</t>
  </si>
  <si>
    <t>JUMBO</t>
  </si>
  <si>
    <t>JUMBO TITAN</t>
  </si>
  <si>
    <t>COSTA</t>
  </si>
  <si>
    <t>BARRANQUILLA</t>
  </si>
  <si>
    <t>OLIMPICA</t>
  </si>
  <si>
    <t>STO 039 CHIQUINQUIRA</t>
  </si>
  <si>
    <t xml:space="preserve">User 5 </t>
  </si>
  <si>
    <t>NestleP.5</t>
  </si>
  <si>
    <t>CE - SE ENCUENTRA EL MATERIAL POP DE FELIX NUEVAS REFERENCIAS " APLICA DONDE ESTA CODIFICADO"</t>
  </si>
  <si>
    <t>INFORME AUDITORIA      OCTUBRE</t>
  </si>
  <si>
    <t>442180</t>
  </si>
  <si>
    <t>442180-CLÍNICA VETERINARIA ENVALLE S.A.S.</t>
  </si>
  <si>
    <t>GESTION AUDITORIA - OCTUBRE 2025</t>
  </si>
  <si>
    <t>11/10/2025 00:00:00</t>
  </si>
  <si>
    <t>14/10/2025 08:41:31</t>
  </si>
  <si>
    <t>14/10/2025 08:46:14</t>
  </si>
  <si>
    <t>28904337</t>
  </si>
  <si>
    <t xml:space="preserve">Uñas tonalidad negra, lineal no dispone de precios ya que en pdv no se permite esta ejecución, ( se dispone de caja donde se hace registró inmediatamente veterinario ordena, asesor manifiesta trabajar a la mano con médico veterinario y que producto ha tenido muy buena rotación, así mismo no se dispone material pop por motivo que pdv no permite material pop </t>
  </si>
  <si>
    <t>201118</t>
  </si>
  <si>
    <t>201118-MERCABOY CLL 163</t>
  </si>
  <si>
    <t>09/10/2025 00:00:00</t>
  </si>
  <si>
    <t>14/10/2025 09:20:45</t>
  </si>
  <si>
    <t>14/10/2025 09:25:06</t>
  </si>
  <si>
    <t>28904500</t>
  </si>
  <si>
    <t xml:space="preserve">Tema de precios: no se encuentran en pdv por motivo que el asesor manifiesta que está organizando mercancía que llegó a pdv lo cual se confirma por encuentro casual con jefe de pdv, así que en el momento de visita no se dispone de precios, y no se puede confirmar que los valores coincidan con producto, asesor manifiesta que al terminar de organizar se dispone a sacar precios actualizados </t>
  </si>
  <si>
    <t>382375</t>
  </si>
  <si>
    <t>382375-PORVENIR SAN ISIDRO</t>
  </si>
  <si>
    <t>14/10/2025 00:00:00</t>
  </si>
  <si>
    <t>15/10/2025 08:51:38</t>
  </si>
  <si>
    <t>15/10/2025 08:57:05</t>
  </si>
  <si>
    <t>28907521</t>
  </si>
  <si>
    <t xml:space="preserve">User 2 </t>
  </si>
  <si>
    <t>NestleP.2</t>
  </si>
  <si>
    <t>Asesor manifiesta no disponer de material pop porque no se permite implementar en el pdv, así mismo manifiesta que no hay descuentos activos en el momento , de tiene negociada una punta de góndola la cual se encuentra organizada con los productos totales disponibles en pdv</t>
  </si>
  <si>
    <t>355912</t>
  </si>
  <si>
    <t>355912-MERCADOS ALCOSTO ALMENDROS</t>
  </si>
  <si>
    <t>20/10/2025 00:00:00</t>
  </si>
  <si>
    <t>20/10/2025 11:39:10</t>
  </si>
  <si>
    <t>20/10/2025 11:47:48</t>
  </si>
  <si>
    <t>28943799</t>
  </si>
  <si>
    <t xml:space="preserve">Material pop del mes de gasto no está implementado, asesora manifiesta llegar de vacaciones y por ende no ha recibido este material indica durante esta semana coordinador encargado le hará entrega para poder implementar </t>
  </si>
  <si>
    <t>SUPERETE</t>
  </si>
  <si>
    <t>SUPERETES</t>
  </si>
  <si>
    <t>66552</t>
  </si>
  <si>
    <t>LA CASA DE LOS TENDEROS</t>
  </si>
  <si>
    <t>Mercadeo</t>
  </si>
  <si>
    <t>20/10/2025 22:24:12</t>
  </si>
  <si>
    <t>20/10/2025 22:34:46</t>
  </si>
  <si>
    <t>28946324</t>
  </si>
  <si>
    <t>65453</t>
  </si>
  <si>
    <t>DISTRIBUCIONES MILENA</t>
  </si>
  <si>
    <t>22/10/2025 08:06:22</t>
  </si>
  <si>
    <t>22/10/2025 10:03:39</t>
  </si>
  <si>
    <t>22/10/2025 10:19:22</t>
  </si>
  <si>
    <t>28953374</t>
  </si>
  <si>
    <t>22/10/2025 10:19:23</t>
  </si>
  <si>
    <t>22/10/2025 10:19:26</t>
  </si>
  <si>
    <t>22/10/2025 10:19:28</t>
  </si>
  <si>
    <t>22/10/2025 10:19:30</t>
  </si>
  <si>
    <t>22/10/2025 10:19:35</t>
  </si>
  <si>
    <t>22/10/2025 10:19:37</t>
  </si>
  <si>
    <t>22/10/2025 10:19:38</t>
  </si>
  <si>
    <t>22/10/2025 10:19:43</t>
  </si>
  <si>
    <t>22/10/2025 10:19:44</t>
  </si>
  <si>
    <t>22/10/2025 10:19:46</t>
  </si>
  <si>
    <t>22/10/2025 10:19:51</t>
  </si>
  <si>
    <t>22/10/2025 10:19:54</t>
  </si>
  <si>
    <t>22/10/2025 10:19:56</t>
  </si>
  <si>
    <t>22/10/2025 10:19:57</t>
  </si>
  <si>
    <t>22/10/2025 10:20:09</t>
  </si>
  <si>
    <t>22/10/2025 10:20:14</t>
  </si>
  <si>
    <t>22/10/2025 10:20:18</t>
  </si>
  <si>
    <t>22/10/2025 10:20:20</t>
  </si>
  <si>
    <t>22/10/2025 10:20:22</t>
  </si>
  <si>
    <t>22/10/2025 10:20:27</t>
  </si>
  <si>
    <t>22/10/2025 10:20:30</t>
  </si>
  <si>
    <t>22/10/2025 10:20:32</t>
  </si>
  <si>
    <t>191457</t>
  </si>
  <si>
    <t>191457-ALMACEN MI CORRAL 84</t>
  </si>
  <si>
    <t>24/10/2025 14:11:02</t>
  </si>
  <si>
    <t>24/10/2025 14:11:41</t>
  </si>
  <si>
    <t>24/10/2025 14:39:21</t>
  </si>
  <si>
    <t>28968760</t>
  </si>
  <si>
    <t>24/10/2025 14:39:23</t>
  </si>
  <si>
    <t>24/10/2025 14:39:24</t>
  </si>
  <si>
    <t>24/10/2025 14:39:26</t>
  </si>
  <si>
    <t>24/10/2025 14:39:28</t>
  </si>
  <si>
    <t>24/10/2025 14:39:30</t>
  </si>
  <si>
    <t>24/10/2025 14:39:32</t>
  </si>
  <si>
    <t>24/10/2025 14:39:33</t>
  </si>
  <si>
    <t>24/10/2025 14:39:34</t>
  </si>
  <si>
    <t>24/10/2025 14:39:38</t>
  </si>
  <si>
    <t>24/10/2025 14:39:42</t>
  </si>
  <si>
    <t>24/10/2025 14:39:43</t>
  </si>
  <si>
    <t>24/10/2025 14:46:32</t>
  </si>
  <si>
    <t>24/10/2025 14:48:02</t>
  </si>
  <si>
    <t>24/10/2025 14:51:04</t>
  </si>
  <si>
    <t>24/10/2025 14:52:33</t>
  </si>
  <si>
    <t>24/10/2025 14:53:00</t>
  </si>
  <si>
    <t>24/10/2025 14:53:11</t>
  </si>
  <si>
    <t>24/10/2025 14:53:14</t>
  </si>
  <si>
    <t>24/10/2025 14:53:20</t>
  </si>
  <si>
    <t>24/10/2025 14:53:38</t>
  </si>
  <si>
    <t>24/10/2025 14:54:38</t>
  </si>
  <si>
    <t>24/10/2025 14:54:40</t>
  </si>
  <si>
    <t>24/10/2025 14:54:42</t>
  </si>
  <si>
    <t>363615</t>
  </si>
  <si>
    <t>363615-LA MONTAÑA AGROMERCADOS LA 14 DE COSMOCENTRO 129</t>
  </si>
  <si>
    <t>24/10/2025 00:00:00</t>
  </si>
  <si>
    <t>25/10/2025 13:08:58</t>
  </si>
  <si>
    <t>25/10/2025 13:12:43</t>
  </si>
  <si>
    <t>28972671</t>
  </si>
  <si>
    <t>Se revisa las fechas de vencimiento y tenia las fechas cortas atrás y las fechas largas adelante se lo retroalimenta para la ubicación de las fechas</t>
  </si>
  <si>
    <t>ANTIOQUIA</t>
  </si>
  <si>
    <t>MEDELLIN</t>
  </si>
  <si>
    <t>CARULLA</t>
  </si>
  <si>
    <t>338 CARULLA OVIEDO</t>
  </si>
  <si>
    <t>202264</t>
  </si>
  <si>
    <t>202264-MIL VARIEDADES CAMPO VALDEZ</t>
  </si>
  <si>
    <t>CARULLA OVIEDO</t>
  </si>
  <si>
    <t>21/10/2025 00:00:00</t>
  </si>
  <si>
    <t>27/10/2025 09:36:59</t>
  </si>
  <si>
    <t>27/10/2025 09:40:37</t>
  </si>
  <si>
    <t>28975269</t>
  </si>
  <si>
    <t xml:space="preserve">User 11 </t>
  </si>
  <si>
    <t>NestleP.11</t>
  </si>
  <si>
    <t>Cuando llego la chica se encuentra surtiendo por lo cual todo no esta organizado en su totalidad, revisamos dentro lo que ya estaba organizado y se encontró bien. Me indica que no hay estrategia de baja de precios ya que no esta el producto que aplica en esa tienda.</t>
  </si>
  <si>
    <t>66554</t>
  </si>
  <si>
    <t>66554-LA CARIÑOSA</t>
  </si>
  <si>
    <t>28/10/2025 00:00:00</t>
  </si>
  <si>
    <t>28/10/2025 15:52:10</t>
  </si>
  <si>
    <t>28/10/2025 15:57:04</t>
  </si>
  <si>
    <t>28991102</t>
  </si>
  <si>
    <t xml:space="preserve">Se llega al pdv la cariñosa y la supervisara me dice: como esta ruta llevaba dias sin visitar porque tenemos al activador incapacitado, el supernumerario está optimizando la ruta para lograr visitar la mayor cantidad de pdv que podamos y recuperar esos tiempos de visita, por eso no se quedó todo el tiempo que se tenia programado </t>
  </si>
  <si>
    <t>129909</t>
  </si>
  <si>
    <t>129909-MERCADOS LA COMPARCITA</t>
  </si>
  <si>
    <t>29/10/2025 00:00:00</t>
  </si>
  <si>
    <t>29/10/2025 18:58:41</t>
  </si>
  <si>
    <t>29/10/2025 19:01:05</t>
  </si>
  <si>
    <t>29007151</t>
  </si>
  <si>
    <t xml:space="preserve">No se logra realizar la auditoria. La persona debía ingresar 11am. Esperamos hasta las 1145 y no llegó </t>
  </si>
  <si>
    <t>110508</t>
  </si>
  <si>
    <t>110508-ALMACEN EL MELAO</t>
  </si>
  <si>
    <t>22/10/2025 00:00:00</t>
  </si>
  <si>
    <t>30/10/2025 10:56:53</t>
  </si>
  <si>
    <t>30/10/2025 10:58:18</t>
  </si>
  <si>
    <t>29016530</t>
  </si>
  <si>
    <t>NO SE LOGRA REALIZAR LA AUDITORIA, LA PERSONA DEBÍA INGRESAR 11AM, SE ESPERA HASTA LAS 11:45 Y NO LLEGA</t>
  </si>
  <si>
    <t>EL PDV TIENE CIERRE DEFINITIVO</t>
  </si>
  <si>
    <t>https://drive.google.com/file/d/19zbC5SEic2D63Yjprao-fWAsXKB9-KVG/view?usp=drive_link</t>
  </si>
  <si>
    <t>https://drive.google.com/file/d/1u0vJefHkgJn8IMneLDE-l7mjnbMQAYtO/view?usp=drive_link</t>
  </si>
  <si>
    <t>https://drive.google.com/file/d/1tZuH3WpIO-XiC1itv3zTIdv9Hhn_zLR5/view?usp=drive_link</t>
  </si>
  <si>
    <t>https://drive.google.com/file/d/11HzQTuR26S1tsY3dmeec2S-Fss-2phsX/view?usp=drive_link</t>
  </si>
  <si>
    <t>https://drive.google.com/file/d/10ammCW_-mLjnBysUGSkVZSX8lmU4Dy5B/view?usp=drive_link</t>
  </si>
  <si>
    <t>https://drive.google.com/file/d/1NRmwFlD8GC6hme-uBkF5W_pQ0mJyhuJR/view?usp=drive_link</t>
  </si>
  <si>
    <t>https://drive.google.com/file/d/1ZcsEOJ67Gt4sMatj2x2W1ztMhFhe551n/view?usp=drive_link</t>
  </si>
  <si>
    <t>https://drive.google.com/file/d/1PyTkGsGeaIGRqMvGAHoDwDl2l_WMf1Ln/view?usp=drive_link</t>
  </si>
  <si>
    <t>https://drive.google.com/file/d/1DLpj7pGm0HQ72CC4Wzab8mWL4zahhovV/view?usp=drive_link</t>
  </si>
  <si>
    <t>https://drive.google.com/file/d/1e1tPb7KYAB2_CnIcn-WjHX_n_FnnBSGU/view?usp=drive_link</t>
  </si>
  <si>
    <t>https://drive.google.com/file/d/10t_yH0ROg7i8Mc4TojaEcVU1S8hhkxjD/view?usp=drive_link</t>
  </si>
  <si>
    <t>https://drive.google.com/file/d/1JGLyWrDAjLXygPnVmm6PgFYUk1ALW_Fg/view?usp=drive_link</t>
  </si>
  <si>
    <t>https://drive.google.com/file/d/1i-EhC7gWFDq6t17o8tZgNN00YeSuEEjt/view?usp=drive_link</t>
  </si>
  <si>
    <t>https://drive.google.com/file/d/19OJZWYs6MM66MQoayrtCJ11k_8l2e8tL/view?usp=drive_link</t>
  </si>
  <si>
    <t>https://drive.google.com/file/d/13R7OqzE4i4N-h6ULSWvUdLG2x23aLifX/view?usp=drive_link</t>
  </si>
  <si>
    <t>LA SUPERVISORA DICE QUE LA RUTA LLEVABA DIAS SIN VISITAR PORQUE EL ACTIVADOR ESTÁ INCAPACITADO, EL SUPERNUMERARIO ESTÁ OPTIMIZANDO LA RUTA PARA LOGRAR VISITAR LA MAYOR CANTIDAD DE PDV QUE SE PUEDAN, POR ESO NO SE QUEDÓ TODO EL TIEMPO QUE SE TENIA PROGRAMADO EN LA MALLA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</si>
</sst>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8"/>
      <color theme="1"/>
      <name val="Aptos Narrow"/>
      <family val="2"/>
      <scheme val="minor"/>
    </font>
    <font>
      <b/>
      <sz val="9"/>
      <color indexed="9"/>
      <name val="Aptos"/>
      <family val="2"/>
    </font>
    <font>
      <sz val="9"/>
      <color theme="1"/>
      <name val="Aptos"/>
      <family val="2"/>
    </font>
    <font>
      <b/>
      <sz val="11"/>
      <color theme="1"/>
      <name val="Aptos Narrow"/>
      <family val="2"/>
      <scheme val="minor"/>
    </font>
    <font>
      <sz val="16"/>
      <color theme="1"/>
      <name val="Franklin Gothic Demi"/>
      <family val="2"/>
    </font>
    <font>
      <sz val="11"/>
      <name val="Aptos Narrow"/>
      <family val="2"/>
      <scheme val="minor"/>
    </font>
    <font>
      <b/>
      <sz val="11"/>
      <color theme="0"/>
      <name val="Aptos Narrow"/>
      <family val="2"/>
      <scheme val="minor"/>
    </font>
    <font>
      <b/>
      <sz val="10"/>
      <color indexed="9"/>
      <name val="Aptos"/>
      <family val="2"/>
    </font>
    <font>
      <sz val="10"/>
      <color theme="1"/>
      <name val="Aptos Narrow"/>
      <family val="2"/>
      <scheme val="minor"/>
    </font>
    <font>
      <sz val="10"/>
      <color theme="1"/>
      <name val="Aptos"/>
      <family val="2"/>
    </font>
    <font>
      <u/>
      <sz val="11"/>
      <color theme="10"/>
      <name val="Aptos Narrow"/>
      <family val="2"/>
      <scheme val="minor"/>
    </font>
    <font>
      <sz val="11"/>
      <color indexed="8"/>
      <name val="Aptos Narrow"/>
      <family val="2"/>
      <scheme val="minor"/>
    </font>
    <font>
      <sz val="11"/>
      <color indexed="8"/>
      <name val="Calibri"/>
      <family val="2"/>
    </font>
    <font>
      <sz val="9"/>
      <color theme="1"/>
      <name val="Aptos Display"/>
      <family val="2"/>
      <scheme val="major"/>
    </font>
    <font>
      <b/>
      <sz val="14"/>
      <color theme="1"/>
      <name val="Aptos Narrow"/>
      <family val="2"/>
      <scheme val="minor"/>
    </font>
    <font>
      <sz val="9"/>
      <color theme="1"/>
      <name val="Aptos Narrow"/>
      <family val="2"/>
      <scheme val="minor"/>
    </font>
  </fonts>
  <fills count="19">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bgColor indexed="64"/>
      </patternFill>
    </fill>
    <fill>
      <patternFill patternType="solid">
        <fgColor rgb="FF00B0F0"/>
        <bgColor indexed="64"/>
      </patternFill>
    </fill>
    <fill>
      <patternFill patternType="solid">
        <fgColor rgb="FFFFFF00"/>
        <bgColor indexed="64"/>
      </patternFill>
    </fill>
    <fill>
      <patternFill patternType="solid">
        <fgColor theme="4"/>
        <bgColor indexed="64"/>
      </patternFill>
    </fill>
    <fill>
      <patternFill patternType="solid">
        <fgColor theme="1"/>
        <bgColor indexed="64"/>
      </patternFill>
    </fill>
    <fill>
      <patternFill patternType="solid">
        <fgColor theme="2"/>
        <bgColor indexed="64"/>
      </patternFill>
    </fill>
    <fill>
      <patternFill patternType="solid">
        <fgColor theme="9"/>
        <bgColor theme="9"/>
      </patternFill>
    </fill>
    <fill>
      <patternFill patternType="solid">
        <fgColor theme="5"/>
        <bgColor indexed="64"/>
      </patternFill>
    </fill>
    <fill>
      <patternFill patternType="solid">
        <fgColor theme="0"/>
        <bgColor indexed="64"/>
      </patternFill>
    </fill>
    <fill>
      <patternFill patternType="solid">
        <fgColor rgb="FFEE0000"/>
        <bgColor indexed="64"/>
      </patternFill>
    </fill>
    <fill>
      <patternFill patternType="solid">
        <fgColor theme="5" tint="0.39997558519241921"/>
        <bgColor theme="6"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theme="8"/>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theme="7"/>
      </top>
      <bottom/>
      <diagonal/>
    </border>
  </borders>
  <cellStyleXfs count="5">
    <xf numFmtId="0" fontId="0" fillId="0" borderId="0"/>
    <xf numFmtId="0" fontId="1" fillId="0" borderId="0"/>
    <xf numFmtId="9" fontId="1" fillId="0" borderId="0" applyFont="0" applyFill="0" applyBorder="0" applyAlignment="0" applyProtection="0"/>
    <xf numFmtId="0" fontId="14" fillId="0" borderId="0" applyNumberFormat="0" applyFill="0" applyBorder="0" applyAlignment="0" applyProtection="0"/>
    <xf numFmtId="0" fontId="15" fillId="0" borderId="0"/>
  </cellStyleXfs>
  <cellXfs count="93">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0" fontId="0" fillId="5" borderId="0" xfId="0" applyFill="1" applyAlignment="1">
      <alignment horizontal="center" vertical="center"/>
    </xf>
    <xf numFmtId="0" fontId="8" fillId="0" borderId="0" xfId="0" applyFont="1"/>
    <xf numFmtId="0" fontId="8" fillId="0" borderId="0" xfId="0" applyFont="1" applyAlignment="1">
      <alignment horizontal="left" vertical="center"/>
    </xf>
    <xf numFmtId="9" fontId="9" fillId="6" borderId="0" xfId="0" applyNumberFormat="1" applyFont="1" applyFill="1" applyAlignment="1">
      <alignment horizontal="center" vertical="center"/>
    </xf>
    <xf numFmtId="0" fontId="0" fillId="0" borderId="0" xfId="0" applyAlignment="1">
      <alignment vertical="center"/>
    </xf>
    <xf numFmtId="9" fontId="9" fillId="7" borderId="0" xfId="0" applyNumberFormat="1" applyFont="1" applyFill="1" applyAlignment="1">
      <alignment horizontal="center" vertical="center"/>
    </xf>
    <xf numFmtId="0" fontId="9" fillId="0" borderId="0" xfId="0" applyFont="1"/>
    <xf numFmtId="9" fontId="9" fillId="3" borderId="0" xfId="0" applyNumberFormat="1" applyFont="1" applyFill="1" applyAlignment="1">
      <alignment horizontal="center" vertical="center"/>
    </xf>
    <xf numFmtId="0" fontId="7" fillId="0" borderId="0" xfId="0" pivotButton="1" applyFont="1"/>
    <xf numFmtId="0" fontId="7" fillId="0" borderId="0" xfId="0" applyFont="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left"/>
    </xf>
    <xf numFmtId="0" fontId="0" fillId="5" borderId="0" xfId="0" applyFill="1" applyAlignment="1">
      <alignment horizontal="center" vertical="center" wrapText="1"/>
    </xf>
    <xf numFmtId="0" fontId="7" fillId="0" borderId="0" xfId="0" pivotButton="1" applyFont="1" applyAlignment="1">
      <alignment horizontal="center" vertical="center" wrapText="1"/>
    </xf>
    <xf numFmtId="0" fontId="0" fillId="0" borderId="1" xfId="0" applyBorder="1"/>
    <xf numFmtId="0" fontId="2" fillId="2" borderId="0" xfId="0" applyFont="1" applyFill="1"/>
    <xf numFmtId="0" fontId="9" fillId="10" borderId="0" xfId="0" applyFont="1" applyFill="1"/>
    <xf numFmtId="1" fontId="10" fillId="11" borderId="1" xfId="0" applyNumberFormat="1" applyFont="1" applyFill="1" applyBorder="1" applyAlignment="1">
      <alignment horizontal="left" vertical="center"/>
    </xf>
    <xf numFmtId="1" fontId="10" fillId="11" borderId="1" xfId="0" applyNumberFormat="1" applyFont="1" applyFill="1" applyBorder="1" applyAlignment="1">
      <alignment horizontal="center" vertical="center"/>
    </xf>
    <xf numFmtId="1" fontId="9" fillId="0" borderId="1" xfId="0" applyNumberFormat="1" applyFont="1" applyBorder="1" applyAlignment="1">
      <alignment horizontal="left" vertical="center"/>
    </xf>
    <xf numFmtId="0" fontId="0" fillId="0" borderId="0" xfId="0" pivotButton="1" applyAlignment="1">
      <alignment horizontal="center" vertical="center"/>
    </xf>
    <xf numFmtId="0" fontId="10" fillId="12" borderId="1" xfId="0" applyFont="1" applyFill="1" applyBorder="1"/>
    <xf numFmtId="1" fontId="2" fillId="12" borderId="1" xfId="0" applyNumberFormat="1" applyFont="1" applyFill="1" applyBorder="1" applyAlignment="1">
      <alignment horizontal="left" vertical="center"/>
    </xf>
    <xf numFmtId="0" fontId="10" fillId="12" borderId="1" xfId="0" applyFont="1" applyFill="1" applyBorder="1" applyAlignment="1">
      <alignment horizontal="center"/>
    </xf>
    <xf numFmtId="0" fontId="0" fillId="0" borderId="0" xfId="0" applyAlignment="1">
      <alignment horizontal="center"/>
    </xf>
    <xf numFmtId="9" fontId="0" fillId="13" borderId="1" xfId="2" applyFont="1" applyFill="1" applyBorder="1" applyAlignment="1">
      <alignment horizontal="center"/>
    </xf>
    <xf numFmtId="0" fontId="0" fillId="0" borderId="0" xfId="0" applyAlignment="1">
      <alignment horizontal="right"/>
    </xf>
    <xf numFmtId="0" fontId="7" fillId="0" borderId="0" xfId="0" applyFont="1" applyAlignment="1">
      <alignment horizontal="center" vertical="center" wrapText="1"/>
    </xf>
    <xf numFmtId="14" fontId="0" fillId="0" borderId="0" xfId="0" applyNumberFormat="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10" fillId="11" borderId="1" xfId="0" applyFont="1" applyFill="1" applyBorder="1"/>
    <xf numFmtId="0" fontId="10" fillId="11" borderId="1" xfId="0" applyFont="1" applyFill="1" applyBorder="1" applyAlignment="1">
      <alignment vertical="top" wrapText="1"/>
    </xf>
    <xf numFmtId="1" fontId="10" fillId="11" borderId="3" xfId="0" applyNumberFormat="1" applyFont="1" applyFill="1" applyBorder="1" applyAlignment="1">
      <alignment horizontal="center"/>
    </xf>
    <xf numFmtId="1" fontId="9" fillId="0" borderId="3" xfId="0" applyNumberFormat="1" applyFont="1" applyBorder="1" applyAlignment="1">
      <alignment horizontal="center"/>
    </xf>
    <xf numFmtId="0" fontId="9" fillId="0" borderId="1" xfId="0" applyFont="1" applyBorder="1"/>
    <xf numFmtId="0" fontId="0" fillId="0" borderId="1" xfId="0" applyBorder="1" applyAlignment="1">
      <alignment horizontal="center" vertical="center"/>
    </xf>
    <xf numFmtId="0" fontId="0" fillId="16" borderId="6" xfId="0" applyFill="1" applyBorder="1" applyAlignment="1">
      <alignment horizontal="center" vertical="center"/>
    </xf>
    <xf numFmtId="0" fontId="14" fillId="0" borderId="1" xfId="3" applyBorder="1" applyAlignment="1"/>
    <xf numFmtId="9" fontId="9" fillId="0" borderId="1" xfId="2" applyFont="1" applyBorder="1" applyAlignment="1">
      <alignment horizontal="center" vertical="center"/>
    </xf>
    <xf numFmtId="0" fontId="9" fillId="0" borderId="1" xfId="0" applyFont="1" applyBorder="1" applyAlignment="1">
      <alignment horizontal="left" vertical="center"/>
    </xf>
    <xf numFmtId="1" fontId="9" fillId="0" borderId="0" xfId="0" applyNumberFormat="1" applyFont="1" applyAlignment="1">
      <alignment horizontal="center"/>
    </xf>
    <xf numFmtId="0" fontId="0" fillId="0" borderId="1" xfId="0" applyBorder="1" applyAlignment="1">
      <alignment wrapText="1"/>
    </xf>
    <xf numFmtId="0" fontId="0" fillId="17" borderId="0" xfId="0" applyFill="1"/>
    <xf numFmtId="0" fontId="11" fillId="8" borderId="1" xfId="1" applyFont="1" applyFill="1" applyBorder="1" applyAlignment="1">
      <alignment horizontal="center" vertical="center"/>
    </xf>
    <xf numFmtId="0" fontId="11" fillId="9" borderId="2" xfId="1" applyFont="1" applyFill="1" applyBorder="1" applyAlignment="1">
      <alignment horizontal="center" vertical="center"/>
    </xf>
    <xf numFmtId="0" fontId="5" fillId="9" borderId="2" xfId="1" applyFont="1" applyFill="1" applyBorder="1" applyAlignment="1">
      <alignment horizontal="center" vertical="center"/>
    </xf>
    <xf numFmtId="0" fontId="5" fillId="9" borderId="4" xfId="1" applyFont="1" applyFill="1" applyBorder="1" applyAlignment="1">
      <alignment horizontal="center" vertical="center"/>
    </xf>
    <xf numFmtId="0" fontId="13" fillId="0" borderId="1" xfId="1" applyFont="1" applyBorder="1" applyAlignment="1">
      <alignment horizontal="center" vertical="center"/>
    </xf>
    <xf numFmtId="0" fontId="6" fillId="0" borderId="1" xfId="0" applyFont="1" applyBorder="1" applyAlignment="1">
      <alignment horizontal="center" vertical="center"/>
    </xf>
    <xf numFmtId="0" fontId="6" fillId="0" borderId="1" xfId="1" applyFont="1" applyBorder="1" applyAlignment="1">
      <alignment horizontal="center" vertical="center"/>
    </xf>
    <xf numFmtId="0" fontId="6" fillId="0" borderId="3" xfId="1" applyFont="1" applyBorder="1" applyAlignment="1">
      <alignment horizontal="center" vertical="center"/>
    </xf>
    <xf numFmtId="0" fontId="4" fillId="0" borderId="0" xfId="0" applyFont="1" applyAlignment="1">
      <alignment horizontal="left" vertical="center"/>
    </xf>
    <xf numFmtId="0" fontId="16" fillId="0" borderId="5" xfId="1" applyFont="1" applyBorder="1" applyAlignment="1">
      <alignment horizontal="center" vertical="center"/>
    </xf>
    <xf numFmtId="0" fontId="16" fillId="0" borderId="5" xfId="0" applyFont="1" applyBorder="1" applyAlignment="1">
      <alignment horizontal="center" vertical="center"/>
    </xf>
    <xf numFmtId="0" fontId="15" fillId="0" borderId="5" xfId="1" applyFont="1" applyBorder="1" applyAlignment="1">
      <alignment horizontal="center" vertical="center"/>
    </xf>
    <xf numFmtId="0" fontId="6" fillId="0" borderId="5" xfId="1" applyFont="1" applyBorder="1" applyAlignment="1">
      <alignment horizontal="center" vertical="center"/>
    </xf>
    <xf numFmtId="0" fontId="6" fillId="0" borderId="5" xfId="0" applyFont="1" applyBorder="1" applyAlignment="1">
      <alignment horizontal="center" vertical="center"/>
    </xf>
    <xf numFmtId="0" fontId="6" fillId="0" borderId="7" xfId="1" applyFont="1" applyBorder="1" applyAlignment="1">
      <alignment horizontal="center" vertical="center"/>
    </xf>
    <xf numFmtId="0" fontId="16" fillId="0" borderId="1" xfId="1" applyFont="1" applyBorder="1" applyAlignment="1">
      <alignment horizontal="center" vertical="center"/>
    </xf>
    <xf numFmtId="0" fontId="16" fillId="0" borderId="1" xfId="0" applyFont="1" applyBorder="1" applyAlignment="1">
      <alignment horizontal="center" vertical="center"/>
    </xf>
    <xf numFmtId="0" fontId="15" fillId="0" borderId="1" xfId="1" applyFont="1" applyBorder="1" applyAlignment="1">
      <alignment horizontal="center" vertical="center"/>
    </xf>
    <xf numFmtId="0" fontId="16" fillId="0" borderId="0" xfId="1" applyFont="1" applyAlignment="1">
      <alignment horizontal="center" vertical="center"/>
    </xf>
    <xf numFmtId="0" fontId="16" fillId="0" borderId="0" xfId="0" applyFont="1" applyAlignment="1">
      <alignment horizontal="center" vertical="center"/>
    </xf>
    <xf numFmtId="0" fontId="15" fillId="0" borderId="0" xfId="1" applyFont="1" applyAlignment="1">
      <alignment horizontal="center" vertical="center"/>
    </xf>
    <xf numFmtId="0" fontId="6" fillId="0" borderId="0" xfId="1" applyFont="1" applyAlignment="1">
      <alignment horizontal="center" vertical="center"/>
    </xf>
    <xf numFmtId="0" fontId="6" fillId="0" borderId="0" xfId="0" applyFont="1" applyAlignment="1">
      <alignment horizontal="center" vertical="center"/>
    </xf>
    <xf numFmtId="0" fontId="12" fillId="0" borderId="0" xfId="0" applyFont="1" applyAlignment="1">
      <alignment horizontal="center" vertical="center"/>
    </xf>
    <xf numFmtId="0" fontId="11" fillId="15" borderId="1" xfId="1" applyFont="1" applyFill="1" applyBorder="1" applyAlignment="1">
      <alignment horizontal="center" vertical="center"/>
    </xf>
    <xf numFmtId="0" fontId="12" fillId="0" borderId="0" xfId="0" applyFont="1" applyAlignment="1">
      <alignment horizontal="right"/>
    </xf>
    <xf numFmtId="0" fontId="12" fillId="0" borderId="0" xfId="0" applyFont="1" applyAlignment="1">
      <alignment horizontal="left"/>
    </xf>
    <xf numFmtId="0" fontId="10" fillId="14"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8" xfId="0" applyFont="1" applyFill="1" applyBorder="1" applyAlignment="1">
      <alignment horizontal="center" vertical="center"/>
    </xf>
    <xf numFmtId="9" fontId="9" fillId="18" borderId="0" xfId="0" applyNumberFormat="1" applyFont="1" applyFill="1" applyAlignment="1">
      <alignment horizontal="center" vertical="center"/>
    </xf>
    <xf numFmtId="0" fontId="19" fillId="0" borderId="1" xfId="0" applyFont="1" applyBorder="1" applyAlignment="1">
      <alignment horizontal="center" vertical="center"/>
    </xf>
    <xf numFmtId="0" fontId="12" fillId="0" borderId="0" xfId="0" applyFont="1"/>
    <xf numFmtId="14" fontId="0" fillId="0" borderId="9" xfId="0" applyNumberFormat="1" applyBorder="1"/>
    <xf numFmtId="0" fontId="15" fillId="0" borderId="0" xfId="4"/>
    <xf numFmtId="0" fontId="15" fillId="0" borderId="0" xfId="4" applyAlignment="1">
      <alignment horizontal="left"/>
    </xf>
    <xf numFmtId="0" fontId="15" fillId="0" borderId="0" xfId="4" applyAlignment="1">
      <alignment horizontal="right"/>
    </xf>
    <xf numFmtId="14" fontId="15" fillId="0" borderId="9" xfId="4" applyNumberFormat="1" applyBorder="1"/>
    <xf numFmtId="22" fontId="0" fillId="0" borderId="0" xfId="0" applyNumberFormat="1"/>
    <xf numFmtId="0" fontId="17" fillId="0" borderId="1" xfId="1" applyFont="1" applyBorder="1" applyAlignment="1">
      <alignment horizontal="left" vertical="center"/>
    </xf>
    <xf numFmtId="0" fontId="9" fillId="6" borderId="0" xfId="0" applyFont="1" applyFill="1" applyAlignment="1">
      <alignment horizontal="center" vertical="center"/>
    </xf>
    <xf numFmtId="0" fontId="18" fillId="0" borderId="0" xfId="0" applyFont="1" applyAlignment="1">
      <alignment horizontal="center" vertical="center" wrapText="1"/>
    </xf>
    <xf numFmtId="0" fontId="18" fillId="0" borderId="0" xfId="0" applyFont="1" applyAlignment="1">
      <alignment horizontal="center" vertical="center"/>
    </xf>
    <xf numFmtId="9" fontId="0" fillId="0" borderId="0" xfId="0" applyNumberFormat="1" applyFont="1" applyFill="1" applyAlignment="1">
      <alignment horizontal="center" vertical="center"/>
    </xf>
  </cellXfs>
  <cellStyles count="5">
    <cellStyle name="Hipervínculo" xfId="3" builtinId="8"/>
    <cellStyle name="Normal" xfId="0" builtinId="0"/>
    <cellStyle name="Normal 2" xfId="1" xr:uid="{4295055E-378D-4CC5-B2A4-84281D75DBBF}"/>
    <cellStyle name="Normal 3" xfId="4" xr:uid="{E4260F30-A0F7-4660-9A95-A71008C78429}"/>
    <cellStyle name="Porcentaje" xfId="2" builtinId="5"/>
  </cellStyles>
  <dxfs count="734">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numFmt numFmtId="13" formatCode="0%"/>
    </dxf>
    <dxf>
      <alignment vertical="center"/>
    </dxf>
    <dxf>
      <alignment horizontal="center"/>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numFmt numFmtId="13" formatCode="0%"/>
    </dxf>
    <dxf>
      <alignment vertical="center"/>
    </dxf>
    <dxf>
      <alignment horizontal="center"/>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numFmt numFmtId="13" formatCode="0%"/>
    </dxf>
    <dxf>
      <alignment vertical="center"/>
    </dxf>
    <dxf>
      <alignment horizontal="center"/>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numFmt numFmtId="13" formatCode="0%"/>
    </dxf>
    <dxf>
      <alignment vertical="center"/>
    </dxf>
    <dxf>
      <alignment horizontal="center"/>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numFmt numFmtId="13" formatCode="0%"/>
    </dxf>
    <dxf>
      <alignment vertical="center"/>
    </dxf>
    <dxf>
      <alignment horizontal="center"/>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numFmt numFmtId="13" formatCode="0%"/>
    </dxf>
    <dxf>
      <alignment vertical="center"/>
    </dxf>
    <dxf>
      <alignment horizontal="center"/>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19" formatCode="d/mm/yyyy"/>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27" formatCode="d/mm/yyyy\ h:mm"/>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9" formatCode="d/mm/yyyy"/>
      <fill>
        <patternFill patternType="none">
          <fgColor indexed="64"/>
          <bgColor auto="1"/>
        </patternFill>
      </fill>
      <alignment horizontal="general" vertical="bottom" textRotation="0" wrapText="0" indent="0" justifyLastLine="0" shrinkToFit="0" readingOrder="0"/>
      <border diagonalUp="0" diagonalDown="0" outline="0">
        <left/>
        <right/>
        <top style="thin">
          <color theme="7"/>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auto="1"/>
        </patternFill>
      </fill>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9"/>
        <color indexed="9"/>
        <name val="Aptos"/>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fill>
        <patternFill patternType="none">
          <fgColor indexed="64"/>
          <bgColor indexed="65"/>
        </patternFill>
      </fill>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dxf>
    <dxf>
      <font>
        <color auto="1"/>
      </font>
    </dxf>
    <dxf>
      <fill>
        <patternFill patternType="solid">
          <bgColor theme="5" tint="0.79998168889431442"/>
        </patternFill>
      </fill>
    </dxf>
    <dxf>
      <fill>
        <patternFill>
          <bgColor theme="0" tint="-4.9989318521683403E-2"/>
        </patternFill>
      </fill>
    </dxf>
    <dxf>
      <font>
        <color auto="1"/>
      </font>
    </dxf>
    <dxf>
      <fill>
        <patternFill patternType="solid">
          <bgColor theme="9" tint="0.79998168889431442"/>
        </patternFill>
      </fill>
    </dxf>
    <dxf>
      <font>
        <b/>
      </font>
    </dxf>
    <dxf>
      <alignment vertical="center"/>
    </dxf>
    <dxf>
      <alignment vertical="center"/>
    </dxf>
    <dxf>
      <alignment horizontal="general"/>
    </dxf>
    <dxf>
      <alignment horizontal="general"/>
    </dxf>
    <dxf>
      <font>
        <color auto="1"/>
      </font>
    </dxf>
    <dxf>
      <font>
        <b/>
      </font>
    </dxf>
    <dxf>
      <font>
        <b/>
      </font>
    </dxf>
    <dxf>
      <font>
        <b/>
      </font>
    </dxf>
    <dxf>
      <font>
        <b/>
      </font>
    </dxf>
    <dxf>
      <alignment wrapText="1"/>
    </dxf>
    <dxf>
      <alignment wrapText="1"/>
    </dxf>
    <dxf>
      <alignment wrapText="1"/>
    </dxf>
    <dxf>
      <alignment wrapText="1"/>
    </dxf>
    <dxf>
      <alignment wrapText="1"/>
    </dxf>
    <dxf>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wrapText="1"/>
    </dxf>
    <dxf>
      <fill>
        <patternFill patternType="solid">
          <bgColor rgb="FFFFC000"/>
        </patternFill>
      </fill>
    </dxf>
    <dxf>
      <font>
        <color auto="1"/>
      </font>
    </dxf>
    <dxf>
      <fill>
        <patternFill patternType="solid">
          <bgColor theme="0" tint="-4.9989318521683403E-2"/>
        </patternFill>
      </fill>
    </dxf>
    <dxf>
      <alignment horizontal="center"/>
    </dxf>
    <dxf>
      <alignment horizontal="center"/>
    </dxf>
    <dxf>
      <alignment vertic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alignment horizont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ill>
        <patternFill>
          <bgColor theme="5" tint="0.39997558519241921"/>
        </patternFill>
      </fill>
    </dxf>
    <dxf>
      <fill>
        <patternFill>
          <fgColor theme="6" tint="0.79998168889431442"/>
        </patternFill>
      </fill>
    </dxf>
    <dxf>
      <font>
        <b/>
      </font>
    </dxf>
    <dxf>
      <font>
        <b/>
      </font>
    </dxf>
    <dxf>
      <font>
        <b/>
      </font>
    </dxf>
    <dxf>
      <font>
        <color auto="1"/>
      </font>
    </dxf>
    <dxf>
      <font>
        <color auto="1"/>
      </font>
    </dxf>
    <dxf>
      <font>
        <color auto="1"/>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vertical="center"/>
    </dxf>
    <dxf>
      <alignment vertical="center"/>
    </dxf>
    <dxf>
      <fill>
        <patternFill patternType="solid">
          <fgColor indexed="64"/>
          <bgColor rgb="FF00B050"/>
        </patternFill>
      </fill>
      <alignment horizontal="center" vertical="center"/>
    </dxf>
    <dxf>
      <numFmt numFmtId="13" formatCode="0%"/>
    </dxf>
    <dxf>
      <fill>
        <patternFill>
          <bgColor rgb="FF00B050"/>
        </patternFill>
      </fill>
    </dxf>
    <dxf>
      <fill>
        <patternFill patternType="solid">
          <bgColor theme="6" tint="0.79998168889431442"/>
        </patternFill>
      </fill>
    </dxf>
    <dxf>
      <fill>
        <patternFill patternType="solid">
          <bgColor theme="9"/>
        </patternFill>
      </fill>
    </dxf>
    <dxf>
      <alignment horizontal="center"/>
    </dxf>
    <dxf>
      <alignment horizontal="center"/>
    </dxf>
    <dxf>
      <alignment vertical="center"/>
    </dxf>
    <dxf>
      <alignment vertical="center"/>
    </dxf>
    <dxf>
      <numFmt numFmtId="13" formatCode="0%"/>
    </dxf>
    <dxf>
      <font>
        <color theme="0"/>
      </font>
      <fill>
        <patternFill>
          <bgColor theme="1"/>
        </patternFill>
      </fill>
    </dxf>
    <dxf>
      <font>
        <color theme="0"/>
      </font>
      <fill>
        <patternFill>
          <bgColor theme="1"/>
        </patternFill>
      </fill>
    </dxf>
  </dxfs>
  <tableStyles count="1" defaultTableStyle="TableStyleMedium2" defaultPivotStyle="PivotStyleLight16">
    <tableStyle name="Estilo de tabla dinámica 1" table="0" count="2" xr9:uid="{7CD1BCAD-EE2E-4FCA-9197-79EEB80D72C9}">
      <tableStyleElement type="headerRow" dxfId="733"/>
      <tableStyleElement type="totalRow" dxfId="732"/>
    </tableStyle>
  </tableStyles>
  <colors>
    <mruColors>
      <color rgb="FF00B0F0"/>
      <color rgb="FFFFF1C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Auditoria Purina - Octubre 2025.xlsx]INFORME!TablaDinámica11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por cluster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INFORME!$E$16:$E$17</c:f>
              <c:strCache>
                <c:ptCount val="1"/>
                <c:pt idx="0">
                  <c:v>MODERNO</c:v>
                </c:pt>
              </c:strCache>
            </c:strRef>
          </c:tx>
          <c:spPr>
            <a:solidFill>
              <a:schemeClr val="accent4">
                <a:shade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INFORME!$D$18:$D$22</c:f>
              <c:strCache>
                <c:ptCount val="4"/>
                <c:pt idx="0">
                  <c:v>HORARIO</c:v>
                </c:pt>
                <c:pt idx="1">
                  <c:v>ACTIVIDADES DEL MES</c:v>
                </c:pt>
                <c:pt idx="2">
                  <c:v>PRESENTACIÓN PERSONAL</c:v>
                </c:pt>
                <c:pt idx="3">
                  <c:v>EJECUCIÓN DEL PDV</c:v>
                </c:pt>
              </c:strCache>
            </c:strRef>
          </c:cat>
          <c:val>
            <c:numRef>
              <c:f>INFORME!$E$18:$E$22</c:f>
              <c:numCache>
                <c:formatCode>0%</c:formatCode>
                <c:ptCount val="4"/>
                <c:pt idx="0">
                  <c:v>1</c:v>
                </c:pt>
                <c:pt idx="1">
                  <c:v>1</c:v>
                </c:pt>
                <c:pt idx="2">
                  <c:v>1</c:v>
                </c:pt>
                <c:pt idx="3">
                  <c:v>0.75</c:v>
                </c:pt>
              </c:numCache>
            </c:numRef>
          </c:val>
          <c:extLst>
            <c:ext xmlns:c16="http://schemas.microsoft.com/office/drawing/2014/chart" uri="{C3380CC4-5D6E-409C-BE32-E72D297353CC}">
              <c16:uniqueId val="{00000000-F9DA-4BC2-9FB8-4879E930A982}"/>
            </c:ext>
          </c:extLst>
        </c:ser>
        <c:ser>
          <c:idx val="1"/>
          <c:order val="1"/>
          <c:tx>
            <c:strRef>
              <c:f>INFORME!$F$16:$F$17</c:f>
              <c:strCache>
                <c:ptCount val="1"/>
                <c:pt idx="0">
                  <c:v>TRADICIONAL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INFORME!$D$18:$D$22</c:f>
              <c:strCache>
                <c:ptCount val="4"/>
                <c:pt idx="0">
                  <c:v>HORARIO</c:v>
                </c:pt>
                <c:pt idx="1">
                  <c:v>ACTIVIDADES DEL MES</c:v>
                </c:pt>
                <c:pt idx="2">
                  <c:v>PRESENTACIÓN PERSONAL</c:v>
                </c:pt>
                <c:pt idx="3">
                  <c:v>EJECUCIÓN DEL PDV</c:v>
                </c:pt>
              </c:strCache>
            </c:strRef>
          </c:cat>
          <c:val>
            <c:numRef>
              <c:f>INFORME!$F$18:$F$22</c:f>
              <c:numCache>
                <c:formatCode>0%</c:formatCode>
                <c:ptCount val="4"/>
                <c:pt idx="0">
                  <c:v>1</c:v>
                </c:pt>
                <c:pt idx="1">
                  <c:v>1</c:v>
                </c:pt>
                <c:pt idx="2">
                  <c:v>1</c:v>
                </c:pt>
                <c:pt idx="3">
                  <c:v>0.97499999999999998</c:v>
                </c:pt>
              </c:numCache>
            </c:numRef>
          </c:val>
          <c:extLst>
            <c:ext xmlns:c16="http://schemas.microsoft.com/office/drawing/2014/chart" uri="{C3380CC4-5D6E-409C-BE32-E72D297353CC}">
              <c16:uniqueId val="{00000001-1226-4B34-9679-AD0ABE1D5CCD}"/>
            </c:ext>
          </c:extLst>
        </c:ser>
        <c:ser>
          <c:idx val="2"/>
          <c:order val="2"/>
          <c:tx>
            <c:strRef>
              <c:f>INFORME!$G$16:$G$17</c:f>
              <c:strCache>
                <c:ptCount val="1"/>
                <c:pt idx="0">
                  <c:v>ESPECIALIZADO</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INFORME!$D$18:$D$22</c:f>
              <c:strCache>
                <c:ptCount val="4"/>
                <c:pt idx="0">
                  <c:v>HORARIO</c:v>
                </c:pt>
                <c:pt idx="1">
                  <c:v>ACTIVIDADES DEL MES</c:v>
                </c:pt>
                <c:pt idx="2">
                  <c:v>PRESENTACIÓN PERSONAL</c:v>
                </c:pt>
                <c:pt idx="3">
                  <c:v>EJECUCIÓN DEL PDV</c:v>
                </c:pt>
              </c:strCache>
            </c:strRef>
          </c:cat>
          <c:val>
            <c:numRef>
              <c:f>INFORME!$G$18:$G$22</c:f>
              <c:numCache>
                <c:formatCode>0%</c:formatCode>
                <c:ptCount val="4"/>
                <c:pt idx="0">
                  <c:v>1</c:v>
                </c:pt>
                <c:pt idx="1">
                  <c:v>1</c:v>
                </c:pt>
                <c:pt idx="2">
                  <c:v>0.95</c:v>
                </c:pt>
                <c:pt idx="3">
                  <c:v>1</c:v>
                </c:pt>
              </c:numCache>
            </c:numRef>
          </c:val>
          <c:extLst>
            <c:ext xmlns:c16="http://schemas.microsoft.com/office/drawing/2014/chart" uri="{C3380CC4-5D6E-409C-BE32-E72D297353CC}">
              <c16:uniqueId val="{00000002-1226-4B34-9679-AD0ABE1D5CCD}"/>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Auditoria Purina - Octubre 2025.xlsx]INFORME!TablaDinámica12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Resultados por cluster por Ciudad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INFORME!$E$26:$E$27</c:f>
              <c:strCache>
                <c:ptCount val="1"/>
                <c:pt idx="0">
                  <c:v>BOGOTA</c:v>
                </c:pt>
              </c:strCache>
            </c:strRef>
          </c:tx>
          <c:spPr>
            <a:solidFill>
              <a:schemeClr val="accent1"/>
            </a:solidFill>
            <a:ln>
              <a:noFill/>
            </a:ln>
            <a:effectLst/>
          </c:spPr>
          <c:invertIfNegative val="0"/>
          <c:dLbls>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INFORME!$D$28:$D$32</c:f>
              <c:strCache>
                <c:ptCount val="4"/>
                <c:pt idx="0">
                  <c:v>HORARIO</c:v>
                </c:pt>
                <c:pt idx="1">
                  <c:v>ACTIVIDADES DEL MES</c:v>
                </c:pt>
                <c:pt idx="2">
                  <c:v>PRESENTACIÓN PERSONAL</c:v>
                </c:pt>
                <c:pt idx="3">
                  <c:v>EJECUCIÓN DEL PDV</c:v>
                </c:pt>
              </c:strCache>
            </c:strRef>
          </c:cat>
          <c:val>
            <c:numRef>
              <c:f>INFORME!$E$28:$E$32</c:f>
              <c:numCache>
                <c:formatCode>0%</c:formatCode>
                <c:ptCount val="4"/>
                <c:pt idx="0">
                  <c:v>1</c:v>
                </c:pt>
                <c:pt idx="1">
                  <c:v>1</c:v>
                </c:pt>
                <c:pt idx="2">
                  <c:v>0.97499999999999998</c:v>
                </c:pt>
                <c:pt idx="3">
                  <c:v>0.90625</c:v>
                </c:pt>
              </c:numCache>
            </c:numRef>
          </c:val>
          <c:extLst>
            <c:ext xmlns:c16="http://schemas.microsoft.com/office/drawing/2014/chart" uri="{C3380CC4-5D6E-409C-BE32-E72D297353CC}">
              <c16:uniqueId val="{00000000-F9DA-4BC2-9FB8-4879E930A982}"/>
            </c:ext>
          </c:extLst>
        </c:ser>
        <c:ser>
          <c:idx val="1"/>
          <c:order val="1"/>
          <c:tx>
            <c:strRef>
              <c:f>INFORME!$F$26:$F$27</c:f>
              <c:strCache>
                <c:ptCount val="1"/>
                <c:pt idx="0">
                  <c:v>CALI</c:v>
                </c:pt>
              </c:strCache>
            </c:strRef>
          </c:tx>
          <c:spPr>
            <a:solidFill>
              <a:schemeClr val="accent2"/>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INFORME!$D$28:$D$32</c:f>
              <c:strCache>
                <c:ptCount val="4"/>
                <c:pt idx="0">
                  <c:v>HORARIO</c:v>
                </c:pt>
                <c:pt idx="1">
                  <c:v>ACTIVIDADES DEL MES</c:v>
                </c:pt>
                <c:pt idx="2">
                  <c:v>PRESENTACIÓN PERSONAL</c:v>
                </c:pt>
                <c:pt idx="3">
                  <c:v>EJECUCIÓN DEL PDV</c:v>
                </c:pt>
              </c:strCache>
            </c:strRef>
          </c:cat>
          <c:val>
            <c:numRef>
              <c:f>INFORME!$F$28:$F$32</c:f>
              <c:numCache>
                <c:formatCode>0%</c:formatCode>
                <c:ptCount val="4"/>
                <c:pt idx="0">
                  <c:v>1</c:v>
                </c:pt>
                <c:pt idx="1">
                  <c:v>1</c:v>
                </c:pt>
                <c:pt idx="2">
                  <c:v>1</c:v>
                </c:pt>
                <c:pt idx="3">
                  <c:v>0.75</c:v>
                </c:pt>
              </c:numCache>
            </c:numRef>
          </c:val>
          <c:extLst>
            <c:ext xmlns:c16="http://schemas.microsoft.com/office/drawing/2014/chart" uri="{C3380CC4-5D6E-409C-BE32-E72D297353CC}">
              <c16:uniqueId val="{00000000-2EA1-4253-81BD-98CCBF1A3942}"/>
            </c:ext>
          </c:extLst>
        </c:ser>
        <c:ser>
          <c:idx val="2"/>
          <c:order val="2"/>
          <c:tx>
            <c:strRef>
              <c:f>INFORME!$G$26:$G$27</c:f>
              <c:strCache>
                <c:ptCount val="1"/>
                <c:pt idx="0">
                  <c:v>MEDELLIN</c:v>
                </c:pt>
              </c:strCache>
            </c:strRef>
          </c:tx>
          <c:spPr>
            <a:solidFill>
              <a:srgbClr val="FF0000"/>
            </a:solidFill>
            <a:ln>
              <a:noFill/>
            </a:ln>
            <a:effectLst/>
          </c:spPr>
          <c:invertIfNegative val="0"/>
          <c:dLbls>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INFORME!$D$28:$D$32</c:f>
              <c:strCache>
                <c:ptCount val="4"/>
                <c:pt idx="0">
                  <c:v>HORARIO</c:v>
                </c:pt>
                <c:pt idx="1">
                  <c:v>ACTIVIDADES DEL MES</c:v>
                </c:pt>
                <c:pt idx="2">
                  <c:v>PRESENTACIÓN PERSONAL</c:v>
                </c:pt>
                <c:pt idx="3">
                  <c:v>EJECUCIÓN DEL PDV</c:v>
                </c:pt>
              </c:strCache>
            </c:strRef>
          </c:cat>
          <c:val>
            <c:numRef>
              <c:f>INFORME!$G$28:$G$32</c:f>
              <c:numCache>
                <c:formatCode>0%</c:formatCode>
                <c:ptCount val="4"/>
                <c:pt idx="0">
                  <c:v>1</c:v>
                </c:pt>
                <c:pt idx="1">
                  <c:v>1</c:v>
                </c:pt>
                <c:pt idx="2">
                  <c:v>1</c:v>
                </c:pt>
                <c:pt idx="3">
                  <c:v>1</c:v>
                </c:pt>
              </c:numCache>
            </c:numRef>
          </c:val>
          <c:extLst>
            <c:ext xmlns:c16="http://schemas.microsoft.com/office/drawing/2014/chart" uri="{C3380CC4-5D6E-409C-BE32-E72D297353CC}">
              <c16:uniqueId val="{00000001-2EA1-4253-81BD-98CCBF1A3942}"/>
            </c:ext>
          </c:extLst>
        </c:ser>
        <c:ser>
          <c:idx val="3"/>
          <c:order val="3"/>
          <c:tx>
            <c:strRef>
              <c:f>INFORME!$H$26:$H$27</c:f>
              <c:strCache>
                <c:ptCount val="1"/>
                <c:pt idx="0">
                  <c:v>BARRANQUILLA</c:v>
                </c:pt>
              </c:strCache>
            </c:strRef>
          </c:tx>
          <c:spPr>
            <a:solidFill>
              <a:schemeClr val="accent4"/>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INFORME!$D$28:$D$32</c:f>
              <c:strCache>
                <c:ptCount val="4"/>
                <c:pt idx="0">
                  <c:v>HORARIO</c:v>
                </c:pt>
                <c:pt idx="1">
                  <c:v>ACTIVIDADES DEL MES</c:v>
                </c:pt>
                <c:pt idx="2">
                  <c:v>PRESENTACIÓN PERSONAL</c:v>
                </c:pt>
                <c:pt idx="3">
                  <c:v>EJECUCIÓN DEL PDV</c:v>
                </c:pt>
              </c:strCache>
            </c:strRef>
          </c:cat>
          <c:val>
            <c:numRef>
              <c:f>INFORME!$H$28:$H$32</c:f>
              <c:numCache>
                <c:formatCode>0%</c:formatCode>
                <c:ptCount val="4"/>
                <c:pt idx="0">
                  <c:v>1</c:v>
                </c:pt>
                <c:pt idx="1">
                  <c:v>1</c:v>
                </c:pt>
                <c:pt idx="2">
                  <c:v>1</c:v>
                </c:pt>
                <c:pt idx="3">
                  <c:v>1</c:v>
                </c:pt>
              </c:numCache>
            </c:numRef>
          </c:val>
          <c:extLst>
            <c:ext xmlns:c16="http://schemas.microsoft.com/office/drawing/2014/chart" uri="{C3380CC4-5D6E-409C-BE32-E72D297353CC}">
              <c16:uniqueId val="{00000002-2EA1-4253-81BD-98CCBF1A3942}"/>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67233</xdr:rowOff>
    </xdr:from>
    <xdr:to>
      <xdr:col>13</xdr:col>
      <xdr:colOff>0</xdr:colOff>
      <xdr:row>5</xdr:row>
      <xdr:rowOff>97116</xdr:rowOff>
    </xdr:to>
    <xdr:sp macro="" textlink="">
      <xdr:nvSpPr>
        <xdr:cNvPr id="3" name="CuadroTexto 2">
          <a:extLst>
            <a:ext uri="{FF2B5EF4-FFF2-40B4-BE49-F238E27FC236}">
              <a16:creationId xmlns:a16="http://schemas.microsoft.com/office/drawing/2014/main" id="{43DFF3F2-6C69-9AFA-48CE-BBA38DD9A512}"/>
            </a:ext>
          </a:extLst>
        </xdr:cNvPr>
        <xdr:cNvSpPr txBox="1"/>
      </xdr:nvSpPr>
      <xdr:spPr>
        <a:xfrm>
          <a:off x="2017060" y="253998"/>
          <a:ext cx="2495176" cy="77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1"/>
            <a:t>NESTLE F&amp;B</a:t>
          </a:r>
        </a:p>
        <a:p>
          <a:r>
            <a:rPr lang="es-CO" sz="1100"/>
            <a:t>INFORME MYSTERY SHOPPER </a:t>
          </a:r>
        </a:p>
        <a:p>
          <a:endParaRPr lang="es-CO" sz="200"/>
        </a:p>
        <a:p>
          <a:r>
            <a:rPr lang="es-CO" sz="1000" i="1"/>
            <a:t>24</a:t>
          </a:r>
          <a:r>
            <a:rPr lang="es-CO" sz="1000" i="1" baseline="0"/>
            <a:t> Agosto al 4 Septiembre </a:t>
          </a:r>
          <a:endParaRPr lang="es-CO" sz="1000" i="1"/>
        </a:p>
      </xdr:txBody>
    </xdr:sp>
    <xdr:clientData/>
  </xdr:twoCellAnchor>
  <xdr:twoCellAnchor>
    <xdr:from>
      <xdr:col>13</xdr:col>
      <xdr:colOff>0</xdr:colOff>
      <xdr:row>1</xdr:row>
      <xdr:rowOff>7468</xdr:rowOff>
    </xdr:from>
    <xdr:to>
      <xdr:col>13</xdr:col>
      <xdr:colOff>0</xdr:colOff>
      <xdr:row>5</xdr:row>
      <xdr:rowOff>179292</xdr:rowOff>
    </xdr:to>
    <xdr:sp macro="" textlink="">
      <xdr:nvSpPr>
        <xdr:cNvPr id="4" name="Rectángulo 3">
          <a:extLst>
            <a:ext uri="{FF2B5EF4-FFF2-40B4-BE49-F238E27FC236}">
              <a16:creationId xmlns:a16="http://schemas.microsoft.com/office/drawing/2014/main" id="{8BA0075D-6610-9B93-DF97-FDD9D0641296}"/>
            </a:ext>
          </a:extLst>
        </xdr:cNvPr>
        <xdr:cNvSpPr/>
      </xdr:nvSpPr>
      <xdr:spPr>
        <a:xfrm>
          <a:off x="1837765" y="194233"/>
          <a:ext cx="52294" cy="918883"/>
        </a:xfrm>
        <a:prstGeom prst="rect">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666750</xdr:colOff>
      <xdr:row>17</xdr:row>
      <xdr:rowOff>75406</xdr:rowOff>
    </xdr:from>
    <xdr:to>
      <xdr:col>17</xdr:col>
      <xdr:colOff>522741</xdr:colOff>
      <xdr:row>39</xdr:row>
      <xdr:rowOff>39687</xdr:rowOff>
    </xdr:to>
    <xdr:graphicFrame macro="">
      <xdr:nvGraphicFramePr>
        <xdr:cNvPr id="8" name="Gráfico 7">
          <a:extLst>
            <a:ext uri="{FF2B5EF4-FFF2-40B4-BE49-F238E27FC236}">
              <a16:creationId xmlns:a16="http://schemas.microsoft.com/office/drawing/2014/main" id="{6DC84FFA-91C2-A047-EC7F-E35F34A6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158750</xdr:colOff>
      <xdr:row>6</xdr:row>
      <xdr:rowOff>72496</xdr:rowOff>
    </xdr:from>
    <xdr:to>
      <xdr:col>0</xdr:col>
      <xdr:colOff>2301875</xdr:colOff>
      <xdr:row>14</xdr:row>
      <xdr:rowOff>35718</xdr:rowOff>
    </xdr:to>
    <mc:AlternateContent xmlns:mc="http://schemas.openxmlformats.org/markup-compatibility/2006" xmlns:a14="http://schemas.microsoft.com/office/drawing/2010/main">
      <mc:Choice Requires="a14">
        <xdr:graphicFrame macro="">
          <xdr:nvGraphicFramePr>
            <xdr:cNvPr id="9" name="CIUDAD">
              <a:extLst>
                <a:ext uri="{FF2B5EF4-FFF2-40B4-BE49-F238E27FC236}">
                  <a16:creationId xmlns:a16="http://schemas.microsoft.com/office/drawing/2014/main" id="{99DA9371-904D-B9CC-FEA2-A327FC85F7C9}"/>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158750" y="1394090"/>
              <a:ext cx="2143125" cy="1165753"/>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154781</xdr:colOff>
      <xdr:row>14</xdr:row>
      <xdr:rowOff>166494</xdr:rowOff>
    </xdr:from>
    <xdr:to>
      <xdr:col>0</xdr:col>
      <xdr:colOff>2298944</xdr:colOff>
      <xdr:row>32</xdr:row>
      <xdr:rowOff>154781</xdr:rowOff>
    </xdr:to>
    <mc:AlternateContent xmlns:mc="http://schemas.openxmlformats.org/markup-compatibility/2006" xmlns:a14="http://schemas.microsoft.com/office/drawing/2010/main">
      <mc:Choice Requires="a14">
        <xdr:graphicFrame macro="">
          <xdr:nvGraphicFramePr>
            <xdr:cNvPr id="10" name="NOMBRE COMERCIAL">
              <a:extLst>
                <a:ext uri="{FF2B5EF4-FFF2-40B4-BE49-F238E27FC236}">
                  <a16:creationId xmlns:a16="http://schemas.microsoft.com/office/drawing/2014/main" id="{F50E9D89-339A-DBE7-56A8-7DFF3F5D9111}"/>
                </a:ext>
              </a:extLst>
            </xdr:cNvPr>
            <xdr:cNvGraphicFramePr/>
          </xdr:nvGraphicFramePr>
          <xdr:xfrm>
            <a:off x="0" y="0"/>
            <a:ext cx="0" cy="0"/>
          </xdr:xfrm>
          <a:graphic>
            <a:graphicData uri="http://schemas.microsoft.com/office/drawing/2010/slicer">
              <sle:slicer xmlns:sle="http://schemas.microsoft.com/office/drawing/2010/slicer" name="NOMBRE COMERCIAL"/>
            </a:graphicData>
          </a:graphic>
        </xdr:graphicFrame>
      </mc:Choice>
      <mc:Fallback xmlns="">
        <xdr:sp macro="" textlink="">
          <xdr:nvSpPr>
            <xdr:cNvPr id="0" name=""/>
            <xdr:cNvSpPr>
              <a:spLocks noTextEdit="1"/>
            </xdr:cNvSpPr>
          </xdr:nvSpPr>
          <xdr:spPr>
            <a:xfrm>
              <a:off x="154781" y="3012088"/>
              <a:ext cx="2144163" cy="3179162"/>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18</xdr:col>
      <xdr:colOff>80165</xdr:colOff>
      <xdr:row>17</xdr:row>
      <xdr:rowOff>65427</xdr:rowOff>
    </xdr:from>
    <xdr:to>
      <xdr:col>25</xdr:col>
      <xdr:colOff>549955</xdr:colOff>
      <xdr:row>39</xdr:row>
      <xdr:rowOff>39120</xdr:rowOff>
    </xdr:to>
    <xdr:graphicFrame macro="">
      <xdr:nvGraphicFramePr>
        <xdr:cNvPr id="12" name="Gráfico 11">
          <a:extLst>
            <a:ext uri="{FF2B5EF4-FFF2-40B4-BE49-F238E27FC236}">
              <a16:creationId xmlns:a16="http://schemas.microsoft.com/office/drawing/2014/main" id="{CDCED173-A93D-4192-FE60-24A713D1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93549</xdr:colOff>
      <xdr:row>3</xdr:row>
      <xdr:rowOff>10204</xdr:rowOff>
    </xdr:from>
    <xdr:to>
      <xdr:col>0</xdr:col>
      <xdr:colOff>2540709</xdr:colOff>
      <xdr:row>5</xdr:row>
      <xdr:rowOff>130594</xdr:rowOff>
    </xdr:to>
    <xdr:pic>
      <xdr:nvPicPr>
        <xdr:cNvPr id="2" name="Imagen 1" descr="Icono&#10;&#10;Descripción generada automáticamente">
          <a:extLst>
            <a:ext uri="{FF2B5EF4-FFF2-40B4-BE49-F238E27FC236}">
              <a16:creationId xmlns:a16="http://schemas.microsoft.com/office/drawing/2014/main" id="{97B8F53A-E4DF-4BA4-8837-4FC2CE280D5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549" y="760298"/>
          <a:ext cx="2447160" cy="5013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tor" refreshedDate="45961.392010763891" createdVersion="8" refreshedVersion="8" minRefreshableVersion="3" recordCount="12" xr:uid="{CF551015-06BD-4229-9B56-77016B602580}">
  <cacheSource type="worksheet">
    <worksheetSource name="Tabla1"/>
  </cacheSource>
  <cacheFields count="11">
    <cacheField name="CANAL" numFmtId="0">
      <sharedItems/>
    </cacheField>
    <cacheField name="CIUDAD" numFmtId="0">
      <sharedItems containsBlank="1" count="15">
        <s v="BARRANQUILLA"/>
        <s v="BOGOTA"/>
        <s v="CALI"/>
        <s v="MEDELLIN"/>
        <s v="ENVIGADO" u="1"/>
        <m u="1"/>
        <s v="ARMENIA (QUINDIO)" u="1"/>
        <s v="CHIA" u="1"/>
        <s v="CARTAGENA" u="1"/>
        <s v="BUCARAMANGA" u="1"/>
        <s v="ITAGUI" u="1"/>
        <s v="PALMIRA" u="1"/>
        <s v="PEREIRA" u="1"/>
        <s v="BELLO" u="1"/>
        <s v="SOACHA" u="1"/>
      </sharedItems>
    </cacheField>
    <cacheField name="CODIGO PDV" numFmtId="0">
      <sharedItems containsSemiMixedTypes="0" containsString="0" containsNumber="1" containsInteger="1" minValue="65453" maxValue="442180"/>
    </cacheField>
    <cacheField name="NOMBRE COMERCIAL" numFmtId="0">
      <sharedItems/>
    </cacheField>
    <cacheField name="Objetivo Mystery" numFmtId="0">
      <sharedItems containsSemiMixedTypes="0" containsString="0" containsNumber="1" containsInteger="1" minValue="1" maxValue="1"/>
    </cacheField>
    <cacheField name="#PDV Objetivos" numFmtId="0">
      <sharedItems containsSemiMixedTypes="0" containsString="0" containsNumber="1" containsInteger="1" minValue="1" maxValue="1"/>
    </cacheField>
    <cacheField name="#PDV Ejecutados" numFmtId="0">
      <sharedItems containsSemiMixedTypes="0" containsString="0" containsNumber="1" containsInteger="1" minValue="1" maxValue="1"/>
    </cacheField>
    <cacheField name="# Visitas" numFmtId="0">
      <sharedItems containsSemiMixedTypes="0" containsString="0" containsNumber="1" containsInteger="1" minValue="1" maxValue="1"/>
    </cacheField>
    <cacheField name="Mystery Ejecutado" numFmtId="0">
      <sharedItems containsSemiMixedTypes="0" containsString="0" containsNumber="1" containsInteger="1" minValue="0" maxValue="1"/>
    </cacheField>
    <cacheField name="% Ejecucion" numFmtId="0" formula="'#PDV Ejecutados'/'#PDV Objetivos'" databaseField="0"/>
    <cacheField name="% Efectividad" numFmtId="0" formula="'Mystery Ejecutado'/'Objetivo Mystery'"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tor" refreshedDate="45967.612762847224" createdVersion="8" refreshedVersion="8" minRefreshableVersion="3" recordCount="290" xr:uid="{FB106F23-78AF-4657-98AE-84D2CE3B6430}">
  <cacheSource type="worksheet">
    <worksheetSource name="Tabla2__2"/>
  </cacheSource>
  <cacheFields count="19">
    <cacheField name="ACTIVIDAD" numFmtId="0">
      <sharedItems/>
    </cacheField>
    <cacheField name="CIUDAD" numFmtId="0">
      <sharedItems containsBlank="1" count="11">
        <s v="BOGOTA"/>
        <s v="MEDELLIN"/>
        <s v="CALI"/>
        <s v="BARRANQUILLA"/>
        <s v="ENVIGADO" u="1"/>
        <s v="CHIA" u="1"/>
        <s v="ARMENIA (QUINDIO)" u="1"/>
        <s v="CARTAGENA" u="1"/>
        <s v="BUCARAMANGA" u="1"/>
        <m u="1"/>
        <s v="ITAGUI" u="1"/>
      </sharedItems>
    </cacheField>
    <cacheField name="CANAL" numFmtId="0">
      <sharedItems containsMixedTypes="1" containsNumber="1" containsInteger="1" minValue="0" maxValue="0" count="4">
        <s v="ESPECIALIZADO"/>
        <s v="TRADICIONAL"/>
        <s v="MODERNO"/>
        <n v="0" u="1"/>
      </sharedItems>
    </cacheField>
    <cacheField name="CADENA" numFmtId="0">
      <sharedItems/>
    </cacheField>
    <cacheField name="CODIGO PDV" numFmtId="0">
      <sharedItems containsSemiMixedTypes="0" containsString="0" containsNumber="1" containsInteger="1" minValue="65453" maxValue="442180"/>
    </cacheField>
    <cacheField name="NOMBRE COMERCIAL" numFmtId="0">
      <sharedItems containsBlank="1" count="130">
        <s v="442180-CLÍNICA VETERINARIA ENVALLE S.A.S."/>
        <s v="202264-MIL VARIEDADES CAMPO VALDEZ"/>
        <s v="363615-LA MONTAÑA AGROMERCADOS LA 14 DE COSMOCENTRO 129"/>
        <s v="191457-ALMACEN MI CORRAL 84"/>
        <s v="110508-ALMACEN EL MELAO"/>
        <s v="129909-MERCADOS LA COMPARCITA"/>
        <s v="66554-LA CARIÑOSA"/>
        <s v="DISTRIBUCIONES MILENA"/>
        <s v="382375-PORVENIR SAN ISIDRO"/>
        <s v="201118-MERCABOY CLL 163"/>
        <s v="LA CASA DE LOS TENDEROS"/>
        <s v="355912-MERCADOS ALCOSTO ALMENDROS"/>
        <s v="555193-SUPERMERCADO EL POLEO" u="1"/>
        <s v="150269-CEBA 73" u="1"/>
        <s v="185063-TIENDA QUINTA DE OESTE" u="1"/>
        <s v="424866-GRANERO PAUL" u="1"/>
        <s v="410244-AUTOSERVICIO CHAMPION" u="1"/>
        <s v="127057-AHORRAMAX" u="1"/>
        <s v="436935-AUTOSERVICIO EL CAMPANAZO" u="1"/>
        <s v="447964-MAKRO BARRANQUILLA" u="1"/>
        <s v="556181-CAÑAVERAL LUNA COOTRAEMCALI" u="1"/>
        <s v="CARULLA PANCE" u="1"/>
        <s v="437044-SURTIFAMILIAR CACHIPAY" u="1"/>
        <s v="350997-VIVE SUPER" u="1"/>
        <s v="427395-OLIMPICA STO 047 MACARENA" u="1"/>
        <s v="156879-AUTOSERVICIO EL RODEO DT" u="1"/>
        <s v="126912-LA CANASTA CAMPESINA" u="1"/>
        <s v="344182-EASY ALTOS DEL PRADO" u="1"/>
        <s v="245831-PUPPIS VIVA BARRANQUILLA" u="1"/>
        <s v="421577-DEGANADO ALAMEDA" u="1"/>
        <s v="356625-AGRO LA HACIENDA SAS NORTE" u="1"/>
        <s v="453005-DIVERPOOL LA ESMERALDA" u="1"/>
        <s v="CONCENTRADOS EL RANCHO LTDA DROGUERIA VETERINARIA" u="1"/>
        <s v="103569-CAÑAVERAL LIMONAR" u="1"/>
        <s v="376302-AUTOSERVICIO EL PEDREGAL MG SAS-BOGOTA" u="1"/>
        <s v="MERCAMIO CALLE 5" u="1"/>
        <s v="456498-MERCA Z CALI" u="1"/>
        <s v="ZAPATOCA VILLA LUZ" u="1"/>
        <s v="55306-SUPAPA REFUGIO" u="1"/>
        <s v="12211-PROVEEDURIA EMPRESAS PUBLICAS EPM" u="1"/>
        <s v="12397-EXITO OCCIDENTE" u="1"/>
        <s v="103470612-MERCALDAS-BOGOTA" u="1"/>
        <s v="434812-AUTOSERVICIO IDMT" u="1"/>
        <s v="12394-EXITO CALLE 80" u="1"/>
        <s v="427385-OLIMPICA STO 094 VILLA CAROLINA" u="1"/>
        <s v="Exito  Country WOW" u="1"/>
        <s v="12054-JUMBO ALTOS DEL PRADO" u="1"/>
        <s v="12565-JUMBO SANTA ANA" u="1"/>
        <s v="EXITO ENVIGADO" u="1"/>
        <s v="Jumbo Las Vegas" u="1"/>
        <s v="12559-JUMBO CALLE 80" u="1"/>
        <s v="Jumbo Calle 170" u="1"/>
        <s v="12568-JUMBO CHIA" u="1"/>
        <s v="12041-EXITO BUENA VISTA (CV) BLLA" u="1"/>
        <s v="59430-MERCADO ZAPATOCA" u="1"/>
        <s v="419758-Vaquita El Poblado" u="1"/>
        <s v="13505-EXITO UNICENTRO ARMENIA" u="1"/>
        <s v="458848-EURO FRONTERA" u="1"/>
        <s v="12557-JUMBO BULEVAR NIZA" u="1"/>
        <s v="427729-AUTOSERVICIO EL PERDOMO" u="1"/>
        <s v="JUMBO CHIA" u="1"/>
        <s v="PORVENIR FERIAS" u="1"/>
        <s v="191305-OLIMPICA SDO 544 DROGUERIA" u="1"/>
        <s v="191185-OLIMPICA STO 103 BOCAGRANDE DROGUERIA" u="1"/>
        <s v="Exito Poblado." u="1"/>
        <s v="Exito Cabecera" u="1"/>
        <s v="EXITO VIVA LAURELES" u="1"/>
        <s v="JUMBO HAYUELOS" u="1"/>
        <s v="JUMBO SANTA FE" u="1"/>
        <s v="OLIMPICA STO 093 CR 46" u="1"/>
        <s v="CLINICA VETERINARIA DON PERRO BARRANQUILLA" u="1"/>
        <s v="AGROCAMPO S.A.S." u="1"/>
        <s v="HOMECENTER AUTOPISTA NORTE BOGOTA" u="1"/>
        <s v="PUPPIS CALIMA" u="1"/>
        <s v="PUPPIS CARRERA 15" u="1"/>
        <s v="SUPERMASCOTAS CIUDAD JARDIN" u="1"/>
        <s v="EXITO LAURELES." u="1"/>
        <s v="PLAZA PETS S.A.S." u="1"/>
        <s v="EXITO COUNTRY" u="1"/>
        <s v="HOMECENTER CALLE 80 CR 68" u="1"/>
        <s v="MUNDIAL DE GRANOS Y PANELAS S.A.S." u="1"/>
        <s v="PUPPIS CALLE 85" u="1"/>
        <s v="DEGANADO NORTE" u="1"/>
        <s v="PDV GENERICO 1" u="1"/>
        <s v="MERCAFAMILIAR LAS PALMAS S.A.S." u="1"/>
        <s v="ZOOMARPETS" u="1"/>
        <s v="SERVICE CAN COLOMBIA" u="1"/>
        <s v="AHORRE MAS" u="1"/>
        <s v="OLIMPICA 405 PLAZA DE LAS AMERICAS" u="1"/>
        <s v="AGROGANADERO DEL CARIBE S.A.S." u="1"/>
        <m u="1"/>
        <s v="EURO  FLORIDA" u="1"/>
        <s v="CANAVERAL PANCE" u="1"/>
        <s v="CHALO 3" u="1"/>
        <s v="439301-AVENTURA PLAZA MASCOTAS MARSELLA" u="1"/>
        <s v="435146-KAMARI PETS S.A.S." u="1"/>
        <s v="424798-PETCOL CEDRITOS" u="1"/>
        <s v="12479-EXITO GRAN ESTACION" u="1"/>
        <s v="TIERRAGRO MEDELLIN" u="1"/>
        <s v="LA CARIÑOSA" u="1"/>
        <s v="424776-CEBA USAQUEN" u="1"/>
        <s v="425918-KUMPET S.A.S." u="1"/>
        <s v="425172-JUMBO AUTOPISTA SUR" u="1"/>
        <s v="EL RANCHO." u="1"/>
        <s v="421532-TIERRAGRO MEDELLIN" u="1"/>
        <s v="29714-MERCAMIO CALLE 5" u="1"/>
        <s v="12130-ÉXITO LAURELES" u="1"/>
        <s v="12108-OLIMPICA STO 053 PORTAL DEL PRADO" u="1"/>
        <s v="424887-TIERRAGRO ITAGUI" u="1"/>
        <s v="424893-HOMECENTER CALLE 80" u="1"/>
        <s v="442220-AGROCORRALES ITAGUI" u="1"/>
        <s v="ANIMAL CENTER S.A.S GALERIAS" u="1"/>
        <s v="CLINICA DOVER S.A.S." u="1"/>
        <s v="ANIMALS COLINA AV LAS VILLAS" u="1"/>
        <s v="ANIMAL CENTER S.A.S." u="1"/>
        <s v="SUPERTIENDAS CANAVERAL S.A.S." u="1"/>
        <s v="SURTICAMPO S.A." u="1"/>
        <s v="ALMACENES EXITO S.A." u="1"/>
        <s v="SUPERTIENDAS Y DROGUERIAS OLIMPICA S.A." u="1"/>
        <s v="DISTRIBUIDORA SUPER 80 S.A." u="1"/>
        <s v="SUPERMERCADO EURO - LC 6 Y 7" u="1"/>
        <s v="EXITO CHIPICHAPE" u="1"/>
        <s v="JUMBO VALLE DEL LILI" u="1"/>
        <s v="CARULLA CALLE 140" u="1"/>
        <s v="JUMBO SANTA ANA" u="1"/>
        <s v="JUMBO CALLE 80" u="1"/>
        <s v="MEGATIENDAS CABRERO" u="1"/>
        <s v="OLIMPICA STO 105 LA PLAZUELA CARTAGENA" u="1"/>
        <s v="FARMATODO CEDRITOS 2" u="1"/>
        <s v="OLIMPICA STO 105 LA PLAZUELA" u="1"/>
      </sharedItems>
    </cacheField>
    <cacheField name="PREGUNTA" numFmtId="0">
      <sharedItems/>
    </cacheField>
    <cacheField name="RTA" numFmtId="0">
      <sharedItems longText="1"/>
    </cacheField>
    <cacheField name="FECHA VISITA" numFmtId="14">
      <sharedItems containsNonDate="0" containsString="0" containsBlank="1"/>
    </cacheField>
    <cacheField name="CODIGO RUTA" numFmtId="0">
      <sharedItems containsSemiMixedTypes="0" containsString="0" containsNumber="1" containsInteger="1" minValue="28904337" maxValue="29016530"/>
    </cacheField>
    <cacheField name="USUARIO" numFmtId="0">
      <sharedItems/>
    </cacheField>
    <cacheField name="MYSTERY EFECTIVO" numFmtId="0">
      <sharedItems containsMixedTypes="1" containsNumber="1" containsInteger="1" minValue="0" maxValue="0" count="3">
        <s v="SI"/>
        <s v="NO"/>
        <n v="0" u="1"/>
      </sharedItems>
    </cacheField>
    <cacheField name="CLUSTER" numFmtId="0">
      <sharedItems containsMixedTypes="1" containsNumber="1" containsInteger="1" minValue="0" maxValue="0" count="6">
        <s v="N/A"/>
        <s v="HORARIO"/>
        <s v="ACTIVIDADES DEL MES"/>
        <s v="PRESENTACIÓN PERSONAL"/>
        <s v="EJECUCIÓN DEL PDV"/>
        <n v="0" u="1"/>
      </sharedItems>
    </cacheField>
    <cacheField name="TOTAL PUNTAJE" numFmtId="0">
      <sharedItems containsSemiMixedTypes="0" containsString="0" containsNumber="1" minValue="0" maxValue="40"/>
    </cacheField>
    <cacheField name="RTA CORRECTA" numFmtId="0">
      <sharedItems containsMixedTypes="1" containsNumber="1" containsInteger="1" minValue="0" maxValue="0"/>
    </cacheField>
    <cacheField name="PUNTAJE OBTENIDO" numFmtId="0">
      <sharedItems containsSemiMixedTypes="0" containsString="0" containsNumber="1" minValue="0" maxValue="40"/>
    </cacheField>
    <cacheField name="Columna1" numFmtId="0">
      <sharedItems containsSemiMixedTypes="0" containsString="0" containsNumber="1" containsInteger="1" minValue="0" maxValue="0"/>
    </cacheField>
    <cacheField name="Columna2" numFmtId="0">
      <sharedItems containsNonDate="0" containsString="0" containsBlank="1"/>
    </cacheField>
    <cacheField name="% MYSTERY" numFmtId="0" formula="'PUNTAJE OBTENIDO'/'TOTAL PUNTAJE'" databaseField="0"/>
  </cacheFields>
  <extLst>
    <ext xmlns:x14="http://schemas.microsoft.com/office/spreadsheetml/2009/9/main" uri="{725AE2AE-9491-48be-B2B4-4EB974FC3084}">
      <x14:pivotCacheDefinition pivotCacheId="60271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TRADICIONAL"/>
    <x v="0"/>
    <n v="110508"/>
    <s v="110508-ALMACEN EL MELAO"/>
    <n v="1"/>
    <n v="1"/>
    <n v="1"/>
    <n v="1"/>
    <n v="1"/>
  </r>
  <r>
    <s v="ESPECIALIZADO"/>
    <x v="0"/>
    <n v="191457"/>
    <s v="191457-ALMACEN MI CORRAL 84"/>
    <n v="1"/>
    <n v="1"/>
    <n v="1"/>
    <n v="1"/>
    <n v="1"/>
  </r>
  <r>
    <s v="TRADICIONAL"/>
    <x v="0"/>
    <n v="65453"/>
    <s v="DISTRIBUCIONES MILENA"/>
    <n v="1"/>
    <n v="1"/>
    <n v="1"/>
    <n v="1"/>
    <n v="1"/>
  </r>
  <r>
    <s v="TRADICIONAL"/>
    <x v="1"/>
    <n v="201118"/>
    <s v="201118-MERCABOY CLL 163"/>
    <n v="1"/>
    <n v="1"/>
    <n v="1"/>
    <n v="1"/>
    <n v="1"/>
  </r>
  <r>
    <s v="TRADICIONAL"/>
    <x v="1"/>
    <n v="355912"/>
    <s v="355912-MERCADOS ALCOSTO ALMENDROS"/>
    <n v="1"/>
    <n v="1"/>
    <n v="1"/>
    <n v="1"/>
    <n v="1"/>
  </r>
  <r>
    <s v="MODERNO"/>
    <x v="1"/>
    <n v="382375"/>
    <s v="382375-PORVENIR SAN ISIDRO"/>
    <n v="1"/>
    <n v="1"/>
    <n v="1"/>
    <n v="1"/>
    <n v="1"/>
  </r>
  <r>
    <s v="ESPECIALIZADO"/>
    <x v="1"/>
    <n v="442180"/>
    <s v="442180-CLÍNICA VETERINARIA ENVALLE S.A.S."/>
    <n v="1"/>
    <n v="1"/>
    <n v="1"/>
    <n v="1"/>
    <n v="1"/>
  </r>
  <r>
    <s v="TRADICIONAL"/>
    <x v="2"/>
    <n v="66554"/>
    <s v="66554-LA CARIÑOSA"/>
    <n v="1"/>
    <n v="1"/>
    <n v="1"/>
    <n v="1"/>
    <n v="0"/>
  </r>
  <r>
    <s v="MODERNO"/>
    <x v="2"/>
    <n v="363615"/>
    <s v="363615-LA MONTAÑA AGROMERCADOS LA 14 DE COSMOCENTRO 129"/>
    <n v="1"/>
    <n v="1"/>
    <n v="1"/>
    <n v="1"/>
    <n v="1"/>
  </r>
  <r>
    <s v="TRADICIONAL"/>
    <x v="2"/>
    <n v="66552"/>
    <s v="LA CASA DE LOS TENDEROS"/>
    <n v="1"/>
    <n v="1"/>
    <n v="1"/>
    <n v="1"/>
    <n v="0"/>
  </r>
  <r>
    <s v="TRADICIONAL"/>
    <x v="3"/>
    <n v="129909"/>
    <s v="129909-MERCADOS LA COMPARCITA"/>
    <n v="1"/>
    <n v="1"/>
    <n v="1"/>
    <n v="1"/>
    <n v="0"/>
  </r>
  <r>
    <s v="TRADICIONAL"/>
    <x v="3"/>
    <n v="202264"/>
    <s v="202264-MIL VARIEDADES CAMPO VALDEZ"/>
    <n v="1"/>
    <n v="1"/>
    <n v="1"/>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0">
  <r>
    <s v="NESTLE PURINA"/>
    <x v="0"/>
    <x v="0"/>
    <s v="JUMBO"/>
    <n v="442180"/>
    <x v="0"/>
    <s v="SE LOGRA REALIZAR LA AUDITORIA?"/>
    <s v="SI"/>
    <m/>
    <n v="28904337"/>
    <s v="NestleP.1"/>
    <x v="0"/>
    <x v="0"/>
    <n v="0"/>
    <n v="0"/>
    <n v="0"/>
    <n v="0"/>
    <m/>
  </r>
  <r>
    <s v="NESTLE PURINA"/>
    <x v="1"/>
    <x v="1"/>
    <s v="CARULLA"/>
    <n v="202264"/>
    <x v="1"/>
    <s v="¿CUMPLE HORARIO DE ENTRADA O SALIDA DE LA TIENDA?"/>
    <s v="SI"/>
    <m/>
    <n v="28975269"/>
    <s v="NestleP.11"/>
    <x v="0"/>
    <x v="1"/>
    <n v="20"/>
    <s v="SI"/>
    <n v="20"/>
    <n v="0"/>
    <m/>
  </r>
  <r>
    <s v="NESTLE PURINA"/>
    <x v="1"/>
    <x v="1"/>
    <s v="CARULLA"/>
    <n v="202264"/>
    <x v="1"/>
    <s v="SE LOGRA REALIZAR LA AUDITORIA?"/>
    <s v="SI"/>
    <m/>
    <n v="28975269"/>
    <s v="NestleP.11"/>
    <x v="0"/>
    <x v="0"/>
    <n v="0"/>
    <n v="0"/>
    <n v="0"/>
    <n v="0"/>
    <m/>
  </r>
  <r>
    <s v="NESTLE PURINA"/>
    <x v="2"/>
    <x v="2"/>
    <s v="MERCA Z"/>
    <n v="363615"/>
    <x v="2"/>
    <s v="INDIQUE OBSERVACIÓN/NOVEDAD"/>
    <s v="Se revisa las fechas de vencimiento y tenia las fechas cortas atrás y las fechas largas adelante se lo retroalimenta para la ubicación de las fechas"/>
    <m/>
    <n v="28972671"/>
    <s v="NestleP.7"/>
    <x v="0"/>
    <x v="0"/>
    <n v="0"/>
    <n v="0"/>
    <n v="0"/>
    <n v="0"/>
    <m/>
  </r>
  <r>
    <s v="NESTLE PURINA"/>
    <x v="2"/>
    <x v="2"/>
    <s v="MERCA Z"/>
    <n v="363615"/>
    <x v="2"/>
    <s v="DESEA AÑADIR ALGUNA OBSERVACION / NOVEDAD CON LA AUDITORIA REALIZADA?"/>
    <s v="SI"/>
    <m/>
    <n v="28972671"/>
    <s v="NestleP.7"/>
    <x v="0"/>
    <x v="0"/>
    <n v="0"/>
    <n v="0"/>
    <n v="0"/>
    <n v="0"/>
    <m/>
  </r>
  <r>
    <s v="NESTLE PURINA"/>
    <x v="2"/>
    <x v="2"/>
    <s v="MERCA Z"/>
    <n v="363615"/>
    <x v="2"/>
    <s v="CM - TIENE IMPLEMENTADAS LAS EXHIBICIONES NEGOCIADAS EN EL PDV?"/>
    <s v="SI"/>
    <m/>
    <n v="28972671"/>
    <s v="NestleP.7"/>
    <x v="0"/>
    <x v="2"/>
    <n v="20"/>
    <s v="SI"/>
    <n v="20"/>
    <n v="0"/>
    <m/>
  </r>
  <r>
    <s v="NESTLE PURINA"/>
    <x v="2"/>
    <x v="2"/>
    <s v="MERCA Z"/>
    <n v="363615"/>
    <x v="2"/>
    <s v="CM - TIENE IMPLEMENTADO EL MATERIAL POP CORRECPONDIENTE A LAS PROMOCIONES QUE APLICAN EN EL PDV?"/>
    <s v="SI"/>
    <m/>
    <n v="28972671"/>
    <s v="NestleP.7"/>
    <x v="0"/>
    <x v="2"/>
    <n v="20"/>
    <s v="SI"/>
    <n v="20"/>
    <n v="0"/>
    <m/>
  </r>
  <r>
    <s v="NESTLE PURINA"/>
    <x v="1"/>
    <x v="1"/>
    <s v="CARULLA"/>
    <n v="202264"/>
    <x v="1"/>
    <s v="CUENTA CON PANTALON DEL UNIFORME SEGÚN EL CARGO (NEGRO / ROJO / TURQUESA / JEAN)"/>
    <s v="SI"/>
    <m/>
    <n v="28975269"/>
    <s v="NestleP.11"/>
    <x v="0"/>
    <x v="3"/>
    <n v="1"/>
    <s v="SI"/>
    <n v="1"/>
    <n v="0"/>
    <m/>
  </r>
  <r>
    <s v="NESTLE PURINA"/>
    <x v="2"/>
    <x v="2"/>
    <s v="MERCA Z"/>
    <n v="363615"/>
    <x v="2"/>
    <s v="SELECCIONE EL CANAL DEL PDV AUDITADO?"/>
    <s v="MODERNO"/>
    <m/>
    <n v="28972671"/>
    <s v="NestleP.7"/>
    <x v="0"/>
    <x v="0"/>
    <n v="0"/>
    <n v="0"/>
    <n v="0"/>
    <n v="0"/>
    <m/>
  </r>
  <r>
    <s v="NESTLE PURINA"/>
    <x v="2"/>
    <x v="2"/>
    <s v="MERCA Z"/>
    <n v="363615"/>
    <x v="2"/>
    <s v="CONOCE EL % DE PARTICIPACIÓN QUE TIENE EN EL PUNTO DE VENTA E INFORMA CUAL ES ESE %"/>
    <s v="SI"/>
    <m/>
    <n v="28972671"/>
    <s v="NestleP.7"/>
    <x v="0"/>
    <x v="4"/>
    <n v="3.75"/>
    <s v="SI"/>
    <n v="3.75"/>
    <n v="0"/>
    <m/>
  </r>
  <r>
    <s v="NESTLE PURINA"/>
    <x v="2"/>
    <x v="2"/>
    <s v="MERCA Z"/>
    <n v="363615"/>
    <x v="2"/>
    <s v="CUAL ES LA ESTRATEGIA DE EXHIBICIÓN PARA LAS MARCAS MAINSTRAIN (ALPO Y GATSY) DE PURINA Y PORQUE?"/>
    <s v="SI"/>
    <m/>
    <n v="28972671"/>
    <s v="NestleP.7"/>
    <x v="0"/>
    <x v="4"/>
    <n v="3.75"/>
    <s v="SI"/>
    <n v="3.75"/>
    <n v="0"/>
    <m/>
  </r>
  <r>
    <s v="NESTLE PURINA"/>
    <x v="2"/>
    <x v="2"/>
    <s v="MERCA Z"/>
    <n v="363615"/>
    <x v="2"/>
    <s v="CONOCE Y TIENE SURTIDO DE ACUERDO A LA ESTRATEGIA DE EXHIBICIÓN (ETAPAS DE VIDA - SEGMENTACIÓN DE MARCAS)"/>
    <s v="SI"/>
    <m/>
    <n v="28972671"/>
    <s v="NestleP.7"/>
    <x v="0"/>
    <x v="4"/>
    <n v="3.75"/>
    <s v="SI"/>
    <n v="3.75"/>
    <n v="0"/>
    <m/>
  </r>
  <r>
    <s v="NESTLE PURINA"/>
    <x v="2"/>
    <x v="2"/>
    <s v="MERCA Z"/>
    <n v="363615"/>
    <x v="2"/>
    <s v="CONOCE LOS INFALTABLES DEL PUNTO DE VENTA Y CUENTA CON EL MATERIAL DE APOYO (AYUDAVENTAS INFALTABLES)"/>
    <s v="SI"/>
    <m/>
    <n v="28972671"/>
    <s v="NestleP.7"/>
    <x v="0"/>
    <x v="4"/>
    <n v="3.75"/>
    <s v="SI"/>
    <n v="3.75"/>
    <n v="0"/>
    <m/>
  </r>
  <r>
    <s v="NESTLE PURINA"/>
    <x v="2"/>
    <x v="2"/>
    <s v="MERCA Z"/>
    <n v="363615"/>
    <x v="2"/>
    <s v="LOS PRODUCTOS ESTAN SURTIDOS DE ACUERDO A PEPS O FIFO (REVISAR TANTO PRODUCTO SECO COMO HUMEDO)"/>
    <s v="SI"/>
    <m/>
    <n v="28972671"/>
    <s v="NestleP.7"/>
    <x v="0"/>
    <x v="4"/>
    <n v="3.75"/>
    <s v="SI"/>
    <n v="3.75"/>
    <n v="0"/>
    <m/>
  </r>
  <r>
    <s v="NESTLE PURINA"/>
    <x v="2"/>
    <x v="2"/>
    <s v="MERCA Z"/>
    <n v="363615"/>
    <x v="2"/>
    <s v="LOS PRODUCTOS TIENEN EL PRECIO Y ESTAN ACORDE O CORRESPONDIENTE A CADA REFERENCIA"/>
    <s v="SI"/>
    <m/>
    <n v="28972671"/>
    <s v="NestleP.7"/>
    <x v="0"/>
    <x v="4"/>
    <n v="3.75"/>
    <s v="SI"/>
    <n v="3.75"/>
    <n v="0"/>
    <m/>
  </r>
  <r>
    <s v="NESTLE PURINA"/>
    <x v="2"/>
    <x v="2"/>
    <s v="MERCA Z"/>
    <n v="363615"/>
    <x v="2"/>
    <s v="CONOCE EL % DE PARTICIPACIÓN QUE TIENEN LAS MARCAS DE PURINA DENTRO DEL UNIVERSO?"/>
    <s v="NO"/>
    <m/>
    <n v="28972671"/>
    <s v="NestleP.7"/>
    <x v="0"/>
    <x v="4"/>
    <n v="3.75"/>
    <s v="SI"/>
    <n v="0"/>
    <n v="0"/>
    <m/>
  </r>
  <r>
    <s v="NESTLE PURINA"/>
    <x v="2"/>
    <x v="2"/>
    <s v="MERCA Z"/>
    <n v="363615"/>
    <x v="2"/>
    <s v="EL LINEAL SE ENCUENTRA LIMPIO Y ORGANIZADO"/>
    <s v="NO"/>
    <m/>
    <n v="28972671"/>
    <s v="NestleP.7"/>
    <x v="0"/>
    <x v="4"/>
    <n v="3.75"/>
    <s v="SI"/>
    <n v="0"/>
    <n v="0"/>
    <m/>
  </r>
  <r>
    <s v="NESTLE PURINA"/>
    <x v="1"/>
    <x v="1"/>
    <s v="CARULLA"/>
    <n v="202264"/>
    <x v="1"/>
    <s v="CUENTA CON CAMISA DEL UNIFORME Y LOGOS SEGÚN EL CARGO (NEGRA / GRIS / ROJA / TURQUESA) (ES PERMITIDO USAR DEBAJO DE LA CAMISA BUSO MANGA LARGA NEGRO)"/>
    <s v="SI"/>
    <m/>
    <n v="28975269"/>
    <s v="NestleP.11"/>
    <x v="0"/>
    <x v="3"/>
    <n v="1"/>
    <s v="SI"/>
    <n v="1"/>
    <n v="0"/>
    <m/>
  </r>
  <r>
    <s v="NESTLE PURINA"/>
    <x v="1"/>
    <x v="1"/>
    <s v="CARULLA"/>
    <n v="202264"/>
    <x v="1"/>
    <s v="POSEE ALGUNA PRENDA ENCIMA DEL UNIFORME NO AUTORIZADA POR LA MARCA (UNICAMENTE ESTA PERMITIDO CHALECO DE SODIMAC Y EASY)"/>
    <s v="NO"/>
    <m/>
    <n v="28975269"/>
    <s v="NestleP.11"/>
    <x v="0"/>
    <x v="3"/>
    <n v="1"/>
    <s v="NO"/>
    <n v="1"/>
    <n v="0"/>
    <m/>
  </r>
  <r>
    <s v="NESTLE PURINA"/>
    <x v="1"/>
    <x v="1"/>
    <s v="CARULLA"/>
    <n v="202264"/>
    <x v="1"/>
    <s v="CONOCE EL % DE PARTICIPACIÓN QUE TIENEN LAS MARCAS DE PURINA DENTRO DEL UNIVERSO?"/>
    <s v="SI"/>
    <m/>
    <n v="28975269"/>
    <s v="NestleP.11"/>
    <x v="0"/>
    <x v="4"/>
    <n v="3.75"/>
    <s v="SI"/>
    <n v="3.75"/>
    <n v="0"/>
    <m/>
  </r>
  <r>
    <s v="NESTLE PURINA"/>
    <x v="1"/>
    <x v="1"/>
    <s v="CARULLA"/>
    <n v="202264"/>
    <x v="1"/>
    <s v="CONOCE EL % DE PARTICIPACIÓN QUE TIENE EN EL PUNTO DE VENTA E INFORMA CUAL ES ESE %"/>
    <s v="SI"/>
    <m/>
    <n v="28975269"/>
    <s v="NestleP.11"/>
    <x v="0"/>
    <x v="4"/>
    <n v="3.75"/>
    <s v="SI"/>
    <n v="3.75"/>
    <n v="0"/>
    <m/>
  </r>
  <r>
    <s v="NESTLE PURINA"/>
    <x v="1"/>
    <x v="1"/>
    <s v="CARULLA"/>
    <n v="202264"/>
    <x v="1"/>
    <s v="CUAL ES LA ESTRATEGIA DE EXHIBICIÓN PARA LAS MARCAS MAINSTRAIN (ALPO Y GATSY) DE PURINA Y PORQUE?"/>
    <s v="SI"/>
    <m/>
    <n v="28975269"/>
    <s v="NestleP.11"/>
    <x v="0"/>
    <x v="4"/>
    <n v="3.75"/>
    <s v="SI"/>
    <n v="3.75"/>
    <n v="0"/>
    <m/>
  </r>
  <r>
    <s v="NESTLE PURINA"/>
    <x v="1"/>
    <x v="1"/>
    <s v="CARULLA"/>
    <n v="202264"/>
    <x v="1"/>
    <s v="CONOCE Y TIENE SURTIDO DE ACUERDO A LA ESTRATEGIA DE EXHIBICIÓN (ETAPAS DE VIDA - SEGMENTACIÓN DE MARCAS)"/>
    <s v="SI"/>
    <m/>
    <n v="28975269"/>
    <s v="NestleP.11"/>
    <x v="0"/>
    <x v="4"/>
    <n v="3.75"/>
    <s v="SI"/>
    <n v="3.75"/>
    <n v="0"/>
    <m/>
  </r>
  <r>
    <s v="NESTLE PURINA"/>
    <x v="1"/>
    <x v="1"/>
    <s v="CARULLA"/>
    <n v="202264"/>
    <x v="1"/>
    <s v="CONOCE LOS INFALTABLES DEL PUNTO DE VENTA Y CUENTA CON EL MATERIAL DE APOYO (AYUDAVENTAS INFALTABLES)"/>
    <s v="SI"/>
    <m/>
    <n v="28975269"/>
    <s v="NestleP.11"/>
    <x v="0"/>
    <x v="4"/>
    <n v="3.75"/>
    <s v="SI"/>
    <n v="3.75"/>
    <n v="0"/>
    <m/>
  </r>
  <r>
    <s v="NESTLE PURINA"/>
    <x v="1"/>
    <x v="1"/>
    <s v="CARULLA"/>
    <n v="202264"/>
    <x v="1"/>
    <s v="LOS PRODUCTOS ESTAN SURTIDOS DE ACUERDO A PEPS O FIFO (REVISAR TANTO PRODUCTO SECO COMO HUMEDO)"/>
    <s v="SI"/>
    <m/>
    <n v="28975269"/>
    <s v="NestleP.11"/>
    <x v="0"/>
    <x v="4"/>
    <n v="3.75"/>
    <s v="SI"/>
    <n v="3.75"/>
    <n v="0"/>
    <m/>
  </r>
  <r>
    <s v="NESTLE PURINA"/>
    <x v="1"/>
    <x v="1"/>
    <s v="CARULLA"/>
    <n v="202264"/>
    <x v="1"/>
    <s v="CUENTA CON CALZADO DE ACUERDO AL UNIFORME"/>
    <s v="SI"/>
    <m/>
    <n v="28975269"/>
    <s v="NestleP.11"/>
    <x v="0"/>
    <x v="3"/>
    <n v="1"/>
    <s v="SI"/>
    <n v="1"/>
    <n v="0"/>
    <m/>
  </r>
  <r>
    <s v="NESTLE PURINA"/>
    <x v="1"/>
    <x v="1"/>
    <s v="CARULLA"/>
    <n v="202264"/>
    <x v="1"/>
    <s v="LOS PRODUCTOS TIENEN EL PRECIO Y ESTAN ACORDE O CORRESPONDIENTE A CADA REFERENCIA"/>
    <s v="SI"/>
    <m/>
    <n v="28975269"/>
    <s v="NestleP.11"/>
    <x v="0"/>
    <x v="4"/>
    <n v="3.75"/>
    <s v="SI"/>
    <n v="3.75"/>
    <n v="0"/>
    <m/>
  </r>
  <r>
    <s v="NESTLE PURINA"/>
    <x v="1"/>
    <x v="1"/>
    <s v="CARULLA"/>
    <n v="202264"/>
    <x v="1"/>
    <s v="USA ACCESORIOS QUE NO CUMPLE CON EL CODIGO DE VESTIMENTA"/>
    <s v="NO"/>
    <m/>
    <n v="28975269"/>
    <s v="NestleP.11"/>
    <x v="0"/>
    <x v="3"/>
    <n v="1"/>
    <s v="NO"/>
    <n v="1"/>
    <n v="0"/>
    <m/>
  </r>
  <r>
    <s v="NESTLE PURINA"/>
    <x v="1"/>
    <x v="1"/>
    <s v="CARULLA"/>
    <n v="202264"/>
    <x v="1"/>
    <s v="TIENE UÑAS LLAMATIVAS Y/O LARGAS QUE NO CUMPLE CON EL CODIGO DE VESTIMENTA"/>
    <s v="NO"/>
    <m/>
    <n v="28975269"/>
    <s v="NestleP.11"/>
    <x v="0"/>
    <x v="3"/>
    <n v="1"/>
    <s v="NO"/>
    <n v="1"/>
    <n v="0"/>
    <m/>
  </r>
  <r>
    <s v="NESTLE PURINA"/>
    <x v="1"/>
    <x v="1"/>
    <s v="CARULLA"/>
    <n v="202264"/>
    <x v="1"/>
    <s v="TIENE TATUAJES O PIERCINGS VISIBLES QUE NO CUMPLE CON EL CODIGO DE VESTIMENTA"/>
    <s v="NO"/>
    <m/>
    <n v="28975269"/>
    <s v="NestleP.11"/>
    <x v="0"/>
    <x v="3"/>
    <n v="1"/>
    <s v="NO"/>
    <n v="1"/>
    <n v="0"/>
    <m/>
  </r>
  <r>
    <s v="NESTLE PURINA"/>
    <x v="1"/>
    <x v="1"/>
    <s v="CARULLA"/>
    <n v="202264"/>
    <x v="1"/>
    <s v="PRESENTA EXCESO DE MAQUILLAJE QUE NO CUMPLE CON EL CODIGO DE VESTIMENTA"/>
    <s v="NO"/>
    <m/>
    <n v="28975269"/>
    <s v="NestleP.11"/>
    <x v="0"/>
    <x v="3"/>
    <n v="1"/>
    <s v="NO"/>
    <n v="1"/>
    <n v="0"/>
    <m/>
  </r>
  <r>
    <s v="NESTLE PURINA"/>
    <x v="1"/>
    <x v="1"/>
    <s v="CARULLA"/>
    <n v="202264"/>
    <x v="1"/>
    <s v="SU CABELLO LUCE LIMPIO, ORGANIZADO O RECOGIDO"/>
    <s v="SI"/>
    <m/>
    <n v="28975269"/>
    <s v="NestleP.11"/>
    <x v="0"/>
    <x v="3"/>
    <n v="1"/>
    <s v="SI"/>
    <n v="1"/>
    <n v="0"/>
    <m/>
  </r>
  <r>
    <s v="NESTLE PURINA"/>
    <x v="1"/>
    <x v="1"/>
    <s v="CARULLA"/>
    <n v="202264"/>
    <x v="1"/>
    <s v="EL UNIFORME Y ZAPATOS SE ENCUENTRAN LIMPIOS Y EN BUEN ESTADO"/>
    <s v="SI"/>
    <m/>
    <n v="28975269"/>
    <s v="NestleP.11"/>
    <x v="0"/>
    <x v="3"/>
    <n v="1"/>
    <s v="SI"/>
    <n v="1"/>
    <n v="0"/>
    <m/>
  </r>
  <r>
    <s v="NESTLE PURINA"/>
    <x v="1"/>
    <x v="1"/>
    <s v="CARULLA"/>
    <n v="202264"/>
    <x v="1"/>
    <s v="EL LINEAL SE ENCUENTRA LIMPIO Y ORGANIZADO"/>
    <s v="SI"/>
    <m/>
    <n v="28975269"/>
    <s v="NestleP.11"/>
    <x v="0"/>
    <x v="4"/>
    <n v="3.75"/>
    <s v="SI"/>
    <n v="3.75"/>
    <n v="0"/>
    <m/>
  </r>
  <r>
    <s v="NESTLE PURINA"/>
    <x v="1"/>
    <x v="1"/>
    <s v="CARULLA"/>
    <n v="202264"/>
    <x v="1"/>
    <s v="SELECCIONE EL CANAL DEL PDV AUDITADO?"/>
    <s v=" TRADICIONAL"/>
    <m/>
    <n v="28975269"/>
    <s v="NestleP.11"/>
    <x v="0"/>
    <x v="0"/>
    <n v="0"/>
    <n v="0"/>
    <n v="0"/>
    <n v="0"/>
    <m/>
  </r>
  <r>
    <s v="NESTLE PURINA"/>
    <x v="2"/>
    <x v="2"/>
    <s v="MERCA Z"/>
    <n v="363615"/>
    <x v="2"/>
    <s v="USA ACCESORIOS QUE NO CUMPLE CON EL CODIGO DE VESTIMENTA"/>
    <s v="NO"/>
    <m/>
    <n v="28972671"/>
    <s v="NestleP.7"/>
    <x v="0"/>
    <x v="3"/>
    <n v="1"/>
    <s v="NO"/>
    <n v="1"/>
    <n v="0"/>
    <m/>
  </r>
  <r>
    <s v="NESTLE PURINA"/>
    <x v="2"/>
    <x v="2"/>
    <s v="MERCA Z"/>
    <n v="363615"/>
    <x v="2"/>
    <s v="TIENE TATUAJES O PIERCINGS VISIBLES QUE NO CUMPLE CON EL CODIGO DE VESTIMENTA"/>
    <s v="NO"/>
    <m/>
    <n v="28972671"/>
    <s v="NestleP.7"/>
    <x v="0"/>
    <x v="3"/>
    <n v="1"/>
    <s v="NO"/>
    <n v="1"/>
    <n v="0"/>
    <m/>
  </r>
  <r>
    <s v="NESTLE PURINA"/>
    <x v="3"/>
    <x v="0"/>
    <s v="OLIMPICA"/>
    <n v="191457"/>
    <x v="3"/>
    <s v="CONOCE LOS INFALTABLES DEL PUNTO DE VENTA Y CUENTA CON EL MATERIAL DE APOYO (AYUDAVENTAS INFALTABLES)"/>
    <s v="SI"/>
    <m/>
    <n v="28968760"/>
    <s v="NestleP.5"/>
    <x v="0"/>
    <x v="4"/>
    <n v="3.75"/>
    <s v="SI"/>
    <n v="3.75"/>
    <n v="0"/>
    <m/>
  </r>
  <r>
    <s v="NESTLE PURINA"/>
    <x v="3"/>
    <x v="0"/>
    <s v="OLIMPICA"/>
    <n v="191457"/>
    <x v="3"/>
    <s v="LOS PRODUCTOS ESTAN SURTIDOS DE ACUERDO A PEPS O FIFO (REVISAR TANTO PRODUCTO SECO COMO HUMEDO)"/>
    <s v="SI"/>
    <m/>
    <n v="28968760"/>
    <s v="NestleP.5"/>
    <x v="0"/>
    <x v="4"/>
    <n v="3.75"/>
    <s v="SI"/>
    <n v="3.75"/>
    <n v="0"/>
    <m/>
  </r>
  <r>
    <s v="NESTLE PURINA"/>
    <x v="3"/>
    <x v="0"/>
    <s v="OLIMPICA"/>
    <n v="191457"/>
    <x v="3"/>
    <s v="LOS PRODUCTOS TIENEN EL PRECIO Y ESTAN ACORDE O CORRESPONDIENTE A CADA REFERENCIA"/>
    <s v="SI"/>
    <m/>
    <n v="28968760"/>
    <s v="NestleP.5"/>
    <x v="0"/>
    <x v="4"/>
    <n v="3.75"/>
    <s v="SI"/>
    <n v="3.75"/>
    <n v="0"/>
    <m/>
  </r>
  <r>
    <s v="NESTLE PURINA"/>
    <x v="3"/>
    <x v="0"/>
    <s v="OLIMPICA"/>
    <n v="191457"/>
    <x v="3"/>
    <s v="EL LINEAL SE ENCUENTRA LIMPIO Y ORGANIZADO"/>
    <s v="SI"/>
    <m/>
    <n v="28968760"/>
    <s v="NestleP.5"/>
    <x v="0"/>
    <x v="4"/>
    <n v="3.75"/>
    <s v="SI"/>
    <n v="3.75"/>
    <n v="0"/>
    <m/>
  </r>
  <r>
    <s v="NESTLE PURINA"/>
    <x v="3"/>
    <x v="0"/>
    <s v="OLIMPICA"/>
    <n v="191457"/>
    <x v="3"/>
    <s v="USA ACCESORIOS QUE NO CUMPLE CON EL CODIGO DE VESTIMENTA"/>
    <s v="NO"/>
    <m/>
    <n v="28968760"/>
    <s v="NestleP.5"/>
    <x v="0"/>
    <x v="3"/>
    <n v="1"/>
    <s v="NO"/>
    <n v="1"/>
    <n v="0"/>
    <m/>
  </r>
  <r>
    <s v="NESTLE PURINA"/>
    <x v="3"/>
    <x v="0"/>
    <s v="OLIMPICA"/>
    <n v="191457"/>
    <x v="3"/>
    <s v="TIENE UÑAS LLAMATIVAS Y/O LARGAS QUE NO CUMPLE CON EL CODIGO DE VESTIMENTA"/>
    <s v="NO"/>
    <m/>
    <n v="28968760"/>
    <s v="NestleP.5"/>
    <x v="0"/>
    <x v="3"/>
    <n v="1"/>
    <s v="NO"/>
    <n v="1"/>
    <n v="0"/>
    <m/>
  </r>
  <r>
    <s v="NESTLE PURINA"/>
    <x v="3"/>
    <x v="0"/>
    <s v="OLIMPICA"/>
    <n v="191457"/>
    <x v="3"/>
    <s v="CONOCE Y TIENE SURTIDO DE ACUERDO A LA ESTRATEGIA DE EXHIBICIÓN (ETAPAS DE VIDA - SEGMENTACIÓN DE MARCAS)"/>
    <s v="SI"/>
    <m/>
    <n v="28968760"/>
    <s v="NestleP.5"/>
    <x v="0"/>
    <x v="4"/>
    <n v="3.75"/>
    <s v="SI"/>
    <n v="3.75"/>
    <n v="0"/>
    <m/>
  </r>
  <r>
    <s v="NESTLE PURINA"/>
    <x v="3"/>
    <x v="0"/>
    <s v="OLIMPICA"/>
    <n v="191457"/>
    <x v="3"/>
    <s v="TIENE TATUAJES O PIERCINGS VISIBLES QUE NO CUMPLE CON EL CODIGO DE VESTIMENTA"/>
    <s v="NO"/>
    <m/>
    <n v="28968760"/>
    <s v="NestleP.5"/>
    <x v="0"/>
    <x v="3"/>
    <n v="1"/>
    <s v="NO"/>
    <n v="1"/>
    <n v="0"/>
    <m/>
  </r>
  <r>
    <s v="NESTLE PURINA"/>
    <x v="3"/>
    <x v="0"/>
    <s v="OLIMPICA"/>
    <n v="191457"/>
    <x v="3"/>
    <s v="SU CABELLO LUCE LIMPIO, ORGANIZADO O RECOGIDO"/>
    <s v="SI"/>
    <m/>
    <n v="28968760"/>
    <s v="NestleP.5"/>
    <x v="0"/>
    <x v="3"/>
    <n v="1"/>
    <s v="SI"/>
    <n v="1"/>
    <n v="0"/>
    <m/>
  </r>
  <r>
    <s v="NESTLE PURINA"/>
    <x v="3"/>
    <x v="0"/>
    <s v="OLIMPICA"/>
    <n v="191457"/>
    <x v="3"/>
    <s v="EL UNIFORME Y ZAPATOS SE ENCUENTRAN LIMPIOS Y EN BUEN ESTADO"/>
    <s v="SI"/>
    <m/>
    <n v="28968760"/>
    <s v="NestleP.5"/>
    <x v="0"/>
    <x v="3"/>
    <n v="1"/>
    <s v="SI"/>
    <n v="1"/>
    <n v="0"/>
    <m/>
  </r>
  <r>
    <s v="NESTLE PURINA"/>
    <x v="3"/>
    <x v="0"/>
    <s v="OLIMPICA"/>
    <n v="191457"/>
    <x v="3"/>
    <s v="POSEE ALGUNA PRENDA ENCIMA DEL UNIFORME NO AUTORIZADA POR LA MARCA (UNICAMENTE ESTA PERMITIDO CHALECO DE SODIMAC Y EASY)"/>
    <s v="NO"/>
    <m/>
    <n v="28968760"/>
    <s v="NestleP.5"/>
    <x v="0"/>
    <x v="3"/>
    <n v="1"/>
    <s v="NO"/>
    <n v="1"/>
    <n v="0"/>
    <m/>
  </r>
  <r>
    <s v="NESTLE PURINA"/>
    <x v="3"/>
    <x v="0"/>
    <s v="OLIMPICA"/>
    <n v="191457"/>
    <x v="3"/>
    <s v="CUENTA CON CALZADO DE ACUERDO AL UNIFORME"/>
    <s v="SI"/>
    <m/>
    <n v="28968760"/>
    <s v="NestleP.5"/>
    <x v="0"/>
    <x v="3"/>
    <n v="1"/>
    <s v="SI"/>
    <n v="1"/>
    <n v="0"/>
    <m/>
  </r>
  <r>
    <s v="NESTLE PURINA"/>
    <x v="3"/>
    <x v="0"/>
    <s v="OLIMPICA"/>
    <n v="191457"/>
    <x v="3"/>
    <s v="CUENTA CON CAMISA DEL UNIFORME Y LOGOS SEGÚN EL CARGO (NEGRA / GRIS / ROJA / TURQUESA) (ES PERMITIDO USAR DEBAJO DE LA CAMISA BUSO MANGA LARGA NEGRO)"/>
    <s v="SI"/>
    <m/>
    <n v="28968760"/>
    <s v="NestleP.5"/>
    <x v="0"/>
    <x v="3"/>
    <n v="1"/>
    <s v="SI"/>
    <n v="1"/>
    <n v="0"/>
    <m/>
  </r>
  <r>
    <s v="NESTLE PURINA"/>
    <x v="3"/>
    <x v="0"/>
    <s v="OLIMPICA"/>
    <n v="191457"/>
    <x v="3"/>
    <s v="CUENTA CON PANTALON DEL UNIFORME SEGÚN EL CARGO (NEGRO / ROJO / TURQUESA / JEAN)"/>
    <s v="SI"/>
    <m/>
    <n v="28968760"/>
    <s v="NestleP.5"/>
    <x v="0"/>
    <x v="3"/>
    <n v="1"/>
    <s v="SI"/>
    <n v="1"/>
    <n v="0"/>
    <m/>
  </r>
  <r>
    <s v="NESTLE PURINA"/>
    <x v="3"/>
    <x v="0"/>
    <s v="OLIMPICA"/>
    <n v="191457"/>
    <x v="3"/>
    <s v="PRESENTA EXCESO DE MAQUILLAJE QUE NO CUMPLE CON EL CODIGO DE VESTIMENTA"/>
    <s v="NO"/>
    <m/>
    <n v="28968760"/>
    <s v="NestleP.5"/>
    <x v="0"/>
    <x v="3"/>
    <n v="1"/>
    <s v="NO"/>
    <n v="1"/>
    <n v="0"/>
    <m/>
  </r>
  <r>
    <s v="NESTLE PURINA"/>
    <x v="2"/>
    <x v="2"/>
    <s v="MERCA Z"/>
    <n v="363615"/>
    <x v="2"/>
    <s v="TIENE UÑAS LLAMATIVAS Y/O LARGAS QUE NO CUMPLE CON EL CODIGO DE VESTIMENTA"/>
    <s v="NO"/>
    <m/>
    <n v="28972671"/>
    <s v="NestleP.7"/>
    <x v="0"/>
    <x v="3"/>
    <n v="1"/>
    <s v="NO"/>
    <n v="1"/>
    <n v="0"/>
    <m/>
  </r>
  <r>
    <s v="NESTLE PURINA"/>
    <x v="3"/>
    <x v="0"/>
    <s v="OLIMPICA"/>
    <n v="191457"/>
    <x v="3"/>
    <s v="CUAL ES LA ESTRATEGIA DE EXHIBICIÓN PARA LAS MARCAS MAINSTRAIN (ALPO Y GATSY) DE PURINA Y PORQUE?"/>
    <s v="SI"/>
    <m/>
    <n v="28968760"/>
    <s v="NestleP.5"/>
    <x v="0"/>
    <x v="4"/>
    <n v="3.75"/>
    <s v="SI"/>
    <n v="3.75"/>
    <n v="0"/>
    <m/>
  </r>
  <r>
    <s v="NESTLE PURINA"/>
    <x v="3"/>
    <x v="0"/>
    <s v="OLIMPICA"/>
    <n v="191457"/>
    <x v="3"/>
    <s v="CONOCE EL % DE PARTICIPACIÓN QUE TIENEN LAS MARCAS DE PURINA DENTRO DEL UNIVERSO?"/>
    <s v="SI"/>
    <m/>
    <n v="28968760"/>
    <s v="NestleP.5"/>
    <x v="0"/>
    <x v="4"/>
    <n v="3.75"/>
    <s v="SI"/>
    <n v="3.75"/>
    <n v="0"/>
    <m/>
  </r>
  <r>
    <s v="NESTLE PURINA"/>
    <x v="2"/>
    <x v="2"/>
    <s v="MERCA Z"/>
    <n v="363615"/>
    <x v="2"/>
    <s v="PRESENTA EXCESO DE MAQUILLAJE QUE NO CUMPLE CON EL CODIGO DE VESTIMENTA"/>
    <s v="NO"/>
    <m/>
    <n v="28972671"/>
    <s v="NestleP.7"/>
    <x v="0"/>
    <x v="3"/>
    <n v="1"/>
    <s v="NO"/>
    <n v="1"/>
    <n v="0"/>
    <m/>
  </r>
  <r>
    <s v="NESTLE PURINA"/>
    <x v="2"/>
    <x v="2"/>
    <s v="MERCA Z"/>
    <n v="363615"/>
    <x v="2"/>
    <s v="SU CABELLO LUCE LIMPIO, ORGANIZADO O RECOGIDO"/>
    <s v="SI"/>
    <m/>
    <n v="28972671"/>
    <s v="NestleP.7"/>
    <x v="0"/>
    <x v="3"/>
    <n v="1"/>
    <s v="SI"/>
    <n v="1"/>
    <n v="0"/>
    <m/>
  </r>
  <r>
    <s v="NESTLE PURINA"/>
    <x v="2"/>
    <x v="2"/>
    <s v="MERCA Z"/>
    <n v="363615"/>
    <x v="2"/>
    <s v="EL UNIFORME Y ZAPATOS SE ENCUENTRAN LIMPIOS Y EN BUEN ESTADO"/>
    <s v="SI"/>
    <m/>
    <n v="28972671"/>
    <s v="NestleP.7"/>
    <x v="0"/>
    <x v="3"/>
    <n v="1"/>
    <s v="SI"/>
    <n v="1"/>
    <n v="0"/>
    <m/>
  </r>
  <r>
    <s v="NESTLE PURINA"/>
    <x v="2"/>
    <x v="2"/>
    <s v="MERCA Z"/>
    <n v="363615"/>
    <x v="2"/>
    <s v="POSEE ALGUNA PRENDA ENCIMA DEL UNIFORME NO AUTORIZADA POR LA MARCA (UNICAMENTE ESTA PERMITIDO CHALECO DE SODIMAC Y EASY)"/>
    <s v="NO"/>
    <m/>
    <n v="28972671"/>
    <s v="NestleP.7"/>
    <x v="0"/>
    <x v="3"/>
    <n v="1"/>
    <s v="NO"/>
    <n v="1"/>
    <n v="0"/>
    <m/>
  </r>
  <r>
    <s v="NESTLE PURINA"/>
    <x v="2"/>
    <x v="2"/>
    <s v="MERCA Z"/>
    <n v="363615"/>
    <x v="2"/>
    <s v="CUENTA CON CALZADO DE ACUERDO AL UNIFORME"/>
    <s v="SI"/>
    <m/>
    <n v="28972671"/>
    <s v="NestleP.7"/>
    <x v="0"/>
    <x v="3"/>
    <n v="1"/>
    <s v="SI"/>
    <n v="1"/>
    <n v="0"/>
    <m/>
  </r>
  <r>
    <s v="NESTLE PURINA"/>
    <x v="2"/>
    <x v="2"/>
    <s v="MERCA Z"/>
    <n v="363615"/>
    <x v="2"/>
    <s v="CUENTA CON CAMISA DEL UNIFORME Y LOGOS SEGÚN EL CARGO (NEGRA / GRIS / ROJA / TURQUESA) (ES PERMITIDO USAR DEBAJO DE LA CAMISA BUSO MANGA LARGA NEGRO)"/>
    <s v="SI"/>
    <m/>
    <n v="28972671"/>
    <s v="NestleP.7"/>
    <x v="0"/>
    <x v="3"/>
    <n v="1"/>
    <s v="SI"/>
    <n v="1"/>
    <n v="0"/>
    <m/>
  </r>
  <r>
    <s v="NESTLE PURINA"/>
    <x v="3"/>
    <x v="0"/>
    <s v="OLIMPICA"/>
    <n v="191457"/>
    <x v="3"/>
    <s v="CONOCE EL % DE PARTICIPACIÓN QUE TIENE EN EL PUNTO DE VENTA E INFORMA CUAL ES ESE %"/>
    <s v="SI"/>
    <m/>
    <n v="28968760"/>
    <s v="NestleP.5"/>
    <x v="0"/>
    <x v="4"/>
    <n v="3.75"/>
    <s v="SI"/>
    <n v="3.75"/>
    <n v="0"/>
    <m/>
  </r>
  <r>
    <s v="NESTLE PURINA"/>
    <x v="2"/>
    <x v="2"/>
    <s v="MERCA Z"/>
    <n v="363615"/>
    <x v="2"/>
    <s v="CUENTA CON PANTALON DEL UNIFORME SEGÚN EL CARGO (NEGRO / ROJO / TURQUESA / JEAN)"/>
    <s v="SI"/>
    <m/>
    <n v="28972671"/>
    <s v="NestleP.7"/>
    <x v="0"/>
    <x v="3"/>
    <n v="1"/>
    <s v="SI"/>
    <n v="1"/>
    <n v="0"/>
    <m/>
  </r>
  <r>
    <s v="NESTLE PURINA"/>
    <x v="2"/>
    <x v="2"/>
    <s v="MERCA Z"/>
    <n v="363615"/>
    <x v="2"/>
    <s v="SE LOGRA REALIZAR LA AUDITORIA?"/>
    <s v="SI"/>
    <m/>
    <n v="28972671"/>
    <s v="NestleP.7"/>
    <x v="0"/>
    <x v="0"/>
    <n v="0"/>
    <n v="0"/>
    <n v="0"/>
    <n v="0"/>
    <m/>
  </r>
  <r>
    <s v="NESTLE PURINA"/>
    <x v="3"/>
    <x v="0"/>
    <s v="OLIMPICA"/>
    <n v="191457"/>
    <x v="3"/>
    <s v="DESEA AÑADIR ALGUNA OBSERVACION / NOVEDAD CON LA AUDITORIA REALIZADA?"/>
    <s v="NO"/>
    <m/>
    <n v="28968760"/>
    <s v="NestleP.5"/>
    <x v="0"/>
    <x v="0"/>
    <n v="0"/>
    <n v="0"/>
    <n v="0"/>
    <n v="0"/>
    <m/>
  </r>
  <r>
    <s v="NESTLE PURINA"/>
    <x v="3"/>
    <x v="0"/>
    <s v="OLIMPICA"/>
    <n v="191457"/>
    <x v="3"/>
    <s v="CE - SE ENCUENTRA LA NUEVA REFERENCIA DE EXCELLENT ESTIRILIZADO DE 1K?"/>
    <s v="SI"/>
    <m/>
    <n v="28968760"/>
    <s v="NestleP.5"/>
    <x v="0"/>
    <x v="2"/>
    <n v="13.333333333333334"/>
    <s v="SI"/>
    <n v="13.333333333333334"/>
    <n v="0"/>
    <m/>
  </r>
  <r>
    <s v="NESTLE PURINA"/>
    <x v="3"/>
    <x v="0"/>
    <s v="OLIMPICA"/>
    <n v="191457"/>
    <x v="3"/>
    <s v="CE - SE ENCUENTRA EN EL LINEAL LAS REFERENCIAS 1,5 EN PU Y ADU DE LA MARCA EXCELLENT?"/>
    <s v="SI"/>
    <m/>
    <n v="28968760"/>
    <s v="NestleP.5"/>
    <x v="0"/>
    <x v="2"/>
    <n v="13.333333333333334"/>
    <s v="SI"/>
    <n v="13.333333333333334"/>
    <n v="0"/>
    <m/>
  </r>
  <r>
    <s v="NESTLE PURINA"/>
    <x v="3"/>
    <x v="0"/>
    <s v="OLIMPICA"/>
    <n v="191457"/>
    <x v="3"/>
    <s v="CE - SE ENCUENTRA EL MATERIAL POP DE FELIX NUEVAS REFERENCIAS &quot; APLICA DONDE ESTA CODIFICADO&quot;"/>
    <s v="SI"/>
    <m/>
    <n v="28968760"/>
    <s v="NestleP.5"/>
    <x v="0"/>
    <x v="2"/>
    <n v="13.333333333333334"/>
    <s v="SI"/>
    <n v="13.333333333333334"/>
    <n v="0"/>
    <m/>
  </r>
  <r>
    <s v="NESTLE PURINA"/>
    <x v="3"/>
    <x v="0"/>
    <s v="OLIMPICA"/>
    <n v="191457"/>
    <x v="3"/>
    <s v="SELECCIONE EL CANAL DEL PDV AUDITADO?"/>
    <s v=" ESPECIALIZADO"/>
    <m/>
    <n v="28968760"/>
    <s v="NestleP.5"/>
    <x v="0"/>
    <x v="0"/>
    <n v="0"/>
    <n v="0"/>
    <n v="0"/>
    <n v="0"/>
    <m/>
  </r>
  <r>
    <s v="NESTLE PURINA"/>
    <x v="2"/>
    <x v="2"/>
    <s v="MERCA Z"/>
    <n v="363615"/>
    <x v="2"/>
    <s v="¿CUMPLE HORARIO DE ENTRADA O SALIDA DE LA TIENDA?"/>
    <s v="SI"/>
    <m/>
    <n v="28972671"/>
    <s v="NestleP.7"/>
    <x v="0"/>
    <x v="1"/>
    <n v="20"/>
    <s v="SI"/>
    <n v="20"/>
    <n v="0"/>
    <m/>
  </r>
  <r>
    <s v="NESTLE PURINA"/>
    <x v="1"/>
    <x v="1"/>
    <s v="CARULLA"/>
    <n v="202264"/>
    <x v="1"/>
    <s v="CT - ESTA IMPLEMENTADA LA NUEVA ESTRATEGIA DE BAJA DE PRECIOS?"/>
    <s v="SI"/>
    <m/>
    <n v="28975269"/>
    <s v="NestleP.11"/>
    <x v="0"/>
    <x v="2"/>
    <n v="40"/>
    <s v="SI"/>
    <n v="40"/>
    <n v="0"/>
    <m/>
  </r>
  <r>
    <s v="NESTLE PURINA"/>
    <x v="1"/>
    <x v="1"/>
    <s v="CARULLA"/>
    <n v="202264"/>
    <x v="1"/>
    <s v="DESEA AÑADIR ALGUNA OBSERVACION / NOVEDAD CON LA AUDITORIA REALIZADA?"/>
    <s v="SI"/>
    <m/>
    <n v="28975269"/>
    <s v="NestleP.11"/>
    <x v="0"/>
    <x v="0"/>
    <n v="0"/>
    <n v="0"/>
    <n v="0"/>
    <n v="0"/>
    <m/>
  </r>
  <r>
    <s v="NESTLE PURINA"/>
    <x v="1"/>
    <x v="1"/>
    <s v="CARULLA"/>
    <n v="202264"/>
    <x v="1"/>
    <s v="INDIQUE OBSERVACIÓN/NOVEDAD"/>
    <s v="Cuando llego la chica se encuentra surtiendo por lo cual todo no esta organizado en su totalidad, revisamos dentro lo que ya estaba organizado y se encontró bien. Me indica que no hay estrategia de baja de precios ya que no esta el producto que aplica en esa tienda."/>
    <m/>
    <n v="28975269"/>
    <s v="NestleP.11"/>
    <x v="0"/>
    <x v="0"/>
    <n v="0"/>
    <n v="0"/>
    <n v="0"/>
    <n v="0"/>
    <m/>
  </r>
  <r>
    <s v="NESTLE PURINA"/>
    <x v="3"/>
    <x v="1"/>
    <s v="OLIMPICA"/>
    <n v="110508"/>
    <x v="4"/>
    <s v="CUENTA CON PANTALON DEL UNIFORME SEGÚN EL CARGO (NEGRO / ROJO / TURQUESA / JEAN)"/>
    <s v="SI"/>
    <m/>
    <n v="29016530"/>
    <s v="NestleP.5"/>
    <x v="0"/>
    <x v="3"/>
    <n v="1"/>
    <s v="SI"/>
    <n v="1"/>
    <n v="0"/>
    <m/>
  </r>
  <r>
    <s v="NESTLE PURINA"/>
    <x v="3"/>
    <x v="1"/>
    <s v="OLIMPICA"/>
    <n v="110508"/>
    <x v="4"/>
    <s v="¿CUMPLE HORARIO DE ENTRADA O SALIDA DE LA TIENDA?"/>
    <s v="SI"/>
    <m/>
    <n v="29016530"/>
    <s v="NestleP.5"/>
    <x v="0"/>
    <x v="1"/>
    <n v="20"/>
    <s v="SI"/>
    <n v="20"/>
    <n v="0"/>
    <m/>
  </r>
  <r>
    <s v="NESTLE PURINA"/>
    <x v="3"/>
    <x v="1"/>
    <s v="OLIMPICA"/>
    <n v="110508"/>
    <x v="4"/>
    <s v="SE LOGRA REALIZAR LA AUDITORIA?"/>
    <s v="SI"/>
    <m/>
    <n v="29016530"/>
    <s v="NestleP.5"/>
    <x v="0"/>
    <x v="0"/>
    <n v="0"/>
    <n v="0"/>
    <n v="0"/>
    <n v="0"/>
    <m/>
  </r>
  <r>
    <s v="NESTLE PURINA"/>
    <x v="1"/>
    <x v="1"/>
    <s v="CARULLA"/>
    <n v="129909"/>
    <x v="5"/>
    <s v="INDIQUE OBSERVACIÓN/NOVEDAD"/>
    <s v="No se logra realizar la auditoria. La persona debía ingresar 11am. Esperamos hasta las 1145 y no llegó "/>
    <m/>
    <n v="29007151"/>
    <s v="NestleP.11"/>
    <x v="1"/>
    <x v="0"/>
    <n v="0"/>
    <n v="0"/>
    <n v="0"/>
    <n v="0"/>
    <m/>
  </r>
  <r>
    <s v="NESTLE PURINA"/>
    <x v="1"/>
    <x v="1"/>
    <s v="CARULLA"/>
    <n v="129909"/>
    <x v="5"/>
    <s v="DESEA AÑADIR ALGUNA OBSERVACION / NOVEDAD CON LA AUDITORIA REALIZADA?"/>
    <s v="SI"/>
    <m/>
    <n v="29007151"/>
    <s v="NestleP.11"/>
    <x v="1"/>
    <x v="0"/>
    <n v="0"/>
    <n v="0"/>
    <n v="0"/>
    <n v="0"/>
    <m/>
  </r>
  <r>
    <s v="NESTLE PURINA"/>
    <x v="1"/>
    <x v="1"/>
    <s v="CARULLA"/>
    <n v="129909"/>
    <x v="5"/>
    <s v="CT - ESTA IMPLEMENTADA LA NUEVA ESTRATEGIA DE BAJA DE PRECIOS?"/>
    <s v="NO"/>
    <m/>
    <n v="29007151"/>
    <s v="NestleP.11"/>
    <x v="1"/>
    <x v="0"/>
    <n v="0"/>
    <s v="SI"/>
    <n v="0"/>
    <n v="0"/>
    <m/>
  </r>
  <r>
    <s v="NESTLE PURINA"/>
    <x v="3"/>
    <x v="1"/>
    <s v="OLIMPICA"/>
    <n v="110508"/>
    <x v="4"/>
    <s v="CUENTA CON CAMISA DEL UNIFORME Y LOGOS SEGÚN EL CARGO (NEGRA / GRIS / ROJA / TURQUESA) (ES PERMITIDO USAR DEBAJO DE LA CAMISA BUSO MANGA LARGA NEGRO)"/>
    <s v="SI"/>
    <m/>
    <n v="29016530"/>
    <s v="NestleP.5"/>
    <x v="0"/>
    <x v="3"/>
    <n v="1"/>
    <s v="SI"/>
    <n v="1"/>
    <n v="0"/>
    <m/>
  </r>
  <r>
    <s v="NESTLE PURINA"/>
    <x v="1"/>
    <x v="1"/>
    <s v="CARULLA"/>
    <n v="129909"/>
    <x v="5"/>
    <s v="SELECCIONE EL CANAL DEL PDV AUDITADO?"/>
    <s v=" TRADICIONAL"/>
    <m/>
    <n v="29007151"/>
    <s v="NestleP.11"/>
    <x v="1"/>
    <x v="0"/>
    <n v="0"/>
    <n v="0"/>
    <n v="0"/>
    <n v="0"/>
    <m/>
  </r>
  <r>
    <s v="NESTLE PURINA"/>
    <x v="1"/>
    <x v="1"/>
    <s v="CARULLA"/>
    <n v="129909"/>
    <x v="5"/>
    <s v="CONOCE EL % DE PARTICIPACIÓN QUE TIENE EN EL PUNTO DE VENTA E INFORMA CUAL ES ESE %"/>
    <s v="NO"/>
    <m/>
    <n v="29007151"/>
    <s v="NestleP.11"/>
    <x v="1"/>
    <x v="0"/>
    <n v="0"/>
    <s v="SI"/>
    <n v="0"/>
    <n v="0"/>
    <m/>
  </r>
  <r>
    <s v="NESTLE PURINA"/>
    <x v="1"/>
    <x v="1"/>
    <s v="CARULLA"/>
    <n v="129909"/>
    <x v="5"/>
    <s v="CUAL ES LA ESTRATEGIA DE EXHIBICIÓN PARA LAS MARCAS MAINSTRAIN (ALPO Y GATSY) DE PURINA Y PORQUE?"/>
    <s v="NO"/>
    <m/>
    <n v="29007151"/>
    <s v="NestleP.11"/>
    <x v="1"/>
    <x v="0"/>
    <n v="0"/>
    <s v="SI"/>
    <n v="0"/>
    <n v="0"/>
    <m/>
  </r>
  <r>
    <s v="NESTLE PURINA"/>
    <x v="1"/>
    <x v="1"/>
    <s v="CARULLA"/>
    <n v="129909"/>
    <x v="5"/>
    <s v="CONOCE Y TIENE SURTIDO DE ACUERDO A LA ESTRATEGIA DE EXHIBICIÓN (ETAPAS DE VIDA - SEGMENTACIÓN DE MARCAS)"/>
    <s v="NO"/>
    <m/>
    <n v="29007151"/>
    <s v="NestleP.11"/>
    <x v="1"/>
    <x v="0"/>
    <n v="0"/>
    <s v="SI"/>
    <n v="0"/>
    <n v="0"/>
    <m/>
  </r>
  <r>
    <s v="NESTLE PURINA"/>
    <x v="1"/>
    <x v="1"/>
    <s v="CARULLA"/>
    <n v="129909"/>
    <x v="5"/>
    <s v="CONOCE LOS INFALTABLES DEL PUNTO DE VENTA Y CUENTA CON EL MATERIAL DE APOYO (AYUDAVENTAS INFALTABLES)"/>
    <s v="NO"/>
    <m/>
    <n v="29007151"/>
    <s v="NestleP.11"/>
    <x v="1"/>
    <x v="0"/>
    <n v="0"/>
    <s v="SI"/>
    <n v="0"/>
    <n v="0"/>
    <m/>
  </r>
  <r>
    <s v="NESTLE PURINA"/>
    <x v="1"/>
    <x v="1"/>
    <s v="CARULLA"/>
    <n v="129909"/>
    <x v="5"/>
    <s v="LOS PRODUCTOS ESTAN SURTIDOS DE ACUERDO A PEPS O FIFO (REVISAR TANTO PRODUCTO SECO COMO HUMEDO)"/>
    <s v="NO"/>
    <m/>
    <n v="29007151"/>
    <s v="NestleP.11"/>
    <x v="1"/>
    <x v="0"/>
    <n v="0"/>
    <s v="SI"/>
    <n v="0"/>
    <n v="0"/>
    <m/>
  </r>
  <r>
    <s v="NESTLE PURINA"/>
    <x v="1"/>
    <x v="1"/>
    <s v="CARULLA"/>
    <n v="129909"/>
    <x v="5"/>
    <s v="LOS PRODUCTOS TIENEN EL PRECIO Y ESTAN ACORDE O CORRESPONDIENTE A CADA REFERENCIA"/>
    <s v="NO"/>
    <m/>
    <n v="29007151"/>
    <s v="NestleP.11"/>
    <x v="1"/>
    <x v="0"/>
    <n v="0"/>
    <s v="SI"/>
    <n v="0"/>
    <n v="0"/>
    <m/>
  </r>
  <r>
    <s v="NESTLE PURINA"/>
    <x v="1"/>
    <x v="1"/>
    <s v="CARULLA"/>
    <n v="129909"/>
    <x v="5"/>
    <s v="CONOCE EL % DE PARTICIPACIÓN QUE TIENEN LAS MARCAS DE PURINA DENTRO DEL UNIVERSO?"/>
    <s v="NO"/>
    <m/>
    <n v="29007151"/>
    <s v="NestleP.11"/>
    <x v="1"/>
    <x v="0"/>
    <n v="0"/>
    <s v="SI"/>
    <n v="0"/>
    <n v="0"/>
    <m/>
  </r>
  <r>
    <s v="NESTLE PURINA"/>
    <x v="1"/>
    <x v="1"/>
    <s v="CARULLA"/>
    <n v="129909"/>
    <x v="5"/>
    <s v="EL LINEAL SE ENCUENTRA LIMPIO Y ORGANIZADO"/>
    <s v="NO"/>
    <m/>
    <n v="29007151"/>
    <s v="NestleP.11"/>
    <x v="1"/>
    <x v="0"/>
    <n v="0"/>
    <s v="SI"/>
    <n v="0"/>
    <n v="0"/>
    <m/>
  </r>
  <r>
    <s v="NESTLE PURINA"/>
    <x v="3"/>
    <x v="1"/>
    <s v="OLIMPICA"/>
    <n v="110508"/>
    <x v="4"/>
    <s v="CUENTA CON CALZADO DE ACUERDO AL UNIFORME"/>
    <s v="SI"/>
    <m/>
    <n v="29016530"/>
    <s v="NestleP.5"/>
    <x v="0"/>
    <x v="3"/>
    <n v="1"/>
    <s v="SI"/>
    <n v="1"/>
    <n v="0"/>
    <m/>
  </r>
  <r>
    <s v="NESTLE PURINA"/>
    <x v="3"/>
    <x v="1"/>
    <s v="OLIMPICA"/>
    <n v="110508"/>
    <x v="4"/>
    <s v="EL UNIFORME Y ZAPATOS SE ENCUENTRAN LIMPIOS Y EN BUEN ESTADO"/>
    <s v="SI"/>
    <m/>
    <n v="29016530"/>
    <s v="NestleP.5"/>
    <x v="0"/>
    <x v="3"/>
    <n v="1"/>
    <s v="SI"/>
    <n v="1"/>
    <n v="0"/>
    <m/>
  </r>
  <r>
    <s v="NESTLE PURINA"/>
    <x v="3"/>
    <x v="1"/>
    <s v="OLIMPICA"/>
    <n v="110508"/>
    <x v="4"/>
    <s v="SELECCIONE EL CANAL DEL PDV AUDITADO?"/>
    <s v=" TRADICIONAL"/>
    <m/>
    <n v="29016530"/>
    <s v="NestleP.5"/>
    <x v="0"/>
    <x v="0"/>
    <n v="0"/>
    <n v="0"/>
    <n v="0"/>
    <n v="0"/>
    <m/>
  </r>
  <r>
    <s v="NESTLE PURINA"/>
    <x v="3"/>
    <x v="1"/>
    <s v="OLIMPICA"/>
    <n v="110508"/>
    <x v="4"/>
    <s v="CONOCE EL % DE PARTICIPACIÓN QUE TIENEN LAS MARCAS DE PURINA DENTRO DEL UNIVERSO?"/>
    <s v="SI"/>
    <m/>
    <n v="29016530"/>
    <s v="NestleP.5"/>
    <x v="0"/>
    <x v="4"/>
    <n v="3.75"/>
    <s v="SI"/>
    <n v="3.75"/>
    <n v="0"/>
    <m/>
  </r>
  <r>
    <s v="NESTLE PURINA"/>
    <x v="3"/>
    <x v="1"/>
    <s v="OLIMPICA"/>
    <n v="110508"/>
    <x v="4"/>
    <s v="CONOCE EL % DE PARTICIPACIÓN QUE TIENE EN EL PUNTO DE VENTA E INFORMA CUAL ES ESE %"/>
    <s v="SI"/>
    <m/>
    <n v="29016530"/>
    <s v="NestleP.5"/>
    <x v="0"/>
    <x v="4"/>
    <n v="3.75"/>
    <s v="SI"/>
    <n v="3.75"/>
    <n v="0"/>
    <m/>
  </r>
  <r>
    <s v="NESTLE PURINA"/>
    <x v="3"/>
    <x v="1"/>
    <s v="OLIMPICA"/>
    <n v="110508"/>
    <x v="4"/>
    <s v="CUAL ES LA ESTRATEGIA DE EXHIBICIÓN PARA LAS MARCAS MAINSTRAIN (ALPO Y GATSY) DE PURINA Y PORQUE?"/>
    <s v="SI"/>
    <m/>
    <n v="29016530"/>
    <s v="NestleP.5"/>
    <x v="0"/>
    <x v="4"/>
    <n v="3.75"/>
    <s v="SI"/>
    <n v="3.75"/>
    <n v="0"/>
    <m/>
  </r>
  <r>
    <s v="NESTLE PURINA"/>
    <x v="3"/>
    <x v="1"/>
    <s v="OLIMPICA"/>
    <n v="110508"/>
    <x v="4"/>
    <s v="CONOCE Y TIENE SURTIDO DE ACUERDO A LA ESTRATEGIA DE EXHIBICIÓN (ETAPAS DE VIDA - SEGMENTACIÓN DE MARCAS)"/>
    <s v="SI"/>
    <m/>
    <n v="29016530"/>
    <s v="NestleP.5"/>
    <x v="0"/>
    <x v="4"/>
    <n v="3.75"/>
    <s v="SI"/>
    <n v="3.75"/>
    <n v="0"/>
    <m/>
  </r>
  <r>
    <s v="NESTLE PURINA"/>
    <x v="3"/>
    <x v="1"/>
    <s v="OLIMPICA"/>
    <n v="110508"/>
    <x v="4"/>
    <s v="CONOCE LOS INFALTABLES DEL PUNTO DE VENTA Y CUENTA CON EL MATERIAL DE APOYO (AYUDAVENTAS INFALTABLES)"/>
    <s v="SI"/>
    <m/>
    <n v="29016530"/>
    <s v="NestleP.5"/>
    <x v="0"/>
    <x v="4"/>
    <n v="3.75"/>
    <s v="SI"/>
    <n v="3.75"/>
    <n v="0"/>
    <m/>
  </r>
  <r>
    <s v="NESTLE PURINA"/>
    <x v="3"/>
    <x v="1"/>
    <s v="OLIMPICA"/>
    <n v="110508"/>
    <x v="4"/>
    <s v="POSEE ALGUNA PRENDA ENCIMA DEL UNIFORME NO AUTORIZADA POR LA MARCA (UNICAMENTE ESTA PERMITIDO CHALECO DE SODIMAC Y EASY)"/>
    <s v="NO"/>
    <m/>
    <n v="29016530"/>
    <s v="NestleP.5"/>
    <x v="0"/>
    <x v="3"/>
    <n v="1"/>
    <s v="NO"/>
    <n v="1"/>
    <n v="0"/>
    <m/>
  </r>
  <r>
    <s v="NESTLE PURINA"/>
    <x v="3"/>
    <x v="1"/>
    <s v="OLIMPICA"/>
    <n v="110508"/>
    <x v="4"/>
    <s v="LOS PRODUCTOS ESTAN SURTIDOS DE ACUERDO A PEPS O FIFO (REVISAR TANTO PRODUCTO SECO COMO HUMEDO)"/>
    <s v="SI"/>
    <m/>
    <n v="29016530"/>
    <s v="NestleP.5"/>
    <x v="0"/>
    <x v="4"/>
    <n v="3.75"/>
    <s v="SI"/>
    <n v="3.75"/>
    <n v="0"/>
    <m/>
  </r>
  <r>
    <s v="NESTLE PURINA"/>
    <x v="3"/>
    <x v="1"/>
    <s v="OLIMPICA"/>
    <n v="110508"/>
    <x v="4"/>
    <s v="EL LINEAL SE ENCUENTRA LIMPIO Y ORGANIZADO"/>
    <s v="SI"/>
    <m/>
    <n v="29016530"/>
    <s v="NestleP.5"/>
    <x v="0"/>
    <x v="4"/>
    <n v="3.75"/>
    <s v="SI"/>
    <n v="3.75"/>
    <n v="0"/>
    <m/>
  </r>
  <r>
    <s v="NESTLE PURINA"/>
    <x v="3"/>
    <x v="1"/>
    <s v="OLIMPICA"/>
    <n v="110508"/>
    <x v="4"/>
    <s v="USA ACCESORIOS QUE NO CUMPLE CON EL CODIGO DE VESTIMENTA"/>
    <s v="NO"/>
    <m/>
    <n v="29016530"/>
    <s v="NestleP.5"/>
    <x v="0"/>
    <x v="3"/>
    <n v="1"/>
    <s v="NO"/>
    <n v="1"/>
    <n v="0"/>
    <m/>
  </r>
  <r>
    <s v="NESTLE PURINA"/>
    <x v="3"/>
    <x v="1"/>
    <s v="OLIMPICA"/>
    <n v="110508"/>
    <x v="4"/>
    <s v="TIENE UÑAS LLAMATIVAS Y/O LARGAS QUE NO CUMPLE CON EL CODIGO DE VESTIMENTA"/>
    <s v="NO"/>
    <m/>
    <n v="29016530"/>
    <s v="NestleP.5"/>
    <x v="0"/>
    <x v="3"/>
    <n v="1"/>
    <s v="NO"/>
    <n v="1"/>
    <n v="0"/>
    <m/>
  </r>
  <r>
    <s v="NESTLE PURINA"/>
    <x v="3"/>
    <x v="1"/>
    <s v="OLIMPICA"/>
    <n v="110508"/>
    <x v="4"/>
    <s v="TIENE TATUAJES O PIERCINGS VISIBLES QUE NO CUMPLE CON EL CODIGO DE VESTIMENTA"/>
    <s v="NO"/>
    <m/>
    <n v="29016530"/>
    <s v="NestleP.5"/>
    <x v="0"/>
    <x v="3"/>
    <n v="1"/>
    <s v="NO"/>
    <n v="1"/>
    <n v="0"/>
    <m/>
  </r>
  <r>
    <s v="NESTLE PURINA"/>
    <x v="3"/>
    <x v="1"/>
    <s v="OLIMPICA"/>
    <n v="110508"/>
    <x v="4"/>
    <s v="PRESENTA EXCESO DE MAQUILLAJE QUE NO CUMPLE CON EL CODIGO DE VESTIMENTA"/>
    <s v="NO"/>
    <m/>
    <n v="29016530"/>
    <s v="NestleP.5"/>
    <x v="0"/>
    <x v="3"/>
    <n v="1"/>
    <s v="NO"/>
    <n v="1"/>
    <n v="0"/>
    <m/>
  </r>
  <r>
    <s v="NESTLE PURINA"/>
    <x v="3"/>
    <x v="1"/>
    <s v="OLIMPICA"/>
    <n v="110508"/>
    <x v="4"/>
    <s v="SU CABELLO LUCE LIMPIO, ORGANIZADO O RECOGIDO"/>
    <s v="SI"/>
    <m/>
    <n v="29016530"/>
    <s v="NestleP.5"/>
    <x v="0"/>
    <x v="3"/>
    <n v="1"/>
    <s v="SI"/>
    <n v="1"/>
    <n v="0"/>
    <m/>
  </r>
  <r>
    <s v="NESTLE PURINA"/>
    <x v="3"/>
    <x v="1"/>
    <s v="OLIMPICA"/>
    <n v="110508"/>
    <x v="4"/>
    <s v="LOS PRODUCTOS TIENEN EL PRECIO Y ESTAN ACORDE O CORRESPONDIENTE A CADA REFERENCIA"/>
    <s v="SI"/>
    <m/>
    <n v="29016530"/>
    <s v="NestleP.5"/>
    <x v="0"/>
    <x v="4"/>
    <n v="3.75"/>
    <s v="SI"/>
    <n v="3.75"/>
    <n v="0"/>
    <m/>
  </r>
  <r>
    <s v="NESTLE PURINA"/>
    <x v="1"/>
    <x v="1"/>
    <s v="CARULLA"/>
    <n v="129909"/>
    <x v="5"/>
    <s v="USA ACCESORIOS QUE NO CUMPLE CON EL CODIGO DE VESTIMENTA"/>
    <s v="NO"/>
    <m/>
    <n v="29007151"/>
    <s v="NestleP.11"/>
    <x v="1"/>
    <x v="0"/>
    <n v="0"/>
    <s v="NO"/>
    <n v="0"/>
    <n v="0"/>
    <m/>
  </r>
  <r>
    <s v="NESTLE PURINA"/>
    <x v="1"/>
    <x v="1"/>
    <s v="CARULLA"/>
    <n v="129909"/>
    <x v="5"/>
    <s v="TIENE UÑAS LLAMATIVAS Y/O LARGAS QUE NO CUMPLE CON EL CODIGO DE VESTIMENTA"/>
    <s v="NO"/>
    <m/>
    <n v="29007151"/>
    <s v="NestleP.11"/>
    <x v="1"/>
    <x v="0"/>
    <n v="0"/>
    <s v="NO"/>
    <n v="0"/>
    <n v="0"/>
    <m/>
  </r>
  <r>
    <s v="NESTLE PURINA"/>
    <x v="1"/>
    <x v="1"/>
    <s v="CARULLA"/>
    <n v="129909"/>
    <x v="5"/>
    <s v="TIENE TATUAJES O PIERCINGS VISIBLES QUE NO CUMPLE CON EL CODIGO DE VESTIMENTA"/>
    <s v="NO"/>
    <m/>
    <n v="29007151"/>
    <s v="NestleP.11"/>
    <x v="1"/>
    <x v="0"/>
    <n v="0"/>
    <s v="NO"/>
    <n v="0"/>
    <n v="0"/>
    <m/>
  </r>
  <r>
    <s v="NESTLE PURINA"/>
    <x v="2"/>
    <x v="1"/>
    <s v="MERCA Z"/>
    <n v="66554"/>
    <x v="6"/>
    <s v="LOS PRODUCTOS TIENEN EL PRECIO Y ESTAN ACORDE O CORRESPONDIENTE A CADA REFERENCIA"/>
    <s v="NO"/>
    <m/>
    <n v="28991102"/>
    <s v="NestleP.7"/>
    <x v="1"/>
    <x v="0"/>
    <n v="0"/>
    <s v="SI"/>
    <n v="0"/>
    <n v="0"/>
    <m/>
  </r>
  <r>
    <s v="NESTLE PURINA"/>
    <x v="2"/>
    <x v="1"/>
    <s v="MERCA Z"/>
    <n v="66554"/>
    <x v="6"/>
    <s v="EL LINEAL SE ENCUENTRA LIMPIO Y ORGANIZADO"/>
    <s v="SI"/>
    <m/>
    <n v="28991102"/>
    <s v="NestleP.7"/>
    <x v="1"/>
    <x v="0"/>
    <n v="0"/>
    <s v="SI"/>
    <n v="0"/>
    <n v="0"/>
    <m/>
  </r>
  <r>
    <s v="NESTLE PURINA"/>
    <x v="2"/>
    <x v="1"/>
    <s v="MERCA Z"/>
    <n v="66554"/>
    <x v="6"/>
    <s v="USA ACCESORIOS QUE NO CUMPLE CON EL CODIGO DE VESTIMENTA"/>
    <s v="NO"/>
    <m/>
    <n v="28991102"/>
    <s v="NestleP.7"/>
    <x v="1"/>
    <x v="0"/>
    <n v="0"/>
    <s v="NO"/>
    <n v="0"/>
    <n v="0"/>
    <m/>
  </r>
  <r>
    <s v="NESTLE PURINA"/>
    <x v="2"/>
    <x v="1"/>
    <s v="MERCA Z"/>
    <n v="66554"/>
    <x v="6"/>
    <s v="TIENE UÑAS LLAMATIVAS Y/O LARGAS QUE NO CUMPLE CON EL CODIGO DE VESTIMENTA"/>
    <s v="NO"/>
    <m/>
    <n v="28991102"/>
    <s v="NestleP.7"/>
    <x v="1"/>
    <x v="0"/>
    <n v="0"/>
    <s v="NO"/>
    <n v="0"/>
    <n v="0"/>
    <m/>
  </r>
  <r>
    <s v="NESTLE PURINA"/>
    <x v="2"/>
    <x v="1"/>
    <s v="MERCA Z"/>
    <n v="66554"/>
    <x v="6"/>
    <s v="TIENE TATUAJES O PIERCINGS VISIBLES QUE NO CUMPLE CON EL CODIGO DE VESTIMENTA"/>
    <s v="NO"/>
    <m/>
    <n v="28991102"/>
    <s v="NestleP.7"/>
    <x v="1"/>
    <x v="0"/>
    <n v="0"/>
    <s v="NO"/>
    <n v="0"/>
    <n v="0"/>
    <m/>
  </r>
  <r>
    <s v="NESTLE PURINA"/>
    <x v="2"/>
    <x v="1"/>
    <s v="MERCA Z"/>
    <n v="66554"/>
    <x v="6"/>
    <s v="PRESENTA EXCESO DE MAQUILLAJE QUE NO CUMPLE CON EL CODIGO DE VESTIMENTA"/>
    <s v="NO"/>
    <m/>
    <n v="28991102"/>
    <s v="NestleP.7"/>
    <x v="1"/>
    <x v="0"/>
    <n v="0"/>
    <s v="NO"/>
    <n v="0"/>
    <n v="0"/>
    <m/>
  </r>
  <r>
    <s v="NESTLE PURINA"/>
    <x v="2"/>
    <x v="1"/>
    <s v="MERCA Z"/>
    <n v="66554"/>
    <x v="6"/>
    <s v="LOS PRODUCTOS ESTAN SURTIDOS DE ACUERDO A PEPS O FIFO (REVISAR TANTO PRODUCTO SECO COMO HUMEDO)"/>
    <s v="NO"/>
    <m/>
    <n v="28991102"/>
    <s v="NestleP.7"/>
    <x v="1"/>
    <x v="0"/>
    <n v="0"/>
    <s v="SI"/>
    <n v="0"/>
    <n v="0"/>
    <m/>
  </r>
  <r>
    <s v="NESTLE PURINA"/>
    <x v="2"/>
    <x v="1"/>
    <s v="MERCA Z"/>
    <n v="66554"/>
    <x v="6"/>
    <s v="SU CABELLO LUCE LIMPIO, ORGANIZADO O RECOGIDO"/>
    <s v="NO"/>
    <m/>
    <n v="28991102"/>
    <s v="NestleP.7"/>
    <x v="1"/>
    <x v="0"/>
    <n v="0"/>
    <s v="SI"/>
    <n v="0"/>
    <n v="0"/>
    <m/>
  </r>
  <r>
    <s v="NESTLE PURINA"/>
    <x v="2"/>
    <x v="1"/>
    <s v="MERCA Z"/>
    <n v="66554"/>
    <x v="6"/>
    <s v="POSEE ALGUNA PRENDA ENCIMA DEL UNIFORME NO AUTORIZADA POR LA MARCA (UNICAMENTE ESTA PERMITIDO CHALECO DE SODIMAC Y EASY)"/>
    <s v="NO"/>
    <m/>
    <n v="28991102"/>
    <s v="NestleP.7"/>
    <x v="1"/>
    <x v="0"/>
    <n v="0"/>
    <s v="NO"/>
    <n v="0"/>
    <n v="0"/>
    <m/>
  </r>
  <r>
    <s v="NESTLE PURINA"/>
    <x v="2"/>
    <x v="1"/>
    <s v="MERCA Z"/>
    <n v="66554"/>
    <x v="6"/>
    <s v="CUENTA CON CALZADO DE ACUERDO AL UNIFORME"/>
    <s v="NO"/>
    <m/>
    <n v="28991102"/>
    <s v="NestleP.7"/>
    <x v="1"/>
    <x v="0"/>
    <n v="0"/>
    <s v="SI"/>
    <n v="0"/>
    <n v="0"/>
    <m/>
  </r>
  <r>
    <s v="NESTLE PURINA"/>
    <x v="2"/>
    <x v="1"/>
    <s v="MERCA Z"/>
    <n v="66554"/>
    <x v="6"/>
    <s v="CUENTA CON CAMISA DEL UNIFORME Y LOGOS SEGÚN EL CARGO (NEGRA / GRIS / ROJA / TURQUESA) (ES PERMITIDO USAR DEBAJO DE LA CAMISA BUSO MANGA LARGA NEGRO)"/>
    <s v="NO"/>
    <m/>
    <n v="28991102"/>
    <s v="NestleP.7"/>
    <x v="1"/>
    <x v="0"/>
    <n v="0"/>
    <s v="SI"/>
    <n v="0"/>
    <n v="0"/>
    <m/>
  </r>
  <r>
    <s v="NESTLE PURINA"/>
    <x v="2"/>
    <x v="1"/>
    <s v="MERCA Z"/>
    <n v="66554"/>
    <x v="6"/>
    <s v="CUENTA CON PANTALON DEL UNIFORME SEGÚN EL CARGO (NEGRO / ROJO / TURQUESA / JEAN)"/>
    <s v="NO"/>
    <m/>
    <n v="28991102"/>
    <s v="NestleP.7"/>
    <x v="1"/>
    <x v="0"/>
    <n v="0"/>
    <s v="SI"/>
    <n v="0"/>
    <n v="0"/>
    <m/>
  </r>
  <r>
    <s v="NESTLE PURINA"/>
    <x v="2"/>
    <x v="1"/>
    <s v="MERCA Z"/>
    <n v="66554"/>
    <x v="6"/>
    <s v="¿CUMPLE HORARIO DE ENTRADA O SALIDA DE LA TIENDA?"/>
    <s v="NO"/>
    <m/>
    <n v="28991102"/>
    <s v="NestleP.7"/>
    <x v="1"/>
    <x v="0"/>
    <n v="0"/>
    <s v="SI"/>
    <n v="0"/>
    <n v="0"/>
    <m/>
  </r>
  <r>
    <s v="NESTLE PURINA"/>
    <x v="2"/>
    <x v="1"/>
    <s v="MERCA Z"/>
    <n v="66554"/>
    <x v="6"/>
    <s v="SE LOGRA REALIZAR LA AUDITORIA?"/>
    <s v="NO"/>
    <m/>
    <n v="28991102"/>
    <s v="NestleP.7"/>
    <x v="1"/>
    <x v="0"/>
    <n v="0"/>
    <n v="0"/>
    <n v="0"/>
    <n v="0"/>
    <m/>
  </r>
  <r>
    <s v="NESTLE PURINA"/>
    <x v="2"/>
    <x v="1"/>
    <s v="MERCA Z"/>
    <n v="66554"/>
    <x v="6"/>
    <s v="EL UNIFORME Y ZAPATOS SE ENCUENTRAN LIMPIOS Y EN BUEN ESTADO"/>
    <s v="NO"/>
    <m/>
    <n v="28991102"/>
    <s v="NestleP.7"/>
    <x v="1"/>
    <x v="0"/>
    <n v="0"/>
    <s v="SI"/>
    <n v="0"/>
    <n v="0"/>
    <m/>
  </r>
  <r>
    <s v="NESTLE PURINA"/>
    <x v="2"/>
    <x v="1"/>
    <s v="MERCA Z"/>
    <n v="66554"/>
    <x v="6"/>
    <s v="CONOCE LOS INFALTABLES DEL PUNTO DE VENTA Y CUENTA CON EL MATERIAL DE APOYO (AYUDAVENTAS INFALTABLES)"/>
    <s v="NO"/>
    <m/>
    <n v="28991102"/>
    <s v="NestleP.7"/>
    <x v="1"/>
    <x v="0"/>
    <n v="0"/>
    <s v="SI"/>
    <n v="0"/>
    <n v="0"/>
    <m/>
  </r>
  <r>
    <s v="NESTLE PURINA"/>
    <x v="2"/>
    <x v="1"/>
    <s v="MERCA Z"/>
    <n v="66554"/>
    <x v="6"/>
    <s v="CONOCE Y TIENE SURTIDO DE ACUERDO A LA ESTRATEGIA DE EXHIBICIÓN (ETAPAS DE VIDA - SEGMENTACIÓN DE MARCAS)"/>
    <s v="NO"/>
    <m/>
    <n v="28991102"/>
    <s v="NestleP.7"/>
    <x v="1"/>
    <x v="0"/>
    <n v="0"/>
    <s v="SI"/>
    <n v="0"/>
    <n v="0"/>
    <m/>
  </r>
  <r>
    <s v="NESTLE PURINA"/>
    <x v="2"/>
    <x v="1"/>
    <s v="MERCA Z"/>
    <n v="66554"/>
    <x v="6"/>
    <s v="CUAL ES LA ESTRATEGIA DE EXHIBICIÓN PARA LAS MARCAS MAINSTRAIN (ALPO Y GATSY) DE PURINA Y PORQUE?"/>
    <s v="NO"/>
    <m/>
    <n v="28991102"/>
    <s v="NestleP.7"/>
    <x v="1"/>
    <x v="0"/>
    <n v="0"/>
    <s v="SI"/>
    <n v="0"/>
    <n v="0"/>
    <m/>
  </r>
  <r>
    <s v="NESTLE PURINA"/>
    <x v="1"/>
    <x v="1"/>
    <s v="CARULLA"/>
    <n v="129909"/>
    <x v="5"/>
    <s v="PRESENTA EXCESO DE MAQUILLAJE QUE NO CUMPLE CON EL CODIGO DE VESTIMENTA"/>
    <s v="NO"/>
    <m/>
    <n v="29007151"/>
    <s v="NestleP.11"/>
    <x v="1"/>
    <x v="0"/>
    <n v="0"/>
    <s v="NO"/>
    <n v="0"/>
    <n v="0"/>
    <m/>
  </r>
  <r>
    <s v="NESTLE PURINA"/>
    <x v="1"/>
    <x v="1"/>
    <s v="CARULLA"/>
    <n v="129909"/>
    <x v="5"/>
    <s v="SU CABELLO LUCE LIMPIO, ORGANIZADO O RECOGIDO"/>
    <s v="NO"/>
    <m/>
    <n v="29007151"/>
    <s v="NestleP.11"/>
    <x v="1"/>
    <x v="0"/>
    <n v="0"/>
    <s v="SI"/>
    <n v="0"/>
    <n v="0"/>
    <m/>
  </r>
  <r>
    <s v="NESTLE PURINA"/>
    <x v="1"/>
    <x v="1"/>
    <s v="CARULLA"/>
    <n v="129909"/>
    <x v="5"/>
    <s v="EL UNIFORME Y ZAPATOS SE ENCUENTRAN LIMPIOS Y EN BUEN ESTADO"/>
    <s v="NO"/>
    <m/>
    <n v="29007151"/>
    <s v="NestleP.11"/>
    <x v="1"/>
    <x v="0"/>
    <n v="0"/>
    <s v="SI"/>
    <n v="0"/>
    <n v="0"/>
    <m/>
  </r>
  <r>
    <s v="NESTLE PURINA"/>
    <x v="1"/>
    <x v="1"/>
    <s v="CARULLA"/>
    <n v="129909"/>
    <x v="5"/>
    <s v="POSEE ALGUNA PRENDA ENCIMA DEL UNIFORME NO AUTORIZADA POR LA MARCA (UNICAMENTE ESTA PERMITIDO CHALECO DE SODIMAC Y EASY)"/>
    <s v="NO"/>
    <m/>
    <n v="29007151"/>
    <s v="NestleP.11"/>
    <x v="1"/>
    <x v="0"/>
    <n v="0"/>
    <s v="NO"/>
    <n v="0"/>
    <n v="0"/>
    <m/>
  </r>
  <r>
    <s v="NESTLE PURINA"/>
    <x v="1"/>
    <x v="1"/>
    <s v="CARULLA"/>
    <n v="129909"/>
    <x v="5"/>
    <s v="CUENTA CON CALZADO DE ACUERDO AL UNIFORME"/>
    <s v="NO"/>
    <m/>
    <n v="29007151"/>
    <s v="NestleP.11"/>
    <x v="1"/>
    <x v="0"/>
    <n v="0"/>
    <s v="SI"/>
    <n v="0"/>
    <n v="0"/>
    <m/>
  </r>
  <r>
    <s v="NESTLE PURINA"/>
    <x v="1"/>
    <x v="1"/>
    <s v="CARULLA"/>
    <n v="129909"/>
    <x v="5"/>
    <s v="CUENTA CON CAMISA DEL UNIFORME Y LOGOS SEGÚN EL CARGO (NEGRA / GRIS / ROJA / TURQUESA) (ES PERMITIDO USAR DEBAJO DE LA CAMISA BUSO MANGA LARGA NEGRO)"/>
    <s v="NO"/>
    <m/>
    <n v="29007151"/>
    <s v="NestleP.11"/>
    <x v="1"/>
    <x v="0"/>
    <n v="0"/>
    <s v="SI"/>
    <n v="0"/>
    <n v="0"/>
    <m/>
  </r>
  <r>
    <s v="NESTLE PURINA"/>
    <x v="1"/>
    <x v="1"/>
    <s v="CARULLA"/>
    <n v="129909"/>
    <x v="5"/>
    <s v="CUENTA CON PANTALON DEL UNIFORME SEGÚN EL CARGO (NEGRO / ROJO / TURQUESA / JEAN)"/>
    <s v="NO"/>
    <m/>
    <n v="29007151"/>
    <s v="NestleP.11"/>
    <x v="1"/>
    <x v="0"/>
    <n v="0"/>
    <s v="SI"/>
    <n v="0"/>
    <n v="0"/>
    <m/>
  </r>
  <r>
    <s v="NESTLE PURINA"/>
    <x v="1"/>
    <x v="1"/>
    <s v="CARULLA"/>
    <n v="129909"/>
    <x v="5"/>
    <s v="¿CUMPLE HORARIO DE ENTRADA O SALIDA DE LA TIENDA?"/>
    <s v="NO"/>
    <m/>
    <n v="29007151"/>
    <s v="NestleP.11"/>
    <x v="1"/>
    <x v="0"/>
    <n v="0"/>
    <s v="SI"/>
    <n v="0"/>
    <n v="0"/>
    <m/>
  </r>
  <r>
    <s v="NESTLE PURINA"/>
    <x v="1"/>
    <x v="1"/>
    <s v="CARULLA"/>
    <n v="129909"/>
    <x v="5"/>
    <s v="SE LOGRA REALIZAR LA AUDITORIA?"/>
    <s v="NO"/>
    <m/>
    <n v="29007151"/>
    <s v="NestleP.11"/>
    <x v="1"/>
    <x v="0"/>
    <n v="0"/>
    <n v="0"/>
    <n v="0"/>
    <n v="0"/>
    <m/>
  </r>
  <r>
    <s v="NESTLE PURINA"/>
    <x v="2"/>
    <x v="1"/>
    <s v="MERCA Z"/>
    <n v="66554"/>
    <x v="6"/>
    <s v="INDIQUE OBSERVACIÓN/NOVEDAD"/>
    <s v="Se llega al pdv la cariñosa y la supervisara me dice: como esta ruta llevaba dias sin visitar porque tenemos al activador incapacitado, el supernumerario está optimizando la ruta para lograr visitar la mayor cantidad de pdv que podamos y recuperar esos tiempos de visita, por eso no se quedó todo el tiempo que se tenia programado "/>
    <m/>
    <n v="28991102"/>
    <s v="NestleP.7"/>
    <x v="1"/>
    <x v="0"/>
    <n v="0"/>
    <n v="0"/>
    <n v="0"/>
    <n v="0"/>
    <m/>
  </r>
  <r>
    <s v="NESTLE PURINA"/>
    <x v="2"/>
    <x v="1"/>
    <s v="MERCA Z"/>
    <n v="66554"/>
    <x v="6"/>
    <s v="DESEA AÑADIR ALGUNA OBSERVACION / NOVEDAD CON LA AUDITORIA REALIZADA?"/>
    <s v="SI"/>
    <m/>
    <n v="28991102"/>
    <s v="NestleP.7"/>
    <x v="1"/>
    <x v="0"/>
    <n v="0"/>
    <n v="0"/>
    <n v="0"/>
    <n v="0"/>
    <m/>
  </r>
  <r>
    <s v="NESTLE PURINA"/>
    <x v="2"/>
    <x v="1"/>
    <s v="MERCA Z"/>
    <n v="66554"/>
    <x v="6"/>
    <s v="CT - ESTA IMPLEMENTADA LA NUEVA ESTRATEGIA DE BAJA DE PRECIOS?"/>
    <s v="NO"/>
    <m/>
    <n v="28991102"/>
    <s v="NestleP.7"/>
    <x v="1"/>
    <x v="0"/>
    <n v="0"/>
    <s v="SI"/>
    <n v="0"/>
    <n v="0"/>
    <m/>
  </r>
  <r>
    <s v="NESTLE PURINA"/>
    <x v="2"/>
    <x v="1"/>
    <s v="MERCA Z"/>
    <n v="66554"/>
    <x v="6"/>
    <s v="SELECCIONE EL CANAL DEL PDV AUDITADO?"/>
    <s v=" TRADICIONAL"/>
    <m/>
    <n v="28991102"/>
    <s v="NestleP.7"/>
    <x v="1"/>
    <x v="0"/>
    <n v="0"/>
    <n v="0"/>
    <n v="0"/>
    <n v="0"/>
    <m/>
  </r>
  <r>
    <s v="NESTLE PURINA"/>
    <x v="2"/>
    <x v="1"/>
    <s v="MERCA Z"/>
    <n v="66554"/>
    <x v="6"/>
    <s v="CONOCE EL % DE PARTICIPACIÓN QUE TIENEN LAS MARCAS DE PURINA DENTRO DEL UNIVERSO?"/>
    <s v="NO"/>
    <m/>
    <n v="28991102"/>
    <s v="NestleP.7"/>
    <x v="1"/>
    <x v="0"/>
    <n v="0"/>
    <s v="SI"/>
    <n v="0"/>
    <n v="0"/>
    <m/>
  </r>
  <r>
    <s v="NESTLE PURINA"/>
    <x v="2"/>
    <x v="1"/>
    <s v="MERCA Z"/>
    <n v="66554"/>
    <x v="6"/>
    <s v="CONOCE EL % DE PARTICIPACIÓN QUE TIENE EN EL PUNTO DE VENTA E INFORMA CUAL ES ESE %"/>
    <s v="NO"/>
    <m/>
    <n v="28991102"/>
    <s v="NestleP.7"/>
    <x v="1"/>
    <x v="0"/>
    <n v="0"/>
    <s v="SI"/>
    <n v="0"/>
    <n v="0"/>
    <m/>
  </r>
  <r>
    <s v="NESTLE PURINA"/>
    <x v="3"/>
    <x v="0"/>
    <s v="OLIMPICA"/>
    <n v="191457"/>
    <x v="3"/>
    <s v="¿CUMPLE HORARIO DE ENTRADA O SALIDA DE LA TIENDA?"/>
    <s v="SI"/>
    <m/>
    <n v="28968760"/>
    <s v="NestleP.5"/>
    <x v="0"/>
    <x v="1"/>
    <n v="20"/>
    <s v="SI"/>
    <n v="20"/>
    <n v="0"/>
    <m/>
  </r>
  <r>
    <s v="NESTLE PURINA"/>
    <x v="3"/>
    <x v="0"/>
    <s v="OLIMPICA"/>
    <n v="191457"/>
    <x v="3"/>
    <s v="SE LOGRA REALIZAR LA AUDITORIA?"/>
    <s v="SI"/>
    <m/>
    <n v="28968760"/>
    <s v="NestleP.5"/>
    <x v="0"/>
    <x v="0"/>
    <n v="0"/>
    <n v="0"/>
    <n v="0"/>
    <n v="0"/>
    <m/>
  </r>
  <r>
    <s v="NESTLE PURINA"/>
    <x v="3"/>
    <x v="1"/>
    <s v="SUPERETE"/>
    <n v="65453"/>
    <x v="7"/>
    <s v="DESEA AÑADIR ALGUNA OBSERVACION / NOVEDAD CON LA AUDITORIA REALIZADA?"/>
    <s v="NO"/>
    <m/>
    <n v="28953374"/>
    <s v="NestleP.5"/>
    <x v="0"/>
    <x v="0"/>
    <n v="0"/>
    <n v="0"/>
    <n v="0"/>
    <n v="0"/>
    <m/>
  </r>
  <r>
    <s v="NESTLE PURINA"/>
    <x v="3"/>
    <x v="1"/>
    <s v="SUPERETE"/>
    <n v="65453"/>
    <x v="7"/>
    <s v="CT - ESTA IMPLEMENTADA LA NUEVA ESTRATEGIA DE BAJA DE PRECIOS?"/>
    <s v="SI"/>
    <m/>
    <n v="28953374"/>
    <s v="NestleP.5"/>
    <x v="0"/>
    <x v="2"/>
    <n v="40"/>
    <s v="SI"/>
    <n v="40"/>
    <n v="0"/>
    <m/>
  </r>
  <r>
    <s v="NESTLE PURINA"/>
    <x v="0"/>
    <x v="2"/>
    <s v="JUMBO"/>
    <n v="382375"/>
    <x v="8"/>
    <s v="¿CUMPLE HORARIO DE ENTRADA O SALIDA DE LA TIENDA?"/>
    <s v="SI"/>
    <m/>
    <n v="28907521"/>
    <s v="NestleP.2"/>
    <x v="0"/>
    <x v="1"/>
    <n v="20"/>
    <s v="SI"/>
    <n v="20"/>
    <n v="0"/>
    <m/>
  </r>
  <r>
    <s v="NESTLE PURINA"/>
    <x v="0"/>
    <x v="2"/>
    <s v="JUMBO"/>
    <n v="382375"/>
    <x v="8"/>
    <s v="SE LOGRA REALIZAR LA AUDITORIA?"/>
    <s v="SI"/>
    <m/>
    <n v="28907521"/>
    <s v="NestleP.2"/>
    <x v="0"/>
    <x v="0"/>
    <n v="0"/>
    <n v="0"/>
    <n v="0"/>
    <n v="0"/>
    <m/>
  </r>
  <r>
    <s v="NESTLE PURINA"/>
    <x v="0"/>
    <x v="1"/>
    <s v="JUMBO"/>
    <n v="201118"/>
    <x v="9"/>
    <s v="INDIQUE OBSERVACIÓN/NOVEDAD"/>
    <s v="Tema de precios: no se encuentran en pdv por motivo que el asesor manifiesta que está organizando mercancía que llegó a pdv lo cual se confirma por encuentro casual con jefe de pdv, así que en el momento de visita no se dispone de precios, y no se puede confirmar que los valores coincidan con producto, asesor manifiesta que al terminar de organizar se dispone a sacar precios actualizados "/>
    <m/>
    <n v="28904500"/>
    <s v="NestleP.1"/>
    <x v="0"/>
    <x v="0"/>
    <n v="0"/>
    <n v="0"/>
    <n v="0"/>
    <n v="0"/>
    <m/>
  </r>
  <r>
    <s v="NESTLE PURINA"/>
    <x v="0"/>
    <x v="1"/>
    <s v="JUMBO"/>
    <n v="201118"/>
    <x v="9"/>
    <s v="DESEA AÑADIR ALGUNA OBSERVACION / NOVEDAD CON LA AUDITORIA REALIZADA?"/>
    <s v="SI"/>
    <m/>
    <n v="28904500"/>
    <s v="NestleP.1"/>
    <x v="0"/>
    <x v="0"/>
    <n v="0"/>
    <n v="0"/>
    <n v="0"/>
    <n v="0"/>
    <m/>
  </r>
  <r>
    <s v="NESTLE PURINA"/>
    <x v="0"/>
    <x v="1"/>
    <s v="JUMBO"/>
    <n v="201118"/>
    <x v="9"/>
    <s v="CT - ESTA IMPLEMENTADA LA NUEVA ESTRATEGIA DE BAJA DE PRECIOS?"/>
    <s v="SI"/>
    <m/>
    <n v="28904500"/>
    <s v="NestleP.1"/>
    <x v="0"/>
    <x v="2"/>
    <n v="40"/>
    <s v="SI"/>
    <n v="40"/>
    <n v="0"/>
    <m/>
  </r>
  <r>
    <s v="NESTLE PURINA"/>
    <x v="0"/>
    <x v="1"/>
    <s v="JUMBO"/>
    <n v="201118"/>
    <x v="9"/>
    <s v="SELECCIONE EL CANAL DEL PDV AUDITADO?"/>
    <s v=" TRADICIONAL"/>
    <m/>
    <n v="28904500"/>
    <s v="NestleP.1"/>
    <x v="0"/>
    <x v="0"/>
    <n v="0"/>
    <n v="0"/>
    <n v="0"/>
    <n v="0"/>
    <m/>
  </r>
  <r>
    <s v="NESTLE PURINA"/>
    <x v="0"/>
    <x v="2"/>
    <s v="JUMBO"/>
    <n v="382375"/>
    <x v="8"/>
    <s v="CUENTA CON PANTALON DEL UNIFORME SEGÚN EL CARGO (NEGRO / ROJO / TURQUESA / JEAN)"/>
    <s v="SI"/>
    <m/>
    <n v="28907521"/>
    <s v="NestleP.2"/>
    <x v="0"/>
    <x v="3"/>
    <n v="1"/>
    <s v="SI"/>
    <n v="1"/>
    <n v="0"/>
    <m/>
  </r>
  <r>
    <s v="NESTLE PURINA"/>
    <x v="0"/>
    <x v="1"/>
    <s v="JUMBO"/>
    <n v="201118"/>
    <x v="9"/>
    <s v="CONOCE EL % DE PARTICIPACIÓN QUE TIENEN LAS MARCAS DE PURINA DENTRO DEL UNIVERSO?"/>
    <s v="SI"/>
    <m/>
    <n v="28904500"/>
    <s v="NestleP.1"/>
    <x v="0"/>
    <x v="4"/>
    <n v="3.75"/>
    <s v="SI"/>
    <n v="3.75"/>
    <n v="0"/>
    <m/>
  </r>
  <r>
    <s v="NESTLE PURINA"/>
    <x v="0"/>
    <x v="1"/>
    <s v="JUMBO"/>
    <n v="201118"/>
    <x v="9"/>
    <s v="CUAL ES LA ESTRATEGIA DE EXHIBICIÓN PARA LAS MARCAS MAINSTRAIN (ALPO Y GATSY) DE PURINA Y PORQUE?"/>
    <s v="SI"/>
    <m/>
    <n v="28904500"/>
    <s v="NestleP.1"/>
    <x v="0"/>
    <x v="4"/>
    <n v="3.75"/>
    <s v="SI"/>
    <n v="3.75"/>
    <n v="0"/>
    <m/>
  </r>
  <r>
    <s v="NESTLE PURINA"/>
    <x v="0"/>
    <x v="1"/>
    <s v="JUMBO"/>
    <n v="201118"/>
    <x v="9"/>
    <s v="CONOCE Y TIENE SURTIDO DE ACUERDO A LA ESTRATEGIA DE EXHIBICIÓN (ETAPAS DE VIDA - SEGMENTACIÓN DE MARCAS)"/>
    <s v="SI"/>
    <m/>
    <n v="28904500"/>
    <s v="NestleP.1"/>
    <x v="0"/>
    <x v="4"/>
    <n v="3.75"/>
    <s v="SI"/>
    <n v="3.75"/>
    <n v="0"/>
    <m/>
  </r>
  <r>
    <s v="NESTLE PURINA"/>
    <x v="0"/>
    <x v="1"/>
    <s v="JUMBO"/>
    <n v="201118"/>
    <x v="9"/>
    <s v="CONOCE LOS INFALTABLES DEL PUNTO DE VENTA Y CUENTA CON EL MATERIAL DE APOYO (AYUDAVENTAS INFALTABLES)"/>
    <s v="SI"/>
    <m/>
    <n v="28904500"/>
    <s v="NestleP.1"/>
    <x v="0"/>
    <x v="4"/>
    <n v="3.75"/>
    <s v="SI"/>
    <n v="3.75"/>
    <n v="0"/>
    <m/>
  </r>
  <r>
    <s v="NESTLE PURINA"/>
    <x v="0"/>
    <x v="1"/>
    <s v="JUMBO"/>
    <n v="201118"/>
    <x v="9"/>
    <s v="LOS PRODUCTOS ESTAN SURTIDOS DE ACUERDO A PEPS O FIFO (REVISAR TANTO PRODUCTO SECO COMO HUMEDO)"/>
    <s v="SI"/>
    <m/>
    <n v="28904500"/>
    <s v="NestleP.1"/>
    <x v="0"/>
    <x v="4"/>
    <n v="3.75"/>
    <s v="SI"/>
    <n v="3.75"/>
    <n v="0"/>
    <m/>
  </r>
  <r>
    <s v="NESTLE PURINA"/>
    <x v="0"/>
    <x v="1"/>
    <s v="JUMBO"/>
    <n v="201118"/>
    <x v="9"/>
    <s v="LOS PRODUCTOS TIENEN EL PRECIO Y ESTAN ACORDE O CORRESPONDIENTE A CADA REFERENCIA"/>
    <s v="NO"/>
    <m/>
    <n v="28904500"/>
    <s v="NestleP.1"/>
    <x v="0"/>
    <x v="4"/>
    <n v="3.75"/>
    <s v="SI"/>
    <n v="0"/>
    <n v="0"/>
    <m/>
  </r>
  <r>
    <s v="NESTLE PURINA"/>
    <x v="0"/>
    <x v="1"/>
    <s v="JUMBO"/>
    <n v="201118"/>
    <x v="9"/>
    <s v="EL LINEAL SE ENCUENTRA LIMPIO Y ORGANIZADO"/>
    <s v="SI"/>
    <m/>
    <n v="28904500"/>
    <s v="NestleP.1"/>
    <x v="0"/>
    <x v="4"/>
    <n v="3.75"/>
    <s v="SI"/>
    <n v="3.75"/>
    <n v="0"/>
    <m/>
  </r>
  <r>
    <s v="NESTLE PURINA"/>
    <x v="0"/>
    <x v="1"/>
    <s v="JUMBO"/>
    <n v="201118"/>
    <x v="9"/>
    <s v="CONOCE EL % DE PARTICIPACIÓN QUE TIENE EN EL PUNTO DE VENTA E INFORMA CUAL ES ESE %"/>
    <s v="SI"/>
    <m/>
    <n v="28904500"/>
    <s v="NestleP.1"/>
    <x v="0"/>
    <x v="4"/>
    <n v="3.75"/>
    <s v="SI"/>
    <n v="3.75"/>
    <n v="0"/>
    <m/>
  </r>
  <r>
    <s v="NESTLE PURINA"/>
    <x v="0"/>
    <x v="1"/>
    <s v="JUMBO"/>
    <n v="201118"/>
    <x v="9"/>
    <s v="USA ACCESORIOS QUE NO CUMPLE CON EL CODIGO DE VESTIMENTA"/>
    <s v="NO"/>
    <m/>
    <n v="28904500"/>
    <s v="NestleP.1"/>
    <x v="0"/>
    <x v="3"/>
    <n v="1"/>
    <s v="NO"/>
    <n v="1"/>
    <n v="0"/>
    <m/>
  </r>
  <r>
    <s v="NESTLE PURINA"/>
    <x v="0"/>
    <x v="2"/>
    <s v="JUMBO"/>
    <n v="382375"/>
    <x v="8"/>
    <s v="CUENTA CON CAMISA DEL UNIFORME Y LOGOS SEGÚN EL CARGO (NEGRA / GRIS / ROJA / TURQUESA) (ES PERMITIDO USAR DEBAJO DE LA CAMISA BUSO MANGA LARGA NEGRO)"/>
    <s v="SI"/>
    <m/>
    <n v="28907521"/>
    <s v="NestleP.2"/>
    <x v="0"/>
    <x v="3"/>
    <n v="1"/>
    <s v="SI"/>
    <n v="1"/>
    <n v="0"/>
    <m/>
  </r>
  <r>
    <s v="NESTLE PURINA"/>
    <x v="0"/>
    <x v="2"/>
    <s v="JUMBO"/>
    <n v="382375"/>
    <x v="8"/>
    <s v="POSEE ALGUNA PRENDA ENCIMA DEL UNIFORME NO AUTORIZADA POR LA MARCA (UNICAMENTE ESTA PERMITIDO CHALECO DE SODIMAC Y EASY)"/>
    <s v="NO"/>
    <m/>
    <n v="28907521"/>
    <s v="NestleP.2"/>
    <x v="0"/>
    <x v="3"/>
    <n v="1"/>
    <s v="NO"/>
    <n v="1"/>
    <n v="0"/>
    <m/>
  </r>
  <r>
    <s v="NESTLE PURINA"/>
    <x v="0"/>
    <x v="2"/>
    <s v="JUMBO"/>
    <n v="382375"/>
    <x v="8"/>
    <s v="CONOCE EL % DE PARTICIPACIÓN QUE TIENEN LAS MARCAS DE PURINA DENTRO DEL UNIVERSO?"/>
    <s v="NO"/>
    <m/>
    <n v="28907521"/>
    <s v="NestleP.2"/>
    <x v="0"/>
    <x v="4"/>
    <n v="3.75"/>
    <s v="SI"/>
    <n v="0"/>
    <n v="0"/>
    <m/>
  </r>
  <r>
    <s v="NESTLE PURINA"/>
    <x v="0"/>
    <x v="2"/>
    <s v="JUMBO"/>
    <n v="382375"/>
    <x v="8"/>
    <s v="CONOCE EL % DE PARTICIPACIÓN QUE TIENE EN EL PUNTO DE VENTA E INFORMA CUAL ES ESE %"/>
    <s v="NO"/>
    <m/>
    <n v="28907521"/>
    <s v="NestleP.2"/>
    <x v="0"/>
    <x v="4"/>
    <n v="3.75"/>
    <s v="SI"/>
    <n v="0"/>
    <n v="0"/>
    <m/>
  </r>
  <r>
    <s v="NESTLE PURINA"/>
    <x v="0"/>
    <x v="2"/>
    <s v="JUMBO"/>
    <n v="382375"/>
    <x v="8"/>
    <s v="CUAL ES LA ESTRATEGIA DE EXHIBICIÓN PARA LAS MARCAS MAINSTRAIN (ALPO Y GATSY) DE PURINA Y PORQUE?"/>
    <s v="SI"/>
    <m/>
    <n v="28907521"/>
    <s v="NestleP.2"/>
    <x v="0"/>
    <x v="4"/>
    <n v="3.75"/>
    <s v="SI"/>
    <n v="3.75"/>
    <n v="0"/>
    <m/>
  </r>
  <r>
    <s v="NESTLE PURINA"/>
    <x v="0"/>
    <x v="2"/>
    <s v="JUMBO"/>
    <n v="382375"/>
    <x v="8"/>
    <s v="CONOCE Y TIENE SURTIDO DE ACUERDO A LA ESTRATEGIA DE EXHIBICIÓN (ETAPAS DE VIDA - SEGMENTACIÓN DE MARCAS)"/>
    <s v="SI"/>
    <m/>
    <n v="28907521"/>
    <s v="NestleP.2"/>
    <x v="0"/>
    <x v="4"/>
    <n v="3.75"/>
    <s v="SI"/>
    <n v="3.75"/>
    <n v="0"/>
    <m/>
  </r>
  <r>
    <s v="NESTLE PURINA"/>
    <x v="0"/>
    <x v="2"/>
    <s v="JUMBO"/>
    <n v="382375"/>
    <x v="8"/>
    <s v="CONOCE LOS INFALTABLES DEL PUNTO DE VENTA Y CUENTA CON EL MATERIAL DE APOYO (AYUDAVENTAS INFALTABLES)"/>
    <s v="SI"/>
    <m/>
    <n v="28907521"/>
    <s v="NestleP.2"/>
    <x v="0"/>
    <x v="4"/>
    <n v="3.75"/>
    <s v="SI"/>
    <n v="3.75"/>
    <n v="0"/>
    <m/>
  </r>
  <r>
    <s v="NESTLE PURINA"/>
    <x v="0"/>
    <x v="2"/>
    <s v="JUMBO"/>
    <n v="382375"/>
    <x v="8"/>
    <s v="LOS PRODUCTOS ESTAN SURTIDOS DE ACUERDO A PEPS O FIFO (REVISAR TANTO PRODUCTO SECO COMO HUMEDO)"/>
    <s v="SI"/>
    <m/>
    <n v="28907521"/>
    <s v="NestleP.2"/>
    <x v="0"/>
    <x v="4"/>
    <n v="3.75"/>
    <s v="SI"/>
    <n v="3.75"/>
    <n v="0"/>
    <m/>
  </r>
  <r>
    <s v="NESTLE PURINA"/>
    <x v="0"/>
    <x v="2"/>
    <s v="JUMBO"/>
    <n v="382375"/>
    <x v="8"/>
    <s v="CUENTA CON CALZADO DE ACUERDO AL UNIFORME"/>
    <s v="SI"/>
    <m/>
    <n v="28907521"/>
    <s v="NestleP.2"/>
    <x v="0"/>
    <x v="3"/>
    <n v="1"/>
    <s v="SI"/>
    <n v="1"/>
    <n v="0"/>
    <m/>
  </r>
  <r>
    <s v="NESTLE PURINA"/>
    <x v="0"/>
    <x v="2"/>
    <s v="JUMBO"/>
    <n v="382375"/>
    <x v="8"/>
    <s v="LOS PRODUCTOS TIENEN EL PRECIO Y ESTAN ACORDE O CORRESPONDIENTE A CADA REFERENCIA"/>
    <s v="SI"/>
    <m/>
    <n v="28907521"/>
    <s v="NestleP.2"/>
    <x v="0"/>
    <x v="4"/>
    <n v="3.75"/>
    <s v="SI"/>
    <n v="3.75"/>
    <n v="0"/>
    <m/>
  </r>
  <r>
    <s v="NESTLE PURINA"/>
    <x v="0"/>
    <x v="2"/>
    <s v="JUMBO"/>
    <n v="382375"/>
    <x v="8"/>
    <s v="USA ACCESORIOS QUE NO CUMPLE CON EL CODIGO DE VESTIMENTA"/>
    <s v="NO"/>
    <m/>
    <n v="28907521"/>
    <s v="NestleP.2"/>
    <x v="0"/>
    <x v="3"/>
    <n v="1"/>
    <s v="NO"/>
    <n v="1"/>
    <n v="0"/>
    <m/>
  </r>
  <r>
    <s v="NESTLE PURINA"/>
    <x v="0"/>
    <x v="2"/>
    <s v="JUMBO"/>
    <n v="382375"/>
    <x v="8"/>
    <s v="TIENE UÑAS LLAMATIVAS Y/O LARGAS QUE NO CUMPLE CON EL CODIGO DE VESTIMENTA"/>
    <s v="NO"/>
    <m/>
    <n v="28907521"/>
    <s v="NestleP.2"/>
    <x v="0"/>
    <x v="3"/>
    <n v="1"/>
    <s v="NO"/>
    <n v="1"/>
    <n v="0"/>
    <m/>
  </r>
  <r>
    <s v="NESTLE PURINA"/>
    <x v="0"/>
    <x v="2"/>
    <s v="JUMBO"/>
    <n v="382375"/>
    <x v="8"/>
    <s v="TIENE TATUAJES O PIERCINGS VISIBLES QUE NO CUMPLE CON EL CODIGO DE VESTIMENTA"/>
    <s v="NO"/>
    <m/>
    <n v="28907521"/>
    <s v="NestleP.2"/>
    <x v="0"/>
    <x v="3"/>
    <n v="1"/>
    <s v="NO"/>
    <n v="1"/>
    <n v="0"/>
    <m/>
  </r>
  <r>
    <s v="NESTLE PURINA"/>
    <x v="0"/>
    <x v="2"/>
    <s v="JUMBO"/>
    <n v="382375"/>
    <x v="8"/>
    <s v="PRESENTA EXCESO DE MAQUILLAJE QUE NO CUMPLE CON EL CODIGO DE VESTIMENTA"/>
    <s v="NO"/>
    <m/>
    <n v="28907521"/>
    <s v="NestleP.2"/>
    <x v="0"/>
    <x v="3"/>
    <n v="1"/>
    <s v="NO"/>
    <n v="1"/>
    <n v="0"/>
    <m/>
  </r>
  <r>
    <s v="NESTLE PURINA"/>
    <x v="0"/>
    <x v="2"/>
    <s v="JUMBO"/>
    <n v="382375"/>
    <x v="8"/>
    <s v="SU CABELLO LUCE LIMPIO, ORGANIZADO O RECOGIDO"/>
    <s v="SI"/>
    <m/>
    <n v="28907521"/>
    <s v="NestleP.2"/>
    <x v="0"/>
    <x v="3"/>
    <n v="1"/>
    <s v="SI"/>
    <n v="1"/>
    <n v="0"/>
    <m/>
  </r>
  <r>
    <s v="NESTLE PURINA"/>
    <x v="0"/>
    <x v="2"/>
    <s v="JUMBO"/>
    <n v="382375"/>
    <x v="8"/>
    <s v="EL UNIFORME Y ZAPATOS SE ENCUENTRAN LIMPIOS Y EN BUEN ESTADO"/>
    <s v="SI"/>
    <m/>
    <n v="28907521"/>
    <s v="NestleP.2"/>
    <x v="0"/>
    <x v="3"/>
    <n v="1"/>
    <s v="SI"/>
    <n v="1"/>
    <n v="0"/>
    <m/>
  </r>
  <r>
    <s v="NESTLE PURINA"/>
    <x v="0"/>
    <x v="2"/>
    <s v="JUMBO"/>
    <n v="382375"/>
    <x v="8"/>
    <s v="EL LINEAL SE ENCUENTRA LIMPIO Y ORGANIZADO"/>
    <s v="SI"/>
    <m/>
    <n v="28907521"/>
    <s v="NestleP.2"/>
    <x v="0"/>
    <x v="4"/>
    <n v="3.75"/>
    <s v="SI"/>
    <n v="3.75"/>
    <n v="0"/>
    <m/>
  </r>
  <r>
    <s v="NESTLE PURINA"/>
    <x v="0"/>
    <x v="1"/>
    <s v="JUMBO"/>
    <n v="201118"/>
    <x v="9"/>
    <s v="TIENE UÑAS LLAMATIVAS Y/O LARGAS QUE NO CUMPLE CON EL CODIGO DE VESTIMENTA"/>
    <s v="NO"/>
    <m/>
    <n v="28904500"/>
    <s v="NestleP.1"/>
    <x v="0"/>
    <x v="3"/>
    <n v="1"/>
    <s v="NO"/>
    <n v="1"/>
    <n v="0"/>
    <m/>
  </r>
  <r>
    <s v="NESTLE PURINA"/>
    <x v="0"/>
    <x v="1"/>
    <s v="JUMBO"/>
    <n v="201118"/>
    <x v="9"/>
    <s v="TIENE TATUAJES O PIERCINGS VISIBLES QUE NO CUMPLE CON EL CODIGO DE VESTIMENTA"/>
    <s v="NO"/>
    <m/>
    <n v="28904500"/>
    <s v="NestleP.1"/>
    <x v="0"/>
    <x v="3"/>
    <n v="1"/>
    <s v="NO"/>
    <n v="1"/>
    <n v="0"/>
    <m/>
  </r>
  <r>
    <s v="NESTLE PURINA"/>
    <x v="0"/>
    <x v="1"/>
    <s v="JUMBO"/>
    <n v="201118"/>
    <x v="9"/>
    <s v="PRESENTA EXCESO DE MAQUILLAJE QUE NO CUMPLE CON EL CODIGO DE VESTIMENTA"/>
    <s v="NO"/>
    <m/>
    <n v="28904500"/>
    <s v="NestleP.1"/>
    <x v="0"/>
    <x v="3"/>
    <n v="1"/>
    <s v="NO"/>
    <n v="1"/>
    <n v="0"/>
    <m/>
  </r>
  <r>
    <s v="NESTLE PURINA"/>
    <x v="0"/>
    <x v="0"/>
    <s v="JUMBO"/>
    <n v="442180"/>
    <x v="0"/>
    <s v="LOS PRODUCTOS ESTAN SURTIDOS DE ACUERDO A PEPS O FIFO (REVISAR TANTO PRODUCTO SECO COMO HUMEDO)"/>
    <s v="SI"/>
    <m/>
    <n v="28904337"/>
    <s v="NestleP.1"/>
    <x v="0"/>
    <x v="4"/>
    <n v="3.75"/>
    <s v="SI"/>
    <n v="3.75"/>
    <n v="0"/>
    <m/>
  </r>
  <r>
    <s v="NESTLE PURINA"/>
    <x v="0"/>
    <x v="0"/>
    <s v="JUMBO"/>
    <n v="442180"/>
    <x v="0"/>
    <s v="LOS PRODUCTOS TIENEN EL PRECIO Y ESTAN ACORDE O CORRESPONDIENTE A CADA REFERENCIA"/>
    <s v="SI"/>
    <m/>
    <n v="28904337"/>
    <s v="NestleP.1"/>
    <x v="0"/>
    <x v="4"/>
    <n v="3.75"/>
    <s v="SI"/>
    <n v="3.75"/>
    <n v="0"/>
    <m/>
  </r>
  <r>
    <s v="NESTLE PURINA"/>
    <x v="0"/>
    <x v="0"/>
    <s v="JUMBO"/>
    <n v="442180"/>
    <x v="0"/>
    <s v="EL LINEAL SE ENCUENTRA LIMPIO Y ORGANIZADO"/>
    <s v="SI"/>
    <m/>
    <n v="28904337"/>
    <s v="NestleP.1"/>
    <x v="0"/>
    <x v="4"/>
    <n v="3.75"/>
    <s v="SI"/>
    <n v="3.75"/>
    <n v="0"/>
    <m/>
  </r>
  <r>
    <s v="NESTLE PURINA"/>
    <x v="0"/>
    <x v="0"/>
    <s v="JUMBO"/>
    <n v="442180"/>
    <x v="0"/>
    <s v="USA ACCESORIOS QUE NO CUMPLE CON EL CODIGO DE VESTIMENTA"/>
    <s v="NO"/>
    <m/>
    <n v="28904337"/>
    <s v="NestleP.1"/>
    <x v="0"/>
    <x v="3"/>
    <n v="1"/>
    <s v="NO"/>
    <n v="1"/>
    <n v="0"/>
    <m/>
  </r>
  <r>
    <s v="NESTLE PURINA"/>
    <x v="0"/>
    <x v="0"/>
    <s v="JUMBO"/>
    <n v="442180"/>
    <x v="0"/>
    <s v="TIENE UÑAS LLAMATIVAS Y/O LARGAS QUE NO CUMPLE CON EL CODIGO DE VESTIMENTA"/>
    <s v="SI"/>
    <m/>
    <n v="28904337"/>
    <s v="NestleP.1"/>
    <x v="0"/>
    <x v="3"/>
    <n v="1"/>
    <s v="NO"/>
    <n v="0"/>
    <n v="0"/>
    <m/>
  </r>
  <r>
    <s v="NESTLE PURINA"/>
    <x v="0"/>
    <x v="0"/>
    <s v="JUMBO"/>
    <n v="442180"/>
    <x v="0"/>
    <s v="TIENE TATUAJES O PIERCINGS VISIBLES QUE NO CUMPLE CON EL CODIGO DE VESTIMENTA"/>
    <s v="NO"/>
    <m/>
    <n v="28904337"/>
    <s v="NestleP.1"/>
    <x v="0"/>
    <x v="3"/>
    <n v="1"/>
    <s v="NO"/>
    <n v="1"/>
    <n v="0"/>
    <m/>
  </r>
  <r>
    <s v="NESTLE PURINA"/>
    <x v="0"/>
    <x v="0"/>
    <s v="JUMBO"/>
    <n v="442180"/>
    <x v="0"/>
    <s v="CONOCE LOS INFALTABLES DEL PUNTO DE VENTA Y CUENTA CON EL MATERIAL DE APOYO (AYUDAVENTAS INFALTABLES)"/>
    <s v="SI"/>
    <m/>
    <n v="28904337"/>
    <s v="NestleP.1"/>
    <x v="0"/>
    <x v="4"/>
    <n v="3.75"/>
    <s v="SI"/>
    <n v="3.75"/>
    <n v="0"/>
    <m/>
  </r>
  <r>
    <s v="NESTLE PURINA"/>
    <x v="0"/>
    <x v="0"/>
    <s v="JUMBO"/>
    <n v="442180"/>
    <x v="0"/>
    <s v="PRESENTA EXCESO DE MAQUILLAJE QUE NO CUMPLE CON EL CODIGO DE VESTIMENTA"/>
    <s v="NO"/>
    <m/>
    <n v="28904337"/>
    <s v="NestleP.1"/>
    <x v="0"/>
    <x v="3"/>
    <n v="1"/>
    <s v="NO"/>
    <n v="1"/>
    <n v="0"/>
    <m/>
  </r>
  <r>
    <s v="NESTLE PURINA"/>
    <x v="0"/>
    <x v="0"/>
    <s v="JUMBO"/>
    <n v="442180"/>
    <x v="0"/>
    <s v="EL UNIFORME Y ZAPATOS SE ENCUENTRAN LIMPIOS Y EN BUEN ESTADO"/>
    <s v="SI"/>
    <m/>
    <n v="28904337"/>
    <s v="NestleP.1"/>
    <x v="0"/>
    <x v="3"/>
    <n v="1"/>
    <s v="SI"/>
    <n v="1"/>
    <n v="0"/>
    <m/>
  </r>
  <r>
    <s v="NESTLE PURINA"/>
    <x v="0"/>
    <x v="0"/>
    <s v="JUMBO"/>
    <n v="442180"/>
    <x v="0"/>
    <s v="POSEE ALGUNA PRENDA ENCIMA DEL UNIFORME NO AUTORIZADA POR LA MARCA (UNICAMENTE ESTA PERMITIDO CHALECO DE SODIMAC Y EASY)"/>
    <s v="NO"/>
    <m/>
    <n v="28904337"/>
    <s v="NestleP.1"/>
    <x v="0"/>
    <x v="3"/>
    <n v="1"/>
    <s v="NO"/>
    <n v="1"/>
    <n v="0"/>
    <m/>
  </r>
  <r>
    <s v="NESTLE PURINA"/>
    <x v="0"/>
    <x v="0"/>
    <s v="JUMBO"/>
    <n v="442180"/>
    <x v="0"/>
    <s v="CUENTA CON CALZADO DE ACUERDO AL UNIFORME"/>
    <s v="SI"/>
    <m/>
    <n v="28904337"/>
    <s v="NestleP.1"/>
    <x v="0"/>
    <x v="3"/>
    <n v="1"/>
    <s v="SI"/>
    <n v="1"/>
    <n v="0"/>
    <m/>
  </r>
  <r>
    <s v="NESTLE PURINA"/>
    <x v="0"/>
    <x v="0"/>
    <s v="JUMBO"/>
    <n v="442180"/>
    <x v="0"/>
    <s v="CUENTA CON CAMISA DEL UNIFORME Y LOGOS SEGÚN EL CARGO (NEGRA / GRIS / ROJA / TURQUESA) (ES PERMITIDO USAR DEBAJO DE LA CAMISA BUSO MANGA LARGA NEGRO)"/>
    <s v="SI"/>
    <m/>
    <n v="28904337"/>
    <s v="NestleP.1"/>
    <x v="0"/>
    <x v="3"/>
    <n v="1"/>
    <s v="SI"/>
    <n v="1"/>
    <n v="0"/>
    <m/>
  </r>
  <r>
    <s v="NESTLE PURINA"/>
    <x v="0"/>
    <x v="0"/>
    <s v="JUMBO"/>
    <n v="442180"/>
    <x v="0"/>
    <s v="CUENTA CON PANTALON DEL UNIFORME SEGÚN EL CARGO (NEGRO / ROJO / TURQUESA / JEAN)"/>
    <s v="SI"/>
    <m/>
    <n v="28904337"/>
    <s v="NestleP.1"/>
    <x v="0"/>
    <x v="3"/>
    <n v="1"/>
    <s v="SI"/>
    <n v="1"/>
    <n v="0"/>
    <m/>
  </r>
  <r>
    <s v="NESTLE PURINA"/>
    <x v="0"/>
    <x v="0"/>
    <s v="JUMBO"/>
    <n v="442180"/>
    <x v="0"/>
    <s v="¿CUMPLE HORARIO DE ENTRADA O SALIDA DE LA TIENDA?"/>
    <s v="SI"/>
    <m/>
    <n v="28904337"/>
    <s v="NestleP.1"/>
    <x v="0"/>
    <x v="1"/>
    <n v="20"/>
    <s v="SI"/>
    <n v="20"/>
    <n v="0"/>
    <m/>
  </r>
  <r>
    <s v="NESTLE PURINA"/>
    <x v="0"/>
    <x v="0"/>
    <s v="JUMBO"/>
    <n v="442180"/>
    <x v="0"/>
    <s v="SU CABELLO LUCE LIMPIO, ORGANIZADO O RECOGIDO"/>
    <s v="SI"/>
    <m/>
    <n v="28904337"/>
    <s v="NestleP.1"/>
    <x v="0"/>
    <x v="3"/>
    <n v="1"/>
    <s v="SI"/>
    <n v="1"/>
    <n v="0"/>
    <m/>
  </r>
  <r>
    <s v="NESTLE PURINA"/>
    <x v="0"/>
    <x v="0"/>
    <s v="JUMBO"/>
    <n v="442180"/>
    <x v="0"/>
    <s v="CONOCE Y TIENE SURTIDO DE ACUERDO A LA ESTRATEGIA DE EXHIBICIÓN (ETAPAS DE VIDA - SEGMENTACIÓN DE MARCAS)"/>
    <s v="SI"/>
    <m/>
    <n v="28904337"/>
    <s v="NestleP.1"/>
    <x v="0"/>
    <x v="4"/>
    <n v="3.75"/>
    <s v="SI"/>
    <n v="3.75"/>
    <n v="0"/>
    <m/>
  </r>
  <r>
    <s v="NESTLE PURINA"/>
    <x v="0"/>
    <x v="0"/>
    <s v="JUMBO"/>
    <n v="442180"/>
    <x v="0"/>
    <s v="CUAL ES LA ESTRATEGIA DE EXHIBICIÓN PARA LAS MARCAS MAINSTRAIN (ALPO Y GATSY) DE PURINA Y PORQUE?"/>
    <s v="SI"/>
    <m/>
    <n v="28904337"/>
    <s v="NestleP.1"/>
    <x v="0"/>
    <x v="4"/>
    <n v="3.75"/>
    <s v="SI"/>
    <n v="3.75"/>
    <n v="0"/>
    <m/>
  </r>
  <r>
    <s v="NESTLE PURINA"/>
    <x v="0"/>
    <x v="0"/>
    <s v="JUMBO"/>
    <n v="442180"/>
    <x v="0"/>
    <s v="CONOCE EL % DE PARTICIPACIÓN QUE TIENE EN EL PUNTO DE VENTA E INFORMA CUAL ES ESE %"/>
    <s v="SI"/>
    <m/>
    <n v="28904337"/>
    <s v="NestleP.1"/>
    <x v="0"/>
    <x v="4"/>
    <n v="3.75"/>
    <s v="SI"/>
    <n v="3.75"/>
    <n v="0"/>
    <m/>
  </r>
  <r>
    <s v="NESTLE PURINA"/>
    <x v="0"/>
    <x v="1"/>
    <s v="JUMBO"/>
    <n v="201118"/>
    <x v="9"/>
    <s v="SU CABELLO LUCE LIMPIO, ORGANIZADO O RECOGIDO"/>
    <s v="SI"/>
    <m/>
    <n v="28904500"/>
    <s v="NestleP.1"/>
    <x v="0"/>
    <x v="3"/>
    <n v="1"/>
    <s v="SI"/>
    <n v="1"/>
    <n v="0"/>
    <m/>
  </r>
  <r>
    <s v="NESTLE PURINA"/>
    <x v="0"/>
    <x v="1"/>
    <s v="JUMBO"/>
    <n v="201118"/>
    <x v="9"/>
    <s v="EL UNIFORME Y ZAPATOS SE ENCUENTRAN LIMPIOS Y EN BUEN ESTADO"/>
    <s v="SI"/>
    <m/>
    <n v="28904500"/>
    <s v="NestleP.1"/>
    <x v="0"/>
    <x v="3"/>
    <n v="1"/>
    <s v="SI"/>
    <n v="1"/>
    <n v="0"/>
    <m/>
  </r>
  <r>
    <s v="NESTLE PURINA"/>
    <x v="0"/>
    <x v="1"/>
    <s v="JUMBO"/>
    <n v="201118"/>
    <x v="9"/>
    <s v="POSEE ALGUNA PRENDA ENCIMA DEL UNIFORME NO AUTORIZADA POR LA MARCA (UNICAMENTE ESTA PERMITIDO CHALECO DE SODIMAC Y EASY)"/>
    <s v="NO"/>
    <m/>
    <n v="28904500"/>
    <s v="NestleP.1"/>
    <x v="0"/>
    <x v="3"/>
    <n v="1"/>
    <s v="NO"/>
    <n v="1"/>
    <n v="0"/>
    <m/>
  </r>
  <r>
    <s v="NESTLE PURINA"/>
    <x v="0"/>
    <x v="1"/>
    <s v="JUMBO"/>
    <n v="201118"/>
    <x v="9"/>
    <s v="CUENTA CON CALZADO DE ACUERDO AL UNIFORME"/>
    <s v="SI"/>
    <m/>
    <n v="28904500"/>
    <s v="NestleP.1"/>
    <x v="0"/>
    <x v="3"/>
    <n v="1"/>
    <s v="SI"/>
    <n v="1"/>
    <n v="0"/>
    <m/>
  </r>
  <r>
    <s v="NESTLE PURINA"/>
    <x v="0"/>
    <x v="1"/>
    <s v="JUMBO"/>
    <n v="201118"/>
    <x v="9"/>
    <s v="CUENTA CON CAMISA DEL UNIFORME Y LOGOS SEGÚN EL CARGO (NEGRA / GRIS / ROJA / TURQUESA) (ES PERMITIDO USAR DEBAJO DE LA CAMISA BUSO MANGA LARGA NEGRO)"/>
    <s v="SI"/>
    <m/>
    <n v="28904500"/>
    <s v="NestleP.1"/>
    <x v="0"/>
    <x v="3"/>
    <n v="1"/>
    <s v="SI"/>
    <n v="1"/>
    <n v="0"/>
    <m/>
  </r>
  <r>
    <s v="NESTLE PURINA"/>
    <x v="0"/>
    <x v="1"/>
    <s v="JUMBO"/>
    <n v="201118"/>
    <x v="9"/>
    <s v="CUENTA CON PANTALON DEL UNIFORME SEGÚN EL CARGO (NEGRO / ROJO / TURQUESA / JEAN)"/>
    <s v="SI"/>
    <m/>
    <n v="28904500"/>
    <s v="NestleP.1"/>
    <x v="0"/>
    <x v="3"/>
    <n v="1"/>
    <s v="SI"/>
    <n v="1"/>
    <n v="0"/>
    <m/>
  </r>
  <r>
    <s v="NESTLE PURINA"/>
    <x v="0"/>
    <x v="1"/>
    <s v="JUMBO"/>
    <n v="201118"/>
    <x v="9"/>
    <s v="¿CUMPLE HORARIO DE ENTRADA O SALIDA DE LA TIENDA?"/>
    <s v="SI"/>
    <m/>
    <n v="28904500"/>
    <s v="NestleP.1"/>
    <x v="0"/>
    <x v="1"/>
    <n v="20"/>
    <s v="SI"/>
    <n v="20"/>
    <n v="0"/>
    <m/>
  </r>
  <r>
    <s v="NESTLE PURINA"/>
    <x v="0"/>
    <x v="1"/>
    <s v="JUMBO"/>
    <n v="201118"/>
    <x v="9"/>
    <s v="SE LOGRA REALIZAR LA AUDITORIA?"/>
    <s v="SI"/>
    <m/>
    <n v="28904500"/>
    <s v="NestleP.1"/>
    <x v="0"/>
    <x v="0"/>
    <n v="0"/>
    <n v="0"/>
    <n v="0"/>
    <n v="0"/>
    <m/>
  </r>
  <r>
    <s v="NESTLE PURINA"/>
    <x v="0"/>
    <x v="0"/>
    <s v="JUMBO"/>
    <n v="442180"/>
    <x v="0"/>
    <s v="INDIQUE OBSERVACIÓN/NOVEDAD"/>
    <s v="Uñas tonalidad negra, lineal no dispone de precios ya que en pdv no se permite esta ejecución, ( se dispone de caja donde se hace registró inmediatamente veterinario ordena, asesor manifiesta trabajar a la mano con médico veterinario y que producto ha tenido muy buena rotación, así mismo no se dispone material pop por motivo que pdv no permite material pop "/>
    <m/>
    <n v="28904337"/>
    <s v="NestleP.1"/>
    <x v="0"/>
    <x v="0"/>
    <n v="0"/>
    <n v="0"/>
    <n v="0"/>
    <n v="0"/>
    <m/>
  </r>
  <r>
    <s v="NESTLE PURINA"/>
    <x v="0"/>
    <x v="0"/>
    <s v="JUMBO"/>
    <n v="442180"/>
    <x v="0"/>
    <s v="DESEA AÑADIR ALGUNA OBSERVACION / NOVEDAD CON LA AUDITORIA REALIZADA?"/>
    <s v="SI"/>
    <m/>
    <n v="28904337"/>
    <s v="NestleP.1"/>
    <x v="0"/>
    <x v="0"/>
    <n v="0"/>
    <n v="0"/>
    <n v="0"/>
    <n v="0"/>
    <m/>
  </r>
  <r>
    <s v="NESTLE PURINA"/>
    <x v="0"/>
    <x v="0"/>
    <s v="JUMBO"/>
    <n v="442180"/>
    <x v="0"/>
    <s v="CE - SE ENCUENTRA LA NUEVA REFERENCIA DE EXCELLENT ESTIRILIZADO DE 1K?"/>
    <s v="SI"/>
    <m/>
    <n v="28904337"/>
    <s v="NestleP.1"/>
    <x v="0"/>
    <x v="2"/>
    <n v="13.333333333333334"/>
    <s v="SI"/>
    <n v="13.333333333333334"/>
    <n v="0"/>
    <m/>
  </r>
  <r>
    <s v="NESTLE PURINA"/>
    <x v="0"/>
    <x v="0"/>
    <s v="JUMBO"/>
    <n v="442180"/>
    <x v="0"/>
    <s v="CE - SE ENCUENTRA EN EL LINEAL LAS REFERENCIAS 1,5 EN PU Y ADU DE LA MARCA EXCELLENT?"/>
    <s v="SI"/>
    <m/>
    <n v="28904337"/>
    <s v="NestleP.1"/>
    <x v="0"/>
    <x v="2"/>
    <n v="13.333333333333334"/>
    <s v="SI"/>
    <n v="13.333333333333334"/>
    <n v="0"/>
    <m/>
  </r>
  <r>
    <s v="NESTLE PURINA"/>
    <x v="0"/>
    <x v="0"/>
    <s v="JUMBO"/>
    <n v="442180"/>
    <x v="0"/>
    <s v="CE - SE ENCUENTRA EL MATERIAL POP DE FELIX NUEVAS REFERENCIAS &quot; APLICA DONDE ESTA CODIFICADO&quot;"/>
    <s v="SI"/>
    <m/>
    <n v="28904337"/>
    <s v="NestleP.1"/>
    <x v="0"/>
    <x v="2"/>
    <n v="13.333333333333334"/>
    <s v="SI"/>
    <n v="13.333333333333334"/>
    <n v="0"/>
    <m/>
  </r>
  <r>
    <s v="NESTLE PURINA"/>
    <x v="0"/>
    <x v="0"/>
    <s v="JUMBO"/>
    <n v="442180"/>
    <x v="0"/>
    <s v="SELECCIONE EL CANAL DEL PDV AUDITADO?"/>
    <s v=" ESPECIALIZADO"/>
    <m/>
    <n v="28904337"/>
    <s v="NestleP.1"/>
    <x v="0"/>
    <x v="0"/>
    <n v="0"/>
    <n v="0"/>
    <n v="0"/>
    <n v="0"/>
    <m/>
  </r>
  <r>
    <s v="NESTLE PURINA"/>
    <x v="0"/>
    <x v="0"/>
    <s v="JUMBO"/>
    <n v="442180"/>
    <x v="0"/>
    <s v="CONOCE EL % DE PARTICIPACIÓN QUE TIENEN LAS MARCAS DE PURINA DENTRO DEL UNIVERSO?"/>
    <s v="SI"/>
    <m/>
    <n v="28904337"/>
    <s v="NestleP.1"/>
    <x v="0"/>
    <x v="4"/>
    <n v="3.75"/>
    <s v="SI"/>
    <n v="3.75"/>
    <n v="0"/>
    <m/>
  </r>
  <r>
    <s v="NESTLE PURINA"/>
    <x v="0"/>
    <x v="2"/>
    <s v="JUMBO"/>
    <n v="382375"/>
    <x v="8"/>
    <s v="SELECCIONE EL CANAL DEL PDV AUDITADO?"/>
    <s v="MODERNO"/>
    <m/>
    <n v="28907521"/>
    <s v="NestleP.2"/>
    <x v="0"/>
    <x v="0"/>
    <n v="0"/>
    <n v="0"/>
    <n v="0"/>
    <n v="0"/>
    <m/>
  </r>
  <r>
    <s v="NESTLE PURINA"/>
    <x v="3"/>
    <x v="1"/>
    <s v="OLIMPICA"/>
    <n v="110508"/>
    <x v="4"/>
    <s v="CT - ESTA IMPLEMENTADA LA NUEVA ESTRATEGIA DE BAJA DE PRECIOS?"/>
    <s v="SI"/>
    <m/>
    <n v="29016530"/>
    <s v="NestleP.5"/>
    <x v="0"/>
    <x v="2"/>
    <n v="40"/>
    <s v="SI"/>
    <n v="40"/>
    <n v="0"/>
    <m/>
  </r>
  <r>
    <s v="NESTLE PURINA"/>
    <x v="0"/>
    <x v="2"/>
    <s v="JUMBO"/>
    <n v="382375"/>
    <x v="8"/>
    <s v="CM - TIENE IMPLEMENTADO EL MATERIAL POP CORRECPONDIENTE A LAS PROMOCIONES QUE APLICAN EN EL PDV?"/>
    <s v="SI"/>
    <m/>
    <n v="28907521"/>
    <s v="NestleP.2"/>
    <x v="0"/>
    <x v="2"/>
    <n v="20"/>
    <s v="SI"/>
    <n v="20"/>
    <n v="0"/>
    <m/>
  </r>
  <r>
    <s v="NESTLE PURINA"/>
    <x v="0"/>
    <x v="2"/>
    <s v="JUMBO"/>
    <n v="382375"/>
    <x v="8"/>
    <s v="DESEA AÑADIR ALGUNA OBSERVACION / NOVEDAD CON LA AUDITORIA REALIZADA?"/>
    <s v="SI"/>
    <m/>
    <n v="28907521"/>
    <s v="NestleP.2"/>
    <x v="0"/>
    <x v="0"/>
    <n v="0"/>
    <n v="0"/>
    <n v="0"/>
    <n v="0"/>
    <m/>
  </r>
  <r>
    <s v="NESTLE PURINA"/>
    <x v="3"/>
    <x v="1"/>
    <s v="SUPERETE"/>
    <n v="65453"/>
    <x v="7"/>
    <s v="CUENTA CON PANTALON DEL UNIFORME SEGÚN EL CARGO (NEGRO / ROJO / TURQUESA / JEAN)"/>
    <s v="SI"/>
    <m/>
    <n v="28953374"/>
    <s v="NestleP.5"/>
    <x v="0"/>
    <x v="3"/>
    <n v="1"/>
    <s v="SI"/>
    <n v="1"/>
    <n v="0"/>
    <m/>
  </r>
  <r>
    <s v="NESTLE PURINA"/>
    <x v="3"/>
    <x v="1"/>
    <s v="SUPERETE"/>
    <n v="65453"/>
    <x v="7"/>
    <s v="¿CUMPLE HORARIO DE ENTRADA O SALIDA DE LA TIENDA?"/>
    <s v="SI"/>
    <m/>
    <n v="28953374"/>
    <s v="NestleP.5"/>
    <x v="0"/>
    <x v="1"/>
    <n v="20"/>
    <s v="SI"/>
    <n v="20"/>
    <n v="0"/>
    <m/>
  </r>
  <r>
    <s v="NESTLE PURINA"/>
    <x v="3"/>
    <x v="1"/>
    <s v="SUPERETE"/>
    <n v="65453"/>
    <x v="7"/>
    <s v="SE LOGRA REALIZAR LA AUDITORIA?"/>
    <s v="SI"/>
    <m/>
    <n v="28953374"/>
    <s v="NestleP.5"/>
    <x v="0"/>
    <x v="0"/>
    <n v="0"/>
    <n v="0"/>
    <n v="0"/>
    <n v="0"/>
    <m/>
  </r>
  <r>
    <s v="NESTLE PURINA"/>
    <x v="2"/>
    <x v="1"/>
    <s v="SUPERETE"/>
    <n v="66552"/>
    <x v="10"/>
    <s v="DESEA AÑADIR ALGUNA OBSERVACION / NOVEDAD CON LA AUDITORIA REALIZADA?"/>
    <s v="NO"/>
    <m/>
    <n v="28946324"/>
    <s v="NestleP.7"/>
    <x v="1"/>
    <x v="0"/>
    <n v="0"/>
    <n v="0"/>
    <n v="0"/>
    <n v="0"/>
    <m/>
  </r>
  <r>
    <s v="NESTLE PURINA"/>
    <x v="2"/>
    <x v="1"/>
    <s v="SUPERETE"/>
    <n v="66552"/>
    <x v="10"/>
    <s v="CT - ESTA IMPLEMENTADA LA NUEVA ESTRATEGIA DE BAJA DE PRECIOS?"/>
    <s v="NO"/>
    <m/>
    <n v="28946324"/>
    <s v="NestleP.7"/>
    <x v="1"/>
    <x v="0"/>
    <n v="0"/>
    <s v="SI"/>
    <n v="0"/>
    <n v="0"/>
    <m/>
  </r>
  <r>
    <s v="NESTLE PURINA"/>
    <x v="2"/>
    <x v="1"/>
    <s v="SUPERETE"/>
    <n v="66552"/>
    <x v="10"/>
    <s v="SELECCIONE EL CANAL DEL PDV AUDITADO?"/>
    <s v=" TRADICIONAL"/>
    <m/>
    <n v="28946324"/>
    <s v="NestleP.7"/>
    <x v="1"/>
    <x v="0"/>
    <n v="0"/>
    <n v="0"/>
    <n v="0"/>
    <n v="0"/>
    <m/>
  </r>
  <r>
    <s v="NESTLE PURINA"/>
    <x v="3"/>
    <x v="1"/>
    <s v="SUPERETE"/>
    <n v="65453"/>
    <x v="7"/>
    <s v="CUENTA CON CAMISA DEL UNIFORME Y LOGOS SEGÚN EL CARGO (NEGRA / GRIS / ROJA / TURQUESA) (ES PERMITIDO USAR DEBAJO DE LA CAMISA BUSO MANGA LARGA NEGRO)"/>
    <s v="SI"/>
    <m/>
    <n v="28953374"/>
    <s v="NestleP.5"/>
    <x v="0"/>
    <x v="3"/>
    <n v="1"/>
    <s v="SI"/>
    <n v="1"/>
    <n v="0"/>
    <m/>
  </r>
  <r>
    <s v="NESTLE PURINA"/>
    <x v="2"/>
    <x v="1"/>
    <s v="SUPERETE"/>
    <n v="66552"/>
    <x v="10"/>
    <s v="CONOCE EL % DE PARTICIPACIÓN QUE TIENEN LAS MARCAS DE PURINA DENTRO DEL UNIVERSO?"/>
    <s v="NO"/>
    <m/>
    <n v="28946324"/>
    <s v="NestleP.7"/>
    <x v="1"/>
    <x v="0"/>
    <n v="0"/>
    <s v="SI"/>
    <n v="0"/>
    <n v="0"/>
    <m/>
  </r>
  <r>
    <s v="NESTLE PURINA"/>
    <x v="2"/>
    <x v="1"/>
    <s v="SUPERETE"/>
    <n v="66552"/>
    <x v="10"/>
    <s v="CUAL ES LA ESTRATEGIA DE EXHIBICIÓN PARA LAS MARCAS MAINSTRAIN (ALPO Y GATSY) DE PURINA Y PORQUE?"/>
    <s v="NO"/>
    <m/>
    <n v="28946324"/>
    <s v="NestleP.7"/>
    <x v="1"/>
    <x v="0"/>
    <n v="0"/>
    <s v="SI"/>
    <n v="0"/>
    <n v="0"/>
    <m/>
  </r>
  <r>
    <s v="NESTLE PURINA"/>
    <x v="2"/>
    <x v="1"/>
    <s v="SUPERETE"/>
    <n v="66552"/>
    <x v="10"/>
    <s v="CONOCE Y TIENE SURTIDO DE ACUERDO A LA ESTRATEGIA DE EXHIBICIÓN (ETAPAS DE VIDA - SEGMENTACIÓN DE MARCAS)"/>
    <s v="NO"/>
    <m/>
    <n v="28946324"/>
    <s v="NestleP.7"/>
    <x v="1"/>
    <x v="0"/>
    <n v="0"/>
    <s v="SI"/>
    <n v="0"/>
    <n v="0"/>
    <m/>
  </r>
  <r>
    <s v="NESTLE PURINA"/>
    <x v="2"/>
    <x v="1"/>
    <s v="SUPERETE"/>
    <n v="66552"/>
    <x v="10"/>
    <s v="CONOCE LOS INFALTABLES DEL PUNTO DE VENTA Y CUENTA CON EL MATERIAL DE APOYO (AYUDAVENTAS INFALTABLES)"/>
    <s v="NO"/>
    <m/>
    <n v="28946324"/>
    <s v="NestleP.7"/>
    <x v="1"/>
    <x v="0"/>
    <n v="0"/>
    <s v="SI"/>
    <n v="0"/>
    <n v="0"/>
    <m/>
  </r>
  <r>
    <s v="NESTLE PURINA"/>
    <x v="2"/>
    <x v="1"/>
    <s v="SUPERETE"/>
    <n v="66552"/>
    <x v="10"/>
    <s v="LOS PRODUCTOS ESTAN SURTIDOS DE ACUERDO A PEPS O FIFO (REVISAR TANTO PRODUCTO SECO COMO HUMEDO)"/>
    <s v="NO"/>
    <m/>
    <n v="28946324"/>
    <s v="NestleP.7"/>
    <x v="1"/>
    <x v="0"/>
    <n v="0"/>
    <s v="SI"/>
    <n v="0"/>
    <n v="0"/>
    <m/>
  </r>
  <r>
    <s v="NESTLE PURINA"/>
    <x v="2"/>
    <x v="1"/>
    <s v="SUPERETE"/>
    <n v="66552"/>
    <x v="10"/>
    <s v="LOS PRODUCTOS TIENEN EL PRECIO Y ESTAN ACORDE O CORRESPONDIENTE A CADA REFERENCIA"/>
    <s v="NO"/>
    <m/>
    <n v="28946324"/>
    <s v="NestleP.7"/>
    <x v="1"/>
    <x v="0"/>
    <n v="0"/>
    <s v="SI"/>
    <n v="0"/>
    <n v="0"/>
    <m/>
  </r>
  <r>
    <s v="NESTLE PURINA"/>
    <x v="2"/>
    <x v="1"/>
    <s v="SUPERETE"/>
    <n v="66552"/>
    <x v="10"/>
    <s v="EL LINEAL SE ENCUENTRA LIMPIO Y ORGANIZADO"/>
    <s v="NO"/>
    <m/>
    <n v="28946324"/>
    <s v="NestleP.7"/>
    <x v="1"/>
    <x v="0"/>
    <n v="0"/>
    <s v="SI"/>
    <n v="0"/>
    <n v="0"/>
    <m/>
  </r>
  <r>
    <s v="NESTLE PURINA"/>
    <x v="2"/>
    <x v="1"/>
    <s v="SUPERETE"/>
    <n v="66552"/>
    <x v="10"/>
    <s v="CONOCE EL % DE PARTICIPACIÓN QUE TIENE EN EL PUNTO DE VENTA E INFORMA CUAL ES ESE %"/>
    <s v="NO"/>
    <m/>
    <n v="28946324"/>
    <s v="NestleP.7"/>
    <x v="1"/>
    <x v="0"/>
    <n v="0"/>
    <s v="SI"/>
    <n v="0"/>
    <n v="0"/>
    <m/>
  </r>
  <r>
    <s v="NESTLE PURINA"/>
    <x v="2"/>
    <x v="1"/>
    <s v="SUPERETE"/>
    <n v="66552"/>
    <x v="10"/>
    <s v="USA ACCESORIOS QUE NO CUMPLE CON EL CODIGO DE VESTIMENTA"/>
    <s v="NO"/>
    <m/>
    <n v="28946324"/>
    <s v="NestleP.7"/>
    <x v="1"/>
    <x v="0"/>
    <n v="0"/>
    <s v="NO"/>
    <n v="0"/>
    <n v="0"/>
    <m/>
  </r>
  <r>
    <s v="NESTLE PURINA"/>
    <x v="3"/>
    <x v="1"/>
    <s v="SUPERETE"/>
    <n v="65453"/>
    <x v="7"/>
    <s v="CUENTA CON CALZADO DE ACUERDO AL UNIFORME"/>
    <s v="SI"/>
    <m/>
    <n v="28953374"/>
    <s v="NestleP.5"/>
    <x v="0"/>
    <x v="3"/>
    <n v="1"/>
    <s v="SI"/>
    <n v="1"/>
    <n v="0"/>
    <m/>
  </r>
  <r>
    <s v="NESTLE PURINA"/>
    <x v="3"/>
    <x v="1"/>
    <s v="SUPERETE"/>
    <n v="65453"/>
    <x v="7"/>
    <s v="EL UNIFORME Y ZAPATOS SE ENCUENTRAN LIMPIOS Y EN BUEN ESTADO"/>
    <s v="SI"/>
    <m/>
    <n v="28953374"/>
    <s v="NestleP.5"/>
    <x v="0"/>
    <x v="3"/>
    <n v="1"/>
    <s v="SI"/>
    <n v="1"/>
    <n v="0"/>
    <m/>
  </r>
  <r>
    <s v="NESTLE PURINA"/>
    <x v="3"/>
    <x v="1"/>
    <s v="SUPERETE"/>
    <n v="65453"/>
    <x v="7"/>
    <s v="SELECCIONE EL CANAL DEL PDV AUDITADO?"/>
    <s v=" TRADICIONAL"/>
    <m/>
    <n v="28953374"/>
    <s v="NestleP.5"/>
    <x v="0"/>
    <x v="0"/>
    <n v="0"/>
    <n v="0"/>
    <n v="0"/>
    <n v="0"/>
    <m/>
  </r>
  <r>
    <s v="NESTLE PURINA"/>
    <x v="3"/>
    <x v="1"/>
    <s v="SUPERETE"/>
    <n v="65453"/>
    <x v="7"/>
    <s v="CONOCE EL % DE PARTICIPACIÓN QUE TIENEN LAS MARCAS DE PURINA DENTRO DEL UNIVERSO?"/>
    <s v="SI"/>
    <m/>
    <n v="28953374"/>
    <s v="NestleP.5"/>
    <x v="0"/>
    <x v="4"/>
    <n v="3.75"/>
    <s v="SI"/>
    <n v="3.75"/>
    <n v="0"/>
    <m/>
  </r>
  <r>
    <s v="NESTLE PURINA"/>
    <x v="3"/>
    <x v="1"/>
    <s v="SUPERETE"/>
    <n v="65453"/>
    <x v="7"/>
    <s v="CONOCE EL % DE PARTICIPACIÓN QUE TIENE EN EL PUNTO DE VENTA E INFORMA CUAL ES ESE %"/>
    <s v="SI"/>
    <m/>
    <n v="28953374"/>
    <s v="NestleP.5"/>
    <x v="0"/>
    <x v="4"/>
    <n v="3.75"/>
    <s v="SI"/>
    <n v="3.75"/>
    <n v="0"/>
    <m/>
  </r>
  <r>
    <s v="NESTLE PURINA"/>
    <x v="3"/>
    <x v="1"/>
    <s v="SUPERETE"/>
    <n v="65453"/>
    <x v="7"/>
    <s v="CUAL ES LA ESTRATEGIA DE EXHIBICIÓN PARA LAS MARCAS MAINSTRAIN (ALPO Y GATSY) DE PURINA Y PORQUE?"/>
    <s v="SI"/>
    <m/>
    <n v="28953374"/>
    <s v="NestleP.5"/>
    <x v="0"/>
    <x v="4"/>
    <n v="3.75"/>
    <s v="SI"/>
    <n v="3.75"/>
    <n v="0"/>
    <m/>
  </r>
  <r>
    <s v="NESTLE PURINA"/>
    <x v="3"/>
    <x v="1"/>
    <s v="SUPERETE"/>
    <n v="65453"/>
    <x v="7"/>
    <s v="CONOCE Y TIENE SURTIDO DE ACUERDO A LA ESTRATEGIA DE EXHIBICIÓN (ETAPAS DE VIDA - SEGMENTACIÓN DE MARCAS)"/>
    <s v="SI"/>
    <m/>
    <n v="28953374"/>
    <s v="NestleP.5"/>
    <x v="0"/>
    <x v="4"/>
    <n v="3.75"/>
    <s v="SI"/>
    <n v="3.75"/>
    <n v="0"/>
    <m/>
  </r>
  <r>
    <s v="NESTLE PURINA"/>
    <x v="3"/>
    <x v="1"/>
    <s v="SUPERETE"/>
    <n v="65453"/>
    <x v="7"/>
    <s v="CONOCE LOS INFALTABLES DEL PUNTO DE VENTA Y CUENTA CON EL MATERIAL DE APOYO (AYUDAVENTAS INFALTABLES)"/>
    <s v="SI"/>
    <m/>
    <n v="28953374"/>
    <s v="NestleP.5"/>
    <x v="0"/>
    <x v="4"/>
    <n v="3.75"/>
    <s v="SI"/>
    <n v="3.75"/>
    <n v="0"/>
    <m/>
  </r>
  <r>
    <s v="NESTLE PURINA"/>
    <x v="3"/>
    <x v="1"/>
    <s v="SUPERETE"/>
    <n v="65453"/>
    <x v="7"/>
    <s v="POSEE ALGUNA PRENDA ENCIMA DEL UNIFORME NO AUTORIZADA POR LA MARCA (UNICAMENTE ESTA PERMITIDO CHALECO DE SODIMAC Y EASY)"/>
    <s v="NO"/>
    <m/>
    <n v="28953374"/>
    <s v="NestleP.5"/>
    <x v="0"/>
    <x v="3"/>
    <n v="1"/>
    <s v="NO"/>
    <n v="1"/>
    <n v="0"/>
    <m/>
  </r>
  <r>
    <s v="NESTLE PURINA"/>
    <x v="3"/>
    <x v="1"/>
    <s v="SUPERETE"/>
    <n v="65453"/>
    <x v="7"/>
    <s v="LOS PRODUCTOS ESTAN SURTIDOS DE ACUERDO A PEPS O FIFO (REVISAR TANTO PRODUCTO SECO COMO HUMEDO)"/>
    <s v="SI"/>
    <m/>
    <n v="28953374"/>
    <s v="NestleP.5"/>
    <x v="0"/>
    <x v="4"/>
    <n v="3.75"/>
    <s v="SI"/>
    <n v="3.75"/>
    <n v="0"/>
    <m/>
  </r>
  <r>
    <s v="NESTLE PURINA"/>
    <x v="3"/>
    <x v="1"/>
    <s v="SUPERETE"/>
    <n v="65453"/>
    <x v="7"/>
    <s v="EL LINEAL SE ENCUENTRA LIMPIO Y ORGANIZADO"/>
    <s v="SI"/>
    <m/>
    <n v="28953374"/>
    <s v="NestleP.5"/>
    <x v="0"/>
    <x v="4"/>
    <n v="3.75"/>
    <s v="SI"/>
    <n v="3.75"/>
    <n v="0"/>
    <m/>
  </r>
  <r>
    <s v="NESTLE PURINA"/>
    <x v="3"/>
    <x v="1"/>
    <s v="SUPERETE"/>
    <n v="65453"/>
    <x v="7"/>
    <s v="USA ACCESORIOS QUE NO CUMPLE CON EL CODIGO DE VESTIMENTA"/>
    <s v="NO"/>
    <m/>
    <n v="28953374"/>
    <s v="NestleP.5"/>
    <x v="0"/>
    <x v="3"/>
    <n v="1"/>
    <s v="NO"/>
    <n v="1"/>
    <n v="0"/>
    <m/>
  </r>
  <r>
    <s v="NESTLE PURINA"/>
    <x v="3"/>
    <x v="1"/>
    <s v="SUPERETE"/>
    <n v="65453"/>
    <x v="7"/>
    <s v="TIENE UÑAS LLAMATIVAS Y/O LARGAS QUE NO CUMPLE CON EL CODIGO DE VESTIMENTA"/>
    <s v="NO"/>
    <m/>
    <n v="28953374"/>
    <s v="NestleP.5"/>
    <x v="0"/>
    <x v="3"/>
    <n v="1"/>
    <s v="NO"/>
    <n v="1"/>
    <n v="0"/>
    <m/>
  </r>
  <r>
    <s v="NESTLE PURINA"/>
    <x v="3"/>
    <x v="1"/>
    <s v="SUPERETE"/>
    <n v="65453"/>
    <x v="7"/>
    <s v="TIENE TATUAJES O PIERCINGS VISIBLES QUE NO CUMPLE CON EL CODIGO DE VESTIMENTA"/>
    <s v="NO"/>
    <m/>
    <n v="28953374"/>
    <s v="NestleP.5"/>
    <x v="0"/>
    <x v="3"/>
    <n v="1"/>
    <s v="NO"/>
    <n v="1"/>
    <n v="0"/>
    <m/>
  </r>
  <r>
    <s v="NESTLE PURINA"/>
    <x v="3"/>
    <x v="1"/>
    <s v="SUPERETE"/>
    <n v="65453"/>
    <x v="7"/>
    <s v="PRESENTA EXCESO DE MAQUILLAJE QUE NO CUMPLE CON EL CODIGO DE VESTIMENTA"/>
    <s v="NO"/>
    <m/>
    <n v="28953374"/>
    <s v="NestleP.5"/>
    <x v="0"/>
    <x v="3"/>
    <n v="1"/>
    <s v="NO"/>
    <n v="1"/>
    <n v="0"/>
    <m/>
  </r>
  <r>
    <s v="NESTLE PURINA"/>
    <x v="3"/>
    <x v="1"/>
    <s v="SUPERETE"/>
    <n v="65453"/>
    <x v="7"/>
    <s v="SU CABELLO LUCE LIMPIO, ORGANIZADO O RECOGIDO"/>
    <s v="SI"/>
    <m/>
    <n v="28953374"/>
    <s v="NestleP.5"/>
    <x v="0"/>
    <x v="3"/>
    <n v="1"/>
    <s v="SI"/>
    <n v="1"/>
    <n v="0"/>
    <m/>
  </r>
  <r>
    <s v="NESTLE PURINA"/>
    <x v="3"/>
    <x v="1"/>
    <s v="SUPERETE"/>
    <n v="65453"/>
    <x v="7"/>
    <s v="LOS PRODUCTOS TIENEN EL PRECIO Y ESTAN ACORDE O CORRESPONDIENTE A CADA REFERENCIA"/>
    <s v="SI"/>
    <m/>
    <n v="28953374"/>
    <s v="NestleP.5"/>
    <x v="0"/>
    <x v="4"/>
    <n v="3.75"/>
    <s v="SI"/>
    <n v="3.75"/>
    <n v="0"/>
    <m/>
  </r>
  <r>
    <s v="NESTLE PURINA"/>
    <x v="2"/>
    <x v="1"/>
    <s v="SUPERETE"/>
    <n v="66552"/>
    <x v="10"/>
    <s v="TIENE UÑAS LLAMATIVAS Y/O LARGAS QUE NO CUMPLE CON EL CODIGO DE VESTIMENTA"/>
    <s v="NO"/>
    <m/>
    <n v="28946324"/>
    <s v="NestleP.7"/>
    <x v="1"/>
    <x v="0"/>
    <n v="0"/>
    <s v="NO"/>
    <n v="0"/>
    <n v="0"/>
    <m/>
  </r>
  <r>
    <s v="NESTLE PURINA"/>
    <x v="2"/>
    <x v="1"/>
    <s v="SUPERETE"/>
    <n v="66552"/>
    <x v="10"/>
    <s v="TIENE TATUAJES O PIERCINGS VISIBLES QUE NO CUMPLE CON EL CODIGO DE VESTIMENTA"/>
    <s v="NO"/>
    <m/>
    <n v="28946324"/>
    <s v="NestleP.7"/>
    <x v="1"/>
    <x v="0"/>
    <n v="0"/>
    <s v="NO"/>
    <n v="0"/>
    <n v="0"/>
    <m/>
  </r>
  <r>
    <s v="NESTLE PURINA"/>
    <x v="2"/>
    <x v="1"/>
    <s v="SUPERETE"/>
    <n v="66552"/>
    <x v="10"/>
    <s v="PRESENTA EXCESO DE MAQUILLAJE QUE NO CUMPLE CON EL CODIGO DE VESTIMENTA"/>
    <s v="NO"/>
    <m/>
    <n v="28946324"/>
    <s v="NestleP.7"/>
    <x v="1"/>
    <x v="0"/>
    <n v="0"/>
    <s v="NO"/>
    <n v="0"/>
    <n v="0"/>
    <m/>
  </r>
  <r>
    <s v="NESTLE PURINA"/>
    <x v="0"/>
    <x v="1"/>
    <s v="JUMBO"/>
    <n v="355912"/>
    <x v="11"/>
    <s v="EL LINEAL SE ENCUENTRA LIMPIO Y ORGANIZADO"/>
    <s v="SI"/>
    <m/>
    <n v="28943799"/>
    <s v="NestleP.2"/>
    <x v="0"/>
    <x v="4"/>
    <n v="3.75"/>
    <s v="SI"/>
    <n v="3.75"/>
    <n v="0"/>
    <m/>
  </r>
  <r>
    <s v="NESTLE PURINA"/>
    <x v="0"/>
    <x v="1"/>
    <s v="JUMBO"/>
    <n v="355912"/>
    <x v="11"/>
    <s v="USA ACCESORIOS QUE NO CUMPLE CON EL CODIGO DE VESTIMENTA"/>
    <s v="NO"/>
    <m/>
    <n v="28943799"/>
    <s v="NestleP.2"/>
    <x v="0"/>
    <x v="3"/>
    <n v="1"/>
    <s v="NO"/>
    <n v="1"/>
    <n v="0"/>
    <m/>
  </r>
  <r>
    <s v="NESTLE PURINA"/>
    <x v="0"/>
    <x v="1"/>
    <s v="JUMBO"/>
    <n v="355912"/>
    <x v="11"/>
    <s v="TIENE UÑAS LLAMATIVAS Y/O LARGAS QUE NO CUMPLE CON EL CODIGO DE VESTIMENTA"/>
    <s v="NO"/>
    <m/>
    <n v="28943799"/>
    <s v="NestleP.2"/>
    <x v="0"/>
    <x v="3"/>
    <n v="1"/>
    <s v="NO"/>
    <n v="1"/>
    <n v="0"/>
    <m/>
  </r>
  <r>
    <s v="NESTLE PURINA"/>
    <x v="0"/>
    <x v="1"/>
    <s v="JUMBO"/>
    <n v="355912"/>
    <x v="11"/>
    <s v="TIENE TATUAJES O PIERCINGS VISIBLES QUE NO CUMPLE CON EL CODIGO DE VESTIMENTA"/>
    <s v="NO"/>
    <m/>
    <n v="28943799"/>
    <s v="NestleP.2"/>
    <x v="0"/>
    <x v="3"/>
    <n v="1"/>
    <s v="NO"/>
    <n v="1"/>
    <n v="0"/>
    <m/>
  </r>
  <r>
    <s v="NESTLE PURINA"/>
    <x v="0"/>
    <x v="1"/>
    <s v="JUMBO"/>
    <n v="355912"/>
    <x v="11"/>
    <s v="PRESENTA EXCESO DE MAQUILLAJE QUE NO CUMPLE CON EL CODIGO DE VESTIMENTA"/>
    <s v="NO"/>
    <m/>
    <n v="28943799"/>
    <s v="NestleP.2"/>
    <x v="0"/>
    <x v="3"/>
    <n v="1"/>
    <s v="NO"/>
    <n v="1"/>
    <n v="0"/>
    <m/>
  </r>
  <r>
    <s v="NESTLE PURINA"/>
    <x v="0"/>
    <x v="1"/>
    <s v="JUMBO"/>
    <n v="355912"/>
    <x v="11"/>
    <s v="SU CABELLO LUCE LIMPIO, ORGANIZADO O RECOGIDO"/>
    <s v="SI"/>
    <m/>
    <n v="28943799"/>
    <s v="NestleP.2"/>
    <x v="0"/>
    <x v="3"/>
    <n v="1"/>
    <s v="SI"/>
    <n v="1"/>
    <n v="0"/>
    <m/>
  </r>
  <r>
    <s v="NESTLE PURINA"/>
    <x v="0"/>
    <x v="1"/>
    <s v="JUMBO"/>
    <n v="355912"/>
    <x v="11"/>
    <s v="LOS PRODUCTOS TIENEN EL PRECIO Y ESTAN ACORDE O CORRESPONDIENTE A CADA REFERENCIA"/>
    <s v="SI"/>
    <m/>
    <n v="28943799"/>
    <s v="NestleP.2"/>
    <x v="0"/>
    <x v="4"/>
    <n v="3.75"/>
    <s v="SI"/>
    <n v="3.75"/>
    <n v="0"/>
    <m/>
  </r>
  <r>
    <s v="NESTLE PURINA"/>
    <x v="0"/>
    <x v="1"/>
    <s v="JUMBO"/>
    <n v="355912"/>
    <x v="11"/>
    <s v="EL UNIFORME Y ZAPATOS SE ENCUENTRAN LIMPIOS Y EN BUEN ESTADO"/>
    <s v="SI"/>
    <m/>
    <n v="28943799"/>
    <s v="NestleP.2"/>
    <x v="0"/>
    <x v="3"/>
    <n v="1"/>
    <s v="SI"/>
    <n v="1"/>
    <n v="0"/>
    <m/>
  </r>
  <r>
    <s v="NESTLE PURINA"/>
    <x v="0"/>
    <x v="1"/>
    <s v="JUMBO"/>
    <n v="355912"/>
    <x v="11"/>
    <s v="CUENTA CON CALZADO DE ACUERDO AL UNIFORME"/>
    <s v="SI"/>
    <m/>
    <n v="28943799"/>
    <s v="NestleP.2"/>
    <x v="0"/>
    <x v="3"/>
    <n v="1"/>
    <s v="SI"/>
    <n v="1"/>
    <n v="0"/>
    <m/>
  </r>
  <r>
    <s v="NESTLE PURINA"/>
    <x v="0"/>
    <x v="1"/>
    <s v="JUMBO"/>
    <n v="355912"/>
    <x v="11"/>
    <s v="CUENTA CON CAMISA DEL UNIFORME Y LOGOS SEGÚN EL CARGO (NEGRA / GRIS / ROJA / TURQUESA) (ES PERMITIDO USAR DEBAJO DE LA CAMISA BUSO MANGA LARGA NEGRO)"/>
    <s v="SI"/>
    <m/>
    <n v="28943799"/>
    <s v="NestleP.2"/>
    <x v="0"/>
    <x v="3"/>
    <n v="1"/>
    <s v="SI"/>
    <n v="1"/>
    <n v="0"/>
    <m/>
  </r>
  <r>
    <s v="NESTLE PURINA"/>
    <x v="0"/>
    <x v="1"/>
    <s v="JUMBO"/>
    <n v="355912"/>
    <x v="11"/>
    <s v="CUENTA CON PANTALON DEL UNIFORME SEGÚN EL CARGO (NEGRO / ROJO / TURQUESA / JEAN)"/>
    <s v="SI"/>
    <m/>
    <n v="28943799"/>
    <s v="NestleP.2"/>
    <x v="0"/>
    <x v="3"/>
    <n v="1"/>
    <s v="SI"/>
    <n v="1"/>
    <n v="0"/>
    <m/>
  </r>
  <r>
    <s v="NESTLE PURINA"/>
    <x v="0"/>
    <x v="1"/>
    <s v="JUMBO"/>
    <n v="355912"/>
    <x v="11"/>
    <s v="¿CUMPLE HORARIO DE ENTRADA O SALIDA DE LA TIENDA?"/>
    <s v="SI"/>
    <m/>
    <n v="28943799"/>
    <s v="NestleP.2"/>
    <x v="0"/>
    <x v="1"/>
    <n v="20"/>
    <s v="SI"/>
    <n v="20"/>
    <n v="0"/>
    <m/>
  </r>
  <r>
    <s v="NESTLE PURINA"/>
    <x v="0"/>
    <x v="1"/>
    <s v="JUMBO"/>
    <n v="355912"/>
    <x v="11"/>
    <s v="SE LOGRA REALIZAR LA AUDITORIA?"/>
    <s v="SI"/>
    <m/>
    <n v="28943799"/>
    <s v="NestleP.2"/>
    <x v="0"/>
    <x v="0"/>
    <n v="0"/>
    <n v="0"/>
    <n v="0"/>
    <n v="0"/>
    <m/>
  </r>
  <r>
    <s v="NESTLE PURINA"/>
    <x v="0"/>
    <x v="2"/>
    <s v="JUMBO"/>
    <n v="382375"/>
    <x v="8"/>
    <s v="INDIQUE OBSERVACIÓN/NOVEDAD"/>
    <s v="Asesor manifiesta no disponer de material pop porque no se permite implementar en el pdv, así mismo manifiesta que no hay descuentos activos en el momento , de tiene negociada una punta de góndola la cual se encuentra organizada con los productos totales disponibles en pdv"/>
    <m/>
    <n v="28907521"/>
    <s v="NestleP.2"/>
    <x v="0"/>
    <x v="0"/>
    <n v="0"/>
    <n v="0"/>
    <n v="0"/>
    <n v="0"/>
    <m/>
  </r>
  <r>
    <s v="NESTLE PURINA"/>
    <x v="0"/>
    <x v="1"/>
    <s v="JUMBO"/>
    <n v="355912"/>
    <x v="11"/>
    <s v="POSEE ALGUNA PRENDA ENCIMA DEL UNIFORME NO AUTORIZADA POR LA MARCA (UNICAMENTE ESTA PERMITIDO CHALECO DE SODIMAC Y EASY)"/>
    <s v="NO"/>
    <m/>
    <n v="28943799"/>
    <s v="NestleP.2"/>
    <x v="0"/>
    <x v="3"/>
    <n v="1"/>
    <s v="NO"/>
    <n v="1"/>
    <n v="0"/>
    <m/>
  </r>
  <r>
    <s v="NESTLE PURINA"/>
    <x v="0"/>
    <x v="1"/>
    <s v="JUMBO"/>
    <n v="355912"/>
    <x v="11"/>
    <s v="LOS PRODUCTOS ESTAN SURTIDOS DE ACUERDO A PEPS O FIFO (REVISAR TANTO PRODUCTO SECO COMO HUMEDO)"/>
    <s v="SI"/>
    <m/>
    <n v="28943799"/>
    <s v="NestleP.2"/>
    <x v="0"/>
    <x v="4"/>
    <n v="3.75"/>
    <s v="SI"/>
    <n v="3.75"/>
    <n v="0"/>
    <m/>
  </r>
  <r>
    <s v="NESTLE PURINA"/>
    <x v="0"/>
    <x v="1"/>
    <s v="JUMBO"/>
    <n v="355912"/>
    <x v="11"/>
    <s v="CONOCE LOS INFALTABLES DEL PUNTO DE VENTA Y CUENTA CON EL MATERIAL DE APOYO (AYUDAVENTAS INFALTABLES)"/>
    <s v="SI"/>
    <m/>
    <n v="28943799"/>
    <s v="NestleP.2"/>
    <x v="0"/>
    <x v="4"/>
    <n v="3.75"/>
    <s v="SI"/>
    <n v="3.75"/>
    <n v="0"/>
    <m/>
  </r>
  <r>
    <s v="NESTLE PURINA"/>
    <x v="0"/>
    <x v="1"/>
    <s v="JUMBO"/>
    <n v="355912"/>
    <x v="11"/>
    <s v="CONOCE Y TIENE SURTIDO DE ACUERDO A LA ESTRATEGIA DE EXHIBICIÓN (ETAPAS DE VIDA - SEGMENTACIÓN DE MARCAS)"/>
    <s v="SI"/>
    <m/>
    <n v="28943799"/>
    <s v="NestleP.2"/>
    <x v="0"/>
    <x v="4"/>
    <n v="3.75"/>
    <s v="SI"/>
    <n v="3.75"/>
    <n v="0"/>
    <m/>
  </r>
  <r>
    <s v="NESTLE PURINA"/>
    <x v="2"/>
    <x v="1"/>
    <s v="SUPERETE"/>
    <n v="66552"/>
    <x v="10"/>
    <s v="SU CABELLO LUCE LIMPIO, ORGANIZADO O RECOGIDO"/>
    <s v="NO"/>
    <m/>
    <n v="28946324"/>
    <s v="NestleP.7"/>
    <x v="1"/>
    <x v="0"/>
    <n v="0"/>
    <s v="SI"/>
    <n v="0"/>
    <n v="0"/>
    <m/>
  </r>
  <r>
    <s v="NESTLE PURINA"/>
    <x v="2"/>
    <x v="1"/>
    <s v="SUPERETE"/>
    <n v="66552"/>
    <x v="10"/>
    <s v="EL UNIFORME Y ZAPATOS SE ENCUENTRAN LIMPIOS Y EN BUEN ESTADO"/>
    <s v="NO"/>
    <m/>
    <n v="28946324"/>
    <s v="NestleP.7"/>
    <x v="1"/>
    <x v="0"/>
    <n v="0"/>
    <s v="SI"/>
    <n v="0"/>
    <n v="0"/>
    <m/>
  </r>
  <r>
    <s v="NESTLE PURINA"/>
    <x v="2"/>
    <x v="1"/>
    <s v="SUPERETE"/>
    <n v="66552"/>
    <x v="10"/>
    <s v="POSEE ALGUNA PRENDA ENCIMA DEL UNIFORME NO AUTORIZADA POR LA MARCA (UNICAMENTE ESTA PERMITIDO CHALECO DE SODIMAC Y EASY)"/>
    <s v="NO"/>
    <m/>
    <n v="28946324"/>
    <s v="NestleP.7"/>
    <x v="1"/>
    <x v="0"/>
    <n v="0"/>
    <s v="NO"/>
    <n v="0"/>
    <n v="0"/>
    <m/>
  </r>
  <r>
    <s v="NESTLE PURINA"/>
    <x v="2"/>
    <x v="1"/>
    <s v="SUPERETE"/>
    <n v="66552"/>
    <x v="10"/>
    <s v="CUENTA CON CALZADO DE ACUERDO AL UNIFORME"/>
    <s v="NO"/>
    <m/>
    <n v="28946324"/>
    <s v="NestleP.7"/>
    <x v="1"/>
    <x v="0"/>
    <n v="0"/>
    <s v="SI"/>
    <n v="0"/>
    <n v="0"/>
    <m/>
  </r>
  <r>
    <s v="NESTLE PURINA"/>
    <x v="2"/>
    <x v="1"/>
    <s v="SUPERETE"/>
    <n v="66552"/>
    <x v="10"/>
    <s v="CUENTA CON CAMISA DEL UNIFORME Y LOGOS SEGÚN EL CARGO (NEGRA / GRIS / ROJA / TURQUESA) (ES PERMITIDO USAR DEBAJO DE LA CAMISA BUSO MANGA LARGA NEGRO)"/>
    <s v="NO"/>
    <m/>
    <n v="28946324"/>
    <s v="NestleP.7"/>
    <x v="1"/>
    <x v="0"/>
    <n v="0"/>
    <s v="SI"/>
    <n v="0"/>
    <n v="0"/>
    <m/>
  </r>
  <r>
    <s v="NESTLE PURINA"/>
    <x v="2"/>
    <x v="1"/>
    <s v="SUPERETE"/>
    <n v="66552"/>
    <x v="10"/>
    <s v="CUENTA CON PANTALON DEL UNIFORME SEGÚN EL CARGO (NEGRO / ROJO / TURQUESA / JEAN)"/>
    <s v="NO"/>
    <m/>
    <n v="28946324"/>
    <s v="NestleP.7"/>
    <x v="1"/>
    <x v="0"/>
    <n v="0"/>
    <s v="SI"/>
    <n v="0"/>
    <n v="0"/>
    <m/>
  </r>
  <r>
    <s v="NESTLE PURINA"/>
    <x v="2"/>
    <x v="1"/>
    <s v="SUPERETE"/>
    <n v="66552"/>
    <x v="10"/>
    <s v="¿CUMPLE HORARIO DE ENTRADA O SALIDA DE LA TIENDA?"/>
    <s v="NO"/>
    <m/>
    <n v="28946324"/>
    <s v="NestleP.7"/>
    <x v="1"/>
    <x v="0"/>
    <n v="0"/>
    <s v="SI"/>
    <n v="0"/>
    <n v="0"/>
    <m/>
  </r>
  <r>
    <s v="NESTLE PURINA"/>
    <x v="2"/>
    <x v="1"/>
    <s v="SUPERETE"/>
    <n v="66552"/>
    <x v="10"/>
    <s v="SE LOGRA REALIZAR LA AUDITORIA?"/>
    <s v="NO"/>
    <m/>
    <n v="28946324"/>
    <s v="NestleP.7"/>
    <x v="1"/>
    <x v="0"/>
    <n v="0"/>
    <n v="0"/>
    <n v="0"/>
    <n v="0"/>
    <m/>
  </r>
  <r>
    <s v="NESTLE PURINA"/>
    <x v="0"/>
    <x v="1"/>
    <s v="JUMBO"/>
    <n v="355912"/>
    <x v="11"/>
    <s v="INDIQUE OBSERVACIÓN/NOVEDAD"/>
    <s v="Material pop del mes de gasto no está implementado, asesora manifiesta llegar de vacaciones y por ende no ha recibido este material indica durante esta semana coordinador encargado le hará entrega para poder implementar "/>
    <m/>
    <n v="28943799"/>
    <s v="NestleP.2"/>
    <x v="0"/>
    <x v="0"/>
    <n v="0"/>
    <n v="0"/>
    <n v="0"/>
    <n v="0"/>
    <m/>
  </r>
  <r>
    <s v="NESTLE PURINA"/>
    <x v="0"/>
    <x v="1"/>
    <s v="JUMBO"/>
    <n v="355912"/>
    <x v="11"/>
    <s v="DESEA AÑADIR ALGUNA OBSERVACION / NOVEDAD CON LA AUDITORIA REALIZADA?"/>
    <s v="SI"/>
    <m/>
    <n v="28943799"/>
    <s v="NestleP.2"/>
    <x v="0"/>
    <x v="0"/>
    <n v="0"/>
    <n v="0"/>
    <n v="0"/>
    <n v="0"/>
    <m/>
  </r>
  <r>
    <s v="NESTLE PURINA"/>
    <x v="0"/>
    <x v="1"/>
    <s v="JUMBO"/>
    <n v="355912"/>
    <x v="11"/>
    <s v="CT - ESTA IMPLEMENTADA LA NUEVA ESTRATEGIA DE BAJA DE PRECIOS?"/>
    <s v="SI"/>
    <m/>
    <n v="28943799"/>
    <s v="NestleP.2"/>
    <x v="0"/>
    <x v="2"/>
    <n v="40"/>
    <s v="SI"/>
    <n v="40"/>
    <n v="0"/>
    <m/>
  </r>
  <r>
    <s v="NESTLE PURINA"/>
    <x v="0"/>
    <x v="1"/>
    <s v="JUMBO"/>
    <n v="355912"/>
    <x v="11"/>
    <s v="SELECCIONE EL CANAL DEL PDV AUDITADO?"/>
    <s v=" TRADICIONAL"/>
    <m/>
    <n v="28943799"/>
    <s v="NestleP.2"/>
    <x v="0"/>
    <x v="0"/>
    <n v="0"/>
    <n v="0"/>
    <n v="0"/>
    <n v="0"/>
    <m/>
  </r>
  <r>
    <s v="NESTLE PURINA"/>
    <x v="0"/>
    <x v="1"/>
    <s v="JUMBO"/>
    <n v="355912"/>
    <x v="11"/>
    <s v="CONOCE EL % DE PARTICIPACIÓN QUE TIENEN LAS MARCAS DE PURINA DENTRO DEL UNIVERSO?"/>
    <s v="SI"/>
    <m/>
    <n v="28943799"/>
    <s v="NestleP.2"/>
    <x v="0"/>
    <x v="4"/>
    <n v="3.75"/>
    <s v="SI"/>
    <n v="3.75"/>
    <n v="0"/>
    <m/>
  </r>
  <r>
    <s v="NESTLE PURINA"/>
    <x v="0"/>
    <x v="1"/>
    <s v="JUMBO"/>
    <n v="355912"/>
    <x v="11"/>
    <s v="CONOCE EL % DE PARTICIPACIÓN QUE TIENE EN EL PUNTO DE VENTA E INFORMA CUAL ES ESE %"/>
    <s v="SI"/>
    <m/>
    <n v="28943799"/>
    <s v="NestleP.2"/>
    <x v="0"/>
    <x v="4"/>
    <n v="3.75"/>
    <s v="SI"/>
    <n v="3.75"/>
    <n v="0"/>
    <m/>
  </r>
  <r>
    <s v="NESTLE PURINA"/>
    <x v="0"/>
    <x v="1"/>
    <s v="JUMBO"/>
    <n v="355912"/>
    <x v="11"/>
    <s v="CUAL ES LA ESTRATEGIA DE EXHIBICIÓN PARA LAS MARCAS MAINSTRAIN (ALPO Y GATSY) DE PURINA Y PORQUE?"/>
    <s v="SI"/>
    <m/>
    <n v="28943799"/>
    <s v="NestleP.2"/>
    <x v="0"/>
    <x v="4"/>
    <n v="3.75"/>
    <s v="SI"/>
    <n v="3.75"/>
    <n v="0"/>
    <m/>
  </r>
  <r>
    <s v="NESTLE PURINA"/>
    <x v="0"/>
    <x v="2"/>
    <s v="JUMBO"/>
    <n v="382375"/>
    <x v="8"/>
    <s v="CM - TIENE IMPLEMENTADAS LAS EXHIBICIONES NEGOCIADAS EN EL PDV?"/>
    <s v="SI"/>
    <m/>
    <n v="28907521"/>
    <s v="NestleP.2"/>
    <x v="0"/>
    <x v="2"/>
    <n v="20"/>
    <s v="SI"/>
    <n v="20"/>
    <n v="0"/>
    <m/>
  </r>
  <r>
    <s v="NESTLE PURINA"/>
    <x v="3"/>
    <x v="1"/>
    <s v="OLIMPICA"/>
    <n v="110508"/>
    <x v="4"/>
    <s v="DESEA AÑADIR ALGUNA OBSERVACION / NOVEDAD CON LA AUDITORIA REALIZADA?"/>
    <s v="NO"/>
    <m/>
    <n v="29016530"/>
    <s v="NestleP.5"/>
    <x v="0"/>
    <x v="0"/>
    <n v="0"/>
    <n v="0"/>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9F2861-8B4F-4AB1-8DB9-3577766F9B6D}" name="TablaDinámica14" cacheId="13" applyNumberFormats="0" applyBorderFormats="0" applyFontFormats="0" applyPatternFormats="0" applyAlignmentFormats="0" applyWidthHeightFormats="1" dataCaption="Valores" grandTotalCaption="% MYSTERY" showError="1" updatedVersion="8" minRefreshableVersion="3" itemPrintTitles="1" createdVersion="8" indent="0" compact="0" compactData="0" multipleFieldFilters="0">
  <location ref="D41:K52" firstHeaderRow="1" firstDataRow="2" firstDataCol="3" rowPageCount="1" colPageCount="1"/>
  <pivotFields count="19">
    <pivotField compact="0" outline="0" showAll="0">
      <extLst>
        <ext xmlns:x14="http://schemas.microsoft.com/office/spreadsheetml/2009/9/main" uri="{2946ED86-A175-432a-8AC1-64E0C546D7DE}">
          <x14:pivotField fillDownLabels="1"/>
        </ext>
      </extLst>
    </pivotField>
    <pivotField axis="axisRow" compact="0" outline="0" showAll="0" defaultSubtotal="0">
      <items count="11">
        <item x="0"/>
        <item x="2"/>
        <item m="1" x="7"/>
        <item m="1" x="4"/>
        <item x="1"/>
        <item x="3"/>
        <item m="1" x="10"/>
        <item m="1" x="9"/>
        <item m="1" x="8"/>
        <item m="1" x="5"/>
        <item m="1" x="6"/>
      </items>
      <extLst>
        <ext xmlns:x14="http://schemas.microsoft.com/office/spreadsheetml/2009/9/main" uri="{2946ED86-A175-432a-8AC1-64E0C546D7DE}">
          <x14:pivotField fillDownLabels="1"/>
        </ext>
      </extLst>
    </pivotField>
    <pivotField axis="axisRow" compact="0" outline="0" showAll="0" defaultSubtotal="0">
      <items count="4">
        <item h="1" m="1" x="3"/>
        <item x="2"/>
        <item x="1"/>
        <item x="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defaultSubtotal="0">
      <items count="130">
        <item m="1" x="117"/>
        <item m="1" x="123"/>
        <item m="1" x="119"/>
        <item m="1" x="121"/>
        <item m="1" x="66"/>
        <item m="1" x="128"/>
        <item m="1" x="51"/>
        <item m="1" x="125"/>
        <item m="1" x="49"/>
        <item m="1" x="124"/>
        <item m="1" x="122"/>
        <item m="1" x="126"/>
        <item m="1" x="129"/>
        <item m="1" x="127"/>
        <item m="1" x="120"/>
        <item m="1" x="115"/>
        <item m="1" x="118"/>
        <item m="1" x="116"/>
        <item m="1" x="98"/>
        <item m="1" x="48"/>
        <item m="1" x="114"/>
        <item m="1" x="112"/>
        <item m="1" x="113"/>
        <item m="1" x="111"/>
        <item x="10"/>
        <item m="1" x="103"/>
        <item m="1" x="104"/>
        <item m="1" x="105"/>
        <item m="1" x="106"/>
        <item m="1" x="107"/>
        <item m="1" x="108"/>
        <item m="1" x="109"/>
        <item m="1" x="110"/>
        <item m="1" x="99"/>
        <item m="1" x="91"/>
        <item m="1" x="92"/>
        <item m="1" x="93"/>
        <item m="1" x="94"/>
        <item m="1" x="95"/>
        <item m="1" x="100"/>
        <item m="1" x="96"/>
        <item m="1" x="101"/>
        <item m="1" x="102"/>
        <item m="1" x="97"/>
        <item m="1" x="84"/>
        <item m="1" x="88"/>
        <item m="1" x="87"/>
        <item m="1" x="86"/>
        <item m="1" x="90"/>
        <item m="1" x="89"/>
        <item m="1" x="85"/>
        <item m="1" x="74"/>
        <item m="1" x="73"/>
        <item m="1" x="71"/>
        <item m="1" x="32"/>
        <item m="1" x="77"/>
        <item m="1" x="78"/>
        <item m="1" x="72"/>
        <item m="1" x="70"/>
        <item m="1" x="83"/>
        <item m="1" x="75"/>
        <item m="1" x="76"/>
        <item m="1" x="79"/>
        <item m="1" x="82"/>
        <item m="1" x="80"/>
        <item m="1" x="35"/>
        <item m="1" x="81"/>
        <item m="1" x="67"/>
        <item m="1" x="45"/>
        <item m="1" x="68"/>
        <item m="1" x="65"/>
        <item m="1" x="69"/>
        <item m="1" x="60"/>
        <item m="1" x="61"/>
        <item m="1" x="63"/>
        <item m="1" x="62"/>
        <item m="1" x="64"/>
        <item m="1" x="56"/>
        <item m="1" x="50"/>
        <item m="1" x="53"/>
        <item m="1" x="55"/>
        <item m="1" x="58"/>
        <item m="1" x="57"/>
        <item m="1" x="59"/>
        <item m="1" x="54"/>
        <item m="1" x="52"/>
        <item m="1" x="46"/>
        <item m="1" x="43"/>
        <item m="1" x="44"/>
        <item m="1" x="47"/>
        <item m="1" x="40"/>
        <item m="1" x="36"/>
        <item m="1" x="38"/>
        <item m="1" x="37"/>
        <item m="1" x="42"/>
        <item m="1" x="41"/>
        <item m="1" x="39"/>
        <item m="1" x="21"/>
        <item m="1" x="22"/>
        <item m="1" x="23"/>
        <item m="1" x="24"/>
        <item m="1" x="25"/>
        <item m="1" x="26"/>
        <item m="1" x="27"/>
        <item m="1" x="28"/>
        <item m="1" x="29"/>
        <item m="1" x="30"/>
        <item m="1" x="31"/>
        <item m="1" x="33"/>
        <item m="1" x="34"/>
        <item m="1" x="12"/>
        <item m="1" x="13"/>
        <item m="1" x="14"/>
        <item m="1" x="15"/>
        <item m="1" x="16"/>
        <item m="1" x="17"/>
        <item m="1" x="18"/>
        <item m="1" x="19"/>
        <item m="1" x="20"/>
        <item x="0"/>
        <item x="1"/>
        <item x="2"/>
        <item x="3"/>
        <item x="4"/>
        <item x="5"/>
        <item x="6"/>
        <item x="7"/>
        <item x="8"/>
        <item x="9"/>
        <item x="11"/>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m="1" x="2"/>
        <item x="0"/>
        <item x="1"/>
        <item t="default"/>
      </items>
      <extLst>
        <ext xmlns:x14="http://schemas.microsoft.com/office/spreadsheetml/2009/9/main" uri="{2946ED86-A175-432a-8AC1-64E0C546D7DE}">
          <x14:pivotField fillDownLabels="1"/>
        </ext>
      </extLst>
    </pivotField>
    <pivotField axis="axisCol" compact="0" outline="0" showAll="0" sortType="ascending">
      <items count="7">
        <item h="1" m="1" x="5"/>
        <item x="2"/>
        <item x="4"/>
        <item x="1"/>
        <item h="1" x="0"/>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1"/>
    <field x="2"/>
    <field x="5"/>
  </rowFields>
  <rowItems count="10">
    <i>
      <x/>
      <x v="1"/>
      <x v="127"/>
    </i>
    <i r="1">
      <x v="2"/>
      <x v="129"/>
    </i>
    <i r="2">
      <x v="128"/>
    </i>
    <i r="1">
      <x v="3"/>
      <x v="119"/>
    </i>
    <i>
      <x v="1"/>
      <x v="1"/>
      <x v="121"/>
    </i>
    <i>
      <x v="4"/>
      <x v="2"/>
      <x v="120"/>
    </i>
    <i>
      <x v="5"/>
      <x v="2"/>
      <x v="126"/>
    </i>
    <i r="2">
      <x v="123"/>
    </i>
    <i r="1">
      <x v="3"/>
      <x v="122"/>
    </i>
    <i t="grand">
      <x/>
    </i>
  </rowItems>
  <colFields count="1">
    <field x="12"/>
  </colFields>
  <colItems count="5">
    <i>
      <x v="1"/>
    </i>
    <i>
      <x v="2"/>
    </i>
    <i>
      <x v="3"/>
    </i>
    <i>
      <x v="5"/>
    </i>
    <i t="grand">
      <x/>
    </i>
  </colItems>
  <pageFields count="1">
    <pageField fld="11" hier="-1"/>
  </pageFields>
  <dataFields count="1">
    <dataField name="Suma de % MYSTERY" fld="18" baseField="0" baseItem="0" numFmtId="9"/>
  </dataFields>
  <formats count="42">
    <format dxfId="675">
      <pivotArea outline="0" collapsedLevelsAreSubtotals="1" fieldPosition="0"/>
    </format>
    <format dxfId="674">
      <pivotArea outline="0" collapsedLevelsAreSubtotals="1" fieldPosition="0"/>
    </format>
    <format dxfId="673">
      <pivotArea dataOnly="0" labelOnly="1" grandCol="1" outline="0" fieldPosition="0"/>
    </format>
    <format dxfId="672">
      <pivotArea outline="0" collapsedLevelsAreSubtotals="1" fieldPosition="0"/>
    </format>
    <format dxfId="671">
      <pivotArea dataOnly="0" labelOnly="1" grandCol="1" outline="0" fieldPosition="0"/>
    </format>
    <format dxfId="670">
      <pivotArea grandRow="1" outline="0" collapsedLevelsAreSubtotals="1" fieldPosition="0"/>
    </format>
    <format dxfId="669">
      <pivotArea grandRow="1" outline="0" collapsedLevelsAreSubtotals="1" fieldPosition="0"/>
    </format>
    <format dxfId="668">
      <pivotArea dataOnly="0" labelOnly="1" grandCol="1" outline="0" fieldPosition="0"/>
    </format>
    <format dxfId="667">
      <pivotArea dataOnly="0" labelOnly="1" outline="0" fieldPosition="0">
        <references count="2">
          <reference field="1" count="1" selected="0">
            <x v="0"/>
          </reference>
          <reference field="5" count="1">
            <x v="16"/>
          </reference>
        </references>
      </pivotArea>
    </format>
    <format dxfId="666">
      <pivotArea dataOnly="0" labelOnly="1" outline="0" fieldPosition="0">
        <references count="2">
          <reference field="1" count="1" selected="0">
            <x v="0"/>
          </reference>
          <reference field="5" count="1">
            <x v="16"/>
          </reference>
        </references>
      </pivotArea>
    </format>
    <format dxfId="665">
      <pivotArea dataOnly="0" labelOnly="1" outline="0" fieldPosition="0">
        <references count="2">
          <reference field="1" count="1" selected="0">
            <x v="4"/>
          </reference>
          <reference field="5" count="2">
            <x v="14"/>
            <x v="18"/>
          </reference>
        </references>
      </pivotArea>
    </format>
    <format dxfId="664">
      <pivotArea dataOnly="0" labelOnly="1" outline="0" fieldPosition="0">
        <references count="2">
          <reference field="1" count="1" selected="0">
            <x v="0"/>
          </reference>
          <reference field="5" count="1">
            <x v="16"/>
          </reference>
        </references>
      </pivotArea>
    </format>
    <format dxfId="663">
      <pivotArea dataOnly="0" labelOnly="1" outline="0" fieldPosition="0">
        <references count="2">
          <reference field="1" count="1" selected="0">
            <x v="4"/>
          </reference>
          <reference field="5" count="2">
            <x v="14"/>
            <x v="18"/>
          </reference>
        </references>
      </pivotArea>
    </format>
    <format dxfId="662">
      <pivotArea field="1" type="button" dataOnly="0" labelOnly="1" outline="0" axis="axisRow" fieldPosition="0"/>
    </format>
    <format dxfId="661">
      <pivotArea field="5" type="button" dataOnly="0" labelOnly="1" outline="0" axis="axisRow" fieldPosition="2"/>
    </format>
    <format dxfId="660">
      <pivotArea dataOnly="0" labelOnly="1" outline="0" fieldPosition="0">
        <references count="1">
          <reference field="12" count="0"/>
        </references>
      </pivotArea>
    </format>
    <format dxfId="659">
      <pivotArea dataOnly="0" labelOnly="1" grandCol="1" outline="0" fieldPosition="0"/>
    </format>
    <format dxfId="658">
      <pivotArea field="1" type="button" dataOnly="0" labelOnly="1" outline="0" axis="axisRow" fieldPosition="0"/>
    </format>
    <format dxfId="657">
      <pivotArea field="5" type="button" dataOnly="0" labelOnly="1" outline="0" axis="axisRow" fieldPosition="2"/>
    </format>
    <format dxfId="656">
      <pivotArea dataOnly="0" labelOnly="1" outline="0" fieldPosition="0">
        <references count="1">
          <reference field="12" count="0"/>
        </references>
      </pivotArea>
    </format>
    <format dxfId="655">
      <pivotArea dataOnly="0" labelOnly="1" grandCol="1" outline="0" fieldPosition="0"/>
    </format>
    <format dxfId="654">
      <pivotArea field="2" type="button" dataOnly="0" labelOnly="1" outline="0" axis="axisRow" fieldPosition="1"/>
    </format>
    <format dxfId="653">
      <pivotArea field="1" type="button" dataOnly="0" labelOnly="1" outline="0" axis="axisRow" fieldPosition="0"/>
    </format>
    <format dxfId="652">
      <pivotArea field="2" type="button" dataOnly="0" labelOnly="1" outline="0" axis="axisRow" fieldPosition="1"/>
    </format>
    <format dxfId="651">
      <pivotArea field="5" type="button" dataOnly="0" labelOnly="1" outline="0" axis="axisRow" fieldPosition="2"/>
    </format>
    <format dxfId="650">
      <pivotArea dataOnly="0" labelOnly="1" outline="0" fieldPosition="0">
        <references count="1">
          <reference field="12" count="0"/>
        </references>
      </pivotArea>
    </format>
    <format dxfId="649">
      <pivotArea dataOnly="0" labelOnly="1" grandCol="1" outline="0" fieldPosition="0"/>
    </format>
    <format dxfId="648">
      <pivotArea field="1" type="button" dataOnly="0" labelOnly="1" outline="0" axis="axisRow" fieldPosition="0"/>
    </format>
    <format dxfId="647">
      <pivotArea field="2" type="button" dataOnly="0" labelOnly="1" outline="0" axis="axisRow" fieldPosition="1"/>
    </format>
    <format dxfId="646">
      <pivotArea field="5" type="button" dataOnly="0" labelOnly="1" outline="0" axis="axisRow" fieldPosition="2"/>
    </format>
    <format dxfId="645">
      <pivotArea dataOnly="0" labelOnly="1" outline="0" fieldPosition="0">
        <references count="1">
          <reference field="12" count="0"/>
        </references>
      </pivotArea>
    </format>
    <format dxfId="644">
      <pivotArea field="12" grandRow="1" outline="0" axis="axisCol" fieldPosition="0">
        <references count="1">
          <reference field="12" count="0" selected="0"/>
        </references>
      </pivotArea>
    </format>
    <format dxfId="643">
      <pivotArea dataOnly="0" labelOnly="1" outline="0" fieldPosition="0">
        <references count="1">
          <reference field="1" count="2">
            <x v="0"/>
            <x v="4"/>
          </reference>
        </references>
      </pivotArea>
    </format>
    <format dxfId="642">
      <pivotArea dataOnly="0" labelOnly="1" grandRow="1" outline="0" fieldPosition="0"/>
    </format>
    <format dxfId="641">
      <pivotArea dataOnly="0" labelOnly="1" outline="0" fieldPosition="0">
        <references count="1">
          <reference field="1" count="2">
            <x v="0"/>
            <x v="4"/>
          </reference>
        </references>
      </pivotArea>
    </format>
    <format dxfId="640">
      <pivotArea dataOnly="0" labelOnly="1" grandRow="1" outline="0" fieldPosition="0"/>
    </format>
    <format dxfId="639">
      <pivotArea field="11" type="button" dataOnly="0" labelOnly="1" outline="0" axis="axisPage" fieldPosition="0"/>
    </format>
    <format dxfId="638">
      <pivotArea field="12" grandRow="1" outline="0" axis="axisCol" fieldPosition="0">
        <references count="1">
          <reference field="12" count="0" selected="0"/>
        </references>
      </pivotArea>
    </format>
    <format dxfId="637">
      <pivotArea field="12" grandRow="1" outline="0" axis="axisCol" fieldPosition="0">
        <references count="1">
          <reference field="12" count="0" selected="0"/>
        </references>
      </pivotArea>
    </format>
    <format dxfId="636">
      <pivotArea field="12" grandRow="1" outline="0" axis="axisCol" fieldPosition="0">
        <references count="1">
          <reference field="12" count="0" selected="0"/>
        </references>
      </pivotArea>
    </format>
    <format dxfId="635">
      <pivotArea grandRow="1" grandCol="1" outline="0" collapsedLevelsAreSubtotals="1" fieldPosition="0"/>
    </format>
    <format dxfId="634">
      <pivotArea grandRow="1" grandCol="1" outline="0" collapsedLevelsAreSubtotals="1" fieldPosition="0"/>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x14:conditionalFormats count="3">
          <x14:conditionalFormat priority="3" id="{038D42E0-8A84-4FEF-BEB1-D905C252E0DE}">
            <x14:pivotAreas count="1">
              <pivotArea type="data" grandRow="1" grandCol="1" outline="0" collapsedLevelsAreSubtotals="1" fieldPosition="0">
                <references count="1">
                  <reference field="4294967294" count="1" selected="0">
                    <x v="0"/>
                  </reference>
                </references>
              </pivotArea>
            </x14:pivotAreas>
          </x14:conditionalFormat>
          <x14:conditionalFormat priority="7" id="{77DEA58D-9E99-425A-9445-E00F5EBBE714}">
            <x14:pivotAreas count="1">
              <pivotArea type="data" grandCol="1" outline="0" collapsedLevelsAreSubtotals="1" fieldPosition="0">
                <references count="4">
                  <reference field="4294967294" count="1" selected="0">
                    <x v="0"/>
                  </reference>
                  <reference field="1" count="5" selected="0">
                    <x v="0"/>
                    <x v="3"/>
                    <x v="4"/>
                    <x v="5"/>
                    <x v="8"/>
                  </reference>
                  <reference field="2" count="1" selected="0">
                    <x v="1"/>
                  </reference>
                  <reference field="5" count="7" selected="0">
                    <x v="4"/>
                    <x v="19"/>
                    <x v="67"/>
                    <x v="68"/>
                    <x v="69"/>
                    <x v="70"/>
                    <x v="71"/>
                  </reference>
                </references>
              </pivotArea>
            </x14:pivotAreas>
          </x14:conditionalFormat>
          <x14:conditionalFormat priority="4" id="{FEDEA57B-B43C-4ADF-B15A-40144AAD63D3}">
            <x14:pivotAreas count="1">
              <pivotArea type="data" grandCol="1" outline="0" collapsedLevelsAreSubtotals="1" fieldPosition="0">
                <references count="4">
                  <reference field="4294967294" count="1" selected="0">
                    <x v="0"/>
                  </reference>
                  <reference field="1" count="4" selected="0">
                    <x v="0"/>
                    <x v="1"/>
                    <x v="4"/>
                    <x v="5"/>
                  </reference>
                  <reference field="2" count="3" selected="0">
                    <x v="1"/>
                    <x v="2"/>
                    <x v="3"/>
                  </reference>
                  <reference field="5" count="10" selected="0">
                    <x v="119"/>
                    <x v="120"/>
                    <x v="121"/>
                    <x v="122"/>
                    <x v="123"/>
                    <x v="125"/>
                    <x v="126"/>
                    <x v="127"/>
                    <x v="128"/>
                    <x v="129"/>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D1DB93-6B46-4C1C-881B-037C4912781B}" name="TablaDinámica12" cacheId="13"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6" rowHeaderCaption="CLUSTER">
  <location ref="D26:I32" firstHeaderRow="1" firstDataRow="2" firstDataCol="1"/>
  <pivotFields count="19">
    <pivotField showAll="0"/>
    <pivotField axis="axisCol" showAll="0">
      <items count="12">
        <item x="0"/>
        <item x="2"/>
        <item m="1" x="7"/>
        <item m="1" x="4"/>
        <item x="1"/>
        <item x="3"/>
        <item m="1" x="10"/>
        <item m="1" x="9"/>
        <item m="1" x="8"/>
        <item m="1" x="5"/>
        <item m="1" x="6"/>
        <item t="default"/>
      </items>
    </pivotField>
    <pivotField showAll="0"/>
    <pivotField showAll="0"/>
    <pivotField showAll="0"/>
    <pivotField showAll="0">
      <items count="131">
        <item m="1" x="41"/>
        <item m="1" x="33"/>
        <item x="4"/>
        <item m="1" x="53"/>
        <item m="1" x="46"/>
        <item m="1" x="107"/>
        <item m="1" x="106"/>
        <item m="1" x="39"/>
        <item m="1" x="43"/>
        <item m="1" x="40"/>
        <item m="1" x="97"/>
        <item m="1" x="58"/>
        <item m="1" x="50"/>
        <item m="1" x="47"/>
        <item m="1" x="52"/>
        <item m="1" x="26"/>
        <item m="1" x="17"/>
        <item x="5"/>
        <item m="1" x="56"/>
        <item m="1" x="13"/>
        <item m="1" x="25"/>
        <item m="1" x="14"/>
        <item m="1" x="63"/>
        <item m="1" x="62"/>
        <item x="3"/>
        <item x="9"/>
        <item x="1"/>
        <item m="1" x="28"/>
        <item m="1" x="105"/>
        <item m="1" x="27"/>
        <item m="1" x="23"/>
        <item x="11"/>
        <item m="1" x="30"/>
        <item x="2"/>
        <item m="1" x="34"/>
        <item x="8"/>
        <item m="1" x="16"/>
        <item m="1" x="55"/>
        <item m="1" x="104"/>
        <item m="1" x="29"/>
        <item m="1" x="100"/>
        <item m="1" x="96"/>
        <item m="1" x="15"/>
        <item m="1" x="108"/>
        <item m="1" x="109"/>
        <item m="1" x="102"/>
        <item m="1" x="101"/>
        <item m="1" x="44"/>
        <item m="1" x="24"/>
        <item m="1" x="59"/>
        <item m="1" x="42"/>
        <item m="1" x="95"/>
        <item m="1" x="18"/>
        <item m="1" x="22"/>
        <item m="1" x="94"/>
        <item x="0"/>
        <item m="1" x="110"/>
        <item m="1" x="19"/>
        <item m="1" x="31"/>
        <item m="1" x="36"/>
        <item m="1" x="57"/>
        <item m="1" x="38"/>
        <item m="1" x="12"/>
        <item m="1" x="20"/>
        <item m="1" x="54"/>
        <item x="6"/>
        <item m="1" x="71"/>
        <item m="1" x="89"/>
        <item m="1" x="87"/>
        <item m="1" x="117"/>
        <item m="1" x="111"/>
        <item m="1" x="114"/>
        <item m="1" x="113"/>
        <item m="1" x="92"/>
        <item m="1" x="123"/>
        <item m="1" x="21"/>
        <item m="1" x="93"/>
        <item m="1" x="112"/>
        <item m="1" x="70"/>
        <item m="1" x="32"/>
        <item m="1" x="82"/>
        <item x="7"/>
        <item m="1" x="119"/>
        <item m="1" x="103"/>
        <item m="1" x="91"/>
        <item m="1" x="45"/>
        <item m="1" x="65"/>
        <item m="1" x="121"/>
        <item m="1" x="78"/>
        <item m="1" x="48"/>
        <item m="1" x="76"/>
        <item m="1" x="64"/>
        <item m="1" x="66"/>
        <item m="1" x="128"/>
        <item m="1" x="72"/>
        <item m="1" x="79"/>
        <item m="1" x="51"/>
        <item m="1" x="125"/>
        <item m="1" x="60"/>
        <item m="1" x="67"/>
        <item m="1" x="49"/>
        <item m="1" x="124"/>
        <item m="1" x="68"/>
        <item m="1" x="122"/>
        <item m="1" x="99"/>
        <item x="10"/>
        <item m="1" x="126"/>
        <item m="1" x="84"/>
        <item m="1" x="35"/>
        <item m="1" x="80"/>
        <item m="1" x="88"/>
        <item m="1" x="69"/>
        <item m="1" x="129"/>
        <item m="1" x="127"/>
        <item m="1" x="83"/>
        <item m="1" x="77"/>
        <item m="1" x="61"/>
        <item m="1" x="73"/>
        <item m="1" x="81"/>
        <item m="1" x="74"/>
        <item m="1" x="86"/>
        <item m="1" x="75"/>
        <item m="1" x="120"/>
        <item m="1" x="115"/>
        <item m="1" x="118"/>
        <item m="1" x="116"/>
        <item m="1" x="98"/>
        <item m="1" x="37"/>
        <item m="1" x="85"/>
        <item m="1" x="90"/>
        <item t="default"/>
      </items>
    </pivotField>
    <pivotField showAll="0"/>
    <pivotField showAll="0"/>
    <pivotField numFmtId="14" showAll="0"/>
    <pivotField multipleItemSelectionAllowed="1" showAll="0"/>
    <pivotField showAll="0"/>
    <pivotField showAll="0"/>
    <pivotField axis="axisRow" showAll="0" sortType="descending">
      <items count="7">
        <item h="1" x="0"/>
        <item h="1" m="1" x="5"/>
        <item x="1"/>
        <item x="3"/>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5">
    <i>
      <x v="2"/>
    </i>
    <i>
      <x v="5"/>
    </i>
    <i>
      <x v="3"/>
    </i>
    <i>
      <x v="4"/>
    </i>
    <i t="grand">
      <x/>
    </i>
  </rowItems>
  <colFields count="1">
    <field x="1"/>
  </colFields>
  <colItems count="5">
    <i>
      <x/>
    </i>
    <i>
      <x v="1"/>
    </i>
    <i>
      <x v="4"/>
    </i>
    <i>
      <x v="5"/>
    </i>
    <i t="grand">
      <x/>
    </i>
  </colItems>
  <dataFields count="1">
    <dataField name="Suma de % MYSTERY" fld="18" baseField="0" baseItem="0" numFmtId="9"/>
  </dataFields>
  <formats count="16">
    <format dxfId="690">
      <pivotArea outline="0" collapsedLevelsAreSubtotals="1" fieldPosition="0"/>
    </format>
    <format dxfId="689">
      <pivotArea dataOnly="0" labelOnly="1" grandCol="1" outline="0" fieldPosition="0"/>
    </format>
    <format dxfId="688">
      <pivotArea dataOnly="0" labelOnly="1" grandCol="1" outline="0" fieldPosition="0"/>
    </format>
    <format dxfId="687">
      <pivotArea dataOnly="0" labelOnly="1" grandCol="1" outline="0" fieldPosition="0"/>
    </format>
    <format dxfId="686">
      <pivotArea grandRow="1" grandCol="1" outline="0" collapsedLevelsAreSubtotals="1" fieldPosition="0"/>
    </format>
    <format dxfId="685">
      <pivotArea outline="0" collapsedLevelsAreSubtotals="1" fieldPosition="0"/>
    </format>
    <format dxfId="684">
      <pivotArea field="1" type="button" dataOnly="0" labelOnly="1" outline="0" axis="axisCol" fieldPosition="0"/>
    </format>
    <format dxfId="683">
      <pivotArea type="topRight" dataOnly="0" labelOnly="1" outline="0" fieldPosition="0"/>
    </format>
    <format dxfId="682">
      <pivotArea dataOnly="0" labelOnly="1" fieldPosition="0">
        <references count="1">
          <reference field="1" count="0"/>
        </references>
      </pivotArea>
    </format>
    <format dxfId="681">
      <pivotArea dataOnly="0" labelOnly="1" grandCol="1" outline="0" fieldPosition="0"/>
    </format>
    <format dxfId="680">
      <pivotArea outline="0" collapsedLevelsAreSubtotals="1" fieldPosition="0"/>
    </format>
    <format dxfId="679">
      <pivotArea field="1" type="button" dataOnly="0" labelOnly="1" outline="0" axis="axisCol" fieldPosition="0"/>
    </format>
    <format dxfId="678">
      <pivotArea type="topRight" dataOnly="0" labelOnly="1" outline="0" fieldPosition="0"/>
    </format>
    <format dxfId="677">
      <pivotArea dataOnly="0" labelOnly="1" fieldPosition="0">
        <references count="1">
          <reference field="1" count="0"/>
        </references>
      </pivotArea>
    </format>
    <format dxfId="676">
      <pivotArea dataOnly="0" labelOnly="1" grandCol="1" outline="0" fieldPosition="0"/>
    </format>
    <format dxfId="543">
      <pivotArea grandRow="1" outline="0" collapsedLevelsAreSubtotals="1" fieldPosition="0"/>
    </format>
  </formats>
  <chartFormats count="10">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6">
          <x14:conditionalFormat priority="11" id="{8DF1E6C7-5D69-49D1-8025-AE8B78AA6546}">
            <x14:pivotAreas count="1">
              <pivotArea type="data" outline="0" collapsedLevelsAreSubtotals="1" fieldPosition="0">
                <references count="2">
                  <reference field="4294967294" count="1" selected="0">
                    <x v="0"/>
                  </reference>
                  <reference field="1" count="1" selected="0">
                    <x v="5"/>
                  </reference>
                </references>
              </pivotArea>
            </x14:pivotAreas>
          </x14:conditionalFormat>
          <x14:conditionalFormat priority="12" id="{84DE4F07-E727-4C73-AE29-1D4C44E1922B}">
            <x14:pivotAreas count="1">
              <pivotArea type="data" outline="0" collapsedLevelsAreSubtotals="1" fieldPosition="0">
                <references count="2">
                  <reference field="4294967294" count="1" selected="0">
                    <x v="0"/>
                  </reference>
                  <reference field="1" count="1" selected="0">
                    <x v="4"/>
                  </reference>
                </references>
              </pivotArea>
            </x14:pivotAreas>
          </x14:conditionalFormat>
          <x14:conditionalFormat priority="13" id="{89AB2A6D-6E46-4627-BFDD-62ACB8214849}">
            <x14:pivotAreas count="1">
              <pivotArea type="data" outline="0" collapsedLevelsAreSubtotals="1" fieldPosition="0">
                <references count="2">
                  <reference field="4294967294" count="1" selected="0">
                    <x v="0"/>
                  </reference>
                  <reference field="1" count="1" selected="0">
                    <x v="3"/>
                  </reference>
                </references>
              </pivotArea>
            </x14:pivotAreas>
          </x14:conditionalFormat>
          <x14:conditionalFormat priority="91" id="{578A6BBE-0746-49B8-A379-5CA92DEB79AA}">
            <x14:pivotAreas count="1">
              <pivotArea type="data" grandCol="1" outline="0" collapsedLevelsAreSubtotals="1" fieldPosition="0">
                <references count="1">
                  <reference field="4294967294" count="1" selected="0">
                    <x v="0"/>
                  </reference>
                </references>
              </pivotArea>
            </x14:pivotAreas>
          </x14:conditionalFormat>
          <x14:conditionalFormat priority="84" id="{B74256D8-C2EA-4EA7-A1C5-07F3712318EB}">
            <x14:pivotAreas count="1">
              <pivotArea type="data" outline="0" collapsedLevelsAreSubtotals="1" fieldPosition="0">
                <references count="2">
                  <reference field="4294967294" count="1" selected="0">
                    <x v="0"/>
                  </reference>
                  <reference field="1" count="1" selected="0">
                    <x v="0"/>
                  </reference>
                </references>
              </pivotArea>
            </x14:pivotAreas>
          </x14:conditionalFormat>
          <x14:conditionalFormat priority="2" id="{CD9BA995-96E7-4885-BE8A-4B567F90A3CF}">
            <x14:pivotAreas count="1">
              <pivotArea type="data" outline="0" collapsedLevelsAreSubtotals="1" fieldPosition="0">
                <references count="2">
                  <reference field="4294967294" count="1" selected="0">
                    <x v="0"/>
                  </reference>
                  <reference field="1" count="1" selected="0">
                    <x v="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031FF4-9FC5-4CE5-9C4A-4C9C0C5884C6}" name="TablaDinámica11" cacheId="13"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34" rowHeaderCaption="CLUSTER">
  <location ref="D16:H22" firstHeaderRow="1" firstDataRow="2" firstDataCol="1"/>
  <pivotFields count="19">
    <pivotField showAll="0"/>
    <pivotField showAll="0">
      <items count="12">
        <item m="1" x="6"/>
        <item x="3"/>
        <item x="0"/>
        <item m="1" x="8"/>
        <item x="2"/>
        <item m="1" x="7"/>
        <item m="1" x="5"/>
        <item m="1" x="4"/>
        <item m="1" x="10"/>
        <item x="1"/>
        <item m="1" x="9"/>
        <item t="default"/>
      </items>
    </pivotField>
    <pivotField axis="axisCol" showAll="0">
      <items count="5">
        <item h="1" m="1" x="3"/>
        <item x="2"/>
        <item x="1"/>
        <item x="0"/>
        <item t="default"/>
      </items>
    </pivotField>
    <pivotField showAll="0"/>
    <pivotField showAll="0"/>
    <pivotField showAll="0">
      <items count="131">
        <item m="1" x="41"/>
        <item m="1" x="33"/>
        <item x="4"/>
        <item m="1" x="53"/>
        <item m="1" x="46"/>
        <item m="1" x="107"/>
        <item m="1" x="106"/>
        <item m="1" x="39"/>
        <item m="1" x="43"/>
        <item m="1" x="40"/>
        <item m="1" x="97"/>
        <item m="1" x="58"/>
        <item m="1" x="50"/>
        <item m="1" x="47"/>
        <item m="1" x="52"/>
        <item m="1" x="26"/>
        <item m="1" x="17"/>
        <item x="5"/>
        <item m="1" x="56"/>
        <item m="1" x="13"/>
        <item m="1" x="25"/>
        <item m="1" x="14"/>
        <item m="1" x="63"/>
        <item m="1" x="62"/>
        <item x="3"/>
        <item x="9"/>
        <item x="1"/>
        <item m="1" x="28"/>
        <item m="1" x="105"/>
        <item m="1" x="27"/>
        <item m="1" x="23"/>
        <item x="11"/>
        <item m="1" x="30"/>
        <item x="2"/>
        <item m="1" x="34"/>
        <item x="8"/>
        <item m="1" x="16"/>
        <item m="1" x="55"/>
        <item m="1" x="104"/>
        <item m="1" x="29"/>
        <item m="1" x="100"/>
        <item m="1" x="96"/>
        <item m="1" x="15"/>
        <item m="1" x="108"/>
        <item m="1" x="109"/>
        <item m="1" x="102"/>
        <item m="1" x="101"/>
        <item m="1" x="44"/>
        <item m="1" x="24"/>
        <item m="1" x="59"/>
        <item m="1" x="42"/>
        <item m="1" x="95"/>
        <item m="1" x="18"/>
        <item m="1" x="22"/>
        <item m="1" x="94"/>
        <item x="0"/>
        <item m="1" x="110"/>
        <item m="1" x="19"/>
        <item m="1" x="31"/>
        <item m="1" x="36"/>
        <item m="1" x="57"/>
        <item m="1" x="38"/>
        <item m="1" x="12"/>
        <item m="1" x="20"/>
        <item m="1" x="54"/>
        <item x="6"/>
        <item m="1" x="71"/>
        <item m="1" x="89"/>
        <item m="1" x="87"/>
        <item m="1" x="117"/>
        <item m="1" x="111"/>
        <item m="1" x="114"/>
        <item m="1" x="113"/>
        <item m="1" x="92"/>
        <item m="1" x="123"/>
        <item m="1" x="21"/>
        <item m="1" x="93"/>
        <item m="1" x="112"/>
        <item m="1" x="70"/>
        <item m="1" x="32"/>
        <item m="1" x="82"/>
        <item x="7"/>
        <item m="1" x="119"/>
        <item m="1" x="103"/>
        <item m="1" x="91"/>
        <item m="1" x="45"/>
        <item m="1" x="65"/>
        <item m="1" x="121"/>
        <item m="1" x="78"/>
        <item m="1" x="48"/>
        <item m="1" x="76"/>
        <item m="1" x="64"/>
        <item m="1" x="66"/>
        <item m="1" x="128"/>
        <item m="1" x="72"/>
        <item m="1" x="79"/>
        <item m="1" x="51"/>
        <item m="1" x="125"/>
        <item m="1" x="60"/>
        <item m="1" x="67"/>
        <item m="1" x="49"/>
        <item m="1" x="124"/>
        <item m="1" x="68"/>
        <item m="1" x="122"/>
        <item m="1" x="99"/>
        <item x="10"/>
        <item m="1" x="126"/>
        <item m="1" x="84"/>
        <item m="1" x="35"/>
        <item m="1" x="80"/>
        <item m="1" x="88"/>
        <item m="1" x="69"/>
        <item m="1" x="129"/>
        <item m="1" x="127"/>
        <item m="1" x="83"/>
        <item m="1" x="77"/>
        <item m="1" x="61"/>
        <item m="1" x="73"/>
        <item m="1" x="81"/>
        <item m="1" x="74"/>
        <item m="1" x="86"/>
        <item m="1" x="75"/>
        <item m="1" x="120"/>
        <item m="1" x="115"/>
        <item m="1" x="118"/>
        <item m="1" x="116"/>
        <item m="1" x="98"/>
        <item m="1" x="37"/>
        <item m="1" x="85"/>
        <item m="1" x="90"/>
        <item t="default"/>
      </items>
    </pivotField>
    <pivotField showAll="0"/>
    <pivotField showAll="0"/>
    <pivotField numFmtId="14" showAll="0"/>
    <pivotField showAll="0"/>
    <pivotField showAll="0"/>
    <pivotField showAll="0"/>
    <pivotField axis="axisRow" showAll="0" sortType="descending">
      <items count="7">
        <item h="1" m="1" x="5"/>
        <item h="1" x="0"/>
        <item x="1"/>
        <item x="3"/>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5">
    <i>
      <x v="2"/>
    </i>
    <i>
      <x v="5"/>
    </i>
    <i>
      <x v="3"/>
    </i>
    <i>
      <x v="4"/>
    </i>
    <i t="grand">
      <x/>
    </i>
  </rowItems>
  <colFields count="1">
    <field x="2"/>
  </colFields>
  <colItems count="4">
    <i>
      <x v="1"/>
    </i>
    <i>
      <x v="2"/>
    </i>
    <i>
      <x v="3"/>
    </i>
    <i t="grand">
      <x/>
    </i>
  </colItems>
  <dataFields count="1">
    <dataField name="Suma de % MYSTERY" fld="18" baseField="0" baseItem="0" numFmtId="9"/>
  </dataFields>
  <formats count="17">
    <format dxfId="707">
      <pivotArea outline="0" collapsedLevelsAreSubtotals="1" fieldPosition="0"/>
    </format>
    <format dxfId="706">
      <pivotArea dataOnly="0" labelOnly="1" grandCol="1" outline="0" fieldPosition="0"/>
    </format>
    <format dxfId="705">
      <pivotArea dataOnly="0" labelOnly="1" grandCol="1" outline="0" fieldPosition="0"/>
    </format>
    <format dxfId="704">
      <pivotArea grandRow="1" outline="0" collapsedLevelsAreSubtotals="1" fieldPosition="0"/>
    </format>
    <format dxfId="703">
      <pivotArea grandRow="1" outline="0" collapsedLevelsAreSubtotals="1" fieldPosition="0"/>
    </format>
    <format dxfId="702">
      <pivotArea dataOnly="0" labelOnly="1" grandCol="1" outline="0" fieldPosition="0"/>
    </format>
    <format dxfId="701">
      <pivotArea grandRow="1" grandCol="1" outline="0" collapsedLevelsAreSubtotals="1" fieldPosition="0"/>
    </format>
    <format dxfId="700">
      <pivotArea outline="0" collapsedLevelsAreSubtotals="1" fieldPosition="0"/>
    </format>
    <format dxfId="699">
      <pivotArea field="2" type="button" dataOnly="0" labelOnly="1" outline="0" axis="axisCol" fieldPosition="0"/>
    </format>
    <format dxfId="698">
      <pivotArea type="topRight" dataOnly="0" labelOnly="1" outline="0" fieldPosition="0"/>
    </format>
    <format dxfId="697">
      <pivotArea dataOnly="0" labelOnly="1" fieldPosition="0">
        <references count="1">
          <reference field="2" count="0"/>
        </references>
      </pivotArea>
    </format>
    <format dxfId="696">
      <pivotArea dataOnly="0" labelOnly="1" grandCol="1" outline="0" fieldPosition="0"/>
    </format>
    <format dxfId="695">
      <pivotArea outline="0" collapsedLevelsAreSubtotals="1" fieldPosition="0"/>
    </format>
    <format dxfId="694">
      <pivotArea field="2" type="button" dataOnly="0" labelOnly="1" outline="0" axis="axisCol" fieldPosition="0"/>
    </format>
    <format dxfId="693">
      <pivotArea type="topRight" dataOnly="0" labelOnly="1" outline="0" fieldPosition="0"/>
    </format>
    <format dxfId="692">
      <pivotArea dataOnly="0" labelOnly="1" fieldPosition="0">
        <references count="1">
          <reference field="2" count="0"/>
        </references>
      </pivotArea>
    </format>
    <format dxfId="691">
      <pivotArea dataOnly="0" labelOnly="1" grandCol="1" outline="0" fieldPosition="0"/>
    </format>
  </formats>
  <chartFormats count="4">
    <chartFormat chart="0" format="10" series="1">
      <pivotArea type="data" outline="0" fieldPosition="0">
        <references count="2">
          <reference field="4294967294" count="1" selected="0">
            <x v="0"/>
          </reference>
          <reference field="2" count="1" selected="0">
            <x v="1"/>
          </reference>
        </references>
      </pivotArea>
    </chartFormat>
    <chartFormat chart="0" format="13" series="1">
      <pivotArea type="data" outline="0" fieldPosition="0">
        <references count="1">
          <reference field="4294967294" count="1" selected="0">
            <x v="0"/>
          </reference>
        </references>
      </pivotArea>
    </chartFormat>
    <chartFormat chart="0" format="20" series="1">
      <pivotArea type="data" outline="0" fieldPosition="0">
        <references count="2">
          <reference field="4294967294" count="1" selected="0">
            <x v="0"/>
          </reference>
          <reference field="2" count="1" selected="0">
            <x v="2"/>
          </reference>
        </references>
      </pivotArea>
    </chartFormat>
    <chartFormat chart="0" format="21" series="1">
      <pivotArea type="data" outline="0" fieldPosition="0">
        <references count="2">
          <reference field="4294967294" count="1" selected="0">
            <x v="0"/>
          </reference>
          <reference field="2" count="1" selected="0">
            <x v="3"/>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3">
          <x14:conditionalFormat priority="14" id="{FF20B6F6-C92A-436B-B28E-2EAFEFDDBF0E}">
            <x14:pivotAreas count="1">
              <pivotArea type="data" outline="0" collapsedLevelsAreSubtotals="1" fieldPosition="0">
                <references count="2">
                  <reference field="4294967294" count="1" selected="0">
                    <x v="0"/>
                  </reference>
                  <reference field="2" count="1" selected="0">
                    <x v="1"/>
                  </reference>
                </references>
              </pivotArea>
            </x14:pivotAreas>
          </x14:conditionalFormat>
          <x14:conditionalFormat priority="94" id="{A7410DC0-EE9E-4584-A866-672877DBC4E6}">
            <x14:pivotAreas count="1">
              <pivotArea type="data" grandCol="1" outline="0" collapsedLevelsAreSubtotals="1" fieldPosition="0">
                <references count="1">
                  <reference field="4294967294" count="1" selected="0">
                    <x v="0"/>
                  </reference>
                </references>
              </pivotArea>
            </x14:pivotAreas>
          </x14:conditionalFormat>
          <x14:conditionalFormat priority="1" id="{4A12093D-E77B-4A51-9C08-8EF7DDB94199}">
            <x14:pivotAreas count="1">
              <pivotArea type="data" outline="0" collapsedLevelsAreSubtotals="1" fieldPosition="0">
                <references count="2">
                  <reference field="4294967294" count="1" selected="0">
                    <x v="0"/>
                  </reference>
                  <reference field="2" count="2" selected="0">
                    <x v="2"/>
                    <x v="3"/>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C480BA-2D05-4BE0-8BEA-795F3E018008}" name="TablaDinámica9"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IUDAD">
  <location ref="D4:J9" firstHeaderRow="0" firstDataRow="1" firstDataCol="1"/>
  <pivotFields count="11">
    <pivotField showAll="0"/>
    <pivotField axis="axisRow" showAll="0" sortType="descending">
      <items count="16">
        <item x="0"/>
        <item x="1"/>
        <item x="2"/>
        <item m="1" x="8"/>
        <item m="1" x="7"/>
        <item m="1" x="4"/>
        <item x="3"/>
        <item m="1" x="14"/>
        <item m="1" x="13"/>
        <item m="1" x="11"/>
        <item m="1" x="12"/>
        <item m="1" x="9"/>
        <item m="1" x="10"/>
        <item m="1" x="5"/>
        <item m="1" x="6"/>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showAll="0"/>
    <pivotField dataField="1" showAll="0"/>
    <pivotField showAll="0"/>
    <pivotField dataField="1" showAll="0"/>
    <pivotField dataField="1" dragToRow="0" dragToCol="0" dragToPage="0" showAll="0" defaultSubtotal="0"/>
    <pivotField dataField="1" dragToRow="0" dragToCol="0" dragToPage="0" showAll="0" defaultSubtotal="0"/>
  </pivotFields>
  <rowFields count="1">
    <field x="1"/>
  </rowFields>
  <rowItems count="5">
    <i>
      <x/>
    </i>
    <i>
      <x v="1"/>
    </i>
    <i>
      <x v="6"/>
    </i>
    <i>
      <x v="2"/>
    </i>
    <i t="grand">
      <x/>
    </i>
  </rowItems>
  <colFields count="1">
    <field x="-2"/>
  </colFields>
  <colItems count="6">
    <i>
      <x/>
    </i>
    <i i="1">
      <x v="1"/>
    </i>
    <i i="2">
      <x v="2"/>
    </i>
    <i i="3">
      <x v="3"/>
    </i>
    <i i="4">
      <x v="4"/>
    </i>
    <i i="5">
      <x v="5"/>
    </i>
  </colItems>
  <dataFields count="6">
    <dataField name="#PDV Obj." fld="5" baseField="0" baseItem="0"/>
    <dataField name="#PDV Eje." fld="6" baseField="0" baseItem="0"/>
    <dataField name=".% Ejecucion" fld="9" baseField="0" baseItem="0" numFmtId="9"/>
    <dataField name="Obj Mystery" fld="4" baseField="0" baseItem="0"/>
    <dataField name="Mystery Eje." fld="8" baseField="0" baseItem="0"/>
    <dataField name="% Efectividad." fld="10" baseField="0" baseItem="0" numFmtId="9"/>
  </dataFields>
  <formats count="24">
    <format dxfId="731">
      <pivotArea outline="0" collapsedLevelsAreSubtotals="1" fieldPosition="0">
        <references count="1">
          <reference field="4294967294" count="1" selected="0">
            <x v="2"/>
          </reference>
        </references>
      </pivotArea>
    </format>
    <format dxfId="730">
      <pivotArea outline="0" collapsedLevelsAreSubtotals="1" fieldPosition="0"/>
    </format>
    <format dxfId="729">
      <pivotArea dataOnly="0" labelOnly="1" outline="0" fieldPosition="0">
        <references count="1">
          <reference field="4294967294" count="3">
            <x v="0"/>
            <x v="1"/>
            <x v="2"/>
          </reference>
        </references>
      </pivotArea>
    </format>
    <format dxfId="728">
      <pivotArea outline="0" collapsedLevelsAreSubtotals="1" fieldPosition="0"/>
    </format>
    <format dxfId="727">
      <pivotArea dataOnly="0" labelOnly="1" outline="0" fieldPosition="0">
        <references count="1">
          <reference field="4294967294" count="3">
            <x v="0"/>
            <x v="1"/>
            <x v="2"/>
          </reference>
        </references>
      </pivotArea>
    </format>
    <format dxfId="726">
      <pivotArea dataOnly="0" labelOnly="1" outline="0" fieldPosition="0">
        <references count="1">
          <reference field="4294967294" count="1">
            <x v="2"/>
          </reference>
        </references>
      </pivotArea>
    </format>
    <format dxfId="725">
      <pivotArea field="1" grandRow="1" outline="0" collapsedLevelsAreSubtotals="1" axis="axisRow" fieldPosition="0">
        <references count="1">
          <reference field="4294967294" count="1" selected="0">
            <x v="2"/>
          </reference>
        </references>
      </pivotArea>
    </format>
    <format dxfId="724">
      <pivotArea dataOnly="0" labelOnly="1" outline="0" fieldPosition="0">
        <references count="1">
          <reference field="4294967294" count="1">
            <x v="2"/>
          </reference>
        </references>
      </pivotArea>
    </format>
    <format dxfId="723">
      <pivotArea outline="0" collapsedLevelsAreSubtotals="1" fieldPosition="0">
        <references count="1">
          <reference field="4294967294" count="1" selected="0">
            <x v="5"/>
          </reference>
        </references>
      </pivotArea>
    </format>
    <format dxfId="722">
      <pivotArea dataOnly="0" labelOnly="1" outline="0" fieldPosition="0">
        <references count="1">
          <reference field="4294967294" count="1">
            <x v="5"/>
          </reference>
        </references>
      </pivotArea>
    </format>
    <format dxfId="721">
      <pivotArea outline="0" collapsedLevelsAreSubtotals="1" fieldPosition="0">
        <references count="1">
          <reference field="4294967294" count="3" selected="0">
            <x v="3"/>
            <x v="4"/>
            <x v="5"/>
          </reference>
        </references>
      </pivotArea>
    </format>
    <format dxfId="720">
      <pivotArea dataOnly="0" labelOnly="1" outline="0" fieldPosition="0">
        <references count="1">
          <reference field="4294967294" count="3">
            <x v="3"/>
            <x v="4"/>
            <x v="5"/>
          </reference>
        </references>
      </pivotArea>
    </format>
    <format dxfId="719">
      <pivotArea outline="0" collapsedLevelsAreSubtotals="1" fieldPosition="0">
        <references count="1">
          <reference field="4294967294" count="3" selected="0">
            <x v="3"/>
            <x v="4"/>
            <x v="5"/>
          </reference>
        </references>
      </pivotArea>
    </format>
    <format dxfId="718">
      <pivotArea dataOnly="0" labelOnly="1" outline="0" fieldPosition="0">
        <references count="1">
          <reference field="4294967294" count="3">
            <x v="3"/>
            <x v="4"/>
            <x v="5"/>
          </reference>
        </references>
      </pivotArea>
    </format>
    <format dxfId="717">
      <pivotArea field="1" grandRow="1" outline="0" collapsedLevelsAreSubtotals="1" axis="axisRow" fieldPosition="0">
        <references count="1">
          <reference field="4294967294" count="2" selected="0">
            <x v="0"/>
            <x v="1"/>
          </reference>
        </references>
      </pivotArea>
    </format>
    <format dxfId="716">
      <pivotArea field="1" grandRow="1" outline="0" collapsedLevelsAreSubtotals="1" axis="axisRow" fieldPosition="0">
        <references count="1">
          <reference field="4294967294" count="3" selected="0">
            <x v="3"/>
            <x v="4"/>
            <x v="5"/>
          </reference>
        </references>
      </pivotArea>
    </format>
    <format dxfId="715">
      <pivotArea field="1" grandRow="1" outline="0" collapsedLevelsAreSubtotals="1" axis="axisRow" fieldPosition="0">
        <references count="1">
          <reference field="4294967294" count="3" selected="0">
            <x v="3"/>
            <x v="4"/>
            <x v="5"/>
          </reference>
        </references>
      </pivotArea>
    </format>
    <format dxfId="714">
      <pivotArea field="1" grandRow="1" outline="0" collapsedLevelsAreSubtotals="1" axis="axisRow" fieldPosition="0">
        <references count="1">
          <reference field="4294967294" count="2" selected="0">
            <x v="0"/>
            <x v="1"/>
          </reference>
        </references>
      </pivotArea>
    </format>
    <format dxfId="713">
      <pivotArea field="1" grandRow="1" outline="0" collapsedLevelsAreSubtotals="1" axis="axisRow" fieldPosition="0">
        <references count="1">
          <reference field="4294967294" count="1" selected="0">
            <x v="2"/>
          </reference>
        </references>
      </pivotArea>
    </format>
    <format dxfId="712">
      <pivotArea field="1" type="button" dataOnly="0" labelOnly="1" outline="0" axis="axisRow" fieldPosition="0"/>
    </format>
    <format dxfId="711">
      <pivotArea dataOnly="0" labelOnly="1" outline="0" fieldPosition="0">
        <references count="1">
          <reference field="4294967294" count="6">
            <x v="0"/>
            <x v="1"/>
            <x v="2"/>
            <x v="3"/>
            <x v="4"/>
            <x v="5"/>
          </reference>
        </references>
      </pivotArea>
    </format>
    <format dxfId="710">
      <pivotArea dataOnly="0" labelOnly="1" grandRow="1" outline="0" fieldPosition="0"/>
    </format>
    <format dxfId="709">
      <pivotArea field="1" grandRow="1" outline="0" collapsedLevelsAreSubtotals="1" axis="axisRow" fieldPosition="0">
        <references count="1">
          <reference field="4294967294" count="1" selected="0">
            <x v="5"/>
          </reference>
        </references>
      </pivotArea>
    </format>
    <format dxfId="708">
      <pivotArea field="1" grandRow="1" outline="0" collapsedLevelsAreSubtotals="1" axis="axisRow" fieldPosition="0">
        <references count="1">
          <reference field="4294967294" count="1" selected="0">
            <x v="5"/>
          </reference>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5319C1C-C683-4701-8640-F49E06C1EA50}" autoFormatId="16" applyNumberFormats="0" applyBorderFormats="0" applyFontFormats="0" applyPatternFormats="0" applyAlignmentFormats="0" applyWidthHeightFormats="0">
  <queryTableRefresh nextId="28" unboundColumnsRight="7">
    <queryTableFields count="18">
      <queryTableField id="1" name="ACTIVIDAD" tableColumnId="1"/>
      <queryTableField id="2" name="CIUDAD" tableColumnId="2"/>
      <queryTableField id="24" name="CANAL" tableColumnId="18"/>
      <queryTableField id="3" name="CADENA" tableColumnId="3"/>
      <queryTableField id="4" name="CODIGO PDV" tableColumnId="4"/>
      <queryTableField id="5" name="NOMBRE COMERCIAL" tableColumnId="5"/>
      <queryTableField id="6" name="PREGUNTA" tableColumnId="6"/>
      <queryTableField id="7" name="RTA" tableColumnId="7"/>
      <queryTableField id="8" name="FECHA VISITA" tableColumnId="8"/>
      <queryTableField id="9" name="CODIGO RUTA" tableColumnId="9"/>
      <queryTableField id="10" name="USUARIO" tableColumnId="10"/>
      <queryTableField id="17" dataBound="0" tableColumnId="13"/>
      <queryTableField id="16" dataBound="0" tableColumnId="16"/>
      <queryTableField id="12" dataBound="0" tableColumnId="12"/>
      <queryTableField id="21" dataBound="0" tableColumnId="14"/>
      <queryTableField id="15" dataBound="0" tableColumnId="15"/>
      <queryTableField id="23" dataBound="0" tableColumnId="17"/>
      <queryTableField id="27"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04183C87-B4DC-436D-9817-A62DA7CA64FC}" autoFormatId="16" applyNumberFormats="0" applyBorderFormats="0" applyFontFormats="0" applyPatternFormats="0" applyAlignmentFormats="0" applyWidthHeightFormats="0">
  <queryTableRefresh nextId="208">
    <queryTableFields count="39">
      <queryTableField id="1" name="ACTIVIDAD" tableColumnId="1"/>
      <queryTableField id="2" name="CIUDAD" tableColumnId="2"/>
      <queryTableField id="3" name="CADENA" tableColumnId="3"/>
      <queryTableField id="4" name="CODIGO PDV" tableColumnId="4"/>
      <queryTableField id="5" name="NOMBRE COMERCIAL" tableColumnId="5"/>
      <queryTableField id="6" name="CONSECUTIVO ENCUESTA" tableColumnId="6"/>
      <queryTableField id="7" name="NOMBRE ENCUESTA" tableColumnId="7"/>
      <queryTableField id="10" name="FECHA VISITA" tableColumnId="10"/>
      <queryTableField id="11" name="CODIGO RUTA" tableColumnId="11"/>
      <queryTableField id="12" name="USUARIO" tableColumnId="12"/>
      <queryTableField id="153" name="SE LOGRA REALIZAR LA AUDITORIA?" tableColumnId="8"/>
      <queryTableField id="154" name="¿CUMPLE HORARIO DE ENTRADA O SALIDA DE LA TIENDA?" tableColumnId="9"/>
      <queryTableField id="155" name="CUENTA CON PANTALON DEL UNIFORME SEGÚN EL CARGO (NEGRO / ROJO / TURQUESA / JEAN)" tableColumnId="13"/>
      <queryTableField id="156" name="CUENTA CON CAMISA DEL UNIFORME Y LOGOS SEGÚN EL CARGO (NEGRA / GRIS / ROJA / TURQUESA) (ES PERMITIDO USAR DEBAJO DE LA CAMISA BUSO MANGA LARGA NEGRO)" tableColumnId="14"/>
      <queryTableField id="54" name="CUENTA CON CALZADO DE ACUERDO AL UNIFORME" tableColumnId="16"/>
      <queryTableField id="157" name="POSEE ALGUNA PRENDA ENCIMA DEL UNIFORME NO AUTORIZADA POR LA MARCA (UNICAMENTE ESTA PERMITIDO CHALECO DE SODIMAC Y EASY)" tableColumnId="15"/>
      <queryTableField id="158" name="EL UNIFORME Y ZAPATOS SE ENCUENTRAN LIMPIOS Y EN BUEN ESTADO" tableColumnId="17"/>
      <queryTableField id="159" name="SU CABELLO LUCE LIMPIO, ORGANIZADO O RECOGIDO" tableColumnId="18"/>
      <queryTableField id="160" name="PRESENTA EXCESO DE MAQUILLAJE QUE NO CUMPLE CON EL CODIGO DE VESTIMENTA" tableColumnId="19"/>
      <queryTableField id="161" name="TIENE TATUAJES O PIERCINGS VISIBLES QUE NO CUMPLE CON EL CODIGO DE VESTIMENTA" tableColumnId="20"/>
      <queryTableField id="162" name="TIENE UÑAS LLAMATIVAS Y/O LARGAS QUE NO CUMPLE CON EL CODIGO DE VESTIMENTA" tableColumnId="21"/>
      <queryTableField id="163" name="USA ACCESORIOS QUE NO CUMPLE CON EL CODIGO DE VESTIMENTA" tableColumnId="22"/>
      <queryTableField id="164" name="EL LINEAL SE ENCUENTRA LIMPIO Y ORGANIZADO" tableColumnId="23"/>
      <queryTableField id="165" name="LOS PRODUCTOS TIENEN EL PRECIO Y ESTAN ACORDE O CORRESPONDIENTE A CADA REFERENCIA" tableColumnId="24"/>
      <queryTableField id="166" name="LOS PRODUCTOS ESTAN SURTIDOS DE ACUERDO A PEPS O FIFO (REVISAR TANTO PRODUCTO SECO COMO HUMEDO)" tableColumnId="25"/>
      <queryTableField id="167" name="CONOCE LOS INFALTABLES DEL PUNTO DE VENTA Y CUENTA CON EL MATERIAL DE APOYO (AYUDAVENTAS INFALTABLES)" tableColumnId="26"/>
      <queryTableField id="168" name="CONOCE Y TIENE SURTIDO DE ACUERDO A LA ESTRATEGIA DE EXHIBICIÓN (ETAPAS DE VIDA - SEGMENTACIÓN DE MARCAS)" tableColumnId="27"/>
      <queryTableField id="169" name="CUAL ES LA ESTRATEGIA DE EXHIBICIÓN PARA LAS MARCAS MAINSTRAIN (ALPO Y GATSY) DE PURINA Y PORQUE?" tableColumnId="28"/>
      <queryTableField id="170" name="CONOCE EL % DE PARTICIPACIÓN QUE TIENE EN EL PUNTO DE VENTA E INFORMA CUAL ES ESE %" tableColumnId="29"/>
      <queryTableField id="184" name="CONOCE EL % DE PARTICIPACIÓN QUE TIENEN LAS MARCAS DE PURINA DENTRO DEL UNIVERSO?" tableColumnId="31"/>
      <queryTableField id="171" name="SELECCIONE EL CANAL DEL PDV AUDITADO?" tableColumnId="30"/>
      <queryTableField id="200" name="CE - SE ENCUENTRA EL MATERIAL POP DE FELIX NUEVAS REFERENCIAS &quot; APLICA DONDE ESTA CODIFICADO&quot;" tableColumnId="36"/>
      <queryTableField id="201" name="CE - SE ENCUENTRA EN EL LINEAL LAS REFERENCIAS 1,5 EN PU Y ADU DE LA MARCA EXCELLENT?" tableColumnId="37"/>
      <queryTableField id="202" name="CE - SE ENCUENTRA LA NUEVA REFERENCIA DE EXCELLENT ESTIRILIZADO DE 1K?" tableColumnId="38"/>
      <queryTableField id="174" name="DESEA AÑADIR ALGUNA OBSERVACION / NOVEDAD CON LA AUDITORIA REALIZADA?" tableColumnId="33"/>
      <queryTableField id="199" name="INDIQUE OBSERVACIÓN/NOVEDAD" tableColumnId="34"/>
      <queryTableField id="190" name="CT - ESTA IMPLEMENTADA LA NUEVA ESTRATEGIA DE BAJA DE PRECIOS?" tableColumnId="39"/>
      <queryTableField id="185" name="CM - TIENE IMPLEMENTADO EL MATERIAL POP CORRECPONDIENTE A LAS PROMOCIONES QUE APLICAN EN EL PDV?" tableColumnId="32"/>
      <queryTableField id="186" name="CM - TIENE IMPLEMENTADAS LAS EXHIBICIONES NEGOCIADAS EN EL PDV?"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20D9671-221F-4492-8CE5-D6FBAC33FDB9}" sourceName="CIUDAD">
  <pivotTables>
    <pivotTable tabId="4" name="TablaDinámica11"/>
    <pivotTable tabId="4" name="TablaDinámica12"/>
    <pivotTable tabId="4" name="TablaDinámica14"/>
  </pivotTables>
  <data>
    <tabular pivotCacheId="602717627">
      <items count="11">
        <i x="3" s="1"/>
        <i x="0" s="1"/>
        <i x="2" s="1"/>
        <i x="1" s="1"/>
        <i x="6" s="1" nd="1"/>
        <i x="8" s="1" nd="1"/>
        <i x="7" s="1" nd="1"/>
        <i x="5" s="1" nd="1"/>
        <i x="4" s="1" nd="1"/>
        <i x="10" s="1" nd="1"/>
        <i x="9"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COMERCIAL" xr10:uid="{B44763D8-97E2-4FF2-BF49-5A2C3A57FF54}" sourceName="NOMBRE COMERCIAL">
  <pivotTables>
    <pivotTable tabId="4" name="TablaDinámica11"/>
    <pivotTable tabId="4" name="TablaDinámica12"/>
    <pivotTable tabId="4" name="TablaDinámica14"/>
  </pivotTables>
  <data>
    <tabular pivotCacheId="602717627">
      <items count="130">
        <i x="4" s="1"/>
        <i x="3" s="1"/>
        <i x="9" s="1"/>
        <i x="1" s="1"/>
        <i x="11" s="1"/>
        <i x="2" s="1"/>
        <i x="8" s="1"/>
        <i x="0" s="1"/>
        <i x="7" s="1"/>
        <i x="41" s="1" nd="1"/>
        <i x="33" s="1" nd="1"/>
        <i x="53" s="1" nd="1"/>
        <i x="46" s="1" nd="1"/>
        <i x="107" s="1" nd="1"/>
        <i x="106" s="1" nd="1"/>
        <i x="39" s="1" nd="1"/>
        <i x="43" s="1" nd="1"/>
        <i x="40" s="1" nd="1"/>
        <i x="97" s="1" nd="1"/>
        <i x="58" s="1" nd="1"/>
        <i x="50" s="1" nd="1"/>
        <i x="47" s="1" nd="1"/>
        <i x="52" s="1" nd="1"/>
        <i x="26" s="1" nd="1"/>
        <i x="17" s="1" nd="1"/>
        <i x="5" s="1" nd="1"/>
        <i x="56" s="1" nd="1"/>
        <i x="13" s="1" nd="1"/>
        <i x="25" s="1" nd="1"/>
        <i x="14" s="1" nd="1"/>
        <i x="63" s="1" nd="1"/>
        <i x="62" s="1" nd="1"/>
        <i x="28" s="1" nd="1"/>
        <i x="105" s="1" nd="1"/>
        <i x="27" s="1" nd="1"/>
        <i x="23" s="1" nd="1"/>
        <i x="30" s="1" nd="1"/>
        <i x="34" s="1" nd="1"/>
        <i x="16" s="1" nd="1"/>
        <i x="55" s="1" nd="1"/>
        <i x="104" s="1" nd="1"/>
        <i x="29" s="1" nd="1"/>
        <i x="100" s="1" nd="1"/>
        <i x="96" s="1" nd="1"/>
        <i x="15" s="1" nd="1"/>
        <i x="108" s="1" nd="1"/>
        <i x="109" s="1" nd="1"/>
        <i x="102" s="1" nd="1"/>
        <i x="101" s="1" nd="1"/>
        <i x="44" s="1" nd="1"/>
        <i x="24" s="1" nd="1"/>
        <i x="59" s="1" nd="1"/>
        <i x="42" s="1" nd="1"/>
        <i x="95" s="1" nd="1"/>
        <i x="18" s="1" nd="1"/>
        <i x="22" s="1" nd="1"/>
        <i x="94" s="1" nd="1"/>
        <i x="110" s="1" nd="1"/>
        <i x="19" s="1" nd="1"/>
        <i x="31" s="1" nd="1"/>
        <i x="36" s="1" nd="1"/>
        <i x="57" s="1" nd="1"/>
        <i x="38" s="1" nd="1"/>
        <i x="12" s="1" nd="1"/>
        <i x="20" s="1" nd="1"/>
        <i x="54" s="1" nd="1"/>
        <i x="6" s="1" nd="1"/>
        <i x="71" s="1" nd="1"/>
        <i x="89" s="1" nd="1"/>
        <i x="87" s="1" nd="1"/>
        <i x="117" s="1" nd="1"/>
        <i x="111" s="1" nd="1"/>
        <i x="114" s="1" nd="1"/>
        <i x="113" s="1" nd="1"/>
        <i x="92" s="1" nd="1"/>
        <i x="123" s="1" nd="1"/>
        <i x="21" s="1" nd="1"/>
        <i x="93" s="1" nd="1"/>
        <i x="112" s="1" nd="1"/>
        <i x="70" s="1" nd="1"/>
        <i x="32" s="1" nd="1"/>
        <i x="82" s="1" nd="1"/>
        <i x="119" s="1" nd="1"/>
        <i x="103" s="1" nd="1"/>
        <i x="91" s="1" nd="1"/>
        <i x="45" s="1" nd="1"/>
        <i x="65" s="1" nd="1"/>
        <i x="121" s="1" nd="1"/>
        <i x="78" s="1" nd="1"/>
        <i x="48" s="1" nd="1"/>
        <i x="76" s="1" nd="1"/>
        <i x="64" s="1" nd="1"/>
        <i x="66" s="1" nd="1"/>
        <i x="128" s="1" nd="1"/>
        <i x="72" s="1" nd="1"/>
        <i x="79" s="1" nd="1"/>
        <i x="51" s="1" nd="1"/>
        <i x="125" s="1" nd="1"/>
        <i x="60" s="1" nd="1"/>
        <i x="67" s="1" nd="1"/>
        <i x="49" s="1" nd="1"/>
        <i x="124" s="1" nd="1"/>
        <i x="68" s="1" nd="1"/>
        <i x="122" s="1" nd="1"/>
        <i x="99" s="1" nd="1"/>
        <i x="10" s="1" nd="1"/>
        <i x="126" s="1" nd="1"/>
        <i x="84" s="1" nd="1"/>
        <i x="35" s="1" nd="1"/>
        <i x="80" s="1" nd="1"/>
        <i x="88" s="1" nd="1"/>
        <i x="69" s="1" nd="1"/>
        <i x="129" s="1" nd="1"/>
        <i x="127" s="1" nd="1"/>
        <i x="83" s="1" nd="1"/>
        <i x="77" s="1" nd="1"/>
        <i x="61" s="1" nd="1"/>
        <i x="73" s="1" nd="1"/>
        <i x="81" s="1" nd="1"/>
        <i x="74" s="1" nd="1"/>
        <i x="86" s="1" nd="1"/>
        <i x="75" s="1" nd="1"/>
        <i x="120" s="1" nd="1"/>
        <i x="115" s="1" nd="1"/>
        <i x="118" s="1" nd="1"/>
        <i x="116" s="1" nd="1"/>
        <i x="98" s="1" nd="1"/>
        <i x="37" s="1" nd="1"/>
        <i x="85" s="1" nd="1"/>
        <i x="9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xr10:uid="{15D7A5B9-999F-403C-A90B-E5BB31E9BCF9}" cache="SegmentaciónDeDatos_CIUDAD" caption="CIUDAD" style="SlicerStyleOther1" rowHeight="251883"/>
  <slicer name="NOMBRE COMERCIAL" xr10:uid="{6085962D-64C6-49BC-8B99-624C8A6924CE}" cache="SegmentaciónDeDatos_NOMBRE_COMERCIAL" caption="NOMBRE COMERCIAL"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BBA3F-C205-4AFF-A76D-34CFCE9A6BBA}" name="Tabla2__2" displayName="Tabla2__2" ref="A1:R291" tableType="queryTable" totalsRowShown="0" dataDxfId="633">
  <autoFilter ref="A1:R291" xr:uid="{97FBBA3F-C205-4AFF-A76D-34CFCE9A6BBA}"/>
  <sortState xmlns:xlrd2="http://schemas.microsoft.com/office/spreadsheetml/2017/richdata2" ref="A2:R291">
    <sortCondition ref="I1:I291"/>
  </sortState>
  <tableColumns count="18">
    <tableColumn id="1" xr3:uid="{F8980204-6799-4FD6-9D3F-ACBAADC7880C}" uniqueName="1" name="ACTIVIDAD" queryTableFieldId="1" dataDxfId="541"/>
    <tableColumn id="2" xr3:uid="{1473C919-5D8D-427F-BA10-68EF03B2B653}" uniqueName="2" name="CIUDAD" queryTableFieldId="2" dataDxfId="540"/>
    <tableColumn id="18" xr3:uid="{20FCDFA3-8687-4CA1-9A5B-AEA6FCAD9592}" uniqueName="18" name="CANAL" queryTableFieldId="24" dataDxfId="632"/>
    <tableColumn id="3" xr3:uid="{271FB548-EFFC-45F2-8177-856C35C071DC}" uniqueName="3" name="CADENA" queryTableFieldId="3" dataDxfId="539"/>
    <tableColumn id="4" xr3:uid="{F71A0A19-15B2-4D1D-905C-70CEC9D6AF47}" uniqueName="4" name="CODIGO PDV" queryTableFieldId="4" dataDxfId="538"/>
    <tableColumn id="5" xr3:uid="{E4FEADCA-E2DE-4789-9C78-5F8FB6496823}" uniqueName="5" name="NOMBRE COMERCIAL" queryTableFieldId="5" dataDxfId="537"/>
    <tableColumn id="6" xr3:uid="{5C99D03B-478A-40A2-B3AE-437E7D31990C}" uniqueName="6" name="PREGUNTA" queryTableFieldId="6" dataDxfId="536"/>
    <tableColumn id="7" xr3:uid="{A5EA4B65-C844-4AE4-AE87-CD2AEFA3E4BD}" uniqueName="7" name="RTA" queryTableFieldId="7" dataDxfId="535"/>
    <tableColumn id="8" xr3:uid="{8D71EA04-388B-4C72-AD67-882BB5218CAB}" uniqueName="8" name="FECHA VISITA" queryTableFieldId="8" dataDxfId="534"/>
    <tableColumn id="9" xr3:uid="{11007230-BF6F-4DA6-9C0C-28D77621834B}" uniqueName="9" name="CODIGO RUTA" queryTableFieldId="9" dataDxfId="533"/>
    <tableColumn id="10" xr3:uid="{CF07A078-D8EF-4D63-9B89-6F593201E2E4}" uniqueName="10" name="USUARIO" queryTableFieldId="10" dataDxfId="532"/>
    <tableColumn id="13" xr3:uid="{F212FAAC-215E-43D0-BC9D-3AA543F277F7}" uniqueName="13" name="MYSTERY EFECTIVO" queryTableFieldId="17" dataDxfId="531">
      <calculatedColumnFormula>_xlfn.XLOOKUP(Tabla2__2[[#This Row],[CODIGO RUTA]],'DATA INFORME'!I:I,'DATA INFORME'!K:K)</calculatedColumnFormula>
    </tableColumn>
    <tableColumn id="16" xr3:uid="{21F854B2-004D-4505-9E1A-A9AC1F214887}" uniqueName="16" name="CLUSTER" queryTableFieldId="16" dataDxfId="530">
      <calculatedColumnFormula>IF(Tabla2__2[[#This Row],[MYSTERY EFECTIVO]]="SI",_xlfn.XLOOKUP(Tabla2__2[[#This Row],[PREGUNTA]],ENCUESTA!G:G,ENCUESTA!D:D),"N/A")</calculatedColumnFormula>
    </tableColumn>
    <tableColumn id="12" xr3:uid="{AFEBD2E2-BCC0-467F-B0E5-D144F68133B0}" uniqueName="12" name="TOTAL PUNTAJE" queryTableFieldId="12" dataDxfId="529">
      <calculatedColumnFormula>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calculatedColumnFormula>
    </tableColumn>
    <tableColumn id="14" xr3:uid="{03EC5ACB-C771-49B5-A065-6C73F64EFDA4}" uniqueName="14" name="RTA CORRECTA" queryTableFieldId="21" dataDxfId="528">
      <calculatedColumnFormula>_xlfn.XLOOKUP(Tabla2__2[[#This Row],[PREGUNTA]],ENCUESTA!G:G,ENCUESTA!H:H)</calculatedColumnFormula>
    </tableColumn>
    <tableColumn id="15" xr3:uid="{E8D41959-0664-4224-BEF1-FD955A109471}" uniqueName="15" name="PUNTAJE OBTENIDO" queryTableFieldId="15" dataDxfId="527">
      <calculatedColumnFormula>IF(Tabla2__2[[#This Row],[RTA]]=Tabla2__2[[#This Row],[RTA CORRECTA]],Tabla2__2[[#This Row],[TOTAL PUNTAJE]],0)</calculatedColumnFormula>
    </tableColumn>
    <tableColumn id="17" xr3:uid="{448B051F-50DD-4A27-B120-BB93A9AFD029}" uniqueName="17" name="Columna1" queryTableFieldId="23" dataDxfId="526">
      <calculatedColumnFormula>IF(OR(H2="Dog Chow húmedo",H2="Cat Chow húmedo",H2="Fancy Feast",H2="Felix",H2="Proplan húmedo",H2="One húmedo",H2="Snack Abrazzos",H2="Snak Dentalife",H2="Arenilla Tidy Cat"),N2,0)</calculatedColumnFormula>
    </tableColumn>
    <tableColumn id="11" xr3:uid="{79DA9E2E-4C94-4AA8-A4E3-5A8E5FBA233D}" uniqueName="11" name="Columna2" queryTableFieldId="27" dataDxfId="525"/>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AE8C8-5477-4852-991F-0FB4F9396ED6}" name="Tabla1" displayName="Tabla1" ref="A1:I13" totalsRowShown="0" headerRowDxfId="631" dataDxfId="629" headerRowBorderDxfId="630" tableBorderDxfId="628" totalsRowBorderDxfId="627" headerRowCellStyle="Normal 2" dataCellStyle="Normal 2">
  <autoFilter ref="A1:I13" xr:uid="{A06AE8C8-5477-4852-991F-0FB4F9396ED6}"/>
  <tableColumns count="9">
    <tableColumn id="3" xr3:uid="{CEEFCC7D-2B45-4409-9FEE-36A6008A09E3}" name="CANAL" dataDxfId="626" dataCellStyle="Normal 2"/>
    <tableColumn id="1" xr3:uid="{D5DD6073-7452-4C56-A046-CF25B19FCB4F}" name="CIUDAD" dataDxfId="625" dataCellStyle="Normal 2"/>
    <tableColumn id="2" xr3:uid="{304FB0E8-7EB9-4B2E-BDF0-6B1E9D3DF639}" name="CODIGO PDV" dataDxfId="624"/>
    <tableColumn id="4" xr3:uid="{5FFEE965-7C33-4146-8749-C7E79BD9F083}" name="NOMBRE COMERCIAL" dataDxfId="623" dataCellStyle="Normal 2"/>
    <tableColumn id="9" xr3:uid="{56DA6644-1938-47DF-9205-928EAD17CD86}" name="Objetivo Mystery" dataDxfId="622" dataCellStyle="Normal 2"/>
    <tableColumn id="6" xr3:uid="{8587C1B8-25E9-47DF-96EC-0DE9EA854031}" name="#PDV Objetivos" dataDxfId="621"/>
    <tableColumn id="7" xr3:uid="{254582AE-0341-4027-9F60-A63C456EE6EE}" name="#PDV Ejecutados" dataDxfId="620">
      <calculatedColumnFormula>IF(COUNTIFS(Export!I:I,Tabla1[[#This Row],[CODIGO PDV]])&gt;0,1,0)</calculatedColumnFormula>
    </tableColumn>
    <tableColumn id="11" xr3:uid="{EA4A24E0-6A56-4A45-8F19-78AD6DCA277C}" name="# Visitas" dataDxfId="619" dataCellStyle="Normal 2">
      <calculatedColumnFormula>COUNTIFS('DATA INFORME'!D:D,Tabla1[[#This Row],[CODIGO PDV]])</calculatedColumnFormula>
    </tableColumn>
    <tableColumn id="12" xr3:uid="{F623D095-7356-4242-BFFB-11B8E769EF0F}" name="Mystery Ejecutado" dataDxfId="618" dataCellStyle="Normal 2">
      <calculatedColumnFormula>COUNTIFS('DATA INFORME'!D:D,Tabla1[[#This Row],[CODIGO PDV]],'DATA INFORME'!K:K,"SI")</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2BD29-73FE-4027-BA12-621401EE7163}" name="Tabla2__3" displayName="Tabla2__3" ref="A1:AM13" tableType="queryTable" totalsRowShown="0" dataDxfId="617">
  <autoFilter ref="A1:AM13" xr:uid="{0562BD29-73FE-4027-BA12-621401EE7163}"/>
  <tableColumns count="39">
    <tableColumn id="1" xr3:uid="{5E36F5EC-EFE4-416F-AE2A-0A34DABD1BE1}" uniqueName="1" name="ACTIVIDAD" queryTableFieldId="1" dataDxfId="616"/>
    <tableColumn id="2" xr3:uid="{2D91E598-A31D-4125-8581-3FD329B9D8A6}" uniqueName="2" name="CIUDAD" queryTableFieldId="2" dataDxfId="615"/>
    <tableColumn id="3" xr3:uid="{BE955660-67C1-4BC9-A7B2-76050F0F9717}" uniqueName="3" name="CADENA" queryTableFieldId="3" dataDxfId="614"/>
    <tableColumn id="4" xr3:uid="{584B1D0E-A845-487E-B24D-3F46D830A3DD}" uniqueName="4" name="CODIGO PDV" queryTableFieldId="4" dataDxfId="613"/>
    <tableColumn id="5" xr3:uid="{5C21200B-0203-45FF-8479-0CBCF5834786}" uniqueName="5" name="NOMBRE COMERCIAL" queryTableFieldId="5" dataDxfId="612"/>
    <tableColumn id="6" xr3:uid="{AF5E9C40-1A6C-47AF-818E-E6BCE6E6B906}" uniqueName="6" name="CONSECUTIVO ENCUESTA" queryTableFieldId="6" dataDxfId="611"/>
    <tableColumn id="7" xr3:uid="{3C3C5756-6C5B-4F83-A4BA-7370A5D3B586}" uniqueName="7" name="NOMBRE ENCUESTA" queryTableFieldId="7" dataDxfId="610"/>
    <tableColumn id="10" xr3:uid="{592470FD-FBDE-42A0-A47E-06AE15D2BD4D}" uniqueName="10" name="FECHA VISITA" queryTableFieldId="10" dataDxfId="542"/>
    <tableColumn id="11" xr3:uid="{2A1045B2-E0F3-426E-AF7C-91A0AAEEA606}" uniqueName="11" name="CODIGO RUTA" queryTableFieldId="11" dataDxfId="609"/>
    <tableColumn id="12" xr3:uid="{7575ACE8-4DCC-44B4-BD89-97F5F6978813}" uniqueName="12" name="USUARIO" queryTableFieldId="12" dataDxfId="608"/>
    <tableColumn id="8" xr3:uid="{1799BF2D-5DA9-4392-984F-66DA565D17B1}" uniqueName="8" name="SE LOGRA REALIZAR LA AUDITORIA?" queryTableFieldId="153" dataDxfId="607"/>
    <tableColumn id="9" xr3:uid="{36AC2E6B-F783-41F9-A395-AD816E6B1B6B}" uniqueName="9" name="¿CUMPLE HORARIO DE ENTRADA O SALIDA DE LA TIENDA?" queryTableFieldId="154" dataDxfId="606"/>
    <tableColumn id="13" xr3:uid="{C51AF687-3DBE-4078-B41B-510ABFCE0684}" uniqueName="13" name="CUENTA CON PANTALON DEL UNIFORME SEGÚN EL CARGO (NEGRO / ROJO / TURQUESA / JEAN)" queryTableFieldId="155" dataDxfId="605"/>
    <tableColumn id="14" xr3:uid="{341F0A1D-8FCD-41D6-8964-34CCED3ED411}" uniqueName="14" name="CUENTA CON CAMISA DEL UNIFORME Y LOGOS SEGÚN EL CARGO (NEGRA / GRIS / ROJA / TURQUESA) (ES PERMITIDO USAR DEBAJO DE LA CAMISA BUSO MANGA LARGA NEGRO)" queryTableFieldId="156" dataDxfId="604"/>
    <tableColumn id="16" xr3:uid="{D2371F42-BC07-4548-B6B4-80B991018D4D}" uniqueName="16" name="CUENTA CON CALZADO DE ACUERDO AL UNIFORME" queryTableFieldId="54" dataDxfId="603"/>
    <tableColumn id="15" xr3:uid="{9BB8CF8A-778E-4204-AC89-28DFE270E157}" uniqueName="15" name="POSEE ALGUNA PRENDA ENCIMA DEL UNIFORME NO AUTORIZADA POR LA MARCA (UNICAMENTE ESTA PERMITIDO CHALECO DE SODIMAC Y EASY)" queryTableFieldId="157" dataDxfId="602"/>
    <tableColumn id="17" xr3:uid="{F5E30CB3-007B-4336-B1FC-B61B58699F7A}" uniqueName="17" name="EL UNIFORME Y ZAPATOS SE ENCUENTRAN LIMPIOS Y EN BUEN ESTADO" queryTableFieldId="158" dataDxfId="601"/>
    <tableColumn id="18" xr3:uid="{3D3D39A7-BDA7-4332-84A1-F6CA631ED8B1}" uniqueName="18" name="SU CABELLO LUCE LIMPIO, ORGANIZADO O RECOGIDO" queryTableFieldId="159" dataDxfId="600"/>
    <tableColumn id="19" xr3:uid="{10DB44B2-E41E-4EF2-8742-4966C6A2BC32}" uniqueName="19" name="PRESENTA EXCESO DE MAQUILLAJE QUE NO CUMPLE CON EL CODIGO DE VESTIMENTA" queryTableFieldId="160" dataDxfId="599"/>
    <tableColumn id="20" xr3:uid="{6AAEAE78-D4F5-4752-93C8-5B7CAB0DD784}" uniqueName="20" name="TIENE TATUAJES O PIERCINGS VISIBLES QUE NO CUMPLE CON EL CODIGO DE VESTIMENTA" queryTableFieldId="161" dataDxfId="598"/>
    <tableColumn id="21" xr3:uid="{296B1AC1-D069-4B4E-93B0-CF0ED2A976DD}" uniqueName="21" name="TIENE UÑAS LLAMATIVAS Y/O LARGAS QUE NO CUMPLE CON EL CODIGO DE VESTIMENTA" queryTableFieldId="162" dataDxfId="597"/>
    <tableColumn id="22" xr3:uid="{437C56A5-8D82-4008-AE1E-7ABA17C881D7}" uniqueName="22" name="USA ACCESORIOS QUE NO CUMPLE CON EL CODIGO DE VESTIMENTA" queryTableFieldId="163" dataDxfId="596"/>
    <tableColumn id="23" xr3:uid="{2BEFE160-7296-4C42-AB0C-60BDA0560246}" uniqueName="23" name="EL LINEAL SE ENCUENTRA LIMPIO Y ORGANIZADO" queryTableFieldId="164" dataDxfId="595"/>
    <tableColumn id="24" xr3:uid="{6A5659AC-57BB-4322-B395-E12AEC8A2568}" uniqueName="24" name="LOS PRODUCTOS TIENEN EL PRECIO Y ESTAN ACORDE O CORRESPONDIENTE A CADA REFERENCIA" queryTableFieldId="165" dataDxfId="594"/>
    <tableColumn id="25" xr3:uid="{B4B5D1D5-56F2-4B7A-BCBA-13AA0E0264D8}" uniqueName="25" name="LOS PRODUCTOS ESTAN SURTIDOS DE ACUERDO A PEPS O FIFO (REVISAR TANTO PRODUCTO SECO COMO HUMEDO)" queryTableFieldId="166" dataDxfId="593"/>
    <tableColumn id="26" xr3:uid="{0AA072D5-5A98-4885-9864-1784A7BF8B3A}" uniqueName="26" name="CONOCE LOS INFALTABLES DEL PUNTO DE VENTA Y CUENTA CON EL MATERIAL DE APOYO (AYUDAVENTAS INFALTABLES)" queryTableFieldId="167" dataDxfId="592"/>
    <tableColumn id="27" xr3:uid="{DF850D57-800D-4F55-98EB-C0D5AE4AEFEC}" uniqueName="27" name="CONOCE Y TIENE SURTIDO DE ACUERDO A LA ESTRATEGIA DE EXHIBICIÓN (ETAPAS DE VIDA - SEGMENTACIÓN DE MARCAS)" queryTableFieldId="168" dataDxfId="591"/>
    <tableColumn id="28" xr3:uid="{271C043C-A5A9-4115-8362-56A9D9D5B58E}" uniqueName="28" name="CUAL ES LA ESTRATEGIA DE EXHIBICIÓN PARA LAS MARCAS MAINSTRAIN (ALPO Y GATSY) DE PURINA Y PORQUE?" queryTableFieldId="169" dataDxfId="590"/>
    <tableColumn id="29" xr3:uid="{E08B2304-D73D-40F8-ADC2-52A729D5094B}" uniqueName="29" name="CONOCE EL % DE PARTICIPACIÓN QUE TIENE EN EL PUNTO DE VENTA E INFORMA CUAL ES ESE %" queryTableFieldId="170" dataDxfId="589"/>
    <tableColumn id="31" xr3:uid="{A3B08B56-9091-4C10-B6AD-D5842FE1F440}" uniqueName="31" name="CONOCE EL % DE PARTICIPACIÓN QUE TIENEN LAS MARCAS DE PURINA DENTRO DEL UNIVERSO?" queryTableFieldId="184" dataDxfId="588"/>
    <tableColumn id="30" xr3:uid="{0933B4A0-AFA3-4603-BC08-EC388F0134D0}" uniqueName="30" name="SELECCIONE EL CANAL DEL PDV AUDITADO?" queryTableFieldId="171" dataDxfId="587"/>
    <tableColumn id="36" xr3:uid="{368A5BC3-193A-4258-93E7-EB1AD55171E9}" uniqueName="36" name="CE - SE ENCUENTRA EL MATERIAL POP DE FELIX NUEVAS REFERENCIAS &quot; APLICA DONDE ESTA CODIFICADO&quot;" queryTableFieldId="200" dataDxfId="586"/>
    <tableColumn id="37" xr3:uid="{61A06B6B-AA33-4755-BD3E-00F6CDEDB352}" uniqueName="37" name="CE - SE ENCUENTRA EN EL LINEAL LAS REFERENCIAS 1,5 EN PU Y ADU DE LA MARCA EXCELLENT?" queryTableFieldId="201" dataDxfId="585"/>
    <tableColumn id="38" xr3:uid="{63C8E9EC-BA92-40DE-B9E8-288868A9072E}" uniqueName="38" name="CE - SE ENCUENTRA LA NUEVA REFERENCIA DE EXCELLENT ESTIRILIZADO DE 1K?" queryTableFieldId="202" dataDxfId="584"/>
    <tableColumn id="33" xr3:uid="{5353CB55-2C8E-4597-ACE2-53C8819B4ACE}" uniqueName="33" name="DESEA AÑADIR ALGUNA OBSERVACION / NOVEDAD CON LA AUDITORIA REALIZADA?" queryTableFieldId="174" dataDxfId="583"/>
    <tableColumn id="34" xr3:uid="{E4A8F56A-576E-4BF8-A616-621C1AB6094B}" uniqueName="34" name="INDIQUE OBSERVACIÓN/NOVEDAD" queryTableFieldId="199" dataDxfId="582"/>
    <tableColumn id="39" xr3:uid="{01197842-5A1B-4150-A649-85AB5E83BD48}" uniqueName="39" name="CT - ESTA IMPLEMENTADA LA NUEVA ESTRATEGIA DE BAJA DE PRECIOS?" queryTableFieldId="190" dataDxfId="581"/>
    <tableColumn id="32" xr3:uid="{59E04BDB-20B6-44DF-AAD4-7BB8DAC00360}" uniqueName="32" name="CM - TIENE IMPLEMENTADO EL MATERIAL POP CORRECPONDIENTE A LAS PROMOCIONES QUE APLICAN EN EL PDV?" queryTableFieldId="185" dataDxfId="580"/>
    <tableColumn id="35" xr3:uid="{C6B1CC87-1367-4C43-839F-A7AC2FC1C54C}" uniqueName="35" name="CM - TIENE IMPLEMENTADAS LAS EXHIBICIONES NEGOCIADAS EN EL PDV?" queryTableFieldId="186" dataDxfId="57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097FD5-2AE4-4313-BF77-CBF36E66D478}" name="Tabla2" displayName="Tabla2" ref="A1:AC291" totalsRowShown="0" dataDxfId="578">
  <autoFilter ref="A1:AC291" xr:uid="{DF097FD5-2AE4-4313-BF77-CBF36E66D478}"/>
  <tableColumns count="29">
    <tableColumn id="1" xr3:uid="{EEAB5D40-1395-44AC-989B-7BEBDB594890}" name="ACTIVIDAD" dataDxfId="577"/>
    <tableColumn id="2" xr3:uid="{7135FC02-E21A-4459-956C-B095998917BA}" name="REGIONAL" dataDxfId="576"/>
    <tableColumn id="3" xr3:uid="{A676BE8F-9D25-4608-AFA9-335EE953599F}" name="CIUDAD" dataDxfId="575"/>
    <tableColumn id="4" xr3:uid="{8C438510-9FA2-4A67-81E2-F5A249D8C2D8}" name="CANAL" dataDxfId="574"/>
    <tableColumn id="5" xr3:uid="{55468C83-E61B-4AC3-8AB6-7842CA8A8685}" name="CADENA" dataDxfId="573"/>
    <tableColumn id="6" xr3:uid="{319677CB-3518-4692-9804-576A90B637C6}" name="SUBCADENA" dataDxfId="572"/>
    <tableColumn id="7" xr3:uid="{280B06EB-BEEB-41FF-BD4D-C86267C96B51}" name="ZONA" dataDxfId="571"/>
    <tableColumn id="8" xr3:uid="{38318117-E4E5-4BBD-BCB8-A0CF5740AD2E}" name="RV" dataDxfId="570"/>
    <tableColumn id="9" xr3:uid="{AE249958-DA07-4D5E-8893-DA47B2F89DBB}" name="CODIGO PDV" dataDxfId="569"/>
    <tableColumn id="10" xr3:uid="{5063BA25-7363-4804-9209-6EF1C7FD9552}" name="NOMBRE COMERCIAL" dataDxfId="568"/>
    <tableColumn id="11" xr3:uid="{1CA31434-5FCA-4588-9EF7-31A85DF89C42}" name="CODIGO EAN" dataDxfId="567"/>
    <tableColumn id="12" xr3:uid="{F4C77DD5-927D-43C6-A19F-C551C82B3D0D}" name="TIPO PUNTO VENTA" dataDxfId="566"/>
    <tableColumn id="13" xr3:uid="{EF48160A-97DF-4C9A-9BBF-2ECC73BF528F}" name="CONSECUTIVO ENCUESTA" dataDxfId="565"/>
    <tableColumn id="14" xr3:uid="{6FA0BAC5-63D5-4D95-B588-F0B164135E47}" name="NOMBRE ENCUESTA" dataDxfId="564"/>
    <tableColumn id="15" xr3:uid="{7C6BC3DB-B9BC-4C72-ADB7-0BB7A62378BB}" name="PREGUNTA" dataDxfId="563"/>
    <tableColumn id="16" xr3:uid="{AB325775-AFD1-4793-A618-BF02FE3029AE}" name="RESPUESTA" dataDxfId="562"/>
    <tableColumn id="17" xr3:uid="{85D12482-E7F3-4879-B4F0-D80F64421259}" name="CODIGO FOTO" dataDxfId="561"/>
    <tableColumn id="18" xr3:uid="{01036A0B-7510-4B37-96FC-1C395DEDC179}" name="OBSERVACION" dataDxfId="560"/>
    <tableColumn id="19" xr3:uid="{2F24E07E-80CB-4EA2-9555-9AEB9E02C9EF}" name="FECHA VISITA" dataDxfId="559"/>
    <tableColumn id="20" xr3:uid="{DC9D56CE-D3BF-4EEF-90B5-C3152AB2A8A8}" name="FECHA INICIO VISITA" dataDxfId="558"/>
    <tableColumn id="21" xr3:uid="{8DDE28A9-EDD9-412B-B7A2-DF2644A996E9}" name="FECHA CREACIÓN RESPUESTA" dataDxfId="557"/>
    <tableColumn id="22" xr3:uid="{3A74E72D-F4BF-4E54-8634-EEEC35A8C032}" name="CODIGO RUTA" dataDxfId="556"/>
    <tableColumn id="23" xr3:uid="{0ADFC93D-A4B4-4C17-8A6B-A6D563B99FCD}" name="CLIENTE" dataDxfId="555"/>
    <tableColumn id="24" xr3:uid="{6908F565-FB85-4368-B2F7-297DF2BEFBCD}" name="CODIGO EXHIBICION" dataDxfId="554"/>
    <tableColumn id="25" xr3:uid="{AA5CE162-90D2-43B1-96A0-970F0C412A96}" name="NOMBRE EXHIBICION" dataDxfId="553"/>
    <tableColumn id="26" xr3:uid="{D2023860-446B-430D-8595-9C2C1438BED3}" name="NOMBRE USUARIO" dataDxfId="552"/>
    <tableColumn id="27" xr3:uid="{F11E0B94-0622-411D-9CA7-B259829B8A9F}" name="USUARIO" dataDxfId="551"/>
    <tableColumn id="28" xr3:uid="{E1B013E5-0581-4476-9D6C-3AFBAC21C681}" name="NOMBRE SUPERVISOR " dataDxfId="550"/>
    <tableColumn id="29" xr3:uid="{B64E6504-C110-44E6-B203-6C06A1F0FFB1}" name="USUARIO SUPERVISOR" dataDxfId="549"/>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PyTkGsGeaIGRqMvGAHoDwDl2l_WMf1Ln/view?usp=drive_link" TargetMode="External"/><Relationship Id="rId13" Type="http://schemas.openxmlformats.org/officeDocument/2006/relationships/hyperlink" Target="https://drive.google.com/file/d/1DLpj7pGm0HQ72CC4Wzab8mWL4zahhovV/view?usp=drive_link" TargetMode="External"/><Relationship Id="rId3" Type="http://schemas.openxmlformats.org/officeDocument/2006/relationships/hyperlink" Target="https://drive.google.com/file/d/1tZuH3WpIO-XiC1itv3zTIdv9Hhn_zLR5/view?usp=drive_link" TargetMode="External"/><Relationship Id="rId7" Type="http://schemas.openxmlformats.org/officeDocument/2006/relationships/hyperlink" Target="https://drive.google.com/file/d/1ZcsEOJ67Gt4sMatj2x2W1ztMhFhe551n/view?usp=drive_link" TargetMode="External"/><Relationship Id="rId12" Type="http://schemas.openxmlformats.org/officeDocument/2006/relationships/hyperlink" Target="https://drive.google.com/file/d/1i-EhC7gWFDq6t17o8tZgNN00YeSuEEjt/view?usp=drive_link" TargetMode="External"/><Relationship Id="rId2" Type="http://schemas.openxmlformats.org/officeDocument/2006/relationships/hyperlink" Target="https://drive.google.com/file/d/1u0vJefHkgJn8IMneLDE-l7mjnbMQAYtO/view?usp=drive_link" TargetMode="External"/><Relationship Id="rId1" Type="http://schemas.openxmlformats.org/officeDocument/2006/relationships/hyperlink" Target="https://drive.google.com/file/d/19zbC5SEic2D63Yjprao-fWAsXKB9-KVG/view?usp=drive_link" TargetMode="External"/><Relationship Id="rId6" Type="http://schemas.openxmlformats.org/officeDocument/2006/relationships/hyperlink" Target="https://drive.google.com/file/d/1NRmwFlD8GC6hme-uBkF5W_pQ0mJyhuJR/view?usp=drive_link" TargetMode="External"/><Relationship Id="rId11" Type="http://schemas.openxmlformats.org/officeDocument/2006/relationships/hyperlink" Target="https://drive.google.com/file/d/19OJZWYs6MM66MQoayrtCJ11k_8l2e8tL/view?usp=drive_link" TargetMode="External"/><Relationship Id="rId5" Type="http://schemas.openxmlformats.org/officeDocument/2006/relationships/hyperlink" Target="https://drive.google.com/file/d/10ammCW_-mLjnBysUGSkVZSX8lmU4Dy5B/view?usp=drive_link" TargetMode="External"/><Relationship Id="rId15" Type="http://schemas.openxmlformats.org/officeDocument/2006/relationships/hyperlink" Target="https://drive.google.com/file/d/13R7OqzE4i4N-h6ULSWvUdLG2x23aLifX/view?usp=drive_link" TargetMode="External"/><Relationship Id="rId10" Type="http://schemas.openxmlformats.org/officeDocument/2006/relationships/hyperlink" Target="https://drive.google.com/file/d/10t_yH0ROg7i8Mc4TojaEcVU1S8hhkxjD/view?usp=drive_link" TargetMode="External"/><Relationship Id="rId4" Type="http://schemas.openxmlformats.org/officeDocument/2006/relationships/hyperlink" Target="https://drive.google.com/file/d/11HzQTuR26S1tsY3dmeec2S-Fss-2phsX/view?usp=drive_link" TargetMode="External"/><Relationship Id="rId9" Type="http://schemas.openxmlformats.org/officeDocument/2006/relationships/hyperlink" Target="https://drive.google.com/file/d/1e1tPb7KYAB2_CnIcn-WjHX_n_FnnBSGU/view?usp=drive_link" TargetMode="External"/><Relationship Id="rId14" Type="http://schemas.openxmlformats.org/officeDocument/2006/relationships/hyperlink" Target="https://drive.google.com/file/d/1JGLyWrDAjLXygPnVmm6PgFYUk1ALW_Fg/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CE70-CB0C-4295-95CE-F28AA71E4DBA}">
  <sheetPr codeName="Hoja1"/>
  <dimension ref="A1:U73"/>
  <sheetViews>
    <sheetView showGridLines="0" tabSelected="1" zoomScale="80" zoomScaleNormal="80" workbookViewId="0">
      <selection activeCell="J15" sqref="J15"/>
    </sheetView>
  </sheetViews>
  <sheetFormatPr baseColWidth="10" defaultColWidth="11.42578125" defaultRowHeight="15" x14ac:dyDescent="0.25"/>
  <cols>
    <col min="1" max="1" width="38.140625" customWidth="1"/>
    <col min="2" max="2" width="1.85546875" style="48" customWidth="1"/>
    <col min="3" max="3" width="8.5703125" customWidth="1"/>
    <col min="4" max="4" width="38.28515625" customWidth="1"/>
    <col min="5" max="5" width="20.85546875" customWidth="1"/>
    <col min="6" max="6" width="19.140625" customWidth="1"/>
    <col min="7" max="7" width="16.28515625" customWidth="1"/>
    <col min="8" max="8" width="14.42578125" customWidth="1"/>
    <col min="9" max="9" width="13.42578125" customWidth="1"/>
    <col min="10" max="10" width="17.5703125" customWidth="1"/>
    <col min="11" max="11" width="16.85546875" customWidth="1"/>
    <col min="12" max="12" width="16.42578125" customWidth="1"/>
    <col min="13" max="13" width="18.42578125" customWidth="1"/>
    <col min="14" max="14" width="11.85546875" customWidth="1"/>
  </cols>
  <sheetData>
    <row r="1" spans="1:10" ht="23.45" customHeight="1" x14ac:dyDescent="0.25">
      <c r="A1" s="90" t="s">
        <v>141</v>
      </c>
    </row>
    <row r="2" spans="1:10" x14ac:dyDescent="0.25">
      <c r="A2" s="91"/>
    </row>
    <row r="3" spans="1:10" ht="21" x14ac:dyDescent="0.35">
      <c r="A3" s="91"/>
      <c r="D3" s="6" t="s">
        <v>0</v>
      </c>
      <c r="E3" s="3"/>
      <c r="F3" s="3"/>
      <c r="G3" s="3"/>
      <c r="H3" s="3"/>
      <c r="I3" s="3"/>
      <c r="J3" s="3"/>
    </row>
    <row r="4" spans="1:10" x14ac:dyDescent="0.25">
      <c r="D4" s="13" t="s">
        <v>1</v>
      </c>
      <c r="E4" s="14" t="s">
        <v>2</v>
      </c>
      <c r="F4" s="14" t="s">
        <v>3</v>
      </c>
      <c r="G4" s="15" t="s">
        <v>4</v>
      </c>
      <c r="H4" s="14" t="s">
        <v>5</v>
      </c>
      <c r="I4" s="14" t="s">
        <v>6</v>
      </c>
      <c r="J4" s="15" t="s">
        <v>7</v>
      </c>
    </row>
    <row r="5" spans="1:10" x14ac:dyDescent="0.25">
      <c r="D5" s="2" t="s">
        <v>135</v>
      </c>
      <c r="E5" s="3">
        <v>3</v>
      </c>
      <c r="F5" s="3">
        <v>3</v>
      </c>
      <c r="G5" s="4">
        <v>1</v>
      </c>
      <c r="H5" s="3">
        <v>3</v>
      </c>
      <c r="I5" s="3">
        <v>3</v>
      </c>
      <c r="J5" s="4">
        <v>1</v>
      </c>
    </row>
    <row r="6" spans="1:10" x14ac:dyDescent="0.25">
      <c r="D6" s="2" t="s">
        <v>8</v>
      </c>
      <c r="E6" s="3">
        <v>4</v>
      </c>
      <c r="F6" s="3">
        <v>4</v>
      </c>
      <c r="G6" s="4">
        <v>1</v>
      </c>
      <c r="H6" s="3">
        <v>4</v>
      </c>
      <c r="I6" s="3">
        <v>4</v>
      </c>
      <c r="J6" s="4">
        <v>1</v>
      </c>
    </row>
    <row r="7" spans="1:10" x14ac:dyDescent="0.25">
      <c r="D7" s="2" t="s">
        <v>246</v>
      </c>
      <c r="E7" s="3">
        <v>2</v>
      </c>
      <c r="F7" s="3">
        <v>2</v>
      </c>
      <c r="G7" s="4">
        <v>1</v>
      </c>
      <c r="H7" s="3">
        <v>2</v>
      </c>
      <c r="I7" s="3">
        <v>1</v>
      </c>
      <c r="J7" s="4">
        <v>0.5</v>
      </c>
    </row>
    <row r="8" spans="1:10" x14ac:dyDescent="0.25">
      <c r="D8" s="2" t="s">
        <v>119</v>
      </c>
      <c r="E8" s="3">
        <v>3</v>
      </c>
      <c r="F8" s="3">
        <v>3</v>
      </c>
      <c r="G8" s="4">
        <v>1</v>
      </c>
      <c r="H8" s="3">
        <v>3</v>
      </c>
      <c r="I8" s="3">
        <v>1</v>
      </c>
      <c r="J8" s="4">
        <v>0.33333333333333331</v>
      </c>
    </row>
    <row r="9" spans="1:10" x14ac:dyDescent="0.25">
      <c r="D9" s="16" t="s">
        <v>9</v>
      </c>
      <c r="E9" s="89">
        <v>12</v>
      </c>
      <c r="F9" s="89">
        <v>12</v>
      </c>
      <c r="G9" s="12">
        <v>1</v>
      </c>
      <c r="H9" s="89">
        <v>12</v>
      </c>
      <c r="I9" s="89">
        <v>9</v>
      </c>
      <c r="J9" s="79">
        <v>0.75</v>
      </c>
    </row>
    <row r="15" spans="1:10" ht="21" x14ac:dyDescent="0.35">
      <c r="D15" s="6" t="s">
        <v>10</v>
      </c>
      <c r="E15" s="3"/>
      <c r="F15" s="3"/>
    </row>
    <row r="16" spans="1:10" hidden="1" x14ac:dyDescent="0.25">
      <c r="D16" s="1" t="s">
        <v>11</v>
      </c>
      <c r="E16" s="25" t="s">
        <v>12</v>
      </c>
      <c r="F16" s="3"/>
      <c r="G16" s="3"/>
      <c r="H16" s="3"/>
    </row>
    <row r="17" spans="4:9" x14ac:dyDescent="0.25">
      <c r="D17" s="1" t="s">
        <v>13</v>
      </c>
      <c r="E17" s="3" t="s">
        <v>15</v>
      </c>
      <c r="F17" s="3" t="s">
        <v>43</v>
      </c>
      <c r="G17" s="3" t="s">
        <v>14</v>
      </c>
      <c r="H17" s="5" t="s">
        <v>16</v>
      </c>
    </row>
    <row r="18" spans="4:9" x14ac:dyDescent="0.25">
      <c r="D18" s="2" t="s">
        <v>17</v>
      </c>
      <c r="E18" s="4">
        <v>1</v>
      </c>
      <c r="F18" s="4">
        <v>1</v>
      </c>
      <c r="G18" s="4">
        <v>1</v>
      </c>
      <c r="H18" s="4">
        <v>1</v>
      </c>
    </row>
    <row r="19" spans="4:9" x14ac:dyDescent="0.25">
      <c r="D19" s="2" t="s">
        <v>110</v>
      </c>
      <c r="E19" s="4">
        <v>1</v>
      </c>
      <c r="F19" s="4">
        <v>1</v>
      </c>
      <c r="G19" s="4">
        <v>1</v>
      </c>
      <c r="H19" s="4">
        <v>1</v>
      </c>
    </row>
    <row r="20" spans="4:9" x14ac:dyDescent="0.25">
      <c r="D20" s="2" t="s">
        <v>108</v>
      </c>
      <c r="E20" s="4">
        <v>1</v>
      </c>
      <c r="F20" s="4">
        <v>1</v>
      </c>
      <c r="G20" s="4">
        <v>0.95</v>
      </c>
      <c r="H20" s="4">
        <v>0.98888888888888893</v>
      </c>
    </row>
    <row r="21" spans="4:9" x14ac:dyDescent="0.25">
      <c r="D21" s="2" t="s">
        <v>111</v>
      </c>
      <c r="E21" s="4">
        <v>0.75</v>
      </c>
      <c r="F21" s="4">
        <v>0.97499999999999998</v>
      </c>
      <c r="G21" s="4">
        <v>1</v>
      </c>
      <c r="H21" s="4">
        <v>0.93055555555555558</v>
      </c>
    </row>
    <row r="22" spans="4:9" x14ac:dyDescent="0.25">
      <c r="D22" s="2" t="s">
        <v>16</v>
      </c>
      <c r="E22" s="8">
        <v>0.92500000000000004</v>
      </c>
      <c r="F22" s="8">
        <v>0.99250000000000005</v>
      </c>
      <c r="G22" s="8">
        <v>0.995</v>
      </c>
      <c r="H22" s="10">
        <v>0.97805555555555557</v>
      </c>
    </row>
    <row r="25" spans="4:9" ht="21" x14ac:dyDescent="0.25">
      <c r="D25" s="7" t="s">
        <v>18</v>
      </c>
      <c r="E25" s="3"/>
      <c r="F25" s="3"/>
      <c r="G25" s="3"/>
      <c r="H25" s="3"/>
    </row>
    <row r="26" spans="4:9" hidden="1" x14ac:dyDescent="0.25">
      <c r="D26" s="1" t="s">
        <v>11</v>
      </c>
      <c r="E26" s="25" t="s">
        <v>12</v>
      </c>
      <c r="F26" s="3"/>
      <c r="G26" s="3"/>
      <c r="H26" s="3"/>
      <c r="I26" s="3"/>
    </row>
    <row r="27" spans="4:9" x14ac:dyDescent="0.25">
      <c r="D27" s="1" t="s">
        <v>13</v>
      </c>
      <c r="E27" s="3" t="s">
        <v>8</v>
      </c>
      <c r="F27" s="3" t="s">
        <v>119</v>
      </c>
      <c r="G27" s="3" t="s">
        <v>246</v>
      </c>
      <c r="H27" s="3" t="s">
        <v>135</v>
      </c>
      <c r="I27" s="5" t="s">
        <v>16</v>
      </c>
    </row>
    <row r="28" spans="4:9" x14ac:dyDescent="0.25">
      <c r="D28" s="2" t="s">
        <v>17</v>
      </c>
      <c r="E28" s="4">
        <v>1</v>
      </c>
      <c r="F28" s="4">
        <v>1</v>
      </c>
      <c r="G28" s="4">
        <v>1</v>
      </c>
      <c r="H28" s="4">
        <v>1</v>
      </c>
      <c r="I28" s="4">
        <v>1</v>
      </c>
    </row>
    <row r="29" spans="4:9" x14ac:dyDescent="0.25">
      <c r="D29" s="2" t="s">
        <v>110</v>
      </c>
      <c r="E29" s="4">
        <v>1</v>
      </c>
      <c r="F29" s="4">
        <v>1</v>
      </c>
      <c r="G29" s="4">
        <v>1</v>
      </c>
      <c r="H29" s="4">
        <v>1</v>
      </c>
      <c r="I29" s="4">
        <v>1</v>
      </c>
    </row>
    <row r="30" spans="4:9" x14ac:dyDescent="0.25">
      <c r="D30" s="2" t="s">
        <v>108</v>
      </c>
      <c r="E30" s="4">
        <v>0.97499999999999998</v>
      </c>
      <c r="F30" s="4">
        <v>1</v>
      </c>
      <c r="G30" s="4">
        <v>1</v>
      </c>
      <c r="H30" s="4">
        <v>1</v>
      </c>
      <c r="I30" s="4">
        <v>0.98888888888888893</v>
      </c>
    </row>
    <row r="31" spans="4:9" x14ac:dyDescent="0.25">
      <c r="D31" s="2" t="s">
        <v>111</v>
      </c>
      <c r="E31" s="4">
        <v>0.90625</v>
      </c>
      <c r="F31" s="4">
        <v>0.75</v>
      </c>
      <c r="G31" s="4">
        <v>1</v>
      </c>
      <c r="H31" s="4">
        <v>1</v>
      </c>
      <c r="I31" s="4">
        <v>0.93055555555555558</v>
      </c>
    </row>
    <row r="32" spans="4:9" x14ac:dyDescent="0.25">
      <c r="D32" s="2" t="s">
        <v>16</v>
      </c>
      <c r="E32" s="92">
        <v>0.96937499999999999</v>
      </c>
      <c r="F32" s="92">
        <v>0.92500000000000004</v>
      </c>
      <c r="G32" s="92">
        <v>1</v>
      </c>
      <c r="H32" s="92">
        <v>1</v>
      </c>
      <c r="I32" s="92">
        <v>0.97805555555555557</v>
      </c>
    </row>
    <row r="37" spans="4:11" x14ac:dyDescent="0.25">
      <c r="E37" s="3"/>
      <c r="F37" s="3"/>
      <c r="G37" s="3"/>
      <c r="H37" s="3"/>
    </row>
    <row r="38" spans="4:11" x14ac:dyDescent="0.25">
      <c r="F38" s="3"/>
      <c r="G38" s="3"/>
      <c r="H38" s="3"/>
    </row>
    <row r="39" spans="4:11" hidden="1" x14ac:dyDescent="0.25">
      <c r="D39" s="13" t="s">
        <v>19</v>
      </c>
      <c r="E39" t="s">
        <v>124</v>
      </c>
    </row>
    <row r="40" spans="4:11" ht="21" x14ac:dyDescent="0.35">
      <c r="D40" s="6" t="s">
        <v>21</v>
      </c>
    </row>
    <row r="41" spans="4:11" hidden="1" x14ac:dyDescent="0.25">
      <c r="D41" s="1" t="s">
        <v>11</v>
      </c>
      <c r="G41" s="1" t="s">
        <v>13</v>
      </c>
    </row>
    <row r="42" spans="4:11" ht="30" x14ac:dyDescent="0.25">
      <c r="D42" s="18" t="s">
        <v>1</v>
      </c>
      <c r="E42" s="18" t="s">
        <v>22</v>
      </c>
      <c r="F42" s="18" t="s">
        <v>23</v>
      </c>
      <c r="G42" s="32" t="s">
        <v>110</v>
      </c>
      <c r="H42" s="32" t="s">
        <v>111</v>
      </c>
      <c r="I42" s="32" t="s">
        <v>17</v>
      </c>
      <c r="J42" s="32" t="s">
        <v>108</v>
      </c>
      <c r="K42" s="17" t="s">
        <v>16</v>
      </c>
    </row>
    <row r="43" spans="4:11" x14ac:dyDescent="0.25">
      <c r="D43" s="9" t="s">
        <v>8</v>
      </c>
      <c r="E43" t="s">
        <v>15</v>
      </c>
      <c r="F43" t="s">
        <v>158</v>
      </c>
      <c r="G43" s="4">
        <v>1</v>
      </c>
      <c r="H43" s="4">
        <v>0.75</v>
      </c>
      <c r="I43" s="4">
        <v>1</v>
      </c>
      <c r="J43" s="4">
        <v>1</v>
      </c>
      <c r="K43" s="4">
        <v>0.92500000000000004</v>
      </c>
    </row>
    <row r="44" spans="4:11" x14ac:dyDescent="0.25">
      <c r="D44" s="9" t="s">
        <v>8</v>
      </c>
      <c r="E44" t="s">
        <v>43</v>
      </c>
      <c r="F44" t="s">
        <v>167</v>
      </c>
      <c r="G44" s="4">
        <v>1</v>
      </c>
      <c r="H44" s="4">
        <v>1</v>
      </c>
      <c r="I44" s="4">
        <v>1</v>
      </c>
      <c r="J44" s="4">
        <v>1</v>
      </c>
      <c r="K44" s="4">
        <v>1</v>
      </c>
    </row>
    <row r="45" spans="4:11" x14ac:dyDescent="0.25">
      <c r="D45" s="9" t="s">
        <v>8</v>
      </c>
      <c r="E45" t="s">
        <v>43</v>
      </c>
      <c r="F45" t="s">
        <v>151</v>
      </c>
      <c r="G45" s="4">
        <v>1</v>
      </c>
      <c r="H45" s="4">
        <v>0.875</v>
      </c>
      <c r="I45" s="4">
        <v>1</v>
      </c>
      <c r="J45" s="4">
        <v>1</v>
      </c>
      <c r="K45" s="4">
        <v>0.96250000000000002</v>
      </c>
    </row>
    <row r="46" spans="4:11" x14ac:dyDescent="0.25">
      <c r="D46" s="9" t="s">
        <v>8</v>
      </c>
      <c r="E46" t="s">
        <v>14</v>
      </c>
      <c r="F46" t="s">
        <v>143</v>
      </c>
      <c r="G46" s="4">
        <v>1</v>
      </c>
      <c r="H46" s="4">
        <v>1</v>
      </c>
      <c r="I46" s="4">
        <v>1</v>
      </c>
      <c r="J46" s="4">
        <v>0.9</v>
      </c>
      <c r="K46" s="4">
        <v>0.99</v>
      </c>
    </row>
    <row r="47" spans="4:11" x14ac:dyDescent="0.25">
      <c r="D47" t="s">
        <v>119</v>
      </c>
      <c r="E47" t="s">
        <v>15</v>
      </c>
      <c r="F47" t="s">
        <v>239</v>
      </c>
      <c r="G47" s="4">
        <v>1</v>
      </c>
      <c r="H47" s="4">
        <v>0.75</v>
      </c>
      <c r="I47" s="4">
        <v>1</v>
      </c>
      <c r="J47" s="4">
        <v>1</v>
      </c>
      <c r="K47" s="4">
        <v>0.92500000000000004</v>
      </c>
    </row>
    <row r="48" spans="4:11" x14ac:dyDescent="0.25">
      <c r="D48" s="9" t="s">
        <v>246</v>
      </c>
      <c r="E48" t="s">
        <v>43</v>
      </c>
      <c r="F48" t="s">
        <v>250</v>
      </c>
      <c r="G48" s="4">
        <v>1</v>
      </c>
      <c r="H48" s="4">
        <v>1</v>
      </c>
      <c r="I48" s="4">
        <v>1</v>
      </c>
      <c r="J48" s="4">
        <v>1</v>
      </c>
      <c r="K48" s="4">
        <v>1</v>
      </c>
    </row>
    <row r="49" spans="4:11" x14ac:dyDescent="0.25">
      <c r="D49" t="s">
        <v>135</v>
      </c>
      <c r="E49" t="s">
        <v>43</v>
      </c>
      <c r="F49" t="s">
        <v>182</v>
      </c>
      <c r="G49" s="4">
        <v>1</v>
      </c>
      <c r="H49" s="4">
        <v>1</v>
      </c>
      <c r="I49" s="4">
        <v>1</v>
      </c>
      <c r="J49" s="4">
        <v>1</v>
      </c>
      <c r="K49" s="4">
        <v>1</v>
      </c>
    </row>
    <row r="50" spans="4:11" x14ac:dyDescent="0.25">
      <c r="D50" t="s">
        <v>135</v>
      </c>
      <c r="E50" t="s">
        <v>43</v>
      </c>
      <c r="F50" t="s">
        <v>274</v>
      </c>
      <c r="G50" s="4">
        <v>1</v>
      </c>
      <c r="H50" s="4">
        <v>1</v>
      </c>
      <c r="I50" s="4">
        <v>1</v>
      </c>
      <c r="J50" s="4">
        <v>1</v>
      </c>
      <c r="K50" s="4">
        <v>1</v>
      </c>
    </row>
    <row r="51" spans="4:11" x14ac:dyDescent="0.25">
      <c r="D51" t="s">
        <v>135</v>
      </c>
      <c r="E51" t="s">
        <v>14</v>
      </c>
      <c r="F51" t="s">
        <v>210</v>
      </c>
      <c r="G51" s="4">
        <v>1</v>
      </c>
      <c r="H51" s="4">
        <v>1</v>
      </c>
      <c r="I51" s="4">
        <v>1</v>
      </c>
      <c r="J51" s="4">
        <v>1</v>
      </c>
      <c r="K51" s="4">
        <v>1</v>
      </c>
    </row>
    <row r="52" spans="4:11" x14ac:dyDescent="0.25">
      <c r="D52" s="9" t="s">
        <v>16</v>
      </c>
      <c r="E52" s="9"/>
      <c r="F52" s="9"/>
      <c r="G52" s="8">
        <v>1</v>
      </c>
      <c r="H52" s="8">
        <v>0.93055555555555558</v>
      </c>
      <c r="I52" s="8">
        <v>1</v>
      </c>
      <c r="J52" s="8">
        <v>0.98888888888888893</v>
      </c>
      <c r="K52" s="10">
        <v>0.97805555555555557</v>
      </c>
    </row>
    <row r="73" spans="21:21" x14ac:dyDescent="0.25">
      <c r="U73" s="4"/>
    </row>
  </sheetData>
  <mergeCells count="1">
    <mergeCell ref="A1:A3"/>
  </mergeCells>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iconSet" priority="94" id="{A7410DC0-EE9E-4584-A866-672877DBC4E6}">
            <x14:iconSet iconSet="3Triangles">
              <x14:cfvo type="percent">
                <xm:f>0</xm:f>
              </x14:cfvo>
              <x14:cfvo type="percent">
                <xm:f>33</xm:f>
              </x14:cfvo>
              <x14:cfvo type="percent">
                <xm:f>67</xm:f>
              </x14:cfvo>
            </x14:iconSet>
          </x14:cfRule>
          <xm:sqref>H18:H22</xm:sqref>
        </x14:conditionalFormatting>
        <x14:conditionalFormatting xmlns:xm="http://schemas.microsoft.com/office/excel/2006/main" pivot="1">
          <x14:cfRule type="iconSet" priority="91" id="{578A6BBE-0746-49B8-A379-5CA92DEB79AA}">
            <x14:iconSet iconSet="3Triangles">
              <x14:cfvo type="percent">
                <xm:f>0</xm:f>
              </x14:cfvo>
              <x14:cfvo type="percent">
                <xm:f>33</xm:f>
              </x14:cfvo>
              <x14:cfvo type="percent">
                <xm:f>67</xm:f>
              </x14:cfvo>
            </x14:iconSet>
          </x14:cfRule>
          <xm:sqref>I28:I32</xm:sqref>
        </x14:conditionalFormatting>
        <x14:conditionalFormatting xmlns:xm="http://schemas.microsoft.com/office/excel/2006/main" pivot="1">
          <x14:cfRule type="iconSet" priority="84" id="{B74256D8-C2EA-4EA7-A1C5-07F3712318EB}">
            <x14:iconSet iconSet="3Triangles">
              <x14:cfvo type="percent">
                <xm:f>0</xm:f>
              </x14:cfvo>
              <x14:cfvo type="percent">
                <xm:f>33</xm:f>
              </x14:cfvo>
              <x14:cfvo type="percent">
                <xm:f>67</xm:f>
              </x14:cfvo>
            </x14:iconSet>
          </x14:cfRule>
          <xm:sqref>E28:E32</xm:sqref>
        </x14:conditionalFormatting>
        <x14:conditionalFormatting xmlns:xm="http://schemas.microsoft.com/office/excel/2006/main">
          <x14:cfRule type="iconSet" priority="82" id="{1E271CF6-3828-4F00-8A64-93CE6C10607A}">
            <x14:iconSet iconSet="3Triangles">
              <x14:cfvo type="percent">
                <xm:f>0</xm:f>
              </x14:cfvo>
              <x14:cfvo type="percent">
                <xm:f>33</xm:f>
              </x14:cfvo>
              <x14:cfvo type="percent">
                <xm:f>67</xm:f>
              </x14:cfvo>
            </x14:iconSet>
          </x14:cfRule>
          <xm:sqref>U73</xm:sqref>
        </x14:conditionalFormatting>
        <x14:conditionalFormatting xmlns:xm="http://schemas.microsoft.com/office/excel/2006/main" pivot="1">
          <x14:cfRule type="iconSet" priority="14" id="{FF20B6F6-C92A-436B-B28E-2EAFEFDDBF0E}">
            <x14:iconSet iconSet="3Triangles">
              <x14:cfvo type="percent">
                <xm:f>0</xm:f>
              </x14:cfvo>
              <x14:cfvo type="percent">
                <xm:f>33</xm:f>
              </x14:cfvo>
              <x14:cfvo type="percent">
                <xm:f>67</xm:f>
              </x14:cfvo>
            </x14:iconSet>
          </x14:cfRule>
          <xm:sqref>E18:E22</xm:sqref>
        </x14:conditionalFormatting>
        <x14:conditionalFormatting xmlns:xm="http://schemas.microsoft.com/office/excel/2006/main" pivot="1">
          <x14:cfRule type="iconSet" priority="13" id="{89AB2A6D-6E46-4627-BFDD-62ACB8214849}">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2" id="{84DE4F07-E727-4C73-AE29-1D4C44E1922B}">
            <x14:iconSet iconSet="3Triangles">
              <x14:cfvo type="percent">
                <xm:f>0</xm:f>
              </x14:cfvo>
              <x14:cfvo type="percent">
                <xm:f>33</xm:f>
              </x14:cfvo>
              <x14:cfvo type="percent">
                <xm:f>67</xm:f>
              </x14:cfvo>
            </x14:iconSet>
          </x14:cfRule>
          <xm:sqref>G28:G32</xm:sqref>
        </x14:conditionalFormatting>
        <x14:conditionalFormatting xmlns:xm="http://schemas.microsoft.com/office/excel/2006/main" pivot="1">
          <x14:cfRule type="iconSet" priority="11" id="{8DF1E6C7-5D69-49D1-8025-AE8B78AA6546}">
            <x14:iconSet iconSet="3Triangles">
              <x14:cfvo type="percent">
                <xm:f>0</xm:f>
              </x14:cfvo>
              <x14:cfvo type="percent">
                <xm:f>33</xm:f>
              </x14:cfvo>
              <x14:cfvo type="percent">
                <xm:f>67</xm:f>
              </x14:cfvo>
            </x14:iconSet>
          </x14:cfRule>
          <xm:sqref>H28:H32</xm:sqref>
        </x14:conditionalFormatting>
        <x14:conditionalFormatting xmlns:xm="http://schemas.microsoft.com/office/excel/2006/main" pivot="1">
          <x14:cfRule type="iconSet" priority="7" id="{77DEA58D-9E99-425A-9445-E00F5EBBE714}">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4" id="{FEDEA57B-B43C-4ADF-B15A-40144AAD63D3}">
            <x14:iconSet iconSet="3Triangles">
              <x14:cfvo type="percent">
                <xm:f>0</xm:f>
              </x14:cfvo>
              <x14:cfvo type="percent">
                <xm:f>33</xm:f>
              </x14:cfvo>
              <x14:cfvo type="percent">
                <xm:f>67</xm:f>
              </x14:cfvo>
            </x14:iconSet>
          </x14:cfRule>
          <xm:sqref>K43:K51</xm:sqref>
        </x14:conditionalFormatting>
        <x14:conditionalFormatting xmlns:xm="http://schemas.microsoft.com/office/excel/2006/main" pivot="1">
          <x14:cfRule type="iconSet" priority="3" id="{038D42E0-8A84-4FEF-BEB1-D905C252E0DE}">
            <x14:iconSet iconSet="3Triangles">
              <x14:cfvo type="percent">
                <xm:f>0</xm:f>
              </x14:cfvo>
              <x14:cfvo type="percent">
                <xm:f>33</xm:f>
              </x14:cfvo>
              <x14:cfvo type="percent">
                <xm:f>67</xm:f>
              </x14:cfvo>
            </x14:iconSet>
          </x14:cfRule>
          <xm:sqref>K52</xm:sqref>
        </x14:conditionalFormatting>
        <x14:conditionalFormatting xmlns:xm="http://schemas.microsoft.com/office/excel/2006/main" pivot="1">
          <x14:cfRule type="iconSet" priority="2" id="{CD9BA995-96E7-4885-BE8A-4B567F90A3CF}">
            <x14:iconSet iconSet="3Triangles">
              <x14:cfvo type="percent">
                <xm:f>0</xm:f>
              </x14:cfvo>
              <x14:cfvo type="percent">
                <xm:f>33</xm:f>
              </x14:cfvo>
              <x14:cfvo type="percent">
                <xm:f>67</xm:f>
              </x14:cfvo>
            </x14:iconSet>
          </x14:cfRule>
          <xm:sqref>F28:F32</xm:sqref>
        </x14:conditionalFormatting>
        <x14:conditionalFormatting xmlns:xm="http://schemas.microsoft.com/office/excel/2006/main" pivot="1">
          <x14:cfRule type="iconSet" priority="1" id="{4A12093D-E77B-4A51-9C08-8EF7DDB94199}">
            <x14:iconSet iconSet="3Triangles">
              <x14:cfvo type="percent">
                <xm:f>0</xm:f>
              </x14:cfvo>
              <x14:cfvo type="percent">
                <xm:f>33</xm:f>
              </x14:cfvo>
              <x14:cfvo type="percent">
                <xm:f>67</xm:f>
              </x14:cfvo>
            </x14:iconSet>
          </x14:cfRule>
          <xm:sqref>F18:G22</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8C9D-50A1-466F-A4CF-A3BF379C3F7F}">
  <sheetPr codeName="Hoja2"/>
  <dimension ref="A1:G13"/>
  <sheetViews>
    <sheetView showGridLines="0" workbookViewId="0">
      <selection activeCell="E17" sqref="E17"/>
    </sheetView>
  </sheetViews>
  <sheetFormatPr baseColWidth="10" defaultRowHeight="15" x14ac:dyDescent="0.25"/>
  <cols>
    <col min="1" max="1" width="14.28515625" bestFit="1" customWidth="1"/>
    <col min="2" max="2" width="60.85546875" bestFit="1" customWidth="1"/>
    <col min="3" max="7" width="19.42578125" customWidth="1"/>
  </cols>
  <sheetData>
    <row r="1" spans="1:7" x14ac:dyDescent="0.25">
      <c r="A1" s="76" t="s">
        <v>1</v>
      </c>
      <c r="B1" s="76" t="s">
        <v>23</v>
      </c>
      <c r="C1" s="77" t="s">
        <v>80</v>
      </c>
      <c r="D1" s="77" t="s">
        <v>81</v>
      </c>
      <c r="E1" s="77" t="s">
        <v>82</v>
      </c>
      <c r="F1" s="78" t="s">
        <v>85</v>
      </c>
      <c r="G1" s="78" t="s">
        <v>86</v>
      </c>
    </row>
    <row r="2" spans="1:7" x14ac:dyDescent="0.25">
      <c r="A2" s="41" t="s">
        <v>135</v>
      </c>
      <c r="B2" s="42" t="s">
        <v>274</v>
      </c>
      <c r="C2" s="43" t="s">
        <v>281</v>
      </c>
      <c r="D2" s="19" t="s">
        <v>83</v>
      </c>
      <c r="E2" s="19" t="s">
        <v>83</v>
      </c>
      <c r="F2" s="19" t="s">
        <v>83</v>
      </c>
      <c r="G2" s="19" t="s">
        <v>83</v>
      </c>
    </row>
    <row r="3" spans="1:7" x14ac:dyDescent="0.25">
      <c r="A3" s="41" t="s">
        <v>135</v>
      </c>
      <c r="B3" s="42" t="s">
        <v>210</v>
      </c>
      <c r="C3" s="43" t="s">
        <v>282</v>
      </c>
      <c r="D3" s="19" t="s">
        <v>83</v>
      </c>
      <c r="E3" s="19" t="s">
        <v>83</v>
      </c>
      <c r="F3" s="19" t="s">
        <v>83</v>
      </c>
      <c r="G3" s="19" t="s">
        <v>83</v>
      </c>
    </row>
    <row r="4" spans="1:7" x14ac:dyDescent="0.25">
      <c r="A4" s="41" t="s">
        <v>135</v>
      </c>
      <c r="B4" s="42" t="s">
        <v>182</v>
      </c>
      <c r="C4" s="43" t="s">
        <v>283</v>
      </c>
      <c r="D4" s="19" t="s">
        <v>83</v>
      </c>
      <c r="E4" s="19" t="s">
        <v>83</v>
      </c>
      <c r="F4" s="19" t="s">
        <v>83</v>
      </c>
      <c r="G4" s="19" t="s">
        <v>83</v>
      </c>
    </row>
    <row r="5" spans="1:7" x14ac:dyDescent="0.25">
      <c r="A5" s="41" t="s">
        <v>8</v>
      </c>
      <c r="B5" s="42" t="s">
        <v>151</v>
      </c>
      <c r="C5" s="43" t="s">
        <v>284</v>
      </c>
      <c r="D5" s="43" t="s">
        <v>83</v>
      </c>
      <c r="E5" s="19" t="s">
        <v>83</v>
      </c>
      <c r="F5" s="19" t="s">
        <v>83</v>
      </c>
      <c r="G5" s="19" t="s">
        <v>83</v>
      </c>
    </row>
    <row r="6" spans="1:7" x14ac:dyDescent="0.25">
      <c r="A6" s="41" t="s">
        <v>8</v>
      </c>
      <c r="B6" s="42" t="s">
        <v>167</v>
      </c>
      <c r="C6" s="43" t="s">
        <v>285</v>
      </c>
      <c r="D6" s="43" t="s">
        <v>83</v>
      </c>
      <c r="E6" s="19" t="s">
        <v>83</v>
      </c>
      <c r="F6" s="19" t="s">
        <v>83</v>
      </c>
      <c r="G6" s="19" t="s">
        <v>83</v>
      </c>
    </row>
    <row r="7" spans="1:7" x14ac:dyDescent="0.25">
      <c r="A7" s="41" t="s">
        <v>8</v>
      </c>
      <c r="B7" s="42" t="s">
        <v>158</v>
      </c>
      <c r="C7" s="43" t="s">
        <v>286</v>
      </c>
      <c r="D7" s="43" t="s">
        <v>83</v>
      </c>
      <c r="E7" s="19" t="s">
        <v>83</v>
      </c>
      <c r="F7" s="19" t="s">
        <v>83</v>
      </c>
      <c r="G7" s="19" t="s">
        <v>83</v>
      </c>
    </row>
    <row r="8" spans="1:7" x14ac:dyDescent="0.25">
      <c r="A8" s="41" t="s">
        <v>8</v>
      </c>
      <c r="B8" s="42" t="s">
        <v>143</v>
      </c>
      <c r="C8" s="43" t="s">
        <v>287</v>
      </c>
      <c r="D8" s="43" t="s">
        <v>83</v>
      </c>
      <c r="E8" s="19" t="s">
        <v>83</v>
      </c>
      <c r="F8" s="19" t="s">
        <v>83</v>
      </c>
      <c r="G8" s="19" t="s">
        <v>83</v>
      </c>
    </row>
    <row r="9" spans="1:7" x14ac:dyDescent="0.25">
      <c r="A9" s="41" t="s">
        <v>119</v>
      </c>
      <c r="B9" s="42" t="s">
        <v>260</v>
      </c>
      <c r="C9" s="43" t="s">
        <v>288</v>
      </c>
      <c r="D9" s="43" t="s">
        <v>289</v>
      </c>
      <c r="E9" s="19" t="s">
        <v>83</v>
      </c>
      <c r="F9" s="19" t="s">
        <v>83</v>
      </c>
      <c r="G9" s="19" t="s">
        <v>83</v>
      </c>
    </row>
    <row r="10" spans="1:7" x14ac:dyDescent="0.25">
      <c r="A10" s="41" t="s">
        <v>119</v>
      </c>
      <c r="B10" s="42" t="s">
        <v>239</v>
      </c>
      <c r="C10" s="43" t="s">
        <v>290</v>
      </c>
      <c r="D10" s="43" t="s">
        <v>83</v>
      </c>
      <c r="E10" s="19" t="s">
        <v>83</v>
      </c>
      <c r="F10" s="19" t="s">
        <v>83</v>
      </c>
      <c r="G10" s="19" t="s">
        <v>83</v>
      </c>
    </row>
    <row r="11" spans="1:7" x14ac:dyDescent="0.25">
      <c r="A11" s="41" t="s">
        <v>119</v>
      </c>
      <c r="B11" s="42" t="s">
        <v>176</v>
      </c>
      <c r="C11" s="43" t="s">
        <v>291</v>
      </c>
      <c r="D11" s="43" t="s">
        <v>292</v>
      </c>
      <c r="E11" s="19" t="s">
        <v>83</v>
      </c>
      <c r="F11" s="19" t="s">
        <v>83</v>
      </c>
      <c r="G11" s="19" t="s">
        <v>83</v>
      </c>
    </row>
    <row r="12" spans="1:7" x14ac:dyDescent="0.25">
      <c r="A12" s="41" t="s">
        <v>246</v>
      </c>
      <c r="B12" s="42" t="s">
        <v>267</v>
      </c>
      <c r="C12" s="43" t="s">
        <v>294</v>
      </c>
      <c r="D12" s="43" t="s">
        <v>295</v>
      </c>
      <c r="E12" s="19" t="s">
        <v>83</v>
      </c>
      <c r="F12" s="19" t="s">
        <v>83</v>
      </c>
      <c r="G12" s="19" t="s">
        <v>83</v>
      </c>
    </row>
    <row r="13" spans="1:7" x14ac:dyDescent="0.25">
      <c r="A13" s="41" t="s">
        <v>246</v>
      </c>
      <c r="B13" s="42" t="s">
        <v>250</v>
      </c>
      <c r="C13" s="43" t="s">
        <v>293</v>
      </c>
      <c r="D13" s="43" t="s">
        <v>83</v>
      </c>
      <c r="E13" s="19" t="s">
        <v>83</v>
      </c>
      <c r="F13" s="19" t="s">
        <v>83</v>
      </c>
      <c r="G13" s="19" t="s">
        <v>83</v>
      </c>
    </row>
  </sheetData>
  <autoFilter ref="A1:C4" xr:uid="{31D98C9D-50A1-466F-A4CF-A3BF379C3F7F}"/>
  <hyperlinks>
    <hyperlink ref="C2" r:id="rId1" xr:uid="{23E9B59B-76BF-47B1-826C-E339258BD824}"/>
    <hyperlink ref="C3" r:id="rId2" xr:uid="{DDF527B2-607A-4751-A134-636D65BD4B0F}"/>
    <hyperlink ref="C4" r:id="rId3" xr:uid="{994306DF-A3DE-4C7F-BAB5-5BC07048AFCC}"/>
    <hyperlink ref="C5" r:id="rId4" xr:uid="{C5B9925D-CA17-408E-BED6-E1463C25F447}"/>
    <hyperlink ref="C6" r:id="rId5" xr:uid="{10043A91-FF53-4F7A-BF7E-998B41833D62}"/>
    <hyperlink ref="C7" r:id="rId6" xr:uid="{4B5595B6-1171-4411-9D74-3AF39E884BAA}"/>
    <hyperlink ref="C8" r:id="rId7" xr:uid="{C2EAAE29-8167-4F82-95C9-B392F00C2110}"/>
    <hyperlink ref="C9" r:id="rId8" xr:uid="{70702920-EF61-4B52-98B3-86491DCF4E4D}"/>
    <hyperlink ref="C10" r:id="rId9" xr:uid="{255791C2-E409-476B-BE64-4DB10BAB2A91}"/>
    <hyperlink ref="C11" r:id="rId10" xr:uid="{335F0C9A-6C42-4FE6-B72C-15C1DF4D0EBE}"/>
    <hyperlink ref="C12" r:id="rId11" xr:uid="{CE887CD0-82ED-47FC-A100-EB6C12937B10}"/>
    <hyperlink ref="C13" r:id="rId12" xr:uid="{EF80C185-EF15-4A5B-A8B2-07ED456C9D6A}"/>
    <hyperlink ref="D9" r:id="rId13" xr:uid="{391DF134-166B-4349-9213-4E8AA433E8A1}"/>
    <hyperlink ref="D11" r:id="rId14" xr:uid="{9206985D-BC2A-4D26-ACC9-C81C45008E11}"/>
    <hyperlink ref="D12" r:id="rId15" xr:uid="{1A2A193D-CF82-4160-B6A3-78DE16C47F7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F0BD-742A-41AE-BD3F-AF74EF63A4DA}">
  <sheetPr codeName="Hoja3"/>
  <dimension ref="A1:U479"/>
  <sheetViews>
    <sheetView showGridLines="0" zoomScale="80" zoomScaleNormal="80" workbookViewId="0"/>
  </sheetViews>
  <sheetFormatPr baseColWidth="10" defaultColWidth="11.42578125" defaultRowHeight="15" x14ac:dyDescent="0.25"/>
  <cols>
    <col min="1" max="2" width="14.5703125" bestFit="1" customWidth="1"/>
    <col min="3" max="3" width="15" bestFit="1" customWidth="1"/>
    <col min="4" max="4" width="12" bestFit="1" customWidth="1"/>
    <col min="5" max="5" width="16" bestFit="1" customWidth="1"/>
    <col min="6" max="6" width="63.140625" bestFit="1" customWidth="1"/>
    <col min="7" max="8" width="81.140625" bestFit="1" customWidth="1"/>
    <col min="9" max="9" width="16.28515625" bestFit="1" customWidth="1"/>
    <col min="10" max="10" width="16.7109375" bestFit="1" customWidth="1"/>
    <col min="11" max="11" width="12.140625" bestFit="1" customWidth="1"/>
    <col min="12" max="12" width="21.42578125" bestFit="1" customWidth="1"/>
    <col min="13" max="13" width="25" bestFit="1" customWidth="1"/>
    <col min="14" max="15" width="17.85546875" bestFit="1" customWidth="1"/>
    <col min="16" max="16" width="22" bestFit="1" customWidth="1"/>
    <col min="17" max="17" width="12.42578125" hidden="1" customWidth="1"/>
    <col min="18" max="18" width="13.140625" bestFit="1" customWidth="1" collapsed="1"/>
    <col min="19" max="19" width="12.42578125" bestFit="1" customWidth="1"/>
    <col min="22" max="23" width="0" hidden="1" customWidth="1"/>
  </cols>
  <sheetData>
    <row r="1" spans="1:21" x14ac:dyDescent="0.25">
      <c r="A1" t="s">
        <v>24</v>
      </c>
      <c r="B1" t="s">
        <v>1</v>
      </c>
      <c r="C1" t="s">
        <v>22</v>
      </c>
      <c r="D1" t="s">
        <v>25</v>
      </c>
      <c r="E1" t="s">
        <v>26</v>
      </c>
      <c r="F1" t="s">
        <v>23</v>
      </c>
      <c r="G1" t="s">
        <v>27</v>
      </c>
      <c r="H1" t="s">
        <v>28</v>
      </c>
      <c r="I1" t="s">
        <v>29</v>
      </c>
      <c r="J1" t="s">
        <v>30</v>
      </c>
      <c r="K1" t="s">
        <v>31</v>
      </c>
      <c r="L1" s="20" t="s">
        <v>19</v>
      </c>
      <c r="M1" t="s">
        <v>13</v>
      </c>
      <c r="N1" t="s">
        <v>32</v>
      </c>
      <c r="O1" s="21" t="s">
        <v>33</v>
      </c>
      <c r="P1" t="s">
        <v>34</v>
      </c>
      <c r="Q1" t="s">
        <v>75</v>
      </c>
      <c r="R1" t="s">
        <v>84</v>
      </c>
      <c r="T1" t="s">
        <v>76</v>
      </c>
      <c r="U1" t="s">
        <v>77</v>
      </c>
    </row>
    <row r="2" spans="1:21" x14ac:dyDescent="0.25">
      <c r="A2" s="34" t="s">
        <v>113</v>
      </c>
      <c r="B2" s="34" t="s">
        <v>8</v>
      </c>
      <c r="C2" t="s">
        <v>14</v>
      </c>
      <c r="D2" s="34" t="s">
        <v>132</v>
      </c>
      <c r="E2" s="34">
        <v>442180</v>
      </c>
      <c r="F2" s="34" t="s">
        <v>143</v>
      </c>
      <c r="G2" s="34" t="s">
        <v>87</v>
      </c>
      <c r="H2" s="34" t="s">
        <v>20</v>
      </c>
      <c r="I2" s="35"/>
      <c r="J2" s="34">
        <v>28904337</v>
      </c>
      <c r="K2" s="34" t="s">
        <v>116</v>
      </c>
      <c r="L2" s="34" t="str">
        <f>_xlfn.XLOOKUP(Tabla2__2[[#This Row],[CODIGO RUTA]],'DATA INFORME'!I:I,'DATA INFORME'!K:K)</f>
        <v>SI</v>
      </c>
      <c r="M2" s="34" t="str">
        <f>IF(Tabla2__2[[#This Row],[MYSTERY EFECTIVO]]="SI",_xlfn.XLOOKUP(Tabla2__2[[#This Row],[PREGUNTA]],ENCUESTA!G:G,ENCUESTA!D:D),"N/A")</f>
        <v>N/A</v>
      </c>
      <c r="N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 s="34">
        <f>_xlfn.XLOOKUP(Tabla2__2[[#This Row],[PREGUNTA]],ENCUESTA!G:G,ENCUESTA!H:H)</f>
        <v>0</v>
      </c>
      <c r="P2" s="34">
        <f>IF(Tabla2__2[[#This Row],[RTA]]=Tabla2__2[[#This Row],[RTA CORRECTA]],Tabla2__2[[#This Row],[TOTAL PUNTAJE]],0)</f>
        <v>0</v>
      </c>
      <c r="Q2" s="34">
        <f>IF(OR(H2="Dog Chow húmedo",H2="Cat Chow húmedo",H2="Fancy Feast",H2="Felix",H2="Proplan húmedo",H2="One húmedo",H2="Snack Abrazzos",H2="Snak Dentalife",H2="Arenilla Tidy Cat"),N2,0)</f>
        <v>0</v>
      </c>
      <c r="R2" s="34"/>
    </row>
    <row r="3" spans="1:21" x14ac:dyDescent="0.25">
      <c r="A3" s="34" t="s">
        <v>113</v>
      </c>
      <c r="B3" s="34" t="s">
        <v>246</v>
      </c>
      <c r="C3" t="s">
        <v>43</v>
      </c>
      <c r="D3" s="34" t="s">
        <v>247</v>
      </c>
      <c r="E3" s="34">
        <v>202264</v>
      </c>
      <c r="F3" s="34" t="s">
        <v>250</v>
      </c>
      <c r="G3" s="34" t="s">
        <v>88</v>
      </c>
      <c r="H3" s="34" t="s">
        <v>20</v>
      </c>
      <c r="I3" s="35"/>
      <c r="J3" s="34">
        <v>28975269</v>
      </c>
      <c r="K3" s="34" t="s">
        <v>257</v>
      </c>
      <c r="L3" s="34" t="str">
        <f>_xlfn.XLOOKUP(Tabla2__2[[#This Row],[CODIGO RUTA]],'DATA INFORME'!I:I,'DATA INFORME'!K:K)</f>
        <v>SI</v>
      </c>
      <c r="M3" s="34" t="str">
        <f>IF(Tabla2__2[[#This Row],[MYSTERY EFECTIVO]]="SI",_xlfn.XLOOKUP(Tabla2__2[[#This Row],[PREGUNTA]],ENCUESTA!G:G,ENCUESTA!D:D),"N/A")</f>
        <v>HORARIO</v>
      </c>
      <c r="N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 s="34" t="str">
        <f>_xlfn.XLOOKUP(Tabla2__2[[#This Row],[PREGUNTA]],ENCUESTA!G:G,ENCUESTA!H:H)</f>
        <v>SI</v>
      </c>
      <c r="P3" s="34">
        <f>IF(Tabla2__2[[#This Row],[RTA]]=Tabla2__2[[#This Row],[RTA CORRECTA]],Tabla2__2[[#This Row],[TOTAL PUNTAJE]],0)</f>
        <v>20</v>
      </c>
      <c r="Q3" s="34">
        <f>IF(OR(H3="Dog Chow húmedo",H3="Cat Chow húmedo",H3="Fancy Feast",H3="Felix",H3="Proplan húmedo",H3="One húmedo",H3="Snack Abrazzos",H3="Snak Dentalife",H3="Arenilla Tidy Cat"),N3,0)</f>
        <v>0</v>
      </c>
      <c r="R3" s="34"/>
    </row>
    <row r="4" spans="1:21" x14ac:dyDescent="0.25">
      <c r="A4" s="34" t="s">
        <v>113</v>
      </c>
      <c r="B4" s="34" t="s">
        <v>246</v>
      </c>
      <c r="C4" t="s">
        <v>43</v>
      </c>
      <c r="D4" s="34" t="s">
        <v>247</v>
      </c>
      <c r="E4" s="34">
        <v>202264</v>
      </c>
      <c r="F4" s="34" t="s">
        <v>250</v>
      </c>
      <c r="G4" s="34" t="s">
        <v>87</v>
      </c>
      <c r="H4" s="34" t="s">
        <v>20</v>
      </c>
      <c r="I4" s="35"/>
      <c r="J4" s="34">
        <v>28975269</v>
      </c>
      <c r="K4" s="34" t="s">
        <v>257</v>
      </c>
      <c r="L4" s="34" t="str">
        <f>_xlfn.XLOOKUP(Tabla2__2[[#This Row],[CODIGO RUTA]],'DATA INFORME'!I:I,'DATA INFORME'!K:K)</f>
        <v>SI</v>
      </c>
      <c r="M4" s="34" t="str">
        <f>IF(Tabla2__2[[#This Row],[MYSTERY EFECTIVO]]="SI",_xlfn.XLOOKUP(Tabla2__2[[#This Row],[PREGUNTA]],ENCUESTA!G:G,ENCUESTA!D:D),"N/A")</f>
        <v>N/A</v>
      </c>
      <c r="N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 s="34">
        <f>_xlfn.XLOOKUP(Tabla2__2[[#This Row],[PREGUNTA]],ENCUESTA!G:G,ENCUESTA!H:H)</f>
        <v>0</v>
      </c>
      <c r="P4" s="34">
        <f>IF(Tabla2__2[[#This Row],[RTA]]=Tabla2__2[[#This Row],[RTA CORRECTA]],Tabla2__2[[#This Row],[TOTAL PUNTAJE]],0)</f>
        <v>0</v>
      </c>
      <c r="Q4" s="34">
        <f>IF(OR(H4="Dog Chow húmedo",H4="Cat Chow húmedo",H4="Fancy Feast",H4="Felix",H4="Proplan húmedo",H4="One húmedo",H4="Snack Abrazzos",H4="Snak Dentalife",H4="Arenilla Tidy Cat"),N4,0)</f>
        <v>0</v>
      </c>
      <c r="R4" s="34"/>
    </row>
    <row r="5" spans="1:21" x14ac:dyDescent="0.25">
      <c r="A5" s="34" t="s">
        <v>113</v>
      </c>
      <c r="B5" s="34" t="s">
        <v>119</v>
      </c>
      <c r="C5" t="s">
        <v>15</v>
      </c>
      <c r="D5" s="34" t="s">
        <v>122</v>
      </c>
      <c r="E5" s="34">
        <v>363615</v>
      </c>
      <c r="F5" s="34" t="s">
        <v>239</v>
      </c>
      <c r="G5" s="34" t="s">
        <v>107</v>
      </c>
      <c r="H5" s="34" t="s">
        <v>244</v>
      </c>
      <c r="I5" s="35"/>
      <c r="J5" s="34">
        <v>28972671</v>
      </c>
      <c r="K5" s="34" t="s">
        <v>121</v>
      </c>
      <c r="L5" s="34" t="str">
        <f>_xlfn.XLOOKUP(Tabla2__2[[#This Row],[CODIGO RUTA]],'DATA INFORME'!I:I,'DATA INFORME'!K:K)</f>
        <v>SI</v>
      </c>
      <c r="M5" s="34" t="str">
        <f>IF(Tabla2__2[[#This Row],[MYSTERY EFECTIVO]]="SI",_xlfn.XLOOKUP(Tabla2__2[[#This Row],[PREGUNTA]],ENCUESTA!G:G,ENCUESTA!D:D),"N/A")</f>
        <v>N/A</v>
      </c>
      <c r="N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 s="34">
        <f>_xlfn.XLOOKUP(Tabla2__2[[#This Row],[PREGUNTA]],ENCUESTA!G:G,ENCUESTA!H:H)</f>
        <v>0</v>
      </c>
      <c r="P5" s="34">
        <f>IF(Tabla2__2[[#This Row],[RTA]]=Tabla2__2[[#This Row],[RTA CORRECTA]],Tabla2__2[[#This Row],[TOTAL PUNTAJE]],0)</f>
        <v>0</v>
      </c>
      <c r="Q5" s="34">
        <f>IF(OR(H5="Dog Chow húmedo",H5="Cat Chow húmedo",H5="Fancy Feast",H5="Felix",H5="Proplan húmedo",H5="One húmedo",H5="Snack Abrazzos",H5="Snak Dentalife",H5="Arenilla Tidy Cat"),N5,0)</f>
        <v>0</v>
      </c>
      <c r="R5" s="34"/>
    </row>
    <row r="6" spans="1:21" x14ac:dyDescent="0.25">
      <c r="A6" s="34" t="s">
        <v>113</v>
      </c>
      <c r="B6" s="34" t="s">
        <v>119</v>
      </c>
      <c r="C6" t="s">
        <v>15</v>
      </c>
      <c r="D6" s="34" t="s">
        <v>122</v>
      </c>
      <c r="E6" s="34">
        <v>363615</v>
      </c>
      <c r="F6" s="34" t="s">
        <v>239</v>
      </c>
      <c r="G6" s="34" t="s">
        <v>106</v>
      </c>
      <c r="H6" s="34" t="s">
        <v>20</v>
      </c>
      <c r="I6" s="35"/>
      <c r="J6" s="34">
        <v>28972671</v>
      </c>
      <c r="K6" s="34" t="s">
        <v>121</v>
      </c>
      <c r="L6" s="34" t="str">
        <f>_xlfn.XLOOKUP(Tabla2__2[[#This Row],[CODIGO RUTA]],'DATA INFORME'!I:I,'DATA INFORME'!K:K)</f>
        <v>SI</v>
      </c>
      <c r="M6" s="34" t="str">
        <f>IF(Tabla2__2[[#This Row],[MYSTERY EFECTIVO]]="SI",_xlfn.XLOOKUP(Tabla2__2[[#This Row],[PREGUNTA]],ENCUESTA!G:G,ENCUESTA!D:D),"N/A")</f>
        <v>N/A</v>
      </c>
      <c r="N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 s="34">
        <f>_xlfn.XLOOKUP(Tabla2__2[[#This Row],[PREGUNTA]],ENCUESTA!G:G,ENCUESTA!H:H)</f>
        <v>0</v>
      </c>
      <c r="P6" s="34">
        <f>IF(Tabla2__2[[#This Row],[RTA]]=Tabla2__2[[#This Row],[RTA CORRECTA]],Tabla2__2[[#This Row],[TOTAL PUNTAJE]],0)</f>
        <v>0</v>
      </c>
      <c r="Q6" s="34">
        <f>IF(OR(H6="Dog Chow húmedo",H6="Cat Chow húmedo",H6="Fancy Feast",H6="Felix",H6="Proplan húmedo",H6="One húmedo",H6="Snack Abrazzos",H6="Snak Dentalife",H6="Arenilla Tidy Cat"),N6,0)</f>
        <v>0</v>
      </c>
      <c r="R6" s="34"/>
    </row>
    <row r="7" spans="1:21" x14ac:dyDescent="0.25">
      <c r="A7" s="34" t="s">
        <v>113</v>
      </c>
      <c r="B7" s="34" t="s">
        <v>119</v>
      </c>
      <c r="C7" t="s">
        <v>15</v>
      </c>
      <c r="D7" s="34" t="s">
        <v>122</v>
      </c>
      <c r="E7" s="34">
        <v>363615</v>
      </c>
      <c r="F7" s="34" t="s">
        <v>239</v>
      </c>
      <c r="G7" s="34" t="s">
        <v>127</v>
      </c>
      <c r="H7" s="34" t="s">
        <v>20</v>
      </c>
      <c r="I7" s="35"/>
      <c r="J7" s="34">
        <v>28972671</v>
      </c>
      <c r="K7" s="34" t="s">
        <v>121</v>
      </c>
      <c r="L7" s="34" t="str">
        <f>_xlfn.XLOOKUP(Tabla2__2[[#This Row],[CODIGO RUTA]],'DATA INFORME'!I:I,'DATA INFORME'!K:K)</f>
        <v>SI</v>
      </c>
      <c r="M7" s="34" t="str">
        <f>IF(Tabla2__2[[#This Row],[MYSTERY EFECTIVO]]="SI",_xlfn.XLOOKUP(Tabla2__2[[#This Row],[PREGUNTA]],ENCUESTA!G:G,ENCUESTA!D:D),"N/A")</f>
        <v>ACTIVIDADES DEL MES</v>
      </c>
      <c r="N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7" s="34" t="str">
        <f>_xlfn.XLOOKUP(Tabla2__2[[#This Row],[PREGUNTA]],ENCUESTA!G:G,ENCUESTA!H:H)</f>
        <v>SI</v>
      </c>
      <c r="P7" s="34">
        <f>IF(Tabla2__2[[#This Row],[RTA]]=Tabla2__2[[#This Row],[RTA CORRECTA]],Tabla2__2[[#This Row],[TOTAL PUNTAJE]],0)</f>
        <v>20</v>
      </c>
      <c r="Q7" s="34">
        <f>IF(OR(H7="Dog Chow húmedo",H7="Cat Chow húmedo",H7="Fancy Feast",H7="Felix",H7="Proplan húmedo",H7="One húmedo",H7="Snack Abrazzos",H7="Snak Dentalife",H7="Arenilla Tidy Cat"),N7,0)</f>
        <v>0</v>
      </c>
      <c r="R7" s="34"/>
    </row>
    <row r="8" spans="1:21" x14ac:dyDescent="0.25">
      <c r="A8" s="34" t="s">
        <v>113</v>
      </c>
      <c r="B8" s="34" t="s">
        <v>119</v>
      </c>
      <c r="C8" t="s">
        <v>15</v>
      </c>
      <c r="D8" s="34" t="s">
        <v>122</v>
      </c>
      <c r="E8" s="34">
        <v>363615</v>
      </c>
      <c r="F8" s="34" t="s">
        <v>239</v>
      </c>
      <c r="G8" s="34" t="s">
        <v>126</v>
      </c>
      <c r="H8" s="34" t="s">
        <v>20</v>
      </c>
      <c r="I8" s="35"/>
      <c r="J8" s="34">
        <v>28972671</v>
      </c>
      <c r="K8" s="34" t="s">
        <v>121</v>
      </c>
      <c r="L8" s="34" t="str">
        <f>_xlfn.XLOOKUP(Tabla2__2[[#This Row],[CODIGO RUTA]],'DATA INFORME'!I:I,'DATA INFORME'!K:K)</f>
        <v>SI</v>
      </c>
      <c r="M8" s="34" t="str">
        <f>IF(Tabla2__2[[#This Row],[MYSTERY EFECTIVO]]="SI",_xlfn.XLOOKUP(Tabla2__2[[#This Row],[PREGUNTA]],ENCUESTA!G:G,ENCUESTA!D:D),"N/A")</f>
        <v>ACTIVIDADES DEL MES</v>
      </c>
      <c r="N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8" s="34" t="str">
        <f>_xlfn.XLOOKUP(Tabla2__2[[#This Row],[PREGUNTA]],ENCUESTA!G:G,ENCUESTA!H:H)</f>
        <v>SI</v>
      </c>
      <c r="P8" s="34">
        <f>IF(Tabla2__2[[#This Row],[RTA]]=Tabla2__2[[#This Row],[RTA CORRECTA]],Tabla2__2[[#This Row],[TOTAL PUNTAJE]],0)</f>
        <v>20</v>
      </c>
      <c r="Q8" s="34">
        <f>IF(OR(H8="Dog Chow húmedo",H8="Cat Chow húmedo",H8="Fancy Feast",H8="Felix",H8="Proplan húmedo",H8="One húmedo",H8="Snack Abrazzos",H8="Snak Dentalife",H8="Arenilla Tidy Cat"),N8,0)</f>
        <v>0</v>
      </c>
      <c r="R8" s="34"/>
    </row>
    <row r="9" spans="1:21" x14ac:dyDescent="0.25">
      <c r="A9" s="34" t="s">
        <v>113</v>
      </c>
      <c r="B9" s="34" t="s">
        <v>246</v>
      </c>
      <c r="C9" t="s">
        <v>43</v>
      </c>
      <c r="D9" s="34" t="s">
        <v>247</v>
      </c>
      <c r="E9" s="34">
        <v>202264</v>
      </c>
      <c r="F9" s="34" t="s">
        <v>250</v>
      </c>
      <c r="G9" s="34" t="s">
        <v>89</v>
      </c>
      <c r="H9" s="34" t="s">
        <v>20</v>
      </c>
      <c r="I9" s="35"/>
      <c r="J9" s="34">
        <v>28975269</v>
      </c>
      <c r="K9" s="34" t="s">
        <v>257</v>
      </c>
      <c r="L9" s="34" t="str">
        <f>_xlfn.XLOOKUP(Tabla2__2[[#This Row],[CODIGO RUTA]],'DATA INFORME'!I:I,'DATA INFORME'!K:K)</f>
        <v>SI</v>
      </c>
      <c r="M9" s="34" t="str">
        <f>IF(Tabla2__2[[#This Row],[MYSTERY EFECTIVO]]="SI",_xlfn.XLOOKUP(Tabla2__2[[#This Row],[PREGUNTA]],ENCUESTA!G:G,ENCUESTA!D:D),"N/A")</f>
        <v>PRESENTACIÓN PERSONAL</v>
      </c>
      <c r="N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9" s="34" t="str">
        <f>_xlfn.XLOOKUP(Tabla2__2[[#This Row],[PREGUNTA]],ENCUESTA!G:G,ENCUESTA!H:H)</f>
        <v>SI</v>
      </c>
      <c r="P9" s="34">
        <f>IF(Tabla2__2[[#This Row],[RTA]]=Tabla2__2[[#This Row],[RTA CORRECTA]],Tabla2__2[[#This Row],[TOTAL PUNTAJE]],0)</f>
        <v>1</v>
      </c>
      <c r="Q9" s="34">
        <f>IF(OR(H9="Dog Chow húmedo",H9="Cat Chow húmedo",H9="Fancy Feast",H9="Felix",H9="Proplan húmedo",H9="One húmedo",H9="Snack Abrazzos",H9="Snak Dentalife",H9="Arenilla Tidy Cat"),N9,0)</f>
        <v>0</v>
      </c>
      <c r="R9" s="34"/>
    </row>
    <row r="10" spans="1:21" x14ac:dyDescent="0.25">
      <c r="A10" s="34" t="s">
        <v>113</v>
      </c>
      <c r="B10" s="34" t="s">
        <v>119</v>
      </c>
      <c r="C10" t="s">
        <v>15</v>
      </c>
      <c r="D10" s="34" t="s">
        <v>122</v>
      </c>
      <c r="E10" s="34">
        <v>363615</v>
      </c>
      <c r="F10" s="34" t="s">
        <v>239</v>
      </c>
      <c r="G10" s="34" t="s">
        <v>105</v>
      </c>
      <c r="H10" s="34" t="s">
        <v>15</v>
      </c>
      <c r="I10" s="35"/>
      <c r="J10" s="34">
        <v>28972671</v>
      </c>
      <c r="K10" s="34" t="s">
        <v>121</v>
      </c>
      <c r="L10" s="34" t="str">
        <f>_xlfn.XLOOKUP(Tabla2__2[[#This Row],[CODIGO RUTA]],'DATA INFORME'!I:I,'DATA INFORME'!K:K)</f>
        <v>SI</v>
      </c>
      <c r="M10" s="34" t="str">
        <f>IF(Tabla2__2[[#This Row],[MYSTERY EFECTIVO]]="SI",_xlfn.XLOOKUP(Tabla2__2[[#This Row],[PREGUNTA]],ENCUESTA!G:G,ENCUESTA!D:D),"N/A")</f>
        <v>N/A</v>
      </c>
      <c r="N1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 s="34">
        <f>_xlfn.XLOOKUP(Tabla2__2[[#This Row],[PREGUNTA]],ENCUESTA!G:G,ENCUESTA!H:H)</f>
        <v>0</v>
      </c>
      <c r="P10" s="34">
        <f>IF(Tabla2__2[[#This Row],[RTA]]=Tabla2__2[[#This Row],[RTA CORRECTA]],Tabla2__2[[#This Row],[TOTAL PUNTAJE]],0)</f>
        <v>0</v>
      </c>
      <c r="Q10" s="34">
        <f>IF(OR(H10="Dog Chow húmedo",H10="Cat Chow húmedo",H10="Fancy Feast",H10="Felix",H10="Proplan húmedo",H10="One húmedo",H10="Snack Abrazzos",H10="Snak Dentalife",H10="Arenilla Tidy Cat"),N10,0)</f>
        <v>0</v>
      </c>
      <c r="R10" s="34"/>
    </row>
    <row r="11" spans="1:21" x14ac:dyDescent="0.25">
      <c r="A11" s="34" t="s">
        <v>113</v>
      </c>
      <c r="B11" s="34" t="s">
        <v>119</v>
      </c>
      <c r="C11" t="s">
        <v>15</v>
      </c>
      <c r="D11" s="34" t="s">
        <v>122</v>
      </c>
      <c r="E11" s="34">
        <v>363615</v>
      </c>
      <c r="F11" s="34" t="s">
        <v>239</v>
      </c>
      <c r="G11" s="34" t="s">
        <v>104</v>
      </c>
      <c r="H11" s="34" t="s">
        <v>20</v>
      </c>
      <c r="I11" s="35"/>
      <c r="J11" s="34">
        <v>28972671</v>
      </c>
      <c r="K11" s="34" t="s">
        <v>121</v>
      </c>
      <c r="L11" s="34" t="str">
        <f>_xlfn.XLOOKUP(Tabla2__2[[#This Row],[CODIGO RUTA]],'DATA INFORME'!I:I,'DATA INFORME'!K:K)</f>
        <v>SI</v>
      </c>
      <c r="M11" s="34" t="str">
        <f>IF(Tabla2__2[[#This Row],[MYSTERY EFECTIVO]]="SI",_xlfn.XLOOKUP(Tabla2__2[[#This Row],[PREGUNTA]],ENCUESTA!G:G,ENCUESTA!D:D),"N/A")</f>
        <v>EJECUCIÓN DEL PDV</v>
      </c>
      <c r="N1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1" s="34" t="str">
        <f>_xlfn.XLOOKUP(Tabla2__2[[#This Row],[PREGUNTA]],ENCUESTA!G:G,ENCUESTA!H:H)</f>
        <v>SI</v>
      </c>
      <c r="P11" s="34">
        <f>IF(Tabla2__2[[#This Row],[RTA]]=Tabla2__2[[#This Row],[RTA CORRECTA]],Tabla2__2[[#This Row],[TOTAL PUNTAJE]],0)</f>
        <v>3.75</v>
      </c>
      <c r="Q11" s="34">
        <f>IF(OR(H11="Dog Chow húmedo",H11="Cat Chow húmedo",H11="Fancy Feast",H11="Felix",H11="Proplan húmedo",H11="One húmedo",H11="Snack Abrazzos",H11="Snak Dentalife",H11="Arenilla Tidy Cat"),N11,0)</f>
        <v>0</v>
      </c>
      <c r="R11" s="34"/>
    </row>
    <row r="12" spans="1:21" x14ac:dyDescent="0.25">
      <c r="A12" s="34" t="s">
        <v>113</v>
      </c>
      <c r="B12" s="34" t="s">
        <v>119</v>
      </c>
      <c r="C12" t="s">
        <v>15</v>
      </c>
      <c r="D12" s="34" t="s">
        <v>122</v>
      </c>
      <c r="E12" s="34">
        <v>363615</v>
      </c>
      <c r="F12" s="34" t="s">
        <v>239</v>
      </c>
      <c r="G12" s="34" t="s">
        <v>103</v>
      </c>
      <c r="H12" s="34" t="s">
        <v>20</v>
      </c>
      <c r="I12" s="35"/>
      <c r="J12" s="34">
        <v>28972671</v>
      </c>
      <c r="K12" s="34" t="s">
        <v>121</v>
      </c>
      <c r="L12" s="34" t="str">
        <f>_xlfn.XLOOKUP(Tabla2__2[[#This Row],[CODIGO RUTA]],'DATA INFORME'!I:I,'DATA INFORME'!K:K)</f>
        <v>SI</v>
      </c>
      <c r="M12" s="34" t="str">
        <f>IF(Tabla2__2[[#This Row],[MYSTERY EFECTIVO]]="SI",_xlfn.XLOOKUP(Tabla2__2[[#This Row],[PREGUNTA]],ENCUESTA!G:G,ENCUESTA!D:D),"N/A")</f>
        <v>EJECUCIÓN DEL PDV</v>
      </c>
      <c r="N1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2" s="34" t="str">
        <f>_xlfn.XLOOKUP(Tabla2__2[[#This Row],[PREGUNTA]],ENCUESTA!G:G,ENCUESTA!H:H)</f>
        <v>SI</v>
      </c>
      <c r="P12" s="34">
        <f>IF(Tabla2__2[[#This Row],[RTA]]=Tabla2__2[[#This Row],[RTA CORRECTA]],Tabla2__2[[#This Row],[TOTAL PUNTAJE]],0)</f>
        <v>3.75</v>
      </c>
      <c r="Q12" s="34">
        <f>IF(OR(H12="Dog Chow húmedo",H12="Cat Chow húmedo",H12="Fancy Feast",H12="Felix",H12="Proplan húmedo",H12="One húmedo",H12="Snack Abrazzos",H12="Snak Dentalife",H12="Arenilla Tidy Cat"),N12,0)</f>
        <v>0</v>
      </c>
      <c r="R12" s="34"/>
    </row>
    <row r="13" spans="1:21" x14ac:dyDescent="0.25">
      <c r="A13" s="34" t="s">
        <v>113</v>
      </c>
      <c r="B13" s="34" t="s">
        <v>119</v>
      </c>
      <c r="C13" t="s">
        <v>15</v>
      </c>
      <c r="D13" s="34" t="s">
        <v>122</v>
      </c>
      <c r="E13" s="34">
        <v>363615</v>
      </c>
      <c r="F13" s="34" t="s">
        <v>239</v>
      </c>
      <c r="G13" s="34" t="s">
        <v>102</v>
      </c>
      <c r="H13" s="34" t="s">
        <v>20</v>
      </c>
      <c r="I13" s="35"/>
      <c r="J13" s="34">
        <v>28972671</v>
      </c>
      <c r="K13" s="34" t="s">
        <v>121</v>
      </c>
      <c r="L13" s="34" t="str">
        <f>_xlfn.XLOOKUP(Tabla2__2[[#This Row],[CODIGO RUTA]],'DATA INFORME'!I:I,'DATA INFORME'!K:K)</f>
        <v>SI</v>
      </c>
      <c r="M13" s="34" t="str">
        <f>IF(Tabla2__2[[#This Row],[MYSTERY EFECTIVO]]="SI",_xlfn.XLOOKUP(Tabla2__2[[#This Row],[PREGUNTA]],ENCUESTA!G:G,ENCUESTA!D:D),"N/A")</f>
        <v>EJECUCIÓN DEL PDV</v>
      </c>
      <c r="N1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 s="34" t="str">
        <f>_xlfn.XLOOKUP(Tabla2__2[[#This Row],[PREGUNTA]],ENCUESTA!G:G,ENCUESTA!H:H)</f>
        <v>SI</v>
      </c>
      <c r="P13" s="34">
        <f>IF(Tabla2__2[[#This Row],[RTA]]=Tabla2__2[[#This Row],[RTA CORRECTA]],Tabla2__2[[#This Row],[TOTAL PUNTAJE]],0)</f>
        <v>3.75</v>
      </c>
      <c r="Q13" s="34">
        <f>IF(OR(H13="Dog Chow húmedo",H13="Cat Chow húmedo",H13="Fancy Feast",H13="Felix",H13="Proplan húmedo",H13="One húmedo",H13="Snack Abrazzos",H13="Snak Dentalife",H13="Arenilla Tidy Cat"),N13,0)</f>
        <v>0</v>
      </c>
      <c r="R13" s="34"/>
    </row>
    <row r="14" spans="1:21" x14ac:dyDescent="0.25">
      <c r="A14" s="34" t="s">
        <v>113</v>
      </c>
      <c r="B14" s="34" t="s">
        <v>119</v>
      </c>
      <c r="C14" t="s">
        <v>15</v>
      </c>
      <c r="D14" s="34" t="s">
        <v>122</v>
      </c>
      <c r="E14" s="34">
        <v>363615</v>
      </c>
      <c r="F14" s="34" t="s">
        <v>239</v>
      </c>
      <c r="G14" s="34" t="s">
        <v>101</v>
      </c>
      <c r="H14" s="34" t="s">
        <v>20</v>
      </c>
      <c r="I14" s="35"/>
      <c r="J14" s="34">
        <v>28972671</v>
      </c>
      <c r="K14" s="34" t="s">
        <v>121</v>
      </c>
      <c r="L14" s="34" t="str">
        <f>_xlfn.XLOOKUP(Tabla2__2[[#This Row],[CODIGO RUTA]],'DATA INFORME'!I:I,'DATA INFORME'!K:K)</f>
        <v>SI</v>
      </c>
      <c r="M14" s="34" t="str">
        <f>IF(Tabla2__2[[#This Row],[MYSTERY EFECTIVO]]="SI",_xlfn.XLOOKUP(Tabla2__2[[#This Row],[PREGUNTA]],ENCUESTA!G:G,ENCUESTA!D:D),"N/A")</f>
        <v>EJECUCIÓN DEL PDV</v>
      </c>
      <c r="N1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4" s="34" t="str">
        <f>_xlfn.XLOOKUP(Tabla2__2[[#This Row],[PREGUNTA]],ENCUESTA!G:G,ENCUESTA!H:H)</f>
        <v>SI</v>
      </c>
      <c r="P14" s="34">
        <f>IF(Tabla2__2[[#This Row],[RTA]]=Tabla2__2[[#This Row],[RTA CORRECTA]],Tabla2__2[[#This Row],[TOTAL PUNTAJE]],0)</f>
        <v>3.75</v>
      </c>
      <c r="Q14" s="34">
        <f>IF(OR(H14="Dog Chow húmedo",H14="Cat Chow húmedo",H14="Fancy Feast",H14="Felix",H14="Proplan húmedo",H14="One húmedo",H14="Snack Abrazzos",H14="Snak Dentalife",H14="Arenilla Tidy Cat"),N14,0)</f>
        <v>0</v>
      </c>
      <c r="R14" s="34"/>
    </row>
    <row r="15" spans="1:21" x14ac:dyDescent="0.25">
      <c r="A15" s="34" t="s">
        <v>113</v>
      </c>
      <c r="B15" s="34" t="s">
        <v>119</v>
      </c>
      <c r="C15" t="s">
        <v>15</v>
      </c>
      <c r="D15" s="34" t="s">
        <v>122</v>
      </c>
      <c r="E15" s="34">
        <v>363615</v>
      </c>
      <c r="F15" s="34" t="s">
        <v>239</v>
      </c>
      <c r="G15" s="34" t="s">
        <v>100</v>
      </c>
      <c r="H15" s="34" t="s">
        <v>20</v>
      </c>
      <c r="I15" s="35"/>
      <c r="J15" s="34">
        <v>28972671</v>
      </c>
      <c r="K15" s="34" t="s">
        <v>121</v>
      </c>
      <c r="L15" s="34" t="str">
        <f>_xlfn.XLOOKUP(Tabla2__2[[#This Row],[CODIGO RUTA]],'DATA INFORME'!I:I,'DATA INFORME'!K:K)</f>
        <v>SI</v>
      </c>
      <c r="M15" s="34" t="str">
        <f>IF(Tabla2__2[[#This Row],[MYSTERY EFECTIVO]]="SI",_xlfn.XLOOKUP(Tabla2__2[[#This Row],[PREGUNTA]],ENCUESTA!G:G,ENCUESTA!D:D),"N/A")</f>
        <v>EJECUCIÓN DEL PDV</v>
      </c>
      <c r="N1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 s="34" t="str">
        <f>_xlfn.XLOOKUP(Tabla2__2[[#This Row],[PREGUNTA]],ENCUESTA!G:G,ENCUESTA!H:H)</f>
        <v>SI</v>
      </c>
      <c r="P15" s="34">
        <f>IF(Tabla2__2[[#This Row],[RTA]]=Tabla2__2[[#This Row],[RTA CORRECTA]],Tabla2__2[[#This Row],[TOTAL PUNTAJE]],0)</f>
        <v>3.75</v>
      </c>
      <c r="Q15" s="34">
        <f>IF(OR(H15="Dog Chow húmedo",H15="Cat Chow húmedo",H15="Fancy Feast",H15="Felix",H15="Proplan húmedo",H15="One húmedo",H15="Snack Abrazzos",H15="Snak Dentalife",H15="Arenilla Tidy Cat"),N15,0)</f>
        <v>0</v>
      </c>
      <c r="R15" s="34"/>
    </row>
    <row r="16" spans="1:21" x14ac:dyDescent="0.25">
      <c r="A16" s="34" t="s">
        <v>113</v>
      </c>
      <c r="B16" s="34" t="s">
        <v>119</v>
      </c>
      <c r="C16" t="s">
        <v>15</v>
      </c>
      <c r="D16" s="34" t="s">
        <v>122</v>
      </c>
      <c r="E16" s="34">
        <v>363615</v>
      </c>
      <c r="F16" s="34" t="s">
        <v>239</v>
      </c>
      <c r="G16" s="34" t="s">
        <v>99</v>
      </c>
      <c r="H16" s="34" t="s">
        <v>20</v>
      </c>
      <c r="I16" s="35"/>
      <c r="J16" s="34">
        <v>28972671</v>
      </c>
      <c r="K16" s="34" t="s">
        <v>121</v>
      </c>
      <c r="L16" s="34" t="str">
        <f>_xlfn.XLOOKUP(Tabla2__2[[#This Row],[CODIGO RUTA]],'DATA INFORME'!I:I,'DATA INFORME'!K:K)</f>
        <v>SI</v>
      </c>
      <c r="M16" s="34" t="str">
        <f>IF(Tabla2__2[[#This Row],[MYSTERY EFECTIVO]]="SI",_xlfn.XLOOKUP(Tabla2__2[[#This Row],[PREGUNTA]],ENCUESTA!G:G,ENCUESTA!D:D),"N/A")</f>
        <v>EJECUCIÓN DEL PDV</v>
      </c>
      <c r="N1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 s="34" t="str">
        <f>_xlfn.XLOOKUP(Tabla2__2[[#This Row],[PREGUNTA]],ENCUESTA!G:G,ENCUESTA!H:H)</f>
        <v>SI</v>
      </c>
      <c r="P16" s="34">
        <f>IF(Tabla2__2[[#This Row],[RTA]]=Tabla2__2[[#This Row],[RTA CORRECTA]],Tabla2__2[[#This Row],[TOTAL PUNTAJE]],0)</f>
        <v>3.75</v>
      </c>
      <c r="Q16" s="34">
        <f>IF(OR(H16="Dog Chow húmedo",H16="Cat Chow húmedo",H16="Fancy Feast",H16="Felix",H16="Proplan húmedo",H16="One húmedo",H16="Snack Abrazzos",H16="Snak Dentalife",H16="Arenilla Tidy Cat"),N16,0)</f>
        <v>0</v>
      </c>
      <c r="R16" s="34"/>
    </row>
    <row r="17" spans="1:18" x14ac:dyDescent="0.25">
      <c r="A17" s="34" t="s">
        <v>113</v>
      </c>
      <c r="B17" s="34" t="s">
        <v>119</v>
      </c>
      <c r="C17" t="s">
        <v>15</v>
      </c>
      <c r="D17" s="34" t="s">
        <v>122</v>
      </c>
      <c r="E17" s="34">
        <v>363615</v>
      </c>
      <c r="F17" s="34" t="s">
        <v>239</v>
      </c>
      <c r="G17" s="34" t="s">
        <v>125</v>
      </c>
      <c r="H17" s="34" t="s">
        <v>112</v>
      </c>
      <c r="I17" s="35"/>
      <c r="J17" s="34">
        <v>28972671</v>
      </c>
      <c r="K17" s="34" t="s">
        <v>121</v>
      </c>
      <c r="L17" s="34" t="str">
        <f>_xlfn.XLOOKUP(Tabla2__2[[#This Row],[CODIGO RUTA]],'DATA INFORME'!I:I,'DATA INFORME'!K:K)</f>
        <v>SI</v>
      </c>
      <c r="M17" s="34" t="str">
        <f>IF(Tabla2__2[[#This Row],[MYSTERY EFECTIVO]]="SI",_xlfn.XLOOKUP(Tabla2__2[[#This Row],[PREGUNTA]],ENCUESTA!G:G,ENCUESTA!D:D),"N/A")</f>
        <v>EJECUCIÓN DEL PDV</v>
      </c>
      <c r="N1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7" s="34" t="str">
        <f>_xlfn.XLOOKUP(Tabla2__2[[#This Row],[PREGUNTA]],ENCUESTA!G:G,ENCUESTA!H:H)</f>
        <v>SI</v>
      </c>
      <c r="P17" s="34">
        <f>IF(Tabla2__2[[#This Row],[RTA]]=Tabla2__2[[#This Row],[RTA CORRECTA]],Tabla2__2[[#This Row],[TOTAL PUNTAJE]],0)</f>
        <v>0</v>
      </c>
      <c r="Q17" s="34">
        <f>IF(OR(H17="Dog Chow húmedo",H17="Cat Chow húmedo",H17="Fancy Feast",H17="Felix",H17="Proplan húmedo",H17="One húmedo",H17="Snack Abrazzos",H17="Snak Dentalife",H17="Arenilla Tidy Cat"),N17,0)</f>
        <v>0</v>
      </c>
      <c r="R17" s="34"/>
    </row>
    <row r="18" spans="1:18" x14ac:dyDescent="0.25">
      <c r="A18" s="34" t="s">
        <v>113</v>
      </c>
      <c r="B18" s="34" t="s">
        <v>119</v>
      </c>
      <c r="C18" t="s">
        <v>15</v>
      </c>
      <c r="D18" s="34" t="s">
        <v>122</v>
      </c>
      <c r="E18" s="34">
        <v>363615</v>
      </c>
      <c r="F18" s="34" t="s">
        <v>239</v>
      </c>
      <c r="G18" s="34" t="s">
        <v>98</v>
      </c>
      <c r="H18" s="34" t="s">
        <v>112</v>
      </c>
      <c r="I18" s="35"/>
      <c r="J18" s="34">
        <v>28972671</v>
      </c>
      <c r="K18" s="34" t="s">
        <v>121</v>
      </c>
      <c r="L18" s="34" t="str">
        <f>_xlfn.XLOOKUP(Tabla2__2[[#This Row],[CODIGO RUTA]],'DATA INFORME'!I:I,'DATA INFORME'!K:K)</f>
        <v>SI</v>
      </c>
      <c r="M18" s="34" t="str">
        <f>IF(Tabla2__2[[#This Row],[MYSTERY EFECTIVO]]="SI",_xlfn.XLOOKUP(Tabla2__2[[#This Row],[PREGUNTA]],ENCUESTA!G:G,ENCUESTA!D:D),"N/A")</f>
        <v>EJECUCIÓN DEL PDV</v>
      </c>
      <c r="N1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 s="34" t="str">
        <f>_xlfn.XLOOKUP(Tabla2__2[[#This Row],[PREGUNTA]],ENCUESTA!G:G,ENCUESTA!H:H)</f>
        <v>SI</v>
      </c>
      <c r="P18" s="34">
        <f>IF(Tabla2__2[[#This Row],[RTA]]=Tabla2__2[[#This Row],[RTA CORRECTA]],Tabla2__2[[#This Row],[TOTAL PUNTAJE]],0)</f>
        <v>0</v>
      </c>
      <c r="Q18" s="34">
        <f>IF(OR(H18="Dog Chow húmedo",H18="Cat Chow húmedo",H18="Fancy Feast",H18="Felix",H18="Proplan húmedo",H18="One húmedo",H18="Snack Abrazzos",H18="Snak Dentalife",H18="Arenilla Tidy Cat"),N18,0)</f>
        <v>0</v>
      </c>
      <c r="R18" s="34"/>
    </row>
    <row r="19" spans="1:18" x14ac:dyDescent="0.25">
      <c r="A19" s="34" t="s">
        <v>113</v>
      </c>
      <c r="B19" s="34" t="s">
        <v>246</v>
      </c>
      <c r="C19" t="s">
        <v>43</v>
      </c>
      <c r="D19" s="34" t="s">
        <v>247</v>
      </c>
      <c r="E19" s="34">
        <v>202264</v>
      </c>
      <c r="F19" s="34" t="s">
        <v>250</v>
      </c>
      <c r="G19" s="34" t="s">
        <v>90</v>
      </c>
      <c r="H19" s="34" t="s">
        <v>20</v>
      </c>
      <c r="I19" s="35"/>
      <c r="J19" s="34">
        <v>28975269</v>
      </c>
      <c r="K19" s="34" t="s">
        <v>257</v>
      </c>
      <c r="L19" s="34" t="str">
        <f>_xlfn.XLOOKUP(Tabla2__2[[#This Row],[CODIGO RUTA]],'DATA INFORME'!I:I,'DATA INFORME'!K:K)</f>
        <v>SI</v>
      </c>
      <c r="M19" s="34" t="str">
        <f>IF(Tabla2__2[[#This Row],[MYSTERY EFECTIVO]]="SI",_xlfn.XLOOKUP(Tabla2__2[[#This Row],[PREGUNTA]],ENCUESTA!G:G,ENCUESTA!D:D),"N/A")</f>
        <v>PRESENTACIÓN PERSONAL</v>
      </c>
      <c r="N1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9" s="34" t="str">
        <f>_xlfn.XLOOKUP(Tabla2__2[[#This Row],[PREGUNTA]],ENCUESTA!G:G,ENCUESTA!H:H)</f>
        <v>SI</v>
      </c>
      <c r="P19" s="34">
        <f>IF(Tabla2__2[[#This Row],[RTA]]=Tabla2__2[[#This Row],[RTA CORRECTA]],Tabla2__2[[#This Row],[TOTAL PUNTAJE]],0)</f>
        <v>1</v>
      </c>
      <c r="Q19" s="34">
        <f>IF(OR(H19="Dog Chow húmedo",H19="Cat Chow húmedo",H19="Fancy Feast",H19="Felix",H19="Proplan húmedo",H19="One húmedo",H19="Snack Abrazzos",H19="Snak Dentalife",H19="Arenilla Tidy Cat"),N19,0)</f>
        <v>0</v>
      </c>
      <c r="R19" s="34"/>
    </row>
    <row r="20" spans="1:18" x14ac:dyDescent="0.25">
      <c r="A20" s="34" t="s">
        <v>113</v>
      </c>
      <c r="B20" s="34" t="s">
        <v>246</v>
      </c>
      <c r="C20" t="s">
        <v>43</v>
      </c>
      <c r="D20" s="34" t="s">
        <v>247</v>
      </c>
      <c r="E20" s="34">
        <v>202264</v>
      </c>
      <c r="F20" s="34" t="s">
        <v>250</v>
      </c>
      <c r="G20" s="34" t="s">
        <v>91</v>
      </c>
      <c r="H20" s="34" t="s">
        <v>112</v>
      </c>
      <c r="I20" s="35"/>
      <c r="J20" s="34">
        <v>28975269</v>
      </c>
      <c r="K20" s="34" t="s">
        <v>257</v>
      </c>
      <c r="L20" s="34" t="str">
        <f>_xlfn.XLOOKUP(Tabla2__2[[#This Row],[CODIGO RUTA]],'DATA INFORME'!I:I,'DATA INFORME'!K:K)</f>
        <v>SI</v>
      </c>
      <c r="M20" s="34" t="str">
        <f>IF(Tabla2__2[[#This Row],[MYSTERY EFECTIVO]]="SI",_xlfn.XLOOKUP(Tabla2__2[[#This Row],[PREGUNTA]],ENCUESTA!G:G,ENCUESTA!D:D),"N/A")</f>
        <v>PRESENTACIÓN PERSONAL</v>
      </c>
      <c r="N2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0" s="34" t="str">
        <f>_xlfn.XLOOKUP(Tabla2__2[[#This Row],[PREGUNTA]],ENCUESTA!G:G,ENCUESTA!H:H)</f>
        <v>NO</v>
      </c>
      <c r="P20" s="34">
        <f>IF(Tabla2__2[[#This Row],[RTA]]=Tabla2__2[[#This Row],[RTA CORRECTA]],Tabla2__2[[#This Row],[TOTAL PUNTAJE]],0)</f>
        <v>1</v>
      </c>
      <c r="Q20" s="34">
        <f>IF(OR(H20="Dog Chow húmedo",H20="Cat Chow húmedo",H20="Fancy Feast",H20="Felix",H20="Proplan húmedo",H20="One húmedo",H20="Snack Abrazzos",H20="Snak Dentalife",H20="Arenilla Tidy Cat"),N20,0)</f>
        <v>0</v>
      </c>
      <c r="R20" s="34"/>
    </row>
    <row r="21" spans="1:18" x14ac:dyDescent="0.25">
      <c r="A21" s="34" t="s">
        <v>113</v>
      </c>
      <c r="B21" s="34" t="s">
        <v>246</v>
      </c>
      <c r="C21" t="s">
        <v>43</v>
      </c>
      <c r="D21" s="34" t="s">
        <v>247</v>
      </c>
      <c r="E21" s="34">
        <v>202264</v>
      </c>
      <c r="F21" s="34" t="s">
        <v>250</v>
      </c>
      <c r="G21" s="34" t="s">
        <v>125</v>
      </c>
      <c r="H21" s="34" t="s">
        <v>20</v>
      </c>
      <c r="I21" s="35"/>
      <c r="J21" s="34">
        <v>28975269</v>
      </c>
      <c r="K21" s="34" t="s">
        <v>257</v>
      </c>
      <c r="L21" s="34" t="str">
        <f>_xlfn.XLOOKUP(Tabla2__2[[#This Row],[CODIGO RUTA]],'DATA INFORME'!I:I,'DATA INFORME'!K:K)</f>
        <v>SI</v>
      </c>
      <c r="M21" s="34" t="str">
        <f>IF(Tabla2__2[[#This Row],[MYSTERY EFECTIVO]]="SI",_xlfn.XLOOKUP(Tabla2__2[[#This Row],[PREGUNTA]],ENCUESTA!G:G,ENCUESTA!D:D),"N/A")</f>
        <v>EJECUCIÓN DEL PDV</v>
      </c>
      <c r="N2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1" s="34" t="str">
        <f>_xlfn.XLOOKUP(Tabla2__2[[#This Row],[PREGUNTA]],ENCUESTA!G:G,ENCUESTA!H:H)</f>
        <v>SI</v>
      </c>
      <c r="P21" s="34">
        <f>IF(Tabla2__2[[#This Row],[RTA]]=Tabla2__2[[#This Row],[RTA CORRECTA]],Tabla2__2[[#This Row],[TOTAL PUNTAJE]],0)</f>
        <v>3.75</v>
      </c>
      <c r="Q21" s="34">
        <f>IF(OR(H21="Dog Chow húmedo",H21="Cat Chow húmedo",H21="Fancy Feast",H21="Felix",H21="Proplan húmedo",H21="One húmedo",H21="Snack Abrazzos",H21="Snak Dentalife",H21="Arenilla Tidy Cat"),N21,0)</f>
        <v>0</v>
      </c>
      <c r="R21" s="34"/>
    </row>
    <row r="22" spans="1:18" x14ac:dyDescent="0.25">
      <c r="A22" s="34" t="s">
        <v>113</v>
      </c>
      <c r="B22" s="34" t="s">
        <v>246</v>
      </c>
      <c r="C22" t="s">
        <v>43</v>
      </c>
      <c r="D22" s="34" t="s">
        <v>247</v>
      </c>
      <c r="E22" s="34">
        <v>202264</v>
      </c>
      <c r="F22" s="34" t="s">
        <v>250</v>
      </c>
      <c r="G22" s="34" t="s">
        <v>104</v>
      </c>
      <c r="H22" s="34" t="s">
        <v>20</v>
      </c>
      <c r="I22" s="35"/>
      <c r="J22" s="34">
        <v>28975269</v>
      </c>
      <c r="K22" s="34" t="s">
        <v>257</v>
      </c>
      <c r="L22" s="34" t="str">
        <f>_xlfn.XLOOKUP(Tabla2__2[[#This Row],[CODIGO RUTA]],'DATA INFORME'!I:I,'DATA INFORME'!K:K)</f>
        <v>SI</v>
      </c>
      <c r="M22" s="34" t="str">
        <f>IF(Tabla2__2[[#This Row],[MYSTERY EFECTIVO]]="SI",_xlfn.XLOOKUP(Tabla2__2[[#This Row],[PREGUNTA]],ENCUESTA!G:G,ENCUESTA!D:D),"N/A")</f>
        <v>EJECUCIÓN DEL PDV</v>
      </c>
      <c r="N2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2" s="34" t="str">
        <f>_xlfn.XLOOKUP(Tabla2__2[[#This Row],[PREGUNTA]],ENCUESTA!G:G,ENCUESTA!H:H)</f>
        <v>SI</v>
      </c>
      <c r="P22" s="34">
        <f>IF(Tabla2__2[[#This Row],[RTA]]=Tabla2__2[[#This Row],[RTA CORRECTA]],Tabla2__2[[#This Row],[TOTAL PUNTAJE]],0)</f>
        <v>3.75</v>
      </c>
      <c r="Q22" s="34">
        <f>IF(OR(H22="Dog Chow húmedo",H22="Cat Chow húmedo",H22="Fancy Feast",H22="Felix",H22="Proplan húmedo",H22="One húmedo",H22="Snack Abrazzos",H22="Snak Dentalife",H22="Arenilla Tidy Cat"),N22,0)</f>
        <v>0</v>
      </c>
      <c r="R22" s="34"/>
    </row>
    <row r="23" spans="1:18" x14ac:dyDescent="0.25">
      <c r="A23" s="34" t="s">
        <v>113</v>
      </c>
      <c r="B23" s="34" t="s">
        <v>246</v>
      </c>
      <c r="C23" t="s">
        <v>43</v>
      </c>
      <c r="D23" s="34" t="s">
        <v>247</v>
      </c>
      <c r="E23" s="34">
        <v>202264</v>
      </c>
      <c r="F23" s="34" t="s">
        <v>250</v>
      </c>
      <c r="G23" s="34" t="s">
        <v>103</v>
      </c>
      <c r="H23" s="34" t="s">
        <v>20</v>
      </c>
      <c r="I23" s="35"/>
      <c r="J23" s="34">
        <v>28975269</v>
      </c>
      <c r="K23" s="34" t="s">
        <v>257</v>
      </c>
      <c r="L23" s="34" t="str">
        <f>_xlfn.XLOOKUP(Tabla2__2[[#This Row],[CODIGO RUTA]],'DATA INFORME'!I:I,'DATA INFORME'!K:K)</f>
        <v>SI</v>
      </c>
      <c r="M23" s="34" t="str">
        <f>IF(Tabla2__2[[#This Row],[MYSTERY EFECTIVO]]="SI",_xlfn.XLOOKUP(Tabla2__2[[#This Row],[PREGUNTA]],ENCUESTA!G:G,ENCUESTA!D:D),"N/A")</f>
        <v>EJECUCIÓN DEL PDV</v>
      </c>
      <c r="N2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3" s="34" t="str">
        <f>_xlfn.XLOOKUP(Tabla2__2[[#This Row],[PREGUNTA]],ENCUESTA!G:G,ENCUESTA!H:H)</f>
        <v>SI</v>
      </c>
      <c r="P23" s="34">
        <f>IF(Tabla2__2[[#This Row],[RTA]]=Tabla2__2[[#This Row],[RTA CORRECTA]],Tabla2__2[[#This Row],[TOTAL PUNTAJE]],0)</f>
        <v>3.75</v>
      </c>
      <c r="Q23" s="34">
        <f>IF(OR(H23="Dog Chow húmedo",H23="Cat Chow húmedo",H23="Fancy Feast",H23="Felix",H23="Proplan húmedo",H23="One húmedo",H23="Snack Abrazzos",H23="Snak Dentalife",H23="Arenilla Tidy Cat"),N23,0)</f>
        <v>0</v>
      </c>
      <c r="R23" s="34"/>
    </row>
    <row r="24" spans="1:18" x14ac:dyDescent="0.25">
      <c r="A24" s="34" t="s">
        <v>113</v>
      </c>
      <c r="B24" s="34" t="s">
        <v>246</v>
      </c>
      <c r="C24" t="s">
        <v>43</v>
      </c>
      <c r="D24" s="34" t="s">
        <v>247</v>
      </c>
      <c r="E24" s="34">
        <v>202264</v>
      </c>
      <c r="F24" s="34" t="s">
        <v>250</v>
      </c>
      <c r="G24" s="34" t="s">
        <v>102</v>
      </c>
      <c r="H24" s="34" t="s">
        <v>20</v>
      </c>
      <c r="I24" s="35"/>
      <c r="J24" s="34">
        <v>28975269</v>
      </c>
      <c r="K24" s="34" t="s">
        <v>257</v>
      </c>
      <c r="L24" s="34" t="str">
        <f>_xlfn.XLOOKUP(Tabla2__2[[#This Row],[CODIGO RUTA]],'DATA INFORME'!I:I,'DATA INFORME'!K:K)</f>
        <v>SI</v>
      </c>
      <c r="M24" s="34" t="str">
        <f>IF(Tabla2__2[[#This Row],[MYSTERY EFECTIVO]]="SI",_xlfn.XLOOKUP(Tabla2__2[[#This Row],[PREGUNTA]],ENCUESTA!G:G,ENCUESTA!D:D),"N/A")</f>
        <v>EJECUCIÓN DEL PDV</v>
      </c>
      <c r="N2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 s="34" t="str">
        <f>_xlfn.XLOOKUP(Tabla2__2[[#This Row],[PREGUNTA]],ENCUESTA!G:G,ENCUESTA!H:H)</f>
        <v>SI</v>
      </c>
      <c r="P24" s="34">
        <f>IF(Tabla2__2[[#This Row],[RTA]]=Tabla2__2[[#This Row],[RTA CORRECTA]],Tabla2__2[[#This Row],[TOTAL PUNTAJE]],0)</f>
        <v>3.75</v>
      </c>
      <c r="Q24" s="34">
        <f>IF(OR(H24="Dog Chow húmedo",H24="Cat Chow húmedo",H24="Fancy Feast",H24="Felix",H24="Proplan húmedo",H24="One húmedo",H24="Snack Abrazzos",H24="Snak Dentalife",H24="Arenilla Tidy Cat"),N24,0)</f>
        <v>0</v>
      </c>
      <c r="R24" s="34"/>
    </row>
    <row r="25" spans="1:18" x14ac:dyDescent="0.25">
      <c r="A25" s="34" t="s">
        <v>113</v>
      </c>
      <c r="B25" s="34" t="s">
        <v>246</v>
      </c>
      <c r="C25" t="s">
        <v>43</v>
      </c>
      <c r="D25" s="34" t="s">
        <v>247</v>
      </c>
      <c r="E25" s="34">
        <v>202264</v>
      </c>
      <c r="F25" s="34" t="s">
        <v>250</v>
      </c>
      <c r="G25" s="34" t="s">
        <v>101</v>
      </c>
      <c r="H25" s="34" t="s">
        <v>20</v>
      </c>
      <c r="I25" s="35"/>
      <c r="J25" s="34">
        <v>28975269</v>
      </c>
      <c r="K25" s="34" t="s">
        <v>257</v>
      </c>
      <c r="L25" s="34" t="str">
        <f>_xlfn.XLOOKUP(Tabla2__2[[#This Row],[CODIGO RUTA]],'DATA INFORME'!I:I,'DATA INFORME'!K:K)</f>
        <v>SI</v>
      </c>
      <c r="M25" s="34" t="str">
        <f>IF(Tabla2__2[[#This Row],[MYSTERY EFECTIVO]]="SI",_xlfn.XLOOKUP(Tabla2__2[[#This Row],[PREGUNTA]],ENCUESTA!G:G,ENCUESTA!D:D),"N/A")</f>
        <v>EJECUCIÓN DEL PDV</v>
      </c>
      <c r="N2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5" s="34" t="str">
        <f>_xlfn.XLOOKUP(Tabla2__2[[#This Row],[PREGUNTA]],ENCUESTA!G:G,ENCUESTA!H:H)</f>
        <v>SI</v>
      </c>
      <c r="P25" s="34">
        <f>IF(Tabla2__2[[#This Row],[RTA]]=Tabla2__2[[#This Row],[RTA CORRECTA]],Tabla2__2[[#This Row],[TOTAL PUNTAJE]],0)</f>
        <v>3.75</v>
      </c>
      <c r="Q25" s="34">
        <f>IF(OR(H25="Dog Chow húmedo",H25="Cat Chow húmedo",H25="Fancy Feast",H25="Felix",H25="Proplan húmedo",H25="One húmedo",H25="Snack Abrazzos",H25="Snak Dentalife",H25="Arenilla Tidy Cat"),N25,0)</f>
        <v>0</v>
      </c>
      <c r="R25" s="34"/>
    </row>
    <row r="26" spans="1:18" x14ac:dyDescent="0.25">
      <c r="A26" s="34" t="s">
        <v>113</v>
      </c>
      <c r="B26" s="34" t="s">
        <v>246</v>
      </c>
      <c r="C26" t="s">
        <v>43</v>
      </c>
      <c r="D26" s="34" t="s">
        <v>247</v>
      </c>
      <c r="E26" s="34">
        <v>202264</v>
      </c>
      <c r="F26" s="34" t="s">
        <v>250</v>
      </c>
      <c r="G26" s="34" t="s">
        <v>100</v>
      </c>
      <c r="H26" s="34" t="s">
        <v>20</v>
      </c>
      <c r="I26" s="35"/>
      <c r="J26" s="34">
        <v>28975269</v>
      </c>
      <c r="K26" s="34" t="s">
        <v>257</v>
      </c>
      <c r="L26" s="34" t="str">
        <f>_xlfn.XLOOKUP(Tabla2__2[[#This Row],[CODIGO RUTA]],'DATA INFORME'!I:I,'DATA INFORME'!K:K)</f>
        <v>SI</v>
      </c>
      <c r="M26" s="34" t="str">
        <f>IF(Tabla2__2[[#This Row],[MYSTERY EFECTIVO]]="SI",_xlfn.XLOOKUP(Tabla2__2[[#This Row],[PREGUNTA]],ENCUESTA!G:G,ENCUESTA!D:D),"N/A")</f>
        <v>EJECUCIÓN DEL PDV</v>
      </c>
      <c r="N2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6" s="34" t="str">
        <f>_xlfn.XLOOKUP(Tabla2__2[[#This Row],[PREGUNTA]],ENCUESTA!G:G,ENCUESTA!H:H)</f>
        <v>SI</v>
      </c>
      <c r="P26" s="34">
        <f>IF(Tabla2__2[[#This Row],[RTA]]=Tabla2__2[[#This Row],[RTA CORRECTA]],Tabla2__2[[#This Row],[TOTAL PUNTAJE]],0)</f>
        <v>3.75</v>
      </c>
      <c r="Q26" s="34">
        <f>IF(OR(H26="Dog Chow húmedo",H26="Cat Chow húmedo",H26="Fancy Feast",H26="Felix",H26="Proplan húmedo",H26="One húmedo",H26="Snack Abrazzos",H26="Snak Dentalife",H26="Arenilla Tidy Cat"),N26,0)</f>
        <v>0</v>
      </c>
      <c r="R26" s="34"/>
    </row>
    <row r="27" spans="1:18" x14ac:dyDescent="0.25">
      <c r="A27" s="34" t="s">
        <v>113</v>
      </c>
      <c r="B27" s="34" t="s">
        <v>246</v>
      </c>
      <c r="C27" t="s">
        <v>43</v>
      </c>
      <c r="D27" s="34" t="s">
        <v>247</v>
      </c>
      <c r="E27" s="34">
        <v>202264</v>
      </c>
      <c r="F27" s="34" t="s">
        <v>250</v>
      </c>
      <c r="G27" s="34" t="s">
        <v>35</v>
      </c>
      <c r="H27" s="34" t="s">
        <v>20</v>
      </c>
      <c r="I27" s="35"/>
      <c r="J27" s="34">
        <v>28975269</v>
      </c>
      <c r="K27" s="34" t="s">
        <v>257</v>
      </c>
      <c r="L27" s="34" t="str">
        <f>_xlfn.XLOOKUP(Tabla2__2[[#This Row],[CODIGO RUTA]],'DATA INFORME'!I:I,'DATA INFORME'!K:K)</f>
        <v>SI</v>
      </c>
      <c r="M27" s="34" t="str">
        <f>IF(Tabla2__2[[#This Row],[MYSTERY EFECTIVO]]="SI",_xlfn.XLOOKUP(Tabla2__2[[#This Row],[PREGUNTA]],ENCUESTA!G:G,ENCUESTA!D:D),"N/A")</f>
        <v>PRESENTACIÓN PERSONAL</v>
      </c>
      <c r="N2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7" s="34" t="str">
        <f>_xlfn.XLOOKUP(Tabla2__2[[#This Row],[PREGUNTA]],ENCUESTA!G:G,ENCUESTA!H:H)</f>
        <v>SI</v>
      </c>
      <c r="P27" s="34">
        <f>IF(Tabla2__2[[#This Row],[RTA]]=Tabla2__2[[#This Row],[RTA CORRECTA]],Tabla2__2[[#This Row],[TOTAL PUNTAJE]],0)</f>
        <v>1</v>
      </c>
      <c r="Q27" s="34">
        <f>IF(OR(H27="Dog Chow húmedo",H27="Cat Chow húmedo",H27="Fancy Feast",H27="Felix",H27="Proplan húmedo",H27="One húmedo",H27="Snack Abrazzos",H27="Snak Dentalife",H27="Arenilla Tidy Cat"),N27,0)</f>
        <v>0</v>
      </c>
      <c r="R27" s="34"/>
    </row>
    <row r="28" spans="1:18" x14ac:dyDescent="0.25">
      <c r="A28" s="34" t="s">
        <v>113</v>
      </c>
      <c r="B28" s="34" t="s">
        <v>246</v>
      </c>
      <c r="C28" t="s">
        <v>43</v>
      </c>
      <c r="D28" s="34" t="s">
        <v>247</v>
      </c>
      <c r="E28" s="34">
        <v>202264</v>
      </c>
      <c r="F28" s="34" t="s">
        <v>250</v>
      </c>
      <c r="G28" s="34" t="s">
        <v>99</v>
      </c>
      <c r="H28" s="34" t="s">
        <v>20</v>
      </c>
      <c r="I28" s="35"/>
      <c r="J28" s="34">
        <v>28975269</v>
      </c>
      <c r="K28" s="34" t="s">
        <v>257</v>
      </c>
      <c r="L28" s="34" t="str">
        <f>_xlfn.XLOOKUP(Tabla2__2[[#This Row],[CODIGO RUTA]],'DATA INFORME'!I:I,'DATA INFORME'!K:K)</f>
        <v>SI</v>
      </c>
      <c r="M28" s="34" t="str">
        <f>IF(Tabla2__2[[#This Row],[MYSTERY EFECTIVO]]="SI",_xlfn.XLOOKUP(Tabla2__2[[#This Row],[PREGUNTA]],ENCUESTA!G:G,ENCUESTA!D:D),"N/A")</f>
        <v>EJECUCIÓN DEL PDV</v>
      </c>
      <c r="N2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8" s="34" t="str">
        <f>_xlfn.XLOOKUP(Tabla2__2[[#This Row],[PREGUNTA]],ENCUESTA!G:G,ENCUESTA!H:H)</f>
        <v>SI</v>
      </c>
      <c r="P28" s="34">
        <f>IF(Tabla2__2[[#This Row],[RTA]]=Tabla2__2[[#This Row],[RTA CORRECTA]],Tabla2__2[[#This Row],[TOTAL PUNTAJE]],0)</f>
        <v>3.75</v>
      </c>
      <c r="Q28" s="34">
        <f>IF(OR(H28="Dog Chow húmedo",H28="Cat Chow húmedo",H28="Fancy Feast",H28="Felix",H28="Proplan húmedo",H28="One húmedo",H28="Snack Abrazzos",H28="Snak Dentalife",H28="Arenilla Tidy Cat"),N28,0)</f>
        <v>0</v>
      </c>
      <c r="R28" s="34"/>
    </row>
    <row r="29" spans="1:18" x14ac:dyDescent="0.25">
      <c r="A29" s="34" t="s">
        <v>113</v>
      </c>
      <c r="B29" s="34" t="s">
        <v>246</v>
      </c>
      <c r="C29" t="s">
        <v>43</v>
      </c>
      <c r="D29" s="34" t="s">
        <v>247</v>
      </c>
      <c r="E29" s="34">
        <v>202264</v>
      </c>
      <c r="F29" s="34" t="s">
        <v>250</v>
      </c>
      <c r="G29" s="34" t="s">
        <v>97</v>
      </c>
      <c r="H29" s="34" t="s">
        <v>112</v>
      </c>
      <c r="I29" s="35"/>
      <c r="J29" s="34">
        <v>28975269</v>
      </c>
      <c r="K29" s="34" t="s">
        <v>257</v>
      </c>
      <c r="L29" s="34" t="str">
        <f>_xlfn.XLOOKUP(Tabla2__2[[#This Row],[CODIGO RUTA]],'DATA INFORME'!I:I,'DATA INFORME'!K:K)</f>
        <v>SI</v>
      </c>
      <c r="M29" s="34" t="str">
        <f>IF(Tabla2__2[[#This Row],[MYSTERY EFECTIVO]]="SI",_xlfn.XLOOKUP(Tabla2__2[[#This Row],[PREGUNTA]],ENCUESTA!G:G,ENCUESTA!D:D),"N/A")</f>
        <v>PRESENTACIÓN PERSONAL</v>
      </c>
      <c r="N2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9" s="34" t="str">
        <f>_xlfn.XLOOKUP(Tabla2__2[[#This Row],[PREGUNTA]],ENCUESTA!G:G,ENCUESTA!H:H)</f>
        <v>NO</v>
      </c>
      <c r="P29" s="34">
        <f>IF(Tabla2__2[[#This Row],[RTA]]=Tabla2__2[[#This Row],[RTA CORRECTA]],Tabla2__2[[#This Row],[TOTAL PUNTAJE]],0)</f>
        <v>1</v>
      </c>
      <c r="Q29" s="34">
        <f>IF(OR(H29="Dog Chow húmedo",H29="Cat Chow húmedo",H29="Fancy Feast",H29="Felix",H29="Proplan húmedo",H29="One húmedo",H29="Snack Abrazzos",H29="Snak Dentalife",H29="Arenilla Tidy Cat"),N29,0)</f>
        <v>0</v>
      </c>
      <c r="R29" s="34"/>
    </row>
    <row r="30" spans="1:18" x14ac:dyDescent="0.25">
      <c r="A30" s="34" t="s">
        <v>113</v>
      </c>
      <c r="B30" s="34" t="s">
        <v>246</v>
      </c>
      <c r="C30" t="s">
        <v>43</v>
      </c>
      <c r="D30" s="34" t="s">
        <v>247</v>
      </c>
      <c r="E30" s="34">
        <v>202264</v>
      </c>
      <c r="F30" s="34" t="s">
        <v>250</v>
      </c>
      <c r="G30" s="34" t="s">
        <v>96</v>
      </c>
      <c r="H30" s="34" t="s">
        <v>112</v>
      </c>
      <c r="I30" s="35"/>
      <c r="J30" s="34">
        <v>28975269</v>
      </c>
      <c r="K30" s="34" t="s">
        <v>257</v>
      </c>
      <c r="L30" s="34" t="str">
        <f>_xlfn.XLOOKUP(Tabla2__2[[#This Row],[CODIGO RUTA]],'DATA INFORME'!I:I,'DATA INFORME'!K:K)</f>
        <v>SI</v>
      </c>
      <c r="M30" s="34" t="str">
        <f>IF(Tabla2__2[[#This Row],[MYSTERY EFECTIVO]]="SI",_xlfn.XLOOKUP(Tabla2__2[[#This Row],[PREGUNTA]],ENCUESTA!G:G,ENCUESTA!D:D),"N/A")</f>
        <v>PRESENTACIÓN PERSONAL</v>
      </c>
      <c r="N3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30" s="34" t="str">
        <f>_xlfn.XLOOKUP(Tabla2__2[[#This Row],[PREGUNTA]],ENCUESTA!G:G,ENCUESTA!H:H)</f>
        <v>NO</v>
      </c>
      <c r="P30" s="34">
        <f>IF(Tabla2__2[[#This Row],[RTA]]=Tabla2__2[[#This Row],[RTA CORRECTA]],Tabla2__2[[#This Row],[TOTAL PUNTAJE]],0)</f>
        <v>1</v>
      </c>
      <c r="Q30" s="34">
        <f>IF(OR(H30="Dog Chow húmedo",H30="Cat Chow húmedo",H30="Fancy Feast",H30="Felix",H30="Proplan húmedo",H30="One húmedo",H30="Snack Abrazzos",H30="Snak Dentalife",H30="Arenilla Tidy Cat"),N30,0)</f>
        <v>0</v>
      </c>
      <c r="R30" s="34"/>
    </row>
    <row r="31" spans="1:18" x14ac:dyDescent="0.25">
      <c r="A31" s="34" t="s">
        <v>113</v>
      </c>
      <c r="B31" s="34" t="s">
        <v>246</v>
      </c>
      <c r="C31" t="s">
        <v>43</v>
      </c>
      <c r="D31" s="34" t="s">
        <v>247</v>
      </c>
      <c r="E31" s="34">
        <v>202264</v>
      </c>
      <c r="F31" s="34" t="s">
        <v>250</v>
      </c>
      <c r="G31" s="34" t="s">
        <v>95</v>
      </c>
      <c r="H31" s="34" t="s">
        <v>112</v>
      </c>
      <c r="I31" s="35"/>
      <c r="J31" s="34">
        <v>28975269</v>
      </c>
      <c r="K31" s="34" t="s">
        <v>257</v>
      </c>
      <c r="L31" s="34" t="str">
        <f>_xlfn.XLOOKUP(Tabla2__2[[#This Row],[CODIGO RUTA]],'DATA INFORME'!I:I,'DATA INFORME'!K:K)</f>
        <v>SI</v>
      </c>
      <c r="M31" s="34" t="str">
        <f>IF(Tabla2__2[[#This Row],[MYSTERY EFECTIVO]]="SI",_xlfn.XLOOKUP(Tabla2__2[[#This Row],[PREGUNTA]],ENCUESTA!G:G,ENCUESTA!D:D),"N/A")</f>
        <v>PRESENTACIÓN PERSONAL</v>
      </c>
      <c r="N3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31" s="34" t="str">
        <f>_xlfn.XLOOKUP(Tabla2__2[[#This Row],[PREGUNTA]],ENCUESTA!G:G,ENCUESTA!H:H)</f>
        <v>NO</v>
      </c>
      <c r="P31" s="34">
        <f>IF(Tabla2__2[[#This Row],[RTA]]=Tabla2__2[[#This Row],[RTA CORRECTA]],Tabla2__2[[#This Row],[TOTAL PUNTAJE]],0)</f>
        <v>1</v>
      </c>
      <c r="Q31" s="34">
        <f>IF(OR(H31="Dog Chow húmedo",H31="Cat Chow húmedo",H31="Fancy Feast",H31="Felix",H31="Proplan húmedo",H31="One húmedo",H31="Snack Abrazzos",H31="Snak Dentalife",H31="Arenilla Tidy Cat"),N31,0)</f>
        <v>0</v>
      </c>
      <c r="R31" s="34"/>
    </row>
    <row r="32" spans="1:18" x14ac:dyDescent="0.25">
      <c r="A32" s="34" t="s">
        <v>113</v>
      </c>
      <c r="B32" s="34" t="s">
        <v>246</v>
      </c>
      <c r="C32" t="s">
        <v>43</v>
      </c>
      <c r="D32" s="34" t="s">
        <v>247</v>
      </c>
      <c r="E32" s="34">
        <v>202264</v>
      </c>
      <c r="F32" s="34" t="s">
        <v>250</v>
      </c>
      <c r="G32" s="34" t="s">
        <v>94</v>
      </c>
      <c r="H32" s="34" t="s">
        <v>112</v>
      </c>
      <c r="I32" s="35"/>
      <c r="J32" s="34">
        <v>28975269</v>
      </c>
      <c r="K32" s="34" t="s">
        <v>257</v>
      </c>
      <c r="L32" s="34" t="str">
        <f>_xlfn.XLOOKUP(Tabla2__2[[#This Row],[CODIGO RUTA]],'DATA INFORME'!I:I,'DATA INFORME'!K:K)</f>
        <v>SI</v>
      </c>
      <c r="M32" s="34" t="str">
        <f>IF(Tabla2__2[[#This Row],[MYSTERY EFECTIVO]]="SI",_xlfn.XLOOKUP(Tabla2__2[[#This Row],[PREGUNTA]],ENCUESTA!G:G,ENCUESTA!D:D),"N/A")</f>
        <v>PRESENTACIÓN PERSONAL</v>
      </c>
      <c r="N3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32" s="34" t="str">
        <f>_xlfn.XLOOKUP(Tabla2__2[[#This Row],[PREGUNTA]],ENCUESTA!G:G,ENCUESTA!H:H)</f>
        <v>NO</v>
      </c>
      <c r="P32" s="34">
        <f>IF(Tabla2__2[[#This Row],[RTA]]=Tabla2__2[[#This Row],[RTA CORRECTA]],Tabla2__2[[#This Row],[TOTAL PUNTAJE]],0)</f>
        <v>1</v>
      </c>
      <c r="Q32" s="34">
        <f>IF(OR(H32="Dog Chow húmedo",H32="Cat Chow húmedo",H32="Fancy Feast",H32="Felix",H32="Proplan húmedo",H32="One húmedo",H32="Snack Abrazzos",H32="Snak Dentalife",H32="Arenilla Tidy Cat"),N32,0)</f>
        <v>0</v>
      </c>
      <c r="R32" s="34"/>
    </row>
    <row r="33" spans="1:18" x14ac:dyDescent="0.25">
      <c r="A33" s="34" t="s">
        <v>113</v>
      </c>
      <c r="B33" s="34" t="s">
        <v>246</v>
      </c>
      <c r="C33" t="s">
        <v>43</v>
      </c>
      <c r="D33" s="34" t="s">
        <v>247</v>
      </c>
      <c r="E33" s="34">
        <v>202264</v>
      </c>
      <c r="F33" s="34" t="s">
        <v>250</v>
      </c>
      <c r="G33" s="34" t="s">
        <v>93</v>
      </c>
      <c r="H33" s="34" t="s">
        <v>20</v>
      </c>
      <c r="I33" s="35"/>
      <c r="J33" s="34">
        <v>28975269</v>
      </c>
      <c r="K33" s="34" t="s">
        <v>257</v>
      </c>
      <c r="L33" s="34" t="str">
        <f>_xlfn.XLOOKUP(Tabla2__2[[#This Row],[CODIGO RUTA]],'DATA INFORME'!I:I,'DATA INFORME'!K:K)</f>
        <v>SI</v>
      </c>
      <c r="M33" s="34" t="str">
        <f>IF(Tabla2__2[[#This Row],[MYSTERY EFECTIVO]]="SI",_xlfn.XLOOKUP(Tabla2__2[[#This Row],[PREGUNTA]],ENCUESTA!G:G,ENCUESTA!D:D),"N/A")</f>
        <v>PRESENTACIÓN PERSONAL</v>
      </c>
      <c r="N3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33" s="34" t="str">
        <f>_xlfn.XLOOKUP(Tabla2__2[[#This Row],[PREGUNTA]],ENCUESTA!G:G,ENCUESTA!H:H)</f>
        <v>SI</v>
      </c>
      <c r="P33" s="34">
        <f>IF(Tabla2__2[[#This Row],[RTA]]=Tabla2__2[[#This Row],[RTA CORRECTA]],Tabla2__2[[#This Row],[TOTAL PUNTAJE]],0)</f>
        <v>1</v>
      </c>
      <c r="Q33" s="34">
        <f>IF(OR(H33="Dog Chow húmedo",H33="Cat Chow húmedo",H33="Fancy Feast",H33="Felix",H33="Proplan húmedo",H33="One húmedo",H33="Snack Abrazzos",H33="Snak Dentalife",H33="Arenilla Tidy Cat"),N33,0)</f>
        <v>0</v>
      </c>
      <c r="R33" s="34"/>
    </row>
    <row r="34" spans="1:18" x14ac:dyDescent="0.25">
      <c r="A34" s="34" t="s">
        <v>113</v>
      </c>
      <c r="B34" s="34" t="s">
        <v>246</v>
      </c>
      <c r="C34" t="s">
        <v>43</v>
      </c>
      <c r="D34" s="34" t="s">
        <v>247</v>
      </c>
      <c r="E34" s="34">
        <v>202264</v>
      </c>
      <c r="F34" s="34" t="s">
        <v>250</v>
      </c>
      <c r="G34" s="34" t="s">
        <v>92</v>
      </c>
      <c r="H34" s="34" t="s">
        <v>20</v>
      </c>
      <c r="I34" s="35"/>
      <c r="J34" s="34">
        <v>28975269</v>
      </c>
      <c r="K34" s="34" t="s">
        <v>257</v>
      </c>
      <c r="L34" s="34" t="str">
        <f>_xlfn.XLOOKUP(Tabla2__2[[#This Row],[CODIGO RUTA]],'DATA INFORME'!I:I,'DATA INFORME'!K:K)</f>
        <v>SI</v>
      </c>
      <c r="M34" s="34" t="str">
        <f>IF(Tabla2__2[[#This Row],[MYSTERY EFECTIVO]]="SI",_xlfn.XLOOKUP(Tabla2__2[[#This Row],[PREGUNTA]],ENCUESTA!G:G,ENCUESTA!D:D),"N/A")</f>
        <v>PRESENTACIÓN PERSONAL</v>
      </c>
      <c r="N3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34" s="34" t="str">
        <f>_xlfn.XLOOKUP(Tabla2__2[[#This Row],[PREGUNTA]],ENCUESTA!G:G,ENCUESTA!H:H)</f>
        <v>SI</v>
      </c>
      <c r="P34" s="34">
        <f>IF(Tabla2__2[[#This Row],[RTA]]=Tabla2__2[[#This Row],[RTA CORRECTA]],Tabla2__2[[#This Row],[TOTAL PUNTAJE]],0)</f>
        <v>1</v>
      </c>
      <c r="Q34" s="34">
        <f>IF(OR(H34="Dog Chow húmedo",H34="Cat Chow húmedo",H34="Fancy Feast",H34="Felix",H34="Proplan húmedo",H34="One húmedo",H34="Snack Abrazzos",H34="Snak Dentalife",H34="Arenilla Tidy Cat"),N34,0)</f>
        <v>0</v>
      </c>
      <c r="R34" s="34"/>
    </row>
    <row r="35" spans="1:18" x14ac:dyDescent="0.25">
      <c r="A35" s="34" t="s">
        <v>113</v>
      </c>
      <c r="B35" s="34" t="s">
        <v>246</v>
      </c>
      <c r="C35" t="s">
        <v>43</v>
      </c>
      <c r="D35" s="34" t="s">
        <v>247</v>
      </c>
      <c r="E35" s="34">
        <v>202264</v>
      </c>
      <c r="F35" s="34" t="s">
        <v>250</v>
      </c>
      <c r="G35" s="34" t="s">
        <v>98</v>
      </c>
      <c r="H35" s="34" t="s">
        <v>20</v>
      </c>
      <c r="I35" s="35"/>
      <c r="J35" s="34">
        <v>28975269</v>
      </c>
      <c r="K35" s="34" t="s">
        <v>257</v>
      </c>
      <c r="L35" s="34" t="str">
        <f>_xlfn.XLOOKUP(Tabla2__2[[#This Row],[CODIGO RUTA]],'DATA INFORME'!I:I,'DATA INFORME'!K:K)</f>
        <v>SI</v>
      </c>
      <c r="M35" s="34" t="str">
        <f>IF(Tabla2__2[[#This Row],[MYSTERY EFECTIVO]]="SI",_xlfn.XLOOKUP(Tabla2__2[[#This Row],[PREGUNTA]],ENCUESTA!G:G,ENCUESTA!D:D),"N/A")</f>
        <v>EJECUCIÓN DEL PDV</v>
      </c>
      <c r="N3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5" s="34" t="str">
        <f>_xlfn.XLOOKUP(Tabla2__2[[#This Row],[PREGUNTA]],ENCUESTA!G:G,ENCUESTA!H:H)</f>
        <v>SI</v>
      </c>
      <c r="P35" s="34">
        <f>IF(Tabla2__2[[#This Row],[RTA]]=Tabla2__2[[#This Row],[RTA CORRECTA]],Tabla2__2[[#This Row],[TOTAL PUNTAJE]],0)</f>
        <v>3.75</v>
      </c>
      <c r="Q35" s="34">
        <f>IF(OR(H35="Dog Chow húmedo",H35="Cat Chow húmedo",H35="Fancy Feast",H35="Felix",H35="Proplan húmedo",H35="One húmedo",H35="Snack Abrazzos",H35="Snak Dentalife",H35="Arenilla Tidy Cat"),N35,0)</f>
        <v>0</v>
      </c>
      <c r="R35" s="34"/>
    </row>
    <row r="36" spans="1:18" x14ac:dyDescent="0.25">
      <c r="A36" s="34" t="s">
        <v>113</v>
      </c>
      <c r="B36" s="34" t="s">
        <v>246</v>
      </c>
      <c r="C36" t="s">
        <v>43</v>
      </c>
      <c r="D36" s="34" t="s">
        <v>247</v>
      </c>
      <c r="E36" s="34">
        <v>202264</v>
      </c>
      <c r="F36" s="34" t="s">
        <v>250</v>
      </c>
      <c r="G36" s="34" t="s">
        <v>105</v>
      </c>
      <c r="H36" s="34" t="s">
        <v>117</v>
      </c>
      <c r="I36" s="35"/>
      <c r="J36" s="34">
        <v>28975269</v>
      </c>
      <c r="K36" s="34" t="s">
        <v>257</v>
      </c>
      <c r="L36" s="34" t="str">
        <f>_xlfn.XLOOKUP(Tabla2__2[[#This Row],[CODIGO RUTA]],'DATA INFORME'!I:I,'DATA INFORME'!K:K)</f>
        <v>SI</v>
      </c>
      <c r="M36" s="34" t="str">
        <f>IF(Tabla2__2[[#This Row],[MYSTERY EFECTIVO]]="SI",_xlfn.XLOOKUP(Tabla2__2[[#This Row],[PREGUNTA]],ENCUESTA!G:G,ENCUESTA!D:D),"N/A")</f>
        <v>N/A</v>
      </c>
      <c r="N3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 s="34">
        <f>_xlfn.XLOOKUP(Tabla2__2[[#This Row],[PREGUNTA]],ENCUESTA!G:G,ENCUESTA!H:H)</f>
        <v>0</v>
      </c>
      <c r="P36" s="34">
        <f>IF(Tabla2__2[[#This Row],[RTA]]=Tabla2__2[[#This Row],[RTA CORRECTA]],Tabla2__2[[#This Row],[TOTAL PUNTAJE]],0)</f>
        <v>0</v>
      </c>
      <c r="Q36" s="34">
        <f>IF(OR(H36="Dog Chow húmedo",H36="Cat Chow húmedo",H36="Fancy Feast",H36="Felix",H36="Proplan húmedo",H36="One húmedo",H36="Snack Abrazzos",H36="Snak Dentalife",H36="Arenilla Tidy Cat"),N36,0)</f>
        <v>0</v>
      </c>
      <c r="R36" s="34"/>
    </row>
    <row r="37" spans="1:18" x14ac:dyDescent="0.25">
      <c r="A37" s="34" t="s">
        <v>113</v>
      </c>
      <c r="B37" s="34" t="s">
        <v>119</v>
      </c>
      <c r="C37" t="s">
        <v>15</v>
      </c>
      <c r="D37" s="34" t="s">
        <v>122</v>
      </c>
      <c r="E37" s="34">
        <v>363615</v>
      </c>
      <c r="F37" s="34" t="s">
        <v>239</v>
      </c>
      <c r="G37" s="34" t="s">
        <v>97</v>
      </c>
      <c r="H37" s="34" t="s">
        <v>112</v>
      </c>
      <c r="I37" s="35"/>
      <c r="J37" s="34">
        <v>28972671</v>
      </c>
      <c r="K37" s="34" t="s">
        <v>121</v>
      </c>
      <c r="L37" s="34" t="str">
        <f>_xlfn.XLOOKUP(Tabla2__2[[#This Row],[CODIGO RUTA]],'DATA INFORME'!I:I,'DATA INFORME'!K:K)</f>
        <v>SI</v>
      </c>
      <c r="M37" s="34" t="str">
        <f>IF(Tabla2__2[[#This Row],[MYSTERY EFECTIVO]]="SI",_xlfn.XLOOKUP(Tabla2__2[[#This Row],[PREGUNTA]],ENCUESTA!G:G,ENCUESTA!D:D),"N/A")</f>
        <v>PRESENTACIÓN PERSONAL</v>
      </c>
      <c r="N3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37" s="34" t="str">
        <f>_xlfn.XLOOKUP(Tabla2__2[[#This Row],[PREGUNTA]],ENCUESTA!G:G,ENCUESTA!H:H)</f>
        <v>NO</v>
      </c>
      <c r="P37" s="34">
        <f>IF(Tabla2__2[[#This Row],[RTA]]=Tabla2__2[[#This Row],[RTA CORRECTA]],Tabla2__2[[#This Row],[TOTAL PUNTAJE]],0)</f>
        <v>1</v>
      </c>
      <c r="Q37" s="34">
        <f>IF(OR(H37="Dog Chow húmedo",H37="Cat Chow húmedo",H37="Fancy Feast",H37="Felix",H37="Proplan húmedo",H37="One húmedo",H37="Snack Abrazzos",H37="Snak Dentalife",H37="Arenilla Tidy Cat"),N37,0)</f>
        <v>0</v>
      </c>
      <c r="R37" s="34"/>
    </row>
    <row r="38" spans="1:18" x14ac:dyDescent="0.25">
      <c r="A38" s="34" t="s">
        <v>113</v>
      </c>
      <c r="B38" s="34" t="s">
        <v>119</v>
      </c>
      <c r="C38" t="s">
        <v>15</v>
      </c>
      <c r="D38" s="34" t="s">
        <v>122</v>
      </c>
      <c r="E38" s="34">
        <v>363615</v>
      </c>
      <c r="F38" s="34" t="s">
        <v>239</v>
      </c>
      <c r="G38" s="34" t="s">
        <v>95</v>
      </c>
      <c r="H38" s="34" t="s">
        <v>112</v>
      </c>
      <c r="I38" s="35"/>
      <c r="J38" s="34">
        <v>28972671</v>
      </c>
      <c r="K38" s="34" t="s">
        <v>121</v>
      </c>
      <c r="L38" s="34" t="str">
        <f>_xlfn.XLOOKUP(Tabla2__2[[#This Row],[CODIGO RUTA]],'DATA INFORME'!I:I,'DATA INFORME'!K:K)</f>
        <v>SI</v>
      </c>
      <c r="M38" s="34" t="str">
        <f>IF(Tabla2__2[[#This Row],[MYSTERY EFECTIVO]]="SI",_xlfn.XLOOKUP(Tabla2__2[[#This Row],[PREGUNTA]],ENCUESTA!G:G,ENCUESTA!D:D),"N/A")</f>
        <v>PRESENTACIÓN PERSONAL</v>
      </c>
      <c r="N3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38" s="34" t="str">
        <f>_xlfn.XLOOKUP(Tabla2__2[[#This Row],[PREGUNTA]],ENCUESTA!G:G,ENCUESTA!H:H)</f>
        <v>NO</v>
      </c>
      <c r="P38" s="34">
        <f>IF(Tabla2__2[[#This Row],[RTA]]=Tabla2__2[[#This Row],[RTA CORRECTA]],Tabla2__2[[#This Row],[TOTAL PUNTAJE]],0)</f>
        <v>1</v>
      </c>
      <c r="Q38" s="34">
        <f>IF(OR(H38="Dog Chow húmedo",H38="Cat Chow húmedo",H38="Fancy Feast",H38="Felix",H38="Proplan húmedo",H38="One húmedo",H38="Snack Abrazzos",H38="Snak Dentalife",H38="Arenilla Tidy Cat"),N38,0)</f>
        <v>0</v>
      </c>
      <c r="R38" s="34"/>
    </row>
    <row r="39" spans="1:18" x14ac:dyDescent="0.25">
      <c r="A39" s="34" t="s">
        <v>113</v>
      </c>
      <c r="B39" s="34" t="s">
        <v>135</v>
      </c>
      <c r="C39" t="s">
        <v>14</v>
      </c>
      <c r="D39" s="34" t="s">
        <v>136</v>
      </c>
      <c r="E39" s="34">
        <v>191457</v>
      </c>
      <c r="F39" s="34" t="s">
        <v>210</v>
      </c>
      <c r="G39" s="34" t="s">
        <v>101</v>
      </c>
      <c r="H39" s="34" t="s">
        <v>20</v>
      </c>
      <c r="I39" s="35"/>
      <c r="J39" s="34">
        <v>28968760</v>
      </c>
      <c r="K39" s="34" t="s">
        <v>139</v>
      </c>
      <c r="L39" s="34" t="str">
        <f>_xlfn.XLOOKUP(Tabla2__2[[#This Row],[CODIGO RUTA]],'DATA INFORME'!I:I,'DATA INFORME'!K:K)</f>
        <v>SI</v>
      </c>
      <c r="M39" s="34" t="str">
        <f>IF(Tabla2__2[[#This Row],[MYSTERY EFECTIVO]]="SI",_xlfn.XLOOKUP(Tabla2__2[[#This Row],[PREGUNTA]],ENCUESTA!G:G,ENCUESTA!D:D),"N/A")</f>
        <v>EJECUCIÓN DEL PDV</v>
      </c>
      <c r="N3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9" s="34" t="str">
        <f>_xlfn.XLOOKUP(Tabla2__2[[#This Row],[PREGUNTA]],ENCUESTA!G:G,ENCUESTA!H:H)</f>
        <v>SI</v>
      </c>
      <c r="P39" s="34">
        <f>IF(Tabla2__2[[#This Row],[RTA]]=Tabla2__2[[#This Row],[RTA CORRECTA]],Tabla2__2[[#This Row],[TOTAL PUNTAJE]],0)</f>
        <v>3.75</v>
      </c>
      <c r="Q39" s="34">
        <f>IF(OR(H39="Dog Chow húmedo",H39="Cat Chow húmedo",H39="Fancy Feast",H39="Felix",H39="Proplan húmedo",H39="One húmedo",H39="Snack Abrazzos",H39="Snak Dentalife",H39="Arenilla Tidy Cat"),N39,0)</f>
        <v>0</v>
      </c>
      <c r="R39" s="34"/>
    </row>
    <row r="40" spans="1:18" x14ac:dyDescent="0.25">
      <c r="A40" s="34" t="s">
        <v>113</v>
      </c>
      <c r="B40" s="34" t="s">
        <v>135</v>
      </c>
      <c r="C40" t="s">
        <v>14</v>
      </c>
      <c r="D40" s="34" t="s">
        <v>136</v>
      </c>
      <c r="E40" s="34">
        <v>191457</v>
      </c>
      <c r="F40" s="34" t="s">
        <v>210</v>
      </c>
      <c r="G40" s="34" t="s">
        <v>100</v>
      </c>
      <c r="H40" s="34" t="s">
        <v>20</v>
      </c>
      <c r="I40" s="35"/>
      <c r="J40" s="34">
        <v>28968760</v>
      </c>
      <c r="K40" s="34" t="s">
        <v>139</v>
      </c>
      <c r="L40" s="34" t="str">
        <f>_xlfn.XLOOKUP(Tabla2__2[[#This Row],[CODIGO RUTA]],'DATA INFORME'!I:I,'DATA INFORME'!K:K)</f>
        <v>SI</v>
      </c>
      <c r="M40" s="34" t="str">
        <f>IF(Tabla2__2[[#This Row],[MYSTERY EFECTIVO]]="SI",_xlfn.XLOOKUP(Tabla2__2[[#This Row],[PREGUNTA]],ENCUESTA!G:G,ENCUESTA!D:D),"N/A")</f>
        <v>EJECUCIÓN DEL PDV</v>
      </c>
      <c r="N4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0" s="34" t="str">
        <f>_xlfn.XLOOKUP(Tabla2__2[[#This Row],[PREGUNTA]],ENCUESTA!G:G,ENCUESTA!H:H)</f>
        <v>SI</v>
      </c>
      <c r="P40" s="34">
        <f>IF(Tabla2__2[[#This Row],[RTA]]=Tabla2__2[[#This Row],[RTA CORRECTA]],Tabla2__2[[#This Row],[TOTAL PUNTAJE]],0)</f>
        <v>3.75</v>
      </c>
      <c r="Q40" s="34">
        <f>IF(OR(H40="Dog Chow húmedo",H40="Cat Chow húmedo",H40="Fancy Feast",H40="Felix",H40="Proplan húmedo",H40="One húmedo",H40="Snack Abrazzos",H40="Snak Dentalife",H40="Arenilla Tidy Cat"),N40,0)</f>
        <v>0</v>
      </c>
      <c r="R40" s="34"/>
    </row>
    <row r="41" spans="1:18" x14ac:dyDescent="0.25">
      <c r="A41" s="34" t="s">
        <v>113</v>
      </c>
      <c r="B41" s="34" t="s">
        <v>135</v>
      </c>
      <c r="C41" t="s">
        <v>14</v>
      </c>
      <c r="D41" s="34" t="s">
        <v>136</v>
      </c>
      <c r="E41" s="34">
        <v>191457</v>
      </c>
      <c r="F41" s="34" t="s">
        <v>210</v>
      </c>
      <c r="G41" s="34" t="s">
        <v>99</v>
      </c>
      <c r="H41" s="34" t="s">
        <v>20</v>
      </c>
      <c r="I41" s="35"/>
      <c r="J41" s="34">
        <v>28968760</v>
      </c>
      <c r="K41" s="34" t="s">
        <v>139</v>
      </c>
      <c r="L41" s="34" t="str">
        <f>_xlfn.XLOOKUP(Tabla2__2[[#This Row],[CODIGO RUTA]],'DATA INFORME'!I:I,'DATA INFORME'!K:K)</f>
        <v>SI</v>
      </c>
      <c r="M41" s="34" t="str">
        <f>IF(Tabla2__2[[#This Row],[MYSTERY EFECTIVO]]="SI",_xlfn.XLOOKUP(Tabla2__2[[#This Row],[PREGUNTA]],ENCUESTA!G:G,ENCUESTA!D:D),"N/A")</f>
        <v>EJECUCIÓN DEL PDV</v>
      </c>
      <c r="N4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1" s="34" t="str">
        <f>_xlfn.XLOOKUP(Tabla2__2[[#This Row],[PREGUNTA]],ENCUESTA!G:G,ENCUESTA!H:H)</f>
        <v>SI</v>
      </c>
      <c r="P41" s="34">
        <f>IF(Tabla2__2[[#This Row],[RTA]]=Tabla2__2[[#This Row],[RTA CORRECTA]],Tabla2__2[[#This Row],[TOTAL PUNTAJE]],0)</f>
        <v>3.75</v>
      </c>
      <c r="Q41" s="34">
        <f>IF(OR(H41="Dog Chow húmedo",H41="Cat Chow húmedo",H41="Fancy Feast",H41="Felix",H41="Proplan húmedo",H41="One húmedo",H41="Snack Abrazzos",H41="Snak Dentalife",H41="Arenilla Tidy Cat"),N41,0)</f>
        <v>0</v>
      </c>
      <c r="R41" s="34"/>
    </row>
    <row r="42" spans="1:18" x14ac:dyDescent="0.25">
      <c r="A42" s="34" t="s">
        <v>113</v>
      </c>
      <c r="B42" s="34" t="s">
        <v>135</v>
      </c>
      <c r="C42" t="s">
        <v>14</v>
      </c>
      <c r="D42" s="34" t="s">
        <v>136</v>
      </c>
      <c r="E42" s="34">
        <v>191457</v>
      </c>
      <c r="F42" s="34" t="s">
        <v>210</v>
      </c>
      <c r="G42" s="34" t="s">
        <v>98</v>
      </c>
      <c r="H42" s="34" t="s">
        <v>20</v>
      </c>
      <c r="I42" s="35"/>
      <c r="J42" s="34">
        <v>28968760</v>
      </c>
      <c r="K42" s="34" t="s">
        <v>139</v>
      </c>
      <c r="L42" s="34" t="str">
        <f>_xlfn.XLOOKUP(Tabla2__2[[#This Row],[CODIGO RUTA]],'DATA INFORME'!I:I,'DATA INFORME'!K:K)</f>
        <v>SI</v>
      </c>
      <c r="M42" s="34" t="str">
        <f>IF(Tabla2__2[[#This Row],[MYSTERY EFECTIVO]]="SI",_xlfn.XLOOKUP(Tabla2__2[[#This Row],[PREGUNTA]],ENCUESTA!G:G,ENCUESTA!D:D),"N/A")</f>
        <v>EJECUCIÓN DEL PDV</v>
      </c>
      <c r="N4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2" s="34" t="str">
        <f>_xlfn.XLOOKUP(Tabla2__2[[#This Row],[PREGUNTA]],ENCUESTA!G:G,ENCUESTA!H:H)</f>
        <v>SI</v>
      </c>
      <c r="P42" s="34">
        <f>IF(Tabla2__2[[#This Row],[RTA]]=Tabla2__2[[#This Row],[RTA CORRECTA]],Tabla2__2[[#This Row],[TOTAL PUNTAJE]],0)</f>
        <v>3.75</v>
      </c>
      <c r="Q42" s="34">
        <f>IF(OR(H42="Dog Chow húmedo",H42="Cat Chow húmedo",H42="Fancy Feast",H42="Felix",H42="Proplan húmedo",H42="One húmedo",H42="Snack Abrazzos",H42="Snak Dentalife",H42="Arenilla Tidy Cat"),N42,0)</f>
        <v>0</v>
      </c>
      <c r="R42" s="34"/>
    </row>
    <row r="43" spans="1:18" x14ac:dyDescent="0.25">
      <c r="A43" s="34" t="s">
        <v>113</v>
      </c>
      <c r="B43" s="34" t="s">
        <v>135</v>
      </c>
      <c r="C43" t="s">
        <v>14</v>
      </c>
      <c r="D43" s="34" t="s">
        <v>136</v>
      </c>
      <c r="E43" s="34">
        <v>191457</v>
      </c>
      <c r="F43" s="34" t="s">
        <v>210</v>
      </c>
      <c r="G43" s="34" t="s">
        <v>97</v>
      </c>
      <c r="H43" s="34" t="s">
        <v>112</v>
      </c>
      <c r="I43" s="35"/>
      <c r="J43" s="34">
        <v>28968760</v>
      </c>
      <c r="K43" s="34" t="s">
        <v>139</v>
      </c>
      <c r="L43" s="34" t="str">
        <f>_xlfn.XLOOKUP(Tabla2__2[[#This Row],[CODIGO RUTA]],'DATA INFORME'!I:I,'DATA INFORME'!K:K)</f>
        <v>SI</v>
      </c>
      <c r="M43" s="34" t="str">
        <f>IF(Tabla2__2[[#This Row],[MYSTERY EFECTIVO]]="SI",_xlfn.XLOOKUP(Tabla2__2[[#This Row],[PREGUNTA]],ENCUESTA!G:G,ENCUESTA!D:D),"N/A")</f>
        <v>PRESENTACIÓN PERSONAL</v>
      </c>
      <c r="N4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43" s="34" t="str">
        <f>_xlfn.XLOOKUP(Tabla2__2[[#This Row],[PREGUNTA]],ENCUESTA!G:G,ENCUESTA!H:H)</f>
        <v>NO</v>
      </c>
      <c r="P43" s="34">
        <f>IF(Tabla2__2[[#This Row],[RTA]]=Tabla2__2[[#This Row],[RTA CORRECTA]],Tabla2__2[[#This Row],[TOTAL PUNTAJE]],0)</f>
        <v>1</v>
      </c>
      <c r="Q43" s="34">
        <f>IF(OR(H43="Dog Chow húmedo",H43="Cat Chow húmedo",H43="Fancy Feast",H43="Felix",H43="Proplan húmedo",H43="One húmedo",H43="Snack Abrazzos",H43="Snak Dentalife",H43="Arenilla Tidy Cat"),N43,0)</f>
        <v>0</v>
      </c>
      <c r="R43" s="34"/>
    </row>
    <row r="44" spans="1:18" x14ac:dyDescent="0.25">
      <c r="A44" s="34" t="s">
        <v>113</v>
      </c>
      <c r="B44" s="34" t="s">
        <v>135</v>
      </c>
      <c r="C44" t="s">
        <v>14</v>
      </c>
      <c r="D44" s="34" t="s">
        <v>136</v>
      </c>
      <c r="E44" s="34">
        <v>191457</v>
      </c>
      <c r="F44" s="34" t="s">
        <v>210</v>
      </c>
      <c r="G44" s="34" t="s">
        <v>96</v>
      </c>
      <c r="H44" s="34" t="s">
        <v>112</v>
      </c>
      <c r="I44" s="35"/>
      <c r="J44" s="34">
        <v>28968760</v>
      </c>
      <c r="K44" s="34" t="s">
        <v>139</v>
      </c>
      <c r="L44" s="34" t="str">
        <f>_xlfn.XLOOKUP(Tabla2__2[[#This Row],[CODIGO RUTA]],'DATA INFORME'!I:I,'DATA INFORME'!K:K)</f>
        <v>SI</v>
      </c>
      <c r="M44" s="34" t="str">
        <f>IF(Tabla2__2[[#This Row],[MYSTERY EFECTIVO]]="SI",_xlfn.XLOOKUP(Tabla2__2[[#This Row],[PREGUNTA]],ENCUESTA!G:G,ENCUESTA!D:D),"N/A")</f>
        <v>PRESENTACIÓN PERSONAL</v>
      </c>
      <c r="N4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44" s="34" t="str">
        <f>_xlfn.XLOOKUP(Tabla2__2[[#This Row],[PREGUNTA]],ENCUESTA!G:G,ENCUESTA!H:H)</f>
        <v>NO</v>
      </c>
      <c r="P44" s="34">
        <f>IF(Tabla2__2[[#This Row],[RTA]]=Tabla2__2[[#This Row],[RTA CORRECTA]],Tabla2__2[[#This Row],[TOTAL PUNTAJE]],0)</f>
        <v>1</v>
      </c>
      <c r="Q44" s="34">
        <f>IF(OR(H44="Dog Chow húmedo",H44="Cat Chow húmedo",H44="Fancy Feast",H44="Felix",H44="Proplan húmedo",H44="One húmedo",H44="Snack Abrazzos",H44="Snak Dentalife",H44="Arenilla Tidy Cat"),N44,0)</f>
        <v>0</v>
      </c>
      <c r="R44" s="34"/>
    </row>
    <row r="45" spans="1:18" x14ac:dyDescent="0.25">
      <c r="A45" s="34" t="s">
        <v>113</v>
      </c>
      <c r="B45" s="34" t="s">
        <v>135</v>
      </c>
      <c r="C45" t="s">
        <v>14</v>
      </c>
      <c r="D45" s="34" t="s">
        <v>136</v>
      </c>
      <c r="E45" s="34">
        <v>191457</v>
      </c>
      <c r="F45" s="34" t="s">
        <v>210</v>
      </c>
      <c r="G45" s="34" t="s">
        <v>102</v>
      </c>
      <c r="H45" s="34" t="s">
        <v>20</v>
      </c>
      <c r="I45" s="35"/>
      <c r="J45" s="34">
        <v>28968760</v>
      </c>
      <c r="K45" s="34" t="s">
        <v>139</v>
      </c>
      <c r="L45" s="34" t="str">
        <f>_xlfn.XLOOKUP(Tabla2__2[[#This Row],[CODIGO RUTA]],'DATA INFORME'!I:I,'DATA INFORME'!K:K)</f>
        <v>SI</v>
      </c>
      <c r="M45" s="34" t="str">
        <f>IF(Tabla2__2[[#This Row],[MYSTERY EFECTIVO]]="SI",_xlfn.XLOOKUP(Tabla2__2[[#This Row],[PREGUNTA]],ENCUESTA!G:G,ENCUESTA!D:D),"N/A")</f>
        <v>EJECUCIÓN DEL PDV</v>
      </c>
      <c r="N4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5" s="34" t="str">
        <f>_xlfn.XLOOKUP(Tabla2__2[[#This Row],[PREGUNTA]],ENCUESTA!G:G,ENCUESTA!H:H)</f>
        <v>SI</v>
      </c>
      <c r="P45" s="34">
        <f>IF(Tabla2__2[[#This Row],[RTA]]=Tabla2__2[[#This Row],[RTA CORRECTA]],Tabla2__2[[#This Row],[TOTAL PUNTAJE]],0)</f>
        <v>3.75</v>
      </c>
      <c r="Q45" s="34">
        <f>IF(OR(H45="Dog Chow húmedo",H45="Cat Chow húmedo",H45="Fancy Feast",H45="Felix",H45="Proplan húmedo",H45="One húmedo",H45="Snack Abrazzos",H45="Snak Dentalife",H45="Arenilla Tidy Cat"),N45,0)</f>
        <v>0</v>
      </c>
      <c r="R45" s="34"/>
    </row>
    <row r="46" spans="1:18" x14ac:dyDescent="0.25">
      <c r="A46" s="34" t="s">
        <v>113</v>
      </c>
      <c r="B46" s="34" t="s">
        <v>135</v>
      </c>
      <c r="C46" t="s">
        <v>14</v>
      </c>
      <c r="D46" s="34" t="s">
        <v>136</v>
      </c>
      <c r="E46" s="34">
        <v>191457</v>
      </c>
      <c r="F46" s="34" t="s">
        <v>210</v>
      </c>
      <c r="G46" s="34" t="s">
        <v>95</v>
      </c>
      <c r="H46" s="34" t="s">
        <v>112</v>
      </c>
      <c r="I46" s="35"/>
      <c r="J46" s="34">
        <v>28968760</v>
      </c>
      <c r="K46" s="34" t="s">
        <v>139</v>
      </c>
      <c r="L46" s="34" t="str">
        <f>_xlfn.XLOOKUP(Tabla2__2[[#This Row],[CODIGO RUTA]],'DATA INFORME'!I:I,'DATA INFORME'!K:K)</f>
        <v>SI</v>
      </c>
      <c r="M46" s="34" t="str">
        <f>IF(Tabla2__2[[#This Row],[MYSTERY EFECTIVO]]="SI",_xlfn.XLOOKUP(Tabla2__2[[#This Row],[PREGUNTA]],ENCUESTA!G:G,ENCUESTA!D:D),"N/A")</f>
        <v>PRESENTACIÓN PERSONAL</v>
      </c>
      <c r="N4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46" s="34" t="str">
        <f>_xlfn.XLOOKUP(Tabla2__2[[#This Row],[PREGUNTA]],ENCUESTA!G:G,ENCUESTA!H:H)</f>
        <v>NO</v>
      </c>
      <c r="P46" s="34">
        <f>IF(Tabla2__2[[#This Row],[RTA]]=Tabla2__2[[#This Row],[RTA CORRECTA]],Tabla2__2[[#This Row],[TOTAL PUNTAJE]],0)</f>
        <v>1</v>
      </c>
      <c r="Q46" s="34">
        <f>IF(OR(H46="Dog Chow húmedo",H46="Cat Chow húmedo",H46="Fancy Feast",H46="Felix",H46="Proplan húmedo",H46="One húmedo",H46="Snack Abrazzos",H46="Snak Dentalife",H46="Arenilla Tidy Cat"),N46,0)</f>
        <v>0</v>
      </c>
      <c r="R46" s="34"/>
    </row>
    <row r="47" spans="1:18" x14ac:dyDescent="0.25">
      <c r="A47" s="34" t="s">
        <v>113</v>
      </c>
      <c r="B47" s="34" t="s">
        <v>135</v>
      </c>
      <c r="C47" t="s">
        <v>14</v>
      </c>
      <c r="D47" s="34" t="s">
        <v>136</v>
      </c>
      <c r="E47" s="34">
        <v>191457</v>
      </c>
      <c r="F47" s="34" t="s">
        <v>210</v>
      </c>
      <c r="G47" s="34" t="s">
        <v>93</v>
      </c>
      <c r="H47" s="34" t="s">
        <v>20</v>
      </c>
      <c r="I47" s="35"/>
      <c r="J47" s="34">
        <v>28968760</v>
      </c>
      <c r="K47" s="34" t="s">
        <v>139</v>
      </c>
      <c r="L47" s="34" t="str">
        <f>_xlfn.XLOOKUP(Tabla2__2[[#This Row],[CODIGO RUTA]],'DATA INFORME'!I:I,'DATA INFORME'!K:K)</f>
        <v>SI</v>
      </c>
      <c r="M47" s="34" t="str">
        <f>IF(Tabla2__2[[#This Row],[MYSTERY EFECTIVO]]="SI",_xlfn.XLOOKUP(Tabla2__2[[#This Row],[PREGUNTA]],ENCUESTA!G:G,ENCUESTA!D:D),"N/A")</f>
        <v>PRESENTACIÓN PERSONAL</v>
      </c>
      <c r="N4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47" s="34" t="str">
        <f>_xlfn.XLOOKUP(Tabla2__2[[#This Row],[PREGUNTA]],ENCUESTA!G:G,ENCUESTA!H:H)</f>
        <v>SI</v>
      </c>
      <c r="P47" s="34">
        <f>IF(Tabla2__2[[#This Row],[RTA]]=Tabla2__2[[#This Row],[RTA CORRECTA]],Tabla2__2[[#This Row],[TOTAL PUNTAJE]],0)</f>
        <v>1</v>
      </c>
      <c r="Q47" s="34">
        <f>IF(OR(H47="Dog Chow húmedo",H47="Cat Chow húmedo",H47="Fancy Feast",H47="Felix",H47="Proplan húmedo",H47="One húmedo",H47="Snack Abrazzos",H47="Snak Dentalife",H47="Arenilla Tidy Cat"),N47,0)</f>
        <v>0</v>
      </c>
      <c r="R47" s="34"/>
    </row>
    <row r="48" spans="1:18" x14ac:dyDescent="0.25">
      <c r="A48" s="34" t="s">
        <v>113</v>
      </c>
      <c r="B48" s="34" t="s">
        <v>135</v>
      </c>
      <c r="C48" t="s">
        <v>14</v>
      </c>
      <c r="D48" s="34" t="s">
        <v>136</v>
      </c>
      <c r="E48" s="34">
        <v>191457</v>
      </c>
      <c r="F48" s="34" t="s">
        <v>210</v>
      </c>
      <c r="G48" s="34" t="s">
        <v>92</v>
      </c>
      <c r="H48" s="34" t="s">
        <v>20</v>
      </c>
      <c r="I48" s="35"/>
      <c r="J48" s="34">
        <v>28968760</v>
      </c>
      <c r="K48" s="34" t="s">
        <v>139</v>
      </c>
      <c r="L48" s="34" t="str">
        <f>_xlfn.XLOOKUP(Tabla2__2[[#This Row],[CODIGO RUTA]],'DATA INFORME'!I:I,'DATA INFORME'!K:K)</f>
        <v>SI</v>
      </c>
      <c r="M48" s="34" t="str">
        <f>IF(Tabla2__2[[#This Row],[MYSTERY EFECTIVO]]="SI",_xlfn.XLOOKUP(Tabla2__2[[#This Row],[PREGUNTA]],ENCUESTA!G:G,ENCUESTA!D:D),"N/A")</f>
        <v>PRESENTACIÓN PERSONAL</v>
      </c>
      <c r="N4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48" s="34" t="str">
        <f>_xlfn.XLOOKUP(Tabla2__2[[#This Row],[PREGUNTA]],ENCUESTA!G:G,ENCUESTA!H:H)</f>
        <v>SI</v>
      </c>
      <c r="P48" s="34">
        <f>IF(Tabla2__2[[#This Row],[RTA]]=Tabla2__2[[#This Row],[RTA CORRECTA]],Tabla2__2[[#This Row],[TOTAL PUNTAJE]],0)</f>
        <v>1</v>
      </c>
      <c r="Q48" s="34">
        <f>IF(OR(H48="Dog Chow húmedo",H48="Cat Chow húmedo",H48="Fancy Feast",H48="Felix",H48="Proplan húmedo",H48="One húmedo",H48="Snack Abrazzos",H48="Snak Dentalife",H48="Arenilla Tidy Cat"),N48,0)</f>
        <v>0</v>
      </c>
      <c r="R48" s="34"/>
    </row>
    <row r="49" spans="1:18" x14ac:dyDescent="0.25">
      <c r="A49" s="34" t="s">
        <v>113</v>
      </c>
      <c r="B49" s="34" t="s">
        <v>135</v>
      </c>
      <c r="C49" t="s">
        <v>14</v>
      </c>
      <c r="D49" s="34" t="s">
        <v>136</v>
      </c>
      <c r="E49" s="34">
        <v>191457</v>
      </c>
      <c r="F49" s="34" t="s">
        <v>210</v>
      </c>
      <c r="G49" s="34" t="s">
        <v>91</v>
      </c>
      <c r="H49" s="34" t="s">
        <v>112</v>
      </c>
      <c r="I49" s="35"/>
      <c r="J49" s="34">
        <v>28968760</v>
      </c>
      <c r="K49" s="34" t="s">
        <v>139</v>
      </c>
      <c r="L49" s="34" t="str">
        <f>_xlfn.XLOOKUP(Tabla2__2[[#This Row],[CODIGO RUTA]],'DATA INFORME'!I:I,'DATA INFORME'!K:K)</f>
        <v>SI</v>
      </c>
      <c r="M49" s="34" t="str">
        <f>IF(Tabla2__2[[#This Row],[MYSTERY EFECTIVO]]="SI",_xlfn.XLOOKUP(Tabla2__2[[#This Row],[PREGUNTA]],ENCUESTA!G:G,ENCUESTA!D:D),"N/A")</f>
        <v>PRESENTACIÓN PERSONAL</v>
      </c>
      <c r="N4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49" s="34" t="str">
        <f>_xlfn.XLOOKUP(Tabla2__2[[#This Row],[PREGUNTA]],ENCUESTA!G:G,ENCUESTA!H:H)</f>
        <v>NO</v>
      </c>
      <c r="P49" s="34">
        <f>IF(Tabla2__2[[#This Row],[RTA]]=Tabla2__2[[#This Row],[RTA CORRECTA]],Tabla2__2[[#This Row],[TOTAL PUNTAJE]],0)</f>
        <v>1</v>
      </c>
      <c r="Q49" s="34">
        <f>IF(OR(H49="Dog Chow húmedo",H49="Cat Chow húmedo",H49="Fancy Feast",H49="Felix",H49="Proplan húmedo",H49="One húmedo",H49="Snack Abrazzos",H49="Snak Dentalife",H49="Arenilla Tidy Cat"),N49,0)</f>
        <v>0</v>
      </c>
      <c r="R49" s="34"/>
    </row>
    <row r="50" spans="1:18" x14ac:dyDescent="0.25">
      <c r="A50" s="34" t="s">
        <v>113</v>
      </c>
      <c r="B50" s="34" t="s">
        <v>135</v>
      </c>
      <c r="C50" t="s">
        <v>14</v>
      </c>
      <c r="D50" s="34" t="s">
        <v>136</v>
      </c>
      <c r="E50" s="34">
        <v>191457</v>
      </c>
      <c r="F50" s="34" t="s">
        <v>210</v>
      </c>
      <c r="G50" s="34" t="s">
        <v>35</v>
      </c>
      <c r="H50" s="34" t="s">
        <v>20</v>
      </c>
      <c r="I50" s="35"/>
      <c r="J50" s="34">
        <v>28968760</v>
      </c>
      <c r="K50" s="34" t="s">
        <v>139</v>
      </c>
      <c r="L50" s="34" t="str">
        <f>_xlfn.XLOOKUP(Tabla2__2[[#This Row],[CODIGO RUTA]],'DATA INFORME'!I:I,'DATA INFORME'!K:K)</f>
        <v>SI</v>
      </c>
      <c r="M50" s="34" t="str">
        <f>IF(Tabla2__2[[#This Row],[MYSTERY EFECTIVO]]="SI",_xlfn.XLOOKUP(Tabla2__2[[#This Row],[PREGUNTA]],ENCUESTA!G:G,ENCUESTA!D:D),"N/A")</f>
        <v>PRESENTACIÓN PERSONAL</v>
      </c>
      <c r="N5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50" s="34" t="str">
        <f>_xlfn.XLOOKUP(Tabla2__2[[#This Row],[PREGUNTA]],ENCUESTA!G:G,ENCUESTA!H:H)</f>
        <v>SI</v>
      </c>
      <c r="P50" s="34">
        <f>IF(Tabla2__2[[#This Row],[RTA]]=Tabla2__2[[#This Row],[RTA CORRECTA]],Tabla2__2[[#This Row],[TOTAL PUNTAJE]],0)</f>
        <v>1</v>
      </c>
      <c r="Q50" s="34">
        <f>IF(OR(H50="Dog Chow húmedo",H50="Cat Chow húmedo",H50="Fancy Feast",H50="Felix",H50="Proplan húmedo",H50="One húmedo",H50="Snack Abrazzos",H50="Snak Dentalife",H50="Arenilla Tidy Cat"),N50,0)</f>
        <v>0</v>
      </c>
      <c r="R50" s="34"/>
    </row>
    <row r="51" spans="1:18" x14ac:dyDescent="0.25">
      <c r="A51" s="34" t="s">
        <v>113</v>
      </c>
      <c r="B51" s="34" t="s">
        <v>135</v>
      </c>
      <c r="C51" t="s">
        <v>14</v>
      </c>
      <c r="D51" s="34" t="s">
        <v>136</v>
      </c>
      <c r="E51" s="34">
        <v>191457</v>
      </c>
      <c r="F51" s="34" t="s">
        <v>210</v>
      </c>
      <c r="G51" s="34" t="s">
        <v>90</v>
      </c>
      <c r="H51" s="34" t="s">
        <v>20</v>
      </c>
      <c r="I51" s="35"/>
      <c r="J51" s="34">
        <v>28968760</v>
      </c>
      <c r="K51" s="34" t="s">
        <v>139</v>
      </c>
      <c r="L51" s="34" t="str">
        <f>_xlfn.XLOOKUP(Tabla2__2[[#This Row],[CODIGO RUTA]],'DATA INFORME'!I:I,'DATA INFORME'!K:K)</f>
        <v>SI</v>
      </c>
      <c r="M51" s="34" t="str">
        <f>IF(Tabla2__2[[#This Row],[MYSTERY EFECTIVO]]="SI",_xlfn.XLOOKUP(Tabla2__2[[#This Row],[PREGUNTA]],ENCUESTA!G:G,ENCUESTA!D:D),"N/A")</f>
        <v>PRESENTACIÓN PERSONAL</v>
      </c>
      <c r="N5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51" s="34" t="str">
        <f>_xlfn.XLOOKUP(Tabla2__2[[#This Row],[PREGUNTA]],ENCUESTA!G:G,ENCUESTA!H:H)</f>
        <v>SI</v>
      </c>
      <c r="P51" s="34">
        <f>IF(Tabla2__2[[#This Row],[RTA]]=Tabla2__2[[#This Row],[RTA CORRECTA]],Tabla2__2[[#This Row],[TOTAL PUNTAJE]],0)</f>
        <v>1</v>
      </c>
      <c r="Q51" s="34">
        <f>IF(OR(H51="Dog Chow húmedo",H51="Cat Chow húmedo",H51="Fancy Feast",H51="Felix",H51="Proplan húmedo",H51="One húmedo",H51="Snack Abrazzos",H51="Snak Dentalife",H51="Arenilla Tidy Cat"),N51,0)</f>
        <v>0</v>
      </c>
      <c r="R51" s="34"/>
    </row>
    <row r="52" spans="1:18" x14ac:dyDescent="0.25">
      <c r="A52" s="34" t="s">
        <v>113</v>
      </c>
      <c r="B52" s="34" t="s">
        <v>135</v>
      </c>
      <c r="C52" t="s">
        <v>14</v>
      </c>
      <c r="D52" s="34" t="s">
        <v>136</v>
      </c>
      <c r="E52" s="34">
        <v>191457</v>
      </c>
      <c r="F52" s="34" t="s">
        <v>210</v>
      </c>
      <c r="G52" s="34" t="s">
        <v>89</v>
      </c>
      <c r="H52" s="34" t="s">
        <v>20</v>
      </c>
      <c r="I52" s="35"/>
      <c r="J52" s="34">
        <v>28968760</v>
      </c>
      <c r="K52" s="34" t="s">
        <v>139</v>
      </c>
      <c r="L52" s="34" t="str">
        <f>_xlfn.XLOOKUP(Tabla2__2[[#This Row],[CODIGO RUTA]],'DATA INFORME'!I:I,'DATA INFORME'!K:K)</f>
        <v>SI</v>
      </c>
      <c r="M52" s="34" t="str">
        <f>IF(Tabla2__2[[#This Row],[MYSTERY EFECTIVO]]="SI",_xlfn.XLOOKUP(Tabla2__2[[#This Row],[PREGUNTA]],ENCUESTA!G:G,ENCUESTA!D:D),"N/A")</f>
        <v>PRESENTACIÓN PERSONAL</v>
      </c>
      <c r="N5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52" s="34" t="str">
        <f>_xlfn.XLOOKUP(Tabla2__2[[#This Row],[PREGUNTA]],ENCUESTA!G:G,ENCUESTA!H:H)</f>
        <v>SI</v>
      </c>
      <c r="P52" s="34">
        <f>IF(Tabla2__2[[#This Row],[RTA]]=Tabla2__2[[#This Row],[RTA CORRECTA]],Tabla2__2[[#This Row],[TOTAL PUNTAJE]],0)</f>
        <v>1</v>
      </c>
      <c r="Q52" s="34">
        <f>IF(OR(H52="Dog Chow húmedo",H52="Cat Chow húmedo",H52="Fancy Feast",H52="Felix",H52="Proplan húmedo",H52="One húmedo",H52="Snack Abrazzos",H52="Snak Dentalife",H52="Arenilla Tidy Cat"),N52,0)</f>
        <v>0</v>
      </c>
      <c r="R52" s="34"/>
    </row>
    <row r="53" spans="1:18" x14ac:dyDescent="0.25">
      <c r="A53" s="34" t="s">
        <v>113</v>
      </c>
      <c r="B53" s="34" t="s">
        <v>135</v>
      </c>
      <c r="C53" t="s">
        <v>14</v>
      </c>
      <c r="D53" s="34" t="s">
        <v>136</v>
      </c>
      <c r="E53" s="34">
        <v>191457</v>
      </c>
      <c r="F53" s="34" t="s">
        <v>210</v>
      </c>
      <c r="G53" s="34" t="s">
        <v>94</v>
      </c>
      <c r="H53" s="34" t="s">
        <v>112</v>
      </c>
      <c r="I53" s="35"/>
      <c r="J53" s="34">
        <v>28968760</v>
      </c>
      <c r="K53" s="34" t="s">
        <v>139</v>
      </c>
      <c r="L53" s="34" t="str">
        <f>_xlfn.XLOOKUP(Tabla2__2[[#This Row],[CODIGO RUTA]],'DATA INFORME'!I:I,'DATA INFORME'!K:K)</f>
        <v>SI</v>
      </c>
      <c r="M53" s="34" t="str">
        <f>IF(Tabla2__2[[#This Row],[MYSTERY EFECTIVO]]="SI",_xlfn.XLOOKUP(Tabla2__2[[#This Row],[PREGUNTA]],ENCUESTA!G:G,ENCUESTA!D:D),"N/A")</f>
        <v>PRESENTACIÓN PERSONAL</v>
      </c>
      <c r="N5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53" s="34" t="str">
        <f>_xlfn.XLOOKUP(Tabla2__2[[#This Row],[PREGUNTA]],ENCUESTA!G:G,ENCUESTA!H:H)</f>
        <v>NO</v>
      </c>
      <c r="P53" s="34">
        <f>IF(Tabla2__2[[#This Row],[RTA]]=Tabla2__2[[#This Row],[RTA CORRECTA]],Tabla2__2[[#This Row],[TOTAL PUNTAJE]],0)</f>
        <v>1</v>
      </c>
      <c r="Q53" s="34">
        <f>IF(OR(H53="Dog Chow húmedo",H53="Cat Chow húmedo",H53="Fancy Feast",H53="Felix",H53="Proplan húmedo",H53="One húmedo",H53="Snack Abrazzos",H53="Snak Dentalife",H53="Arenilla Tidy Cat"),N53,0)</f>
        <v>0</v>
      </c>
      <c r="R53" s="34"/>
    </row>
    <row r="54" spans="1:18" x14ac:dyDescent="0.25">
      <c r="A54" s="34" t="s">
        <v>113</v>
      </c>
      <c r="B54" s="34" t="s">
        <v>119</v>
      </c>
      <c r="C54" t="s">
        <v>15</v>
      </c>
      <c r="D54" s="34" t="s">
        <v>122</v>
      </c>
      <c r="E54" s="34">
        <v>363615</v>
      </c>
      <c r="F54" s="34" t="s">
        <v>239</v>
      </c>
      <c r="G54" s="34" t="s">
        <v>96</v>
      </c>
      <c r="H54" s="34" t="s">
        <v>112</v>
      </c>
      <c r="I54" s="35"/>
      <c r="J54" s="34">
        <v>28972671</v>
      </c>
      <c r="K54" s="34" t="s">
        <v>121</v>
      </c>
      <c r="L54" s="34" t="str">
        <f>_xlfn.XLOOKUP(Tabla2__2[[#This Row],[CODIGO RUTA]],'DATA INFORME'!I:I,'DATA INFORME'!K:K)</f>
        <v>SI</v>
      </c>
      <c r="M54" s="34" t="str">
        <f>IF(Tabla2__2[[#This Row],[MYSTERY EFECTIVO]]="SI",_xlfn.XLOOKUP(Tabla2__2[[#This Row],[PREGUNTA]],ENCUESTA!G:G,ENCUESTA!D:D),"N/A")</f>
        <v>PRESENTACIÓN PERSONAL</v>
      </c>
      <c r="N5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54" s="34" t="str">
        <f>_xlfn.XLOOKUP(Tabla2__2[[#This Row],[PREGUNTA]],ENCUESTA!G:G,ENCUESTA!H:H)</f>
        <v>NO</v>
      </c>
      <c r="P54" s="34">
        <f>IF(Tabla2__2[[#This Row],[RTA]]=Tabla2__2[[#This Row],[RTA CORRECTA]],Tabla2__2[[#This Row],[TOTAL PUNTAJE]],0)</f>
        <v>1</v>
      </c>
      <c r="Q54" s="34">
        <f>IF(OR(H54="Dog Chow húmedo",H54="Cat Chow húmedo",H54="Fancy Feast",H54="Felix",H54="Proplan húmedo",H54="One húmedo",H54="Snack Abrazzos",H54="Snak Dentalife",H54="Arenilla Tidy Cat"),N54,0)</f>
        <v>0</v>
      </c>
      <c r="R54" s="34"/>
    </row>
    <row r="55" spans="1:18" x14ac:dyDescent="0.25">
      <c r="A55" s="34" t="s">
        <v>113</v>
      </c>
      <c r="B55" s="34" t="s">
        <v>135</v>
      </c>
      <c r="C55" t="s">
        <v>14</v>
      </c>
      <c r="D55" s="34" t="s">
        <v>136</v>
      </c>
      <c r="E55" s="34">
        <v>191457</v>
      </c>
      <c r="F55" s="34" t="s">
        <v>210</v>
      </c>
      <c r="G55" s="34" t="s">
        <v>103</v>
      </c>
      <c r="H55" s="34" t="s">
        <v>20</v>
      </c>
      <c r="I55" s="35"/>
      <c r="J55" s="34">
        <v>28968760</v>
      </c>
      <c r="K55" s="34" t="s">
        <v>139</v>
      </c>
      <c r="L55" s="34" t="str">
        <f>_xlfn.XLOOKUP(Tabla2__2[[#This Row],[CODIGO RUTA]],'DATA INFORME'!I:I,'DATA INFORME'!K:K)</f>
        <v>SI</v>
      </c>
      <c r="M55" s="34" t="str">
        <f>IF(Tabla2__2[[#This Row],[MYSTERY EFECTIVO]]="SI",_xlfn.XLOOKUP(Tabla2__2[[#This Row],[PREGUNTA]],ENCUESTA!G:G,ENCUESTA!D:D),"N/A")</f>
        <v>EJECUCIÓN DEL PDV</v>
      </c>
      <c r="N5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55" s="34" t="str">
        <f>_xlfn.XLOOKUP(Tabla2__2[[#This Row],[PREGUNTA]],ENCUESTA!G:G,ENCUESTA!H:H)</f>
        <v>SI</v>
      </c>
      <c r="P55" s="34">
        <f>IF(Tabla2__2[[#This Row],[RTA]]=Tabla2__2[[#This Row],[RTA CORRECTA]],Tabla2__2[[#This Row],[TOTAL PUNTAJE]],0)</f>
        <v>3.75</v>
      </c>
      <c r="Q55" s="34">
        <f>IF(OR(H55="Dog Chow húmedo",H55="Cat Chow húmedo",H55="Fancy Feast",H55="Felix",H55="Proplan húmedo",H55="One húmedo",H55="Snack Abrazzos",H55="Snak Dentalife",H55="Arenilla Tidy Cat"),N55,0)</f>
        <v>0</v>
      </c>
      <c r="R55" s="34"/>
    </row>
    <row r="56" spans="1:18" x14ac:dyDescent="0.25">
      <c r="A56" s="34" t="s">
        <v>113</v>
      </c>
      <c r="B56" s="34" t="s">
        <v>135</v>
      </c>
      <c r="C56" t="s">
        <v>14</v>
      </c>
      <c r="D56" s="34" t="s">
        <v>136</v>
      </c>
      <c r="E56" s="34">
        <v>191457</v>
      </c>
      <c r="F56" s="34" t="s">
        <v>210</v>
      </c>
      <c r="G56" s="34" t="s">
        <v>125</v>
      </c>
      <c r="H56" s="34" t="s">
        <v>20</v>
      </c>
      <c r="I56" s="35"/>
      <c r="J56" s="34">
        <v>28968760</v>
      </c>
      <c r="K56" s="34" t="s">
        <v>139</v>
      </c>
      <c r="L56" s="34" t="str">
        <f>_xlfn.XLOOKUP(Tabla2__2[[#This Row],[CODIGO RUTA]],'DATA INFORME'!I:I,'DATA INFORME'!K:K)</f>
        <v>SI</v>
      </c>
      <c r="M56" s="34" t="str">
        <f>IF(Tabla2__2[[#This Row],[MYSTERY EFECTIVO]]="SI",_xlfn.XLOOKUP(Tabla2__2[[#This Row],[PREGUNTA]],ENCUESTA!G:G,ENCUESTA!D:D),"N/A")</f>
        <v>EJECUCIÓN DEL PDV</v>
      </c>
      <c r="N5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56" s="34" t="str">
        <f>_xlfn.XLOOKUP(Tabla2__2[[#This Row],[PREGUNTA]],ENCUESTA!G:G,ENCUESTA!H:H)</f>
        <v>SI</v>
      </c>
      <c r="P56" s="34">
        <f>IF(Tabla2__2[[#This Row],[RTA]]=Tabla2__2[[#This Row],[RTA CORRECTA]],Tabla2__2[[#This Row],[TOTAL PUNTAJE]],0)</f>
        <v>3.75</v>
      </c>
      <c r="Q56" s="34">
        <f>IF(OR(H56="Dog Chow húmedo",H56="Cat Chow húmedo",H56="Fancy Feast",H56="Felix",H56="Proplan húmedo",H56="One húmedo",H56="Snack Abrazzos",H56="Snak Dentalife",H56="Arenilla Tidy Cat"),N56,0)</f>
        <v>0</v>
      </c>
      <c r="R56" s="34"/>
    </row>
    <row r="57" spans="1:18" x14ac:dyDescent="0.25">
      <c r="A57" s="34" t="s">
        <v>113</v>
      </c>
      <c r="B57" s="34" t="s">
        <v>119</v>
      </c>
      <c r="C57" t="s">
        <v>15</v>
      </c>
      <c r="D57" s="34" t="s">
        <v>122</v>
      </c>
      <c r="E57" s="34">
        <v>363615</v>
      </c>
      <c r="F57" s="34" t="s">
        <v>239</v>
      </c>
      <c r="G57" s="34" t="s">
        <v>94</v>
      </c>
      <c r="H57" s="34" t="s">
        <v>112</v>
      </c>
      <c r="I57" s="35"/>
      <c r="J57" s="34">
        <v>28972671</v>
      </c>
      <c r="K57" s="34" t="s">
        <v>121</v>
      </c>
      <c r="L57" s="34" t="str">
        <f>_xlfn.XLOOKUP(Tabla2__2[[#This Row],[CODIGO RUTA]],'DATA INFORME'!I:I,'DATA INFORME'!K:K)</f>
        <v>SI</v>
      </c>
      <c r="M57" s="34" t="str">
        <f>IF(Tabla2__2[[#This Row],[MYSTERY EFECTIVO]]="SI",_xlfn.XLOOKUP(Tabla2__2[[#This Row],[PREGUNTA]],ENCUESTA!G:G,ENCUESTA!D:D),"N/A")</f>
        <v>PRESENTACIÓN PERSONAL</v>
      </c>
      <c r="N5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57" s="34" t="str">
        <f>_xlfn.XLOOKUP(Tabla2__2[[#This Row],[PREGUNTA]],ENCUESTA!G:G,ENCUESTA!H:H)</f>
        <v>NO</v>
      </c>
      <c r="P57" s="34">
        <f>IF(Tabla2__2[[#This Row],[RTA]]=Tabla2__2[[#This Row],[RTA CORRECTA]],Tabla2__2[[#This Row],[TOTAL PUNTAJE]],0)</f>
        <v>1</v>
      </c>
      <c r="Q57" s="34">
        <f>IF(OR(H57="Dog Chow húmedo",H57="Cat Chow húmedo",H57="Fancy Feast",H57="Felix",H57="Proplan húmedo",H57="One húmedo",H57="Snack Abrazzos",H57="Snak Dentalife",H57="Arenilla Tidy Cat"),N57,0)</f>
        <v>0</v>
      </c>
      <c r="R57" s="34"/>
    </row>
    <row r="58" spans="1:18" x14ac:dyDescent="0.25">
      <c r="A58" s="34" t="s">
        <v>113</v>
      </c>
      <c r="B58" s="34" t="s">
        <v>119</v>
      </c>
      <c r="C58" t="s">
        <v>15</v>
      </c>
      <c r="D58" s="34" t="s">
        <v>122</v>
      </c>
      <c r="E58" s="34">
        <v>363615</v>
      </c>
      <c r="F58" s="34" t="s">
        <v>239</v>
      </c>
      <c r="G58" s="34" t="s">
        <v>93</v>
      </c>
      <c r="H58" s="34" t="s">
        <v>20</v>
      </c>
      <c r="I58" s="35"/>
      <c r="J58" s="34">
        <v>28972671</v>
      </c>
      <c r="K58" s="34" t="s">
        <v>121</v>
      </c>
      <c r="L58" s="34" t="str">
        <f>_xlfn.XLOOKUP(Tabla2__2[[#This Row],[CODIGO RUTA]],'DATA INFORME'!I:I,'DATA INFORME'!K:K)</f>
        <v>SI</v>
      </c>
      <c r="M58" s="34" t="str">
        <f>IF(Tabla2__2[[#This Row],[MYSTERY EFECTIVO]]="SI",_xlfn.XLOOKUP(Tabla2__2[[#This Row],[PREGUNTA]],ENCUESTA!G:G,ENCUESTA!D:D),"N/A")</f>
        <v>PRESENTACIÓN PERSONAL</v>
      </c>
      <c r="N5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58" s="34" t="str">
        <f>_xlfn.XLOOKUP(Tabla2__2[[#This Row],[PREGUNTA]],ENCUESTA!G:G,ENCUESTA!H:H)</f>
        <v>SI</v>
      </c>
      <c r="P58" s="34">
        <f>IF(Tabla2__2[[#This Row],[RTA]]=Tabla2__2[[#This Row],[RTA CORRECTA]],Tabla2__2[[#This Row],[TOTAL PUNTAJE]],0)</f>
        <v>1</v>
      </c>
      <c r="Q58" s="34">
        <f>IF(OR(H58="Dog Chow húmedo",H58="Cat Chow húmedo",H58="Fancy Feast",H58="Felix",H58="Proplan húmedo",H58="One húmedo",H58="Snack Abrazzos",H58="Snak Dentalife",H58="Arenilla Tidy Cat"),N58,0)</f>
        <v>0</v>
      </c>
      <c r="R58" s="34"/>
    </row>
    <row r="59" spans="1:18" x14ac:dyDescent="0.25">
      <c r="A59" s="34" t="s">
        <v>113</v>
      </c>
      <c r="B59" s="34" t="s">
        <v>119</v>
      </c>
      <c r="C59" t="s">
        <v>15</v>
      </c>
      <c r="D59" s="34" t="s">
        <v>122</v>
      </c>
      <c r="E59" s="34">
        <v>363615</v>
      </c>
      <c r="F59" s="34" t="s">
        <v>239</v>
      </c>
      <c r="G59" s="34" t="s">
        <v>92</v>
      </c>
      <c r="H59" s="34" t="s">
        <v>20</v>
      </c>
      <c r="I59" s="35"/>
      <c r="J59" s="34">
        <v>28972671</v>
      </c>
      <c r="K59" s="34" t="s">
        <v>121</v>
      </c>
      <c r="L59" s="34" t="str">
        <f>_xlfn.XLOOKUP(Tabla2__2[[#This Row],[CODIGO RUTA]],'DATA INFORME'!I:I,'DATA INFORME'!K:K)</f>
        <v>SI</v>
      </c>
      <c r="M59" s="34" t="str">
        <f>IF(Tabla2__2[[#This Row],[MYSTERY EFECTIVO]]="SI",_xlfn.XLOOKUP(Tabla2__2[[#This Row],[PREGUNTA]],ENCUESTA!G:G,ENCUESTA!D:D),"N/A")</f>
        <v>PRESENTACIÓN PERSONAL</v>
      </c>
      <c r="N5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59" s="34" t="str">
        <f>_xlfn.XLOOKUP(Tabla2__2[[#This Row],[PREGUNTA]],ENCUESTA!G:G,ENCUESTA!H:H)</f>
        <v>SI</v>
      </c>
      <c r="P59" s="34">
        <f>IF(Tabla2__2[[#This Row],[RTA]]=Tabla2__2[[#This Row],[RTA CORRECTA]],Tabla2__2[[#This Row],[TOTAL PUNTAJE]],0)</f>
        <v>1</v>
      </c>
      <c r="Q59" s="34">
        <f>IF(OR(H59="Dog Chow húmedo",H59="Cat Chow húmedo",H59="Fancy Feast",H59="Felix",H59="Proplan húmedo",H59="One húmedo",H59="Snack Abrazzos",H59="Snak Dentalife",H59="Arenilla Tidy Cat"),N59,0)</f>
        <v>0</v>
      </c>
      <c r="R59" s="34"/>
    </row>
    <row r="60" spans="1:18" x14ac:dyDescent="0.25">
      <c r="A60" s="34" t="s">
        <v>113</v>
      </c>
      <c r="B60" s="34" t="s">
        <v>119</v>
      </c>
      <c r="C60" t="s">
        <v>15</v>
      </c>
      <c r="D60" s="34" t="s">
        <v>122</v>
      </c>
      <c r="E60" s="34">
        <v>363615</v>
      </c>
      <c r="F60" s="34" t="s">
        <v>239</v>
      </c>
      <c r="G60" s="34" t="s">
        <v>91</v>
      </c>
      <c r="H60" s="34" t="s">
        <v>112</v>
      </c>
      <c r="I60" s="35"/>
      <c r="J60" s="34">
        <v>28972671</v>
      </c>
      <c r="K60" s="34" t="s">
        <v>121</v>
      </c>
      <c r="L60" s="34" t="str">
        <f>_xlfn.XLOOKUP(Tabla2__2[[#This Row],[CODIGO RUTA]],'DATA INFORME'!I:I,'DATA INFORME'!K:K)</f>
        <v>SI</v>
      </c>
      <c r="M60" s="34" t="str">
        <f>IF(Tabla2__2[[#This Row],[MYSTERY EFECTIVO]]="SI",_xlfn.XLOOKUP(Tabla2__2[[#This Row],[PREGUNTA]],ENCUESTA!G:G,ENCUESTA!D:D),"N/A")</f>
        <v>PRESENTACIÓN PERSONAL</v>
      </c>
      <c r="N6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60" s="34" t="str">
        <f>_xlfn.XLOOKUP(Tabla2__2[[#This Row],[PREGUNTA]],ENCUESTA!G:G,ENCUESTA!H:H)</f>
        <v>NO</v>
      </c>
      <c r="P60" s="34">
        <f>IF(Tabla2__2[[#This Row],[RTA]]=Tabla2__2[[#This Row],[RTA CORRECTA]],Tabla2__2[[#This Row],[TOTAL PUNTAJE]],0)</f>
        <v>1</v>
      </c>
      <c r="Q60" s="34">
        <f>IF(OR(H60="Dog Chow húmedo",H60="Cat Chow húmedo",H60="Fancy Feast",H60="Felix",H60="Proplan húmedo",H60="One húmedo",H60="Snack Abrazzos",H60="Snak Dentalife",H60="Arenilla Tidy Cat"),N60,0)</f>
        <v>0</v>
      </c>
      <c r="R60" s="34"/>
    </row>
    <row r="61" spans="1:18" x14ac:dyDescent="0.25">
      <c r="A61" s="34" t="s">
        <v>113</v>
      </c>
      <c r="B61" s="34" t="s">
        <v>119</v>
      </c>
      <c r="C61" t="s">
        <v>15</v>
      </c>
      <c r="D61" s="34" t="s">
        <v>122</v>
      </c>
      <c r="E61" s="34">
        <v>363615</v>
      </c>
      <c r="F61" s="34" t="s">
        <v>239</v>
      </c>
      <c r="G61" s="34" t="s">
        <v>35</v>
      </c>
      <c r="H61" s="34" t="s">
        <v>20</v>
      </c>
      <c r="I61" s="35"/>
      <c r="J61" s="34">
        <v>28972671</v>
      </c>
      <c r="K61" s="34" t="s">
        <v>121</v>
      </c>
      <c r="L61" s="34" t="str">
        <f>_xlfn.XLOOKUP(Tabla2__2[[#This Row],[CODIGO RUTA]],'DATA INFORME'!I:I,'DATA INFORME'!K:K)</f>
        <v>SI</v>
      </c>
      <c r="M61" s="34" t="str">
        <f>IF(Tabla2__2[[#This Row],[MYSTERY EFECTIVO]]="SI",_xlfn.XLOOKUP(Tabla2__2[[#This Row],[PREGUNTA]],ENCUESTA!G:G,ENCUESTA!D:D),"N/A")</f>
        <v>PRESENTACIÓN PERSONAL</v>
      </c>
      <c r="N6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61" s="34" t="str">
        <f>_xlfn.XLOOKUP(Tabla2__2[[#This Row],[PREGUNTA]],ENCUESTA!G:G,ENCUESTA!H:H)</f>
        <v>SI</v>
      </c>
      <c r="P61" s="34">
        <f>IF(Tabla2__2[[#This Row],[RTA]]=Tabla2__2[[#This Row],[RTA CORRECTA]],Tabla2__2[[#This Row],[TOTAL PUNTAJE]],0)</f>
        <v>1</v>
      </c>
      <c r="Q61" s="34">
        <f>IF(OR(H61="Dog Chow húmedo",H61="Cat Chow húmedo",H61="Fancy Feast",H61="Felix",H61="Proplan húmedo",H61="One húmedo",H61="Snack Abrazzos",H61="Snak Dentalife",H61="Arenilla Tidy Cat"),N61,0)</f>
        <v>0</v>
      </c>
      <c r="R61" s="34"/>
    </row>
    <row r="62" spans="1:18" x14ac:dyDescent="0.25">
      <c r="A62" s="34" t="s">
        <v>113</v>
      </c>
      <c r="B62" s="34" t="s">
        <v>119</v>
      </c>
      <c r="C62" t="s">
        <v>15</v>
      </c>
      <c r="D62" s="34" t="s">
        <v>122</v>
      </c>
      <c r="E62" s="34">
        <v>363615</v>
      </c>
      <c r="F62" s="34" t="s">
        <v>239</v>
      </c>
      <c r="G62" s="34" t="s">
        <v>90</v>
      </c>
      <c r="H62" s="34" t="s">
        <v>20</v>
      </c>
      <c r="I62" s="35"/>
      <c r="J62" s="34">
        <v>28972671</v>
      </c>
      <c r="K62" s="34" t="s">
        <v>121</v>
      </c>
      <c r="L62" s="34" t="str">
        <f>_xlfn.XLOOKUP(Tabla2__2[[#This Row],[CODIGO RUTA]],'DATA INFORME'!I:I,'DATA INFORME'!K:K)</f>
        <v>SI</v>
      </c>
      <c r="M62" s="34" t="str">
        <f>IF(Tabla2__2[[#This Row],[MYSTERY EFECTIVO]]="SI",_xlfn.XLOOKUP(Tabla2__2[[#This Row],[PREGUNTA]],ENCUESTA!G:G,ENCUESTA!D:D),"N/A")</f>
        <v>PRESENTACIÓN PERSONAL</v>
      </c>
      <c r="N6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62" s="34" t="str">
        <f>_xlfn.XLOOKUP(Tabla2__2[[#This Row],[PREGUNTA]],ENCUESTA!G:G,ENCUESTA!H:H)</f>
        <v>SI</v>
      </c>
      <c r="P62" s="34">
        <f>IF(Tabla2__2[[#This Row],[RTA]]=Tabla2__2[[#This Row],[RTA CORRECTA]],Tabla2__2[[#This Row],[TOTAL PUNTAJE]],0)</f>
        <v>1</v>
      </c>
      <c r="Q62" s="34">
        <f>IF(OR(H62="Dog Chow húmedo",H62="Cat Chow húmedo",H62="Fancy Feast",H62="Felix",H62="Proplan húmedo",H62="One húmedo",H62="Snack Abrazzos",H62="Snak Dentalife",H62="Arenilla Tidy Cat"),N62,0)</f>
        <v>0</v>
      </c>
      <c r="R62" s="34"/>
    </row>
    <row r="63" spans="1:18" x14ac:dyDescent="0.25">
      <c r="A63" s="34" t="s">
        <v>113</v>
      </c>
      <c r="B63" s="34" t="s">
        <v>135</v>
      </c>
      <c r="C63" t="s">
        <v>14</v>
      </c>
      <c r="D63" s="34" t="s">
        <v>136</v>
      </c>
      <c r="E63" s="34">
        <v>191457</v>
      </c>
      <c r="F63" s="34" t="s">
        <v>210</v>
      </c>
      <c r="G63" s="34" t="s">
        <v>104</v>
      </c>
      <c r="H63" s="34" t="s">
        <v>20</v>
      </c>
      <c r="I63" s="35"/>
      <c r="J63" s="34">
        <v>28968760</v>
      </c>
      <c r="K63" s="34" t="s">
        <v>139</v>
      </c>
      <c r="L63" s="34" t="str">
        <f>_xlfn.XLOOKUP(Tabla2__2[[#This Row],[CODIGO RUTA]],'DATA INFORME'!I:I,'DATA INFORME'!K:K)</f>
        <v>SI</v>
      </c>
      <c r="M63" s="34" t="str">
        <f>IF(Tabla2__2[[#This Row],[MYSTERY EFECTIVO]]="SI",_xlfn.XLOOKUP(Tabla2__2[[#This Row],[PREGUNTA]],ENCUESTA!G:G,ENCUESTA!D:D),"N/A")</f>
        <v>EJECUCIÓN DEL PDV</v>
      </c>
      <c r="N6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63" s="34" t="str">
        <f>_xlfn.XLOOKUP(Tabla2__2[[#This Row],[PREGUNTA]],ENCUESTA!G:G,ENCUESTA!H:H)</f>
        <v>SI</v>
      </c>
      <c r="P63" s="34">
        <f>IF(Tabla2__2[[#This Row],[RTA]]=Tabla2__2[[#This Row],[RTA CORRECTA]],Tabla2__2[[#This Row],[TOTAL PUNTAJE]],0)</f>
        <v>3.75</v>
      </c>
      <c r="Q63" s="34">
        <f>IF(OR(H63="Dog Chow húmedo",H63="Cat Chow húmedo",H63="Fancy Feast",H63="Felix",H63="Proplan húmedo",H63="One húmedo",H63="Snack Abrazzos",H63="Snak Dentalife",H63="Arenilla Tidy Cat"),N63,0)</f>
        <v>0</v>
      </c>
      <c r="R63" s="34"/>
    </row>
    <row r="64" spans="1:18" x14ac:dyDescent="0.25">
      <c r="A64" s="34" t="s">
        <v>113</v>
      </c>
      <c r="B64" s="34" t="s">
        <v>119</v>
      </c>
      <c r="C64" t="s">
        <v>15</v>
      </c>
      <c r="D64" s="34" t="s">
        <v>122</v>
      </c>
      <c r="E64" s="34">
        <v>363615</v>
      </c>
      <c r="F64" s="34" t="s">
        <v>239</v>
      </c>
      <c r="G64" s="34" t="s">
        <v>89</v>
      </c>
      <c r="H64" s="34" t="s">
        <v>20</v>
      </c>
      <c r="I64" s="35"/>
      <c r="J64" s="34">
        <v>28972671</v>
      </c>
      <c r="K64" s="34" t="s">
        <v>121</v>
      </c>
      <c r="L64" s="34" t="str">
        <f>_xlfn.XLOOKUP(Tabla2__2[[#This Row],[CODIGO RUTA]],'DATA INFORME'!I:I,'DATA INFORME'!K:K)</f>
        <v>SI</v>
      </c>
      <c r="M64" s="34" t="str">
        <f>IF(Tabla2__2[[#This Row],[MYSTERY EFECTIVO]]="SI",_xlfn.XLOOKUP(Tabla2__2[[#This Row],[PREGUNTA]],ENCUESTA!G:G,ENCUESTA!D:D),"N/A")</f>
        <v>PRESENTACIÓN PERSONAL</v>
      </c>
      <c r="N6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64" s="34" t="str">
        <f>_xlfn.XLOOKUP(Tabla2__2[[#This Row],[PREGUNTA]],ENCUESTA!G:G,ENCUESTA!H:H)</f>
        <v>SI</v>
      </c>
      <c r="P64" s="34">
        <f>IF(Tabla2__2[[#This Row],[RTA]]=Tabla2__2[[#This Row],[RTA CORRECTA]],Tabla2__2[[#This Row],[TOTAL PUNTAJE]],0)</f>
        <v>1</v>
      </c>
      <c r="Q64" s="34">
        <f>IF(OR(H64="Dog Chow húmedo",H64="Cat Chow húmedo",H64="Fancy Feast",H64="Felix",H64="Proplan húmedo",H64="One húmedo",H64="Snack Abrazzos",H64="Snak Dentalife",H64="Arenilla Tidy Cat"),N64,0)</f>
        <v>0</v>
      </c>
      <c r="R64" s="34"/>
    </row>
    <row r="65" spans="1:18" x14ac:dyDescent="0.25">
      <c r="A65" s="34" t="s">
        <v>113</v>
      </c>
      <c r="B65" s="34" t="s">
        <v>119</v>
      </c>
      <c r="C65" t="s">
        <v>15</v>
      </c>
      <c r="D65" s="34" t="s">
        <v>122</v>
      </c>
      <c r="E65" s="34">
        <v>363615</v>
      </c>
      <c r="F65" s="34" t="s">
        <v>239</v>
      </c>
      <c r="G65" s="34" t="s">
        <v>87</v>
      </c>
      <c r="H65" s="34" t="s">
        <v>20</v>
      </c>
      <c r="I65" s="35"/>
      <c r="J65" s="34">
        <v>28972671</v>
      </c>
      <c r="K65" s="34" t="s">
        <v>121</v>
      </c>
      <c r="L65" s="34" t="str">
        <f>_xlfn.XLOOKUP(Tabla2__2[[#This Row],[CODIGO RUTA]],'DATA INFORME'!I:I,'DATA INFORME'!K:K)</f>
        <v>SI</v>
      </c>
      <c r="M65" s="34" t="str">
        <f>IF(Tabla2__2[[#This Row],[MYSTERY EFECTIVO]]="SI",_xlfn.XLOOKUP(Tabla2__2[[#This Row],[PREGUNTA]],ENCUESTA!G:G,ENCUESTA!D:D),"N/A")</f>
        <v>N/A</v>
      </c>
      <c r="N6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5" s="34">
        <f>_xlfn.XLOOKUP(Tabla2__2[[#This Row],[PREGUNTA]],ENCUESTA!G:G,ENCUESTA!H:H)</f>
        <v>0</v>
      </c>
      <c r="P65" s="34">
        <f>IF(Tabla2__2[[#This Row],[RTA]]=Tabla2__2[[#This Row],[RTA CORRECTA]],Tabla2__2[[#This Row],[TOTAL PUNTAJE]],0)</f>
        <v>0</v>
      </c>
      <c r="Q65" s="34">
        <f>IF(OR(H65="Dog Chow húmedo",H65="Cat Chow húmedo",H65="Fancy Feast",H65="Felix",H65="Proplan húmedo",H65="One húmedo",H65="Snack Abrazzos",H65="Snak Dentalife",H65="Arenilla Tidy Cat"),N65,0)</f>
        <v>0</v>
      </c>
      <c r="R65" s="34"/>
    </row>
    <row r="66" spans="1:18" x14ac:dyDescent="0.25">
      <c r="A66" s="34" t="s">
        <v>113</v>
      </c>
      <c r="B66" s="34" t="s">
        <v>135</v>
      </c>
      <c r="C66" t="s">
        <v>14</v>
      </c>
      <c r="D66" s="34" t="s">
        <v>136</v>
      </c>
      <c r="E66" s="34">
        <v>191457</v>
      </c>
      <c r="F66" s="34" t="s">
        <v>210</v>
      </c>
      <c r="G66" s="34" t="s">
        <v>106</v>
      </c>
      <c r="H66" s="34" t="s">
        <v>112</v>
      </c>
      <c r="I66" s="35"/>
      <c r="J66" s="34">
        <v>28968760</v>
      </c>
      <c r="K66" s="34" t="s">
        <v>139</v>
      </c>
      <c r="L66" s="34" t="str">
        <f>_xlfn.XLOOKUP(Tabla2__2[[#This Row],[CODIGO RUTA]],'DATA INFORME'!I:I,'DATA INFORME'!K:K)</f>
        <v>SI</v>
      </c>
      <c r="M66" s="34" t="str">
        <f>IF(Tabla2__2[[#This Row],[MYSTERY EFECTIVO]]="SI",_xlfn.XLOOKUP(Tabla2__2[[#This Row],[PREGUNTA]],ENCUESTA!G:G,ENCUESTA!D:D),"N/A")</f>
        <v>N/A</v>
      </c>
      <c r="N6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6" s="34">
        <f>_xlfn.XLOOKUP(Tabla2__2[[#This Row],[PREGUNTA]],ENCUESTA!G:G,ENCUESTA!H:H)</f>
        <v>0</v>
      </c>
      <c r="P66" s="34">
        <f>IF(Tabla2__2[[#This Row],[RTA]]=Tabla2__2[[#This Row],[RTA CORRECTA]],Tabla2__2[[#This Row],[TOTAL PUNTAJE]],0)</f>
        <v>0</v>
      </c>
      <c r="Q66" s="34">
        <f>IF(OR(H66="Dog Chow húmedo",H66="Cat Chow húmedo",H66="Fancy Feast",H66="Felix",H66="Proplan húmedo",H66="One húmedo",H66="Snack Abrazzos",H66="Snak Dentalife",H66="Arenilla Tidy Cat"),N66,0)</f>
        <v>0</v>
      </c>
      <c r="R66" s="34"/>
    </row>
    <row r="67" spans="1:18" x14ac:dyDescent="0.25">
      <c r="A67" s="34" t="s">
        <v>113</v>
      </c>
      <c r="B67" s="34" t="s">
        <v>135</v>
      </c>
      <c r="C67" t="s">
        <v>14</v>
      </c>
      <c r="D67" s="34" t="s">
        <v>136</v>
      </c>
      <c r="E67" s="34">
        <v>191457</v>
      </c>
      <c r="F67" s="34" t="s">
        <v>210</v>
      </c>
      <c r="G67" s="34" t="s">
        <v>129</v>
      </c>
      <c r="H67" s="34" t="s">
        <v>20</v>
      </c>
      <c r="I67" s="35"/>
      <c r="J67" s="34">
        <v>28968760</v>
      </c>
      <c r="K67" s="34" t="s">
        <v>139</v>
      </c>
      <c r="L67" s="34" t="str">
        <f>_xlfn.XLOOKUP(Tabla2__2[[#This Row],[CODIGO RUTA]],'DATA INFORME'!I:I,'DATA INFORME'!K:K)</f>
        <v>SI</v>
      </c>
      <c r="M67" s="34" t="str">
        <f>IF(Tabla2__2[[#This Row],[MYSTERY EFECTIVO]]="SI",_xlfn.XLOOKUP(Tabla2__2[[#This Row],[PREGUNTA]],ENCUESTA!G:G,ENCUESTA!D:D),"N/A")</f>
        <v>ACTIVIDADES DEL MES</v>
      </c>
      <c r="N6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13.333333333333334</v>
      </c>
      <c r="O67" s="34" t="str">
        <f>_xlfn.XLOOKUP(Tabla2__2[[#This Row],[PREGUNTA]],ENCUESTA!G:G,ENCUESTA!H:H)</f>
        <v>SI</v>
      </c>
      <c r="P67" s="34">
        <f>IF(Tabla2__2[[#This Row],[RTA]]=Tabla2__2[[#This Row],[RTA CORRECTA]],Tabla2__2[[#This Row],[TOTAL PUNTAJE]],0)</f>
        <v>13.333333333333334</v>
      </c>
      <c r="Q67" s="34">
        <f>IF(OR(H67="Dog Chow húmedo",H67="Cat Chow húmedo",H67="Fancy Feast",H67="Felix",H67="Proplan húmedo",H67="One húmedo",H67="Snack Abrazzos",H67="Snak Dentalife",H67="Arenilla Tidy Cat"),N67,0)</f>
        <v>0</v>
      </c>
      <c r="R67" s="34"/>
    </row>
    <row r="68" spans="1:18" x14ac:dyDescent="0.25">
      <c r="A68" s="34" t="s">
        <v>113</v>
      </c>
      <c r="B68" s="34" t="s">
        <v>135</v>
      </c>
      <c r="C68" t="s">
        <v>14</v>
      </c>
      <c r="D68" s="34" t="s">
        <v>136</v>
      </c>
      <c r="E68" s="34">
        <v>191457</v>
      </c>
      <c r="F68" s="34" t="s">
        <v>210</v>
      </c>
      <c r="G68" s="34" t="s">
        <v>128</v>
      </c>
      <c r="H68" s="34" t="s">
        <v>20</v>
      </c>
      <c r="I68" s="35"/>
      <c r="J68" s="34">
        <v>28968760</v>
      </c>
      <c r="K68" s="34" t="s">
        <v>139</v>
      </c>
      <c r="L68" s="34" t="str">
        <f>_xlfn.XLOOKUP(Tabla2__2[[#This Row],[CODIGO RUTA]],'DATA INFORME'!I:I,'DATA INFORME'!K:K)</f>
        <v>SI</v>
      </c>
      <c r="M68" s="34" t="str">
        <f>IF(Tabla2__2[[#This Row],[MYSTERY EFECTIVO]]="SI",_xlfn.XLOOKUP(Tabla2__2[[#This Row],[PREGUNTA]],ENCUESTA!G:G,ENCUESTA!D:D),"N/A")</f>
        <v>ACTIVIDADES DEL MES</v>
      </c>
      <c r="N6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13.333333333333334</v>
      </c>
      <c r="O68" s="34" t="str">
        <f>_xlfn.XLOOKUP(Tabla2__2[[#This Row],[PREGUNTA]],ENCUESTA!G:G,ENCUESTA!H:H)</f>
        <v>SI</v>
      </c>
      <c r="P68" s="34">
        <f>IF(Tabla2__2[[#This Row],[RTA]]=Tabla2__2[[#This Row],[RTA CORRECTA]],Tabla2__2[[#This Row],[TOTAL PUNTAJE]],0)</f>
        <v>13.333333333333334</v>
      </c>
      <c r="Q68" s="34">
        <f>IF(OR(H68="Dog Chow húmedo",H68="Cat Chow húmedo",H68="Fancy Feast",H68="Felix",H68="Proplan húmedo",H68="One húmedo",H68="Snack Abrazzos",H68="Snak Dentalife",H68="Arenilla Tidy Cat"),N68,0)</f>
        <v>0</v>
      </c>
      <c r="R68" s="34"/>
    </row>
    <row r="69" spans="1:18" x14ac:dyDescent="0.25">
      <c r="A69" s="34" t="s">
        <v>113</v>
      </c>
      <c r="B69" s="34" t="s">
        <v>135</v>
      </c>
      <c r="C69" t="s">
        <v>14</v>
      </c>
      <c r="D69" s="34" t="s">
        <v>136</v>
      </c>
      <c r="E69" s="34">
        <v>191457</v>
      </c>
      <c r="F69" s="34" t="s">
        <v>210</v>
      </c>
      <c r="G69" s="34" t="s">
        <v>140</v>
      </c>
      <c r="H69" s="34" t="s">
        <v>20</v>
      </c>
      <c r="I69" s="35"/>
      <c r="J69" s="34">
        <v>28968760</v>
      </c>
      <c r="K69" s="34" t="s">
        <v>139</v>
      </c>
      <c r="L69" s="34" t="str">
        <f>_xlfn.XLOOKUP(Tabla2__2[[#This Row],[CODIGO RUTA]],'DATA INFORME'!I:I,'DATA INFORME'!K:K)</f>
        <v>SI</v>
      </c>
      <c r="M69" s="34" t="str">
        <f>IF(Tabla2__2[[#This Row],[MYSTERY EFECTIVO]]="SI",_xlfn.XLOOKUP(Tabla2__2[[#This Row],[PREGUNTA]],ENCUESTA!G:G,ENCUESTA!D:D),"N/A")</f>
        <v>ACTIVIDADES DEL MES</v>
      </c>
      <c r="N6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13.333333333333334</v>
      </c>
      <c r="O69" s="34" t="str">
        <f>_xlfn.XLOOKUP(Tabla2__2[[#This Row],[PREGUNTA]],ENCUESTA!G:G,ENCUESTA!H:H)</f>
        <v>SI</v>
      </c>
      <c r="P69" s="34">
        <f>IF(Tabla2__2[[#This Row],[RTA]]=Tabla2__2[[#This Row],[RTA CORRECTA]],Tabla2__2[[#This Row],[TOTAL PUNTAJE]],0)</f>
        <v>13.333333333333334</v>
      </c>
      <c r="Q69" s="34">
        <f>IF(OR(H69="Dog Chow húmedo",H69="Cat Chow húmedo",H69="Fancy Feast",H69="Felix",H69="Proplan húmedo",H69="One húmedo",H69="Snack Abrazzos",H69="Snak Dentalife",H69="Arenilla Tidy Cat"),N69,0)</f>
        <v>0</v>
      </c>
      <c r="R69" s="34"/>
    </row>
    <row r="70" spans="1:18" x14ac:dyDescent="0.25">
      <c r="A70" s="34" t="s">
        <v>113</v>
      </c>
      <c r="B70" s="34" t="s">
        <v>135</v>
      </c>
      <c r="C70" t="s">
        <v>14</v>
      </c>
      <c r="D70" s="34" t="s">
        <v>136</v>
      </c>
      <c r="E70" s="34">
        <v>191457</v>
      </c>
      <c r="F70" s="34" t="s">
        <v>210</v>
      </c>
      <c r="G70" s="34" t="s">
        <v>105</v>
      </c>
      <c r="H70" s="34" t="s">
        <v>131</v>
      </c>
      <c r="I70" s="35"/>
      <c r="J70" s="34">
        <v>28968760</v>
      </c>
      <c r="K70" s="34" t="s">
        <v>139</v>
      </c>
      <c r="L70" s="34" t="str">
        <f>_xlfn.XLOOKUP(Tabla2__2[[#This Row],[CODIGO RUTA]],'DATA INFORME'!I:I,'DATA INFORME'!K:K)</f>
        <v>SI</v>
      </c>
      <c r="M70" s="34" t="str">
        <f>IF(Tabla2__2[[#This Row],[MYSTERY EFECTIVO]]="SI",_xlfn.XLOOKUP(Tabla2__2[[#This Row],[PREGUNTA]],ENCUESTA!G:G,ENCUESTA!D:D),"N/A")</f>
        <v>N/A</v>
      </c>
      <c r="N7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0" s="34">
        <f>_xlfn.XLOOKUP(Tabla2__2[[#This Row],[PREGUNTA]],ENCUESTA!G:G,ENCUESTA!H:H)</f>
        <v>0</v>
      </c>
      <c r="P70" s="34">
        <f>IF(Tabla2__2[[#This Row],[RTA]]=Tabla2__2[[#This Row],[RTA CORRECTA]],Tabla2__2[[#This Row],[TOTAL PUNTAJE]],0)</f>
        <v>0</v>
      </c>
      <c r="Q70" s="34">
        <f>IF(OR(H70="Dog Chow húmedo",H70="Cat Chow húmedo",H70="Fancy Feast",H70="Felix",H70="Proplan húmedo",H70="One húmedo",H70="Snack Abrazzos",H70="Snak Dentalife",H70="Arenilla Tidy Cat"),N70,0)</f>
        <v>0</v>
      </c>
      <c r="R70" s="34"/>
    </row>
    <row r="71" spans="1:18" x14ac:dyDescent="0.25">
      <c r="A71" s="34" t="s">
        <v>113</v>
      </c>
      <c r="B71" s="34" t="s">
        <v>119</v>
      </c>
      <c r="C71" t="s">
        <v>15</v>
      </c>
      <c r="D71" s="34" t="s">
        <v>122</v>
      </c>
      <c r="E71" s="34">
        <v>363615</v>
      </c>
      <c r="F71" s="34" t="s">
        <v>239</v>
      </c>
      <c r="G71" s="34" t="s">
        <v>88</v>
      </c>
      <c r="H71" s="34" t="s">
        <v>20</v>
      </c>
      <c r="I71" s="35"/>
      <c r="J71" s="34">
        <v>28972671</v>
      </c>
      <c r="K71" s="34" t="s">
        <v>121</v>
      </c>
      <c r="L71" s="34" t="str">
        <f>_xlfn.XLOOKUP(Tabla2__2[[#This Row],[CODIGO RUTA]],'DATA INFORME'!I:I,'DATA INFORME'!K:K)</f>
        <v>SI</v>
      </c>
      <c r="M71" s="34" t="str">
        <f>IF(Tabla2__2[[#This Row],[MYSTERY EFECTIVO]]="SI",_xlfn.XLOOKUP(Tabla2__2[[#This Row],[PREGUNTA]],ENCUESTA!G:G,ENCUESTA!D:D),"N/A")</f>
        <v>HORARIO</v>
      </c>
      <c r="N7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71" s="34" t="str">
        <f>_xlfn.XLOOKUP(Tabla2__2[[#This Row],[PREGUNTA]],ENCUESTA!G:G,ENCUESTA!H:H)</f>
        <v>SI</v>
      </c>
      <c r="P71" s="34">
        <f>IF(Tabla2__2[[#This Row],[RTA]]=Tabla2__2[[#This Row],[RTA CORRECTA]],Tabla2__2[[#This Row],[TOTAL PUNTAJE]],0)</f>
        <v>20</v>
      </c>
      <c r="Q71" s="34">
        <f>IF(OR(H71="Dog Chow húmedo",H71="Cat Chow húmedo",H71="Fancy Feast",H71="Felix",H71="Proplan húmedo",H71="One húmedo",H71="Snack Abrazzos",H71="Snak Dentalife",H71="Arenilla Tidy Cat"),N71,0)</f>
        <v>0</v>
      </c>
      <c r="R71" s="34"/>
    </row>
    <row r="72" spans="1:18" x14ac:dyDescent="0.25">
      <c r="A72" s="34" t="s">
        <v>113</v>
      </c>
      <c r="B72" s="34" t="s">
        <v>246</v>
      </c>
      <c r="C72" t="s">
        <v>43</v>
      </c>
      <c r="D72" s="34" t="s">
        <v>247</v>
      </c>
      <c r="E72" s="34">
        <v>202264</v>
      </c>
      <c r="F72" s="34" t="s">
        <v>250</v>
      </c>
      <c r="G72" s="34" t="s">
        <v>130</v>
      </c>
      <c r="H72" s="34" t="s">
        <v>20</v>
      </c>
      <c r="I72" s="35"/>
      <c r="J72" s="34">
        <v>28975269</v>
      </c>
      <c r="K72" s="34" t="s">
        <v>257</v>
      </c>
      <c r="L72" s="34" t="str">
        <f>_xlfn.XLOOKUP(Tabla2__2[[#This Row],[CODIGO RUTA]],'DATA INFORME'!I:I,'DATA INFORME'!K:K)</f>
        <v>SI</v>
      </c>
      <c r="M72" s="34" t="str">
        <f>IF(Tabla2__2[[#This Row],[MYSTERY EFECTIVO]]="SI",_xlfn.XLOOKUP(Tabla2__2[[#This Row],[PREGUNTA]],ENCUESTA!G:G,ENCUESTA!D:D),"N/A")</f>
        <v>ACTIVIDADES DEL MES</v>
      </c>
      <c r="N7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40</v>
      </c>
      <c r="O72" s="34" t="str">
        <f>_xlfn.XLOOKUP(Tabla2__2[[#This Row],[PREGUNTA]],ENCUESTA!G:G,ENCUESTA!H:H)</f>
        <v>SI</v>
      </c>
      <c r="P72" s="34">
        <f>IF(Tabla2__2[[#This Row],[RTA]]=Tabla2__2[[#This Row],[RTA CORRECTA]],Tabla2__2[[#This Row],[TOTAL PUNTAJE]],0)</f>
        <v>40</v>
      </c>
      <c r="Q72" s="34">
        <f>IF(OR(H72="Dog Chow húmedo",H72="Cat Chow húmedo",H72="Fancy Feast",H72="Felix",H72="Proplan húmedo",H72="One húmedo",H72="Snack Abrazzos",H72="Snak Dentalife",H72="Arenilla Tidy Cat"),N72,0)</f>
        <v>0</v>
      </c>
      <c r="R72" s="34"/>
    </row>
    <row r="73" spans="1:18" x14ac:dyDescent="0.25">
      <c r="A73" s="34" t="s">
        <v>113</v>
      </c>
      <c r="B73" s="34" t="s">
        <v>246</v>
      </c>
      <c r="C73" t="s">
        <v>43</v>
      </c>
      <c r="D73" s="34" t="s">
        <v>247</v>
      </c>
      <c r="E73" s="34">
        <v>202264</v>
      </c>
      <c r="F73" s="34" t="s">
        <v>250</v>
      </c>
      <c r="G73" s="34" t="s">
        <v>106</v>
      </c>
      <c r="H73" s="34" t="s">
        <v>20</v>
      </c>
      <c r="I73" s="35"/>
      <c r="J73" s="34">
        <v>28975269</v>
      </c>
      <c r="K73" s="34" t="s">
        <v>257</v>
      </c>
      <c r="L73" s="34" t="str">
        <f>_xlfn.XLOOKUP(Tabla2__2[[#This Row],[CODIGO RUTA]],'DATA INFORME'!I:I,'DATA INFORME'!K:K)</f>
        <v>SI</v>
      </c>
      <c r="M73" s="34" t="str">
        <f>IF(Tabla2__2[[#This Row],[MYSTERY EFECTIVO]]="SI",_xlfn.XLOOKUP(Tabla2__2[[#This Row],[PREGUNTA]],ENCUESTA!G:G,ENCUESTA!D:D),"N/A")</f>
        <v>N/A</v>
      </c>
      <c r="N7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3" s="34">
        <f>_xlfn.XLOOKUP(Tabla2__2[[#This Row],[PREGUNTA]],ENCUESTA!G:G,ENCUESTA!H:H)</f>
        <v>0</v>
      </c>
      <c r="P73" s="34">
        <f>IF(Tabla2__2[[#This Row],[RTA]]=Tabla2__2[[#This Row],[RTA CORRECTA]],Tabla2__2[[#This Row],[TOTAL PUNTAJE]],0)</f>
        <v>0</v>
      </c>
      <c r="Q73" s="34">
        <f>IF(OR(H73="Dog Chow húmedo",H73="Cat Chow húmedo",H73="Fancy Feast",H73="Felix",H73="Proplan húmedo",H73="One húmedo",H73="Snack Abrazzos",H73="Snak Dentalife",H73="Arenilla Tidy Cat"),N73,0)</f>
        <v>0</v>
      </c>
      <c r="R73" s="34"/>
    </row>
    <row r="74" spans="1:18" x14ac:dyDescent="0.25">
      <c r="A74" s="34" t="s">
        <v>113</v>
      </c>
      <c r="B74" s="34" t="s">
        <v>246</v>
      </c>
      <c r="C74" t="s">
        <v>43</v>
      </c>
      <c r="D74" s="34" t="s">
        <v>247</v>
      </c>
      <c r="E74" s="34">
        <v>202264</v>
      </c>
      <c r="F74" s="34" t="s">
        <v>250</v>
      </c>
      <c r="G74" s="34" t="s">
        <v>107</v>
      </c>
      <c r="H74" s="34" t="s">
        <v>258</v>
      </c>
      <c r="I74" s="35"/>
      <c r="J74" s="34">
        <v>28975269</v>
      </c>
      <c r="K74" s="34" t="s">
        <v>257</v>
      </c>
      <c r="L74" s="34" t="str">
        <f>_xlfn.XLOOKUP(Tabla2__2[[#This Row],[CODIGO RUTA]],'DATA INFORME'!I:I,'DATA INFORME'!K:K)</f>
        <v>SI</v>
      </c>
      <c r="M74" s="34" t="str">
        <f>IF(Tabla2__2[[#This Row],[MYSTERY EFECTIVO]]="SI",_xlfn.XLOOKUP(Tabla2__2[[#This Row],[PREGUNTA]],ENCUESTA!G:G,ENCUESTA!D:D),"N/A")</f>
        <v>N/A</v>
      </c>
      <c r="N7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4" s="34">
        <f>_xlfn.XLOOKUP(Tabla2__2[[#This Row],[PREGUNTA]],ENCUESTA!G:G,ENCUESTA!H:H)</f>
        <v>0</v>
      </c>
      <c r="P74" s="34">
        <f>IF(Tabla2__2[[#This Row],[RTA]]=Tabla2__2[[#This Row],[RTA CORRECTA]],Tabla2__2[[#This Row],[TOTAL PUNTAJE]],0)</f>
        <v>0</v>
      </c>
      <c r="Q74" s="34">
        <f>IF(OR(H74="Dog Chow húmedo",H74="Cat Chow húmedo",H74="Fancy Feast",H74="Felix",H74="Proplan húmedo",H74="One húmedo",H74="Snack Abrazzos",H74="Snak Dentalife",H74="Arenilla Tidy Cat"),N74,0)</f>
        <v>0</v>
      </c>
      <c r="R74" s="34"/>
    </row>
    <row r="75" spans="1:18" x14ac:dyDescent="0.25">
      <c r="A75" s="34" t="s">
        <v>113</v>
      </c>
      <c r="B75" s="34" t="s">
        <v>135</v>
      </c>
      <c r="C75" t="s">
        <v>43</v>
      </c>
      <c r="D75" s="34" t="s">
        <v>136</v>
      </c>
      <c r="E75" s="34">
        <v>110508</v>
      </c>
      <c r="F75" s="34" t="s">
        <v>274</v>
      </c>
      <c r="G75" s="34" t="s">
        <v>89</v>
      </c>
      <c r="H75" s="34" t="s">
        <v>20</v>
      </c>
      <c r="I75" s="35"/>
      <c r="J75" s="34">
        <v>29016530</v>
      </c>
      <c r="K75" s="34" t="s">
        <v>139</v>
      </c>
      <c r="L75" s="34" t="str">
        <f>_xlfn.XLOOKUP(Tabla2__2[[#This Row],[CODIGO RUTA]],'DATA INFORME'!I:I,'DATA INFORME'!K:K)</f>
        <v>SI</v>
      </c>
      <c r="M75" s="34" t="str">
        <f>IF(Tabla2__2[[#This Row],[MYSTERY EFECTIVO]]="SI",_xlfn.XLOOKUP(Tabla2__2[[#This Row],[PREGUNTA]],ENCUESTA!G:G,ENCUESTA!D:D),"N/A")</f>
        <v>PRESENTACIÓN PERSONAL</v>
      </c>
      <c r="N7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75" s="34" t="str">
        <f>_xlfn.XLOOKUP(Tabla2__2[[#This Row],[PREGUNTA]],ENCUESTA!G:G,ENCUESTA!H:H)</f>
        <v>SI</v>
      </c>
      <c r="P75" s="34">
        <f>IF(Tabla2__2[[#This Row],[RTA]]=Tabla2__2[[#This Row],[RTA CORRECTA]],Tabla2__2[[#This Row],[TOTAL PUNTAJE]],0)</f>
        <v>1</v>
      </c>
      <c r="Q75" s="34">
        <f>IF(OR(H75="Dog Chow húmedo",H75="Cat Chow húmedo",H75="Fancy Feast",H75="Felix",H75="Proplan húmedo",H75="One húmedo",H75="Snack Abrazzos",H75="Snak Dentalife",H75="Arenilla Tidy Cat"),N75,0)</f>
        <v>0</v>
      </c>
      <c r="R75" s="34"/>
    </row>
    <row r="76" spans="1:18" x14ac:dyDescent="0.25">
      <c r="A76" s="34" t="s">
        <v>113</v>
      </c>
      <c r="B76" s="34" t="s">
        <v>135</v>
      </c>
      <c r="C76" t="s">
        <v>43</v>
      </c>
      <c r="D76" s="34" t="s">
        <v>136</v>
      </c>
      <c r="E76" s="34">
        <v>110508</v>
      </c>
      <c r="F76" s="34" t="s">
        <v>274</v>
      </c>
      <c r="G76" s="34" t="s">
        <v>88</v>
      </c>
      <c r="H76" s="34" t="s">
        <v>20</v>
      </c>
      <c r="I76" s="35"/>
      <c r="J76" s="34">
        <v>29016530</v>
      </c>
      <c r="K76" s="34" t="s">
        <v>139</v>
      </c>
      <c r="L76" s="34" t="str">
        <f>_xlfn.XLOOKUP(Tabla2__2[[#This Row],[CODIGO RUTA]],'DATA INFORME'!I:I,'DATA INFORME'!K:K)</f>
        <v>SI</v>
      </c>
      <c r="M76" s="34" t="str">
        <f>IF(Tabla2__2[[#This Row],[MYSTERY EFECTIVO]]="SI",_xlfn.XLOOKUP(Tabla2__2[[#This Row],[PREGUNTA]],ENCUESTA!G:G,ENCUESTA!D:D),"N/A")</f>
        <v>HORARIO</v>
      </c>
      <c r="N7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76" s="34" t="str">
        <f>_xlfn.XLOOKUP(Tabla2__2[[#This Row],[PREGUNTA]],ENCUESTA!G:G,ENCUESTA!H:H)</f>
        <v>SI</v>
      </c>
      <c r="P76" s="34">
        <f>IF(Tabla2__2[[#This Row],[RTA]]=Tabla2__2[[#This Row],[RTA CORRECTA]],Tabla2__2[[#This Row],[TOTAL PUNTAJE]],0)</f>
        <v>20</v>
      </c>
      <c r="Q76" s="34">
        <f>IF(OR(H76="Dog Chow húmedo",H76="Cat Chow húmedo",H76="Fancy Feast",H76="Felix",H76="Proplan húmedo",H76="One húmedo",H76="Snack Abrazzos",H76="Snak Dentalife",H76="Arenilla Tidy Cat"),N76,0)</f>
        <v>0</v>
      </c>
      <c r="R76" s="34"/>
    </row>
    <row r="77" spans="1:18" x14ac:dyDescent="0.25">
      <c r="A77" s="34" t="s">
        <v>113</v>
      </c>
      <c r="B77" s="34" t="s">
        <v>135</v>
      </c>
      <c r="C77" t="s">
        <v>43</v>
      </c>
      <c r="D77" s="34" t="s">
        <v>136</v>
      </c>
      <c r="E77" s="34">
        <v>110508</v>
      </c>
      <c r="F77" s="34" t="s">
        <v>274</v>
      </c>
      <c r="G77" s="34" t="s">
        <v>87</v>
      </c>
      <c r="H77" s="34" t="s">
        <v>20</v>
      </c>
      <c r="I77" s="35"/>
      <c r="J77" s="34">
        <v>29016530</v>
      </c>
      <c r="K77" s="34" t="s">
        <v>139</v>
      </c>
      <c r="L77" s="34" t="str">
        <f>_xlfn.XLOOKUP(Tabla2__2[[#This Row],[CODIGO RUTA]],'DATA INFORME'!I:I,'DATA INFORME'!K:K)</f>
        <v>SI</v>
      </c>
      <c r="M77" s="34" t="str">
        <f>IF(Tabla2__2[[#This Row],[MYSTERY EFECTIVO]]="SI",_xlfn.XLOOKUP(Tabla2__2[[#This Row],[PREGUNTA]],ENCUESTA!G:G,ENCUESTA!D:D),"N/A")</f>
        <v>N/A</v>
      </c>
      <c r="N7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7" s="34">
        <f>_xlfn.XLOOKUP(Tabla2__2[[#This Row],[PREGUNTA]],ENCUESTA!G:G,ENCUESTA!H:H)</f>
        <v>0</v>
      </c>
      <c r="P77" s="34">
        <f>IF(Tabla2__2[[#This Row],[RTA]]=Tabla2__2[[#This Row],[RTA CORRECTA]],Tabla2__2[[#This Row],[TOTAL PUNTAJE]],0)</f>
        <v>0</v>
      </c>
      <c r="Q77" s="34">
        <f>IF(OR(H77="Dog Chow húmedo",H77="Cat Chow húmedo",H77="Fancy Feast",H77="Felix",H77="Proplan húmedo",H77="One húmedo",H77="Snack Abrazzos",H77="Snak Dentalife",H77="Arenilla Tidy Cat"),N77,0)</f>
        <v>0</v>
      </c>
      <c r="R77" s="34"/>
    </row>
    <row r="78" spans="1:18" x14ac:dyDescent="0.25">
      <c r="A78" s="34" t="s">
        <v>113</v>
      </c>
      <c r="B78" s="34" t="s">
        <v>246</v>
      </c>
      <c r="C78" t="s">
        <v>43</v>
      </c>
      <c r="D78" s="34" t="s">
        <v>247</v>
      </c>
      <c r="E78" s="34">
        <v>129909</v>
      </c>
      <c r="F78" s="34" t="s">
        <v>267</v>
      </c>
      <c r="G78" s="34" t="s">
        <v>107</v>
      </c>
      <c r="H78" s="34" t="s">
        <v>272</v>
      </c>
      <c r="I78" s="35"/>
      <c r="J78" s="34">
        <v>29007151</v>
      </c>
      <c r="K78" s="34" t="s">
        <v>257</v>
      </c>
      <c r="L78" s="34" t="str">
        <f>_xlfn.XLOOKUP(Tabla2__2[[#This Row],[CODIGO RUTA]],'DATA INFORME'!I:I,'DATA INFORME'!K:K)</f>
        <v>NO</v>
      </c>
      <c r="M78" s="34" t="str">
        <f>IF(Tabla2__2[[#This Row],[MYSTERY EFECTIVO]]="SI",_xlfn.XLOOKUP(Tabla2__2[[#This Row],[PREGUNTA]],ENCUESTA!G:G,ENCUESTA!D:D),"N/A")</f>
        <v>N/A</v>
      </c>
      <c r="N7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8" s="34">
        <f>_xlfn.XLOOKUP(Tabla2__2[[#This Row],[PREGUNTA]],ENCUESTA!G:G,ENCUESTA!H:H)</f>
        <v>0</v>
      </c>
      <c r="P78" s="34">
        <f>IF(Tabla2__2[[#This Row],[RTA]]=Tabla2__2[[#This Row],[RTA CORRECTA]],Tabla2__2[[#This Row],[TOTAL PUNTAJE]],0)</f>
        <v>0</v>
      </c>
      <c r="Q78" s="34">
        <f>IF(OR(H78="Dog Chow húmedo",H78="Cat Chow húmedo",H78="Fancy Feast",H78="Felix",H78="Proplan húmedo",H78="One húmedo",H78="Snack Abrazzos",H78="Snak Dentalife",H78="Arenilla Tidy Cat"),N78,0)</f>
        <v>0</v>
      </c>
      <c r="R78" s="34"/>
    </row>
    <row r="79" spans="1:18" x14ac:dyDescent="0.25">
      <c r="A79" s="34" t="s">
        <v>113</v>
      </c>
      <c r="B79" s="34" t="s">
        <v>246</v>
      </c>
      <c r="C79" t="s">
        <v>43</v>
      </c>
      <c r="D79" s="34" t="s">
        <v>247</v>
      </c>
      <c r="E79" s="34">
        <v>129909</v>
      </c>
      <c r="F79" s="34" t="s">
        <v>267</v>
      </c>
      <c r="G79" s="34" t="s">
        <v>106</v>
      </c>
      <c r="H79" s="34" t="s">
        <v>20</v>
      </c>
      <c r="I79" s="35"/>
      <c r="J79" s="34">
        <v>29007151</v>
      </c>
      <c r="K79" s="34" t="s">
        <v>257</v>
      </c>
      <c r="L79" s="34" t="str">
        <f>_xlfn.XLOOKUP(Tabla2__2[[#This Row],[CODIGO RUTA]],'DATA INFORME'!I:I,'DATA INFORME'!K:K)</f>
        <v>NO</v>
      </c>
      <c r="M79" s="34" t="str">
        <f>IF(Tabla2__2[[#This Row],[MYSTERY EFECTIVO]]="SI",_xlfn.XLOOKUP(Tabla2__2[[#This Row],[PREGUNTA]],ENCUESTA!G:G,ENCUESTA!D:D),"N/A")</f>
        <v>N/A</v>
      </c>
      <c r="N7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9" s="34">
        <f>_xlfn.XLOOKUP(Tabla2__2[[#This Row],[PREGUNTA]],ENCUESTA!G:G,ENCUESTA!H:H)</f>
        <v>0</v>
      </c>
      <c r="P79" s="34">
        <f>IF(Tabla2__2[[#This Row],[RTA]]=Tabla2__2[[#This Row],[RTA CORRECTA]],Tabla2__2[[#This Row],[TOTAL PUNTAJE]],0)</f>
        <v>0</v>
      </c>
      <c r="Q79" s="34">
        <f>IF(OR(H79="Dog Chow húmedo",H79="Cat Chow húmedo",H79="Fancy Feast",H79="Felix",H79="Proplan húmedo",H79="One húmedo",H79="Snack Abrazzos",H79="Snak Dentalife",H79="Arenilla Tidy Cat"),N79,0)</f>
        <v>0</v>
      </c>
      <c r="R79" s="34"/>
    </row>
    <row r="80" spans="1:18" x14ac:dyDescent="0.25">
      <c r="A80" s="34" t="s">
        <v>113</v>
      </c>
      <c r="B80" s="34" t="s">
        <v>246</v>
      </c>
      <c r="C80" t="s">
        <v>43</v>
      </c>
      <c r="D80" s="34" t="s">
        <v>247</v>
      </c>
      <c r="E80" s="34">
        <v>129909</v>
      </c>
      <c r="F80" s="34" t="s">
        <v>267</v>
      </c>
      <c r="G80" s="34" t="s">
        <v>130</v>
      </c>
      <c r="H80" s="34" t="s">
        <v>112</v>
      </c>
      <c r="I80" s="35"/>
      <c r="J80" s="34">
        <v>29007151</v>
      </c>
      <c r="K80" s="34" t="s">
        <v>257</v>
      </c>
      <c r="L80" s="34" t="str">
        <f>_xlfn.XLOOKUP(Tabla2__2[[#This Row],[CODIGO RUTA]],'DATA INFORME'!I:I,'DATA INFORME'!K:K)</f>
        <v>NO</v>
      </c>
      <c r="M80" s="34" t="str">
        <f>IF(Tabla2__2[[#This Row],[MYSTERY EFECTIVO]]="SI",_xlfn.XLOOKUP(Tabla2__2[[#This Row],[PREGUNTA]],ENCUESTA!G:G,ENCUESTA!D:D),"N/A")</f>
        <v>N/A</v>
      </c>
      <c r="N8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0" s="34" t="str">
        <f>_xlfn.XLOOKUP(Tabla2__2[[#This Row],[PREGUNTA]],ENCUESTA!G:G,ENCUESTA!H:H)</f>
        <v>SI</v>
      </c>
      <c r="P80" s="34">
        <f>IF(Tabla2__2[[#This Row],[RTA]]=Tabla2__2[[#This Row],[RTA CORRECTA]],Tabla2__2[[#This Row],[TOTAL PUNTAJE]],0)</f>
        <v>0</v>
      </c>
      <c r="Q80" s="34">
        <f>IF(OR(H80="Dog Chow húmedo",H80="Cat Chow húmedo",H80="Fancy Feast",H80="Felix",H80="Proplan húmedo",H80="One húmedo",H80="Snack Abrazzos",H80="Snak Dentalife",H80="Arenilla Tidy Cat"),N80,0)</f>
        <v>0</v>
      </c>
      <c r="R80" s="34"/>
    </row>
    <row r="81" spans="1:18" x14ac:dyDescent="0.25">
      <c r="A81" s="34" t="s">
        <v>113</v>
      </c>
      <c r="B81" s="34" t="s">
        <v>135</v>
      </c>
      <c r="C81" t="s">
        <v>43</v>
      </c>
      <c r="D81" s="34" t="s">
        <v>136</v>
      </c>
      <c r="E81" s="34">
        <v>110508</v>
      </c>
      <c r="F81" s="34" t="s">
        <v>274</v>
      </c>
      <c r="G81" s="34" t="s">
        <v>90</v>
      </c>
      <c r="H81" s="34" t="s">
        <v>20</v>
      </c>
      <c r="I81" s="35"/>
      <c r="J81" s="34">
        <v>29016530</v>
      </c>
      <c r="K81" s="34" t="s">
        <v>139</v>
      </c>
      <c r="L81" s="34" t="str">
        <f>_xlfn.XLOOKUP(Tabla2__2[[#This Row],[CODIGO RUTA]],'DATA INFORME'!I:I,'DATA INFORME'!K:K)</f>
        <v>SI</v>
      </c>
      <c r="M81" s="34" t="str">
        <f>IF(Tabla2__2[[#This Row],[MYSTERY EFECTIVO]]="SI",_xlfn.XLOOKUP(Tabla2__2[[#This Row],[PREGUNTA]],ENCUESTA!G:G,ENCUESTA!D:D),"N/A")</f>
        <v>PRESENTACIÓN PERSONAL</v>
      </c>
      <c r="N8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81" s="34" t="str">
        <f>_xlfn.XLOOKUP(Tabla2__2[[#This Row],[PREGUNTA]],ENCUESTA!G:G,ENCUESTA!H:H)</f>
        <v>SI</v>
      </c>
      <c r="P81" s="34">
        <f>IF(Tabla2__2[[#This Row],[RTA]]=Tabla2__2[[#This Row],[RTA CORRECTA]],Tabla2__2[[#This Row],[TOTAL PUNTAJE]],0)</f>
        <v>1</v>
      </c>
      <c r="Q81" s="34">
        <f>IF(OR(H81="Dog Chow húmedo",H81="Cat Chow húmedo",H81="Fancy Feast",H81="Felix",H81="Proplan húmedo",H81="One húmedo",H81="Snack Abrazzos",H81="Snak Dentalife",H81="Arenilla Tidy Cat"),N81,0)</f>
        <v>0</v>
      </c>
      <c r="R81" s="34"/>
    </row>
    <row r="82" spans="1:18" x14ac:dyDescent="0.25">
      <c r="A82" s="34" t="s">
        <v>113</v>
      </c>
      <c r="B82" s="34" t="s">
        <v>246</v>
      </c>
      <c r="C82" t="s">
        <v>43</v>
      </c>
      <c r="D82" s="34" t="s">
        <v>247</v>
      </c>
      <c r="E82" s="34">
        <v>129909</v>
      </c>
      <c r="F82" s="34" t="s">
        <v>267</v>
      </c>
      <c r="G82" s="34" t="s">
        <v>105</v>
      </c>
      <c r="H82" s="34" t="s">
        <v>117</v>
      </c>
      <c r="I82" s="35"/>
      <c r="J82" s="34">
        <v>29007151</v>
      </c>
      <c r="K82" s="34" t="s">
        <v>257</v>
      </c>
      <c r="L82" s="34" t="str">
        <f>_xlfn.XLOOKUP(Tabla2__2[[#This Row],[CODIGO RUTA]],'DATA INFORME'!I:I,'DATA INFORME'!K:K)</f>
        <v>NO</v>
      </c>
      <c r="M82" s="34" t="str">
        <f>IF(Tabla2__2[[#This Row],[MYSTERY EFECTIVO]]="SI",_xlfn.XLOOKUP(Tabla2__2[[#This Row],[PREGUNTA]],ENCUESTA!G:G,ENCUESTA!D:D),"N/A")</f>
        <v>N/A</v>
      </c>
      <c r="N8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2" s="34">
        <f>_xlfn.XLOOKUP(Tabla2__2[[#This Row],[PREGUNTA]],ENCUESTA!G:G,ENCUESTA!H:H)</f>
        <v>0</v>
      </c>
      <c r="P82" s="34">
        <f>IF(Tabla2__2[[#This Row],[RTA]]=Tabla2__2[[#This Row],[RTA CORRECTA]],Tabla2__2[[#This Row],[TOTAL PUNTAJE]],0)</f>
        <v>0</v>
      </c>
      <c r="Q82" s="34">
        <f>IF(OR(H82="Dog Chow húmedo",H82="Cat Chow húmedo",H82="Fancy Feast",H82="Felix",H82="Proplan húmedo",H82="One húmedo",H82="Snack Abrazzos",H82="Snak Dentalife",H82="Arenilla Tidy Cat"),N82,0)</f>
        <v>0</v>
      </c>
      <c r="R82" s="34"/>
    </row>
    <row r="83" spans="1:18" x14ac:dyDescent="0.25">
      <c r="A83" s="34" t="s">
        <v>113</v>
      </c>
      <c r="B83" s="34" t="s">
        <v>246</v>
      </c>
      <c r="C83" t="s">
        <v>43</v>
      </c>
      <c r="D83" s="34" t="s">
        <v>247</v>
      </c>
      <c r="E83" s="34">
        <v>129909</v>
      </c>
      <c r="F83" s="34" t="s">
        <v>267</v>
      </c>
      <c r="G83" s="34" t="s">
        <v>104</v>
      </c>
      <c r="H83" s="34" t="s">
        <v>112</v>
      </c>
      <c r="I83" s="35"/>
      <c r="J83" s="34">
        <v>29007151</v>
      </c>
      <c r="K83" s="34" t="s">
        <v>257</v>
      </c>
      <c r="L83" s="34" t="str">
        <f>_xlfn.XLOOKUP(Tabla2__2[[#This Row],[CODIGO RUTA]],'DATA INFORME'!I:I,'DATA INFORME'!K:K)</f>
        <v>NO</v>
      </c>
      <c r="M83" s="34" t="str">
        <f>IF(Tabla2__2[[#This Row],[MYSTERY EFECTIVO]]="SI",_xlfn.XLOOKUP(Tabla2__2[[#This Row],[PREGUNTA]],ENCUESTA!G:G,ENCUESTA!D:D),"N/A")</f>
        <v>N/A</v>
      </c>
      <c r="N8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3" s="34" t="str">
        <f>_xlfn.XLOOKUP(Tabla2__2[[#This Row],[PREGUNTA]],ENCUESTA!G:G,ENCUESTA!H:H)</f>
        <v>SI</v>
      </c>
      <c r="P83" s="34">
        <f>IF(Tabla2__2[[#This Row],[RTA]]=Tabla2__2[[#This Row],[RTA CORRECTA]],Tabla2__2[[#This Row],[TOTAL PUNTAJE]],0)</f>
        <v>0</v>
      </c>
      <c r="Q83" s="34">
        <f>IF(OR(H83="Dog Chow húmedo",H83="Cat Chow húmedo",H83="Fancy Feast",H83="Felix",H83="Proplan húmedo",H83="One húmedo",H83="Snack Abrazzos",H83="Snak Dentalife",H83="Arenilla Tidy Cat"),N83,0)</f>
        <v>0</v>
      </c>
      <c r="R83" s="34"/>
    </row>
    <row r="84" spans="1:18" x14ac:dyDescent="0.25">
      <c r="A84" s="34" t="s">
        <v>113</v>
      </c>
      <c r="B84" s="34" t="s">
        <v>246</v>
      </c>
      <c r="C84" t="s">
        <v>43</v>
      </c>
      <c r="D84" s="34" t="s">
        <v>247</v>
      </c>
      <c r="E84" s="34">
        <v>129909</v>
      </c>
      <c r="F84" s="34" t="s">
        <v>267</v>
      </c>
      <c r="G84" s="34" t="s">
        <v>103</v>
      </c>
      <c r="H84" s="34" t="s">
        <v>112</v>
      </c>
      <c r="I84" s="35"/>
      <c r="J84" s="34">
        <v>29007151</v>
      </c>
      <c r="K84" s="34" t="s">
        <v>257</v>
      </c>
      <c r="L84" s="34" t="str">
        <f>_xlfn.XLOOKUP(Tabla2__2[[#This Row],[CODIGO RUTA]],'DATA INFORME'!I:I,'DATA INFORME'!K:K)</f>
        <v>NO</v>
      </c>
      <c r="M84" s="34" t="str">
        <f>IF(Tabla2__2[[#This Row],[MYSTERY EFECTIVO]]="SI",_xlfn.XLOOKUP(Tabla2__2[[#This Row],[PREGUNTA]],ENCUESTA!G:G,ENCUESTA!D:D),"N/A")</f>
        <v>N/A</v>
      </c>
      <c r="N8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4" s="34" t="str">
        <f>_xlfn.XLOOKUP(Tabla2__2[[#This Row],[PREGUNTA]],ENCUESTA!G:G,ENCUESTA!H:H)</f>
        <v>SI</v>
      </c>
      <c r="P84" s="34">
        <f>IF(Tabla2__2[[#This Row],[RTA]]=Tabla2__2[[#This Row],[RTA CORRECTA]],Tabla2__2[[#This Row],[TOTAL PUNTAJE]],0)</f>
        <v>0</v>
      </c>
      <c r="Q84" s="34">
        <f>IF(OR(H84="Dog Chow húmedo",H84="Cat Chow húmedo",H84="Fancy Feast",H84="Felix",H84="Proplan húmedo",H84="One húmedo",H84="Snack Abrazzos",H84="Snak Dentalife",H84="Arenilla Tidy Cat"),N84,0)</f>
        <v>0</v>
      </c>
      <c r="R84" s="34"/>
    </row>
    <row r="85" spans="1:18" x14ac:dyDescent="0.25">
      <c r="A85" s="34" t="s">
        <v>113</v>
      </c>
      <c r="B85" s="34" t="s">
        <v>246</v>
      </c>
      <c r="C85" t="s">
        <v>43</v>
      </c>
      <c r="D85" s="34" t="s">
        <v>247</v>
      </c>
      <c r="E85" s="34">
        <v>129909</v>
      </c>
      <c r="F85" s="34" t="s">
        <v>267</v>
      </c>
      <c r="G85" s="34" t="s">
        <v>102</v>
      </c>
      <c r="H85" s="34" t="s">
        <v>112</v>
      </c>
      <c r="I85" s="35"/>
      <c r="J85" s="34">
        <v>29007151</v>
      </c>
      <c r="K85" s="34" t="s">
        <v>257</v>
      </c>
      <c r="L85" s="34" t="str">
        <f>_xlfn.XLOOKUP(Tabla2__2[[#This Row],[CODIGO RUTA]],'DATA INFORME'!I:I,'DATA INFORME'!K:K)</f>
        <v>NO</v>
      </c>
      <c r="M85" s="34" t="str">
        <f>IF(Tabla2__2[[#This Row],[MYSTERY EFECTIVO]]="SI",_xlfn.XLOOKUP(Tabla2__2[[#This Row],[PREGUNTA]],ENCUESTA!G:G,ENCUESTA!D:D),"N/A")</f>
        <v>N/A</v>
      </c>
      <c r="N8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5" s="34" t="str">
        <f>_xlfn.XLOOKUP(Tabla2__2[[#This Row],[PREGUNTA]],ENCUESTA!G:G,ENCUESTA!H:H)</f>
        <v>SI</v>
      </c>
      <c r="P85" s="34">
        <f>IF(Tabla2__2[[#This Row],[RTA]]=Tabla2__2[[#This Row],[RTA CORRECTA]],Tabla2__2[[#This Row],[TOTAL PUNTAJE]],0)</f>
        <v>0</v>
      </c>
      <c r="Q85" s="34">
        <f>IF(OR(H85="Dog Chow húmedo",H85="Cat Chow húmedo",H85="Fancy Feast",H85="Felix",H85="Proplan húmedo",H85="One húmedo",H85="Snack Abrazzos",H85="Snak Dentalife",H85="Arenilla Tidy Cat"),N85,0)</f>
        <v>0</v>
      </c>
      <c r="R85" s="34"/>
    </row>
    <row r="86" spans="1:18" x14ac:dyDescent="0.25">
      <c r="A86" s="34" t="s">
        <v>113</v>
      </c>
      <c r="B86" s="34" t="s">
        <v>246</v>
      </c>
      <c r="C86" t="s">
        <v>43</v>
      </c>
      <c r="D86" s="34" t="s">
        <v>247</v>
      </c>
      <c r="E86" s="34">
        <v>129909</v>
      </c>
      <c r="F86" s="34" t="s">
        <v>267</v>
      </c>
      <c r="G86" s="34" t="s">
        <v>101</v>
      </c>
      <c r="H86" s="34" t="s">
        <v>112</v>
      </c>
      <c r="I86" s="35"/>
      <c r="J86" s="34">
        <v>29007151</v>
      </c>
      <c r="K86" s="34" t="s">
        <v>257</v>
      </c>
      <c r="L86" s="34" t="str">
        <f>_xlfn.XLOOKUP(Tabla2__2[[#This Row],[CODIGO RUTA]],'DATA INFORME'!I:I,'DATA INFORME'!K:K)</f>
        <v>NO</v>
      </c>
      <c r="M86" s="34" t="str">
        <f>IF(Tabla2__2[[#This Row],[MYSTERY EFECTIVO]]="SI",_xlfn.XLOOKUP(Tabla2__2[[#This Row],[PREGUNTA]],ENCUESTA!G:G,ENCUESTA!D:D),"N/A")</f>
        <v>N/A</v>
      </c>
      <c r="N8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6" s="34" t="str">
        <f>_xlfn.XLOOKUP(Tabla2__2[[#This Row],[PREGUNTA]],ENCUESTA!G:G,ENCUESTA!H:H)</f>
        <v>SI</v>
      </c>
      <c r="P86" s="34">
        <f>IF(Tabla2__2[[#This Row],[RTA]]=Tabla2__2[[#This Row],[RTA CORRECTA]],Tabla2__2[[#This Row],[TOTAL PUNTAJE]],0)</f>
        <v>0</v>
      </c>
      <c r="Q86" s="34">
        <f>IF(OR(H86="Dog Chow húmedo",H86="Cat Chow húmedo",H86="Fancy Feast",H86="Felix",H86="Proplan húmedo",H86="One húmedo",H86="Snack Abrazzos",H86="Snak Dentalife",H86="Arenilla Tidy Cat"),N86,0)</f>
        <v>0</v>
      </c>
      <c r="R86" s="34"/>
    </row>
    <row r="87" spans="1:18" x14ac:dyDescent="0.25">
      <c r="A87" s="34" t="s">
        <v>113</v>
      </c>
      <c r="B87" s="34" t="s">
        <v>246</v>
      </c>
      <c r="C87" t="s">
        <v>43</v>
      </c>
      <c r="D87" s="34" t="s">
        <v>247</v>
      </c>
      <c r="E87" s="34">
        <v>129909</v>
      </c>
      <c r="F87" s="34" t="s">
        <v>267</v>
      </c>
      <c r="G87" s="34" t="s">
        <v>100</v>
      </c>
      <c r="H87" s="34" t="s">
        <v>112</v>
      </c>
      <c r="I87" s="35"/>
      <c r="J87" s="34">
        <v>29007151</v>
      </c>
      <c r="K87" s="34" t="s">
        <v>257</v>
      </c>
      <c r="L87" s="34" t="str">
        <f>_xlfn.XLOOKUP(Tabla2__2[[#This Row],[CODIGO RUTA]],'DATA INFORME'!I:I,'DATA INFORME'!K:K)</f>
        <v>NO</v>
      </c>
      <c r="M87" s="34" t="str">
        <f>IF(Tabla2__2[[#This Row],[MYSTERY EFECTIVO]]="SI",_xlfn.XLOOKUP(Tabla2__2[[#This Row],[PREGUNTA]],ENCUESTA!G:G,ENCUESTA!D:D),"N/A")</f>
        <v>N/A</v>
      </c>
      <c r="N8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7" s="34" t="str">
        <f>_xlfn.XLOOKUP(Tabla2__2[[#This Row],[PREGUNTA]],ENCUESTA!G:G,ENCUESTA!H:H)</f>
        <v>SI</v>
      </c>
      <c r="P87" s="34">
        <f>IF(Tabla2__2[[#This Row],[RTA]]=Tabla2__2[[#This Row],[RTA CORRECTA]],Tabla2__2[[#This Row],[TOTAL PUNTAJE]],0)</f>
        <v>0</v>
      </c>
      <c r="Q87" s="34">
        <f>IF(OR(H87="Dog Chow húmedo",H87="Cat Chow húmedo",H87="Fancy Feast",H87="Felix",H87="Proplan húmedo",H87="One húmedo",H87="Snack Abrazzos",H87="Snak Dentalife",H87="Arenilla Tidy Cat"),N87,0)</f>
        <v>0</v>
      </c>
      <c r="R87" s="34"/>
    </row>
    <row r="88" spans="1:18" x14ac:dyDescent="0.25">
      <c r="A88" s="34" t="s">
        <v>113</v>
      </c>
      <c r="B88" s="34" t="s">
        <v>246</v>
      </c>
      <c r="C88" t="s">
        <v>43</v>
      </c>
      <c r="D88" s="34" t="s">
        <v>247</v>
      </c>
      <c r="E88" s="34">
        <v>129909</v>
      </c>
      <c r="F88" s="34" t="s">
        <v>267</v>
      </c>
      <c r="G88" s="34" t="s">
        <v>99</v>
      </c>
      <c r="H88" s="34" t="s">
        <v>112</v>
      </c>
      <c r="I88" s="35"/>
      <c r="J88" s="34">
        <v>29007151</v>
      </c>
      <c r="K88" s="34" t="s">
        <v>257</v>
      </c>
      <c r="L88" s="34" t="str">
        <f>_xlfn.XLOOKUP(Tabla2__2[[#This Row],[CODIGO RUTA]],'DATA INFORME'!I:I,'DATA INFORME'!K:K)</f>
        <v>NO</v>
      </c>
      <c r="M88" s="34" t="str">
        <f>IF(Tabla2__2[[#This Row],[MYSTERY EFECTIVO]]="SI",_xlfn.XLOOKUP(Tabla2__2[[#This Row],[PREGUNTA]],ENCUESTA!G:G,ENCUESTA!D:D),"N/A")</f>
        <v>N/A</v>
      </c>
      <c r="N8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8" s="34" t="str">
        <f>_xlfn.XLOOKUP(Tabla2__2[[#This Row],[PREGUNTA]],ENCUESTA!G:G,ENCUESTA!H:H)</f>
        <v>SI</v>
      </c>
      <c r="P88" s="34">
        <f>IF(Tabla2__2[[#This Row],[RTA]]=Tabla2__2[[#This Row],[RTA CORRECTA]],Tabla2__2[[#This Row],[TOTAL PUNTAJE]],0)</f>
        <v>0</v>
      </c>
      <c r="Q88" s="34">
        <f>IF(OR(H88="Dog Chow húmedo",H88="Cat Chow húmedo",H88="Fancy Feast",H88="Felix",H88="Proplan húmedo",H88="One húmedo",H88="Snack Abrazzos",H88="Snak Dentalife",H88="Arenilla Tidy Cat"),N88,0)</f>
        <v>0</v>
      </c>
      <c r="R88" s="34"/>
    </row>
    <row r="89" spans="1:18" x14ac:dyDescent="0.25">
      <c r="A89" s="34" t="s">
        <v>113</v>
      </c>
      <c r="B89" s="34" t="s">
        <v>246</v>
      </c>
      <c r="C89" t="s">
        <v>43</v>
      </c>
      <c r="D89" s="34" t="s">
        <v>247</v>
      </c>
      <c r="E89" s="34">
        <v>129909</v>
      </c>
      <c r="F89" s="34" t="s">
        <v>267</v>
      </c>
      <c r="G89" s="34" t="s">
        <v>125</v>
      </c>
      <c r="H89" s="34" t="s">
        <v>112</v>
      </c>
      <c r="I89" s="35"/>
      <c r="J89" s="34">
        <v>29007151</v>
      </c>
      <c r="K89" s="34" t="s">
        <v>257</v>
      </c>
      <c r="L89" s="34" t="str">
        <f>_xlfn.XLOOKUP(Tabla2__2[[#This Row],[CODIGO RUTA]],'DATA INFORME'!I:I,'DATA INFORME'!K:K)</f>
        <v>NO</v>
      </c>
      <c r="M89" s="34" t="str">
        <f>IF(Tabla2__2[[#This Row],[MYSTERY EFECTIVO]]="SI",_xlfn.XLOOKUP(Tabla2__2[[#This Row],[PREGUNTA]],ENCUESTA!G:G,ENCUESTA!D:D),"N/A")</f>
        <v>N/A</v>
      </c>
      <c r="N8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9" s="34" t="str">
        <f>_xlfn.XLOOKUP(Tabla2__2[[#This Row],[PREGUNTA]],ENCUESTA!G:G,ENCUESTA!H:H)</f>
        <v>SI</v>
      </c>
      <c r="P89" s="34">
        <f>IF(Tabla2__2[[#This Row],[RTA]]=Tabla2__2[[#This Row],[RTA CORRECTA]],Tabla2__2[[#This Row],[TOTAL PUNTAJE]],0)</f>
        <v>0</v>
      </c>
      <c r="Q89" s="34">
        <f>IF(OR(H89="Dog Chow húmedo",H89="Cat Chow húmedo",H89="Fancy Feast",H89="Felix",H89="Proplan húmedo",H89="One húmedo",H89="Snack Abrazzos",H89="Snak Dentalife",H89="Arenilla Tidy Cat"),N89,0)</f>
        <v>0</v>
      </c>
      <c r="R89" s="34"/>
    </row>
    <row r="90" spans="1:18" x14ac:dyDescent="0.25">
      <c r="A90" s="34" t="s">
        <v>113</v>
      </c>
      <c r="B90" s="34" t="s">
        <v>246</v>
      </c>
      <c r="C90" t="s">
        <v>43</v>
      </c>
      <c r="D90" s="34" t="s">
        <v>247</v>
      </c>
      <c r="E90" s="34">
        <v>129909</v>
      </c>
      <c r="F90" s="34" t="s">
        <v>267</v>
      </c>
      <c r="G90" s="34" t="s">
        <v>98</v>
      </c>
      <c r="H90" s="34" t="s">
        <v>112</v>
      </c>
      <c r="I90" s="35"/>
      <c r="J90" s="34">
        <v>29007151</v>
      </c>
      <c r="K90" s="34" t="s">
        <v>257</v>
      </c>
      <c r="L90" s="34" t="str">
        <f>_xlfn.XLOOKUP(Tabla2__2[[#This Row],[CODIGO RUTA]],'DATA INFORME'!I:I,'DATA INFORME'!K:K)</f>
        <v>NO</v>
      </c>
      <c r="M90" s="34" t="str">
        <f>IF(Tabla2__2[[#This Row],[MYSTERY EFECTIVO]]="SI",_xlfn.XLOOKUP(Tabla2__2[[#This Row],[PREGUNTA]],ENCUESTA!G:G,ENCUESTA!D:D),"N/A")</f>
        <v>N/A</v>
      </c>
      <c r="N9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0" s="34" t="str">
        <f>_xlfn.XLOOKUP(Tabla2__2[[#This Row],[PREGUNTA]],ENCUESTA!G:G,ENCUESTA!H:H)</f>
        <v>SI</v>
      </c>
      <c r="P90" s="34">
        <f>IF(Tabla2__2[[#This Row],[RTA]]=Tabla2__2[[#This Row],[RTA CORRECTA]],Tabla2__2[[#This Row],[TOTAL PUNTAJE]],0)</f>
        <v>0</v>
      </c>
      <c r="Q90" s="34">
        <f>IF(OR(H90="Dog Chow húmedo",H90="Cat Chow húmedo",H90="Fancy Feast",H90="Felix",H90="Proplan húmedo",H90="One húmedo",H90="Snack Abrazzos",H90="Snak Dentalife",H90="Arenilla Tidy Cat"),N90,0)</f>
        <v>0</v>
      </c>
      <c r="R90" s="34"/>
    </row>
    <row r="91" spans="1:18" x14ac:dyDescent="0.25">
      <c r="A91" s="34" t="s">
        <v>113</v>
      </c>
      <c r="B91" s="34" t="s">
        <v>135</v>
      </c>
      <c r="C91" t="s">
        <v>43</v>
      </c>
      <c r="D91" s="34" t="s">
        <v>136</v>
      </c>
      <c r="E91" s="34">
        <v>110508</v>
      </c>
      <c r="F91" s="34" t="s">
        <v>274</v>
      </c>
      <c r="G91" s="34" t="s">
        <v>35</v>
      </c>
      <c r="H91" s="34" t="s">
        <v>20</v>
      </c>
      <c r="I91" s="35"/>
      <c r="J91" s="34">
        <v>29016530</v>
      </c>
      <c r="K91" s="34" t="s">
        <v>139</v>
      </c>
      <c r="L91" s="34" t="str">
        <f>_xlfn.XLOOKUP(Tabla2__2[[#This Row],[CODIGO RUTA]],'DATA INFORME'!I:I,'DATA INFORME'!K:K)</f>
        <v>SI</v>
      </c>
      <c r="M91" s="34" t="str">
        <f>IF(Tabla2__2[[#This Row],[MYSTERY EFECTIVO]]="SI",_xlfn.XLOOKUP(Tabla2__2[[#This Row],[PREGUNTA]],ENCUESTA!G:G,ENCUESTA!D:D),"N/A")</f>
        <v>PRESENTACIÓN PERSONAL</v>
      </c>
      <c r="N9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91" s="34" t="str">
        <f>_xlfn.XLOOKUP(Tabla2__2[[#This Row],[PREGUNTA]],ENCUESTA!G:G,ENCUESTA!H:H)</f>
        <v>SI</v>
      </c>
      <c r="P91" s="34">
        <f>IF(Tabla2__2[[#This Row],[RTA]]=Tabla2__2[[#This Row],[RTA CORRECTA]],Tabla2__2[[#This Row],[TOTAL PUNTAJE]],0)</f>
        <v>1</v>
      </c>
      <c r="Q91" s="34">
        <f>IF(OR(H91="Dog Chow húmedo",H91="Cat Chow húmedo",H91="Fancy Feast",H91="Felix",H91="Proplan húmedo",H91="One húmedo",H91="Snack Abrazzos",H91="Snak Dentalife",H91="Arenilla Tidy Cat"),N91,0)</f>
        <v>0</v>
      </c>
      <c r="R91" s="34"/>
    </row>
    <row r="92" spans="1:18" x14ac:dyDescent="0.25">
      <c r="A92" s="34" t="s">
        <v>113</v>
      </c>
      <c r="B92" s="34" t="s">
        <v>135</v>
      </c>
      <c r="C92" t="s">
        <v>43</v>
      </c>
      <c r="D92" s="34" t="s">
        <v>136</v>
      </c>
      <c r="E92" s="34">
        <v>110508</v>
      </c>
      <c r="F92" s="34" t="s">
        <v>274</v>
      </c>
      <c r="G92" s="34" t="s">
        <v>92</v>
      </c>
      <c r="H92" s="34" t="s">
        <v>20</v>
      </c>
      <c r="I92" s="35"/>
      <c r="J92" s="34">
        <v>29016530</v>
      </c>
      <c r="K92" s="34" t="s">
        <v>139</v>
      </c>
      <c r="L92" s="34" t="str">
        <f>_xlfn.XLOOKUP(Tabla2__2[[#This Row],[CODIGO RUTA]],'DATA INFORME'!I:I,'DATA INFORME'!K:K)</f>
        <v>SI</v>
      </c>
      <c r="M92" s="34" t="str">
        <f>IF(Tabla2__2[[#This Row],[MYSTERY EFECTIVO]]="SI",_xlfn.XLOOKUP(Tabla2__2[[#This Row],[PREGUNTA]],ENCUESTA!G:G,ENCUESTA!D:D),"N/A")</f>
        <v>PRESENTACIÓN PERSONAL</v>
      </c>
      <c r="N9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92" s="34" t="str">
        <f>_xlfn.XLOOKUP(Tabla2__2[[#This Row],[PREGUNTA]],ENCUESTA!G:G,ENCUESTA!H:H)</f>
        <v>SI</v>
      </c>
      <c r="P92" s="34">
        <f>IF(Tabla2__2[[#This Row],[RTA]]=Tabla2__2[[#This Row],[RTA CORRECTA]],Tabla2__2[[#This Row],[TOTAL PUNTAJE]],0)</f>
        <v>1</v>
      </c>
      <c r="Q92" s="34">
        <f>IF(OR(H92="Dog Chow húmedo",H92="Cat Chow húmedo",H92="Fancy Feast",H92="Felix",H92="Proplan húmedo",H92="One húmedo",H92="Snack Abrazzos",H92="Snak Dentalife",H92="Arenilla Tidy Cat"),N92,0)</f>
        <v>0</v>
      </c>
      <c r="R92" s="34"/>
    </row>
    <row r="93" spans="1:18" x14ac:dyDescent="0.25">
      <c r="A93" s="34" t="s">
        <v>113</v>
      </c>
      <c r="B93" s="34" t="s">
        <v>135</v>
      </c>
      <c r="C93" t="s">
        <v>43</v>
      </c>
      <c r="D93" s="34" t="s">
        <v>136</v>
      </c>
      <c r="E93" s="34">
        <v>110508</v>
      </c>
      <c r="F93" s="34" t="s">
        <v>274</v>
      </c>
      <c r="G93" s="34" t="s">
        <v>105</v>
      </c>
      <c r="H93" s="34" t="s">
        <v>117</v>
      </c>
      <c r="I93" s="35"/>
      <c r="J93" s="34">
        <v>29016530</v>
      </c>
      <c r="K93" s="34" t="s">
        <v>139</v>
      </c>
      <c r="L93" s="34" t="str">
        <f>_xlfn.XLOOKUP(Tabla2__2[[#This Row],[CODIGO RUTA]],'DATA INFORME'!I:I,'DATA INFORME'!K:K)</f>
        <v>SI</v>
      </c>
      <c r="M93" s="34" t="str">
        <f>IF(Tabla2__2[[#This Row],[MYSTERY EFECTIVO]]="SI",_xlfn.XLOOKUP(Tabla2__2[[#This Row],[PREGUNTA]],ENCUESTA!G:G,ENCUESTA!D:D),"N/A")</f>
        <v>N/A</v>
      </c>
      <c r="N9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3" s="34">
        <f>_xlfn.XLOOKUP(Tabla2__2[[#This Row],[PREGUNTA]],ENCUESTA!G:G,ENCUESTA!H:H)</f>
        <v>0</v>
      </c>
      <c r="P93" s="34">
        <f>IF(Tabla2__2[[#This Row],[RTA]]=Tabla2__2[[#This Row],[RTA CORRECTA]],Tabla2__2[[#This Row],[TOTAL PUNTAJE]],0)</f>
        <v>0</v>
      </c>
      <c r="Q93" s="34">
        <f>IF(OR(H93="Dog Chow húmedo",H93="Cat Chow húmedo",H93="Fancy Feast",H93="Felix",H93="Proplan húmedo",H93="One húmedo",H93="Snack Abrazzos",H93="Snak Dentalife",H93="Arenilla Tidy Cat"),N93,0)</f>
        <v>0</v>
      </c>
      <c r="R93" s="34"/>
    </row>
    <row r="94" spans="1:18" x14ac:dyDescent="0.25">
      <c r="A94" s="34" t="s">
        <v>113</v>
      </c>
      <c r="B94" s="34" t="s">
        <v>135</v>
      </c>
      <c r="C94" t="s">
        <v>43</v>
      </c>
      <c r="D94" s="34" t="s">
        <v>136</v>
      </c>
      <c r="E94" s="34">
        <v>110508</v>
      </c>
      <c r="F94" s="34" t="s">
        <v>274</v>
      </c>
      <c r="G94" s="34" t="s">
        <v>125</v>
      </c>
      <c r="H94" s="34" t="s">
        <v>20</v>
      </c>
      <c r="I94" s="35"/>
      <c r="J94" s="34">
        <v>29016530</v>
      </c>
      <c r="K94" s="34" t="s">
        <v>139</v>
      </c>
      <c r="L94" s="34" t="str">
        <f>_xlfn.XLOOKUP(Tabla2__2[[#This Row],[CODIGO RUTA]],'DATA INFORME'!I:I,'DATA INFORME'!K:K)</f>
        <v>SI</v>
      </c>
      <c r="M94" s="34" t="str">
        <f>IF(Tabla2__2[[#This Row],[MYSTERY EFECTIVO]]="SI",_xlfn.XLOOKUP(Tabla2__2[[#This Row],[PREGUNTA]],ENCUESTA!G:G,ENCUESTA!D:D),"N/A")</f>
        <v>EJECUCIÓN DEL PDV</v>
      </c>
      <c r="N9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4" s="34" t="str">
        <f>_xlfn.XLOOKUP(Tabla2__2[[#This Row],[PREGUNTA]],ENCUESTA!G:G,ENCUESTA!H:H)</f>
        <v>SI</v>
      </c>
      <c r="P94" s="34">
        <f>IF(Tabla2__2[[#This Row],[RTA]]=Tabla2__2[[#This Row],[RTA CORRECTA]],Tabla2__2[[#This Row],[TOTAL PUNTAJE]],0)</f>
        <v>3.75</v>
      </c>
      <c r="Q94" s="34">
        <f>IF(OR(H94="Dog Chow húmedo",H94="Cat Chow húmedo",H94="Fancy Feast",H94="Felix",H94="Proplan húmedo",H94="One húmedo",H94="Snack Abrazzos",H94="Snak Dentalife",H94="Arenilla Tidy Cat"),N94,0)</f>
        <v>0</v>
      </c>
      <c r="R94" s="34"/>
    </row>
    <row r="95" spans="1:18" x14ac:dyDescent="0.25">
      <c r="A95" s="34" t="s">
        <v>113</v>
      </c>
      <c r="B95" s="34" t="s">
        <v>135</v>
      </c>
      <c r="C95" t="s">
        <v>43</v>
      </c>
      <c r="D95" s="34" t="s">
        <v>136</v>
      </c>
      <c r="E95" s="34">
        <v>110508</v>
      </c>
      <c r="F95" s="34" t="s">
        <v>274</v>
      </c>
      <c r="G95" s="34" t="s">
        <v>104</v>
      </c>
      <c r="H95" s="34" t="s">
        <v>20</v>
      </c>
      <c r="I95" s="35"/>
      <c r="J95" s="34">
        <v>29016530</v>
      </c>
      <c r="K95" s="34" t="s">
        <v>139</v>
      </c>
      <c r="L95" s="34" t="str">
        <f>_xlfn.XLOOKUP(Tabla2__2[[#This Row],[CODIGO RUTA]],'DATA INFORME'!I:I,'DATA INFORME'!K:K)</f>
        <v>SI</v>
      </c>
      <c r="M95" s="34" t="str">
        <f>IF(Tabla2__2[[#This Row],[MYSTERY EFECTIVO]]="SI",_xlfn.XLOOKUP(Tabla2__2[[#This Row],[PREGUNTA]],ENCUESTA!G:G,ENCUESTA!D:D),"N/A")</f>
        <v>EJECUCIÓN DEL PDV</v>
      </c>
      <c r="N9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5" s="34" t="str">
        <f>_xlfn.XLOOKUP(Tabla2__2[[#This Row],[PREGUNTA]],ENCUESTA!G:G,ENCUESTA!H:H)</f>
        <v>SI</v>
      </c>
      <c r="P95" s="34">
        <f>IF(Tabla2__2[[#This Row],[RTA]]=Tabla2__2[[#This Row],[RTA CORRECTA]],Tabla2__2[[#This Row],[TOTAL PUNTAJE]],0)</f>
        <v>3.75</v>
      </c>
      <c r="Q95" s="34">
        <f>IF(OR(H95="Dog Chow húmedo",H95="Cat Chow húmedo",H95="Fancy Feast",H95="Felix",H95="Proplan húmedo",H95="One húmedo",H95="Snack Abrazzos",H95="Snak Dentalife",H95="Arenilla Tidy Cat"),N95,0)</f>
        <v>0</v>
      </c>
      <c r="R95" s="34"/>
    </row>
    <row r="96" spans="1:18" x14ac:dyDescent="0.25">
      <c r="A96" s="34" t="s">
        <v>113</v>
      </c>
      <c r="B96" s="34" t="s">
        <v>135</v>
      </c>
      <c r="C96" t="s">
        <v>43</v>
      </c>
      <c r="D96" s="34" t="s">
        <v>136</v>
      </c>
      <c r="E96" s="34">
        <v>110508</v>
      </c>
      <c r="F96" s="34" t="s">
        <v>274</v>
      </c>
      <c r="G96" s="34" t="s">
        <v>103</v>
      </c>
      <c r="H96" s="34" t="s">
        <v>20</v>
      </c>
      <c r="I96" s="35"/>
      <c r="J96" s="34">
        <v>29016530</v>
      </c>
      <c r="K96" s="34" t="s">
        <v>139</v>
      </c>
      <c r="L96" s="34" t="str">
        <f>_xlfn.XLOOKUP(Tabla2__2[[#This Row],[CODIGO RUTA]],'DATA INFORME'!I:I,'DATA INFORME'!K:K)</f>
        <v>SI</v>
      </c>
      <c r="M96" s="34" t="str">
        <f>IF(Tabla2__2[[#This Row],[MYSTERY EFECTIVO]]="SI",_xlfn.XLOOKUP(Tabla2__2[[#This Row],[PREGUNTA]],ENCUESTA!G:G,ENCUESTA!D:D),"N/A")</f>
        <v>EJECUCIÓN DEL PDV</v>
      </c>
      <c r="N9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6" s="34" t="str">
        <f>_xlfn.XLOOKUP(Tabla2__2[[#This Row],[PREGUNTA]],ENCUESTA!G:G,ENCUESTA!H:H)</f>
        <v>SI</v>
      </c>
      <c r="P96" s="34">
        <f>IF(Tabla2__2[[#This Row],[RTA]]=Tabla2__2[[#This Row],[RTA CORRECTA]],Tabla2__2[[#This Row],[TOTAL PUNTAJE]],0)</f>
        <v>3.75</v>
      </c>
      <c r="Q96" s="34">
        <f>IF(OR(H96="Dog Chow húmedo",H96="Cat Chow húmedo",H96="Fancy Feast",H96="Felix",H96="Proplan húmedo",H96="One húmedo",H96="Snack Abrazzos",H96="Snak Dentalife",H96="Arenilla Tidy Cat"),N96,0)</f>
        <v>0</v>
      </c>
      <c r="R96" s="34"/>
    </row>
    <row r="97" spans="1:18" x14ac:dyDescent="0.25">
      <c r="A97" s="34" t="s">
        <v>113</v>
      </c>
      <c r="B97" s="34" t="s">
        <v>135</v>
      </c>
      <c r="C97" t="s">
        <v>43</v>
      </c>
      <c r="D97" s="34" t="s">
        <v>136</v>
      </c>
      <c r="E97" s="34">
        <v>110508</v>
      </c>
      <c r="F97" s="34" t="s">
        <v>274</v>
      </c>
      <c r="G97" s="34" t="s">
        <v>102</v>
      </c>
      <c r="H97" s="34" t="s">
        <v>20</v>
      </c>
      <c r="I97" s="35"/>
      <c r="J97" s="34">
        <v>29016530</v>
      </c>
      <c r="K97" s="34" t="s">
        <v>139</v>
      </c>
      <c r="L97" s="34" t="str">
        <f>_xlfn.XLOOKUP(Tabla2__2[[#This Row],[CODIGO RUTA]],'DATA INFORME'!I:I,'DATA INFORME'!K:K)</f>
        <v>SI</v>
      </c>
      <c r="M97" s="34" t="str">
        <f>IF(Tabla2__2[[#This Row],[MYSTERY EFECTIVO]]="SI",_xlfn.XLOOKUP(Tabla2__2[[#This Row],[PREGUNTA]],ENCUESTA!G:G,ENCUESTA!D:D),"N/A")</f>
        <v>EJECUCIÓN DEL PDV</v>
      </c>
      <c r="N9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7" s="34" t="str">
        <f>_xlfn.XLOOKUP(Tabla2__2[[#This Row],[PREGUNTA]],ENCUESTA!G:G,ENCUESTA!H:H)</f>
        <v>SI</v>
      </c>
      <c r="P97" s="34">
        <f>IF(Tabla2__2[[#This Row],[RTA]]=Tabla2__2[[#This Row],[RTA CORRECTA]],Tabla2__2[[#This Row],[TOTAL PUNTAJE]],0)</f>
        <v>3.75</v>
      </c>
      <c r="Q97" s="34">
        <f>IF(OR(H97="Dog Chow húmedo",H97="Cat Chow húmedo",H97="Fancy Feast",H97="Felix",H97="Proplan húmedo",H97="One húmedo",H97="Snack Abrazzos",H97="Snak Dentalife",H97="Arenilla Tidy Cat"),N97,0)</f>
        <v>0</v>
      </c>
      <c r="R97" s="34"/>
    </row>
    <row r="98" spans="1:18" x14ac:dyDescent="0.25">
      <c r="A98" s="34" t="s">
        <v>113</v>
      </c>
      <c r="B98" s="34" t="s">
        <v>135</v>
      </c>
      <c r="C98" t="s">
        <v>43</v>
      </c>
      <c r="D98" s="34" t="s">
        <v>136</v>
      </c>
      <c r="E98" s="34">
        <v>110508</v>
      </c>
      <c r="F98" s="34" t="s">
        <v>274</v>
      </c>
      <c r="G98" s="34" t="s">
        <v>101</v>
      </c>
      <c r="H98" s="34" t="s">
        <v>20</v>
      </c>
      <c r="I98" s="35"/>
      <c r="J98" s="34">
        <v>29016530</v>
      </c>
      <c r="K98" s="34" t="s">
        <v>139</v>
      </c>
      <c r="L98" s="34" t="str">
        <f>_xlfn.XLOOKUP(Tabla2__2[[#This Row],[CODIGO RUTA]],'DATA INFORME'!I:I,'DATA INFORME'!K:K)</f>
        <v>SI</v>
      </c>
      <c r="M98" s="34" t="str">
        <f>IF(Tabla2__2[[#This Row],[MYSTERY EFECTIVO]]="SI",_xlfn.XLOOKUP(Tabla2__2[[#This Row],[PREGUNTA]],ENCUESTA!G:G,ENCUESTA!D:D),"N/A")</f>
        <v>EJECUCIÓN DEL PDV</v>
      </c>
      <c r="N9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8" s="34" t="str">
        <f>_xlfn.XLOOKUP(Tabla2__2[[#This Row],[PREGUNTA]],ENCUESTA!G:G,ENCUESTA!H:H)</f>
        <v>SI</v>
      </c>
      <c r="P98" s="34">
        <f>IF(Tabla2__2[[#This Row],[RTA]]=Tabla2__2[[#This Row],[RTA CORRECTA]],Tabla2__2[[#This Row],[TOTAL PUNTAJE]],0)</f>
        <v>3.75</v>
      </c>
      <c r="Q98" s="34">
        <f>IF(OR(H98="Dog Chow húmedo",H98="Cat Chow húmedo",H98="Fancy Feast",H98="Felix",H98="Proplan húmedo",H98="One húmedo",H98="Snack Abrazzos",H98="Snak Dentalife",H98="Arenilla Tidy Cat"),N98,0)</f>
        <v>0</v>
      </c>
      <c r="R98" s="34"/>
    </row>
    <row r="99" spans="1:18" x14ac:dyDescent="0.25">
      <c r="A99" s="34" t="s">
        <v>113</v>
      </c>
      <c r="B99" s="34" t="s">
        <v>135</v>
      </c>
      <c r="C99" t="s">
        <v>43</v>
      </c>
      <c r="D99" s="34" t="s">
        <v>136</v>
      </c>
      <c r="E99" s="34">
        <v>110508</v>
      </c>
      <c r="F99" s="34" t="s">
        <v>274</v>
      </c>
      <c r="G99" s="34" t="s">
        <v>91</v>
      </c>
      <c r="H99" s="34" t="s">
        <v>112</v>
      </c>
      <c r="I99" s="35"/>
      <c r="J99" s="34">
        <v>29016530</v>
      </c>
      <c r="K99" s="34" t="s">
        <v>139</v>
      </c>
      <c r="L99" s="34" t="str">
        <f>_xlfn.XLOOKUP(Tabla2__2[[#This Row],[CODIGO RUTA]],'DATA INFORME'!I:I,'DATA INFORME'!K:K)</f>
        <v>SI</v>
      </c>
      <c r="M99" s="34" t="str">
        <f>IF(Tabla2__2[[#This Row],[MYSTERY EFECTIVO]]="SI",_xlfn.XLOOKUP(Tabla2__2[[#This Row],[PREGUNTA]],ENCUESTA!G:G,ENCUESTA!D:D),"N/A")</f>
        <v>PRESENTACIÓN PERSONAL</v>
      </c>
      <c r="N9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99" s="34" t="str">
        <f>_xlfn.XLOOKUP(Tabla2__2[[#This Row],[PREGUNTA]],ENCUESTA!G:G,ENCUESTA!H:H)</f>
        <v>NO</v>
      </c>
      <c r="P99" s="34">
        <f>IF(Tabla2__2[[#This Row],[RTA]]=Tabla2__2[[#This Row],[RTA CORRECTA]],Tabla2__2[[#This Row],[TOTAL PUNTAJE]],0)</f>
        <v>1</v>
      </c>
      <c r="Q99" s="34">
        <f>IF(OR(H99="Dog Chow húmedo",H99="Cat Chow húmedo",H99="Fancy Feast",H99="Felix",H99="Proplan húmedo",H99="One húmedo",H99="Snack Abrazzos",H99="Snak Dentalife",H99="Arenilla Tidy Cat"),N99,0)</f>
        <v>0</v>
      </c>
      <c r="R99" s="34"/>
    </row>
    <row r="100" spans="1:18" x14ac:dyDescent="0.25">
      <c r="A100" s="34" t="s">
        <v>113</v>
      </c>
      <c r="B100" s="34" t="s">
        <v>135</v>
      </c>
      <c r="C100" t="s">
        <v>43</v>
      </c>
      <c r="D100" s="34" t="s">
        <v>136</v>
      </c>
      <c r="E100" s="34">
        <v>110508</v>
      </c>
      <c r="F100" s="34" t="s">
        <v>274</v>
      </c>
      <c r="G100" s="34" t="s">
        <v>100</v>
      </c>
      <c r="H100" s="34" t="s">
        <v>20</v>
      </c>
      <c r="I100" s="35"/>
      <c r="J100" s="34">
        <v>29016530</v>
      </c>
      <c r="K100" s="34" t="s">
        <v>139</v>
      </c>
      <c r="L100" s="34" t="str">
        <f>_xlfn.XLOOKUP(Tabla2__2[[#This Row],[CODIGO RUTA]],'DATA INFORME'!I:I,'DATA INFORME'!K:K)</f>
        <v>SI</v>
      </c>
      <c r="M100" s="34" t="str">
        <f>IF(Tabla2__2[[#This Row],[MYSTERY EFECTIVO]]="SI",_xlfn.XLOOKUP(Tabla2__2[[#This Row],[PREGUNTA]],ENCUESTA!G:G,ENCUESTA!D:D),"N/A")</f>
        <v>EJECUCIÓN DEL PDV</v>
      </c>
      <c r="N10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00" s="34" t="str">
        <f>_xlfn.XLOOKUP(Tabla2__2[[#This Row],[PREGUNTA]],ENCUESTA!G:G,ENCUESTA!H:H)</f>
        <v>SI</v>
      </c>
      <c r="P100" s="34">
        <f>IF(Tabla2__2[[#This Row],[RTA]]=Tabla2__2[[#This Row],[RTA CORRECTA]],Tabla2__2[[#This Row],[TOTAL PUNTAJE]],0)</f>
        <v>3.75</v>
      </c>
      <c r="Q100" s="34">
        <f>IF(OR(H100="Dog Chow húmedo",H100="Cat Chow húmedo",H100="Fancy Feast",H100="Felix",H100="Proplan húmedo",H100="One húmedo",H100="Snack Abrazzos",H100="Snak Dentalife",H100="Arenilla Tidy Cat"),N100,0)</f>
        <v>0</v>
      </c>
      <c r="R100" s="34"/>
    </row>
    <row r="101" spans="1:18" x14ac:dyDescent="0.25">
      <c r="A101" s="34" t="s">
        <v>113</v>
      </c>
      <c r="B101" s="34" t="s">
        <v>135</v>
      </c>
      <c r="C101" t="s">
        <v>43</v>
      </c>
      <c r="D101" s="34" t="s">
        <v>136</v>
      </c>
      <c r="E101" s="34">
        <v>110508</v>
      </c>
      <c r="F101" s="34" t="s">
        <v>274</v>
      </c>
      <c r="G101" s="34" t="s">
        <v>98</v>
      </c>
      <c r="H101" s="34" t="s">
        <v>20</v>
      </c>
      <c r="I101" s="35"/>
      <c r="J101" s="34">
        <v>29016530</v>
      </c>
      <c r="K101" s="34" t="s">
        <v>139</v>
      </c>
      <c r="L101" s="34" t="str">
        <f>_xlfn.XLOOKUP(Tabla2__2[[#This Row],[CODIGO RUTA]],'DATA INFORME'!I:I,'DATA INFORME'!K:K)</f>
        <v>SI</v>
      </c>
      <c r="M101" s="34" t="str">
        <f>IF(Tabla2__2[[#This Row],[MYSTERY EFECTIVO]]="SI",_xlfn.XLOOKUP(Tabla2__2[[#This Row],[PREGUNTA]],ENCUESTA!G:G,ENCUESTA!D:D),"N/A")</f>
        <v>EJECUCIÓN DEL PDV</v>
      </c>
      <c r="N10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01" s="34" t="str">
        <f>_xlfn.XLOOKUP(Tabla2__2[[#This Row],[PREGUNTA]],ENCUESTA!G:G,ENCUESTA!H:H)</f>
        <v>SI</v>
      </c>
      <c r="P101" s="34">
        <f>IF(Tabla2__2[[#This Row],[RTA]]=Tabla2__2[[#This Row],[RTA CORRECTA]],Tabla2__2[[#This Row],[TOTAL PUNTAJE]],0)</f>
        <v>3.75</v>
      </c>
      <c r="Q101" s="34">
        <f>IF(OR(H101="Dog Chow húmedo",H101="Cat Chow húmedo",H101="Fancy Feast",H101="Felix",H101="Proplan húmedo",H101="One húmedo",H101="Snack Abrazzos",H101="Snak Dentalife",H101="Arenilla Tidy Cat"),N101,0)</f>
        <v>0</v>
      </c>
      <c r="R101" s="34"/>
    </row>
    <row r="102" spans="1:18" x14ac:dyDescent="0.25">
      <c r="A102" s="34" t="s">
        <v>113</v>
      </c>
      <c r="B102" s="34" t="s">
        <v>135</v>
      </c>
      <c r="C102" t="s">
        <v>43</v>
      </c>
      <c r="D102" s="34" t="s">
        <v>136</v>
      </c>
      <c r="E102" s="34">
        <v>110508</v>
      </c>
      <c r="F102" s="34" t="s">
        <v>274</v>
      </c>
      <c r="G102" s="34" t="s">
        <v>97</v>
      </c>
      <c r="H102" s="34" t="s">
        <v>112</v>
      </c>
      <c r="I102" s="35"/>
      <c r="J102" s="34">
        <v>29016530</v>
      </c>
      <c r="K102" s="34" t="s">
        <v>139</v>
      </c>
      <c r="L102" s="34" t="str">
        <f>_xlfn.XLOOKUP(Tabla2__2[[#This Row],[CODIGO RUTA]],'DATA INFORME'!I:I,'DATA INFORME'!K:K)</f>
        <v>SI</v>
      </c>
      <c r="M102" s="34" t="str">
        <f>IF(Tabla2__2[[#This Row],[MYSTERY EFECTIVO]]="SI",_xlfn.XLOOKUP(Tabla2__2[[#This Row],[PREGUNTA]],ENCUESTA!G:G,ENCUESTA!D:D),"N/A")</f>
        <v>PRESENTACIÓN PERSONAL</v>
      </c>
      <c r="N10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02" s="34" t="str">
        <f>_xlfn.XLOOKUP(Tabla2__2[[#This Row],[PREGUNTA]],ENCUESTA!G:G,ENCUESTA!H:H)</f>
        <v>NO</v>
      </c>
      <c r="P102" s="34">
        <f>IF(Tabla2__2[[#This Row],[RTA]]=Tabla2__2[[#This Row],[RTA CORRECTA]],Tabla2__2[[#This Row],[TOTAL PUNTAJE]],0)</f>
        <v>1</v>
      </c>
      <c r="Q102" s="34">
        <f>IF(OR(H102="Dog Chow húmedo",H102="Cat Chow húmedo",H102="Fancy Feast",H102="Felix",H102="Proplan húmedo",H102="One húmedo",H102="Snack Abrazzos",H102="Snak Dentalife",H102="Arenilla Tidy Cat"),N102,0)</f>
        <v>0</v>
      </c>
      <c r="R102" s="34"/>
    </row>
    <row r="103" spans="1:18" x14ac:dyDescent="0.25">
      <c r="A103" s="34" t="s">
        <v>113</v>
      </c>
      <c r="B103" s="34" t="s">
        <v>135</v>
      </c>
      <c r="C103" t="s">
        <v>43</v>
      </c>
      <c r="D103" s="34" t="s">
        <v>136</v>
      </c>
      <c r="E103" s="34">
        <v>110508</v>
      </c>
      <c r="F103" s="34" t="s">
        <v>274</v>
      </c>
      <c r="G103" s="34" t="s">
        <v>96</v>
      </c>
      <c r="H103" s="34" t="s">
        <v>112</v>
      </c>
      <c r="I103" s="35"/>
      <c r="J103" s="34">
        <v>29016530</v>
      </c>
      <c r="K103" s="34" t="s">
        <v>139</v>
      </c>
      <c r="L103" s="34" t="str">
        <f>_xlfn.XLOOKUP(Tabla2__2[[#This Row],[CODIGO RUTA]],'DATA INFORME'!I:I,'DATA INFORME'!K:K)</f>
        <v>SI</v>
      </c>
      <c r="M103" s="34" t="str">
        <f>IF(Tabla2__2[[#This Row],[MYSTERY EFECTIVO]]="SI",_xlfn.XLOOKUP(Tabla2__2[[#This Row],[PREGUNTA]],ENCUESTA!G:G,ENCUESTA!D:D),"N/A")</f>
        <v>PRESENTACIÓN PERSONAL</v>
      </c>
      <c r="N10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03" s="34" t="str">
        <f>_xlfn.XLOOKUP(Tabla2__2[[#This Row],[PREGUNTA]],ENCUESTA!G:G,ENCUESTA!H:H)</f>
        <v>NO</v>
      </c>
      <c r="P103" s="34">
        <f>IF(Tabla2__2[[#This Row],[RTA]]=Tabla2__2[[#This Row],[RTA CORRECTA]],Tabla2__2[[#This Row],[TOTAL PUNTAJE]],0)</f>
        <v>1</v>
      </c>
      <c r="Q103" s="34">
        <f>IF(OR(H103="Dog Chow húmedo",H103="Cat Chow húmedo",H103="Fancy Feast",H103="Felix",H103="Proplan húmedo",H103="One húmedo",H103="Snack Abrazzos",H103="Snak Dentalife",H103="Arenilla Tidy Cat"),N103,0)</f>
        <v>0</v>
      </c>
      <c r="R103" s="34"/>
    </row>
    <row r="104" spans="1:18" x14ac:dyDescent="0.25">
      <c r="A104" s="34" t="s">
        <v>113</v>
      </c>
      <c r="B104" s="34" t="s">
        <v>135</v>
      </c>
      <c r="C104" t="s">
        <v>43</v>
      </c>
      <c r="D104" s="34" t="s">
        <v>136</v>
      </c>
      <c r="E104" s="34">
        <v>110508</v>
      </c>
      <c r="F104" s="34" t="s">
        <v>274</v>
      </c>
      <c r="G104" s="34" t="s">
        <v>95</v>
      </c>
      <c r="H104" s="34" t="s">
        <v>112</v>
      </c>
      <c r="I104" s="35"/>
      <c r="J104" s="34">
        <v>29016530</v>
      </c>
      <c r="K104" s="34" t="s">
        <v>139</v>
      </c>
      <c r="L104" s="34" t="str">
        <f>_xlfn.XLOOKUP(Tabla2__2[[#This Row],[CODIGO RUTA]],'DATA INFORME'!I:I,'DATA INFORME'!K:K)</f>
        <v>SI</v>
      </c>
      <c r="M104" s="34" t="str">
        <f>IF(Tabla2__2[[#This Row],[MYSTERY EFECTIVO]]="SI",_xlfn.XLOOKUP(Tabla2__2[[#This Row],[PREGUNTA]],ENCUESTA!G:G,ENCUESTA!D:D),"N/A")</f>
        <v>PRESENTACIÓN PERSONAL</v>
      </c>
      <c r="N10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04" s="34" t="str">
        <f>_xlfn.XLOOKUP(Tabla2__2[[#This Row],[PREGUNTA]],ENCUESTA!G:G,ENCUESTA!H:H)</f>
        <v>NO</v>
      </c>
      <c r="P104" s="34">
        <f>IF(Tabla2__2[[#This Row],[RTA]]=Tabla2__2[[#This Row],[RTA CORRECTA]],Tabla2__2[[#This Row],[TOTAL PUNTAJE]],0)</f>
        <v>1</v>
      </c>
      <c r="Q104" s="34">
        <f>IF(OR(H104="Dog Chow húmedo",H104="Cat Chow húmedo",H104="Fancy Feast",H104="Felix",H104="Proplan húmedo",H104="One húmedo",H104="Snack Abrazzos",H104="Snak Dentalife",H104="Arenilla Tidy Cat"),N104,0)</f>
        <v>0</v>
      </c>
      <c r="R104" s="34"/>
    </row>
    <row r="105" spans="1:18" x14ac:dyDescent="0.25">
      <c r="A105" s="34" t="s">
        <v>113</v>
      </c>
      <c r="B105" s="34" t="s">
        <v>135</v>
      </c>
      <c r="C105" t="s">
        <v>43</v>
      </c>
      <c r="D105" s="34" t="s">
        <v>136</v>
      </c>
      <c r="E105" s="34">
        <v>110508</v>
      </c>
      <c r="F105" s="34" t="s">
        <v>274</v>
      </c>
      <c r="G105" s="34" t="s">
        <v>94</v>
      </c>
      <c r="H105" s="34" t="s">
        <v>112</v>
      </c>
      <c r="I105" s="35"/>
      <c r="J105" s="34">
        <v>29016530</v>
      </c>
      <c r="K105" s="34" t="s">
        <v>139</v>
      </c>
      <c r="L105" s="34" t="str">
        <f>_xlfn.XLOOKUP(Tabla2__2[[#This Row],[CODIGO RUTA]],'DATA INFORME'!I:I,'DATA INFORME'!K:K)</f>
        <v>SI</v>
      </c>
      <c r="M105" s="34" t="str">
        <f>IF(Tabla2__2[[#This Row],[MYSTERY EFECTIVO]]="SI",_xlfn.XLOOKUP(Tabla2__2[[#This Row],[PREGUNTA]],ENCUESTA!G:G,ENCUESTA!D:D),"N/A")</f>
        <v>PRESENTACIÓN PERSONAL</v>
      </c>
      <c r="N10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05" s="34" t="str">
        <f>_xlfn.XLOOKUP(Tabla2__2[[#This Row],[PREGUNTA]],ENCUESTA!G:G,ENCUESTA!H:H)</f>
        <v>NO</v>
      </c>
      <c r="P105" s="34">
        <f>IF(Tabla2__2[[#This Row],[RTA]]=Tabla2__2[[#This Row],[RTA CORRECTA]],Tabla2__2[[#This Row],[TOTAL PUNTAJE]],0)</f>
        <v>1</v>
      </c>
      <c r="Q105" s="34">
        <f>IF(OR(H105="Dog Chow húmedo",H105="Cat Chow húmedo",H105="Fancy Feast",H105="Felix",H105="Proplan húmedo",H105="One húmedo",H105="Snack Abrazzos",H105="Snak Dentalife",H105="Arenilla Tidy Cat"),N105,0)</f>
        <v>0</v>
      </c>
      <c r="R105" s="34"/>
    </row>
    <row r="106" spans="1:18" x14ac:dyDescent="0.25">
      <c r="A106" s="34" t="s">
        <v>113</v>
      </c>
      <c r="B106" s="34" t="s">
        <v>135</v>
      </c>
      <c r="C106" t="s">
        <v>43</v>
      </c>
      <c r="D106" s="34" t="s">
        <v>136</v>
      </c>
      <c r="E106" s="34">
        <v>110508</v>
      </c>
      <c r="F106" s="34" t="s">
        <v>274</v>
      </c>
      <c r="G106" s="34" t="s">
        <v>93</v>
      </c>
      <c r="H106" s="34" t="s">
        <v>20</v>
      </c>
      <c r="I106" s="35"/>
      <c r="J106" s="34">
        <v>29016530</v>
      </c>
      <c r="K106" s="34" t="s">
        <v>139</v>
      </c>
      <c r="L106" s="34" t="str">
        <f>_xlfn.XLOOKUP(Tabla2__2[[#This Row],[CODIGO RUTA]],'DATA INFORME'!I:I,'DATA INFORME'!K:K)</f>
        <v>SI</v>
      </c>
      <c r="M106" s="34" t="str">
        <f>IF(Tabla2__2[[#This Row],[MYSTERY EFECTIVO]]="SI",_xlfn.XLOOKUP(Tabla2__2[[#This Row],[PREGUNTA]],ENCUESTA!G:G,ENCUESTA!D:D),"N/A")</f>
        <v>PRESENTACIÓN PERSONAL</v>
      </c>
      <c r="N10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06" s="34" t="str">
        <f>_xlfn.XLOOKUP(Tabla2__2[[#This Row],[PREGUNTA]],ENCUESTA!G:G,ENCUESTA!H:H)</f>
        <v>SI</v>
      </c>
      <c r="P106" s="34">
        <f>IF(Tabla2__2[[#This Row],[RTA]]=Tabla2__2[[#This Row],[RTA CORRECTA]],Tabla2__2[[#This Row],[TOTAL PUNTAJE]],0)</f>
        <v>1</v>
      </c>
      <c r="Q106" s="34">
        <f>IF(OR(H106="Dog Chow húmedo",H106="Cat Chow húmedo",H106="Fancy Feast",H106="Felix",H106="Proplan húmedo",H106="One húmedo",H106="Snack Abrazzos",H106="Snak Dentalife",H106="Arenilla Tidy Cat"),N106,0)</f>
        <v>0</v>
      </c>
      <c r="R106" s="34"/>
    </row>
    <row r="107" spans="1:18" x14ac:dyDescent="0.25">
      <c r="A107" s="34" t="s">
        <v>113</v>
      </c>
      <c r="B107" s="34" t="s">
        <v>135</v>
      </c>
      <c r="C107" t="s">
        <v>43</v>
      </c>
      <c r="D107" s="34" t="s">
        <v>136</v>
      </c>
      <c r="E107" s="34">
        <v>110508</v>
      </c>
      <c r="F107" s="34" t="s">
        <v>274</v>
      </c>
      <c r="G107" s="34" t="s">
        <v>99</v>
      </c>
      <c r="H107" s="34" t="s">
        <v>20</v>
      </c>
      <c r="I107" s="35"/>
      <c r="J107" s="34">
        <v>29016530</v>
      </c>
      <c r="K107" s="34" t="s">
        <v>139</v>
      </c>
      <c r="L107" s="34" t="str">
        <f>_xlfn.XLOOKUP(Tabla2__2[[#This Row],[CODIGO RUTA]],'DATA INFORME'!I:I,'DATA INFORME'!K:K)</f>
        <v>SI</v>
      </c>
      <c r="M107" s="34" t="str">
        <f>IF(Tabla2__2[[#This Row],[MYSTERY EFECTIVO]]="SI",_xlfn.XLOOKUP(Tabla2__2[[#This Row],[PREGUNTA]],ENCUESTA!G:G,ENCUESTA!D:D),"N/A")</f>
        <v>EJECUCIÓN DEL PDV</v>
      </c>
      <c r="N10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07" s="34" t="str">
        <f>_xlfn.XLOOKUP(Tabla2__2[[#This Row],[PREGUNTA]],ENCUESTA!G:G,ENCUESTA!H:H)</f>
        <v>SI</v>
      </c>
      <c r="P107" s="34">
        <f>IF(Tabla2__2[[#This Row],[RTA]]=Tabla2__2[[#This Row],[RTA CORRECTA]],Tabla2__2[[#This Row],[TOTAL PUNTAJE]],0)</f>
        <v>3.75</v>
      </c>
      <c r="Q107" s="34">
        <f>IF(OR(H107="Dog Chow húmedo",H107="Cat Chow húmedo",H107="Fancy Feast",H107="Felix",H107="Proplan húmedo",H107="One húmedo",H107="Snack Abrazzos",H107="Snak Dentalife",H107="Arenilla Tidy Cat"),N107,0)</f>
        <v>0</v>
      </c>
      <c r="R107" s="34"/>
    </row>
    <row r="108" spans="1:18" x14ac:dyDescent="0.25">
      <c r="A108" s="34" t="s">
        <v>113</v>
      </c>
      <c r="B108" s="34" t="s">
        <v>246</v>
      </c>
      <c r="C108" t="s">
        <v>43</v>
      </c>
      <c r="D108" s="34" t="s">
        <v>247</v>
      </c>
      <c r="E108" s="34">
        <v>129909</v>
      </c>
      <c r="F108" s="34" t="s">
        <v>267</v>
      </c>
      <c r="G108" s="34" t="s">
        <v>97</v>
      </c>
      <c r="H108" s="34" t="s">
        <v>112</v>
      </c>
      <c r="I108" s="35"/>
      <c r="J108" s="34">
        <v>29007151</v>
      </c>
      <c r="K108" s="34" t="s">
        <v>257</v>
      </c>
      <c r="L108" s="34" t="str">
        <f>_xlfn.XLOOKUP(Tabla2__2[[#This Row],[CODIGO RUTA]],'DATA INFORME'!I:I,'DATA INFORME'!K:K)</f>
        <v>NO</v>
      </c>
      <c r="M108" s="34" t="str">
        <f>IF(Tabla2__2[[#This Row],[MYSTERY EFECTIVO]]="SI",_xlfn.XLOOKUP(Tabla2__2[[#This Row],[PREGUNTA]],ENCUESTA!G:G,ENCUESTA!D:D),"N/A")</f>
        <v>N/A</v>
      </c>
      <c r="N10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8" s="34" t="str">
        <f>_xlfn.XLOOKUP(Tabla2__2[[#This Row],[PREGUNTA]],ENCUESTA!G:G,ENCUESTA!H:H)</f>
        <v>NO</v>
      </c>
      <c r="P108" s="34">
        <f>IF(Tabla2__2[[#This Row],[RTA]]=Tabla2__2[[#This Row],[RTA CORRECTA]],Tabla2__2[[#This Row],[TOTAL PUNTAJE]],0)</f>
        <v>0</v>
      </c>
      <c r="Q108" s="34">
        <f>IF(OR(H108="Dog Chow húmedo",H108="Cat Chow húmedo",H108="Fancy Feast",H108="Felix",H108="Proplan húmedo",H108="One húmedo",H108="Snack Abrazzos",H108="Snak Dentalife",H108="Arenilla Tidy Cat"),N108,0)</f>
        <v>0</v>
      </c>
      <c r="R108" s="34"/>
    </row>
    <row r="109" spans="1:18" x14ac:dyDescent="0.25">
      <c r="A109" s="34" t="s">
        <v>113</v>
      </c>
      <c r="B109" s="34" t="s">
        <v>246</v>
      </c>
      <c r="C109" t="s">
        <v>43</v>
      </c>
      <c r="D109" s="34" t="s">
        <v>247</v>
      </c>
      <c r="E109" s="34">
        <v>129909</v>
      </c>
      <c r="F109" s="34" t="s">
        <v>267</v>
      </c>
      <c r="G109" s="34" t="s">
        <v>96</v>
      </c>
      <c r="H109" s="34" t="s">
        <v>112</v>
      </c>
      <c r="I109" s="35"/>
      <c r="J109" s="34">
        <v>29007151</v>
      </c>
      <c r="K109" s="34" t="s">
        <v>257</v>
      </c>
      <c r="L109" s="34" t="str">
        <f>_xlfn.XLOOKUP(Tabla2__2[[#This Row],[CODIGO RUTA]],'DATA INFORME'!I:I,'DATA INFORME'!K:K)</f>
        <v>NO</v>
      </c>
      <c r="M109" s="34" t="str">
        <f>IF(Tabla2__2[[#This Row],[MYSTERY EFECTIVO]]="SI",_xlfn.XLOOKUP(Tabla2__2[[#This Row],[PREGUNTA]],ENCUESTA!G:G,ENCUESTA!D:D),"N/A")</f>
        <v>N/A</v>
      </c>
      <c r="N10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9" s="34" t="str">
        <f>_xlfn.XLOOKUP(Tabla2__2[[#This Row],[PREGUNTA]],ENCUESTA!G:G,ENCUESTA!H:H)</f>
        <v>NO</v>
      </c>
      <c r="P109" s="34">
        <f>IF(Tabla2__2[[#This Row],[RTA]]=Tabla2__2[[#This Row],[RTA CORRECTA]],Tabla2__2[[#This Row],[TOTAL PUNTAJE]],0)</f>
        <v>0</v>
      </c>
      <c r="Q109" s="34">
        <f>IF(OR(H109="Dog Chow húmedo",H109="Cat Chow húmedo",H109="Fancy Feast",H109="Felix",H109="Proplan húmedo",H109="One húmedo",H109="Snack Abrazzos",H109="Snak Dentalife",H109="Arenilla Tidy Cat"),N109,0)</f>
        <v>0</v>
      </c>
      <c r="R109" s="34"/>
    </row>
    <row r="110" spans="1:18" x14ac:dyDescent="0.25">
      <c r="A110" s="34" t="s">
        <v>113</v>
      </c>
      <c r="B110" s="34" t="s">
        <v>246</v>
      </c>
      <c r="C110" t="s">
        <v>43</v>
      </c>
      <c r="D110" s="34" t="s">
        <v>247</v>
      </c>
      <c r="E110" s="34">
        <v>129909</v>
      </c>
      <c r="F110" s="34" t="s">
        <v>267</v>
      </c>
      <c r="G110" s="34" t="s">
        <v>95</v>
      </c>
      <c r="H110" s="34" t="s">
        <v>112</v>
      </c>
      <c r="I110" s="35"/>
      <c r="J110" s="34">
        <v>29007151</v>
      </c>
      <c r="K110" s="34" t="s">
        <v>257</v>
      </c>
      <c r="L110" s="34" t="str">
        <f>_xlfn.XLOOKUP(Tabla2__2[[#This Row],[CODIGO RUTA]],'DATA INFORME'!I:I,'DATA INFORME'!K:K)</f>
        <v>NO</v>
      </c>
      <c r="M110" s="34" t="str">
        <f>IF(Tabla2__2[[#This Row],[MYSTERY EFECTIVO]]="SI",_xlfn.XLOOKUP(Tabla2__2[[#This Row],[PREGUNTA]],ENCUESTA!G:G,ENCUESTA!D:D),"N/A")</f>
        <v>N/A</v>
      </c>
      <c r="N11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0" s="34" t="str">
        <f>_xlfn.XLOOKUP(Tabla2__2[[#This Row],[PREGUNTA]],ENCUESTA!G:G,ENCUESTA!H:H)</f>
        <v>NO</v>
      </c>
      <c r="P110" s="34">
        <f>IF(Tabla2__2[[#This Row],[RTA]]=Tabla2__2[[#This Row],[RTA CORRECTA]],Tabla2__2[[#This Row],[TOTAL PUNTAJE]],0)</f>
        <v>0</v>
      </c>
      <c r="Q110" s="34">
        <f>IF(OR(H110="Dog Chow húmedo",H110="Cat Chow húmedo",H110="Fancy Feast",H110="Felix",H110="Proplan húmedo",H110="One húmedo",H110="Snack Abrazzos",H110="Snak Dentalife",H110="Arenilla Tidy Cat"),N110,0)</f>
        <v>0</v>
      </c>
      <c r="R110" s="34"/>
    </row>
    <row r="111" spans="1:18" x14ac:dyDescent="0.25">
      <c r="A111" s="34" t="s">
        <v>113</v>
      </c>
      <c r="B111" s="34" t="s">
        <v>119</v>
      </c>
      <c r="C111" t="s">
        <v>43</v>
      </c>
      <c r="D111" s="34" t="s">
        <v>122</v>
      </c>
      <c r="E111" s="34">
        <v>66554</v>
      </c>
      <c r="F111" s="34" t="s">
        <v>260</v>
      </c>
      <c r="G111" s="34" t="s">
        <v>99</v>
      </c>
      <c r="H111" s="34" t="s">
        <v>112</v>
      </c>
      <c r="I111" s="35"/>
      <c r="J111" s="34">
        <v>28991102</v>
      </c>
      <c r="K111" s="34" t="s">
        <v>121</v>
      </c>
      <c r="L111" s="34" t="str">
        <f>_xlfn.XLOOKUP(Tabla2__2[[#This Row],[CODIGO RUTA]],'DATA INFORME'!I:I,'DATA INFORME'!K:K)</f>
        <v>NO</v>
      </c>
      <c r="M111" s="34" t="str">
        <f>IF(Tabla2__2[[#This Row],[MYSTERY EFECTIVO]]="SI",_xlfn.XLOOKUP(Tabla2__2[[#This Row],[PREGUNTA]],ENCUESTA!G:G,ENCUESTA!D:D),"N/A")</f>
        <v>N/A</v>
      </c>
      <c r="N11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1" s="34" t="str">
        <f>_xlfn.XLOOKUP(Tabla2__2[[#This Row],[PREGUNTA]],ENCUESTA!G:G,ENCUESTA!H:H)</f>
        <v>SI</v>
      </c>
      <c r="P111" s="34">
        <f>IF(Tabla2__2[[#This Row],[RTA]]=Tabla2__2[[#This Row],[RTA CORRECTA]],Tabla2__2[[#This Row],[TOTAL PUNTAJE]],0)</f>
        <v>0</v>
      </c>
      <c r="Q111" s="34">
        <f>IF(OR(H111="Dog Chow húmedo",H111="Cat Chow húmedo",H111="Fancy Feast",H111="Felix",H111="Proplan húmedo",H111="One húmedo",H111="Snack Abrazzos",H111="Snak Dentalife",H111="Arenilla Tidy Cat"),N111,0)</f>
        <v>0</v>
      </c>
      <c r="R111" s="34"/>
    </row>
    <row r="112" spans="1:18" x14ac:dyDescent="0.25">
      <c r="A112" s="34" t="s">
        <v>113</v>
      </c>
      <c r="B112" s="34" t="s">
        <v>119</v>
      </c>
      <c r="C112" t="s">
        <v>43</v>
      </c>
      <c r="D112" s="34" t="s">
        <v>122</v>
      </c>
      <c r="E112" s="34">
        <v>66554</v>
      </c>
      <c r="F112" s="34" t="s">
        <v>260</v>
      </c>
      <c r="G112" s="34" t="s">
        <v>98</v>
      </c>
      <c r="H112" s="34" t="s">
        <v>20</v>
      </c>
      <c r="I112" s="35"/>
      <c r="J112" s="34">
        <v>28991102</v>
      </c>
      <c r="K112" s="34" t="s">
        <v>121</v>
      </c>
      <c r="L112" s="34" t="str">
        <f>_xlfn.XLOOKUP(Tabla2__2[[#This Row],[CODIGO RUTA]],'DATA INFORME'!I:I,'DATA INFORME'!K:K)</f>
        <v>NO</v>
      </c>
      <c r="M112" s="34" t="str">
        <f>IF(Tabla2__2[[#This Row],[MYSTERY EFECTIVO]]="SI",_xlfn.XLOOKUP(Tabla2__2[[#This Row],[PREGUNTA]],ENCUESTA!G:G,ENCUESTA!D:D),"N/A")</f>
        <v>N/A</v>
      </c>
      <c r="N11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2" s="34" t="str">
        <f>_xlfn.XLOOKUP(Tabla2__2[[#This Row],[PREGUNTA]],ENCUESTA!G:G,ENCUESTA!H:H)</f>
        <v>SI</v>
      </c>
      <c r="P112" s="34">
        <f>IF(Tabla2__2[[#This Row],[RTA]]=Tabla2__2[[#This Row],[RTA CORRECTA]],Tabla2__2[[#This Row],[TOTAL PUNTAJE]],0)</f>
        <v>0</v>
      </c>
      <c r="Q112" s="34">
        <f>IF(OR(H112="Dog Chow húmedo",H112="Cat Chow húmedo",H112="Fancy Feast",H112="Felix",H112="Proplan húmedo",H112="One húmedo",H112="Snack Abrazzos",H112="Snak Dentalife",H112="Arenilla Tidy Cat"),N112,0)</f>
        <v>0</v>
      </c>
      <c r="R112" s="34"/>
    </row>
    <row r="113" spans="1:18" x14ac:dyDescent="0.25">
      <c r="A113" s="34" t="s">
        <v>113</v>
      </c>
      <c r="B113" s="34" t="s">
        <v>119</v>
      </c>
      <c r="C113" t="s">
        <v>43</v>
      </c>
      <c r="D113" s="34" t="s">
        <v>122</v>
      </c>
      <c r="E113" s="34">
        <v>66554</v>
      </c>
      <c r="F113" s="34" t="s">
        <v>260</v>
      </c>
      <c r="G113" s="34" t="s">
        <v>97</v>
      </c>
      <c r="H113" s="34" t="s">
        <v>112</v>
      </c>
      <c r="I113" s="35"/>
      <c r="J113" s="34">
        <v>28991102</v>
      </c>
      <c r="K113" s="34" t="s">
        <v>121</v>
      </c>
      <c r="L113" s="34" t="str">
        <f>_xlfn.XLOOKUP(Tabla2__2[[#This Row],[CODIGO RUTA]],'DATA INFORME'!I:I,'DATA INFORME'!K:K)</f>
        <v>NO</v>
      </c>
      <c r="M113" s="34" t="str">
        <f>IF(Tabla2__2[[#This Row],[MYSTERY EFECTIVO]]="SI",_xlfn.XLOOKUP(Tabla2__2[[#This Row],[PREGUNTA]],ENCUESTA!G:G,ENCUESTA!D:D),"N/A")</f>
        <v>N/A</v>
      </c>
      <c r="N11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3" s="34" t="str">
        <f>_xlfn.XLOOKUP(Tabla2__2[[#This Row],[PREGUNTA]],ENCUESTA!G:G,ENCUESTA!H:H)</f>
        <v>NO</v>
      </c>
      <c r="P113" s="34">
        <f>IF(Tabla2__2[[#This Row],[RTA]]=Tabla2__2[[#This Row],[RTA CORRECTA]],Tabla2__2[[#This Row],[TOTAL PUNTAJE]],0)</f>
        <v>0</v>
      </c>
      <c r="Q113" s="34">
        <f>IF(OR(H113="Dog Chow húmedo",H113="Cat Chow húmedo",H113="Fancy Feast",H113="Felix",H113="Proplan húmedo",H113="One húmedo",H113="Snack Abrazzos",H113="Snak Dentalife",H113="Arenilla Tidy Cat"),N113,0)</f>
        <v>0</v>
      </c>
      <c r="R113" s="34"/>
    </row>
    <row r="114" spans="1:18" x14ac:dyDescent="0.25">
      <c r="A114" s="34" t="s">
        <v>113</v>
      </c>
      <c r="B114" s="34" t="s">
        <v>119</v>
      </c>
      <c r="C114" t="s">
        <v>43</v>
      </c>
      <c r="D114" s="34" t="s">
        <v>122</v>
      </c>
      <c r="E114" s="34">
        <v>66554</v>
      </c>
      <c r="F114" s="34" t="s">
        <v>260</v>
      </c>
      <c r="G114" s="34" t="s">
        <v>96</v>
      </c>
      <c r="H114" s="34" t="s">
        <v>112</v>
      </c>
      <c r="I114" s="35"/>
      <c r="J114" s="34">
        <v>28991102</v>
      </c>
      <c r="K114" s="34" t="s">
        <v>121</v>
      </c>
      <c r="L114" s="34" t="str">
        <f>_xlfn.XLOOKUP(Tabla2__2[[#This Row],[CODIGO RUTA]],'DATA INFORME'!I:I,'DATA INFORME'!K:K)</f>
        <v>NO</v>
      </c>
      <c r="M114" s="34" t="str">
        <f>IF(Tabla2__2[[#This Row],[MYSTERY EFECTIVO]]="SI",_xlfn.XLOOKUP(Tabla2__2[[#This Row],[PREGUNTA]],ENCUESTA!G:G,ENCUESTA!D:D),"N/A")</f>
        <v>N/A</v>
      </c>
      <c r="N11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4" s="34" t="str">
        <f>_xlfn.XLOOKUP(Tabla2__2[[#This Row],[PREGUNTA]],ENCUESTA!G:G,ENCUESTA!H:H)</f>
        <v>NO</v>
      </c>
      <c r="P114" s="34">
        <f>IF(Tabla2__2[[#This Row],[RTA]]=Tabla2__2[[#This Row],[RTA CORRECTA]],Tabla2__2[[#This Row],[TOTAL PUNTAJE]],0)</f>
        <v>0</v>
      </c>
      <c r="Q114" s="34">
        <f>IF(OR(H114="Dog Chow húmedo",H114="Cat Chow húmedo",H114="Fancy Feast",H114="Felix",H114="Proplan húmedo",H114="One húmedo",H114="Snack Abrazzos",H114="Snak Dentalife",H114="Arenilla Tidy Cat"),N114,0)</f>
        <v>0</v>
      </c>
      <c r="R114" s="34"/>
    </row>
    <row r="115" spans="1:18" x14ac:dyDescent="0.25">
      <c r="A115" s="34" t="s">
        <v>113</v>
      </c>
      <c r="B115" s="34" t="s">
        <v>119</v>
      </c>
      <c r="C115" t="s">
        <v>43</v>
      </c>
      <c r="D115" s="34" t="s">
        <v>122</v>
      </c>
      <c r="E115" s="34">
        <v>66554</v>
      </c>
      <c r="F115" s="34" t="s">
        <v>260</v>
      </c>
      <c r="G115" s="34" t="s">
        <v>95</v>
      </c>
      <c r="H115" s="34" t="s">
        <v>112</v>
      </c>
      <c r="I115" s="35"/>
      <c r="J115" s="34">
        <v>28991102</v>
      </c>
      <c r="K115" s="34" t="s">
        <v>121</v>
      </c>
      <c r="L115" s="34" t="str">
        <f>_xlfn.XLOOKUP(Tabla2__2[[#This Row],[CODIGO RUTA]],'DATA INFORME'!I:I,'DATA INFORME'!K:K)</f>
        <v>NO</v>
      </c>
      <c r="M115" s="34" t="str">
        <f>IF(Tabla2__2[[#This Row],[MYSTERY EFECTIVO]]="SI",_xlfn.XLOOKUP(Tabla2__2[[#This Row],[PREGUNTA]],ENCUESTA!G:G,ENCUESTA!D:D),"N/A")</f>
        <v>N/A</v>
      </c>
      <c r="N11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5" s="34" t="str">
        <f>_xlfn.XLOOKUP(Tabla2__2[[#This Row],[PREGUNTA]],ENCUESTA!G:G,ENCUESTA!H:H)</f>
        <v>NO</v>
      </c>
      <c r="P115" s="34">
        <f>IF(Tabla2__2[[#This Row],[RTA]]=Tabla2__2[[#This Row],[RTA CORRECTA]],Tabla2__2[[#This Row],[TOTAL PUNTAJE]],0)</f>
        <v>0</v>
      </c>
      <c r="Q115" s="34">
        <f>IF(OR(H115="Dog Chow húmedo",H115="Cat Chow húmedo",H115="Fancy Feast",H115="Felix",H115="Proplan húmedo",H115="One húmedo",H115="Snack Abrazzos",H115="Snak Dentalife",H115="Arenilla Tidy Cat"),N115,0)</f>
        <v>0</v>
      </c>
      <c r="R115" s="34"/>
    </row>
    <row r="116" spans="1:18" x14ac:dyDescent="0.25">
      <c r="A116" s="34" t="s">
        <v>113</v>
      </c>
      <c r="B116" s="34" t="s">
        <v>119</v>
      </c>
      <c r="C116" t="s">
        <v>43</v>
      </c>
      <c r="D116" s="34" t="s">
        <v>122</v>
      </c>
      <c r="E116" s="34">
        <v>66554</v>
      </c>
      <c r="F116" s="34" t="s">
        <v>260</v>
      </c>
      <c r="G116" s="34" t="s">
        <v>94</v>
      </c>
      <c r="H116" s="34" t="s">
        <v>112</v>
      </c>
      <c r="I116" s="35"/>
      <c r="J116" s="34">
        <v>28991102</v>
      </c>
      <c r="K116" s="34" t="s">
        <v>121</v>
      </c>
      <c r="L116" s="34" t="str">
        <f>_xlfn.XLOOKUP(Tabla2__2[[#This Row],[CODIGO RUTA]],'DATA INFORME'!I:I,'DATA INFORME'!K:K)</f>
        <v>NO</v>
      </c>
      <c r="M116" s="34" t="str">
        <f>IF(Tabla2__2[[#This Row],[MYSTERY EFECTIVO]]="SI",_xlfn.XLOOKUP(Tabla2__2[[#This Row],[PREGUNTA]],ENCUESTA!G:G,ENCUESTA!D:D),"N/A")</f>
        <v>N/A</v>
      </c>
      <c r="N11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6" s="34" t="str">
        <f>_xlfn.XLOOKUP(Tabla2__2[[#This Row],[PREGUNTA]],ENCUESTA!G:G,ENCUESTA!H:H)</f>
        <v>NO</v>
      </c>
      <c r="P116" s="34">
        <f>IF(Tabla2__2[[#This Row],[RTA]]=Tabla2__2[[#This Row],[RTA CORRECTA]],Tabla2__2[[#This Row],[TOTAL PUNTAJE]],0)</f>
        <v>0</v>
      </c>
      <c r="Q116" s="34">
        <f>IF(OR(H116="Dog Chow húmedo",H116="Cat Chow húmedo",H116="Fancy Feast",H116="Felix",H116="Proplan húmedo",H116="One húmedo",H116="Snack Abrazzos",H116="Snak Dentalife",H116="Arenilla Tidy Cat"),N116,0)</f>
        <v>0</v>
      </c>
      <c r="R116" s="34"/>
    </row>
    <row r="117" spans="1:18" x14ac:dyDescent="0.25">
      <c r="A117" s="34" t="s">
        <v>113</v>
      </c>
      <c r="B117" s="34" t="s">
        <v>119</v>
      </c>
      <c r="C117" t="s">
        <v>43</v>
      </c>
      <c r="D117" s="34" t="s">
        <v>122</v>
      </c>
      <c r="E117" s="34">
        <v>66554</v>
      </c>
      <c r="F117" s="34" t="s">
        <v>260</v>
      </c>
      <c r="G117" s="34" t="s">
        <v>100</v>
      </c>
      <c r="H117" s="34" t="s">
        <v>112</v>
      </c>
      <c r="I117" s="35"/>
      <c r="J117" s="34">
        <v>28991102</v>
      </c>
      <c r="K117" s="34" t="s">
        <v>121</v>
      </c>
      <c r="L117" s="34" t="str">
        <f>_xlfn.XLOOKUP(Tabla2__2[[#This Row],[CODIGO RUTA]],'DATA INFORME'!I:I,'DATA INFORME'!K:K)</f>
        <v>NO</v>
      </c>
      <c r="M117" s="34" t="str">
        <f>IF(Tabla2__2[[#This Row],[MYSTERY EFECTIVO]]="SI",_xlfn.XLOOKUP(Tabla2__2[[#This Row],[PREGUNTA]],ENCUESTA!G:G,ENCUESTA!D:D),"N/A")</f>
        <v>N/A</v>
      </c>
      <c r="N11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7" s="34" t="str">
        <f>_xlfn.XLOOKUP(Tabla2__2[[#This Row],[PREGUNTA]],ENCUESTA!G:G,ENCUESTA!H:H)</f>
        <v>SI</v>
      </c>
      <c r="P117" s="34">
        <f>IF(Tabla2__2[[#This Row],[RTA]]=Tabla2__2[[#This Row],[RTA CORRECTA]],Tabla2__2[[#This Row],[TOTAL PUNTAJE]],0)</f>
        <v>0</v>
      </c>
      <c r="Q117" s="34">
        <f>IF(OR(H117="Dog Chow húmedo",H117="Cat Chow húmedo",H117="Fancy Feast",H117="Felix",H117="Proplan húmedo",H117="One húmedo",H117="Snack Abrazzos",H117="Snak Dentalife",H117="Arenilla Tidy Cat"),N117,0)</f>
        <v>0</v>
      </c>
      <c r="R117" s="34"/>
    </row>
    <row r="118" spans="1:18" x14ac:dyDescent="0.25">
      <c r="A118" s="34" t="s">
        <v>113</v>
      </c>
      <c r="B118" s="34" t="s">
        <v>119</v>
      </c>
      <c r="C118" t="s">
        <v>43</v>
      </c>
      <c r="D118" s="34" t="s">
        <v>122</v>
      </c>
      <c r="E118" s="34">
        <v>66554</v>
      </c>
      <c r="F118" s="34" t="s">
        <v>260</v>
      </c>
      <c r="G118" s="34" t="s">
        <v>93</v>
      </c>
      <c r="H118" s="34" t="s">
        <v>112</v>
      </c>
      <c r="I118" s="35"/>
      <c r="J118" s="34">
        <v>28991102</v>
      </c>
      <c r="K118" s="34" t="s">
        <v>121</v>
      </c>
      <c r="L118" s="34" t="str">
        <f>_xlfn.XLOOKUP(Tabla2__2[[#This Row],[CODIGO RUTA]],'DATA INFORME'!I:I,'DATA INFORME'!K:K)</f>
        <v>NO</v>
      </c>
      <c r="M118" s="34" t="str">
        <f>IF(Tabla2__2[[#This Row],[MYSTERY EFECTIVO]]="SI",_xlfn.XLOOKUP(Tabla2__2[[#This Row],[PREGUNTA]],ENCUESTA!G:G,ENCUESTA!D:D),"N/A")</f>
        <v>N/A</v>
      </c>
      <c r="N11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8" s="34" t="str">
        <f>_xlfn.XLOOKUP(Tabla2__2[[#This Row],[PREGUNTA]],ENCUESTA!G:G,ENCUESTA!H:H)</f>
        <v>SI</v>
      </c>
      <c r="P118" s="34">
        <f>IF(Tabla2__2[[#This Row],[RTA]]=Tabla2__2[[#This Row],[RTA CORRECTA]],Tabla2__2[[#This Row],[TOTAL PUNTAJE]],0)</f>
        <v>0</v>
      </c>
      <c r="Q118" s="34">
        <f>IF(OR(H118="Dog Chow húmedo",H118="Cat Chow húmedo",H118="Fancy Feast",H118="Felix",H118="Proplan húmedo",H118="One húmedo",H118="Snack Abrazzos",H118="Snak Dentalife",H118="Arenilla Tidy Cat"),N118,0)</f>
        <v>0</v>
      </c>
      <c r="R118" s="34"/>
    </row>
    <row r="119" spans="1:18" x14ac:dyDescent="0.25">
      <c r="A119" s="34" t="s">
        <v>113</v>
      </c>
      <c r="B119" s="34" t="s">
        <v>119</v>
      </c>
      <c r="C119" t="s">
        <v>43</v>
      </c>
      <c r="D119" s="34" t="s">
        <v>122</v>
      </c>
      <c r="E119" s="34">
        <v>66554</v>
      </c>
      <c r="F119" s="34" t="s">
        <v>260</v>
      </c>
      <c r="G119" s="34" t="s">
        <v>91</v>
      </c>
      <c r="H119" s="34" t="s">
        <v>112</v>
      </c>
      <c r="I119" s="35"/>
      <c r="J119" s="34">
        <v>28991102</v>
      </c>
      <c r="K119" s="34" t="s">
        <v>121</v>
      </c>
      <c r="L119" s="34" t="str">
        <f>_xlfn.XLOOKUP(Tabla2__2[[#This Row],[CODIGO RUTA]],'DATA INFORME'!I:I,'DATA INFORME'!K:K)</f>
        <v>NO</v>
      </c>
      <c r="M119" s="34" t="str">
        <f>IF(Tabla2__2[[#This Row],[MYSTERY EFECTIVO]]="SI",_xlfn.XLOOKUP(Tabla2__2[[#This Row],[PREGUNTA]],ENCUESTA!G:G,ENCUESTA!D:D),"N/A")</f>
        <v>N/A</v>
      </c>
      <c r="N11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9" s="34" t="str">
        <f>_xlfn.XLOOKUP(Tabla2__2[[#This Row],[PREGUNTA]],ENCUESTA!G:G,ENCUESTA!H:H)</f>
        <v>NO</v>
      </c>
      <c r="P119" s="34">
        <f>IF(Tabla2__2[[#This Row],[RTA]]=Tabla2__2[[#This Row],[RTA CORRECTA]],Tabla2__2[[#This Row],[TOTAL PUNTAJE]],0)</f>
        <v>0</v>
      </c>
      <c r="Q119" s="34">
        <f>IF(OR(H119="Dog Chow húmedo",H119="Cat Chow húmedo",H119="Fancy Feast",H119="Felix",H119="Proplan húmedo",H119="One húmedo",H119="Snack Abrazzos",H119="Snak Dentalife",H119="Arenilla Tidy Cat"),N119,0)</f>
        <v>0</v>
      </c>
      <c r="R119" s="34"/>
    </row>
    <row r="120" spans="1:18" x14ac:dyDescent="0.25">
      <c r="A120" s="34" t="s">
        <v>113</v>
      </c>
      <c r="B120" s="34" t="s">
        <v>119</v>
      </c>
      <c r="C120" t="s">
        <v>43</v>
      </c>
      <c r="D120" s="34" t="s">
        <v>122</v>
      </c>
      <c r="E120" s="34">
        <v>66554</v>
      </c>
      <c r="F120" s="34" t="s">
        <v>260</v>
      </c>
      <c r="G120" s="34" t="s">
        <v>35</v>
      </c>
      <c r="H120" s="34" t="s">
        <v>112</v>
      </c>
      <c r="I120" s="35"/>
      <c r="J120" s="34">
        <v>28991102</v>
      </c>
      <c r="K120" s="34" t="s">
        <v>121</v>
      </c>
      <c r="L120" s="34" t="str">
        <f>_xlfn.XLOOKUP(Tabla2__2[[#This Row],[CODIGO RUTA]],'DATA INFORME'!I:I,'DATA INFORME'!K:K)</f>
        <v>NO</v>
      </c>
      <c r="M120" s="34" t="str">
        <f>IF(Tabla2__2[[#This Row],[MYSTERY EFECTIVO]]="SI",_xlfn.XLOOKUP(Tabla2__2[[#This Row],[PREGUNTA]],ENCUESTA!G:G,ENCUESTA!D:D),"N/A")</f>
        <v>N/A</v>
      </c>
      <c r="N12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0" s="34" t="str">
        <f>_xlfn.XLOOKUP(Tabla2__2[[#This Row],[PREGUNTA]],ENCUESTA!G:G,ENCUESTA!H:H)</f>
        <v>SI</v>
      </c>
      <c r="P120" s="34">
        <f>IF(Tabla2__2[[#This Row],[RTA]]=Tabla2__2[[#This Row],[RTA CORRECTA]],Tabla2__2[[#This Row],[TOTAL PUNTAJE]],0)</f>
        <v>0</v>
      </c>
      <c r="Q120" s="34">
        <f>IF(OR(H120="Dog Chow húmedo",H120="Cat Chow húmedo",H120="Fancy Feast",H120="Felix",H120="Proplan húmedo",H120="One húmedo",H120="Snack Abrazzos",H120="Snak Dentalife",H120="Arenilla Tidy Cat"),N120,0)</f>
        <v>0</v>
      </c>
      <c r="R120" s="34"/>
    </row>
    <row r="121" spans="1:18" x14ac:dyDescent="0.25">
      <c r="A121" s="34" t="s">
        <v>113</v>
      </c>
      <c r="B121" s="34" t="s">
        <v>119</v>
      </c>
      <c r="C121" t="s">
        <v>43</v>
      </c>
      <c r="D121" s="34" t="s">
        <v>122</v>
      </c>
      <c r="E121" s="34">
        <v>66554</v>
      </c>
      <c r="F121" s="34" t="s">
        <v>260</v>
      </c>
      <c r="G121" s="34" t="s">
        <v>90</v>
      </c>
      <c r="H121" s="34" t="s">
        <v>112</v>
      </c>
      <c r="I121" s="35"/>
      <c r="J121" s="34">
        <v>28991102</v>
      </c>
      <c r="K121" s="34" t="s">
        <v>121</v>
      </c>
      <c r="L121" s="34" t="str">
        <f>_xlfn.XLOOKUP(Tabla2__2[[#This Row],[CODIGO RUTA]],'DATA INFORME'!I:I,'DATA INFORME'!K:K)</f>
        <v>NO</v>
      </c>
      <c r="M121" s="34" t="str">
        <f>IF(Tabla2__2[[#This Row],[MYSTERY EFECTIVO]]="SI",_xlfn.XLOOKUP(Tabla2__2[[#This Row],[PREGUNTA]],ENCUESTA!G:G,ENCUESTA!D:D),"N/A")</f>
        <v>N/A</v>
      </c>
      <c r="N12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1" s="34" t="str">
        <f>_xlfn.XLOOKUP(Tabla2__2[[#This Row],[PREGUNTA]],ENCUESTA!G:G,ENCUESTA!H:H)</f>
        <v>SI</v>
      </c>
      <c r="P121" s="34">
        <f>IF(Tabla2__2[[#This Row],[RTA]]=Tabla2__2[[#This Row],[RTA CORRECTA]],Tabla2__2[[#This Row],[TOTAL PUNTAJE]],0)</f>
        <v>0</v>
      </c>
      <c r="Q121" s="34">
        <f>IF(OR(H121="Dog Chow húmedo",H121="Cat Chow húmedo",H121="Fancy Feast",H121="Felix",H121="Proplan húmedo",H121="One húmedo",H121="Snack Abrazzos",H121="Snak Dentalife",H121="Arenilla Tidy Cat"),N121,0)</f>
        <v>0</v>
      </c>
      <c r="R121" s="34"/>
    </row>
    <row r="122" spans="1:18" x14ac:dyDescent="0.25">
      <c r="A122" s="34" t="s">
        <v>113</v>
      </c>
      <c r="B122" s="34" t="s">
        <v>119</v>
      </c>
      <c r="C122" t="s">
        <v>43</v>
      </c>
      <c r="D122" s="34" t="s">
        <v>122</v>
      </c>
      <c r="E122" s="34">
        <v>66554</v>
      </c>
      <c r="F122" s="34" t="s">
        <v>260</v>
      </c>
      <c r="G122" s="34" t="s">
        <v>89</v>
      </c>
      <c r="H122" s="34" t="s">
        <v>112</v>
      </c>
      <c r="I122" s="35"/>
      <c r="J122" s="34">
        <v>28991102</v>
      </c>
      <c r="K122" s="34" t="s">
        <v>121</v>
      </c>
      <c r="L122" s="34" t="str">
        <f>_xlfn.XLOOKUP(Tabla2__2[[#This Row],[CODIGO RUTA]],'DATA INFORME'!I:I,'DATA INFORME'!K:K)</f>
        <v>NO</v>
      </c>
      <c r="M122" s="34" t="str">
        <f>IF(Tabla2__2[[#This Row],[MYSTERY EFECTIVO]]="SI",_xlfn.XLOOKUP(Tabla2__2[[#This Row],[PREGUNTA]],ENCUESTA!G:G,ENCUESTA!D:D),"N/A")</f>
        <v>N/A</v>
      </c>
      <c r="N12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2" s="34" t="str">
        <f>_xlfn.XLOOKUP(Tabla2__2[[#This Row],[PREGUNTA]],ENCUESTA!G:G,ENCUESTA!H:H)</f>
        <v>SI</v>
      </c>
      <c r="P122" s="34">
        <f>IF(Tabla2__2[[#This Row],[RTA]]=Tabla2__2[[#This Row],[RTA CORRECTA]],Tabla2__2[[#This Row],[TOTAL PUNTAJE]],0)</f>
        <v>0</v>
      </c>
      <c r="Q122" s="34">
        <f>IF(OR(H122="Dog Chow húmedo",H122="Cat Chow húmedo",H122="Fancy Feast",H122="Felix",H122="Proplan húmedo",H122="One húmedo",H122="Snack Abrazzos",H122="Snak Dentalife",H122="Arenilla Tidy Cat"),N122,0)</f>
        <v>0</v>
      </c>
      <c r="R122" s="34"/>
    </row>
    <row r="123" spans="1:18" x14ac:dyDescent="0.25">
      <c r="A123" s="34" t="s">
        <v>113</v>
      </c>
      <c r="B123" s="34" t="s">
        <v>119</v>
      </c>
      <c r="C123" t="s">
        <v>43</v>
      </c>
      <c r="D123" s="34" t="s">
        <v>122</v>
      </c>
      <c r="E123" s="34">
        <v>66554</v>
      </c>
      <c r="F123" s="34" t="s">
        <v>260</v>
      </c>
      <c r="G123" s="34" t="s">
        <v>88</v>
      </c>
      <c r="H123" s="34" t="s">
        <v>112</v>
      </c>
      <c r="I123" s="35"/>
      <c r="J123" s="34">
        <v>28991102</v>
      </c>
      <c r="K123" s="34" t="s">
        <v>121</v>
      </c>
      <c r="L123" s="34" t="str">
        <f>_xlfn.XLOOKUP(Tabla2__2[[#This Row],[CODIGO RUTA]],'DATA INFORME'!I:I,'DATA INFORME'!K:K)</f>
        <v>NO</v>
      </c>
      <c r="M123" s="34" t="str">
        <f>IF(Tabla2__2[[#This Row],[MYSTERY EFECTIVO]]="SI",_xlfn.XLOOKUP(Tabla2__2[[#This Row],[PREGUNTA]],ENCUESTA!G:G,ENCUESTA!D:D),"N/A")</f>
        <v>N/A</v>
      </c>
      <c r="N12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3" s="34" t="str">
        <f>_xlfn.XLOOKUP(Tabla2__2[[#This Row],[PREGUNTA]],ENCUESTA!G:G,ENCUESTA!H:H)</f>
        <v>SI</v>
      </c>
      <c r="P123" s="34">
        <f>IF(Tabla2__2[[#This Row],[RTA]]=Tabla2__2[[#This Row],[RTA CORRECTA]],Tabla2__2[[#This Row],[TOTAL PUNTAJE]],0)</f>
        <v>0</v>
      </c>
      <c r="Q123" s="34">
        <f>IF(OR(H123="Dog Chow húmedo",H123="Cat Chow húmedo",H123="Fancy Feast",H123="Felix",H123="Proplan húmedo",H123="One húmedo",H123="Snack Abrazzos",H123="Snak Dentalife",H123="Arenilla Tidy Cat"),N123,0)</f>
        <v>0</v>
      </c>
      <c r="R123" s="34"/>
    </row>
    <row r="124" spans="1:18" x14ac:dyDescent="0.25">
      <c r="A124" s="34" t="s">
        <v>113</v>
      </c>
      <c r="B124" s="34" t="s">
        <v>119</v>
      </c>
      <c r="C124" t="s">
        <v>43</v>
      </c>
      <c r="D124" s="34" t="s">
        <v>122</v>
      </c>
      <c r="E124" s="34">
        <v>66554</v>
      </c>
      <c r="F124" s="34" t="s">
        <v>260</v>
      </c>
      <c r="G124" s="34" t="s">
        <v>87</v>
      </c>
      <c r="H124" s="34" t="s">
        <v>112</v>
      </c>
      <c r="I124" s="35"/>
      <c r="J124" s="34">
        <v>28991102</v>
      </c>
      <c r="K124" s="34" t="s">
        <v>121</v>
      </c>
      <c r="L124" s="34" t="str">
        <f>_xlfn.XLOOKUP(Tabla2__2[[#This Row],[CODIGO RUTA]],'DATA INFORME'!I:I,'DATA INFORME'!K:K)</f>
        <v>NO</v>
      </c>
      <c r="M124" s="34" t="str">
        <f>IF(Tabla2__2[[#This Row],[MYSTERY EFECTIVO]]="SI",_xlfn.XLOOKUP(Tabla2__2[[#This Row],[PREGUNTA]],ENCUESTA!G:G,ENCUESTA!D:D),"N/A")</f>
        <v>N/A</v>
      </c>
      <c r="N12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4" s="34">
        <f>_xlfn.XLOOKUP(Tabla2__2[[#This Row],[PREGUNTA]],ENCUESTA!G:G,ENCUESTA!H:H)</f>
        <v>0</v>
      </c>
      <c r="P124" s="34">
        <f>IF(Tabla2__2[[#This Row],[RTA]]=Tabla2__2[[#This Row],[RTA CORRECTA]],Tabla2__2[[#This Row],[TOTAL PUNTAJE]],0)</f>
        <v>0</v>
      </c>
      <c r="Q124" s="34">
        <f>IF(OR(H124="Dog Chow húmedo",H124="Cat Chow húmedo",H124="Fancy Feast",H124="Felix",H124="Proplan húmedo",H124="One húmedo",H124="Snack Abrazzos",H124="Snak Dentalife",H124="Arenilla Tidy Cat"),N124,0)</f>
        <v>0</v>
      </c>
      <c r="R124" s="34"/>
    </row>
    <row r="125" spans="1:18" x14ac:dyDescent="0.25">
      <c r="A125" s="34" t="s">
        <v>113</v>
      </c>
      <c r="B125" s="34" t="s">
        <v>119</v>
      </c>
      <c r="C125" t="s">
        <v>43</v>
      </c>
      <c r="D125" s="34" t="s">
        <v>122</v>
      </c>
      <c r="E125" s="34">
        <v>66554</v>
      </c>
      <c r="F125" s="34" t="s">
        <v>260</v>
      </c>
      <c r="G125" s="34" t="s">
        <v>92</v>
      </c>
      <c r="H125" s="34" t="s">
        <v>112</v>
      </c>
      <c r="I125" s="35"/>
      <c r="J125" s="34">
        <v>28991102</v>
      </c>
      <c r="K125" s="34" t="s">
        <v>121</v>
      </c>
      <c r="L125" s="34" t="str">
        <f>_xlfn.XLOOKUP(Tabla2__2[[#This Row],[CODIGO RUTA]],'DATA INFORME'!I:I,'DATA INFORME'!K:K)</f>
        <v>NO</v>
      </c>
      <c r="M125" s="34" t="str">
        <f>IF(Tabla2__2[[#This Row],[MYSTERY EFECTIVO]]="SI",_xlfn.XLOOKUP(Tabla2__2[[#This Row],[PREGUNTA]],ENCUESTA!G:G,ENCUESTA!D:D),"N/A")</f>
        <v>N/A</v>
      </c>
      <c r="N12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5" s="34" t="str">
        <f>_xlfn.XLOOKUP(Tabla2__2[[#This Row],[PREGUNTA]],ENCUESTA!G:G,ENCUESTA!H:H)</f>
        <v>SI</v>
      </c>
      <c r="P125" s="34">
        <f>IF(Tabla2__2[[#This Row],[RTA]]=Tabla2__2[[#This Row],[RTA CORRECTA]],Tabla2__2[[#This Row],[TOTAL PUNTAJE]],0)</f>
        <v>0</v>
      </c>
      <c r="Q125" s="34">
        <f>IF(OR(H125="Dog Chow húmedo",H125="Cat Chow húmedo",H125="Fancy Feast",H125="Felix",H125="Proplan húmedo",H125="One húmedo",H125="Snack Abrazzos",H125="Snak Dentalife",H125="Arenilla Tidy Cat"),N125,0)</f>
        <v>0</v>
      </c>
      <c r="R125" s="34"/>
    </row>
    <row r="126" spans="1:18" x14ac:dyDescent="0.25">
      <c r="A126" s="34" t="s">
        <v>113</v>
      </c>
      <c r="B126" s="34" t="s">
        <v>119</v>
      </c>
      <c r="C126" t="s">
        <v>43</v>
      </c>
      <c r="D126" s="34" t="s">
        <v>122</v>
      </c>
      <c r="E126" s="34">
        <v>66554</v>
      </c>
      <c r="F126" s="34" t="s">
        <v>260</v>
      </c>
      <c r="G126" s="34" t="s">
        <v>101</v>
      </c>
      <c r="H126" s="34" t="s">
        <v>112</v>
      </c>
      <c r="I126" s="35"/>
      <c r="J126" s="34">
        <v>28991102</v>
      </c>
      <c r="K126" s="34" t="s">
        <v>121</v>
      </c>
      <c r="L126" s="34" t="str">
        <f>_xlfn.XLOOKUP(Tabla2__2[[#This Row],[CODIGO RUTA]],'DATA INFORME'!I:I,'DATA INFORME'!K:K)</f>
        <v>NO</v>
      </c>
      <c r="M126" s="34" t="str">
        <f>IF(Tabla2__2[[#This Row],[MYSTERY EFECTIVO]]="SI",_xlfn.XLOOKUP(Tabla2__2[[#This Row],[PREGUNTA]],ENCUESTA!G:G,ENCUESTA!D:D),"N/A")</f>
        <v>N/A</v>
      </c>
      <c r="N12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6" s="34" t="str">
        <f>_xlfn.XLOOKUP(Tabla2__2[[#This Row],[PREGUNTA]],ENCUESTA!G:G,ENCUESTA!H:H)</f>
        <v>SI</v>
      </c>
      <c r="P126" s="34">
        <f>IF(Tabla2__2[[#This Row],[RTA]]=Tabla2__2[[#This Row],[RTA CORRECTA]],Tabla2__2[[#This Row],[TOTAL PUNTAJE]],0)</f>
        <v>0</v>
      </c>
      <c r="Q126" s="34">
        <f>IF(OR(H126="Dog Chow húmedo",H126="Cat Chow húmedo",H126="Fancy Feast",H126="Felix",H126="Proplan húmedo",H126="One húmedo",H126="Snack Abrazzos",H126="Snak Dentalife",H126="Arenilla Tidy Cat"),N126,0)</f>
        <v>0</v>
      </c>
      <c r="R126" s="34"/>
    </row>
    <row r="127" spans="1:18" x14ac:dyDescent="0.25">
      <c r="A127" s="34" t="s">
        <v>113</v>
      </c>
      <c r="B127" s="34" t="s">
        <v>119</v>
      </c>
      <c r="C127" t="s">
        <v>43</v>
      </c>
      <c r="D127" s="34" t="s">
        <v>122</v>
      </c>
      <c r="E127" s="34">
        <v>66554</v>
      </c>
      <c r="F127" s="34" t="s">
        <v>260</v>
      </c>
      <c r="G127" s="34" t="s">
        <v>102</v>
      </c>
      <c r="H127" s="34" t="s">
        <v>112</v>
      </c>
      <c r="I127" s="35"/>
      <c r="J127" s="34">
        <v>28991102</v>
      </c>
      <c r="K127" s="34" t="s">
        <v>121</v>
      </c>
      <c r="L127" s="34" t="str">
        <f>_xlfn.XLOOKUP(Tabla2__2[[#This Row],[CODIGO RUTA]],'DATA INFORME'!I:I,'DATA INFORME'!K:K)</f>
        <v>NO</v>
      </c>
      <c r="M127" s="34" t="str">
        <f>IF(Tabla2__2[[#This Row],[MYSTERY EFECTIVO]]="SI",_xlfn.XLOOKUP(Tabla2__2[[#This Row],[PREGUNTA]],ENCUESTA!G:G,ENCUESTA!D:D),"N/A")</f>
        <v>N/A</v>
      </c>
      <c r="N12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7" s="34" t="str">
        <f>_xlfn.XLOOKUP(Tabla2__2[[#This Row],[PREGUNTA]],ENCUESTA!G:G,ENCUESTA!H:H)</f>
        <v>SI</v>
      </c>
      <c r="P127" s="34">
        <f>IF(Tabla2__2[[#This Row],[RTA]]=Tabla2__2[[#This Row],[RTA CORRECTA]],Tabla2__2[[#This Row],[TOTAL PUNTAJE]],0)</f>
        <v>0</v>
      </c>
      <c r="Q127" s="34">
        <f>IF(OR(H127="Dog Chow húmedo",H127="Cat Chow húmedo",H127="Fancy Feast",H127="Felix",H127="Proplan húmedo",H127="One húmedo",H127="Snack Abrazzos",H127="Snak Dentalife",H127="Arenilla Tidy Cat"),N127,0)</f>
        <v>0</v>
      </c>
      <c r="R127" s="34"/>
    </row>
    <row r="128" spans="1:18" x14ac:dyDescent="0.25">
      <c r="A128" s="34" t="s">
        <v>113</v>
      </c>
      <c r="B128" s="34" t="s">
        <v>119</v>
      </c>
      <c r="C128" t="s">
        <v>43</v>
      </c>
      <c r="D128" s="34" t="s">
        <v>122</v>
      </c>
      <c r="E128" s="34">
        <v>66554</v>
      </c>
      <c r="F128" s="34" t="s">
        <v>260</v>
      </c>
      <c r="G128" s="34" t="s">
        <v>103</v>
      </c>
      <c r="H128" s="34" t="s">
        <v>112</v>
      </c>
      <c r="I128" s="35"/>
      <c r="J128" s="34">
        <v>28991102</v>
      </c>
      <c r="K128" s="34" t="s">
        <v>121</v>
      </c>
      <c r="L128" s="34" t="str">
        <f>_xlfn.XLOOKUP(Tabla2__2[[#This Row],[CODIGO RUTA]],'DATA INFORME'!I:I,'DATA INFORME'!K:K)</f>
        <v>NO</v>
      </c>
      <c r="M128" s="34" t="str">
        <f>IF(Tabla2__2[[#This Row],[MYSTERY EFECTIVO]]="SI",_xlfn.XLOOKUP(Tabla2__2[[#This Row],[PREGUNTA]],ENCUESTA!G:G,ENCUESTA!D:D),"N/A")</f>
        <v>N/A</v>
      </c>
      <c r="N12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8" s="34" t="str">
        <f>_xlfn.XLOOKUP(Tabla2__2[[#This Row],[PREGUNTA]],ENCUESTA!G:G,ENCUESTA!H:H)</f>
        <v>SI</v>
      </c>
      <c r="P128" s="34">
        <f>IF(Tabla2__2[[#This Row],[RTA]]=Tabla2__2[[#This Row],[RTA CORRECTA]],Tabla2__2[[#This Row],[TOTAL PUNTAJE]],0)</f>
        <v>0</v>
      </c>
      <c r="Q128" s="34">
        <f>IF(OR(H128="Dog Chow húmedo",H128="Cat Chow húmedo",H128="Fancy Feast",H128="Felix",H128="Proplan húmedo",H128="One húmedo",H128="Snack Abrazzos",H128="Snak Dentalife",H128="Arenilla Tidy Cat"),N128,0)</f>
        <v>0</v>
      </c>
      <c r="R128" s="34"/>
    </row>
    <row r="129" spans="1:18" x14ac:dyDescent="0.25">
      <c r="A129" s="34" t="s">
        <v>113</v>
      </c>
      <c r="B129" s="34" t="s">
        <v>246</v>
      </c>
      <c r="C129" t="s">
        <v>43</v>
      </c>
      <c r="D129" s="34" t="s">
        <v>247</v>
      </c>
      <c r="E129" s="34">
        <v>129909</v>
      </c>
      <c r="F129" s="34" t="s">
        <v>267</v>
      </c>
      <c r="G129" s="34" t="s">
        <v>94</v>
      </c>
      <c r="H129" s="34" t="s">
        <v>112</v>
      </c>
      <c r="I129" s="35"/>
      <c r="J129" s="34">
        <v>29007151</v>
      </c>
      <c r="K129" s="34" t="s">
        <v>257</v>
      </c>
      <c r="L129" s="34" t="str">
        <f>_xlfn.XLOOKUP(Tabla2__2[[#This Row],[CODIGO RUTA]],'DATA INFORME'!I:I,'DATA INFORME'!K:K)</f>
        <v>NO</v>
      </c>
      <c r="M129" s="34" t="str">
        <f>IF(Tabla2__2[[#This Row],[MYSTERY EFECTIVO]]="SI",_xlfn.XLOOKUP(Tabla2__2[[#This Row],[PREGUNTA]],ENCUESTA!G:G,ENCUESTA!D:D),"N/A")</f>
        <v>N/A</v>
      </c>
      <c r="N12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9" s="34" t="str">
        <f>_xlfn.XLOOKUP(Tabla2__2[[#This Row],[PREGUNTA]],ENCUESTA!G:G,ENCUESTA!H:H)</f>
        <v>NO</v>
      </c>
      <c r="P129" s="34">
        <f>IF(Tabla2__2[[#This Row],[RTA]]=Tabla2__2[[#This Row],[RTA CORRECTA]],Tabla2__2[[#This Row],[TOTAL PUNTAJE]],0)</f>
        <v>0</v>
      </c>
      <c r="Q129" s="34">
        <f>IF(OR(H129="Dog Chow húmedo",H129="Cat Chow húmedo",H129="Fancy Feast",H129="Felix",H129="Proplan húmedo",H129="One húmedo",H129="Snack Abrazzos",H129="Snak Dentalife",H129="Arenilla Tidy Cat"),N129,0)</f>
        <v>0</v>
      </c>
      <c r="R129" s="34"/>
    </row>
    <row r="130" spans="1:18" x14ac:dyDescent="0.25">
      <c r="A130" s="34" t="s">
        <v>113</v>
      </c>
      <c r="B130" s="34" t="s">
        <v>246</v>
      </c>
      <c r="C130" t="s">
        <v>43</v>
      </c>
      <c r="D130" s="34" t="s">
        <v>247</v>
      </c>
      <c r="E130" s="34">
        <v>129909</v>
      </c>
      <c r="F130" s="34" t="s">
        <v>267</v>
      </c>
      <c r="G130" s="34" t="s">
        <v>93</v>
      </c>
      <c r="H130" s="34" t="s">
        <v>112</v>
      </c>
      <c r="I130" s="35"/>
      <c r="J130" s="34">
        <v>29007151</v>
      </c>
      <c r="K130" s="34" t="s">
        <v>257</v>
      </c>
      <c r="L130" s="34" t="str">
        <f>_xlfn.XLOOKUP(Tabla2__2[[#This Row],[CODIGO RUTA]],'DATA INFORME'!I:I,'DATA INFORME'!K:K)</f>
        <v>NO</v>
      </c>
      <c r="M130" s="34" t="str">
        <f>IF(Tabla2__2[[#This Row],[MYSTERY EFECTIVO]]="SI",_xlfn.XLOOKUP(Tabla2__2[[#This Row],[PREGUNTA]],ENCUESTA!G:G,ENCUESTA!D:D),"N/A")</f>
        <v>N/A</v>
      </c>
      <c r="N13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0" s="34" t="str">
        <f>_xlfn.XLOOKUP(Tabla2__2[[#This Row],[PREGUNTA]],ENCUESTA!G:G,ENCUESTA!H:H)</f>
        <v>SI</v>
      </c>
      <c r="P130" s="34">
        <f>IF(Tabla2__2[[#This Row],[RTA]]=Tabla2__2[[#This Row],[RTA CORRECTA]],Tabla2__2[[#This Row],[TOTAL PUNTAJE]],0)</f>
        <v>0</v>
      </c>
      <c r="Q130" s="34">
        <f>IF(OR(H130="Dog Chow húmedo",H130="Cat Chow húmedo",H130="Fancy Feast",H130="Felix",H130="Proplan húmedo",H130="One húmedo",H130="Snack Abrazzos",H130="Snak Dentalife",H130="Arenilla Tidy Cat"),N130,0)</f>
        <v>0</v>
      </c>
      <c r="R130" s="34"/>
    </row>
    <row r="131" spans="1:18" x14ac:dyDescent="0.25">
      <c r="A131" s="34" t="s">
        <v>113</v>
      </c>
      <c r="B131" s="34" t="s">
        <v>246</v>
      </c>
      <c r="C131" t="s">
        <v>43</v>
      </c>
      <c r="D131" s="34" t="s">
        <v>247</v>
      </c>
      <c r="E131" s="34">
        <v>129909</v>
      </c>
      <c r="F131" s="34" t="s">
        <v>267</v>
      </c>
      <c r="G131" s="34" t="s">
        <v>92</v>
      </c>
      <c r="H131" s="34" t="s">
        <v>112</v>
      </c>
      <c r="I131" s="35"/>
      <c r="J131" s="34">
        <v>29007151</v>
      </c>
      <c r="K131" s="34" t="s">
        <v>257</v>
      </c>
      <c r="L131" s="34" t="str">
        <f>_xlfn.XLOOKUP(Tabla2__2[[#This Row],[CODIGO RUTA]],'DATA INFORME'!I:I,'DATA INFORME'!K:K)</f>
        <v>NO</v>
      </c>
      <c r="M131" s="34" t="str">
        <f>IF(Tabla2__2[[#This Row],[MYSTERY EFECTIVO]]="SI",_xlfn.XLOOKUP(Tabla2__2[[#This Row],[PREGUNTA]],ENCUESTA!G:G,ENCUESTA!D:D),"N/A")</f>
        <v>N/A</v>
      </c>
      <c r="N13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1" s="34" t="str">
        <f>_xlfn.XLOOKUP(Tabla2__2[[#This Row],[PREGUNTA]],ENCUESTA!G:G,ENCUESTA!H:H)</f>
        <v>SI</v>
      </c>
      <c r="P131" s="34">
        <f>IF(Tabla2__2[[#This Row],[RTA]]=Tabla2__2[[#This Row],[RTA CORRECTA]],Tabla2__2[[#This Row],[TOTAL PUNTAJE]],0)</f>
        <v>0</v>
      </c>
      <c r="Q131" s="34">
        <f>IF(OR(H131="Dog Chow húmedo",H131="Cat Chow húmedo",H131="Fancy Feast",H131="Felix",H131="Proplan húmedo",H131="One húmedo",H131="Snack Abrazzos",H131="Snak Dentalife",H131="Arenilla Tidy Cat"),N131,0)</f>
        <v>0</v>
      </c>
      <c r="R131" s="34"/>
    </row>
    <row r="132" spans="1:18" x14ac:dyDescent="0.25">
      <c r="A132" s="34" t="s">
        <v>113</v>
      </c>
      <c r="B132" s="34" t="s">
        <v>246</v>
      </c>
      <c r="C132" t="s">
        <v>43</v>
      </c>
      <c r="D132" s="34" t="s">
        <v>247</v>
      </c>
      <c r="E132" s="34">
        <v>129909</v>
      </c>
      <c r="F132" s="34" t="s">
        <v>267</v>
      </c>
      <c r="G132" s="34" t="s">
        <v>91</v>
      </c>
      <c r="H132" s="34" t="s">
        <v>112</v>
      </c>
      <c r="I132" s="35"/>
      <c r="J132" s="34">
        <v>29007151</v>
      </c>
      <c r="K132" s="34" t="s">
        <v>257</v>
      </c>
      <c r="L132" s="34" t="str">
        <f>_xlfn.XLOOKUP(Tabla2__2[[#This Row],[CODIGO RUTA]],'DATA INFORME'!I:I,'DATA INFORME'!K:K)</f>
        <v>NO</v>
      </c>
      <c r="M132" s="34" t="str">
        <f>IF(Tabla2__2[[#This Row],[MYSTERY EFECTIVO]]="SI",_xlfn.XLOOKUP(Tabla2__2[[#This Row],[PREGUNTA]],ENCUESTA!G:G,ENCUESTA!D:D),"N/A")</f>
        <v>N/A</v>
      </c>
      <c r="N13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2" s="34" t="str">
        <f>_xlfn.XLOOKUP(Tabla2__2[[#This Row],[PREGUNTA]],ENCUESTA!G:G,ENCUESTA!H:H)</f>
        <v>NO</v>
      </c>
      <c r="P132" s="34">
        <f>IF(Tabla2__2[[#This Row],[RTA]]=Tabla2__2[[#This Row],[RTA CORRECTA]],Tabla2__2[[#This Row],[TOTAL PUNTAJE]],0)</f>
        <v>0</v>
      </c>
      <c r="Q132" s="34">
        <f>IF(OR(H132="Dog Chow húmedo",H132="Cat Chow húmedo",H132="Fancy Feast",H132="Felix",H132="Proplan húmedo",H132="One húmedo",H132="Snack Abrazzos",H132="Snak Dentalife",H132="Arenilla Tidy Cat"),N132,0)</f>
        <v>0</v>
      </c>
      <c r="R132" s="34"/>
    </row>
    <row r="133" spans="1:18" x14ac:dyDescent="0.25">
      <c r="A133" s="34" t="s">
        <v>113</v>
      </c>
      <c r="B133" s="34" t="s">
        <v>246</v>
      </c>
      <c r="C133" t="s">
        <v>43</v>
      </c>
      <c r="D133" s="34" t="s">
        <v>247</v>
      </c>
      <c r="E133" s="34">
        <v>129909</v>
      </c>
      <c r="F133" s="34" t="s">
        <v>267</v>
      </c>
      <c r="G133" s="34" t="s">
        <v>35</v>
      </c>
      <c r="H133" s="34" t="s">
        <v>112</v>
      </c>
      <c r="I133" s="35"/>
      <c r="J133" s="34">
        <v>29007151</v>
      </c>
      <c r="K133" s="34" t="s">
        <v>257</v>
      </c>
      <c r="L133" s="34" t="str">
        <f>_xlfn.XLOOKUP(Tabla2__2[[#This Row],[CODIGO RUTA]],'DATA INFORME'!I:I,'DATA INFORME'!K:K)</f>
        <v>NO</v>
      </c>
      <c r="M133" s="34" t="str">
        <f>IF(Tabla2__2[[#This Row],[MYSTERY EFECTIVO]]="SI",_xlfn.XLOOKUP(Tabla2__2[[#This Row],[PREGUNTA]],ENCUESTA!G:G,ENCUESTA!D:D),"N/A")</f>
        <v>N/A</v>
      </c>
      <c r="N13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3" s="34" t="str">
        <f>_xlfn.XLOOKUP(Tabla2__2[[#This Row],[PREGUNTA]],ENCUESTA!G:G,ENCUESTA!H:H)</f>
        <v>SI</v>
      </c>
      <c r="P133" s="34">
        <f>IF(Tabla2__2[[#This Row],[RTA]]=Tabla2__2[[#This Row],[RTA CORRECTA]],Tabla2__2[[#This Row],[TOTAL PUNTAJE]],0)</f>
        <v>0</v>
      </c>
      <c r="Q133" s="34">
        <f>IF(OR(H133="Dog Chow húmedo",H133="Cat Chow húmedo",H133="Fancy Feast",H133="Felix",H133="Proplan húmedo",H133="One húmedo",H133="Snack Abrazzos",H133="Snak Dentalife",H133="Arenilla Tidy Cat"),N133,0)</f>
        <v>0</v>
      </c>
      <c r="R133" s="34"/>
    </row>
    <row r="134" spans="1:18" x14ac:dyDescent="0.25">
      <c r="A134" s="34" t="s">
        <v>113</v>
      </c>
      <c r="B134" s="34" t="s">
        <v>246</v>
      </c>
      <c r="C134" t="s">
        <v>43</v>
      </c>
      <c r="D134" s="34" t="s">
        <v>247</v>
      </c>
      <c r="E134" s="34">
        <v>129909</v>
      </c>
      <c r="F134" s="34" t="s">
        <v>267</v>
      </c>
      <c r="G134" s="34" t="s">
        <v>90</v>
      </c>
      <c r="H134" s="34" t="s">
        <v>112</v>
      </c>
      <c r="I134" s="35"/>
      <c r="J134" s="34">
        <v>29007151</v>
      </c>
      <c r="K134" s="34" t="s">
        <v>257</v>
      </c>
      <c r="L134" s="34" t="str">
        <f>_xlfn.XLOOKUP(Tabla2__2[[#This Row],[CODIGO RUTA]],'DATA INFORME'!I:I,'DATA INFORME'!K:K)</f>
        <v>NO</v>
      </c>
      <c r="M134" s="34" t="str">
        <f>IF(Tabla2__2[[#This Row],[MYSTERY EFECTIVO]]="SI",_xlfn.XLOOKUP(Tabla2__2[[#This Row],[PREGUNTA]],ENCUESTA!G:G,ENCUESTA!D:D),"N/A")</f>
        <v>N/A</v>
      </c>
      <c r="N13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4" s="34" t="str">
        <f>_xlfn.XLOOKUP(Tabla2__2[[#This Row],[PREGUNTA]],ENCUESTA!G:G,ENCUESTA!H:H)</f>
        <v>SI</v>
      </c>
      <c r="P134" s="34">
        <f>IF(Tabla2__2[[#This Row],[RTA]]=Tabla2__2[[#This Row],[RTA CORRECTA]],Tabla2__2[[#This Row],[TOTAL PUNTAJE]],0)</f>
        <v>0</v>
      </c>
      <c r="Q134" s="34">
        <f>IF(OR(H134="Dog Chow húmedo",H134="Cat Chow húmedo",H134="Fancy Feast",H134="Felix",H134="Proplan húmedo",H134="One húmedo",H134="Snack Abrazzos",H134="Snak Dentalife",H134="Arenilla Tidy Cat"),N134,0)</f>
        <v>0</v>
      </c>
      <c r="R134" s="34"/>
    </row>
    <row r="135" spans="1:18" x14ac:dyDescent="0.25">
      <c r="A135" s="34" t="s">
        <v>113</v>
      </c>
      <c r="B135" s="34" t="s">
        <v>246</v>
      </c>
      <c r="C135" t="s">
        <v>43</v>
      </c>
      <c r="D135" s="34" t="s">
        <v>247</v>
      </c>
      <c r="E135" s="34">
        <v>129909</v>
      </c>
      <c r="F135" s="34" t="s">
        <v>267</v>
      </c>
      <c r="G135" s="34" t="s">
        <v>89</v>
      </c>
      <c r="H135" s="34" t="s">
        <v>112</v>
      </c>
      <c r="I135" s="35"/>
      <c r="J135" s="34">
        <v>29007151</v>
      </c>
      <c r="K135" s="34" t="s">
        <v>257</v>
      </c>
      <c r="L135" s="34" t="str">
        <f>_xlfn.XLOOKUP(Tabla2__2[[#This Row],[CODIGO RUTA]],'DATA INFORME'!I:I,'DATA INFORME'!K:K)</f>
        <v>NO</v>
      </c>
      <c r="M135" s="34" t="str">
        <f>IF(Tabla2__2[[#This Row],[MYSTERY EFECTIVO]]="SI",_xlfn.XLOOKUP(Tabla2__2[[#This Row],[PREGUNTA]],ENCUESTA!G:G,ENCUESTA!D:D),"N/A")</f>
        <v>N/A</v>
      </c>
      <c r="N13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5" s="34" t="str">
        <f>_xlfn.XLOOKUP(Tabla2__2[[#This Row],[PREGUNTA]],ENCUESTA!G:G,ENCUESTA!H:H)</f>
        <v>SI</v>
      </c>
      <c r="P135" s="34">
        <f>IF(Tabla2__2[[#This Row],[RTA]]=Tabla2__2[[#This Row],[RTA CORRECTA]],Tabla2__2[[#This Row],[TOTAL PUNTAJE]],0)</f>
        <v>0</v>
      </c>
      <c r="Q135" s="34">
        <f>IF(OR(H135="Dog Chow húmedo",H135="Cat Chow húmedo",H135="Fancy Feast",H135="Felix",H135="Proplan húmedo",H135="One húmedo",H135="Snack Abrazzos",H135="Snak Dentalife",H135="Arenilla Tidy Cat"),N135,0)</f>
        <v>0</v>
      </c>
      <c r="R135" s="34"/>
    </row>
    <row r="136" spans="1:18" x14ac:dyDescent="0.25">
      <c r="A136" s="34" t="s">
        <v>113</v>
      </c>
      <c r="B136" s="34" t="s">
        <v>246</v>
      </c>
      <c r="C136" t="s">
        <v>43</v>
      </c>
      <c r="D136" s="34" t="s">
        <v>247</v>
      </c>
      <c r="E136" s="34">
        <v>129909</v>
      </c>
      <c r="F136" s="34" t="s">
        <v>267</v>
      </c>
      <c r="G136" s="34" t="s">
        <v>88</v>
      </c>
      <c r="H136" s="34" t="s">
        <v>112</v>
      </c>
      <c r="I136" s="35"/>
      <c r="J136" s="34">
        <v>29007151</v>
      </c>
      <c r="K136" s="34" t="s">
        <v>257</v>
      </c>
      <c r="L136" s="34" t="str">
        <f>_xlfn.XLOOKUP(Tabla2__2[[#This Row],[CODIGO RUTA]],'DATA INFORME'!I:I,'DATA INFORME'!K:K)</f>
        <v>NO</v>
      </c>
      <c r="M136" s="34" t="str">
        <f>IF(Tabla2__2[[#This Row],[MYSTERY EFECTIVO]]="SI",_xlfn.XLOOKUP(Tabla2__2[[#This Row],[PREGUNTA]],ENCUESTA!G:G,ENCUESTA!D:D),"N/A")</f>
        <v>N/A</v>
      </c>
      <c r="N13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6" s="34" t="str">
        <f>_xlfn.XLOOKUP(Tabla2__2[[#This Row],[PREGUNTA]],ENCUESTA!G:G,ENCUESTA!H:H)</f>
        <v>SI</v>
      </c>
      <c r="P136" s="34">
        <f>IF(Tabla2__2[[#This Row],[RTA]]=Tabla2__2[[#This Row],[RTA CORRECTA]],Tabla2__2[[#This Row],[TOTAL PUNTAJE]],0)</f>
        <v>0</v>
      </c>
      <c r="Q136" s="34">
        <f>IF(OR(H136="Dog Chow húmedo",H136="Cat Chow húmedo",H136="Fancy Feast",H136="Felix",H136="Proplan húmedo",H136="One húmedo",H136="Snack Abrazzos",H136="Snak Dentalife",H136="Arenilla Tidy Cat"),N136,0)</f>
        <v>0</v>
      </c>
      <c r="R136" s="34"/>
    </row>
    <row r="137" spans="1:18" x14ac:dyDescent="0.25">
      <c r="A137" s="34" t="s">
        <v>113</v>
      </c>
      <c r="B137" s="34" t="s">
        <v>246</v>
      </c>
      <c r="C137" t="s">
        <v>43</v>
      </c>
      <c r="D137" s="34" t="s">
        <v>247</v>
      </c>
      <c r="E137" s="34">
        <v>129909</v>
      </c>
      <c r="F137" s="34" t="s">
        <v>267</v>
      </c>
      <c r="G137" s="34" t="s">
        <v>87</v>
      </c>
      <c r="H137" s="34" t="s">
        <v>112</v>
      </c>
      <c r="I137" s="35"/>
      <c r="J137" s="34">
        <v>29007151</v>
      </c>
      <c r="K137" s="34" t="s">
        <v>257</v>
      </c>
      <c r="L137" s="34" t="str">
        <f>_xlfn.XLOOKUP(Tabla2__2[[#This Row],[CODIGO RUTA]],'DATA INFORME'!I:I,'DATA INFORME'!K:K)</f>
        <v>NO</v>
      </c>
      <c r="M137" s="34" t="str">
        <f>IF(Tabla2__2[[#This Row],[MYSTERY EFECTIVO]]="SI",_xlfn.XLOOKUP(Tabla2__2[[#This Row],[PREGUNTA]],ENCUESTA!G:G,ENCUESTA!D:D),"N/A")</f>
        <v>N/A</v>
      </c>
      <c r="N13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7" s="34">
        <f>_xlfn.XLOOKUP(Tabla2__2[[#This Row],[PREGUNTA]],ENCUESTA!G:G,ENCUESTA!H:H)</f>
        <v>0</v>
      </c>
      <c r="P137" s="34">
        <f>IF(Tabla2__2[[#This Row],[RTA]]=Tabla2__2[[#This Row],[RTA CORRECTA]],Tabla2__2[[#This Row],[TOTAL PUNTAJE]],0)</f>
        <v>0</v>
      </c>
      <c r="Q137" s="34">
        <f>IF(OR(H137="Dog Chow húmedo",H137="Cat Chow húmedo",H137="Fancy Feast",H137="Felix",H137="Proplan húmedo",H137="One húmedo",H137="Snack Abrazzos",H137="Snak Dentalife",H137="Arenilla Tidy Cat"),N137,0)</f>
        <v>0</v>
      </c>
      <c r="R137" s="34"/>
    </row>
    <row r="138" spans="1:18" x14ac:dyDescent="0.25">
      <c r="A138" s="34" t="s">
        <v>113</v>
      </c>
      <c r="B138" s="34" t="s">
        <v>119</v>
      </c>
      <c r="C138" t="s">
        <v>43</v>
      </c>
      <c r="D138" s="34" t="s">
        <v>122</v>
      </c>
      <c r="E138" s="34">
        <v>66554</v>
      </c>
      <c r="F138" s="34" t="s">
        <v>260</v>
      </c>
      <c r="G138" s="34" t="s">
        <v>107</v>
      </c>
      <c r="H138" s="34" t="s">
        <v>265</v>
      </c>
      <c r="I138" s="35"/>
      <c r="J138" s="34">
        <v>28991102</v>
      </c>
      <c r="K138" s="34" t="s">
        <v>121</v>
      </c>
      <c r="L138" s="34" t="str">
        <f>_xlfn.XLOOKUP(Tabla2__2[[#This Row],[CODIGO RUTA]],'DATA INFORME'!I:I,'DATA INFORME'!K:K)</f>
        <v>NO</v>
      </c>
      <c r="M138" s="34" t="str">
        <f>IF(Tabla2__2[[#This Row],[MYSTERY EFECTIVO]]="SI",_xlfn.XLOOKUP(Tabla2__2[[#This Row],[PREGUNTA]],ENCUESTA!G:G,ENCUESTA!D:D),"N/A")</f>
        <v>N/A</v>
      </c>
      <c r="N13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8" s="34">
        <f>_xlfn.XLOOKUP(Tabla2__2[[#This Row],[PREGUNTA]],ENCUESTA!G:G,ENCUESTA!H:H)</f>
        <v>0</v>
      </c>
      <c r="P138" s="34">
        <f>IF(Tabla2__2[[#This Row],[RTA]]=Tabla2__2[[#This Row],[RTA CORRECTA]],Tabla2__2[[#This Row],[TOTAL PUNTAJE]],0)</f>
        <v>0</v>
      </c>
      <c r="Q138" s="34">
        <f>IF(OR(H138="Dog Chow húmedo",H138="Cat Chow húmedo",H138="Fancy Feast",H138="Felix",H138="Proplan húmedo",H138="One húmedo",H138="Snack Abrazzos",H138="Snak Dentalife",H138="Arenilla Tidy Cat"),N138,0)</f>
        <v>0</v>
      </c>
      <c r="R138" s="34"/>
    </row>
    <row r="139" spans="1:18" x14ac:dyDescent="0.25">
      <c r="A139" s="34" t="s">
        <v>113</v>
      </c>
      <c r="B139" s="34" t="s">
        <v>119</v>
      </c>
      <c r="C139" t="s">
        <v>43</v>
      </c>
      <c r="D139" s="34" t="s">
        <v>122</v>
      </c>
      <c r="E139" s="34">
        <v>66554</v>
      </c>
      <c r="F139" s="34" t="s">
        <v>260</v>
      </c>
      <c r="G139" s="34" t="s">
        <v>106</v>
      </c>
      <c r="H139" s="34" t="s">
        <v>20</v>
      </c>
      <c r="I139" s="35"/>
      <c r="J139" s="34">
        <v>28991102</v>
      </c>
      <c r="K139" s="34" t="s">
        <v>121</v>
      </c>
      <c r="L139" s="34" t="str">
        <f>_xlfn.XLOOKUP(Tabla2__2[[#This Row],[CODIGO RUTA]],'DATA INFORME'!I:I,'DATA INFORME'!K:K)</f>
        <v>NO</v>
      </c>
      <c r="M139" s="34" t="str">
        <f>IF(Tabla2__2[[#This Row],[MYSTERY EFECTIVO]]="SI",_xlfn.XLOOKUP(Tabla2__2[[#This Row],[PREGUNTA]],ENCUESTA!G:G,ENCUESTA!D:D),"N/A")</f>
        <v>N/A</v>
      </c>
      <c r="N13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9" s="34">
        <f>_xlfn.XLOOKUP(Tabla2__2[[#This Row],[PREGUNTA]],ENCUESTA!G:G,ENCUESTA!H:H)</f>
        <v>0</v>
      </c>
      <c r="P139" s="34">
        <f>IF(Tabla2__2[[#This Row],[RTA]]=Tabla2__2[[#This Row],[RTA CORRECTA]],Tabla2__2[[#This Row],[TOTAL PUNTAJE]],0)</f>
        <v>0</v>
      </c>
      <c r="Q139" s="34">
        <f>IF(OR(H139="Dog Chow húmedo",H139="Cat Chow húmedo",H139="Fancy Feast",H139="Felix",H139="Proplan húmedo",H139="One húmedo",H139="Snack Abrazzos",H139="Snak Dentalife",H139="Arenilla Tidy Cat"),N139,0)</f>
        <v>0</v>
      </c>
      <c r="R139" s="34"/>
    </row>
    <row r="140" spans="1:18" x14ac:dyDescent="0.25">
      <c r="A140" s="34" t="s">
        <v>113</v>
      </c>
      <c r="B140" s="34" t="s">
        <v>119</v>
      </c>
      <c r="C140" t="s">
        <v>43</v>
      </c>
      <c r="D140" s="34" t="s">
        <v>122</v>
      </c>
      <c r="E140" s="34">
        <v>66554</v>
      </c>
      <c r="F140" s="34" t="s">
        <v>260</v>
      </c>
      <c r="G140" s="34" t="s">
        <v>130</v>
      </c>
      <c r="H140" s="34" t="s">
        <v>112</v>
      </c>
      <c r="I140" s="35"/>
      <c r="J140" s="34">
        <v>28991102</v>
      </c>
      <c r="K140" s="34" t="s">
        <v>121</v>
      </c>
      <c r="L140" s="34" t="str">
        <f>_xlfn.XLOOKUP(Tabla2__2[[#This Row],[CODIGO RUTA]],'DATA INFORME'!I:I,'DATA INFORME'!K:K)</f>
        <v>NO</v>
      </c>
      <c r="M140" s="34" t="str">
        <f>IF(Tabla2__2[[#This Row],[MYSTERY EFECTIVO]]="SI",_xlfn.XLOOKUP(Tabla2__2[[#This Row],[PREGUNTA]],ENCUESTA!G:G,ENCUESTA!D:D),"N/A")</f>
        <v>N/A</v>
      </c>
      <c r="N14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0" s="34" t="str">
        <f>_xlfn.XLOOKUP(Tabla2__2[[#This Row],[PREGUNTA]],ENCUESTA!G:G,ENCUESTA!H:H)</f>
        <v>SI</v>
      </c>
      <c r="P140" s="34">
        <f>IF(Tabla2__2[[#This Row],[RTA]]=Tabla2__2[[#This Row],[RTA CORRECTA]],Tabla2__2[[#This Row],[TOTAL PUNTAJE]],0)</f>
        <v>0</v>
      </c>
      <c r="Q140" s="34">
        <f>IF(OR(H140="Dog Chow húmedo",H140="Cat Chow húmedo",H140="Fancy Feast",H140="Felix",H140="Proplan húmedo",H140="One húmedo",H140="Snack Abrazzos",H140="Snak Dentalife",H140="Arenilla Tidy Cat"),N140,0)</f>
        <v>0</v>
      </c>
      <c r="R140" s="34"/>
    </row>
    <row r="141" spans="1:18" x14ac:dyDescent="0.25">
      <c r="A141" s="34" t="s">
        <v>113</v>
      </c>
      <c r="B141" s="34" t="s">
        <v>119</v>
      </c>
      <c r="C141" t="s">
        <v>43</v>
      </c>
      <c r="D141" s="34" t="s">
        <v>122</v>
      </c>
      <c r="E141" s="34">
        <v>66554</v>
      </c>
      <c r="F141" s="34" t="s">
        <v>260</v>
      </c>
      <c r="G141" s="34" t="s">
        <v>105</v>
      </c>
      <c r="H141" s="34" t="s">
        <v>117</v>
      </c>
      <c r="I141" s="35"/>
      <c r="J141" s="34">
        <v>28991102</v>
      </c>
      <c r="K141" s="34" t="s">
        <v>121</v>
      </c>
      <c r="L141" s="34" t="str">
        <f>_xlfn.XLOOKUP(Tabla2__2[[#This Row],[CODIGO RUTA]],'DATA INFORME'!I:I,'DATA INFORME'!K:K)</f>
        <v>NO</v>
      </c>
      <c r="M141" s="34" t="str">
        <f>IF(Tabla2__2[[#This Row],[MYSTERY EFECTIVO]]="SI",_xlfn.XLOOKUP(Tabla2__2[[#This Row],[PREGUNTA]],ENCUESTA!G:G,ENCUESTA!D:D),"N/A")</f>
        <v>N/A</v>
      </c>
      <c r="N14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1" s="34">
        <f>_xlfn.XLOOKUP(Tabla2__2[[#This Row],[PREGUNTA]],ENCUESTA!G:G,ENCUESTA!H:H)</f>
        <v>0</v>
      </c>
      <c r="P141" s="34">
        <f>IF(Tabla2__2[[#This Row],[RTA]]=Tabla2__2[[#This Row],[RTA CORRECTA]],Tabla2__2[[#This Row],[TOTAL PUNTAJE]],0)</f>
        <v>0</v>
      </c>
      <c r="Q141" s="34">
        <f>IF(OR(H141="Dog Chow húmedo",H141="Cat Chow húmedo",H141="Fancy Feast",H141="Felix",H141="Proplan húmedo",H141="One húmedo",H141="Snack Abrazzos",H141="Snak Dentalife",H141="Arenilla Tidy Cat"),N141,0)</f>
        <v>0</v>
      </c>
      <c r="R141" s="34"/>
    </row>
    <row r="142" spans="1:18" x14ac:dyDescent="0.25">
      <c r="A142" s="34" t="s">
        <v>113</v>
      </c>
      <c r="B142" s="34" t="s">
        <v>119</v>
      </c>
      <c r="C142" t="s">
        <v>43</v>
      </c>
      <c r="D142" s="34" t="s">
        <v>122</v>
      </c>
      <c r="E142" s="34">
        <v>66554</v>
      </c>
      <c r="F142" s="34" t="s">
        <v>260</v>
      </c>
      <c r="G142" s="34" t="s">
        <v>125</v>
      </c>
      <c r="H142" s="34" t="s">
        <v>112</v>
      </c>
      <c r="I142" s="35"/>
      <c r="J142" s="34">
        <v>28991102</v>
      </c>
      <c r="K142" s="34" t="s">
        <v>121</v>
      </c>
      <c r="L142" s="34" t="str">
        <f>_xlfn.XLOOKUP(Tabla2__2[[#This Row],[CODIGO RUTA]],'DATA INFORME'!I:I,'DATA INFORME'!K:K)</f>
        <v>NO</v>
      </c>
      <c r="M142" s="34" t="str">
        <f>IF(Tabla2__2[[#This Row],[MYSTERY EFECTIVO]]="SI",_xlfn.XLOOKUP(Tabla2__2[[#This Row],[PREGUNTA]],ENCUESTA!G:G,ENCUESTA!D:D),"N/A")</f>
        <v>N/A</v>
      </c>
      <c r="N14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2" s="34" t="str">
        <f>_xlfn.XLOOKUP(Tabla2__2[[#This Row],[PREGUNTA]],ENCUESTA!G:G,ENCUESTA!H:H)</f>
        <v>SI</v>
      </c>
      <c r="P142" s="34">
        <f>IF(Tabla2__2[[#This Row],[RTA]]=Tabla2__2[[#This Row],[RTA CORRECTA]],Tabla2__2[[#This Row],[TOTAL PUNTAJE]],0)</f>
        <v>0</v>
      </c>
      <c r="Q142" s="34">
        <f>IF(OR(H142="Dog Chow húmedo",H142="Cat Chow húmedo",H142="Fancy Feast",H142="Felix",H142="Proplan húmedo",H142="One húmedo",H142="Snack Abrazzos",H142="Snak Dentalife",H142="Arenilla Tidy Cat"),N142,0)</f>
        <v>0</v>
      </c>
      <c r="R142" s="34"/>
    </row>
    <row r="143" spans="1:18" x14ac:dyDescent="0.25">
      <c r="A143" s="34" t="s">
        <v>113</v>
      </c>
      <c r="B143" s="34" t="s">
        <v>119</v>
      </c>
      <c r="C143" t="s">
        <v>43</v>
      </c>
      <c r="D143" s="34" t="s">
        <v>122</v>
      </c>
      <c r="E143" s="34">
        <v>66554</v>
      </c>
      <c r="F143" s="34" t="s">
        <v>260</v>
      </c>
      <c r="G143" s="34" t="s">
        <v>104</v>
      </c>
      <c r="H143" s="34" t="s">
        <v>112</v>
      </c>
      <c r="I143" s="35"/>
      <c r="J143" s="34">
        <v>28991102</v>
      </c>
      <c r="K143" s="34" t="s">
        <v>121</v>
      </c>
      <c r="L143" s="34" t="str">
        <f>_xlfn.XLOOKUP(Tabla2__2[[#This Row],[CODIGO RUTA]],'DATA INFORME'!I:I,'DATA INFORME'!K:K)</f>
        <v>NO</v>
      </c>
      <c r="M143" s="34" t="str">
        <f>IF(Tabla2__2[[#This Row],[MYSTERY EFECTIVO]]="SI",_xlfn.XLOOKUP(Tabla2__2[[#This Row],[PREGUNTA]],ENCUESTA!G:G,ENCUESTA!D:D),"N/A")</f>
        <v>N/A</v>
      </c>
      <c r="N14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3" s="34" t="str">
        <f>_xlfn.XLOOKUP(Tabla2__2[[#This Row],[PREGUNTA]],ENCUESTA!G:G,ENCUESTA!H:H)</f>
        <v>SI</v>
      </c>
      <c r="P143" s="34">
        <f>IF(Tabla2__2[[#This Row],[RTA]]=Tabla2__2[[#This Row],[RTA CORRECTA]],Tabla2__2[[#This Row],[TOTAL PUNTAJE]],0)</f>
        <v>0</v>
      </c>
      <c r="Q143" s="34">
        <f>IF(OR(H143="Dog Chow húmedo",H143="Cat Chow húmedo",H143="Fancy Feast",H143="Felix",H143="Proplan húmedo",H143="One húmedo",H143="Snack Abrazzos",H143="Snak Dentalife",H143="Arenilla Tidy Cat"),N143,0)</f>
        <v>0</v>
      </c>
      <c r="R143" s="34"/>
    </row>
    <row r="144" spans="1:18" x14ac:dyDescent="0.25">
      <c r="A144" s="34" t="s">
        <v>113</v>
      </c>
      <c r="B144" s="34" t="s">
        <v>135</v>
      </c>
      <c r="C144" t="s">
        <v>14</v>
      </c>
      <c r="D144" s="34" t="s">
        <v>136</v>
      </c>
      <c r="E144" s="34">
        <v>191457</v>
      </c>
      <c r="F144" s="34" t="s">
        <v>210</v>
      </c>
      <c r="G144" s="34" t="s">
        <v>88</v>
      </c>
      <c r="H144" s="34" t="s">
        <v>20</v>
      </c>
      <c r="I144" s="35"/>
      <c r="J144" s="34">
        <v>28968760</v>
      </c>
      <c r="K144" s="34" t="s">
        <v>139</v>
      </c>
      <c r="L144" s="34" t="str">
        <f>_xlfn.XLOOKUP(Tabla2__2[[#This Row],[CODIGO RUTA]],'DATA INFORME'!I:I,'DATA INFORME'!K:K)</f>
        <v>SI</v>
      </c>
      <c r="M144" s="34" t="str">
        <f>IF(Tabla2__2[[#This Row],[MYSTERY EFECTIVO]]="SI",_xlfn.XLOOKUP(Tabla2__2[[#This Row],[PREGUNTA]],ENCUESTA!G:G,ENCUESTA!D:D),"N/A")</f>
        <v>HORARIO</v>
      </c>
      <c r="N14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44" s="34" t="str">
        <f>_xlfn.XLOOKUP(Tabla2__2[[#This Row],[PREGUNTA]],ENCUESTA!G:G,ENCUESTA!H:H)</f>
        <v>SI</v>
      </c>
      <c r="P144" s="34">
        <f>IF(Tabla2__2[[#This Row],[RTA]]=Tabla2__2[[#This Row],[RTA CORRECTA]],Tabla2__2[[#This Row],[TOTAL PUNTAJE]],0)</f>
        <v>20</v>
      </c>
      <c r="Q144" s="34">
        <f>IF(OR(H144="Dog Chow húmedo",H144="Cat Chow húmedo",H144="Fancy Feast",H144="Felix",H144="Proplan húmedo",H144="One húmedo",H144="Snack Abrazzos",H144="Snak Dentalife",H144="Arenilla Tidy Cat"),N144,0)</f>
        <v>0</v>
      </c>
      <c r="R144" s="34"/>
    </row>
    <row r="145" spans="1:18" x14ac:dyDescent="0.25">
      <c r="A145" s="34" t="s">
        <v>113</v>
      </c>
      <c r="B145" s="34" t="s">
        <v>135</v>
      </c>
      <c r="C145" t="s">
        <v>14</v>
      </c>
      <c r="D145" s="34" t="s">
        <v>136</v>
      </c>
      <c r="E145" s="34">
        <v>191457</v>
      </c>
      <c r="F145" s="34" t="s">
        <v>210</v>
      </c>
      <c r="G145" s="34" t="s">
        <v>87</v>
      </c>
      <c r="H145" s="34" t="s">
        <v>20</v>
      </c>
      <c r="I145" s="35"/>
      <c r="J145" s="34">
        <v>28968760</v>
      </c>
      <c r="K145" s="34" t="s">
        <v>139</v>
      </c>
      <c r="L145" s="34" t="str">
        <f>_xlfn.XLOOKUP(Tabla2__2[[#This Row],[CODIGO RUTA]],'DATA INFORME'!I:I,'DATA INFORME'!K:K)</f>
        <v>SI</v>
      </c>
      <c r="M145" s="34" t="str">
        <f>IF(Tabla2__2[[#This Row],[MYSTERY EFECTIVO]]="SI",_xlfn.XLOOKUP(Tabla2__2[[#This Row],[PREGUNTA]],ENCUESTA!G:G,ENCUESTA!D:D),"N/A")</f>
        <v>N/A</v>
      </c>
      <c r="N14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5" s="34">
        <f>_xlfn.XLOOKUP(Tabla2__2[[#This Row],[PREGUNTA]],ENCUESTA!G:G,ENCUESTA!H:H)</f>
        <v>0</v>
      </c>
      <c r="P145" s="34">
        <f>IF(Tabla2__2[[#This Row],[RTA]]=Tabla2__2[[#This Row],[RTA CORRECTA]],Tabla2__2[[#This Row],[TOTAL PUNTAJE]],0)</f>
        <v>0</v>
      </c>
      <c r="Q145" s="34">
        <f>IF(OR(H145="Dog Chow húmedo",H145="Cat Chow húmedo",H145="Fancy Feast",H145="Felix",H145="Proplan húmedo",H145="One húmedo",H145="Snack Abrazzos",H145="Snak Dentalife",H145="Arenilla Tidy Cat"),N145,0)</f>
        <v>0</v>
      </c>
      <c r="R145" s="34"/>
    </row>
    <row r="146" spans="1:18" x14ac:dyDescent="0.25">
      <c r="A146" s="34" t="s">
        <v>113</v>
      </c>
      <c r="B146" s="34" t="s">
        <v>135</v>
      </c>
      <c r="C146" t="s">
        <v>43</v>
      </c>
      <c r="D146" s="34" t="s">
        <v>173</v>
      </c>
      <c r="E146" s="34">
        <v>65453</v>
      </c>
      <c r="F146" s="34" t="s">
        <v>182</v>
      </c>
      <c r="G146" s="34" t="s">
        <v>106</v>
      </c>
      <c r="H146" s="34" t="s">
        <v>112</v>
      </c>
      <c r="I146" s="35"/>
      <c r="J146" s="34">
        <v>28953374</v>
      </c>
      <c r="K146" s="34" t="s">
        <v>139</v>
      </c>
      <c r="L146" s="34" t="str">
        <f>_xlfn.XLOOKUP(Tabla2__2[[#This Row],[CODIGO RUTA]],'DATA INFORME'!I:I,'DATA INFORME'!K:K)</f>
        <v>SI</v>
      </c>
      <c r="M146" s="34" t="str">
        <f>IF(Tabla2__2[[#This Row],[MYSTERY EFECTIVO]]="SI",_xlfn.XLOOKUP(Tabla2__2[[#This Row],[PREGUNTA]],ENCUESTA!G:G,ENCUESTA!D:D),"N/A")</f>
        <v>N/A</v>
      </c>
      <c r="N14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6" s="34">
        <f>_xlfn.XLOOKUP(Tabla2__2[[#This Row],[PREGUNTA]],ENCUESTA!G:G,ENCUESTA!H:H)</f>
        <v>0</v>
      </c>
      <c r="P146" s="34">
        <f>IF(Tabla2__2[[#This Row],[RTA]]=Tabla2__2[[#This Row],[RTA CORRECTA]],Tabla2__2[[#This Row],[TOTAL PUNTAJE]],0)</f>
        <v>0</v>
      </c>
      <c r="Q146" s="34">
        <f>IF(OR(H146="Dog Chow húmedo",H146="Cat Chow húmedo",H146="Fancy Feast",H146="Felix",H146="Proplan húmedo",H146="One húmedo",H146="Snack Abrazzos",H146="Snak Dentalife",H146="Arenilla Tidy Cat"),N146,0)</f>
        <v>0</v>
      </c>
      <c r="R146" s="34"/>
    </row>
    <row r="147" spans="1:18" x14ac:dyDescent="0.25">
      <c r="A147" s="34" t="s">
        <v>113</v>
      </c>
      <c r="B147" s="34" t="s">
        <v>135</v>
      </c>
      <c r="C147" t="s">
        <v>43</v>
      </c>
      <c r="D147" s="34" t="s">
        <v>173</v>
      </c>
      <c r="E147" s="34">
        <v>65453</v>
      </c>
      <c r="F147" s="34" t="s">
        <v>182</v>
      </c>
      <c r="G147" s="34" t="s">
        <v>130</v>
      </c>
      <c r="H147" s="34" t="s">
        <v>20</v>
      </c>
      <c r="I147" s="35"/>
      <c r="J147" s="34">
        <v>28953374</v>
      </c>
      <c r="K147" s="34" t="s">
        <v>139</v>
      </c>
      <c r="L147" s="34" t="str">
        <f>_xlfn.XLOOKUP(Tabla2__2[[#This Row],[CODIGO RUTA]],'DATA INFORME'!I:I,'DATA INFORME'!K:K)</f>
        <v>SI</v>
      </c>
      <c r="M147" s="34" t="str">
        <f>IF(Tabla2__2[[#This Row],[MYSTERY EFECTIVO]]="SI",_xlfn.XLOOKUP(Tabla2__2[[#This Row],[PREGUNTA]],ENCUESTA!G:G,ENCUESTA!D:D),"N/A")</f>
        <v>ACTIVIDADES DEL MES</v>
      </c>
      <c r="N14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40</v>
      </c>
      <c r="O147" s="34" t="str">
        <f>_xlfn.XLOOKUP(Tabla2__2[[#This Row],[PREGUNTA]],ENCUESTA!G:G,ENCUESTA!H:H)</f>
        <v>SI</v>
      </c>
      <c r="P147" s="34">
        <f>IF(Tabla2__2[[#This Row],[RTA]]=Tabla2__2[[#This Row],[RTA CORRECTA]],Tabla2__2[[#This Row],[TOTAL PUNTAJE]],0)</f>
        <v>40</v>
      </c>
      <c r="Q147" s="34">
        <f>IF(OR(H147="Dog Chow húmedo",H147="Cat Chow húmedo",H147="Fancy Feast",H147="Felix",H147="Proplan húmedo",H147="One húmedo",H147="Snack Abrazzos",H147="Snak Dentalife",H147="Arenilla Tidy Cat"),N147,0)</f>
        <v>0</v>
      </c>
      <c r="R147" s="34"/>
    </row>
    <row r="148" spans="1:18" x14ac:dyDescent="0.25">
      <c r="A148" s="34" t="s">
        <v>113</v>
      </c>
      <c r="B148" s="34" t="s">
        <v>8</v>
      </c>
      <c r="C148" t="s">
        <v>15</v>
      </c>
      <c r="D148" s="34" t="s">
        <v>132</v>
      </c>
      <c r="E148" s="34">
        <v>382375</v>
      </c>
      <c r="F148" s="34" t="s">
        <v>158</v>
      </c>
      <c r="G148" s="34" t="s">
        <v>88</v>
      </c>
      <c r="H148" s="34" t="s">
        <v>20</v>
      </c>
      <c r="I148" s="35"/>
      <c r="J148" s="34">
        <v>28907521</v>
      </c>
      <c r="K148" s="34" t="s">
        <v>164</v>
      </c>
      <c r="L148" s="34" t="str">
        <f>_xlfn.XLOOKUP(Tabla2__2[[#This Row],[CODIGO RUTA]],'DATA INFORME'!I:I,'DATA INFORME'!K:K)</f>
        <v>SI</v>
      </c>
      <c r="M148" s="34" t="str">
        <f>IF(Tabla2__2[[#This Row],[MYSTERY EFECTIVO]]="SI",_xlfn.XLOOKUP(Tabla2__2[[#This Row],[PREGUNTA]],ENCUESTA!G:G,ENCUESTA!D:D),"N/A")</f>
        <v>HORARIO</v>
      </c>
      <c r="N14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48" s="34" t="str">
        <f>_xlfn.XLOOKUP(Tabla2__2[[#This Row],[PREGUNTA]],ENCUESTA!G:G,ENCUESTA!H:H)</f>
        <v>SI</v>
      </c>
      <c r="P148" s="34">
        <f>IF(Tabla2__2[[#This Row],[RTA]]=Tabla2__2[[#This Row],[RTA CORRECTA]],Tabla2__2[[#This Row],[TOTAL PUNTAJE]],0)</f>
        <v>20</v>
      </c>
      <c r="Q148" s="34">
        <f>IF(OR(H148="Dog Chow húmedo",H148="Cat Chow húmedo",H148="Fancy Feast",H148="Felix",H148="Proplan húmedo",H148="One húmedo",H148="Snack Abrazzos",H148="Snak Dentalife",H148="Arenilla Tidy Cat"),N148,0)</f>
        <v>0</v>
      </c>
      <c r="R148" s="34"/>
    </row>
    <row r="149" spans="1:18" x14ac:dyDescent="0.25">
      <c r="A149" s="34" t="s">
        <v>113</v>
      </c>
      <c r="B149" s="34" t="s">
        <v>8</v>
      </c>
      <c r="C149" t="s">
        <v>15</v>
      </c>
      <c r="D149" s="34" t="s">
        <v>132</v>
      </c>
      <c r="E149" s="34">
        <v>382375</v>
      </c>
      <c r="F149" s="34" t="s">
        <v>158</v>
      </c>
      <c r="G149" s="34" t="s">
        <v>87</v>
      </c>
      <c r="H149" s="34" t="s">
        <v>20</v>
      </c>
      <c r="I149" s="35"/>
      <c r="J149" s="34">
        <v>28907521</v>
      </c>
      <c r="K149" s="34" t="s">
        <v>164</v>
      </c>
      <c r="L149" s="34" t="str">
        <f>_xlfn.XLOOKUP(Tabla2__2[[#This Row],[CODIGO RUTA]],'DATA INFORME'!I:I,'DATA INFORME'!K:K)</f>
        <v>SI</v>
      </c>
      <c r="M149" s="34" t="str">
        <f>IF(Tabla2__2[[#This Row],[MYSTERY EFECTIVO]]="SI",_xlfn.XLOOKUP(Tabla2__2[[#This Row],[PREGUNTA]],ENCUESTA!G:G,ENCUESTA!D:D),"N/A")</f>
        <v>N/A</v>
      </c>
      <c r="N14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9" s="34">
        <f>_xlfn.XLOOKUP(Tabla2__2[[#This Row],[PREGUNTA]],ENCUESTA!G:G,ENCUESTA!H:H)</f>
        <v>0</v>
      </c>
      <c r="P149" s="34">
        <f>IF(Tabla2__2[[#This Row],[RTA]]=Tabla2__2[[#This Row],[RTA CORRECTA]],Tabla2__2[[#This Row],[TOTAL PUNTAJE]],0)</f>
        <v>0</v>
      </c>
      <c r="Q149" s="34">
        <f>IF(OR(H149="Dog Chow húmedo",H149="Cat Chow húmedo",H149="Fancy Feast",H149="Felix",H149="Proplan húmedo",H149="One húmedo",H149="Snack Abrazzos",H149="Snak Dentalife",H149="Arenilla Tidy Cat"),N149,0)</f>
        <v>0</v>
      </c>
      <c r="R149" s="34"/>
    </row>
    <row r="150" spans="1:18" x14ac:dyDescent="0.25">
      <c r="A150" s="34" t="s">
        <v>113</v>
      </c>
      <c r="B150" s="34" t="s">
        <v>8</v>
      </c>
      <c r="C150" t="s">
        <v>43</v>
      </c>
      <c r="D150" s="34" t="s">
        <v>132</v>
      </c>
      <c r="E150" s="34">
        <v>201118</v>
      </c>
      <c r="F150" s="34" t="s">
        <v>151</v>
      </c>
      <c r="G150" s="34" t="s">
        <v>107</v>
      </c>
      <c r="H150" s="34" t="s">
        <v>156</v>
      </c>
      <c r="I150" s="35"/>
      <c r="J150" s="34">
        <v>28904500</v>
      </c>
      <c r="K150" s="34" t="s">
        <v>116</v>
      </c>
      <c r="L150" s="34" t="str">
        <f>_xlfn.XLOOKUP(Tabla2__2[[#This Row],[CODIGO RUTA]],'DATA INFORME'!I:I,'DATA INFORME'!K:K)</f>
        <v>SI</v>
      </c>
      <c r="M150" s="34" t="str">
        <f>IF(Tabla2__2[[#This Row],[MYSTERY EFECTIVO]]="SI",_xlfn.XLOOKUP(Tabla2__2[[#This Row],[PREGUNTA]],ENCUESTA!G:G,ENCUESTA!D:D),"N/A")</f>
        <v>N/A</v>
      </c>
      <c r="N15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0" s="34">
        <f>_xlfn.XLOOKUP(Tabla2__2[[#This Row],[PREGUNTA]],ENCUESTA!G:G,ENCUESTA!H:H)</f>
        <v>0</v>
      </c>
      <c r="P150" s="34">
        <f>IF(Tabla2__2[[#This Row],[RTA]]=Tabla2__2[[#This Row],[RTA CORRECTA]],Tabla2__2[[#This Row],[TOTAL PUNTAJE]],0)</f>
        <v>0</v>
      </c>
      <c r="Q150" s="34">
        <f>IF(OR(H150="Dog Chow húmedo",H150="Cat Chow húmedo",H150="Fancy Feast",H150="Felix",H150="Proplan húmedo",H150="One húmedo",H150="Snack Abrazzos",H150="Snak Dentalife",H150="Arenilla Tidy Cat"),N150,0)</f>
        <v>0</v>
      </c>
      <c r="R150" s="34"/>
    </row>
    <row r="151" spans="1:18" x14ac:dyDescent="0.25">
      <c r="A151" s="34" t="s">
        <v>113</v>
      </c>
      <c r="B151" s="34" t="s">
        <v>8</v>
      </c>
      <c r="C151" t="s">
        <v>43</v>
      </c>
      <c r="D151" s="34" t="s">
        <v>132</v>
      </c>
      <c r="E151" s="34">
        <v>201118</v>
      </c>
      <c r="F151" s="34" t="s">
        <v>151</v>
      </c>
      <c r="G151" s="34" t="s">
        <v>106</v>
      </c>
      <c r="H151" s="34" t="s">
        <v>20</v>
      </c>
      <c r="I151" s="35"/>
      <c r="J151" s="34">
        <v>28904500</v>
      </c>
      <c r="K151" s="34" t="s">
        <v>116</v>
      </c>
      <c r="L151" s="34" t="str">
        <f>_xlfn.XLOOKUP(Tabla2__2[[#This Row],[CODIGO RUTA]],'DATA INFORME'!I:I,'DATA INFORME'!K:K)</f>
        <v>SI</v>
      </c>
      <c r="M151" s="34" t="str">
        <f>IF(Tabla2__2[[#This Row],[MYSTERY EFECTIVO]]="SI",_xlfn.XLOOKUP(Tabla2__2[[#This Row],[PREGUNTA]],ENCUESTA!G:G,ENCUESTA!D:D),"N/A")</f>
        <v>N/A</v>
      </c>
      <c r="N15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1" s="34">
        <f>_xlfn.XLOOKUP(Tabla2__2[[#This Row],[PREGUNTA]],ENCUESTA!G:G,ENCUESTA!H:H)</f>
        <v>0</v>
      </c>
      <c r="P151" s="34">
        <f>IF(Tabla2__2[[#This Row],[RTA]]=Tabla2__2[[#This Row],[RTA CORRECTA]],Tabla2__2[[#This Row],[TOTAL PUNTAJE]],0)</f>
        <v>0</v>
      </c>
      <c r="Q151" s="34">
        <f>IF(OR(H151="Dog Chow húmedo",H151="Cat Chow húmedo",H151="Fancy Feast",H151="Felix",H151="Proplan húmedo",H151="One húmedo",H151="Snack Abrazzos",H151="Snak Dentalife",H151="Arenilla Tidy Cat"),N151,0)</f>
        <v>0</v>
      </c>
      <c r="R151" s="34"/>
    </row>
    <row r="152" spans="1:18" x14ac:dyDescent="0.25">
      <c r="A152" s="34" t="s">
        <v>113</v>
      </c>
      <c r="B152" s="34" t="s">
        <v>8</v>
      </c>
      <c r="C152" t="s">
        <v>43</v>
      </c>
      <c r="D152" s="34" t="s">
        <v>132</v>
      </c>
      <c r="E152" s="34">
        <v>201118</v>
      </c>
      <c r="F152" s="34" t="s">
        <v>151</v>
      </c>
      <c r="G152" s="34" t="s">
        <v>130</v>
      </c>
      <c r="H152" s="34" t="s">
        <v>20</v>
      </c>
      <c r="I152" s="35"/>
      <c r="J152" s="34">
        <v>28904500</v>
      </c>
      <c r="K152" s="34" t="s">
        <v>116</v>
      </c>
      <c r="L152" s="34" t="str">
        <f>_xlfn.XLOOKUP(Tabla2__2[[#This Row],[CODIGO RUTA]],'DATA INFORME'!I:I,'DATA INFORME'!K:K)</f>
        <v>SI</v>
      </c>
      <c r="M152" s="34" t="str">
        <f>IF(Tabla2__2[[#This Row],[MYSTERY EFECTIVO]]="SI",_xlfn.XLOOKUP(Tabla2__2[[#This Row],[PREGUNTA]],ENCUESTA!G:G,ENCUESTA!D:D),"N/A")</f>
        <v>ACTIVIDADES DEL MES</v>
      </c>
      <c r="N15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40</v>
      </c>
      <c r="O152" s="34" t="str">
        <f>_xlfn.XLOOKUP(Tabla2__2[[#This Row],[PREGUNTA]],ENCUESTA!G:G,ENCUESTA!H:H)</f>
        <v>SI</v>
      </c>
      <c r="P152" s="34">
        <f>IF(Tabla2__2[[#This Row],[RTA]]=Tabla2__2[[#This Row],[RTA CORRECTA]],Tabla2__2[[#This Row],[TOTAL PUNTAJE]],0)</f>
        <v>40</v>
      </c>
      <c r="Q152" s="34">
        <f>IF(OR(H152="Dog Chow húmedo",H152="Cat Chow húmedo",H152="Fancy Feast",H152="Felix",H152="Proplan húmedo",H152="One húmedo",H152="Snack Abrazzos",H152="Snak Dentalife",H152="Arenilla Tidy Cat"),N152,0)</f>
        <v>0</v>
      </c>
      <c r="R152" s="34"/>
    </row>
    <row r="153" spans="1:18" x14ac:dyDescent="0.25">
      <c r="A153" s="34" t="s">
        <v>113</v>
      </c>
      <c r="B153" s="34" t="s">
        <v>8</v>
      </c>
      <c r="C153" t="s">
        <v>43</v>
      </c>
      <c r="D153" s="34" t="s">
        <v>132</v>
      </c>
      <c r="E153" s="34">
        <v>201118</v>
      </c>
      <c r="F153" s="34" t="s">
        <v>151</v>
      </c>
      <c r="G153" s="34" t="s">
        <v>105</v>
      </c>
      <c r="H153" s="34" t="s">
        <v>117</v>
      </c>
      <c r="I153" s="35"/>
      <c r="J153" s="34">
        <v>28904500</v>
      </c>
      <c r="K153" s="34" t="s">
        <v>116</v>
      </c>
      <c r="L153" s="34" t="str">
        <f>_xlfn.XLOOKUP(Tabla2__2[[#This Row],[CODIGO RUTA]],'DATA INFORME'!I:I,'DATA INFORME'!K:K)</f>
        <v>SI</v>
      </c>
      <c r="M153" s="34" t="str">
        <f>IF(Tabla2__2[[#This Row],[MYSTERY EFECTIVO]]="SI",_xlfn.XLOOKUP(Tabla2__2[[#This Row],[PREGUNTA]],ENCUESTA!G:G,ENCUESTA!D:D),"N/A")</f>
        <v>N/A</v>
      </c>
      <c r="N15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3" s="34">
        <f>_xlfn.XLOOKUP(Tabla2__2[[#This Row],[PREGUNTA]],ENCUESTA!G:G,ENCUESTA!H:H)</f>
        <v>0</v>
      </c>
      <c r="P153" s="34">
        <f>IF(Tabla2__2[[#This Row],[RTA]]=Tabla2__2[[#This Row],[RTA CORRECTA]],Tabla2__2[[#This Row],[TOTAL PUNTAJE]],0)</f>
        <v>0</v>
      </c>
      <c r="Q153" s="34">
        <f>IF(OR(H153="Dog Chow húmedo",H153="Cat Chow húmedo",H153="Fancy Feast",H153="Felix",H153="Proplan húmedo",H153="One húmedo",H153="Snack Abrazzos",H153="Snak Dentalife",H153="Arenilla Tidy Cat"),N153,0)</f>
        <v>0</v>
      </c>
      <c r="R153" s="34"/>
    </row>
    <row r="154" spans="1:18" x14ac:dyDescent="0.25">
      <c r="A154" s="34" t="s">
        <v>113</v>
      </c>
      <c r="B154" s="34" t="s">
        <v>8</v>
      </c>
      <c r="C154" t="s">
        <v>15</v>
      </c>
      <c r="D154" s="34" t="s">
        <v>132</v>
      </c>
      <c r="E154" s="34">
        <v>382375</v>
      </c>
      <c r="F154" s="34" t="s">
        <v>158</v>
      </c>
      <c r="G154" s="34" t="s">
        <v>89</v>
      </c>
      <c r="H154" s="34" t="s">
        <v>20</v>
      </c>
      <c r="I154" s="35"/>
      <c r="J154" s="34">
        <v>28907521</v>
      </c>
      <c r="K154" s="34" t="s">
        <v>164</v>
      </c>
      <c r="L154" s="34" t="str">
        <f>_xlfn.XLOOKUP(Tabla2__2[[#This Row],[CODIGO RUTA]],'DATA INFORME'!I:I,'DATA INFORME'!K:K)</f>
        <v>SI</v>
      </c>
      <c r="M154" s="34" t="str">
        <f>IF(Tabla2__2[[#This Row],[MYSTERY EFECTIVO]]="SI",_xlfn.XLOOKUP(Tabla2__2[[#This Row],[PREGUNTA]],ENCUESTA!G:G,ENCUESTA!D:D),"N/A")</f>
        <v>PRESENTACIÓN PERSONAL</v>
      </c>
      <c r="N15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54" s="34" t="str">
        <f>_xlfn.XLOOKUP(Tabla2__2[[#This Row],[PREGUNTA]],ENCUESTA!G:G,ENCUESTA!H:H)</f>
        <v>SI</v>
      </c>
      <c r="P154" s="34">
        <f>IF(Tabla2__2[[#This Row],[RTA]]=Tabla2__2[[#This Row],[RTA CORRECTA]],Tabla2__2[[#This Row],[TOTAL PUNTAJE]],0)</f>
        <v>1</v>
      </c>
      <c r="Q154" s="34">
        <f>IF(OR(H154="Dog Chow húmedo",H154="Cat Chow húmedo",H154="Fancy Feast",H154="Felix",H154="Proplan húmedo",H154="One húmedo",H154="Snack Abrazzos",H154="Snak Dentalife",H154="Arenilla Tidy Cat"),N154,0)</f>
        <v>0</v>
      </c>
      <c r="R154" s="34"/>
    </row>
    <row r="155" spans="1:18" x14ac:dyDescent="0.25">
      <c r="A155" s="34" t="s">
        <v>113</v>
      </c>
      <c r="B155" s="34" t="s">
        <v>8</v>
      </c>
      <c r="C155" t="s">
        <v>43</v>
      </c>
      <c r="D155" s="34" t="s">
        <v>132</v>
      </c>
      <c r="E155" s="34">
        <v>201118</v>
      </c>
      <c r="F155" s="34" t="s">
        <v>151</v>
      </c>
      <c r="G155" s="34" t="s">
        <v>125</v>
      </c>
      <c r="H155" s="34" t="s">
        <v>20</v>
      </c>
      <c r="I155" s="35"/>
      <c r="J155" s="34">
        <v>28904500</v>
      </c>
      <c r="K155" s="34" t="s">
        <v>116</v>
      </c>
      <c r="L155" s="34" t="str">
        <f>_xlfn.XLOOKUP(Tabla2__2[[#This Row],[CODIGO RUTA]],'DATA INFORME'!I:I,'DATA INFORME'!K:K)</f>
        <v>SI</v>
      </c>
      <c r="M155" s="34" t="str">
        <f>IF(Tabla2__2[[#This Row],[MYSTERY EFECTIVO]]="SI",_xlfn.XLOOKUP(Tabla2__2[[#This Row],[PREGUNTA]],ENCUESTA!G:G,ENCUESTA!D:D),"N/A")</f>
        <v>EJECUCIÓN DEL PDV</v>
      </c>
      <c r="N15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5" s="34" t="str">
        <f>_xlfn.XLOOKUP(Tabla2__2[[#This Row],[PREGUNTA]],ENCUESTA!G:G,ENCUESTA!H:H)</f>
        <v>SI</v>
      </c>
      <c r="P155" s="34">
        <f>IF(Tabla2__2[[#This Row],[RTA]]=Tabla2__2[[#This Row],[RTA CORRECTA]],Tabla2__2[[#This Row],[TOTAL PUNTAJE]],0)</f>
        <v>3.75</v>
      </c>
      <c r="Q155" s="34">
        <f>IF(OR(H155="Dog Chow húmedo",H155="Cat Chow húmedo",H155="Fancy Feast",H155="Felix",H155="Proplan húmedo",H155="One húmedo",H155="Snack Abrazzos",H155="Snak Dentalife",H155="Arenilla Tidy Cat"),N155,0)</f>
        <v>0</v>
      </c>
      <c r="R155" s="34"/>
    </row>
    <row r="156" spans="1:18" x14ac:dyDescent="0.25">
      <c r="A156" s="34" t="s">
        <v>113</v>
      </c>
      <c r="B156" s="34" t="s">
        <v>8</v>
      </c>
      <c r="C156" t="s">
        <v>43</v>
      </c>
      <c r="D156" s="34" t="s">
        <v>132</v>
      </c>
      <c r="E156" s="34">
        <v>201118</v>
      </c>
      <c r="F156" s="34" t="s">
        <v>151</v>
      </c>
      <c r="G156" s="34" t="s">
        <v>103</v>
      </c>
      <c r="H156" s="34" t="s">
        <v>20</v>
      </c>
      <c r="I156" s="35"/>
      <c r="J156" s="34">
        <v>28904500</v>
      </c>
      <c r="K156" s="34" t="s">
        <v>116</v>
      </c>
      <c r="L156" s="34" t="str">
        <f>_xlfn.XLOOKUP(Tabla2__2[[#This Row],[CODIGO RUTA]],'DATA INFORME'!I:I,'DATA INFORME'!K:K)</f>
        <v>SI</v>
      </c>
      <c r="M156" s="34" t="str">
        <f>IF(Tabla2__2[[#This Row],[MYSTERY EFECTIVO]]="SI",_xlfn.XLOOKUP(Tabla2__2[[#This Row],[PREGUNTA]],ENCUESTA!G:G,ENCUESTA!D:D),"N/A")</f>
        <v>EJECUCIÓN DEL PDV</v>
      </c>
      <c r="N15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6" s="34" t="str">
        <f>_xlfn.XLOOKUP(Tabla2__2[[#This Row],[PREGUNTA]],ENCUESTA!G:G,ENCUESTA!H:H)</f>
        <v>SI</v>
      </c>
      <c r="P156" s="34">
        <f>IF(Tabla2__2[[#This Row],[RTA]]=Tabla2__2[[#This Row],[RTA CORRECTA]],Tabla2__2[[#This Row],[TOTAL PUNTAJE]],0)</f>
        <v>3.75</v>
      </c>
      <c r="Q156" s="34">
        <f>IF(OR(H156="Dog Chow húmedo",H156="Cat Chow húmedo",H156="Fancy Feast",H156="Felix",H156="Proplan húmedo",H156="One húmedo",H156="Snack Abrazzos",H156="Snak Dentalife",H156="Arenilla Tidy Cat"),N156,0)</f>
        <v>0</v>
      </c>
      <c r="R156" s="34"/>
    </row>
    <row r="157" spans="1:18" x14ac:dyDescent="0.25">
      <c r="A157" s="34" t="s">
        <v>113</v>
      </c>
      <c r="B157" s="34" t="s">
        <v>8</v>
      </c>
      <c r="C157" t="s">
        <v>43</v>
      </c>
      <c r="D157" s="34" t="s">
        <v>132</v>
      </c>
      <c r="E157" s="34">
        <v>201118</v>
      </c>
      <c r="F157" s="34" t="s">
        <v>151</v>
      </c>
      <c r="G157" s="34" t="s">
        <v>102</v>
      </c>
      <c r="H157" s="34" t="s">
        <v>20</v>
      </c>
      <c r="I157" s="35"/>
      <c r="J157" s="34">
        <v>28904500</v>
      </c>
      <c r="K157" s="34" t="s">
        <v>116</v>
      </c>
      <c r="L157" s="34" t="str">
        <f>_xlfn.XLOOKUP(Tabla2__2[[#This Row],[CODIGO RUTA]],'DATA INFORME'!I:I,'DATA INFORME'!K:K)</f>
        <v>SI</v>
      </c>
      <c r="M157" s="34" t="str">
        <f>IF(Tabla2__2[[#This Row],[MYSTERY EFECTIVO]]="SI",_xlfn.XLOOKUP(Tabla2__2[[#This Row],[PREGUNTA]],ENCUESTA!G:G,ENCUESTA!D:D),"N/A")</f>
        <v>EJECUCIÓN DEL PDV</v>
      </c>
      <c r="N15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7" s="34" t="str">
        <f>_xlfn.XLOOKUP(Tabla2__2[[#This Row],[PREGUNTA]],ENCUESTA!G:G,ENCUESTA!H:H)</f>
        <v>SI</v>
      </c>
      <c r="P157" s="34">
        <f>IF(Tabla2__2[[#This Row],[RTA]]=Tabla2__2[[#This Row],[RTA CORRECTA]],Tabla2__2[[#This Row],[TOTAL PUNTAJE]],0)</f>
        <v>3.75</v>
      </c>
      <c r="Q157" s="34">
        <f>IF(OR(H157="Dog Chow húmedo",H157="Cat Chow húmedo",H157="Fancy Feast",H157="Felix",H157="Proplan húmedo",H157="One húmedo",H157="Snack Abrazzos",H157="Snak Dentalife",H157="Arenilla Tidy Cat"),N157,0)</f>
        <v>0</v>
      </c>
      <c r="R157" s="34"/>
    </row>
    <row r="158" spans="1:18" x14ac:dyDescent="0.25">
      <c r="A158" s="34" t="s">
        <v>113</v>
      </c>
      <c r="B158" s="34" t="s">
        <v>8</v>
      </c>
      <c r="C158" t="s">
        <v>43</v>
      </c>
      <c r="D158" s="34" t="s">
        <v>132</v>
      </c>
      <c r="E158" s="34">
        <v>201118</v>
      </c>
      <c r="F158" s="34" t="s">
        <v>151</v>
      </c>
      <c r="G158" s="34" t="s">
        <v>101</v>
      </c>
      <c r="H158" s="34" t="s">
        <v>20</v>
      </c>
      <c r="I158" s="35"/>
      <c r="J158" s="34">
        <v>28904500</v>
      </c>
      <c r="K158" s="34" t="s">
        <v>116</v>
      </c>
      <c r="L158" s="34" t="str">
        <f>_xlfn.XLOOKUP(Tabla2__2[[#This Row],[CODIGO RUTA]],'DATA INFORME'!I:I,'DATA INFORME'!K:K)</f>
        <v>SI</v>
      </c>
      <c r="M158" s="34" t="str">
        <f>IF(Tabla2__2[[#This Row],[MYSTERY EFECTIVO]]="SI",_xlfn.XLOOKUP(Tabla2__2[[#This Row],[PREGUNTA]],ENCUESTA!G:G,ENCUESTA!D:D),"N/A")</f>
        <v>EJECUCIÓN DEL PDV</v>
      </c>
      <c r="N15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8" s="34" t="str">
        <f>_xlfn.XLOOKUP(Tabla2__2[[#This Row],[PREGUNTA]],ENCUESTA!G:G,ENCUESTA!H:H)</f>
        <v>SI</v>
      </c>
      <c r="P158" s="34">
        <f>IF(Tabla2__2[[#This Row],[RTA]]=Tabla2__2[[#This Row],[RTA CORRECTA]],Tabla2__2[[#This Row],[TOTAL PUNTAJE]],0)</f>
        <v>3.75</v>
      </c>
      <c r="Q158" s="34">
        <f>IF(OR(H158="Dog Chow húmedo",H158="Cat Chow húmedo",H158="Fancy Feast",H158="Felix",H158="Proplan húmedo",H158="One húmedo",H158="Snack Abrazzos",H158="Snak Dentalife",H158="Arenilla Tidy Cat"),N158,0)</f>
        <v>0</v>
      </c>
      <c r="R158" s="34"/>
    </row>
    <row r="159" spans="1:18" x14ac:dyDescent="0.25">
      <c r="A159" s="34" t="s">
        <v>113</v>
      </c>
      <c r="B159" s="34" t="s">
        <v>8</v>
      </c>
      <c r="C159" t="s">
        <v>43</v>
      </c>
      <c r="D159" s="34" t="s">
        <v>132</v>
      </c>
      <c r="E159" s="34">
        <v>201118</v>
      </c>
      <c r="F159" s="34" t="s">
        <v>151</v>
      </c>
      <c r="G159" s="34" t="s">
        <v>100</v>
      </c>
      <c r="H159" s="34" t="s">
        <v>20</v>
      </c>
      <c r="I159" s="35"/>
      <c r="J159" s="34">
        <v>28904500</v>
      </c>
      <c r="K159" s="34" t="s">
        <v>116</v>
      </c>
      <c r="L159" s="34" t="str">
        <f>_xlfn.XLOOKUP(Tabla2__2[[#This Row],[CODIGO RUTA]],'DATA INFORME'!I:I,'DATA INFORME'!K:K)</f>
        <v>SI</v>
      </c>
      <c r="M159" s="34" t="str">
        <f>IF(Tabla2__2[[#This Row],[MYSTERY EFECTIVO]]="SI",_xlfn.XLOOKUP(Tabla2__2[[#This Row],[PREGUNTA]],ENCUESTA!G:G,ENCUESTA!D:D),"N/A")</f>
        <v>EJECUCIÓN DEL PDV</v>
      </c>
      <c r="N15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9" s="34" t="str">
        <f>_xlfn.XLOOKUP(Tabla2__2[[#This Row],[PREGUNTA]],ENCUESTA!G:G,ENCUESTA!H:H)</f>
        <v>SI</v>
      </c>
      <c r="P159" s="34">
        <f>IF(Tabla2__2[[#This Row],[RTA]]=Tabla2__2[[#This Row],[RTA CORRECTA]],Tabla2__2[[#This Row],[TOTAL PUNTAJE]],0)</f>
        <v>3.75</v>
      </c>
      <c r="Q159" s="34">
        <f>IF(OR(H159="Dog Chow húmedo",H159="Cat Chow húmedo",H159="Fancy Feast",H159="Felix",H159="Proplan húmedo",H159="One húmedo",H159="Snack Abrazzos",H159="Snak Dentalife",H159="Arenilla Tidy Cat"),N159,0)</f>
        <v>0</v>
      </c>
      <c r="R159" s="34"/>
    </row>
    <row r="160" spans="1:18" x14ac:dyDescent="0.25">
      <c r="A160" s="34" t="s">
        <v>113</v>
      </c>
      <c r="B160" s="34" t="s">
        <v>8</v>
      </c>
      <c r="C160" t="s">
        <v>43</v>
      </c>
      <c r="D160" s="34" t="s">
        <v>132</v>
      </c>
      <c r="E160" s="34">
        <v>201118</v>
      </c>
      <c r="F160" s="34" t="s">
        <v>151</v>
      </c>
      <c r="G160" s="34" t="s">
        <v>99</v>
      </c>
      <c r="H160" s="34" t="s">
        <v>112</v>
      </c>
      <c r="I160" s="35"/>
      <c r="J160" s="34">
        <v>28904500</v>
      </c>
      <c r="K160" s="34" t="s">
        <v>116</v>
      </c>
      <c r="L160" s="34" t="str">
        <f>_xlfn.XLOOKUP(Tabla2__2[[#This Row],[CODIGO RUTA]],'DATA INFORME'!I:I,'DATA INFORME'!K:K)</f>
        <v>SI</v>
      </c>
      <c r="M160" s="34" t="str">
        <f>IF(Tabla2__2[[#This Row],[MYSTERY EFECTIVO]]="SI",_xlfn.XLOOKUP(Tabla2__2[[#This Row],[PREGUNTA]],ENCUESTA!G:G,ENCUESTA!D:D),"N/A")</f>
        <v>EJECUCIÓN DEL PDV</v>
      </c>
      <c r="N16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0" s="34" t="str">
        <f>_xlfn.XLOOKUP(Tabla2__2[[#This Row],[PREGUNTA]],ENCUESTA!G:G,ENCUESTA!H:H)</f>
        <v>SI</v>
      </c>
      <c r="P160" s="34">
        <f>IF(Tabla2__2[[#This Row],[RTA]]=Tabla2__2[[#This Row],[RTA CORRECTA]],Tabla2__2[[#This Row],[TOTAL PUNTAJE]],0)</f>
        <v>0</v>
      </c>
      <c r="Q160" s="34">
        <f>IF(OR(H160="Dog Chow húmedo",H160="Cat Chow húmedo",H160="Fancy Feast",H160="Felix",H160="Proplan húmedo",H160="One húmedo",H160="Snack Abrazzos",H160="Snak Dentalife",H160="Arenilla Tidy Cat"),N160,0)</f>
        <v>0</v>
      </c>
      <c r="R160" s="34"/>
    </row>
    <row r="161" spans="1:18" x14ac:dyDescent="0.25">
      <c r="A161" s="34" t="s">
        <v>113</v>
      </c>
      <c r="B161" s="34" t="s">
        <v>8</v>
      </c>
      <c r="C161" t="s">
        <v>43</v>
      </c>
      <c r="D161" s="34" t="s">
        <v>132</v>
      </c>
      <c r="E161" s="34">
        <v>201118</v>
      </c>
      <c r="F161" s="34" t="s">
        <v>151</v>
      </c>
      <c r="G161" s="34" t="s">
        <v>98</v>
      </c>
      <c r="H161" s="34" t="s">
        <v>20</v>
      </c>
      <c r="I161" s="35"/>
      <c r="J161" s="34">
        <v>28904500</v>
      </c>
      <c r="K161" s="34" t="s">
        <v>116</v>
      </c>
      <c r="L161" s="34" t="str">
        <f>_xlfn.XLOOKUP(Tabla2__2[[#This Row],[CODIGO RUTA]],'DATA INFORME'!I:I,'DATA INFORME'!K:K)</f>
        <v>SI</v>
      </c>
      <c r="M161" s="34" t="str">
        <f>IF(Tabla2__2[[#This Row],[MYSTERY EFECTIVO]]="SI",_xlfn.XLOOKUP(Tabla2__2[[#This Row],[PREGUNTA]],ENCUESTA!G:G,ENCUESTA!D:D),"N/A")</f>
        <v>EJECUCIÓN DEL PDV</v>
      </c>
      <c r="N16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1" s="34" t="str">
        <f>_xlfn.XLOOKUP(Tabla2__2[[#This Row],[PREGUNTA]],ENCUESTA!G:G,ENCUESTA!H:H)</f>
        <v>SI</v>
      </c>
      <c r="P161" s="34">
        <f>IF(Tabla2__2[[#This Row],[RTA]]=Tabla2__2[[#This Row],[RTA CORRECTA]],Tabla2__2[[#This Row],[TOTAL PUNTAJE]],0)</f>
        <v>3.75</v>
      </c>
      <c r="Q161" s="34">
        <f>IF(OR(H161="Dog Chow húmedo",H161="Cat Chow húmedo",H161="Fancy Feast",H161="Felix",H161="Proplan húmedo",H161="One húmedo",H161="Snack Abrazzos",H161="Snak Dentalife",H161="Arenilla Tidy Cat"),N161,0)</f>
        <v>0</v>
      </c>
      <c r="R161" s="34"/>
    </row>
    <row r="162" spans="1:18" x14ac:dyDescent="0.25">
      <c r="A162" s="34" t="s">
        <v>113</v>
      </c>
      <c r="B162" s="34" t="s">
        <v>8</v>
      </c>
      <c r="C162" t="s">
        <v>43</v>
      </c>
      <c r="D162" s="34" t="s">
        <v>132</v>
      </c>
      <c r="E162" s="34">
        <v>201118</v>
      </c>
      <c r="F162" s="34" t="s">
        <v>151</v>
      </c>
      <c r="G162" s="34" t="s">
        <v>104</v>
      </c>
      <c r="H162" s="34" t="s">
        <v>20</v>
      </c>
      <c r="I162" s="35"/>
      <c r="J162" s="34">
        <v>28904500</v>
      </c>
      <c r="K162" s="34" t="s">
        <v>116</v>
      </c>
      <c r="L162" s="34" t="str">
        <f>_xlfn.XLOOKUP(Tabla2__2[[#This Row],[CODIGO RUTA]],'DATA INFORME'!I:I,'DATA INFORME'!K:K)</f>
        <v>SI</v>
      </c>
      <c r="M162" s="34" t="str">
        <f>IF(Tabla2__2[[#This Row],[MYSTERY EFECTIVO]]="SI",_xlfn.XLOOKUP(Tabla2__2[[#This Row],[PREGUNTA]],ENCUESTA!G:G,ENCUESTA!D:D),"N/A")</f>
        <v>EJECUCIÓN DEL PDV</v>
      </c>
      <c r="N16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2" s="34" t="str">
        <f>_xlfn.XLOOKUP(Tabla2__2[[#This Row],[PREGUNTA]],ENCUESTA!G:G,ENCUESTA!H:H)</f>
        <v>SI</v>
      </c>
      <c r="P162" s="34">
        <f>IF(Tabla2__2[[#This Row],[RTA]]=Tabla2__2[[#This Row],[RTA CORRECTA]],Tabla2__2[[#This Row],[TOTAL PUNTAJE]],0)</f>
        <v>3.75</v>
      </c>
      <c r="Q162" s="34">
        <f>IF(OR(H162="Dog Chow húmedo",H162="Cat Chow húmedo",H162="Fancy Feast",H162="Felix",H162="Proplan húmedo",H162="One húmedo",H162="Snack Abrazzos",H162="Snak Dentalife",H162="Arenilla Tidy Cat"),N162,0)</f>
        <v>0</v>
      </c>
      <c r="R162" s="34"/>
    </row>
    <row r="163" spans="1:18" x14ac:dyDescent="0.25">
      <c r="A163" s="34" t="s">
        <v>113</v>
      </c>
      <c r="B163" s="34" t="s">
        <v>8</v>
      </c>
      <c r="C163" t="s">
        <v>43</v>
      </c>
      <c r="D163" s="34" t="s">
        <v>132</v>
      </c>
      <c r="E163" s="34">
        <v>201118</v>
      </c>
      <c r="F163" s="34" t="s">
        <v>151</v>
      </c>
      <c r="G163" s="34" t="s">
        <v>97</v>
      </c>
      <c r="H163" s="34" t="s">
        <v>112</v>
      </c>
      <c r="I163" s="35"/>
      <c r="J163" s="34">
        <v>28904500</v>
      </c>
      <c r="K163" s="34" t="s">
        <v>116</v>
      </c>
      <c r="L163" s="34" t="str">
        <f>_xlfn.XLOOKUP(Tabla2__2[[#This Row],[CODIGO RUTA]],'DATA INFORME'!I:I,'DATA INFORME'!K:K)</f>
        <v>SI</v>
      </c>
      <c r="M163" s="34" t="str">
        <f>IF(Tabla2__2[[#This Row],[MYSTERY EFECTIVO]]="SI",_xlfn.XLOOKUP(Tabla2__2[[#This Row],[PREGUNTA]],ENCUESTA!G:G,ENCUESTA!D:D),"N/A")</f>
        <v>PRESENTACIÓN PERSONAL</v>
      </c>
      <c r="N16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63" s="34" t="str">
        <f>_xlfn.XLOOKUP(Tabla2__2[[#This Row],[PREGUNTA]],ENCUESTA!G:G,ENCUESTA!H:H)</f>
        <v>NO</v>
      </c>
      <c r="P163" s="34">
        <f>IF(Tabla2__2[[#This Row],[RTA]]=Tabla2__2[[#This Row],[RTA CORRECTA]],Tabla2__2[[#This Row],[TOTAL PUNTAJE]],0)</f>
        <v>1</v>
      </c>
      <c r="Q163" s="34">
        <f>IF(OR(H163="Dog Chow húmedo",H163="Cat Chow húmedo",H163="Fancy Feast",H163="Felix",H163="Proplan húmedo",H163="One húmedo",H163="Snack Abrazzos",H163="Snak Dentalife",H163="Arenilla Tidy Cat"),N163,0)</f>
        <v>0</v>
      </c>
      <c r="R163" s="34"/>
    </row>
    <row r="164" spans="1:18" x14ac:dyDescent="0.25">
      <c r="A164" s="34" t="s">
        <v>113</v>
      </c>
      <c r="B164" s="34" t="s">
        <v>8</v>
      </c>
      <c r="C164" t="s">
        <v>15</v>
      </c>
      <c r="D164" s="34" t="s">
        <v>132</v>
      </c>
      <c r="E164" s="34">
        <v>382375</v>
      </c>
      <c r="F164" s="34" t="s">
        <v>158</v>
      </c>
      <c r="G164" s="34" t="s">
        <v>90</v>
      </c>
      <c r="H164" s="34" t="s">
        <v>20</v>
      </c>
      <c r="I164" s="35"/>
      <c r="J164" s="34">
        <v>28907521</v>
      </c>
      <c r="K164" s="34" t="s">
        <v>164</v>
      </c>
      <c r="L164" s="34" t="str">
        <f>_xlfn.XLOOKUP(Tabla2__2[[#This Row],[CODIGO RUTA]],'DATA INFORME'!I:I,'DATA INFORME'!K:K)</f>
        <v>SI</v>
      </c>
      <c r="M164" s="34" t="str">
        <f>IF(Tabla2__2[[#This Row],[MYSTERY EFECTIVO]]="SI",_xlfn.XLOOKUP(Tabla2__2[[#This Row],[PREGUNTA]],ENCUESTA!G:G,ENCUESTA!D:D),"N/A")</f>
        <v>PRESENTACIÓN PERSONAL</v>
      </c>
      <c r="N16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64" s="34" t="str">
        <f>_xlfn.XLOOKUP(Tabla2__2[[#This Row],[PREGUNTA]],ENCUESTA!G:G,ENCUESTA!H:H)</f>
        <v>SI</v>
      </c>
      <c r="P164" s="34">
        <f>IF(Tabla2__2[[#This Row],[RTA]]=Tabla2__2[[#This Row],[RTA CORRECTA]],Tabla2__2[[#This Row],[TOTAL PUNTAJE]],0)</f>
        <v>1</v>
      </c>
      <c r="Q164" s="34">
        <f>IF(OR(H164="Dog Chow húmedo",H164="Cat Chow húmedo",H164="Fancy Feast",H164="Felix",H164="Proplan húmedo",H164="One húmedo",H164="Snack Abrazzos",H164="Snak Dentalife",H164="Arenilla Tidy Cat"),N164,0)</f>
        <v>0</v>
      </c>
      <c r="R164" s="34"/>
    </row>
    <row r="165" spans="1:18" x14ac:dyDescent="0.25">
      <c r="A165" s="34" t="s">
        <v>113</v>
      </c>
      <c r="B165" s="34" t="s">
        <v>8</v>
      </c>
      <c r="C165" t="s">
        <v>15</v>
      </c>
      <c r="D165" s="34" t="s">
        <v>132</v>
      </c>
      <c r="E165" s="34">
        <v>382375</v>
      </c>
      <c r="F165" s="34" t="s">
        <v>158</v>
      </c>
      <c r="G165" s="34" t="s">
        <v>91</v>
      </c>
      <c r="H165" s="34" t="s">
        <v>112</v>
      </c>
      <c r="I165" s="35"/>
      <c r="J165" s="34">
        <v>28907521</v>
      </c>
      <c r="K165" s="34" t="s">
        <v>164</v>
      </c>
      <c r="L165" s="34" t="str">
        <f>_xlfn.XLOOKUP(Tabla2__2[[#This Row],[CODIGO RUTA]],'DATA INFORME'!I:I,'DATA INFORME'!K:K)</f>
        <v>SI</v>
      </c>
      <c r="M165" s="34" t="str">
        <f>IF(Tabla2__2[[#This Row],[MYSTERY EFECTIVO]]="SI",_xlfn.XLOOKUP(Tabla2__2[[#This Row],[PREGUNTA]],ENCUESTA!G:G,ENCUESTA!D:D),"N/A")</f>
        <v>PRESENTACIÓN PERSONAL</v>
      </c>
      <c r="N16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65" s="34" t="str">
        <f>_xlfn.XLOOKUP(Tabla2__2[[#This Row],[PREGUNTA]],ENCUESTA!G:G,ENCUESTA!H:H)</f>
        <v>NO</v>
      </c>
      <c r="P165" s="34">
        <f>IF(Tabla2__2[[#This Row],[RTA]]=Tabla2__2[[#This Row],[RTA CORRECTA]],Tabla2__2[[#This Row],[TOTAL PUNTAJE]],0)</f>
        <v>1</v>
      </c>
      <c r="Q165" s="34">
        <f>IF(OR(H165="Dog Chow húmedo",H165="Cat Chow húmedo",H165="Fancy Feast",H165="Felix",H165="Proplan húmedo",H165="One húmedo",H165="Snack Abrazzos",H165="Snak Dentalife",H165="Arenilla Tidy Cat"),N165,0)</f>
        <v>0</v>
      </c>
      <c r="R165" s="34"/>
    </row>
    <row r="166" spans="1:18" x14ac:dyDescent="0.25">
      <c r="A166" s="34" t="s">
        <v>113</v>
      </c>
      <c r="B166" s="34" t="s">
        <v>8</v>
      </c>
      <c r="C166" t="s">
        <v>15</v>
      </c>
      <c r="D166" s="34" t="s">
        <v>132</v>
      </c>
      <c r="E166" s="34">
        <v>382375</v>
      </c>
      <c r="F166" s="34" t="s">
        <v>158</v>
      </c>
      <c r="G166" s="34" t="s">
        <v>125</v>
      </c>
      <c r="H166" s="34" t="s">
        <v>112</v>
      </c>
      <c r="I166" s="35"/>
      <c r="J166" s="34">
        <v>28907521</v>
      </c>
      <c r="K166" s="34" t="s">
        <v>164</v>
      </c>
      <c r="L166" s="34" t="str">
        <f>_xlfn.XLOOKUP(Tabla2__2[[#This Row],[CODIGO RUTA]],'DATA INFORME'!I:I,'DATA INFORME'!K:K)</f>
        <v>SI</v>
      </c>
      <c r="M166" s="34" t="str">
        <f>IF(Tabla2__2[[#This Row],[MYSTERY EFECTIVO]]="SI",_xlfn.XLOOKUP(Tabla2__2[[#This Row],[PREGUNTA]],ENCUESTA!G:G,ENCUESTA!D:D),"N/A")</f>
        <v>EJECUCIÓN DEL PDV</v>
      </c>
      <c r="N16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6" s="34" t="str">
        <f>_xlfn.XLOOKUP(Tabla2__2[[#This Row],[PREGUNTA]],ENCUESTA!G:G,ENCUESTA!H:H)</f>
        <v>SI</v>
      </c>
      <c r="P166" s="34">
        <f>IF(Tabla2__2[[#This Row],[RTA]]=Tabla2__2[[#This Row],[RTA CORRECTA]],Tabla2__2[[#This Row],[TOTAL PUNTAJE]],0)</f>
        <v>0</v>
      </c>
      <c r="Q166" s="34">
        <f>IF(OR(H166="Dog Chow húmedo",H166="Cat Chow húmedo",H166="Fancy Feast",H166="Felix",H166="Proplan húmedo",H166="One húmedo",H166="Snack Abrazzos",H166="Snak Dentalife",H166="Arenilla Tidy Cat"),N166,0)</f>
        <v>0</v>
      </c>
      <c r="R166" s="34"/>
    </row>
    <row r="167" spans="1:18" x14ac:dyDescent="0.25">
      <c r="A167" s="34" t="s">
        <v>113</v>
      </c>
      <c r="B167" s="34" t="s">
        <v>8</v>
      </c>
      <c r="C167" t="s">
        <v>15</v>
      </c>
      <c r="D167" s="34" t="s">
        <v>132</v>
      </c>
      <c r="E167" s="34">
        <v>382375</v>
      </c>
      <c r="F167" s="34" t="s">
        <v>158</v>
      </c>
      <c r="G167" s="34" t="s">
        <v>104</v>
      </c>
      <c r="H167" s="34" t="s">
        <v>112</v>
      </c>
      <c r="I167" s="35"/>
      <c r="J167" s="34">
        <v>28907521</v>
      </c>
      <c r="K167" s="34" t="s">
        <v>164</v>
      </c>
      <c r="L167" s="34" t="str">
        <f>_xlfn.XLOOKUP(Tabla2__2[[#This Row],[CODIGO RUTA]],'DATA INFORME'!I:I,'DATA INFORME'!K:K)</f>
        <v>SI</v>
      </c>
      <c r="M167" s="34" t="str">
        <f>IF(Tabla2__2[[#This Row],[MYSTERY EFECTIVO]]="SI",_xlfn.XLOOKUP(Tabla2__2[[#This Row],[PREGUNTA]],ENCUESTA!G:G,ENCUESTA!D:D),"N/A")</f>
        <v>EJECUCIÓN DEL PDV</v>
      </c>
      <c r="N16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7" s="34" t="str">
        <f>_xlfn.XLOOKUP(Tabla2__2[[#This Row],[PREGUNTA]],ENCUESTA!G:G,ENCUESTA!H:H)</f>
        <v>SI</v>
      </c>
      <c r="P167" s="34">
        <f>IF(Tabla2__2[[#This Row],[RTA]]=Tabla2__2[[#This Row],[RTA CORRECTA]],Tabla2__2[[#This Row],[TOTAL PUNTAJE]],0)</f>
        <v>0</v>
      </c>
      <c r="Q167" s="34">
        <f>IF(OR(H167="Dog Chow húmedo",H167="Cat Chow húmedo",H167="Fancy Feast",H167="Felix",H167="Proplan húmedo",H167="One húmedo",H167="Snack Abrazzos",H167="Snak Dentalife",H167="Arenilla Tidy Cat"),N167,0)</f>
        <v>0</v>
      </c>
      <c r="R167" s="34"/>
    </row>
    <row r="168" spans="1:18" x14ac:dyDescent="0.25">
      <c r="A168" s="34" t="s">
        <v>113</v>
      </c>
      <c r="B168" s="34" t="s">
        <v>8</v>
      </c>
      <c r="C168" t="s">
        <v>15</v>
      </c>
      <c r="D168" s="34" t="s">
        <v>132</v>
      </c>
      <c r="E168" s="34">
        <v>382375</v>
      </c>
      <c r="F168" s="34" t="s">
        <v>158</v>
      </c>
      <c r="G168" s="34" t="s">
        <v>103</v>
      </c>
      <c r="H168" s="34" t="s">
        <v>20</v>
      </c>
      <c r="I168" s="35"/>
      <c r="J168" s="34">
        <v>28907521</v>
      </c>
      <c r="K168" s="34" t="s">
        <v>164</v>
      </c>
      <c r="L168" s="34" t="str">
        <f>_xlfn.XLOOKUP(Tabla2__2[[#This Row],[CODIGO RUTA]],'DATA INFORME'!I:I,'DATA INFORME'!K:K)</f>
        <v>SI</v>
      </c>
      <c r="M168" s="34" t="str">
        <f>IF(Tabla2__2[[#This Row],[MYSTERY EFECTIVO]]="SI",_xlfn.XLOOKUP(Tabla2__2[[#This Row],[PREGUNTA]],ENCUESTA!G:G,ENCUESTA!D:D),"N/A")</f>
        <v>EJECUCIÓN DEL PDV</v>
      </c>
      <c r="N16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8" s="34" t="str">
        <f>_xlfn.XLOOKUP(Tabla2__2[[#This Row],[PREGUNTA]],ENCUESTA!G:G,ENCUESTA!H:H)</f>
        <v>SI</v>
      </c>
      <c r="P168" s="34">
        <f>IF(Tabla2__2[[#This Row],[RTA]]=Tabla2__2[[#This Row],[RTA CORRECTA]],Tabla2__2[[#This Row],[TOTAL PUNTAJE]],0)</f>
        <v>3.75</v>
      </c>
      <c r="Q168" s="34">
        <f>IF(OR(H168="Dog Chow húmedo",H168="Cat Chow húmedo",H168="Fancy Feast",H168="Felix",H168="Proplan húmedo",H168="One húmedo",H168="Snack Abrazzos",H168="Snak Dentalife",H168="Arenilla Tidy Cat"),N168,0)</f>
        <v>0</v>
      </c>
      <c r="R168" s="34"/>
    </row>
    <row r="169" spans="1:18" x14ac:dyDescent="0.25">
      <c r="A169" s="34" t="s">
        <v>113</v>
      </c>
      <c r="B169" s="34" t="s">
        <v>8</v>
      </c>
      <c r="C169" t="s">
        <v>15</v>
      </c>
      <c r="D169" s="34" t="s">
        <v>132</v>
      </c>
      <c r="E169" s="34">
        <v>382375</v>
      </c>
      <c r="F169" s="34" t="s">
        <v>158</v>
      </c>
      <c r="G169" s="34" t="s">
        <v>102</v>
      </c>
      <c r="H169" s="34" t="s">
        <v>20</v>
      </c>
      <c r="I169" s="35"/>
      <c r="J169" s="34">
        <v>28907521</v>
      </c>
      <c r="K169" s="34" t="s">
        <v>164</v>
      </c>
      <c r="L169" s="34" t="str">
        <f>_xlfn.XLOOKUP(Tabla2__2[[#This Row],[CODIGO RUTA]],'DATA INFORME'!I:I,'DATA INFORME'!K:K)</f>
        <v>SI</v>
      </c>
      <c r="M169" s="34" t="str">
        <f>IF(Tabla2__2[[#This Row],[MYSTERY EFECTIVO]]="SI",_xlfn.XLOOKUP(Tabla2__2[[#This Row],[PREGUNTA]],ENCUESTA!G:G,ENCUESTA!D:D),"N/A")</f>
        <v>EJECUCIÓN DEL PDV</v>
      </c>
      <c r="N16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9" s="34" t="str">
        <f>_xlfn.XLOOKUP(Tabla2__2[[#This Row],[PREGUNTA]],ENCUESTA!G:G,ENCUESTA!H:H)</f>
        <v>SI</v>
      </c>
      <c r="P169" s="34">
        <f>IF(Tabla2__2[[#This Row],[RTA]]=Tabla2__2[[#This Row],[RTA CORRECTA]],Tabla2__2[[#This Row],[TOTAL PUNTAJE]],0)</f>
        <v>3.75</v>
      </c>
      <c r="Q169" s="34">
        <f>IF(OR(H169="Dog Chow húmedo",H169="Cat Chow húmedo",H169="Fancy Feast",H169="Felix",H169="Proplan húmedo",H169="One húmedo",H169="Snack Abrazzos",H169="Snak Dentalife",H169="Arenilla Tidy Cat"),N169,0)</f>
        <v>0</v>
      </c>
      <c r="R169" s="34"/>
    </row>
    <row r="170" spans="1:18" x14ac:dyDescent="0.25">
      <c r="A170" s="34" t="s">
        <v>113</v>
      </c>
      <c r="B170" s="34" t="s">
        <v>8</v>
      </c>
      <c r="C170" t="s">
        <v>15</v>
      </c>
      <c r="D170" s="34" t="s">
        <v>132</v>
      </c>
      <c r="E170" s="34">
        <v>382375</v>
      </c>
      <c r="F170" s="34" t="s">
        <v>158</v>
      </c>
      <c r="G170" s="34" t="s">
        <v>101</v>
      </c>
      <c r="H170" s="34" t="s">
        <v>20</v>
      </c>
      <c r="I170" s="35"/>
      <c r="J170" s="34">
        <v>28907521</v>
      </c>
      <c r="K170" s="34" t="s">
        <v>164</v>
      </c>
      <c r="L170" s="34" t="str">
        <f>_xlfn.XLOOKUP(Tabla2__2[[#This Row],[CODIGO RUTA]],'DATA INFORME'!I:I,'DATA INFORME'!K:K)</f>
        <v>SI</v>
      </c>
      <c r="M170" s="34" t="str">
        <f>IF(Tabla2__2[[#This Row],[MYSTERY EFECTIVO]]="SI",_xlfn.XLOOKUP(Tabla2__2[[#This Row],[PREGUNTA]],ENCUESTA!G:G,ENCUESTA!D:D),"N/A")</f>
        <v>EJECUCIÓN DEL PDV</v>
      </c>
      <c r="N17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70" s="34" t="str">
        <f>_xlfn.XLOOKUP(Tabla2__2[[#This Row],[PREGUNTA]],ENCUESTA!G:G,ENCUESTA!H:H)</f>
        <v>SI</v>
      </c>
      <c r="P170" s="34">
        <f>IF(Tabla2__2[[#This Row],[RTA]]=Tabla2__2[[#This Row],[RTA CORRECTA]],Tabla2__2[[#This Row],[TOTAL PUNTAJE]],0)</f>
        <v>3.75</v>
      </c>
      <c r="Q170" s="34">
        <f>IF(OR(H170="Dog Chow húmedo",H170="Cat Chow húmedo",H170="Fancy Feast",H170="Felix",H170="Proplan húmedo",H170="One húmedo",H170="Snack Abrazzos",H170="Snak Dentalife",H170="Arenilla Tidy Cat"),N170,0)</f>
        <v>0</v>
      </c>
      <c r="R170" s="34"/>
    </row>
    <row r="171" spans="1:18" x14ac:dyDescent="0.25">
      <c r="A171" s="34" t="s">
        <v>113</v>
      </c>
      <c r="B171" s="34" t="s">
        <v>8</v>
      </c>
      <c r="C171" t="s">
        <v>15</v>
      </c>
      <c r="D171" s="34" t="s">
        <v>132</v>
      </c>
      <c r="E171" s="34">
        <v>382375</v>
      </c>
      <c r="F171" s="34" t="s">
        <v>158</v>
      </c>
      <c r="G171" s="34" t="s">
        <v>100</v>
      </c>
      <c r="H171" s="34" t="s">
        <v>20</v>
      </c>
      <c r="I171" s="35"/>
      <c r="J171" s="34">
        <v>28907521</v>
      </c>
      <c r="K171" s="34" t="s">
        <v>164</v>
      </c>
      <c r="L171" s="34" t="str">
        <f>_xlfn.XLOOKUP(Tabla2__2[[#This Row],[CODIGO RUTA]],'DATA INFORME'!I:I,'DATA INFORME'!K:K)</f>
        <v>SI</v>
      </c>
      <c r="M171" s="34" t="str">
        <f>IF(Tabla2__2[[#This Row],[MYSTERY EFECTIVO]]="SI",_xlfn.XLOOKUP(Tabla2__2[[#This Row],[PREGUNTA]],ENCUESTA!G:G,ENCUESTA!D:D),"N/A")</f>
        <v>EJECUCIÓN DEL PDV</v>
      </c>
      <c r="N17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71" s="34" t="str">
        <f>_xlfn.XLOOKUP(Tabla2__2[[#This Row],[PREGUNTA]],ENCUESTA!G:G,ENCUESTA!H:H)</f>
        <v>SI</v>
      </c>
      <c r="P171" s="34">
        <f>IF(Tabla2__2[[#This Row],[RTA]]=Tabla2__2[[#This Row],[RTA CORRECTA]],Tabla2__2[[#This Row],[TOTAL PUNTAJE]],0)</f>
        <v>3.75</v>
      </c>
      <c r="Q171" s="34">
        <f>IF(OR(H171="Dog Chow húmedo",H171="Cat Chow húmedo",H171="Fancy Feast",H171="Felix",H171="Proplan húmedo",H171="One húmedo",H171="Snack Abrazzos",H171="Snak Dentalife",H171="Arenilla Tidy Cat"),N171,0)</f>
        <v>0</v>
      </c>
      <c r="R171" s="34"/>
    </row>
    <row r="172" spans="1:18" x14ac:dyDescent="0.25">
      <c r="A172" s="34" t="s">
        <v>113</v>
      </c>
      <c r="B172" s="34" t="s">
        <v>8</v>
      </c>
      <c r="C172" t="s">
        <v>15</v>
      </c>
      <c r="D172" s="34" t="s">
        <v>132</v>
      </c>
      <c r="E172" s="34">
        <v>382375</v>
      </c>
      <c r="F172" s="34" t="s">
        <v>158</v>
      </c>
      <c r="G172" s="34" t="s">
        <v>35</v>
      </c>
      <c r="H172" s="34" t="s">
        <v>20</v>
      </c>
      <c r="I172" s="35"/>
      <c r="J172" s="34">
        <v>28907521</v>
      </c>
      <c r="K172" s="34" t="s">
        <v>164</v>
      </c>
      <c r="L172" s="34" t="str">
        <f>_xlfn.XLOOKUP(Tabla2__2[[#This Row],[CODIGO RUTA]],'DATA INFORME'!I:I,'DATA INFORME'!K:K)</f>
        <v>SI</v>
      </c>
      <c r="M172" s="34" t="str">
        <f>IF(Tabla2__2[[#This Row],[MYSTERY EFECTIVO]]="SI",_xlfn.XLOOKUP(Tabla2__2[[#This Row],[PREGUNTA]],ENCUESTA!G:G,ENCUESTA!D:D),"N/A")</f>
        <v>PRESENTACIÓN PERSONAL</v>
      </c>
      <c r="N17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72" s="34" t="str">
        <f>_xlfn.XLOOKUP(Tabla2__2[[#This Row],[PREGUNTA]],ENCUESTA!G:G,ENCUESTA!H:H)</f>
        <v>SI</v>
      </c>
      <c r="P172" s="34">
        <f>IF(Tabla2__2[[#This Row],[RTA]]=Tabla2__2[[#This Row],[RTA CORRECTA]],Tabla2__2[[#This Row],[TOTAL PUNTAJE]],0)</f>
        <v>1</v>
      </c>
      <c r="Q172" s="34">
        <f>IF(OR(H172="Dog Chow húmedo",H172="Cat Chow húmedo",H172="Fancy Feast",H172="Felix",H172="Proplan húmedo",H172="One húmedo",H172="Snack Abrazzos",H172="Snak Dentalife",H172="Arenilla Tidy Cat"),N172,0)</f>
        <v>0</v>
      </c>
      <c r="R172" s="34"/>
    </row>
    <row r="173" spans="1:18" x14ac:dyDescent="0.25">
      <c r="A173" s="34" t="s">
        <v>113</v>
      </c>
      <c r="B173" s="34" t="s">
        <v>8</v>
      </c>
      <c r="C173" t="s">
        <v>15</v>
      </c>
      <c r="D173" s="34" t="s">
        <v>132</v>
      </c>
      <c r="E173" s="34">
        <v>382375</v>
      </c>
      <c r="F173" s="34" t="s">
        <v>158</v>
      </c>
      <c r="G173" s="34" t="s">
        <v>99</v>
      </c>
      <c r="H173" s="34" t="s">
        <v>20</v>
      </c>
      <c r="I173" s="35"/>
      <c r="J173" s="34">
        <v>28907521</v>
      </c>
      <c r="K173" s="34" t="s">
        <v>164</v>
      </c>
      <c r="L173" s="34" t="str">
        <f>_xlfn.XLOOKUP(Tabla2__2[[#This Row],[CODIGO RUTA]],'DATA INFORME'!I:I,'DATA INFORME'!K:K)</f>
        <v>SI</v>
      </c>
      <c r="M173" s="34" t="str">
        <f>IF(Tabla2__2[[#This Row],[MYSTERY EFECTIVO]]="SI",_xlfn.XLOOKUP(Tabla2__2[[#This Row],[PREGUNTA]],ENCUESTA!G:G,ENCUESTA!D:D),"N/A")</f>
        <v>EJECUCIÓN DEL PDV</v>
      </c>
      <c r="N17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73" s="34" t="str">
        <f>_xlfn.XLOOKUP(Tabla2__2[[#This Row],[PREGUNTA]],ENCUESTA!G:G,ENCUESTA!H:H)</f>
        <v>SI</v>
      </c>
      <c r="P173" s="34">
        <f>IF(Tabla2__2[[#This Row],[RTA]]=Tabla2__2[[#This Row],[RTA CORRECTA]],Tabla2__2[[#This Row],[TOTAL PUNTAJE]],0)</f>
        <v>3.75</v>
      </c>
      <c r="Q173" s="34">
        <f>IF(OR(H173="Dog Chow húmedo",H173="Cat Chow húmedo",H173="Fancy Feast",H173="Felix",H173="Proplan húmedo",H173="One húmedo",H173="Snack Abrazzos",H173="Snak Dentalife",H173="Arenilla Tidy Cat"),N173,0)</f>
        <v>0</v>
      </c>
      <c r="R173" s="34"/>
    </row>
    <row r="174" spans="1:18" x14ac:dyDescent="0.25">
      <c r="A174" s="34" t="s">
        <v>113</v>
      </c>
      <c r="B174" s="34" t="s">
        <v>8</v>
      </c>
      <c r="C174" t="s">
        <v>15</v>
      </c>
      <c r="D174" s="34" t="s">
        <v>132</v>
      </c>
      <c r="E174" s="34">
        <v>382375</v>
      </c>
      <c r="F174" s="34" t="s">
        <v>158</v>
      </c>
      <c r="G174" s="34" t="s">
        <v>97</v>
      </c>
      <c r="H174" s="34" t="s">
        <v>112</v>
      </c>
      <c r="I174" s="35"/>
      <c r="J174" s="34">
        <v>28907521</v>
      </c>
      <c r="K174" s="34" t="s">
        <v>164</v>
      </c>
      <c r="L174" s="34" t="str">
        <f>_xlfn.XLOOKUP(Tabla2__2[[#This Row],[CODIGO RUTA]],'DATA INFORME'!I:I,'DATA INFORME'!K:K)</f>
        <v>SI</v>
      </c>
      <c r="M174" s="34" t="str">
        <f>IF(Tabla2__2[[#This Row],[MYSTERY EFECTIVO]]="SI",_xlfn.XLOOKUP(Tabla2__2[[#This Row],[PREGUNTA]],ENCUESTA!G:G,ENCUESTA!D:D),"N/A")</f>
        <v>PRESENTACIÓN PERSONAL</v>
      </c>
      <c r="N17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74" s="34" t="str">
        <f>_xlfn.XLOOKUP(Tabla2__2[[#This Row],[PREGUNTA]],ENCUESTA!G:G,ENCUESTA!H:H)</f>
        <v>NO</v>
      </c>
      <c r="P174" s="34">
        <f>IF(Tabla2__2[[#This Row],[RTA]]=Tabla2__2[[#This Row],[RTA CORRECTA]],Tabla2__2[[#This Row],[TOTAL PUNTAJE]],0)</f>
        <v>1</v>
      </c>
      <c r="Q174" s="34">
        <f>IF(OR(H174="Dog Chow húmedo",H174="Cat Chow húmedo",H174="Fancy Feast",H174="Felix",H174="Proplan húmedo",H174="One húmedo",H174="Snack Abrazzos",H174="Snak Dentalife",H174="Arenilla Tidy Cat"),N174,0)</f>
        <v>0</v>
      </c>
      <c r="R174" s="34"/>
    </row>
    <row r="175" spans="1:18" x14ac:dyDescent="0.25">
      <c r="A175" s="34" t="s">
        <v>113</v>
      </c>
      <c r="B175" s="34" t="s">
        <v>8</v>
      </c>
      <c r="C175" t="s">
        <v>15</v>
      </c>
      <c r="D175" s="34" t="s">
        <v>132</v>
      </c>
      <c r="E175" s="34">
        <v>382375</v>
      </c>
      <c r="F175" s="34" t="s">
        <v>158</v>
      </c>
      <c r="G175" s="34" t="s">
        <v>96</v>
      </c>
      <c r="H175" s="34" t="s">
        <v>112</v>
      </c>
      <c r="I175" s="35"/>
      <c r="J175" s="34">
        <v>28907521</v>
      </c>
      <c r="K175" s="34" t="s">
        <v>164</v>
      </c>
      <c r="L175" s="34" t="str">
        <f>_xlfn.XLOOKUP(Tabla2__2[[#This Row],[CODIGO RUTA]],'DATA INFORME'!I:I,'DATA INFORME'!K:K)</f>
        <v>SI</v>
      </c>
      <c r="M175" s="34" t="str">
        <f>IF(Tabla2__2[[#This Row],[MYSTERY EFECTIVO]]="SI",_xlfn.XLOOKUP(Tabla2__2[[#This Row],[PREGUNTA]],ENCUESTA!G:G,ENCUESTA!D:D),"N/A")</f>
        <v>PRESENTACIÓN PERSONAL</v>
      </c>
      <c r="N17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75" s="34" t="str">
        <f>_xlfn.XLOOKUP(Tabla2__2[[#This Row],[PREGUNTA]],ENCUESTA!G:G,ENCUESTA!H:H)</f>
        <v>NO</v>
      </c>
      <c r="P175" s="34">
        <f>IF(Tabla2__2[[#This Row],[RTA]]=Tabla2__2[[#This Row],[RTA CORRECTA]],Tabla2__2[[#This Row],[TOTAL PUNTAJE]],0)</f>
        <v>1</v>
      </c>
      <c r="Q175" s="34">
        <f>IF(OR(H175="Dog Chow húmedo",H175="Cat Chow húmedo",H175="Fancy Feast",H175="Felix",H175="Proplan húmedo",H175="One húmedo",H175="Snack Abrazzos",H175="Snak Dentalife",H175="Arenilla Tidy Cat"),N175,0)</f>
        <v>0</v>
      </c>
      <c r="R175" s="34"/>
    </row>
    <row r="176" spans="1:18" x14ac:dyDescent="0.25">
      <c r="A176" s="34" t="s">
        <v>113</v>
      </c>
      <c r="B176" s="34" t="s">
        <v>8</v>
      </c>
      <c r="C176" t="s">
        <v>15</v>
      </c>
      <c r="D176" s="34" t="s">
        <v>132</v>
      </c>
      <c r="E176" s="34">
        <v>382375</v>
      </c>
      <c r="F176" s="34" t="s">
        <v>158</v>
      </c>
      <c r="G176" s="34" t="s">
        <v>95</v>
      </c>
      <c r="H176" s="34" t="s">
        <v>112</v>
      </c>
      <c r="I176" s="35"/>
      <c r="J176" s="34">
        <v>28907521</v>
      </c>
      <c r="K176" s="34" t="s">
        <v>164</v>
      </c>
      <c r="L176" s="34" t="str">
        <f>_xlfn.XLOOKUP(Tabla2__2[[#This Row],[CODIGO RUTA]],'DATA INFORME'!I:I,'DATA INFORME'!K:K)</f>
        <v>SI</v>
      </c>
      <c r="M176" s="34" t="str">
        <f>IF(Tabla2__2[[#This Row],[MYSTERY EFECTIVO]]="SI",_xlfn.XLOOKUP(Tabla2__2[[#This Row],[PREGUNTA]],ENCUESTA!G:G,ENCUESTA!D:D),"N/A")</f>
        <v>PRESENTACIÓN PERSONAL</v>
      </c>
      <c r="N17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76" s="34" t="str">
        <f>_xlfn.XLOOKUP(Tabla2__2[[#This Row],[PREGUNTA]],ENCUESTA!G:G,ENCUESTA!H:H)</f>
        <v>NO</v>
      </c>
      <c r="P176" s="34">
        <f>IF(Tabla2__2[[#This Row],[RTA]]=Tabla2__2[[#This Row],[RTA CORRECTA]],Tabla2__2[[#This Row],[TOTAL PUNTAJE]],0)</f>
        <v>1</v>
      </c>
      <c r="Q176" s="34">
        <f>IF(OR(H176="Dog Chow húmedo",H176="Cat Chow húmedo",H176="Fancy Feast",H176="Felix",H176="Proplan húmedo",H176="One húmedo",H176="Snack Abrazzos",H176="Snak Dentalife",H176="Arenilla Tidy Cat"),N176,0)</f>
        <v>0</v>
      </c>
      <c r="R176" s="34"/>
    </row>
    <row r="177" spans="1:18" x14ac:dyDescent="0.25">
      <c r="A177" s="34" t="s">
        <v>113</v>
      </c>
      <c r="B177" s="34" t="s">
        <v>8</v>
      </c>
      <c r="C177" t="s">
        <v>15</v>
      </c>
      <c r="D177" s="34" t="s">
        <v>132</v>
      </c>
      <c r="E177" s="34">
        <v>382375</v>
      </c>
      <c r="F177" s="34" t="s">
        <v>158</v>
      </c>
      <c r="G177" s="34" t="s">
        <v>94</v>
      </c>
      <c r="H177" s="34" t="s">
        <v>112</v>
      </c>
      <c r="I177" s="35"/>
      <c r="J177" s="34">
        <v>28907521</v>
      </c>
      <c r="K177" s="34" t="s">
        <v>164</v>
      </c>
      <c r="L177" s="34" t="str">
        <f>_xlfn.XLOOKUP(Tabla2__2[[#This Row],[CODIGO RUTA]],'DATA INFORME'!I:I,'DATA INFORME'!K:K)</f>
        <v>SI</v>
      </c>
      <c r="M177" s="34" t="str">
        <f>IF(Tabla2__2[[#This Row],[MYSTERY EFECTIVO]]="SI",_xlfn.XLOOKUP(Tabla2__2[[#This Row],[PREGUNTA]],ENCUESTA!G:G,ENCUESTA!D:D),"N/A")</f>
        <v>PRESENTACIÓN PERSONAL</v>
      </c>
      <c r="N17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77" s="34" t="str">
        <f>_xlfn.XLOOKUP(Tabla2__2[[#This Row],[PREGUNTA]],ENCUESTA!G:G,ENCUESTA!H:H)</f>
        <v>NO</v>
      </c>
      <c r="P177" s="34">
        <f>IF(Tabla2__2[[#This Row],[RTA]]=Tabla2__2[[#This Row],[RTA CORRECTA]],Tabla2__2[[#This Row],[TOTAL PUNTAJE]],0)</f>
        <v>1</v>
      </c>
      <c r="Q177" s="34">
        <f>IF(OR(H177="Dog Chow húmedo",H177="Cat Chow húmedo",H177="Fancy Feast",H177="Felix",H177="Proplan húmedo",H177="One húmedo",H177="Snack Abrazzos",H177="Snak Dentalife",H177="Arenilla Tidy Cat"),N177,0)</f>
        <v>0</v>
      </c>
      <c r="R177" s="34"/>
    </row>
    <row r="178" spans="1:18" x14ac:dyDescent="0.25">
      <c r="A178" s="34" t="s">
        <v>113</v>
      </c>
      <c r="B178" s="34" t="s">
        <v>8</v>
      </c>
      <c r="C178" t="s">
        <v>15</v>
      </c>
      <c r="D178" s="34" t="s">
        <v>132</v>
      </c>
      <c r="E178" s="34">
        <v>382375</v>
      </c>
      <c r="F178" s="34" t="s">
        <v>158</v>
      </c>
      <c r="G178" s="34" t="s">
        <v>93</v>
      </c>
      <c r="H178" s="34" t="s">
        <v>20</v>
      </c>
      <c r="I178" s="35"/>
      <c r="J178" s="34">
        <v>28907521</v>
      </c>
      <c r="K178" s="34" t="s">
        <v>164</v>
      </c>
      <c r="L178" s="34" t="str">
        <f>_xlfn.XLOOKUP(Tabla2__2[[#This Row],[CODIGO RUTA]],'DATA INFORME'!I:I,'DATA INFORME'!K:K)</f>
        <v>SI</v>
      </c>
      <c r="M178" s="34" t="str">
        <f>IF(Tabla2__2[[#This Row],[MYSTERY EFECTIVO]]="SI",_xlfn.XLOOKUP(Tabla2__2[[#This Row],[PREGUNTA]],ENCUESTA!G:G,ENCUESTA!D:D),"N/A")</f>
        <v>PRESENTACIÓN PERSONAL</v>
      </c>
      <c r="N17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78" s="34" t="str">
        <f>_xlfn.XLOOKUP(Tabla2__2[[#This Row],[PREGUNTA]],ENCUESTA!G:G,ENCUESTA!H:H)</f>
        <v>SI</v>
      </c>
      <c r="P178" s="34">
        <f>IF(Tabla2__2[[#This Row],[RTA]]=Tabla2__2[[#This Row],[RTA CORRECTA]],Tabla2__2[[#This Row],[TOTAL PUNTAJE]],0)</f>
        <v>1</v>
      </c>
      <c r="Q178" s="34">
        <f>IF(OR(H178="Dog Chow húmedo",H178="Cat Chow húmedo",H178="Fancy Feast",H178="Felix",H178="Proplan húmedo",H178="One húmedo",H178="Snack Abrazzos",H178="Snak Dentalife",H178="Arenilla Tidy Cat"),N178,0)</f>
        <v>0</v>
      </c>
      <c r="R178" s="34"/>
    </row>
    <row r="179" spans="1:18" x14ac:dyDescent="0.25">
      <c r="A179" s="34" t="s">
        <v>113</v>
      </c>
      <c r="B179" s="34" t="s">
        <v>8</v>
      </c>
      <c r="C179" t="s">
        <v>15</v>
      </c>
      <c r="D179" s="34" t="s">
        <v>132</v>
      </c>
      <c r="E179" s="34">
        <v>382375</v>
      </c>
      <c r="F179" s="34" t="s">
        <v>158</v>
      </c>
      <c r="G179" s="34" t="s">
        <v>92</v>
      </c>
      <c r="H179" s="34" t="s">
        <v>20</v>
      </c>
      <c r="I179" s="35"/>
      <c r="J179" s="34">
        <v>28907521</v>
      </c>
      <c r="K179" s="34" t="s">
        <v>164</v>
      </c>
      <c r="L179" s="34" t="str">
        <f>_xlfn.XLOOKUP(Tabla2__2[[#This Row],[CODIGO RUTA]],'DATA INFORME'!I:I,'DATA INFORME'!K:K)</f>
        <v>SI</v>
      </c>
      <c r="M179" s="34" t="str">
        <f>IF(Tabla2__2[[#This Row],[MYSTERY EFECTIVO]]="SI",_xlfn.XLOOKUP(Tabla2__2[[#This Row],[PREGUNTA]],ENCUESTA!G:G,ENCUESTA!D:D),"N/A")</f>
        <v>PRESENTACIÓN PERSONAL</v>
      </c>
      <c r="N17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79" s="34" t="str">
        <f>_xlfn.XLOOKUP(Tabla2__2[[#This Row],[PREGUNTA]],ENCUESTA!G:G,ENCUESTA!H:H)</f>
        <v>SI</v>
      </c>
      <c r="P179" s="34">
        <f>IF(Tabla2__2[[#This Row],[RTA]]=Tabla2__2[[#This Row],[RTA CORRECTA]],Tabla2__2[[#This Row],[TOTAL PUNTAJE]],0)</f>
        <v>1</v>
      </c>
      <c r="Q179" s="34">
        <f>IF(OR(H179="Dog Chow húmedo",H179="Cat Chow húmedo",H179="Fancy Feast",H179="Felix",H179="Proplan húmedo",H179="One húmedo",H179="Snack Abrazzos",H179="Snak Dentalife",H179="Arenilla Tidy Cat"),N179,0)</f>
        <v>0</v>
      </c>
      <c r="R179" s="34"/>
    </row>
    <row r="180" spans="1:18" x14ac:dyDescent="0.25">
      <c r="A180" s="34" t="s">
        <v>113</v>
      </c>
      <c r="B180" s="34" t="s">
        <v>8</v>
      </c>
      <c r="C180" t="s">
        <v>15</v>
      </c>
      <c r="D180" s="34" t="s">
        <v>132</v>
      </c>
      <c r="E180" s="34">
        <v>382375</v>
      </c>
      <c r="F180" s="34" t="s">
        <v>158</v>
      </c>
      <c r="G180" s="34" t="s">
        <v>98</v>
      </c>
      <c r="H180" s="34" t="s">
        <v>20</v>
      </c>
      <c r="I180" s="35"/>
      <c r="J180" s="34">
        <v>28907521</v>
      </c>
      <c r="K180" s="34" t="s">
        <v>164</v>
      </c>
      <c r="L180" s="34" t="str">
        <f>_xlfn.XLOOKUP(Tabla2__2[[#This Row],[CODIGO RUTA]],'DATA INFORME'!I:I,'DATA INFORME'!K:K)</f>
        <v>SI</v>
      </c>
      <c r="M180" s="34" t="str">
        <f>IF(Tabla2__2[[#This Row],[MYSTERY EFECTIVO]]="SI",_xlfn.XLOOKUP(Tabla2__2[[#This Row],[PREGUNTA]],ENCUESTA!G:G,ENCUESTA!D:D),"N/A")</f>
        <v>EJECUCIÓN DEL PDV</v>
      </c>
      <c r="N18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0" s="34" t="str">
        <f>_xlfn.XLOOKUP(Tabla2__2[[#This Row],[PREGUNTA]],ENCUESTA!G:G,ENCUESTA!H:H)</f>
        <v>SI</v>
      </c>
      <c r="P180" s="34">
        <f>IF(Tabla2__2[[#This Row],[RTA]]=Tabla2__2[[#This Row],[RTA CORRECTA]],Tabla2__2[[#This Row],[TOTAL PUNTAJE]],0)</f>
        <v>3.75</v>
      </c>
      <c r="Q180" s="34">
        <f>IF(OR(H180="Dog Chow húmedo",H180="Cat Chow húmedo",H180="Fancy Feast",H180="Felix",H180="Proplan húmedo",H180="One húmedo",H180="Snack Abrazzos",H180="Snak Dentalife",H180="Arenilla Tidy Cat"),N180,0)</f>
        <v>0</v>
      </c>
      <c r="R180" s="34"/>
    </row>
    <row r="181" spans="1:18" x14ac:dyDescent="0.25">
      <c r="A181" s="34" t="s">
        <v>113</v>
      </c>
      <c r="B181" s="34" t="s">
        <v>8</v>
      </c>
      <c r="C181" t="s">
        <v>43</v>
      </c>
      <c r="D181" s="34" t="s">
        <v>132</v>
      </c>
      <c r="E181" s="34">
        <v>201118</v>
      </c>
      <c r="F181" s="34" t="s">
        <v>151</v>
      </c>
      <c r="G181" s="34" t="s">
        <v>96</v>
      </c>
      <c r="H181" s="34" t="s">
        <v>112</v>
      </c>
      <c r="I181" s="35"/>
      <c r="J181" s="34">
        <v>28904500</v>
      </c>
      <c r="K181" s="34" t="s">
        <v>116</v>
      </c>
      <c r="L181" s="34" t="str">
        <f>_xlfn.XLOOKUP(Tabla2__2[[#This Row],[CODIGO RUTA]],'DATA INFORME'!I:I,'DATA INFORME'!K:K)</f>
        <v>SI</v>
      </c>
      <c r="M181" s="34" t="str">
        <f>IF(Tabla2__2[[#This Row],[MYSTERY EFECTIVO]]="SI",_xlfn.XLOOKUP(Tabla2__2[[#This Row],[PREGUNTA]],ENCUESTA!G:G,ENCUESTA!D:D),"N/A")</f>
        <v>PRESENTACIÓN PERSONAL</v>
      </c>
      <c r="N18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81" s="34" t="str">
        <f>_xlfn.XLOOKUP(Tabla2__2[[#This Row],[PREGUNTA]],ENCUESTA!G:G,ENCUESTA!H:H)</f>
        <v>NO</v>
      </c>
      <c r="P181" s="34">
        <f>IF(Tabla2__2[[#This Row],[RTA]]=Tabla2__2[[#This Row],[RTA CORRECTA]],Tabla2__2[[#This Row],[TOTAL PUNTAJE]],0)</f>
        <v>1</v>
      </c>
      <c r="Q181" s="34">
        <f>IF(OR(H181="Dog Chow húmedo",H181="Cat Chow húmedo",H181="Fancy Feast",H181="Felix",H181="Proplan húmedo",H181="One húmedo",H181="Snack Abrazzos",H181="Snak Dentalife",H181="Arenilla Tidy Cat"),N181,0)</f>
        <v>0</v>
      </c>
      <c r="R181" s="34"/>
    </row>
    <row r="182" spans="1:18" x14ac:dyDescent="0.25">
      <c r="A182" s="34" t="s">
        <v>113</v>
      </c>
      <c r="B182" s="34" t="s">
        <v>8</v>
      </c>
      <c r="C182" t="s">
        <v>43</v>
      </c>
      <c r="D182" s="34" t="s">
        <v>132</v>
      </c>
      <c r="E182" s="34">
        <v>201118</v>
      </c>
      <c r="F182" s="34" t="s">
        <v>151</v>
      </c>
      <c r="G182" s="34" t="s">
        <v>95</v>
      </c>
      <c r="H182" s="34" t="s">
        <v>112</v>
      </c>
      <c r="I182" s="35"/>
      <c r="J182" s="34">
        <v>28904500</v>
      </c>
      <c r="K182" s="34" t="s">
        <v>116</v>
      </c>
      <c r="L182" s="34" t="str">
        <f>_xlfn.XLOOKUP(Tabla2__2[[#This Row],[CODIGO RUTA]],'DATA INFORME'!I:I,'DATA INFORME'!K:K)</f>
        <v>SI</v>
      </c>
      <c r="M182" s="34" t="str">
        <f>IF(Tabla2__2[[#This Row],[MYSTERY EFECTIVO]]="SI",_xlfn.XLOOKUP(Tabla2__2[[#This Row],[PREGUNTA]],ENCUESTA!G:G,ENCUESTA!D:D),"N/A")</f>
        <v>PRESENTACIÓN PERSONAL</v>
      </c>
      <c r="N18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82" s="34" t="str">
        <f>_xlfn.XLOOKUP(Tabla2__2[[#This Row],[PREGUNTA]],ENCUESTA!G:G,ENCUESTA!H:H)</f>
        <v>NO</v>
      </c>
      <c r="P182" s="34">
        <f>IF(Tabla2__2[[#This Row],[RTA]]=Tabla2__2[[#This Row],[RTA CORRECTA]],Tabla2__2[[#This Row],[TOTAL PUNTAJE]],0)</f>
        <v>1</v>
      </c>
      <c r="Q182" s="34">
        <f>IF(OR(H182="Dog Chow húmedo",H182="Cat Chow húmedo",H182="Fancy Feast",H182="Felix",H182="Proplan húmedo",H182="One húmedo",H182="Snack Abrazzos",H182="Snak Dentalife",H182="Arenilla Tidy Cat"),N182,0)</f>
        <v>0</v>
      </c>
      <c r="R182" s="34"/>
    </row>
    <row r="183" spans="1:18" x14ac:dyDescent="0.25">
      <c r="A183" s="34" t="s">
        <v>113</v>
      </c>
      <c r="B183" s="34" t="s">
        <v>8</v>
      </c>
      <c r="C183" t="s">
        <v>43</v>
      </c>
      <c r="D183" s="34" t="s">
        <v>132</v>
      </c>
      <c r="E183" s="34">
        <v>201118</v>
      </c>
      <c r="F183" s="34" t="s">
        <v>151</v>
      </c>
      <c r="G183" s="34" t="s">
        <v>94</v>
      </c>
      <c r="H183" s="34" t="s">
        <v>112</v>
      </c>
      <c r="I183" s="35"/>
      <c r="J183" s="34">
        <v>28904500</v>
      </c>
      <c r="K183" s="34" t="s">
        <v>116</v>
      </c>
      <c r="L183" s="34" t="str">
        <f>_xlfn.XLOOKUP(Tabla2__2[[#This Row],[CODIGO RUTA]],'DATA INFORME'!I:I,'DATA INFORME'!K:K)</f>
        <v>SI</v>
      </c>
      <c r="M183" s="34" t="str">
        <f>IF(Tabla2__2[[#This Row],[MYSTERY EFECTIVO]]="SI",_xlfn.XLOOKUP(Tabla2__2[[#This Row],[PREGUNTA]],ENCUESTA!G:G,ENCUESTA!D:D),"N/A")</f>
        <v>PRESENTACIÓN PERSONAL</v>
      </c>
      <c r="N18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83" s="34" t="str">
        <f>_xlfn.XLOOKUP(Tabla2__2[[#This Row],[PREGUNTA]],ENCUESTA!G:G,ENCUESTA!H:H)</f>
        <v>NO</v>
      </c>
      <c r="P183" s="34">
        <f>IF(Tabla2__2[[#This Row],[RTA]]=Tabla2__2[[#This Row],[RTA CORRECTA]],Tabla2__2[[#This Row],[TOTAL PUNTAJE]],0)</f>
        <v>1</v>
      </c>
      <c r="Q183" s="34">
        <f>IF(OR(H183="Dog Chow húmedo",H183="Cat Chow húmedo",H183="Fancy Feast",H183="Felix",H183="Proplan húmedo",H183="One húmedo",H183="Snack Abrazzos",H183="Snak Dentalife",H183="Arenilla Tidy Cat"),N183,0)</f>
        <v>0</v>
      </c>
      <c r="R183" s="34"/>
    </row>
    <row r="184" spans="1:18" x14ac:dyDescent="0.25">
      <c r="A184" s="34" t="s">
        <v>113</v>
      </c>
      <c r="B184" s="34" t="s">
        <v>8</v>
      </c>
      <c r="C184" t="s">
        <v>14</v>
      </c>
      <c r="D184" s="34" t="s">
        <v>132</v>
      </c>
      <c r="E184" s="34">
        <v>442180</v>
      </c>
      <c r="F184" s="34" t="s">
        <v>143</v>
      </c>
      <c r="G184" s="34" t="s">
        <v>100</v>
      </c>
      <c r="H184" s="34" t="s">
        <v>20</v>
      </c>
      <c r="I184" s="35"/>
      <c r="J184" s="34">
        <v>28904337</v>
      </c>
      <c r="K184" s="34" t="s">
        <v>116</v>
      </c>
      <c r="L184" s="34" t="str">
        <f>_xlfn.XLOOKUP(Tabla2__2[[#This Row],[CODIGO RUTA]],'DATA INFORME'!I:I,'DATA INFORME'!K:K)</f>
        <v>SI</v>
      </c>
      <c r="M184" s="34" t="str">
        <f>IF(Tabla2__2[[#This Row],[MYSTERY EFECTIVO]]="SI",_xlfn.XLOOKUP(Tabla2__2[[#This Row],[PREGUNTA]],ENCUESTA!G:G,ENCUESTA!D:D),"N/A")</f>
        <v>EJECUCIÓN DEL PDV</v>
      </c>
      <c r="N18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4" s="34" t="str">
        <f>_xlfn.XLOOKUP(Tabla2__2[[#This Row],[PREGUNTA]],ENCUESTA!G:G,ENCUESTA!H:H)</f>
        <v>SI</v>
      </c>
      <c r="P184" s="34">
        <f>IF(Tabla2__2[[#This Row],[RTA]]=Tabla2__2[[#This Row],[RTA CORRECTA]],Tabla2__2[[#This Row],[TOTAL PUNTAJE]],0)</f>
        <v>3.75</v>
      </c>
      <c r="Q184" s="34">
        <f>IF(OR(H184="Dog Chow húmedo",H184="Cat Chow húmedo",H184="Fancy Feast",H184="Felix",H184="Proplan húmedo",H184="One húmedo",H184="Snack Abrazzos",H184="Snak Dentalife",H184="Arenilla Tidy Cat"),N184,0)</f>
        <v>0</v>
      </c>
      <c r="R184" s="34"/>
    </row>
    <row r="185" spans="1:18" x14ac:dyDescent="0.25">
      <c r="A185" s="34" t="s">
        <v>113</v>
      </c>
      <c r="B185" s="34" t="s">
        <v>8</v>
      </c>
      <c r="C185" t="s">
        <v>14</v>
      </c>
      <c r="D185" s="34" t="s">
        <v>132</v>
      </c>
      <c r="E185" s="34">
        <v>442180</v>
      </c>
      <c r="F185" s="34" t="s">
        <v>143</v>
      </c>
      <c r="G185" s="34" t="s">
        <v>99</v>
      </c>
      <c r="H185" s="34" t="s">
        <v>20</v>
      </c>
      <c r="I185" s="35"/>
      <c r="J185" s="34">
        <v>28904337</v>
      </c>
      <c r="K185" s="34" t="s">
        <v>116</v>
      </c>
      <c r="L185" s="34" t="str">
        <f>_xlfn.XLOOKUP(Tabla2__2[[#This Row],[CODIGO RUTA]],'DATA INFORME'!I:I,'DATA INFORME'!K:K)</f>
        <v>SI</v>
      </c>
      <c r="M185" s="34" t="str">
        <f>IF(Tabla2__2[[#This Row],[MYSTERY EFECTIVO]]="SI",_xlfn.XLOOKUP(Tabla2__2[[#This Row],[PREGUNTA]],ENCUESTA!G:G,ENCUESTA!D:D),"N/A")</f>
        <v>EJECUCIÓN DEL PDV</v>
      </c>
      <c r="N18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5" s="34" t="str">
        <f>_xlfn.XLOOKUP(Tabla2__2[[#This Row],[PREGUNTA]],ENCUESTA!G:G,ENCUESTA!H:H)</f>
        <v>SI</v>
      </c>
      <c r="P185" s="34">
        <f>IF(Tabla2__2[[#This Row],[RTA]]=Tabla2__2[[#This Row],[RTA CORRECTA]],Tabla2__2[[#This Row],[TOTAL PUNTAJE]],0)</f>
        <v>3.75</v>
      </c>
      <c r="Q185" s="34">
        <f>IF(OR(H185="Dog Chow húmedo",H185="Cat Chow húmedo",H185="Fancy Feast",H185="Felix",H185="Proplan húmedo",H185="One húmedo",H185="Snack Abrazzos",H185="Snak Dentalife",H185="Arenilla Tidy Cat"),N185,0)</f>
        <v>0</v>
      </c>
      <c r="R185" s="34"/>
    </row>
    <row r="186" spans="1:18" x14ac:dyDescent="0.25">
      <c r="A186" s="34" t="s">
        <v>113</v>
      </c>
      <c r="B186" s="34" t="s">
        <v>8</v>
      </c>
      <c r="C186" t="s">
        <v>14</v>
      </c>
      <c r="D186" s="34" t="s">
        <v>132</v>
      </c>
      <c r="E186" s="34">
        <v>442180</v>
      </c>
      <c r="F186" s="34" t="s">
        <v>143</v>
      </c>
      <c r="G186" s="34" t="s">
        <v>98</v>
      </c>
      <c r="H186" s="34" t="s">
        <v>20</v>
      </c>
      <c r="I186" s="35"/>
      <c r="J186" s="34">
        <v>28904337</v>
      </c>
      <c r="K186" s="34" t="s">
        <v>116</v>
      </c>
      <c r="L186" s="34" t="str">
        <f>_xlfn.XLOOKUP(Tabla2__2[[#This Row],[CODIGO RUTA]],'DATA INFORME'!I:I,'DATA INFORME'!K:K)</f>
        <v>SI</v>
      </c>
      <c r="M186" s="34" t="str">
        <f>IF(Tabla2__2[[#This Row],[MYSTERY EFECTIVO]]="SI",_xlfn.XLOOKUP(Tabla2__2[[#This Row],[PREGUNTA]],ENCUESTA!G:G,ENCUESTA!D:D),"N/A")</f>
        <v>EJECUCIÓN DEL PDV</v>
      </c>
      <c r="N18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6" s="34" t="str">
        <f>_xlfn.XLOOKUP(Tabla2__2[[#This Row],[PREGUNTA]],ENCUESTA!G:G,ENCUESTA!H:H)</f>
        <v>SI</v>
      </c>
      <c r="P186" s="34">
        <f>IF(Tabla2__2[[#This Row],[RTA]]=Tabla2__2[[#This Row],[RTA CORRECTA]],Tabla2__2[[#This Row],[TOTAL PUNTAJE]],0)</f>
        <v>3.75</v>
      </c>
      <c r="Q186" s="34">
        <f>IF(OR(H186="Dog Chow húmedo",H186="Cat Chow húmedo",H186="Fancy Feast",H186="Felix",H186="Proplan húmedo",H186="One húmedo",H186="Snack Abrazzos",H186="Snak Dentalife",H186="Arenilla Tidy Cat"),N186,0)</f>
        <v>0</v>
      </c>
      <c r="R186" s="34"/>
    </row>
    <row r="187" spans="1:18" x14ac:dyDescent="0.25">
      <c r="A187" s="34" t="s">
        <v>113</v>
      </c>
      <c r="B187" s="34" t="s">
        <v>8</v>
      </c>
      <c r="C187" t="s">
        <v>14</v>
      </c>
      <c r="D187" s="34" t="s">
        <v>132</v>
      </c>
      <c r="E187" s="34">
        <v>442180</v>
      </c>
      <c r="F187" s="34" t="s">
        <v>143</v>
      </c>
      <c r="G187" s="34" t="s">
        <v>97</v>
      </c>
      <c r="H187" s="34" t="s">
        <v>112</v>
      </c>
      <c r="I187" s="35"/>
      <c r="J187" s="34">
        <v>28904337</v>
      </c>
      <c r="K187" s="34" t="s">
        <v>116</v>
      </c>
      <c r="L187" s="34" t="str">
        <f>_xlfn.XLOOKUP(Tabla2__2[[#This Row],[CODIGO RUTA]],'DATA INFORME'!I:I,'DATA INFORME'!K:K)</f>
        <v>SI</v>
      </c>
      <c r="M187" s="34" t="str">
        <f>IF(Tabla2__2[[#This Row],[MYSTERY EFECTIVO]]="SI",_xlfn.XLOOKUP(Tabla2__2[[#This Row],[PREGUNTA]],ENCUESTA!G:G,ENCUESTA!D:D),"N/A")</f>
        <v>PRESENTACIÓN PERSONAL</v>
      </c>
      <c r="N18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87" s="34" t="str">
        <f>_xlfn.XLOOKUP(Tabla2__2[[#This Row],[PREGUNTA]],ENCUESTA!G:G,ENCUESTA!H:H)</f>
        <v>NO</v>
      </c>
      <c r="P187" s="34">
        <f>IF(Tabla2__2[[#This Row],[RTA]]=Tabla2__2[[#This Row],[RTA CORRECTA]],Tabla2__2[[#This Row],[TOTAL PUNTAJE]],0)</f>
        <v>1</v>
      </c>
      <c r="Q187" s="34">
        <f>IF(OR(H187="Dog Chow húmedo",H187="Cat Chow húmedo",H187="Fancy Feast",H187="Felix",H187="Proplan húmedo",H187="One húmedo",H187="Snack Abrazzos",H187="Snak Dentalife",H187="Arenilla Tidy Cat"),N187,0)</f>
        <v>0</v>
      </c>
      <c r="R187" s="34"/>
    </row>
    <row r="188" spans="1:18" x14ac:dyDescent="0.25">
      <c r="A188" s="34" t="s">
        <v>113</v>
      </c>
      <c r="B188" s="34" t="s">
        <v>8</v>
      </c>
      <c r="C188" t="s">
        <v>14</v>
      </c>
      <c r="D188" s="34" t="s">
        <v>132</v>
      </c>
      <c r="E188" s="34">
        <v>442180</v>
      </c>
      <c r="F188" s="34" t="s">
        <v>143</v>
      </c>
      <c r="G188" s="34" t="s">
        <v>96</v>
      </c>
      <c r="H188" s="34" t="s">
        <v>20</v>
      </c>
      <c r="I188" s="35"/>
      <c r="J188" s="34">
        <v>28904337</v>
      </c>
      <c r="K188" s="34" t="s">
        <v>116</v>
      </c>
      <c r="L188" s="34" t="str">
        <f>_xlfn.XLOOKUP(Tabla2__2[[#This Row],[CODIGO RUTA]],'DATA INFORME'!I:I,'DATA INFORME'!K:K)</f>
        <v>SI</v>
      </c>
      <c r="M188" s="34" t="str">
        <f>IF(Tabla2__2[[#This Row],[MYSTERY EFECTIVO]]="SI",_xlfn.XLOOKUP(Tabla2__2[[#This Row],[PREGUNTA]],ENCUESTA!G:G,ENCUESTA!D:D),"N/A")</f>
        <v>PRESENTACIÓN PERSONAL</v>
      </c>
      <c r="N18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88" s="34" t="str">
        <f>_xlfn.XLOOKUP(Tabla2__2[[#This Row],[PREGUNTA]],ENCUESTA!G:G,ENCUESTA!H:H)</f>
        <v>NO</v>
      </c>
      <c r="P188" s="34">
        <f>IF(Tabla2__2[[#This Row],[RTA]]=Tabla2__2[[#This Row],[RTA CORRECTA]],Tabla2__2[[#This Row],[TOTAL PUNTAJE]],0)</f>
        <v>0</v>
      </c>
      <c r="Q188" s="34">
        <f>IF(OR(H188="Dog Chow húmedo",H188="Cat Chow húmedo",H188="Fancy Feast",H188="Felix",H188="Proplan húmedo",H188="One húmedo",H188="Snack Abrazzos",H188="Snak Dentalife",H188="Arenilla Tidy Cat"),N188,0)</f>
        <v>0</v>
      </c>
      <c r="R188" s="34"/>
    </row>
    <row r="189" spans="1:18" x14ac:dyDescent="0.25">
      <c r="A189" s="34" t="s">
        <v>113</v>
      </c>
      <c r="B189" s="34" t="s">
        <v>8</v>
      </c>
      <c r="C189" t="s">
        <v>14</v>
      </c>
      <c r="D189" s="34" t="s">
        <v>132</v>
      </c>
      <c r="E189" s="34">
        <v>442180</v>
      </c>
      <c r="F189" s="34" t="s">
        <v>143</v>
      </c>
      <c r="G189" s="34" t="s">
        <v>95</v>
      </c>
      <c r="H189" s="34" t="s">
        <v>112</v>
      </c>
      <c r="I189" s="35"/>
      <c r="J189" s="34">
        <v>28904337</v>
      </c>
      <c r="K189" s="34" t="s">
        <v>116</v>
      </c>
      <c r="L189" s="34" t="str">
        <f>_xlfn.XLOOKUP(Tabla2__2[[#This Row],[CODIGO RUTA]],'DATA INFORME'!I:I,'DATA INFORME'!K:K)</f>
        <v>SI</v>
      </c>
      <c r="M189" s="34" t="str">
        <f>IF(Tabla2__2[[#This Row],[MYSTERY EFECTIVO]]="SI",_xlfn.XLOOKUP(Tabla2__2[[#This Row],[PREGUNTA]],ENCUESTA!G:G,ENCUESTA!D:D),"N/A")</f>
        <v>PRESENTACIÓN PERSONAL</v>
      </c>
      <c r="N18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89" s="34" t="str">
        <f>_xlfn.XLOOKUP(Tabla2__2[[#This Row],[PREGUNTA]],ENCUESTA!G:G,ENCUESTA!H:H)</f>
        <v>NO</v>
      </c>
      <c r="P189" s="34">
        <f>IF(Tabla2__2[[#This Row],[RTA]]=Tabla2__2[[#This Row],[RTA CORRECTA]],Tabla2__2[[#This Row],[TOTAL PUNTAJE]],0)</f>
        <v>1</v>
      </c>
      <c r="Q189" s="34">
        <f>IF(OR(H189="Dog Chow húmedo",H189="Cat Chow húmedo",H189="Fancy Feast",H189="Felix",H189="Proplan húmedo",H189="One húmedo",H189="Snack Abrazzos",H189="Snak Dentalife",H189="Arenilla Tidy Cat"),N189,0)</f>
        <v>0</v>
      </c>
      <c r="R189" s="34"/>
    </row>
    <row r="190" spans="1:18" x14ac:dyDescent="0.25">
      <c r="A190" s="34" t="s">
        <v>113</v>
      </c>
      <c r="B190" s="34" t="s">
        <v>8</v>
      </c>
      <c r="C190" t="s">
        <v>14</v>
      </c>
      <c r="D190" s="34" t="s">
        <v>132</v>
      </c>
      <c r="E190" s="34">
        <v>442180</v>
      </c>
      <c r="F190" s="34" t="s">
        <v>143</v>
      </c>
      <c r="G190" s="34" t="s">
        <v>101</v>
      </c>
      <c r="H190" s="34" t="s">
        <v>20</v>
      </c>
      <c r="I190" s="35"/>
      <c r="J190" s="34">
        <v>28904337</v>
      </c>
      <c r="K190" s="34" t="s">
        <v>116</v>
      </c>
      <c r="L190" s="34" t="str">
        <f>_xlfn.XLOOKUP(Tabla2__2[[#This Row],[CODIGO RUTA]],'DATA INFORME'!I:I,'DATA INFORME'!K:K)</f>
        <v>SI</v>
      </c>
      <c r="M190" s="34" t="str">
        <f>IF(Tabla2__2[[#This Row],[MYSTERY EFECTIVO]]="SI",_xlfn.XLOOKUP(Tabla2__2[[#This Row],[PREGUNTA]],ENCUESTA!G:G,ENCUESTA!D:D),"N/A")</f>
        <v>EJECUCIÓN DEL PDV</v>
      </c>
      <c r="N19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0" s="34" t="str">
        <f>_xlfn.XLOOKUP(Tabla2__2[[#This Row],[PREGUNTA]],ENCUESTA!G:G,ENCUESTA!H:H)</f>
        <v>SI</v>
      </c>
      <c r="P190" s="34">
        <f>IF(Tabla2__2[[#This Row],[RTA]]=Tabla2__2[[#This Row],[RTA CORRECTA]],Tabla2__2[[#This Row],[TOTAL PUNTAJE]],0)</f>
        <v>3.75</v>
      </c>
      <c r="Q190" s="34">
        <f>IF(OR(H190="Dog Chow húmedo",H190="Cat Chow húmedo",H190="Fancy Feast",H190="Felix",H190="Proplan húmedo",H190="One húmedo",H190="Snack Abrazzos",H190="Snak Dentalife",H190="Arenilla Tidy Cat"),N190,0)</f>
        <v>0</v>
      </c>
      <c r="R190" s="34"/>
    </row>
    <row r="191" spans="1:18" x14ac:dyDescent="0.25">
      <c r="A191" s="34" t="s">
        <v>113</v>
      </c>
      <c r="B191" s="34" t="s">
        <v>8</v>
      </c>
      <c r="C191" t="s">
        <v>14</v>
      </c>
      <c r="D191" s="34" t="s">
        <v>132</v>
      </c>
      <c r="E191" s="34">
        <v>442180</v>
      </c>
      <c r="F191" s="34" t="s">
        <v>143</v>
      </c>
      <c r="G191" s="34" t="s">
        <v>94</v>
      </c>
      <c r="H191" s="34" t="s">
        <v>112</v>
      </c>
      <c r="I191" s="35"/>
      <c r="J191" s="34">
        <v>28904337</v>
      </c>
      <c r="K191" s="34" t="s">
        <v>116</v>
      </c>
      <c r="L191" s="34" t="str">
        <f>_xlfn.XLOOKUP(Tabla2__2[[#This Row],[CODIGO RUTA]],'DATA INFORME'!I:I,'DATA INFORME'!K:K)</f>
        <v>SI</v>
      </c>
      <c r="M191" s="34" t="str">
        <f>IF(Tabla2__2[[#This Row],[MYSTERY EFECTIVO]]="SI",_xlfn.XLOOKUP(Tabla2__2[[#This Row],[PREGUNTA]],ENCUESTA!G:G,ENCUESTA!D:D),"N/A")</f>
        <v>PRESENTACIÓN PERSONAL</v>
      </c>
      <c r="N19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91" s="34" t="str">
        <f>_xlfn.XLOOKUP(Tabla2__2[[#This Row],[PREGUNTA]],ENCUESTA!G:G,ENCUESTA!H:H)</f>
        <v>NO</v>
      </c>
      <c r="P191" s="34">
        <f>IF(Tabla2__2[[#This Row],[RTA]]=Tabla2__2[[#This Row],[RTA CORRECTA]],Tabla2__2[[#This Row],[TOTAL PUNTAJE]],0)</f>
        <v>1</v>
      </c>
      <c r="Q191" s="34">
        <f>IF(OR(H191="Dog Chow húmedo",H191="Cat Chow húmedo",H191="Fancy Feast",H191="Felix",H191="Proplan húmedo",H191="One húmedo",H191="Snack Abrazzos",H191="Snak Dentalife",H191="Arenilla Tidy Cat"),N191,0)</f>
        <v>0</v>
      </c>
      <c r="R191" s="34"/>
    </row>
    <row r="192" spans="1:18" x14ac:dyDescent="0.25">
      <c r="A192" s="34" t="s">
        <v>113</v>
      </c>
      <c r="B192" s="34" t="s">
        <v>8</v>
      </c>
      <c r="C192" t="s">
        <v>14</v>
      </c>
      <c r="D192" s="34" t="s">
        <v>132</v>
      </c>
      <c r="E192" s="34">
        <v>442180</v>
      </c>
      <c r="F192" s="34" t="s">
        <v>143</v>
      </c>
      <c r="G192" s="34" t="s">
        <v>92</v>
      </c>
      <c r="H192" s="34" t="s">
        <v>20</v>
      </c>
      <c r="I192" s="35"/>
      <c r="J192" s="34">
        <v>28904337</v>
      </c>
      <c r="K192" s="34" t="s">
        <v>116</v>
      </c>
      <c r="L192" s="34" t="str">
        <f>_xlfn.XLOOKUP(Tabla2__2[[#This Row],[CODIGO RUTA]],'DATA INFORME'!I:I,'DATA INFORME'!K:K)</f>
        <v>SI</v>
      </c>
      <c r="M192" s="34" t="str">
        <f>IF(Tabla2__2[[#This Row],[MYSTERY EFECTIVO]]="SI",_xlfn.XLOOKUP(Tabla2__2[[#This Row],[PREGUNTA]],ENCUESTA!G:G,ENCUESTA!D:D),"N/A")</f>
        <v>PRESENTACIÓN PERSONAL</v>
      </c>
      <c r="N19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92" s="34" t="str">
        <f>_xlfn.XLOOKUP(Tabla2__2[[#This Row],[PREGUNTA]],ENCUESTA!G:G,ENCUESTA!H:H)</f>
        <v>SI</v>
      </c>
      <c r="P192" s="34">
        <f>IF(Tabla2__2[[#This Row],[RTA]]=Tabla2__2[[#This Row],[RTA CORRECTA]],Tabla2__2[[#This Row],[TOTAL PUNTAJE]],0)</f>
        <v>1</v>
      </c>
      <c r="Q192" s="34">
        <f>IF(OR(H192="Dog Chow húmedo",H192="Cat Chow húmedo",H192="Fancy Feast",H192="Felix",H192="Proplan húmedo",H192="One húmedo",H192="Snack Abrazzos",H192="Snak Dentalife",H192="Arenilla Tidy Cat"),N192,0)</f>
        <v>0</v>
      </c>
      <c r="R192" s="34"/>
    </row>
    <row r="193" spans="1:18" x14ac:dyDescent="0.25">
      <c r="A193" s="34" t="s">
        <v>113</v>
      </c>
      <c r="B193" s="34" t="s">
        <v>8</v>
      </c>
      <c r="C193" t="s">
        <v>14</v>
      </c>
      <c r="D193" s="34" t="s">
        <v>132</v>
      </c>
      <c r="E193" s="34">
        <v>442180</v>
      </c>
      <c r="F193" s="34" t="s">
        <v>143</v>
      </c>
      <c r="G193" s="34" t="s">
        <v>91</v>
      </c>
      <c r="H193" s="34" t="s">
        <v>112</v>
      </c>
      <c r="I193" s="35"/>
      <c r="J193" s="34">
        <v>28904337</v>
      </c>
      <c r="K193" s="34" t="s">
        <v>116</v>
      </c>
      <c r="L193" s="34" t="str">
        <f>_xlfn.XLOOKUP(Tabla2__2[[#This Row],[CODIGO RUTA]],'DATA INFORME'!I:I,'DATA INFORME'!K:K)</f>
        <v>SI</v>
      </c>
      <c r="M193" s="34" t="str">
        <f>IF(Tabla2__2[[#This Row],[MYSTERY EFECTIVO]]="SI",_xlfn.XLOOKUP(Tabla2__2[[#This Row],[PREGUNTA]],ENCUESTA!G:G,ENCUESTA!D:D),"N/A")</f>
        <v>PRESENTACIÓN PERSONAL</v>
      </c>
      <c r="N19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93" s="34" t="str">
        <f>_xlfn.XLOOKUP(Tabla2__2[[#This Row],[PREGUNTA]],ENCUESTA!G:G,ENCUESTA!H:H)</f>
        <v>NO</v>
      </c>
      <c r="P193" s="34">
        <f>IF(Tabla2__2[[#This Row],[RTA]]=Tabla2__2[[#This Row],[RTA CORRECTA]],Tabla2__2[[#This Row],[TOTAL PUNTAJE]],0)</f>
        <v>1</v>
      </c>
      <c r="Q193" s="34">
        <f>IF(OR(H193="Dog Chow húmedo",H193="Cat Chow húmedo",H193="Fancy Feast",H193="Felix",H193="Proplan húmedo",H193="One húmedo",H193="Snack Abrazzos",H193="Snak Dentalife",H193="Arenilla Tidy Cat"),N193,0)</f>
        <v>0</v>
      </c>
      <c r="R193" s="34"/>
    </row>
    <row r="194" spans="1:18" x14ac:dyDescent="0.25">
      <c r="A194" s="34" t="s">
        <v>113</v>
      </c>
      <c r="B194" s="34" t="s">
        <v>8</v>
      </c>
      <c r="C194" t="s">
        <v>14</v>
      </c>
      <c r="D194" s="34" t="s">
        <v>132</v>
      </c>
      <c r="E194" s="34">
        <v>442180</v>
      </c>
      <c r="F194" s="34" t="s">
        <v>143</v>
      </c>
      <c r="G194" s="34" t="s">
        <v>35</v>
      </c>
      <c r="H194" s="34" t="s">
        <v>20</v>
      </c>
      <c r="I194" s="35"/>
      <c r="J194" s="34">
        <v>28904337</v>
      </c>
      <c r="K194" s="34" t="s">
        <v>116</v>
      </c>
      <c r="L194" s="34" t="str">
        <f>_xlfn.XLOOKUP(Tabla2__2[[#This Row],[CODIGO RUTA]],'DATA INFORME'!I:I,'DATA INFORME'!K:K)</f>
        <v>SI</v>
      </c>
      <c r="M194" s="34" t="str">
        <f>IF(Tabla2__2[[#This Row],[MYSTERY EFECTIVO]]="SI",_xlfn.XLOOKUP(Tabla2__2[[#This Row],[PREGUNTA]],ENCUESTA!G:G,ENCUESTA!D:D),"N/A")</f>
        <v>PRESENTACIÓN PERSONAL</v>
      </c>
      <c r="N19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94" s="34" t="str">
        <f>_xlfn.XLOOKUP(Tabla2__2[[#This Row],[PREGUNTA]],ENCUESTA!G:G,ENCUESTA!H:H)</f>
        <v>SI</v>
      </c>
      <c r="P194" s="34">
        <f>IF(Tabla2__2[[#This Row],[RTA]]=Tabla2__2[[#This Row],[RTA CORRECTA]],Tabla2__2[[#This Row],[TOTAL PUNTAJE]],0)</f>
        <v>1</v>
      </c>
      <c r="Q194" s="34">
        <f>IF(OR(H194="Dog Chow húmedo",H194="Cat Chow húmedo",H194="Fancy Feast",H194="Felix",H194="Proplan húmedo",H194="One húmedo",H194="Snack Abrazzos",H194="Snak Dentalife",H194="Arenilla Tidy Cat"),N194,0)</f>
        <v>0</v>
      </c>
      <c r="R194" s="34"/>
    </row>
    <row r="195" spans="1:18" x14ac:dyDescent="0.25">
      <c r="A195" s="34" t="s">
        <v>113</v>
      </c>
      <c r="B195" s="34" t="s">
        <v>8</v>
      </c>
      <c r="C195" t="s">
        <v>14</v>
      </c>
      <c r="D195" s="34" t="s">
        <v>132</v>
      </c>
      <c r="E195" s="34">
        <v>442180</v>
      </c>
      <c r="F195" s="34" t="s">
        <v>143</v>
      </c>
      <c r="G195" s="34" t="s">
        <v>90</v>
      </c>
      <c r="H195" s="34" t="s">
        <v>20</v>
      </c>
      <c r="I195" s="35"/>
      <c r="J195" s="34">
        <v>28904337</v>
      </c>
      <c r="K195" s="34" t="s">
        <v>116</v>
      </c>
      <c r="L195" s="34" t="str">
        <f>_xlfn.XLOOKUP(Tabla2__2[[#This Row],[CODIGO RUTA]],'DATA INFORME'!I:I,'DATA INFORME'!K:K)</f>
        <v>SI</v>
      </c>
      <c r="M195" s="34" t="str">
        <f>IF(Tabla2__2[[#This Row],[MYSTERY EFECTIVO]]="SI",_xlfn.XLOOKUP(Tabla2__2[[#This Row],[PREGUNTA]],ENCUESTA!G:G,ENCUESTA!D:D),"N/A")</f>
        <v>PRESENTACIÓN PERSONAL</v>
      </c>
      <c r="N19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95" s="34" t="str">
        <f>_xlfn.XLOOKUP(Tabla2__2[[#This Row],[PREGUNTA]],ENCUESTA!G:G,ENCUESTA!H:H)</f>
        <v>SI</v>
      </c>
      <c r="P195" s="34">
        <f>IF(Tabla2__2[[#This Row],[RTA]]=Tabla2__2[[#This Row],[RTA CORRECTA]],Tabla2__2[[#This Row],[TOTAL PUNTAJE]],0)</f>
        <v>1</v>
      </c>
      <c r="Q195" s="34">
        <f>IF(OR(H195="Dog Chow húmedo",H195="Cat Chow húmedo",H195="Fancy Feast",H195="Felix",H195="Proplan húmedo",H195="One húmedo",H195="Snack Abrazzos",H195="Snak Dentalife",H195="Arenilla Tidy Cat"),N195,0)</f>
        <v>0</v>
      </c>
      <c r="R195" s="34"/>
    </row>
    <row r="196" spans="1:18" x14ac:dyDescent="0.25">
      <c r="A196" s="34" t="s">
        <v>113</v>
      </c>
      <c r="B196" s="34" t="s">
        <v>8</v>
      </c>
      <c r="C196" t="s">
        <v>14</v>
      </c>
      <c r="D196" s="34" t="s">
        <v>132</v>
      </c>
      <c r="E196" s="34">
        <v>442180</v>
      </c>
      <c r="F196" s="34" t="s">
        <v>143</v>
      </c>
      <c r="G196" s="34" t="s">
        <v>89</v>
      </c>
      <c r="H196" s="34" t="s">
        <v>20</v>
      </c>
      <c r="I196" s="35"/>
      <c r="J196" s="34">
        <v>28904337</v>
      </c>
      <c r="K196" s="34" t="s">
        <v>116</v>
      </c>
      <c r="L196" s="34" t="str">
        <f>_xlfn.XLOOKUP(Tabla2__2[[#This Row],[CODIGO RUTA]],'DATA INFORME'!I:I,'DATA INFORME'!K:K)</f>
        <v>SI</v>
      </c>
      <c r="M196" s="34" t="str">
        <f>IF(Tabla2__2[[#This Row],[MYSTERY EFECTIVO]]="SI",_xlfn.XLOOKUP(Tabla2__2[[#This Row],[PREGUNTA]],ENCUESTA!G:G,ENCUESTA!D:D),"N/A")</f>
        <v>PRESENTACIÓN PERSONAL</v>
      </c>
      <c r="N19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96" s="34" t="str">
        <f>_xlfn.XLOOKUP(Tabla2__2[[#This Row],[PREGUNTA]],ENCUESTA!G:G,ENCUESTA!H:H)</f>
        <v>SI</v>
      </c>
      <c r="P196" s="34">
        <f>IF(Tabla2__2[[#This Row],[RTA]]=Tabla2__2[[#This Row],[RTA CORRECTA]],Tabla2__2[[#This Row],[TOTAL PUNTAJE]],0)</f>
        <v>1</v>
      </c>
      <c r="Q196" s="34">
        <f>IF(OR(H196="Dog Chow húmedo",H196="Cat Chow húmedo",H196="Fancy Feast",H196="Felix",H196="Proplan húmedo",H196="One húmedo",H196="Snack Abrazzos",H196="Snak Dentalife",H196="Arenilla Tidy Cat"),N196,0)</f>
        <v>0</v>
      </c>
      <c r="R196" s="34"/>
    </row>
    <row r="197" spans="1:18" x14ac:dyDescent="0.25">
      <c r="A197" s="34" t="s">
        <v>113</v>
      </c>
      <c r="B197" s="34" t="s">
        <v>8</v>
      </c>
      <c r="C197" t="s">
        <v>14</v>
      </c>
      <c r="D197" s="34" t="s">
        <v>132</v>
      </c>
      <c r="E197" s="34">
        <v>442180</v>
      </c>
      <c r="F197" s="34" t="s">
        <v>143</v>
      </c>
      <c r="G197" s="34" t="s">
        <v>88</v>
      </c>
      <c r="H197" s="34" t="s">
        <v>20</v>
      </c>
      <c r="I197" s="35"/>
      <c r="J197" s="34">
        <v>28904337</v>
      </c>
      <c r="K197" s="34" t="s">
        <v>116</v>
      </c>
      <c r="L197" s="34" t="str">
        <f>_xlfn.XLOOKUP(Tabla2__2[[#This Row],[CODIGO RUTA]],'DATA INFORME'!I:I,'DATA INFORME'!K:K)</f>
        <v>SI</v>
      </c>
      <c r="M197" s="34" t="str">
        <f>IF(Tabla2__2[[#This Row],[MYSTERY EFECTIVO]]="SI",_xlfn.XLOOKUP(Tabla2__2[[#This Row],[PREGUNTA]],ENCUESTA!G:G,ENCUESTA!D:D),"N/A")</f>
        <v>HORARIO</v>
      </c>
      <c r="N19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97" s="34" t="str">
        <f>_xlfn.XLOOKUP(Tabla2__2[[#This Row],[PREGUNTA]],ENCUESTA!G:G,ENCUESTA!H:H)</f>
        <v>SI</v>
      </c>
      <c r="P197" s="34">
        <f>IF(Tabla2__2[[#This Row],[RTA]]=Tabla2__2[[#This Row],[RTA CORRECTA]],Tabla2__2[[#This Row],[TOTAL PUNTAJE]],0)</f>
        <v>20</v>
      </c>
      <c r="Q197" s="34">
        <f>IF(OR(H197="Dog Chow húmedo",H197="Cat Chow húmedo",H197="Fancy Feast",H197="Felix",H197="Proplan húmedo",H197="One húmedo",H197="Snack Abrazzos",H197="Snak Dentalife",H197="Arenilla Tidy Cat"),N197,0)</f>
        <v>0</v>
      </c>
      <c r="R197" s="34"/>
    </row>
    <row r="198" spans="1:18" x14ac:dyDescent="0.25">
      <c r="A198" s="34" t="s">
        <v>113</v>
      </c>
      <c r="B198" s="34" t="s">
        <v>8</v>
      </c>
      <c r="C198" t="s">
        <v>14</v>
      </c>
      <c r="D198" s="34" t="s">
        <v>132</v>
      </c>
      <c r="E198" s="34">
        <v>442180</v>
      </c>
      <c r="F198" s="34" t="s">
        <v>143</v>
      </c>
      <c r="G198" s="34" t="s">
        <v>93</v>
      </c>
      <c r="H198" s="34" t="s">
        <v>20</v>
      </c>
      <c r="I198" s="35"/>
      <c r="J198" s="34">
        <v>28904337</v>
      </c>
      <c r="K198" s="34" t="s">
        <v>116</v>
      </c>
      <c r="L198" s="34" t="str">
        <f>_xlfn.XLOOKUP(Tabla2__2[[#This Row],[CODIGO RUTA]],'DATA INFORME'!I:I,'DATA INFORME'!K:K)</f>
        <v>SI</v>
      </c>
      <c r="M198" s="34" t="str">
        <f>IF(Tabla2__2[[#This Row],[MYSTERY EFECTIVO]]="SI",_xlfn.XLOOKUP(Tabla2__2[[#This Row],[PREGUNTA]],ENCUESTA!G:G,ENCUESTA!D:D),"N/A")</f>
        <v>PRESENTACIÓN PERSONAL</v>
      </c>
      <c r="N19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198" s="34" t="str">
        <f>_xlfn.XLOOKUP(Tabla2__2[[#This Row],[PREGUNTA]],ENCUESTA!G:G,ENCUESTA!H:H)</f>
        <v>SI</v>
      </c>
      <c r="P198" s="34">
        <f>IF(Tabla2__2[[#This Row],[RTA]]=Tabla2__2[[#This Row],[RTA CORRECTA]],Tabla2__2[[#This Row],[TOTAL PUNTAJE]],0)</f>
        <v>1</v>
      </c>
      <c r="Q198" s="34">
        <f>IF(OR(H198="Dog Chow húmedo",H198="Cat Chow húmedo",H198="Fancy Feast",H198="Felix",H198="Proplan húmedo",H198="One húmedo",H198="Snack Abrazzos",H198="Snak Dentalife",H198="Arenilla Tidy Cat"),N198,0)</f>
        <v>0</v>
      </c>
      <c r="R198" s="34"/>
    </row>
    <row r="199" spans="1:18" x14ac:dyDescent="0.25">
      <c r="A199" s="34" t="s">
        <v>113</v>
      </c>
      <c r="B199" s="34" t="s">
        <v>8</v>
      </c>
      <c r="C199" t="s">
        <v>14</v>
      </c>
      <c r="D199" s="34" t="s">
        <v>132</v>
      </c>
      <c r="E199" s="34">
        <v>442180</v>
      </c>
      <c r="F199" s="34" t="s">
        <v>143</v>
      </c>
      <c r="G199" s="34" t="s">
        <v>102</v>
      </c>
      <c r="H199" s="34" t="s">
        <v>20</v>
      </c>
      <c r="I199" s="35"/>
      <c r="J199" s="34">
        <v>28904337</v>
      </c>
      <c r="K199" s="34" t="s">
        <v>116</v>
      </c>
      <c r="L199" s="34" t="str">
        <f>_xlfn.XLOOKUP(Tabla2__2[[#This Row],[CODIGO RUTA]],'DATA INFORME'!I:I,'DATA INFORME'!K:K)</f>
        <v>SI</v>
      </c>
      <c r="M199" s="34" t="str">
        <f>IF(Tabla2__2[[#This Row],[MYSTERY EFECTIVO]]="SI",_xlfn.XLOOKUP(Tabla2__2[[#This Row],[PREGUNTA]],ENCUESTA!G:G,ENCUESTA!D:D),"N/A")</f>
        <v>EJECUCIÓN DEL PDV</v>
      </c>
      <c r="N19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9" s="34" t="str">
        <f>_xlfn.XLOOKUP(Tabla2__2[[#This Row],[PREGUNTA]],ENCUESTA!G:G,ENCUESTA!H:H)</f>
        <v>SI</v>
      </c>
      <c r="P199" s="34">
        <f>IF(Tabla2__2[[#This Row],[RTA]]=Tabla2__2[[#This Row],[RTA CORRECTA]],Tabla2__2[[#This Row],[TOTAL PUNTAJE]],0)</f>
        <v>3.75</v>
      </c>
      <c r="Q199" s="34">
        <f>IF(OR(H199="Dog Chow húmedo",H199="Cat Chow húmedo",H199="Fancy Feast",H199="Felix",H199="Proplan húmedo",H199="One húmedo",H199="Snack Abrazzos",H199="Snak Dentalife",H199="Arenilla Tidy Cat"),N199,0)</f>
        <v>0</v>
      </c>
      <c r="R199" s="34"/>
    </row>
    <row r="200" spans="1:18" x14ac:dyDescent="0.25">
      <c r="A200" s="34" t="s">
        <v>113</v>
      </c>
      <c r="B200" s="34" t="s">
        <v>8</v>
      </c>
      <c r="C200" t="s">
        <v>14</v>
      </c>
      <c r="D200" s="34" t="s">
        <v>132</v>
      </c>
      <c r="E200" s="34">
        <v>442180</v>
      </c>
      <c r="F200" s="34" t="s">
        <v>143</v>
      </c>
      <c r="G200" s="34" t="s">
        <v>103</v>
      </c>
      <c r="H200" s="34" t="s">
        <v>20</v>
      </c>
      <c r="I200" s="35"/>
      <c r="J200" s="34">
        <v>28904337</v>
      </c>
      <c r="K200" s="34" t="s">
        <v>116</v>
      </c>
      <c r="L200" s="34" t="str">
        <f>_xlfn.XLOOKUP(Tabla2__2[[#This Row],[CODIGO RUTA]],'DATA INFORME'!I:I,'DATA INFORME'!K:K)</f>
        <v>SI</v>
      </c>
      <c r="M200" s="34" t="str">
        <f>IF(Tabla2__2[[#This Row],[MYSTERY EFECTIVO]]="SI",_xlfn.XLOOKUP(Tabla2__2[[#This Row],[PREGUNTA]],ENCUESTA!G:G,ENCUESTA!D:D),"N/A")</f>
        <v>EJECUCIÓN DEL PDV</v>
      </c>
      <c r="N20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00" s="34" t="str">
        <f>_xlfn.XLOOKUP(Tabla2__2[[#This Row],[PREGUNTA]],ENCUESTA!G:G,ENCUESTA!H:H)</f>
        <v>SI</v>
      </c>
      <c r="P200" s="34">
        <f>IF(Tabla2__2[[#This Row],[RTA]]=Tabla2__2[[#This Row],[RTA CORRECTA]],Tabla2__2[[#This Row],[TOTAL PUNTAJE]],0)</f>
        <v>3.75</v>
      </c>
      <c r="Q200" s="34">
        <f>IF(OR(H200="Dog Chow húmedo",H200="Cat Chow húmedo",H200="Fancy Feast",H200="Felix",H200="Proplan húmedo",H200="One húmedo",H200="Snack Abrazzos",H200="Snak Dentalife",H200="Arenilla Tidy Cat"),N200,0)</f>
        <v>0</v>
      </c>
      <c r="R200" s="34"/>
    </row>
    <row r="201" spans="1:18" x14ac:dyDescent="0.25">
      <c r="A201" s="34" t="s">
        <v>113</v>
      </c>
      <c r="B201" s="34" t="s">
        <v>8</v>
      </c>
      <c r="C201" t="s">
        <v>14</v>
      </c>
      <c r="D201" s="34" t="s">
        <v>132</v>
      </c>
      <c r="E201" s="34">
        <v>442180</v>
      </c>
      <c r="F201" s="34" t="s">
        <v>143</v>
      </c>
      <c r="G201" s="34" t="s">
        <v>104</v>
      </c>
      <c r="H201" s="34" t="s">
        <v>20</v>
      </c>
      <c r="I201" s="35"/>
      <c r="J201" s="34">
        <v>28904337</v>
      </c>
      <c r="K201" s="34" t="s">
        <v>116</v>
      </c>
      <c r="L201" s="34" t="str">
        <f>_xlfn.XLOOKUP(Tabla2__2[[#This Row],[CODIGO RUTA]],'DATA INFORME'!I:I,'DATA INFORME'!K:K)</f>
        <v>SI</v>
      </c>
      <c r="M201" s="34" t="str">
        <f>IF(Tabla2__2[[#This Row],[MYSTERY EFECTIVO]]="SI",_xlfn.XLOOKUP(Tabla2__2[[#This Row],[PREGUNTA]],ENCUESTA!G:G,ENCUESTA!D:D),"N/A")</f>
        <v>EJECUCIÓN DEL PDV</v>
      </c>
      <c r="N20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01" s="34" t="str">
        <f>_xlfn.XLOOKUP(Tabla2__2[[#This Row],[PREGUNTA]],ENCUESTA!G:G,ENCUESTA!H:H)</f>
        <v>SI</v>
      </c>
      <c r="P201" s="34">
        <f>IF(Tabla2__2[[#This Row],[RTA]]=Tabla2__2[[#This Row],[RTA CORRECTA]],Tabla2__2[[#This Row],[TOTAL PUNTAJE]],0)</f>
        <v>3.75</v>
      </c>
      <c r="Q201" s="34">
        <f>IF(OR(H201="Dog Chow húmedo",H201="Cat Chow húmedo",H201="Fancy Feast",H201="Felix",H201="Proplan húmedo",H201="One húmedo",H201="Snack Abrazzos",H201="Snak Dentalife",H201="Arenilla Tidy Cat"),N201,0)</f>
        <v>0</v>
      </c>
      <c r="R201" s="34"/>
    </row>
    <row r="202" spans="1:18" x14ac:dyDescent="0.25">
      <c r="A202" s="34" t="s">
        <v>113</v>
      </c>
      <c r="B202" s="34" t="s">
        <v>8</v>
      </c>
      <c r="C202" t="s">
        <v>43</v>
      </c>
      <c r="D202" s="34" t="s">
        <v>132</v>
      </c>
      <c r="E202" s="34">
        <v>201118</v>
      </c>
      <c r="F202" s="34" t="s">
        <v>151</v>
      </c>
      <c r="G202" s="34" t="s">
        <v>93</v>
      </c>
      <c r="H202" s="34" t="s">
        <v>20</v>
      </c>
      <c r="I202" s="35"/>
      <c r="J202" s="34">
        <v>28904500</v>
      </c>
      <c r="K202" s="34" t="s">
        <v>116</v>
      </c>
      <c r="L202" s="34" t="str">
        <f>_xlfn.XLOOKUP(Tabla2__2[[#This Row],[CODIGO RUTA]],'DATA INFORME'!I:I,'DATA INFORME'!K:K)</f>
        <v>SI</v>
      </c>
      <c r="M202" s="34" t="str">
        <f>IF(Tabla2__2[[#This Row],[MYSTERY EFECTIVO]]="SI",_xlfn.XLOOKUP(Tabla2__2[[#This Row],[PREGUNTA]],ENCUESTA!G:G,ENCUESTA!D:D),"N/A")</f>
        <v>PRESENTACIÓN PERSONAL</v>
      </c>
      <c r="N20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02" s="34" t="str">
        <f>_xlfn.XLOOKUP(Tabla2__2[[#This Row],[PREGUNTA]],ENCUESTA!G:G,ENCUESTA!H:H)</f>
        <v>SI</v>
      </c>
      <c r="P202" s="34">
        <f>IF(Tabla2__2[[#This Row],[RTA]]=Tabla2__2[[#This Row],[RTA CORRECTA]],Tabla2__2[[#This Row],[TOTAL PUNTAJE]],0)</f>
        <v>1</v>
      </c>
      <c r="Q202" s="34">
        <f>IF(OR(H202="Dog Chow húmedo",H202="Cat Chow húmedo",H202="Fancy Feast",H202="Felix",H202="Proplan húmedo",H202="One húmedo",H202="Snack Abrazzos",H202="Snak Dentalife",H202="Arenilla Tidy Cat"),N202,0)</f>
        <v>0</v>
      </c>
      <c r="R202" s="34"/>
    </row>
    <row r="203" spans="1:18" x14ac:dyDescent="0.25">
      <c r="A203" s="34" t="s">
        <v>113</v>
      </c>
      <c r="B203" s="34" t="s">
        <v>8</v>
      </c>
      <c r="C203" t="s">
        <v>43</v>
      </c>
      <c r="D203" s="34" t="s">
        <v>132</v>
      </c>
      <c r="E203" s="34">
        <v>201118</v>
      </c>
      <c r="F203" s="34" t="s">
        <v>151</v>
      </c>
      <c r="G203" s="34" t="s">
        <v>92</v>
      </c>
      <c r="H203" s="34" t="s">
        <v>20</v>
      </c>
      <c r="I203" s="35"/>
      <c r="J203" s="34">
        <v>28904500</v>
      </c>
      <c r="K203" s="34" t="s">
        <v>116</v>
      </c>
      <c r="L203" s="34" t="str">
        <f>_xlfn.XLOOKUP(Tabla2__2[[#This Row],[CODIGO RUTA]],'DATA INFORME'!I:I,'DATA INFORME'!K:K)</f>
        <v>SI</v>
      </c>
      <c r="M203" s="34" t="str">
        <f>IF(Tabla2__2[[#This Row],[MYSTERY EFECTIVO]]="SI",_xlfn.XLOOKUP(Tabla2__2[[#This Row],[PREGUNTA]],ENCUESTA!G:G,ENCUESTA!D:D),"N/A")</f>
        <v>PRESENTACIÓN PERSONAL</v>
      </c>
      <c r="N20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03" s="34" t="str">
        <f>_xlfn.XLOOKUP(Tabla2__2[[#This Row],[PREGUNTA]],ENCUESTA!G:G,ENCUESTA!H:H)</f>
        <v>SI</v>
      </c>
      <c r="P203" s="34">
        <f>IF(Tabla2__2[[#This Row],[RTA]]=Tabla2__2[[#This Row],[RTA CORRECTA]],Tabla2__2[[#This Row],[TOTAL PUNTAJE]],0)</f>
        <v>1</v>
      </c>
      <c r="Q203" s="34">
        <f>IF(OR(H203="Dog Chow húmedo",H203="Cat Chow húmedo",H203="Fancy Feast",H203="Felix",H203="Proplan húmedo",H203="One húmedo",H203="Snack Abrazzos",H203="Snak Dentalife",H203="Arenilla Tidy Cat"),N203,0)</f>
        <v>0</v>
      </c>
      <c r="R203" s="34"/>
    </row>
    <row r="204" spans="1:18" x14ac:dyDescent="0.25">
      <c r="A204" s="34" t="s">
        <v>113</v>
      </c>
      <c r="B204" s="34" t="s">
        <v>8</v>
      </c>
      <c r="C204" t="s">
        <v>43</v>
      </c>
      <c r="D204" s="34" t="s">
        <v>132</v>
      </c>
      <c r="E204" s="34">
        <v>201118</v>
      </c>
      <c r="F204" s="34" t="s">
        <v>151</v>
      </c>
      <c r="G204" s="34" t="s">
        <v>91</v>
      </c>
      <c r="H204" s="34" t="s">
        <v>112</v>
      </c>
      <c r="I204" s="35"/>
      <c r="J204" s="34">
        <v>28904500</v>
      </c>
      <c r="K204" s="34" t="s">
        <v>116</v>
      </c>
      <c r="L204" s="34" t="str">
        <f>_xlfn.XLOOKUP(Tabla2__2[[#This Row],[CODIGO RUTA]],'DATA INFORME'!I:I,'DATA INFORME'!K:K)</f>
        <v>SI</v>
      </c>
      <c r="M204" s="34" t="str">
        <f>IF(Tabla2__2[[#This Row],[MYSTERY EFECTIVO]]="SI",_xlfn.XLOOKUP(Tabla2__2[[#This Row],[PREGUNTA]],ENCUESTA!G:G,ENCUESTA!D:D),"N/A")</f>
        <v>PRESENTACIÓN PERSONAL</v>
      </c>
      <c r="N20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04" s="34" t="str">
        <f>_xlfn.XLOOKUP(Tabla2__2[[#This Row],[PREGUNTA]],ENCUESTA!G:G,ENCUESTA!H:H)</f>
        <v>NO</v>
      </c>
      <c r="P204" s="34">
        <f>IF(Tabla2__2[[#This Row],[RTA]]=Tabla2__2[[#This Row],[RTA CORRECTA]],Tabla2__2[[#This Row],[TOTAL PUNTAJE]],0)</f>
        <v>1</v>
      </c>
      <c r="Q204" s="34">
        <f>IF(OR(H204="Dog Chow húmedo",H204="Cat Chow húmedo",H204="Fancy Feast",H204="Felix",H204="Proplan húmedo",H204="One húmedo",H204="Snack Abrazzos",H204="Snak Dentalife",H204="Arenilla Tidy Cat"),N204,0)</f>
        <v>0</v>
      </c>
      <c r="R204" s="34"/>
    </row>
    <row r="205" spans="1:18" x14ac:dyDescent="0.25">
      <c r="A205" s="34" t="s">
        <v>113</v>
      </c>
      <c r="B205" s="34" t="s">
        <v>8</v>
      </c>
      <c r="C205" t="s">
        <v>43</v>
      </c>
      <c r="D205" s="34" t="s">
        <v>132</v>
      </c>
      <c r="E205" s="34">
        <v>201118</v>
      </c>
      <c r="F205" s="34" t="s">
        <v>151</v>
      </c>
      <c r="G205" s="34" t="s">
        <v>35</v>
      </c>
      <c r="H205" s="34" t="s">
        <v>20</v>
      </c>
      <c r="I205" s="35"/>
      <c r="J205" s="34">
        <v>28904500</v>
      </c>
      <c r="K205" s="34" t="s">
        <v>116</v>
      </c>
      <c r="L205" s="34" t="str">
        <f>_xlfn.XLOOKUP(Tabla2__2[[#This Row],[CODIGO RUTA]],'DATA INFORME'!I:I,'DATA INFORME'!K:K)</f>
        <v>SI</v>
      </c>
      <c r="M205" s="34" t="str">
        <f>IF(Tabla2__2[[#This Row],[MYSTERY EFECTIVO]]="SI",_xlfn.XLOOKUP(Tabla2__2[[#This Row],[PREGUNTA]],ENCUESTA!G:G,ENCUESTA!D:D),"N/A")</f>
        <v>PRESENTACIÓN PERSONAL</v>
      </c>
      <c r="N20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05" s="34" t="str">
        <f>_xlfn.XLOOKUP(Tabla2__2[[#This Row],[PREGUNTA]],ENCUESTA!G:G,ENCUESTA!H:H)</f>
        <v>SI</v>
      </c>
      <c r="P205" s="34">
        <f>IF(Tabla2__2[[#This Row],[RTA]]=Tabla2__2[[#This Row],[RTA CORRECTA]],Tabla2__2[[#This Row],[TOTAL PUNTAJE]],0)</f>
        <v>1</v>
      </c>
      <c r="Q205" s="34">
        <f>IF(OR(H205="Dog Chow húmedo",H205="Cat Chow húmedo",H205="Fancy Feast",H205="Felix",H205="Proplan húmedo",H205="One húmedo",H205="Snack Abrazzos",H205="Snak Dentalife",H205="Arenilla Tidy Cat"),N205,0)</f>
        <v>0</v>
      </c>
      <c r="R205" s="34"/>
    </row>
    <row r="206" spans="1:18" x14ac:dyDescent="0.25">
      <c r="A206" s="34" t="s">
        <v>113</v>
      </c>
      <c r="B206" s="34" t="s">
        <v>8</v>
      </c>
      <c r="C206" t="s">
        <v>43</v>
      </c>
      <c r="D206" s="34" t="s">
        <v>132</v>
      </c>
      <c r="E206" s="34">
        <v>201118</v>
      </c>
      <c r="F206" s="34" t="s">
        <v>151</v>
      </c>
      <c r="G206" s="34" t="s">
        <v>90</v>
      </c>
      <c r="H206" s="34" t="s">
        <v>20</v>
      </c>
      <c r="I206" s="35"/>
      <c r="J206" s="34">
        <v>28904500</v>
      </c>
      <c r="K206" s="34" t="s">
        <v>116</v>
      </c>
      <c r="L206" s="34" t="str">
        <f>_xlfn.XLOOKUP(Tabla2__2[[#This Row],[CODIGO RUTA]],'DATA INFORME'!I:I,'DATA INFORME'!K:K)</f>
        <v>SI</v>
      </c>
      <c r="M206" s="34" t="str">
        <f>IF(Tabla2__2[[#This Row],[MYSTERY EFECTIVO]]="SI",_xlfn.XLOOKUP(Tabla2__2[[#This Row],[PREGUNTA]],ENCUESTA!G:G,ENCUESTA!D:D),"N/A")</f>
        <v>PRESENTACIÓN PERSONAL</v>
      </c>
      <c r="N20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06" s="34" t="str">
        <f>_xlfn.XLOOKUP(Tabla2__2[[#This Row],[PREGUNTA]],ENCUESTA!G:G,ENCUESTA!H:H)</f>
        <v>SI</v>
      </c>
      <c r="P206" s="34">
        <f>IF(Tabla2__2[[#This Row],[RTA]]=Tabla2__2[[#This Row],[RTA CORRECTA]],Tabla2__2[[#This Row],[TOTAL PUNTAJE]],0)</f>
        <v>1</v>
      </c>
      <c r="Q206" s="34">
        <f>IF(OR(H206="Dog Chow húmedo",H206="Cat Chow húmedo",H206="Fancy Feast",H206="Felix",H206="Proplan húmedo",H206="One húmedo",H206="Snack Abrazzos",H206="Snak Dentalife",H206="Arenilla Tidy Cat"),N206,0)</f>
        <v>0</v>
      </c>
      <c r="R206" s="34"/>
    </row>
    <row r="207" spans="1:18" x14ac:dyDescent="0.25">
      <c r="A207" s="34" t="s">
        <v>113</v>
      </c>
      <c r="B207" s="34" t="s">
        <v>8</v>
      </c>
      <c r="C207" t="s">
        <v>43</v>
      </c>
      <c r="D207" s="34" t="s">
        <v>132</v>
      </c>
      <c r="E207" s="34">
        <v>201118</v>
      </c>
      <c r="F207" s="34" t="s">
        <v>151</v>
      </c>
      <c r="G207" s="34" t="s">
        <v>89</v>
      </c>
      <c r="H207" s="34" t="s">
        <v>20</v>
      </c>
      <c r="I207" s="35"/>
      <c r="J207" s="34">
        <v>28904500</v>
      </c>
      <c r="K207" s="34" t="s">
        <v>116</v>
      </c>
      <c r="L207" s="34" t="str">
        <f>_xlfn.XLOOKUP(Tabla2__2[[#This Row],[CODIGO RUTA]],'DATA INFORME'!I:I,'DATA INFORME'!K:K)</f>
        <v>SI</v>
      </c>
      <c r="M207" s="34" t="str">
        <f>IF(Tabla2__2[[#This Row],[MYSTERY EFECTIVO]]="SI",_xlfn.XLOOKUP(Tabla2__2[[#This Row],[PREGUNTA]],ENCUESTA!G:G,ENCUESTA!D:D),"N/A")</f>
        <v>PRESENTACIÓN PERSONAL</v>
      </c>
      <c r="N20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07" s="34" t="str">
        <f>_xlfn.XLOOKUP(Tabla2__2[[#This Row],[PREGUNTA]],ENCUESTA!G:G,ENCUESTA!H:H)</f>
        <v>SI</v>
      </c>
      <c r="P207" s="34">
        <f>IF(Tabla2__2[[#This Row],[RTA]]=Tabla2__2[[#This Row],[RTA CORRECTA]],Tabla2__2[[#This Row],[TOTAL PUNTAJE]],0)</f>
        <v>1</v>
      </c>
      <c r="Q207" s="34">
        <f>IF(OR(H207="Dog Chow húmedo",H207="Cat Chow húmedo",H207="Fancy Feast",H207="Felix",H207="Proplan húmedo",H207="One húmedo",H207="Snack Abrazzos",H207="Snak Dentalife",H207="Arenilla Tidy Cat"),N207,0)</f>
        <v>0</v>
      </c>
      <c r="R207" s="34"/>
    </row>
    <row r="208" spans="1:18" x14ac:dyDescent="0.25">
      <c r="A208" s="34" t="s">
        <v>113</v>
      </c>
      <c r="B208" s="34" t="s">
        <v>8</v>
      </c>
      <c r="C208" t="s">
        <v>43</v>
      </c>
      <c r="D208" s="34" t="s">
        <v>132</v>
      </c>
      <c r="E208" s="34">
        <v>201118</v>
      </c>
      <c r="F208" s="34" t="s">
        <v>151</v>
      </c>
      <c r="G208" s="34" t="s">
        <v>88</v>
      </c>
      <c r="H208" s="34" t="s">
        <v>20</v>
      </c>
      <c r="I208" s="35"/>
      <c r="J208" s="34">
        <v>28904500</v>
      </c>
      <c r="K208" s="34" t="s">
        <v>116</v>
      </c>
      <c r="L208" s="34" t="str">
        <f>_xlfn.XLOOKUP(Tabla2__2[[#This Row],[CODIGO RUTA]],'DATA INFORME'!I:I,'DATA INFORME'!K:K)</f>
        <v>SI</v>
      </c>
      <c r="M208" s="34" t="str">
        <f>IF(Tabla2__2[[#This Row],[MYSTERY EFECTIVO]]="SI",_xlfn.XLOOKUP(Tabla2__2[[#This Row],[PREGUNTA]],ENCUESTA!G:G,ENCUESTA!D:D),"N/A")</f>
        <v>HORARIO</v>
      </c>
      <c r="N20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08" s="34" t="str">
        <f>_xlfn.XLOOKUP(Tabla2__2[[#This Row],[PREGUNTA]],ENCUESTA!G:G,ENCUESTA!H:H)</f>
        <v>SI</v>
      </c>
      <c r="P208" s="34">
        <f>IF(Tabla2__2[[#This Row],[RTA]]=Tabla2__2[[#This Row],[RTA CORRECTA]],Tabla2__2[[#This Row],[TOTAL PUNTAJE]],0)</f>
        <v>20</v>
      </c>
      <c r="Q208" s="34">
        <f>IF(OR(H208="Dog Chow húmedo",H208="Cat Chow húmedo",H208="Fancy Feast",H208="Felix",H208="Proplan húmedo",H208="One húmedo",H208="Snack Abrazzos",H208="Snak Dentalife",H208="Arenilla Tidy Cat"),N208,0)</f>
        <v>0</v>
      </c>
      <c r="R208" s="34"/>
    </row>
    <row r="209" spans="1:18" x14ac:dyDescent="0.25">
      <c r="A209" s="34" t="s">
        <v>113</v>
      </c>
      <c r="B209" s="34" t="s">
        <v>8</v>
      </c>
      <c r="C209" t="s">
        <v>43</v>
      </c>
      <c r="D209" s="34" t="s">
        <v>132</v>
      </c>
      <c r="E209" s="34">
        <v>201118</v>
      </c>
      <c r="F209" s="34" t="s">
        <v>151</v>
      </c>
      <c r="G209" s="34" t="s">
        <v>87</v>
      </c>
      <c r="H209" s="34" t="s">
        <v>20</v>
      </c>
      <c r="I209" s="35"/>
      <c r="J209" s="34">
        <v>28904500</v>
      </c>
      <c r="K209" s="34" t="s">
        <v>116</v>
      </c>
      <c r="L209" s="34" t="str">
        <f>_xlfn.XLOOKUP(Tabla2__2[[#This Row],[CODIGO RUTA]],'DATA INFORME'!I:I,'DATA INFORME'!K:K)</f>
        <v>SI</v>
      </c>
      <c r="M209" s="34" t="str">
        <f>IF(Tabla2__2[[#This Row],[MYSTERY EFECTIVO]]="SI",_xlfn.XLOOKUP(Tabla2__2[[#This Row],[PREGUNTA]],ENCUESTA!G:G,ENCUESTA!D:D),"N/A")</f>
        <v>N/A</v>
      </c>
      <c r="N20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9" s="34">
        <f>_xlfn.XLOOKUP(Tabla2__2[[#This Row],[PREGUNTA]],ENCUESTA!G:G,ENCUESTA!H:H)</f>
        <v>0</v>
      </c>
      <c r="P209" s="34">
        <f>IF(Tabla2__2[[#This Row],[RTA]]=Tabla2__2[[#This Row],[RTA CORRECTA]],Tabla2__2[[#This Row],[TOTAL PUNTAJE]],0)</f>
        <v>0</v>
      </c>
      <c r="Q209" s="34">
        <f>IF(OR(H209="Dog Chow húmedo",H209="Cat Chow húmedo",H209="Fancy Feast",H209="Felix",H209="Proplan húmedo",H209="One húmedo",H209="Snack Abrazzos",H209="Snak Dentalife",H209="Arenilla Tidy Cat"),N209,0)</f>
        <v>0</v>
      </c>
      <c r="R209" s="34"/>
    </row>
    <row r="210" spans="1:18" x14ac:dyDescent="0.25">
      <c r="A210" s="34" t="s">
        <v>113</v>
      </c>
      <c r="B210" s="34" t="s">
        <v>8</v>
      </c>
      <c r="C210" t="s">
        <v>14</v>
      </c>
      <c r="D210" s="34" t="s">
        <v>132</v>
      </c>
      <c r="E210" s="34">
        <v>442180</v>
      </c>
      <c r="F210" s="34" t="s">
        <v>143</v>
      </c>
      <c r="G210" s="34" t="s">
        <v>107</v>
      </c>
      <c r="H210" s="34" t="s">
        <v>149</v>
      </c>
      <c r="I210" s="35"/>
      <c r="J210" s="34">
        <v>28904337</v>
      </c>
      <c r="K210" s="34" t="s">
        <v>116</v>
      </c>
      <c r="L210" s="34" t="str">
        <f>_xlfn.XLOOKUP(Tabla2__2[[#This Row],[CODIGO RUTA]],'DATA INFORME'!I:I,'DATA INFORME'!K:K)</f>
        <v>SI</v>
      </c>
      <c r="M210" s="34" t="str">
        <f>IF(Tabla2__2[[#This Row],[MYSTERY EFECTIVO]]="SI",_xlfn.XLOOKUP(Tabla2__2[[#This Row],[PREGUNTA]],ENCUESTA!G:G,ENCUESTA!D:D),"N/A")</f>
        <v>N/A</v>
      </c>
      <c r="N21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0" s="34">
        <f>_xlfn.XLOOKUP(Tabla2__2[[#This Row],[PREGUNTA]],ENCUESTA!G:G,ENCUESTA!H:H)</f>
        <v>0</v>
      </c>
      <c r="P210" s="34">
        <f>IF(Tabla2__2[[#This Row],[RTA]]=Tabla2__2[[#This Row],[RTA CORRECTA]],Tabla2__2[[#This Row],[TOTAL PUNTAJE]],0)</f>
        <v>0</v>
      </c>
      <c r="Q210" s="34">
        <f>IF(OR(H210="Dog Chow húmedo",H210="Cat Chow húmedo",H210="Fancy Feast",H210="Felix",H210="Proplan húmedo",H210="One húmedo",H210="Snack Abrazzos",H210="Snak Dentalife",H210="Arenilla Tidy Cat"),N210,0)</f>
        <v>0</v>
      </c>
      <c r="R210" s="34"/>
    </row>
    <row r="211" spans="1:18" x14ac:dyDescent="0.25">
      <c r="A211" s="34" t="s">
        <v>113</v>
      </c>
      <c r="B211" s="34" t="s">
        <v>8</v>
      </c>
      <c r="C211" t="s">
        <v>14</v>
      </c>
      <c r="D211" s="34" t="s">
        <v>132</v>
      </c>
      <c r="E211" s="34">
        <v>442180</v>
      </c>
      <c r="F211" s="34" t="s">
        <v>143</v>
      </c>
      <c r="G211" s="34" t="s">
        <v>106</v>
      </c>
      <c r="H211" s="34" t="s">
        <v>20</v>
      </c>
      <c r="I211" s="35"/>
      <c r="J211" s="34">
        <v>28904337</v>
      </c>
      <c r="K211" s="34" t="s">
        <v>116</v>
      </c>
      <c r="L211" s="34" t="str">
        <f>_xlfn.XLOOKUP(Tabla2__2[[#This Row],[CODIGO RUTA]],'DATA INFORME'!I:I,'DATA INFORME'!K:K)</f>
        <v>SI</v>
      </c>
      <c r="M211" s="34" t="str">
        <f>IF(Tabla2__2[[#This Row],[MYSTERY EFECTIVO]]="SI",_xlfn.XLOOKUP(Tabla2__2[[#This Row],[PREGUNTA]],ENCUESTA!G:G,ENCUESTA!D:D),"N/A")</f>
        <v>N/A</v>
      </c>
      <c r="N21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1" s="34">
        <f>_xlfn.XLOOKUP(Tabla2__2[[#This Row],[PREGUNTA]],ENCUESTA!G:G,ENCUESTA!H:H)</f>
        <v>0</v>
      </c>
      <c r="P211" s="34">
        <f>IF(Tabla2__2[[#This Row],[RTA]]=Tabla2__2[[#This Row],[RTA CORRECTA]],Tabla2__2[[#This Row],[TOTAL PUNTAJE]],0)</f>
        <v>0</v>
      </c>
      <c r="Q211" s="34">
        <f>IF(OR(H211="Dog Chow húmedo",H211="Cat Chow húmedo",H211="Fancy Feast",H211="Felix",H211="Proplan húmedo",H211="One húmedo",H211="Snack Abrazzos",H211="Snak Dentalife",H211="Arenilla Tidy Cat"),N211,0)</f>
        <v>0</v>
      </c>
      <c r="R211" s="34"/>
    </row>
    <row r="212" spans="1:18" x14ac:dyDescent="0.25">
      <c r="A212" s="34" t="s">
        <v>113</v>
      </c>
      <c r="B212" s="34" t="s">
        <v>8</v>
      </c>
      <c r="C212" t="s">
        <v>14</v>
      </c>
      <c r="D212" s="34" t="s">
        <v>132</v>
      </c>
      <c r="E212" s="34">
        <v>442180</v>
      </c>
      <c r="F212" s="34" t="s">
        <v>143</v>
      </c>
      <c r="G212" s="34" t="s">
        <v>129</v>
      </c>
      <c r="H212" s="34" t="s">
        <v>20</v>
      </c>
      <c r="I212" s="35"/>
      <c r="J212" s="34">
        <v>28904337</v>
      </c>
      <c r="K212" s="34" t="s">
        <v>116</v>
      </c>
      <c r="L212" s="34" t="str">
        <f>_xlfn.XLOOKUP(Tabla2__2[[#This Row],[CODIGO RUTA]],'DATA INFORME'!I:I,'DATA INFORME'!K:K)</f>
        <v>SI</v>
      </c>
      <c r="M212" s="34" t="str">
        <f>IF(Tabla2__2[[#This Row],[MYSTERY EFECTIVO]]="SI",_xlfn.XLOOKUP(Tabla2__2[[#This Row],[PREGUNTA]],ENCUESTA!G:G,ENCUESTA!D:D),"N/A")</f>
        <v>ACTIVIDADES DEL MES</v>
      </c>
      <c r="N21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13.333333333333334</v>
      </c>
      <c r="O212" s="34" t="str">
        <f>_xlfn.XLOOKUP(Tabla2__2[[#This Row],[PREGUNTA]],ENCUESTA!G:G,ENCUESTA!H:H)</f>
        <v>SI</v>
      </c>
      <c r="P212" s="34">
        <f>IF(Tabla2__2[[#This Row],[RTA]]=Tabla2__2[[#This Row],[RTA CORRECTA]],Tabla2__2[[#This Row],[TOTAL PUNTAJE]],0)</f>
        <v>13.333333333333334</v>
      </c>
      <c r="Q212" s="34">
        <f>IF(OR(H212="Dog Chow húmedo",H212="Cat Chow húmedo",H212="Fancy Feast",H212="Felix",H212="Proplan húmedo",H212="One húmedo",H212="Snack Abrazzos",H212="Snak Dentalife",H212="Arenilla Tidy Cat"),N212,0)</f>
        <v>0</v>
      </c>
      <c r="R212" s="34"/>
    </row>
    <row r="213" spans="1:18" x14ac:dyDescent="0.25">
      <c r="A213" s="34" t="s">
        <v>113</v>
      </c>
      <c r="B213" s="34" t="s">
        <v>8</v>
      </c>
      <c r="C213" t="s">
        <v>14</v>
      </c>
      <c r="D213" s="34" t="s">
        <v>132</v>
      </c>
      <c r="E213" s="34">
        <v>442180</v>
      </c>
      <c r="F213" s="34" t="s">
        <v>143</v>
      </c>
      <c r="G213" s="34" t="s">
        <v>128</v>
      </c>
      <c r="H213" s="34" t="s">
        <v>20</v>
      </c>
      <c r="I213" s="35"/>
      <c r="J213" s="34">
        <v>28904337</v>
      </c>
      <c r="K213" s="34" t="s">
        <v>116</v>
      </c>
      <c r="L213" s="34" t="str">
        <f>_xlfn.XLOOKUP(Tabla2__2[[#This Row],[CODIGO RUTA]],'DATA INFORME'!I:I,'DATA INFORME'!K:K)</f>
        <v>SI</v>
      </c>
      <c r="M213" s="34" t="str">
        <f>IF(Tabla2__2[[#This Row],[MYSTERY EFECTIVO]]="SI",_xlfn.XLOOKUP(Tabla2__2[[#This Row],[PREGUNTA]],ENCUESTA!G:G,ENCUESTA!D:D),"N/A")</f>
        <v>ACTIVIDADES DEL MES</v>
      </c>
      <c r="N21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13.333333333333334</v>
      </c>
      <c r="O213" s="34" t="str">
        <f>_xlfn.XLOOKUP(Tabla2__2[[#This Row],[PREGUNTA]],ENCUESTA!G:G,ENCUESTA!H:H)</f>
        <v>SI</v>
      </c>
      <c r="P213" s="34">
        <f>IF(Tabla2__2[[#This Row],[RTA]]=Tabla2__2[[#This Row],[RTA CORRECTA]],Tabla2__2[[#This Row],[TOTAL PUNTAJE]],0)</f>
        <v>13.333333333333334</v>
      </c>
      <c r="Q213" s="34">
        <f>IF(OR(H213="Dog Chow húmedo",H213="Cat Chow húmedo",H213="Fancy Feast",H213="Felix",H213="Proplan húmedo",H213="One húmedo",H213="Snack Abrazzos",H213="Snak Dentalife",H213="Arenilla Tidy Cat"),N213,0)</f>
        <v>0</v>
      </c>
      <c r="R213" s="34"/>
    </row>
    <row r="214" spans="1:18" x14ac:dyDescent="0.25">
      <c r="A214" s="34" t="s">
        <v>113</v>
      </c>
      <c r="B214" s="34" t="s">
        <v>8</v>
      </c>
      <c r="C214" t="s">
        <v>14</v>
      </c>
      <c r="D214" s="34" t="s">
        <v>132</v>
      </c>
      <c r="E214" s="34">
        <v>442180</v>
      </c>
      <c r="F214" s="34" t="s">
        <v>143</v>
      </c>
      <c r="G214" s="34" t="s">
        <v>140</v>
      </c>
      <c r="H214" s="34" t="s">
        <v>20</v>
      </c>
      <c r="I214" s="35"/>
      <c r="J214" s="34">
        <v>28904337</v>
      </c>
      <c r="K214" s="34" t="s">
        <v>116</v>
      </c>
      <c r="L214" s="34" t="str">
        <f>_xlfn.XLOOKUP(Tabla2__2[[#This Row],[CODIGO RUTA]],'DATA INFORME'!I:I,'DATA INFORME'!K:K)</f>
        <v>SI</v>
      </c>
      <c r="M214" s="34" t="str">
        <f>IF(Tabla2__2[[#This Row],[MYSTERY EFECTIVO]]="SI",_xlfn.XLOOKUP(Tabla2__2[[#This Row],[PREGUNTA]],ENCUESTA!G:G,ENCUESTA!D:D),"N/A")</f>
        <v>ACTIVIDADES DEL MES</v>
      </c>
      <c r="N21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13.333333333333334</v>
      </c>
      <c r="O214" s="34" t="str">
        <f>_xlfn.XLOOKUP(Tabla2__2[[#This Row],[PREGUNTA]],ENCUESTA!G:G,ENCUESTA!H:H)</f>
        <v>SI</v>
      </c>
      <c r="P214" s="34">
        <f>IF(Tabla2__2[[#This Row],[RTA]]=Tabla2__2[[#This Row],[RTA CORRECTA]],Tabla2__2[[#This Row],[TOTAL PUNTAJE]],0)</f>
        <v>13.333333333333334</v>
      </c>
      <c r="Q214" s="34">
        <f>IF(OR(H214="Dog Chow húmedo",H214="Cat Chow húmedo",H214="Fancy Feast",H214="Felix",H214="Proplan húmedo",H214="One húmedo",H214="Snack Abrazzos",H214="Snak Dentalife",H214="Arenilla Tidy Cat"),N214,0)</f>
        <v>0</v>
      </c>
      <c r="R214" s="34"/>
    </row>
    <row r="215" spans="1:18" x14ac:dyDescent="0.25">
      <c r="A215" s="34" t="s">
        <v>113</v>
      </c>
      <c r="B215" s="34" t="s">
        <v>8</v>
      </c>
      <c r="C215" t="s">
        <v>14</v>
      </c>
      <c r="D215" s="34" t="s">
        <v>132</v>
      </c>
      <c r="E215" s="34">
        <v>442180</v>
      </c>
      <c r="F215" s="34" t="s">
        <v>143</v>
      </c>
      <c r="G215" s="34" t="s">
        <v>105</v>
      </c>
      <c r="H215" s="34" t="s">
        <v>131</v>
      </c>
      <c r="I215" s="35"/>
      <c r="J215" s="34">
        <v>28904337</v>
      </c>
      <c r="K215" s="34" t="s">
        <v>116</v>
      </c>
      <c r="L215" s="34" t="str">
        <f>_xlfn.XLOOKUP(Tabla2__2[[#This Row],[CODIGO RUTA]],'DATA INFORME'!I:I,'DATA INFORME'!K:K)</f>
        <v>SI</v>
      </c>
      <c r="M215" s="34" t="str">
        <f>IF(Tabla2__2[[#This Row],[MYSTERY EFECTIVO]]="SI",_xlfn.XLOOKUP(Tabla2__2[[#This Row],[PREGUNTA]],ENCUESTA!G:G,ENCUESTA!D:D),"N/A")</f>
        <v>N/A</v>
      </c>
      <c r="N21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5" s="34">
        <f>_xlfn.XLOOKUP(Tabla2__2[[#This Row],[PREGUNTA]],ENCUESTA!G:G,ENCUESTA!H:H)</f>
        <v>0</v>
      </c>
      <c r="P215" s="34">
        <f>IF(Tabla2__2[[#This Row],[RTA]]=Tabla2__2[[#This Row],[RTA CORRECTA]],Tabla2__2[[#This Row],[TOTAL PUNTAJE]],0)</f>
        <v>0</v>
      </c>
      <c r="Q215" s="34">
        <f>IF(OR(H215="Dog Chow húmedo",H215="Cat Chow húmedo",H215="Fancy Feast",H215="Felix",H215="Proplan húmedo",H215="One húmedo",H215="Snack Abrazzos",H215="Snak Dentalife",H215="Arenilla Tidy Cat"),N215,0)</f>
        <v>0</v>
      </c>
      <c r="R215" s="34"/>
    </row>
    <row r="216" spans="1:18" x14ac:dyDescent="0.25">
      <c r="A216" s="34" t="s">
        <v>113</v>
      </c>
      <c r="B216" s="34" t="s">
        <v>8</v>
      </c>
      <c r="C216" t="s">
        <v>14</v>
      </c>
      <c r="D216" s="34" t="s">
        <v>132</v>
      </c>
      <c r="E216" s="34">
        <v>442180</v>
      </c>
      <c r="F216" s="34" t="s">
        <v>143</v>
      </c>
      <c r="G216" s="34" t="s">
        <v>125</v>
      </c>
      <c r="H216" s="34" t="s">
        <v>20</v>
      </c>
      <c r="I216" s="35"/>
      <c r="J216" s="34">
        <v>28904337</v>
      </c>
      <c r="K216" s="34" t="s">
        <v>116</v>
      </c>
      <c r="L216" s="34" t="str">
        <f>_xlfn.XLOOKUP(Tabla2__2[[#This Row],[CODIGO RUTA]],'DATA INFORME'!I:I,'DATA INFORME'!K:K)</f>
        <v>SI</v>
      </c>
      <c r="M216" s="34" t="str">
        <f>IF(Tabla2__2[[#This Row],[MYSTERY EFECTIVO]]="SI",_xlfn.XLOOKUP(Tabla2__2[[#This Row],[PREGUNTA]],ENCUESTA!G:G,ENCUESTA!D:D),"N/A")</f>
        <v>EJECUCIÓN DEL PDV</v>
      </c>
      <c r="N21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16" s="34" t="str">
        <f>_xlfn.XLOOKUP(Tabla2__2[[#This Row],[PREGUNTA]],ENCUESTA!G:G,ENCUESTA!H:H)</f>
        <v>SI</v>
      </c>
      <c r="P216" s="34">
        <f>IF(Tabla2__2[[#This Row],[RTA]]=Tabla2__2[[#This Row],[RTA CORRECTA]],Tabla2__2[[#This Row],[TOTAL PUNTAJE]],0)</f>
        <v>3.75</v>
      </c>
      <c r="Q216" s="34">
        <f>IF(OR(H216="Dog Chow húmedo",H216="Cat Chow húmedo",H216="Fancy Feast",H216="Felix",H216="Proplan húmedo",H216="One húmedo",H216="Snack Abrazzos",H216="Snak Dentalife",H216="Arenilla Tidy Cat"),N216,0)</f>
        <v>0</v>
      </c>
      <c r="R216" s="34"/>
    </row>
    <row r="217" spans="1:18" x14ac:dyDescent="0.25">
      <c r="A217" s="34" t="s">
        <v>113</v>
      </c>
      <c r="B217" s="34" t="s">
        <v>8</v>
      </c>
      <c r="C217" t="s">
        <v>15</v>
      </c>
      <c r="D217" s="34" t="s">
        <v>132</v>
      </c>
      <c r="E217" s="34">
        <v>382375</v>
      </c>
      <c r="F217" s="34" t="s">
        <v>158</v>
      </c>
      <c r="G217" s="34" t="s">
        <v>105</v>
      </c>
      <c r="H217" s="34" t="s">
        <v>15</v>
      </c>
      <c r="I217" s="35"/>
      <c r="J217" s="34">
        <v>28907521</v>
      </c>
      <c r="K217" s="34" t="s">
        <v>164</v>
      </c>
      <c r="L217" s="34" t="str">
        <f>_xlfn.XLOOKUP(Tabla2__2[[#This Row],[CODIGO RUTA]],'DATA INFORME'!I:I,'DATA INFORME'!K:K)</f>
        <v>SI</v>
      </c>
      <c r="M217" s="34" t="str">
        <f>IF(Tabla2__2[[#This Row],[MYSTERY EFECTIVO]]="SI",_xlfn.XLOOKUP(Tabla2__2[[#This Row],[PREGUNTA]],ENCUESTA!G:G,ENCUESTA!D:D),"N/A")</f>
        <v>N/A</v>
      </c>
      <c r="N21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7" s="34">
        <f>_xlfn.XLOOKUP(Tabla2__2[[#This Row],[PREGUNTA]],ENCUESTA!G:G,ENCUESTA!H:H)</f>
        <v>0</v>
      </c>
      <c r="P217" s="34">
        <f>IF(Tabla2__2[[#This Row],[RTA]]=Tabla2__2[[#This Row],[RTA CORRECTA]],Tabla2__2[[#This Row],[TOTAL PUNTAJE]],0)</f>
        <v>0</v>
      </c>
      <c r="Q217" s="34">
        <f>IF(OR(H217="Dog Chow húmedo",H217="Cat Chow húmedo",H217="Fancy Feast",H217="Felix",H217="Proplan húmedo",H217="One húmedo",H217="Snack Abrazzos",H217="Snak Dentalife",H217="Arenilla Tidy Cat"),N217,0)</f>
        <v>0</v>
      </c>
      <c r="R217" s="34"/>
    </row>
    <row r="218" spans="1:18" x14ac:dyDescent="0.25">
      <c r="A218" s="34" t="s">
        <v>113</v>
      </c>
      <c r="B218" s="34" t="s">
        <v>135</v>
      </c>
      <c r="C218" t="s">
        <v>43</v>
      </c>
      <c r="D218" s="34" t="s">
        <v>136</v>
      </c>
      <c r="E218" s="34">
        <v>110508</v>
      </c>
      <c r="F218" s="34" t="s">
        <v>274</v>
      </c>
      <c r="G218" s="34" t="s">
        <v>130</v>
      </c>
      <c r="H218" s="34" t="s">
        <v>20</v>
      </c>
      <c r="I218" s="35"/>
      <c r="J218" s="34">
        <v>29016530</v>
      </c>
      <c r="K218" s="34" t="s">
        <v>139</v>
      </c>
      <c r="L218" s="34" t="str">
        <f>_xlfn.XLOOKUP(Tabla2__2[[#This Row],[CODIGO RUTA]],'DATA INFORME'!I:I,'DATA INFORME'!K:K)</f>
        <v>SI</v>
      </c>
      <c r="M218" s="34" t="str">
        <f>IF(Tabla2__2[[#This Row],[MYSTERY EFECTIVO]]="SI",_xlfn.XLOOKUP(Tabla2__2[[#This Row],[PREGUNTA]],ENCUESTA!G:G,ENCUESTA!D:D),"N/A")</f>
        <v>ACTIVIDADES DEL MES</v>
      </c>
      <c r="N21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40</v>
      </c>
      <c r="O218" s="34" t="str">
        <f>_xlfn.XLOOKUP(Tabla2__2[[#This Row],[PREGUNTA]],ENCUESTA!G:G,ENCUESTA!H:H)</f>
        <v>SI</v>
      </c>
      <c r="P218" s="34">
        <f>IF(Tabla2__2[[#This Row],[RTA]]=Tabla2__2[[#This Row],[RTA CORRECTA]],Tabla2__2[[#This Row],[TOTAL PUNTAJE]],0)</f>
        <v>40</v>
      </c>
      <c r="Q218" s="34">
        <f>IF(OR(H218="Dog Chow húmedo",H218="Cat Chow húmedo",H218="Fancy Feast",H218="Felix",H218="Proplan húmedo",H218="One húmedo",H218="Snack Abrazzos",H218="Snak Dentalife",H218="Arenilla Tidy Cat"),N218,0)</f>
        <v>0</v>
      </c>
      <c r="R218" s="34"/>
    </row>
    <row r="219" spans="1:18" x14ac:dyDescent="0.25">
      <c r="A219" s="34" t="s">
        <v>113</v>
      </c>
      <c r="B219" s="34" t="s">
        <v>8</v>
      </c>
      <c r="C219" t="s">
        <v>15</v>
      </c>
      <c r="D219" s="34" t="s">
        <v>132</v>
      </c>
      <c r="E219" s="34">
        <v>382375</v>
      </c>
      <c r="F219" s="34" t="s">
        <v>158</v>
      </c>
      <c r="G219" s="34" t="s">
        <v>126</v>
      </c>
      <c r="H219" s="34" t="s">
        <v>20</v>
      </c>
      <c r="I219" s="35"/>
      <c r="J219" s="34">
        <v>28907521</v>
      </c>
      <c r="K219" s="34" t="s">
        <v>164</v>
      </c>
      <c r="L219" s="34" t="str">
        <f>_xlfn.XLOOKUP(Tabla2__2[[#This Row],[CODIGO RUTA]],'DATA INFORME'!I:I,'DATA INFORME'!K:K)</f>
        <v>SI</v>
      </c>
      <c r="M219" s="34" t="str">
        <f>IF(Tabla2__2[[#This Row],[MYSTERY EFECTIVO]]="SI",_xlfn.XLOOKUP(Tabla2__2[[#This Row],[PREGUNTA]],ENCUESTA!G:G,ENCUESTA!D:D),"N/A")</f>
        <v>ACTIVIDADES DEL MES</v>
      </c>
      <c r="N21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19" s="34" t="str">
        <f>_xlfn.XLOOKUP(Tabla2__2[[#This Row],[PREGUNTA]],ENCUESTA!G:G,ENCUESTA!H:H)</f>
        <v>SI</v>
      </c>
      <c r="P219" s="34">
        <f>IF(Tabla2__2[[#This Row],[RTA]]=Tabla2__2[[#This Row],[RTA CORRECTA]],Tabla2__2[[#This Row],[TOTAL PUNTAJE]],0)</f>
        <v>20</v>
      </c>
      <c r="Q219" s="34">
        <f>IF(OR(H219="Dog Chow húmedo",H219="Cat Chow húmedo",H219="Fancy Feast",H219="Felix",H219="Proplan húmedo",H219="One húmedo",H219="Snack Abrazzos",H219="Snak Dentalife",H219="Arenilla Tidy Cat"),N219,0)</f>
        <v>0</v>
      </c>
      <c r="R219" s="34"/>
    </row>
    <row r="220" spans="1:18" x14ac:dyDescent="0.25">
      <c r="A220" s="34" t="s">
        <v>113</v>
      </c>
      <c r="B220" s="34" t="s">
        <v>8</v>
      </c>
      <c r="C220" t="s">
        <v>15</v>
      </c>
      <c r="D220" s="34" t="s">
        <v>132</v>
      </c>
      <c r="E220" s="34">
        <v>382375</v>
      </c>
      <c r="F220" s="34" t="s">
        <v>158</v>
      </c>
      <c r="G220" s="34" t="s">
        <v>106</v>
      </c>
      <c r="H220" s="34" t="s">
        <v>20</v>
      </c>
      <c r="I220" s="35"/>
      <c r="J220" s="34">
        <v>28907521</v>
      </c>
      <c r="K220" s="34" t="s">
        <v>164</v>
      </c>
      <c r="L220" s="34" t="str">
        <f>_xlfn.XLOOKUP(Tabla2__2[[#This Row],[CODIGO RUTA]],'DATA INFORME'!I:I,'DATA INFORME'!K:K)</f>
        <v>SI</v>
      </c>
      <c r="M220" s="34" t="str">
        <f>IF(Tabla2__2[[#This Row],[MYSTERY EFECTIVO]]="SI",_xlfn.XLOOKUP(Tabla2__2[[#This Row],[PREGUNTA]],ENCUESTA!G:G,ENCUESTA!D:D),"N/A")</f>
        <v>N/A</v>
      </c>
      <c r="N22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0" s="34">
        <f>_xlfn.XLOOKUP(Tabla2__2[[#This Row],[PREGUNTA]],ENCUESTA!G:G,ENCUESTA!H:H)</f>
        <v>0</v>
      </c>
      <c r="P220" s="34">
        <f>IF(Tabla2__2[[#This Row],[RTA]]=Tabla2__2[[#This Row],[RTA CORRECTA]],Tabla2__2[[#This Row],[TOTAL PUNTAJE]],0)</f>
        <v>0</v>
      </c>
      <c r="Q220" s="34">
        <f>IF(OR(H220="Dog Chow húmedo",H220="Cat Chow húmedo",H220="Fancy Feast",H220="Felix",H220="Proplan húmedo",H220="One húmedo",H220="Snack Abrazzos",H220="Snak Dentalife",H220="Arenilla Tidy Cat"),N220,0)</f>
        <v>0</v>
      </c>
      <c r="R220" s="34"/>
    </row>
    <row r="221" spans="1:18" x14ac:dyDescent="0.25">
      <c r="A221" s="34" t="s">
        <v>113</v>
      </c>
      <c r="B221" s="34" t="s">
        <v>135</v>
      </c>
      <c r="C221" t="s">
        <v>43</v>
      </c>
      <c r="D221" s="34" t="s">
        <v>173</v>
      </c>
      <c r="E221" s="34">
        <v>65453</v>
      </c>
      <c r="F221" s="34" t="s">
        <v>182</v>
      </c>
      <c r="G221" s="34" t="s">
        <v>89</v>
      </c>
      <c r="H221" s="34" t="s">
        <v>20</v>
      </c>
      <c r="I221" s="35"/>
      <c r="J221" s="34">
        <v>28953374</v>
      </c>
      <c r="K221" s="34" t="s">
        <v>139</v>
      </c>
      <c r="L221" s="34" t="str">
        <f>_xlfn.XLOOKUP(Tabla2__2[[#This Row],[CODIGO RUTA]],'DATA INFORME'!I:I,'DATA INFORME'!K:K)</f>
        <v>SI</v>
      </c>
      <c r="M221" s="34" t="str">
        <f>IF(Tabla2__2[[#This Row],[MYSTERY EFECTIVO]]="SI",_xlfn.XLOOKUP(Tabla2__2[[#This Row],[PREGUNTA]],ENCUESTA!G:G,ENCUESTA!D:D),"N/A")</f>
        <v>PRESENTACIÓN PERSONAL</v>
      </c>
      <c r="N22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21" s="34" t="str">
        <f>_xlfn.XLOOKUP(Tabla2__2[[#This Row],[PREGUNTA]],ENCUESTA!G:G,ENCUESTA!H:H)</f>
        <v>SI</v>
      </c>
      <c r="P221" s="34">
        <f>IF(Tabla2__2[[#This Row],[RTA]]=Tabla2__2[[#This Row],[RTA CORRECTA]],Tabla2__2[[#This Row],[TOTAL PUNTAJE]],0)</f>
        <v>1</v>
      </c>
      <c r="Q221" s="34">
        <f>IF(OR(H221="Dog Chow húmedo",H221="Cat Chow húmedo",H221="Fancy Feast",H221="Felix",H221="Proplan húmedo",H221="One húmedo",H221="Snack Abrazzos",H221="Snak Dentalife",H221="Arenilla Tidy Cat"),N221,0)</f>
        <v>0</v>
      </c>
      <c r="R221" s="34"/>
    </row>
    <row r="222" spans="1:18" x14ac:dyDescent="0.25">
      <c r="A222" s="34" t="s">
        <v>113</v>
      </c>
      <c r="B222" s="34" t="s">
        <v>135</v>
      </c>
      <c r="C222" t="s">
        <v>43</v>
      </c>
      <c r="D222" s="34" t="s">
        <v>173</v>
      </c>
      <c r="E222" s="34">
        <v>65453</v>
      </c>
      <c r="F222" s="34" t="s">
        <v>182</v>
      </c>
      <c r="G222" s="34" t="s">
        <v>88</v>
      </c>
      <c r="H222" s="34" t="s">
        <v>20</v>
      </c>
      <c r="I222" s="35"/>
      <c r="J222" s="34">
        <v>28953374</v>
      </c>
      <c r="K222" s="34" t="s">
        <v>139</v>
      </c>
      <c r="L222" s="34" t="str">
        <f>_xlfn.XLOOKUP(Tabla2__2[[#This Row],[CODIGO RUTA]],'DATA INFORME'!I:I,'DATA INFORME'!K:K)</f>
        <v>SI</v>
      </c>
      <c r="M222" s="34" t="str">
        <f>IF(Tabla2__2[[#This Row],[MYSTERY EFECTIVO]]="SI",_xlfn.XLOOKUP(Tabla2__2[[#This Row],[PREGUNTA]],ENCUESTA!G:G,ENCUESTA!D:D),"N/A")</f>
        <v>HORARIO</v>
      </c>
      <c r="N22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22" s="34" t="str">
        <f>_xlfn.XLOOKUP(Tabla2__2[[#This Row],[PREGUNTA]],ENCUESTA!G:G,ENCUESTA!H:H)</f>
        <v>SI</v>
      </c>
      <c r="P222" s="34">
        <f>IF(Tabla2__2[[#This Row],[RTA]]=Tabla2__2[[#This Row],[RTA CORRECTA]],Tabla2__2[[#This Row],[TOTAL PUNTAJE]],0)</f>
        <v>20</v>
      </c>
      <c r="Q222" s="34">
        <f>IF(OR(H222="Dog Chow húmedo",H222="Cat Chow húmedo",H222="Fancy Feast",H222="Felix",H222="Proplan húmedo",H222="One húmedo",H222="Snack Abrazzos",H222="Snak Dentalife",H222="Arenilla Tidy Cat"),N222,0)</f>
        <v>0</v>
      </c>
      <c r="R222" s="34"/>
    </row>
    <row r="223" spans="1:18" x14ac:dyDescent="0.25">
      <c r="A223" s="34" t="s">
        <v>113</v>
      </c>
      <c r="B223" s="34" t="s">
        <v>135</v>
      </c>
      <c r="C223" t="s">
        <v>43</v>
      </c>
      <c r="D223" s="34" t="s">
        <v>173</v>
      </c>
      <c r="E223" s="34">
        <v>65453</v>
      </c>
      <c r="F223" s="34" t="s">
        <v>182</v>
      </c>
      <c r="G223" s="34" t="s">
        <v>87</v>
      </c>
      <c r="H223" s="34" t="s">
        <v>20</v>
      </c>
      <c r="I223" s="35"/>
      <c r="J223" s="34">
        <v>28953374</v>
      </c>
      <c r="K223" s="34" t="s">
        <v>139</v>
      </c>
      <c r="L223" s="34" t="str">
        <f>_xlfn.XLOOKUP(Tabla2__2[[#This Row],[CODIGO RUTA]],'DATA INFORME'!I:I,'DATA INFORME'!K:K)</f>
        <v>SI</v>
      </c>
      <c r="M223" s="34" t="str">
        <f>IF(Tabla2__2[[#This Row],[MYSTERY EFECTIVO]]="SI",_xlfn.XLOOKUP(Tabla2__2[[#This Row],[PREGUNTA]],ENCUESTA!G:G,ENCUESTA!D:D),"N/A")</f>
        <v>N/A</v>
      </c>
      <c r="N22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3" s="34">
        <f>_xlfn.XLOOKUP(Tabla2__2[[#This Row],[PREGUNTA]],ENCUESTA!G:G,ENCUESTA!H:H)</f>
        <v>0</v>
      </c>
      <c r="P223" s="34">
        <f>IF(Tabla2__2[[#This Row],[RTA]]=Tabla2__2[[#This Row],[RTA CORRECTA]],Tabla2__2[[#This Row],[TOTAL PUNTAJE]],0)</f>
        <v>0</v>
      </c>
      <c r="Q223" s="34">
        <f>IF(OR(H223="Dog Chow húmedo",H223="Cat Chow húmedo",H223="Fancy Feast",H223="Felix",H223="Proplan húmedo",H223="One húmedo",H223="Snack Abrazzos",H223="Snak Dentalife",H223="Arenilla Tidy Cat"),N223,0)</f>
        <v>0</v>
      </c>
      <c r="R223" s="34"/>
    </row>
    <row r="224" spans="1:18" x14ac:dyDescent="0.25">
      <c r="A224" s="34" t="s">
        <v>113</v>
      </c>
      <c r="B224" s="34" t="s">
        <v>119</v>
      </c>
      <c r="C224" t="s">
        <v>43</v>
      </c>
      <c r="D224" s="34" t="s">
        <v>173</v>
      </c>
      <c r="E224" s="34">
        <v>66552</v>
      </c>
      <c r="F224" s="34" t="s">
        <v>176</v>
      </c>
      <c r="G224" s="34" t="s">
        <v>106</v>
      </c>
      <c r="H224" s="34" t="s">
        <v>112</v>
      </c>
      <c r="I224" s="35"/>
      <c r="J224" s="34">
        <v>28946324</v>
      </c>
      <c r="K224" s="34" t="s">
        <v>121</v>
      </c>
      <c r="L224" s="34" t="str">
        <f>_xlfn.XLOOKUP(Tabla2__2[[#This Row],[CODIGO RUTA]],'DATA INFORME'!I:I,'DATA INFORME'!K:K)</f>
        <v>NO</v>
      </c>
      <c r="M224" s="34" t="str">
        <f>IF(Tabla2__2[[#This Row],[MYSTERY EFECTIVO]]="SI",_xlfn.XLOOKUP(Tabla2__2[[#This Row],[PREGUNTA]],ENCUESTA!G:G,ENCUESTA!D:D),"N/A")</f>
        <v>N/A</v>
      </c>
      <c r="N22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4" s="34">
        <f>_xlfn.XLOOKUP(Tabla2__2[[#This Row],[PREGUNTA]],ENCUESTA!G:G,ENCUESTA!H:H)</f>
        <v>0</v>
      </c>
      <c r="P224" s="34">
        <f>IF(Tabla2__2[[#This Row],[RTA]]=Tabla2__2[[#This Row],[RTA CORRECTA]],Tabla2__2[[#This Row],[TOTAL PUNTAJE]],0)</f>
        <v>0</v>
      </c>
      <c r="Q224" s="34">
        <f>IF(OR(H224="Dog Chow húmedo",H224="Cat Chow húmedo",H224="Fancy Feast",H224="Felix",H224="Proplan húmedo",H224="One húmedo",H224="Snack Abrazzos",H224="Snak Dentalife",H224="Arenilla Tidy Cat"),N224,0)</f>
        <v>0</v>
      </c>
      <c r="R224" s="34"/>
    </row>
    <row r="225" spans="1:18" x14ac:dyDescent="0.25">
      <c r="A225" s="34" t="s">
        <v>113</v>
      </c>
      <c r="B225" s="34" t="s">
        <v>119</v>
      </c>
      <c r="C225" t="s">
        <v>43</v>
      </c>
      <c r="D225" s="34" t="s">
        <v>173</v>
      </c>
      <c r="E225" s="34">
        <v>66552</v>
      </c>
      <c r="F225" s="34" t="s">
        <v>176</v>
      </c>
      <c r="G225" s="34" t="s">
        <v>130</v>
      </c>
      <c r="H225" s="34" t="s">
        <v>112</v>
      </c>
      <c r="I225" s="35"/>
      <c r="J225" s="34">
        <v>28946324</v>
      </c>
      <c r="K225" s="34" t="s">
        <v>121</v>
      </c>
      <c r="L225" s="34" t="str">
        <f>_xlfn.XLOOKUP(Tabla2__2[[#This Row],[CODIGO RUTA]],'DATA INFORME'!I:I,'DATA INFORME'!K:K)</f>
        <v>NO</v>
      </c>
      <c r="M225" s="34" t="str">
        <f>IF(Tabla2__2[[#This Row],[MYSTERY EFECTIVO]]="SI",_xlfn.XLOOKUP(Tabla2__2[[#This Row],[PREGUNTA]],ENCUESTA!G:G,ENCUESTA!D:D),"N/A")</f>
        <v>N/A</v>
      </c>
      <c r="N22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5" s="34" t="str">
        <f>_xlfn.XLOOKUP(Tabla2__2[[#This Row],[PREGUNTA]],ENCUESTA!G:G,ENCUESTA!H:H)</f>
        <v>SI</v>
      </c>
      <c r="P225" s="34">
        <f>IF(Tabla2__2[[#This Row],[RTA]]=Tabla2__2[[#This Row],[RTA CORRECTA]],Tabla2__2[[#This Row],[TOTAL PUNTAJE]],0)</f>
        <v>0</v>
      </c>
      <c r="Q225" s="34">
        <f>IF(OR(H225="Dog Chow húmedo",H225="Cat Chow húmedo",H225="Fancy Feast",H225="Felix",H225="Proplan húmedo",H225="One húmedo",H225="Snack Abrazzos",H225="Snak Dentalife",H225="Arenilla Tidy Cat"),N225,0)</f>
        <v>0</v>
      </c>
      <c r="R225" s="34"/>
    </row>
    <row r="226" spans="1:18" x14ac:dyDescent="0.25">
      <c r="A226" s="34" t="s">
        <v>113</v>
      </c>
      <c r="B226" s="34" t="s">
        <v>119</v>
      </c>
      <c r="C226" t="s">
        <v>43</v>
      </c>
      <c r="D226" s="34" t="s">
        <v>173</v>
      </c>
      <c r="E226" s="34">
        <v>66552</v>
      </c>
      <c r="F226" s="34" t="s">
        <v>176</v>
      </c>
      <c r="G226" s="34" t="s">
        <v>105</v>
      </c>
      <c r="H226" s="34" t="s">
        <v>117</v>
      </c>
      <c r="I226" s="35"/>
      <c r="J226" s="34">
        <v>28946324</v>
      </c>
      <c r="K226" s="34" t="s">
        <v>121</v>
      </c>
      <c r="L226" s="34" t="str">
        <f>_xlfn.XLOOKUP(Tabla2__2[[#This Row],[CODIGO RUTA]],'DATA INFORME'!I:I,'DATA INFORME'!K:K)</f>
        <v>NO</v>
      </c>
      <c r="M226" s="34" t="str">
        <f>IF(Tabla2__2[[#This Row],[MYSTERY EFECTIVO]]="SI",_xlfn.XLOOKUP(Tabla2__2[[#This Row],[PREGUNTA]],ENCUESTA!G:G,ENCUESTA!D:D),"N/A")</f>
        <v>N/A</v>
      </c>
      <c r="N22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6" s="34">
        <f>_xlfn.XLOOKUP(Tabla2__2[[#This Row],[PREGUNTA]],ENCUESTA!G:G,ENCUESTA!H:H)</f>
        <v>0</v>
      </c>
      <c r="P226" s="34">
        <f>IF(Tabla2__2[[#This Row],[RTA]]=Tabla2__2[[#This Row],[RTA CORRECTA]],Tabla2__2[[#This Row],[TOTAL PUNTAJE]],0)</f>
        <v>0</v>
      </c>
      <c r="Q226" s="34">
        <f>IF(OR(H226="Dog Chow húmedo",H226="Cat Chow húmedo",H226="Fancy Feast",H226="Felix",H226="Proplan húmedo",H226="One húmedo",H226="Snack Abrazzos",H226="Snak Dentalife",H226="Arenilla Tidy Cat"),N226,0)</f>
        <v>0</v>
      </c>
      <c r="R226" s="34"/>
    </row>
    <row r="227" spans="1:18" x14ac:dyDescent="0.25">
      <c r="A227" s="34" t="s">
        <v>113</v>
      </c>
      <c r="B227" s="34" t="s">
        <v>135</v>
      </c>
      <c r="C227" t="s">
        <v>43</v>
      </c>
      <c r="D227" s="34" t="s">
        <v>173</v>
      </c>
      <c r="E227" s="34">
        <v>65453</v>
      </c>
      <c r="F227" s="34" t="s">
        <v>182</v>
      </c>
      <c r="G227" s="34" t="s">
        <v>90</v>
      </c>
      <c r="H227" s="34" t="s">
        <v>20</v>
      </c>
      <c r="I227" s="35"/>
      <c r="J227" s="34">
        <v>28953374</v>
      </c>
      <c r="K227" s="34" t="s">
        <v>139</v>
      </c>
      <c r="L227" s="34" t="str">
        <f>_xlfn.XLOOKUP(Tabla2__2[[#This Row],[CODIGO RUTA]],'DATA INFORME'!I:I,'DATA INFORME'!K:K)</f>
        <v>SI</v>
      </c>
      <c r="M227" s="34" t="str">
        <f>IF(Tabla2__2[[#This Row],[MYSTERY EFECTIVO]]="SI",_xlfn.XLOOKUP(Tabla2__2[[#This Row],[PREGUNTA]],ENCUESTA!G:G,ENCUESTA!D:D),"N/A")</f>
        <v>PRESENTACIÓN PERSONAL</v>
      </c>
      <c r="N22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27" s="34" t="str">
        <f>_xlfn.XLOOKUP(Tabla2__2[[#This Row],[PREGUNTA]],ENCUESTA!G:G,ENCUESTA!H:H)</f>
        <v>SI</v>
      </c>
      <c r="P227" s="34">
        <f>IF(Tabla2__2[[#This Row],[RTA]]=Tabla2__2[[#This Row],[RTA CORRECTA]],Tabla2__2[[#This Row],[TOTAL PUNTAJE]],0)</f>
        <v>1</v>
      </c>
      <c r="Q227" s="34">
        <f>IF(OR(H227="Dog Chow húmedo",H227="Cat Chow húmedo",H227="Fancy Feast",H227="Felix",H227="Proplan húmedo",H227="One húmedo",H227="Snack Abrazzos",H227="Snak Dentalife",H227="Arenilla Tidy Cat"),N227,0)</f>
        <v>0</v>
      </c>
      <c r="R227" s="34"/>
    </row>
    <row r="228" spans="1:18" x14ac:dyDescent="0.25">
      <c r="A228" s="34" t="s">
        <v>113</v>
      </c>
      <c r="B228" s="34" t="s">
        <v>119</v>
      </c>
      <c r="C228" t="s">
        <v>43</v>
      </c>
      <c r="D228" s="34" t="s">
        <v>173</v>
      </c>
      <c r="E228" s="34">
        <v>66552</v>
      </c>
      <c r="F228" s="34" t="s">
        <v>176</v>
      </c>
      <c r="G228" s="34" t="s">
        <v>125</v>
      </c>
      <c r="H228" s="34" t="s">
        <v>112</v>
      </c>
      <c r="I228" s="35"/>
      <c r="J228" s="34">
        <v>28946324</v>
      </c>
      <c r="K228" s="34" t="s">
        <v>121</v>
      </c>
      <c r="L228" s="34" t="str">
        <f>_xlfn.XLOOKUP(Tabla2__2[[#This Row],[CODIGO RUTA]],'DATA INFORME'!I:I,'DATA INFORME'!K:K)</f>
        <v>NO</v>
      </c>
      <c r="M228" s="34" t="str">
        <f>IF(Tabla2__2[[#This Row],[MYSTERY EFECTIVO]]="SI",_xlfn.XLOOKUP(Tabla2__2[[#This Row],[PREGUNTA]],ENCUESTA!G:G,ENCUESTA!D:D),"N/A")</f>
        <v>N/A</v>
      </c>
      <c r="N22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8" s="34" t="str">
        <f>_xlfn.XLOOKUP(Tabla2__2[[#This Row],[PREGUNTA]],ENCUESTA!G:G,ENCUESTA!H:H)</f>
        <v>SI</v>
      </c>
      <c r="P228" s="34">
        <f>IF(Tabla2__2[[#This Row],[RTA]]=Tabla2__2[[#This Row],[RTA CORRECTA]],Tabla2__2[[#This Row],[TOTAL PUNTAJE]],0)</f>
        <v>0</v>
      </c>
      <c r="Q228" s="34">
        <f>IF(OR(H228="Dog Chow húmedo",H228="Cat Chow húmedo",H228="Fancy Feast",H228="Felix",H228="Proplan húmedo",H228="One húmedo",H228="Snack Abrazzos",H228="Snak Dentalife",H228="Arenilla Tidy Cat"),N228,0)</f>
        <v>0</v>
      </c>
      <c r="R228" s="34"/>
    </row>
    <row r="229" spans="1:18" x14ac:dyDescent="0.25">
      <c r="A229" s="34" t="s">
        <v>113</v>
      </c>
      <c r="B229" s="34" t="s">
        <v>119</v>
      </c>
      <c r="C229" t="s">
        <v>43</v>
      </c>
      <c r="D229" s="34" t="s">
        <v>173</v>
      </c>
      <c r="E229" s="34">
        <v>66552</v>
      </c>
      <c r="F229" s="34" t="s">
        <v>176</v>
      </c>
      <c r="G229" s="34" t="s">
        <v>103</v>
      </c>
      <c r="H229" s="34" t="s">
        <v>112</v>
      </c>
      <c r="I229" s="35"/>
      <c r="J229" s="34">
        <v>28946324</v>
      </c>
      <c r="K229" s="34" t="s">
        <v>121</v>
      </c>
      <c r="L229" s="34" t="str">
        <f>_xlfn.XLOOKUP(Tabla2__2[[#This Row],[CODIGO RUTA]],'DATA INFORME'!I:I,'DATA INFORME'!K:K)</f>
        <v>NO</v>
      </c>
      <c r="M229" s="34" t="str">
        <f>IF(Tabla2__2[[#This Row],[MYSTERY EFECTIVO]]="SI",_xlfn.XLOOKUP(Tabla2__2[[#This Row],[PREGUNTA]],ENCUESTA!G:G,ENCUESTA!D:D),"N/A")</f>
        <v>N/A</v>
      </c>
      <c r="N22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9" s="34" t="str">
        <f>_xlfn.XLOOKUP(Tabla2__2[[#This Row],[PREGUNTA]],ENCUESTA!G:G,ENCUESTA!H:H)</f>
        <v>SI</v>
      </c>
      <c r="P229" s="34">
        <f>IF(Tabla2__2[[#This Row],[RTA]]=Tabla2__2[[#This Row],[RTA CORRECTA]],Tabla2__2[[#This Row],[TOTAL PUNTAJE]],0)</f>
        <v>0</v>
      </c>
      <c r="Q229" s="34">
        <f>IF(OR(H229="Dog Chow húmedo",H229="Cat Chow húmedo",H229="Fancy Feast",H229="Felix",H229="Proplan húmedo",H229="One húmedo",H229="Snack Abrazzos",H229="Snak Dentalife",H229="Arenilla Tidy Cat"),N229,0)</f>
        <v>0</v>
      </c>
      <c r="R229" s="34"/>
    </row>
    <row r="230" spans="1:18" x14ac:dyDescent="0.25">
      <c r="A230" s="34" t="s">
        <v>113</v>
      </c>
      <c r="B230" s="34" t="s">
        <v>119</v>
      </c>
      <c r="C230" t="s">
        <v>43</v>
      </c>
      <c r="D230" s="34" t="s">
        <v>173</v>
      </c>
      <c r="E230" s="34">
        <v>66552</v>
      </c>
      <c r="F230" s="34" t="s">
        <v>176</v>
      </c>
      <c r="G230" s="34" t="s">
        <v>102</v>
      </c>
      <c r="H230" s="34" t="s">
        <v>112</v>
      </c>
      <c r="I230" s="35"/>
      <c r="J230" s="34">
        <v>28946324</v>
      </c>
      <c r="K230" s="34" t="s">
        <v>121</v>
      </c>
      <c r="L230" s="34" t="str">
        <f>_xlfn.XLOOKUP(Tabla2__2[[#This Row],[CODIGO RUTA]],'DATA INFORME'!I:I,'DATA INFORME'!K:K)</f>
        <v>NO</v>
      </c>
      <c r="M230" s="34" t="str">
        <f>IF(Tabla2__2[[#This Row],[MYSTERY EFECTIVO]]="SI",_xlfn.XLOOKUP(Tabla2__2[[#This Row],[PREGUNTA]],ENCUESTA!G:G,ENCUESTA!D:D),"N/A")</f>
        <v>N/A</v>
      </c>
      <c r="N23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0" s="34" t="str">
        <f>_xlfn.XLOOKUP(Tabla2__2[[#This Row],[PREGUNTA]],ENCUESTA!G:G,ENCUESTA!H:H)</f>
        <v>SI</v>
      </c>
      <c r="P230" s="34">
        <f>IF(Tabla2__2[[#This Row],[RTA]]=Tabla2__2[[#This Row],[RTA CORRECTA]],Tabla2__2[[#This Row],[TOTAL PUNTAJE]],0)</f>
        <v>0</v>
      </c>
      <c r="Q230" s="34">
        <f>IF(OR(H230="Dog Chow húmedo",H230="Cat Chow húmedo",H230="Fancy Feast",H230="Felix",H230="Proplan húmedo",H230="One húmedo",H230="Snack Abrazzos",H230="Snak Dentalife",H230="Arenilla Tidy Cat"),N230,0)</f>
        <v>0</v>
      </c>
      <c r="R230" s="34"/>
    </row>
    <row r="231" spans="1:18" x14ac:dyDescent="0.25">
      <c r="A231" s="34" t="s">
        <v>113</v>
      </c>
      <c r="B231" s="34" t="s">
        <v>119</v>
      </c>
      <c r="C231" t="s">
        <v>43</v>
      </c>
      <c r="D231" s="34" t="s">
        <v>173</v>
      </c>
      <c r="E231" s="34">
        <v>66552</v>
      </c>
      <c r="F231" s="34" t="s">
        <v>176</v>
      </c>
      <c r="G231" s="34" t="s">
        <v>101</v>
      </c>
      <c r="H231" s="34" t="s">
        <v>112</v>
      </c>
      <c r="I231" s="35"/>
      <c r="J231" s="34">
        <v>28946324</v>
      </c>
      <c r="K231" s="34" t="s">
        <v>121</v>
      </c>
      <c r="L231" s="34" t="str">
        <f>_xlfn.XLOOKUP(Tabla2__2[[#This Row],[CODIGO RUTA]],'DATA INFORME'!I:I,'DATA INFORME'!K:K)</f>
        <v>NO</v>
      </c>
      <c r="M231" s="34" t="str">
        <f>IF(Tabla2__2[[#This Row],[MYSTERY EFECTIVO]]="SI",_xlfn.XLOOKUP(Tabla2__2[[#This Row],[PREGUNTA]],ENCUESTA!G:G,ENCUESTA!D:D),"N/A")</f>
        <v>N/A</v>
      </c>
      <c r="N23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1" s="34" t="str">
        <f>_xlfn.XLOOKUP(Tabla2__2[[#This Row],[PREGUNTA]],ENCUESTA!G:G,ENCUESTA!H:H)</f>
        <v>SI</v>
      </c>
      <c r="P231" s="34">
        <f>IF(Tabla2__2[[#This Row],[RTA]]=Tabla2__2[[#This Row],[RTA CORRECTA]],Tabla2__2[[#This Row],[TOTAL PUNTAJE]],0)</f>
        <v>0</v>
      </c>
      <c r="Q231" s="34">
        <f>IF(OR(H231="Dog Chow húmedo",H231="Cat Chow húmedo",H231="Fancy Feast",H231="Felix",H231="Proplan húmedo",H231="One húmedo",H231="Snack Abrazzos",H231="Snak Dentalife",H231="Arenilla Tidy Cat"),N231,0)</f>
        <v>0</v>
      </c>
      <c r="R231" s="34"/>
    </row>
    <row r="232" spans="1:18" x14ac:dyDescent="0.25">
      <c r="A232" s="34" t="s">
        <v>113</v>
      </c>
      <c r="B232" s="34" t="s">
        <v>119</v>
      </c>
      <c r="C232" t="s">
        <v>43</v>
      </c>
      <c r="D232" s="34" t="s">
        <v>173</v>
      </c>
      <c r="E232" s="34">
        <v>66552</v>
      </c>
      <c r="F232" s="34" t="s">
        <v>176</v>
      </c>
      <c r="G232" s="34" t="s">
        <v>100</v>
      </c>
      <c r="H232" s="34" t="s">
        <v>112</v>
      </c>
      <c r="I232" s="35"/>
      <c r="J232" s="34">
        <v>28946324</v>
      </c>
      <c r="K232" s="34" t="s">
        <v>121</v>
      </c>
      <c r="L232" s="34" t="str">
        <f>_xlfn.XLOOKUP(Tabla2__2[[#This Row],[CODIGO RUTA]],'DATA INFORME'!I:I,'DATA INFORME'!K:K)</f>
        <v>NO</v>
      </c>
      <c r="M232" s="34" t="str">
        <f>IF(Tabla2__2[[#This Row],[MYSTERY EFECTIVO]]="SI",_xlfn.XLOOKUP(Tabla2__2[[#This Row],[PREGUNTA]],ENCUESTA!G:G,ENCUESTA!D:D),"N/A")</f>
        <v>N/A</v>
      </c>
      <c r="N23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2" s="34" t="str">
        <f>_xlfn.XLOOKUP(Tabla2__2[[#This Row],[PREGUNTA]],ENCUESTA!G:G,ENCUESTA!H:H)</f>
        <v>SI</v>
      </c>
      <c r="P232" s="34">
        <f>IF(Tabla2__2[[#This Row],[RTA]]=Tabla2__2[[#This Row],[RTA CORRECTA]],Tabla2__2[[#This Row],[TOTAL PUNTAJE]],0)</f>
        <v>0</v>
      </c>
      <c r="Q232" s="34">
        <f>IF(OR(H232="Dog Chow húmedo",H232="Cat Chow húmedo",H232="Fancy Feast",H232="Felix",H232="Proplan húmedo",H232="One húmedo",H232="Snack Abrazzos",H232="Snak Dentalife",H232="Arenilla Tidy Cat"),N232,0)</f>
        <v>0</v>
      </c>
      <c r="R232" s="34"/>
    </row>
    <row r="233" spans="1:18" x14ac:dyDescent="0.25">
      <c r="A233" s="34" t="s">
        <v>113</v>
      </c>
      <c r="B233" s="34" t="s">
        <v>119</v>
      </c>
      <c r="C233" t="s">
        <v>43</v>
      </c>
      <c r="D233" s="34" t="s">
        <v>173</v>
      </c>
      <c r="E233" s="34">
        <v>66552</v>
      </c>
      <c r="F233" s="34" t="s">
        <v>176</v>
      </c>
      <c r="G233" s="34" t="s">
        <v>99</v>
      </c>
      <c r="H233" s="34" t="s">
        <v>112</v>
      </c>
      <c r="I233" s="35"/>
      <c r="J233" s="34">
        <v>28946324</v>
      </c>
      <c r="K233" s="34" t="s">
        <v>121</v>
      </c>
      <c r="L233" s="34" t="str">
        <f>_xlfn.XLOOKUP(Tabla2__2[[#This Row],[CODIGO RUTA]],'DATA INFORME'!I:I,'DATA INFORME'!K:K)</f>
        <v>NO</v>
      </c>
      <c r="M233" s="34" t="str">
        <f>IF(Tabla2__2[[#This Row],[MYSTERY EFECTIVO]]="SI",_xlfn.XLOOKUP(Tabla2__2[[#This Row],[PREGUNTA]],ENCUESTA!G:G,ENCUESTA!D:D),"N/A")</f>
        <v>N/A</v>
      </c>
      <c r="N23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3" s="34" t="str">
        <f>_xlfn.XLOOKUP(Tabla2__2[[#This Row],[PREGUNTA]],ENCUESTA!G:G,ENCUESTA!H:H)</f>
        <v>SI</v>
      </c>
      <c r="P233" s="34">
        <f>IF(Tabla2__2[[#This Row],[RTA]]=Tabla2__2[[#This Row],[RTA CORRECTA]],Tabla2__2[[#This Row],[TOTAL PUNTAJE]],0)</f>
        <v>0</v>
      </c>
      <c r="Q233" s="34">
        <f>IF(OR(H233="Dog Chow húmedo",H233="Cat Chow húmedo",H233="Fancy Feast",H233="Felix",H233="Proplan húmedo",H233="One húmedo",H233="Snack Abrazzos",H233="Snak Dentalife",H233="Arenilla Tidy Cat"),N233,0)</f>
        <v>0</v>
      </c>
      <c r="R233" s="34"/>
    </row>
    <row r="234" spans="1:18" x14ac:dyDescent="0.25">
      <c r="A234" s="34" t="s">
        <v>113</v>
      </c>
      <c r="B234" s="34" t="s">
        <v>119</v>
      </c>
      <c r="C234" t="s">
        <v>43</v>
      </c>
      <c r="D234" s="34" t="s">
        <v>173</v>
      </c>
      <c r="E234" s="34">
        <v>66552</v>
      </c>
      <c r="F234" s="34" t="s">
        <v>176</v>
      </c>
      <c r="G234" s="34" t="s">
        <v>98</v>
      </c>
      <c r="H234" s="34" t="s">
        <v>112</v>
      </c>
      <c r="I234" s="35"/>
      <c r="J234" s="34">
        <v>28946324</v>
      </c>
      <c r="K234" s="34" t="s">
        <v>121</v>
      </c>
      <c r="L234" s="34" t="str">
        <f>_xlfn.XLOOKUP(Tabla2__2[[#This Row],[CODIGO RUTA]],'DATA INFORME'!I:I,'DATA INFORME'!K:K)</f>
        <v>NO</v>
      </c>
      <c r="M234" s="34" t="str">
        <f>IF(Tabla2__2[[#This Row],[MYSTERY EFECTIVO]]="SI",_xlfn.XLOOKUP(Tabla2__2[[#This Row],[PREGUNTA]],ENCUESTA!G:G,ENCUESTA!D:D),"N/A")</f>
        <v>N/A</v>
      </c>
      <c r="N23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4" s="34" t="str">
        <f>_xlfn.XLOOKUP(Tabla2__2[[#This Row],[PREGUNTA]],ENCUESTA!G:G,ENCUESTA!H:H)</f>
        <v>SI</v>
      </c>
      <c r="P234" s="34">
        <f>IF(Tabla2__2[[#This Row],[RTA]]=Tabla2__2[[#This Row],[RTA CORRECTA]],Tabla2__2[[#This Row],[TOTAL PUNTAJE]],0)</f>
        <v>0</v>
      </c>
      <c r="Q234" s="34">
        <f>IF(OR(H234="Dog Chow húmedo",H234="Cat Chow húmedo",H234="Fancy Feast",H234="Felix",H234="Proplan húmedo",H234="One húmedo",H234="Snack Abrazzos",H234="Snak Dentalife",H234="Arenilla Tidy Cat"),N234,0)</f>
        <v>0</v>
      </c>
      <c r="R234" s="34"/>
    </row>
    <row r="235" spans="1:18" x14ac:dyDescent="0.25">
      <c r="A235" s="34" t="s">
        <v>113</v>
      </c>
      <c r="B235" s="34" t="s">
        <v>119</v>
      </c>
      <c r="C235" t="s">
        <v>43</v>
      </c>
      <c r="D235" s="34" t="s">
        <v>173</v>
      </c>
      <c r="E235" s="34">
        <v>66552</v>
      </c>
      <c r="F235" s="34" t="s">
        <v>176</v>
      </c>
      <c r="G235" s="34" t="s">
        <v>104</v>
      </c>
      <c r="H235" s="34" t="s">
        <v>112</v>
      </c>
      <c r="I235" s="35"/>
      <c r="J235" s="34">
        <v>28946324</v>
      </c>
      <c r="K235" s="34" t="s">
        <v>121</v>
      </c>
      <c r="L235" s="34" t="str">
        <f>_xlfn.XLOOKUP(Tabla2__2[[#This Row],[CODIGO RUTA]],'DATA INFORME'!I:I,'DATA INFORME'!K:K)</f>
        <v>NO</v>
      </c>
      <c r="M235" s="34" t="str">
        <f>IF(Tabla2__2[[#This Row],[MYSTERY EFECTIVO]]="SI",_xlfn.XLOOKUP(Tabla2__2[[#This Row],[PREGUNTA]],ENCUESTA!G:G,ENCUESTA!D:D),"N/A")</f>
        <v>N/A</v>
      </c>
      <c r="N23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5" s="34" t="str">
        <f>_xlfn.XLOOKUP(Tabla2__2[[#This Row],[PREGUNTA]],ENCUESTA!G:G,ENCUESTA!H:H)</f>
        <v>SI</v>
      </c>
      <c r="P235" s="34">
        <f>IF(Tabla2__2[[#This Row],[RTA]]=Tabla2__2[[#This Row],[RTA CORRECTA]],Tabla2__2[[#This Row],[TOTAL PUNTAJE]],0)</f>
        <v>0</v>
      </c>
      <c r="Q235" s="34">
        <f>IF(OR(H235="Dog Chow húmedo",H235="Cat Chow húmedo",H235="Fancy Feast",H235="Felix",H235="Proplan húmedo",H235="One húmedo",H235="Snack Abrazzos",H235="Snak Dentalife",H235="Arenilla Tidy Cat"),N235,0)</f>
        <v>0</v>
      </c>
      <c r="R235" s="34"/>
    </row>
    <row r="236" spans="1:18" x14ac:dyDescent="0.25">
      <c r="A236" s="34" t="s">
        <v>113</v>
      </c>
      <c r="B236" s="34" t="s">
        <v>119</v>
      </c>
      <c r="C236" t="s">
        <v>43</v>
      </c>
      <c r="D236" s="34" t="s">
        <v>173</v>
      </c>
      <c r="E236" s="34">
        <v>66552</v>
      </c>
      <c r="F236" s="34" t="s">
        <v>176</v>
      </c>
      <c r="G236" s="34" t="s">
        <v>97</v>
      </c>
      <c r="H236" s="34" t="s">
        <v>112</v>
      </c>
      <c r="I236" s="35"/>
      <c r="J236" s="34">
        <v>28946324</v>
      </c>
      <c r="K236" s="34" t="s">
        <v>121</v>
      </c>
      <c r="L236" s="34" t="str">
        <f>_xlfn.XLOOKUP(Tabla2__2[[#This Row],[CODIGO RUTA]],'DATA INFORME'!I:I,'DATA INFORME'!K:K)</f>
        <v>NO</v>
      </c>
      <c r="M236" s="34" t="str">
        <f>IF(Tabla2__2[[#This Row],[MYSTERY EFECTIVO]]="SI",_xlfn.XLOOKUP(Tabla2__2[[#This Row],[PREGUNTA]],ENCUESTA!G:G,ENCUESTA!D:D),"N/A")</f>
        <v>N/A</v>
      </c>
      <c r="N23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6" s="34" t="str">
        <f>_xlfn.XLOOKUP(Tabla2__2[[#This Row],[PREGUNTA]],ENCUESTA!G:G,ENCUESTA!H:H)</f>
        <v>NO</v>
      </c>
      <c r="P236" s="34">
        <f>IF(Tabla2__2[[#This Row],[RTA]]=Tabla2__2[[#This Row],[RTA CORRECTA]],Tabla2__2[[#This Row],[TOTAL PUNTAJE]],0)</f>
        <v>0</v>
      </c>
      <c r="Q236" s="34">
        <f>IF(OR(H236="Dog Chow húmedo",H236="Cat Chow húmedo",H236="Fancy Feast",H236="Felix",H236="Proplan húmedo",H236="One húmedo",H236="Snack Abrazzos",H236="Snak Dentalife",H236="Arenilla Tidy Cat"),N236,0)</f>
        <v>0</v>
      </c>
      <c r="R236" s="34"/>
    </row>
    <row r="237" spans="1:18" x14ac:dyDescent="0.25">
      <c r="A237" s="34" t="s">
        <v>113</v>
      </c>
      <c r="B237" s="34" t="s">
        <v>135</v>
      </c>
      <c r="C237" t="s">
        <v>43</v>
      </c>
      <c r="D237" s="34" t="s">
        <v>173</v>
      </c>
      <c r="E237" s="34">
        <v>65453</v>
      </c>
      <c r="F237" s="34" t="s">
        <v>182</v>
      </c>
      <c r="G237" s="34" t="s">
        <v>35</v>
      </c>
      <c r="H237" s="34" t="s">
        <v>20</v>
      </c>
      <c r="I237" s="35"/>
      <c r="J237" s="34">
        <v>28953374</v>
      </c>
      <c r="K237" s="34" t="s">
        <v>139</v>
      </c>
      <c r="L237" s="34" t="str">
        <f>_xlfn.XLOOKUP(Tabla2__2[[#This Row],[CODIGO RUTA]],'DATA INFORME'!I:I,'DATA INFORME'!K:K)</f>
        <v>SI</v>
      </c>
      <c r="M237" s="34" t="str">
        <f>IF(Tabla2__2[[#This Row],[MYSTERY EFECTIVO]]="SI",_xlfn.XLOOKUP(Tabla2__2[[#This Row],[PREGUNTA]],ENCUESTA!G:G,ENCUESTA!D:D),"N/A")</f>
        <v>PRESENTACIÓN PERSONAL</v>
      </c>
      <c r="N23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37" s="34" t="str">
        <f>_xlfn.XLOOKUP(Tabla2__2[[#This Row],[PREGUNTA]],ENCUESTA!G:G,ENCUESTA!H:H)</f>
        <v>SI</v>
      </c>
      <c r="P237" s="34">
        <f>IF(Tabla2__2[[#This Row],[RTA]]=Tabla2__2[[#This Row],[RTA CORRECTA]],Tabla2__2[[#This Row],[TOTAL PUNTAJE]],0)</f>
        <v>1</v>
      </c>
      <c r="Q237" s="34">
        <f>IF(OR(H237="Dog Chow húmedo",H237="Cat Chow húmedo",H237="Fancy Feast",H237="Felix",H237="Proplan húmedo",H237="One húmedo",H237="Snack Abrazzos",H237="Snak Dentalife",H237="Arenilla Tidy Cat"),N237,0)</f>
        <v>0</v>
      </c>
      <c r="R237" s="34"/>
    </row>
    <row r="238" spans="1:18" x14ac:dyDescent="0.25">
      <c r="A238" s="34" t="s">
        <v>113</v>
      </c>
      <c r="B238" s="34" t="s">
        <v>135</v>
      </c>
      <c r="C238" t="s">
        <v>43</v>
      </c>
      <c r="D238" s="34" t="s">
        <v>173</v>
      </c>
      <c r="E238" s="34">
        <v>65453</v>
      </c>
      <c r="F238" s="34" t="s">
        <v>182</v>
      </c>
      <c r="G238" s="34" t="s">
        <v>92</v>
      </c>
      <c r="H238" s="34" t="s">
        <v>20</v>
      </c>
      <c r="I238" s="35"/>
      <c r="J238" s="34">
        <v>28953374</v>
      </c>
      <c r="K238" s="34" t="s">
        <v>139</v>
      </c>
      <c r="L238" s="34" t="str">
        <f>_xlfn.XLOOKUP(Tabla2__2[[#This Row],[CODIGO RUTA]],'DATA INFORME'!I:I,'DATA INFORME'!K:K)</f>
        <v>SI</v>
      </c>
      <c r="M238" s="34" t="str">
        <f>IF(Tabla2__2[[#This Row],[MYSTERY EFECTIVO]]="SI",_xlfn.XLOOKUP(Tabla2__2[[#This Row],[PREGUNTA]],ENCUESTA!G:G,ENCUESTA!D:D),"N/A")</f>
        <v>PRESENTACIÓN PERSONAL</v>
      </c>
      <c r="N23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38" s="34" t="str">
        <f>_xlfn.XLOOKUP(Tabla2__2[[#This Row],[PREGUNTA]],ENCUESTA!G:G,ENCUESTA!H:H)</f>
        <v>SI</v>
      </c>
      <c r="P238" s="34">
        <f>IF(Tabla2__2[[#This Row],[RTA]]=Tabla2__2[[#This Row],[RTA CORRECTA]],Tabla2__2[[#This Row],[TOTAL PUNTAJE]],0)</f>
        <v>1</v>
      </c>
      <c r="Q238" s="34">
        <f>IF(OR(H238="Dog Chow húmedo",H238="Cat Chow húmedo",H238="Fancy Feast",H238="Felix",H238="Proplan húmedo",H238="One húmedo",H238="Snack Abrazzos",H238="Snak Dentalife",H238="Arenilla Tidy Cat"),N238,0)</f>
        <v>0</v>
      </c>
      <c r="R238" s="34"/>
    </row>
    <row r="239" spans="1:18" x14ac:dyDescent="0.25">
      <c r="A239" s="34" t="s">
        <v>113</v>
      </c>
      <c r="B239" s="34" t="s">
        <v>135</v>
      </c>
      <c r="C239" t="s">
        <v>43</v>
      </c>
      <c r="D239" s="34" t="s">
        <v>173</v>
      </c>
      <c r="E239" s="34">
        <v>65453</v>
      </c>
      <c r="F239" s="34" t="s">
        <v>182</v>
      </c>
      <c r="G239" s="34" t="s">
        <v>105</v>
      </c>
      <c r="H239" s="34" t="s">
        <v>117</v>
      </c>
      <c r="I239" s="35"/>
      <c r="J239" s="34">
        <v>28953374</v>
      </c>
      <c r="K239" s="34" t="s">
        <v>139</v>
      </c>
      <c r="L239" s="34" t="str">
        <f>_xlfn.XLOOKUP(Tabla2__2[[#This Row],[CODIGO RUTA]],'DATA INFORME'!I:I,'DATA INFORME'!K:K)</f>
        <v>SI</v>
      </c>
      <c r="M239" s="34" t="str">
        <f>IF(Tabla2__2[[#This Row],[MYSTERY EFECTIVO]]="SI",_xlfn.XLOOKUP(Tabla2__2[[#This Row],[PREGUNTA]],ENCUESTA!G:G,ENCUESTA!D:D),"N/A")</f>
        <v>N/A</v>
      </c>
      <c r="N23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9" s="34">
        <f>_xlfn.XLOOKUP(Tabla2__2[[#This Row],[PREGUNTA]],ENCUESTA!G:G,ENCUESTA!H:H)</f>
        <v>0</v>
      </c>
      <c r="P239" s="34">
        <f>IF(Tabla2__2[[#This Row],[RTA]]=Tabla2__2[[#This Row],[RTA CORRECTA]],Tabla2__2[[#This Row],[TOTAL PUNTAJE]],0)</f>
        <v>0</v>
      </c>
      <c r="Q239" s="34">
        <f>IF(OR(H239="Dog Chow húmedo",H239="Cat Chow húmedo",H239="Fancy Feast",H239="Felix",H239="Proplan húmedo",H239="One húmedo",H239="Snack Abrazzos",H239="Snak Dentalife",H239="Arenilla Tidy Cat"),N239,0)</f>
        <v>0</v>
      </c>
      <c r="R239" s="34"/>
    </row>
    <row r="240" spans="1:18" x14ac:dyDescent="0.25">
      <c r="A240" s="34" t="s">
        <v>113</v>
      </c>
      <c r="B240" s="34" t="s">
        <v>135</v>
      </c>
      <c r="C240" t="s">
        <v>43</v>
      </c>
      <c r="D240" s="34" t="s">
        <v>173</v>
      </c>
      <c r="E240" s="34">
        <v>65453</v>
      </c>
      <c r="F240" s="34" t="s">
        <v>182</v>
      </c>
      <c r="G240" s="34" t="s">
        <v>125</v>
      </c>
      <c r="H240" s="34" t="s">
        <v>20</v>
      </c>
      <c r="I240" s="35"/>
      <c r="J240" s="34">
        <v>28953374</v>
      </c>
      <c r="K240" s="34" t="s">
        <v>139</v>
      </c>
      <c r="L240" s="34" t="str">
        <f>_xlfn.XLOOKUP(Tabla2__2[[#This Row],[CODIGO RUTA]],'DATA INFORME'!I:I,'DATA INFORME'!K:K)</f>
        <v>SI</v>
      </c>
      <c r="M240" s="34" t="str">
        <f>IF(Tabla2__2[[#This Row],[MYSTERY EFECTIVO]]="SI",_xlfn.XLOOKUP(Tabla2__2[[#This Row],[PREGUNTA]],ENCUESTA!G:G,ENCUESTA!D:D),"N/A")</f>
        <v>EJECUCIÓN DEL PDV</v>
      </c>
      <c r="N24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0" s="34" t="str">
        <f>_xlfn.XLOOKUP(Tabla2__2[[#This Row],[PREGUNTA]],ENCUESTA!G:G,ENCUESTA!H:H)</f>
        <v>SI</v>
      </c>
      <c r="P240" s="34">
        <f>IF(Tabla2__2[[#This Row],[RTA]]=Tabla2__2[[#This Row],[RTA CORRECTA]],Tabla2__2[[#This Row],[TOTAL PUNTAJE]],0)</f>
        <v>3.75</v>
      </c>
      <c r="Q240" s="34">
        <f>IF(OR(H240="Dog Chow húmedo",H240="Cat Chow húmedo",H240="Fancy Feast",H240="Felix",H240="Proplan húmedo",H240="One húmedo",H240="Snack Abrazzos",H240="Snak Dentalife",H240="Arenilla Tidy Cat"),N240,0)</f>
        <v>0</v>
      </c>
      <c r="R240" s="34"/>
    </row>
    <row r="241" spans="1:18" x14ac:dyDescent="0.25">
      <c r="A241" s="34" t="s">
        <v>113</v>
      </c>
      <c r="B241" s="34" t="s">
        <v>135</v>
      </c>
      <c r="C241" t="s">
        <v>43</v>
      </c>
      <c r="D241" s="34" t="s">
        <v>173</v>
      </c>
      <c r="E241" s="34">
        <v>65453</v>
      </c>
      <c r="F241" s="34" t="s">
        <v>182</v>
      </c>
      <c r="G241" s="34" t="s">
        <v>104</v>
      </c>
      <c r="H241" s="34" t="s">
        <v>20</v>
      </c>
      <c r="I241" s="35"/>
      <c r="J241" s="34">
        <v>28953374</v>
      </c>
      <c r="K241" s="34" t="s">
        <v>139</v>
      </c>
      <c r="L241" s="34" t="str">
        <f>_xlfn.XLOOKUP(Tabla2__2[[#This Row],[CODIGO RUTA]],'DATA INFORME'!I:I,'DATA INFORME'!K:K)</f>
        <v>SI</v>
      </c>
      <c r="M241" s="34" t="str">
        <f>IF(Tabla2__2[[#This Row],[MYSTERY EFECTIVO]]="SI",_xlfn.XLOOKUP(Tabla2__2[[#This Row],[PREGUNTA]],ENCUESTA!G:G,ENCUESTA!D:D),"N/A")</f>
        <v>EJECUCIÓN DEL PDV</v>
      </c>
      <c r="N24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1" s="34" t="str">
        <f>_xlfn.XLOOKUP(Tabla2__2[[#This Row],[PREGUNTA]],ENCUESTA!G:G,ENCUESTA!H:H)</f>
        <v>SI</v>
      </c>
      <c r="P241" s="34">
        <f>IF(Tabla2__2[[#This Row],[RTA]]=Tabla2__2[[#This Row],[RTA CORRECTA]],Tabla2__2[[#This Row],[TOTAL PUNTAJE]],0)</f>
        <v>3.75</v>
      </c>
      <c r="Q241" s="34">
        <f>IF(OR(H241="Dog Chow húmedo",H241="Cat Chow húmedo",H241="Fancy Feast",H241="Felix",H241="Proplan húmedo",H241="One húmedo",H241="Snack Abrazzos",H241="Snak Dentalife",H241="Arenilla Tidy Cat"),N241,0)</f>
        <v>0</v>
      </c>
      <c r="R241" s="34"/>
    </row>
    <row r="242" spans="1:18" x14ac:dyDescent="0.25">
      <c r="A242" s="34" t="s">
        <v>113</v>
      </c>
      <c r="B242" s="34" t="s">
        <v>135</v>
      </c>
      <c r="C242" t="s">
        <v>43</v>
      </c>
      <c r="D242" s="34" t="s">
        <v>173</v>
      </c>
      <c r="E242" s="34">
        <v>65453</v>
      </c>
      <c r="F242" s="34" t="s">
        <v>182</v>
      </c>
      <c r="G242" s="34" t="s">
        <v>103</v>
      </c>
      <c r="H242" s="34" t="s">
        <v>20</v>
      </c>
      <c r="I242" s="35"/>
      <c r="J242" s="34">
        <v>28953374</v>
      </c>
      <c r="K242" s="34" t="s">
        <v>139</v>
      </c>
      <c r="L242" s="34" t="str">
        <f>_xlfn.XLOOKUP(Tabla2__2[[#This Row],[CODIGO RUTA]],'DATA INFORME'!I:I,'DATA INFORME'!K:K)</f>
        <v>SI</v>
      </c>
      <c r="M242" s="34" t="str">
        <f>IF(Tabla2__2[[#This Row],[MYSTERY EFECTIVO]]="SI",_xlfn.XLOOKUP(Tabla2__2[[#This Row],[PREGUNTA]],ENCUESTA!G:G,ENCUESTA!D:D),"N/A")</f>
        <v>EJECUCIÓN DEL PDV</v>
      </c>
      <c r="N24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2" s="34" t="str">
        <f>_xlfn.XLOOKUP(Tabla2__2[[#This Row],[PREGUNTA]],ENCUESTA!G:G,ENCUESTA!H:H)</f>
        <v>SI</v>
      </c>
      <c r="P242" s="34">
        <f>IF(Tabla2__2[[#This Row],[RTA]]=Tabla2__2[[#This Row],[RTA CORRECTA]],Tabla2__2[[#This Row],[TOTAL PUNTAJE]],0)</f>
        <v>3.75</v>
      </c>
      <c r="Q242" s="34">
        <f>IF(OR(H242="Dog Chow húmedo",H242="Cat Chow húmedo",H242="Fancy Feast",H242="Felix",H242="Proplan húmedo",H242="One húmedo",H242="Snack Abrazzos",H242="Snak Dentalife",H242="Arenilla Tidy Cat"),N242,0)</f>
        <v>0</v>
      </c>
      <c r="R242" s="34"/>
    </row>
    <row r="243" spans="1:18" x14ac:dyDescent="0.25">
      <c r="A243" s="34" t="s">
        <v>113</v>
      </c>
      <c r="B243" s="34" t="s">
        <v>135</v>
      </c>
      <c r="C243" t="s">
        <v>43</v>
      </c>
      <c r="D243" s="34" t="s">
        <v>173</v>
      </c>
      <c r="E243" s="34">
        <v>65453</v>
      </c>
      <c r="F243" s="34" t="s">
        <v>182</v>
      </c>
      <c r="G243" s="34" t="s">
        <v>102</v>
      </c>
      <c r="H243" s="34" t="s">
        <v>20</v>
      </c>
      <c r="I243" s="35"/>
      <c r="J243" s="34">
        <v>28953374</v>
      </c>
      <c r="K243" s="34" t="s">
        <v>139</v>
      </c>
      <c r="L243" s="34" t="str">
        <f>_xlfn.XLOOKUP(Tabla2__2[[#This Row],[CODIGO RUTA]],'DATA INFORME'!I:I,'DATA INFORME'!K:K)</f>
        <v>SI</v>
      </c>
      <c r="M243" s="34" t="str">
        <f>IF(Tabla2__2[[#This Row],[MYSTERY EFECTIVO]]="SI",_xlfn.XLOOKUP(Tabla2__2[[#This Row],[PREGUNTA]],ENCUESTA!G:G,ENCUESTA!D:D),"N/A")</f>
        <v>EJECUCIÓN DEL PDV</v>
      </c>
      <c r="N24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3" s="34" t="str">
        <f>_xlfn.XLOOKUP(Tabla2__2[[#This Row],[PREGUNTA]],ENCUESTA!G:G,ENCUESTA!H:H)</f>
        <v>SI</v>
      </c>
      <c r="P243" s="34">
        <f>IF(Tabla2__2[[#This Row],[RTA]]=Tabla2__2[[#This Row],[RTA CORRECTA]],Tabla2__2[[#This Row],[TOTAL PUNTAJE]],0)</f>
        <v>3.75</v>
      </c>
      <c r="Q243" s="34">
        <f>IF(OR(H243="Dog Chow húmedo",H243="Cat Chow húmedo",H243="Fancy Feast",H243="Felix",H243="Proplan húmedo",H243="One húmedo",H243="Snack Abrazzos",H243="Snak Dentalife",H243="Arenilla Tidy Cat"),N243,0)</f>
        <v>0</v>
      </c>
      <c r="R243" s="34"/>
    </row>
    <row r="244" spans="1:18" x14ac:dyDescent="0.25">
      <c r="A244" s="34" t="s">
        <v>113</v>
      </c>
      <c r="B244" s="34" t="s">
        <v>135</v>
      </c>
      <c r="C244" t="s">
        <v>43</v>
      </c>
      <c r="D244" s="34" t="s">
        <v>173</v>
      </c>
      <c r="E244" s="34">
        <v>65453</v>
      </c>
      <c r="F244" s="34" t="s">
        <v>182</v>
      </c>
      <c r="G244" s="34" t="s">
        <v>101</v>
      </c>
      <c r="H244" s="34" t="s">
        <v>20</v>
      </c>
      <c r="I244" s="35"/>
      <c r="J244" s="34">
        <v>28953374</v>
      </c>
      <c r="K244" s="34" t="s">
        <v>139</v>
      </c>
      <c r="L244" s="34" t="str">
        <f>_xlfn.XLOOKUP(Tabla2__2[[#This Row],[CODIGO RUTA]],'DATA INFORME'!I:I,'DATA INFORME'!K:K)</f>
        <v>SI</v>
      </c>
      <c r="M244" s="34" t="str">
        <f>IF(Tabla2__2[[#This Row],[MYSTERY EFECTIVO]]="SI",_xlfn.XLOOKUP(Tabla2__2[[#This Row],[PREGUNTA]],ENCUESTA!G:G,ENCUESTA!D:D),"N/A")</f>
        <v>EJECUCIÓN DEL PDV</v>
      </c>
      <c r="N24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4" s="34" t="str">
        <f>_xlfn.XLOOKUP(Tabla2__2[[#This Row],[PREGUNTA]],ENCUESTA!G:G,ENCUESTA!H:H)</f>
        <v>SI</v>
      </c>
      <c r="P244" s="34">
        <f>IF(Tabla2__2[[#This Row],[RTA]]=Tabla2__2[[#This Row],[RTA CORRECTA]],Tabla2__2[[#This Row],[TOTAL PUNTAJE]],0)</f>
        <v>3.75</v>
      </c>
      <c r="Q244" s="34">
        <f>IF(OR(H244="Dog Chow húmedo",H244="Cat Chow húmedo",H244="Fancy Feast",H244="Felix",H244="Proplan húmedo",H244="One húmedo",H244="Snack Abrazzos",H244="Snak Dentalife",H244="Arenilla Tidy Cat"),N244,0)</f>
        <v>0</v>
      </c>
      <c r="R244" s="34"/>
    </row>
    <row r="245" spans="1:18" x14ac:dyDescent="0.25">
      <c r="A245" s="34" t="s">
        <v>113</v>
      </c>
      <c r="B245" s="34" t="s">
        <v>135</v>
      </c>
      <c r="C245" t="s">
        <v>43</v>
      </c>
      <c r="D245" s="34" t="s">
        <v>173</v>
      </c>
      <c r="E245" s="34">
        <v>65453</v>
      </c>
      <c r="F245" s="34" t="s">
        <v>182</v>
      </c>
      <c r="G245" s="34" t="s">
        <v>91</v>
      </c>
      <c r="H245" s="34" t="s">
        <v>112</v>
      </c>
      <c r="I245" s="35"/>
      <c r="J245" s="34">
        <v>28953374</v>
      </c>
      <c r="K245" s="34" t="s">
        <v>139</v>
      </c>
      <c r="L245" s="34" t="str">
        <f>_xlfn.XLOOKUP(Tabla2__2[[#This Row],[CODIGO RUTA]],'DATA INFORME'!I:I,'DATA INFORME'!K:K)</f>
        <v>SI</v>
      </c>
      <c r="M245" s="34" t="str">
        <f>IF(Tabla2__2[[#This Row],[MYSTERY EFECTIVO]]="SI",_xlfn.XLOOKUP(Tabla2__2[[#This Row],[PREGUNTA]],ENCUESTA!G:G,ENCUESTA!D:D),"N/A")</f>
        <v>PRESENTACIÓN PERSONAL</v>
      </c>
      <c r="N24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45" s="34" t="str">
        <f>_xlfn.XLOOKUP(Tabla2__2[[#This Row],[PREGUNTA]],ENCUESTA!G:G,ENCUESTA!H:H)</f>
        <v>NO</v>
      </c>
      <c r="P245" s="34">
        <f>IF(Tabla2__2[[#This Row],[RTA]]=Tabla2__2[[#This Row],[RTA CORRECTA]],Tabla2__2[[#This Row],[TOTAL PUNTAJE]],0)</f>
        <v>1</v>
      </c>
      <c r="Q245" s="34">
        <f>IF(OR(H245="Dog Chow húmedo",H245="Cat Chow húmedo",H245="Fancy Feast",H245="Felix",H245="Proplan húmedo",H245="One húmedo",H245="Snack Abrazzos",H245="Snak Dentalife",H245="Arenilla Tidy Cat"),N245,0)</f>
        <v>0</v>
      </c>
      <c r="R245" s="34"/>
    </row>
    <row r="246" spans="1:18" x14ac:dyDescent="0.25">
      <c r="A246" s="34" t="s">
        <v>113</v>
      </c>
      <c r="B246" s="34" t="s">
        <v>135</v>
      </c>
      <c r="C246" t="s">
        <v>43</v>
      </c>
      <c r="D246" s="34" t="s">
        <v>173</v>
      </c>
      <c r="E246" s="34">
        <v>65453</v>
      </c>
      <c r="F246" s="34" t="s">
        <v>182</v>
      </c>
      <c r="G246" s="34" t="s">
        <v>100</v>
      </c>
      <c r="H246" s="34" t="s">
        <v>20</v>
      </c>
      <c r="I246" s="35"/>
      <c r="J246" s="34">
        <v>28953374</v>
      </c>
      <c r="K246" s="34" t="s">
        <v>139</v>
      </c>
      <c r="L246" s="34" t="str">
        <f>_xlfn.XLOOKUP(Tabla2__2[[#This Row],[CODIGO RUTA]],'DATA INFORME'!I:I,'DATA INFORME'!K:K)</f>
        <v>SI</v>
      </c>
      <c r="M246" s="34" t="str">
        <f>IF(Tabla2__2[[#This Row],[MYSTERY EFECTIVO]]="SI",_xlfn.XLOOKUP(Tabla2__2[[#This Row],[PREGUNTA]],ENCUESTA!G:G,ENCUESTA!D:D),"N/A")</f>
        <v>EJECUCIÓN DEL PDV</v>
      </c>
      <c r="N24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6" s="34" t="str">
        <f>_xlfn.XLOOKUP(Tabla2__2[[#This Row],[PREGUNTA]],ENCUESTA!G:G,ENCUESTA!H:H)</f>
        <v>SI</v>
      </c>
      <c r="P246" s="34">
        <f>IF(Tabla2__2[[#This Row],[RTA]]=Tabla2__2[[#This Row],[RTA CORRECTA]],Tabla2__2[[#This Row],[TOTAL PUNTAJE]],0)</f>
        <v>3.75</v>
      </c>
      <c r="Q246" s="34">
        <f>IF(OR(H246="Dog Chow húmedo",H246="Cat Chow húmedo",H246="Fancy Feast",H246="Felix",H246="Proplan húmedo",H246="One húmedo",H246="Snack Abrazzos",H246="Snak Dentalife",H246="Arenilla Tidy Cat"),N246,0)</f>
        <v>0</v>
      </c>
      <c r="R246" s="34"/>
    </row>
    <row r="247" spans="1:18" x14ac:dyDescent="0.25">
      <c r="A247" s="34" t="s">
        <v>113</v>
      </c>
      <c r="B247" s="34" t="s">
        <v>135</v>
      </c>
      <c r="C247" t="s">
        <v>43</v>
      </c>
      <c r="D247" s="34" t="s">
        <v>173</v>
      </c>
      <c r="E247" s="34">
        <v>65453</v>
      </c>
      <c r="F247" s="34" t="s">
        <v>182</v>
      </c>
      <c r="G247" s="34" t="s">
        <v>98</v>
      </c>
      <c r="H247" s="34" t="s">
        <v>20</v>
      </c>
      <c r="I247" s="35"/>
      <c r="J247" s="34">
        <v>28953374</v>
      </c>
      <c r="K247" s="34" t="s">
        <v>139</v>
      </c>
      <c r="L247" s="34" t="str">
        <f>_xlfn.XLOOKUP(Tabla2__2[[#This Row],[CODIGO RUTA]],'DATA INFORME'!I:I,'DATA INFORME'!K:K)</f>
        <v>SI</v>
      </c>
      <c r="M247" s="34" t="str">
        <f>IF(Tabla2__2[[#This Row],[MYSTERY EFECTIVO]]="SI",_xlfn.XLOOKUP(Tabla2__2[[#This Row],[PREGUNTA]],ENCUESTA!G:G,ENCUESTA!D:D),"N/A")</f>
        <v>EJECUCIÓN DEL PDV</v>
      </c>
      <c r="N24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7" s="34" t="str">
        <f>_xlfn.XLOOKUP(Tabla2__2[[#This Row],[PREGUNTA]],ENCUESTA!G:G,ENCUESTA!H:H)</f>
        <v>SI</v>
      </c>
      <c r="P247" s="34">
        <f>IF(Tabla2__2[[#This Row],[RTA]]=Tabla2__2[[#This Row],[RTA CORRECTA]],Tabla2__2[[#This Row],[TOTAL PUNTAJE]],0)</f>
        <v>3.75</v>
      </c>
      <c r="Q247" s="34">
        <f>IF(OR(H247="Dog Chow húmedo",H247="Cat Chow húmedo",H247="Fancy Feast",H247="Felix",H247="Proplan húmedo",H247="One húmedo",H247="Snack Abrazzos",H247="Snak Dentalife",H247="Arenilla Tidy Cat"),N247,0)</f>
        <v>0</v>
      </c>
      <c r="R247" s="34"/>
    </row>
    <row r="248" spans="1:18" x14ac:dyDescent="0.25">
      <c r="A248" s="34" t="s">
        <v>113</v>
      </c>
      <c r="B248" s="34" t="s">
        <v>135</v>
      </c>
      <c r="C248" t="s">
        <v>43</v>
      </c>
      <c r="D248" s="34" t="s">
        <v>173</v>
      </c>
      <c r="E248" s="34">
        <v>65453</v>
      </c>
      <c r="F248" s="34" t="s">
        <v>182</v>
      </c>
      <c r="G248" s="34" t="s">
        <v>97</v>
      </c>
      <c r="H248" s="34" t="s">
        <v>112</v>
      </c>
      <c r="I248" s="35"/>
      <c r="J248" s="34">
        <v>28953374</v>
      </c>
      <c r="K248" s="34" t="s">
        <v>139</v>
      </c>
      <c r="L248" s="34" t="str">
        <f>_xlfn.XLOOKUP(Tabla2__2[[#This Row],[CODIGO RUTA]],'DATA INFORME'!I:I,'DATA INFORME'!K:K)</f>
        <v>SI</v>
      </c>
      <c r="M248" s="34" t="str">
        <f>IF(Tabla2__2[[#This Row],[MYSTERY EFECTIVO]]="SI",_xlfn.XLOOKUP(Tabla2__2[[#This Row],[PREGUNTA]],ENCUESTA!G:G,ENCUESTA!D:D),"N/A")</f>
        <v>PRESENTACIÓN PERSONAL</v>
      </c>
      <c r="N24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48" s="34" t="str">
        <f>_xlfn.XLOOKUP(Tabla2__2[[#This Row],[PREGUNTA]],ENCUESTA!G:G,ENCUESTA!H:H)</f>
        <v>NO</v>
      </c>
      <c r="P248" s="34">
        <f>IF(Tabla2__2[[#This Row],[RTA]]=Tabla2__2[[#This Row],[RTA CORRECTA]],Tabla2__2[[#This Row],[TOTAL PUNTAJE]],0)</f>
        <v>1</v>
      </c>
      <c r="Q248" s="34">
        <f>IF(OR(H248="Dog Chow húmedo",H248="Cat Chow húmedo",H248="Fancy Feast",H248="Felix",H248="Proplan húmedo",H248="One húmedo",H248="Snack Abrazzos",H248="Snak Dentalife",H248="Arenilla Tidy Cat"),N248,0)</f>
        <v>0</v>
      </c>
      <c r="R248" s="34"/>
    </row>
    <row r="249" spans="1:18" x14ac:dyDescent="0.25">
      <c r="A249" s="34" t="s">
        <v>113</v>
      </c>
      <c r="B249" s="34" t="s">
        <v>135</v>
      </c>
      <c r="C249" t="s">
        <v>43</v>
      </c>
      <c r="D249" s="34" t="s">
        <v>173</v>
      </c>
      <c r="E249" s="34">
        <v>65453</v>
      </c>
      <c r="F249" s="34" t="s">
        <v>182</v>
      </c>
      <c r="G249" s="34" t="s">
        <v>96</v>
      </c>
      <c r="H249" s="34" t="s">
        <v>112</v>
      </c>
      <c r="I249" s="35"/>
      <c r="J249" s="34">
        <v>28953374</v>
      </c>
      <c r="K249" s="34" t="s">
        <v>139</v>
      </c>
      <c r="L249" s="34" t="str">
        <f>_xlfn.XLOOKUP(Tabla2__2[[#This Row],[CODIGO RUTA]],'DATA INFORME'!I:I,'DATA INFORME'!K:K)</f>
        <v>SI</v>
      </c>
      <c r="M249" s="34" t="str">
        <f>IF(Tabla2__2[[#This Row],[MYSTERY EFECTIVO]]="SI",_xlfn.XLOOKUP(Tabla2__2[[#This Row],[PREGUNTA]],ENCUESTA!G:G,ENCUESTA!D:D),"N/A")</f>
        <v>PRESENTACIÓN PERSONAL</v>
      </c>
      <c r="N24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49" s="34" t="str">
        <f>_xlfn.XLOOKUP(Tabla2__2[[#This Row],[PREGUNTA]],ENCUESTA!G:G,ENCUESTA!H:H)</f>
        <v>NO</v>
      </c>
      <c r="P249" s="34">
        <f>IF(Tabla2__2[[#This Row],[RTA]]=Tabla2__2[[#This Row],[RTA CORRECTA]],Tabla2__2[[#This Row],[TOTAL PUNTAJE]],0)</f>
        <v>1</v>
      </c>
      <c r="Q249" s="34">
        <f>IF(OR(H249="Dog Chow húmedo",H249="Cat Chow húmedo",H249="Fancy Feast",H249="Felix",H249="Proplan húmedo",H249="One húmedo",H249="Snack Abrazzos",H249="Snak Dentalife",H249="Arenilla Tidy Cat"),N249,0)</f>
        <v>0</v>
      </c>
      <c r="R249" s="34"/>
    </row>
    <row r="250" spans="1:18" x14ac:dyDescent="0.25">
      <c r="A250" s="34" t="s">
        <v>113</v>
      </c>
      <c r="B250" s="34" t="s">
        <v>135</v>
      </c>
      <c r="C250" t="s">
        <v>43</v>
      </c>
      <c r="D250" s="34" t="s">
        <v>173</v>
      </c>
      <c r="E250" s="34">
        <v>65453</v>
      </c>
      <c r="F250" s="34" t="s">
        <v>182</v>
      </c>
      <c r="G250" s="34" t="s">
        <v>95</v>
      </c>
      <c r="H250" s="34" t="s">
        <v>112</v>
      </c>
      <c r="I250" s="35"/>
      <c r="J250" s="34">
        <v>28953374</v>
      </c>
      <c r="K250" s="34" t="s">
        <v>139</v>
      </c>
      <c r="L250" s="34" t="str">
        <f>_xlfn.XLOOKUP(Tabla2__2[[#This Row],[CODIGO RUTA]],'DATA INFORME'!I:I,'DATA INFORME'!K:K)</f>
        <v>SI</v>
      </c>
      <c r="M250" s="34" t="str">
        <f>IF(Tabla2__2[[#This Row],[MYSTERY EFECTIVO]]="SI",_xlfn.XLOOKUP(Tabla2__2[[#This Row],[PREGUNTA]],ENCUESTA!G:G,ENCUESTA!D:D),"N/A")</f>
        <v>PRESENTACIÓN PERSONAL</v>
      </c>
      <c r="N25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50" s="34" t="str">
        <f>_xlfn.XLOOKUP(Tabla2__2[[#This Row],[PREGUNTA]],ENCUESTA!G:G,ENCUESTA!H:H)</f>
        <v>NO</v>
      </c>
      <c r="P250" s="34">
        <f>IF(Tabla2__2[[#This Row],[RTA]]=Tabla2__2[[#This Row],[RTA CORRECTA]],Tabla2__2[[#This Row],[TOTAL PUNTAJE]],0)</f>
        <v>1</v>
      </c>
      <c r="Q250" s="34">
        <f>IF(OR(H250="Dog Chow húmedo",H250="Cat Chow húmedo",H250="Fancy Feast",H250="Felix",H250="Proplan húmedo",H250="One húmedo",H250="Snack Abrazzos",H250="Snak Dentalife",H250="Arenilla Tidy Cat"),N250,0)</f>
        <v>0</v>
      </c>
      <c r="R250" s="34"/>
    </row>
    <row r="251" spans="1:18" x14ac:dyDescent="0.25">
      <c r="A251" s="34" t="s">
        <v>113</v>
      </c>
      <c r="B251" s="34" t="s">
        <v>135</v>
      </c>
      <c r="C251" t="s">
        <v>43</v>
      </c>
      <c r="D251" s="34" t="s">
        <v>173</v>
      </c>
      <c r="E251" s="34">
        <v>65453</v>
      </c>
      <c r="F251" s="34" t="s">
        <v>182</v>
      </c>
      <c r="G251" s="34" t="s">
        <v>94</v>
      </c>
      <c r="H251" s="34" t="s">
        <v>112</v>
      </c>
      <c r="I251" s="35"/>
      <c r="J251" s="34">
        <v>28953374</v>
      </c>
      <c r="K251" s="34" t="s">
        <v>139</v>
      </c>
      <c r="L251" s="34" t="str">
        <f>_xlfn.XLOOKUP(Tabla2__2[[#This Row],[CODIGO RUTA]],'DATA INFORME'!I:I,'DATA INFORME'!K:K)</f>
        <v>SI</v>
      </c>
      <c r="M251" s="34" t="str">
        <f>IF(Tabla2__2[[#This Row],[MYSTERY EFECTIVO]]="SI",_xlfn.XLOOKUP(Tabla2__2[[#This Row],[PREGUNTA]],ENCUESTA!G:G,ENCUESTA!D:D),"N/A")</f>
        <v>PRESENTACIÓN PERSONAL</v>
      </c>
      <c r="N25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51" s="34" t="str">
        <f>_xlfn.XLOOKUP(Tabla2__2[[#This Row],[PREGUNTA]],ENCUESTA!G:G,ENCUESTA!H:H)</f>
        <v>NO</v>
      </c>
      <c r="P251" s="34">
        <f>IF(Tabla2__2[[#This Row],[RTA]]=Tabla2__2[[#This Row],[RTA CORRECTA]],Tabla2__2[[#This Row],[TOTAL PUNTAJE]],0)</f>
        <v>1</v>
      </c>
      <c r="Q251" s="34">
        <f>IF(OR(H251="Dog Chow húmedo",H251="Cat Chow húmedo",H251="Fancy Feast",H251="Felix",H251="Proplan húmedo",H251="One húmedo",H251="Snack Abrazzos",H251="Snak Dentalife",H251="Arenilla Tidy Cat"),N251,0)</f>
        <v>0</v>
      </c>
      <c r="R251" s="34"/>
    </row>
    <row r="252" spans="1:18" x14ac:dyDescent="0.25">
      <c r="A252" s="34" t="s">
        <v>113</v>
      </c>
      <c r="B252" s="34" t="s">
        <v>135</v>
      </c>
      <c r="C252" t="s">
        <v>43</v>
      </c>
      <c r="D252" s="34" t="s">
        <v>173</v>
      </c>
      <c r="E252" s="34">
        <v>65453</v>
      </c>
      <c r="F252" s="34" t="s">
        <v>182</v>
      </c>
      <c r="G252" s="34" t="s">
        <v>93</v>
      </c>
      <c r="H252" s="34" t="s">
        <v>20</v>
      </c>
      <c r="I252" s="35"/>
      <c r="J252" s="34">
        <v>28953374</v>
      </c>
      <c r="K252" s="34" t="s">
        <v>139</v>
      </c>
      <c r="L252" s="34" t="str">
        <f>_xlfn.XLOOKUP(Tabla2__2[[#This Row],[CODIGO RUTA]],'DATA INFORME'!I:I,'DATA INFORME'!K:K)</f>
        <v>SI</v>
      </c>
      <c r="M252" s="34" t="str">
        <f>IF(Tabla2__2[[#This Row],[MYSTERY EFECTIVO]]="SI",_xlfn.XLOOKUP(Tabla2__2[[#This Row],[PREGUNTA]],ENCUESTA!G:G,ENCUESTA!D:D),"N/A")</f>
        <v>PRESENTACIÓN PERSONAL</v>
      </c>
      <c r="N25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52" s="34" t="str">
        <f>_xlfn.XLOOKUP(Tabla2__2[[#This Row],[PREGUNTA]],ENCUESTA!G:G,ENCUESTA!H:H)</f>
        <v>SI</v>
      </c>
      <c r="P252" s="34">
        <f>IF(Tabla2__2[[#This Row],[RTA]]=Tabla2__2[[#This Row],[RTA CORRECTA]],Tabla2__2[[#This Row],[TOTAL PUNTAJE]],0)</f>
        <v>1</v>
      </c>
      <c r="Q252" s="34">
        <f>IF(OR(H252="Dog Chow húmedo",H252="Cat Chow húmedo",H252="Fancy Feast",H252="Felix",H252="Proplan húmedo",H252="One húmedo",H252="Snack Abrazzos",H252="Snak Dentalife",H252="Arenilla Tidy Cat"),N252,0)</f>
        <v>0</v>
      </c>
      <c r="R252" s="34"/>
    </row>
    <row r="253" spans="1:18" x14ac:dyDescent="0.25">
      <c r="A253" s="34" t="s">
        <v>113</v>
      </c>
      <c r="B253" s="34" t="s">
        <v>135</v>
      </c>
      <c r="C253" t="s">
        <v>43</v>
      </c>
      <c r="D253" s="34" t="s">
        <v>173</v>
      </c>
      <c r="E253" s="34">
        <v>65453</v>
      </c>
      <c r="F253" s="34" t="s">
        <v>182</v>
      </c>
      <c r="G253" s="34" t="s">
        <v>99</v>
      </c>
      <c r="H253" s="34" t="s">
        <v>20</v>
      </c>
      <c r="I253" s="35"/>
      <c r="J253" s="34">
        <v>28953374</v>
      </c>
      <c r="K253" s="34" t="s">
        <v>139</v>
      </c>
      <c r="L253" s="34" t="str">
        <f>_xlfn.XLOOKUP(Tabla2__2[[#This Row],[CODIGO RUTA]],'DATA INFORME'!I:I,'DATA INFORME'!K:K)</f>
        <v>SI</v>
      </c>
      <c r="M253" s="34" t="str">
        <f>IF(Tabla2__2[[#This Row],[MYSTERY EFECTIVO]]="SI",_xlfn.XLOOKUP(Tabla2__2[[#This Row],[PREGUNTA]],ENCUESTA!G:G,ENCUESTA!D:D),"N/A")</f>
        <v>EJECUCIÓN DEL PDV</v>
      </c>
      <c r="N25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53" s="34" t="str">
        <f>_xlfn.XLOOKUP(Tabla2__2[[#This Row],[PREGUNTA]],ENCUESTA!G:G,ENCUESTA!H:H)</f>
        <v>SI</v>
      </c>
      <c r="P253" s="34">
        <f>IF(Tabla2__2[[#This Row],[RTA]]=Tabla2__2[[#This Row],[RTA CORRECTA]],Tabla2__2[[#This Row],[TOTAL PUNTAJE]],0)</f>
        <v>3.75</v>
      </c>
      <c r="Q253" s="34">
        <f>IF(OR(H253="Dog Chow húmedo",H253="Cat Chow húmedo",H253="Fancy Feast",H253="Felix",H253="Proplan húmedo",H253="One húmedo",H253="Snack Abrazzos",H253="Snak Dentalife",H253="Arenilla Tidy Cat"),N253,0)</f>
        <v>0</v>
      </c>
      <c r="R253" s="34"/>
    </row>
    <row r="254" spans="1:18" x14ac:dyDescent="0.25">
      <c r="A254" s="34" t="s">
        <v>113</v>
      </c>
      <c r="B254" s="34" t="s">
        <v>119</v>
      </c>
      <c r="C254" t="s">
        <v>43</v>
      </c>
      <c r="D254" s="34" t="s">
        <v>173</v>
      </c>
      <c r="E254" s="34">
        <v>66552</v>
      </c>
      <c r="F254" s="34" t="s">
        <v>176</v>
      </c>
      <c r="G254" s="34" t="s">
        <v>96</v>
      </c>
      <c r="H254" s="34" t="s">
        <v>112</v>
      </c>
      <c r="I254" s="35"/>
      <c r="J254" s="34">
        <v>28946324</v>
      </c>
      <c r="K254" s="34" t="s">
        <v>121</v>
      </c>
      <c r="L254" s="34" t="str">
        <f>_xlfn.XLOOKUP(Tabla2__2[[#This Row],[CODIGO RUTA]],'DATA INFORME'!I:I,'DATA INFORME'!K:K)</f>
        <v>NO</v>
      </c>
      <c r="M254" s="34" t="str">
        <f>IF(Tabla2__2[[#This Row],[MYSTERY EFECTIVO]]="SI",_xlfn.XLOOKUP(Tabla2__2[[#This Row],[PREGUNTA]],ENCUESTA!G:G,ENCUESTA!D:D),"N/A")</f>
        <v>N/A</v>
      </c>
      <c r="N25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4" s="34" t="str">
        <f>_xlfn.XLOOKUP(Tabla2__2[[#This Row],[PREGUNTA]],ENCUESTA!G:G,ENCUESTA!H:H)</f>
        <v>NO</v>
      </c>
      <c r="P254" s="34">
        <f>IF(Tabla2__2[[#This Row],[RTA]]=Tabla2__2[[#This Row],[RTA CORRECTA]],Tabla2__2[[#This Row],[TOTAL PUNTAJE]],0)</f>
        <v>0</v>
      </c>
      <c r="Q254" s="34">
        <f>IF(OR(H254="Dog Chow húmedo",H254="Cat Chow húmedo",H254="Fancy Feast",H254="Felix",H254="Proplan húmedo",H254="One húmedo",H254="Snack Abrazzos",H254="Snak Dentalife",H254="Arenilla Tidy Cat"),N254,0)</f>
        <v>0</v>
      </c>
      <c r="R254" s="34"/>
    </row>
    <row r="255" spans="1:18" x14ac:dyDescent="0.25">
      <c r="A255" s="34" t="s">
        <v>113</v>
      </c>
      <c r="B255" s="34" t="s">
        <v>119</v>
      </c>
      <c r="C255" t="s">
        <v>43</v>
      </c>
      <c r="D255" s="34" t="s">
        <v>173</v>
      </c>
      <c r="E255" s="34">
        <v>66552</v>
      </c>
      <c r="F255" s="34" t="s">
        <v>176</v>
      </c>
      <c r="G255" s="34" t="s">
        <v>95</v>
      </c>
      <c r="H255" s="34" t="s">
        <v>112</v>
      </c>
      <c r="I255" s="35"/>
      <c r="J255" s="34">
        <v>28946324</v>
      </c>
      <c r="K255" s="34" t="s">
        <v>121</v>
      </c>
      <c r="L255" s="34" t="str">
        <f>_xlfn.XLOOKUP(Tabla2__2[[#This Row],[CODIGO RUTA]],'DATA INFORME'!I:I,'DATA INFORME'!K:K)</f>
        <v>NO</v>
      </c>
      <c r="M255" s="34" t="str">
        <f>IF(Tabla2__2[[#This Row],[MYSTERY EFECTIVO]]="SI",_xlfn.XLOOKUP(Tabla2__2[[#This Row],[PREGUNTA]],ENCUESTA!G:G,ENCUESTA!D:D),"N/A")</f>
        <v>N/A</v>
      </c>
      <c r="N25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5" s="34" t="str">
        <f>_xlfn.XLOOKUP(Tabla2__2[[#This Row],[PREGUNTA]],ENCUESTA!G:G,ENCUESTA!H:H)</f>
        <v>NO</v>
      </c>
      <c r="P255" s="34">
        <f>IF(Tabla2__2[[#This Row],[RTA]]=Tabla2__2[[#This Row],[RTA CORRECTA]],Tabla2__2[[#This Row],[TOTAL PUNTAJE]],0)</f>
        <v>0</v>
      </c>
      <c r="Q255" s="34">
        <f>IF(OR(H255="Dog Chow húmedo",H255="Cat Chow húmedo",H255="Fancy Feast",H255="Felix",H255="Proplan húmedo",H255="One húmedo",H255="Snack Abrazzos",H255="Snak Dentalife",H255="Arenilla Tidy Cat"),N255,0)</f>
        <v>0</v>
      </c>
      <c r="R255" s="34"/>
    </row>
    <row r="256" spans="1:18" x14ac:dyDescent="0.25">
      <c r="A256" s="34" t="s">
        <v>113</v>
      </c>
      <c r="B256" s="34" t="s">
        <v>119</v>
      </c>
      <c r="C256" t="s">
        <v>43</v>
      </c>
      <c r="D256" s="34" t="s">
        <v>173</v>
      </c>
      <c r="E256" s="34">
        <v>66552</v>
      </c>
      <c r="F256" s="34" t="s">
        <v>176</v>
      </c>
      <c r="G256" s="34" t="s">
        <v>94</v>
      </c>
      <c r="H256" s="34" t="s">
        <v>112</v>
      </c>
      <c r="I256" s="35"/>
      <c r="J256" s="34">
        <v>28946324</v>
      </c>
      <c r="K256" s="34" t="s">
        <v>121</v>
      </c>
      <c r="L256" s="34" t="str">
        <f>_xlfn.XLOOKUP(Tabla2__2[[#This Row],[CODIGO RUTA]],'DATA INFORME'!I:I,'DATA INFORME'!K:K)</f>
        <v>NO</v>
      </c>
      <c r="M256" s="34" t="str">
        <f>IF(Tabla2__2[[#This Row],[MYSTERY EFECTIVO]]="SI",_xlfn.XLOOKUP(Tabla2__2[[#This Row],[PREGUNTA]],ENCUESTA!G:G,ENCUESTA!D:D),"N/A")</f>
        <v>N/A</v>
      </c>
      <c r="N25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6" s="34" t="str">
        <f>_xlfn.XLOOKUP(Tabla2__2[[#This Row],[PREGUNTA]],ENCUESTA!G:G,ENCUESTA!H:H)</f>
        <v>NO</v>
      </c>
      <c r="P256" s="34">
        <f>IF(Tabla2__2[[#This Row],[RTA]]=Tabla2__2[[#This Row],[RTA CORRECTA]],Tabla2__2[[#This Row],[TOTAL PUNTAJE]],0)</f>
        <v>0</v>
      </c>
      <c r="Q256" s="34">
        <f>IF(OR(H256="Dog Chow húmedo",H256="Cat Chow húmedo",H256="Fancy Feast",H256="Felix",H256="Proplan húmedo",H256="One húmedo",H256="Snack Abrazzos",H256="Snak Dentalife",H256="Arenilla Tidy Cat"),N256,0)</f>
        <v>0</v>
      </c>
      <c r="R256" s="34"/>
    </row>
    <row r="257" spans="1:18" x14ac:dyDescent="0.25">
      <c r="A257" s="34" t="s">
        <v>113</v>
      </c>
      <c r="B257" s="34" t="s">
        <v>8</v>
      </c>
      <c r="C257" t="s">
        <v>43</v>
      </c>
      <c r="D257" s="34" t="s">
        <v>132</v>
      </c>
      <c r="E257" s="34">
        <v>355912</v>
      </c>
      <c r="F257" s="34" t="s">
        <v>167</v>
      </c>
      <c r="G257" s="34" t="s">
        <v>98</v>
      </c>
      <c r="H257" s="34" t="s">
        <v>20</v>
      </c>
      <c r="I257" s="35"/>
      <c r="J257" s="34">
        <v>28943799</v>
      </c>
      <c r="K257" s="34" t="s">
        <v>164</v>
      </c>
      <c r="L257" s="34" t="str">
        <f>_xlfn.XLOOKUP(Tabla2__2[[#This Row],[CODIGO RUTA]],'DATA INFORME'!I:I,'DATA INFORME'!K:K)</f>
        <v>SI</v>
      </c>
      <c r="M257" s="34" t="str">
        <f>IF(Tabla2__2[[#This Row],[MYSTERY EFECTIVO]]="SI",_xlfn.XLOOKUP(Tabla2__2[[#This Row],[PREGUNTA]],ENCUESTA!G:G,ENCUESTA!D:D),"N/A")</f>
        <v>EJECUCIÓN DEL PDV</v>
      </c>
      <c r="N25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57" s="34" t="str">
        <f>_xlfn.XLOOKUP(Tabla2__2[[#This Row],[PREGUNTA]],ENCUESTA!G:G,ENCUESTA!H:H)</f>
        <v>SI</v>
      </c>
      <c r="P257" s="34">
        <f>IF(Tabla2__2[[#This Row],[RTA]]=Tabla2__2[[#This Row],[RTA CORRECTA]],Tabla2__2[[#This Row],[TOTAL PUNTAJE]],0)</f>
        <v>3.75</v>
      </c>
      <c r="Q257" s="34">
        <f>IF(OR(H257="Dog Chow húmedo",H257="Cat Chow húmedo",H257="Fancy Feast",H257="Felix",H257="Proplan húmedo",H257="One húmedo",H257="Snack Abrazzos",H257="Snak Dentalife",H257="Arenilla Tidy Cat"),N257,0)</f>
        <v>0</v>
      </c>
      <c r="R257" s="34"/>
    </row>
    <row r="258" spans="1:18" x14ac:dyDescent="0.25">
      <c r="A258" s="34" t="s">
        <v>113</v>
      </c>
      <c r="B258" s="34" t="s">
        <v>8</v>
      </c>
      <c r="C258" t="s">
        <v>43</v>
      </c>
      <c r="D258" s="34" t="s">
        <v>132</v>
      </c>
      <c r="E258" s="34">
        <v>355912</v>
      </c>
      <c r="F258" s="34" t="s">
        <v>167</v>
      </c>
      <c r="G258" s="34" t="s">
        <v>97</v>
      </c>
      <c r="H258" s="34" t="s">
        <v>112</v>
      </c>
      <c r="I258" s="35"/>
      <c r="J258" s="34">
        <v>28943799</v>
      </c>
      <c r="K258" s="34" t="s">
        <v>164</v>
      </c>
      <c r="L258" s="34" t="str">
        <f>_xlfn.XLOOKUP(Tabla2__2[[#This Row],[CODIGO RUTA]],'DATA INFORME'!I:I,'DATA INFORME'!K:K)</f>
        <v>SI</v>
      </c>
      <c r="M258" s="34" t="str">
        <f>IF(Tabla2__2[[#This Row],[MYSTERY EFECTIVO]]="SI",_xlfn.XLOOKUP(Tabla2__2[[#This Row],[PREGUNTA]],ENCUESTA!G:G,ENCUESTA!D:D),"N/A")</f>
        <v>PRESENTACIÓN PERSONAL</v>
      </c>
      <c r="N25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58" s="34" t="str">
        <f>_xlfn.XLOOKUP(Tabla2__2[[#This Row],[PREGUNTA]],ENCUESTA!G:G,ENCUESTA!H:H)</f>
        <v>NO</v>
      </c>
      <c r="P258" s="34">
        <f>IF(Tabla2__2[[#This Row],[RTA]]=Tabla2__2[[#This Row],[RTA CORRECTA]],Tabla2__2[[#This Row],[TOTAL PUNTAJE]],0)</f>
        <v>1</v>
      </c>
      <c r="Q258" s="34">
        <f>IF(OR(H258="Dog Chow húmedo",H258="Cat Chow húmedo",H258="Fancy Feast",H258="Felix",H258="Proplan húmedo",H258="One húmedo",H258="Snack Abrazzos",H258="Snak Dentalife",H258="Arenilla Tidy Cat"),N258,0)</f>
        <v>0</v>
      </c>
      <c r="R258" s="34"/>
    </row>
    <row r="259" spans="1:18" x14ac:dyDescent="0.25">
      <c r="A259" s="34" t="s">
        <v>113</v>
      </c>
      <c r="B259" s="34" t="s">
        <v>8</v>
      </c>
      <c r="C259" t="s">
        <v>43</v>
      </c>
      <c r="D259" s="34" t="s">
        <v>132</v>
      </c>
      <c r="E259" s="34">
        <v>355912</v>
      </c>
      <c r="F259" s="34" t="s">
        <v>167</v>
      </c>
      <c r="G259" s="34" t="s">
        <v>96</v>
      </c>
      <c r="H259" s="34" t="s">
        <v>112</v>
      </c>
      <c r="I259" s="35"/>
      <c r="J259" s="34">
        <v>28943799</v>
      </c>
      <c r="K259" s="34" t="s">
        <v>164</v>
      </c>
      <c r="L259" s="34" t="str">
        <f>_xlfn.XLOOKUP(Tabla2__2[[#This Row],[CODIGO RUTA]],'DATA INFORME'!I:I,'DATA INFORME'!K:K)</f>
        <v>SI</v>
      </c>
      <c r="M259" s="34" t="str">
        <f>IF(Tabla2__2[[#This Row],[MYSTERY EFECTIVO]]="SI",_xlfn.XLOOKUP(Tabla2__2[[#This Row],[PREGUNTA]],ENCUESTA!G:G,ENCUESTA!D:D),"N/A")</f>
        <v>PRESENTACIÓN PERSONAL</v>
      </c>
      <c r="N25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59" s="34" t="str">
        <f>_xlfn.XLOOKUP(Tabla2__2[[#This Row],[PREGUNTA]],ENCUESTA!G:G,ENCUESTA!H:H)</f>
        <v>NO</v>
      </c>
      <c r="P259" s="34">
        <f>IF(Tabla2__2[[#This Row],[RTA]]=Tabla2__2[[#This Row],[RTA CORRECTA]],Tabla2__2[[#This Row],[TOTAL PUNTAJE]],0)</f>
        <v>1</v>
      </c>
      <c r="Q259" s="34">
        <f>IF(OR(H259="Dog Chow húmedo",H259="Cat Chow húmedo",H259="Fancy Feast",H259="Felix",H259="Proplan húmedo",H259="One húmedo",H259="Snack Abrazzos",H259="Snak Dentalife",H259="Arenilla Tidy Cat"),N259,0)</f>
        <v>0</v>
      </c>
      <c r="R259" s="34"/>
    </row>
    <row r="260" spans="1:18" x14ac:dyDescent="0.25">
      <c r="A260" s="34" t="s">
        <v>113</v>
      </c>
      <c r="B260" s="34" t="s">
        <v>8</v>
      </c>
      <c r="C260" t="s">
        <v>43</v>
      </c>
      <c r="D260" s="34" t="s">
        <v>132</v>
      </c>
      <c r="E260" s="34">
        <v>355912</v>
      </c>
      <c r="F260" s="34" t="s">
        <v>167</v>
      </c>
      <c r="G260" s="34" t="s">
        <v>95</v>
      </c>
      <c r="H260" s="34" t="s">
        <v>112</v>
      </c>
      <c r="I260" s="35"/>
      <c r="J260" s="34">
        <v>28943799</v>
      </c>
      <c r="K260" s="34" t="s">
        <v>164</v>
      </c>
      <c r="L260" s="34" t="str">
        <f>_xlfn.XLOOKUP(Tabla2__2[[#This Row],[CODIGO RUTA]],'DATA INFORME'!I:I,'DATA INFORME'!K:K)</f>
        <v>SI</v>
      </c>
      <c r="M260" s="34" t="str">
        <f>IF(Tabla2__2[[#This Row],[MYSTERY EFECTIVO]]="SI",_xlfn.XLOOKUP(Tabla2__2[[#This Row],[PREGUNTA]],ENCUESTA!G:G,ENCUESTA!D:D),"N/A")</f>
        <v>PRESENTACIÓN PERSONAL</v>
      </c>
      <c r="N26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60" s="34" t="str">
        <f>_xlfn.XLOOKUP(Tabla2__2[[#This Row],[PREGUNTA]],ENCUESTA!G:G,ENCUESTA!H:H)</f>
        <v>NO</v>
      </c>
      <c r="P260" s="34">
        <f>IF(Tabla2__2[[#This Row],[RTA]]=Tabla2__2[[#This Row],[RTA CORRECTA]],Tabla2__2[[#This Row],[TOTAL PUNTAJE]],0)</f>
        <v>1</v>
      </c>
      <c r="Q260" s="34">
        <f>IF(OR(H260="Dog Chow húmedo",H260="Cat Chow húmedo",H260="Fancy Feast",H260="Felix",H260="Proplan húmedo",H260="One húmedo",H260="Snack Abrazzos",H260="Snak Dentalife",H260="Arenilla Tidy Cat"),N260,0)</f>
        <v>0</v>
      </c>
      <c r="R260" s="34"/>
    </row>
    <row r="261" spans="1:18" x14ac:dyDescent="0.25">
      <c r="A261" s="34" t="s">
        <v>113</v>
      </c>
      <c r="B261" s="34" t="s">
        <v>8</v>
      </c>
      <c r="C261" t="s">
        <v>43</v>
      </c>
      <c r="D261" s="34" t="s">
        <v>132</v>
      </c>
      <c r="E261" s="34">
        <v>355912</v>
      </c>
      <c r="F261" s="34" t="s">
        <v>167</v>
      </c>
      <c r="G261" s="34" t="s">
        <v>94</v>
      </c>
      <c r="H261" s="34" t="s">
        <v>112</v>
      </c>
      <c r="I261" s="35"/>
      <c r="J261" s="34">
        <v>28943799</v>
      </c>
      <c r="K261" s="34" t="s">
        <v>164</v>
      </c>
      <c r="L261" s="34" t="str">
        <f>_xlfn.XLOOKUP(Tabla2__2[[#This Row],[CODIGO RUTA]],'DATA INFORME'!I:I,'DATA INFORME'!K:K)</f>
        <v>SI</v>
      </c>
      <c r="M261" s="34" t="str">
        <f>IF(Tabla2__2[[#This Row],[MYSTERY EFECTIVO]]="SI",_xlfn.XLOOKUP(Tabla2__2[[#This Row],[PREGUNTA]],ENCUESTA!G:G,ENCUESTA!D:D),"N/A")</f>
        <v>PRESENTACIÓN PERSONAL</v>
      </c>
      <c r="N26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61" s="34" t="str">
        <f>_xlfn.XLOOKUP(Tabla2__2[[#This Row],[PREGUNTA]],ENCUESTA!G:G,ENCUESTA!H:H)</f>
        <v>NO</v>
      </c>
      <c r="P261" s="34">
        <f>IF(Tabla2__2[[#This Row],[RTA]]=Tabla2__2[[#This Row],[RTA CORRECTA]],Tabla2__2[[#This Row],[TOTAL PUNTAJE]],0)</f>
        <v>1</v>
      </c>
      <c r="Q261" s="34">
        <f>IF(OR(H261="Dog Chow húmedo",H261="Cat Chow húmedo",H261="Fancy Feast",H261="Felix",H261="Proplan húmedo",H261="One húmedo",H261="Snack Abrazzos",H261="Snak Dentalife",H261="Arenilla Tidy Cat"),N261,0)</f>
        <v>0</v>
      </c>
      <c r="R261" s="34"/>
    </row>
    <row r="262" spans="1:18" x14ac:dyDescent="0.25">
      <c r="A262" s="34" t="s">
        <v>113</v>
      </c>
      <c r="B262" s="34" t="s">
        <v>8</v>
      </c>
      <c r="C262" t="s">
        <v>43</v>
      </c>
      <c r="D262" s="34" t="s">
        <v>132</v>
      </c>
      <c r="E262" s="34">
        <v>355912</v>
      </c>
      <c r="F262" s="34" t="s">
        <v>167</v>
      </c>
      <c r="G262" s="34" t="s">
        <v>93</v>
      </c>
      <c r="H262" s="34" t="s">
        <v>20</v>
      </c>
      <c r="I262" s="35"/>
      <c r="J262" s="34">
        <v>28943799</v>
      </c>
      <c r="K262" s="34" t="s">
        <v>164</v>
      </c>
      <c r="L262" s="34" t="str">
        <f>_xlfn.XLOOKUP(Tabla2__2[[#This Row],[CODIGO RUTA]],'DATA INFORME'!I:I,'DATA INFORME'!K:K)</f>
        <v>SI</v>
      </c>
      <c r="M262" s="34" t="str">
        <f>IF(Tabla2__2[[#This Row],[MYSTERY EFECTIVO]]="SI",_xlfn.XLOOKUP(Tabla2__2[[#This Row],[PREGUNTA]],ENCUESTA!G:G,ENCUESTA!D:D),"N/A")</f>
        <v>PRESENTACIÓN PERSONAL</v>
      </c>
      <c r="N26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62" s="34" t="str">
        <f>_xlfn.XLOOKUP(Tabla2__2[[#This Row],[PREGUNTA]],ENCUESTA!G:G,ENCUESTA!H:H)</f>
        <v>SI</v>
      </c>
      <c r="P262" s="34">
        <f>IF(Tabla2__2[[#This Row],[RTA]]=Tabla2__2[[#This Row],[RTA CORRECTA]],Tabla2__2[[#This Row],[TOTAL PUNTAJE]],0)</f>
        <v>1</v>
      </c>
      <c r="Q262" s="34">
        <f>IF(OR(H262="Dog Chow húmedo",H262="Cat Chow húmedo",H262="Fancy Feast",H262="Felix",H262="Proplan húmedo",H262="One húmedo",H262="Snack Abrazzos",H262="Snak Dentalife",H262="Arenilla Tidy Cat"),N262,0)</f>
        <v>0</v>
      </c>
      <c r="R262" s="34"/>
    </row>
    <row r="263" spans="1:18" x14ac:dyDescent="0.25">
      <c r="A263" s="34" t="s">
        <v>113</v>
      </c>
      <c r="B263" s="34" t="s">
        <v>8</v>
      </c>
      <c r="C263" t="s">
        <v>43</v>
      </c>
      <c r="D263" s="34" t="s">
        <v>132</v>
      </c>
      <c r="E263" s="34">
        <v>355912</v>
      </c>
      <c r="F263" s="34" t="s">
        <v>167</v>
      </c>
      <c r="G263" s="34" t="s">
        <v>99</v>
      </c>
      <c r="H263" s="34" t="s">
        <v>20</v>
      </c>
      <c r="I263" s="35"/>
      <c r="J263" s="34">
        <v>28943799</v>
      </c>
      <c r="K263" s="34" t="s">
        <v>164</v>
      </c>
      <c r="L263" s="34" t="str">
        <f>_xlfn.XLOOKUP(Tabla2__2[[#This Row],[CODIGO RUTA]],'DATA INFORME'!I:I,'DATA INFORME'!K:K)</f>
        <v>SI</v>
      </c>
      <c r="M263" s="34" t="str">
        <f>IF(Tabla2__2[[#This Row],[MYSTERY EFECTIVO]]="SI",_xlfn.XLOOKUP(Tabla2__2[[#This Row],[PREGUNTA]],ENCUESTA!G:G,ENCUESTA!D:D),"N/A")</f>
        <v>EJECUCIÓN DEL PDV</v>
      </c>
      <c r="N26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63" s="34" t="str">
        <f>_xlfn.XLOOKUP(Tabla2__2[[#This Row],[PREGUNTA]],ENCUESTA!G:G,ENCUESTA!H:H)</f>
        <v>SI</v>
      </c>
      <c r="P263" s="34">
        <f>IF(Tabla2__2[[#This Row],[RTA]]=Tabla2__2[[#This Row],[RTA CORRECTA]],Tabla2__2[[#This Row],[TOTAL PUNTAJE]],0)</f>
        <v>3.75</v>
      </c>
      <c r="Q263" s="34">
        <f>IF(OR(H263="Dog Chow húmedo",H263="Cat Chow húmedo",H263="Fancy Feast",H263="Felix",H263="Proplan húmedo",H263="One húmedo",H263="Snack Abrazzos",H263="Snak Dentalife",H263="Arenilla Tidy Cat"),N263,0)</f>
        <v>0</v>
      </c>
      <c r="R263" s="34"/>
    </row>
    <row r="264" spans="1:18" x14ac:dyDescent="0.25">
      <c r="A264" s="34" t="s">
        <v>113</v>
      </c>
      <c r="B264" s="34" t="s">
        <v>8</v>
      </c>
      <c r="C264" t="s">
        <v>43</v>
      </c>
      <c r="D264" s="34" t="s">
        <v>132</v>
      </c>
      <c r="E264" s="34">
        <v>355912</v>
      </c>
      <c r="F264" s="34" t="s">
        <v>167</v>
      </c>
      <c r="G264" s="34" t="s">
        <v>92</v>
      </c>
      <c r="H264" s="34" t="s">
        <v>20</v>
      </c>
      <c r="I264" s="35"/>
      <c r="J264" s="34">
        <v>28943799</v>
      </c>
      <c r="K264" s="34" t="s">
        <v>164</v>
      </c>
      <c r="L264" s="34" t="str">
        <f>_xlfn.XLOOKUP(Tabla2__2[[#This Row],[CODIGO RUTA]],'DATA INFORME'!I:I,'DATA INFORME'!K:K)</f>
        <v>SI</v>
      </c>
      <c r="M264" s="34" t="str">
        <f>IF(Tabla2__2[[#This Row],[MYSTERY EFECTIVO]]="SI",_xlfn.XLOOKUP(Tabla2__2[[#This Row],[PREGUNTA]],ENCUESTA!G:G,ENCUESTA!D:D),"N/A")</f>
        <v>PRESENTACIÓN PERSONAL</v>
      </c>
      <c r="N26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64" s="34" t="str">
        <f>_xlfn.XLOOKUP(Tabla2__2[[#This Row],[PREGUNTA]],ENCUESTA!G:G,ENCUESTA!H:H)</f>
        <v>SI</v>
      </c>
      <c r="P264" s="34">
        <f>IF(Tabla2__2[[#This Row],[RTA]]=Tabla2__2[[#This Row],[RTA CORRECTA]],Tabla2__2[[#This Row],[TOTAL PUNTAJE]],0)</f>
        <v>1</v>
      </c>
      <c r="Q264" s="34">
        <f>IF(OR(H264="Dog Chow húmedo",H264="Cat Chow húmedo",H264="Fancy Feast",H264="Felix",H264="Proplan húmedo",H264="One húmedo",H264="Snack Abrazzos",H264="Snak Dentalife",H264="Arenilla Tidy Cat"),N264,0)</f>
        <v>0</v>
      </c>
      <c r="R264" s="34"/>
    </row>
    <row r="265" spans="1:18" x14ac:dyDescent="0.25">
      <c r="A265" s="34" t="s">
        <v>113</v>
      </c>
      <c r="B265" s="34" t="s">
        <v>8</v>
      </c>
      <c r="C265" t="s">
        <v>43</v>
      </c>
      <c r="D265" s="34" t="s">
        <v>132</v>
      </c>
      <c r="E265" s="34">
        <v>355912</v>
      </c>
      <c r="F265" s="34" t="s">
        <v>167</v>
      </c>
      <c r="G265" s="34" t="s">
        <v>35</v>
      </c>
      <c r="H265" s="34" t="s">
        <v>20</v>
      </c>
      <c r="I265" s="35"/>
      <c r="J265" s="34">
        <v>28943799</v>
      </c>
      <c r="K265" s="34" t="s">
        <v>164</v>
      </c>
      <c r="L265" s="34" t="str">
        <f>_xlfn.XLOOKUP(Tabla2__2[[#This Row],[CODIGO RUTA]],'DATA INFORME'!I:I,'DATA INFORME'!K:K)</f>
        <v>SI</v>
      </c>
      <c r="M265" s="34" t="str">
        <f>IF(Tabla2__2[[#This Row],[MYSTERY EFECTIVO]]="SI",_xlfn.XLOOKUP(Tabla2__2[[#This Row],[PREGUNTA]],ENCUESTA!G:G,ENCUESTA!D:D),"N/A")</f>
        <v>PRESENTACIÓN PERSONAL</v>
      </c>
      <c r="N26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65" s="34" t="str">
        <f>_xlfn.XLOOKUP(Tabla2__2[[#This Row],[PREGUNTA]],ENCUESTA!G:G,ENCUESTA!H:H)</f>
        <v>SI</v>
      </c>
      <c r="P265" s="34">
        <f>IF(Tabla2__2[[#This Row],[RTA]]=Tabla2__2[[#This Row],[RTA CORRECTA]],Tabla2__2[[#This Row],[TOTAL PUNTAJE]],0)</f>
        <v>1</v>
      </c>
      <c r="Q265" s="34">
        <f>IF(OR(H265="Dog Chow húmedo",H265="Cat Chow húmedo",H265="Fancy Feast",H265="Felix",H265="Proplan húmedo",H265="One húmedo",H265="Snack Abrazzos",H265="Snak Dentalife",H265="Arenilla Tidy Cat"),N265,0)</f>
        <v>0</v>
      </c>
      <c r="R265" s="34"/>
    </row>
    <row r="266" spans="1:18" x14ac:dyDescent="0.25">
      <c r="A266" s="34" t="s">
        <v>113</v>
      </c>
      <c r="B266" s="34" t="s">
        <v>8</v>
      </c>
      <c r="C266" t="s">
        <v>43</v>
      </c>
      <c r="D266" s="34" t="s">
        <v>132</v>
      </c>
      <c r="E266" s="34">
        <v>355912</v>
      </c>
      <c r="F266" s="34" t="s">
        <v>167</v>
      </c>
      <c r="G266" s="34" t="s">
        <v>90</v>
      </c>
      <c r="H266" s="34" t="s">
        <v>20</v>
      </c>
      <c r="I266" s="35"/>
      <c r="J266" s="34">
        <v>28943799</v>
      </c>
      <c r="K266" s="34" t="s">
        <v>164</v>
      </c>
      <c r="L266" s="34" t="str">
        <f>_xlfn.XLOOKUP(Tabla2__2[[#This Row],[CODIGO RUTA]],'DATA INFORME'!I:I,'DATA INFORME'!K:K)</f>
        <v>SI</v>
      </c>
      <c r="M266" s="34" t="str">
        <f>IF(Tabla2__2[[#This Row],[MYSTERY EFECTIVO]]="SI",_xlfn.XLOOKUP(Tabla2__2[[#This Row],[PREGUNTA]],ENCUESTA!G:G,ENCUESTA!D:D),"N/A")</f>
        <v>PRESENTACIÓN PERSONAL</v>
      </c>
      <c r="N26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66" s="34" t="str">
        <f>_xlfn.XLOOKUP(Tabla2__2[[#This Row],[PREGUNTA]],ENCUESTA!G:G,ENCUESTA!H:H)</f>
        <v>SI</v>
      </c>
      <c r="P266" s="34">
        <f>IF(Tabla2__2[[#This Row],[RTA]]=Tabla2__2[[#This Row],[RTA CORRECTA]],Tabla2__2[[#This Row],[TOTAL PUNTAJE]],0)</f>
        <v>1</v>
      </c>
      <c r="Q266" s="34">
        <f>IF(OR(H266="Dog Chow húmedo",H266="Cat Chow húmedo",H266="Fancy Feast",H266="Felix",H266="Proplan húmedo",H266="One húmedo",H266="Snack Abrazzos",H266="Snak Dentalife",H266="Arenilla Tidy Cat"),N266,0)</f>
        <v>0</v>
      </c>
      <c r="R266" s="34"/>
    </row>
    <row r="267" spans="1:18" x14ac:dyDescent="0.25">
      <c r="A267" s="34" t="s">
        <v>113</v>
      </c>
      <c r="B267" s="34" t="s">
        <v>8</v>
      </c>
      <c r="C267" t="s">
        <v>43</v>
      </c>
      <c r="D267" s="34" t="s">
        <v>132</v>
      </c>
      <c r="E267" s="34">
        <v>355912</v>
      </c>
      <c r="F267" s="34" t="s">
        <v>167</v>
      </c>
      <c r="G267" s="34" t="s">
        <v>89</v>
      </c>
      <c r="H267" s="34" t="s">
        <v>20</v>
      </c>
      <c r="I267" s="35"/>
      <c r="J267" s="34">
        <v>28943799</v>
      </c>
      <c r="K267" s="34" t="s">
        <v>164</v>
      </c>
      <c r="L267" s="34" t="str">
        <f>_xlfn.XLOOKUP(Tabla2__2[[#This Row],[CODIGO RUTA]],'DATA INFORME'!I:I,'DATA INFORME'!K:K)</f>
        <v>SI</v>
      </c>
      <c r="M267" s="34" t="str">
        <f>IF(Tabla2__2[[#This Row],[MYSTERY EFECTIVO]]="SI",_xlfn.XLOOKUP(Tabla2__2[[#This Row],[PREGUNTA]],ENCUESTA!G:G,ENCUESTA!D:D),"N/A")</f>
        <v>PRESENTACIÓN PERSONAL</v>
      </c>
      <c r="N26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67" s="34" t="str">
        <f>_xlfn.XLOOKUP(Tabla2__2[[#This Row],[PREGUNTA]],ENCUESTA!G:G,ENCUESTA!H:H)</f>
        <v>SI</v>
      </c>
      <c r="P267" s="34">
        <f>IF(Tabla2__2[[#This Row],[RTA]]=Tabla2__2[[#This Row],[RTA CORRECTA]],Tabla2__2[[#This Row],[TOTAL PUNTAJE]],0)</f>
        <v>1</v>
      </c>
      <c r="Q267" s="34">
        <f>IF(OR(H267="Dog Chow húmedo",H267="Cat Chow húmedo",H267="Fancy Feast",H267="Felix",H267="Proplan húmedo",H267="One húmedo",H267="Snack Abrazzos",H267="Snak Dentalife",H267="Arenilla Tidy Cat"),N267,0)</f>
        <v>0</v>
      </c>
      <c r="R267" s="34"/>
    </row>
    <row r="268" spans="1:18" x14ac:dyDescent="0.25">
      <c r="A268" s="34" t="s">
        <v>113</v>
      </c>
      <c r="B268" s="34" t="s">
        <v>8</v>
      </c>
      <c r="C268" t="s">
        <v>43</v>
      </c>
      <c r="D268" s="34" t="s">
        <v>132</v>
      </c>
      <c r="E268" s="34">
        <v>355912</v>
      </c>
      <c r="F268" s="34" t="s">
        <v>167</v>
      </c>
      <c r="G268" s="34" t="s">
        <v>88</v>
      </c>
      <c r="H268" s="34" t="s">
        <v>20</v>
      </c>
      <c r="I268" s="35"/>
      <c r="J268" s="34">
        <v>28943799</v>
      </c>
      <c r="K268" s="34" t="s">
        <v>164</v>
      </c>
      <c r="L268" s="34" t="str">
        <f>_xlfn.XLOOKUP(Tabla2__2[[#This Row],[CODIGO RUTA]],'DATA INFORME'!I:I,'DATA INFORME'!K:K)</f>
        <v>SI</v>
      </c>
      <c r="M268" s="34" t="str">
        <f>IF(Tabla2__2[[#This Row],[MYSTERY EFECTIVO]]="SI",_xlfn.XLOOKUP(Tabla2__2[[#This Row],[PREGUNTA]],ENCUESTA!G:G,ENCUESTA!D:D),"N/A")</f>
        <v>HORARIO</v>
      </c>
      <c r="N26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68" s="34" t="str">
        <f>_xlfn.XLOOKUP(Tabla2__2[[#This Row],[PREGUNTA]],ENCUESTA!G:G,ENCUESTA!H:H)</f>
        <v>SI</v>
      </c>
      <c r="P268" s="34">
        <f>IF(Tabla2__2[[#This Row],[RTA]]=Tabla2__2[[#This Row],[RTA CORRECTA]],Tabla2__2[[#This Row],[TOTAL PUNTAJE]],0)</f>
        <v>20</v>
      </c>
      <c r="Q268" s="34">
        <f>IF(OR(H268="Dog Chow húmedo",H268="Cat Chow húmedo",H268="Fancy Feast",H268="Felix",H268="Proplan húmedo",H268="One húmedo",H268="Snack Abrazzos",H268="Snak Dentalife",H268="Arenilla Tidy Cat"),N268,0)</f>
        <v>0</v>
      </c>
      <c r="R268" s="34"/>
    </row>
    <row r="269" spans="1:18" x14ac:dyDescent="0.25">
      <c r="A269" s="34" t="s">
        <v>113</v>
      </c>
      <c r="B269" s="34" t="s">
        <v>8</v>
      </c>
      <c r="C269" t="s">
        <v>43</v>
      </c>
      <c r="D269" s="34" t="s">
        <v>132</v>
      </c>
      <c r="E269" s="34">
        <v>355912</v>
      </c>
      <c r="F269" s="34" t="s">
        <v>167</v>
      </c>
      <c r="G269" s="34" t="s">
        <v>87</v>
      </c>
      <c r="H269" s="34" t="s">
        <v>20</v>
      </c>
      <c r="I269" s="35"/>
      <c r="J269" s="34">
        <v>28943799</v>
      </c>
      <c r="K269" s="34" t="s">
        <v>164</v>
      </c>
      <c r="L269" s="34" t="str">
        <f>_xlfn.XLOOKUP(Tabla2__2[[#This Row],[CODIGO RUTA]],'DATA INFORME'!I:I,'DATA INFORME'!K:K)</f>
        <v>SI</v>
      </c>
      <c r="M269" s="34" t="str">
        <f>IF(Tabla2__2[[#This Row],[MYSTERY EFECTIVO]]="SI",_xlfn.XLOOKUP(Tabla2__2[[#This Row],[PREGUNTA]],ENCUESTA!G:G,ENCUESTA!D:D),"N/A")</f>
        <v>N/A</v>
      </c>
      <c r="N26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9" s="34">
        <f>_xlfn.XLOOKUP(Tabla2__2[[#This Row],[PREGUNTA]],ENCUESTA!G:G,ENCUESTA!H:H)</f>
        <v>0</v>
      </c>
      <c r="P269" s="34">
        <f>IF(Tabla2__2[[#This Row],[RTA]]=Tabla2__2[[#This Row],[RTA CORRECTA]],Tabla2__2[[#This Row],[TOTAL PUNTAJE]],0)</f>
        <v>0</v>
      </c>
      <c r="Q269" s="34">
        <f>IF(OR(H269="Dog Chow húmedo",H269="Cat Chow húmedo",H269="Fancy Feast",H269="Felix",H269="Proplan húmedo",H269="One húmedo",H269="Snack Abrazzos",H269="Snak Dentalife",H269="Arenilla Tidy Cat"),N269,0)</f>
        <v>0</v>
      </c>
      <c r="R269" s="34"/>
    </row>
    <row r="270" spans="1:18" x14ac:dyDescent="0.25">
      <c r="A270" s="34" t="s">
        <v>113</v>
      </c>
      <c r="B270" s="34" t="s">
        <v>8</v>
      </c>
      <c r="C270" t="s">
        <v>15</v>
      </c>
      <c r="D270" s="34" t="s">
        <v>132</v>
      </c>
      <c r="E270" s="34">
        <v>382375</v>
      </c>
      <c r="F270" s="34" t="s">
        <v>158</v>
      </c>
      <c r="G270" s="34" t="s">
        <v>107</v>
      </c>
      <c r="H270" s="34" t="s">
        <v>165</v>
      </c>
      <c r="I270" s="35"/>
      <c r="J270" s="34">
        <v>28907521</v>
      </c>
      <c r="K270" s="34" t="s">
        <v>164</v>
      </c>
      <c r="L270" s="34" t="str">
        <f>_xlfn.XLOOKUP(Tabla2__2[[#This Row],[CODIGO RUTA]],'DATA INFORME'!I:I,'DATA INFORME'!K:K)</f>
        <v>SI</v>
      </c>
      <c r="M270" s="34" t="str">
        <f>IF(Tabla2__2[[#This Row],[MYSTERY EFECTIVO]]="SI",_xlfn.XLOOKUP(Tabla2__2[[#This Row],[PREGUNTA]],ENCUESTA!G:G,ENCUESTA!D:D),"N/A")</f>
        <v>N/A</v>
      </c>
      <c r="N27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0" s="34">
        <f>_xlfn.XLOOKUP(Tabla2__2[[#This Row],[PREGUNTA]],ENCUESTA!G:G,ENCUESTA!H:H)</f>
        <v>0</v>
      </c>
      <c r="P270" s="34">
        <f>IF(Tabla2__2[[#This Row],[RTA]]=Tabla2__2[[#This Row],[RTA CORRECTA]],Tabla2__2[[#This Row],[TOTAL PUNTAJE]],0)</f>
        <v>0</v>
      </c>
      <c r="Q270" s="34">
        <f>IF(OR(H270="Dog Chow húmedo",H270="Cat Chow húmedo",H270="Fancy Feast",H270="Felix",H270="Proplan húmedo",H270="One húmedo",H270="Snack Abrazzos",H270="Snak Dentalife",H270="Arenilla Tidy Cat"),N270,0)</f>
        <v>0</v>
      </c>
      <c r="R270" s="34"/>
    </row>
    <row r="271" spans="1:18" x14ac:dyDescent="0.25">
      <c r="A271" s="34" t="s">
        <v>113</v>
      </c>
      <c r="B271" s="34" t="s">
        <v>8</v>
      </c>
      <c r="C271" t="s">
        <v>43</v>
      </c>
      <c r="D271" s="34" t="s">
        <v>132</v>
      </c>
      <c r="E271" s="34">
        <v>355912</v>
      </c>
      <c r="F271" s="34" t="s">
        <v>167</v>
      </c>
      <c r="G271" s="34" t="s">
        <v>91</v>
      </c>
      <c r="H271" s="34" t="s">
        <v>112</v>
      </c>
      <c r="I271" s="35"/>
      <c r="J271" s="34">
        <v>28943799</v>
      </c>
      <c r="K271" s="34" t="s">
        <v>164</v>
      </c>
      <c r="L271" s="34" t="str">
        <f>_xlfn.XLOOKUP(Tabla2__2[[#This Row],[CODIGO RUTA]],'DATA INFORME'!I:I,'DATA INFORME'!K:K)</f>
        <v>SI</v>
      </c>
      <c r="M271" s="34" t="str">
        <f>IF(Tabla2__2[[#This Row],[MYSTERY EFECTIVO]]="SI",_xlfn.XLOOKUP(Tabla2__2[[#This Row],[PREGUNTA]],ENCUESTA!G:G,ENCUESTA!D:D),"N/A")</f>
        <v>PRESENTACIÓN PERSONAL</v>
      </c>
      <c r="N27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v>
      </c>
      <c r="O271" s="34" t="str">
        <f>_xlfn.XLOOKUP(Tabla2__2[[#This Row],[PREGUNTA]],ENCUESTA!G:G,ENCUESTA!H:H)</f>
        <v>NO</v>
      </c>
      <c r="P271" s="34">
        <f>IF(Tabla2__2[[#This Row],[RTA]]=Tabla2__2[[#This Row],[RTA CORRECTA]],Tabla2__2[[#This Row],[TOTAL PUNTAJE]],0)</f>
        <v>1</v>
      </c>
      <c r="Q271" s="34">
        <f>IF(OR(H271="Dog Chow húmedo",H271="Cat Chow húmedo",H271="Fancy Feast",H271="Felix",H271="Proplan húmedo",H271="One húmedo",H271="Snack Abrazzos",H271="Snak Dentalife",H271="Arenilla Tidy Cat"),N271,0)</f>
        <v>0</v>
      </c>
      <c r="R271" s="34"/>
    </row>
    <row r="272" spans="1:18" x14ac:dyDescent="0.25">
      <c r="A272" s="34" t="s">
        <v>113</v>
      </c>
      <c r="B272" s="34" t="s">
        <v>8</v>
      </c>
      <c r="C272" t="s">
        <v>43</v>
      </c>
      <c r="D272" s="34" t="s">
        <v>132</v>
      </c>
      <c r="E272" s="34">
        <v>355912</v>
      </c>
      <c r="F272" s="34" t="s">
        <v>167</v>
      </c>
      <c r="G272" s="34" t="s">
        <v>100</v>
      </c>
      <c r="H272" s="34" t="s">
        <v>20</v>
      </c>
      <c r="I272" s="35"/>
      <c r="J272" s="34">
        <v>28943799</v>
      </c>
      <c r="K272" s="34" t="s">
        <v>164</v>
      </c>
      <c r="L272" s="34" t="str">
        <f>_xlfn.XLOOKUP(Tabla2__2[[#This Row],[CODIGO RUTA]],'DATA INFORME'!I:I,'DATA INFORME'!K:K)</f>
        <v>SI</v>
      </c>
      <c r="M272" s="34" t="str">
        <f>IF(Tabla2__2[[#This Row],[MYSTERY EFECTIVO]]="SI",_xlfn.XLOOKUP(Tabla2__2[[#This Row],[PREGUNTA]],ENCUESTA!G:G,ENCUESTA!D:D),"N/A")</f>
        <v>EJECUCIÓN DEL PDV</v>
      </c>
      <c r="N27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72" s="34" t="str">
        <f>_xlfn.XLOOKUP(Tabla2__2[[#This Row],[PREGUNTA]],ENCUESTA!G:G,ENCUESTA!H:H)</f>
        <v>SI</v>
      </c>
      <c r="P272" s="34">
        <f>IF(Tabla2__2[[#This Row],[RTA]]=Tabla2__2[[#This Row],[RTA CORRECTA]],Tabla2__2[[#This Row],[TOTAL PUNTAJE]],0)</f>
        <v>3.75</v>
      </c>
      <c r="Q272" s="34">
        <f>IF(OR(H272="Dog Chow húmedo",H272="Cat Chow húmedo",H272="Fancy Feast",H272="Felix",H272="Proplan húmedo",H272="One húmedo",H272="Snack Abrazzos",H272="Snak Dentalife",H272="Arenilla Tidy Cat"),N272,0)</f>
        <v>0</v>
      </c>
      <c r="R272" s="34"/>
    </row>
    <row r="273" spans="1:18" x14ac:dyDescent="0.25">
      <c r="A273" s="34" t="s">
        <v>113</v>
      </c>
      <c r="B273" s="34" t="s">
        <v>8</v>
      </c>
      <c r="C273" t="s">
        <v>43</v>
      </c>
      <c r="D273" s="34" t="s">
        <v>132</v>
      </c>
      <c r="E273" s="34">
        <v>355912</v>
      </c>
      <c r="F273" s="34" t="s">
        <v>167</v>
      </c>
      <c r="G273" s="34" t="s">
        <v>101</v>
      </c>
      <c r="H273" s="34" t="s">
        <v>20</v>
      </c>
      <c r="I273" s="35"/>
      <c r="J273" s="34">
        <v>28943799</v>
      </c>
      <c r="K273" s="34" t="s">
        <v>164</v>
      </c>
      <c r="L273" s="34" t="str">
        <f>_xlfn.XLOOKUP(Tabla2__2[[#This Row],[CODIGO RUTA]],'DATA INFORME'!I:I,'DATA INFORME'!K:K)</f>
        <v>SI</v>
      </c>
      <c r="M273" s="34" t="str">
        <f>IF(Tabla2__2[[#This Row],[MYSTERY EFECTIVO]]="SI",_xlfn.XLOOKUP(Tabla2__2[[#This Row],[PREGUNTA]],ENCUESTA!G:G,ENCUESTA!D:D),"N/A")</f>
        <v>EJECUCIÓN DEL PDV</v>
      </c>
      <c r="N27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73" s="34" t="str">
        <f>_xlfn.XLOOKUP(Tabla2__2[[#This Row],[PREGUNTA]],ENCUESTA!G:G,ENCUESTA!H:H)</f>
        <v>SI</v>
      </c>
      <c r="P273" s="34">
        <f>IF(Tabla2__2[[#This Row],[RTA]]=Tabla2__2[[#This Row],[RTA CORRECTA]],Tabla2__2[[#This Row],[TOTAL PUNTAJE]],0)</f>
        <v>3.75</v>
      </c>
      <c r="Q273" s="34">
        <f>IF(OR(H273="Dog Chow húmedo",H273="Cat Chow húmedo",H273="Fancy Feast",H273="Felix",H273="Proplan húmedo",H273="One húmedo",H273="Snack Abrazzos",H273="Snak Dentalife",H273="Arenilla Tidy Cat"),N273,0)</f>
        <v>0</v>
      </c>
      <c r="R273" s="34"/>
    </row>
    <row r="274" spans="1:18" x14ac:dyDescent="0.25">
      <c r="A274" s="34" t="s">
        <v>113</v>
      </c>
      <c r="B274" s="34" t="s">
        <v>8</v>
      </c>
      <c r="C274" t="s">
        <v>43</v>
      </c>
      <c r="D274" s="34" t="s">
        <v>132</v>
      </c>
      <c r="E274" s="34">
        <v>355912</v>
      </c>
      <c r="F274" s="34" t="s">
        <v>167</v>
      </c>
      <c r="G274" s="34" t="s">
        <v>102</v>
      </c>
      <c r="H274" s="34" t="s">
        <v>20</v>
      </c>
      <c r="I274" s="35"/>
      <c r="J274" s="34">
        <v>28943799</v>
      </c>
      <c r="K274" s="34" t="s">
        <v>164</v>
      </c>
      <c r="L274" s="34" t="str">
        <f>_xlfn.XLOOKUP(Tabla2__2[[#This Row],[CODIGO RUTA]],'DATA INFORME'!I:I,'DATA INFORME'!K:K)</f>
        <v>SI</v>
      </c>
      <c r="M274" s="34" t="str">
        <f>IF(Tabla2__2[[#This Row],[MYSTERY EFECTIVO]]="SI",_xlfn.XLOOKUP(Tabla2__2[[#This Row],[PREGUNTA]],ENCUESTA!G:G,ENCUESTA!D:D),"N/A")</f>
        <v>EJECUCIÓN DEL PDV</v>
      </c>
      <c r="N27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74" s="34" t="str">
        <f>_xlfn.XLOOKUP(Tabla2__2[[#This Row],[PREGUNTA]],ENCUESTA!G:G,ENCUESTA!H:H)</f>
        <v>SI</v>
      </c>
      <c r="P274" s="34">
        <f>IF(Tabla2__2[[#This Row],[RTA]]=Tabla2__2[[#This Row],[RTA CORRECTA]],Tabla2__2[[#This Row],[TOTAL PUNTAJE]],0)</f>
        <v>3.75</v>
      </c>
      <c r="Q274" s="34">
        <f>IF(OR(H274="Dog Chow húmedo",H274="Cat Chow húmedo",H274="Fancy Feast",H274="Felix",H274="Proplan húmedo",H274="One húmedo",H274="Snack Abrazzos",H274="Snak Dentalife",H274="Arenilla Tidy Cat"),N274,0)</f>
        <v>0</v>
      </c>
      <c r="R274" s="34"/>
    </row>
    <row r="275" spans="1:18" x14ac:dyDescent="0.25">
      <c r="A275" s="34" t="s">
        <v>113</v>
      </c>
      <c r="B275" s="34" t="s">
        <v>119</v>
      </c>
      <c r="C275" t="s">
        <v>43</v>
      </c>
      <c r="D275" s="34" t="s">
        <v>173</v>
      </c>
      <c r="E275" s="34">
        <v>66552</v>
      </c>
      <c r="F275" s="34" t="s">
        <v>176</v>
      </c>
      <c r="G275" s="34" t="s">
        <v>93</v>
      </c>
      <c r="H275" s="34" t="s">
        <v>112</v>
      </c>
      <c r="I275" s="35"/>
      <c r="J275" s="34">
        <v>28946324</v>
      </c>
      <c r="K275" s="34" t="s">
        <v>121</v>
      </c>
      <c r="L275" s="34" t="str">
        <f>_xlfn.XLOOKUP(Tabla2__2[[#This Row],[CODIGO RUTA]],'DATA INFORME'!I:I,'DATA INFORME'!K:K)</f>
        <v>NO</v>
      </c>
      <c r="M275" s="34" t="str">
        <f>IF(Tabla2__2[[#This Row],[MYSTERY EFECTIVO]]="SI",_xlfn.XLOOKUP(Tabla2__2[[#This Row],[PREGUNTA]],ENCUESTA!G:G,ENCUESTA!D:D),"N/A")</f>
        <v>N/A</v>
      </c>
      <c r="N27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5" s="34" t="str">
        <f>_xlfn.XLOOKUP(Tabla2__2[[#This Row],[PREGUNTA]],ENCUESTA!G:G,ENCUESTA!H:H)</f>
        <v>SI</v>
      </c>
      <c r="P275" s="34">
        <f>IF(Tabla2__2[[#This Row],[RTA]]=Tabla2__2[[#This Row],[RTA CORRECTA]],Tabla2__2[[#This Row],[TOTAL PUNTAJE]],0)</f>
        <v>0</v>
      </c>
      <c r="Q275" s="34">
        <f>IF(OR(H275="Dog Chow húmedo",H275="Cat Chow húmedo",H275="Fancy Feast",H275="Felix",H275="Proplan húmedo",H275="One húmedo",H275="Snack Abrazzos",H275="Snak Dentalife",H275="Arenilla Tidy Cat"),N275,0)</f>
        <v>0</v>
      </c>
      <c r="R275" s="34"/>
    </row>
    <row r="276" spans="1:18" x14ac:dyDescent="0.25">
      <c r="A276" s="34" t="s">
        <v>113</v>
      </c>
      <c r="B276" s="34" t="s">
        <v>119</v>
      </c>
      <c r="C276" t="s">
        <v>43</v>
      </c>
      <c r="D276" s="34" t="s">
        <v>173</v>
      </c>
      <c r="E276" s="34">
        <v>66552</v>
      </c>
      <c r="F276" s="34" t="s">
        <v>176</v>
      </c>
      <c r="G276" s="34" t="s">
        <v>92</v>
      </c>
      <c r="H276" s="34" t="s">
        <v>112</v>
      </c>
      <c r="I276" s="35"/>
      <c r="J276" s="34">
        <v>28946324</v>
      </c>
      <c r="K276" s="34" t="s">
        <v>121</v>
      </c>
      <c r="L276" s="34" t="str">
        <f>_xlfn.XLOOKUP(Tabla2__2[[#This Row],[CODIGO RUTA]],'DATA INFORME'!I:I,'DATA INFORME'!K:K)</f>
        <v>NO</v>
      </c>
      <c r="M276" s="34" t="str">
        <f>IF(Tabla2__2[[#This Row],[MYSTERY EFECTIVO]]="SI",_xlfn.XLOOKUP(Tabla2__2[[#This Row],[PREGUNTA]],ENCUESTA!G:G,ENCUESTA!D:D),"N/A")</f>
        <v>N/A</v>
      </c>
      <c r="N27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6" s="34" t="str">
        <f>_xlfn.XLOOKUP(Tabla2__2[[#This Row],[PREGUNTA]],ENCUESTA!G:G,ENCUESTA!H:H)</f>
        <v>SI</v>
      </c>
      <c r="P276" s="34">
        <f>IF(Tabla2__2[[#This Row],[RTA]]=Tabla2__2[[#This Row],[RTA CORRECTA]],Tabla2__2[[#This Row],[TOTAL PUNTAJE]],0)</f>
        <v>0</v>
      </c>
      <c r="Q276" s="34">
        <f>IF(OR(H276="Dog Chow húmedo",H276="Cat Chow húmedo",H276="Fancy Feast",H276="Felix",H276="Proplan húmedo",H276="One húmedo",H276="Snack Abrazzos",H276="Snak Dentalife",H276="Arenilla Tidy Cat"),N276,0)</f>
        <v>0</v>
      </c>
      <c r="R276" s="34"/>
    </row>
    <row r="277" spans="1:18" x14ac:dyDescent="0.25">
      <c r="A277" s="34" t="s">
        <v>113</v>
      </c>
      <c r="B277" s="34" t="s">
        <v>119</v>
      </c>
      <c r="C277" t="s">
        <v>43</v>
      </c>
      <c r="D277" s="34" t="s">
        <v>173</v>
      </c>
      <c r="E277" s="34">
        <v>66552</v>
      </c>
      <c r="F277" s="34" t="s">
        <v>176</v>
      </c>
      <c r="G277" s="34" t="s">
        <v>91</v>
      </c>
      <c r="H277" s="34" t="s">
        <v>112</v>
      </c>
      <c r="I277" s="35"/>
      <c r="J277" s="34">
        <v>28946324</v>
      </c>
      <c r="K277" s="34" t="s">
        <v>121</v>
      </c>
      <c r="L277" s="34" t="str">
        <f>_xlfn.XLOOKUP(Tabla2__2[[#This Row],[CODIGO RUTA]],'DATA INFORME'!I:I,'DATA INFORME'!K:K)</f>
        <v>NO</v>
      </c>
      <c r="M277" s="34" t="str">
        <f>IF(Tabla2__2[[#This Row],[MYSTERY EFECTIVO]]="SI",_xlfn.XLOOKUP(Tabla2__2[[#This Row],[PREGUNTA]],ENCUESTA!G:G,ENCUESTA!D:D),"N/A")</f>
        <v>N/A</v>
      </c>
      <c r="N27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7" s="34" t="str">
        <f>_xlfn.XLOOKUP(Tabla2__2[[#This Row],[PREGUNTA]],ENCUESTA!G:G,ENCUESTA!H:H)</f>
        <v>NO</v>
      </c>
      <c r="P277" s="34">
        <f>IF(Tabla2__2[[#This Row],[RTA]]=Tabla2__2[[#This Row],[RTA CORRECTA]],Tabla2__2[[#This Row],[TOTAL PUNTAJE]],0)</f>
        <v>0</v>
      </c>
      <c r="Q277" s="34">
        <f>IF(OR(H277="Dog Chow húmedo",H277="Cat Chow húmedo",H277="Fancy Feast",H277="Felix",H277="Proplan húmedo",H277="One húmedo",H277="Snack Abrazzos",H277="Snak Dentalife",H277="Arenilla Tidy Cat"),N277,0)</f>
        <v>0</v>
      </c>
      <c r="R277" s="34"/>
    </row>
    <row r="278" spans="1:18" x14ac:dyDescent="0.25">
      <c r="A278" s="34" t="s">
        <v>113</v>
      </c>
      <c r="B278" s="34" t="s">
        <v>119</v>
      </c>
      <c r="C278" t="s">
        <v>43</v>
      </c>
      <c r="D278" s="34" t="s">
        <v>173</v>
      </c>
      <c r="E278" s="34">
        <v>66552</v>
      </c>
      <c r="F278" s="34" t="s">
        <v>176</v>
      </c>
      <c r="G278" s="34" t="s">
        <v>35</v>
      </c>
      <c r="H278" s="34" t="s">
        <v>112</v>
      </c>
      <c r="I278" s="35"/>
      <c r="J278" s="34">
        <v>28946324</v>
      </c>
      <c r="K278" s="34" t="s">
        <v>121</v>
      </c>
      <c r="L278" s="34" t="str">
        <f>_xlfn.XLOOKUP(Tabla2__2[[#This Row],[CODIGO RUTA]],'DATA INFORME'!I:I,'DATA INFORME'!K:K)</f>
        <v>NO</v>
      </c>
      <c r="M278" s="34" t="str">
        <f>IF(Tabla2__2[[#This Row],[MYSTERY EFECTIVO]]="SI",_xlfn.XLOOKUP(Tabla2__2[[#This Row],[PREGUNTA]],ENCUESTA!G:G,ENCUESTA!D:D),"N/A")</f>
        <v>N/A</v>
      </c>
      <c r="N27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8" s="34" t="str">
        <f>_xlfn.XLOOKUP(Tabla2__2[[#This Row],[PREGUNTA]],ENCUESTA!G:G,ENCUESTA!H:H)</f>
        <v>SI</v>
      </c>
      <c r="P278" s="34">
        <f>IF(Tabla2__2[[#This Row],[RTA]]=Tabla2__2[[#This Row],[RTA CORRECTA]],Tabla2__2[[#This Row],[TOTAL PUNTAJE]],0)</f>
        <v>0</v>
      </c>
      <c r="Q278" s="34">
        <f>IF(OR(H278="Dog Chow húmedo",H278="Cat Chow húmedo",H278="Fancy Feast",H278="Felix",H278="Proplan húmedo",H278="One húmedo",H278="Snack Abrazzos",H278="Snak Dentalife",H278="Arenilla Tidy Cat"),N278,0)</f>
        <v>0</v>
      </c>
      <c r="R278" s="34"/>
    </row>
    <row r="279" spans="1:18" x14ac:dyDescent="0.25">
      <c r="A279" s="34" t="s">
        <v>113</v>
      </c>
      <c r="B279" s="34" t="s">
        <v>119</v>
      </c>
      <c r="C279" t="s">
        <v>43</v>
      </c>
      <c r="D279" s="34" t="s">
        <v>173</v>
      </c>
      <c r="E279" s="34">
        <v>66552</v>
      </c>
      <c r="F279" s="34" t="s">
        <v>176</v>
      </c>
      <c r="G279" s="34" t="s">
        <v>90</v>
      </c>
      <c r="H279" s="34" t="s">
        <v>112</v>
      </c>
      <c r="I279" s="35"/>
      <c r="J279" s="34">
        <v>28946324</v>
      </c>
      <c r="K279" s="34" t="s">
        <v>121</v>
      </c>
      <c r="L279" s="34" t="str">
        <f>_xlfn.XLOOKUP(Tabla2__2[[#This Row],[CODIGO RUTA]],'DATA INFORME'!I:I,'DATA INFORME'!K:K)</f>
        <v>NO</v>
      </c>
      <c r="M279" s="34" t="str">
        <f>IF(Tabla2__2[[#This Row],[MYSTERY EFECTIVO]]="SI",_xlfn.XLOOKUP(Tabla2__2[[#This Row],[PREGUNTA]],ENCUESTA!G:G,ENCUESTA!D:D),"N/A")</f>
        <v>N/A</v>
      </c>
      <c r="N27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9" s="34" t="str">
        <f>_xlfn.XLOOKUP(Tabla2__2[[#This Row],[PREGUNTA]],ENCUESTA!G:G,ENCUESTA!H:H)</f>
        <v>SI</v>
      </c>
      <c r="P279" s="34">
        <f>IF(Tabla2__2[[#This Row],[RTA]]=Tabla2__2[[#This Row],[RTA CORRECTA]],Tabla2__2[[#This Row],[TOTAL PUNTAJE]],0)</f>
        <v>0</v>
      </c>
      <c r="Q279" s="34">
        <f>IF(OR(H279="Dog Chow húmedo",H279="Cat Chow húmedo",H279="Fancy Feast",H279="Felix",H279="Proplan húmedo",H279="One húmedo",H279="Snack Abrazzos",H279="Snak Dentalife",H279="Arenilla Tidy Cat"),N279,0)</f>
        <v>0</v>
      </c>
      <c r="R279" s="34"/>
    </row>
    <row r="280" spans="1:18" x14ac:dyDescent="0.25">
      <c r="A280" s="34" t="s">
        <v>113</v>
      </c>
      <c r="B280" s="34" t="s">
        <v>119</v>
      </c>
      <c r="C280" t="s">
        <v>43</v>
      </c>
      <c r="D280" s="34" t="s">
        <v>173</v>
      </c>
      <c r="E280" s="34">
        <v>66552</v>
      </c>
      <c r="F280" s="34" t="s">
        <v>176</v>
      </c>
      <c r="G280" s="34" t="s">
        <v>89</v>
      </c>
      <c r="H280" s="34" t="s">
        <v>112</v>
      </c>
      <c r="I280" s="35"/>
      <c r="J280" s="34">
        <v>28946324</v>
      </c>
      <c r="K280" s="34" t="s">
        <v>121</v>
      </c>
      <c r="L280" s="34" t="str">
        <f>_xlfn.XLOOKUP(Tabla2__2[[#This Row],[CODIGO RUTA]],'DATA INFORME'!I:I,'DATA INFORME'!K:K)</f>
        <v>NO</v>
      </c>
      <c r="M280" s="34" t="str">
        <f>IF(Tabla2__2[[#This Row],[MYSTERY EFECTIVO]]="SI",_xlfn.XLOOKUP(Tabla2__2[[#This Row],[PREGUNTA]],ENCUESTA!G:G,ENCUESTA!D:D),"N/A")</f>
        <v>N/A</v>
      </c>
      <c r="N28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0" s="34" t="str">
        <f>_xlfn.XLOOKUP(Tabla2__2[[#This Row],[PREGUNTA]],ENCUESTA!G:G,ENCUESTA!H:H)</f>
        <v>SI</v>
      </c>
      <c r="P280" s="34">
        <f>IF(Tabla2__2[[#This Row],[RTA]]=Tabla2__2[[#This Row],[RTA CORRECTA]],Tabla2__2[[#This Row],[TOTAL PUNTAJE]],0)</f>
        <v>0</v>
      </c>
      <c r="Q280" s="34">
        <f>IF(OR(H280="Dog Chow húmedo",H280="Cat Chow húmedo",H280="Fancy Feast",H280="Felix",H280="Proplan húmedo",H280="One húmedo",H280="Snack Abrazzos",H280="Snak Dentalife",H280="Arenilla Tidy Cat"),N280,0)</f>
        <v>0</v>
      </c>
      <c r="R280" s="34"/>
    </row>
    <row r="281" spans="1:18" x14ac:dyDescent="0.25">
      <c r="A281" s="34" t="s">
        <v>113</v>
      </c>
      <c r="B281" s="34" t="s">
        <v>119</v>
      </c>
      <c r="C281" t="s">
        <v>43</v>
      </c>
      <c r="D281" s="34" t="s">
        <v>173</v>
      </c>
      <c r="E281" s="34">
        <v>66552</v>
      </c>
      <c r="F281" s="34" t="s">
        <v>176</v>
      </c>
      <c r="G281" s="34" t="s">
        <v>88</v>
      </c>
      <c r="H281" s="34" t="s">
        <v>112</v>
      </c>
      <c r="I281" s="35"/>
      <c r="J281" s="34">
        <v>28946324</v>
      </c>
      <c r="K281" s="34" t="s">
        <v>121</v>
      </c>
      <c r="L281" s="34" t="str">
        <f>_xlfn.XLOOKUP(Tabla2__2[[#This Row],[CODIGO RUTA]],'DATA INFORME'!I:I,'DATA INFORME'!K:K)</f>
        <v>NO</v>
      </c>
      <c r="M281" s="34" t="str">
        <f>IF(Tabla2__2[[#This Row],[MYSTERY EFECTIVO]]="SI",_xlfn.XLOOKUP(Tabla2__2[[#This Row],[PREGUNTA]],ENCUESTA!G:G,ENCUESTA!D:D),"N/A")</f>
        <v>N/A</v>
      </c>
      <c r="N28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1" s="34" t="str">
        <f>_xlfn.XLOOKUP(Tabla2__2[[#This Row],[PREGUNTA]],ENCUESTA!G:G,ENCUESTA!H:H)</f>
        <v>SI</v>
      </c>
      <c r="P281" s="34">
        <f>IF(Tabla2__2[[#This Row],[RTA]]=Tabla2__2[[#This Row],[RTA CORRECTA]],Tabla2__2[[#This Row],[TOTAL PUNTAJE]],0)</f>
        <v>0</v>
      </c>
      <c r="Q281" s="34">
        <f>IF(OR(H281="Dog Chow húmedo",H281="Cat Chow húmedo",H281="Fancy Feast",H281="Felix",H281="Proplan húmedo",H281="One húmedo",H281="Snack Abrazzos",H281="Snak Dentalife",H281="Arenilla Tidy Cat"),N281,0)</f>
        <v>0</v>
      </c>
      <c r="R281" s="34"/>
    </row>
    <row r="282" spans="1:18" x14ac:dyDescent="0.25">
      <c r="A282" s="34" t="s">
        <v>113</v>
      </c>
      <c r="B282" s="34" t="s">
        <v>119</v>
      </c>
      <c r="C282" t="s">
        <v>43</v>
      </c>
      <c r="D282" s="34" t="s">
        <v>173</v>
      </c>
      <c r="E282" s="34">
        <v>66552</v>
      </c>
      <c r="F282" s="34" t="s">
        <v>176</v>
      </c>
      <c r="G282" s="34" t="s">
        <v>87</v>
      </c>
      <c r="H282" s="34" t="s">
        <v>112</v>
      </c>
      <c r="I282" s="35"/>
      <c r="J282" s="34">
        <v>28946324</v>
      </c>
      <c r="K282" s="34" t="s">
        <v>121</v>
      </c>
      <c r="L282" s="34" t="str">
        <f>_xlfn.XLOOKUP(Tabla2__2[[#This Row],[CODIGO RUTA]],'DATA INFORME'!I:I,'DATA INFORME'!K:K)</f>
        <v>NO</v>
      </c>
      <c r="M282" s="34" t="str">
        <f>IF(Tabla2__2[[#This Row],[MYSTERY EFECTIVO]]="SI",_xlfn.XLOOKUP(Tabla2__2[[#This Row],[PREGUNTA]],ENCUESTA!G:G,ENCUESTA!D:D),"N/A")</f>
        <v>N/A</v>
      </c>
      <c r="N282"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2" s="34">
        <f>_xlfn.XLOOKUP(Tabla2__2[[#This Row],[PREGUNTA]],ENCUESTA!G:G,ENCUESTA!H:H)</f>
        <v>0</v>
      </c>
      <c r="P282" s="34">
        <f>IF(Tabla2__2[[#This Row],[RTA]]=Tabla2__2[[#This Row],[RTA CORRECTA]],Tabla2__2[[#This Row],[TOTAL PUNTAJE]],0)</f>
        <v>0</v>
      </c>
      <c r="Q282" s="34">
        <f>IF(OR(H282="Dog Chow húmedo",H282="Cat Chow húmedo",H282="Fancy Feast",H282="Felix",H282="Proplan húmedo",H282="One húmedo",H282="Snack Abrazzos",H282="Snak Dentalife",H282="Arenilla Tidy Cat"),N282,0)</f>
        <v>0</v>
      </c>
      <c r="R282" s="34"/>
    </row>
    <row r="283" spans="1:18" x14ac:dyDescent="0.25">
      <c r="A283" s="34" t="s">
        <v>113</v>
      </c>
      <c r="B283" s="34" t="s">
        <v>8</v>
      </c>
      <c r="C283" t="s">
        <v>43</v>
      </c>
      <c r="D283" s="34" t="s">
        <v>132</v>
      </c>
      <c r="E283" s="34">
        <v>355912</v>
      </c>
      <c r="F283" s="34" t="s">
        <v>167</v>
      </c>
      <c r="G283" s="34" t="s">
        <v>107</v>
      </c>
      <c r="H283" s="34" t="s">
        <v>172</v>
      </c>
      <c r="I283" s="35"/>
      <c r="J283" s="34">
        <v>28943799</v>
      </c>
      <c r="K283" s="34" t="s">
        <v>164</v>
      </c>
      <c r="L283" s="34" t="str">
        <f>_xlfn.XLOOKUP(Tabla2__2[[#This Row],[CODIGO RUTA]],'DATA INFORME'!I:I,'DATA INFORME'!K:K)</f>
        <v>SI</v>
      </c>
      <c r="M283" s="34" t="str">
        <f>IF(Tabla2__2[[#This Row],[MYSTERY EFECTIVO]]="SI",_xlfn.XLOOKUP(Tabla2__2[[#This Row],[PREGUNTA]],ENCUESTA!G:G,ENCUESTA!D:D),"N/A")</f>
        <v>N/A</v>
      </c>
      <c r="N283"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3" s="34">
        <f>_xlfn.XLOOKUP(Tabla2__2[[#This Row],[PREGUNTA]],ENCUESTA!G:G,ENCUESTA!H:H)</f>
        <v>0</v>
      </c>
      <c r="P283" s="34">
        <f>IF(Tabla2__2[[#This Row],[RTA]]=Tabla2__2[[#This Row],[RTA CORRECTA]],Tabla2__2[[#This Row],[TOTAL PUNTAJE]],0)</f>
        <v>0</v>
      </c>
      <c r="Q283" s="34">
        <f>IF(OR(H283="Dog Chow húmedo",H283="Cat Chow húmedo",H283="Fancy Feast",H283="Felix",H283="Proplan húmedo",H283="One húmedo",H283="Snack Abrazzos",H283="Snak Dentalife",H283="Arenilla Tidy Cat"),N283,0)</f>
        <v>0</v>
      </c>
      <c r="R283" s="34"/>
    </row>
    <row r="284" spans="1:18" x14ac:dyDescent="0.25">
      <c r="A284" s="34" t="s">
        <v>113</v>
      </c>
      <c r="B284" s="34" t="s">
        <v>8</v>
      </c>
      <c r="C284" t="s">
        <v>43</v>
      </c>
      <c r="D284" s="34" t="s">
        <v>132</v>
      </c>
      <c r="E284" s="34">
        <v>355912</v>
      </c>
      <c r="F284" s="34" t="s">
        <v>167</v>
      </c>
      <c r="G284" s="34" t="s">
        <v>106</v>
      </c>
      <c r="H284" s="34" t="s">
        <v>20</v>
      </c>
      <c r="I284" s="35"/>
      <c r="J284" s="34">
        <v>28943799</v>
      </c>
      <c r="K284" s="34" t="s">
        <v>164</v>
      </c>
      <c r="L284" s="34" t="str">
        <f>_xlfn.XLOOKUP(Tabla2__2[[#This Row],[CODIGO RUTA]],'DATA INFORME'!I:I,'DATA INFORME'!K:K)</f>
        <v>SI</v>
      </c>
      <c r="M284" s="34" t="str">
        <f>IF(Tabla2__2[[#This Row],[MYSTERY EFECTIVO]]="SI",_xlfn.XLOOKUP(Tabla2__2[[#This Row],[PREGUNTA]],ENCUESTA!G:G,ENCUESTA!D:D),"N/A")</f>
        <v>N/A</v>
      </c>
      <c r="N284"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4" s="34">
        <f>_xlfn.XLOOKUP(Tabla2__2[[#This Row],[PREGUNTA]],ENCUESTA!G:G,ENCUESTA!H:H)</f>
        <v>0</v>
      </c>
      <c r="P284" s="34">
        <f>IF(Tabla2__2[[#This Row],[RTA]]=Tabla2__2[[#This Row],[RTA CORRECTA]],Tabla2__2[[#This Row],[TOTAL PUNTAJE]],0)</f>
        <v>0</v>
      </c>
      <c r="Q284" s="34">
        <f>IF(OR(H284="Dog Chow húmedo",H284="Cat Chow húmedo",H284="Fancy Feast",H284="Felix",H284="Proplan húmedo",H284="One húmedo",H284="Snack Abrazzos",H284="Snak Dentalife",H284="Arenilla Tidy Cat"),N284,0)</f>
        <v>0</v>
      </c>
      <c r="R284" s="34"/>
    </row>
    <row r="285" spans="1:18" x14ac:dyDescent="0.25">
      <c r="A285" s="34" t="s">
        <v>113</v>
      </c>
      <c r="B285" s="34" t="s">
        <v>8</v>
      </c>
      <c r="C285" t="s">
        <v>43</v>
      </c>
      <c r="D285" s="34" t="s">
        <v>132</v>
      </c>
      <c r="E285" s="34">
        <v>355912</v>
      </c>
      <c r="F285" s="34" t="s">
        <v>167</v>
      </c>
      <c r="G285" s="34" t="s">
        <v>130</v>
      </c>
      <c r="H285" s="34" t="s">
        <v>20</v>
      </c>
      <c r="I285" s="35"/>
      <c r="J285" s="34">
        <v>28943799</v>
      </c>
      <c r="K285" s="34" t="s">
        <v>164</v>
      </c>
      <c r="L285" s="34" t="str">
        <f>_xlfn.XLOOKUP(Tabla2__2[[#This Row],[CODIGO RUTA]],'DATA INFORME'!I:I,'DATA INFORME'!K:K)</f>
        <v>SI</v>
      </c>
      <c r="M285" s="34" t="str">
        <f>IF(Tabla2__2[[#This Row],[MYSTERY EFECTIVO]]="SI",_xlfn.XLOOKUP(Tabla2__2[[#This Row],[PREGUNTA]],ENCUESTA!G:G,ENCUESTA!D:D),"N/A")</f>
        <v>ACTIVIDADES DEL MES</v>
      </c>
      <c r="N285"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40</v>
      </c>
      <c r="O285" s="34" t="str">
        <f>_xlfn.XLOOKUP(Tabla2__2[[#This Row],[PREGUNTA]],ENCUESTA!G:G,ENCUESTA!H:H)</f>
        <v>SI</v>
      </c>
      <c r="P285" s="34">
        <f>IF(Tabla2__2[[#This Row],[RTA]]=Tabla2__2[[#This Row],[RTA CORRECTA]],Tabla2__2[[#This Row],[TOTAL PUNTAJE]],0)</f>
        <v>40</v>
      </c>
      <c r="Q285" s="34">
        <f>IF(OR(H285="Dog Chow húmedo",H285="Cat Chow húmedo",H285="Fancy Feast",H285="Felix",H285="Proplan húmedo",H285="One húmedo",H285="Snack Abrazzos",H285="Snak Dentalife",H285="Arenilla Tidy Cat"),N285,0)</f>
        <v>0</v>
      </c>
      <c r="R285" s="34"/>
    </row>
    <row r="286" spans="1:18" x14ac:dyDescent="0.25">
      <c r="A286" s="34" t="s">
        <v>113</v>
      </c>
      <c r="B286" s="34" t="s">
        <v>8</v>
      </c>
      <c r="C286" t="s">
        <v>43</v>
      </c>
      <c r="D286" s="34" t="s">
        <v>132</v>
      </c>
      <c r="E286" s="34">
        <v>355912</v>
      </c>
      <c r="F286" s="34" t="s">
        <v>167</v>
      </c>
      <c r="G286" s="34" t="s">
        <v>105</v>
      </c>
      <c r="H286" s="34" t="s">
        <v>117</v>
      </c>
      <c r="I286" s="35"/>
      <c r="J286" s="34">
        <v>28943799</v>
      </c>
      <c r="K286" s="34" t="s">
        <v>164</v>
      </c>
      <c r="L286" s="34" t="str">
        <f>_xlfn.XLOOKUP(Tabla2__2[[#This Row],[CODIGO RUTA]],'DATA INFORME'!I:I,'DATA INFORME'!K:K)</f>
        <v>SI</v>
      </c>
      <c r="M286" s="34" t="str">
        <f>IF(Tabla2__2[[#This Row],[MYSTERY EFECTIVO]]="SI",_xlfn.XLOOKUP(Tabla2__2[[#This Row],[PREGUNTA]],ENCUESTA!G:G,ENCUESTA!D:D),"N/A")</f>
        <v>N/A</v>
      </c>
      <c r="N286"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6" s="34">
        <f>_xlfn.XLOOKUP(Tabla2__2[[#This Row],[PREGUNTA]],ENCUESTA!G:G,ENCUESTA!H:H)</f>
        <v>0</v>
      </c>
      <c r="P286" s="34">
        <f>IF(Tabla2__2[[#This Row],[RTA]]=Tabla2__2[[#This Row],[RTA CORRECTA]],Tabla2__2[[#This Row],[TOTAL PUNTAJE]],0)</f>
        <v>0</v>
      </c>
      <c r="Q286" s="34">
        <f>IF(OR(H286="Dog Chow húmedo",H286="Cat Chow húmedo",H286="Fancy Feast",H286="Felix",H286="Proplan húmedo",H286="One húmedo",H286="Snack Abrazzos",H286="Snak Dentalife",H286="Arenilla Tidy Cat"),N286,0)</f>
        <v>0</v>
      </c>
      <c r="R286" s="34"/>
    </row>
    <row r="287" spans="1:18" x14ac:dyDescent="0.25">
      <c r="A287" s="34" t="s">
        <v>113</v>
      </c>
      <c r="B287" s="34" t="s">
        <v>8</v>
      </c>
      <c r="C287" t="s">
        <v>43</v>
      </c>
      <c r="D287" s="34" t="s">
        <v>132</v>
      </c>
      <c r="E287" s="34">
        <v>355912</v>
      </c>
      <c r="F287" s="34" t="s">
        <v>167</v>
      </c>
      <c r="G287" s="34" t="s">
        <v>125</v>
      </c>
      <c r="H287" s="34" t="s">
        <v>20</v>
      </c>
      <c r="I287" s="35"/>
      <c r="J287" s="34">
        <v>28943799</v>
      </c>
      <c r="K287" s="34" t="s">
        <v>164</v>
      </c>
      <c r="L287" s="34" t="str">
        <f>_xlfn.XLOOKUP(Tabla2__2[[#This Row],[CODIGO RUTA]],'DATA INFORME'!I:I,'DATA INFORME'!K:K)</f>
        <v>SI</v>
      </c>
      <c r="M287" s="34" t="str">
        <f>IF(Tabla2__2[[#This Row],[MYSTERY EFECTIVO]]="SI",_xlfn.XLOOKUP(Tabla2__2[[#This Row],[PREGUNTA]],ENCUESTA!G:G,ENCUESTA!D:D),"N/A")</f>
        <v>EJECUCIÓN DEL PDV</v>
      </c>
      <c r="N287"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87" s="34" t="str">
        <f>_xlfn.XLOOKUP(Tabla2__2[[#This Row],[PREGUNTA]],ENCUESTA!G:G,ENCUESTA!H:H)</f>
        <v>SI</v>
      </c>
      <c r="P287" s="34">
        <f>IF(Tabla2__2[[#This Row],[RTA]]=Tabla2__2[[#This Row],[RTA CORRECTA]],Tabla2__2[[#This Row],[TOTAL PUNTAJE]],0)</f>
        <v>3.75</v>
      </c>
      <c r="Q287" s="34">
        <f>IF(OR(H287="Dog Chow húmedo",H287="Cat Chow húmedo",H287="Fancy Feast",H287="Felix",H287="Proplan húmedo",H287="One húmedo",H287="Snack Abrazzos",H287="Snak Dentalife",H287="Arenilla Tidy Cat"),N287,0)</f>
        <v>0</v>
      </c>
      <c r="R287" s="34"/>
    </row>
    <row r="288" spans="1:18" x14ac:dyDescent="0.25">
      <c r="A288" s="34" t="s">
        <v>113</v>
      </c>
      <c r="B288" s="34" t="s">
        <v>8</v>
      </c>
      <c r="C288" t="s">
        <v>43</v>
      </c>
      <c r="D288" s="34" t="s">
        <v>132</v>
      </c>
      <c r="E288" s="34">
        <v>355912</v>
      </c>
      <c r="F288" s="34" t="s">
        <v>167</v>
      </c>
      <c r="G288" s="34" t="s">
        <v>104</v>
      </c>
      <c r="H288" s="34" t="s">
        <v>20</v>
      </c>
      <c r="I288" s="35"/>
      <c r="J288" s="34">
        <v>28943799</v>
      </c>
      <c r="K288" s="34" t="s">
        <v>164</v>
      </c>
      <c r="L288" s="34" t="str">
        <f>_xlfn.XLOOKUP(Tabla2__2[[#This Row],[CODIGO RUTA]],'DATA INFORME'!I:I,'DATA INFORME'!K:K)</f>
        <v>SI</v>
      </c>
      <c r="M288" s="34" t="str">
        <f>IF(Tabla2__2[[#This Row],[MYSTERY EFECTIVO]]="SI",_xlfn.XLOOKUP(Tabla2__2[[#This Row],[PREGUNTA]],ENCUESTA!G:G,ENCUESTA!D:D),"N/A")</f>
        <v>EJECUCIÓN DEL PDV</v>
      </c>
      <c r="N288"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88" s="34" t="str">
        <f>_xlfn.XLOOKUP(Tabla2__2[[#This Row],[PREGUNTA]],ENCUESTA!G:G,ENCUESTA!H:H)</f>
        <v>SI</v>
      </c>
      <c r="P288" s="34">
        <f>IF(Tabla2__2[[#This Row],[RTA]]=Tabla2__2[[#This Row],[RTA CORRECTA]],Tabla2__2[[#This Row],[TOTAL PUNTAJE]],0)</f>
        <v>3.75</v>
      </c>
      <c r="Q288" s="34">
        <f>IF(OR(H288="Dog Chow húmedo",H288="Cat Chow húmedo",H288="Fancy Feast",H288="Felix",H288="Proplan húmedo",H288="One húmedo",H288="Snack Abrazzos",H288="Snak Dentalife",H288="Arenilla Tidy Cat"),N288,0)</f>
        <v>0</v>
      </c>
      <c r="R288" s="34"/>
    </row>
    <row r="289" spans="1:18" x14ac:dyDescent="0.25">
      <c r="A289" s="34" t="s">
        <v>113</v>
      </c>
      <c r="B289" s="34" t="s">
        <v>8</v>
      </c>
      <c r="C289" t="s">
        <v>43</v>
      </c>
      <c r="D289" s="34" t="s">
        <v>132</v>
      </c>
      <c r="E289" s="34">
        <v>355912</v>
      </c>
      <c r="F289" s="34" t="s">
        <v>167</v>
      </c>
      <c r="G289" s="34" t="s">
        <v>103</v>
      </c>
      <c r="H289" s="34" t="s">
        <v>20</v>
      </c>
      <c r="I289" s="35"/>
      <c r="J289" s="34">
        <v>28943799</v>
      </c>
      <c r="K289" s="34" t="s">
        <v>164</v>
      </c>
      <c r="L289" s="34" t="str">
        <f>_xlfn.XLOOKUP(Tabla2__2[[#This Row],[CODIGO RUTA]],'DATA INFORME'!I:I,'DATA INFORME'!K:K)</f>
        <v>SI</v>
      </c>
      <c r="M289" s="34" t="str">
        <f>IF(Tabla2__2[[#This Row],[MYSTERY EFECTIVO]]="SI",_xlfn.XLOOKUP(Tabla2__2[[#This Row],[PREGUNTA]],ENCUESTA!G:G,ENCUESTA!D:D),"N/A")</f>
        <v>EJECUCIÓN DEL PDV</v>
      </c>
      <c r="N289"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89" s="34" t="str">
        <f>_xlfn.XLOOKUP(Tabla2__2[[#This Row],[PREGUNTA]],ENCUESTA!G:G,ENCUESTA!H:H)</f>
        <v>SI</v>
      </c>
      <c r="P289" s="34">
        <f>IF(Tabla2__2[[#This Row],[RTA]]=Tabla2__2[[#This Row],[RTA CORRECTA]],Tabla2__2[[#This Row],[TOTAL PUNTAJE]],0)</f>
        <v>3.75</v>
      </c>
      <c r="Q289" s="34">
        <f>IF(OR(H289="Dog Chow húmedo",H289="Cat Chow húmedo",H289="Fancy Feast",H289="Felix",H289="Proplan húmedo",H289="One húmedo",H289="Snack Abrazzos",H289="Snak Dentalife",H289="Arenilla Tidy Cat"),N289,0)</f>
        <v>0</v>
      </c>
      <c r="R289" s="34"/>
    </row>
    <row r="290" spans="1:18" x14ac:dyDescent="0.25">
      <c r="A290" s="34" t="s">
        <v>113</v>
      </c>
      <c r="B290" s="34" t="s">
        <v>8</v>
      </c>
      <c r="C290" t="s">
        <v>15</v>
      </c>
      <c r="D290" s="34" t="s">
        <v>132</v>
      </c>
      <c r="E290" s="34">
        <v>382375</v>
      </c>
      <c r="F290" s="34" t="s">
        <v>158</v>
      </c>
      <c r="G290" s="34" t="s">
        <v>127</v>
      </c>
      <c r="H290" s="34" t="s">
        <v>20</v>
      </c>
      <c r="I290" s="35"/>
      <c r="J290" s="34">
        <v>28907521</v>
      </c>
      <c r="K290" s="34" t="s">
        <v>164</v>
      </c>
      <c r="L290" s="34" t="str">
        <f>_xlfn.XLOOKUP(Tabla2__2[[#This Row],[CODIGO RUTA]],'DATA INFORME'!I:I,'DATA INFORME'!K:K)</f>
        <v>SI</v>
      </c>
      <c r="M290" s="34" t="str">
        <f>IF(Tabla2__2[[#This Row],[MYSTERY EFECTIVO]]="SI",_xlfn.XLOOKUP(Tabla2__2[[#This Row],[PREGUNTA]],ENCUESTA!G:G,ENCUESTA!D:D),"N/A")</f>
        <v>ACTIVIDADES DEL MES</v>
      </c>
      <c r="N290"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90" s="34" t="str">
        <f>_xlfn.XLOOKUP(Tabla2__2[[#This Row],[PREGUNTA]],ENCUESTA!G:G,ENCUESTA!H:H)</f>
        <v>SI</v>
      </c>
      <c r="P290" s="34">
        <f>IF(Tabla2__2[[#This Row],[RTA]]=Tabla2__2[[#This Row],[RTA CORRECTA]],Tabla2__2[[#This Row],[TOTAL PUNTAJE]],0)</f>
        <v>20</v>
      </c>
      <c r="Q290" s="34">
        <f>IF(OR(H290="Dog Chow húmedo",H290="Cat Chow húmedo",H290="Fancy Feast",H290="Felix",H290="Proplan húmedo",H290="One húmedo",H290="Snack Abrazzos",H290="Snak Dentalife",H290="Arenilla Tidy Cat"),N290,0)</f>
        <v>0</v>
      </c>
      <c r="R290" s="34"/>
    </row>
    <row r="291" spans="1:18" x14ac:dyDescent="0.25">
      <c r="A291" s="34" t="s">
        <v>113</v>
      </c>
      <c r="B291" s="34" t="s">
        <v>135</v>
      </c>
      <c r="C291" t="s">
        <v>43</v>
      </c>
      <c r="D291" s="34" t="s">
        <v>136</v>
      </c>
      <c r="E291" s="34">
        <v>110508</v>
      </c>
      <c r="F291" s="34" t="s">
        <v>274</v>
      </c>
      <c r="G291" s="34" t="s">
        <v>106</v>
      </c>
      <c r="H291" s="34" t="s">
        <v>112</v>
      </c>
      <c r="I291" s="35"/>
      <c r="J291" s="34">
        <v>29016530</v>
      </c>
      <c r="K291" s="34" t="s">
        <v>139</v>
      </c>
      <c r="L291" s="34" t="str">
        <f>_xlfn.XLOOKUP(Tabla2__2[[#This Row],[CODIGO RUTA]],'DATA INFORME'!I:I,'DATA INFORME'!K:K)</f>
        <v>SI</v>
      </c>
      <c r="M291" s="34" t="str">
        <f>IF(Tabla2__2[[#This Row],[MYSTERY EFECTIVO]]="SI",_xlfn.XLOOKUP(Tabla2__2[[#This Row],[PREGUNTA]],ENCUESTA!G:G,ENCUESTA!D:D),"N/A")</f>
        <v>N/A</v>
      </c>
      <c r="N291" s="34">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1" s="34">
        <f>_xlfn.XLOOKUP(Tabla2__2[[#This Row],[PREGUNTA]],ENCUESTA!G:G,ENCUESTA!H:H)</f>
        <v>0</v>
      </c>
      <c r="P291" s="34">
        <f>IF(Tabla2__2[[#This Row],[RTA]]=Tabla2__2[[#This Row],[RTA CORRECTA]],Tabla2__2[[#This Row],[TOTAL PUNTAJE]],0)</f>
        <v>0</v>
      </c>
      <c r="Q291" s="34">
        <f>IF(OR(H291="Dog Chow húmedo",H291="Cat Chow húmedo",H291="Fancy Feast",H291="Felix",H291="Proplan húmedo",H291="One húmedo",H291="Snack Abrazzos",H291="Snak Dentalife",H291="Arenilla Tidy Cat"),N291,0)</f>
        <v>0</v>
      </c>
      <c r="R291" s="34"/>
    </row>
    <row r="292" spans="1:18" x14ac:dyDescent="0.25">
      <c r="A292" s="34"/>
      <c r="B292" s="34"/>
      <c r="C292" s="34"/>
      <c r="D292" s="34"/>
      <c r="E292" s="34"/>
      <c r="F292" s="34"/>
      <c r="G292" s="34"/>
      <c r="H292" s="35"/>
      <c r="I292" s="34"/>
      <c r="J292" s="34"/>
      <c r="K292" s="34"/>
      <c r="L292" s="34"/>
      <c r="M292" s="34"/>
      <c r="N292" s="34"/>
      <c r="O292" s="34"/>
      <c r="P292" s="34"/>
      <c r="Q292" s="34"/>
    </row>
    <row r="479" spans="18:18" x14ac:dyDescent="0.25">
      <c r="R479" s="34"/>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78B-F304-431E-B383-B38CC465224C}">
  <sheetPr codeName="Hoja4"/>
  <dimension ref="A1:I24"/>
  <sheetViews>
    <sheetView showGridLines="0" zoomScaleNormal="100" workbookViewId="0"/>
  </sheetViews>
  <sheetFormatPr baseColWidth="10" defaultColWidth="21.42578125" defaultRowHeight="15" x14ac:dyDescent="0.25"/>
  <cols>
    <col min="1" max="1" width="16.140625" style="81" customWidth="1"/>
    <col min="2" max="2" width="14.140625" style="81" customWidth="1"/>
    <col min="3" max="3" width="0" style="74" hidden="1" customWidth="1"/>
    <col min="4" max="4" width="32.42578125" style="75" customWidth="1"/>
    <col min="5" max="5" width="21.42578125" style="81"/>
  </cols>
  <sheetData>
    <row r="1" spans="1:9" x14ac:dyDescent="0.25">
      <c r="A1" s="49" t="s">
        <v>22</v>
      </c>
      <c r="B1" s="49" t="s">
        <v>1</v>
      </c>
      <c r="C1" s="49" t="s">
        <v>26</v>
      </c>
      <c r="D1" s="49" t="s">
        <v>23</v>
      </c>
      <c r="E1" s="50" t="s">
        <v>38</v>
      </c>
      <c r="F1" s="51" t="s">
        <v>39</v>
      </c>
      <c r="G1" s="51" t="s">
        <v>40</v>
      </c>
      <c r="H1" s="51" t="s">
        <v>41</v>
      </c>
      <c r="I1" s="52" t="s">
        <v>42</v>
      </c>
    </row>
    <row r="2" spans="1:9" s="57" customFormat="1" x14ac:dyDescent="0.25">
      <c r="A2" s="41" t="str">
        <f>_xlfn.XLOOKUP(Tabla1[[#This Row],[CODIGO PDV]],Export!H:H,Export!D:D,0)</f>
        <v>TRADICIONAL</v>
      </c>
      <c r="B2" s="41" t="s">
        <v>135</v>
      </c>
      <c r="C2" s="41">
        <v>110508</v>
      </c>
      <c r="D2" s="3" t="s">
        <v>274</v>
      </c>
      <c r="E2" s="53">
        <v>1</v>
      </c>
      <c r="F2" s="54">
        <v>1</v>
      </c>
      <c r="G2" s="54">
        <f>IF(COUNTIFS(Export!I:I,Tabla1[[#This Row],[CODIGO PDV]])&gt;0,1,0)</f>
        <v>1</v>
      </c>
      <c r="H2" s="55">
        <f>COUNTIFS('DATA INFORME'!D:D,Tabla1[[#This Row],[CODIGO PDV]])</f>
        <v>1</v>
      </c>
      <c r="I2" s="56">
        <f>COUNTIFS('DATA INFORME'!D:D,Tabla1[[#This Row],[CODIGO PDV]],'DATA INFORME'!K:K,"SI")</f>
        <v>1</v>
      </c>
    </row>
    <row r="3" spans="1:9" x14ac:dyDescent="0.25">
      <c r="A3" s="41" t="str">
        <f>_xlfn.XLOOKUP(Tabla1[[#This Row],[CODIGO PDV]],Export!H:H,Export!D:D,0)</f>
        <v>ESPECIALIZADO</v>
      </c>
      <c r="B3" s="41" t="s">
        <v>135</v>
      </c>
      <c r="C3" s="41">
        <v>191457</v>
      </c>
      <c r="D3" s="3" t="s">
        <v>210</v>
      </c>
      <c r="E3" s="55">
        <v>1</v>
      </c>
      <c r="F3" s="54">
        <v>1</v>
      </c>
      <c r="G3" s="54">
        <f>IF(COUNTIFS(Export!I:I,Tabla1[[#This Row],[CODIGO PDV]])&gt;0,1,0)</f>
        <v>1</v>
      </c>
      <c r="H3" s="55">
        <f>COUNTIFS('DATA INFORME'!D:D,Tabla1[[#This Row],[CODIGO PDV]])</f>
        <v>1</v>
      </c>
      <c r="I3" s="56">
        <f>COUNTIFS('DATA INFORME'!D:D,Tabla1[[#This Row],[CODIGO PDV]],'DATA INFORME'!K:K,"SI")</f>
        <v>1</v>
      </c>
    </row>
    <row r="4" spans="1:9" x14ac:dyDescent="0.25">
      <c r="A4" s="41" t="str">
        <f>_xlfn.XLOOKUP(Tabla1[[#This Row],[CODIGO PDV]],Export!H:H,Export!D:D,0)</f>
        <v>TRADICIONAL</v>
      </c>
      <c r="B4" s="41" t="s">
        <v>135</v>
      </c>
      <c r="C4" s="41">
        <v>65453</v>
      </c>
      <c r="D4" s="3" t="s">
        <v>182</v>
      </c>
      <c r="E4" s="53">
        <v>1</v>
      </c>
      <c r="F4" s="54">
        <v>1</v>
      </c>
      <c r="G4" s="54">
        <f>IF(COUNTIFS(Export!I:I,Tabla1[[#This Row],[CODIGO PDV]])&gt;0,1,0)</f>
        <v>1</v>
      </c>
      <c r="H4" s="55">
        <f>COUNTIFS('DATA INFORME'!D:D,Tabla1[[#This Row],[CODIGO PDV]])</f>
        <v>1</v>
      </c>
      <c r="I4" s="56">
        <f>COUNTIFS('DATA INFORME'!D:D,Tabla1[[#This Row],[CODIGO PDV]],'DATA INFORME'!K:K,"SI")</f>
        <v>1</v>
      </c>
    </row>
    <row r="5" spans="1:9" x14ac:dyDescent="0.25">
      <c r="A5" s="41" t="str">
        <f>_xlfn.XLOOKUP(Tabla1[[#This Row],[CODIGO PDV]],Export!H:H,Export!D:D,0)</f>
        <v>TRADICIONAL</v>
      </c>
      <c r="B5" s="58" t="s">
        <v>8</v>
      </c>
      <c r="C5" s="59">
        <v>201118</v>
      </c>
      <c r="D5" s="60" t="s">
        <v>151</v>
      </c>
      <c r="E5" s="61">
        <v>1</v>
      </c>
      <c r="F5" s="62">
        <v>1</v>
      </c>
      <c r="G5" s="62">
        <f>IF(COUNTIFS(Export!I:I,Tabla1[[#This Row],[CODIGO PDV]])&gt;0,1,0)</f>
        <v>1</v>
      </c>
      <c r="H5" s="61">
        <f>COUNTIFS('DATA INFORME'!D:D,Tabla1[[#This Row],[CODIGO PDV]])</f>
        <v>1</v>
      </c>
      <c r="I5" s="63">
        <f>COUNTIFS('DATA INFORME'!D:D,Tabla1[[#This Row],[CODIGO PDV]],'DATA INFORME'!K:K,"SI")</f>
        <v>1</v>
      </c>
    </row>
    <row r="6" spans="1:9" x14ac:dyDescent="0.25">
      <c r="A6" s="41" t="str">
        <f>_xlfn.XLOOKUP(Tabla1[[#This Row],[CODIGO PDV]],Export!H:H,Export!D:D,0)</f>
        <v>TRADICIONAL</v>
      </c>
      <c r="B6" s="64" t="s">
        <v>8</v>
      </c>
      <c r="C6" s="65">
        <v>355912</v>
      </c>
      <c r="D6" s="66" t="s">
        <v>167</v>
      </c>
      <c r="E6" s="55">
        <v>1</v>
      </c>
      <c r="F6" s="54">
        <v>1</v>
      </c>
      <c r="G6" s="54">
        <f>IF(COUNTIFS(Export!I:I,Tabla1[[#This Row],[CODIGO PDV]])&gt;0,1,0)</f>
        <v>1</v>
      </c>
      <c r="H6" s="55">
        <f>COUNTIFS('DATA INFORME'!D:D,Tabla1[[#This Row],[CODIGO PDV]])</f>
        <v>1</v>
      </c>
      <c r="I6" s="56">
        <f>COUNTIFS('DATA INFORME'!D:D,Tabla1[[#This Row],[CODIGO PDV]],'DATA INFORME'!K:K,"SI")</f>
        <v>1</v>
      </c>
    </row>
    <row r="7" spans="1:9" x14ac:dyDescent="0.25">
      <c r="A7" s="41" t="str">
        <f>_xlfn.XLOOKUP(Tabla1[[#This Row],[CODIGO PDV]],Export!H:H,Export!D:D,0)</f>
        <v>MODERNO</v>
      </c>
      <c r="B7" s="64" t="s">
        <v>8</v>
      </c>
      <c r="C7" s="65">
        <v>382375</v>
      </c>
      <c r="D7" s="66" t="s">
        <v>158</v>
      </c>
      <c r="E7" s="55">
        <v>1</v>
      </c>
      <c r="F7" s="54">
        <v>1</v>
      </c>
      <c r="G7" s="54">
        <f>IF(COUNTIFS(Export!I:I,Tabla1[[#This Row],[CODIGO PDV]])&gt;0,1,0)</f>
        <v>1</v>
      </c>
      <c r="H7" s="55">
        <f>COUNTIFS('DATA INFORME'!D:D,Tabla1[[#This Row],[CODIGO PDV]])</f>
        <v>1</v>
      </c>
      <c r="I7" s="56">
        <f>COUNTIFS('DATA INFORME'!D:D,Tabla1[[#This Row],[CODIGO PDV]],'DATA INFORME'!K:K,"SI")</f>
        <v>1</v>
      </c>
    </row>
    <row r="8" spans="1:9" x14ac:dyDescent="0.25">
      <c r="A8" s="41" t="str">
        <f>_xlfn.XLOOKUP(Tabla1[[#This Row],[CODIGO PDV]],Export!H:H,Export!D:D,0)</f>
        <v>ESPECIALIZADO</v>
      </c>
      <c r="B8" s="64" t="s">
        <v>8</v>
      </c>
      <c r="C8" s="65">
        <v>442180</v>
      </c>
      <c r="D8" s="66" t="s">
        <v>143</v>
      </c>
      <c r="E8" s="55">
        <v>1</v>
      </c>
      <c r="F8" s="54">
        <v>1</v>
      </c>
      <c r="G8" s="54">
        <f>IF(COUNTIFS(Export!I:I,Tabla1[[#This Row],[CODIGO PDV]])&gt;0,1,0)</f>
        <v>1</v>
      </c>
      <c r="H8" s="55">
        <f>COUNTIFS('DATA INFORME'!D:D,Tabla1[[#This Row],[CODIGO PDV]])</f>
        <v>1</v>
      </c>
      <c r="I8" s="56">
        <f>COUNTIFS('DATA INFORME'!D:D,Tabla1[[#This Row],[CODIGO PDV]],'DATA INFORME'!K:K,"SI")</f>
        <v>1</v>
      </c>
    </row>
    <row r="9" spans="1:9" x14ac:dyDescent="0.25">
      <c r="A9" s="41" t="str">
        <f>_xlfn.XLOOKUP(Tabla1[[#This Row],[CODIGO PDV]],Export!H:H,Export!D:D,0)</f>
        <v>TRADICIONAL</v>
      </c>
      <c r="B9" s="64" t="s">
        <v>119</v>
      </c>
      <c r="C9" s="65">
        <v>66554</v>
      </c>
      <c r="D9" s="66" t="s">
        <v>260</v>
      </c>
      <c r="E9" s="55">
        <v>1</v>
      </c>
      <c r="F9" s="54">
        <v>1</v>
      </c>
      <c r="G9" s="54">
        <f>IF(COUNTIFS(Export!I:I,Tabla1[[#This Row],[CODIGO PDV]])&gt;0,1,0)</f>
        <v>1</v>
      </c>
      <c r="H9" s="55">
        <f>COUNTIFS('DATA INFORME'!D:D,Tabla1[[#This Row],[CODIGO PDV]])</f>
        <v>1</v>
      </c>
      <c r="I9" s="56">
        <f>COUNTIFS('DATA INFORME'!D:D,Tabla1[[#This Row],[CODIGO PDV]],'DATA INFORME'!K:K,"SI")</f>
        <v>0</v>
      </c>
    </row>
    <row r="10" spans="1:9" x14ac:dyDescent="0.25">
      <c r="A10" s="41" t="str">
        <f>_xlfn.XLOOKUP(Tabla1[[#This Row],[CODIGO PDV]],Export!H:H,Export!D:D,0)</f>
        <v>MODERNO</v>
      </c>
      <c r="B10" s="64" t="s">
        <v>119</v>
      </c>
      <c r="C10" s="65">
        <v>363615</v>
      </c>
      <c r="D10" s="66" t="s">
        <v>239</v>
      </c>
      <c r="E10" s="55">
        <v>1</v>
      </c>
      <c r="F10" s="54">
        <v>1</v>
      </c>
      <c r="G10" s="54">
        <f>IF(COUNTIFS(Export!I:I,Tabla1[[#This Row],[CODIGO PDV]])&gt;0,1,0)</f>
        <v>1</v>
      </c>
      <c r="H10" s="55">
        <f>COUNTIFS('DATA INFORME'!D:D,Tabla1[[#This Row],[CODIGO PDV]])</f>
        <v>1</v>
      </c>
      <c r="I10" s="56">
        <f>COUNTIFS('DATA INFORME'!D:D,Tabla1[[#This Row],[CODIGO PDV]],'DATA INFORME'!K:K,"SI")</f>
        <v>1</v>
      </c>
    </row>
    <row r="11" spans="1:9" x14ac:dyDescent="0.25">
      <c r="A11" s="41" t="str">
        <f>_xlfn.XLOOKUP(Tabla1[[#This Row],[CODIGO PDV]],Export!H:H,Export!D:D,0)</f>
        <v>TRADICIONAL</v>
      </c>
      <c r="B11" s="64" t="s">
        <v>119</v>
      </c>
      <c r="C11" s="65">
        <v>66552</v>
      </c>
      <c r="D11" s="66" t="s">
        <v>176</v>
      </c>
      <c r="E11" s="55">
        <v>1</v>
      </c>
      <c r="F11" s="54">
        <v>1</v>
      </c>
      <c r="G11" s="54">
        <f>IF(COUNTIFS(Export!I:I,Tabla1[[#This Row],[CODIGO PDV]])&gt;0,1,0)</f>
        <v>1</v>
      </c>
      <c r="H11" s="55">
        <f>COUNTIFS('DATA INFORME'!D:D,Tabla1[[#This Row],[CODIGO PDV]])</f>
        <v>1</v>
      </c>
      <c r="I11" s="56">
        <f>COUNTIFS('DATA INFORME'!D:D,Tabla1[[#This Row],[CODIGO PDV]],'DATA INFORME'!K:K,"SI")</f>
        <v>0</v>
      </c>
    </row>
    <row r="12" spans="1:9" x14ac:dyDescent="0.25">
      <c r="A12" s="41" t="str">
        <f>_xlfn.XLOOKUP(Tabla1[[#This Row],[CODIGO PDV]],Export!H:H,Export!D:D,0)</f>
        <v>TRADICIONAL</v>
      </c>
      <c r="B12" s="64" t="s">
        <v>246</v>
      </c>
      <c r="C12" s="65">
        <v>129909</v>
      </c>
      <c r="D12" s="66" t="s">
        <v>267</v>
      </c>
      <c r="E12" s="55">
        <v>1</v>
      </c>
      <c r="F12" s="54">
        <v>1</v>
      </c>
      <c r="G12" s="54">
        <f>IF(COUNTIFS(Export!I:I,Tabla1[[#This Row],[CODIGO PDV]])&gt;0,1,0)</f>
        <v>1</v>
      </c>
      <c r="H12" s="55">
        <f>COUNTIFS('DATA INFORME'!D:D,Tabla1[[#This Row],[CODIGO PDV]])</f>
        <v>1</v>
      </c>
      <c r="I12" s="56">
        <f>COUNTIFS('DATA INFORME'!D:D,Tabla1[[#This Row],[CODIGO PDV]],'DATA INFORME'!K:K,"SI")</f>
        <v>0</v>
      </c>
    </row>
    <row r="13" spans="1:9" ht="15" customHeight="1" x14ac:dyDescent="0.25">
      <c r="A13" s="41" t="str">
        <f>_xlfn.XLOOKUP(Tabla1[[#This Row],[CODIGO PDV]],Export!H:H,Export!D:D,0)</f>
        <v>TRADICIONAL</v>
      </c>
      <c r="B13" s="64" t="s">
        <v>246</v>
      </c>
      <c r="C13" s="65">
        <v>202264</v>
      </c>
      <c r="D13" s="66" t="s">
        <v>250</v>
      </c>
      <c r="E13" s="55">
        <v>1</v>
      </c>
      <c r="F13" s="54">
        <v>1</v>
      </c>
      <c r="G13" s="54">
        <f>IF(COUNTIFS(Export!I:I,Tabla1[[#This Row],[CODIGO PDV]])&gt;0,1,0)</f>
        <v>1</v>
      </c>
      <c r="H13" s="55">
        <f>COUNTIFS('DATA INFORME'!D:D,Tabla1[[#This Row],[CODIGO PDV]])</f>
        <v>1</v>
      </c>
      <c r="I13" s="56">
        <f>COUNTIFS('DATA INFORME'!D:D,Tabla1[[#This Row],[CODIGO PDV]],'DATA INFORME'!K:K,"SI")</f>
        <v>1</v>
      </c>
    </row>
    <row r="14" spans="1:9" x14ac:dyDescent="0.25">
      <c r="A14" s="3"/>
      <c r="B14" s="67"/>
      <c r="C14" s="68"/>
      <c r="D14" s="69"/>
      <c r="E14" s="70"/>
      <c r="F14" s="71"/>
      <c r="G14" s="71"/>
      <c r="H14" s="70"/>
      <c r="I14" s="70"/>
    </row>
    <row r="15" spans="1:9" ht="15" customHeight="1" x14ac:dyDescent="0.25">
      <c r="A15" s="3"/>
      <c r="B15" s="67"/>
      <c r="C15" s="68"/>
      <c r="D15" s="69"/>
      <c r="E15" s="70"/>
      <c r="F15" s="71"/>
      <c r="G15" s="71"/>
      <c r="H15" s="70"/>
      <c r="I15" s="70"/>
    </row>
    <row r="16" spans="1:9" ht="15.75" customHeight="1" x14ac:dyDescent="0.25">
      <c r="A16" s="72"/>
      <c r="B16" s="72"/>
      <c r="C16" s="72"/>
      <c r="D16" s="72"/>
      <c r="E16" s="72"/>
      <c r="F16" s="3"/>
      <c r="G16" s="3"/>
      <c r="H16" s="3"/>
      <c r="I16" s="3"/>
    </row>
    <row r="17" spans="1:9" ht="14.25" customHeight="1" x14ac:dyDescent="0.25">
      <c r="A17" s="49" t="s">
        <v>22</v>
      </c>
      <c r="B17" s="49" t="s">
        <v>1</v>
      </c>
      <c r="C17" s="49" t="s">
        <v>36</v>
      </c>
      <c r="D17" s="49" t="s">
        <v>37</v>
      </c>
      <c r="E17" s="73" t="s">
        <v>44</v>
      </c>
      <c r="F17" s="3"/>
      <c r="G17" s="3"/>
      <c r="H17" s="3"/>
      <c r="I17" s="3"/>
    </row>
    <row r="18" spans="1:9" x14ac:dyDescent="0.25">
      <c r="A18" s="80" t="s">
        <v>43</v>
      </c>
      <c r="B18" s="80" t="s">
        <v>119</v>
      </c>
      <c r="C18" s="80">
        <v>66552</v>
      </c>
      <c r="D18" s="80" t="s">
        <v>176</v>
      </c>
      <c r="E18" s="88" t="s">
        <v>280</v>
      </c>
      <c r="F18" s="3"/>
      <c r="G18" s="3"/>
      <c r="H18" s="3"/>
      <c r="I18" s="3"/>
    </row>
    <row r="19" spans="1:9" x14ac:dyDescent="0.25">
      <c r="A19" s="80" t="s">
        <v>43</v>
      </c>
      <c r="B19" s="80" t="s">
        <v>246</v>
      </c>
      <c r="C19" s="80">
        <v>129909</v>
      </c>
      <c r="D19" s="80" t="s">
        <v>267</v>
      </c>
      <c r="E19" s="88" t="s">
        <v>279</v>
      </c>
      <c r="F19" s="3"/>
      <c r="G19" s="3"/>
      <c r="H19" s="3"/>
      <c r="I19" s="3"/>
    </row>
    <row r="20" spans="1:9" x14ac:dyDescent="0.25">
      <c r="A20" s="80" t="s">
        <v>43</v>
      </c>
      <c r="B20" s="80" t="s">
        <v>119</v>
      </c>
      <c r="C20" s="80">
        <v>66554</v>
      </c>
      <c r="D20" s="80" t="s">
        <v>260</v>
      </c>
      <c r="E20" s="88" t="s">
        <v>296</v>
      </c>
    </row>
    <row r="24" spans="1:9" x14ac:dyDescent="0.25">
      <c r="E24" s="81" t="str">
        <f>UPPER(E23)</f>
        <v/>
      </c>
    </row>
  </sheetData>
  <phoneticPr fontId="3" type="noConversion"/>
  <conditionalFormatting sqref="C2:C15">
    <cfRule type="duplicateValues" dxfId="548" priority="108"/>
  </conditionalFormatting>
  <conditionalFormatting sqref="C18:C20">
    <cfRule type="duplicateValues" dxfId="547" priority="109"/>
  </conditionalFormatting>
  <conditionalFormatting sqref="D1">
    <cfRule type="duplicateValues" dxfId="546" priority="36"/>
  </conditionalFormatting>
  <conditionalFormatting sqref="D17">
    <cfRule type="duplicateValues" dxfId="545" priority="9"/>
  </conditionalFormatting>
  <pageMargins left="0.7" right="0.7" top="0.75" bottom="0.75" header="0.3" footer="0.3"/>
  <pageSetup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DAD-F1CE-4E4C-BF86-A78BF80D79A3}">
  <sheetPr codeName="Hoja5"/>
  <dimension ref="A1:AM13"/>
  <sheetViews>
    <sheetView zoomScale="80" zoomScaleNormal="80" workbookViewId="0">
      <selection activeCell="E10" sqref="E10"/>
    </sheetView>
  </sheetViews>
  <sheetFormatPr baseColWidth="10" defaultRowHeight="15" x14ac:dyDescent="0.25"/>
  <cols>
    <col min="1" max="2" width="14.7109375" bestFit="1" customWidth="1"/>
    <col min="3" max="3" width="12.140625" bestFit="1" customWidth="1"/>
    <col min="4" max="4" width="16.140625" bestFit="1" customWidth="1"/>
    <col min="5" max="5" width="63.28515625" bestFit="1" customWidth="1"/>
    <col min="6" max="6" width="27.5703125" bestFit="1" customWidth="1"/>
    <col min="7" max="7" width="34.42578125" bestFit="1" customWidth="1"/>
    <col min="8" max="8" width="16.5703125" bestFit="1" customWidth="1"/>
    <col min="9" max="9" width="16.85546875" bestFit="1" customWidth="1"/>
    <col min="10" max="10" width="12.28515625" bestFit="1" customWidth="1"/>
    <col min="11" max="11" width="36.7109375" bestFit="1" customWidth="1"/>
    <col min="12" max="12" width="57.28515625" bestFit="1" customWidth="1"/>
    <col min="13" max="14" width="81.140625" bestFit="1" customWidth="1"/>
    <col min="15" max="15" width="51.5703125" bestFit="1" customWidth="1"/>
    <col min="16" max="16" width="81.140625" bestFit="1" customWidth="1"/>
    <col min="17" max="17" width="68.5703125" bestFit="1" customWidth="1"/>
    <col min="18" max="18" width="54.28515625" bestFit="1" customWidth="1"/>
    <col min="19" max="21" width="81.140625" bestFit="1" customWidth="1"/>
    <col min="22" max="22" width="66.7109375" bestFit="1" customWidth="1"/>
    <col min="23" max="23" width="49.28515625" bestFit="1" customWidth="1"/>
    <col min="24" max="30" width="81.140625" bestFit="1" customWidth="1"/>
    <col min="31" max="31" width="45.140625" bestFit="1" customWidth="1"/>
    <col min="32" max="33" width="81.140625" bestFit="1" customWidth="1"/>
    <col min="34" max="34" width="77.5703125" bestFit="1" customWidth="1"/>
    <col min="35" max="36" width="81.140625" bestFit="1" customWidth="1"/>
    <col min="37" max="37" width="69" bestFit="1" customWidth="1"/>
    <col min="38" max="38" width="81.140625" bestFit="1" customWidth="1"/>
    <col min="39" max="39" width="71.7109375" bestFit="1" customWidth="1"/>
    <col min="40" max="40" width="81.140625" bestFit="1" customWidth="1"/>
    <col min="41" max="41" width="77.5703125" bestFit="1" customWidth="1"/>
    <col min="42" max="42" width="81.140625" bestFit="1" customWidth="1"/>
    <col min="43" max="43" width="69" bestFit="1" customWidth="1"/>
    <col min="44" max="45" width="81.140625" bestFit="1" customWidth="1"/>
    <col min="46" max="46" width="60.140625" bestFit="1" customWidth="1"/>
    <col min="47" max="47" width="54.85546875" bestFit="1" customWidth="1"/>
    <col min="48" max="48" width="57.5703125" bestFit="1" customWidth="1"/>
    <col min="49" max="49" width="50.85546875" bestFit="1" customWidth="1"/>
    <col min="50" max="50" width="50.42578125" bestFit="1" customWidth="1"/>
    <col min="51" max="51" width="41.5703125" bestFit="1" customWidth="1"/>
    <col min="52" max="52" width="78.5703125" bestFit="1" customWidth="1"/>
    <col min="53" max="53" width="81.140625" bestFit="1" customWidth="1"/>
    <col min="54" max="54" width="78.28515625" bestFit="1" customWidth="1"/>
    <col min="55" max="55" width="70.42578125" bestFit="1" customWidth="1"/>
    <col min="56" max="56" width="81.140625" bestFit="1" customWidth="1"/>
    <col min="57" max="57" width="46.5703125" bestFit="1" customWidth="1"/>
    <col min="58" max="58" width="50.42578125" bestFit="1" customWidth="1"/>
    <col min="59" max="59" width="25" bestFit="1" customWidth="1"/>
    <col min="60" max="60" width="38.5703125" bestFit="1" customWidth="1"/>
    <col min="61" max="61" width="37.7109375" bestFit="1" customWidth="1"/>
    <col min="62" max="62" width="33" bestFit="1" customWidth="1"/>
    <col min="63" max="63" width="24.5703125" bestFit="1" customWidth="1"/>
    <col min="64" max="64" width="38" bestFit="1" customWidth="1"/>
    <col min="65" max="65" width="81.140625" bestFit="1" customWidth="1"/>
    <col min="66" max="66" width="62.85546875" bestFit="1" customWidth="1"/>
    <col min="67" max="67" width="36.42578125" bestFit="1" customWidth="1"/>
    <col min="68" max="69" width="17.5703125" bestFit="1" customWidth="1"/>
    <col min="70" max="70" width="42.42578125" bestFit="1" customWidth="1"/>
    <col min="71" max="72" width="81.140625" bestFit="1" customWidth="1"/>
    <col min="73" max="73" width="50.85546875" bestFit="1" customWidth="1"/>
    <col min="74" max="74" width="81.140625" bestFit="1" customWidth="1"/>
    <col min="75" max="75" width="68.5703125" bestFit="1" customWidth="1"/>
    <col min="76" max="76" width="53.28515625" bestFit="1" customWidth="1"/>
    <col min="77" max="79" width="81.140625" bestFit="1" customWidth="1"/>
    <col min="80" max="80" width="66.7109375" bestFit="1" customWidth="1"/>
    <col min="81" max="81" width="55.85546875" bestFit="1" customWidth="1"/>
    <col min="82" max="83" width="81.140625" bestFit="1" customWidth="1"/>
    <col min="84" max="84" width="27.42578125" bestFit="1" customWidth="1"/>
    <col min="85" max="85" width="81.140625" bestFit="1" customWidth="1"/>
    <col min="86" max="86" width="77.140625" bestFit="1" customWidth="1"/>
    <col min="87" max="90" width="81.140625" bestFit="1" customWidth="1"/>
    <col min="91" max="91" width="77.28515625" bestFit="1" customWidth="1"/>
    <col min="92" max="92" width="70" bestFit="1" customWidth="1"/>
    <col min="93" max="93" width="32.140625" bestFit="1" customWidth="1"/>
    <col min="94" max="94" width="30.28515625" bestFit="1" customWidth="1"/>
    <col min="95" max="95" width="46.5703125" bestFit="1" customWidth="1"/>
    <col min="96" max="96" width="51" bestFit="1" customWidth="1"/>
    <col min="97" max="97" width="81.140625" bestFit="1" customWidth="1"/>
    <col min="98" max="98" width="81.140625" customWidth="1"/>
    <col min="99" max="99" width="73.140625" bestFit="1" customWidth="1"/>
    <col min="100" max="100" width="81.140625" bestFit="1" customWidth="1"/>
    <col min="101" max="105" width="81.140625" customWidth="1"/>
    <col min="106" max="106" width="31.7109375" bestFit="1" customWidth="1"/>
    <col min="107" max="107" width="81.140625" bestFit="1" customWidth="1"/>
    <col min="108" max="108" width="81.140625" customWidth="1"/>
    <col min="109" max="109" width="10.42578125" bestFit="1" customWidth="1"/>
    <col min="110" max="110" width="12.28515625" bestFit="1" customWidth="1"/>
    <col min="111" max="111" width="12.5703125" bestFit="1" customWidth="1"/>
    <col min="112" max="112" width="67.5703125" customWidth="1"/>
    <col min="113" max="117" width="80.7109375" customWidth="1"/>
    <col min="118" max="118" width="29.140625" customWidth="1"/>
    <col min="119" max="119" width="27.28515625" customWidth="1"/>
    <col min="120" max="120" width="9.7109375" customWidth="1"/>
    <col min="121" max="121" width="11.42578125" bestFit="1" customWidth="1"/>
    <col min="122" max="122" width="11.7109375" bestFit="1" customWidth="1"/>
    <col min="123" max="123" width="11.42578125" bestFit="1" customWidth="1"/>
    <col min="124" max="124" width="56" bestFit="1" customWidth="1"/>
    <col min="125" max="125" width="46.140625" bestFit="1" customWidth="1"/>
    <col min="126" max="127" width="56" bestFit="1" customWidth="1"/>
    <col min="128" max="128" width="48.28515625" bestFit="1" customWidth="1"/>
    <col min="129" max="132" width="56" bestFit="1" customWidth="1"/>
    <col min="133" max="133" width="48.85546875" bestFit="1" customWidth="1"/>
    <col min="134" max="135" width="56" bestFit="1" customWidth="1"/>
    <col min="136" max="136" width="25.28515625" bestFit="1" customWidth="1"/>
    <col min="137" max="141" width="56" bestFit="1" customWidth="1"/>
    <col min="142" max="142" width="42.42578125" bestFit="1" customWidth="1"/>
    <col min="143" max="143" width="46.140625" bestFit="1" customWidth="1"/>
    <col min="144" max="144" width="25.140625" bestFit="1" customWidth="1"/>
    <col min="145" max="152" width="56" bestFit="1" customWidth="1"/>
    <col min="153" max="153" width="29.140625" bestFit="1" customWidth="1"/>
    <col min="154" max="154" width="9.85546875" bestFit="1" customWidth="1"/>
    <col min="155" max="155" width="11.42578125" bestFit="1" customWidth="1"/>
  </cols>
  <sheetData>
    <row r="1" spans="1:39" x14ac:dyDescent="0.25">
      <c r="A1" t="s">
        <v>24</v>
      </c>
      <c r="B1" t="s">
        <v>1</v>
      </c>
      <c r="C1" t="s">
        <v>25</v>
      </c>
      <c r="D1" t="s">
        <v>26</v>
      </c>
      <c r="E1" t="s">
        <v>23</v>
      </c>
      <c r="F1" t="s">
        <v>51</v>
      </c>
      <c r="G1" t="s">
        <v>52</v>
      </c>
      <c r="H1" t="s">
        <v>29</v>
      </c>
      <c r="I1" t="s">
        <v>30</v>
      </c>
      <c r="J1" t="s">
        <v>31</v>
      </c>
      <c r="K1" t="s">
        <v>87</v>
      </c>
      <c r="L1" t="s">
        <v>88</v>
      </c>
      <c r="M1" t="s">
        <v>89</v>
      </c>
      <c r="N1" t="s">
        <v>90</v>
      </c>
      <c r="O1" t="s">
        <v>35</v>
      </c>
      <c r="P1" t="s">
        <v>91</v>
      </c>
      <c r="Q1" t="s">
        <v>92</v>
      </c>
      <c r="R1" t="s">
        <v>93</v>
      </c>
      <c r="S1" t="s">
        <v>94</v>
      </c>
      <c r="T1" t="s">
        <v>95</v>
      </c>
      <c r="U1" t="s">
        <v>96</v>
      </c>
      <c r="V1" t="s">
        <v>97</v>
      </c>
      <c r="W1" t="s">
        <v>98</v>
      </c>
      <c r="X1" t="s">
        <v>99</v>
      </c>
      <c r="Y1" t="s">
        <v>100</v>
      </c>
      <c r="Z1" t="s">
        <v>101</v>
      </c>
      <c r="AA1" t="s">
        <v>102</v>
      </c>
      <c r="AB1" t="s">
        <v>103</v>
      </c>
      <c r="AC1" t="s">
        <v>104</v>
      </c>
      <c r="AD1" t="s">
        <v>125</v>
      </c>
      <c r="AE1" t="s">
        <v>105</v>
      </c>
      <c r="AF1" t="s">
        <v>140</v>
      </c>
      <c r="AG1" t="s">
        <v>128</v>
      </c>
      <c r="AH1" t="s">
        <v>129</v>
      </c>
      <c r="AI1" t="s">
        <v>106</v>
      </c>
      <c r="AJ1" t="s">
        <v>107</v>
      </c>
      <c r="AK1" t="s">
        <v>130</v>
      </c>
      <c r="AL1" t="s">
        <v>126</v>
      </c>
      <c r="AM1" t="s">
        <v>127</v>
      </c>
    </row>
    <row r="2" spans="1:39" x14ac:dyDescent="0.25">
      <c r="A2" t="s">
        <v>113</v>
      </c>
      <c r="B2" t="s">
        <v>135</v>
      </c>
      <c r="C2" t="s">
        <v>136</v>
      </c>
      <c r="D2">
        <v>110508</v>
      </c>
      <c r="E2" t="s">
        <v>274</v>
      </c>
      <c r="F2">
        <v>1</v>
      </c>
      <c r="G2" t="s">
        <v>144</v>
      </c>
      <c r="H2" s="87">
        <v>45952</v>
      </c>
      <c r="I2">
        <v>29016530</v>
      </c>
      <c r="J2" t="s">
        <v>139</v>
      </c>
      <c r="K2" t="s">
        <v>20</v>
      </c>
      <c r="L2" t="s">
        <v>20</v>
      </c>
      <c r="M2" t="s">
        <v>20</v>
      </c>
      <c r="N2" t="s">
        <v>20</v>
      </c>
      <c r="O2" t="s">
        <v>20</v>
      </c>
      <c r="P2" t="s">
        <v>112</v>
      </c>
      <c r="Q2" t="s">
        <v>20</v>
      </c>
      <c r="R2" t="s">
        <v>20</v>
      </c>
      <c r="S2" t="s">
        <v>112</v>
      </c>
      <c r="T2" t="s">
        <v>112</v>
      </c>
      <c r="U2" t="s">
        <v>112</v>
      </c>
      <c r="V2" t="s">
        <v>112</v>
      </c>
      <c r="W2" t="s">
        <v>20</v>
      </c>
      <c r="X2" t="s">
        <v>20</v>
      </c>
      <c r="Y2" t="s">
        <v>20</v>
      </c>
      <c r="Z2" t="s">
        <v>20</v>
      </c>
      <c r="AA2" t="s">
        <v>20</v>
      </c>
      <c r="AB2" t="s">
        <v>20</v>
      </c>
      <c r="AC2" t="s">
        <v>20</v>
      </c>
      <c r="AD2" t="s">
        <v>20</v>
      </c>
      <c r="AE2" t="s">
        <v>117</v>
      </c>
      <c r="AI2" t="s">
        <v>112</v>
      </c>
      <c r="AK2" t="s">
        <v>20</v>
      </c>
    </row>
    <row r="3" spans="1:39" x14ac:dyDescent="0.25">
      <c r="A3" t="s">
        <v>113</v>
      </c>
      <c r="B3" t="s">
        <v>135</v>
      </c>
      <c r="C3" t="s">
        <v>136</v>
      </c>
      <c r="D3">
        <v>191457</v>
      </c>
      <c r="E3" t="s">
        <v>210</v>
      </c>
      <c r="F3">
        <v>1</v>
      </c>
      <c r="G3" t="s">
        <v>144</v>
      </c>
      <c r="H3" s="87">
        <v>45954.590995370374</v>
      </c>
      <c r="I3">
        <v>28968760</v>
      </c>
      <c r="J3" t="s">
        <v>139</v>
      </c>
      <c r="K3" t="s">
        <v>20</v>
      </c>
      <c r="L3" t="s">
        <v>20</v>
      </c>
      <c r="M3" t="s">
        <v>20</v>
      </c>
      <c r="N3" t="s">
        <v>20</v>
      </c>
      <c r="O3" t="s">
        <v>20</v>
      </c>
      <c r="P3" t="s">
        <v>112</v>
      </c>
      <c r="Q3" t="s">
        <v>20</v>
      </c>
      <c r="R3" t="s">
        <v>20</v>
      </c>
      <c r="S3" t="s">
        <v>112</v>
      </c>
      <c r="T3" t="s">
        <v>112</v>
      </c>
      <c r="U3" t="s">
        <v>112</v>
      </c>
      <c r="V3" t="s">
        <v>112</v>
      </c>
      <c r="W3" t="s">
        <v>20</v>
      </c>
      <c r="X3" t="s">
        <v>20</v>
      </c>
      <c r="Y3" t="s">
        <v>20</v>
      </c>
      <c r="Z3" t="s">
        <v>20</v>
      </c>
      <c r="AA3" t="s">
        <v>20</v>
      </c>
      <c r="AB3" t="s">
        <v>20</v>
      </c>
      <c r="AC3" t="s">
        <v>20</v>
      </c>
      <c r="AD3" t="s">
        <v>20</v>
      </c>
      <c r="AE3" t="s">
        <v>131</v>
      </c>
      <c r="AF3" t="s">
        <v>20</v>
      </c>
      <c r="AG3" t="s">
        <v>20</v>
      </c>
      <c r="AH3" t="s">
        <v>20</v>
      </c>
      <c r="AI3" t="s">
        <v>112</v>
      </c>
    </row>
    <row r="4" spans="1:39" x14ac:dyDescent="0.25">
      <c r="A4" t="s">
        <v>113</v>
      </c>
      <c r="B4" t="s">
        <v>135</v>
      </c>
      <c r="C4" t="s">
        <v>173</v>
      </c>
      <c r="D4">
        <v>65453</v>
      </c>
      <c r="E4" t="s">
        <v>182</v>
      </c>
      <c r="F4">
        <v>1</v>
      </c>
      <c r="G4" t="s">
        <v>144</v>
      </c>
      <c r="H4" s="87">
        <v>45952.337754629632</v>
      </c>
      <c r="I4">
        <v>28953374</v>
      </c>
      <c r="J4" t="s">
        <v>139</v>
      </c>
      <c r="K4" t="s">
        <v>20</v>
      </c>
      <c r="L4" t="s">
        <v>20</v>
      </c>
      <c r="M4" t="s">
        <v>20</v>
      </c>
      <c r="N4" t="s">
        <v>20</v>
      </c>
      <c r="O4" t="s">
        <v>20</v>
      </c>
      <c r="P4" t="s">
        <v>112</v>
      </c>
      <c r="Q4" t="s">
        <v>20</v>
      </c>
      <c r="R4" t="s">
        <v>20</v>
      </c>
      <c r="S4" t="s">
        <v>112</v>
      </c>
      <c r="T4" t="s">
        <v>112</v>
      </c>
      <c r="U4" t="s">
        <v>112</v>
      </c>
      <c r="V4" t="s">
        <v>112</v>
      </c>
      <c r="W4" t="s">
        <v>20</v>
      </c>
      <c r="X4" t="s">
        <v>20</v>
      </c>
      <c r="Y4" t="s">
        <v>20</v>
      </c>
      <c r="Z4" t="s">
        <v>20</v>
      </c>
      <c r="AA4" t="s">
        <v>20</v>
      </c>
      <c r="AB4" t="s">
        <v>20</v>
      </c>
      <c r="AC4" t="s">
        <v>20</v>
      </c>
      <c r="AD4" t="s">
        <v>20</v>
      </c>
      <c r="AE4" t="s">
        <v>117</v>
      </c>
      <c r="AI4" t="s">
        <v>112</v>
      </c>
      <c r="AK4" t="s">
        <v>20</v>
      </c>
    </row>
    <row r="5" spans="1:39" x14ac:dyDescent="0.25">
      <c r="A5" t="s">
        <v>113</v>
      </c>
      <c r="B5" t="s">
        <v>8</v>
      </c>
      <c r="C5" t="s">
        <v>132</v>
      </c>
      <c r="D5">
        <v>201118</v>
      </c>
      <c r="E5" t="s">
        <v>151</v>
      </c>
      <c r="F5">
        <v>1</v>
      </c>
      <c r="G5" t="s">
        <v>144</v>
      </c>
      <c r="H5" s="87">
        <v>45939</v>
      </c>
      <c r="I5">
        <v>28904500</v>
      </c>
      <c r="J5" t="s">
        <v>116</v>
      </c>
      <c r="K5" t="s">
        <v>20</v>
      </c>
      <c r="L5" t="s">
        <v>20</v>
      </c>
      <c r="M5" t="s">
        <v>20</v>
      </c>
      <c r="N5" t="s">
        <v>20</v>
      </c>
      <c r="O5" t="s">
        <v>20</v>
      </c>
      <c r="P5" t="s">
        <v>112</v>
      </c>
      <c r="Q5" t="s">
        <v>20</v>
      </c>
      <c r="R5" t="s">
        <v>20</v>
      </c>
      <c r="S5" t="s">
        <v>112</v>
      </c>
      <c r="T5" t="s">
        <v>112</v>
      </c>
      <c r="U5" t="s">
        <v>112</v>
      </c>
      <c r="V5" t="s">
        <v>112</v>
      </c>
      <c r="W5" t="s">
        <v>20</v>
      </c>
      <c r="X5" t="s">
        <v>112</v>
      </c>
      <c r="Y5" t="s">
        <v>20</v>
      </c>
      <c r="Z5" t="s">
        <v>20</v>
      </c>
      <c r="AA5" t="s">
        <v>20</v>
      </c>
      <c r="AB5" t="s">
        <v>20</v>
      </c>
      <c r="AC5" t="s">
        <v>20</v>
      </c>
      <c r="AD5" t="s">
        <v>20</v>
      </c>
      <c r="AE5" t="s">
        <v>117</v>
      </c>
      <c r="AI5" t="s">
        <v>20</v>
      </c>
      <c r="AJ5" t="s">
        <v>156</v>
      </c>
      <c r="AK5" t="s">
        <v>20</v>
      </c>
    </row>
    <row r="6" spans="1:39" x14ac:dyDescent="0.25">
      <c r="A6" t="s">
        <v>113</v>
      </c>
      <c r="B6" t="s">
        <v>8</v>
      </c>
      <c r="C6" t="s">
        <v>132</v>
      </c>
      <c r="D6">
        <v>355912</v>
      </c>
      <c r="E6" t="s">
        <v>167</v>
      </c>
      <c r="F6">
        <v>1</v>
      </c>
      <c r="G6" t="s">
        <v>144</v>
      </c>
      <c r="H6" s="87">
        <v>45950</v>
      </c>
      <c r="I6">
        <v>28943799</v>
      </c>
      <c r="J6" t="s">
        <v>164</v>
      </c>
      <c r="K6" t="s">
        <v>20</v>
      </c>
      <c r="L6" t="s">
        <v>20</v>
      </c>
      <c r="M6" t="s">
        <v>20</v>
      </c>
      <c r="N6" t="s">
        <v>20</v>
      </c>
      <c r="O6" t="s">
        <v>20</v>
      </c>
      <c r="P6" t="s">
        <v>112</v>
      </c>
      <c r="Q6" t="s">
        <v>20</v>
      </c>
      <c r="R6" t="s">
        <v>20</v>
      </c>
      <c r="S6" t="s">
        <v>112</v>
      </c>
      <c r="T6" t="s">
        <v>112</v>
      </c>
      <c r="U6" t="s">
        <v>112</v>
      </c>
      <c r="V6" t="s">
        <v>112</v>
      </c>
      <c r="W6" t="s">
        <v>20</v>
      </c>
      <c r="X6" t="s">
        <v>20</v>
      </c>
      <c r="Y6" t="s">
        <v>20</v>
      </c>
      <c r="Z6" t="s">
        <v>20</v>
      </c>
      <c r="AA6" t="s">
        <v>20</v>
      </c>
      <c r="AB6" t="s">
        <v>20</v>
      </c>
      <c r="AC6" t="s">
        <v>20</v>
      </c>
      <c r="AD6" t="s">
        <v>20</v>
      </c>
      <c r="AE6" t="s">
        <v>117</v>
      </c>
      <c r="AI6" t="s">
        <v>20</v>
      </c>
      <c r="AJ6" t="s">
        <v>172</v>
      </c>
      <c r="AK6" t="s">
        <v>20</v>
      </c>
    </row>
    <row r="7" spans="1:39" x14ac:dyDescent="0.25">
      <c r="A7" t="s">
        <v>113</v>
      </c>
      <c r="B7" t="s">
        <v>8</v>
      </c>
      <c r="C7" t="s">
        <v>132</v>
      </c>
      <c r="D7">
        <v>382375</v>
      </c>
      <c r="E7" t="s">
        <v>158</v>
      </c>
      <c r="F7">
        <v>1</v>
      </c>
      <c r="G7" t="s">
        <v>144</v>
      </c>
      <c r="H7" s="87">
        <v>45944</v>
      </c>
      <c r="I7">
        <v>28907521</v>
      </c>
      <c r="J7" t="s">
        <v>164</v>
      </c>
      <c r="K7" t="s">
        <v>20</v>
      </c>
      <c r="L7" t="s">
        <v>20</v>
      </c>
      <c r="M7" t="s">
        <v>20</v>
      </c>
      <c r="N7" t="s">
        <v>20</v>
      </c>
      <c r="O7" t="s">
        <v>20</v>
      </c>
      <c r="P7" t="s">
        <v>112</v>
      </c>
      <c r="Q7" t="s">
        <v>20</v>
      </c>
      <c r="R7" t="s">
        <v>20</v>
      </c>
      <c r="S7" t="s">
        <v>112</v>
      </c>
      <c r="T7" t="s">
        <v>112</v>
      </c>
      <c r="U7" t="s">
        <v>112</v>
      </c>
      <c r="V7" t="s">
        <v>112</v>
      </c>
      <c r="W7" t="s">
        <v>20</v>
      </c>
      <c r="X7" t="s">
        <v>20</v>
      </c>
      <c r="Y7" t="s">
        <v>20</v>
      </c>
      <c r="Z7" t="s">
        <v>20</v>
      </c>
      <c r="AA7" t="s">
        <v>20</v>
      </c>
      <c r="AB7" t="s">
        <v>20</v>
      </c>
      <c r="AC7" t="s">
        <v>112</v>
      </c>
      <c r="AD7" t="s">
        <v>112</v>
      </c>
      <c r="AE7" t="s">
        <v>15</v>
      </c>
      <c r="AI7" t="s">
        <v>20</v>
      </c>
      <c r="AJ7" t="s">
        <v>165</v>
      </c>
      <c r="AL7" t="s">
        <v>20</v>
      </c>
      <c r="AM7" t="s">
        <v>20</v>
      </c>
    </row>
    <row r="8" spans="1:39" x14ac:dyDescent="0.25">
      <c r="A8" t="s">
        <v>113</v>
      </c>
      <c r="B8" t="s">
        <v>8</v>
      </c>
      <c r="C8" t="s">
        <v>132</v>
      </c>
      <c r="D8">
        <v>442180</v>
      </c>
      <c r="E8" t="s">
        <v>143</v>
      </c>
      <c r="F8">
        <v>1</v>
      </c>
      <c r="G8" t="s">
        <v>144</v>
      </c>
      <c r="H8" s="87">
        <v>45941</v>
      </c>
      <c r="I8">
        <v>28904337</v>
      </c>
      <c r="J8" t="s">
        <v>116</v>
      </c>
      <c r="K8" t="s">
        <v>20</v>
      </c>
      <c r="L8" t="s">
        <v>20</v>
      </c>
      <c r="M8" t="s">
        <v>20</v>
      </c>
      <c r="N8" t="s">
        <v>20</v>
      </c>
      <c r="O8" t="s">
        <v>20</v>
      </c>
      <c r="P8" t="s">
        <v>112</v>
      </c>
      <c r="Q8" t="s">
        <v>20</v>
      </c>
      <c r="R8" t="s">
        <v>20</v>
      </c>
      <c r="S8" t="s">
        <v>112</v>
      </c>
      <c r="T8" t="s">
        <v>112</v>
      </c>
      <c r="U8" t="s">
        <v>20</v>
      </c>
      <c r="V8" t="s">
        <v>112</v>
      </c>
      <c r="W8" t="s">
        <v>20</v>
      </c>
      <c r="X8" t="s">
        <v>20</v>
      </c>
      <c r="Y8" t="s">
        <v>20</v>
      </c>
      <c r="Z8" t="s">
        <v>20</v>
      </c>
      <c r="AA8" t="s">
        <v>20</v>
      </c>
      <c r="AB8" t="s">
        <v>20</v>
      </c>
      <c r="AC8" t="s">
        <v>20</v>
      </c>
      <c r="AD8" t="s">
        <v>20</v>
      </c>
      <c r="AE8" t="s">
        <v>131</v>
      </c>
      <c r="AF8" t="s">
        <v>20</v>
      </c>
      <c r="AG8" t="s">
        <v>20</v>
      </c>
      <c r="AH8" t="s">
        <v>20</v>
      </c>
      <c r="AI8" t="s">
        <v>20</v>
      </c>
      <c r="AJ8" t="s">
        <v>149</v>
      </c>
    </row>
    <row r="9" spans="1:39" x14ac:dyDescent="0.25">
      <c r="A9" t="s">
        <v>113</v>
      </c>
      <c r="B9" t="s">
        <v>119</v>
      </c>
      <c r="C9" t="s">
        <v>122</v>
      </c>
      <c r="D9">
        <v>66554</v>
      </c>
      <c r="E9" t="s">
        <v>260</v>
      </c>
      <c r="F9">
        <v>1</v>
      </c>
      <c r="G9" t="s">
        <v>144</v>
      </c>
      <c r="H9" s="87">
        <v>45958</v>
      </c>
      <c r="I9">
        <v>28991102</v>
      </c>
      <c r="J9" t="s">
        <v>121</v>
      </c>
      <c r="K9" t="s">
        <v>112</v>
      </c>
      <c r="L9" t="s">
        <v>112</v>
      </c>
      <c r="M9" t="s">
        <v>112</v>
      </c>
      <c r="N9" t="s">
        <v>112</v>
      </c>
      <c r="O9" t="s">
        <v>112</v>
      </c>
      <c r="P9" t="s">
        <v>112</v>
      </c>
      <c r="Q9" t="s">
        <v>112</v>
      </c>
      <c r="R9" t="s">
        <v>112</v>
      </c>
      <c r="S9" t="s">
        <v>112</v>
      </c>
      <c r="T9" t="s">
        <v>112</v>
      </c>
      <c r="U9" t="s">
        <v>112</v>
      </c>
      <c r="V9" t="s">
        <v>112</v>
      </c>
      <c r="W9" t="s">
        <v>20</v>
      </c>
      <c r="X9" t="s">
        <v>112</v>
      </c>
      <c r="Y9" t="s">
        <v>112</v>
      </c>
      <c r="Z9" t="s">
        <v>112</v>
      </c>
      <c r="AA9" t="s">
        <v>112</v>
      </c>
      <c r="AB9" t="s">
        <v>112</v>
      </c>
      <c r="AC9" t="s">
        <v>112</v>
      </c>
      <c r="AD9" t="s">
        <v>112</v>
      </c>
      <c r="AE9" t="s">
        <v>117</v>
      </c>
      <c r="AI9" t="s">
        <v>20</v>
      </c>
      <c r="AJ9" t="s">
        <v>265</v>
      </c>
      <c r="AK9" t="s">
        <v>112</v>
      </c>
    </row>
    <row r="10" spans="1:39" x14ac:dyDescent="0.25">
      <c r="A10" t="s">
        <v>113</v>
      </c>
      <c r="B10" t="s">
        <v>119</v>
      </c>
      <c r="C10" t="s">
        <v>122</v>
      </c>
      <c r="D10">
        <v>363615</v>
      </c>
      <c r="E10" t="s">
        <v>239</v>
      </c>
      <c r="F10">
        <v>1</v>
      </c>
      <c r="G10" t="s">
        <v>144</v>
      </c>
      <c r="H10" s="87">
        <v>45954</v>
      </c>
      <c r="I10">
        <v>28972671</v>
      </c>
      <c r="J10" t="s">
        <v>121</v>
      </c>
      <c r="K10" t="s">
        <v>20</v>
      </c>
      <c r="L10" t="s">
        <v>20</v>
      </c>
      <c r="M10" t="s">
        <v>20</v>
      </c>
      <c r="N10" t="s">
        <v>20</v>
      </c>
      <c r="O10" t="s">
        <v>20</v>
      </c>
      <c r="P10" t="s">
        <v>112</v>
      </c>
      <c r="Q10" t="s">
        <v>20</v>
      </c>
      <c r="R10" t="s">
        <v>20</v>
      </c>
      <c r="S10" t="s">
        <v>112</v>
      </c>
      <c r="T10" t="s">
        <v>112</v>
      </c>
      <c r="U10" t="s">
        <v>112</v>
      </c>
      <c r="V10" t="s">
        <v>112</v>
      </c>
      <c r="W10" t="s">
        <v>112</v>
      </c>
      <c r="X10" t="s">
        <v>20</v>
      </c>
      <c r="Y10" t="s">
        <v>20</v>
      </c>
      <c r="Z10" t="s">
        <v>20</v>
      </c>
      <c r="AA10" t="s">
        <v>20</v>
      </c>
      <c r="AB10" t="s">
        <v>20</v>
      </c>
      <c r="AC10" t="s">
        <v>20</v>
      </c>
      <c r="AD10" t="s">
        <v>112</v>
      </c>
      <c r="AE10" t="s">
        <v>15</v>
      </c>
      <c r="AI10" t="s">
        <v>20</v>
      </c>
      <c r="AJ10" t="s">
        <v>244</v>
      </c>
      <c r="AL10" t="s">
        <v>20</v>
      </c>
      <c r="AM10" t="s">
        <v>20</v>
      </c>
    </row>
    <row r="11" spans="1:39" x14ac:dyDescent="0.25">
      <c r="A11" t="s">
        <v>113</v>
      </c>
      <c r="B11" t="s">
        <v>119</v>
      </c>
      <c r="C11" t="s">
        <v>173</v>
      </c>
      <c r="D11">
        <v>66552</v>
      </c>
      <c r="E11" t="s">
        <v>176</v>
      </c>
      <c r="F11">
        <v>1</v>
      </c>
      <c r="G11" t="s">
        <v>144</v>
      </c>
      <c r="H11" s="87">
        <v>45950</v>
      </c>
      <c r="I11">
        <v>28946324</v>
      </c>
      <c r="J11" t="s">
        <v>121</v>
      </c>
      <c r="K11" t="s">
        <v>112</v>
      </c>
      <c r="L11" t="s">
        <v>112</v>
      </c>
      <c r="M11" t="s">
        <v>112</v>
      </c>
      <c r="N11" t="s">
        <v>112</v>
      </c>
      <c r="O11" t="s">
        <v>112</v>
      </c>
      <c r="P11" t="s">
        <v>112</v>
      </c>
      <c r="Q11" t="s">
        <v>112</v>
      </c>
      <c r="R11" t="s">
        <v>112</v>
      </c>
      <c r="S11" t="s">
        <v>112</v>
      </c>
      <c r="T11" t="s">
        <v>112</v>
      </c>
      <c r="U11" t="s">
        <v>112</v>
      </c>
      <c r="V11" t="s">
        <v>112</v>
      </c>
      <c r="W11" t="s">
        <v>112</v>
      </c>
      <c r="X11" t="s">
        <v>112</v>
      </c>
      <c r="Y11" t="s">
        <v>112</v>
      </c>
      <c r="Z11" t="s">
        <v>112</v>
      </c>
      <c r="AA11" t="s">
        <v>112</v>
      </c>
      <c r="AB11" t="s">
        <v>112</v>
      </c>
      <c r="AC11" t="s">
        <v>112</v>
      </c>
      <c r="AD11" t="s">
        <v>112</v>
      </c>
      <c r="AE11" t="s">
        <v>117</v>
      </c>
      <c r="AI11" t="s">
        <v>112</v>
      </c>
      <c r="AK11" t="s">
        <v>112</v>
      </c>
    </row>
    <row r="12" spans="1:39" x14ac:dyDescent="0.25">
      <c r="A12" t="s">
        <v>113</v>
      </c>
      <c r="B12" t="s">
        <v>246</v>
      </c>
      <c r="C12" t="s">
        <v>247</v>
      </c>
      <c r="D12">
        <v>129909</v>
      </c>
      <c r="E12" t="s">
        <v>267</v>
      </c>
      <c r="F12">
        <v>1</v>
      </c>
      <c r="G12" t="s">
        <v>144</v>
      </c>
      <c r="H12" s="87">
        <v>45959</v>
      </c>
      <c r="I12">
        <v>29007151</v>
      </c>
      <c r="J12" t="s">
        <v>257</v>
      </c>
      <c r="K12" t="s">
        <v>112</v>
      </c>
      <c r="L12" t="s">
        <v>112</v>
      </c>
      <c r="M12" t="s">
        <v>112</v>
      </c>
      <c r="N12" t="s">
        <v>112</v>
      </c>
      <c r="O12" t="s">
        <v>112</v>
      </c>
      <c r="P12" t="s">
        <v>112</v>
      </c>
      <c r="Q12" t="s">
        <v>112</v>
      </c>
      <c r="R12" t="s">
        <v>112</v>
      </c>
      <c r="S12" t="s">
        <v>112</v>
      </c>
      <c r="T12" t="s">
        <v>112</v>
      </c>
      <c r="U12" t="s">
        <v>112</v>
      </c>
      <c r="V12" t="s">
        <v>112</v>
      </c>
      <c r="W12" t="s">
        <v>112</v>
      </c>
      <c r="X12" t="s">
        <v>112</v>
      </c>
      <c r="Y12" t="s">
        <v>112</v>
      </c>
      <c r="Z12" t="s">
        <v>112</v>
      </c>
      <c r="AA12" t="s">
        <v>112</v>
      </c>
      <c r="AB12" t="s">
        <v>112</v>
      </c>
      <c r="AC12" t="s">
        <v>112</v>
      </c>
      <c r="AD12" t="s">
        <v>112</v>
      </c>
      <c r="AE12" t="s">
        <v>117</v>
      </c>
      <c r="AI12" t="s">
        <v>20</v>
      </c>
      <c r="AJ12" t="s">
        <v>272</v>
      </c>
      <c r="AK12" t="s">
        <v>112</v>
      </c>
    </row>
    <row r="13" spans="1:39" x14ac:dyDescent="0.25">
      <c r="A13" t="s">
        <v>113</v>
      </c>
      <c r="B13" t="s">
        <v>246</v>
      </c>
      <c r="C13" t="s">
        <v>247</v>
      </c>
      <c r="D13">
        <v>202264</v>
      </c>
      <c r="E13" t="s">
        <v>250</v>
      </c>
      <c r="F13">
        <v>1</v>
      </c>
      <c r="G13" t="s">
        <v>144</v>
      </c>
      <c r="H13" s="87">
        <v>45951</v>
      </c>
      <c r="I13">
        <v>28975269</v>
      </c>
      <c r="J13" t="s">
        <v>257</v>
      </c>
      <c r="K13" t="s">
        <v>20</v>
      </c>
      <c r="L13" t="s">
        <v>20</v>
      </c>
      <c r="M13" t="s">
        <v>20</v>
      </c>
      <c r="N13" t="s">
        <v>20</v>
      </c>
      <c r="O13" t="s">
        <v>20</v>
      </c>
      <c r="P13" t="s">
        <v>112</v>
      </c>
      <c r="Q13" t="s">
        <v>20</v>
      </c>
      <c r="R13" t="s">
        <v>20</v>
      </c>
      <c r="S13" t="s">
        <v>112</v>
      </c>
      <c r="T13" t="s">
        <v>112</v>
      </c>
      <c r="U13" t="s">
        <v>112</v>
      </c>
      <c r="V13" t="s">
        <v>112</v>
      </c>
      <c r="W13" t="s">
        <v>20</v>
      </c>
      <c r="X13" t="s">
        <v>20</v>
      </c>
      <c r="Y13" t="s">
        <v>20</v>
      </c>
      <c r="Z13" t="s">
        <v>20</v>
      </c>
      <c r="AA13" t="s">
        <v>20</v>
      </c>
      <c r="AB13" t="s">
        <v>20</v>
      </c>
      <c r="AC13" t="s">
        <v>20</v>
      </c>
      <c r="AD13" t="s">
        <v>20</v>
      </c>
      <c r="AE13" t="s">
        <v>117</v>
      </c>
      <c r="AI13" t="s">
        <v>20</v>
      </c>
      <c r="AJ13" t="s">
        <v>258</v>
      </c>
      <c r="AK13" t="s">
        <v>20</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4B1-EB2D-4C25-9AAD-4F1C0994C034}">
  <sheetPr codeName="Hoja6"/>
  <dimension ref="A1:AC291"/>
  <sheetViews>
    <sheetView zoomScale="70" zoomScaleNormal="70" workbookViewId="0"/>
  </sheetViews>
  <sheetFormatPr baseColWidth="10" defaultColWidth="11.42578125" defaultRowHeight="15" x14ac:dyDescent="0.25"/>
  <cols>
    <col min="1" max="1" width="11.85546875" customWidth="1"/>
    <col min="2" max="2" width="11.42578125" customWidth="1"/>
    <col min="4" max="5" width="11.42578125" customWidth="1"/>
    <col min="6" max="6" width="13.140625" customWidth="1"/>
    <col min="7" max="7" width="11.42578125" style="2" customWidth="1"/>
    <col min="8" max="8" width="11.42578125" customWidth="1"/>
    <col min="9" max="9" width="13.5703125" style="31" customWidth="1"/>
    <col min="10" max="10" width="32.42578125" style="2" customWidth="1"/>
    <col min="11" max="11" width="13.42578125" customWidth="1"/>
    <col min="12" max="12" width="18.5703125" customWidth="1"/>
    <col min="13" max="13" width="9.140625" style="2" customWidth="1"/>
    <col min="14" max="14" width="32.140625" customWidth="1"/>
    <col min="15" max="15" width="91.28515625" customWidth="1"/>
    <col min="16" max="16" width="30.28515625" customWidth="1"/>
    <col min="17" max="17" width="14.5703125" customWidth="1"/>
    <col min="18" max="18" width="15" customWidth="1"/>
    <col min="19" max="19" width="18.7109375" style="33" customWidth="1"/>
    <col min="20" max="20" width="18.28515625" style="2" customWidth="1"/>
    <col min="21" max="21" width="24.42578125" style="2" customWidth="1"/>
    <col min="22" max="22" width="14.5703125" style="2" customWidth="1"/>
    <col min="23" max="23" width="11.42578125" style="2"/>
    <col min="24" max="24" width="20" style="2" customWidth="1"/>
    <col min="25" max="25" width="20.42578125" style="2" customWidth="1"/>
    <col min="26" max="26" width="18.140625" style="2" customWidth="1"/>
    <col min="27" max="27" width="11.42578125" style="2"/>
    <col min="28" max="28" width="21.5703125" style="2" customWidth="1"/>
    <col min="29" max="29" width="21.85546875" style="2" customWidth="1"/>
  </cols>
  <sheetData>
    <row r="1" spans="1:29" x14ac:dyDescent="0.25">
      <c r="A1" t="s">
        <v>24</v>
      </c>
      <c r="B1" t="s">
        <v>45</v>
      </c>
      <c r="C1" t="s">
        <v>1</v>
      </c>
      <c r="D1" t="s">
        <v>22</v>
      </c>
      <c r="E1" t="s">
        <v>25</v>
      </c>
      <c r="F1" t="s">
        <v>46</v>
      </c>
      <c r="G1" s="2" t="s">
        <v>47</v>
      </c>
      <c r="H1" t="s">
        <v>48</v>
      </c>
      <c r="I1" s="31" t="s">
        <v>26</v>
      </c>
      <c r="J1" s="2" t="s">
        <v>23</v>
      </c>
      <c r="K1" t="s">
        <v>49</v>
      </c>
      <c r="L1" t="s">
        <v>50</v>
      </c>
      <c r="M1" s="2" t="s">
        <v>51</v>
      </c>
      <c r="N1" t="s">
        <v>52</v>
      </c>
      <c r="O1" t="s">
        <v>27</v>
      </c>
      <c r="P1" t="s">
        <v>53</v>
      </c>
      <c r="Q1" t="s">
        <v>54</v>
      </c>
      <c r="R1" t="s">
        <v>55</v>
      </c>
      <c r="S1" s="33" t="s">
        <v>29</v>
      </c>
      <c r="T1" s="2" t="s">
        <v>56</v>
      </c>
      <c r="U1" s="2" t="s">
        <v>57</v>
      </c>
      <c r="V1" s="2" t="s">
        <v>30</v>
      </c>
      <c r="W1" s="2" t="s">
        <v>58</v>
      </c>
      <c r="X1" s="2" t="s">
        <v>59</v>
      </c>
      <c r="Y1" s="2" t="s">
        <v>60</v>
      </c>
      <c r="Z1" s="2" t="s">
        <v>61</v>
      </c>
      <c r="AA1" s="2" t="s">
        <v>31</v>
      </c>
      <c r="AB1" s="2" t="s">
        <v>62</v>
      </c>
      <c r="AC1" s="2" t="s">
        <v>63</v>
      </c>
    </row>
    <row r="2" spans="1:29" x14ac:dyDescent="0.25">
      <c r="A2" t="s">
        <v>113</v>
      </c>
      <c r="B2" t="s">
        <v>69</v>
      </c>
      <c r="C2" t="s">
        <v>8</v>
      </c>
      <c r="D2" t="s">
        <v>14</v>
      </c>
      <c r="E2" t="s">
        <v>132</v>
      </c>
      <c r="F2" t="s">
        <v>133</v>
      </c>
      <c r="G2" s="2" t="s">
        <v>8</v>
      </c>
      <c r="H2">
        <v>442180</v>
      </c>
      <c r="I2" s="31" t="s">
        <v>142</v>
      </c>
      <c r="J2" s="2" t="s">
        <v>143</v>
      </c>
      <c r="K2" t="s">
        <v>64</v>
      </c>
      <c r="L2" t="s">
        <v>133</v>
      </c>
      <c r="M2" s="2" t="s">
        <v>78</v>
      </c>
      <c r="N2" t="s">
        <v>144</v>
      </c>
      <c r="O2" t="s">
        <v>87</v>
      </c>
      <c r="P2" s="2" t="s">
        <v>20</v>
      </c>
      <c r="Q2" t="s">
        <v>64</v>
      </c>
      <c r="R2" t="s">
        <v>64</v>
      </c>
      <c r="S2" s="82" t="s">
        <v>145</v>
      </c>
      <c r="T2" t="s">
        <v>146</v>
      </c>
      <c r="U2" t="s">
        <v>147</v>
      </c>
      <c r="V2" s="2" t="s">
        <v>148</v>
      </c>
      <c r="W2" s="2" t="s">
        <v>65</v>
      </c>
      <c r="Z2" s="2" t="s">
        <v>115</v>
      </c>
      <c r="AA2" s="2" t="s">
        <v>116</v>
      </c>
      <c r="AB2" s="2" t="s">
        <v>66</v>
      </c>
      <c r="AC2" s="2" t="s">
        <v>67</v>
      </c>
    </row>
    <row r="3" spans="1:29" x14ac:dyDescent="0.25">
      <c r="A3" t="s">
        <v>113</v>
      </c>
      <c r="B3" t="s">
        <v>69</v>
      </c>
      <c r="C3" t="s">
        <v>8</v>
      </c>
      <c r="D3" t="s">
        <v>14</v>
      </c>
      <c r="E3" t="s">
        <v>132</v>
      </c>
      <c r="F3" t="s">
        <v>133</v>
      </c>
      <c r="G3" s="2" t="s">
        <v>8</v>
      </c>
      <c r="H3">
        <v>442180</v>
      </c>
      <c r="I3" s="31" t="s">
        <v>142</v>
      </c>
      <c r="J3" s="2" t="s">
        <v>143</v>
      </c>
      <c r="K3" t="s">
        <v>64</v>
      </c>
      <c r="L3" t="s">
        <v>133</v>
      </c>
      <c r="M3" s="2" t="s">
        <v>78</v>
      </c>
      <c r="N3" t="s">
        <v>144</v>
      </c>
      <c r="O3" t="s">
        <v>88</v>
      </c>
      <c r="P3" s="2" t="s">
        <v>20</v>
      </c>
      <c r="Q3" t="s">
        <v>64</v>
      </c>
      <c r="R3" t="s">
        <v>64</v>
      </c>
      <c r="S3" s="82" t="s">
        <v>145</v>
      </c>
      <c r="T3" t="s">
        <v>146</v>
      </c>
      <c r="U3" t="s">
        <v>147</v>
      </c>
      <c r="V3" s="2" t="s">
        <v>148</v>
      </c>
      <c r="W3" s="2" t="s">
        <v>65</v>
      </c>
      <c r="Z3" s="2" t="s">
        <v>115</v>
      </c>
      <c r="AA3" s="2" t="s">
        <v>116</v>
      </c>
      <c r="AB3" s="2" t="s">
        <v>66</v>
      </c>
      <c r="AC3" s="2" t="s">
        <v>67</v>
      </c>
    </row>
    <row r="4" spans="1:29" x14ac:dyDescent="0.25">
      <c r="A4" t="s">
        <v>113</v>
      </c>
      <c r="B4" t="s">
        <v>69</v>
      </c>
      <c r="C4" t="s">
        <v>8</v>
      </c>
      <c r="D4" t="s">
        <v>14</v>
      </c>
      <c r="E4" t="s">
        <v>132</v>
      </c>
      <c r="F4" t="s">
        <v>133</v>
      </c>
      <c r="G4" s="2" t="s">
        <v>8</v>
      </c>
      <c r="H4">
        <v>442180</v>
      </c>
      <c r="I4" s="31" t="s">
        <v>142</v>
      </c>
      <c r="J4" s="2" t="s">
        <v>143</v>
      </c>
      <c r="K4" t="s">
        <v>64</v>
      </c>
      <c r="L4" t="s">
        <v>133</v>
      </c>
      <c r="M4" s="2" t="s">
        <v>78</v>
      </c>
      <c r="N4" t="s">
        <v>144</v>
      </c>
      <c r="O4" t="s">
        <v>89</v>
      </c>
      <c r="P4" s="2" t="s">
        <v>20</v>
      </c>
      <c r="Q4" t="s">
        <v>64</v>
      </c>
      <c r="R4" t="s">
        <v>64</v>
      </c>
      <c r="S4" s="82" t="s">
        <v>145</v>
      </c>
      <c r="T4" t="s">
        <v>146</v>
      </c>
      <c r="U4" t="s">
        <v>147</v>
      </c>
      <c r="V4" s="2" t="s">
        <v>148</v>
      </c>
      <c r="W4" s="2" t="s">
        <v>65</v>
      </c>
      <c r="Z4" s="2" t="s">
        <v>115</v>
      </c>
      <c r="AA4" s="2" t="s">
        <v>116</v>
      </c>
      <c r="AB4" s="2" t="s">
        <v>66</v>
      </c>
      <c r="AC4" s="2" t="s">
        <v>67</v>
      </c>
    </row>
    <row r="5" spans="1:29" x14ac:dyDescent="0.25">
      <c r="A5" t="s">
        <v>113</v>
      </c>
      <c r="B5" t="s">
        <v>69</v>
      </c>
      <c r="C5" t="s">
        <v>8</v>
      </c>
      <c r="D5" t="s">
        <v>14</v>
      </c>
      <c r="E5" t="s">
        <v>132</v>
      </c>
      <c r="F5" t="s">
        <v>133</v>
      </c>
      <c r="G5" s="2" t="s">
        <v>8</v>
      </c>
      <c r="H5">
        <v>442180</v>
      </c>
      <c r="I5" s="31" t="s">
        <v>142</v>
      </c>
      <c r="J5" s="2" t="s">
        <v>143</v>
      </c>
      <c r="K5" t="s">
        <v>64</v>
      </c>
      <c r="L5" t="s">
        <v>133</v>
      </c>
      <c r="M5" s="2" t="s">
        <v>78</v>
      </c>
      <c r="N5" t="s">
        <v>144</v>
      </c>
      <c r="O5" t="s">
        <v>90</v>
      </c>
      <c r="P5" s="2" t="s">
        <v>20</v>
      </c>
      <c r="Q5" t="s">
        <v>64</v>
      </c>
      <c r="R5" t="s">
        <v>64</v>
      </c>
      <c r="S5" s="82" t="s">
        <v>145</v>
      </c>
      <c r="T5" t="s">
        <v>146</v>
      </c>
      <c r="U5" t="s">
        <v>147</v>
      </c>
      <c r="V5" s="2" t="s">
        <v>148</v>
      </c>
      <c r="W5" s="2" t="s">
        <v>65</v>
      </c>
      <c r="Z5" s="2" t="s">
        <v>115</v>
      </c>
      <c r="AA5" s="2" t="s">
        <v>116</v>
      </c>
      <c r="AB5" s="2" t="s">
        <v>66</v>
      </c>
      <c r="AC5" s="2" t="s">
        <v>67</v>
      </c>
    </row>
    <row r="6" spans="1:29" x14ac:dyDescent="0.25">
      <c r="A6" t="s">
        <v>113</v>
      </c>
      <c r="B6" t="s">
        <v>69</v>
      </c>
      <c r="C6" t="s">
        <v>8</v>
      </c>
      <c r="D6" t="s">
        <v>14</v>
      </c>
      <c r="E6" t="s">
        <v>132</v>
      </c>
      <c r="F6" t="s">
        <v>133</v>
      </c>
      <c r="G6" s="2" t="s">
        <v>8</v>
      </c>
      <c r="H6">
        <v>442180</v>
      </c>
      <c r="I6" s="31" t="s">
        <v>142</v>
      </c>
      <c r="J6" s="2" t="s">
        <v>143</v>
      </c>
      <c r="K6" t="s">
        <v>64</v>
      </c>
      <c r="L6" t="s">
        <v>133</v>
      </c>
      <c r="M6" s="2" t="s">
        <v>78</v>
      </c>
      <c r="N6" t="s">
        <v>144</v>
      </c>
      <c r="O6" t="s">
        <v>35</v>
      </c>
      <c r="P6" s="2" t="s">
        <v>20</v>
      </c>
      <c r="Q6" t="s">
        <v>64</v>
      </c>
      <c r="R6" t="s">
        <v>64</v>
      </c>
      <c r="S6" s="82" t="s">
        <v>145</v>
      </c>
      <c r="T6" t="s">
        <v>146</v>
      </c>
      <c r="U6" t="s">
        <v>147</v>
      </c>
      <c r="V6" s="2" t="s">
        <v>148</v>
      </c>
      <c r="W6" s="2" t="s">
        <v>65</v>
      </c>
      <c r="Z6" s="2" t="s">
        <v>115</v>
      </c>
      <c r="AA6" s="2" t="s">
        <v>116</v>
      </c>
      <c r="AB6" s="2" t="s">
        <v>66</v>
      </c>
      <c r="AC6" s="2" t="s">
        <v>67</v>
      </c>
    </row>
    <row r="7" spans="1:29" x14ac:dyDescent="0.25">
      <c r="A7" t="s">
        <v>113</v>
      </c>
      <c r="B7" t="s">
        <v>69</v>
      </c>
      <c r="C7" t="s">
        <v>8</v>
      </c>
      <c r="D7" t="s">
        <v>14</v>
      </c>
      <c r="E7" t="s">
        <v>132</v>
      </c>
      <c r="F7" t="s">
        <v>133</v>
      </c>
      <c r="G7" s="2" t="s">
        <v>8</v>
      </c>
      <c r="H7">
        <v>442180</v>
      </c>
      <c r="I7" s="31" t="s">
        <v>142</v>
      </c>
      <c r="J7" s="2" t="s">
        <v>143</v>
      </c>
      <c r="K7" t="s">
        <v>64</v>
      </c>
      <c r="L7" t="s">
        <v>133</v>
      </c>
      <c r="M7" s="2" t="s">
        <v>78</v>
      </c>
      <c r="N7" t="s">
        <v>144</v>
      </c>
      <c r="O7" t="s">
        <v>91</v>
      </c>
      <c r="P7" s="2" t="s">
        <v>112</v>
      </c>
      <c r="Q7" t="s">
        <v>64</v>
      </c>
      <c r="R7" t="s">
        <v>64</v>
      </c>
      <c r="S7" s="82" t="s">
        <v>145</v>
      </c>
      <c r="T7" t="s">
        <v>146</v>
      </c>
      <c r="U7" t="s">
        <v>147</v>
      </c>
      <c r="V7" s="2" t="s">
        <v>148</v>
      </c>
      <c r="W7" s="2" t="s">
        <v>65</v>
      </c>
      <c r="Z7" s="2" t="s">
        <v>115</v>
      </c>
      <c r="AA7" s="2" t="s">
        <v>116</v>
      </c>
      <c r="AB7" s="2" t="s">
        <v>66</v>
      </c>
      <c r="AC7" s="2" t="s">
        <v>67</v>
      </c>
    </row>
    <row r="8" spans="1:29" x14ac:dyDescent="0.25">
      <c r="A8" t="s">
        <v>113</v>
      </c>
      <c r="B8" t="s">
        <v>69</v>
      </c>
      <c r="C8" t="s">
        <v>8</v>
      </c>
      <c r="D8" t="s">
        <v>14</v>
      </c>
      <c r="E8" t="s">
        <v>132</v>
      </c>
      <c r="F8" t="s">
        <v>133</v>
      </c>
      <c r="G8" s="2" t="s">
        <v>8</v>
      </c>
      <c r="H8">
        <v>442180</v>
      </c>
      <c r="I8" s="31" t="s">
        <v>142</v>
      </c>
      <c r="J8" s="2" t="s">
        <v>143</v>
      </c>
      <c r="K8" t="s">
        <v>64</v>
      </c>
      <c r="L8" t="s">
        <v>133</v>
      </c>
      <c r="M8" s="2" t="s">
        <v>78</v>
      </c>
      <c r="N8" t="s">
        <v>144</v>
      </c>
      <c r="O8" t="s">
        <v>92</v>
      </c>
      <c r="P8" s="2" t="s">
        <v>20</v>
      </c>
      <c r="Q8" t="s">
        <v>64</v>
      </c>
      <c r="R8" t="s">
        <v>64</v>
      </c>
      <c r="S8" s="82" t="s">
        <v>145</v>
      </c>
      <c r="T8" t="s">
        <v>146</v>
      </c>
      <c r="U8" t="s">
        <v>147</v>
      </c>
      <c r="V8" s="2" t="s">
        <v>148</v>
      </c>
      <c r="W8" s="2" t="s">
        <v>65</v>
      </c>
      <c r="Z8" s="2" t="s">
        <v>115</v>
      </c>
      <c r="AA8" s="2" t="s">
        <v>116</v>
      </c>
      <c r="AB8" s="2" t="s">
        <v>66</v>
      </c>
      <c r="AC8" s="2" t="s">
        <v>67</v>
      </c>
    </row>
    <row r="9" spans="1:29" x14ac:dyDescent="0.25">
      <c r="A9" t="s">
        <v>113</v>
      </c>
      <c r="B9" t="s">
        <v>69</v>
      </c>
      <c r="C9" t="s">
        <v>8</v>
      </c>
      <c r="D9" t="s">
        <v>14</v>
      </c>
      <c r="E9" t="s">
        <v>132</v>
      </c>
      <c r="F9" t="s">
        <v>133</v>
      </c>
      <c r="G9" s="2" t="s">
        <v>8</v>
      </c>
      <c r="H9">
        <v>442180</v>
      </c>
      <c r="I9" s="31" t="s">
        <v>142</v>
      </c>
      <c r="J9" s="2" t="s">
        <v>143</v>
      </c>
      <c r="K9" t="s">
        <v>64</v>
      </c>
      <c r="L9" t="s">
        <v>133</v>
      </c>
      <c r="M9" s="2" t="s">
        <v>78</v>
      </c>
      <c r="N9" t="s">
        <v>144</v>
      </c>
      <c r="O9" t="s">
        <v>93</v>
      </c>
      <c r="P9" s="2" t="s">
        <v>20</v>
      </c>
      <c r="Q9" t="s">
        <v>64</v>
      </c>
      <c r="R9" t="s">
        <v>64</v>
      </c>
      <c r="S9" s="82" t="s">
        <v>145</v>
      </c>
      <c r="T9" t="s">
        <v>146</v>
      </c>
      <c r="U9" t="s">
        <v>147</v>
      </c>
      <c r="V9" s="2" t="s">
        <v>148</v>
      </c>
      <c r="W9" s="2" t="s">
        <v>65</v>
      </c>
      <c r="Z9" s="2" t="s">
        <v>115</v>
      </c>
      <c r="AA9" s="2" t="s">
        <v>116</v>
      </c>
      <c r="AB9" s="2" t="s">
        <v>66</v>
      </c>
      <c r="AC9" s="2" t="s">
        <v>67</v>
      </c>
    </row>
    <row r="10" spans="1:29" x14ac:dyDescent="0.25">
      <c r="A10" t="s">
        <v>113</v>
      </c>
      <c r="B10" t="s">
        <v>69</v>
      </c>
      <c r="C10" t="s">
        <v>8</v>
      </c>
      <c r="D10" t="s">
        <v>14</v>
      </c>
      <c r="E10" t="s">
        <v>132</v>
      </c>
      <c r="F10" t="s">
        <v>133</v>
      </c>
      <c r="G10" s="2" t="s">
        <v>8</v>
      </c>
      <c r="H10">
        <v>442180</v>
      </c>
      <c r="I10" s="31" t="s">
        <v>142</v>
      </c>
      <c r="J10" s="2" t="s">
        <v>143</v>
      </c>
      <c r="K10" t="s">
        <v>64</v>
      </c>
      <c r="L10" t="s">
        <v>133</v>
      </c>
      <c r="M10" s="2" t="s">
        <v>78</v>
      </c>
      <c r="N10" t="s">
        <v>144</v>
      </c>
      <c r="O10" t="s">
        <v>94</v>
      </c>
      <c r="P10" s="2" t="s">
        <v>112</v>
      </c>
      <c r="Q10" t="s">
        <v>64</v>
      </c>
      <c r="R10" t="s">
        <v>64</v>
      </c>
      <c r="S10" s="82" t="s">
        <v>145</v>
      </c>
      <c r="T10" t="s">
        <v>146</v>
      </c>
      <c r="U10" t="s">
        <v>147</v>
      </c>
      <c r="V10" s="2" t="s">
        <v>148</v>
      </c>
      <c r="W10" s="2" t="s">
        <v>65</v>
      </c>
      <c r="Z10" s="2" t="s">
        <v>115</v>
      </c>
      <c r="AA10" s="2" t="s">
        <v>116</v>
      </c>
      <c r="AB10" s="2" t="s">
        <v>66</v>
      </c>
      <c r="AC10" s="2" t="s">
        <v>67</v>
      </c>
    </row>
    <row r="11" spans="1:29" x14ac:dyDescent="0.25">
      <c r="A11" t="s">
        <v>113</v>
      </c>
      <c r="B11" t="s">
        <v>69</v>
      </c>
      <c r="C11" t="s">
        <v>8</v>
      </c>
      <c r="D11" t="s">
        <v>14</v>
      </c>
      <c r="E11" t="s">
        <v>132</v>
      </c>
      <c r="F11" t="s">
        <v>133</v>
      </c>
      <c r="G11" s="2" t="s">
        <v>8</v>
      </c>
      <c r="H11">
        <v>442180</v>
      </c>
      <c r="I11" s="31" t="s">
        <v>142</v>
      </c>
      <c r="J11" s="2" t="s">
        <v>143</v>
      </c>
      <c r="K11" t="s">
        <v>64</v>
      </c>
      <c r="L11" t="s">
        <v>133</v>
      </c>
      <c r="M11" s="2" t="s">
        <v>78</v>
      </c>
      <c r="N11" t="s">
        <v>144</v>
      </c>
      <c r="O11" t="s">
        <v>95</v>
      </c>
      <c r="P11" s="2" t="s">
        <v>112</v>
      </c>
      <c r="Q11" t="s">
        <v>64</v>
      </c>
      <c r="R11" t="s">
        <v>64</v>
      </c>
      <c r="S11" s="82" t="s">
        <v>145</v>
      </c>
      <c r="T11" t="s">
        <v>146</v>
      </c>
      <c r="U11" t="s">
        <v>147</v>
      </c>
      <c r="V11" s="2" t="s">
        <v>148</v>
      </c>
      <c r="W11" s="2" t="s">
        <v>65</v>
      </c>
      <c r="Z11" s="2" t="s">
        <v>115</v>
      </c>
      <c r="AA11" s="2" t="s">
        <v>116</v>
      </c>
      <c r="AB11" s="2" t="s">
        <v>66</v>
      </c>
      <c r="AC11" s="2" t="s">
        <v>67</v>
      </c>
    </row>
    <row r="12" spans="1:29" x14ac:dyDescent="0.25">
      <c r="A12" t="s">
        <v>113</v>
      </c>
      <c r="B12" t="s">
        <v>69</v>
      </c>
      <c r="C12" t="s">
        <v>8</v>
      </c>
      <c r="D12" t="s">
        <v>14</v>
      </c>
      <c r="E12" t="s">
        <v>132</v>
      </c>
      <c r="F12" t="s">
        <v>133</v>
      </c>
      <c r="G12" s="2" t="s">
        <v>8</v>
      </c>
      <c r="H12">
        <v>442180</v>
      </c>
      <c r="I12" s="31" t="s">
        <v>142</v>
      </c>
      <c r="J12" s="2" t="s">
        <v>143</v>
      </c>
      <c r="K12" t="s">
        <v>64</v>
      </c>
      <c r="L12" t="s">
        <v>133</v>
      </c>
      <c r="M12" s="2" t="s">
        <v>78</v>
      </c>
      <c r="N12" t="s">
        <v>144</v>
      </c>
      <c r="O12" t="s">
        <v>96</v>
      </c>
      <c r="P12" s="2" t="s">
        <v>20</v>
      </c>
      <c r="Q12" t="s">
        <v>64</v>
      </c>
      <c r="R12" t="s">
        <v>64</v>
      </c>
      <c r="S12" s="82" t="s">
        <v>145</v>
      </c>
      <c r="T12" t="s">
        <v>146</v>
      </c>
      <c r="U12" t="s">
        <v>147</v>
      </c>
      <c r="V12" s="2" t="s">
        <v>148</v>
      </c>
      <c r="W12" s="2" t="s">
        <v>65</v>
      </c>
      <c r="Z12" s="2" t="s">
        <v>115</v>
      </c>
      <c r="AA12" s="2" t="s">
        <v>116</v>
      </c>
      <c r="AB12" s="2" t="s">
        <v>66</v>
      </c>
      <c r="AC12" s="2" t="s">
        <v>67</v>
      </c>
    </row>
    <row r="13" spans="1:29" x14ac:dyDescent="0.25">
      <c r="A13" t="s">
        <v>113</v>
      </c>
      <c r="B13" t="s">
        <v>69</v>
      </c>
      <c r="C13" t="s">
        <v>8</v>
      </c>
      <c r="D13" t="s">
        <v>14</v>
      </c>
      <c r="E13" t="s">
        <v>132</v>
      </c>
      <c r="F13" t="s">
        <v>133</v>
      </c>
      <c r="G13" s="2" t="s">
        <v>8</v>
      </c>
      <c r="H13">
        <v>442180</v>
      </c>
      <c r="I13" s="31" t="s">
        <v>142</v>
      </c>
      <c r="J13" s="2" t="s">
        <v>143</v>
      </c>
      <c r="K13" t="s">
        <v>64</v>
      </c>
      <c r="L13" t="s">
        <v>133</v>
      </c>
      <c r="M13" s="2" t="s">
        <v>78</v>
      </c>
      <c r="N13" t="s">
        <v>144</v>
      </c>
      <c r="O13" t="s">
        <v>97</v>
      </c>
      <c r="P13" s="2" t="s">
        <v>112</v>
      </c>
      <c r="Q13" t="s">
        <v>64</v>
      </c>
      <c r="R13" t="s">
        <v>64</v>
      </c>
      <c r="S13" s="82" t="s">
        <v>145</v>
      </c>
      <c r="T13" t="s">
        <v>146</v>
      </c>
      <c r="U13" t="s">
        <v>147</v>
      </c>
      <c r="V13" s="2" t="s">
        <v>148</v>
      </c>
      <c r="W13" s="2" t="s">
        <v>65</v>
      </c>
      <c r="Z13" s="2" t="s">
        <v>115</v>
      </c>
      <c r="AA13" s="2" t="s">
        <v>116</v>
      </c>
      <c r="AB13" s="2" t="s">
        <v>66</v>
      </c>
      <c r="AC13" s="2" t="s">
        <v>67</v>
      </c>
    </row>
    <row r="14" spans="1:29" x14ac:dyDescent="0.25">
      <c r="A14" t="s">
        <v>113</v>
      </c>
      <c r="B14" t="s">
        <v>69</v>
      </c>
      <c r="C14" t="s">
        <v>8</v>
      </c>
      <c r="D14" t="s">
        <v>14</v>
      </c>
      <c r="E14" t="s">
        <v>132</v>
      </c>
      <c r="F14" t="s">
        <v>133</v>
      </c>
      <c r="G14" s="2" t="s">
        <v>8</v>
      </c>
      <c r="H14">
        <v>442180</v>
      </c>
      <c r="I14" s="31" t="s">
        <v>142</v>
      </c>
      <c r="J14" s="2" t="s">
        <v>143</v>
      </c>
      <c r="K14" t="s">
        <v>64</v>
      </c>
      <c r="L14" t="s">
        <v>133</v>
      </c>
      <c r="M14" s="2" t="s">
        <v>78</v>
      </c>
      <c r="N14" t="s">
        <v>144</v>
      </c>
      <c r="O14" t="s">
        <v>98</v>
      </c>
      <c r="P14" s="2" t="s">
        <v>20</v>
      </c>
      <c r="Q14" t="s">
        <v>64</v>
      </c>
      <c r="R14" t="s">
        <v>64</v>
      </c>
      <c r="S14" s="82" t="s">
        <v>145</v>
      </c>
      <c r="T14" t="s">
        <v>146</v>
      </c>
      <c r="U14" t="s">
        <v>147</v>
      </c>
      <c r="V14" s="2" t="s">
        <v>148</v>
      </c>
      <c r="W14" s="2" t="s">
        <v>65</v>
      </c>
      <c r="Z14" s="2" t="s">
        <v>115</v>
      </c>
      <c r="AA14" s="2" t="s">
        <v>116</v>
      </c>
      <c r="AB14" s="2" t="s">
        <v>66</v>
      </c>
      <c r="AC14" s="2" t="s">
        <v>67</v>
      </c>
    </row>
    <row r="15" spans="1:29" x14ac:dyDescent="0.25">
      <c r="A15" t="s">
        <v>113</v>
      </c>
      <c r="B15" t="s">
        <v>69</v>
      </c>
      <c r="C15" t="s">
        <v>8</v>
      </c>
      <c r="D15" t="s">
        <v>14</v>
      </c>
      <c r="E15" t="s">
        <v>132</v>
      </c>
      <c r="F15" t="s">
        <v>133</v>
      </c>
      <c r="G15" s="2" t="s">
        <v>8</v>
      </c>
      <c r="H15">
        <v>442180</v>
      </c>
      <c r="I15" s="31" t="s">
        <v>142</v>
      </c>
      <c r="J15" s="2" t="s">
        <v>143</v>
      </c>
      <c r="K15" t="s">
        <v>64</v>
      </c>
      <c r="L15" t="s">
        <v>133</v>
      </c>
      <c r="M15" s="2" t="s">
        <v>78</v>
      </c>
      <c r="N15" t="s">
        <v>144</v>
      </c>
      <c r="O15" t="s">
        <v>99</v>
      </c>
      <c r="P15" s="2" t="s">
        <v>20</v>
      </c>
      <c r="Q15" t="s">
        <v>64</v>
      </c>
      <c r="R15" t="s">
        <v>64</v>
      </c>
      <c r="S15" s="82" t="s">
        <v>145</v>
      </c>
      <c r="T15" t="s">
        <v>146</v>
      </c>
      <c r="U15" t="s">
        <v>147</v>
      </c>
      <c r="V15" s="2" t="s">
        <v>148</v>
      </c>
      <c r="W15" s="2" t="s">
        <v>65</v>
      </c>
      <c r="Z15" s="2" t="s">
        <v>115</v>
      </c>
      <c r="AA15" s="2" t="s">
        <v>116</v>
      </c>
      <c r="AB15" s="2" t="s">
        <v>66</v>
      </c>
      <c r="AC15" s="2" t="s">
        <v>67</v>
      </c>
    </row>
    <row r="16" spans="1:29" x14ac:dyDescent="0.25">
      <c r="A16" t="s">
        <v>113</v>
      </c>
      <c r="B16" t="s">
        <v>69</v>
      </c>
      <c r="C16" t="s">
        <v>8</v>
      </c>
      <c r="D16" t="s">
        <v>14</v>
      </c>
      <c r="E16" t="s">
        <v>132</v>
      </c>
      <c r="F16" t="s">
        <v>133</v>
      </c>
      <c r="G16" s="2" t="s">
        <v>8</v>
      </c>
      <c r="H16">
        <v>442180</v>
      </c>
      <c r="I16" s="31" t="s">
        <v>142</v>
      </c>
      <c r="J16" s="2" t="s">
        <v>143</v>
      </c>
      <c r="K16" t="s">
        <v>64</v>
      </c>
      <c r="L16" t="s">
        <v>133</v>
      </c>
      <c r="M16" s="2" t="s">
        <v>78</v>
      </c>
      <c r="N16" t="s">
        <v>144</v>
      </c>
      <c r="O16" t="s">
        <v>100</v>
      </c>
      <c r="P16" s="2" t="s">
        <v>20</v>
      </c>
      <c r="Q16" t="s">
        <v>64</v>
      </c>
      <c r="R16" t="s">
        <v>64</v>
      </c>
      <c r="S16" s="82" t="s">
        <v>145</v>
      </c>
      <c r="T16" t="s">
        <v>146</v>
      </c>
      <c r="U16" t="s">
        <v>147</v>
      </c>
      <c r="V16" s="2" t="s">
        <v>148</v>
      </c>
      <c r="W16" s="2" t="s">
        <v>65</v>
      </c>
      <c r="Z16" s="2" t="s">
        <v>115</v>
      </c>
      <c r="AA16" s="2" t="s">
        <v>116</v>
      </c>
      <c r="AB16" s="2" t="s">
        <v>66</v>
      </c>
      <c r="AC16" s="2" t="s">
        <v>67</v>
      </c>
    </row>
    <row r="17" spans="1:29" x14ac:dyDescent="0.25">
      <c r="A17" t="s">
        <v>113</v>
      </c>
      <c r="B17" t="s">
        <v>69</v>
      </c>
      <c r="C17" t="s">
        <v>8</v>
      </c>
      <c r="D17" t="s">
        <v>14</v>
      </c>
      <c r="E17" t="s">
        <v>132</v>
      </c>
      <c r="F17" t="s">
        <v>133</v>
      </c>
      <c r="G17" s="2" t="s">
        <v>8</v>
      </c>
      <c r="H17">
        <v>442180</v>
      </c>
      <c r="I17" s="31" t="s">
        <v>142</v>
      </c>
      <c r="J17" s="2" t="s">
        <v>143</v>
      </c>
      <c r="K17" t="s">
        <v>64</v>
      </c>
      <c r="L17" t="s">
        <v>133</v>
      </c>
      <c r="M17" s="2" t="s">
        <v>78</v>
      </c>
      <c r="N17" t="s">
        <v>144</v>
      </c>
      <c r="O17" t="s">
        <v>101</v>
      </c>
      <c r="P17" s="2" t="s">
        <v>20</v>
      </c>
      <c r="Q17" t="s">
        <v>64</v>
      </c>
      <c r="R17" t="s">
        <v>64</v>
      </c>
      <c r="S17" s="82" t="s">
        <v>145</v>
      </c>
      <c r="T17" t="s">
        <v>146</v>
      </c>
      <c r="U17" t="s">
        <v>147</v>
      </c>
      <c r="V17" s="2" t="s">
        <v>148</v>
      </c>
      <c r="W17" s="2" t="s">
        <v>65</v>
      </c>
      <c r="Z17" s="2" t="s">
        <v>115</v>
      </c>
      <c r="AA17" s="2" t="s">
        <v>116</v>
      </c>
      <c r="AB17" s="2" t="s">
        <v>66</v>
      </c>
      <c r="AC17" s="2" t="s">
        <v>67</v>
      </c>
    </row>
    <row r="18" spans="1:29" x14ac:dyDescent="0.25">
      <c r="A18" t="s">
        <v>113</v>
      </c>
      <c r="B18" t="s">
        <v>69</v>
      </c>
      <c r="C18" t="s">
        <v>8</v>
      </c>
      <c r="D18" t="s">
        <v>14</v>
      </c>
      <c r="E18" t="s">
        <v>132</v>
      </c>
      <c r="F18" t="s">
        <v>133</v>
      </c>
      <c r="G18" s="2" t="s">
        <v>8</v>
      </c>
      <c r="H18">
        <v>442180</v>
      </c>
      <c r="I18" s="31" t="s">
        <v>142</v>
      </c>
      <c r="J18" s="2" t="s">
        <v>143</v>
      </c>
      <c r="K18" t="s">
        <v>64</v>
      </c>
      <c r="L18" t="s">
        <v>133</v>
      </c>
      <c r="M18" s="2" t="s">
        <v>78</v>
      </c>
      <c r="N18" t="s">
        <v>144</v>
      </c>
      <c r="O18" t="s">
        <v>102</v>
      </c>
      <c r="P18" s="2" t="s">
        <v>20</v>
      </c>
      <c r="Q18" t="s">
        <v>64</v>
      </c>
      <c r="R18" t="s">
        <v>64</v>
      </c>
      <c r="S18" s="82" t="s">
        <v>145</v>
      </c>
      <c r="T18" t="s">
        <v>146</v>
      </c>
      <c r="U18" t="s">
        <v>147</v>
      </c>
      <c r="V18" s="2" t="s">
        <v>148</v>
      </c>
      <c r="W18" s="2" t="s">
        <v>65</v>
      </c>
      <c r="Z18" s="2" t="s">
        <v>115</v>
      </c>
      <c r="AA18" s="2" t="s">
        <v>116</v>
      </c>
      <c r="AB18" s="2" t="s">
        <v>66</v>
      </c>
      <c r="AC18" s="2" t="s">
        <v>67</v>
      </c>
    </row>
    <row r="19" spans="1:29" x14ac:dyDescent="0.25">
      <c r="A19" t="s">
        <v>113</v>
      </c>
      <c r="B19" t="s">
        <v>69</v>
      </c>
      <c r="C19" t="s">
        <v>8</v>
      </c>
      <c r="D19" t="s">
        <v>14</v>
      </c>
      <c r="E19" t="s">
        <v>132</v>
      </c>
      <c r="F19" t="s">
        <v>133</v>
      </c>
      <c r="G19" s="2" t="s">
        <v>8</v>
      </c>
      <c r="H19">
        <v>442180</v>
      </c>
      <c r="I19" s="31" t="s">
        <v>142</v>
      </c>
      <c r="J19" s="2" t="s">
        <v>143</v>
      </c>
      <c r="K19" t="s">
        <v>64</v>
      </c>
      <c r="L19" t="s">
        <v>133</v>
      </c>
      <c r="M19" s="2" t="s">
        <v>78</v>
      </c>
      <c r="N19" t="s">
        <v>144</v>
      </c>
      <c r="O19" t="s">
        <v>103</v>
      </c>
      <c r="P19" s="2" t="s">
        <v>20</v>
      </c>
      <c r="Q19" t="s">
        <v>64</v>
      </c>
      <c r="R19" t="s">
        <v>64</v>
      </c>
      <c r="S19" s="82" t="s">
        <v>145</v>
      </c>
      <c r="T19" t="s">
        <v>146</v>
      </c>
      <c r="U19" t="s">
        <v>147</v>
      </c>
      <c r="V19" s="2" t="s">
        <v>148</v>
      </c>
      <c r="W19" s="2" t="s">
        <v>65</v>
      </c>
      <c r="Z19" s="2" t="s">
        <v>115</v>
      </c>
      <c r="AA19" s="2" t="s">
        <v>116</v>
      </c>
      <c r="AB19" s="2" t="s">
        <v>66</v>
      </c>
      <c r="AC19" s="2" t="s">
        <v>67</v>
      </c>
    </row>
    <row r="20" spans="1:29" x14ac:dyDescent="0.25">
      <c r="A20" t="s">
        <v>113</v>
      </c>
      <c r="B20" t="s">
        <v>69</v>
      </c>
      <c r="C20" t="s">
        <v>8</v>
      </c>
      <c r="D20" t="s">
        <v>14</v>
      </c>
      <c r="E20" t="s">
        <v>132</v>
      </c>
      <c r="F20" t="s">
        <v>133</v>
      </c>
      <c r="G20" s="2" t="s">
        <v>8</v>
      </c>
      <c r="H20">
        <v>442180</v>
      </c>
      <c r="I20" s="31" t="s">
        <v>142</v>
      </c>
      <c r="J20" s="2" t="s">
        <v>143</v>
      </c>
      <c r="K20" t="s">
        <v>64</v>
      </c>
      <c r="L20" t="s">
        <v>133</v>
      </c>
      <c r="M20" s="2" t="s">
        <v>78</v>
      </c>
      <c r="N20" t="s">
        <v>144</v>
      </c>
      <c r="O20" t="s">
        <v>104</v>
      </c>
      <c r="P20" s="2" t="s">
        <v>20</v>
      </c>
      <c r="Q20" t="s">
        <v>64</v>
      </c>
      <c r="R20" t="s">
        <v>64</v>
      </c>
      <c r="S20" s="82" t="s">
        <v>145</v>
      </c>
      <c r="T20" t="s">
        <v>146</v>
      </c>
      <c r="U20" t="s">
        <v>147</v>
      </c>
      <c r="V20" s="2" t="s">
        <v>148</v>
      </c>
      <c r="W20" s="2" t="s">
        <v>65</v>
      </c>
      <c r="Z20" s="2" t="s">
        <v>115</v>
      </c>
      <c r="AA20" s="2" t="s">
        <v>116</v>
      </c>
      <c r="AB20" s="2" t="s">
        <v>66</v>
      </c>
      <c r="AC20" s="2" t="s">
        <v>67</v>
      </c>
    </row>
    <row r="21" spans="1:29" x14ac:dyDescent="0.25">
      <c r="A21" t="s">
        <v>113</v>
      </c>
      <c r="B21" t="s">
        <v>69</v>
      </c>
      <c r="C21" t="s">
        <v>8</v>
      </c>
      <c r="D21" t="s">
        <v>14</v>
      </c>
      <c r="E21" t="s">
        <v>132</v>
      </c>
      <c r="F21" t="s">
        <v>133</v>
      </c>
      <c r="G21" s="2" t="s">
        <v>8</v>
      </c>
      <c r="H21">
        <v>442180</v>
      </c>
      <c r="I21" s="31" t="s">
        <v>142</v>
      </c>
      <c r="J21" s="2" t="s">
        <v>143</v>
      </c>
      <c r="K21" t="s">
        <v>64</v>
      </c>
      <c r="L21" t="s">
        <v>133</v>
      </c>
      <c r="M21" s="2" t="s">
        <v>78</v>
      </c>
      <c r="N21" t="s">
        <v>144</v>
      </c>
      <c r="O21" t="s">
        <v>125</v>
      </c>
      <c r="P21" s="2" t="s">
        <v>20</v>
      </c>
      <c r="Q21" t="s">
        <v>64</v>
      </c>
      <c r="R21" t="s">
        <v>64</v>
      </c>
      <c r="S21" s="82" t="s">
        <v>145</v>
      </c>
      <c r="T21" t="s">
        <v>146</v>
      </c>
      <c r="U21" t="s">
        <v>147</v>
      </c>
      <c r="V21" s="2" t="s">
        <v>148</v>
      </c>
      <c r="W21" s="2" t="s">
        <v>65</v>
      </c>
      <c r="Z21" s="2" t="s">
        <v>115</v>
      </c>
      <c r="AA21" s="2" t="s">
        <v>116</v>
      </c>
      <c r="AB21" s="2" t="s">
        <v>66</v>
      </c>
      <c r="AC21" s="2" t="s">
        <v>67</v>
      </c>
    </row>
    <row r="22" spans="1:29" x14ac:dyDescent="0.25">
      <c r="A22" t="s">
        <v>113</v>
      </c>
      <c r="B22" t="s">
        <v>69</v>
      </c>
      <c r="C22" t="s">
        <v>8</v>
      </c>
      <c r="D22" t="s">
        <v>14</v>
      </c>
      <c r="E22" t="s">
        <v>132</v>
      </c>
      <c r="F22" t="s">
        <v>133</v>
      </c>
      <c r="G22" s="2" t="s">
        <v>8</v>
      </c>
      <c r="H22">
        <v>442180</v>
      </c>
      <c r="I22" s="31" t="s">
        <v>142</v>
      </c>
      <c r="J22" s="2" t="s">
        <v>143</v>
      </c>
      <c r="K22" t="s">
        <v>64</v>
      </c>
      <c r="L22" t="s">
        <v>133</v>
      </c>
      <c r="M22" s="2" t="s">
        <v>78</v>
      </c>
      <c r="N22" t="s">
        <v>144</v>
      </c>
      <c r="O22" t="s">
        <v>105</v>
      </c>
      <c r="P22" s="2" t="s">
        <v>131</v>
      </c>
      <c r="Q22" t="s">
        <v>64</v>
      </c>
      <c r="R22" t="s">
        <v>64</v>
      </c>
      <c r="S22" s="82" t="s">
        <v>145</v>
      </c>
      <c r="T22" t="s">
        <v>146</v>
      </c>
      <c r="U22" t="s">
        <v>147</v>
      </c>
      <c r="V22" s="2" t="s">
        <v>148</v>
      </c>
      <c r="W22" s="2" t="s">
        <v>65</v>
      </c>
      <c r="Z22" s="2" t="s">
        <v>115</v>
      </c>
      <c r="AA22" s="2" t="s">
        <v>116</v>
      </c>
      <c r="AB22" s="2" t="s">
        <v>66</v>
      </c>
      <c r="AC22" s="2" t="s">
        <v>67</v>
      </c>
    </row>
    <row r="23" spans="1:29" x14ac:dyDescent="0.25">
      <c r="A23" t="s">
        <v>113</v>
      </c>
      <c r="B23" t="s">
        <v>69</v>
      </c>
      <c r="C23" t="s">
        <v>8</v>
      </c>
      <c r="D23" t="s">
        <v>14</v>
      </c>
      <c r="E23" t="s">
        <v>132</v>
      </c>
      <c r="F23" t="s">
        <v>133</v>
      </c>
      <c r="G23" s="2" t="s">
        <v>8</v>
      </c>
      <c r="H23">
        <v>442180</v>
      </c>
      <c r="I23" s="31" t="s">
        <v>142</v>
      </c>
      <c r="J23" s="2" t="s">
        <v>143</v>
      </c>
      <c r="K23" t="s">
        <v>64</v>
      </c>
      <c r="L23" t="s">
        <v>133</v>
      </c>
      <c r="M23" s="2" t="s">
        <v>78</v>
      </c>
      <c r="N23" t="s">
        <v>144</v>
      </c>
      <c r="O23" t="s">
        <v>140</v>
      </c>
      <c r="P23" s="2" t="s">
        <v>20</v>
      </c>
      <c r="Q23" t="s">
        <v>64</v>
      </c>
      <c r="R23" t="s">
        <v>64</v>
      </c>
      <c r="S23" s="82" t="s">
        <v>145</v>
      </c>
      <c r="T23" t="s">
        <v>146</v>
      </c>
      <c r="U23" t="s">
        <v>147</v>
      </c>
      <c r="V23" s="2" t="s">
        <v>148</v>
      </c>
      <c r="W23" s="2" t="s">
        <v>65</v>
      </c>
      <c r="Z23" s="2" t="s">
        <v>115</v>
      </c>
      <c r="AA23" s="2" t="s">
        <v>116</v>
      </c>
      <c r="AB23" s="2" t="s">
        <v>66</v>
      </c>
      <c r="AC23" s="2" t="s">
        <v>67</v>
      </c>
    </row>
    <row r="24" spans="1:29" x14ac:dyDescent="0.25">
      <c r="A24" t="s">
        <v>113</v>
      </c>
      <c r="B24" t="s">
        <v>69</v>
      </c>
      <c r="C24" t="s">
        <v>8</v>
      </c>
      <c r="D24" t="s">
        <v>14</v>
      </c>
      <c r="E24" t="s">
        <v>132</v>
      </c>
      <c r="F24" t="s">
        <v>133</v>
      </c>
      <c r="G24" s="2" t="s">
        <v>8</v>
      </c>
      <c r="H24">
        <v>442180</v>
      </c>
      <c r="I24" s="31" t="s">
        <v>142</v>
      </c>
      <c r="J24" s="2" t="s">
        <v>143</v>
      </c>
      <c r="K24" t="s">
        <v>64</v>
      </c>
      <c r="L24" t="s">
        <v>133</v>
      </c>
      <c r="M24" s="2" t="s">
        <v>78</v>
      </c>
      <c r="N24" t="s">
        <v>144</v>
      </c>
      <c r="O24" t="s">
        <v>128</v>
      </c>
      <c r="P24" s="2" t="s">
        <v>20</v>
      </c>
      <c r="Q24" t="s">
        <v>64</v>
      </c>
      <c r="R24" t="s">
        <v>64</v>
      </c>
      <c r="S24" s="82" t="s">
        <v>145</v>
      </c>
      <c r="T24" t="s">
        <v>146</v>
      </c>
      <c r="U24" t="s">
        <v>147</v>
      </c>
      <c r="V24" s="2" t="s">
        <v>148</v>
      </c>
      <c r="W24" s="2" t="s">
        <v>65</v>
      </c>
      <c r="Z24" s="2" t="s">
        <v>115</v>
      </c>
      <c r="AA24" s="2" t="s">
        <v>116</v>
      </c>
      <c r="AB24" s="2" t="s">
        <v>66</v>
      </c>
      <c r="AC24" s="2" t="s">
        <v>67</v>
      </c>
    </row>
    <row r="25" spans="1:29" x14ac:dyDescent="0.25">
      <c r="A25" t="s">
        <v>113</v>
      </c>
      <c r="B25" t="s">
        <v>69</v>
      </c>
      <c r="C25" t="s">
        <v>8</v>
      </c>
      <c r="D25" t="s">
        <v>14</v>
      </c>
      <c r="E25" t="s">
        <v>132</v>
      </c>
      <c r="F25" t="s">
        <v>133</v>
      </c>
      <c r="G25" s="2" t="s">
        <v>8</v>
      </c>
      <c r="H25">
        <v>442180</v>
      </c>
      <c r="I25" s="31" t="s">
        <v>142</v>
      </c>
      <c r="J25" s="2" t="s">
        <v>143</v>
      </c>
      <c r="K25" t="s">
        <v>64</v>
      </c>
      <c r="L25" t="s">
        <v>133</v>
      </c>
      <c r="M25" s="2" t="s">
        <v>78</v>
      </c>
      <c r="N25" t="s">
        <v>144</v>
      </c>
      <c r="O25" t="s">
        <v>129</v>
      </c>
      <c r="P25" s="2" t="s">
        <v>20</v>
      </c>
      <c r="Q25" t="s">
        <v>64</v>
      </c>
      <c r="R25" t="s">
        <v>64</v>
      </c>
      <c r="S25" s="82" t="s">
        <v>145</v>
      </c>
      <c r="T25" t="s">
        <v>146</v>
      </c>
      <c r="U25" t="s">
        <v>147</v>
      </c>
      <c r="V25" s="2" t="s">
        <v>148</v>
      </c>
      <c r="W25" s="2" t="s">
        <v>65</v>
      </c>
      <c r="Z25" s="2" t="s">
        <v>115</v>
      </c>
      <c r="AA25" s="2" t="s">
        <v>116</v>
      </c>
      <c r="AB25" s="2" t="s">
        <v>66</v>
      </c>
      <c r="AC25" s="2" t="s">
        <v>67</v>
      </c>
    </row>
    <row r="26" spans="1:29" x14ac:dyDescent="0.25">
      <c r="A26" t="s">
        <v>113</v>
      </c>
      <c r="B26" t="s">
        <v>69</v>
      </c>
      <c r="C26" t="s">
        <v>8</v>
      </c>
      <c r="D26" t="s">
        <v>14</v>
      </c>
      <c r="E26" t="s">
        <v>132</v>
      </c>
      <c r="F26" t="s">
        <v>133</v>
      </c>
      <c r="G26" s="2" t="s">
        <v>8</v>
      </c>
      <c r="H26">
        <v>442180</v>
      </c>
      <c r="I26" s="31" t="s">
        <v>142</v>
      </c>
      <c r="J26" s="2" t="s">
        <v>143</v>
      </c>
      <c r="K26" t="s">
        <v>64</v>
      </c>
      <c r="L26" t="s">
        <v>133</v>
      </c>
      <c r="M26" s="2" t="s">
        <v>78</v>
      </c>
      <c r="N26" t="s">
        <v>144</v>
      </c>
      <c r="O26" t="s">
        <v>106</v>
      </c>
      <c r="P26" s="2" t="s">
        <v>20</v>
      </c>
      <c r="Q26" t="s">
        <v>64</v>
      </c>
      <c r="R26" t="s">
        <v>64</v>
      </c>
      <c r="S26" s="82" t="s">
        <v>145</v>
      </c>
      <c r="T26" t="s">
        <v>146</v>
      </c>
      <c r="U26" t="s">
        <v>147</v>
      </c>
      <c r="V26" s="2" t="s">
        <v>148</v>
      </c>
      <c r="W26" s="2" t="s">
        <v>65</v>
      </c>
      <c r="Z26" s="2" t="s">
        <v>115</v>
      </c>
      <c r="AA26" s="2" t="s">
        <v>116</v>
      </c>
      <c r="AB26" s="2" t="s">
        <v>66</v>
      </c>
      <c r="AC26" s="2" t="s">
        <v>67</v>
      </c>
    </row>
    <row r="27" spans="1:29" x14ac:dyDescent="0.25">
      <c r="A27" t="s">
        <v>113</v>
      </c>
      <c r="B27" t="s">
        <v>69</v>
      </c>
      <c r="C27" t="s">
        <v>8</v>
      </c>
      <c r="D27" t="s">
        <v>14</v>
      </c>
      <c r="E27" t="s">
        <v>132</v>
      </c>
      <c r="F27" t="s">
        <v>133</v>
      </c>
      <c r="G27" s="2" t="s">
        <v>8</v>
      </c>
      <c r="H27">
        <v>442180</v>
      </c>
      <c r="I27" s="31" t="s">
        <v>142</v>
      </c>
      <c r="J27" s="2" t="s">
        <v>143</v>
      </c>
      <c r="K27" t="s">
        <v>64</v>
      </c>
      <c r="L27" t="s">
        <v>133</v>
      </c>
      <c r="M27" s="2" t="s">
        <v>78</v>
      </c>
      <c r="N27" t="s">
        <v>144</v>
      </c>
      <c r="O27" t="s">
        <v>107</v>
      </c>
      <c r="P27" s="2" t="s">
        <v>149</v>
      </c>
      <c r="Q27" t="s">
        <v>64</v>
      </c>
      <c r="R27" t="s">
        <v>64</v>
      </c>
      <c r="S27" s="82" t="s">
        <v>145</v>
      </c>
      <c r="T27" t="s">
        <v>146</v>
      </c>
      <c r="U27" t="s">
        <v>147</v>
      </c>
      <c r="V27" s="2" t="s">
        <v>148</v>
      </c>
      <c r="W27" s="2" t="s">
        <v>65</v>
      </c>
      <c r="Z27" s="2" t="s">
        <v>115</v>
      </c>
      <c r="AA27" s="2" t="s">
        <v>116</v>
      </c>
      <c r="AB27" s="2" t="s">
        <v>66</v>
      </c>
      <c r="AC27" s="2" t="s">
        <v>67</v>
      </c>
    </row>
    <row r="28" spans="1:29" x14ac:dyDescent="0.25">
      <c r="A28" t="s">
        <v>113</v>
      </c>
      <c r="B28" t="s">
        <v>69</v>
      </c>
      <c r="C28" t="s">
        <v>8</v>
      </c>
      <c r="D28" t="s">
        <v>43</v>
      </c>
      <c r="E28" t="s">
        <v>132</v>
      </c>
      <c r="F28" t="s">
        <v>133</v>
      </c>
      <c r="G28" s="2" t="s">
        <v>8</v>
      </c>
      <c r="H28">
        <v>201118</v>
      </c>
      <c r="I28" s="31" t="s">
        <v>150</v>
      </c>
      <c r="J28" s="2" t="s">
        <v>151</v>
      </c>
      <c r="K28" t="s">
        <v>64</v>
      </c>
      <c r="L28" t="s">
        <v>133</v>
      </c>
      <c r="M28" s="2" t="s">
        <v>78</v>
      </c>
      <c r="N28" t="s">
        <v>144</v>
      </c>
      <c r="O28" t="s">
        <v>87</v>
      </c>
      <c r="P28" s="2" t="s">
        <v>20</v>
      </c>
      <c r="Q28" t="s">
        <v>64</v>
      </c>
      <c r="R28" t="s">
        <v>64</v>
      </c>
      <c r="S28" s="82" t="s">
        <v>152</v>
      </c>
      <c r="T28" t="s">
        <v>153</v>
      </c>
      <c r="U28" t="s">
        <v>154</v>
      </c>
      <c r="V28" s="2" t="s">
        <v>155</v>
      </c>
      <c r="W28" s="2" t="s">
        <v>65</v>
      </c>
      <c r="Z28" s="2" t="s">
        <v>115</v>
      </c>
      <c r="AA28" s="2" t="s">
        <v>116</v>
      </c>
      <c r="AB28" s="2" t="s">
        <v>66</v>
      </c>
      <c r="AC28" s="2" t="s">
        <v>67</v>
      </c>
    </row>
    <row r="29" spans="1:29" x14ac:dyDescent="0.25">
      <c r="A29" t="s">
        <v>113</v>
      </c>
      <c r="B29" t="s">
        <v>69</v>
      </c>
      <c r="C29" t="s">
        <v>8</v>
      </c>
      <c r="D29" t="s">
        <v>43</v>
      </c>
      <c r="E29" t="s">
        <v>132</v>
      </c>
      <c r="F29" t="s">
        <v>133</v>
      </c>
      <c r="G29" s="2" t="s">
        <v>8</v>
      </c>
      <c r="H29">
        <v>201118</v>
      </c>
      <c r="I29" s="31" t="s">
        <v>150</v>
      </c>
      <c r="J29" s="2" t="s">
        <v>151</v>
      </c>
      <c r="K29" t="s">
        <v>64</v>
      </c>
      <c r="L29" t="s">
        <v>133</v>
      </c>
      <c r="M29" s="2" t="s">
        <v>78</v>
      </c>
      <c r="N29" t="s">
        <v>144</v>
      </c>
      <c r="O29" t="s">
        <v>88</v>
      </c>
      <c r="P29" s="2" t="s">
        <v>20</v>
      </c>
      <c r="Q29" t="s">
        <v>64</v>
      </c>
      <c r="R29" t="s">
        <v>64</v>
      </c>
      <c r="S29" s="82" t="s">
        <v>152</v>
      </c>
      <c r="T29" t="s">
        <v>153</v>
      </c>
      <c r="U29" t="s">
        <v>154</v>
      </c>
      <c r="V29" s="2" t="s">
        <v>155</v>
      </c>
      <c r="W29" s="2" t="s">
        <v>65</v>
      </c>
      <c r="Z29" s="2" t="s">
        <v>115</v>
      </c>
      <c r="AA29" s="2" t="s">
        <v>116</v>
      </c>
      <c r="AB29" s="2" t="s">
        <v>66</v>
      </c>
      <c r="AC29" s="2" t="s">
        <v>67</v>
      </c>
    </row>
    <row r="30" spans="1:29" x14ac:dyDescent="0.25">
      <c r="A30" t="s">
        <v>113</v>
      </c>
      <c r="B30" t="s">
        <v>69</v>
      </c>
      <c r="C30" t="s">
        <v>8</v>
      </c>
      <c r="D30" t="s">
        <v>43</v>
      </c>
      <c r="E30" t="s">
        <v>132</v>
      </c>
      <c r="F30" t="s">
        <v>133</v>
      </c>
      <c r="G30" s="2" t="s">
        <v>8</v>
      </c>
      <c r="H30">
        <v>201118</v>
      </c>
      <c r="I30" s="31" t="s">
        <v>150</v>
      </c>
      <c r="J30" s="2" t="s">
        <v>151</v>
      </c>
      <c r="K30" t="s">
        <v>64</v>
      </c>
      <c r="L30" t="s">
        <v>133</v>
      </c>
      <c r="M30" s="2" t="s">
        <v>78</v>
      </c>
      <c r="N30" t="s">
        <v>144</v>
      </c>
      <c r="O30" t="s">
        <v>89</v>
      </c>
      <c r="P30" s="2" t="s">
        <v>20</v>
      </c>
      <c r="Q30" t="s">
        <v>64</v>
      </c>
      <c r="R30" t="s">
        <v>64</v>
      </c>
      <c r="S30" s="82" t="s">
        <v>152</v>
      </c>
      <c r="T30" t="s">
        <v>153</v>
      </c>
      <c r="U30" t="s">
        <v>154</v>
      </c>
      <c r="V30" s="2" t="s">
        <v>155</v>
      </c>
      <c r="W30" s="2" t="s">
        <v>65</v>
      </c>
      <c r="Z30" s="2" t="s">
        <v>115</v>
      </c>
      <c r="AA30" s="2" t="s">
        <v>116</v>
      </c>
      <c r="AB30" s="2" t="s">
        <v>66</v>
      </c>
      <c r="AC30" s="2" t="s">
        <v>67</v>
      </c>
    </row>
    <row r="31" spans="1:29" x14ac:dyDescent="0.25">
      <c r="A31" t="s">
        <v>113</v>
      </c>
      <c r="B31" t="s">
        <v>69</v>
      </c>
      <c r="C31" t="s">
        <v>8</v>
      </c>
      <c r="D31" t="s">
        <v>43</v>
      </c>
      <c r="E31" t="s">
        <v>132</v>
      </c>
      <c r="F31" t="s">
        <v>133</v>
      </c>
      <c r="G31" s="2" t="s">
        <v>8</v>
      </c>
      <c r="H31">
        <v>201118</v>
      </c>
      <c r="I31" s="31" t="s">
        <v>150</v>
      </c>
      <c r="J31" s="2" t="s">
        <v>151</v>
      </c>
      <c r="K31" t="s">
        <v>64</v>
      </c>
      <c r="L31" t="s">
        <v>133</v>
      </c>
      <c r="M31" s="2" t="s">
        <v>78</v>
      </c>
      <c r="N31" t="s">
        <v>144</v>
      </c>
      <c r="O31" t="s">
        <v>90</v>
      </c>
      <c r="P31" s="2" t="s">
        <v>20</v>
      </c>
      <c r="Q31" t="s">
        <v>64</v>
      </c>
      <c r="R31" t="s">
        <v>64</v>
      </c>
      <c r="S31" s="82" t="s">
        <v>152</v>
      </c>
      <c r="T31" t="s">
        <v>153</v>
      </c>
      <c r="U31" t="s">
        <v>154</v>
      </c>
      <c r="V31" s="2" t="s">
        <v>155</v>
      </c>
      <c r="W31" s="2" t="s">
        <v>65</v>
      </c>
      <c r="Z31" s="2" t="s">
        <v>115</v>
      </c>
      <c r="AA31" s="2" t="s">
        <v>116</v>
      </c>
      <c r="AB31" s="2" t="s">
        <v>66</v>
      </c>
      <c r="AC31" s="2" t="s">
        <v>67</v>
      </c>
    </row>
    <row r="32" spans="1:29" x14ac:dyDescent="0.25">
      <c r="A32" t="s">
        <v>113</v>
      </c>
      <c r="B32" t="s">
        <v>69</v>
      </c>
      <c r="C32" t="s">
        <v>8</v>
      </c>
      <c r="D32" t="s">
        <v>43</v>
      </c>
      <c r="E32" t="s">
        <v>132</v>
      </c>
      <c r="F32" t="s">
        <v>133</v>
      </c>
      <c r="G32" s="2" t="s">
        <v>8</v>
      </c>
      <c r="H32">
        <v>201118</v>
      </c>
      <c r="I32" s="31" t="s">
        <v>150</v>
      </c>
      <c r="J32" s="2" t="s">
        <v>151</v>
      </c>
      <c r="K32" t="s">
        <v>64</v>
      </c>
      <c r="L32" t="s">
        <v>133</v>
      </c>
      <c r="M32" s="2" t="s">
        <v>78</v>
      </c>
      <c r="N32" t="s">
        <v>144</v>
      </c>
      <c r="O32" t="s">
        <v>35</v>
      </c>
      <c r="P32" s="2" t="s">
        <v>20</v>
      </c>
      <c r="Q32" t="s">
        <v>64</v>
      </c>
      <c r="R32" t="s">
        <v>64</v>
      </c>
      <c r="S32" s="82" t="s">
        <v>152</v>
      </c>
      <c r="T32" t="s">
        <v>153</v>
      </c>
      <c r="U32" t="s">
        <v>154</v>
      </c>
      <c r="V32" s="2" t="s">
        <v>155</v>
      </c>
      <c r="W32" s="2" t="s">
        <v>65</v>
      </c>
      <c r="Z32" s="2" t="s">
        <v>115</v>
      </c>
      <c r="AA32" s="2" t="s">
        <v>116</v>
      </c>
      <c r="AB32" s="2" t="s">
        <v>66</v>
      </c>
      <c r="AC32" s="2" t="s">
        <v>67</v>
      </c>
    </row>
    <row r="33" spans="1:29" x14ac:dyDescent="0.25">
      <c r="A33" t="s">
        <v>113</v>
      </c>
      <c r="B33" t="s">
        <v>69</v>
      </c>
      <c r="C33" t="s">
        <v>8</v>
      </c>
      <c r="D33" t="s">
        <v>43</v>
      </c>
      <c r="E33" t="s">
        <v>132</v>
      </c>
      <c r="F33" t="s">
        <v>133</v>
      </c>
      <c r="G33" s="2" t="s">
        <v>8</v>
      </c>
      <c r="H33">
        <v>201118</v>
      </c>
      <c r="I33" s="31" t="s">
        <v>150</v>
      </c>
      <c r="J33" s="2" t="s">
        <v>151</v>
      </c>
      <c r="K33" t="s">
        <v>64</v>
      </c>
      <c r="L33" t="s">
        <v>133</v>
      </c>
      <c r="M33" s="2" t="s">
        <v>78</v>
      </c>
      <c r="N33" t="s">
        <v>144</v>
      </c>
      <c r="O33" t="s">
        <v>91</v>
      </c>
      <c r="P33" s="2" t="s">
        <v>112</v>
      </c>
      <c r="Q33" t="s">
        <v>64</v>
      </c>
      <c r="R33" t="s">
        <v>64</v>
      </c>
      <c r="S33" s="82" t="s">
        <v>152</v>
      </c>
      <c r="T33" t="s">
        <v>153</v>
      </c>
      <c r="U33" t="s">
        <v>154</v>
      </c>
      <c r="V33" s="2" t="s">
        <v>155</v>
      </c>
      <c r="W33" s="2" t="s">
        <v>65</v>
      </c>
      <c r="Z33" s="2" t="s">
        <v>115</v>
      </c>
      <c r="AA33" s="2" t="s">
        <v>116</v>
      </c>
      <c r="AB33" s="2" t="s">
        <v>66</v>
      </c>
      <c r="AC33" s="2" t="s">
        <v>67</v>
      </c>
    </row>
    <row r="34" spans="1:29" x14ac:dyDescent="0.25">
      <c r="A34" t="s">
        <v>113</v>
      </c>
      <c r="B34" t="s">
        <v>69</v>
      </c>
      <c r="C34" t="s">
        <v>8</v>
      </c>
      <c r="D34" t="s">
        <v>43</v>
      </c>
      <c r="E34" t="s">
        <v>132</v>
      </c>
      <c r="F34" t="s">
        <v>133</v>
      </c>
      <c r="G34" s="2" t="s">
        <v>8</v>
      </c>
      <c r="H34">
        <v>201118</v>
      </c>
      <c r="I34" s="31" t="s">
        <v>150</v>
      </c>
      <c r="J34" s="2" t="s">
        <v>151</v>
      </c>
      <c r="K34" t="s">
        <v>64</v>
      </c>
      <c r="L34" t="s">
        <v>133</v>
      </c>
      <c r="M34" s="2" t="s">
        <v>78</v>
      </c>
      <c r="N34" t="s">
        <v>144</v>
      </c>
      <c r="O34" t="s">
        <v>92</v>
      </c>
      <c r="P34" s="2" t="s">
        <v>20</v>
      </c>
      <c r="Q34" t="s">
        <v>64</v>
      </c>
      <c r="R34" t="s">
        <v>64</v>
      </c>
      <c r="S34" s="82" t="s">
        <v>152</v>
      </c>
      <c r="T34" t="s">
        <v>153</v>
      </c>
      <c r="U34" t="s">
        <v>154</v>
      </c>
      <c r="V34" s="2" t="s">
        <v>155</v>
      </c>
      <c r="W34" s="2" t="s">
        <v>65</v>
      </c>
      <c r="Z34" s="2" t="s">
        <v>115</v>
      </c>
      <c r="AA34" s="2" t="s">
        <v>116</v>
      </c>
      <c r="AB34" s="2" t="s">
        <v>66</v>
      </c>
      <c r="AC34" s="2" t="s">
        <v>67</v>
      </c>
    </row>
    <row r="35" spans="1:29" x14ac:dyDescent="0.25">
      <c r="A35" t="s">
        <v>113</v>
      </c>
      <c r="B35" t="s">
        <v>69</v>
      </c>
      <c r="C35" t="s">
        <v>8</v>
      </c>
      <c r="D35" t="s">
        <v>43</v>
      </c>
      <c r="E35" t="s">
        <v>132</v>
      </c>
      <c r="F35" t="s">
        <v>133</v>
      </c>
      <c r="G35" s="2" t="s">
        <v>8</v>
      </c>
      <c r="H35">
        <v>201118</v>
      </c>
      <c r="I35" s="31" t="s">
        <v>150</v>
      </c>
      <c r="J35" s="2" t="s">
        <v>151</v>
      </c>
      <c r="K35" t="s">
        <v>64</v>
      </c>
      <c r="L35" t="s">
        <v>133</v>
      </c>
      <c r="M35" s="2" t="s">
        <v>78</v>
      </c>
      <c r="N35" t="s">
        <v>144</v>
      </c>
      <c r="O35" t="s">
        <v>93</v>
      </c>
      <c r="P35" s="2" t="s">
        <v>20</v>
      </c>
      <c r="Q35" t="s">
        <v>64</v>
      </c>
      <c r="R35" t="s">
        <v>64</v>
      </c>
      <c r="S35" s="82" t="s">
        <v>152</v>
      </c>
      <c r="T35" t="s">
        <v>153</v>
      </c>
      <c r="U35" t="s">
        <v>154</v>
      </c>
      <c r="V35" s="2" t="s">
        <v>155</v>
      </c>
      <c r="W35" s="2" t="s">
        <v>65</v>
      </c>
      <c r="Z35" s="2" t="s">
        <v>115</v>
      </c>
      <c r="AA35" s="2" t="s">
        <v>116</v>
      </c>
      <c r="AB35" s="2" t="s">
        <v>66</v>
      </c>
      <c r="AC35" s="2" t="s">
        <v>67</v>
      </c>
    </row>
    <row r="36" spans="1:29" x14ac:dyDescent="0.25">
      <c r="A36" t="s">
        <v>113</v>
      </c>
      <c r="B36" t="s">
        <v>69</v>
      </c>
      <c r="C36" t="s">
        <v>8</v>
      </c>
      <c r="D36" t="s">
        <v>43</v>
      </c>
      <c r="E36" t="s">
        <v>132</v>
      </c>
      <c r="F36" t="s">
        <v>133</v>
      </c>
      <c r="G36" s="2" t="s">
        <v>8</v>
      </c>
      <c r="H36">
        <v>201118</v>
      </c>
      <c r="I36" s="31" t="s">
        <v>150</v>
      </c>
      <c r="J36" s="2" t="s">
        <v>151</v>
      </c>
      <c r="K36" t="s">
        <v>64</v>
      </c>
      <c r="L36" t="s">
        <v>133</v>
      </c>
      <c r="M36" s="2" t="s">
        <v>78</v>
      </c>
      <c r="N36" t="s">
        <v>144</v>
      </c>
      <c r="O36" t="s">
        <v>94</v>
      </c>
      <c r="P36" s="2" t="s">
        <v>112</v>
      </c>
      <c r="Q36" t="s">
        <v>64</v>
      </c>
      <c r="R36" t="s">
        <v>64</v>
      </c>
      <c r="S36" s="82" t="s">
        <v>152</v>
      </c>
      <c r="T36" t="s">
        <v>153</v>
      </c>
      <c r="U36" t="s">
        <v>154</v>
      </c>
      <c r="V36" s="2" t="s">
        <v>155</v>
      </c>
      <c r="W36" s="2" t="s">
        <v>65</v>
      </c>
      <c r="Z36" s="2" t="s">
        <v>115</v>
      </c>
      <c r="AA36" s="2" t="s">
        <v>116</v>
      </c>
      <c r="AB36" s="2" t="s">
        <v>66</v>
      </c>
      <c r="AC36" s="2" t="s">
        <v>67</v>
      </c>
    </row>
    <row r="37" spans="1:29" x14ac:dyDescent="0.25">
      <c r="A37" t="s">
        <v>113</v>
      </c>
      <c r="B37" t="s">
        <v>69</v>
      </c>
      <c r="C37" t="s">
        <v>8</v>
      </c>
      <c r="D37" t="s">
        <v>43</v>
      </c>
      <c r="E37" t="s">
        <v>132</v>
      </c>
      <c r="F37" t="s">
        <v>133</v>
      </c>
      <c r="G37" s="2" t="s">
        <v>8</v>
      </c>
      <c r="H37">
        <v>201118</v>
      </c>
      <c r="I37" s="31" t="s">
        <v>150</v>
      </c>
      <c r="J37" s="2" t="s">
        <v>151</v>
      </c>
      <c r="K37" t="s">
        <v>64</v>
      </c>
      <c r="L37" t="s">
        <v>133</v>
      </c>
      <c r="M37" s="2" t="s">
        <v>78</v>
      </c>
      <c r="N37" t="s">
        <v>144</v>
      </c>
      <c r="O37" t="s">
        <v>95</v>
      </c>
      <c r="P37" s="2" t="s">
        <v>112</v>
      </c>
      <c r="Q37" t="s">
        <v>64</v>
      </c>
      <c r="R37" t="s">
        <v>64</v>
      </c>
      <c r="S37" s="82" t="s">
        <v>152</v>
      </c>
      <c r="T37" t="s">
        <v>153</v>
      </c>
      <c r="U37" t="s">
        <v>154</v>
      </c>
      <c r="V37" s="2" t="s">
        <v>155</v>
      </c>
      <c r="W37" s="2" t="s">
        <v>65</v>
      </c>
      <c r="Z37" s="2" t="s">
        <v>115</v>
      </c>
      <c r="AA37" s="2" t="s">
        <v>116</v>
      </c>
      <c r="AB37" s="2" t="s">
        <v>66</v>
      </c>
      <c r="AC37" s="2" t="s">
        <v>67</v>
      </c>
    </row>
    <row r="38" spans="1:29" x14ac:dyDescent="0.25">
      <c r="A38" t="s">
        <v>113</v>
      </c>
      <c r="B38" t="s">
        <v>69</v>
      </c>
      <c r="C38" t="s">
        <v>8</v>
      </c>
      <c r="D38" t="s">
        <v>43</v>
      </c>
      <c r="E38" t="s">
        <v>132</v>
      </c>
      <c r="F38" t="s">
        <v>133</v>
      </c>
      <c r="G38" s="2" t="s">
        <v>8</v>
      </c>
      <c r="H38">
        <v>201118</v>
      </c>
      <c r="I38" s="31" t="s">
        <v>150</v>
      </c>
      <c r="J38" s="2" t="s">
        <v>151</v>
      </c>
      <c r="K38" t="s">
        <v>64</v>
      </c>
      <c r="L38" t="s">
        <v>133</v>
      </c>
      <c r="M38" s="2" t="s">
        <v>78</v>
      </c>
      <c r="N38" t="s">
        <v>144</v>
      </c>
      <c r="O38" t="s">
        <v>96</v>
      </c>
      <c r="P38" s="2" t="s">
        <v>112</v>
      </c>
      <c r="Q38" t="s">
        <v>64</v>
      </c>
      <c r="R38" t="s">
        <v>64</v>
      </c>
      <c r="S38" s="82" t="s">
        <v>152</v>
      </c>
      <c r="T38" t="s">
        <v>153</v>
      </c>
      <c r="U38" t="s">
        <v>154</v>
      </c>
      <c r="V38" s="2" t="s">
        <v>155</v>
      </c>
      <c r="W38" s="2" t="s">
        <v>65</v>
      </c>
      <c r="Z38" s="2" t="s">
        <v>115</v>
      </c>
      <c r="AA38" s="2" t="s">
        <v>116</v>
      </c>
      <c r="AB38" s="2" t="s">
        <v>66</v>
      </c>
      <c r="AC38" s="2" t="s">
        <v>67</v>
      </c>
    </row>
    <row r="39" spans="1:29" x14ac:dyDescent="0.25">
      <c r="A39" t="s">
        <v>113</v>
      </c>
      <c r="B39" t="s">
        <v>69</v>
      </c>
      <c r="C39" t="s">
        <v>8</v>
      </c>
      <c r="D39" t="s">
        <v>43</v>
      </c>
      <c r="E39" t="s">
        <v>132</v>
      </c>
      <c r="F39" t="s">
        <v>133</v>
      </c>
      <c r="G39" s="2" t="s">
        <v>8</v>
      </c>
      <c r="H39">
        <v>201118</v>
      </c>
      <c r="I39" s="31" t="s">
        <v>150</v>
      </c>
      <c r="J39" s="2" t="s">
        <v>151</v>
      </c>
      <c r="K39" t="s">
        <v>64</v>
      </c>
      <c r="L39" t="s">
        <v>133</v>
      </c>
      <c r="M39" s="2" t="s">
        <v>78</v>
      </c>
      <c r="N39" t="s">
        <v>144</v>
      </c>
      <c r="O39" t="s">
        <v>97</v>
      </c>
      <c r="P39" s="2" t="s">
        <v>112</v>
      </c>
      <c r="Q39" t="s">
        <v>64</v>
      </c>
      <c r="R39" t="s">
        <v>64</v>
      </c>
      <c r="S39" s="82" t="s">
        <v>152</v>
      </c>
      <c r="T39" t="s">
        <v>153</v>
      </c>
      <c r="U39" t="s">
        <v>154</v>
      </c>
      <c r="V39" s="2" t="s">
        <v>155</v>
      </c>
      <c r="W39" s="2" t="s">
        <v>65</v>
      </c>
      <c r="Z39" s="2" t="s">
        <v>115</v>
      </c>
      <c r="AA39" s="2" t="s">
        <v>116</v>
      </c>
      <c r="AB39" s="2" t="s">
        <v>66</v>
      </c>
      <c r="AC39" s="2" t="s">
        <v>67</v>
      </c>
    </row>
    <row r="40" spans="1:29" x14ac:dyDescent="0.25">
      <c r="A40" t="s">
        <v>113</v>
      </c>
      <c r="B40" t="s">
        <v>69</v>
      </c>
      <c r="C40" t="s">
        <v>8</v>
      </c>
      <c r="D40" t="s">
        <v>43</v>
      </c>
      <c r="E40" t="s">
        <v>132</v>
      </c>
      <c r="F40" t="s">
        <v>133</v>
      </c>
      <c r="G40" s="2" t="s">
        <v>8</v>
      </c>
      <c r="H40">
        <v>201118</v>
      </c>
      <c r="I40" s="31" t="s">
        <v>150</v>
      </c>
      <c r="J40" s="2" t="s">
        <v>151</v>
      </c>
      <c r="K40" t="s">
        <v>64</v>
      </c>
      <c r="L40" t="s">
        <v>133</v>
      </c>
      <c r="M40" s="2" t="s">
        <v>78</v>
      </c>
      <c r="N40" t="s">
        <v>144</v>
      </c>
      <c r="O40" t="s">
        <v>98</v>
      </c>
      <c r="P40" s="2" t="s">
        <v>20</v>
      </c>
      <c r="Q40" t="s">
        <v>64</v>
      </c>
      <c r="R40" t="s">
        <v>64</v>
      </c>
      <c r="S40" s="82" t="s">
        <v>152</v>
      </c>
      <c r="T40" t="s">
        <v>153</v>
      </c>
      <c r="U40" t="s">
        <v>154</v>
      </c>
      <c r="V40" s="2" t="s">
        <v>155</v>
      </c>
      <c r="W40" s="2" t="s">
        <v>65</v>
      </c>
      <c r="Z40" s="2" t="s">
        <v>115</v>
      </c>
      <c r="AA40" s="2" t="s">
        <v>116</v>
      </c>
      <c r="AB40" s="2" t="s">
        <v>66</v>
      </c>
      <c r="AC40" s="2" t="s">
        <v>67</v>
      </c>
    </row>
    <row r="41" spans="1:29" x14ac:dyDescent="0.25">
      <c r="A41" t="s">
        <v>113</v>
      </c>
      <c r="B41" t="s">
        <v>69</v>
      </c>
      <c r="C41" t="s">
        <v>8</v>
      </c>
      <c r="D41" t="s">
        <v>43</v>
      </c>
      <c r="E41" t="s">
        <v>132</v>
      </c>
      <c r="F41" t="s">
        <v>133</v>
      </c>
      <c r="G41" s="2" t="s">
        <v>8</v>
      </c>
      <c r="H41">
        <v>201118</v>
      </c>
      <c r="I41" s="31" t="s">
        <v>150</v>
      </c>
      <c r="J41" s="2" t="s">
        <v>151</v>
      </c>
      <c r="K41" t="s">
        <v>64</v>
      </c>
      <c r="L41" t="s">
        <v>133</v>
      </c>
      <c r="M41" s="2" t="s">
        <v>78</v>
      </c>
      <c r="N41" t="s">
        <v>144</v>
      </c>
      <c r="O41" t="s">
        <v>99</v>
      </c>
      <c r="P41" s="2" t="s">
        <v>112</v>
      </c>
      <c r="Q41" t="s">
        <v>64</v>
      </c>
      <c r="R41" t="s">
        <v>64</v>
      </c>
      <c r="S41" s="82" t="s">
        <v>152</v>
      </c>
      <c r="T41" t="s">
        <v>153</v>
      </c>
      <c r="U41" t="s">
        <v>154</v>
      </c>
      <c r="V41" s="2" t="s">
        <v>155</v>
      </c>
      <c r="W41" s="2" t="s">
        <v>65</v>
      </c>
      <c r="Z41" s="2" t="s">
        <v>115</v>
      </c>
      <c r="AA41" s="2" t="s">
        <v>116</v>
      </c>
      <c r="AB41" s="2" t="s">
        <v>66</v>
      </c>
      <c r="AC41" s="2" t="s">
        <v>67</v>
      </c>
    </row>
    <row r="42" spans="1:29" x14ac:dyDescent="0.25">
      <c r="A42" t="s">
        <v>113</v>
      </c>
      <c r="B42" t="s">
        <v>69</v>
      </c>
      <c r="C42" t="s">
        <v>8</v>
      </c>
      <c r="D42" t="s">
        <v>43</v>
      </c>
      <c r="E42" t="s">
        <v>132</v>
      </c>
      <c r="F42" t="s">
        <v>133</v>
      </c>
      <c r="G42" s="2" t="s">
        <v>8</v>
      </c>
      <c r="H42">
        <v>201118</v>
      </c>
      <c r="I42" s="31" t="s">
        <v>150</v>
      </c>
      <c r="J42" s="2" t="s">
        <v>151</v>
      </c>
      <c r="K42" t="s">
        <v>64</v>
      </c>
      <c r="L42" t="s">
        <v>133</v>
      </c>
      <c r="M42" s="2" t="s">
        <v>78</v>
      </c>
      <c r="N42" t="s">
        <v>144</v>
      </c>
      <c r="O42" t="s">
        <v>100</v>
      </c>
      <c r="P42" s="2" t="s">
        <v>20</v>
      </c>
      <c r="Q42" t="s">
        <v>64</v>
      </c>
      <c r="R42" t="s">
        <v>64</v>
      </c>
      <c r="S42" s="82" t="s">
        <v>152</v>
      </c>
      <c r="T42" t="s">
        <v>153</v>
      </c>
      <c r="U42" t="s">
        <v>154</v>
      </c>
      <c r="V42" s="2" t="s">
        <v>155</v>
      </c>
      <c r="W42" s="2" t="s">
        <v>65</v>
      </c>
      <c r="Z42" s="2" t="s">
        <v>115</v>
      </c>
      <c r="AA42" s="2" t="s">
        <v>116</v>
      </c>
      <c r="AB42" s="2" t="s">
        <v>66</v>
      </c>
      <c r="AC42" s="2" t="s">
        <v>67</v>
      </c>
    </row>
    <row r="43" spans="1:29" x14ac:dyDescent="0.25">
      <c r="A43" t="s">
        <v>113</v>
      </c>
      <c r="B43" t="s">
        <v>69</v>
      </c>
      <c r="C43" t="s">
        <v>8</v>
      </c>
      <c r="D43" t="s">
        <v>43</v>
      </c>
      <c r="E43" t="s">
        <v>132</v>
      </c>
      <c r="F43" t="s">
        <v>133</v>
      </c>
      <c r="G43" s="2" t="s">
        <v>8</v>
      </c>
      <c r="H43">
        <v>201118</v>
      </c>
      <c r="I43" s="31" t="s">
        <v>150</v>
      </c>
      <c r="J43" s="2" t="s">
        <v>151</v>
      </c>
      <c r="K43" t="s">
        <v>64</v>
      </c>
      <c r="L43" t="s">
        <v>133</v>
      </c>
      <c r="M43" s="2" t="s">
        <v>78</v>
      </c>
      <c r="N43" t="s">
        <v>144</v>
      </c>
      <c r="O43" t="s">
        <v>101</v>
      </c>
      <c r="P43" s="2" t="s">
        <v>20</v>
      </c>
      <c r="Q43" t="s">
        <v>64</v>
      </c>
      <c r="R43" t="s">
        <v>64</v>
      </c>
      <c r="S43" s="82" t="s">
        <v>152</v>
      </c>
      <c r="T43" t="s">
        <v>153</v>
      </c>
      <c r="U43" t="s">
        <v>154</v>
      </c>
      <c r="V43" s="2" t="s">
        <v>155</v>
      </c>
      <c r="W43" s="2" t="s">
        <v>65</v>
      </c>
      <c r="Z43" s="2" t="s">
        <v>115</v>
      </c>
      <c r="AA43" s="2" t="s">
        <v>116</v>
      </c>
      <c r="AB43" s="2" t="s">
        <v>66</v>
      </c>
      <c r="AC43" s="2" t="s">
        <v>67</v>
      </c>
    </row>
    <row r="44" spans="1:29" x14ac:dyDescent="0.25">
      <c r="A44" t="s">
        <v>113</v>
      </c>
      <c r="B44" t="s">
        <v>69</v>
      </c>
      <c r="C44" t="s">
        <v>8</v>
      </c>
      <c r="D44" t="s">
        <v>43</v>
      </c>
      <c r="E44" t="s">
        <v>132</v>
      </c>
      <c r="F44" t="s">
        <v>133</v>
      </c>
      <c r="G44" s="2" t="s">
        <v>8</v>
      </c>
      <c r="H44">
        <v>201118</v>
      </c>
      <c r="I44" s="31" t="s">
        <v>150</v>
      </c>
      <c r="J44" s="2" t="s">
        <v>151</v>
      </c>
      <c r="K44" t="s">
        <v>64</v>
      </c>
      <c r="L44" t="s">
        <v>133</v>
      </c>
      <c r="M44" s="2" t="s">
        <v>78</v>
      </c>
      <c r="N44" t="s">
        <v>144</v>
      </c>
      <c r="O44" t="s">
        <v>102</v>
      </c>
      <c r="P44" s="2" t="s">
        <v>20</v>
      </c>
      <c r="Q44" t="s">
        <v>64</v>
      </c>
      <c r="R44" t="s">
        <v>64</v>
      </c>
      <c r="S44" s="82" t="s">
        <v>152</v>
      </c>
      <c r="T44" t="s">
        <v>153</v>
      </c>
      <c r="U44" t="s">
        <v>154</v>
      </c>
      <c r="V44" s="2" t="s">
        <v>155</v>
      </c>
      <c r="W44" s="2" t="s">
        <v>65</v>
      </c>
      <c r="Z44" s="2" t="s">
        <v>115</v>
      </c>
      <c r="AA44" s="2" t="s">
        <v>116</v>
      </c>
      <c r="AB44" s="2" t="s">
        <v>66</v>
      </c>
      <c r="AC44" s="2" t="s">
        <v>67</v>
      </c>
    </row>
    <row r="45" spans="1:29" x14ac:dyDescent="0.25">
      <c r="A45" t="s">
        <v>113</v>
      </c>
      <c r="B45" t="s">
        <v>69</v>
      </c>
      <c r="C45" t="s">
        <v>8</v>
      </c>
      <c r="D45" t="s">
        <v>43</v>
      </c>
      <c r="E45" t="s">
        <v>132</v>
      </c>
      <c r="F45" t="s">
        <v>133</v>
      </c>
      <c r="G45" s="2" t="s">
        <v>8</v>
      </c>
      <c r="H45">
        <v>201118</v>
      </c>
      <c r="I45" s="31" t="s">
        <v>150</v>
      </c>
      <c r="J45" s="2" t="s">
        <v>151</v>
      </c>
      <c r="K45" t="s">
        <v>64</v>
      </c>
      <c r="L45" t="s">
        <v>133</v>
      </c>
      <c r="M45" s="2" t="s">
        <v>78</v>
      </c>
      <c r="N45" t="s">
        <v>144</v>
      </c>
      <c r="O45" t="s">
        <v>103</v>
      </c>
      <c r="P45" s="2" t="s">
        <v>20</v>
      </c>
      <c r="Q45" t="s">
        <v>64</v>
      </c>
      <c r="R45" t="s">
        <v>64</v>
      </c>
      <c r="S45" s="82" t="s">
        <v>152</v>
      </c>
      <c r="T45" t="s">
        <v>153</v>
      </c>
      <c r="U45" t="s">
        <v>154</v>
      </c>
      <c r="V45" s="2" t="s">
        <v>155</v>
      </c>
      <c r="W45" s="2" t="s">
        <v>65</v>
      </c>
      <c r="Z45" s="2" t="s">
        <v>115</v>
      </c>
      <c r="AA45" s="2" t="s">
        <v>116</v>
      </c>
      <c r="AB45" s="2" t="s">
        <v>66</v>
      </c>
      <c r="AC45" s="2" t="s">
        <v>67</v>
      </c>
    </row>
    <row r="46" spans="1:29" x14ac:dyDescent="0.25">
      <c r="A46" t="s">
        <v>113</v>
      </c>
      <c r="B46" t="s">
        <v>69</v>
      </c>
      <c r="C46" t="s">
        <v>8</v>
      </c>
      <c r="D46" t="s">
        <v>43</v>
      </c>
      <c r="E46" t="s">
        <v>132</v>
      </c>
      <c r="F46" t="s">
        <v>133</v>
      </c>
      <c r="G46" s="2" t="s">
        <v>8</v>
      </c>
      <c r="H46">
        <v>201118</v>
      </c>
      <c r="I46" s="31" t="s">
        <v>150</v>
      </c>
      <c r="J46" s="2" t="s">
        <v>151</v>
      </c>
      <c r="K46" t="s">
        <v>64</v>
      </c>
      <c r="L46" t="s">
        <v>133</v>
      </c>
      <c r="M46" s="2" t="s">
        <v>78</v>
      </c>
      <c r="N46" t="s">
        <v>144</v>
      </c>
      <c r="O46" t="s">
        <v>104</v>
      </c>
      <c r="P46" s="2" t="s">
        <v>20</v>
      </c>
      <c r="Q46" t="s">
        <v>64</v>
      </c>
      <c r="R46" t="s">
        <v>64</v>
      </c>
      <c r="S46" s="82" t="s">
        <v>152</v>
      </c>
      <c r="T46" t="s">
        <v>153</v>
      </c>
      <c r="U46" t="s">
        <v>154</v>
      </c>
      <c r="V46" s="2" t="s">
        <v>155</v>
      </c>
      <c r="W46" s="2" t="s">
        <v>65</v>
      </c>
      <c r="Z46" s="2" t="s">
        <v>115</v>
      </c>
      <c r="AA46" s="2" t="s">
        <v>116</v>
      </c>
      <c r="AB46" s="2" t="s">
        <v>66</v>
      </c>
      <c r="AC46" s="2" t="s">
        <v>67</v>
      </c>
    </row>
    <row r="47" spans="1:29" x14ac:dyDescent="0.25">
      <c r="A47" t="s">
        <v>113</v>
      </c>
      <c r="B47" t="s">
        <v>69</v>
      </c>
      <c r="C47" t="s">
        <v>8</v>
      </c>
      <c r="D47" t="s">
        <v>43</v>
      </c>
      <c r="E47" t="s">
        <v>132</v>
      </c>
      <c r="F47" t="s">
        <v>133</v>
      </c>
      <c r="G47" s="2" t="s">
        <v>8</v>
      </c>
      <c r="H47">
        <v>201118</v>
      </c>
      <c r="I47" s="31" t="s">
        <v>150</v>
      </c>
      <c r="J47" s="2" t="s">
        <v>151</v>
      </c>
      <c r="K47" t="s">
        <v>64</v>
      </c>
      <c r="L47" t="s">
        <v>133</v>
      </c>
      <c r="M47" s="2" t="s">
        <v>78</v>
      </c>
      <c r="N47" t="s">
        <v>144</v>
      </c>
      <c r="O47" t="s">
        <v>125</v>
      </c>
      <c r="P47" s="2" t="s">
        <v>20</v>
      </c>
      <c r="Q47" t="s">
        <v>64</v>
      </c>
      <c r="R47" t="s">
        <v>64</v>
      </c>
      <c r="S47" s="82" t="s">
        <v>152</v>
      </c>
      <c r="T47" t="s">
        <v>153</v>
      </c>
      <c r="U47" t="s">
        <v>154</v>
      </c>
      <c r="V47" s="2" t="s">
        <v>155</v>
      </c>
      <c r="W47" s="2" t="s">
        <v>65</v>
      </c>
      <c r="Z47" s="2" t="s">
        <v>115</v>
      </c>
      <c r="AA47" s="2" t="s">
        <v>116</v>
      </c>
      <c r="AB47" s="2" t="s">
        <v>66</v>
      </c>
      <c r="AC47" s="2" t="s">
        <v>67</v>
      </c>
    </row>
    <row r="48" spans="1:29" x14ac:dyDescent="0.25">
      <c r="A48" t="s">
        <v>113</v>
      </c>
      <c r="B48" t="s">
        <v>69</v>
      </c>
      <c r="C48" t="s">
        <v>8</v>
      </c>
      <c r="D48" t="s">
        <v>43</v>
      </c>
      <c r="E48" t="s">
        <v>132</v>
      </c>
      <c r="F48" t="s">
        <v>133</v>
      </c>
      <c r="G48" s="2" t="s">
        <v>8</v>
      </c>
      <c r="H48">
        <v>201118</v>
      </c>
      <c r="I48" s="31" t="s">
        <v>150</v>
      </c>
      <c r="J48" s="2" t="s">
        <v>151</v>
      </c>
      <c r="K48" t="s">
        <v>64</v>
      </c>
      <c r="L48" t="s">
        <v>133</v>
      </c>
      <c r="M48" s="2" t="s">
        <v>78</v>
      </c>
      <c r="N48" t="s">
        <v>144</v>
      </c>
      <c r="O48" t="s">
        <v>105</v>
      </c>
      <c r="P48" s="2" t="s">
        <v>117</v>
      </c>
      <c r="Q48" t="s">
        <v>64</v>
      </c>
      <c r="R48" t="s">
        <v>64</v>
      </c>
      <c r="S48" s="82" t="s">
        <v>152</v>
      </c>
      <c r="T48" t="s">
        <v>153</v>
      </c>
      <c r="U48" t="s">
        <v>154</v>
      </c>
      <c r="V48" s="2" t="s">
        <v>155</v>
      </c>
      <c r="W48" s="2" t="s">
        <v>65</v>
      </c>
      <c r="Z48" s="2" t="s">
        <v>115</v>
      </c>
      <c r="AA48" s="2" t="s">
        <v>116</v>
      </c>
      <c r="AB48" s="2" t="s">
        <v>66</v>
      </c>
      <c r="AC48" s="2" t="s">
        <v>67</v>
      </c>
    </row>
    <row r="49" spans="1:29" x14ac:dyDescent="0.25">
      <c r="A49" t="s">
        <v>113</v>
      </c>
      <c r="B49" t="s">
        <v>69</v>
      </c>
      <c r="C49" t="s">
        <v>8</v>
      </c>
      <c r="D49" t="s">
        <v>43</v>
      </c>
      <c r="E49" t="s">
        <v>132</v>
      </c>
      <c r="F49" t="s">
        <v>133</v>
      </c>
      <c r="G49" s="2" t="s">
        <v>8</v>
      </c>
      <c r="H49">
        <v>201118</v>
      </c>
      <c r="I49" s="31" t="s">
        <v>150</v>
      </c>
      <c r="J49" s="2" t="s">
        <v>151</v>
      </c>
      <c r="K49" t="s">
        <v>64</v>
      </c>
      <c r="L49" t="s">
        <v>133</v>
      </c>
      <c r="M49" s="2" t="s">
        <v>78</v>
      </c>
      <c r="N49" t="s">
        <v>144</v>
      </c>
      <c r="O49" t="s">
        <v>130</v>
      </c>
      <c r="P49" s="2" t="s">
        <v>20</v>
      </c>
      <c r="Q49" t="s">
        <v>64</v>
      </c>
      <c r="R49" t="s">
        <v>64</v>
      </c>
      <c r="S49" s="82" t="s">
        <v>152</v>
      </c>
      <c r="T49" t="s">
        <v>153</v>
      </c>
      <c r="U49" t="s">
        <v>154</v>
      </c>
      <c r="V49" s="2" t="s">
        <v>155</v>
      </c>
      <c r="W49" s="2" t="s">
        <v>65</v>
      </c>
      <c r="Z49" s="2" t="s">
        <v>115</v>
      </c>
      <c r="AA49" s="2" t="s">
        <v>116</v>
      </c>
      <c r="AB49" s="2" t="s">
        <v>66</v>
      </c>
      <c r="AC49" s="2" t="s">
        <v>67</v>
      </c>
    </row>
    <row r="50" spans="1:29" x14ac:dyDescent="0.25">
      <c r="A50" t="s">
        <v>113</v>
      </c>
      <c r="B50" t="s">
        <v>69</v>
      </c>
      <c r="C50" t="s">
        <v>8</v>
      </c>
      <c r="D50" t="s">
        <v>43</v>
      </c>
      <c r="E50" t="s">
        <v>132</v>
      </c>
      <c r="F50" t="s">
        <v>133</v>
      </c>
      <c r="G50" s="2" t="s">
        <v>8</v>
      </c>
      <c r="H50">
        <v>201118</v>
      </c>
      <c r="I50" s="31" t="s">
        <v>150</v>
      </c>
      <c r="J50" s="2" t="s">
        <v>151</v>
      </c>
      <c r="K50" t="s">
        <v>64</v>
      </c>
      <c r="L50" t="s">
        <v>133</v>
      </c>
      <c r="M50" s="2" t="s">
        <v>78</v>
      </c>
      <c r="N50" t="s">
        <v>144</v>
      </c>
      <c r="O50" t="s">
        <v>106</v>
      </c>
      <c r="P50" s="2" t="s">
        <v>20</v>
      </c>
      <c r="Q50" t="s">
        <v>64</v>
      </c>
      <c r="R50" t="s">
        <v>64</v>
      </c>
      <c r="S50" s="82" t="s">
        <v>152</v>
      </c>
      <c r="T50" t="s">
        <v>153</v>
      </c>
      <c r="U50" t="s">
        <v>154</v>
      </c>
      <c r="V50" s="2" t="s">
        <v>155</v>
      </c>
      <c r="W50" s="2" t="s">
        <v>65</v>
      </c>
      <c r="Z50" s="2" t="s">
        <v>115</v>
      </c>
      <c r="AA50" s="2" t="s">
        <v>116</v>
      </c>
      <c r="AB50" s="2" t="s">
        <v>66</v>
      </c>
      <c r="AC50" s="2" t="s">
        <v>67</v>
      </c>
    </row>
    <row r="51" spans="1:29" x14ac:dyDescent="0.25">
      <c r="A51" t="s">
        <v>113</v>
      </c>
      <c r="B51" t="s">
        <v>69</v>
      </c>
      <c r="C51" t="s">
        <v>8</v>
      </c>
      <c r="D51" t="s">
        <v>43</v>
      </c>
      <c r="E51" t="s">
        <v>132</v>
      </c>
      <c r="F51" t="s">
        <v>133</v>
      </c>
      <c r="G51" s="2" t="s">
        <v>8</v>
      </c>
      <c r="H51">
        <v>201118</v>
      </c>
      <c r="I51" s="31" t="s">
        <v>150</v>
      </c>
      <c r="J51" s="2" t="s">
        <v>151</v>
      </c>
      <c r="K51" t="s">
        <v>64</v>
      </c>
      <c r="L51" t="s">
        <v>133</v>
      </c>
      <c r="M51" s="2" t="s">
        <v>78</v>
      </c>
      <c r="N51" t="s">
        <v>144</v>
      </c>
      <c r="O51" t="s">
        <v>107</v>
      </c>
      <c r="P51" s="2" t="s">
        <v>156</v>
      </c>
      <c r="Q51" t="s">
        <v>64</v>
      </c>
      <c r="R51" t="s">
        <v>64</v>
      </c>
      <c r="S51" s="82" t="s">
        <v>152</v>
      </c>
      <c r="T51" t="s">
        <v>153</v>
      </c>
      <c r="U51" t="s">
        <v>154</v>
      </c>
      <c r="V51" s="2" t="s">
        <v>155</v>
      </c>
      <c r="W51" s="2" t="s">
        <v>65</v>
      </c>
      <c r="Z51" s="2" t="s">
        <v>115</v>
      </c>
      <c r="AA51" s="2" t="s">
        <v>116</v>
      </c>
      <c r="AB51" s="2" t="s">
        <v>66</v>
      </c>
      <c r="AC51" s="2" t="s">
        <v>67</v>
      </c>
    </row>
    <row r="52" spans="1:29" x14ac:dyDescent="0.25">
      <c r="A52" t="s">
        <v>113</v>
      </c>
      <c r="B52" t="s">
        <v>69</v>
      </c>
      <c r="C52" t="s">
        <v>8</v>
      </c>
      <c r="D52" t="s">
        <v>15</v>
      </c>
      <c r="E52" t="s">
        <v>132</v>
      </c>
      <c r="F52" t="s">
        <v>133</v>
      </c>
      <c r="G52" s="2" t="s">
        <v>8</v>
      </c>
      <c r="H52">
        <v>382375</v>
      </c>
      <c r="I52" s="31" t="s">
        <v>157</v>
      </c>
      <c r="J52" s="2" t="s">
        <v>158</v>
      </c>
      <c r="K52" t="s">
        <v>114</v>
      </c>
      <c r="L52" t="s">
        <v>133</v>
      </c>
      <c r="M52" s="2" t="s">
        <v>78</v>
      </c>
      <c r="N52" t="s">
        <v>144</v>
      </c>
      <c r="O52" t="s">
        <v>87</v>
      </c>
      <c r="P52" s="2" t="s">
        <v>20</v>
      </c>
      <c r="Q52" t="s">
        <v>64</v>
      </c>
      <c r="R52" t="s">
        <v>64</v>
      </c>
      <c r="S52" s="82" t="s">
        <v>159</v>
      </c>
      <c r="T52" t="s">
        <v>160</v>
      </c>
      <c r="U52" t="s">
        <v>161</v>
      </c>
      <c r="V52" s="2" t="s">
        <v>162</v>
      </c>
      <c r="W52" s="2" t="s">
        <v>65</v>
      </c>
      <c r="Z52" s="2" t="s">
        <v>163</v>
      </c>
      <c r="AA52" s="2" t="s">
        <v>164</v>
      </c>
      <c r="AB52" s="2" t="s">
        <v>66</v>
      </c>
      <c r="AC52" s="2" t="s">
        <v>67</v>
      </c>
    </row>
    <row r="53" spans="1:29" x14ac:dyDescent="0.25">
      <c r="A53" t="s">
        <v>113</v>
      </c>
      <c r="B53" t="s">
        <v>69</v>
      </c>
      <c r="C53" t="s">
        <v>8</v>
      </c>
      <c r="D53" t="s">
        <v>15</v>
      </c>
      <c r="E53" t="s">
        <v>132</v>
      </c>
      <c r="F53" t="s">
        <v>133</v>
      </c>
      <c r="G53" s="2" t="s">
        <v>8</v>
      </c>
      <c r="H53">
        <v>382375</v>
      </c>
      <c r="I53" s="31" t="s">
        <v>157</v>
      </c>
      <c r="J53" s="2" t="s">
        <v>158</v>
      </c>
      <c r="K53" t="s">
        <v>114</v>
      </c>
      <c r="L53" t="s">
        <v>133</v>
      </c>
      <c r="M53" s="2" t="s">
        <v>78</v>
      </c>
      <c r="N53" t="s">
        <v>144</v>
      </c>
      <c r="O53" t="s">
        <v>88</v>
      </c>
      <c r="P53" s="2" t="s">
        <v>20</v>
      </c>
      <c r="Q53" t="s">
        <v>64</v>
      </c>
      <c r="R53" t="s">
        <v>64</v>
      </c>
      <c r="S53" s="82" t="s">
        <v>159</v>
      </c>
      <c r="T53" t="s">
        <v>160</v>
      </c>
      <c r="U53" t="s">
        <v>161</v>
      </c>
      <c r="V53" s="2" t="s">
        <v>162</v>
      </c>
      <c r="W53" s="2" t="s">
        <v>65</v>
      </c>
      <c r="Z53" s="2" t="s">
        <v>163</v>
      </c>
      <c r="AA53" s="2" t="s">
        <v>164</v>
      </c>
      <c r="AB53" s="2" t="s">
        <v>66</v>
      </c>
      <c r="AC53" s="2" t="s">
        <v>67</v>
      </c>
    </row>
    <row r="54" spans="1:29" x14ac:dyDescent="0.25">
      <c r="A54" t="s">
        <v>113</v>
      </c>
      <c r="B54" t="s">
        <v>69</v>
      </c>
      <c r="C54" t="s">
        <v>8</v>
      </c>
      <c r="D54" t="s">
        <v>15</v>
      </c>
      <c r="E54" t="s">
        <v>132</v>
      </c>
      <c r="F54" t="s">
        <v>133</v>
      </c>
      <c r="G54" s="2" t="s">
        <v>8</v>
      </c>
      <c r="H54">
        <v>382375</v>
      </c>
      <c r="I54" s="31" t="s">
        <v>157</v>
      </c>
      <c r="J54" s="2" t="s">
        <v>158</v>
      </c>
      <c r="K54" t="s">
        <v>114</v>
      </c>
      <c r="L54" t="s">
        <v>133</v>
      </c>
      <c r="M54" s="2" t="s">
        <v>78</v>
      </c>
      <c r="N54" t="s">
        <v>144</v>
      </c>
      <c r="O54" t="s">
        <v>89</v>
      </c>
      <c r="P54" s="2" t="s">
        <v>20</v>
      </c>
      <c r="Q54" t="s">
        <v>64</v>
      </c>
      <c r="R54" t="s">
        <v>64</v>
      </c>
      <c r="S54" s="82" t="s">
        <v>159</v>
      </c>
      <c r="T54" t="s">
        <v>160</v>
      </c>
      <c r="U54" t="s">
        <v>161</v>
      </c>
      <c r="V54" s="2" t="s">
        <v>162</v>
      </c>
      <c r="W54" s="2" t="s">
        <v>65</v>
      </c>
      <c r="Z54" s="2" t="s">
        <v>163</v>
      </c>
      <c r="AA54" s="2" t="s">
        <v>164</v>
      </c>
      <c r="AB54" s="2" t="s">
        <v>66</v>
      </c>
      <c r="AC54" s="2" t="s">
        <v>67</v>
      </c>
    </row>
    <row r="55" spans="1:29" x14ac:dyDescent="0.25">
      <c r="A55" t="s">
        <v>113</v>
      </c>
      <c r="B55" t="s">
        <v>69</v>
      </c>
      <c r="C55" t="s">
        <v>8</v>
      </c>
      <c r="D55" t="s">
        <v>15</v>
      </c>
      <c r="E55" t="s">
        <v>132</v>
      </c>
      <c r="F55" t="s">
        <v>133</v>
      </c>
      <c r="G55" s="2" t="s">
        <v>8</v>
      </c>
      <c r="H55">
        <v>382375</v>
      </c>
      <c r="I55" s="31" t="s">
        <v>157</v>
      </c>
      <c r="J55" s="2" t="s">
        <v>158</v>
      </c>
      <c r="K55" t="s">
        <v>114</v>
      </c>
      <c r="L55" t="s">
        <v>133</v>
      </c>
      <c r="M55" s="2" t="s">
        <v>78</v>
      </c>
      <c r="N55" t="s">
        <v>144</v>
      </c>
      <c r="O55" t="s">
        <v>90</v>
      </c>
      <c r="P55" s="2" t="s">
        <v>20</v>
      </c>
      <c r="Q55" t="s">
        <v>64</v>
      </c>
      <c r="R55" t="s">
        <v>64</v>
      </c>
      <c r="S55" s="82" t="s">
        <v>159</v>
      </c>
      <c r="T55" t="s">
        <v>160</v>
      </c>
      <c r="U55" t="s">
        <v>161</v>
      </c>
      <c r="V55" s="2" t="s">
        <v>162</v>
      </c>
      <c r="W55" s="2" t="s">
        <v>65</v>
      </c>
      <c r="Z55" s="2" t="s">
        <v>163</v>
      </c>
      <c r="AA55" s="2" t="s">
        <v>164</v>
      </c>
      <c r="AB55" s="2" t="s">
        <v>66</v>
      </c>
      <c r="AC55" s="2" t="s">
        <v>67</v>
      </c>
    </row>
    <row r="56" spans="1:29" x14ac:dyDescent="0.25">
      <c r="A56" t="s">
        <v>113</v>
      </c>
      <c r="B56" t="s">
        <v>69</v>
      </c>
      <c r="C56" t="s">
        <v>8</v>
      </c>
      <c r="D56" t="s">
        <v>15</v>
      </c>
      <c r="E56" t="s">
        <v>132</v>
      </c>
      <c r="F56" t="s">
        <v>133</v>
      </c>
      <c r="G56" s="2" t="s">
        <v>8</v>
      </c>
      <c r="H56">
        <v>382375</v>
      </c>
      <c r="I56" s="31" t="s">
        <v>157</v>
      </c>
      <c r="J56" s="2" t="s">
        <v>158</v>
      </c>
      <c r="K56" t="s">
        <v>114</v>
      </c>
      <c r="L56" t="s">
        <v>133</v>
      </c>
      <c r="M56" s="2" t="s">
        <v>78</v>
      </c>
      <c r="N56" t="s">
        <v>144</v>
      </c>
      <c r="O56" t="s">
        <v>35</v>
      </c>
      <c r="P56" s="2" t="s">
        <v>20</v>
      </c>
      <c r="Q56" t="s">
        <v>64</v>
      </c>
      <c r="R56" t="s">
        <v>64</v>
      </c>
      <c r="S56" s="82" t="s">
        <v>159</v>
      </c>
      <c r="T56" t="s">
        <v>160</v>
      </c>
      <c r="U56" t="s">
        <v>161</v>
      </c>
      <c r="V56" s="2" t="s">
        <v>162</v>
      </c>
      <c r="W56" s="2" t="s">
        <v>65</v>
      </c>
      <c r="Z56" s="2" t="s">
        <v>163</v>
      </c>
      <c r="AA56" s="2" t="s">
        <v>164</v>
      </c>
      <c r="AB56" s="2" t="s">
        <v>66</v>
      </c>
      <c r="AC56" s="2" t="s">
        <v>67</v>
      </c>
    </row>
    <row r="57" spans="1:29" x14ac:dyDescent="0.25">
      <c r="A57" t="s">
        <v>113</v>
      </c>
      <c r="B57" t="s">
        <v>69</v>
      </c>
      <c r="C57" t="s">
        <v>8</v>
      </c>
      <c r="D57" t="s">
        <v>15</v>
      </c>
      <c r="E57" t="s">
        <v>132</v>
      </c>
      <c r="F57" t="s">
        <v>133</v>
      </c>
      <c r="G57" s="2" t="s">
        <v>8</v>
      </c>
      <c r="H57">
        <v>382375</v>
      </c>
      <c r="I57" s="31" t="s">
        <v>157</v>
      </c>
      <c r="J57" s="2" t="s">
        <v>158</v>
      </c>
      <c r="K57" t="s">
        <v>114</v>
      </c>
      <c r="L57" t="s">
        <v>133</v>
      </c>
      <c r="M57" s="2" t="s">
        <v>78</v>
      </c>
      <c r="N57" t="s">
        <v>144</v>
      </c>
      <c r="O57" t="s">
        <v>91</v>
      </c>
      <c r="P57" s="2" t="s">
        <v>112</v>
      </c>
      <c r="Q57" t="s">
        <v>64</v>
      </c>
      <c r="R57" t="s">
        <v>64</v>
      </c>
      <c r="S57" s="82" t="s">
        <v>159</v>
      </c>
      <c r="T57" t="s">
        <v>160</v>
      </c>
      <c r="U57" t="s">
        <v>161</v>
      </c>
      <c r="V57" s="2" t="s">
        <v>162</v>
      </c>
      <c r="W57" s="2" t="s">
        <v>65</v>
      </c>
      <c r="Z57" s="2" t="s">
        <v>163</v>
      </c>
      <c r="AA57" s="2" t="s">
        <v>164</v>
      </c>
      <c r="AB57" s="2" t="s">
        <v>66</v>
      </c>
      <c r="AC57" s="2" t="s">
        <v>67</v>
      </c>
    </row>
    <row r="58" spans="1:29" x14ac:dyDescent="0.25">
      <c r="A58" t="s">
        <v>113</v>
      </c>
      <c r="B58" t="s">
        <v>69</v>
      </c>
      <c r="C58" t="s">
        <v>8</v>
      </c>
      <c r="D58" t="s">
        <v>15</v>
      </c>
      <c r="E58" t="s">
        <v>132</v>
      </c>
      <c r="F58" t="s">
        <v>133</v>
      </c>
      <c r="G58" s="2" t="s">
        <v>8</v>
      </c>
      <c r="H58">
        <v>382375</v>
      </c>
      <c r="I58" s="31" t="s">
        <v>157</v>
      </c>
      <c r="J58" s="2" t="s">
        <v>158</v>
      </c>
      <c r="K58" t="s">
        <v>114</v>
      </c>
      <c r="L58" t="s">
        <v>133</v>
      </c>
      <c r="M58" s="2" t="s">
        <v>78</v>
      </c>
      <c r="N58" t="s">
        <v>144</v>
      </c>
      <c r="O58" t="s">
        <v>92</v>
      </c>
      <c r="P58" s="2" t="s">
        <v>20</v>
      </c>
      <c r="Q58" t="s">
        <v>64</v>
      </c>
      <c r="R58" t="s">
        <v>64</v>
      </c>
      <c r="S58" s="82" t="s">
        <v>159</v>
      </c>
      <c r="T58" t="s">
        <v>160</v>
      </c>
      <c r="U58" t="s">
        <v>161</v>
      </c>
      <c r="V58" s="2" t="s">
        <v>162</v>
      </c>
      <c r="W58" s="2" t="s">
        <v>65</v>
      </c>
      <c r="Z58" s="2" t="s">
        <v>163</v>
      </c>
      <c r="AA58" s="2" t="s">
        <v>164</v>
      </c>
      <c r="AB58" s="2" t="s">
        <v>66</v>
      </c>
      <c r="AC58" s="2" t="s">
        <v>67</v>
      </c>
    </row>
    <row r="59" spans="1:29" x14ac:dyDescent="0.25">
      <c r="A59" t="s">
        <v>113</v>
      </c>
      <c r="B59" t="s">
        <v>69</v>
      </c>
      <c r="C59" t="s">
        <v>8</v>
      </c>
      <c r="D59" t="s">
        <v>15</v>
      </c>
      <c r="E59" t="s">
        <v>132</v>
      </c>
      <c r="F59" t="s">
        <v>133</v>
      </c>
      <c r="G59" s="2" t="s">
        <v>8</v>
      </c>
      <c r="H59">
        <v>382375</v>
      </c>
      <c r="I59" s="31" t="s">
        <v>157</v>
      </c>
      <c r="J59" s="2" t="s">
        <v>158</v>
      </c>
      <c r="K59" t="s">
        <v>114</v>
      </c>
      <c r="L59" t="s">
        <v>133</v>
      </c>
      <c r="M59" s="2" t="s">
        <v>78</v>
      </c>
      <c r="N59" t="s">
        <v>144</v>
      </c>
      <c r="O59" t="s">
        <v>93</v>
      </c>
      <c r="P59" s="2" t="s">
        <v>20</v>
      </c>
      <c r="Q59" t="s">
        <v>64</v>
      </c>
      <c r="R59" t="s">
        <v>64</v>
      </c>
      <c r="S59" s="82" t="s">
        <v>159</v>
      </c>
      <c r="T59" t="s">
        <v>160</v>
      </c>
      <c r="U59" t="s">
        <v>161</v>
      </c>
      <c r="V59" s="2" t="s">
        <v>162</v>
      </c>
      <c r="W59" s="2" t="s">
        <v>65</v>
      </c>
      <c r="Z59" s="2" t="s">
        <v>163</v>
      </c>
      <c r="AA59" s="2" t="s">
        <v>164</v>
      </c>
      <c r="AB59" s="2" t="s">
        <v>66</v>
      </c>
      <c r="AC59" s="2" t="s">
        <v>67</v>
      </c>
    </row>
    <row r="60" spans="1:29" x14ac:dyDescent="0.25">
      <c r="A60" t="s">
        <v>113</v>
      </c>
      <c r="B60" t="s">
        <v>69</v>
      </c>
      <c r="C60" t="s">
        <v>8</v>
      </c>
      <c r="D60" t="s">
        <v>15</v>
      </c>
      <c r="E60" t="s">
        <v>132</v>
      </c>
      <c r="F60" t="s">
        <v>133</v>
      </c>
      <c r="G60" s="2" t="s">
        <v>8</v>
      </c>
      <c r="H60">
        <v>382375</v>
      </c>
      <c r="I60" s="31" t="s">
        <v>157</v>
      </c>
      <c r="J60" s="2" t="s">
        <v>158</v>
      </c>
      <c r="K60" t="s">
        <v>114</v>
      </c>
      <c r="L60" t="s">
        <v>133</v>
      </c>
      <c r="M60" s="2" t="s">
        <v>78</v>
      </c>
      <c r="N60" t="s">
        <v>144</v>
      </c>
      <c r="O60" t="s">
        <v>94</v>
      </c>
      <c r="P60" s="2" t="s">
        <v>112</v>
      </c>
      <c r="Q60" t="s">
        <v>64</v>
      </c>
      <c r="R60" t="s">
        <v>64</v>
      </c>
      <c r="S60" s="82" t="s">
        <v>159</v>
      </c>
      <c r="T60" t="s">
        <v>160</v>
      </c>
      <c r="U60" t="s">
        <v>161</v>
      </c>
      <c r="V60" s="2" t="s">
        <v>162</v>
      </c>
      <c r="W60" s="2" t="s">
        <v>65</v>
      </c>
      <c r="Z60" s="2" t="s">
        <v>163</v>
      </c>
      <c r="AA60" s="2" t="s">
        <v>164</v>
      </c>
      <c r="AB60" s="2" t="s">
        <v>66</v>
      </c>
      <c r="AC60" s="2" t="s">
        <v>67</v>
      </c>
    </row>
    <row r="61" spans="1:29" x14ac:dyDescent="0.25">
      <c r="A61" t="s">
        <v>113</v>
      </c>
      <c r="B61" t="s">
        <v>69</v>
      </c>
      <c r="C61" t="s">
        <v>8</v>
      </c>
      <c r="D61" t="s">
        <v>15</v>
      </c>
      <c r="E61" t="s">
        <v>132</v>
      </c>
      <c r="F61" t="s">
        <v>133</v>
      </c>
      <c r="G61" s="2" t="s">
        <v>8</v>
      </c>
      <c r="H61">
        <v>382375</v>
      </c>
      <c r="I61" s="31" t="s">
        <v>157</v>
      </c>
      <c r="J61" s="2" t="s">
        <v>158</v>
      </c>
      <c r="K61" t="s">
        <v>114</v>
      </c>
      <c r="L61" t="s">
        <v>133</v>
      </c>
      <c r="M61" s="2" t="s">
        <v>78</v>
      </c>
      <c r="N61" t="s">
        <v>144</v>
      </c>
      <c r="O61" t="s">
        <v>95</v>
      </c>
      <c r="P61" s="2" t="s">
        <v>112</v>
      </c>
      <c r="Q61" t="s">
        <v>64</v>
      </c>
      <c r="R61" t="s">
        <v>64</v>
      </c>
      <c r="S61" s="82" t="s">
        <v>159</v>
      </c>
      <c r="T61" t="s">
        <v>160</v>
      </c>
      <c r="U61" t="s">
        <v>161</v>
      </c>
      <c r="V61" s="2" t="s">
        <v>162</v>
      </c>
      <c r="W61" s="2" t="s">
        <v>65</v>
      </c>
      <c r="Z61" s="2" t="s">
        <v>163</v>
      </c>
      <c r="AA61" s="2" t="s">
        <v>164</v>
      </c>
      <c r="AB61" s="2" t="s">
        <v>66</v>
      </c>
      <c r="AC61" s="2" t="s">
        <v>67</v>
      </c>
    </row>
    <row r="62" spans="1:29" x14ac:dyDescent="0.25">
      <c r="A62" t="s">
        <v>113</v>
      </c>
      <c r="B62" t="s">
        <v>69</v>
      </c>
      <c r="C62" t="s">
        <v>8</v>
      </c>
      <c r="D62" t="s">
        <v>15</v>
      </c>
      <c r="E62" t="s">
        <v>132</v>
      </c>
      <c r="F62" t="s">
        <v>133</v>
      </c>
      <c r="G62" s="2" t="s">
        <v>8</v>
      </c>
      <c r="H62">
        <v>382375</v>
      </c>
      <c r="I62" s="31" t="s">
        <v>157</v>
      </c>
      <c r="J62" s="2" t="s">
        <v>158</v>
      </c>
      <c r="K62" t="s">
        <v>114</v>
      </c>
      <c r="L62" t="s">
        <v>133</v>
      </c>
      <c r="M62" s="2" t="s">
        <v>78</v>
      </c>
      <c r="N62" t="s">
        <v>144</v>
      </c>
      <c r="O62" t="s">
        <v>96</v>
      </c>
      <c r="P62" s="2" t="s">
        <v>112</v>
      </c>
      <c r="Q62" t="s">
        <v>64</v>
      </c>
      <c r="R62" t="s">
        <v>64</v>
      </c>
      <c r="S62" s="82" t="s">
        <v>159</v>
      </c>
      <c r="T62" t="s">
        <v>160</v>
      </c>
      <c r="U62" t="s">
        <v>161</v>
      </c>
      <c r="V62" s="2" t="s">
        <v>162</v>
      </c>
      <c r="W62" s="2" t="s">
        <v>65</v>
      </c>
      <c r="Z62" s="2" t="s">
        <v>163</v>
      </c>
      <c r="AA62" s="2" t="s">
        <v>164</v>
      </c>
      <c r="AB62" s="2" t="s">
        <v>66</v>
      </c>
      <c r="AC62" s="2" t="s">
        <v>67</v>
      </c>
    </row>
    <row r="63" spans="1:29" x14ac:dyDescent="0.25">
      <c r="A63" t="s">
        <v>113</v>
      </c>
      <c r="B63" t="s">
        <v>69</v>
      </c>
      <c r="C63" t="s">
        <v>8</v>
      </c>
      <c r="D63" t="s">
        <v>15</v>
      </c>
      <c r="E63" t="s">
        <v>132</v>
      </c>
      <c r="F63" t="s">
        <v>133</v>
      </c>
      <c r="G63" s="2" t="s">
        <v>8</v>
      </c>
      <c r="H63">
        <v>382375</v>
      </c>
      <c r="I63" s="31" t="s">
        <v>157</v>
      </c>
      <c r="J63" s="2" t="s">
        <v>158</v>
      </c>
      <c r="K63" t="s">
        <v>114</v>
      </c>
      <c r="L63" t="s">
        <v>133</v>
      </c>
      <c r="M63" s="2" t="s">
        <v>78</v>
      </c>
      <c r="N63" t="s">
        <v>144</v>
      </c>
      <c r="O63" t="s">
        <v>97</v>
      </c>
      <c r="P63" s="2" t="s">
        <v>112</v>
      </c>
      <c r="Q63" t="s">
        <v>64</v>
      </c>
      <c r="R63" t="s">
        <v>64</v>
      </c>
      <c r="S63" s="82" t="s">
        <v>159</v>
      </c>
      <c r="T63" t="s">
        <v>160</v>
      </c>
      <c r="U63" t="s">
        <v>161</v>
      </c>
      <c r="V63" s="2" t="s">
        <v>162</v>
      </c>
      <c r="W63" s="2" t="s">
        <v>65</v>
      </c>
      <c r="Z63" s="2" t="s">
        <v>163</v>
      </c>
      <c r="AA63" s="2" t="s">
        <v>164</v>
      </c>
      <c r="AB63" s="2" t="s">
        <v>66</v>
      </c>
      <c r="AC63" s="2" t="s">
        <v>67</v>
      </c>
    </row>
    <row r="64" spans="1:29" x14ac:dyDescent="0.25">
      <c r="A64" t="s">
        <v>113</v>
      </c>
      <c r="B64" t="s">
        <v>69</v>
      </c>
      <c r="C64" t="s">
        <v>8</v>
      </c>
      <c r="D64" t="s">
        <v>15</v>
      </c>
      <c r="E64" t="s">
        <v>132</v>
      </c>
      <c r="F64" t="s">
        <v>133</v>
      </c>
      <c r="G64" s="2" t="s">
        <v>8</v>
      </c>
      <c r="H64">
        <v>382375</v>
      </c>
      <c r="I64" s="31" t="s">
        <v>157</v>
      </c>
      <c r="J64" s="2" t="s">
        <v>158</v>
      </c>
      <c r="K64" t="s">
        <v>114</v>
      </c>
      <c r="L64" t="s">
        <v>133</v>
      </c>
      <c r="M64" s="2" t="s">
        <v>78</v>
      </c>
      <c r="N64" t="s">
        <v>144</v>
      </c>
      <c r="O64" t="s">
        <v>98</v>
      </c>
      <c r="P64" s="2" t="s">
        <v>20</v>
      </c>
      <c r="Q64" t="s">
        <v>64</v>
      </c>
      <c r="R64" t="s">
        <v>64</v>
      </c>
      <c r="S64" s="82" t="s">
        <v>159</v>
      </c>
      <c r="T64" t="s">
        <v>160</v>
      </c>
      <c r="U64" t="s">
        <v>161</v>
      </c>
      <c r="V64" s="2" t="s">
        <v>162</v>
      </c>
      <c r="W64" s="2" t="s">
        <v>65</v>
      </c>
      <c r="Z64" s="2" t="s">
        <v>163</v>
      </c>
      <c r="AA64" s="2" t="s">
        <v>164</v>
      </c>
      <c r="AB64" s="2" t="s">
        <v>66</v>
      </c>
      <c r="AC64" s="2" t="s">
        <v>67</v>
      </c>
    </row>
    <row r="65" spans="1:29" x14ac:dyDescent="0.25">
      <c r="A65" t="s">
        <v>113</v>
      </c>
      <c r="B65" t="s">
        <v>69</v>
      </c>
      <c r="C65" t="s">
        <v>8</v>
      </c>
      <c r="D65" t="s">
        <v>15</v>
      </c>
      <c r="E65" t="s">
        <v>132</v>
      </c>
      <c r="F65" t="s">
        <v>133</v>
      </c>
      <c r="G65" s="2" t="s">
        <v>8</v>
      </c>
      <c r="H65">
        <v>382375</v>
      </c>
      <c r="I65" s="31" t="s">
        <v>157</v>
      </c>
      <c r="J65" s="2" t="s">
        <v>158</v>
      </c>
      <c r="K65" t="s">
        <v>114</v>
      </c>
      <c r="L65" t="s">
        <v>133</v>
      </c>
      <c r="M65" s="2" t="s">
        <v>78</v>
      </c>
      <c r="N65" t="s">
        <v>144</v>
      </c>
      <c r="O65" t="s">
        <v>99</v>
      </c>
      <c r="P65" s="2" t="s">
        <v>20</v>
      </c>
      <c r="Q65" t="s">
        <v>64</v>
      </c>
      <c r="R65" t="s">
        <v>64</v>
      </c>
      <c r="S65" s="82" t="s">
        <v>159</v>
      </c>
      <c r="T65" t="s">
        <v>160</v>
      </c>
      <c r="U65" t="s">
        <v>161</v>
      </c>
      <c r="V65" s="2" t="s">
        <v>162</v>
      </c>
      <c r="W65" s="2" t="s">
        <v>65</v>
      </c>
      <c r="Z65" s="2" t="s">
        <v>163</v>
      </c>
      <c r="AA65" s="2" t="s">
        <v>164</v>
      </c>
      <c r="AB65" s="2" t="s">
        <v>66</v>
      </c>
      <c r="AC65" s="2" t="s">
        <v>67</v>
      </c>
    </row>
    <row r="66" spans="1:29" x14ac:dyDescent="0.25">
      <c r="A66" t="s">
        <v>113</v>
      </c>
      <c r="B66" t="s">
        <v>69</v>
      </c>
      <c r="C66" t="s">
        <v>8</v>
      </c>
      <c r="D66" t="s">
        <v>15</v>
      </c>
      <c r="E66" t="s">
        <v>132</v>
      </c>
      <c r="F66" t="s">
        <v>133</v>
      </c>
      <c r="G66" s="2" t="s">
        <v>8</v>
      </c>
      <c r="H66">
        <v>382375</v>
      </c>
      <c r="I66" s="31" t="s">
        <v>157</v>
      </c>
      <c r="J66" s="2" t="s">
        <v>158</v>
      </c>
      <c r="K66" t="s">
        <v>114</v>
      </c>
      <c r="L66" t="s">
        <v>133</v>
      </c>
      <c r="M66" s="2" t="s">
        <v>78</v>
      </c>
      <c r="N66" t="s">
        <v>144</v>
      </c>
      <c r="O66" t="s">
        <v>100</v>
      </c>
      <c r="P66" s="2" t="s">
        <v>20</v>
      </c>
      <c r="Q66" t="s">
        <v>64</v>
      </c>
      <c r="R66" t="s">
        <v>64</v>
      </c>
      <c r="S66" s="82" t="s">
        <v>159</v>
      </c>
      <c r="T66" t="s">
        <v>160</v>
      </c>
      <c r="U66" t="s">
        <v>161</v>
      </c>
      <c r="V66" s="2" t="s">
        <v>162</v>
      </c>
      <c r="W66" s="2" t="s">
        <v>65</v>
      </c>
      <c r="Z66" s="2" t="s">
        <v>163</v>
      </c>
      <c r="AA66" s="2" t="s">
        <v>164</v>
      </c>
      <c r="AB66" s="2" t="s">
        <v>66</v>
      </c>
      <c r="AC66" s="2" t="s">
        <v>67</v>
      </c>
    </row>
    <row r="67" spans="1:29" x14ac:dyDescent="0.25">
      <c r="A67" t="s">
        <v>113</v>
      </c>
      <c r="B67" t="s">
        <v>69</v>
      </c>
      <c r="C67" t="s">
        <v>8</v>
      </c>
      <c r="D67" t="s">
        <v>15</v>
      </c>
      <c r="E67" t="s">
        <v>132</v>
      </c>
      <c r="F67" t="s">
        <v>133</v>
      </c>
      <c r="G67" s="2" t="s">
        <v>8</v>
      </c>
      <c r="H67">
        <v>382375</v>
      </c>
      <c r="I67" s="31" t="s">
        <v>157</v>
      </c>
      <c r="J67" s="2" t="s">
        <v>158</v>
      </c>
      <c r="K67" t="s">
        <v>114</v>
      </c>
      <c r="L67" t="s">
        <v>133</v>
      </c>
      <c r="M67" s="2" t="s">
        <v>78</v>
      </c>
      <c r="N67" t="s">
        <v>144</v>
      </c>
      <c r="O67" t="s">
        <v>101</v>
      </c>
      <c r="P67" s="2" t="s">
        <v>20</v>
      </c>
      <c r="Q67" t="s">
        <v>64</v>
      </c>
      <c r="R67" t="s">
        <v>64</v>
      </c>
      <c r="S67" s="82" t="s">
        <v>159</v>
      </c>
      <c r="T67" t="s">
        <v>160</v>
      </c>
      <c r="U67" t="s">
        <v>161</v>
      </c>
      <c r="V67" s="2" t="s">
        <v>162</v>
      </c>
      <c r="W67" s="2" t="s">
        <v>65</v>
      </c>
      <c r="Z67" s="2" t="s">
        <v>163</v>
      </c>
      <c r="AA67" s="2" t="s">
        <v>164</v>
      </c>
      <c r="AB67" s="2" t="s">
        <v>66</v>
      </c>
      <c r="AC67" s="2" t="s">
        <v>67</v>
      </c>
    </row>
    <row r="68" spans="1:29" x14ac:dyDescent="0.25">
      <c r="A68" t="s">
        <v>113</v>
      </c>
      <c r="B68" t="s">
        <v>69</v>
      </c>
      <c r="C68" t="s">
        <v>8</v>
      </c>
      <c r="D68" t="s">
        <v>15</v>
      </c>
      <c r="E68" t="s">
        <v>132</v>
      </c>
      <c r="F68" t="s">
        <v>133</v>
      </c>
      <c r="G68" s="2" t="s">
        <v>8</v>
      </c>
      <c r="H68">
        <v>382375</v>
      </c>
      <c r="I68" s="31" t="s">
        <v>157</v>
      </c>
      <c r="J68" s="2" t="s">
        <v>158</v>
      </c>
      <c r="K68" t="s">
        <v>114</v>
      </c>
      <c r="L68" t="s">
        <v>133</v>
      </c>
      <c r="M68" s="2" t="s">
        <v>78</v>
      </c>
      <c r="N68" t="s">
        <v>144</v>
      </c>
      <c r="O68" t="s">
        <v>102</v>
      </c>
      <c r="P68" s="2" t="s">
        <v>20</v>
      </c>
      <c r="Q68" t="s">
        <v>64</v>
      </c>
      <c r="R68" t="s">
        <v>64</v>
      </c>
      <c r="S68" s="82" t="s">
        <v>159</v>
      </c>
      <c r="T68" t="s">
        <v>160</v>
      </c>
      <c r="U68" t="s">
        <v>161</v>
      </c>
      <c r="V68" s="2" t="s">
        <v>162</v>
      </c>
      <c r="W68" s="2" t="s">
        <v>65</v>
      </c>
      <c r="Z68" s="2" t="s">
        <v>163</v>
      </c>
      <c r="AA68" s="2" t="s">
        <v>164</v>
      </c>
      <c r="AB68" s="2" t="s">
        <v>66</v>
      </c>
      <c r="AC68" s="2" t="s">
        <v>67</v>
      </c>
    </row>
    <row r="69" spans="1:29" x14ac:dyDescent="0.25">
      <c r="A69" t="s">
        <v>113</v>
      </c>
      <c r="B69" t="s">
        <v>69</v>
      </c>
      <c r="C69" t="s">
        <v>8</v>
      </c>
      <c r="D69" t="s">
        <v>15</v>
      </c>
      <c r="E69" t="s">
        <v>132</v>
      </c>
      <c r="F69" t="s">
        <v>133</v>
      </c>
      <c r="G69" s="2" t="s">
        <v>8</v>
      </c>
      <c r="H69">
        <v>382375</v>
      </c>
      <c r="I69" s="31" t="s">
        <v>157</v>
      </c>
      <c r="J69" s="2" t="s">
        <v>158</v>
      </c>
      <c r="K69" t="s">
        <v>114</v>
      </c>
      <c r="L69" t="s">
        <v>133</v>
      </c>
      <c r="M69" s="2" t="s">
        <v>78</v>
      </c>
      <c r="N69" t="s">
        <v>144</v>
      </c>
      <c r="O69" t="s">
        <v>103</v>
      </c>
      <c r="P69" s="2" t="s">
        <v>20</v>
      </c>
      <c r="Q69" t="s">
        <v>64</v>
      </c>
      <c r="R69" t="s">
        <v>64</v>
      </c>
      <c r="S69" s="82" t="s">
        <v>159</v>
      </c>
      <c r="T69" t="s">
        <v>160</v>
      </c>
      <c r="U69" t="s">
        <v>161</v>
      </c>
      <c r="V69" s="2" t="s">
        <v>162</v>
      </c>
      <c r="W69" s="2" t="s">
        <v>65</v>
      </c>
      <c r="Z69" s="2" t="s">
        <v>163</v>
      </c>
      <c r="AA69" s="2" t="s">
        <v>164</v>
      </c>
      <c r="AB69" s="2" t="s">
        <v>66</v>
      </c>
      <c r="AC69" s="2" t="s">
        <v>67</v>
      </c>
    </row>
    <row r="70" spans="1:29" x14ac:dyDescent="0.25">
      <c r="A70" t="s">
        <v>113</v>
      </c>
      <c r="B70" t="s">
        <v>69</v>
      </c>
      <c r="C70" t="s">
        <v>8</v>
      </c>
      <c r="D70" t="s">
        <v>15</v>
      </c>
      <c r="E70" t="s">
        <v>132</v>
      </c>
      <c r="F70" t="s">
        <v>133</v>
      </c>
      <c r="G70" s="2" t="s">
        <v>8</v>
      </c>
      <c r="H70">
        <v>382375</v>
      </c>
      <c r="I70" s="31" t="s">
        <v>157</v>
      </c>
      <c r="J70" s="2" t="s">
        <v>158</v>
      </c>
      <c r="K70" t="s">
        <v>114</v>
      </c>
      <c r="L70" t="s">
        <v>133</v>
      </c>
      <c r="M70" s="2" t="s">
        <v>78</v>
      </c>
      <c r="N70" t="s">
        <v>144</v>
      </c>
      <c r="O70" t="s">
        <v>104</v>
      </c>
      <c r="P70" s="2" t="s">
        <v>112</v>
      </c>
      <c r="Q70" t="s">
        <v>64</v>
      </c>
      <c r="R70" t="s">
        <v>64</v>
      </c>
      <c r="S70" s="82" t="s">
        <v>159</v>
      </c>
      <c r="T70" t="s">
        <v>160</v>
      </c>
      <c r="U70" t="s">
        <v>161</v>
      </c>
      <c r="V70" s="2" t="s">
        <v>162</v>
      </c>
      <c r="W70" s="2" t="s">
        <v>65</v>
      </c>
      <c r="Z70" s="2" t="s">
        <v>163</v>
      </c>
      <c r="AA70" s="2" t="s">
        <v>164</v>
      </c>
      <c r="AB70" s="2" t="s">
        <v>66</v>
      </c>
      <c r="AC70" s="2" t="s">
        <v>67</v>
      </c>
    </row>
    <row r="71" spans="1:29" x14ac:dyDescent="0.25">
      <c r="A71" t="s">
        <v>113</v>
      </c>
      <c r="B71" t="s">
        <v>69</v>
      </c>
      <c r="C71" t="s">
        <v>8</v>
      </c>
      <c r="D71" t="s">
        <v>15</v>
      </c>
      <c r="E71" t="s">
        <v>132</v>
      </c>
      <c r="F71" t="s">
        <v>133</v>
      </c>
      <c r="G71" s="2" t="s">
        <v>8</v>
      </c>
      <c r="H71">
        <v>382375</v>
      </c>
      <c r="I71" s="31" t="s">
        <v>157</v>
      </c>
      <c r="J71" s="2" t="s">
        <v>158</v>
      </c>
      <c r="K71" t="s">
        <v>114</v>
      </c>
      <c r="L71" t="s">
        <v>133</v>
      </c>
      <c r="M71" s="2" t="s">
        <v>78</v>
      </c>
      <c r="N71" t="s">
        <v>144</v>
      </c>
      <c r="O71" t="s">
        <v>125</v>
      </c>
      <c r="P71" s="2" t="s">
        <v>112</v>
      </c>
      <c r="Q71" t="s">
        <v>64</v>
      </c>
      <c r="R71" t="s">
        <v>64</v>
      </c>
      <c r="S71" s="82" t="s">
        <v>159</v>
      </c>
      <c r="T71" t="s">
        <v>160</v>
      </c>
      <c r="U71" t="s">
        <v>161</v>
      </c>
      <c r="V71" s="2" t="s">
        <v>162</v>
      </c>
      <c r="W71" s="2" t="s">
        <v>65</v>
      </c>
      <c r="Z71" s="2" t="s">
        <v>163</v>
      </c>
      <c r="AA71" s="2" t="s">
        <v>164</v>
      </c>
      <c r="AB71" s="2" t="s">
        <v>66</v>
      </c>
      <c r="AC71" s="2" t="s">
        <v>67</v>
      </c>
    </row>
    <row r="72" spans="1:29" x14ac:dyDescent="0.25">
      <c r="A72" t="s">
        <v>113</v>
      </c>
      <c r="B72" t="s">
        <v>69</v>
      </c>
      <c r="C72" t="s">
        <v>8</v>
      </c>
      <c r="D72" t="s">
        <v>15</v>
      </c>
      <c r="E72" t="s">
        <v>132</v>
      </c>
      <c r="F72" t="s">
        <v>133</v>
      </c>
      <c r="G72" s="2" t="s">
        <v>8</v>
      </c>
      <c r="H72">
        <v>382375</v>
      </c>
      <c r="I72" s="31" t="s">
        <v>157</v>
      </c>
      <c r="J72" s="2" t="s">
        <v>158</v>
      </c>
      <c r="K72" t="s">
        <v>114</v>
      </c>
      <c r="L72" t="s">
        <v>133</v>
      </c>
      <c r="M72" s="2" t="s">
        <v>78</v>
      </c>
      <c r="N72" t="s">
        <v>144</v>
      </c>
      <c r="O72" t="s">
        <v>105</v>
      </c>
      <c r="P72" s="2" t="s">
        <v>15</v>
      </c>
      <c r="Q72" t="s">
        <v>64</v>
      </c>
      <c r="R72" t="s">
        <v>64</v>
      </c>
      <c r="S72" s="82" t="s">
        <v>159</v>
      </c>
      <c r="T72" t="s">
        <v>160</v>
      </c>
      <c r="U72" t="s">
        <v>161</v>
      </c>
      <c r="V72" s="2" t="s">
        <v>162</v>
      </c>
      <c r="W72" s="2" t="s">
        <v>65</v>
      </c>
      <c r="Z72" s="2" t="s">
        <v>163</v>
      </c>
      <c r="AA72" s="2" t="s">
        <v>164</v>
      </c>
      <c r="AB72" s="2" t="s">
        <v>66</v>
      </c>
      <c r="AC72" s="2" t="s">
        <v>67</v>
      </c>
    </row>
    <row r="73" spans="1:29" x14ac:dyDescent="0.25">
      <c r="A73" t="s">
        <v>113</v>
      </c>
      <c r="B73" t="s">
        <v>69</v>
      </c>
      <c r="C73" t="s">
        <v>8</v>
      </c>
      <c r="D73" t="s">
        <v>15</v>
      </c>
      <c r="E73" t="s">
        <v>132</v>
      </c>
      <c r="F73" t="s">
        <v>133</v>
      </c>
      <c r="G73" s="2" t="s">
        <v>8</v>
      </c>
      <c r="H73">
        <v>382375</v>
      </c>
      <c r="I73" s="31" t="s">
        <v>157</v>
      </c>
      <c r="J73" s="2" t="s">
        <v>158</v>
      </c>
      <c r="K73" t="s">
        <v>114</v>
      </c>
      <c r="L73" t="s">
        <v>133</v>
      </c>
      <c r="M73" s="2" t="s">
        <v>78</v>
      </c>
      <c r="N73" t="s">
        <v>144</v>
      </c>
      <c r="O73" t="s">
        <v>126</v>
      </c>
      <c r="P73" s="2" t="s">
        <v>20</v>
      </c>
      <c r="Q73" t="s">
        <v>64</v>
      </c>
      <c r="R73" t="s">
        <v>64</v>
      </c>
      <c r="S73" s="82" t="s">
        <v>159</v>
      </c>
      <c r="T73" t="s">
        <v>160</v>
      </c>
      <c r="U73" t="s">
        <v>161</v>
      </c>
      <c r="V73" s="2" t="s">
        <v>162</v>
      </c>
      <c r="W73" s="2" t="s">
        <v>65</v>
      </c>
      <c r="Z73" s="2" t="s">
        <v>163</v>
      </c>
      <c r="AA73" s="2" t="s">
        <v>164</v>
      </c>
      <c r="AB73" s="2" t="s">
        <v>66</v>
      </c>
      <c r="AC73" s="2" t="s">
        <v>67</v>
      </c>
    </row>
    <row r="74" spans="1:29" x14ac:dyDescent="0.25">
      <c r="A74" t="s">
        <v>113</v>
      </c>
      <c r="B74" t="s">
        <v>69</v>
      </c>
      <c r="C74" t="s">
        <v>8</v>
      </c>
      <c r="D74" t="s">
        <v>15</v>
      </c>
      <c r="E74" t="s">
        <v>132</v>
      </c>
      <c r="F74" t="s">
        <v>133</v>
      </c>
      <c r="G74" s="2" t="s">
        <v>8</v>
      </c>
      <c r="H74">
        <v>382375</v>
      </c>
      <c r="I74" s="31" t="s">
        <v>157</v>
      </c>
      <c r="J74" s="2" t="s">
        <v>158</v>
      </c>
      <c r="K74" t="s">
        <v>114</v>
      </c>
      <c r="L74" t="s">
        <v>133</v>
      </c>
      <c r="M74" s="2" t="s">
        <v>78</v>
      </c>
      <c r="N74" t="s">
        <v>144</v>
      </c>
      <c r="O74" t="s">
        <v>127</v>
      </c>
      <c r="P74" s="2" t="s">
        <v>20</v>
      </c>
      <c r="Q74" t="s">
        <v>64</v>
      </c>
      <c r="R74" t="s">
        <v>64</v>
      </c>
      <c r="S74" s="82" t="s">
        <v>159</v>
      </c>
      <c r="T74" t="s">
        <v>160</v>
      </c>
      <c r="U74" t="s">
        <v>161</v>
      </c>
      <c r="V74" s="2" t="s">
        <v>162</v>
      </c>
      <c r="W74" s="2" t="s">
        <v>65</v>
      </c>
      <c r="Z74" s="2" t="s">
        <v>163</v>
      </c>
      <c r="AA74" s="2" t="s">
        <v>164</v>
      </c>
      <c r="AB74" s="2" t="s">
        <v>66</v>
      </c>
      <c r="AC74" s="2" t="s">
        <v>67</v>
      </c>
    </row>
    <row r="75" spans="1:29" x14ac:dyDescent="0.25">
      <c r="A75" t="s">
        <v>113</v>
      </c>
      <c r="B75" t="s">
        <v>69</v>
      </c>
      <c r="C75" t="s">
        <v>8</v>
      </c>
      <c r="D75" t="s">
        <v>15</v>
      </c>
      <c r="E75" t="s">
        <v>132</v>
      </c>
      <c r="F75" t="s">
        <v>133</v>
      </c>
      <c r="G75" s="2" t="s">
        <v>8</v>
      </c>
      <c r="H75">
        <v>382375</v>
      </c>
      <c r="I75" s="31" t="s">
        <v>157</v>
      </c>
      <c r="J75" s="2" t="s">
        <v>158</v>
      </c>
      <c r="K75" t="s">
        <v>114</v>
      </c>
      <c r="L75" t="s">
        <v>133</v>
      </c>
      <c r="M75" s="2" t="s">
        <v>78</v>
      </c>
      <c r="N75" t="s">
        <v>144</v>
      </c>
      <c r="O75" t="s">
        <v>106</v>
      </c>
      <c r="P75" s="2" t="s">
        <v>20</v>
      </c>
      <c r="Q75" t="s">
        <v>64</v>
      </c>
      <c r="R75" t="s">
        <v>64</v>
      </c>
      <c r="S75" s="82" t="s">
        <v>159</v>
      </c>
      <c r="T75" t="s">
        <v>160</v>
      </c>
      <c r="U75" t="s">
        <v>161</v>
      </c>
      <c r="V75" s="2" t="s">
        <v>162</v>
      </c>
      <c r="W75" s="2" t="s">
        <v>65</v>
      </c>
      <c r="Z75" s="2" t="s">
        <v>163</v>
      </c>
      <c r="AA75" s="2" t="s">
        <v>164</v>
      </c>
      <c r="AB75" s="2" t="s">
        <v>66</v>
      </c>
      <c r="AC75" s="2" t="s">
        <v>67</v>
      </c>
    </row>
    <row r="76" spans="1:29" x14ac:dyDescent="0.25">
      <c r="A76" t="s">
        <v>113</v>
      </c>
      <c r="B76" t="s">
        <v>69</v>
      </c>
      <c r="C76" t="s">
        <v>8</v>
      </c>
      <c r="D76" t="s">
        <v>15</v>
      </c>
      <c r="E76" t="s">
        <v>132</v>
      </c>
      <c r="F76" t="s">
        <v>133</v>
      </c>
      <c r="G76" s="2" t="s">
        <v>8</v>
      </c>
      <c r="H76">
        <v>382375</v>
      </c>
      <c r="I76" s="31" t="s">
        <v>157</v>
      </c>
      <c r="J76" s="2" t="s">
        <v>158</v>
      </c>
      <c r="K76" t="s">
        <v>114</v>
      </c>
      <c r="L76" t="s">
        <v>133</v>
      </c>
      <c r="M76" s="2" t="s">
        <v>78</v>
      </c>
      <c r="N76" t="s">
        <v>144</v>
      </c>
      <c r="O76" t="s">
        <v>107</v>
      </c>
      <c r="P76" s="2" t="s">
        <v>165</v>
      </c>
      <c r="Q76" t="s">
        <v>64</v>
      </c>
      <c r="R76" t="s">
        <v>64</v>
      </c>
      <c r="S76" s="82" t="s">
        <v>159</v>
      </c>
      <c r="T76" t="s">
        <v>160</v>
      </c>
      <c r="U76" t="s">
        <v>161</v>
      </c>
      <c r="V76" s="2" t="s">
        <v>162</v>
      </c>
      <c r="W76" s="2" t="s">
        <v>65</v>
      </c>
      <c r="Z76" s="2" t="s">
        <v>163</v>
      </c>
      <c r="AA76" s="2" t="s">
        <v>164</v>
      </c>
      <c r="AB76" s="2" t="s">
        <v>66</v>
      </c>
      <c r="AC76" s="2" t="s">
        <v>67</v>
      </c>
    </row>
    <row r="77" spans="1:29" x14ac:dyDescent="0.25">
      <c r="A77" t="s">
        <v>113</v>
      </c>
      <c r="B77" t="s">
        <v>69</v>
      </c>
      <c r="C77" t="s">
        <v>8</v>
      </c>
      <c r="D77" t="s">
        <v>43</v>
      </c>
      <c r="E77" t="s">
        <v>132</v>
      </c>
      <c r="F77" t="s">
        <v>133</v>
      </c>
      <c r="G77" s="2" t="s">
        <v>8</v>
      </c>
      <c r="H77">
        <v>355912</v>
      </c>
      <c r="I77" s="31" t="s">
        <v>166</v>
      </c>
      <c r="J77" s="2" t="s">
        <v>167</v>
      </c>
      <c r="K77" t="s">
        <v>64</v>
      </c>
      <c r="L77" t="s">
        <v>133</v>
      </c>
      <c r="M77" s="2" t="s">
        <v>78</v>
      </c>
      <c r="N77" t="s">
        <v>144</v>
      </c>
      <c r="O77" t="s">
        <v>87</v>
      </c>
      <c r="P77" s="2" t="s">
        <v>20</v>
      </c>
      <c r="Q77" t="s">
        <v>64</v>
      </c>
      <c r="R77" t="s">
        <v>64</v>
      </c>
      <c r="S77" s="82" t="s">
        <v>168</v>
      </c>
      <c r="T77" t="s">
        <v>169</v>
      </c>
      <c r="U77" t="s">
        <v>170</v>
      </c>
      <c r="V77" s="2" t="s">
        <v>171</v>
      </c>
      <c r="W77" s="2" t="s">
        <v>65</v>
      </c>
      <c r="Z77" s="2" t="s">
        <v>163</v>
      </c>
      <c r="AA77" s="2" t="s">
        <v>164</v>
      </c>
      <c r="AB77" s="2" t="s">
        <v>66</v>
      </c>
      <c r="AC77" s="2" t="s">
        <v>67</v>
      </c>
    </row>
    <row r="78" spans="1:29" x14ac:dyDescent="0.25">
      <c r="A78" t="s">
        <v>113</v>
      </c>
      <c r="B78" t="s">
        <v>69</v>
      </c>
      <c r="C78" t="s">
        <v>8</v>
      </c>
      <c r="D78" t="s">
        <v>43</v>
      </c>
      <c r="E78" t="s">
        <v>132</v>
      </c>
      <c r="F78" t="s">
        <v>133</v>
      </c>
      <c r="G78" s="2" t="s">
        <v>8</v>
      </c>
      <c r="H78">
        <v>355912</v>
      </c>
      <c r="I78" s="31" t="s">
        <v>166</v>
      </c>
      <c r="J78" s="2" t="s">
        <v>167</v>
      </c>
      <c r="K78" t="s">
        <v>64</v>
      </c>
      <c r="L78" t="s">
        <v>133</v>
      </c>
      <c r="M78" s="2" t="s">
        <v>78</v>
      </c>
      <c r="N78" t="s">
        <v>144</v>
      </c>
      <c r="O78" t="s">
        <v>88</v>
      </c>
      <c r="P78" s="2" t="s">
        <v>20</v>
      </c>
      <c r="Q78" t="s">
        <v>64</v>
      </c>
      <c r="R78" t="s">
        <v>64</v>
      </c>
      <c r="S78" s="82" t="s">
        <v>168</v>
      </c>
      <c r="T78" t="s">
        <v>169</v>
      </c>
      <c r="U78" t="s">
        <v>170</v>
      </c>
      <c r="V78" s="2" t="s">
        <v>171</v>
      </c>
      <c r="W78" s="2" t="s">
        <v>65</v>
      </c>
      <c r="Z78" s="2" t="s">
        <v>163</v>
      </c>
      <c r="AA78" s="2" t="s">
        <v>164</v>
      </c>
      <c r="AB78" s="2" t="s">
        <v>66</v>
      </c>
      <c r="AC78" s="2" t="s">
        <v>67</v>
      </c>
    </row>
    <row r="79" spans="1:29" x14ac:dyDescent="0.25">
      <c r="A79" t="s">
        <v>113</v>
      </c>
      <c r="B79" t="s">
        <v>69</v>
      </c>
      <c r="C79" t="s">
        <v>8</v>
      </c>
      <c r="D79" t="s">
        <v>43</v>
      </c>
      <c r="E79" t="s">
        <v>132</v>
      </c>
      <c r="F79" t="s">
        <v>133</v>
      </c>
      <c r="G79" s="2" t="s">
        <v>8</v>
      </c>
      <c r="H79">
        <v>355912</v>
      </c>
      <c r="I79" s="31" t="s">
        <v>166</v>
      </c>
      <c r="J79" s="2" t="s">
        <v>167</v>
      </c>
      <c r="K79" t="s">
        <v>64</v>
      </c>
      <c r="L79" t="s">
        <v>133</v>
      </c>
      <c r="M79" s="2" t="s">
        <v>78</v>
      </c>
      <c r="N79" t="s">
        <v>144</v>
      </c>
      <c r="O79" t="s">
        <v>89</v>
      </c>
      <c r="P79" s="2" t="s">
        <v>20</v>
      </c>
      <c r="Q79" t="s">
        <v>64</v>
      </c>
      <c r="R79" t="s">
        <v>64</v>
      </c>
      <c r="S79" s="82" t="s">
        <v>168</v>
      </c>
      <c r="T79" t="s">
        <v>169</v>
      </c>
      <c r="U79" t="s">
        <v>170</v>
      </c>
      <c r="V79" s="2" t="s">
        <v>171</v>
      </c>
      <c r="W79" s="2" t="s">
        <v>65</v>
      </c>
      <c r="Z79" s="2" t="s">
        <v>163</v>
      </c>
      <c r="AA79" s="2" t="s">
        <v>164</v>
      </c>
      <c r="AB79" s="2" t="s">
        <v>66</v>
      </c>
      <c r="AC79" s="2" t="s">
        <v>67</v>
      </c>
    </row>
    <row r="80" spans="1:29" x14ac:dyDescent="0.25">
      <c r="A80" t="s">
        <v>113</v>
      </c>
      <c r="B80" t="s">
        <v>69</v>
      </c>
      <c r="C80" t="s">
        <v>8</v>
      </c>
      <c r="D80" t="s">
        <v>43</v>
      </c>
      <c r="E80" t="s">
        <v>132</v>
      </c>
      <c r="F80" t="s">
        <v>133</v>
      </c>
      <c r="G80" s="2" t="s">
        <v>8</v>
      </c>
      <c r="H80">
        <v>355912</v>
      </c>
      <c r="I80" s="31" t="s">
        <v>166</v>
      </c>
      <c r="J80" s="2" t="s">
        <v>167</v>
      </c>
      <c r="K80" t="s">
        <v>64</v>
      </c>
      <c r="L80" t="s">
        <v>133</v>
      </c>
      <c r="M80" s="2" t="s">
        <v>78</v>
      </c>
      <c r="N80" t="s">
        <v>144</v>
      </c>
      <c r="O80" t="s">
        <v>90</v>
      </c>
      <c r="P80" s="2" t="s">
        <v>20</v>
      </c>
      <c r="Q80" t="s">
        <v>64</v>
      </c>
      <c r="R80" t="s">
        <v>64</v>
      </c>
      <c r="S80" s="82" t="s">
        <v>168</v>
      </c>
      <c r="T80" t="s">
        <v>169</v>
      </c>
      <c r="U80" t="s">
        <v>170</v>
      </c>
      <c r="V80" s="2" t="s">
        <v>171</v>
      </c>
      <c r="W80" s="2" t="s">
        <v>65</v>
      </c>
      <c r="Z80" s="2" t="s">
        <v>163</v>
      </c>
      <c r="AA80" s="2" t="s">
        <v>164</v>
      </c>
      <c r="AB80" s="2" t="s">
        <v>66</v>
      </c>
      <c r="AC80" s="2" t="s">
        <v>67</v>
      </c>
    </row>
    <row r="81" spans="1:29" x14ac:dyDescent="0.25">
      <c r="A81" t="s">
        <v>113</v>
      </c>
      <c r="B81" t="s">
        <v>69</v>
      </c>
      <c r="C81" t="s">
        <v>8</v>
      </c>
      <c r="D81" t="s">
        <v>43</v>
      </c>
      <c r="E81" t="s">
        <v>132</v>
      </c>
      <c r="F81" t="s">
        <v>133</v>
      </c>
      <c r="G81" s="2" t="s">
        <v>8</v>
      </c>
      <c r="H81">
        <v>355912</v>
      </c>
      <c r="I81" s="31" t="s">
        <v>166</v>
      </c>
      <c r="J81" s="2" t="s">
        <v>167</v>
      </c>
      <c r="K81" t="s">
        <v>64</v>
      </c>
      <c r="L81" t="s">
        <v>133</v>
      </c>
      <c r="M81" s="2" t="s">
        <v>78</v>
      </c>
      <c r="N81" t="s">
        <v>144</v>
      </c>
      <c r="O81" t="s">
        <v>35</v>
      </c>
      <c r="P81" s="2" t="s">
        <v>20</v>
      </c>
      <c r="Q81" t="s">
        <v>64</v>
      </c>
      <c r="R81" t="s">
        <v>64</v>
      </c>
      <c r="S81" s="82" t="s">
        <v>168</v>
      </c>
      <c r="T81" t="s">
        <v>169</v>
      </c>
      <c r="U81" t="s">
        <v>170</v>
      </c>
      <c r="V81" s="2" t="s">
        <v>171</v>
      </c>
      <c r="W81" s="2" t="s">
        <v>65</v>
      </c>
      <c r="Z81" s="2" t="s">
        <v>163</v>
      </c>
      <c r="AA81" s="2" t="s">
        <v>164</v>
      </c>
      <c r="AB81" s="2" t="s">
        <v>66</v>
      </c>
      <c r="AC81" s="2" t="s">
        <v>67</v>
      </c>
    </row>
    <row r="82" spans="1:29" x14ac:dyDescent="0.25">
      <c r="A82" t="s">
        <v>113</v>
      </c>
      <c r="B82" t="s">
        <v>69</v>
      </c>
      <c r="C82" t="s">
        <v>8</v>
      </c>
      <c r="D82" t="s">
        <v>43</v>
      </c>
      <c r="E82" t="s">
        <v>132</v>
      </c>
      <c r="F82" t="s">
        <v>133</v>
      </c>
      <c r="G82" s="2" t="s">
        <v>8</v>
      </c>
      <c r="H82">
        <v>355912</v>
      </c>
      <c r="I82" s="31" t="s">
        <v>166</v>
      </c>
      <c r="J82" s="2" t="s">
        <v>167</v>
      </c>
      <c r="K82" t="s">
        <v>64</v>
      </c>
      <c r="L82" t="s">
        <v>133</v>
      </c>
      <c r="M82" s="2" t="s">
        <v>78</v>
      </c>
      <c r="N82" t="s">
        <v>144</v>
      </c>
      <c r="O82" t="s">
        <v>91</v>
      </c>
      <c r="P82" s="2" t="s">
        <v>112</v>
      </c>
      <c r="Q82" t="s">
        <v>64</v>
      </c>
      <c r="R82" t="s">
        <v>64</v>
      </c>
      <c r="S82" s="82" t="s">
        <v>168</v>
      </c>
      <c r="T82" t="s">
        <v>169</v>
      </c>
      <c r="U82" t="s">
        <v>170</v>
      </c>
      <c r="V82" s="2" t="s">
        <v>171</v>
      </c>
      <c r="W82" s="2" t="s">
        <v>65</v>
      </c>
      <c r="Z82" s="2" t="s">
        <v>163</v>
      </c>
      <c r="AA82" s="2" t="s">
        <v>164</v>
      </c>
      <c r="AB82" s="2" t="s">
        <v>66</v>
      </c>
      <c r="AC82" s="2" t="s">
        <v>67</v>
      </c>
    </row>
    <row r="83" spans="1:29" x14ac:dyDescent="0.25">
      <c r="A83" t="s">
        <v>113</v>
      </c>
      <c r="B83" t="s">
        <v>69</v>
      </c>
      <c r="C83" t="s">
        <v>8</v>
      </c>
      <c r="D83" t="s">
        <v>43</v>
      </c>
      <c r="E83" t="s">
        <v>132</v>
      </c>
      <c r="F83" t="s">
        <v>133</v>
      </c>
      <c r="G83" s="2" t="s">
        <v>8</v>
      </c>
      <c r="H83">
        <v>355912</v>
      </c>
      <c r="I83" s="31" t="s">
        <v>166</v>
      </c>
      <c r="J83" s="2" t="s">
        <v>167</v>
      </c>
      <c r="K83" t="s">
        <v>64</v>
      </c>
      <c r="L83" t="s">
        <v>133</v>
      </c>
      <c r="M83" s="2" t="s">
        <v>78</v>
      </c>
      <c r="N83" t="s">
        <v>144</v>
      </c>
      <c r="O83" t="s">
        <v>92</v>
      </c>
      <c r="P83" s="2" t="s">
        <v>20</v>
      </c>
      <c r="Q83" t="s">
        <v>64</v>
      </c>
      <c r="R83" t="s">
        <v>64</v>
      </c>
      <c r="S83" s="82" t="s">
        <v>168</v>
      </c>
      <c r="T83" t="s">
        <v>169</v>
      </c>
      <c r="U83" t="s">
        <v>170</v>
      </c>
      <c r="V83" s="2" t="s">
        <v>171</v>
      </c>
      <c r="W83" s="2" t="s">
        <v>65</v>
      </c>
      <c r="Z83" s="2" t="s">
        <v>163</v>
      </c>
      <c r="AA83" s="2" t="s">
        <v>164</v>
      </c>
      <c r="AB83" s="2" t="s">
        <v>66</v>
      </c>
      <c r="AC83" s="2" t="s">
        <v>67</v>
      </c>
    </row>
    <row r="84" spans="1:29" x14ac:dyDescent="0.25">
      <c r="A84" t="s">
        <v>113</v>
      </c>
      <c r="B84" t="s">
        <v>69</v>
      </c>
      <c r="C84" t="s">
        <v>8</v>
      </c>
      <c r="D84" t="s">
        <v>43</v>
      </c>
      <c r="E84" t="s">
        <v>132</v>
      </c>
      <c r="F84" t="s">
        <v>133</v>
      </c>
      <c r="G84" s="2" t="s">
        <v>8</v>
      </c>
      <c r="H84">
        <v>355912</v>
      </c>
      <c r="I84" s="31" t="s">
        <v>166</v>
      </c>
      <c r="J84" s="2" t="s">
        <v>167</v>
      </c>
      <c r="K84" t="s">
        <v>64</v>
      </c>
      <c r="L84" t="s">
        <v>133</v>
      </c>
      <c r="M84" s="2" t="s">
        <v>78</v>
      </c>
      <c r="N84" t="s">
        <v>144</v>
      </c>
      <c r="O84" t="s">
        <v>93</v>
      </c>
      <c r="P84" s="2" t="s">
        <v>20</v>
      </c>
      <c r="Q84" t="s">
        <v>64</v>
      </c>
      <c r="R84" t="s">
        <v>64</v>
      </c>
      <c r="S84" s="82" t="s">
        <v>168</v>
      </c>
      <c r="T84" t="s">
        <v>169</v>
      </c>
      <c r="U84" t="s">
        <v>170</v>
      </c>
      <c r="V84" s="2" t="s">
        <v>171</v>
      </c>
      <c r="W84" s="2" t="s">
        <v>65</v>
      </c>
      <c r="Z84" s="2" t="s">
        <v>163</v>
      </c>
      <c r="AA84" s="2" t="s">
        <v>164</v>
      </c>
      <c r="AB84" s="2" t="s">
        <v>66</v>
      </c>
      <c r="AC84" s="2" t="s">
        <v>67</v>
      </c>
    </row>
    <row r="85" spans="1:29" x14ac:dyDescent="0.25">
      <c r="A85" t="s">
        <v>113</v>
      </c>
      <c r="B85" t="s">
        <v>69</v>
      </c>
      <c r="C85" t="s">
        <v>8</v>
      </c>
      <c r="D85" t="s">
        <v>43</v>
      </c>
      <c r="E85" t="s">
        <v>132</v>
      </c>
      <c r="F85" t="s">
        <v>133</v>
      </c>
      <c r="G85" s="2" t="s">
        <v>8</v>
      </c>
      <c r="H85">
        <v>355912</v>
      </c>
      <c r="I85" s="31" t="s">
        <v>166</v>
      </c>
      <c r="J85" s="2" t="s">
        <v>167</v>
      </c>
      <c r="K85" t="s">
        <v>64</v>
      </c>
      <c r="L85" t="s">
        <v>133</v>
      </c>
      <c r="M85" s="2" t="s">
        <v>78</v>
      </c>
      <c r="N85" t="s">
        <v>144</v>
      </c>
      <c r="O85" t="s">
        <v>94</v>
      </c>
      <c r="P85" s="2" t="s">
        <v>112</v>
      </c>
      <c r="Q85" t="s">
        <v>64</v>
      </c>
      <c r="R85" t="s">
        <v>64</v>
      </c>
      <c r="S85" s="82" t="s">
        <v>168</v>
      </c>
      <c r="T85" t="s">
        <v>169</v>
      </c>
      <c r="U85" t="s">
        <v>170</v>
      </c>
      <c r="V85" s="2" t="s">
        <v>171</v>
      </c>
      <c r="W85" s="2" t="s">
        <v>65</v>
      </c>
      <c r="Z85" s="2" t="s">
        <v>163</v>
      </c>
      <c r="AA85" s="2" t="s">
        <v>164</v>
      </c>
      <c r="AB85" s="2" t="s">
        <v>66</v>
      </c>
      <c r="AC85" s="2" t="s">
        <v>67</v>
      </c>
    </row>
    <row r="86" spans="1:29" x14ac:dyDescent="0.25">
      <c r="A86" t="s">
        <v>113</v>
      </c>
      <c r="B86" t="s">
        <v>69</v>
      </c>
      <c r="C86" t="s">
        <v>8</v>
      </c>
      <c r="D86" t="s">
        <v>43</v>
      </c>
      <c r="E86" t="s">
        <v>132</v>
      </c>
      <c r="F86" t="s">
        <v>133</v>
      </c>
      <c r="G86" s="2" t="s">
        <v>8</v>
      </c>
      <c r="H86">
        <v>355912</v>
      </c>
      <c r="I86" s="31" t="s">
        <v>166</v>
      </c>
      <c r="J86" s="2" t="s">
        <v>167</v>
      </c>
      <c r="K86" t="s">
        <v>64</v>
      </c>
      <c r="L86" t="s">
        <v>133</v>
      </c>
      <c r="M86" s="2" t="s">
        <v>78</v>
      </c>
      <c r="N86" t="s">
        <v>144</v>
      </c>
      <c r="O86" t="s">
        <v>95</v>
      </c>
      <c r="P86" s="2" t="s">
        <v>112</v>
      </c>
      <c r="Q86" t="s">
        <v>64</v>
      </c>
      <c r="R86" t="s">
        <v>64</v>
      </c>
      <c r="S86" s="82" t="s">
        <v>168</v>
      </c>
      <c r="T86" t="s">
        <v>169</v>
      </c>
      <c r="U86" t="s">
        <v>170</v>
      </c>
      <c r="V86" s="2" t="s">
        <v>171</v>
      </c>
      <c r="W86" s="2" t="s">
        <v>65</v>
      </c>
      <c r="Z86" s="2" t="s">
        <v>163</v>
      </c>
      <c r="AA86" s="2" t="s">
        <v>164</v>
      </c>
      <c r="AB86" s="2" t="s">
        <v>66</v>
      </c>
      <c r="AC86" s="2" t="s">
        <v>67</v>
      </c>
    </row>
    <row r="87" spans="1:29" x14ac:dyDescent="0.25">
      <c r="A87" t="s">
        <v>113</v>
      </c>
      <c r="B87" t="s">
        <v>69</v>
      </c>
      <c r="C87" t="s">
        <v>8</v>
      </c>
      <c r="D87" t="s">
        <v>43</v>
      </c>
      <c r="E87" t="s">
        <v>132</v>
      </c>
      <c r="F87" t="s">
        <v>133</v>
      </c>
      <c r="G87" s="2" t="s">
        <v>8</v>
      </c>
      <c r="H87">
        <v>355912</v>
      </c>
      <c r="I87" s="31" t="s">
        <v>166</v>
      </c>
      <c r="J87" s="2" t="s">
        <v>167</v>
      </c>
      <c r="K87" t="s">
        <v>64</v>
      </c>
      <c r="L87" t="s">
        <v>133</v>
      </c>
      <c r="M87" s="2" t="s">
        <v>78</v>
      </c>
      <c r="N87" t="s">
        <v>144</v>
      </c>
      <c r="O87" t="s">
        <v>96</v>
      </c>
      <c r="P87" s="2" t="s">
        <v>112</v>
      </c>
      <c r="Q87" t="s">
        <v>64</v>
      </c>
      <c r="R87" t="s">
        <v>64</v>
      </c>
      <c r="S87" s="82" t="s">
        <v>168</v>
      </c>
      <c r="T87" t="s">
        <v>169</v>
      </c>
      <c r="U87" t="s">
        <v>170</v>
      </c>
      <c r="V87" s="2" t="s">
        <v>171</v>
      </c>
      <c r="W87" s="2" t="s">
        <v>65</v>
      </c>
      <c r="Z87" s="2" t="s">
        <v>163</v>
      </c>
      <c r="AA87" s="2" t="s">
        <v>164</v>
      </c>
      <c r="AB87" s="2" t="s">
        <v>66</v>
      </c>
      <c r="AC87" s="2" t="s">
        <v>67</v>
      </c>
    </row>
    <row r="88" spans="1:29" x14ac:dyDescent="0.25">
      <c r="A88" t="s">
        <v>113</v>
      </c>
      <c r="B88" t="s">
        <v>69</v>
      </c>
      <c r="C88" t="s">
        <v>8</v>
      </c>
      <c r="D88" t="s">
        <v>43</v>
      </c>
      <c r="E88" t="s">
        <v>132</v>
      </c>
      <c r="F88" t="s">
        <v>133</v>
      </c>
      <c r="G88" s="2" t="s">
        <v>8</v>
      </c>
      <c r="H88">
        <v>355912</v>
      </c>
      <c r="I88" s="31" t="s">
        <v>166</v>
      </c>
      <c r="J88" s="2" t="s">
        <v>167</v>
      </c>
      <c r="K88" t="s">
        <v>64</v>
      </c>
      <c r="L88" t="s">
        <v>133</v>
      </c>
      <c r="M88" s="2" t="s">
        <v>78</v>
      </c>
      <c r="N88" t="s">
        <v>144</v>
      </c>
      <c r="O88" t="s">
        <v>97</v>
      </c>
      <c r="P88" s="2" t="s">
        <v>112</v>
      </c>
      <c r="Q88" t="s">
        <v>64</v>
      </c>
      <c r="R88" t="s">
        <v>64</v>
      </c>
      <c r="S88" s="82" t="s">
        <v>168</v>
      </c>
      <c r="T88" t="s">
        <v>169</v>
      </c>
      <c r="U88" t="s">
        <v>170</v>
      </c>
      <c r="V88" s="2" t="s">
        <v>171</v>
      </c>
      <c r="W88" s="2" t="s">
        <v>65</v>
      </c>
      <c r="Z88" s="2" t="s">
        <v>163</v>
      </c>
      <c r="AA88" s="2" t="s">
        <v>164</v>
      </c>
      <c r="AB88" s="2" t="s">
        <v>66</v>
      </c>
      <c r="AC88" s="2" t="s">
        <v>67</v>
      </c>
    </row>
    <row r="89" spans="1:29" x14ac:dyDescent="0.25">
      <c r="A89" t="s">
        <v>113</v>
      </c>
      <c r="B89" t="s">
        <v>69</v>
      </c>
      <c r="C89" t="s">
        <v>8</v>
      </c>
      <c r="D89" t="s">
        <v>43</v>
      </c>
      <c r="E89" t="s">
        <v>132</v>
      </c>
      <c r="F89" t="s">
        <v>133</v>
      </c>
      <c r="G89" s="2" t="s">
        <v>8</v>
      </c>
      <c r="H89">
        <v>355912</v>
      </c>
      <c r="I89" s="31" t="s">
        <v>166</v>
      </c>
      <c r="J89" s="2" t="s">
        <v>167</v>
      </c>
      <c r="K89" t="s">
        <v>64</v>
      </c>
      <c r="L89" t="s">
        <v>133</v>
      </c>
      <c r="M89" s="2" t="s">
        <v>78</v>
      </c>
      <c r="N89" t="s">
        <v>144</v>
      </c>
      <c r="O89" t="s">
        <v>98</v>
      </c>
      <c r="P89" s="2" t="s">
        <v>20</v>
      </c>
      <c r="Q89" t="s">
        <v>64</v>
      </c>
      <c r="R89" t="s">
        <v>64</v>
      </c>
      <c r="S89" s="82" t="s">
        <v>168</v>
      </c>
      <c r="T89" t="s">
        <v>169</v>
      </c>
      <c r="U89" t="s">
        <v>170</v>
      </c>
      <c r="V89" s="2" t="s">
        <v>171</v>
      </c>
      <c r="W89" s="2" t="s">
        <v>65</v>
      </c>
      <c r="Z89" s="2" t="s">
        <v>163</v>
      </c>
      <c r="AA89" s="2" t="s">
        <v>164</v>
      </c>
      <c r="AB89" s="2" t="s">
        <v>66</v>
      </c>
      <c r="AC89" s="2" t="s">
        <v>67</v>
      </c>
    </row>
    <row r="90" spans="1:29" x14ac:dyDescent="0.25">
      <c r="A90" t="s">
        <v>113</v>
      </c>
      <c r="B90" t="s">
        <v>69</v>
      </c>
      <c r="C90" t="s">
        <v>8</v>
      </c>
      <c r="D90" t="s">
        <v>43</v>
      </c>
      <c r="E90" t="s">
        <v>132</v>
      </c>
      <c r="F90" t="s">
        <v>133</v>
      </c>
      <c r="G90" s="2" t="s">
        <v>8</v>
      </c>
      <c r="H90">
        <v>355912</v>
      </c>
      <c r="I90" s="31" t="s">
        <v>166</v>
      </c>
      <c r="J90" s="2" t="s">
        <v>167</v>
      </c>
      <c r="K90" t="s">
        <v>64</v>
      </c>
      <c r="L90" t="s">
        <v>133</v>
      </c>
      <c r="M90" s="2" t="s">
        <v>78</v>
      </c>
      <c r="N90" t="s">
        <v>144</v>
      </c>
      <c r="O90" t="s">
        <v>99</v>
      </c>
      <c r="P90" s="2" t="s">
        <v>20</v>
      </c>
      <c r="Q90" t="s">
        <v>64</v>
      </c>
      <c r="R90" t="s">
        <v>64</v>
      </c>
      <c r="S90" s="82" t="s">
        <v>168</v>
      </c>
      <c r="T90" t="s">
        <v>169</v>
      </c>
      <c r="U90" t="s">
        <v>170</v>
      </c>
      <c r="V90" s="2" t="s">
        <v>171</v>
      </c>
      <c r="W90" s="2" t="s">
        <v>65</v>
      </c>
      <c r="Z90" s="2" t="s">
        <v>163</v>
      </c>
      <c r="AA90" s="2" t="s">
        <v>164</v>
      </c>
      <c r="AB90" s="2" t="s">
        <v>66</v>
      </c>
      <c r="AC90" s="2" t="s">
        <v>67</v>
      </c>
    </row>
    <row r="91" spans="1:29" x14ac:dyDescent="0.25">
      <c r="A91" t="s">
        <v>113</v>
      </c>
      <c r="B91" t="s">
        <v>69</v>
      </c>
      <c r="C91" t="s">
        <v>8</v>
      </c>
      <c r="D91" t="s">
        <v>43</v>
      </c>
      <c r="E91" t="s">
        <v>132</v>
      </c>
      <c r="F91" t="s">
        <v>133</v>
      </c>
      <c r="G91" s="2" t="s">
        <v>8</v>
      </c>
      <c r="H91">
        <v>355912</v>
      </c>
      <c r="I91" s="31" t="s">
        <v>166</v>
      </c>
      <c r="J91" s="2" t="s">
        <v>167</v>
      </c>
      <c r="K91" t="s">
        <v>64</v>
      </c>
      <c r="L91" t="s">
        <v>133</v>
      </c>
      <c r="M91" s="2" t="s">
        <v>78</v>
      </c>
      <c r="N91" t="s">
        <v>144</v>
      </c>
      <c r="O91" t="s">
        <v>100</v>
      </c>
      <c r="P91" s="2" t="s">
        <v>20</v>
      </c>
      <c r="Q91" t="s">
        <v>64</v>
      </c>
      <c r="R91" t="s">
        <v>64</v>
      </c>
      <c r="S91" s="82" t="s">
        <v>168</v>
      </c>
      <c r="T91" t="s">
        <v>169</v>
      </c>
      <c r="U91" t="s">
        <v>170</v>
      </c>
      <c r="V91" s="2" t="s">
        <v>171</v>
      </c>
      <c r="W91" s="2" t="s">
        <v>65</v>
      </c>
      <c r="Z91" s="2" t="s">
        <v>163</v>
      </c>
      <c r="AA91" s="2" t="s">
        <v>164</v>
      </c>
      <c r="AB91" s="2" t="s">
        <v>66</v>
      </c>
      <c r="AC91" s="2" t="s">
        <v>67</v>
      </c>
    </row>
    <row r="92" spans="1:29" x14ac:dyDescent="0.25">
      <c r="A92" t="s">
        <v>113</v>
      </c>
      <c r="B92" t="s">
        <v>69</v>
      </c>
      <c r="C92" t="s">
        <v>8</v>
      </c>
      <c r="D92" t="s">
        <v>43</v>
      </c>
      <c r="E92" t="s">
        <v>132</v>
      </c>
      <c r="F92" t="s">
        <v>133</v>
      </c>
      <c r="G92" s="2" t="s">
        <v>8</v>
      </c>
      <c r="H92">
        <v>355912</v>
      </c>
      <c r="I92" s="31" t="s">
        <v>166</v>
      </c>
      <c r="J92" s="2" t="s">
        <v>167</v>
      </c>
      <c r="K92" t="s">
        <v>64</v>
      </c>
      <c r="L92" t="s">
        <v>133</v>
      </c>
      <c r="M92" s="2" t="s">
        <v>78</v>
      </c>
      <c r="N92" t="s">
        <v>144</v>
      </c>
      <c r="O92" t="s">
        <v>101</v>
      </c>
      <c r="P92" s="2" t="s">
        <v>20</v>
      </c>
      <c r="Q92" t="s">
        <v>64</v>
      </c>
      <c r="R92" t="s">
        <v>64</v>
      </c>
      <c r="S92" s="82" t="s">
        <v>168</v>
      </c>
      <c r="T92" t="s">
        <v>169</v>
      </c>
      <c r="U92" t="s">
        <v>170</v>
      </c>
      <c r="V92" s="2" t="s">
        <v>171</v>
      </c>
      <c r="W92" s="2" t="s">
        <v>65</v>
      </c>
      <c r="Z92" s="2" t="s">
        <v>163</v>
      </c>
      <c r="AA92" s="2" t="s">
        <v>164</v>
      </c>
      <c r="AB92" s="2" t="s">
        <v>66</v>
      </c>
      <c r="AC92" s="2" t="s">
        <v>67</v>
      </c>
    </row>
    <row r="93" spans="1:29" x14ac:dyDescent="0.25">
      <c r="A93" t="s">
        <v>113</v>
      </c>
      <c r="B93" t="s">
        <v>69</v>
      </c>
      <c r="C93" t="s">
        <v>8</v>
      </c>
      <c r="D93" t="s">
        <v>43</v>
      </c>
      <c r="E93" t="s">
        <v>132</v>
      </c>
      <c r="F93" t="s">
        <v>133</v>
      </c>
      <c r="G93" s="2" t="s">
        <v>8</v>
      </c>
      <c r="H93">
        <v>355912</v>
      </c>
      <c r="I93" s="31" t="s">
        <v>166</v>
      </c>
      <c r="J93" s="2" t="s">
        <v>167</v>
      </c>
      <c r="K93" t="s">
        <v>64</v>
      </c>
      <c r="L93" t="s">
        <v>133</v>
      </c>
      <c r="M93" s="2" t="s">
        <v>78</v>
      </c>
      <c r="N93" t="s">
        <v>144</v>
      </c>
      <c r="O93" t="s">
        <v>102</v>
      </c>
      <c r="P93" s="2" t="s">
        <v>20</v>
      </c>
      <c r="Q93" t="s">
        <v>64</v>
      </c>
      <c r="R93" t="s">
        <v>64</v>
      </c>
      <c r="S93" s="82" t="s">
        <v>168</v>
      </c>
      <c r="T93" t="s">
        <v>169</v>
      </c>
      <c r="U93" t="s">
        <v>170</v>
      </c>
      <c r="V93" s="2" t="s">
        <v>171</v>
      </c>
      <c r="W93" s="2" t="s">
        <v>65</v>
      </c>
      <c r="Z93" s="2" t="s">
        <v>163</v>
      </c>
      <c r="AA93" s="2" t="s">
        <v>164</v>
      </c>
      <c r="AB93" s="2" t="s">
        <v>66</v>
      </c>
      <c r="AC93" s="2" t="s">
        <v>67</v>
      </c>
    </row>
    <row r="94" spans="1:29" x14ac:dyDescent="0.25">
      <c r="A94" t="s">
        <v>113</v>
      </c>
      <c r="B94" t="s">
        <v>69</v>
      </c>
      <c r="C94" t="s">
        <v>8</v>
      </c>
      <c r="D94" t="s">
        <v>43</v>
      </c>
      <c r="E94" t="s">
        <v>132</v>
      </c>
      <c r="F94" t="s">
        <v>133</v>
      </c>
      <c r="G94" s="2" t="s">
        <v>8</v>
      </c>
      <c r="H94">
        <v>355912</v>
      </c>
      <c r="I94" s="31" t="s">
        <v>166</v>
      </c>
      <c r="J94" s="2" t="s">
        <v>167</v>
      </c>
      <c r="K94" t="s">
        <v>64</v>
      </c>
      <c r="L94" t="s">
        <v>133</v>
      </c>
      <c r="M94" s="2" t="s">
        <v>78</v>
      </c>
      <c r="N94" t="s">
        <v>144</v>
      </c>
      <c r="O94" t="s">
        <v>103</v>
      </c>
      <c r="P94" s="2" t="s">
        <v>20</v>
      </c>
      <c r="Q94" t="s">
        <v>64</v>
      </c>
      <c r="R94" t="s">
        <v>64</v>
      </c>
      <c r="S94" s="82" t="s">
        <v>168</v>
      </c>
      <c r="T94" t="s">
        <v>169</v>
      </c>
      <c r="U94" t="s">
        <v>170</v>
      </c>
      <c r="V94" s="2" t="s">
        <v>171</v>
      </c>
      <c r="W94" s="2" t="s">
        <v>65</v>
      </c>
      <c r="Z94" s="2" t="s">
        <v>163</v>
      </c>
      <c r="AA94" s="2" t="s">
        <v>164</v>
      </c>
      <c r="AB94" s="2" t="s">
        <v>66</v>
      </c>
      <c r="AC94" s="2" t="s">
        <v>67</v>
      </c>
    </row>
    <row r="95" spans="1:29" x14ac:dyDescent="0.25">
      <c r="A95" t="s">
        <v>113</v>
      </c>
      <c r="B95" t="s">
        <v>69</v>
      </c>
      <c r="C95" t="s">
        <v>8</v>
      </c>
      <c r="D95" t="s">
        <v>43</v>
      </c>
      <c r="E95" t="s">
        <v>132</v>
      </c>
      <c r="F95" t="s">
        <v>133</v>
      </c>
      <c r="G95" s="2" t="s">
        <v>8</v>
      </c>
      <c r="H95">
        <v>355912</v>
      </c>
      <c r="I95" s="31" t="s">
        <v>166</v>
      </c>
      <c r="J95" s="2" t="s">
        <v>167</v>
      </c>
      <c r="K95" t="s">
        <v>64</v>
      </c>
      <c r="L95" t="s">
        <v>133</v>
      </c>
      <c r="M95" s="2" t="s">
        <v>78</v>
      </c>
      <c r="N95" t="s">
        <v>144</v>
      </c>
      <c r="O95" t="s">
        <v>104</v>
      </c>
      <c r="P95" s="2" t="s">
        <v>20</v>
      </c>
      <c r="Q95" t="s">
        <v>64</v>
      </c>
      <c r="R95" t="s">
        <v>64</v>
      </c>
      <c r="S95" s="82" t="s">
        <v>168</v>
      </c>
      <c r="T95" t="s">
        <v>169</v>
      </c>
      <c r="U95" t="s">
        <v>170</v>
      </c>
      <c r="V95" s="2" t="s">
        <v>171</v>
      </c>
      <c r="W95" s="2" t="s">
        <v>65</v>
      </c>
      <c r="Z95" s="2" t="s">
        <v>163</v>
      </c>
      <c r="AA95" s="2" t="s">
        <v>164</v>
      </c>
      <c r="AB95" s="2" t="s">
        <v>66</v>
      </c>
      <c r="AC95" s="2" t="s">
        <v>67</v>
      </c>
    </row>
    <row r="96" spans="1:29" x14ac:dyDescent="0.25">
      <c r="A96" t="s">
        <v>113</v>
      </c>
      <c r="B96" t="s">
        <v>69</v>
      </c>
      <c r="C96" t="s">
        <v>8</v>
      </c>
      <c r="D96" t="s">
        <v>43</v>
      </c>
      <c r="E96" t="s">
        <v>132</v>
      </c>
      <c r="F96" t="s">
        <v>133</v>
      </c>
      <c r="G96" s="2" t="s">
        <v>8</v>
      </c>
      <c r="H96">
        <v>355912</v>
      </c>
      <c r="I96" s="31" t="s">
        <v>166</v>
      </c>
      <c r="J96" s="2" t="s">
        <v>167</v>
      </c>
      <c r="K96" t="s">
        <v>64</v>
      </c>
      <c r="L96" t="s">
        <v>133</v>
      </c>
      <c r="M96" s="2" t="s">
        <v>78</v>
      </c>
      <c r="N96" t="s">
        <v>144</v>
      </c>
      <c r="O96" t="s">
        <v>125</v>
      </c>
      <c r="P96" s="2" t="s">
        <v>20</v>
      </c>
      <c r="Q96" t="s">
        <v>64</v>
      </c>
      <c r="R96" t="s">
        <v>64</v>
      </c>
      <c r="S96" s="82" t="s">
        <v>168</v>
      </c>
      <c r="T96" t="s">
        <v>169</v>
      </c>
      <c r="U96" t="s">
        <v>170</v>
      </c>
      <c r="V96" s="2" t="s">
        <v>171</v>
      </c>
      <c r="W96" s="2" t="s">
        <v>65</v>
      </c>
      <c r="Z96" s="2" t="s">
        <v>163</v>
      </c>
      <c r="AA96" s="2" t="s">
        <v>164</v>
      </c>
      <c r="AB96" s="2" t="s">
        <v>66</v>
      </c>
      <c r="AC96" s="2" t="s">
        <v>67</v>
      </c>
    </row>
    <row r="97" spans="1:29" x14ac:dyDescent="0.25">
      <c r="A97" t="s">
        <v>113</v>
      </c>
      <c r="B97" t="s">
        <v>69</v>
      </c>
      <c r="C97" t="s">
        <v>8</v>
      </c>
      <c r="D97" t="s">
        <v>43</v>
      </c>
      <c r="E97" t="s">
        <v>132</v>
      </c>
      <c r="F97" t="s">
        <v>133</v>
      </c>
      <c r="G97" s="2" t="s">
        <v>8</v>
      </c>
      <c r="H97">
        <v>355912</v>
      </c>
      <c r="I97" s="31" t="s">
        <v>166</v>
      </c>
      <c r="J97" s="2" t="s">
        <v>167</v>
      </c>
      <c r="K97" t="s">
        <v>64</v>
      </c>
      <c r="L97" t="s">
        <v>133</v>
      </c>
      <c r="M97" s="2" t="s">
        <v>78</v>
      </c>
      <c r="N97" t="s">
        <v>144</v>
      </c>
      <c r="O97" t="s">
        <v>105</v>
      </c>
      <c r="P97" s="2" t="s">
        <v>117</v>
      </c>
      <c r="Q97" t="s">
        <v>64</v>
      </c>
      <c r="R97" t="s">
        <v>64</v>
      </c>
      <c r="S97" s="82" t="s">
        <v>168</v>
      </c>
      <c r="T97" t="s">
        <v>169</v>
      </c>
      <c r="U97" t="s">
        <v>170</v>
      </c>
      <c r="V97" s="2" t="s">
        <v>171</v>
      </c>
      <c r="W97" s="2" t="s">
        <v>65</v>
      </c>
      <c r="Z97" s="2" t="s">
        <v>163</v>
      </c>
      <c r="AA97" s="2" t="s">
        <v>164</v>
      </c>
      <c r="AB97" s="2" t="s">
        <v>66</v>
      </c>
      <c r="AC97" s="2" t="s">
        <v>67</v>
      </c>
    </row>
    <row r="98" spans="1:29" x14ac:dyDescent="0.25">
      <c r="A98" t="s">
        <v>113</v>
      </c>
      <c r="B98" t="s">
        <v>69</v>
      </c>
      <c r="C98" t="s">
        <v>8</v>
      </c>
      <c r="D98" t="s">
        <v>43</v>
      </c>
      <c r="E98" t="s">
        <v>132</v>
      </c>
      <c r="F98" t="s">
        <v>133</v>
      </c>
      <c r="G98" s="2" t="s">
        <v>8</v>
      </c>
      <c r="H98">
        <v>355912</v>
      </c>
      <c r="I98" s="31" t="s">
        <v>166</v>
      </c>
      <c r="J98" s="2" t="s">
        <v>167</v>
      </c>
      <c r="K98" t="s">
        <v>64</v>
      </c>
      <c r="L98" t="s">
        <v>133</v>
      </c>
      <c r="M98" s="2" t="s">
        <v>78</v>
      </c>
      <c r="N98" t="s">
        <v>144</v>
      </c>
      <c r="O98" t="s">
        <v>130</v>
      </c>
      <c r="P98" s="2" t="s">
        <v>20</v>
      </c>
      <c r="Q98" t="s">
        <v>64</v>
      </c>
      <c r="R98" t="s">
        <v>64</v>
      </c>
      <c r="S98" s="82" t="s">
        <v>168</v>
      </c>
      <c r="T98" t="s">
        <v>169</v>
      </c>
      <c r="U98" t="s">
        <v>170</v>
      </c>
      <c r="V98" s="2" t="s">
        <v>171</v>
      </c>
      <c r="W98" s="2" t="s">
        <v>65</v>
      </c>
      <c r="Z98" s="2" t="s">
        <v>163</v>
      </c>
      <c r="AA98" s="2" t="s">
        <v>164</v>
      </c>
      <c r="AB98" s="2" t="s">
        <v>66</v>
      </c>
      <c r="AC98" s="2" t="s">
        <v>67</v>
      </c>
    </row>
    <row r="99" spans="1:29" x14ac:dyDescent="0.25">
      <c r="A99" t="s">
        <v>113</v>
      </c>
      <c r="B99" t="s">
        <v>69</v>
      </c>
      <c r="C99" t="s">
        <v>8</v>
      </c>
      <c r="D99" t="s">
        <v>43</v>
      </c>
      <c r="E99" t="s">
        <v>132</v>
      </c>
      <c r="F99" t="s">
        <v>133</v>
      </c>
      <c r="G99" s="2" t="s">
        <v>8</v>
      </c>
      <c r="H99">
        <v>355912</v>
      </c>
      <c r="I99" s="31" t="s">
        <v>166</v>
      </c>
      <c r="J99" s="2" t="s">
        <v>167</v>
      </c>
      <c r="K99" t="s">
        <v>64</v>
      </c>
      <c r="L99" t="s">
        <v>133</v>
      </c>
      <c r="M99" s="2" t="s">
        <v>78</v>
      </c>
      <c r="N99" t="s">
        <v>144</v>
      </c>
      <c r="O99" t="s">
        <v>106</v>
      </c>
      <c r="P99" s="2" t="s">
        <v>20</v>
      </c>
      <c r="Q99" t="s">
        <v>64</v>
      </c>
      <c r="R99" t="s">
        <v>64</v>
      </c>
      <c r="S99" s="82" t="s">
        <v>168</v>
      </c>
      <c r="T99" t="s">
        <v>169</v>
      </c>
      <c r="U99" t="s">
        <v>170</v>
      </c>
      <c r="V99" s="2" t="s">
        <v>171</v>
      </c>
      <c r="W99" s="2" t="s">
        <v>65</v>
      </c>
      <c r="Z99" s="2" t="s">
        <v>163</v>
      </c>
      <c r="AA99" s="2" t="s">
        <v>164</v>
      </c>
      <c r="AB99" s="2" t="s">
        <v>66</v>
      </c>
      <c r="AC99" s="2" t="s">
        <v>67</v>
      </c>
    </row>
    <row r="100" spans="1:29" x14ac:dyDescent="0.25">
      <c r="A100" t="s">
        <v>113</v>
      </c>
      <c r="B100" t="s">
        <v>69</v>
      </c>
      <c r="C100" t="s">
        <v>8</v>
      </c>
      <c r="D100" t="s">
        <v>43</v>
      </c>
      <c r="E100" t="s">
        <v>132</v>
      </c>
      <c r="F100" t="s">
        <v>133</v>
      </c>
      <c r="G100" s="2" t="s">
        <v>8</v>
      </c>
      <c r="H100">
        <v>355912</v>
      </c>
      <c r="I100" s="31" t="s">
        <v>166</v>
      </c>
      <c r="J100" s="2" t="s">
        <v>167</v>
      </c>
      <c r="K100" t="s">
        <v>64</v>
      </c>
      <c r="L100" t="s">
        <v>133</v>
      </c>
      <c r="M100" s="2" t="s">
        <v>78</v>
      </c>
      <c r="N100" t="s">
        <v>144</v>
      </c>
      <c r="O100" t="s">
        <v>107</v>
      </c>
      <c r="P100" s="2" t="s">
        <v>172</v>
      </c>
      <c r="Q100" t="s">
        <v>64</v>
      </c>
      <c r="R100" t="s">
        <v>64</v>
      </c>
      <c r="S100" s="82" t="s">
        <v>168</v>
      </c>
      <c r="T100" t="s">
        <v>169</v>
      </c>
      <c r="U100" t="s">
        <v>170</v>
      </c>
      <c r="V100" s="2" t="s">
        <v>171</v>
      </c>
      <c r="W100" s="2" t="s">
        <v>65</v>
      </c>
      <c r="Z100" s="2" t="s">
        <v>163</v>
      </c>
      <c r="AA100" s="2" t="s">
        <v>164</v>
      </c>
      <c r="AB100" s="2" t="s">
        <v>66</v>
      </c>
      <c r="AC100" s="2" t="s">
        <v>67</v>
      </c>
    </row>
    <row r="101" spans="1:29" x14ac:dyDescent="0.25">
      <c r="A101" t="s">
        <v>113</v>
      </c>
      <c r="B101" t="s">
        <v>118</v>
      </c>
      <c r="C101" t="s">
        <v>119</v>
      </c>
      <c r="D101" t="s">
        <v>43</v>
      </c>
      <c r="E101" t="s">
        <v>173</v>
      </c>
      <c r="F101" t="s">
        <v>174</v>
      </c>
      <c r="G101" s="2" t="s">
        <v>119</v>
      </c>
      <c r="H101">
        <v>66552</v>
      </c>
      <c r="I101" s="31" t="s">
        <v>175</v>
      </c>
      <c r="J101" s="2" t="s">
        <v>176</v>
      </c>
      <c r="K101" t="s">
        <v>114</v>
      </c>
      <c r="L101" t="s">
        <v>177</v>
      </c>
      <c r="M101" s="2" t="s">
        <v>78</v>
      </c>
      <c r="N101" t="s">
        <v>144</v>
      </c>
      <c r="O101" t="s">
        <v>87</v>
      </c>
      <c r="P101" s="2" t="s">
        <v>112</v>
      </c>
      <c r="Q101" t="s">
        <v>64</v>
      </c>
      <c r="R101" t="s">
        <v>64</v>
      </c>
      <c r="S101" s="82" t="s">
        <v>168</v>
      </c>
      <c r="T101" t="s">
        <v>178</v>
      </c>
      <c r="U101" t="s">
        <v>179</v>
      </c>
      <c r="V101" s="2" t="s">
        <v>180</v>
      </c>
      <c r="W101" s="2" t="s">
        <v>65</v>
      </c>
      <c r="Z101" s="2" t="s">
        <v>120</v>
      </c>
      <c r="AA101" s="2" t="s">
        <v>121</v>
      </c>
      <c r="AB101" s="2" t="s">
        <v>66</v>
      </c>
      <c r="AC101" s="2" t="s">
        <v>67</v>
      </c>
    </row>
    <row r="102" spans="1:29" x14ac:dyDescent="0.25">
      <c r="A102" t="s">
        <v>113</v>
      </c>
      <c r="B102" t="s">
        <v>118</v>
      </c>
      <c r="C102" t="s">
        <v>119</v>
      </c>
      <c r="D102" t="s">
        <v>43</v>
      </c>
      <c r="E102" t="s">
        <v>173</v>
      </c>
      <c r="F102" t="s">
        <v>174</v>
      </c>
      <c r="G102" s="2" t="s">
        <v>119</v>
      </c>
      <c r="H102">
        <v>66552</v>
      </c>
      <c r="I102" s="31" t="s">
        <v>175</v>
      </c>
      <c r="J102" s="2" t="s">
        <v>176</v>
      </c>
      <c r="K102" t="s">
        <v>114</v>
      </c>
      <c r="L102" t="s">
        <v>177</v>
      </c>
      <c r="M102" s="2" t="s">
        <v>78</v>
      </c>
      <c r="N102" t="s">
        <v>144</v>
      </c>
      <c r="O102" t="s">
        <v>88</v>
      </c>
      <c r="P102" s="2" t="s">
        <v>112</v>
      </c>
      <c r="Q102" t="s">
        <v>64</v>
      </c>
      <c r="R102" t="s">
        <v>64</v>
      </c>
      <c r="S102" s="82" t="s">
        <v>168</v>
      </c>
      <c r="T102" t="s">
        <v>178</v>
      </c>
      <c r="U102" t="s">
        <v>179</v>
      </c>
      <c r="V102" s="2" t="s">
        <v>180</v>
      </c>
      <c r="W102" s="2" t="s">
        <v>65</v>
      </c>
      <c r="Z102" s="2" t="s">
        <v>120</v>
      </c>
      <c r="AA102" s="2" t="s">
        <v>121</v>
      </c>
      <c r="AB102" s="2" t="s">
        <v>66</v>
      </c>
      <c r="AC102" s="2" t="s">
        <v>67</v>
      </c>
    </row>
    <row r="103" spans="1:29" x14ac:dyDescent="0.25">
      <c r="A103" t="s">
        <v>113</v>
      </c>
      <c r="B103" t="s">
        <v>118</v>
      </c>
      <c r="C103" t="s">
        <v>119</v>
      </c>
      <c r="D103" t="s">
        <v>43</v>
      </c>
      <c r="E103" t="s">
        <v>173</v>
      </c>
      <c r="F103" t="s">
        <v>174</v>
      </c>
      <c r="G103" s="2" t="s">
        <v>119</v>
      </c>
      <c r="H103">
        <v>66552</v>
      </c>
      <c r="I103" s="31" t="s">
        <v>175</v>
      </c>
      <c r="J103" s="2" t="s">
        <v>176</v>
      </c>
      <c r="K103" t="s">
        <v>114</v>
      </c>
      <c r="L103" t="s">
        <v>177</v>
      </c>
      <c r="M103" s="2" t="s">
        <v>78</v>
      </c>
      <c r="N103" t="s">
        <v>144</v>
      </c>
      <c r="O103" t="s">
        <v>89</v>
      </c>
      <c r="P103" s="2" t="s">
        <v>112</v>
      </c>
      <c r="Q103" t="s">
        <v>64</v>
      </c>
      <c r="R103" t="s">
        <v>64</v>
      </c>
      <c r="S103" s="82" t="s">
        <v>168</v>
      </c>
      <c r="T103" t="s">
        <v>178</v>
      </c>
      <c r="U103" t="s">
        <v>179</v>
      </c>
      <c r="V103" s="2" t="s">
        <v>180</v>
      </c>
      <c r="W103" s="2" t="s">
        <v>65</v>
      </c>
      <c r="Z103" s="2" t="s">
        <v>120</v>
      </c>
      <c r="AA103" s="2" t="s">
        <v>121</v>
      </c>
      <c r="AB103" s="2" t="s">
        <v>66</v>
      </c>
      <c r="AC103" s="2" t="s">
        <v>67</v>
      </c>
    </row>
    <row r="104" spans="1:29" x14ac:dyDescent="0.25">
      <c r="A104" t="s">
        <v>113</v>
      </c>
      <c r="B104" t="s">
        <v>118</v>
      </c>
      <c r="C104" t="s">
        <v>119</v>
      </c>
      <c r="D104" t="s">
        <v>43</v>
      </c>
      <c r="E104" t="s">
        <v>173</v>
      </c>
      <c r="F104" t="s">
        <v>174</v>
      </c>
      <c r="G104" s="2" t="s">
        <v>119</v>
      </c>
      <c r="H104">
        <v>66552</v>
      </c>
      <c r="I104" s="31" t="s">
        <v>175</v>
      </c>
      <c r="J104" s="2" t="s">
        <v>176</v>
      </c>
      <c r="K104" t="s">
        <v>114</v>
      </c>
      <c r="L104" t="s">
        <v>177</v>
      </c>
      <c r="M104" s="2" t="s">
        <v>78</v>
      </c>
      <c r="N104" t="s">
        <v>144</v>
      </c>
      <c r="O104" t="s">
        <v>90</v>
      </c>
      <c r="P104" s="2" t="s">
        <v>112</v>
      </c>
      <c r="Q104" t="s">
        <v>64</v>
      </c>
      <c r="R104" t="s">
        <v>64</v>
      </c>
      <c r="S104" s="82" t="s">
        <v>168</v>
      </c>
      <c r="T104" t="s">
        <v>178</v>
      </c>
      <c r="U104" t="s">
        <v>179</v>
      </c>
      <c r="V104" s="2" t="s">
        <v>180</v>
      </c>
      <c r="W104" s="2" t="s">
        <v>65</v>
      </c>
      <c r="Z104" s="2" t="s">
        <v>120</v>
      </c>
      <c r="AA104" s="2" t="s">
        <v>121</v>
      </c>
      <c r="AB104" s="2" t="s">
        <v>66</v>
      </c>
      <c r="AC104" s="2" t="s">
        <v>67</v>
      </c>
    </row>
    <row r="105" spans="1:29" x14ac:dyDescent="0.25">
      <c r="A105" t="s">
        <v>113</v>
      </c>
      <c r="B105" t="s">
        <v>118</v>
      </c>
      <c r="C105" t="s">
        <v>119</v>
      </c>
      <c r="D105" t="s">
        <v>43</v>
      </c>
      <c r="E105" t="s">
        <v>173</v>
      </c>
      <c r="F105" t="s">
        <v>174</v>
      </c>
      <c r="G105" s="2" t="s">
        <v>119</v>
      </c>
      <c r="H105">
        <v>66552</v>
      </c>
      <c r="I105" s="31" t="s">
        <v>175</v>
      </c>
      <c r="J105" s="2" t="s">
        <v>176</v>
      </c>
      <c r="K105" t="s">
        <v>114</v>
      </c>
      <c r="L105" t="s">
        <v>177</v>
      </c>
      <c r="M105" s="2" t="s">
        <v>78</v>
      </c>
      <c r="N105" t="s">
        <v>144</v>
      </c>
      <c r="O105" t="s">
        <v>35</v>
      </c>
      <c r="P105" s="2" t="s">
        <v>112</v>
      </c>
      <c r="Q105" t="s">
        <v>64</v>
      </c>
      <c r="R105" t="s">
        <v>64</v>
      </c>
      <c r="S105" s="82" t="s">
        <v>168</v>
      </c>
      <c r="T105" t="s">
        <v>178</v>
      </c>
      <c r="U105" t="s">
        <v>179</v>
      </c>
      <c r="V105" s="2" t="s">
        <v>180</v>
      </c>
      <c r="W105" s="2" t="s">
        <v>65</v>
      </c>
      <c r="Z105" s="2" t="s">
        <v>120</v>
      </c>
      <c r="AA105" s="2" t="s">
        <v>121</v>
      </c>
      <c r="AB105" s="2" t="s">
        <v>66</v>
      </c>
      <c r="AC105" s="2" t="s">
        <v>67</v>
      </c>
    </row>
    <row r="106" spans="1:29" x14ac:dyDescent="0.25">
      <c r="A106" t="s">
        <v>113</v>
      </c>
      <c r="B106" t="s">
        <v>118</v>
      </c>
      <c r="C106" t="s">
        <v>119</v>
      </c>
      <c r="D106" t="s">
        <v>43</v>
      </c>
      <c r="E106" t="s">
        <v>173</v>
      </c>
      <c r="F106" t="s">
        <v>174</v>
      </c>
      <c r="G106" s="2" t="s">
        <v>119</v>
      </c>
      <c r="H106">
        <v>66552</v>
      </c>
      <c r="I106" s="31" t="s">
        <v>175</v>
      </c>
      <c r="J106" s="2" t="s">
        <v>176</v>
      </c>
      <c r="K106" t="s">
        <v>114</v>
      </c>
      <c r="L106" t="s">
        <v>177</v>
      </c>
      <c r="M106" s="2" t="s">
        <v>78</v>
      </c>
      <c r="N106" t="s">
        <v>144</v>
      </c>
      <c r="O106" t="s">
        <v>91</v>
      </c>
      <c r="P106" s="2" t="s">
        <v>112</v>
      </c>
      <c r="Q106" t="s">
        <v>64</v>
      </c>
      <c r="R106" t="s">
        <v>64</v>
      </c>
      <c r="S106" s="82" t="s">
        <v>168</v>
      </c>
      <c r="T106" t="s">
        <v>178</v>
      </c>
      <c r="U106" t="s">
        <v>179</v>
      </c>
      <c r="V106" s="2" t="s">
        <v>180</v>
      </c>
      <c r="W106" s="2" t="s">
        <v>65</v>
      </c>
      <c r="Z106" s="2" t="s">
        <v>120</v>
      </c>
      <c r="AA106" s="2" t="s">
        <v>121</v>
      </c>
      <c r="AB106" s="2" t="s">
        <v>66</v>
      </c>
      <c r="AC106" s="2" t="s">
        <v>67</v>
      </c>
    </row>
    <row r="107" spans="1:29" x14ac:dyDescent="0.25">
      <c r="A107" t="s">
        <v>113</v>
      </c>
      <c r="B107" t="s">
        <v>118</v>
      </c>
      <c r="C107" t="s">
        <v>119</v>
      </c>
      <c r="D107" t="s">
        <v>43</v>
      </c>
      <c r="E107" t="s">
        <v>173</v>
      </c>
      <c r="F107" t="s">
        <v>174</v>
      </c>
      <c r="G107" s="2" t="s">
        <v>119</v>
      </c>
      <c r="H107">
        <v>66552</v>
      </c>
      <c r="I107" s="31" t="s">
        <v>175</v>
      </c>
      <c r="J107" s="2" t="s">
        <v>176</v>
      </c>
      <c r="K107" t="s">
        <v>114</v>
      </c>
      <c r="L107" t="s">
        <v>177</v>
      </c>
      <c r="M107" s="2" t="s">
        <v>78</v>
      </c>
      <c r="N107" t="s">
        <v>144</v>
      </c>
      <c r="O107" t="s">
        <v>92</v>
      </c>
      <c r="P107" s="2" t="s">
        <v>112</v>
      </c>
      <c r="Q107" t="s">
        <v>64</v>
      </c>
      <c r="R107" t="s">
        <v>64</v>
      </c>
      <c r="S107" s="82" t="s">
        <v>168</v>
      </c>
      <c r="T107" t="s">
        <v>178</v>
      </c>
      <c r="U107" t="s">
        <v>179</v>
      </c>
      <c r="V107" s="2" t="s">
        <v>180</v>
      </c>
      <c r="W107" s="2" t="s">
        <v>65</v>
      </c>
      <c r="Z107" s="2" t="s">
        <v>120</v>
      </c>
      <c r="AA107" s="2" t="s">
        <v>121</v>
      </c>
      <c r="AB107" s="2" t="s">
        <v>66</v>
      </c>
      <c r="AC107" s="2" t="s">
        <v>67</v>
      </c>
    </row>
    <row r="108" spans="1:29" x14ac:dyDescent="0.25">
      <c r="A108" t="s">
        <v>113</v>
      </c>
      <c r="B108" t="s">
        <v>118</v>
      </c>
      <c r="C108" t="s">
        <v>119</v>
      </c>
      <c r="D108" t="s">
        <v>43</v>
      </c>
      <c r="E108" t="s">
        <v>173</v>
      </c>
      <c r="F108" t="s">
        <v>174</v>
      </c>
      <c r="G108" s="2" t="s">
        <v>119</v>
      </c>
      <c r="H108">
        <v>66552</v>
      </c>
      <c r="I108" s="31" t="s">
        <v>175</v>
      </c>
      <c r="J108" s="2" t="s">
        <v>176</v>
      </c>
      <c r="K108" t="s">
        <v>114</v>
      </c>
      <c r="L108" t="s">
        <v>177</v>
      </c>
      <c r="M108" s="2" t="s">
        <v>78</v>
      </c>
      <c r="N108" t="s">
        <v>144</v>
      </c>
      <c r="O108" t="s">
        <v>93</v>
      </c>
      <c r="P108" s="2" t="s">
        <v>112</v>
      </c>
      <c r="Q108" t="s">
        <v>64</v>
      </c>
      <c r="R108" t="s">
        <v>64</v>
      </c>
      <c r="S108" s="82" t="s">
        <v>168</v>
      </c>
      <c r="T108" t="s">
        <v>178</v>
      </c>
      <c r="U108" t="s">
        <v>179</v>
      </c>
      <c r="V108" s="2" t="s">
        <v>180</v>
      </c>
      <c r="W108" s="2" t="s">
        <v>65</v>
      </c>
      <c r="Z108" s="2" t="s">
        <v>120</v>
      </c>
      <c r="AA108" s="2" t="s">
        <v>121</v>
      </c>
      <c r="AB108" s="2" t="s">
        <v>66</v>
      </c>
      <c r="AC108" s="2" t="s">
        <v>67</v>
      </c>
    </row>
    <row r="109" spans="1:29" x14ac:dyDescent="0.25">
      <c r="A109" t="s">
        <v>113</v>
      </c>
      <c r="B109" t="s">
        <v>118</v>
      </c>
      <c r="C109" t="s">
        <v>119</v>
      </c>
      <c r="D109" t="s">
        <v>43</v>
      </c>
      <c r="E109" t="s">
        <v>173</v>
      </c>
      <c r="F109" t="s">
        <v>174</v>
      </c>
      <c r="G109" s="2" t="s">
        <v>119</v>
      </c>
      <c r="H109">
        <v>66552</v>
      </c>
      <c r="I109" s="31" t="s">
        <v>175</v>
      </c>
      <c r="J109" s="2" t="s">
        <v>176</v>
      </c>
      <c r="K109" t="s">
        <v>114</v>
      </c>
      <c r="L109" t="s">
        <v>177</v>
      </c>
      <c r="M109" s="2" t="s">
        <v>78</v>
      </c>
      <c r="N109" t="s">
        <v>144</v>
      </c>
      <c r="O109" t="s">
        <v>94</v>
      </c>
      <c r="P109" s="2" t="s">
        <v>112</v>
      </c>
      <c r="Q109" t="s">
        <v>64</v>
      </c>
      <c r="R109" t="s">
        <v>64</v>
      </c>
      <c r="S109" s="82" t="s">
        <v>168</v>
      </c>
      <c r="T109" t="s">
        <v>178</v>
      </c>
      <c r="U109" t="s">
        <v>179</v>
      </c>
      <c r="V109" s="2" t="s">
        <v>180</v>
      </c>
      <c r="W109" s="2" t="s">
        <v>65</v>
      </c>
      <c r="Z109" s="2" t="s">
        <v>120</v>
      </c>
      <c r="AA109" s="2" t="s">
        <v>121</v>
      </c>
      <c r="AB109" s="2" t="s">
        <v>66</v>
      </c>
      <c r="AC109" s="2" t="s">
        <v>67</v>
      </c>
    </row>
    <row r="110" spans="1:29" x14ac:dyDescent="0.25">
      <c r="A110" t="s">
        <v>113</v>
      </c>
      <c r="B110" t="s">
        <v>118</v>
      </c>
      <c r="C110" t="s">
        <v>119</v>
      </c>
      <c r="D110" t="s">
        <v>43</v>
      </c>
      <c r="E110" t="s">
        <v>173</v>
      </c>
      <c r="F110" t="s">
        <v>174</v>
      </c>
      <c r="G110" s="2" t="s">
        <v>119</v>
      </c>
      <c r="H110">
        <v>66552</v>
      </c>
      <c r="I110" s="31" t="s">
        <v>175</v>
      </c>
      <c r="J110" s="2" t="s">
        <v>176</v>
      </c>
      <c r="K110" t="s">
        <v>114</v>
      </c>
      <c r="L110" t="s">
        <v>177</v>
      </c>
      <c r="M110" s="2" t="s">
        <v>78</v>
      </c>
      <c r="N110" t="s">
        <v>144</v>
      </c>
      <c r="O110" t="s">
        <v>95</v>
      </c>
      <c r="P110" s="2" t="s">
        <v>112</v>
      </c>
      <c r="Q110" t="s">
        <v>64</v>
      </c>
      <c r="R110" t="s">
        <v>64</v>
      </c>
      <c r="S110" s="82" t="s">
        <v>168</v>
      </c>
      <c r="T110" t="s">
        <v>178</v>
      </c>
      <c r="U110" t="s">
        <v>179</v>
      </c>
      <c r="V110" s="2" t="s">
        <v>180</v>
      </c>
      <c r="W110" s="2" t="s">
        <v>65</v>
      </c>
      <c r="Z110" s="2" t="s">
        <v>120</v>
      </c>
      <c r="AA110" s="2" t="s">
        <v>121</v>
      </c>
      <c r="AB110" s="2" t="s">
        <v>66</v>
      </c>
      <c r="AC110" s="2" t="s">
        <v>67</v>
      </c>
    </row>
    <row r="111" spans="1:29" x14ac:dyDescent="0.25">
      <c r="A111" t="s">
        <v>113</v>
      </c>
      <c r="B111" t="s">
        <v>118</v>
      </c>
      <c r="C111" t="s">
        <v>119</v>
      </c>
      <c r="D111" t="s">
        <v>43</v>
      </c>
      <c r="E111" t="s">
        <v>173</v>
      </c>
      <c r="F111" t="s">
        <v>174</v>
      </c>
      <c r="G111" s="2" t="s">
        <v>119</v>
      </c>
      <c r="H111">
        <v>66552</v>
      </c>
      <c r="I111" s="31" t="s">
        <v>175</v>
      </c>
      <c r="J111" s="2" t="s">
        <v>176</v>
      </c>
      <c r="K111" t="s">
        <v>114</v>
      </c>
      <c r="L111" t="s">
        <v>177</v>
      </c>
      <c r="M111" s="2" t="s">
        <v>78</v>
      </c>
      <c r="N111" t="s">
        <v>144</v>
      </c>
      <c r="O111" t="s">
        <v>96</v>
      </c>
      <c r="P111" s="2" t="s">
        <v>112</v>
      </c>
      <c r="Q111" t="s">
        <v>64</v>
      </c>
      <c r="R111" t="s">
        <v>64</v>
      </c>
      <c r="S111" s="82" t="s">
        <v>168</v>
      </c>
      <c r="T111" t="s">
        <v>178</v>
      </c>
      <c r="U111" t="s">
        <v>179</v>
      </c>
      <c r="V111" s="2" t="s">
        <v>180</v>
      </c>
      <c r="W111" s="2" t="s">
        <v>65</v>
      </c>
      <c r="Z111" s="2" t="s">
        <v>120</v>
      </c>
      <c r="AA111" s="2" t="s">
        <v>121</v>
      </c>
      <c r="AB111" s="2" t="s">
        <v>66</v>
      </c>
      <c r="AC111" s="2" t="s">
        <v>67</v>
      </c>
    </row>
    <row r="112" spans="1:29" x14ac:dyDescent="0.25">
      <c r="A112" t="s">
        <v>113</v>
      </c>
      <c r="B112" t="s">
        <v>118</v>
      </c>
      <c r="C112" t="s">
        <v>119</v>
      </c>
      <c r="D112" t="s">
        <v>43</v>
      </c>
      <c r="E112" t="s">
        <v>173</v>
      </c>
      <c r="F112" t="s">
        <v>174</v>
      </c>
      <c r="G112" s="2" t="s">
        <v>119</v>
      </c>
      <c r="H112">
        <v>66552</v>
      </c>
      <c r="I112" s="31" t="s">
        <v>175</v>
      </c>
      <c r="J112" s="2" t="s">
        <v>176</v>
      </c>
      <c r="K112" t="s">
        <v>114</v>
      </c>
      <c r="L112" t="s">
        <v>177</v>
      </c>
      <c r="M112" s="2" t="s">
        <v>78</v>
      </c>
      <c r="N112" t="s">
        <v>144</v>
      </c>
      <c r="O112" t="s">
        <v>97</v>
      </c>
      <c r="P112" s="2" t="s">
        <v>112</v>
      </c>
      <c r="Q112" t="s">
        <v>64</v>
      </c>
      <c r="R112" t="s">
        <v>64</v>
      </c>
      <c r="S112" s="82" t="s">
        <v>168</v>
      </c>
      <c r="T112" t="s">
        <v>178</v>
      </c>
      <c r="U112" t="s">
        <v>179</v>
      </c>
      <c r="V112" s="2" t="s">
        <v>180</v>
      </c>
      <c r="W112" s="2" t="s">
        <v>65</v>
      </c>
      <c r="Z112" s="2" t="s">
        <v>120</v>
      </c>
      <c r="AA112" s="2" t="s">
        <v>121</v>
      </c>
      <c r="AB112" s="2" t="s">
        <v>66</v>
      </c>
      <c r="AC112" s="2" t="s">
        <v>67</v>
      </c>
    </row>
    <row r="113" spans="1:29" x14ac:dyDescent="0.25">
      <c r="A113" t="s">
        <v>113</v>
      </c>
      <c r="B113" t="s">
        <v>118</v>
      </c>
      <c r="C113" t="s">
        <v>119</v>
      </c>
      <c r="D113" t="s">
        <v>43</v>
      </c>
      <c r="E113" t="s">
        <v>173</v>
      </c>
      <c r="F113" t="s">
        <v>174</v>
      </c>
      <c r="G113" s="2" t="s">
        <v>119</v>
      </c>
      <c r="H113">
        <v>66552</v>
      </c>
      <c r="I113" s="31" t="s">
        <v>175</v>
      </c>
      <c r="J113" s="2" t="s">
        <v>176</v>
      </c>
      <c r="K113" t="s">
        <v>114</v>
      </c>
      <c r="L113" t="s">
        <v>177</v>
      </c>
      <c r="M113" s="2" t="s">
        <v>78</v>
      </c>
      <c r="N113" t="s">
        <v>144</v>
      </c>
      <c r="O113" t="s">
        <v>98</v>
      </c>
      <c r="P113" s="2" t="s">
        <v>112</v>
      </c>
      <c r="Q113" t="s">
        <v>64</v>
      </c>
      <c r="R113" t="s">
        <v>64</v>
      </c>
      <c r="S113" s="82" t="s">
        <v>168</v>
      </c>
      <c r="T113" t="s">
        <v>178</v>
      </c>
      <c r="U113" t="s">
        <v>179</v>
      </c>
      <c r="V113" s="2" t="s">
        <v>180</v>
      </c>
      <c r="W113" s="2" t="s">
        <v>65</v>
      </c>
      <c r="Z113" s="2" t="s">
        <v>120</v>
      </c>
      <c r="AA113" s="2" t="s">
        <v>121</v>
      </c>
      <c r="AB113" s="2" t="s">
        <v>66</v>
      </c>
      <c r="AC113" s="2" t="s">
        <v>67</v>
      </c>
    </row>
    <row r="114" spans="1:29" x14ac:dyDescent="0.25">
      <c r="A114" t="s">
        <v>113</v>
      </c>
      <c r="B114" t="s">
        <v>118</v>
      </c>
      <c r="C114" t="s">
        <v>119</v>
      </c>
      <c r="D114" t="s">
        <v>43</v>
      </c>
      <c r="E114" t="s">
        <v>173</v>
      </c>
      <c r="F114" t="s">
        <v>174</v>
      </c>
      <c r="G114" s="2" t="s">
        <v>119</v>
      </c>
      <c r="H114">
        <v>66552</v>
      </c>
      <c r="I114" s="31" t="s">
        <v>175</v>
      </c>
      <c r="J114" s="2" t="s">
        <v>176</v>
      </c>
      <c r="K114" t="s">
        <v>114</v>
      </c>
      <c r="L114" t="s">
        <v>177</v>
      </c>
      <c r="M114" s="2" t="s">
        <v>78</v>
      </c>
      <c r="N114" t="s">
        <v>144</v>
      </c>
      <c r="O114" t="s">
        <v>99</v>
      </c>
      <c r="P114" s="2" t="s">
        <v>112</v>
      </c>
      <c r="Q114" t="s">
        <v>64</v>
      </c>
      <c r="R114" t="s">
        <v>64</v>
      </c>
      <c r="S114" s="82" t="s">
        <v>168</v>
      </c>
      <c r="T114" t="s">
        <v>178</v>
      </c>
      <c r="U114" t="s">
        <v>179</v>
      </c>
      <c r="V114" s="2" t="s">
        <v>180</v>
      </c>
      <c r="W114" s="2" t="s">
        <v>65</v>
      </c>
      <c r="Z114" s="2" t="s">
        <v>120</v>
      </c>
      <c r="AA114" s="2" t="s">
        <v>121</v>
      </c>
      <c r="AB114" s="2" t="s">
        <v>66</v>
      </c>
      <c r="AC114" s="2" t="s">
        <v>67</v>
      </c>
    </row>
    <row r="115" spans="1:29" x14ac:dyDescent="0.25">
      <c r="A115" t="s">
        <v>113</v>
      </c>
      <c r="B115" t="s">
        <v>118</v>
      </c>
      <c r="C115" t="s">
        <v>119</v>
      </c>
      <c r="D115" t="s">
        <v>43</v>
      </c>
      <c r="E115" t="s">
        <v>173</v>
      </c>
      <c r="F115" t="s">
        <v>174</v>
      </c>
      <c r="G115" s="2" t="s">
        <v>119</v>
      </c>
      <c r="H115">
        <v>66552</v>
      </c>
      <c r="I115" s="31" t="s">
        <v>175</v>
      </c>
      <c r="J115" s="2" t="s">
        <v>176</v>
      </c>
      <c r="K115" t="s">
        <v>114</v>
      </c>
      <c r="L115" t="s">
        <v>177</v>
      </c>
      <c r="M115" s="2" t="s">
        <v>78</v>
      </c>
      <c r="N115" t="s">
        <v>144</v>
      </c>
      <c r="O115" t="s">
        <v>100</v>
      </c>
      <c r="P115" s="2" t="s">
        <v>112</v>
      </c>
      <c r="Q115" t="s">
        <v>64</v>
      </c>
      <c r="R115" t="s">
        <v>64</v>
      </c>
      <c r="S115" s="82" t="s">
        <v>168</v>
      </c>
      <c r="T115" t="s">
        <v>178</v>
      </c>
      <c r="U115" t="s">
        <v>179</v>
      </c>
      <c r="V115" s="2" t="s">
        <v>180</v>
      </c>
      <c r="W115" s="2" t="s">
        <v>65</v>
      </c>
      <c r="Z115" s="2" t="s">
        <v>120</v>
      </c>
      <c r="AA115" s="2" t="s">
        <v>121</v>
      </c>
      <c r="AB115" s="2" t="s">
        <v>66</v>
      </c>
      <c r="AC115" s="2" t="s">
        <v>67</v>
      </c>
    </row>
    <row r="116" spans="1:29" x14ac:dyDescent="0.25">
      <c r="A116" t="s">
        <v>113</v>
      </c>
      <c r="B116" t="s">
        <v>118</v>
      </c>
      <c r="C116" t="s">
        <v>119</v>
      </c>
      <c r="D116" t="s">
        <v>43</v>
      </c>
      <c r="E116" t="s">
        <v>173</v>
      </c>
      <c r="F116" t="s">
        <v>174</v>
      </c>
      <c r="G116" s="2" t="s">
        <v>119</v>
      </c>
      <c r="H116">
        <v>66552</v>
      </c>
      <c r="I116" s="31" t="s">
        <v>175</v>
      </c>
      <c r="J116" s="2" t="s">
        <v>176</v>
      </c>
      <c r="K116" t="s">
        <v>114</v>
      </c>
      <c r="L116" t="s">
        <v>177</v>
      </c>
      <c r="M116" s="2" t="s">
        <v>78</v>
      </c>
      <c r="N116" t="s">
        <v>144</v>
      </c>
      <c r="O116" t="s">
        <v>101</v>
      </c>
      <c r="P116" s="2" t="s">
        <v>112</v>
      </c>
      <c r="Q116" t="s">
        <v>64</v>
      </c>
      <c r="R116" t="s">
        <v>64</v>
      </c>
      <c r="S116" s="82" t="s">
        <v>168</v>
      </c>
      <c r="T116" t="s">
        <v>178</v>
      </c>
      <c r="U116" t="s">
        <v>179</v>
      </c>
      <c r="V116" s="2" t="s">
        <v>180</v>
      </c>
      <c r="W116" s="2" t="s">
        <v>65</v>
      </c>
      <c r="Z116" s="2" t="s">
        <v>120</v>
      </c>
      <c r="AA116" s="2" t="s">
        <v>121</v>
      </c>
      <c r="AB116" s="2" t="s">
        <v>66</v>
      </c>
      <c r="AC116" s="2" t="s">
        <v>67</v>
      </c>
    </row>
    <row r="117" spans="1:29" x14ac:dyDescent="0.25">
      <c r="A117" t="s">
        <v>113</v>
      </c>
      <c r="B117" t="s">
        <v>118</v>
      </c>
      <c r="C117" t="s">
        <v>119</v>
      </c>
      <c r="D117" t="s">
        <v>43</v>
      </c>
      <c r="E117" t="s">
        <v>173</v>
      </c>
      <c r="F117" t="s">
        <v>174</v>
      </c>
      <c r="G117" s="2" t="s">
        <v>119</v>
      </c>
      <c r="H117">
        <v>66552</v>
      </c>
      <c r="I117" s="31" t="s">
        <v>175</v>
      </c>
      <c r="J117" s="2" t="s">
        <v>176</v>
      </c>
      <c r="K117" t="s">
        <v>114</v>
      </c>
      <c r="L117" t="s">
        <v>177</v>
      </c>
      <c r="M117" s="2" t="s">
        <v>78</v>
      </c>
      <c r="N117" t="s">
        <v>144</v>
      </c>
      <c r="O117" t="s">
        <v>102</v>
      </c>
      <c r="P117" s="2" t="s">
        <v>112</v>
      </c>
      <c r="Q117" t="s">
        <v>64</v>
      </c>
      <c r="R117" t="s">
        <v>64</v>
      </c>
      <c r="S117" s="82" t="s">
        <v>168</v>
      </c>
      <c r="T117" t="s">
        <v>178</v>
      </c>
      <c r="U117" t="s">
        <v>179</v>
      </c>
      <c r="V117" s="2" t="s">
        <v>180</v>
      </c>
      <c r="W117" s="2" t="s">
        <v>65</v>
      </c>
      <c r="Z117" s="2" t="s">
        <v>120</v>
      </c>
      <c r="AA117" s="2" t="s">
        <v>121</v>
      </c>
      <c r="AB117" s="2" t="s">
        <v>66</v>
      </c>
      <c r="AC117" s="2" t="s">
        <v>67</v>
      </c>
    </row>
    <row r="118" spans="1:29" x14ac:dyDescent="0.25">
      <c r="A118" t="s">
        <v>113</v>
      </c>
      <c r="B118" t="s">
        <v>118</v>
      </c>
      <c r="C118" t="s">
        <v>119</v>
      </c>
      <c r="D118" t="s">
        <v>43</v>
      </c>
      <c r="E118" t="s">
        <v>173</v>
      </c>
      <c r="F118" t="s">
        <v>174</v>
      </c>
      <c r="G118" s="2" t="s">
        <v>119</v>
      </c>
      <c r="H118">
        <v>66552</v>
      </c>
      <c r="I118" s="31" t="s">
        <v>175</v>
      </c>
      <c r="J118" s="2" t="s">
        <v>176</v>
      </c>
      <c r="K118" t="s">
        <v>114</v>
      </c>
      <c r="L118" t="s">
        <v>177</v>
      </c>
      <c r="M118" s="2" t="s">
        <v>78</v>
      </c>
      <c r="N118" t="s">
        <v>144</v>
      </c>
      <c r="O118" t="s">
        <v>103</v>
      </c>
      <c r="P118" s="2" t="s">
        <v>112</v>
      </c>
      <c r="Q118" t="s">
        <v>64</v>
      </c>
      <c r="R118" t="s">
        <v>64</v>
      </c>
      <c r="S118" s="82" t="s">
        <v>168</v>
      </c>
      <c r="T118" t="s">
        <v>178</v>
      </c>
      <c r="U118" t="s">
        <v>179</v>
      </c>
      <c r="V118" s="2" t="s">
        <v>180</v>
      </c>
      <c r="W118" s="2" t="s">
        <v>65</v>
      </c>
      <c r="Z118" s="2" t="s">
        <v>120</v>
      </c>
      <c r="AA118" s="2" t="s">
        <v>121</v>
      </c>
      <c r="AB118" s="2" t="s">
        <v>66</v>
      </c>
      <c r="AC118" s="2" t="s">
        <v>67</v>
      </c>
    </row>
    <row r="119" spans="1:29" x14ac:dyDescent="0.25">
      <c r="A119" t="s">
        <v>113</v>
      </c>
      <c r="B119" t="s">
        <v>118</v>
      </c>
      <c r="C119" t="s">
        <v>119</v>
      </c>
      <c r="D119" t="s">
        <v>43</v>
      </c>
      <c r="E119" t="s">
        <v>173</v>
      </c>
      <c r="F119" t="s">
        <v>174</v>
      </c>
      <c r="G119" s="2" t="s">
        <v>119</v>
      </c>
      <c r="H119">
        <v>66552</v>
      </c>
      <c r="I119" s="31" t="s">
        <v>175</v>
      </c>
      <c r="J119" s="2" t="s">
        <v>176</v>
      </c>
      <c r="K119" t="s">
        <v>114</v>
      </c>
      <c r="L119" t="s">
        <v>177</v>
      </c>
      <c r="M119" s="2" t="s">
        <v>78</v>
      </c>
      <c r="N119" t="s">
        <v>144</v>
      </c>
      <c r="O119" t="s">
        <v>104</v>
      </c>
      <c r="P119" s="2" t="s">
        <v>112</v>
      </c>
      <c r="Q119" t="s">
        <v>64</v>
      </c>
      <c r="R119" t="s">
        <v>64</v>
      </c>
      <c r="S119" s="82" t="s">
        <v>168</v>
      </c>
      <c r="T119" t="s">
        <v>178</v>
      </c>
      <c r="U119" t="s">
        <v>179</v>
      </c>
      <c r="V119" s="2" t="s">
        <v>180</v>
      </c>
      <c r="W119" s="2" t="s">
        <v>65</v>
      </c>
      <c r="Z119" s="2" t="s">
        <v>120</v>
      </c>
      <c r="AA119" s="2" t="s">
        <v>121</v>
      </c>
      <c r="AB119" s="2" t="s">
        <v>66</v>
      </c>
      <c r="AC119" s="2" t="s">
        <v>67</v>
      </c>
    </row>
    <row r="120" spans="1:29" x14ac:dyDescent="0.25">
      <c r="A120" t="s">
        <v>113</v>
      </c>
      <c r="B120" t="s">
        <v>118</v>
      </c>
      <c r="C120" t="s">
        <v>119</v>
      </c>
      <c r="D120" t="s">
        <v>43</v>
      </c>
      <c r="E120" t="s">
        <v>173</v>
      </c>
      <c r="F120" t="s">
        <v>174</v>
      </c>
      <c r="G120" s="2" t="s">
        <v>119</v>
      </c>
      <c r="H120">
        <v>66552</v>
      </c>
      <c r="I120" s="31" t="s">
        <v>175</v>
      </c>
      <c r="J120" s="2" t="s">
        <v>176</v>
      </c>
      <c r="K120" t="s">
        <v>114</v>
      </c>
      <c r="L120" t="s">
        <v>177</v>
      </c>
      <c r="M120" s="2" t="s">
        <v>78</v>
      </c>
      <c r="N120" t="s">
        <v>144</v>
      </c>
      <c r="O120" t="s">
        <v>125</v>
      </c>
      <c r="P120" s="2" t="s">
        <v>112</v>
      </c>
      <c r="Q120" t="s">
        <v>64</v>
      </c>
      <c r="R120" t="s">
        <v>64</v>
      </c>
      <c r="S120" s="82" t="s">
        <v>168</v>
      </c>
      <c r="T120" t="s">
        <v>178</v>
      </c>
      <c r="U120" t="s">
        <v>179</v>
      </c>
      <c r="V120" s="2" t="s">
        <v>180</v>
      </c>
      <c r="W120" s="2" t="s">
        <v>65</v>
      </c>
      <c r="Z120" s="2" t="s">
        <v>120</v>
      </c>
      <c r="AA120" s="2" t="s">
        <v>121</v>
      </c>
      <c r="AB120" s="2" t="s">
        <v>66</v>
      </c>
      <c r="AC120" s="2" t="s">
        <v>67</v>
      </c>
    </row>
    <row r="121" spans="1:29" x14ac:dyDescent="0.25">
      <c r="A121" t="s">
        <v>113</v>
      </c>
      <c r="B121" t="s">
        <v>118</v>
      </c>
      <c r="C121" t="s">
        <v>119</v>
      </c>
      <c r="D121" t="s">
        <v>43</v>
      </c>
      <c r="E121" t="s">
        <v>173</v>
      </c>
      <c r="F121" t="s">
        <v>174</v>
      </c>
      <c r="G121" s="2" t="s">
        <v>119</v>
      </c>
      <c r="H121">
        <v>66552</v>
      </c>
      <c r="I121" s="31" t="s">
        <v>175</v>
      </c>
      <c r="J121" s="2" t="s">
        <v>176</v>
      </c>
      <c r="K121" t="s">
        <v>114</v>
      </c>
      <c r="L121" t="s">
        <v>177</v>
      </c>
      <c r="M121" s="2" t="s">
        <v>78</v>
      </c>
      <c r="N121" t="s">
        <v>144</v>
      </c>
      <c r="O121" t="s">
        <v>105</v>
      </c>
      <c r="P121" s="2" t="s">
        <v>117</v>
      </c>
      <c r="Q121" t="s">
        <v>64</v>
      </c>
      <c r="R121" t="s">
        <v>64</v>
      </c>
      <c r="S121" s="82" t="s">
        <v>168</v>
      </c>
      <c r="T121" t="s">
        <v>178</v>
      </c>
      <c r="U121" t="s">
        <v>179</v>
      </c>
      <c r="V121" s="2" t="s">
        <v>180</v>
      </c>
      <c r="W121" s="2" t="s">
        <v>65</v>
      </c>
      <c r="Z121" s="2" t="s">
        <v>120</v>
      </c>
      <c r="AA121" s="2" t="s">
        <v>121</v>
      </c>
      <c r="AB121" s="2" t="s">
        <v>66</v>
      </c>
      <c r="AC121" s="2" t="s">
        <v>67</v>
      </c>
    </row>
    <row r="122" spans="1:29" x14ac:dyDescent="0.25">
      <c r="A122" t="s">
        <v>113</v>
      </c>
      <c r="B122" t="s">
        <v>118</v>
      </c>
      <c r="C122" t="s">
        <v>119</v>
      </c>
      <c r="D122" t="s">
        <v>43</v>
      </c>
      <c r="E122" t="s">
        <v>173</v>
      </c>
      <c r="F122" t="s">
        <v>174</v>
      </c>
      <c r="G122" s="2" t="s">
        <v>119</v>
      </c>
      <c r="H122">
        <v>66552</v>
      </c>
      <c r="I122" s="31" t="s">
        <v>175</v>
      </c>
      <c r="J122" s="2" t="s">
        <v>176</v>
      </c>
      <c r="K122" t="s">
        <v>114</v>
      </c>
      <c r="L122" t="s">
        <v>177</v>
      </c>
      <c r="M122" s="2" t="s">
        <v>78</v>
      </c>
      <c r="N122" t="s">
        <v>144</v>
      </c>
      <c r="O122" t="s">
        <v>130</v>
      </c>
      <c r="P122" s="2" t="s">
        <v>112</v>
      </c>
      <c r="Q122" t="s">
        <v>64</v>
      </c>
      <c r="R122" t="s">
        <v>64</v>
      </c>
      <c r="S122" s="82" t="s">
        <v>168</v>
      </c>
      <c r="T122" t="s">
        <v>178</v>
      </c>
      <c r="U122" t="s">
        <v>179</v>
      </c>
      <c r="V122" s="2" t="s">
        <v>180</v>
      </c>
      <c r="W122" s="2" t="s">
        <v>65</v>
      </c>
      <c r="Z122" s="2" t="s">
        <v>120</v>
      </c>
      <c r="AA122" s="2" t="s">
        <v>121</v>
      </c>
      <c r="AB122" s="2" t="s">
        <v>66</v>
      </c>
      <c r="AC122" s="2" t="s">
        <v>67</v>
      </c>
    </row>
    <row r="123" spans="1:29" x14ac:dyDescent="0.25">
      <c r="A123" t="s">
        <v>113</v>
      </c>
      <c r="B123" t="s">
        <v>118</v>
      </c>
      <c r="C123" t="s">
        <v>119</v>
      </c>
      <c r="D123" t="s">
        <v>43</v>
      </c>
      <c r="E123" t="s">
        <v>173</v>
      </c>
      <c r="F123" t="s">
        <v>174</v>
      </c>
      <c r="G123" s="2" t="s">
        <v>119</v>
      </c>
      <c r="H123">
        <v>66552</v>
      </c>
      <c r="I123" s="31" t="s">
        <v>175</v>
      </c>
      <c r="J123" s="2" t="s">
        <v>176</v>
      </c>
      <c r="K123" t="s">
        <v>114</v>
      </c>
      <c r="L123" t="s">
        <v>177</v>
      </c>
      <c r="M123" s="2" t="s">
        <v>78</v>
      </c>
      <c r="N123" t="s">
        <v>144</v>
      </c>
      <c r="O123" t="s">
        <v>106</v>
      </c>
      <c r="P123" s="2" t="s">
        <v>112</v>
      </c>
      <c r="Q123" t="s">
        <v>64</v>
      </c>
      <c r="R123" t="s">
        <v>64</v>
      </c>
      <c r="S123" s="82" t="s">
        <v>168</v>
      </c>
      <c r="T123" t="s">
        <v>178</v>
      </c>
      <c r="U123" t="s">
        <v>179</v>
      </c>
      <c r="V123" s="2" t="s">
        <v>180</v>
      </c>
      <c r="W123" s="2" t="s">
        <v>65</v>
      </c>
      <c r="Z123" s="2" t="s">
        <v>120</v>
      </c>
      <c r="AA123" s="2" t="s">
        <v>121</v>
      </c>
      <c r="AB123" s="2" t="s">
        <v>66</v>
      </c>
      <c r="AC123" s="2" t="s">
        <v>67</v>
      </c>
    </row>
    <row r="124" spans="1:29" x14ac:dyDescent="0.25">
      <c r="A124" t="s">
        <v>113</v>
      </c>
      <c r="B124" t="s">
        <v>134</v>
      </c>
      <c r="C124" t="s">
        <v>135</v>
      </c>
      <c r="D124" t="s">
        <v>43</v>
      </c>
      <c r="E124" t="s">
        <v>173</v>
      </c>
      <c r="F124" t="s">
        <v>174</v>
      </c>
      <c r="G124" s="2" t="s">
        <v>135</v>
      </c>
      <c r="H124">
        <v>65453</v>
      </c>
      <c r="I124" s="31" t="s">
        <v>181</v>
      </c>
      <c r="J124" s="2" t="s">
        <v>182</v>
      </c>
      <c r="K124" t="s">
        <v>114</v>
      </c>
      <c r="L124" t="s">
        <v>177</v>
      </c>
      <c r="M124" s="2" t="s">
        <v>78</v>
      </c>
      <c r="N124" t="s">
        <v>144</v>
      </c>
      <c r="O124" t="s">
        <v>87</v>
      </c>
      <c r="P124" s="2" t="s">
        <v>20</v>
      </c>
      <c r="Q124" t="s">
        <v>64</v>
      </c>
      <c r="R124" t="s">
        <v>64</v>
      </c>
      <c r="S124" s="82" t="s">
        <v>183</v>
      </c>
      <c r="T124" t="s">
        <v>184</v>
      </c>
      <c r="U124" t="s">
        <v>185</v>
      </c>
      <c r="V124" s="2" t="s">
        <v>186</v>
      </c>
      <c r="W124" s="2" t="s">
        <v>65</v>
      </c>
      <c r="Z124" s="2" t="s">
        <v>138</v>
      </c>
      <c r="AA124" s="2" t="s">
        <v>139</v>
      </c>
      <c r="AB124" s="2" t="s">
        <v>66</v>
      </c>
      <c r="AC124" s="2" t="s">
        <v>67</v>
      </c>
    </row>
    <row r="125" spans="1:29" x14ac:dyDescent="0.25">
      <c r="A125" t="s">
        <v>113</v>
      </c>
      <c r="B125" t="s">
        <v>134</v>
      </c>
      <c r="C125" t="s">
        <v>135</v>
      </c>
      <c r="D125" t="s">
        <v>43</v>
      </c>
      <c r="E125" t="s">
        <v>173</v>
      </c>
      <c r="F125" t="s">
        <v>174</v>
      </c>
      <c r="G125" s="2" t="s">
        <v>135</v>
      </c>
      <c r="H125">
        <v>65453</v>
      </c>
      <c r="I125" s="31" t="s">
        <v>181</v>
      </c>
      <c r="J125" s="2" t="s">
        <v>182</v>
      </c>
      <c r="K125" t="s">
        <v>114</v>
      </c>
      <c r="L125" t="s">
        <v>177</v>
      </c>
      <c r="M125" s="2" t="s">
        <v>78</v>
      </c>
      <c r="N125" t="s">
        <v>144</v>
      </c>
      <c r="O125" t="s">
        <v>88</v>
      </c>
      <c r="P125" s="2" t="s">
        <v>20</v>
      </c>
      <c r="Q125" t="s">
        <v>64</v>
      </c>
      <c r="R125" t="s">
        <v>64</v>
      </c>
      <c r="S125" s="82" t="s">
        <v>183</v>
      </c>
      <c r="T125" t="s">
        <v>184</v>
      </c>
      <c r="U125" t="s">
        <v>187</v>
      </c>
      <c r="V125" s="2" t="s">
        <v>186</v>
      </c>
      <c r="W125" s="2" t="s">
        <v>65</v>
      </c>
      <c r="Z125" s="2" t="s">
        <v>138</v>
      </c>
      <c r="AA125" s="2" t="s">
        <v>139</v>
      </c>
      <c r="AB125" s="2" t="s">
        <v>66</v>
      </c>
      <c r="AC125" s="2" t="s">
        <v>67</v>
      </c>
    </row>
    <row r="126" spans="1:29" x14ac:dyDescent="0.25">
      <c r="A126" t="s">
        <v>113</v>
      </c>
      <c r="B126" t="s">
        <v>134</v>
      </c>
      <c r="C126" t="s">
        <v>135</v>
      </c>
      <c r="D126" t="s">
        <v>43</v>
      </c>
      <c r="E126" t="s">
        <v>173</v>
      </c>
      <c r="F126" t="s">
        <v>174</v>
      </c>
      <c r="G126" s="2" t="s">
        <v>135</v>
      </c>
      <c r="H126">
        <v>65453</v>
      </c>
      <c r="I126" s="31" t="s">
        <v>181</v>
      </c>
      <c r="J126" s="2" t="s">
        <v>182</v>
      </c>
      <c r="K126" t="s">
        <v>114</v>
      </c>
      <c r="L126" t="s">
        <v>177</v>
      </c>
      <c r="M126" s="2" t="s">
        <v>78</v>
      </c>
      <c r="N126" t="s">
        <v>144</v>
      </c>
      <c r="O126" t="s">
        <v>89</v>
      </c>
      <c r="P126" s="2" t="s">
        <v>20</v>
      </c>
      <c r="Q126" t="s">
        <v>64</v>
      </c>
      <c r="R126" t="s">
        <v>64</v>
      </c>
      <c r="S126" s="82" t="s">
        <v>183</v>
      </c>
      <c r="T126" t="s">
        <v>184</v>
      </c>
      <c r="U126" t="s">
        <v>188</v>
      </c>
      <c r="V126" s="2" t="s">
        <v>186</v>
      </c>
      <c r="W126" s="2" t="s">
        <v>65</v>
      </c>
      <c r="Z126" s="2" t="s">
        <v>138</v>
      </c>
      <c r="AA126" s="2" t="s">
        <v>139</v>
      </c>
      <c r="AB126" s="2" t="s">
        <v>66</v>
      </c>
      <c r="AC126" s="2" t="s">
        <v>67</v>
      </c>
    </row>
    <row r="127" spans="1:29" x14ac:dyDescent="0.25">
      <c r="A127" t="s">
        <v>113</v>
      </c>
      <c r="B127" t="s">
        <v>134</v>
      </c>
      <c r="C127" t="s">
        <v>135</v>
      </c>
      <c r="D127" t="s">
        <v>43</v>
      </c>
      <c r="E127" t="s">
        <v>173</v>
      </c>
      <c r="F127" t="s">
        <v>174</v>
      </c>
      <c r="G127" s="2" t="s">
        <v>135</v>
      </c>
      <c r="H127">
        <v>65453</v>
      </c>
      <c r="I127" s="31" t="s">
        <v>181</v>
      </c>
      <c r="J127" s="2" t="s">
        <v>182</v>
      </c>
      <c r="K127" t="s">
        <v>114</v>
      </c>
      <c r="L127" t="s">
        <v>177</v>
      </c>
      <c r="M127" s="2" t="s">
        <v>78</v>
      </c>
      <c r="N127" t="s">
        <v>144</v>
      </c>
      <c r="O127" t="s">
        <v>90</v>
      </c>
      <c r="P127" s="2" t="s">
        <v>20</v>
      </c>
      <c r="Q127" t="s">
        <v>64</v>
      </c>
      <c r="R127" t="s">
        <v>64</v>
      </c>
      <c r="S127" s="82" t="s">
        <v>183</v>
      </c>
      <c r="T127" t="s">
        <v>184</v>
      </c>
      <c r="U127" t="s">
        <v>189</v>
      </c>
      <c r="V127" s="2" t="s">
        <v>186</v>
      </c>
      <c r="W127" s="2" t="s">
        <v>65</v>
      </c>
      <c r="Z127" s="2" t="s">
        <v>138</v>
      </c>
      <c r="AA127" s="2" t="s">
        <v>139</v>
      </c>
      <c r="AB127" s="2" t="s">
        <v>66</v>
      </c>
      <c r="AC127" s="2" t="s">
        <v>67</v>
      </c>
    </row>
    <row r="128" spans="1:29" x14ac:dyDescent="0.25">
      <c r="A128" t="s">
        <v>113</v>
      </c>
      <c r="B128" t="s">
        <v>134</v>
      </c>
      <c r="C128" t="s">
        <v>135</v>
      </c>
      <c r="D128" t="s">
        <v>43</v>
      </c>
      <c r="E128" t="s">
        <v>173</v>
      </c>
      <c r="F128" t="s">
        <v>174</v>
      </c>
      <c r="G128" s="2" t="s">
        <v>135</v>
      </c>
      <c r="H128">
        <v>65453</v>
      </c>
      <c r="I128" s="31" t="s">
        <v>181</v>
      </c>
      <c r="J128" s="2" t="s">
        <v>182</v>
      </c>
      <c r="K128" t="s">
        <v>114</v>
      </c>
      <c r="L128" t="s">
        <v>177</v>
      </c>
      <c r="M128" s="2" t="s">
        <v>78</v>
      </c>
      <c r="N128" t="s">
        <v>144</v>
      </c>
      <c r="O128" t="s">
        <v>35</v>
      </c>
      <c r="P128" s="2" t="s">
        <v>20</v>
      </c>
      <c r="Q128" t="s">
        <v>64</v>
      </c>
      <c r="R128" t="s">
        <v>64</v>
      </c>
      <c r="S128" s="82" t="s">
        <v>183</v>
      </c>
      <c r="T128" t="s">
        <v>184</v>
      </c>
      <c r="U128" t="s">
        <v>190</v>
      </c>
      <c r="V128" s="2" t="s">
        <v>186</v>
      </c>
      <c r="W128" s="2" t="s">
        <v>65</v>
      </c>
      <c r="Z128" s="2" t="s">
        <v>138</v>
      </c>
      <c r="AA128" s="2" t="s">
        <v>139</v>
      </c>
      <c r="AB128" s="2" t="s">
        <v>66</v>
      </c>
      <c r="AC128" s="2" t="s">
        <v>67</v>
      </c>
    </row>
    <row r="129" spans="1:29" x14ac:dyDescent="0.25">
      <c r="A129" t="s">
        <v>113</v>
      </c>
      <c r="B129" t="s">
        <v>134</v>
      </c>
      <c r="C129" t="s">
        <v>135</v>
      </c>
      <c r="D129" t="s">
        <v>43</v>
      </c>
      <c r="E129" t="s">
        <v>173</v>
      </c>
      <c r="F129" t="s">
        <v>174</v>
      </c>
      <c r="G129" s="2" t="s">
        <v>135</v>
      </c>
      <c r="H129">
        <v>65453</v>
      </c>
      <c r="I129" s="31" t="s">
        <v>181</v>
      </c>
      <c r="J129" s="2" t="s">
        <v>182</v>
      </c>
      <c r="K129" t="s">
        <v>114</v>
      </c>
      <c r="L129" t="s">
        <v>177</v>
      </c>
      <c r="M129" s="2" t="s">
        <v>78</v>
      </c>
      <c r="N129" t="s">
        <v>144</v>
      </c>
      <c r="O129" t="s">
        <v>91</v>
      </c>
      <c r="P129" s="2" t="s">
        <v>112</v>
      </c>
      <c r="Q129" t="s">
        <v>64</v>
      </c>
      <c r="R129" t="s">
        <v>64</v>
      </c>
      <c r="S129" s="82" t="s">
        <v>183</v>
      </c>
      <c r="T129" t="s">
        <v>184</v>
      </c>
      <c r="U129" t="s">
        <v>191</v>
      </c>
      <c r="V129" s="2" t="s">
        <v>186</v>
      </c>
      <c r="W129" s="2" t="s">
        <v>65</v>
      </c>
      <c r="Z129" s="2" t="s">
        <v>138</v>
      </c>
      <c r="AA129" s="2" t="s">
        <v>139</v>
      </c>
      <c r="AB129" s="2" t="s">
        <v>66</v>
      </c>
      <c r="AC129" s="2" t="s">
        <v>67</v>
      </c>
    </row>
    <row r="130" spans="1:29" x14ac:dyDescent="0.25">
      <c r="A130" t="s">
        <v>113</v>
      </c>
      <c r="B130" t="s">
        <v>134</v>
      </c>
      <c r="C130" t="s">
        <v>135</v>
      </c>
      <c r="D130" t="s">
        <v>43</v>
      </c>
      <c r="E130" t="s">
        <v>173</v>
      </c>
      <c r="F130" t="s">
        <v>174</v>
      </c>
      <c r="G130" s="2" t="s">
        <v>135</v>
      </c>
      <c r="H130">
        <v>65453</v>
      </c>
      <c r="I130" s="31" t="s">
        <v>181</v>
      </c>
      <c r="J130" s="2" t="s">
        <v>182</v>
      </c>
      <c r="K130" t="s">
        <v>114</v>
      </c>
      <c r="L130" t="s">
        <v>177</v>
      </c>
      <c r="M130" s="2" t="s">
        <v>78</v>
      </c>
      <c r="N130" t="s">
        <v>144</v>
      </c>
      <c r="O130" t="s">
        <v>92</v>
      </c>
      <c r="P130" s="2" t="s">
        <v>20</v>
      </c>
      <c r="Q130" t="s">
        <v>64</v>
      </c>
      <c r="R130" t="s">
        <v>64</v>
      </c>
      <c r="S130" s="82" t="s">
        <v>183</v>
      </c>
      <c r="T130" t="s">
        <v>184</v>
      </c>
      <c r="U130" t="s">
        <v>192</v>
      </c>
      <c r="V130" s="2" t="s">
        <v>186</v>
      </c>
      <c r="W130" s="2" t="s">
        <v>65</v>
      </c>
      <c r="Z130" s="2" t="s">
        <v>138</v>
      </c>
      <c r="AA130" s="2" t="s">
        <v>139</v>
      </c>
      <c r="AB130" s="2" t="s">
        <v>66</v>
      </c>
      <c r="AC130" s="2" t="s">
        <v>67</v>
      </c>
    </row>
    <row r="131" spans="1:29" x14ac:dyDescent="0.25">
      <c r="A131" t="s">
        <v>113</v>
      </c>
      <c r="B131" t="s">
        <v>134</v>
      </c>
      <c r="C131" t="s">
        <v>135</v>
      </c>
      <c r="D131" t="s">
        <v>43</v>
      </c>
      <c r="E131" t="s">
        <v>173</v>
      </c>
      <c r="F131" t="s">
        <v>174</v>
      </c>
      <c r="G131" s="2" t="s">
        <v>135</v>
      </c>
      <c r="H131">
        <v>65453</v>
      </c>
      <c r="I131" s="31" t="s">
        <v>181</v>
      </c>
      <c r="J131" s="2" t="s">
        <v>182</v>
      </c>
      <c r="K131" t="s">
        <v>114</v>
      </c>
      <c r="L131" t="s">
        <v>177</v>
      </c>
      <c r="M131" s="2" t="s">
        <v>78</v>
      </c>
      <c r="N131" t="s">
        <v>144</v>
      </c>
      <c r="O131" t="s">
        <v>93</v>
      </c>
      <c r="P131" s="2" t="s">
        <v>20</v>
      </c>
      <c r="Q131" t="s">
        <v>64</v>
      </c>
      <c r="R131" t="s">
        <v>64</v>
      </c>
      <c r="S131" s="82" t="s">
        <v>183</v>
      </c>
      <c r="T131" t="s">
        <v>184</v>
      </c>
      <c r="U131" t="s">
        <v>193</v>
      </c>
      <c r="V131" s="2" t="s">
        <v>186</v>
      </c>
      <c r="W131" s="2" t="s">
        <v>65</v>
      </c>
      <c r="Z131" s="2" t="s">
        <v>138</v>
      </c>
      <c r="AA131" s="2" t="s">
        <v>139</v>
      </c>
      <c r="AB131" s="2" t="s">
        <v>66</v>
      </c>
      <c r="AC131" s="2" t="s">
        <v>67</v>
      </c>
    </row>
    <row r="132" spans="1:29" x14ac:dyDescent="0.25">
      <c r="A132" t="s">
        <v>113</v>
      </c>
      <c r="B132" t="s">
        <v>134</v>
      </c>
      <c r="C132" t="s">
        <v>135</v>
      </c>
      <c r="D132" t="s">
        <v>43</v>
      </c>
      <c r="E132" t="s">
        <v>173</v>
      </c>
      <c r="F132" t="s">
        <v>174</v>
      </c>
      <c r="G132" s="2" t="s">
        <v>135</v>
      </c>
      <c r="H132">
        <v>65453</v>
      </c>
      <c r="I132" s="31" t="s">
        <v>181</v>
      </c>
      <c r="J132" s="2" t="s">
        <v>182</v>
      </c>
      <c r="K132" t="s">
        <v>114</v>
      </c>
      <c r="L132" t="s">
        <v>177</v>
      </c>
      <c r="M132" s="2" t="s">
        <v>78</v>
      </c>
      <c r="N132" t="s">
        <v>144</v>
      </c>
      <c r="O132" t="s">
        <v>94</v>
      </c>
      <c r="P132" s="2" t="s">
        <v>112</v>
      </c>
      <c r="Q132" t="s">
        <v>64</v>
      </c>
      <c r="R132" t="s">
        <v>64</v>
      </c>
      <c r="S132" s="82" t="s">
        <v>183</v>
      </c>
      <c r="T132" t="s">
        <v>184</v>
      </c>
      <c r="U132" t="s">
        <v>194</v>
      </c>
      <c r="V132" s="2" t="s">
        <v>186</v>
      </c>
      <c r="W132" s="2" t="s">
        <v>65</v>
      </c>
      <c r="Z132" s="2" t="s">
        <v>138</v>
      </c>
      <c r="AA132" s="2" t="s">
        <v>139</v>
      </c>
      <c r="AB132" s="2" t="s">
        <v>66</v>
      </c>
      <c r="AC132" s="2" t="s">
        <v>67</v>
      </c>
    </row>
    <row r="133" spans="1:29" x14ac:dyDescent="0.25">
      <c r="A133" t="s">
        <v>113</v>
      </c>
      <c r="B133" t="s">
        <v>134</v>
      </c>
      <c r="C133" t="s">
        <v>135</v>
      </c>
      <c r="D133" t="s">
        <v>43</v>
      </c>
      <c r="E133" t="s">
        <v>173</v>
      </c>
      <c r="F133" t="s">
        <v>174</v>
      </c>
      <c r="G133" s="2" t="s">
        <v>135</v>
      </c>
      <c r="H133">
        <v>65453</v>
      </c>
      <c r="I133" s="31" t="s">
        <v>181</v>
      </c>
      <c r="J133" s="2" t="s">
        <v>182</v>
      </c>
      <c r="K133" t="s">
        <v>114</v>
      </c>
      <c r="L133" t="s">
        <v>177</v>
      </c>
      <c r="M133" s="2" t="s">
        <v>78</v>
      </c>
      <c r="N133" t="s">
        <v>144</v>
      </c>
      <c r="O133" t="s">
        <v>95</v>
      </c>
      <c r="P133" s="2" t="s">
        <v>112</v>
      </c>
      <c r="Q133" t="s">
        <v>64</v>
      </c>
      <c r="R133" t="s">
        <v>64</v>
      </c>
      <c r="S133" s="82" t="s">
        <v>183</v>
      </c>
      <c r="T133" t="s">
        <v>184</v>
      </c>
      <c r="U133" t="s">
        <v>195</v>
      </c>
      <c r="V133" s="2" t="s">
        <v>186</v>
      </c>
      <c r="W133" s="2" t="s">
        <v>65</v>
      </c>
      <c r="Z133" s="2" t="s">
        <v>138</v>
      </c>
      <c r="AA133" s="2" t="s">
        <v>139</v>
      </c>
      <c r="AB133" s="2" t="s">
        <v>66</v>
      </c>
      <c r="AC133" s="2" t="s">
        <v>67</v>
      </c>
    </row>
    <row r="134" spans="1:29" x14ac:dyDescent="0.25">
      <c r="A134" t="s">
        <v>113</v>
      </c>
      <c r="B134" t="s">
        <v>134</v>
      </c>
      <c r="C134" t="s">
        <v>135</v>
      </c>
      <c r="D134" t="s">
        <v>43</v>
      </c>
      <c r="E134" t="s">
        <v>173</v>
      </c>
      <c r="F134" t="s">
        <v>174</v>
      </c>
      <c r="G134" s="2" t="s">
        <v>135</v>
      </c>
      <c r="H134">
        <v>65453</v>
      </c>
      <c r="I134" s="31" t="s">
        <v>181</v>
      </c>
      <c r="J134" s="2" t="s">
        <v>182</v>
      </c>
      <c r="K134" t="s">
        <v>114</v>
      </c>
      <c r="L134" t="s">
        <v>177</v>
      </c>
      <c r="M134" s="2" t="s">
        <v>78</v>
      </c>
      <c r="N134" t="s">
        <v>144</v>
      </c>
      <c r="O134" t="s">
        <v>96</v>
      </c>
      <c r="P134" s="2" t="s">
        <v>112</v>
      </c>
      <c r="Q134" t="s">
        <v>64</v>
      </c>
      <c r="R134" t="s">
        <v>64</v>
      </c>
      <c r="S134" s="82" t="s">
        <v>183</v>
      </c>
      <c r="T134" t="s">
        <v>184</v>
      </c>
      <c r="U134" t="s">
        <v>196</v>
      </c>
      <c r="V134" s="2" t="s">
        <v>186</v>
      </c>
      <c r="W134" s="2" t="s">
        <v>65</v>
      </c>
      <c r="Z134" s="2" t="s">
        <v>138</v>
      </c>
      <c r="AA134" s="2" t="s">
        <v>139</v>
      </c>
      <c r="AB134" s="2" t="s">
        <v>66</v>
      </c>
      <c r="AC134" s="2" t="s">
        <v>67</v>
      </c>
    </row>
    <row r="135" spans="1:29" x14ac:dyDescent="0.25">
      <c r="A135" t="s">
        <v>113</v>
      </c>
      <c r="B135" t="s">
        <v>134</v>
      </c>
      <c r="C135" t="s">
        <v>135</v>
      </c>
      <c r="D135" t="s">
        <v>43</v>
      </c>
      <c r="E135" t="s">
        <v>173</v>
      </c>
      <c r="F135" t="s">
        <v>174</v>
      </c>
      <c r="G135" s="2" t="s">
        <v>135</v>
      </c>
      <c r="H135">
        <v>65453</v>
      </c>
      <c r="I135" s="31" t="s">
        <v>181</v>
      </c>
      <c r="J135" s="2" t="s">
        <v>182</v>
      </c>
      <c r="K135" t="s">
        <v>114</v>
      </c>
      <c r="L135" t="s">
        <v>177</v>
      </c>
      <c r="M135" s="2" t="s">
        <v>78</v>
      </c>
      <c r="N135" t="s">
        <v>144</v>
      </c>
      <c r="O135" t="s">
        <v>97</v>
      </c>
      <c r="P135" s="2" t="s">
        <v>112</v>
      </c>
      <c r="Q135" t="s">
        <v>64</v>
      </c>
      <c r="R135" t="s">
        <v>64</v>
      </c>
      <c r="S135" s="82" t="s">
        <v>183</v>
      </c>
      <c r="T135" t="s">
        <v>184</v>
      </c>
      <c r="U135" t="s">
        <v>197</v>
      </c>
      <c r="V135" s="2" t="s">
        <v>186</v>
      </c>
      <c r="W135" s="2" t="s">
        <v>65</v>
      </c>
      <c r="Z135" s="2" t="s">
        <v>138</v>
      </c>
      <c r="AA135" s="2" t="s">
        <v>139</v>
      </c>
      <c r="AB135" s="2" t="s">
        <v>66</v>
      </c>
      <c r="AC135" s="2" t="s">
        <v>67</v>
      </c>
    </row>
    <row r="136" spans="1:29" x14ac:dyDescent="0.25">
      <c r="A136" t="s">
        <v>113</v>
      </c>
      <c r="B136" t="s">
        <v>134</v>
      </c>
      <c r="C136" t="s">
        <v>135</v>
      </c>
      <c r="D136" t="s">
        <v>43</v>
      </c>
      <c r="E136" t="s">
        <v>173</v>
      </c>
      <c r="F136" t="s">
        <v>174</v>
      </c>
      <c r="G136" s="2" t="s">
        <v>135</v>
      </c>
      <c r="H136">
        <v>65453</v>
      </c>
      <c r="I136" s="31" t="s">
        <v>181</v>
      </c>
      <c r="J136" s="2" t="s">
        <v>182</v>
      </c>
      <c r="K136" t="s">
        <v>114</v>
      </c>
      <c r="L136" t="s">
        <v>177</v>
      </c>
      <c r="M136" s="2" t="s">
        <v>78</v>
      </c>
      <c r="N136" t="s">
        <v>144</v>
      </c>
      <c r="O136" t="s">
        <v>98</v>
      </c>
      <c r="P136" s="2" t="s">
        <v>20</v>
      </c>
      <c r="Q136" t="s">
        <v>64</v>
      </c>
      <c r="R136" t="s">
        <v>64</v>
      </c>
      <c r="S136" s="82" t="s">
        <v>183</v>
      </c>
      <c r="T136" t="s">
        <v>184</v>
      </c>
      <c r="U136" t="s">
        <v>198</v>
      </c>
      <c r="V136" s="2" t="s">
        <v>186</v>
      </c>
      <c r="W136" s="2" t="s">
        <v>65</v>
      </c>
      <c r="Z136" s="2" t="s">
        <v>138</v>
      </c>
      <c r="AA136" s="2" t="s">
        <v>139</v>
      </c>
      <c r="AB136" s="2" t="s">
        <v>66</v>
      </c>
      <c r="AC136" s="2" t="s">
        <v>67</v>
      </c>
    </row>
    <row r="137" spans="1:29" x14ac:dyDescent="0.25">
      <c r="A137" t="s">
        <v>113</v>
      </c>
      <c r="B137" t="s">
        <v>134</v>
      </c>
      <c r="C137" t="s">
        <v>135</v>
      </c>
      <c r="D137" t="s">
        <v>43</v>
      </c>
      <c r="E137" t="s">
        <v>173</v>
      </c>
      <c r="F137" t="s">
        <v>174</v>
      </c>
      <c r="G137" s="2" t="s">
        <v>135</v>
      </c>
      <c r="H137">
        <v>65453</v>
      </c>
      <c r="I137" s="31" t="s">
        <v>181</v>
      </c>
      <c r="J137" s="2" t="s">
        <v>182</v>
      </c>
      <c r="K137" t="s">
        <v>114</v>
      </c>
      <c r="L137" t="s">
        <v>177</v>
      </c>
      <c r="M137" s="2" t="s">
        <v>78</v>
      </c>
      <c r="N137" t="s">
        <v>144</v>
      </c>
      <c r="O137" t="s">
        <v>99</v>
      </c>
      <c r="P137" s="2" t="s">
        <v>20</v>
      </c>
      <c r="Q137" t="s">
        <v>64</v>
      </c>
      <c r="R137" t="s">
        <v>64</v>
      </c>
      <c r="S137" s="82" t="s">
        <v>183</v>
      </c>
      <c r="T137" t="s">
        <v>184</v>
      </c>
      <c r="U137" t="s">
        <v>199</v>
      </c>
      <c r="V137" s="2" t="s">
        <v>186</v>
      </c>
      <c r="W137" s="2" t="s">
        <v>65</v>
      </c>
      <c r="Z137" s="2" t="s">
        <v>138</v>
      </c>
      <c r="AA137" s="2" t="s">
        <v>139</v>
      </c>
      <c r="AB137" s="2" t="s">
        <v>66</v>
      </c>
      <c r="AC137" s="2" t="s">
        <v>67</v>
      </c>
    </row>
    <row r="138" spans="1:29" x14ac:dyDescent="0.25">
      <c r="A138" t="s">
        <v>113</v>
      </c>
      <c r="B138" t="s">
        <v>134</v>
      </c>
      <c r="C138" t="s">
        <v>135</v>
      </c>
      <c r="D138" t="s">
        <v>43</v>
      </c>
      <c r="E138" t="s">
        <v>173</v>
      </c>
      <c r="F138" t="s">
        <v>174</v>
      </c>
      <c r="G138" s="2" t="s">
        <v>135</v>
      </c>
      <c r="H138">
        <v>65453</v>
      </c>
      <c r="I138" s="31" t="s">
        <v>181</v>
      </c>
      <c r="J138" s="2" t="s">
        <v>182</v>
      </c>
      <c r="K138" t="s">
        <v>114</v>
      </c>
      <c r="L138" t="s">
        <v>177</v>
      </c>
      <c r="M138" s="2" t="s">
        <v>78</v>
      </c>
      <c r="N138" t="s">
        <v>144</v>
      </c>
      <c r="O138" t="s">
        <v>100</v>
      </c>
      <c r="P138" s="2" t="s">
        <v>20</v>
      </c>
      <c r="Q138" t="s">
        <v>64</v>
      </c>
      <c r="R138" t="s">
        <v>64</v>
      </c>
      <c r="S138" s="82" t="s">
        <v>183</v>
      </c>
      <c r="T138" t="s">
        <v>184</v>
      </c>
      <c r="U138" t="s">
        <v>200</v>
      </c>
      <c r="V138" s="2" t="s">
        <v>186</v>
      </c>
      <c r="W138" s="2" t="s">
        <v>65</v>
      </c>
      <c r="Z138" s="2" t="s">
        <v>138</v>
      </c>
      <c r="AA138" s="2" t="s">
        <v>139</v>
      </c>
      <c r="AB138" s="2" t="s">
        <v>66</v>
      </c>
      <c r="AC138" s="2" t="s">
        <v>67</v>
      </c>
    </row>
    <row r="139" spans="1:29" x14ac:dyDescent="0.25">
      <c r="A139" t="s">
        <v>113</v>
      </c>
      <c r="B139" t="s">
        <v>134</v>
      </c>
      <c r="C139" t="s">
        <v>135</v>
      </c>
      <c r="D139" t="s">
        <v>43</v>
      </c>
      <c r="E139" t="s">
        <v>173</v>
      </c>
      <c r="F139" t="s">
        <v>174</v>
      </c>
      <c r="G139" s="2" t="s">
        <v>135</v>
      </c>
      <c r="H139">
        <v>65453</v>
      </c>
      <c r="I139" s="31" t="s">
        <v>181</v>
      </c>
      <c r="J139" s="2" t="s">
        <v>182</v>
      </c>
      <c r="K139" t="s">
        <v>114</v>
      </c>
      <c r="L139" t="s">
        <v>177</v>
      </c>
      <c r="M139" s="2" t="s">
        <v>78</v>
      </c>
      <c r="N139" t="s">
        <v>144</v>
      </c>
      <c r="O139" t="s">
        <v>101</v>
      </c>
      <c r="P139" s="2" t="s">
        <v>20</v>
      </c>
      <c r="Q139" t="s">
        <v>64</v>
      </c>
      <c r="R139" t="s">
        <v>64</v>
      </c>
      <c r="S139" s="82" t="s">
        <v>183</v>
      </c>
      <c r="T139" t="s">
        <v>184</v>
      </c>
      <c r="U139" t="s">
        <v>201</v>
      </c>
      <c r="V139" s="2" t="s">
        <v>186</v>
      </c>
      <c r="W139" s="2" t="s">
        <v>65</v>
      </c>
      <c r="Z139" s="2" t="s">
        <v>138</v>
      </c>
      <c r="AA139" s="2" t="s">
        <v>139</v>
      </c>
      <c r="AB139" s="2" t="s">
        <v>66</v>
      </c>
      <c r="AC139" s="2" t="s">
        <v>67</v>
      </c>
    </row>
    <row r="140" spans="1:29" x14ac:dyDescent="0.25">
      <c r="A140" t="s">
        <v>113</v>
      </c>
      <c r="B140" t="s">
        <v>134</v>
      </c>
      <c r="C140" t="s">
        <v>135</v>
      </c>
      <c r="D140" t="s">
        <v>43</v>
      </c>
      <c r="E140" t="s">
        <v>173</v>
      </c>
      <c r="F140" t="s">
        <v>174</v>
      </c>
      <c r="G140" s="2" t="s">
        <v>135</v>
      </c>
      <c r="H140">
        <v>65453</v>
      </c>
      <c r="I140" s="31" t="s">
        <v>181</v>
      </c>
      <c r="J140" s="2" t="s">
        <v>182</v>
      </c>
      <c r="K140" t="s">
        <v>114</v>
      </c>
      <c r="L140" t="s">
        <v>177</v>
      </c>
      <c r="M140" s="2" t="s">
        <v>78</v>
      </c>
      <c r="N140" t="s">
        <v>144</v>
      </c>
      <c r="O140" t="s">
        <v>102</v>
      </c>
      <c r="P140" s="2" t="s">
        <v>20</v>
      </c>
      <c r="Q140" t="s">
        <v>64</v>
      </c>
      <c r="R140" t="s">
        <v>64</v>
      </c>
      <c r="S140" s="82" t="s">
        <v>183</v>
      </c>
      <c r="T140" t="s">
        <v>184</v>
      </c>
      <c r="U140" t="s">
        <v>202</v>
      </c>
      <c r="V140" s="2" t="s">
        <v>186</v>
      </c>
      <c r="W140" s="2" t="s">
        <v>65</v>
      </c>
      <c r="Z140" s="2" t="s">
        <v>138</v>
      </c>
      <c r="AA140" s="2" t="s">
        <v>139</v>
      </c>
      <c r="AB140" s="2" t="s">
        <v>66</v>
      </c>
      <c r="AC140" s="2" t="s">
        <v>67</v>
      </c>
    </row>
    <row r="141" spans="1:29" x14ac:dyDescent="0.25">
      <c r="A141" t="s">
        <v>113</v>
      </c>
      <c r="B141" t="s">
        <v>134</v>
      </c>
      <c r="C141" t="s">
        <v>135</v>
      </c>
      <c r="D141" t="s">
        <v>43</v>
      </c>
      <c r="E141" t="s">
        <v>173</v>
      </c>
      <c r="F141" t="s">
        <v>174</v>
      </c>
      <c r="G141" s="2" t="s">
        <v>135</v>
      </c>
      <c r="H141">
        <v>65453</v>
      </c>
      <c r="I141" s="31" t="s">
        <v>181</v>
      </c>
      <c r="J141" s="2" t="s">
        <v>182</v>
      </c>
      <c r="K141" t="s">
        <v>114</v>
      </c>
      <c r="L141" t="s">
        <v>177</v>
      </c>
      <c r="M141" s="2" t="s">
        <v>78</v>
      </c>
      <c r="N141" t="s">
        <v>144</v>
      </c>
      <c r="O141" t="s">
        <v>103</v>
      </c>
      <c r="P141" s="2" t="s">
        <v>20</v>
      </c>
      <c r="Q141" t="s">
        <v>64</v>
      </c>
      <c r="R141" t="s">
        <v>64</v>
      </c>
      <c r="S141" s="82" t="s">
        <v>183</v>
      </c>
      <c r="T141" t="s">
        <v>184</v>
      </c>
      <c r="U141" t="s">
        <v>203</v>
      </c>
      <c r="V141" s="2" t="s">
        <v>186</v>
      </c>
      <c r="W141" s="2" t="s">
        <v>65</v>
      </c>
      <c r="Z141" s="2" t="s">
        <v>138</v>
      </c>
      <c r="AA141" s="2" t="s">
        <v>139</v>
      </c>
      <c r="AB141" s="2" t="s">
        <v>66</v>
      </c>
      <c r="AC141" s="2" t="s">
        <v>67</v>
      </c>
    </row>
    <row r="142" spans="1:29" x14ac:dyDescent="0.25">
      <c r="A142" t="s">
        <v>113</v>
      </c>
      <c r="B142" t="s">
        <v>134</v>
      </c>
      <c r="C142" t="s">
        <v>135</v>
      </c>
      <c r="D142" t="s">
        <v>43</v>
      </c>
      <c r="E142" t="s">
        <v>173</v>
      </c>
      <c r="F142" t="s">
        <v>174</v>
      </c>
      <c r="G142" s="2" t="s">
        <v>135</v>
      </c>
      <c r="H142">
        <v>65453</v>
      </c>
      <c r="I142" s="31" t="s">
        <v>181</v>
      </c>
      <c r="J142" s="2" t="s">
        <v>182</v>
      </c>
      <c r="K142" t="s">
        <v>114</v>
      </c>
      <c r="L142" t="s">
        <v>177</v>
      </c>
      <c r="M142" s="2" t="s">
        <v>78</v>
      </c>
      <c r="N142" t="s">
        <v>144</v>
      </c>
      <c r="O142" t="s">
        <v>104</v>
      </c>
      <c r="P142" s="2" t="s">
        <v>20</v>
      </c>
      <c r="Q142" t="s">
        <v>64</v>
      </c>
      <c r="R142" t="s">
        <v>64</v>
      </c>
      <c r="S142" s="82" t="s">
        <v>183</v>
      </c>
      <c r="T142" t="s">
        <v>184</v>
      </c>
      <c r="U142" t="s">
        <v>204</v>
      </c>
      <c r="V142" s="2" t="s">
        <v>186</v>
      </c>
      <c r="W142" s="2" t="s">
        <v>65</v>
      </c>
      <c r="Z142" s="2" t="s">
        <v>138</v>
      </c>
      <c r="AA142" s="2" t="s">
        <v>139</v>
      </c>
      <c r="AB142" s="2" t="s">
        <v>66</v>
      </c>
      <c r="AC142" s="2" t="s">
        <v>67</v>
      </c>
    </row>
    <row r="143" spans="1:29" x14ac:dyDescent="0.25">
      <c r="A143" t="s">
        <v>113</v>
      </c>
      <c r="B143" t="s">
        <v>134</v>
      </c>
      <c r="C143" t="s">
        <v>135</v>
      </c>
      <c r="D143" t="s">
        <v>43</v>
      </c>
      <c r="E143" t="s">
        <v>173</v>
      </c>
      <c r="F143" t="s">
        <v>174</v>
      </c>
      <c r="G143" s="2" t="s">
        <v>135</v>
      </c>
      <c r="H143">
        <v>65453</v>
      </c>
      <c r="I143" s="31" t="s">
        <v>181</v>
      </c>
      <c r="J143" s="2" t="s">
        <v>182</v>
      </c>
      <c r="K143" t="s">
        <v>114</v>
      </c>
      <c r="L143" t="s">
        <v>177</v>
      </c>
      <c r="M143" s="2" t="s">
        <v>78</v>
      </c>
      <c r="N143" t="s">
        <v>144</v>
      </c>
      <c r="O143" t="s">
        <v>125</v>
      </c>
      <c r="P143" s="2" t="s">
        <v>20</v>
      </c>
      <c r="Q143" t="s">
        <v>64</v>
      </c>
      <c r="R143" t="s">
        <v>64</v>
      </c>
      <c r="S143" s="82" t="s">
        <v>183</v>
      </c>
      <c r="T143" t="s">
        <v>184</v>
      </c>
      <c r="U143" t="s">
        <v>205</v>
      </c>
      <c r="V143" s="2" t="s">
        <v>186</v>
      </c>
      <c r="W143" s="2" t="s">
        <v>65</v>
      </c>
      <c r="Z143" s="2" t="s">
        <v>138</v>
      </c>
      <c r="AA143" s="2" t="s">
        <v>139</v>
      </c>
      <c r="AB143" s="2" t="s">
        <v>66</v>
      </c>
      <c r="AC143" s="2" t="s">
        <v>67</v>
      </c>
    </row>
    <row r="144" spans="1:29" x14ac:dyDescent="0.25">
      <c r="A144" t="s">
        <v>113</v>
      </c>
      <c r="B144" t="s">
        <v>134</v>
      </c>
      <c r="C144" t="s">
        <v>135</v>
      </c>
      <c r="D144" t="s">
        <v>43</v>
      </c>
      <c r="E144" t="s">
        <v>173</v>
      </c>
      <c r="F144" t="s">
        <v>174</v>
      </c>
      <c r="G144" s="2" t="s">
        <v>135</v>
      </c>
      <c r="H144">
        <v>65453</v>
      </c>
      <c r="I144" s="31" t="s">
        <v>181</v>
      </c>
      <c r="J144" s="2" t="s">
        <v>182</v>
      </c>
      <c r="K144" t="s">
        <v>114</v>
      </c>
      <c r="L144" t="s">
        <v>177</v>
      </c>
      <c r="M144" s="2" t="s">
        <v>78</v>
      </c>
      <c r="N144" t="s">
        <v>144</v>
      </c>
      <c r="O144" t="s">
        <v>105</v>
      </c>
      <c r="P144" s="2" t="s">
        <v>117</v>
      </c>
      <c r="Q144" t="s">
        <v>64</v>
      </c>
      <c r="R144" t="s">
        <v>64</v>
      </c>
      <c r="S144" s="82" t="s">
        <v>183</v>
      </c>
      <c r="T144" t="s">
        <v>184</v>
      </c>
      <c r="U144" t="s">
        <v>206</v>
      </c>
      <c r="V144" s="2" t="s">
        <v>186</v>
      </c>
      <c r="W144" s="2" t="s">
        <v>65</v>
      </c>
      <c r="Z144" s="2" t="s">
        <v>138</v>
      </c>
      <c r="AA144" s="2" t="s">
        <v>139</v>
      </c>
      <c r="AB144" s="2" t="s">
        <v>66</v>
      </c>
      <c r="AC144" s="2" t="s">
        <v>67</v>
      </c>
    </row>
    <row r="145" spans="1:29" x14ac:dyDescent="0.25">
      <c r="A145" t="s">
        <v>113</v>
      </c>
      <c r="B145" t="s">
        <v>134</v>
      </c>
      <c r="C145" t="s">
        <v>135</v>
      </c>
      <c r="D145" t="s">
        <v>43</v>
      </c>
      <c r="E145" t="s">
        <v>173</v>
      </c>
      <c r="F145" t="s">
        <v>174</v>
      </c>
      <c r="G145" s="2" t="s">
        <v>135</v>
      </c>
      <c r="H145">
        <v>65453</v>
      </c>
      <c r="I145" s="31" t="s">
        <v>181</v>
      </c>
      <c r="J145" s="2" t="s">
        <v>182</v>
      </c>
      <c r="K145" t="s">
        <v>114</v>
      </c>
      <c r="L145" t="s">
        <v>177</v>
      </c>
      <c r="M145" s="2" t="s">
        <v>78</v>
      </c>
      <c r="N145" t="s">
        <v>144</v>
      </c>
      <c r="O145" t="s">
        <v>130</v>
      </c>
      <c r="P145" s="2" t="s">
        <v>20</v>
      </c>
      <c r="Q145" t="s">
        <v>64</v>
      </c>
      <c r="R145" t="s">
        <v>64</v>
      </c>
      <c r="S145" s="82" t="s">
        <v>183</v>
      </c>
      <c r="T145" t="s">
        <v>184</v>
      </c>
      <c r="U145" t="s">
        <v>207</v>
      </c>
      <c r="V145" s="2" t="s">
        <v>186</v>
      </c>
      <c r="W145" s="2" t="s">
        <v>65</v>
      </c>
      <c r="Z145" s="2" t="s">
        <v>138</v>
      </c>
      <c r="AA145" s="2" t="s">
        <v>139</v>
      </c>
      <c r="AB145" s="2" t="s">
        <v>66</v>
      </c>
      <c r="AC145" s="2" t="s">
        <v>67</v>
      </c>
    </row>
    <row r="146" spans="1:29" x14ac:dyDescent="0.25">
      <c r="A146" t="s">
        <v>113</v>
      </c>
      <c r="B146" t="s">
        <v>134</v>
      </c>
      <c r="C146" t="s">
        <v>135</v>
      </c>
      <c r="D146" t="s">
        <v>43</v>
      </c>
      <c r="E146" t="s">
        <v>173</v>
      </c>
      <c r="F146" t="s">
        <v>174</v>
      </c>
      <c r="G146" s="2" t="s">
        <v>135</v>
      </c>
      <c r="H146">
        <v>65453</v>
      </c>
      <c r="I146" s="31" t="s">
        <v>181</v>
      </c>
      <c r="J146" s="2" t="s">
        <v>182</v>
      </c>
      <c r="K146" t="s">
        <v>114</v>
      </c>
      <c r="L146" t="s">
        <v>177</v>
      </c>
      <c r="M146" s="2" t="s">
        <v>78</v>
      </c>
      <c r="N146" t="s">
        <v>144</v>
      </c>
      <c r="O146" t="s">
        <v>106</v>
      </c>
      <c r="P146" s="2" t="s">
        <v>112</v>
      </c>
      <c r="Q146" t="s">
        <v>64</v>
      </c>
      <c r="R146" t="s">
        <v>64</v>
      </c>
      <c r="S146" s="82" t="s">
        <v>183</v>
      </c>
      <c r="T146" t="s">
        <v>184</v>
      </c>
      <c r="U146" t="s">
        <v>208</v>
      </c>
      <c r="V146" s="2" t="s">
        <v>186</v>
      </c>
      <c r="W146" s="2" t="s">
        <v>65</v>
      </c>
      <c r="Z146" s="2" t="s">
        <v>138</v>
      </c>
      <c r="AA146" s="2" t="s">
        <v>139</v>
      </c>
      <c r="AB146" s="2" t="s">
        <v>66</v>
      </c>
      <c r="AC146" s="2" t="s">
        <v>67</v>
      </c>
    </row>
    <row r="147" spans="1:29" x14ac:dyDescent="0.25">
      <c r="A147" t="s">
        <v>113</v>
      </c>
      <c r="B147" t="s">
        <v>134</v>
      </c>
      <c r="C147" t="s">
        <v>135</v>
      </c>
      <c r="D147" t="s">
        <v>14</v>
      </c>
      <c r="E147" t="s">
        <v>136</v>
      </c>
      <c r="F147" t="s">
        <v>136</v>
      </c>
      <c r="G147" s="2" t="s">
        <v>134</v>
      </c>
      <c r="H147">
        <v>191457</v>
      </c>
      <c r="I147" s="31" t="s">
        <v>209</v>
      </c>
      <c r="J147" s="2" t="s">
        <v>210</v>
      </c>
      <c r="K147" t="s">
        <v>114</v>
      </c>
      <c r="L147" t="s">
        <v>137</v>
      </c>
      <c r="M147" s="2" t="s">
        <v>78</v>
      </c>
      <c r="N147" t="s">
        <v>144</v>
      </c>
      <c r="O147" t="s">
        <v>87</v>
      </c>
      <c r="P147" s="2" t="s">
        <v>20</v>
      </c>
      <c r="Q147" t="s">
        <v>64</v>
      </c>
      <c r="R147" t="s">
        <v>64</v>
      </c>
      <c r="S147" s="82" t="s">
        <v>211</v>
      </c>
      <c r="T147" t="s">
        <v>212</v>
      </c>
      <c r="U147" t="s">
        <v>213</v>
      </c>
      <c r="V147" s="2" t="s">
        <v>214</v>
      </c>
      <c r="W147" s="2" t="s">
        <v>65</v>
      </c>
      <c r="Z147" s="2" t="s">
        <v>138</v>
      </c>
      <c r="AA147" s="2" t="s">
        <v>139</v>
      </c>
      <c r="AB147" s="2" t="s">
        <v>66</v>
      </c>
      <c r="AC147" s="2" t="s">
        <v>67</v>
      </c>
    </row>
    <row r="148" spans="1:29" x14ac:dyDescent="0.25">
      <c r="A148" t="s">
        <v>113</v>
      </c>
      <c r="B148" t="s">
        <v>134</v>
      </c>
      <c r="C148" t="s">
        <v>135</v>
      </c>
      <c r="D148" t="s">
        <v>14</v>
      </c>
      <c r="E148" t="s">
        <v>136</v>
      </c>
      <c r="F148" t="s">
        <v>136</v>
      </c>
      <c r="G148" s="2" t="s">
        <v>134</v>
      </c>
      <c r="H148">
        <v>191457</v>
      </c>
      <c r="I148" s="31" t="s">
        <v>209</v>
      </c>
      <c r="J148" s="2" t="s">
        <v>210</v>
      </c>
      <c r="K148" t="s">
        <v>114</v>
      </c>
      <c r="L148" t="s">
        <v>137</v>
      </c>
      <c r="M148" s="2" t="s">
        <v>78</v>
      </c>
      <c r="N148" t="s">
        <v>144</v>
      </c>
      <c r="O148" t="s">
        <v>88</v>
      </c>
      <c r="P148" s="2" t="s">
        <v>20</v>
      </c>
      <c r="Q148" t="s">
        <v>64</v>
      </c>
      <c r="R148" t="s">
        <v>64</v>
      </c>
      <c r="S148" s="82" t="s">
        <v>211</v>
      </c>
      <c r="T148" t="s">
        <v>212</v>
      </c>
      <c r="U148" t="s">
        <v>215</v>
      </c>
      <c r="V148" s="2" t="s">
        <v>214</v>
      </c>
      <c r="W148" s="2" t="s">
        <v>65</v>
      </c>
      <c r="Z148" s="2" t="s">
        <v>138</v>
      </c>
      <c r="AA148" s="2" t="s">
        <v>139</v>
      </c>
      <c r="AB148" s="2" t="s">
        <v>66</v>
      </c>
      <c r="AC148" s="2" t="s">
        <v>67</v>
      </c>
    </row>
    <row r="149" spans="1:29" x14ac:dyDescent="0.25">
      <c r="A149" t="s">
        <v>113</v>
      </c>
      <c r="B149" t="s">
        <v>134</v>
      </c>
      <c r="C149" t="s">
        <v>135</v>
      </c>
      <c r="D149" t="s">
        <v>14</v>
      </c>
      <c r="E149" t="s">
        <v>136</v>
      </c>
      <c r="F149" t="s">
        <v>136</v>
      </c>
      <c r="G149" s="2" t="s">
        <v>134</v>
      </c>
      <c r="H149">
        <v>191457</v>
      </c>
      <c r="I149" s="31" t="s">
        <v>209</v>
      </c>
      <c r="J149" s="2" t="s">
        <v>210</v>
      </c>
      <c r="K149" t="s">
        <v>114</v>
      </c>
      <c r="L149" t="s">
        <v>137</v>
      </c>
      <c r="M149" s="2" t="s">
        <v>78</v>
      </c>
      <c r="N149" t="s">
        <v>144</v>
      </c>
      <c r="O149" t="s">
        <v>89</v>
      </c>
      <c r="P149" s="2" t="s">
        <v>20</v>
      </c>
      <c r="Q149" t="s">
        <v>64</v>
      </c>
      <c r="R149" t="s">
        <v>64</v>
      </c>
      <c r="S149" s="82" t="s">
        <v>211</v>
      </c>
      <c r="T149" t="s">
        <v>212</v>
      </c>
      <c r="U149" t="s">
        <v>216</v>
      </c>
      <c r="V149" s="2" t="s">
        <v>214</v>
      </c>
      <c r="W149" s="2" t="s">
        <v>65</v>
      </c>
      <c r="Z149" s="2" t="s">
        <v>138</v>
      </c>
      <c r="AA149" s="2" t="s">
        <v>139</v>
      </c>
      <c r="AB149" s="2" t="s">
        <v>66</v>
      </c>
      <c r="AC149" s="2" t="s">
        <v>67</v>
      </c>
    </row>
    <row r="150" spans="1:29" x14ac:dyDescent="0.25">
      <c r="A150" t="s">
        <v>113</v>
      </c>
      <c r="B150" t="s">
        <v>134</v>
      </c>
      <c r="C150" t="s">
        <v>135</v>
      </c>
      <c r="D150" t="s">
        <v>14</v>
      </c>
      <c r="E150" t="s">
        <v>136</v>
      </c>
      <c r="F150" t="s">
        <v>136</v>
      </c>
      <c r="G150" s="2" t="s">
        <v>134</v>
      </c>
      <c r="H150">
        <v>191457</v>
      </c>
      <c r="I150" s="31" t="s">
        <v>209</v>
      </c>
      <c r="J150" s="2" t="s">
        <v>210</v>
      </c>
      <c r="K150" t="s">
        <v>114</v>
      </c>
      <c r="L150" t="s">
        <v>137</v>
      </c>
      <c r="M150" s="2" t="s">
        <v>78</v>
      </c>
      <c r="N150" t="s">
        <v>144</v>
      </c>
      <c r="O150" t="s">
        <v>90</v>
      </c>
      <c r="P150" s="2" t="s">
        <v>20</v>
      </c>
      <c r="Q150" t="s">
        <v>64</v>
      </c>
      <c r="R150" t="s">
        <v>64</v>
      </c>
      <c r="S150" s="82" t="s">
        <v>211</v>
      </c>
      <c r="T150" t="s">
        <v>212</v>
      </c>
      <c r="U150" t="s">
        <v>216</v>
      </c>
      <c r="V150" s="2" t="s">
        <v>214</v>
      </c>
      <c r="W150" s="2" t="s">
        <v>65</v>
      </c>
      <c r="Z150" s="2" t="s">
        <v>138</v>
      </c>
      <c r="AA150" s="2" t="s">
        <v>139</v>
      </c>
      <c r="AB150" s="2" t="s">
        <v>66</v>
      </c>
      <c r="AC150" s="2" t="s">
        <v>67</v>
      </c>
    </row>
    <row r="151" spans="1:29" x14ac:dyDescent="0.25">
      <c r="A151" t="s">
        <v>113</v>
      </c>
      <c r="B151" t="s">
        <v>134</v>
      </c>
      <c r="C151" t="s">
        <v>135</v>
      </c>
      <c r="D151" t="s">
        <v>14</v>
      </c>
      <c r="E151" t="s">
        <v>136</v>
      </c>
      <c r="F151" t="s">
        <v>136</v>
      </c>
      <c r="G151" s="2" t="s">
        <v>134</v>
      </c>
      <c r="H151">
        <v>191457</v>
      </c>
      <c r="I151" s="31" t="s">
        <v>209</v>
      </c>
      <c r="J151" s="2" t="s">
        <v>210</v>
      </c>
      <c r="K151" t="s">
        <v>114</v>
      </c>
      <c r="L151" t="s">
        <v>137</v>
      </c>
      <c r="M151" s="2" t="s">
        <v>78</v>
      </c>
      <c r="N151" t="s">
        <v>144</v>
      </c>
      <c r="O151" t="s">
        <v>35</v>
      </c>
      <c r="P151" s="2" t="s">
        <v>20</v>
      </c>
      <c r="Q151" t="s">
        <v>64</v>
      </c>
      <c r="R151" t="s">
        <v>64</v>
      </c>
      <c r="S151" s="82" t="s">
        <v>211</v>
      </c>
      <c r="T151" t="s">
        <v>212</v>
      </c>
      <c r="U151" t="s">
        <v>217</v>
      </c>
      <c r="V151" s="2" t="s">
        <v>214</v>
      </c>
      <c r="W151" s="2" t="s">
        <v>65</v>
      </c>
      <c r="Z151" s="2" t="s">
        <v>138</v>
      </c>
      <c r="AA151" s="2" t="s">
        <v>139</v>
      </c>
      <c r="AB151" s="2" t="s">
        <v>66</v>
      </c>
      <c r="AC151" s="2" t="s">
        <v>67</v>
      </c>
    </row>
    <row r="152" spans="1:29" x14ac:dyDescent="0.25">
      <c r="A152" t="s">
        <v>113</v>
      </c>
      <c r="B152" t="s">
        <v>134</v>
      </c>
      <c r="C152" t="s">
        <v>135</v>
      </c>
      <c r="D152" t="s">
        <v>14</v>
      </c>
      <c r="E152" t="s">
        <v>136</v>
      </c>
      <c r="F152" t="s">
        <v>136</v>
      </c>
      <c r="G152" s="2" t="s">
        <v>134</v>
      </c>
      <c r="H152">
        <v>191457</v>
      </c>
      <c r="I152" s="31" t="s">
        <v>209</v>
      </c>
      <c r="J152" s="2" t="s">
        <v>210</v>
      </c>
      <c r="K152" t="s">
        <v>114</v>
      </c>
      <c r="L152" t="s">
        <v>137</v>
      </c>
      <c r="M152" s="2" t="s">
        <v>78</v>
      </c>
      <c r="N152" t="s">
        <v>144</v>
      </c>
      <c r="O152" t="s">
        <v>91</v>
      </c>
      <c r="P152" s="2" t="s">
        <v>112</v>
      </c>
      <c r="Q152" t="s">
        <v>64</v>
      </c>
      <c r="R152" t="s">
        <v>64</v>
      </c>
      <c r="S152" s="82" t="s">
        <v>211</v>
      </c>
      <c r="T152" t="s">
        <v>212</v>
      </c>
      <c r="U152" t="s">
        <v>218</v>
      </c>
      <c r="V152" s="2" t="s">
        <v>214</v>
      </c>
      <c r="W152" s="2" t="s">
        <v>65</v>
      </c>
      <c r="Z152" s="2" t="s">
        <v>138</v>
      </c>
      <c r="AA152" s="2" t="s">
        <v>139</v>
      </c>
      <c r="AB152" s="2" t="s">
        <v>66</v>
      </c>
      <c r="AC152" s="2" t="s">
        <v>67</v>
      </c>
    </row>
    <row r="153" spans="1:29" x14ac:dyDescent="0.25">
      <c r="A153" t="s">
        <v>113</v>
      </c>
      <c r="B153" t="s">
        <v>134</v>
      </c>
      <c r="C153" t="s">
        <v>135</v>
      </c>
      <c r="D153" t="s">
        <v>14</v>
      </c>
      <c r="E153" t="s">
        <v>136</v>
      </c>
      <c r="F153" t="s">
        <v>136</v>
      </c>
      <c r="G153" s="2" t="s">
        <v>134</v>
      </c>
      <c r="H153">
        <v>191457</v>
      </c>
      <c r="I153" s="31" t="s">
        <v>209</v>
      </c>
      <c r="J153" s="2" t="s">
        <v>210</v>
      </c>
      <c r="K153" t="s">
        <v>114</v>
      </c>
      <c r="L153" t="s">
        <v>137</v>
      </c>
      <c r="M153" s="2" t="s">
        <v>78</v>
      </c>
      <c r="N153" t="s">
        <v>144</v>
      </c>
      <c r="O153" t="s">
        <v>92</v>
      </c>
      <c r="P153" s="2" t="s">
        <v>20</v>
      </c>
      <c r="Q153" t="s">
        <v>64</v>
      </c>
      <c r="R153" t="s">
        <v>64</v>
      </c>
      <c r="S153" s="82" t="s">
        <v>211</v>
      </c>
      <c r="T153" t="s">
        <v>212</v>
      </c>
      <c r="U153" t="s">
        <v>219</v>
      </c>
      <c r="V153" s="2" t="s">
        <v>214</v>
      </c>
      <c r="W153" s="2" t="s">
        <v>65</v>
      </c>
      <c r="Z153" s="2" t="s">
        <v>138</v>
      </c>
      <c r="AA153" s="2" t="s">
        <v>139</v>
      </c>
      <c r="AB153" s="2" t="s">
        <v>66</v>
      </c>
      <c r="AC153" s="2" t="s">
        <v>67</v>
      </c>
    </row>
    <row r="154" spans="1:29" x14ac:dyDescent="0.25">
      <c r="A154" t="s">
        <v>113</v>
      </c>
      <c r="B154" t="s">
        <v>134</v>
      </c>
      <c r="C154" t="s">
        <v>135</v>
      </c>
      <c r="D154" t="s">
        <v>14</v>
      </c>
      <c r="E154" t="s">
        <v>136</v>
      </c>
      <c r="F154" t="s">
        <v>136</v>
      </c>
      <c r="G154" s="2" t="s">
        <v>134</v>
      </c>
      <c r="H154">
        <v>191457</v>
      </c>
      <c r="I154" s="31" t="s">
        <v>209</v>
      </c>
      <c r="J154" s="2" t="s">
        <v>210</v>
      </c>
      <c r="K154" t="s">
        <v>114</v>
      </c>
      <c r="L154" t="s">
        <v>137</v>
      </c>
      <c r="M154" s="2" t="s">
        <v>78</v>
      </c>
      <c r="N154" t="s">
        <v>144</v>
      </c>
      <c r="O154" t="s">
        <v>93</v>
      </c>
      <c r="P154" s="2" t="s">
        <v>20</v>
      </c>
      <c r="Q154" t="s">
        <v>64</v>
      </c>
      <c r="R154" t="s">
        <v>64</v>
      </c>
      <c r="S154" s="82" t="s">
        <v>211</v>
      </c>
      <c r="T154" t="s">
        <v>212</v>
      </c>
      <c r="U154" t="s">
        <v>220</v>
      </c>
      <c r="V154" s="2" t="s">
        <v>214</v>
      </c>
      <c r="W154" s="2" t="s">
        <v>65</v>
      </c>
      <c r="Z154" s="2" t="s">
        <v>138</v>
      </c>
      <c r="AA154" s="2" t="s">
        <v>139</v>
      </c>
      <c r="AB154" s="2" t="s">
        <v>66</v>
      </c>
      <c r="AC154" s="2" t="s">
        <v>67</v>
      </c>
    </row>
    <row r="155" spans="1:29" x14ac:dyDescent="0.25">
      <c r="A155" t="s">
        <v>113</v>
      </c>
      <c r="B155" t="s">
        <v>134</v>
      </c>
      <c r="C155" t="s">
        <v>135</v>
      </c>
      <c r="D155" t="s">
        <v>14</v>
      </c>
      <c r="E155" t="s">
        <v>136</v>
      </c>
      <c r="F155" t="s">
        <v>136</v>
      </c>
      <c r="G155" s="2" t="s">
        <v>134</v>
      </c>
      <c r="H155">
        <v>191457</v>
      </c>
      <c r="I155" s="31" t="s">
        <v>209</v>
      </c>
      <c r="J155" s="2" t="s">
        <v>210</v>
      </c>
      <c r="K155" t="s">
        <v>114</v>
      </c>
      <c r="L155" t="s">
        <v>137</v>
      </c>
      <c r="M155" s="2" t="s">
        <v>78</v>
      </c>
      <c r="N155" t="s">
        <v>144</v>
      </c>
      <c r="O155" t="s">
        <v>94</v>
      </c>
      <c r="P155" s="2" t="s">
        <v>112</v>
      </c>
      <c r="Q155" t="s">
        <v>64</v>
      </c>
      <c r="R155" t="s">
        <v>64</v>
      </c>
      <c r="S155" s="82" t="s">
        <v>211</v>
      </c>
      <c r="T155" t="s">
        <v>212</v>
      </c>
      <c r="U155" t="s">
        <v>221</v>
      </c>
      <c r="V155" s="2" t="s">
        <v>214</v>
      </c>
      <c r="W155" s="2" t="s">
        <v>65</v>
      </c>
      <c r="Z155" s="2" t="s">
        <v>138</v>
      </c>
      <c r="AA155" s="2" t="s">
        <v>139</v>
      </c>
      <c r="AB155" s="2" t="s">
        <v>66</v>
      </c>
      <c r="AC155" s="2" t="s">
        <v>67</v>
      </c>
    </row>
    <row r="156" spans="1:29" x14ac:dyDescent="0.25">
      <c r="A156" t="s">
        <v>113</v>
      </c>
      <c r="B156" t="s">
        <v>134</v>
      </c>
      <c r="C156" t="s">
        <v>135</v>
      </c>
      <c r="D156" t="s">
        <v>14</v>
      </c>
      <c r="E156" t="s">
        <v>136</v>
      </c>
      <c r="F156" t="s">
        <v>136</v>
      </c>
      <c r="G156" s="2" t="s">
        <v>134</v>
      </c>
      <c r="H156">
        <v>191457</v>
      </c>
      <c r="I156" s="31" t="s">
        <v>209</v>
      </c>
      <c r="J156" s="2" t="s">
        <v>210</v>
      </c>
      <c r="K156" t="s">
        <v>114</v>
      </c>
      <c r="L156" t="s">
        <v>137</v>
      </c>
      <c r="M156" s="2" t="s">
        <v>78</v>
      </c>
      <c r="N156" t="s">
        <v>144</v>
      </c>
      <c r="O156" t="s">
        <v>95</v>
      </c>
      <c r="P156" s="2" t="s">
        <v>112</v>
      </c>
      <c r="Q156" t="s">
        <v>64</v>
      </c>
      <c r="R156" t="s">
        <v>64</v>
      </c>
      <c r="S156" s="82" t="s">
        <v>211</v>
      </c>
      <c r="T156" t="s">
        <v>212</v>
      </c>
      <c r="U156" t="s">
        <v>222</v>
      </c>
      <c r="V156" s="2" t="s">
        <v>214</v>
      </c>
      <c r="W156" s="2" t="s">
        <v>65</v>
      </c>
      <c r="Z156" s="2" t="s">
        <v>138</v>
      </c>
      <c r="AA156" s="2" t="s">
        <v>139</v>
      </c>
      <c r="AB156" s="2" t="s">
        <v>66</v>
      </c>
      <c r="AC156" s="2" t="s">
        <v>67</v>
      </c>
    </row>
    <row r="157" spans="1:29" x14ac:dyDescent="0.25">
      <c r="A157" t="s">
        <v>113</v>
      </c>
      <c r="B157" t="s">
        <v>134</v>
      </c>
      <c r="C157" t="s">
        <v>135</v>
      </c>
      <c r="D157" t="s">
        <v>14</v>
      </c>
      <c r="E157" t="s">
        <v>136</v>
      </c>
      <c r="F157" t="s">
        <v>136</v>
      </c>
      <c r="G157" s="2" t="s">
        <v>134</v>
      </c>
      <c r="H157">
        <v>191457</v>
      </c>
      <c r="I157" s="31" t="s">
        <v>209</v>
      </c>
      <c r="J157" s="2" t="s">
        <v>210</v>
      </c>
      <c r="K157" t="s">
        <v>114</v>
      </c>
      <c r="L157" t="s">
        <v>137</v>
      </c>
      <c r="M157" s="2" t="s">
        <v>78</v>
      </c>
      <c r="N157" t="s">
        <v>144</v>
      </c>
      <c r="O157" t="s">
        <v>96</v>
      </c>
      <c r="P157" s="2" t="s">
        <v>112</v>
      </c>
      <c r="Q157" t="s">
        <v>64</v>
      </c>
      <c r="R157" t="s">
        <v>64</v>
      </c>
      <c r="S157" s="82" t="s">
        <v>211</v>
      </c>
      <c r="T157" t="s">
        <v>212</v>
      </c>
      <c r="U157" t="s">
        <v>223</v>
      </c>
      <c r="V157" s="2" t="s">
        <v>214</v>
      </c>
      <c r="W157" s="2" t="s">
        <v>65</v>
      </c>
      <c r="Z157" s="2" t="s">
        <v>138</v>
      </c>
      <c r="AA157" s="2" t="s">
        <v>139</v>
      </c>
      <c r="AB157" s="2" t="s">
        <v>66</v>
      </c>
      <c r="AC157" s="2" t="s">
        <v>67</v>
      </c>
    </row>
    <row r="158" spans="1:29" x14ac:dyDescent="0.25">
      <c r="A158" t="s">
        <v>113</v>
      </c>
      <c r="B158" t="s">
        <v>134</v>
      </c>
      <c r="C158" t="s">
        <v>135</v>
      </c>
      <c r="D158" t="s">
        <v>14</v>
      </c>
      <c r="E158" t="s">
        <v>136</v>
      </c>
      <c r="F158" t="s">
        <v>136</v>
      </c>
      <c r="G158" s="2" t="s">
        <v>134</v>
      </c>
      <c r="H158">
        <v>191457</v>
      </c>
      <c r="I158" s="31" t="s">
        <v>209</v>
      </c>
      <c r="J158" s="2" t="s">
        <v>210</v>
      </c>
      <c r="K158" t="s">
        <v>114</v>
      </c>
      <c r="L158" t="s">
        <v>137</v>
      </c>
      <c r="M158" s="2" t="s">
        <v>78</v>
      </c>
      <c r="N158" t="s">
        <v>144</v>
      </c>
      <c r="O158" t="s">
        <v>97</v>
      </c>
      <c r="P158" s="2" t="s">
        <v>112</v>
      </c>
      <c r="Q158" t="s">
        <v>64</v>
      </c>
      <c r="R158" t="s">
        <v>64</v>
      </c>
      <c r="S158" s="82" t="s">
        <v>211</v>
      </c>
      <c r="T158" t="s">
        <v>212</v>
      </c>
      <c r="U158" t="s">
        <v>224</v>
      </c>
      <c r="V158" s="2" t="s">
        <v>214</v>
      </c>
      <c r="W158" s="2" t="s">
        <v>65</v>
      </c>
      <c r="Z158" s="2" t="s">
        <v>138</v>
      </c>
      <c r="AA158" s="2" t="s">
        <v>139</v>
      </c>
      <c r="AB158" s="2" t="s">
        <v>66</v>
      </c>
      <c r="AC158" s="2" t="s">
        <v>67</v>
      </c>
    </row>
    <row r="159" spans="1:29" x14ac:dyDescent="0.25">
      <c r="A159" t="s">
        <v>113</v>
      </c>
      <c r="B159" t="s">
        <v>134</v>
      </c>
      <c r="C159" t="s">
        <v>135</v>
      </c>
      <c r="D159" t="s">
        <v>14</v>
      </c>
      <c r="E159" t="s">
        <v>136</v>
      </c>
      <c r="F159" t="s">
        <v>136</v>
      </c>
      <c r="G159" s="2" t="s">
        <v>134</v>
      </c>
      <c r="H159">
        <v>191457</v>
      </c>
      <c r="I159" s="31" t="s">
        <v>209</v>
      </c>
      <c r="J159" s="2" t="s">
        <v>210</v>
      </c>
      <c r="K159" t="s">
        <v>114</v>
      </c>
      <c r="L159" t="s">
        <v>137</v>
      </c>
      <c r="M159" s="2" t="s">
        <v>78</v>
      </c>
      <c r="N159" t="s">
        <v>144</v>
      </c>
      <c r="O159" t="s">
        <v>98</v>
      </c>
      <c r="P159" s="2" t="s">
        <v>20</v>
      </c>
      <c r="Q159" t="s">
        <v>64</v>
      </c>
      <c r="R159" t="s">
        <v>64</v>
      </c>
      <c r="S159" s="82" t="s">
        <v>211</v>
      </c>
      <c r="T159" t="s">
        <v>212</v>
      </c>
      <c r="U159" t="s">
        <v>225</v>
      </c>
      <c r="V159" s="2" t="s">
        <v>214</v>
      </c>
      <c r="W159" s="2" t="s">
        <v>65</v>
      </c>
      <c r="Z159" s="2" t="s">
        <v>138</v>
      </c>
      <c r="AA159" s="2" t="s">
        <v>139</v>
      </c>
      <c r="AB159" s="2" t="s">
        <v>66</v>
      </c>
      <c r="AC159" s="2" t="s">
        <v>67</v>
      </c>
    </row>
    <row r="160" spans="1:29" x14ac:dyDescent="0.25">
      <c r="A160" t="s">
        <v>113</v>
      </c>
      <c r="B160" t="s">
        <v>134</v>
      </c>
      <c r="C160" t="s">
        <v>135</v>
      </c>
      <c r="D160" t="s">
        <v>14</v>
      </c>
      <c r="E160" t="s">
        <v>136</v>
      </c>
      <c r="F160" t="s">
        <v>136</v>
      </c>
      <c r="G160" s="2" t="s">
        <v>134</v>
      </c>
      <c r="H160">
        <v>191457</v>
      </c>
      <c r="I160" s="31" t="s">
        <v>209</v>
      </c>
      <c r="J160" s="2" t="s">
        <v>210</v>
      </c>
      <c r="K160" t="s">
        <v>114</v>
      </c>
      <c r="L160" t="s">
        <v>137</v>
      </c>
      <c r="M160" s="2" t="s">
        <v>78</v>
      </c>
      <c r="N160" t="s">
        <v>144</v>
      </c>
      <c r="O160" t="s">
        <v>99</v>
      </c>
      <c r="P160" s="2" t="s">
        <v>20</v>
      </c>
      <c r="Q160" t="s">
        <v>64</v>
      </c>
      <c r="R160" t="s">
        <v>64</v>
      </c>
      <c r="S160" s="82" t="s">
        <v>211</v>
      </c>
      <c r="T160" t="s">
        <v>212</v>
      </c>
      <c r="U160" t="s">
        <v>226</v>
      </c>
      <c r="V160" s="2" t="s">
        <v>214</v>
      </c>
      <c r="W160" s="2" t="s">
        <v>65</v>
      </c>
      <c r="Z160" s="2" t="s">
        <v>138</v>
      </c>
      <c r="AA160" s="2" t="s">
        <v>139</v>
      </c>
      <c r="AB160" s="2" t="s">
        <v>66</v>
      </c>
      <c r="AC160" s="2" t="s">
        <v>67</v>
      </c>
    </row>
    <row r="161" spans="1:29" x14ac:dyDescent="0.25">
      <c r="A161" t="s">
        <v>113</v>
      </c>
      <c r="B161" t="s">
        <v>134</v>
      </c>
      <c r="C161" t="s">
        <v>135</v>
      </c>
      <c r="D161" t="s">
        <v>14</v>
      </c>
      <c r="E161" t="s">
        <v>136</v>
      </c>
      <c r="F161" t="s">
        <v>136</v>
      </c>
      <c r="G161" s="2" t="s">
        <v>134</v>
      </c>
      <c r="H161">
        <v>191457</v>
      </c>
      <c r="I161" s="31" t="s">
        <v>209</v>
      </c>
      <c r="J161" s="2" t="s">
        <v>210</v>
      </c>
      <c r="K161" t="s">
        <v>114</v>
      </c>
      <c r="L161" t="s">
        <v>137</v>
      </c>
      <c r="M161" s="2" t="s">
        <v>78</v>
      </c>
      <c r="N161" t="s">
        <v>144</v>
      </c>
      <c r="O161" t="s">
        <v>100</v>
      </c>
      <c r="P161" s="2" t="s">
        <v>20</v>
      </c>
      <c r="Q161" t="s">
        <v>64</v>
      </c>
      <c r="R161" t="s">
        <v>64</v>
      </c>
      <c r="S161" s="82" t="s">
        <v>211</v>
      </c>
      <c r="T161" t="s">
        <v>212</v>
      </c>
      <c r="U161" t="s">
        <v>227</v>
      </c>
      <c r="V161" s="2" t="s">
        <v>214</v>
      </c>
      <c r="W161" s="2" t="s">
        <v>65</v>
      </c>
      <c r="Z161" s="2" t="s">
        <v>138</v>
      </c>
      <c r="AA161" s="2" t="s">
        <v>139</v>
      </c>
      <c r="AB161" s="2" t="s">
        <v>66</v>
      </c>
      <c r="AC161" s="2" t="s">
        <v>67</v>
      </c>
    </row>
    <row r="162" spans="1:29" x14ac:dyDescent="0.25">
      <c r="A162" t="s">
        <v>113</v>
      </c>
      <c r="B162" t="s">
        <v>134</v>
      </c>
      <c r="C162" t="s">
        <v>135</v>
      </c>
      <c r="D162" t="s">
        <v>14</v>
      </c>
      <c r="E162" t="s">
        <v>136</v>
      </c>
      <c r="F162" t="s">
        <v>136</v>
      </c>
      <c r="G162" s="2" t="s">
        <v>134</v>
      </c>
      <c r="H162">
        <v>191457</v>
      </c>
      <c r="I162" s="31" t="s">
        <v>209</v>
      </c>
      <c r="J162" s="2" t="s">
        <v>210</v>
      </c>
      <c r="K162" t="s">
        <v>114</v>
      </c>
      <c r="L162" t="s">
        <v>137</v>
      </c>
      <c r="M162" s="2" t="s">
        <v>78</v>
      </c>
      <c r="N162" t="s">
        <v>144</v>
      </c>
      <c r="O162" t="s">
        <v>101</v>
      </c>
      <c r="P162" s="2" t="s">
        <v>20</v>
      </c>
      <c r="Q162" t="s">
        <v>64</v>
      </c>
      <c r="R162" t="s">
        <v>64</v>
      </c>
      <c r="S162" s="82" t="s">
        <v>211</v>
      </c>
      <c r="T162" t="s">
        <v>212</v>
      </c>
      <c r="U162" t="s">
        <v>228</v>
      </c>
      <c r="V162" s="2" t="s">
        <v>214</v>
      </c>
      <c r="W162" s="2" t="s">
        <v>65</v>
      </c>
      <c r="Z162" s="2" t="s">
        <v>138</v>
      </c>
      <c r="AA162" s="2" t="s">
        <v>139</v>
      </c>
      <c r="AB162" s="2" t="s">
        <v>66</v>
      </c>
      <c r="AC162" s="2" t="s">
        <v>67</v>
      </c>
    </row>
    <row r="163" spans="1:29" x14ac:dyDescent="0.25">
      <c r="A163" t="s">
        <v>113</v>
      </c>
      <c r="B163" t="s">
        <v>134</v>
      </c>
      <c r="C163" t="s">
        <v>135</v>
      </c>
      <c r="D163" t="s">
        <v>14</v>
      </c>
      <c r="E163" t="s">
        <v>136</v>
      </c>
      <c r="F163" t="s">
        <v>136</v>
      </c>
      <c r="G163" s="2" t="s">
        <v>134</v>
      </c>
      <c r="H163">
        <v>191457</v>
      </c>
      <c r="I163" s="31" t="s">
        <v>209</v>
      </c>
      <c r="J163" s="2" t="s">
        <v>210</v>
      </c>
      <c r="K163" t="s">
        <v>114</v>
      </c>
      <c r="L163" t="s">
        <v>137</v>
      </c>
      <c r="M163" s="2" t="s">
        <v>78</v>
      </c>
      <c r="N163" t="s">
        <v>144</v>
      </c>
      <c r="O163" t="s">
        <v>102</v>
      </c>
      <c r="P163" s="2" t="s">
        <v>20</v>
      </c>
      <c r="Q163" t="s">
        <v>64</v>
      </c>
      <c r="R163" t="s">
        <v>64</v>
      </c>
      <c r="S163" s="82" t="s">
        <v>211</v>
      </c>
      <c r="T163" t="s">
        <v>212</v>
      </c>
      <c r="U163" t="s">
        <v>229</v>
      </c>
      <c r="V163" s="2" t="s">
        <v>214</v>
      </c>
      <c r="W163" s="2" t="s">
        <v>65</v>
      </c>
      <c r="Z163" s="2" t="s">
        <v>138</v>
      </c>
      <c r="AA163" s="2" t="s">
        <v>139</v>
      </c>
      <c r="AB163" s="2" t="s">
        <v>66</v>
      </c>
      <c r="AC163" s="2" t="s">
        <v>67</v>
      </c>
    </row>
    <row r="164" spans="1:29" x14ac:dyDescent="0.25">
      <c r="A164" t="s">
        <v>113</v>
      </c>
      <c r="B164" t="s">
        <v>134</v>
      </c>
      <c r="C164" t="s">
        <v>135</v>
      </c>
      <c r="D164" t="s">
        <v>14</v>
      </c>
      <c r="E164" t="s">
        <v>136</v>
      </c>
      <c r="F164" t="s">
        <v>136</v>
      </c>
      <c r="G164" s="2" t="s">
        <v>134</v>
      </c>
      <c r="H164">
        <v>191457</v>
      </c>
      <c r="I164" s="31" t="s">
        <v>209</v>
      </c>
      <c r="J164" s="2" t="s">
        <v>210</v>
      </c>
      <c r="K164" t="s">
        <v>114</v>
      </c>
      <c r="L164" t="s">
        <v>137</v>
      </c>
      <c r="M164" s="2" t="s">
        <v>78</v>
      </c>
      <c r="N164" t="s">
        <v>144</v>
      </c>
      <c r="O164" t="s">
        <v>103</v>
      </c>
      <c r="P164" s="2" t="s">
        <v>20</v>
      </c>
      <c r="Q164" t="s">
        <v>64</v>
      </c>
      <c r="R164" t="s">
        <v>64</v>
      </c>
      <c r="S164" s="82" t="s">
        <v>211</v>
      </c>
      <c r="T164" t="s">
        <v>212</v>
      </c>
      <c r="U164" t="s">
        <v>230</v>
      </c>
      <c r="V164" s="2" t="s">
        <v>214</v>
      </c>
      <c r="W164" s="2" t="s">
        <v>65</v>
      </c>
      <c r="Z164" s="2" t="s">
        <v>138</v>
      </c>
      <c r="AA164" s="2" t="s">
        <v>139</v>
      </c>
      <c r="AB164" s="2" t="s">
        <v>66</v>
      </c>
      <c r="AC164" s="2" t="s">
        <v>67</v>
      </c>
    </row>
    <row r="165" spans="1:29" x14ac:dyDescent="0.25">
      <c r="A165" t="s">
        <v>113</v>
      </c>
      <c r="B165" t="s">
        <v>134</v>
      </c>
      <c r="C165" t="s">
        <v>135</v>
      </c>
      <c r="D165" t="s">
        <v>14</v>
      </c>
      <c r="E165" t="s">
        <v>136</v>
      </c>
      <c r="F165" t="s">
        <v>136</v>
      </c>
      <c r="G165" s="2" t="s">
        <v>134</v>
      </c>
      <c r="H165">
        <v>191457</v>
      </c>
      <c r="I165" s="31" t="s">
        <v>209</v>
      </c>
      <c r="J165" s="2" t="s">
        <v>210</v>
      </c>
      <c r="K165" t="s">
        <v>114</v>
      </c>
      <c r="L165" t="s">
        <v>137</v>
      </c>
      <c r="M165" s="2" t="s">
        <v>78</v>
      </c>
      <c r="N165" t="s">
        <v>144</v>
      </c>
      <c r="O165" t="s">
        <v>104</v>
      </c>
      <c r="P165" s="2" t="s">
        <v>20</v>
      </c>
      <c r="Q165" t="s">
        <v>64</v>
      </c>
      <c r="R165" t="s">
        <v>64</v>
      </c>
      <c r="S165" s="82" t="s">
        <v>211</v>
      </c>
      <c r="T165" t="s">
        <v>212</v>
      </c>
      <c r="U165" t="s">
        <v>231</v>
      </c>
      <c r="V165" s="2" t="s">
        <v>214</v>
      </c>
      <c r="W165" s="2" t="s">
        <v>65</v>
      </c>
      <c r="Z165" s="2" t="s">
        <v>138</v>
      </c>
      <c r="AA165" s="2" t="s">
        <v>139</v>
      </c>
      <c r="AB165" s="2" t="s">
        <v>66</v>
      </c>
      <c r="AC165" s="2" t="s">
        <v>67</v>
      </c>
    </row>
    <row r="166" spans="1:29" x14ac:dyDescent="0.25">
      <c r="A166" t="s">
        <v>113</v>
      </c>
      <c r="B166" t="s">
        <v>134</v>
      </c>
      <c r="C166" t="s">
        <v>135</v>
      </c>
      <c r="D166" t="s">
        <v>14</v>
      </c>
      <c r="E166" t="s">
        <v>136</v>
      </c>
      <c r="F166" t="s">
        <v>136</v>
      </c>
      <c r="G166" s="2" t="s">
        <v>134</v>
      </c>
      <c r="H166">
        <v>191457</v>
      </c>
      <c r="I166" s="31" t="s">
        <v>209</v>
      </c>
      <c r="J166" s="2" t="s">
        <v>210</v>
      </c>
      <c r="K166" t="s">
        <v>114</v>
      </c>
      <c r="L166" t="s">
        <v>137</v>
      </c>
      <c r="M166" s="2" t="s">
        <v>78</v>
      </c>
      <c r="N166" t="s">
        <v>144</v>
      </c>
      <c r="O166" t="s">
        <v>125</v>
      </c>
      <c r="P166" s="2" t="s">
        <v>20</v>
      </c>
      <c r="Q166" t="s">
        <v>64</v>
      </c>
      <c r="R166" t="s">
        <v>64</v>
      </c>
      <c r="S166" s="82" t="s">
        <v>211</v>
      </c>
      <c r="T166" t="s">
        <v>212</v>
      </c>
      <c r="U166" t="s">
        <v>232</v>
      </c>
      <c r="V166" s="2" t="s">
        <v>214</v>
      </c>
      <c r="W166" s="2" t="s">
        <v>65</v>
      </c>
      <c r="Z166" s="2" t="s">
        <v>138</v>
      </c>
      <c r="AA166" s="2" t="s">
        <v>139</v>
      </c>
      <c r="AB166" s="2" t="s">
        <v>66</v>
      </c>
      <c r="AC166" s="2" t="s">
        <v>67</v>
      </c>
    </row>
    <row r="167" spans="1:29" x14ac:dyDescent="0.25">
      <c r="A167" t="s">
        <v>113</v>
      </c>
      <c r="B167" t="s">
        <v>134</v>
      </c>
      <c r="C167" t="s">
        <v>135</v>
      </c>
      <c r="D167" t="s">
        <v>14</v>
      </c>
      <c r="E167" t="s">
        <v>136</v>
      </c>
      <c r="F167" t="s">
        <v>136</v>
      </c>
      <c r="G167" s="2" t="s">
        <v>134</v>
      </c>
      <c r="H167">
        <v>191457</v>
      </c>
      <c r="I167" s="31" t="s">
        <v>209</v>
      </c>
      <c r="J167" s="2" t="s">
        <v>210</v>
      </c>
      <c r="K167" t="s">
        <v>114</v>
      </c>
      <c r="L167" t="s">
        <v>137</v>
      </c>
      <c r="M167" s="2" t="s">
        <v>78</v>
      </c>
      <c r="N167" t="s">
        <v>144</v>
      </c>
      <c r="O167" t="s">
        <v>105</v>
      </c>
      <c r="P167" s="2" t="s">
        <v>131</v>
      </c>
      <c r="Q167" t="s">
        <v>64</v>
      </c>
      <c r="R167" t="s">
        <v>64</v>
      </c>
      <c r="S167" s="82" t="s">
        <v>211</v>
      </c>
      <c r="T167" t="s">
        <v>212</v>
      </c>
      <c r="U167" t="s">
        <v>233</v>
      </c>
      <c r="V167" s="2" t="s">
        <v>214</v>
      </c>
      <c r="W167" s="2" t="s">
        <v>65</v>
      </c>
      <c r="Z167" s="2" t="s">
        <v>138</v>
      </c>
      <c r="AA167" s="2" t="s">
        <v>139</v>
      </c>
      <c r="AB167" s="2" t="s">
        <v>66</v>
      </c>
      <c r="AC167" s="2" t="s">
        <v>67</v>
      </c>
    </row>
    <row r="168" spans="1:29" x14ac:dyDescent="0.25">
      <c r="A168" t="s">
        <v>113</v>
      </c>
      <c r="B168" t="s">
        <v>134</v>
      </c>
      <c r="C168" t="s">
        <v>135</v>
      </c>
      <c r="D168" t="s">
        <v>14</v>
      </c>
      <c r="E168" t="s">
        <v>136</v>
      </c>
      <c r="F168" t="s">
        <v>136</v>
      </c>
      <c r="G168" s="2" t="s">
        <v>134</v>
      </c>
      <c r="H168">
        <v>191457</v>
      </c>
      <c r="I168" s="31" t="s">
        <v>209</v>
      </c>
      <c r="J168" s="2" t="s">
        <v>210</v>
      </c>
      <c r="K168" t="s">
        <v>114</v>
      </c>
      <c r="L168" t="s">
        <v>137</v>
      </c>
      <c r="M168" s="2" t="s">
        <v>78</v>
      </c>
      <c r="N168" t="s">
        <v>144</v>
      </c>
      <c r="O168" t="s">
        <v>140</v>
      </c>
      <c r="P168" s="2" t="s">
        <v>20</v>
      </c>
      <c r="Q168" t="s">
        <v>64</v>
      </c>
      <c r="R168" t="s">
        <v>64</v>
      </c>
      <c r="S168" s="82" t="s">
        <v>211</v>
      </c>
      <c r="T168" t="s">
        <v>212</v>
      </c>
      <c r="U168" t="s">
        <v>234</v>
      </c>
      <c r="V168" s="2" t="s">
        <v>214</v>
      </c>
      <c r="W168" s="2" t="s">
        <v>65</v>
      </c>
      <c r="Z168" s="2" t="s">
        <v>138</v>
      </c>
      <c r="AA168" s="2" t="s">
        <v>139</v>
      </c>
      <c r="AB168" s="2" t="s">
        <v>66</v>
      </c>
      <c r="AC168" s="2" t="s">
        <v>67</v>
      </c>
    </row>
    <row r="169" spans="1:29" x14ac:dyDescent="0.25">
      <c r="A169" t="s">
        <v>113</v>
      </c>
      <c r="B169" t="s">
        <v>134</v>
      </c>
      <c r="C169" t="s">
        <v>135</v>
      </c>
      <c r="D169" t="s">
        <v>14</v>
      </c>
      <c r="E169" t="s">
        <v>136</v>
      </c>
      <c r="F169" t="s">
        <v>136</v>
      </c>
      <c r="G169" s="2" t="s">
        <v>134</v>
      </c>
      <c r="H169">
        <v>191457</v>
      </c>
      <c r="I169" s="31" t="s">
        <v>209</v>
      </c>
      <c r="J169" s="2" t="s">
        <v>210</v>
      </c>
      <c r="K169" t="s">
        <v>114</v>
      </c>
      <c r="L169" t="s">
        <v>137</v>
      </c>
      <c r="M169" s="2" t="s">
        <v>78</v>
      </c>
      <c r="N169" t="s">
        <v>144</v>
      </c>
      <c r="O169" t="s">
        <v>128</v>
      </c>
      <c r="P169" s="2" t="s">
        <v>20</v>
      </c>
      <c r="Q169" t="s">
        <v>64</v>
      </c>
      <c r="R169" t="s">
        <v>64</v>
      </c>
      <c r="S169" s="82" t="s">
        <v>211</v>
      </c>
      <c r="T169" t="s">
        <v>212</v>
      </c>
      <c r="U169" t="s">
        <v>235</v>
      </c>
      <c r="V169" s="2" t="s">
        <v>214</v>
      </c>
      <c r="W169" s="2" t="s">
        <v>65</v>
      </c>
      <c r="Z169" s="2" t="s">
        <v>138</v>
      </c>
      <c r="AA169" s="2" t="s">
        <v>139</v>
      </c>
      <c r="AB169" s="2" t="s">
        <v>66</v>
      </c>
      <c r="AC169" s="2" t="s">
        <v>67</v>
      </c>
    </row>
    <row r="170" spans="1:29" x14ac:dyDescent="0.25">
      <c r="A170" t="s">
        <v>113</v>
      </c>
      <c r="B170" t="s">
        <v>134</v>
      </c>
      <c r="C170" t="s">
        <v>135</v>
      </c>
      <c r="D170" t="s">
        <v>14</v>
      </c>
      <c r="E170" t="s">
        <v>136</v>
      </c>
      <c r="F170" t="s">
        <v>136</v>
      </c>
      <c r="G170" s="2" t="s">
        <v>134</v>
      </c>
      <c r="H170">
        <v>191457</v>
      </c>
      <c r="I170" s="31" t="s">
        <v>209</v>
      </c>
      <c r="J170" s="2" t="s">
        <v>210</v>
      </c>
      <c r="K170" t="s">
        <v>114</v>
      </c>
      <c r="L170" t="s">
        <v>137</v>
      </c>
      <c r="M170" s="2" t="s">
        <v>78</v>
      </c>
      <c r="N170" t="s">
        <v>144</v>
      </c>
      <c r="O170" t="s">
        <v>129</v>
      </c>
      <c r="P170" s="2" t="s">
        <v>20</v>
      </c>
      <c r="Q170" t="s">
        <v>64</v>
      </c>
      <c r="R170" t="s">
        <v>64</v>
      </c>
      <c r="S170" s="82" t="s">
        <v>211</v>
      </c>
      <c r="T170" t="s">
        <v>212</v>
      </c>
      <c r="U170" t="s">
        <v>236</v>
      </c>
      <c r="V170" s="2" t="s">
        <v>214</v>
      </c>
      <c r="W170" s="2" t="s">
        <v>65</v>
      </c>
      <c r="Z170" s="2" t="s">
        <v>138</v>
      </c>
      <c r="AA170" s="2" t="s">
        <v>139</v>
      </c>
      <c r="AB170" s="2" t="s">
        <v>66</v>
      </c>
      <c r="AC170" s="2" t="s">
        <v>67</v>
      </c>
    </row>
    <row r="171" spans="1:29" x14ac:dyDescent="0.25">
      <c r="A171" t="s">
        <v>113</v>
      </c>
      <c r="B171" t="s">
        <v>134</v>
      </c>
      <c r="C171" t="s">
        <v>135</v>
      </c>
      <c r="D171" t="s">
        <v>14</v>
      </c>
      <c r="E171" t="s">
        <v>136</v>
      </c>
      <c r="F171" t="s">
        <v>136</v>
      </c>
      <c r="G171" s="2" t="s">
        <v>134</v>
      </c>
      <c r="H171">
        <v>191457</v>
      </c>
      <c r="I171" s="31" t="s">
        <v>209</v>
      </c>
      <c r="J171" s="2" t="s">
        <v>210</v>
      </c>
      <c r="K171" t="s">
        <v>114</v>
      </c>
      <c r="L171" t="s">
        <v>137</v>
      </c>
      <c r="M171" s="2" t="s">
        <v>78</v>
      </c>
      <c r="N171" t="s">
        <v>144</v>
      </c>
      <c r="O171" t="s">
        <v>106</v>
      </c>
      <c r="P171" s="2" t="s">
        <v>112</v>
      </c>
      <c r="Q171" t="s">
        <v>64</v>
      </c>
      <c r="R171" t="s">
        <v>64</v>
      </c>
      <c r="S171" s="82" t="s">
        <v>211</v>
      </c>
      <c r="T171" t="s">
        <v>212</v>
      </c>
      <c r="U171" t="s">
        <v>237</v>
      </c>
      <c r="V171" s="2" t="s">
        <v>214</v>
      </c>
      <c r="W171" s="2" t="s">
        <v>65</v>
      </c>
      <c r="Z171" s="2" t="s">
        <v>138</v>
      </c>
      <c r="AA171" s="2" t="s">
        <v>139</v>
      </c>
      <c r="AB171" s="2" t="s">
        <v>66</v>
      </c>
      <c r="AC171" s="2" t="s">
        <v>67</v>
      </c>
    </row>
    <row r="172" spans="1:29" x14ac:dyDescent="0.25">
      <c r="A172" t="s">
        <v>113</v>
      </c>
      <c r="B172" t="s">
        <v>118</v>
      </c>
      <c r="C172" t="s">
        <v>119</v>
      </c>
      <c r="D172" t="s">
        <v>15</v>
      </c>
      <c r="E172" t="s">
        <v>122</v>
      </c>
      <c r="F172" t="s">
        <v>122</v>
      </c>
      <c r="G172" s="2" t="s">
        <v>119</v>
      </c>
      <c r="H172">
        <v>363615</v>
      </c>
      <c r="I172" s="31" t="s">
        <v>238</v>
      </c>
      <c r="J172" s="2" t="s">
        <v>239</v>
      </c>
      <c r="K172" t="s">
        <v>114</v>
      </c>
      <c r="L172" t="s">
        <v>123</v>
      </c>
      <c r="M172" s="2" t="s">
        <v>78</v>
      </c>
      <c r="N172" t="s">
        <v>144</v>
      </c>
      <c r="O172" t="s">
        <v>87</v>
      </c>
      <c r="P172" s="2" t="s">
        <v>20</v>
      </c>
      <c r="Q172" t="s">
        <v>64</v>
      </c>
      <c r="R172" t="s">
        <v>64</v>
      </c>
      <c r="S172" s="82" t="s">
        <v>240</v>
      </c>
      <c r="T172" t="s">
        <v>241</v>
      </c>
      <c r="U172" t="s">
        <v>242</v>
      </c>
      <c r="V172" s="2" t="s">
        <v>243</v>
      </c>
      <c r="W172" s="2" t="s">
        <v>65</v>
      </c>
      <c r="Z172" s="2" t="s">
        <v>120</v>
      </c>
      <c r="AA172" s="2" t="s">
        <v>121</v>
      </c>
      <c r="AB172" s="2" t="s">
        <v>66</v>
      </c>
      <c r="AC172" s="2" t="s">
        <v>67</v>
      </c>
    </row>
    <row r="173" spans="1:29" x14ac:dyDescent="0.25">
      <c r="A173" t="s">
        <v>113</v>
      </c>
      <c r="B173" t="s">
        <v>118</v>
      </c>
      <c r="C173" t="s">
        <v>119</v>
      </c>
      <c r="D173" t="s">
        <v>15</v>
      </c>
      <c r="E173" t="s">
        <v>122</v>
      </c>
      <c r="F173" t="s">
        <v>122</v>
      </c>
      <c r="G173" s="2" t="s">
        <v>119</v>
      </c>
      <c r="H173">
        <v>363615</v>
      </c>
      <c r="I173" s="31" t="s">
        <v>238</v>
      </c>
      <c r="J173" s="2" t="s">
        <v>239</v>
      </c>
      <c r="K173" t="s">
        <v>114</v>
      </c>
      <c r="L173" t="s">
        <v>123</v>
      </c>
      <c r="M173" s="2" t="s">
        <v>78</v>
      </c>
      <c r="N173" t="s">
        <v>144</v>
      </c>
      <c r="O173" t="s">
        <v>88</v>
      </c>
      <c r="P173" s="2" t="s">
        <v>20</v>
      </c>
      <c r="Q173" t="s">
        <v>64</v>
      </c>
      <c r="R173" t="s">
        <v>64</v>
      </c>
      <c r="S173" s="82" t="s">
        <v>240</v>
      </c>
      <c r="T173" t="s">
        <v>241</v>
      </c>
      <c r="U173" t="s">
        <v>242</v>
      </c>
      <c r="V173" s="2" t="s">
        <v>243</v>
      </c>
      <c r="W173" s="2" t="s">
        <v>65</v>
      </c>
      <c r="Z173" s="2" t="s">
        <v>120</v>
      </c>
      <c r="AA173" s="2" t="s">
        <v>121</v>
      </c>
      <c r="AB173" s="2" t="s">
        <v>66</v>
      </c>
      <c r="AC173" s="2" t="s">
        <v>67</v>
      </c>
    </row>
    <row r="174" spans="1:29" x14ac:dyDescent="0.25">
      <c r="A174" t="s">
        <v>113</v>
      </c>
      <c r="B174" t="s">
        <v>118</v>
      </c>
      <c r="C174" t="s">
        <v>119</v>
      </c>
      <c r="D174" t="s">
        <v>15</v>
      </c>
      <c r="E174" t="s">
        <v>122</v>
      </c>
      <c r="F174" t="s">
        <v>122</v>
      </c>
      <c r="G174" s="2" t="s">
        <v>119</v>
      </c>
      <c r="H174">
        <v>363615</v>
      </c>
      <c r="I174" s="31" t="s">
        <v>238</v>
      </c>
      <c r="J174" s="2" t="s">
        <v>239</v>
      </c>
      <c r="K174" t="s">
        <v>114</v>
      </c>
      <c r="L174" t="s">
        <v>123</v>
      </c>
      <c r="M174" s="2" t="s">
        <v>78</v>
      </c>
      <c r="N174" t="s">
        <v>144</v>
      </c>
      <c r="O174" t="s">
        <v>89</v>
      </c>
      <c r="P174" s="2" t="s">
        <v>20</v>
      </c>
      <c r="Q174" t="s">
        <v>64</v>
      </c>
      <c r="R174" t="s">
        <v>64</v>
      </c>
      <c r="S174" s="82" t="s">
        <v>240</v>
      </c>
      <c r="T174" t="s">
        <v>241</v>
      </c>
      <c r="U174" t="s">
        <v>242</v>
      </c>
      <c r="V174" s="2" t="s">
        <v>243</v>
      </c>
      <c r="W174" s="2" t="s">
        <v>65</v>
      </c>
      <c r="Z174" s="2" t="s">
        <v>120</v>
      </c>
      <c r="AA174" s="2" t="s">
        <v>121</v>
      </c>
      <c r="AB174" s="2" t="s">
        <v>66</v>
      </c>
      <c r="AC174" s="2" t="s">
        <v>67</v>
      </c>
    </row>
    <row r="175" spans="1:29" x14ac:dyDescent="0.25">
      <c r="A175" t="s">
        <v>113</v>
      </c>
      <c r="B175" t="s">
        <v>118</v>
      </c>
      <c r="C175" t="s">
        <v>119</v>
      </c>
      <c r="D175" t="s">
        <v>15</v>
      </c>
      <c r="E175" t="s">
        <v>122</v>
      </c>
      <c r="F175" t="s">
        <v>122</v>
      </c>
      <c r="G175" s="2" t="s">
        <v>119</v>
      </c>
      <c r="H175">
        <v>363615</v>
      </c>
      <c r="I175" s="31" t="s">
        <v>238</v>
      </c>
      <c r="J175" s="2" t="s">
        <v>239</v>
      </c>
      <c r="K175" t="s">
        <v>114</v>
      </c>
      <c r="L175" t="s">
        <v>123</v>
      </c>
      <c r="M175" s="2" t="s">
        <v>78</v>
      </c>
      <c r="N175" t="s">
        <v>144</v>
      </c>
      <c r="O175" t="s">
        <v>90</v>
      </c>
      <c r="P175" s="2" t="s">
        <v>20</v>
      </c>
      <c r="Q175" t="s">
        <v>64</v>
      </c>
      <c r="R175" t="s">
        <v>64</v>
      </c>
      <c r="S175" s="82" t="s">
        <v>240</v>
      </c>
      <c r="T175" t="s">
        <v>241</v>
      </c>
      <c r="U175" t="s">
        <v>242</v>
      </c>
      <c r="V175" s="2" t="s">
        <v>243</v>
      </c>
      <c r="W175" s="2" t="s">
        <v>65</v>
      </c>
      <c r="Z175" s="2" t="s">
        <v>120</v>
      </c>
      <c r="AA175" s="2" t="s">
        <v>121</v>
      </c>
      <c r="AB175" s="2" t="s">
        <v>66</v>
      </c>
      <c r="AC175" s="2" t="s">
        <v>67</v>
      </c>
    </row>
    <row r="176" spans="1:29" x14ac:dyDescent="0.25">
      <c r="A176" t="s">
        <v>113</v>
      </c>
      <c r="B176" t="s">
        <v>118</v>
      </c>
      <c r="C176" t="s">
        <v>119</v>
      </c>
      <c r="D176" t="s">
        <v>15</v>
      </c>
      <c r="E176" t="s">
        <v>122</v>
      </c>
      <c r="F176" t="s">
        <v>122</v>
      </c>
      <c r="G176" s="2" t="s">
        <v>119</v>
      </c>
      <c r="H176">
        <v>363615</v>
      </c>
      <c r="I176" s="31" t="s">
        <v>238</v>
      </c>
      <c r="J176" s="2" t="s">
        <v>239</v>
      </c>
      <c r="K176" t="s">
        <v>114</v>
      </c>
      <c r="L176" t="s">
        <v>123</v>
      </c>
      <c r="M176" s="2" t="s">
        <v>78</v>
      </c>
      <c r="N176" t="s">
        <v>144</v>
      </c>
      <c r="O176" t="s">
        <v>35</v>
      </c>
      <c r="P176" s="2" t="s">
        <v>20</v>
      </c>
      <c r="Q176" t="s">
        <v>64</v>
      </c>
      <c r="R176" t="s">
        <v>64</v>
      </c>
      <c r="S176" s="82" t="s">
        <v>240</v>
      </c>
      <c r="T176" t="s">
        <v>241</v>
      </c>
      <c r="U176" t="s">
        <v>242</v>
      </c>
      <c r="V176" s="2" t="s">
        <v>243</v>
      </c>
      <c r="W176" s="2" t="s">
        <v>65</v>
      </c>
      <c r="Z176" s="2" t="s">
        <v>120</v>
      </c>
      <c r="AA176" s="2" t="s">
        <v>121</v>
      </c>
      <c r="AB176" s="2" t="s">
        <v>66</v>
      </c>
      <c r="AC176" s="2" t="s">
        <v>67</v>
      </c>
    </row>
    <row r="177" spans="1:29" x14ac:dyDescent="0.25">
      <c r="A177" t="s">
        <v>113</v>
      </c>
      <c r="B177" t="s">
        <v>118</v>
      </c>
      <c r="C177" t="s">
        <v>119</v>
      </c>
      <c r="D177" t="s">
        <v>15</v>
      </c>
      <c r="E177" t="s">
        <v>122</v>
      </c>
      <c r="F177" t="s">
        <v>122</v>
      </c>
      <c r="G177" s="2" t="s">
        <v>119</v>
      </c>
      <c r="H177">
        <v>363615</v>
      </c>
      <c r="I177" s="31" t="s">
        <v>238</v>
      </c>
      <c r="J177" s="2" t="s">
        <v>239</v>
      </c>
      <c r="K177" t="s">
        <v>114</v>
      </c>
      <c r="L177" t="s">
        <v>123</v>
      </c>
      <c r="M177" s="2" t="s">
        <v>78</v>
      </c>
      <c r="N177" t="s">
        <v>144</v>
      </c>
      <c r="O177" t="s">
        <v>91</v>
      </c>
      <c r="P177" s="2" t="s">
        <v>112</v>
      </c>
      <c r="Q177" t="s">
        <v>64</v>
      </c>
      <c r="R177" t="s">
        <v>64</v>
      </c>
      <c r="S177" s="82" t="s">
        <v>240</v>
      </c>
      <c r="T177" t="s">
        <v>241</v>
      </c>
      <c r="U177" t="s">
        <v>242</v>
      </c>
      <c r="V177" s="2" t="s">
        <v>243</v>
      </c>
      <c r="W177" s="2" t="s">
        <v>65</v>
      </c>
      <c r="Z177" s="2" t="s">
        <v>120</v>
      </c>
      <c r="AA177" s="2" t="s">
        <v>121</v>
      </c>
      <c r="AB177" s="2" t="s">
        <v>66</v>
      </c>
      <c r="AC177" s="2" t="s">
        <v>67</v>
      </c>
    </row>
    <row r="178" spans="1:29" x14ac:dyDescent="0.25">
      <c r="A178" t="s">
        <v>113</v>
      </c>
      <c r="B178" t="s">
        <v>118</v>
      </c>
      <c r="C178" t="s">
        <v>119</v>
      </c>
      <c r="D178" t="s">
        <v>15</v>
      </c>
      <c r="E178" t="s">
        <v>122</v>
      </c>
      <c r="F178" t="s">
        <v>122</v>
      </c>
      <c r="G178" s="2" t="s">
        <v>119</v>
      </c>
      <c r="H178">
        <v>363615</v>
      </c>
      <c r="I178" s="31" t="s">
        <v>238</v>
      </c>
      <c r="J178" s="2" t="s">
        <v>239</v>
      </c>
      <c r="K178" t="s">
        <v>114</v>
      </c>
      <c r="L178" t="s">
        <v>123</v>
      </c>
      <c r="M178" s="2" t="s">
        <v>78</v>
      </c>
      <c r="N178" t="s">
        <v>144</v>
      </c>
      <c r="O178" t="s">
        <v>92</v>
      </c>
      <c r="P178" s="2" t="s">
        <v>20</v>
      </c>
      <c r="Q178" t="s">
        <v>64</v>
      </c>
      <c r="R178" t="s">
        <v>64</v>
      </c>
      <c r="S178" s="82" t="s">
        <v>240</v>
      </c>
      <c r="T178" t="s">
        <v>241</v>
      </c>
      <c r="U178" t="s">
        <v>242</v>
      </c>
      <c r="V178" s="2" t="s">
        <v>243</v>
      </c>
      <c r="W178" s="2" t="s">
        <v>65</v>
      </c>
      <c r="Z178" s="2" t="s">
        <v>120</v>
      </c>
      <c r="AA178" s="2" t="s">
        <v>121</v>
      </c>
      <c r="AB178" s="2" t="s">
        <v>66</v>
      </c>
      <c r="AC178" s="2" t="s">
        <v>67</v>
      </c>
    </row>
    <row r="179" spans="1:29" x14ac:dyDescent="0.25">
      <c r="A179" t="s">
        <v>113</v>
      </c>
      <c r="B179" t="s">
        <v>118</v>
      </c>
      <c r="C179" t="s">
        <v>119</v>
      </c>
      <c r="D179" t="s">
        <v>15</v>
      </c>
      <c r="E179" t="s">
        <v>122</v>
      </c>
      <c r="F179" t="s">
        <v>122</v>
      </c>
      <c r="G179" s="2" t="s">
        <v>119</v>
      </c>
      <c r="H179">
        <v>363615</v>
      </c>
      <c r="I179" s="31" t="s">
        <v>238</v>
      </c>
      <c r="J179" s="2" t="s">
        <v>239</v>
      </c>
      <c r="K179" t="s">
        <v>114</v>
      </c>
      <c r="L179" t="s">
        <v>123</v>
      </c>
      <c r="M179" s="2" t="s">
        <v>78</v>
      </c>
      <c r="N179" t="s">
        <v>144</v>
      </c>
      <c r="O179" t="s">
        <v>93</v>
      </c>
      <c r="P179" s="2" t="s">
        <v>20</v>
      </c>
      <c r="Q179" t="s">
        <v>64</v>
      </c>
      <c r="R179" t="s">
        <v>64</v>
      </c>
      <c r="S179" s="82" t="s">
        <v>240</v>
      </c>
      <c r="T179" t="s">
        <v>241</v>
      </c>
      <c r="U179" t="s">
        <v>242</v>
      </c>
      <c r="V179" s="2" t="s">
        <v>243</v>
      </c>
      <c r="W179" s="2" t="s">
        <v>65</v>
      </c>
      <c r="Z179" s="2" t="s">
        <v>120</v>
      </c>
      <c r="AA179" s="2" t="s">
        <v>121</v>
      </c>
      <c r="AB179" s="2" t="s">
        <v>66</v>
      </c>
      <c r="AC179" s="2" t="s">
        <v>67</v>
      </c>
    </row>
    <row r="180" spans="1:29" x14ac:dyDescent="0.25">
      <c r="A180" t="s">
        <v>113</v>
      </c>
      <c r="B180" t="s">
        <v>118</v>
      </c>
      <c r="C180" t="s">
        <v>119</v>
      </c>
      <c r="D180" t="s">
        <v>15</v>
      </c>
      <c r="E180" t="s">
        <v>122</v>
      </c>
      <c r="F180" t="s">
        <v>122</v>
      </c>
      <c r="G180" s="2" t="s">
        <v>119</v>
      </c>
      <c r="H180">
        <v>363615</v>
      </c>
      <c r="I180" s="31" t="s">
        <v>238</v>
      </c>
      <c r="J180" s="2" t="s">
        <v>239</v>
      </c>
      <c r="K180" t="s">
        <v>114</v>
      </c>
      <c r="L180" t="s">
        <v>123</v>
      </c>
      <c r="M180" s="2" t="s">
        <v>78</v>
      </c>
      <c r="N180" t="s">
        <v>144</v>
      </c>
      <c r="O180" t="s">
        <v>94</v>
      </c>
      <c r="P180" s="2" t="s">
        <v>112</v>
      </c>
      <c r="Q180" t="s">
        <v>64</v>
      </c>
      <c r="R180" t="s">
        <v>64</v>
      </c>
      <c r="S180" s="82" t="s">
        <v>240</v>
      </c>
      <c r="T180" t="s">
        <v>241</v>
      </c>
      <c r="U180" t="s">
        <v>242</v>
      </c>
      <c r="V180" s="2" t="s">
        <v>243</v>
      </c>
      <c r="W180" s="2" t="s">
        <v>65</v>
      </c>
      <c r="Z180" s="2" t="s">
        <v>120</v>
      </c>
      <c r="AA180" s="2" t="s">
        <v>121</v>
      </c>
      <c r="AB180" s="2" t="s">
        <v>66</v>
      </c>
      <c r="AC180" s="2" t="s">
        <v>67</v>
      </c>
    </row>
    <row r="181" spans="1:29" x14ac:dyDescent="0.25">
      <c r="A181" t="s">
        <v>113</v>
      </c>
      <c r="B181" t="s">
        <v>118</v>
      </c>
      <c r="C181" t="s">
        <v>119</v>
      </c>
      <c r="D181" t="s">
        <v>15</v>
      </c>
      <c r="E181" t="s">
        <v>122</v>
      </c>
      <c r="F181" t="s">
        <v>122</v>
      </c>
      <c r="G181" s="2" t="s">
        <v>119</v>
      </c>
      <c r="H181">
        <v>363615</v>
      </c>
      <c r="I181" s="31" t="s">
        <v>238</v>
      </c>
      <c r="J181" s="2" t="s">
        <v>239</v>
      </c>
      <c r="K181" t="s">
        <v>114</v>
      </c>
      <c r="L181" t="s">
        <v>123</v>
      </c>
      <c r="M181" s="2" t="s">
        <v>78</v>
      </c>
      <c r="N181" t="s">
        <v>144</v>
      </c>
      <c r="O181" t="s">
        <v>95</v>
      </c>
      <c r="P181" s="2" t="s">
        <v>112</v>
      </c>
      <c r="Q181" t="s">
        <v>64</v>
      </c>
      <c r="R181" t="s">
        <v>64</v>
      </c>
      <c r="S181" s="82" t="s">
        <v>240</v>
      </c>
      <c r="T181" t="s">
        <v>241</v>
      </c>
      <c r="U181" t="s">
        <v>242</v>
      </c>
      <c r="V181" s="2" t="s">
        <v>243</v>
      </c>
      <c r="W181" s="2" t="s">
        <v>65</v>
      </c>
      <c r="Z181" s="2" t="s">
        <v>120</v>
      </c>
      <c r="AA181" s="2" t="s">
        <v>121</v>
      </c>
      <c r="AB181" s="2" t="s">
        <v>66</v>
      </c>
      <c r="AC181" s="2" t="s">
        <v>67</v>
      </c>
    </row>
    <row r="182" spans="1:29" x14ac:dyDescent="0.25">
      <c r="A182" t="s">
        <v>113</v>
      </c>
      <c r="B182" t="s">
        <v>118</v>
      </c>
      <c r="C182" t="s">
        <v>119</v>
      </c>
      <c r="D182" t="s">
        <v>15</v>
      </c>
      <c r="E182" t="s">
        <v>122</v>
      </c>
      <c r="F182" t="s">
        <v>122</v>
      </c>
      <c r="G182" s="2" t="s">
        <v>119</v>
      </c>
      <c r="H182">
        <v>363615</v>
      </c>
      <c r="I182" s="31" t="s">
        <v>238</v>
      </c>
      <c r="J182" s="2" t="s">
        <v>239</v>
      </c>
      <c r="K182" t="s">
        <v>114</v>
      </c>
      <c r="L182" t="s">
        <v>123</v>
      </c>
      <c r="M182" s="2" t="s">
        <v>78</v>
      </c>
      <c r="N182" t="s">
        <v>144</v>
      </c>
      <c r="O182" t="s">
        <v>96</v>
      </c>
      <c r="P182" s="2" t="s">
        <v>112</v>
      </c>
      <c r="Q182" t="s">
        <v>64</v>
      </c>
      <c r="R182" t="s">
        <v>64</v>
      </c>
      <c r="S182" s="82" t="s">
        <v>240</v>
      </c>
      <c r="T182" t="s">
        <v>241</v>
      </c>
      <c r="U182" t="s">
        <v>242</v>
      </c>
      <c r="V182" s="2" t="s">
        <v>243</v>
      </c>
      <c r="W182" s="2" t="s">
        <v>65</v>
      </c>
      <c r="Z182" s="2" t="s">
        <v>120</v>
      </c>
      <c r="AA182" s="2" t="s">
        <v>121</v>
      </c>
      <c r="AB182" s="2" t="s">
        <v>66</v>
      </c>
      <c r="AC182" s="2" t="s">
        <v>67</v>
      </c>
    </row>
    <row r="183" spans="1:29" x14ac:dyDescent="0.25">
      <c r="A183" t="s">
        <v>113</v>
      </c>
      <c r="B183" t="s">
        <v>118</v>
      </c>
      <c r="C183" t="s">
        <v>119</v>
      </c>
      <c r="D183" t="s">
        <v>15</v>
      </c>
      <c r="E183" t="s">
        <v>122</v>
      </c>
      <c r="F183" t="s">
        <v>122</v>
      </c>
      <c r="G183" s="2" t="s">
        <v>119</v>
      </c>
      <c r="H183">
        <v>363615</v>
      </c>
      <c r="I183" s="31" t="s">
        <v>238</v>
      </c>
      <c r="J183" s="2" t="s">
        <v>239</v>
      </c>
      <c r="K183" t="s">
        <v>114</v>
      </c>
      <c r="L183" t="s">
        <v>123</v>
      </c>
      <c r="M183" s="2" t="s">
        <v>78</v>
      </c>
      <c r="N183" t="s">
        <v>144</v>
      </c>
      <c r="O183" t="s">
        <v>97</v>
      </c>
      <c r="P183" s="2" t="s">
        <v>112</v>
      </c>
      <c r="Q183" t="s">
        <v>64</v>
      </c>
      <c r="R183" t="s">
        <v>64</v>
      </c>
      <c r="S183" s="82" t="s">
        <v>240</v>
      </c>
      <c r="T183" t="s">
        <v>241</v>
      </c>
      <c r="U183" t="s">
        <v>242</v>
      </c>
      <c r="V183" s="2" t="s">
        <v>243</v>
      </c>
      <c r="W183" s="2" t="s">
        <v>65</v>
      </c>
      <c r="Z183" s="2" t="s">
        <v>120</v>
      </c>
      <c r="AA183" s="2" t="s">
        <v>121</v>
      </c>
      <c r="AB183" s="2" t="s">
        <v>66</v>
      </c>
      <c r="AC183" s="2" t="s">
        <v>67</v>
      </c>
    </row>
    <row r="184" spans="1:29" x14ac:dyDescent="0.25">
      <c r="A184" t="s">
        <v>113</v>
      </c>
      <c r="B184" t="s">
        <v>118</v>
      </c>
      <c r="C184" t="s">
        <v>119</v>
      </c>
      <c r="D184" t="s">
        <v>15</v>
      </c>
      <c r="E184" t="s">
        <v>122</v>
      </c>
      <c r="F184" t="s">
        <v>122</v>
      </c>
      <c r="G184" s="2" t="s">
        <v>119</v>
      </c>
      <c r="H184">
        <v>363615</v>
      </c>
      <c r="I184" s="31" t="s">
        <v>238</v>
      </c>
      <c r="J184" s="2" t="s">
        <v>239</v>
      </c>
      <c r="K184" t="s">
        <v>114</v>
      </c>
      <c r="L184" t="s">
        <v>123</v>
      </c>
      <c r="M184" s="2" t="s">
        <v>78</v>
      </c>
      <c r="N184" t="s">
        <v>144</v>
      </c>
      <c r="O184" t="s">
        <v>98</v>
      </c>
      <c r="P184" s="2" t="s">
        <v>112</v>
      </c>
      <c r="Q184" t="s">
        <v>64</v>
      </c>
      <c r="R184" t="s">
        <v>64</v>
      </c>
      <c r="S184" s="82" t="s">
        <v>240</v>
      </c>
      <c r="T184" t="s">
        <v>241</v>
      </c>
      <c r="U184" t="s">
        <v>242</v>
      </c>
      <c r="V184" s="2" t="s">
        <v>243</v>
      </c>
      <c r="W184" s="2" t="s">
        <v>65</v>
      </c>
      <c r="Z184" s="2" t="s">
        <v>120</v>
      </c>
      <c r="AA184" s="2" t="s">
        <v>121</v>
      </c>
      <c r="AB184" s="2" t="s">
        <v>66</v>
      </c>
      <c r="AC184" s="2" t="s">
        <v>67</v>
      </c>
    </row>
    <row r="185" spans="1:29" x14ac:dyDescent="0.25">
      <c r="A185" t="s">
        <v>113</v>
      </c>
      <c r="B185" t="s">
        <v>118</v>
      </c>
      <c r="C185" t="s">
        <v>119</v>
      </c>
      <c r="D185" t="s">
        <v>15</v>
      </c>
      <c r="E185" t="s">
        <v>122</v>
      </c>
      <c r="F185" t="s">
        <v>122</v>
      </c>
      <c r="G185" s="2" t="s">
        <v>119</v>
      </c>
      <c r="H185">
        <v>363615</v>
      </c>
      <c r="I185" s="31" t="s">
        <v>238</v>
      </c>
      <c r="J185" s="2" t="s">
        <v>239</v>
      </c>
      <c r="K185" t="s">
        <v>114</v>
      </c>
      <c r="L185" t="s">
        <v>123</v>
      </c>
      <c r="M185" s="2" t="s">
        <v>78</v>
      </c>
      <c r="N185" t="s">
        <v>144</v>
      </c>
      <c r="O185" t="s">
        <v>99</v>
      </c>
      <c r="P185" s="2" t="s">
        <v>20</v>
      </c>
      <c r="Q185" t="s">
        <v>64</v>
      </c>
      <c r="R185" t="s">
        <v>64</v>
      </c>
      <c r="S185" s="82" t="s">
        <v>240</v>
      </c>
      <c r="T185" t="s">
        <v>241</v>
      </c>
      <c r="U185" t="s">
        <v>242</v>
      </c>
      <c r="V185" s="2" t="s">
        <v>243</v>
      </c>
      <c r="W185" s="2" t="s">
        <v>65</v>
      </c>
      <c r="Z185" s="2" t="s">
        <v>120</v>
      </c>
      <c r="AA185" s="2" t="s">
        <v>121</v>
      </c>
      <c r="AB185" s="2" t="s">
        <v>66</v>
      </c>
      <c r="AC185" s="2" t="s">
        <v>67</v>
      </c>
    </row>
    <row r="186" spans="1:29" x14ac:dyDescent="0.25">
      <c r="A186" t="s">
        <v>113</v>
      </c>
      <c r="B186" t="s">
        <v>118</v>
      </c>
      <c r="C186" t="s">
        <v>119</v>
      </c>
      <c r="D186" t="s">
        <v>15</v>
      </c>
      <c r="E186" t="s">
        <v>122</v>
      </c>
      <c r="F186" t="s">
        <v>122</v>
      </c>
      <c r="G186" s="2" t="s">
        <v>119</v>
      </c>
      <c r="H186">
        <v>363615</v>
      </c>
      <c r="I186" s="31" t="s">
        <v>238</v>
      </c>
      <c r="J186" s="2" t="s">
        <v>239</v>
      </c>
      <c r="K186" t="s">
        <v>114</v>
      </c>
      <c r="L186" t="s">
        <v>123</v>
      </c>
      <c r="M186" s="2" t="s">
        <v>78</v>
      </c>
      <c r="N186" t="s">
        <v>144</v>
      </c>
      <c r="O186" t="s">
        <v>100</v>
      </c>
      <c r="P186" s="2" t="s">
        <v>20</v>
      </c>
      <c r="Q186" t="s">
        <v>64</v>
      </c>
      <c r="R186" t="s">
        <v>64</v>
      </c>
      <c r="S186" s="82" t="s">
        <v>240</v>
      </c>
      <c r="T186" t="s">
        <v>241</v>
      </c>
      <c r="U186" t="s">
        <v>242</v>
      </c>
      <c r="V186" s="2" t="s">
        <v>243</v>
      </c>
      <c r="W186" s="2" t="s">
        <v>65</v>
      </c>
      <c r="Z186" s="2" t="s">
        <v>120</v>
      </c>
      <c r="AA186" s="2" t="s">
        <v>121</v>
      </c>
      <c r="AB186" s="2" t="s">
        <v>66</v>
      </c>
      <c r="AC186" s="2" t="s">
        <v>67</v>
      </c>
    </row>
    <row r="187" spans="1:29" x14ac:dyDescent="0.25">
      <c r="A187" t="s">
        <v>113</v>
      </c>
      <c r="B187" t="s">
        <v>118</v>
      </c>
      <c r="C187" t="s">
        <v>119</v>
      </c>
      <c r="D187" t="s">
        <v>15</v>
      </c>
      <c r="E187" t="s">
        <v>122</v>
      </c>
      <c r="F187" t="s">
        <v>122</v>
      </c>
      <c r="G187" s="2" t="s">
        <v>119</v>
      </c>
      <c r="H187">
        <v>363615</v>
      </c>
      <c r="I187" s="31" t="s">
        <v>238</v>
      </c>
      <c r="J187" s="2" t="s">
        <v>239</v>
      </c>
      <c r="K187" t="s">
        <v>114</v>
      </c>
      <c r="L187" t="s">
        <v>123</v>
      </c>
      <c r="M187" s="2" t="s">
        <v>78</v>
      </c>
      <c r="N187" t="s">
        <v>144</v>
      </c>
      <c r="O187" t="s">
        <v>101</v>
      </c>
      <c r="P187" s="2" t="s">
        <v>20</v>
      </c>
      <c r="Q187" t="s">
        <v>64</v>
      </c>
      <c r="R187" t="s">
        <v>64</v>
      </c>
      <c r="S187" s="82" t="s">
        <v>240</v>
      </c>
      <c r="T187" t="s">
        <v>241</v>
      </c>
      <c r="U187" t="s">
        <v>242</v>
      </c>
      <c r="V187" s="2" t="s">
        <v>243</v>
      </c>
      <c r="W187" s="2" t="s">
        <v>65</v>
      </c>
      <c r="Z187" s="2" t="s">
        <v>120</v>
      </c>
      <c r="AA187" s="2" t="s">
        <v>121</v>
      </c>
      <c r="AB187" s="2" t="s">
        <v>66</v>
      </c>
      <c r="AC187" s="2" t="s">
        <v>67</v>
      </c>
    </row>
    <row r="188" spans="1:29" x14ac:dyDescent="0.25">
      <c r="A188" t="s">
        <v>113</v>
      </c>
      <c r="B188" t="s">
        <v>118</v>
      </c>
      <c r="C188" t="s">
        <v>119</v>
      </c>
      <c r="D188" t="s">
        <v>15</v>
      </c>
      <c r="E188" t="s">
        <v>122</v>
      </c>
      <c r="F188" t="s">
        <v>122</v>
      </c>
      <c r="G188" s="2" t="s">
        <v>119</v>
      </c>
      <c r="H188">
        <v>363615</v>
      </c>
      <c r="I188" s="31" t="s">
        <v>238</v>
      </c>
      <c r="J188" s="2" t="s">
        <v>239</v>
      </c>
      <c r="K188" t="s">
        <v>114</v>
      </c>
      <c r="L188" t="s">
        <v>123</v>
      </c>
      <c r="M188" s="2" t="s">
        <v>78</v>
      </c>
      <c r="N188" t="s">
        <v>144</v>
      </c>
      <c r="O188" t="s">
        <v>102</v>
      </c>
      <c r="P188" s="2" t="s">
        <v>20</v>
      </c>
      <c r="Q188" t="s">
        <v>64</v>
      </c>
      <c r="R188" t="s">
        <v>64</v>
      </c>
      <c r="S188" s="82" t="s">
        <v>240</v>
      </c>
      <c r="T188" t="s">
        <v>241</v>
      </c>
      <c r="U188" t="s">
        <v>242</v>
      </c>
      <c r="V188" s="2" t="s">
        <v>243</v>
      </c>
      <c r="W188" s="2" t="s">
        <v>65</v>
      </c>
      <c r="Z188" s="2" t="s">
        <v>120</v>
      </c>
      <c r="AA188" s="2" t="s">
        <v>121</v>
      </c>
      <c r="AB188" s="2" t="s">
        <v>66</v>
      </c>
      <c r="AC188" s="2" t="s">
        <v>67</v>
      </c>
    </row>
    <row r="189" spans="1:29" x14ac:dyDescent="0.25">
      <c r="A189" t="s">
        <v>113</v>
      </c>
      <c r="B189" t="s">
        <v>118</v>
      </c>
      <c r="C189" t="s">
        <v>119</v>
      </c>
      <c r="D189" t="s">
        <v>15</v>
      </c>
      <c r="E189" t="s">
        <v>122</v>
      </c>
      <c r="F189" t="s">
        <v>122</v>
      </c>
      <c r="G189" s="2" t="s">
        <v>119</v>
      </c>
      <c r="H189">
        <v>363615</v>
      </c>
      <c r="I189" s="31" t="s">
        <v>238</v>
      </c>
      <c r="J189" s="2" t="s">
        <v>239</v>
      </c>
      <c r="K189" t="s">
        <v>114</v>
      </c>
      <c r="L189" t="s">
        <v>123</v>
      </c>
      <c r="M189" s="2" t="s">
        <v>78</v>
      </c>
      <c r="N189" t="s">
        <v>144</v>
      </c>
      <c r="O189" t="s">
        <v>103</v>
      </c>
      <c r="P189" s="2" t="s">
        <v>20</v>
      </c>
      <c r="Q189" t="s">
        <v>64</v>
      </c>
      <c r="R189" t="s">
        <v>64</v>
      </c>
      <c r="S189" s="82" t="s">
        <v>240</v>
      </c>
      <c r="T189" t="s">
        <v>241</v>
      </c>
      <c r="U189" t="s">
        <v>242</v>
      </c>
      <c r="V189" s="2" t="s">
        <v>243</v>
      </c>
      <c r="W189" s="2" t="s">
        <v>65</v>
      </c>
      <c r="Z189" s="2" t="s">
        <v>120</v>
      </c>
      <c r="AA189" s="2" t="s">
        <v>121</v>
      </c>
      <c r="AB189" s="2" t="s">
        <v>66</v>
      </c>
      <c r="AC189" s="2" t="s">
        <v>67</v>
      </c>
    </row>
    <row r="190" spans="1:29" x14ac:dyDescent="0.25">
      <c r="A190" t="s">
        <v>113</v>
      </c>
      <c r="B190" t="s">
        <v>118</v>
      </c>
      <c r="C190" t="s">
        <v>119</v>
      </c>
      <c r="D190" t="s">
        <v>15</v>
      </c>
      <c r="E190" t="s">
        <v>122</v>
      </c>
      <c r="F190" t="s">
        <v>122</v>
      </c>
      <c r="G190" s="2" t="s">
        <v>119</v>
      </c>
      <c r="H190">
        <v>363615</v>
      </c>
      <c r="I190" s="31" t="s">
        <v>238</v>
      </c>
      <c r="J190" s="2" t="s">
        <v>239</v>
      </c>
      <c r="K190" t="s">
        <v>114</v>
      </c>
      <c r="L190" t="s">
        <v>123</v>
      </c>
      <c r="M190" s="2" t="s">
        <v>78</v>
      </c>
      <c r="N190" t="s">
        <v>144</v>
      </c>
      <c r="O190" t="s">
        <v>104</v>
      </c>
      <c r="P190" s="2" t="s">
        <v>20</v>
      </c>
      <c r="Q190" t="s">
        <v>64</v>
      </c>
      <c r="R190" t="s">
        <v>64</v>
      </c>
      <c r="S190" s="82" t="s">
        <v>240</v>
      </c>
      <c r="T190" t="s">
        <v>241</v>
      </c>
      <c r="U190" t="s">
        <v>242</v>
      </c>
      <c r="V190" s="2" t="s">
        <v>243</v>
      </c>
      <c r="W190" s="2" t="s">
        <v>65</v>
      </c>
      <c r="Z190" s="2" t="s">
        <v>120</v>
      </c>
      <c r="AA190" s="2" t="s">
        <v>121</v>
      </c>
      <c r="AB190" s="2" t="s">
        <v>66</v>
      </c>
      <c r="AC190" s="2" t="s">
        <v>67</v>
      </c>
    </row>
    <row r="191" spans="1:29" x14ac:dyDescent="0.25">
      <c r="A191" t="s">
        <v>113</v>
      </c>
      <c r="B191" t="s">
        <v>118</v>
      </c>
      <c r="C191" t="s">
        <v>119</v>
      </c>
      <c r="D191" t="s">
        <v>15</v>
      </c>
      <c r="E191" t="s">
        <v>122</v>
      </c>
      <c r="F191" t="s">
        <v>122</v>
      </c>
      <c r="G191" s="2" t="s">
        <v>119</v>
      </c>
      <c r="H191">
        <v>363615</v>
      </c>
      <c r="I191" s="31" t="s">
        <v>238</v>
      </c>
      <c r="J191" s="2" t="s">
        <v>239</v>
      </c>
      <c r="K191" t="s">
        <v>114</v>
      </c>
      <c r="L191" t="s">
        <v>123</v>
      </c>
      <c r="M191" s="2" t="s">
        <v>78</v>
      </c>
      <c r="N191" t="s">
        <v>144</v>
      </c>
      <c r="O191" t="s">
        <v>125</v>
      </c>
      <c r="P191" s="2" t="s">
        <v>112</v>
      </c>
      <c r="Q191" t="s">
        <v>64</v>
      </c>
      <c r="R191" t="s">
        <v>64</v>
      </c>
      <c r="S191" s="82" t="s">
        <v>240</v>
      </c>
      <c r="T191" t="s">
        <v>241</v>
      </c>
      <c r="U191" t="s">
        <v>242</v>
      </c>
      <c r="V191" s="2" t="s">
        <v>243</v>
      </c>
      <c r="W191" s="2" t="s">
        <v>65</v>
      </c>
      <c r="Z191" s="2" t="s">
        <v>120</v>
      </c>
      <c r="AA191" s="2" t="s">
        <v>121</v>
      </c>
      <c r="AB191" s="2" t="s">
        <v>66</v>
      </c>
      <c r="AC191" s="2" t="s">
        <v>67</v>
      </c>
    </row>
    <row r="192" spans="1:29" x14ac:dyDescent="0.25">
      <c r="A192" t="s">
        <v>113</v>
      </c>
      <c r="B192" t="s">
        <v>118</v>
      </c>
      <c r="C192" t="s">
        <v>119</v>
      </c>
      <c r="D192" t="s">
        <v>15</v>
      </c>
      <c r="E192" t="s">
        <v>122</v>
      </c>
      <c r="F192" t="s">
        <v>122</v>
      </c>
      <c r="G192" s="2" t="s">
        <v>119</v>
      </c>
      <c r="H192">
        <v>363615</v>
      </c>
      <c r="I192" s="31" t="s">
        <v>238</v>
      </c>
      <c r="J192" s="2" t="s">
        <v>239</v>
      </c>
      <c r="K192" t="s">
        <v>114</v>
      </c>
      <c r="L192" t="s">
        <v>123</v>
      </c>
      <c r="M192" s="2" t="s">
        <v>78</v>
      </c>
      <c r="N192" t="s">
        <v>144</v>
      </c>
      <c r="O192" t="s">
        <v>105</v>
      </c>
      <c r="P192" s="2" t="s">
        <v>15</v>
      </c>
      <c r="Q192" t="s">
        <v>64</v>
      </c>
      <c r="R192" t="s">
        <v>64</v>
      </c>
      <c r="S192" s="82" t="s">
        <v>240</v>
      </c>
      <c r="T192" t="s">
        <v>241</v>
      </c>
      <c r="U192" t="s">
        <v>242</v>
      </c>
      <c r="V192" s="2" t="s">
        <v>243</v>
      </c>
      <c r="W192" s="2" t="s">
        <v>65</v>
      </c>
      <c r="Z192" s="2" t="s">
        <v>120</v>
      </c>
      <c r="AA192" s="2" t="s">
        <v>121</v>
      </c>
      <c r="AB192" s="2" t="s">
        <v>66</v>
      </c>
      <c r="AC192" s="2" t="s">
        <v>67</v>
      </c>
    </row>
    <row r="193" spans="1:29" x14ac:dyDescent="0.25">
      <c r="A193" t="s">
        <v>113</v>
      </c>
      <c r="B193" t="s">
        <v>118</v>
      </c>
      <c r="C193" t="s">
        <v>119</v>
      </c>
      <c r="D193" t="s">
        <v>15</v>
      </c>
      <c r="E193" t="s">
        <v>122</v>
      </c>
      <c r="F193" t="s">
        <v>122</v>
      </c>
      <c r="G193" s="2" t="s">
        <v>119</v>
      </c>
      <c r="H193">
        <v>363615</v>
      </c>
      <c r="I193" s="31" t="s">
        <v>238</v>
      </c>
      <c r="J193" s="2" t="s">
        <v>239</v>
      </c>
      <c r="K193" t="s">
        <v>114</v>
      </c>
      <c r="L193" t="s">
        <v>123</v>
      </c>
      <c r="M193" s="2" t="s">
        <v>78</v>
      </c>
      <c r="N193" t="s">
        <v>144</v>
      </c>
      <c r="O193" t="s">
        <v>126</v>
      </c>
      <c r="P193" s="2" t="s">
        <v>20</v>
      </c>
      <c r="Q193" t="s">
        <v>64</v>
      </c>
      <c r="R193" t="s">
        <v>64</v>
      </c>
      <c r="S193" s="82" t="s">
        <v>240</v>
      </c>
      <c r="T193" t="s">
        <v>241</v>
      </c>
      <c r="U193" t="s">
        <v>242</v>
      </c>
      <c r="V193" s="2" t="s">
        <v>243</v>
      </c>
      <c r="W193" s="2" t="s">
        <v>65</v>
      </c>
      <c r="Z193" s="2" t="s">
        <v>120</v>
      </c>
      <c r="AA193" s="2" t="s">
        <v>121</v>
      </c>
      <c r="AB193" s="2" t="s">
        <v>66</v>
      </c>
      <c r="AC193" s="2" t="s">
        <v>67</v>
      </c>
    </row>
    <row r="194" spans="1:29" x14ac:dyDescent="0.25">
      <c r="A194" t="s">
        <v>113</v>
      </c>
      <c r="B194" t="s">
        <v>118</v>
      </c>
      <c r="C194" t="s">
        <v>119</v>
      </c>
      <c r="D194" t="s">
        <v>15</v>
      </c>
      <c r="E194" t="s">
        <v>122</v>
      </c>
      <c r="F194" t="s">
        <v>122</v>
      </c>
      <c r="G194" s="2" t="s">
        <v>119</v>
      </c>
      <c r="H194">
        <v>363615</v>
      </c>
      <c r="I194" s="31" t="s">
        <v>238</v>
      </c>
      <c r="J194" s="2" t="s">
        <v>239</v>
      </c>
      <c r="K194" t="s">
        <v>114</v>
      </c>
      <c r="L194" t="s">
        <v>123</v>
      </c>
      <c r="M194" s="2" t="s">
        <v>78</v>
      </c>
      <c r="N194" t="s">
        <v>144</v>
      </c>
      <c r="O194" t="s">
        <v>127</v>
      </c>
      <c r="P194" s="2" t="s">
        <v>20</v>
      </c>
      <c r="Q194" t="s">
        <v>64</v>
      </c>
      <c r="R194" t="s">
        <v>64</v>
      </c>
      <c r="S194" s="82" t="s">
        <v>240</v>
      </c>
      <c r="T194" t="s">
        <v>241</v>
      </c>
      <c r="U194" t="s">
        <v>242</v>
      </c>
      <c r="V194" s="2" t="s">
        <v>243</v>
      </c>
      <c r="W194" s="2" t="s">
        <v>65</v>
      </c>
      <c r="Z194" s="2" t="s">
        <v>120</v>
      </c>
      <c r="AA194" s="2" t="s">
        <v>121</v>
      </c>
      <c r="AB194" s="2" t="s">
        <v>66</v>
      </c>
      <c r="AC194" s="2" t="s">
        <v>67</v>
      </c>
    </row>
    <row r="195" spans="1:29" x14ac:dyDescent="0.25">
      <c r="A195" t="s">
        <v>113</v>
      </c>
      <c r="B195" t="s">
        <v>118</v>
      </c>
      <c r="C195" t="s">
        <v>119</v>
      </c>
      <c r="D195" t="s">
        <v>15</v>
      </c>
      <c r="E195" t="s">
        <v>122</v>
      </c>
      <c r="F195" t="s">
        <v>122</v>
      </c>
      <c r="G195" s="2" t="s">
        <v>119</v>
      </c>
      <c r="H195">
        <v>363615</v>
      </c>
      <c r="I195" s="31" t="s">
        <v>238</v>
      </c>
      <c r="J195" s="2" t="s">
        <v>239</v>
      </c>
      <c r="K195" t="s">
        <v>114</v>
      </c>
      <c r="L195" t="s">
        <v>123</v>
      </c>
      <c r="M195" s="2" t="s">
        <v>78</v>
      </c>
      <c r="N195" t="s">
        <v>144</v>
      </c>
      <c r="O195" t="s">
        <v>106</v>
      </c>
      <c r="P195" s="2" t="s">
        <v>20</v>
      </c>
      <c r="Q195" t="s">
        <v>64</v>
      </c>
      <c r="R195" t="s">
        <v>64</v>
      </c>
      <c r="S195" s="82" t="s">
        <v>240</v>
      </c>
      <c r="T195" t="s">
        <v>241</v>
      </c>
      <c r="U195" t="s">
        <v>242</v>
      </c>
      <c r="V195" s="2" t="s">
        <v>243</v>
      </c>
      <c r="W195" s="2" t="s">
        <v>65</v>
      </c>
      <c r="Z195" s="2" t="s">
        <v>120</v>
      </c>
      <c r="AA195" s="2" t="s">
        <v>121</v>
      </c>
      <c r="AB195" s="2" t="s">
        <v>66</v>
      </c>
      <c r="AC195" s="2" t="s">
        <v>67</v>
      </c>
    </row>
    <row r="196" spans="1:29" x14ac:dyDescent="0.25">
      <c r="A196" t="s">
        <v>113</v>
      </c>
      <c r="B196" t="s">
        <v>118</v>
      </c>
      <c r="C196" t="s">
        <v>119</v>
      </c>
      <c r="D196" t="s">
        <v>15</v>
      </c>
      <c r="E196" t="s">
        <v>122</v>
      </c>
      <c r="F196" t="s">
        <v>122</v>
      </c>
      <c r="G196" s="2" t="s">
        <v>119</v>
      </c>
      <c r="H196">
        <v>363615</v>
      </c>
      <c r="I196" s="31" t="s">
        <v>238</v>
      </c>
      <c r="J196" s="2" t="s">
        <v>239</v>
      </c>
      <c r="K196" t="s">
        <v>114</v>
      </c>
      <c r="L196" t="s">
        <v>123</v>
      </c>
      <c r="M196" s="2" t="s">
        <v>78</v>
      </c>
      <c r="N196" t="s">
        <v>144</v>
      </c>
      <c r="O196" t="s">
        <v>107</v>
      </c>
      <c r="P196" s="2" t="s">
        <v>244</v>
      </c>
      <c r="Q196" t="s">
        <v>64</v>
      </c>
      <c r="R196" t="s">
        <v>64</v>
      </c>
      <c r="S196" s="82" t="s">
        <v>240</v>
      </c>
      <c r="T196" t="s">
        <v>241</v>
      </c>
      <c r="U196" t="s">
        <v>242</v>
      </c>
      <c r="V196" s="2" t="s">
        <v>243</v>
      </c>
      <c r="W196" s="2" t="s">
        <v>65</v>
      </c>
      <c r="Z196" s="2" t="s">
        <v>120</v>
      </c>
      <c r="AA196" s="2" t="s">
        <v>121</v>
      </c>
      <c r="AB196" s="2" t="s">
        <v>66</v>
      </c>
      <c r="AC196" s="2" t="s">
        <v>67</v>
      </c>
    </row>
    <row r="197" spans="1:29" x14ac:dyDescent="0.25">
      <c r="A197" t="s">
        <v>113</v>
      </c>
      <c r="B197" t="s">
        <v>245</v>
      </c>
      <c r="C197" t="s">
        <v>246</v>
      </c>
      <c r="D197" t="s">
        <v>43</v>
      </c>
      <c r="E197" t="s">
        <v>247</v>
      </c>
      <c r="F197" t="s">
        <v>248</v>
      </c>
      <c r="G197" s="2" t="s">
        <v>246</v>
      </c>
      <c r="H197">
        <v>202264</v>
      </c>
      <c r="I197" s="31" t="s">
        <v>249</v>
      </c>
      <c r="J197" s="2" t="s">
        <v>250</v>
      </c>
      <c r="K197" t="s">
        <v>114</v>
      </c>
      <c r="L197" t="s">
        <v>251</v>
      </c>
      <c r="M197" s="2" t="s">
        <v>78</v>
      </c>
      <c r="N197" t="s">
        <v>144</v>
      </c>
      <c r="O197" t="s">
        <v>87</v>
      </c>
      <c r="P197" s="2" t="s">
        <v>20</v>
      </c>
      <c r="Q197" t="s">
        <v>64</v>
      </c>
      <c r="R197" t="s">
        <v>64</v>
      </c>
      <c r="S197" s="82" t="s">
        <v>252</v>
      </c>
      <c r="T197" t="s">
        <v>253</v>
      </c>
      <c r="U197" t="s">
        <v>254</v>
      </c>
      <c r="V197" s="2" t="s">
        <v>255</v>
      </c>
      <c r="W197" s="2" t="s">
        <v>65</v>
      </c>
      <c r="Z197" s="2" t="s">
        <v>256</v>
      </c>
      <c r="AA197" s="2" t="s">
        <v>257</v>
      </c>
      <c r="AB197" s="2" t="s">
        <v>66</v>
      </c>
      <c r="AC197" s="2" t="s">
        <v>67</v>
      </c>
    </row>
    <row r="198" spans="1:29" x14ac:dyDescent="0.25">
      <c r="A198" t="s">
        <v>113</v>
      </c>
      <c r="B198" t="s">
        <v>245</v>
      </c>
      <c r="C198" t="s">
        <v>246</v>
      </c>
      <c r="D198" t="s">
        <v>43</v>
      </c>
      <c r="E198" t="s">
        <v>247</v>
      </c>
      <c r="F198" t="s">
        <v>248</v>
      </c>
      <c r="G198" s="2" t="s">
        <v>246</v>
      </c>
      <c r="H198">
        <v>202264</v>
      </c>
      <c r="I198" s="31" t="s">
        <v>249</v>
      </c>
      <c r="J198" s="2" t="s">
        <v>250</v>
      </c>
      <c r="K198" t="s">
        <v>114</v>
      </c>
      <c r="L198" t="s">
        <v>251</v>
      </c>
      <c r="M198" s="2" t="s">
        <v>78</v>
      </c>
      <c r="N198" t="s">
        <v>144</v>
      </c>
      <c r="O198" t="s">
        <v>88</v>
      </c>
      <c r="P198" s="2" t="s">
        <v>20</v>
      </c>
      <c r="Q198" t="s">
        <v>64</v>
      </c>
      <c r="R198" t="s">
        <v>64</v>
      </c>
      <c r="S198" s="82" t="s">
        <v>252</v>
      </c>
      <c r="T198" t="s">
        <v>253</v>
      </c>
      <c r="U198" t="s">
        <v>254</v>
      </c>
      <c r="V198" s="2" t="s">
        <v>255</v>
      </c>
      <c r="W198" s="2" t="s">
        <v>65</v>
      </c>
      <c r="Z198" s="2" t="s">
        <v>256</v>
      </c>
      <c r="AA198" s="2" t="s">
        <v>257</v>
      </c>
      <c r="AB198" s="2" t="s">
        <v>66</v>
      </c>
      <c r="AC198" s="2" t="s">
        <v>67</v>
      </c>
    </row>
    <row r="199" spans="1:29" x14ac:dyDescent="0.25">
      <c r="A199" t="s">
        <v>113</v>
      </c>
      <c r="B199" t="s">
        <v>245</v>
      </c>
      <c r="C199" t="s">
        <v>246</v>
      </c>
      <c r="D199" t="s">
        <v>43</v>
      </c>
      <c r="E199" t="s">
        <v>247</v>
      </c>
      <c r="F199" t="s">
        <v>248</v>
      </c>
      <c r="G199" s="2" t="s">
        <v>246</v>
      </c>
      <c r="H199">
        <v>202264</v>
      </c>
      <c r="I199" s="31" t="s">
        <v>249</v>
      </c>
      <c r="J199" s="2" t="s">
        <v>250</v>
      </c>
      <c r="K199" t="s">
        <v>114</v>
      </c>
      <c r="L199" t="s">
        <v>251</v>
      </c>
      <c r="M199" s="2" t="s">
        <v>78</v>
      </c>
      <c r="N199" t="s">
        <v>144</v>
      </c>
      <c r="O199" t="s">
        <v>89</v>
      </c>
      <c r="P199" s="2" t="s">
        <v>20</v>
      </c>
      <c r="Q199" t="s">
        <v>64</v>
      </c>
      <c r="R199" t="s">
        <v>64</v>
      </c>
      <c r="S199" s="82" t="s">
        <v>252</v>
      </c>
      <c r="T199" t="s">
        <v>253</v>
      </c>
      <c r="U199" t="s">
        <v>254</v>
      </c>
      <c r="V199" s="2" t="s">
        <v>255</v>
      </c>
      <c r="W199" s="2" t="s">
        <v>65</v>
      </c>
      <c r="Z199" s="2" t="s">
        <v>256</v>
      </c>
      <c r="AA199" s="2" t="s">
        <v>257</v>
      </c>
      <c r="AB199" s="2" t="s">
        <v>66</v>
      </c>
      <c r="AC199" s="2" t="s">
        <v>67</v>
      </c>
    </row>
    <row r="200" spans="1:29" x14ac:dyDescent="0.25">
      <c r="A200" t="s">
        <v>113</v>
      </c>
      <c r="B200" t="s">
        <v>245</v>
      </c>
      <c r="C200" t="s">
        <v>246</v>
      </c>
      <c r="D200" t="s">
        <v>43</v>
      </c>
      <c r="E200" t="s">
        <v>247</v>
      </c>
      <c r="F200" t="s">
        <v>248</v>
      </c>
      <c r="G200" s="2" t="s">
        <v>246</v>
      </c>
      <c r="H200">
        <v>202264</v>
      </c>
      <c r="I200" s="31" t="s">
        <v>249</v>
      </c>
      <c r="J200" s="2" t="s">
        <v>250</v>
      </c>
      <c r="K200" t="s">
        <v>114</v>
      </c>
      <c r="L200" t="s">
        <v>251</v>
      </c>
      <c r="M200" s="2" t="s">
        <v>78</v>
      </c>
      <c r="N200" t="s">
        <v>144</v>
      </c>
      <c r="O200" t="s">
        <v>90</v>
      </c>
      <c r="P200" s="2" t="s">
        <v>20</v>
      </c>
      <c r="Q200" t="s">
        <v>64</v>
      </c>
      <c r="R200" t="s">
        <v>64</v>
      </c>
      <c r="S200" s="82" t="s">
        <v>252</v>
      </c>
      <c r="T200" t="s">
        <v>253</v>
      </c>
      <c r="U200" t="s">
        <v>254</v>
      </c>
      <c r="V200" s="2" t="s">
        <v>255</v>
      </c>
      <c r="W200" s="2" t="s">
        <v>65</v>
      </c>
      <c r="Z200" s="2" t="s">
        <v>256</v>
      </c>
      <c r="AA200" s="2" t="s">
        <v>257</v>
      </c>
      <c r="AB200" s="2" t="s">
        <v>66</v>
      </c>
      <c r="AC200" s="2" t="s">
        <v>67</v>
      </c>
    </row>
    <row r="201" spans="1:29" x14ac:dyDescent="0.25">
      <c r="A201" t="s">
        <v>113</v>
      </c>
      <c r="B201" t="s">
        <v>245</v>
      </c>
      <c r="C201" t="s">
        <v>246</v>
      </c>
      <c r="D201" t="s">
        <v>43</v>
      </c>
      <c r="E201" t="s">
        <v>247</v>
      </c>
      <c r="F201" t="s">
        <v>248</v>
      </c>
      <c r="G201" s="2" t="s">
        <v>246</v>
      </c>
      <c r="H201">
        <v>202264</v>
      </c>
      <c r="I201" s="31" t="s">
        <v>249</v>
      </c>
      <c r="J201" s="2" t="s">
        <v>250</v>
      </c>
      <c r="K201" t="s">
        <v>114</v>
      </c>
      <c r="L201" t="s">
        <v>251</v>
      </c>
      <c r="M201" s="2" t="s">
        <v>78</v>
      </c>
      <c r="N201" t="s">
        <v>144</v>
      </c>
      <c r="O201" t="s">
        <v>35</v>
      </c>
      <c r="P201" s="2" t="s">
        <v>20</v>
      </c>
      <c r="Q201" t="s">
        <v>64</v>
      </c>
      <c r="R201" t="s">
        <v>64</v>
      </c>
      <c r="S201" s="82" t="s">
        <v>252</v>
      </c>
      <c r="T201" t="s">
        <v>253</v>
      </c>
      <c r="U201" t="s">
        <v>254</v>
      </c>
      <c r="V201" s="2" t="s">
        <v>255</v>
      </c>
      <c r="W201" s="2" t="s">
        <v>65</v>
      </c>
      <c r="Z201" s="2" t="s">
        <v>256</v>
      </c>
      <c r="AA201" s="2" t="s">
        <v>257</v>
      </c>
      <c r="AB201" s="2" t="s">
        <v>66</v>
      </c>
      <c r="AC201" s="2" t="s">
        <v>67</v>
      </c>
    </row>
    <row r="202" spans="1:29" x14ac:dyDescent="0.25">
      <c r="A202" t="s">
        <v>113</v>
      </c>
      <c r="B202" t="s">
        <v>245</v>
      </c>
      <c r="C202" t="s">
        <v>246</v>
      </c>
      <c r="D202" t="s">
        <v>43</v>
      </c>
      <c r="E202" t="s">
        <v>247</v>
      </c>
      <c r="F202" t="s">
        <v>248</v>
      </c>
      <c r="G202" s="2" t="s">
        <v>246</v>
      </c>
      <c r="H202">
        <v>202264</v>
      </c>
      <c r="I202" s="31" t="s">
        <v>249</v>
      </c>
      <c r="J202" s="2" t="s">
        <v>250</v>
      </c>
      <c r="K202" t="s">
        <v>114</v>
      </c>
      <c r="L202" t="s">
        <v>251</v>
      </c>
      <c r="M202" s="2" t="s">
        <v>78</v>
      </c>
      <c r="N202" t="s">
        <v>144</v>
      </c>
      <c r="O202" t="s">
        <v>91</v>
      </c>
      <c r="P202" s="2" t="s">
        <v>112</v>
      </c>
      <c r="Q202" t="s">
        <v>64</v>
      </c>
      <c r="R202" t="s">
        <v>64</v>
      </c>
      <c r="S202" s="82" t="s">
        <v>252</v>
      </c>
      <c r="T202" t="s">
        <v>253</v>
      </c>
      <c r="U202" t="s">
        <v>254</v>
      </c>
      <c r="V202" s="2" t="s">
        <v>255</v>
      </c>
      <c r="W202" s="2" t="s">
        <v>65</v>
      </c>
      <c r="Z202" s="2" t="s">
        <v>256</v>
      </c>
      <c r="AA202" s="2" t="s">
        <v>257</v>
      </c>
      <c r="AB202" s="2" t="s">
        <v>66</v>
      </c>
      <c r="AC202" s="2" t="s">
        <v>67</v>
      </c>
    </row>
    <row r="203" spans="1:29" x14ac:dyDescent="0.25">
      <c r="A203" t="s">
        <v>113</v>
      </c>
      <c r="B203" t="s">
        <v>245</v>
      </c>
      <c r="C203" t="s">
        <v>246</v>
      </c>
      <c r="D203" t="s">
        <v>43</v>
      </c>
      <c r="E203" t="s">
        <v>247</v>
      </c>
      <c r="F203" t="s">
        <v>248</v>
      </c>
      <c r="G203" s="2" t="s">
        <v>246</v>
      </c>
      <c r="H203">
        <v>202264</v>
      </c>
      <c r="I203" s="31" t="s">
        <v>249</v>
      </c>
      <c r="J203" s="2" t="s">
        <v>250</v>
      </c>
      <c r="K203" t="s">
        <v>114</v>
      </c>
      <c r="L203" t="s">
        <v>251</v>
      </c>
      <c r="M203" s="2" t="s">
        <v>78</v>
      </c>
      <c r="N203" t="s">
        <v>144</v>
      </c>
      <c r="O203" t="s">
        <v>92</v>
      </c>
      <c r="P203" s="2" t="s">
        <v>20</v>
      </c>
      <c r="Q203" t="s">
        <v>64</v>
      </c>
      <c r="R203" t="s">
        <v>64</v>
      </c>
      <c r="S203" s="82" t="s">
        <v>252</v>
      </c>
      <c r="T203" t="s">
        <v>253</v>
      </c>
      <c r="U203" t="s">
        <v>254</v>
      </c>
      <c r="V203" s="2" t="s">
        <v>255</v>
      </c>
      <c r="W203" s="2" t="s">
        <v>65</v>
      </c>
      <c r="Z203" s="2" t="s">
        <v>256</v>
      </c>
      <c r="AA203" s="2" t="s">
        <v>257</v>
      </c>
      <c r="AB203" s="2" t="s">
        <v>66</v>
      </c>
      <c r="AC203" s="2" t="s">
        <v>67</v>
      </c>
    </row>
    <row r="204" spans="1:29" x14ac:dyDescent="0.25">
      <c r="A204" t="s">
        <v>113</v>
      </c>
      <c r="B204" t="s">
        <v>245</v>
      </c>
      <c r="C204" t="s">
        <v>246</v>
      </c>
      <c r="D204" t="s">
        <v>43</v>
      </c>
      <c r="E204" t="s">
        <v>247</v>
      </c>
      <c r="F204" t="s">
        <v>248</v>
      </c>
      <c r="G204" s="2" t="s">
        <v>246</v>
      </c>
      <c r="H204">
        <v>202264</v>
      </c>
      <c r="I204" s="31" t="s">
        <v>249</v>
      </c>
      <c r="J204" s="2" t="s">
        <v>250</v>
      </c>
      <c r="K204" t="s">
        <v>114</v>
      </c>
      <c r="L204" t="s">
        <v>251</v>
      </c>
      <c r="M204" s="2" t="s">
        <v>78</v>
      </c>
      <c r="N204" t="s">
        <v>144</v>
      </c>
      <c r="O204" t="s">
        <v>93</v>
      </c>
      <c r="P204" s="2" t="s">
        <v>20</v>
      </c>
      <c r="Q204" t="s">
        <v>64</v>
      </c>
      <c r="R204" t="s">
        <v>64</v>
      </c>
      <c r="S204" s="82" t="s">
        <v>252</v>
      </c>
      <c r="T204" t="s">
        <v>253</v>
      </c>
      <c r="U204" t="s">
        <v>254</v>
      </c>
      <c r="V204" s="2" t="s">
        <v>255</v>
      </c>
      <c r="W204" s="2" t="s">
        <v>65</v>
      </c>
      <c r="Z204" s="2" t="s">
        <v>256</v>
      </c>
      <c r="AA204" s="2" t="s">
        <v>257</v>
      </c>
      <c r="AB204" s="2" t="s">
        <v>66</v>
      </c>
      <c r="AC204" s="2" t="s">
        <v>67</v>
      </c>
    </row>
    <row r="205" spans="1:29" x14ac:dyDescent="0.25">
      <c r="A205" t="s">
        <v>113</v>
      </c>
      <c r="B205" t="s">
        <v>245</v>
      </c>
      <c r="C205" t="s">
        <v>246</v>
      </c>
      <c r="D205" t="s">
        <v>43</v>
      </c>
      <c r="E205" t="s">
        <v>247</v>
      </c>
      <c r="F205" t="s">
        <v>248</v>
      </c>
      <c r="G205" s="2" t="s">
        <v>246</v>
      </c>
      <c r="H205">
        <v>202264</v>
      </c>
      <c r="I205" s="31" t="s">
        <v>249</v>
      </c>
      <c r="J205" s="2" t="s">
        <v>250</v>
      </c>
      <c r="K205" t="s">
        <v>114</v>
      </c>
      <c r="L205" t="s">
        <v>251</v>
      </c>
      <c r="M205" s="2" t="s">
        <v>78</v>
      </c>
      <c r="N205" t="s">
        <v>144</v>
      </c>
      <c r="O205" t="s">
        <v>94</v>
      </c>
      <c r="P205" s="2" t="s">
        <v>112</v>
      </c>
      <c r="Q205" t="s">
        <v>64</v>
      </c>
      <c r="R205" t="s">
        <v>64</v>
      </c>
      <c r="S205" s="82" t="s">
        <v>252</v>
      </c>
      <c r="T205" t="s">
        <v>253</v>
      </c>
      <c r="U205" t="s">
        <v>254</v>
      </c>
      <c r="V205" s="2" t="s">
        <v>255</v>
      </c>
      <c r="W205" s="2" t="s">
        <v>65</v>
      </c>
      <c r="Z205" s="2" t="s">
        <v>256</v>
      </c>
      <c r="AA205" s="2" t="s">
        <v>257</v>
      </c>
      <c r="AB205" s="2" t="s">
        <v>66</v>
      </c>
      <c r="AC205" s="2" t="s">
        <v>67</v>
      </c>
    </row>
    <row r="206" spans="1:29" x14ac:dyDescent="0.25">
      <c r="A206" t="s">
        <v>113</v>
      </c>
      <c r="B206" t="s">
        <v>245</v>
      </c>
      <c r="C206" t="s">
        <v>246</v>
      </c>
      <c r="D206" t="s">
        <v>43</v>
      </c>
      <c r="E206" t="s">
        <v>247</v>
      </c>
      <c r="F206" t="s">
        <v>248</v>
      </c>
      <c r="G206" s="2" t="s">
        <v>246</v>
      </c>
      <c r="H206">
        <v>202264</v>
      </c>
      <c r="I206" s="31" t="s">
        <v>249</v>
      </c>
      <c r="J206" s="2" t="s">
        <v>250</v>
      </c>
      <c r="K206" t="s">
        <v>114</v>
      </c>
      <c r="L206" t="s">
        <v>251</v>
      </c>
      <c r="M206" s="2" t="s">
        <v>78</v>
      </c>
      <c r="N206" t="s">
        <v>144</v>
      </c>
      <c r="O206" t="s">
        <v>95</v>
      </c>
      <c r="P206" s="2" t="s">
        <v>112</v>
      </c>
      <c r="Q206" t="s">
        <v>64</v>
      </c>
      <c r="R206" t="s">
        <v>64</v>
      </c>
      <c r="S206" s="82" t="s">
        <v>252</v>
      </c>
      <c r="T206" t="s">
        <v>253</v>
      </c>
      <c r="U206" t="s">
        <v>254</v>
      </c>
      <c r="V206" s="2" t="s">
        <v>255</v>
      </c>
      <c r="W206" s="2" t="s">
        <v>65</v>
      </c>
      <c r="Z206" s="2" t="s">
        <v>256</v>
      </c>
      <c r="AA206" s="2" t="s">
        <v>257</v>
      </c>
      <c r="AB206" s="2" t="s">
        <v>66</v>
      </c>
      <c r="AC206" s="2" t="s">
        <v>67</v>
      </c>
    </row>
    <row r="207" spans="1:29" x14ac:dyDescent="0.25">
      <c r="A207" t="s">
        <v>113</v>
      </c>
      <c r="B207" t="s">
        <v>245</v>
      </c>
      <c r="C207" t="s">
        <v>246</v>
      </c>
      <c r="D207" t="s">
        <v>43</v>
      </c>
      <c r="E207" t="s">
        <v>247</v>
      </c>
      <c r="F207" t="s">
        <v>248</v>
      </c>
      <c r="G207" s="2" t="s">
        <v>246</v>
      </c>
      <c r="H207">
        <v>202264</v>
      </c>
      <c r="I207" s="31" t="s">
        <v>249</v>
      </c>
      <c r="J207" s="2" t="s">
        <v>250</v>
      </c>
      <c r="K207" t="s">
        <v>114</v>
      </c>
      <c r="L207" t="s">
        <v>251</v>
      </c>
      <c r="M207" s="2" t="s">
        <v>78</v>
      </c>
      <c r="N207" t="s">
        <v>144</v>
      </c>
      <c r="O207" t="s">
        <v>96</v>
      </c>
      <c r="P207" s="2" t="s">
        <v>112</v>
      </c>
      <c r="Q207" t="s">
        <v>64</v>
      </c>
      <c r="R207" t="s">
        <v>64</v>
      </c>
      <c r="S207" s="82" t="s">
        <v>252</v>
      </c>
      <c r="T207" t="s">
        <v>253</v>
      </c>
      <c r="U207" t="s">
        <v>254</v>
      </c>
      <c r="V207" s="2" t="s">
        <v>255</v>
      </c>
      <c r="W207" s="2" t="s">
        <v>65</v>
      </c>
      <c r="Z207" s="2" t="s">
        <v>256</v>
      </c>
      <c r="AA207" s="2" t="s">
        <v>257</v>
      </c>
      <c r="AB207" s="2" t="s">
        <v>66</v>
      </c>
      <c r="AC207" s="2" t="s">
        <v>67</v>
      </c>
    </row>
    <row r="208" spans="1:29" x14ac:dyDescent="0.25">
      <c r="A208" t="s">
        <v>113</v>
      </c>
      <c r="B208" t="s">
        <v>245</v>
      </c>
      <c r="C208" t="s">
        <v>246</v>
      </c>
      <c r="D208" t="s">
        <v>43</v>
      </c>
      <c r="E208" t="s">
        <v>247</v>
      </c>
      <c r="F208" t="s">
        <v>248</v>
      </c>
      <c r="G208" s="2" t="s">
        <v>246</v>
      </c>
      <c r="H208">
        <v>202264</v>
      </c>
      <c r="I208" s="31" t="s">
        <v>249</v>
      </c>
      <c r="J208" s="2" t="s">
        <v>250</v>
      </c>
      <c r="K208" t="s">
        <v>114</v>
      </c>
      <c r="L208" t="s">
        <v>251</v>
      </c>
      <c r="M208" s="2" t="s">
        <v>78</v>
      </c>
      <c r="N208" t="s">
        <v>144</v>
      </c>
      <c r="O208" t="s">
        <v>97</v>
      </c>
      <c r="P208" s="2" t="s">
        <v>112</v>
      </c>
      <c r="Q208" t="s">
        <v>64</v>
      </c>
      <c r="R208" t="s">
        <v>64</v>
      </c>
      <c r="S208" s="82" t="s">
        <v>252</v>
      </c>
      <c r="T208" t="s">
        <v>253</v>
      </c>
      <c r="U208" t="s">
        <v>254</v>
      </c>
      <c r="V208" s="2" t="s">
        <v>255</v>
      </c>
      <c r="W208" s="2" t="s">
        <v>65</v>
      </c>
      <c r="Z208" s="2" t="s">
        <v>256</v>
      </c>
      <c r="AA208" s="2" t="s">
        <v>257</v>
      </c>
      <c r="AB208" s="2" t="s">
        <v>66</v>
      </c>
      <c r="AC208" s="2" t="s">
        <v>67</v>
      </c>
    </row>
    <row r="209" spans="1:29" x14ac:dyDescent="0.25">
      <c r="A209" t="s">
        <v>113</v>
      </c>
      <c r="B209" t="s">
        <v>245</v>
      </c>
      <c r="C209" t="s">
        <v>246</v>
      </c>
      <c r="D209" t="s">
        <v>43</v>
      </c>
      <c r="E209" t="s">
        <v>247</v>
      </c>
      <c r="F209" t="s">
        <v>248</v>
      </c>
      <c r="G209" s="2" t="s">
        <v>246</v>
      </c>
      <c r="H209">
        <v>202264</v>
      </c>
      <c r="I209" s="31" t="s">
        <v>249</v>
      </c>
      <c r="J209" s="2" t="s">
        <v>250</v>
      </c>
      <c r="K209" t="s">
        <v>114</v>
      </c>
      <c r="L209" t="s">
        <v>251</v>
      </c>
      <c r="M209" s="2" t="s">
        <v>78</v>
      </c>
      <c r="N209" t="s">
        <v>144</v>
      </c>
      <c r="O209" t="s">
        <v>98</v>
      </c>
      <c r="P209" s="2" t="s">
        <v>20</v>
      </c>
      <c r="Q209" t="s">
        <v>64</v>
      </c>
      <c r="R209" t="s">
        <v>64</v>
      </c>
      <c r="S209" s="82" t="s">
        <v>252</v>
      </c>
      <c r="T209" t="s">
        <v>253</v>
      </c>
      <c r="U209" t="s">
        <v>254</v>
      </c>
      <c r="V209" s="2" t="s">
        <v>255</v>
      </c>
      <c r="W209" s="2" t="s">
        <v>65</v>
      </c>
      <c r="Z209" s="2" t="s">
        <v>256</v>
      </c>
      <c r="AA209" s="2" t="s">
        <v>257</v>
      </c>
      <c r="AB209" s="2" t="s">
        <v>66</v>
      </c>
      <c r="AC209" s="2" t="s">
        <v>67</v>
      </c>
    </row>
    <row r="210" spans="1:29" x14ac:dyDescent="0.25">
      <c r="A210" t="s">
        <v>113</v>
      </c>
      <c r="B210" t="s">
        <v>245</v>
      </c>
      <c r="C210" t="s">
        <v>246</v>
      </c>
      <c r="D210" t="s">
        <v>43</v>
      </c>
      <c r="E210" t="s">
        <v>247</v>
      </c>
      <c r="F210" t="s">
        <v>248</v>
      </c>
      <c r="G210" s="2" t="s">
        <v>246</v>
      </c>
      <c r="H210">
        <v>202264</v>
      </c>
      <c r="I210" s="31" t="s">
        <v>249</v>
      </c>
      <c r="J210" s="2" t="s">
        <v>250</v>
      </c>
      <c r="K210" t="s">
        <v>114</v>
      </c>
      <c r="L210" t="s">
        <v>251</v>
      </c>
      <c r="M210" s="2" t="s">
        <v>78</v>
      </c>
      <c r="N210" t="s">
        <v>144</v>
      </c>
      <c r="O210" t="s">
        <v>99</v>
      </c>
      <c r="P210" s="2" t="s">
        <v>20</v>
      </c>
      <c r="Q210" t="s">
        <v>64</v>
      </c>
      <c r="R210" t="s">
        <v>64</v>
      </c>
      <c r="S210" s="82" t="s">
        <v>252</v>
      </c>
      <c r="T210" t="s">
        <v>253</v>
      </c>
      <c r="U210" t="s">
        <v>254</v>
      </c>
      <c r="V210" s="2" t="s">
        <v>255</v>
      </c>
      <c r="W210" s="2" t="s">
        <v>65</v>
      </c>
      <c r="Z210" s="2" t="s">
        <v>256</v>
      </c>
      <c r="AA210" s="2" t="s">
        <v>257</v>
      </c>
      <c r="AB210" s="2" t="s">
        <v>66</v>
      </c>
      <c r="AC210" s="2" t="s">
        <v>67</v>
      </c>
    </row>
    <row r="211" spans="1:29" x14ac:dyDescent="0.25">
      <c r="A211" t="s">
        <v>113</v>
      </c>
      <c r="B211" t="s">
        <v>245</v>
      </c>
      <c r="C211" t="s">
        <v>246</v>
      </c>
      <c r="D211" t="s">
        <v>43</v>
      </c>
      <c r="E211" t="s">
        <v>247</v>
      </c>
      <c r="F211" t="s">
        <v>248</v>
      </c>
      <c r="G211" s="2" t="s">
        <v>246</v>
      </c>
      <c r="H211">
        <v>202264</v>
      </c>
      <c r="I211" s="31" t="s">
        <v>249</v>
      </c>
      <c r="J211" s="2" t="s">
        <v>250</v>
      </c>
      <c r="K211" t="s">
        <v>114</v>
      </c>
      <c r="L211" t="s">
        <v>251</v>
      </c>
      <c r="M211" s="2" t="s">
        <v>78</v>
      </c>
      <c r="N211" t="s">
        <v>144</v>
      </c>
      <c r="O211" t="s">
        <v>100</v>
      </c>
      <c r="P211" s="2" t="s">
        <v>20</v>
      </c>
      <c r="Q211" t="s">
        <v>64</v>
      </c>
      <c r="R211" t="s">
        <v>64</v>
      </c>
      <c r="S211" s="82" t="s">
        <v>252</v>
      </c>
      <c r="T211" t="s">
        <v>253</v>
      </c>
      <c r="U211" t="s">
        <v>254</v>
      </c>
      <c r="V211" s="2" t="s">
        <v>255</v>
      </c>
      <c r="W211" s="2" t="s">
        <v>65</v>
      </c>
      <c r="Z211" s="2" t="s">
        <v>256</v>
      </c>
      <c r="AA211" s="2" t="s">
        <v>257</v>
      </c>
      <c r="AB211" s="2" t="s">
        <v>66</v>
      </c>
      <c r="AC211" s="2" t="s">
        <v>67</v>
      </c>
    </row>
    <row r="212" spans="1:29" x14ac:dyDescent="0.25">
      <c r="A212" t="s">
        <v>113</v>
      </c>
      <c r="B212" t="s">
        <v>245</v>
      </c>
      <c r="C212" t="s">
        <v>246</v>
      </c>
      <c r="D212" t="s">
        <v>43</v>
      </c>
      <c r="E212" t="s">
        <v>247</v>
      </c>
      <c r="F212" t="s">
        <v>248</v>
      </c>
      <c r="G212" s="2" t="s">
        <v>246</v>
      </c>
      <c r="H212">
        <v>202264</v>
      </c>
      <c r="I212" s="31" t="s">
        <v>249</v>
      </c>
      <c r="J212" s="2" t="s">
        <v>250</v>
      </c>
      <c r="K212" t="s">
        <v>114</v>
      </c>
      <c r="L212" t="s">
        <v>251</v>
      </c>
      <c r="M212" s="2" t="s">
        <v>78</v>
      </c>
      <c r="N212" t="s">
        <v>144</v>
      </c>
      <c r="O212" t="s">
        <v>101</v>
      </c>
      <c r="P212" s="2" t="s">
        <v>20</v>
      </c>
      <c r="Q212" t="s">
        <v>64</v>
      </c>
      <c r="R212" t="s">
        <v>64</v>
      </c>
      <c r="S212" s="82" t="s">
        <v>252</v>
      </c>
      <c r="T212" t="s">
        <v>253</v>
      </c>
      <c r="U212" t="s">
        <v>254</v>
      </c>
      <c r="V212" s="2" t="s">
        <v>255</v>
      </c>
      <c r="W212" s="2" t="s">
        <v>65</v>
      </c>
      <c r="Z212" s="2" t="s">
        <v>256</v>
      </c>
      <c r="AA212" s="2" t="s">
        <v>257</v>
      </c>
      <c r="AB212" s="2" t="s">
        <v>66</v>
      </c>
      <c r="AC212" s="2" t="s">
        <v>67</v>
      </c>
    </row>
    <row r="213" spans="1:29" x14ac:dyDescent="0.25">
      <c r="A213" t="s">
        <v>113</v>
      </c>
      <c r="B213" t="s">
        <v>245</v>
      </c>
      <c r="C213" t="s">
        <v>246</v>
      </c>
      <c r="D213" t="s">
        <v>43</v>
      </c>
      <c r="E213" t="s">
        <v>247</v>
      </c>
      <c r="F213" t="s">
        <v>248</v>
      </c>
      <c r="G213" s="2" t="s">
        <v>246</v>
      </c>
      <c r="H213">
        <v>202264</v>
      </c>
      <c r="I213" s="31" t="s">
        <v>249</v>
      </c>
      <c r="J213" s="2" t="s">
        <v>250</v>
      </c>
      <c r="K213" t="s">
        <v>114</v>
      </c>
      <c r="L213" t="s">
        <v>251</v>
      </c>
      <c r="M213" s="2" t="s">
        <v>78</v>
      </c>
      <c r="N213" t="s">
        <v>144</v>
      </c>
      <c r="O213" t="s">
        <v>102</v>
      </c>
      <c r="P213" s="2" t="s">
        <v>20</v>
      </c>
      <c r="Q213" t="s">
        <v>64</v>
      </c>
      <c r="R213" t="s">
        <v>64</v>
      </c>
      <c r="S213" s="82" t="s">
        <v>252</v>
      </c>
      <c r="T213" t="s">
        <v>253</v>
      </c>
      <c r="U213" t="s">
        <v>254</v>
      </c>
      <c r="V213" s="2" t="s">
        <v>255</v>
      </c>
      <c r="W213" s="2" t="s">
        <v>65</v>
      </c>
      <c r="Z213" s="2" t="s">
        <v>256</v>
      </c>
      <c r="AA213" s="2" t="s">
        <v>257</v>
      </c>
      <c r="AB213" s="2" t="s">
        <v>66</v>
      </c>
      <c r="AC213" s="2" t="s">
        <v>67</v>
      </c>
    </row>
    <row r="214" spans="1:29" x14ac:dyDescent="0.25">
      <c r="A214" t="s">
        <v>113</v>
      </c>
      <c r="B214" t="s">
        <v>245</v>
      </c>
      <c r="C214" t="s">
        <v>246</v>
      </c>
      <c r="D214" t="s">
        <v>43</v>
      </c>
      <c r="E214" t="s">
        <v>247</v>
      </c>
      <c r="F214" t="s">
        <v>248</v>
      </c>
      <c r="G214" s="2" t="s">
        <v>246</v>
      </c>
      <c r="H214">
        <v>202264</v>
      </c>
      <c r="I214" s="31" t="s">
        <v>249</v>
      </c>
      <c r="J214" s="2" t="s">
        <v>250</v>
      </c>
      <c r="K214" t="s">
        <v>114</v>
      </c>
      <c r="L214" t="s">
        <v>251</v>
      </c>
      <c r="M214" s="2" t="s">
        <v>78</v>
      </c>
      <c r="N214" t="s">
        <v>144</v>
      </c>
      <c r="O214" t="s">
        <v>103</v>
      </c>
      <c r="P214" s="2" t="s">
        <v>20</v>
      </c>
      <c r="Q214" t="s">
        <v>64</v>
      </c>
      <c r="R214" t="s">
        <v>64</v>
      </c>
      <c r="S214" s="82" t="s">
        <v>252</v>
      </c>
      <c r="T214" t="s">
        <v>253</v>
      </c>
      <c r="U214" t="s">
        <v>254</v>
      </c>
      <c r="V214" s="2" t="s">
        <v>255</v>
      </c>
      <c r="W214" s="2" t="s">
        <v>65</v>
      </c>
      <c r="Z214" s="2" t="s">
        <v>256</v>
      </c>
      <c r="AA214" s="2" t="s">
        <v>257</v>
      </c>
      <c r="AB214" s="2" t="s">
        <v>66</v>
      </c>
      <c r="AC214" s="2" t="s">
        <v>67</v>
      </c>
    </row>
    <row r="215" spans="1:29" x14ac:dyDescent="0.25">
      <c r="A215" t="s">
        <v>113</v>
      </c>
      <c r="B215" t="s">
        <v>245</v>
      </c>
      <c r="C215" t="s">
        <v>246</v>
      </c>
      <c r="D215" t="s">
        <v>43</v>
      </c>
      <c r="E215" t="s">
        <v>247</v>
      </c>
      <c r="F215" t="s">
        <v>248</v>
      </c>
      <c r="G215" s="2" t="s">
        <v>246</v>
      </c>
      <c r="H215">
        <v>202264</v>
      </c>
      <c r="I215" s="31" t="s">
        <v>249</v>
      </c>
      <c r="J215" s="2" t="s">
        <v>250</v>
      </c>
      <c r="K215" t="s">
        <v>114</v>
      </c>
      <c r="L215" t="s">
        <v>251</v>
      </c>
      <c r="M215" s="2" t="s">
        <v>78</v>
      </c>
      <c r="N215" t="s">
        <v>144</v>
      </c>
      <c r="O215" t="s">
        <v>104</v>
      </c>
      <c r="P215" s="2" t="s">
        <v>20</v>
      </c>
      <c r="Q215" t="s">
        <v>64</v>
      </c>
      <c r="R215" t="s">
        <v>64</v>
      </c>
      <c r="S215" s="82" t="s">
        <v>252</v>
      </c>
      <c r="T215" t="s">
        <v>253</v>
      </c>
      <c r="U215" t="s">
        <v>254</v>
      </c>
      <c r="V215" s="2" t="s">
        <v>255</v>
      </c>
      <c r="W215" s="2" t="s">
        <v>65</v>
      </c>
      <c r="Z215" s="2" t="s">
        <v>256</v>
      </c>
      <c r="AA215" s="2" t="s">
        <v>257</v>
      </c>
      <c r="AB215" s="2" t="s">
        <v>66</v>
      </c>
      <c r="AC215" s="2" t="s">
        <v>67</v>
      </c>
    </row>
    <row r="216" spans="1:29" x14ac:dyDescent="0.25">
      <c r="A216" t="s">
        <v>113</v>
      </c>
      <c r="B216" t="s">
        <v>245</v>
      </c>
      <c r="C216" t="s">
        <v>246</v>
      </c>
      <c r="D216" t="s">
        <v>43</v>
      </c>
      <c r="E216" t="s">
        <v>247</v>
      </c>
      <c r="F216" t="s">
        <v>248</v>
      </c>
      <c r="G216" s="2" t="s">
        <v>246</v>
      </c>
      <c r="H216">
        <v>202264</v>
      </c>
      <c r="I216" s="31" t="s">
        <v>249</v>
      </c>
      <c r="J216" s="2" t="s">
        <v>250</v>
      </c>
      <c r="K216" t="s">
        <v>114</v>
      </c>
      <c r="L216" t="s">
        <v>251</v>
      </c>
      <c r="M216" s="2" t="s">
        <v>78</v>
      </c>
      <c r="N216" t="s">
        <v>144</v>
      </c>
      <c r="O216" t="s">
        <v>125</v>
      </c>
      <c r="P216" s="2" t="s">
        <v>20</v>
      </c>
      <c r="Q216" t="s">
        <v>64</v>
      </c>
      <c r="R216" t="s">
        <v>64</v>
      </c>
      <c r="S216" s="82" t="s">
        <v>252</v>
      </c>
      <c r="T216" t="s">
        <v>253</v>
      </c>
      <c r="U216" t="s">
        <v>254</v>
      </c>
      <c r="V216" s="2" t="s">
        <v>255</v>
      </c>
      <c r="W216" s="2" t="s">
        <v>65</v>
      </c>
      <c r="Z216" s="2" t="s">
        <v>256</v>
      </c>
      <c r="AA216" s="2" t="s">
        <v>257</v>
      </c>
      <c r="AB216" s="2" t="s">
        <v>66</v>
      </c>
      <c r="AC216" s="2" t="s">
        <v>67</v>
      </c>
    </row>
    <row r="217" spans="1:29" x14ac:dyDescent="0.25">
      <c r="A217" t="s">
        <v>113</v>
      </c>
      <c r="B217" t="s">
        <v>245</v>
      </c>
      <c r="C217" t="s">
        <v>246</v>
      </c>
      <c r="D217" t="s">
        <v>43</v>
      </c>
      <c r="E217" t="s">
        <v>247</v>
      </c>
      <c r="F217" t="s">
        <v>248</v>
      </c>
      <c r="G217" s="2" t="s">
        <v>246</v>
      </c>
      <c r="H217">
        <v>202264</v>
      </c>
      <c r="I217" s="31" t="s">
        <v>249</v>
      </c>
      <c r="J217" s="2" t="s">
        <v>250</v>
      </c>
      <c r="K217" t="s">
        <v>114</v>
      </c>
      <c r="L217" t="s">
        <v>251</v>
      </c>
      <c r="M217" s="2" t="s">
        <v>78</v>
      </c>
      <c r="N217" t="s">
        <v>144</v>
      </c>
      <c r="O217" t="s">
        <v>105</v>
      </c>
      <c r="P217" s="2" t="s">
        <v>117</v>
      </c>
      <c r="Q217" t="s">
        <v>64</v>
      </c>
      <c r="R217" t="s">
        <v>64</v>
      </c>
      <c r="S217" s="82" t="s">
        <v>252</v>
      </c>
      <c r="T217" t="s">
        <v>253</v>
      </c>
      <c r="U217" t="s">
        <v>254</v>
      </c>
      <c r="V217" s="2" t="s">
        <v>255</v>
      </c>
      <c r="W217" s="2" t="s">
        <v>65</v>
      </c>
      <c r="Z217" s="2" t="s">
        <v>256</v>
      </c>
      <c r="AA217" s="2" t="s">
        <v>257</v>
      </c>
      <c r="AB217" s="2" t="s">
        <v>66</v>
      </c>
      <c r="AC217" s="2" t="s">
        <v>67</v>
      </c>
    </row>
    <row r="218" spans="1:29" x14ac:dyDescent="0.25">
      <c r="A218" t="s">
        <v>113</v>
      </c>
      <c r="B218" t="s">
        <v>245</v>
      </c>
      <c r="C218" t="s">
        <v>246</v>
      </c>
      <c r="D218" t="s">
        <v>43</v>
      </c>
      <c r="E218" t="s">
        <v>247</v>
      </c>
      <c r="F218" t="s">
        <v>248</v>
      </c>
      <c r="G218" s="2" t="s">
        <v>246</v>
      </c>
      <c r="H218">
        <v>202264</v>
      </c>
      <c r="I218" s="31" t="s">
        <v>249</v>
      </c>
      <c r="J218" s="2" t="s">
        <v>250</v>
      </c>
      <c r="K218" t="s">
        <v>114</v>
      </c>
      <c r="L218" t="s">
        <v>251</v>
      </c>
      <c r="M218" s="2" t="s">
        <v>78</v>
      </c>
      <c r="N218" t="s">
        <v>144</v>
      </c>
      <c r="O218" t="s">
        <v>130</v>
      </c>
      <c r="P218" s="2" t="s">
        <v>20</v>
      </c>
      <c r="Q218" t="s">
        <v>64</v>
      </c>
      <c r="R218" t="s">
        <v>64</v>
      </c>
      <c r="S218" s="82" t="s">
        <v>252</v>
      </c>
      <c r="T218" t="s">
        <v>253</v>
      </c>
      <c r="U218" t="s">
        <v>254</v>
      </c>
      <c r="V218" s="2" t="s">
        <v>255</v>
      </c>
      <c r="W218" s="2" t="s">
        <v>65</v>
      </c>
      <c r="Z218" s="2" t="s">
        <v>256</v>
      </c>
      <c r="AA218" s="2" t="s">
        <v>257</v>
      </c>
      <c r="AB218" s="2" t="s">
        <v>66</v>
      </c>
      <c r="AC218" s="2" t="s">
        <v>67</v>
      </c>
    </row>
    <row r="219" spans="1:29" x14ac:dyDescent="0.25">
      <c r="A219" t="s">
        <v>113</v>
      </c>
      <c r="B219" t="s">
        <v>245</v>
      </c>
      <c r="C219" t="s">
        <v>246</v>
      </c>
      <c r="D219" t="s">
        <v>43</v>
      </c>
      <c r="E219" t="s">
        <v>247</v>
      </c>
      <c r="F219" t="s">
        <v>248</v>
      </c>
      <c r="G219" s="2" t="s">
        <v>246</v>
      </c>
      <c r="H219">
        <v>202264</v>
      </c>
      <c r="I219" s="31" t="s">
        <v>249</v>
      </c>
      <c r="J219" s="2" t="s">
        <v>250</v>
      </c>
      <c r="K219" t="s">
        <v>114</v>
      </c>
      <c r="L219" t="s">
        <v>251</v>
      </c>
      <c r="M219" s="2" t="s">
        <v>78</v>
      </c>
      <c r="N219" t="s">
        <v>144</v>
      </c>
      <c r="O219" t="s">
        <v>106</v>
      </c>
      <c r="P219" s="2" t="s">
        <v>20</v>
      </c>
      <c r="Q219" t="s">
        <v>64</v>
      </c>
      <c r="R219" t="s">
        <v>64</v>
      </c>
      <c r="S219" s="82" t="s">
        <v>252</v>
      </c>
      <c r="T219" t="s">
        <v>253</v>
      </c>
      <c r="U219" t="s">
        <v>254</v>
      </c>
      <c r="V219" s="2" t="s">
        <v>255</v>
      </c>
      <c r="W219" s="2" t="s">
        <v>65</v>
      </c>
      <c r="Z219" s="2" t="s">
        <v>256</v>
      </c>
      <c r="AA219" s="2" t="s">
        <v>257</v>
      </c>
      <c r="AB219" s="2" t="s">
        <v>66</v>
      </c>
      <c r="AC219" s="2" t="s">
        <v>67</v>
      </c>
    </row>
    <row r="220" spans="1:29" x14ac:dyDescent="0.25">
      <c r="A220" t="s">
        <v>113</v>
      </c>
      <c r="B220" t="s">
        <v>245</v>
      </c>
      <c r="C220" t="s">
        <v>246</v>
      </c>
      <c r="D220" t="s">
        <v>43</v>
      </c>
      <c r="E220" t="s">
        <v>247</v>
      </c>
      <c r="F220" t="s">
        <v>248</v>
      </c>
      <c r="G220" s="2" t="s">
        <v>246</v>
      </c>
      <c r="H220">
        <v>202264</v>
      </c>
      <c r="I220" s="31" t="s">
        <v>249</v>
      </c>
      <c r="J220" s="2" t="s">
        <v>250</v>
      </c>
      <c r="K220" t="s">
        <v>114</v>
      </c>
      <c r="L220" t="s">
        <v>251</v>
      </c>
      <c r="M220" s="2" t="s">
        <v>78</v>
      </c>
      <c r="N220" t="s">
        <v>144</v>
      </c>
      <c r="O220" t="s">
        <v>107</v>
      </c>
      <c r="P220" s="2" t="s">
        <v>258</v>
      </c>
      <c r="Q220" t="s">
        <v>64</v>
      </c>
      <c r="R220" t="s">
        <v>64</v>
      </c>
      <c r="S220" s="82" t="s">
        <v>252</v>
      </c>
      <c r="T220" t="s">
        <v>253</v>
      </c>
      <c r="U220" t="s">
        <v>254</v>
      </c>
      <c r="V220" s="2" t="s">
        <v>255</v>
      </c>
      <c r="W220" s="2" t="s">
        <v>65</v>
      </c>
      <c r="Z220" s="2" t="s">
        <v>256</v>
      </c>
      <c r="AA220" s="2" t="s">
        <v>257</v>
      </c>
      <c r="AB220" s="2" t="s">
        <v>66</v>
      </c>
      <c r="AC220" s="2" t="s">
        <v>67</v>
      </c>
    </row>
    <row r="221" spans="1:29" x14ac:dyDescent="0.25">
      <c r="A221" t="s">
        <v>113</v>
      </c>
      <c r="B221" t="s">
        <v>118</v>
      </c>
      <c r="C221" t="s">
        <v>119</v>
      </c>
      <c r="D221" t="s">
        <v>43</v>
      </c>
      <c r="E221" t="s">
        <v>122</v>
      </c>
      <c r="F221" t="s">
        <v>122</v>
      </c>
      <c r="G221" s="2" t="s">
        <v>119</v>
      </c>
      <c r="H221">
        <v>66554</v>
      </c>
      <c r="I221" s="31" t="s">
        <v>259</v>
      </c>
      <c r="J221" s="2" t="s">
        <v>260</v>
      </c>
      <c r="K221" t="s">
        <v>114</v>
      </c>
      <c r="L221" t="s">
        <v>123</v>
      </c>
      <c r="M221" s="2" t="s">
        <v>78</v>
      </c>
      <c r="N221" t="s">
        <v>144</v>
      </c>
      <c r="O221" t="s">
        <v>87</v>
      </c>
      <c r="P221" s="2" t="s">
        <v>112</v>
      </c>
      <c r="Q221" t="s">
        <v>64</v>
      </c>
      <c r="R221" t="s">
        <v>64</v>
      </c>
      <c r="S221" s="82" t="s">
        <v>261</v>
      </c>
      <c r="T221" t="s">
        <v>262</v>
      </c>
      <c r="U221" t="s">
        <v>263</v>
      </c>
      <c r="V221" s="2" t="s">
        <v>264</v>
      </c>
      <c r="W221" s="2" t="s">
        <v>65</v>
      </c>
      <c r="Z221" s="2" t="s">
        <v>120</v>
      </c>
      <c r="AA221" s="2" t="s">
        <v>121</v>
      </c>
      <c r="AB221" s="2" t="s">
        <v>66</v>
      </c>
      <c r="AC221" s="2" t="s">
        <v>67</v>
      </c>
    </row>
    <row r="222" spans="1:29" x14ac:dyDescent="0.25">
      <c r="A222" t="s">
        <v>113</v>
      </c>
      <c r="B222" t="s">
        <v>118</v>
      </c>
      <c r="C222" t="s">
        <v>119</v>
      </c>
      <c r="D222" t="s">
        <v>43</v>
      </c>
      <c r="E222" t="s">
        <v>122</v>
      </c>
      <c r="F222" t="s">
        <v>122</v>
      </c>
      <c r="G222" s="2" t="s">
        <v>119</v>
      </c>
      <c r="H222">
        <v>66554</v>
      </c>
      <c r="I222" s="31" t="s">
        <v>259</v>
      </c>
      <c r="J222" s="2" t="s">
        <v>260</v>
      </c>
      <c r="K222" t="s">
        <v>114</v>
      </c>
      <c r="L222" t="s">
        <v>123</v>
      </c>
      <c r="M222" s="2" t="s">
        <v>78</v>
      </c>
      <c r="N222" t="s">
        <v>144</v>
      </c>
      <c r="O222" t="s">
        <v>88</v>
      </c>
      <c r="P222" s="2" t="s">
        <v>112</v>
      </c>
      <c r="Q222" t="s">
        <v>64</v>
      </c>
      <c r="R222" t="s">
        <v>64</v>
      </c>
      <c r="S222" s="82" t="s">
        <v>261</v>
      </c>
      <c r="T222" t="s">
        <v>262</v>
      </c>
      <c r="U222" t="s">
        <v>263</v>
      </c>
      <c r="V222" s="2" t="s">
        <v>264</v>
      </c>
      <c r="W222" s="2" t="s">
        <v>65</v>
      </c>
      <c r="Z222" s="2" t="s">
        <v>120</v>
      </c>
      <c r="AA222" s="2" t="s">
        <v>121</v>
      </c>
      <c r="AB222" s="2" t="s">
        <v>66</v>
      </c>
      <c r="AC222" s="2" t="s">
        <v>67</v>
      </c>
    </row>
    <row r="223" spans="1:29" x14ac:dyDescent="0.25">
      <c r="A223" t="s">
        <v>113</v>
      </c>
      <c r="B223" t="s">
        <v>118</v>
      </c>
      <c r="C223" t="s">
        <v>119</v>
      </c>
      <c r="D223" t="s">
        <v>43</v>
      </c>
      <c r="E223" t="s">
        <v>122</v>
      </c>
      <c r="F223" t="s">
        <v>122</v>
      </c>
      <c r="G223" s="2" t="s">
        <v>119</v>
      </c>
      <c r="H223">
        <v>66554</v>
      </c>
      <c r="I223" s="31" t="s">
        <v>259</v>
      </c>
      <c r="J223" s="2" t="s">
        <v>260</v>
      </c>
      <c r="K223" t="s">
        <v>114</v>
      </c>
      <c r="L223" t="s">
        <v>123</v>
      </c>
      <c r="M223" s="2" t="s">
        <v>78</v>
      </c>
      <c r="N223" t="s">
        <v>144</v>
      </c>
      <c r="O223" t="s">
        <v>89</v>
      </c>
      <c r="P223" s="2" t="s">
        <v>112</v>
      </c>
      <c r="Q223" t="s">
        <v>64</v>
      </c>
      <c r="R223" t="s">
        <v>64</v>
      </c>
      <c r="S223" s="82" t="s">
        <v>261</v>
      </c>
      <c r="T223" t="s">
        <v>262</v>
      </c>
      <c r="U223" t="s">
        <v>263</v>
      </c>
      <c r="V223" s="2" t="s">
        <v>264</v>
      </c>
      <c r="W223" s="2" t="s">
        <v>65</v>
      </c>
      <c r="Z223" s="2" t="s">
        <v>120</v>
      </c>
      <c r="AA223" s="2" t="s">
        <v>121</v>
      </c>
      <c r="AB223" s="2" t="s">
        <v>66</v>
      </c>
      <c r="AC223" s="2" t="s">
        <v>67</v>
      </c>
    </row>
    <row r="224" spans="1:29" x14ac:dyDescent="0.25">
      <c r="A224" t="s">
        <v>113</v>
      </c>
      <c r="B224" t="s">
        <v>118</v>
      </c>
      <c r="C224" t="s">
        <v>119</v>
      </c>
      <c r="D224" t="s">
        <v>43</v>
      </c>
      <c r="E224" t="s">
        <v>122</v>
      </c>
      <c r="F224" t="s">
        <v>122</v>
      </c>
      <c r="G224" s="2" t="s">
        <v>119</v>
      </c>
      <c r="H224">
        <v>66554</v>
      </c>
      <c r="I224" s="31" t="s">
        <v>259</v>
      </c>
      <c r="J224" s="2" t="s">
        <v>260</v>
      </c>
      <c r="K224" t="s">
        <v>114</v>
      </c>
      <c r="L224" t="s">
        <v>123</v>
      </c>
      <c r="M224" s="2" t="s">
        <v>78</v>
      </c>
      <c r="N224" t="s">
        <v>144</v>
      </c>
      <c r="O224" t="s">
        <v>90</v>
      </c>
      <c r="P224" s="2" t="s">
        <v>112</v>
      </c>
      <c r="Q224" t="s">
        <v>64</v>
      </c>
      <c r="R224" t="s">
        <v>64</v>
      </c>
      <c r="S224" s="82" t="s">
        <v>261</v>
      </c>
      <c r="T224" t="s">
        <v>262</v>
      </c>
      <c r="U224" t="s">
        <v>263</v>
      </c>
      <c r="V224" s="2" t="s">
        <v>264</v>
      </c>
      <c r="W224" s="2" t="s">
        <v>65</v>
      </c>
      <c r="Z224" s="2" t="s">
        <v>120</v>
      </c>
      <c r="AA224" s="2" t="s">
        <v>121</v>
      </c>
      <c r="AB224" s="2" t="s">
        <v>66</v>
      </c>
      <c r="AC224" s="2" t="s">
        <v>67</v>
      </c>
    </row>
    <row r="225" spans="1:29" x14ac:dyDescent="0.25">
      <c r="A225" t="s">
        <v>113</v>
      </c>
      <c r="B225" t="s">
        <v>118</v>
      </c>
      <c r="C225" t="s">
        <v>119</v>
      </c>
      <c r="D225" t="s">
        <v>43</v>
      </c>
      <c r="E225" t="s">
        <v>122</v>
      </c>
      <c r="F225" t="s">
        <v>122</v>
      </c>
      <c r="G225" s="2" t="s">
        <v>119</v>
      </c>
      <c r="H225">
        <v>66554</v>
      </c>
      <c r="I225" s="31" t="s">
        <v>259</v>
      </c>
      <c r="J225" s="2" t="s">
        <v>260</v>
      </c>
      <c r="K225" t="s">
        <v>114</v>
      </c>
      <c r="L225" t="s">
        <v>123</v>
      </c>
      <c r="M225" s="2" t="s">
        <v>78</v>
      </c>
      <c r="N225" t="s">
        <v>144</v>
      </c>
      <c r="O225" t="s">
        <v>35</v>
      </c>
      <c r="P225" s="2" t="s">
        <v>112</v>
      </c>
      <c r="Q225" t="s">
        <v>64</v>
      </c>
      <c r="R225" t="s">
        <v>64</v>
      </c>
      <c r="S225" s="82" t="s">
        <v>261</v>
      </c>
      <c r="T225" t="s">
        <v>262</v>
      </c>
      <c r="U225" t="s">
        <v>263</v>
      </c>
      <c r="V225" s="2" t="s">
        <v>264</v>
      </c>
      <c r="W225" s="2" t="s">
        <v>65</v>
      </c>
      <c r="Z225" s="2" t="s">
        <v>120</v>
      </c>
      <c r="AA225" s="2" t="s">
        <v>121</v>
      </c>
      <c r="AB225" s="2" t="s">
        <v>66</v>
      </c>
      <c r="AC225" s="2" t="s">
        <v>67</v>
      </c>
    </row>
    <row r="226" spans="1:29" x14ac:dyDescent="0.25">
      <c r="A226" t="s">
        <v>113</v>
      </c>
      <c r="B226" t="s">
        <v>118</v>
      </c>
      <c r="C226" t="s">
        <v>119</v>
      </c>
      <c r="D226" t="s">
        <v>43</v>
      </c>
      <c r="E226" t="s">
        <v>122</v>
      </c>
      <c r="F226" t="s">
        <v>122</v>
      </c>
      <c r="G226" s="2" t="s">
        <v>119</v>
      </c>
      <c r="H226">
        <v>66554</v>
      </c>
      <c r="I226" s="31" t="s">
        <v>259</v>
      </c>
      <c r="J226" s="2" t="s">
        <v>260</v>
      </c>
      <c r="K226" t="s">
        <v>114</v>
      </c>
      <c r="L226" t="s">
        <v>123</v>
      </c>
      <c r="M226" s="2" t="s">
        <v>78</v>
      </c>
      <c r="N226" t="s">
        <v>144</v>
      </c>
      <c r="O226" t="s">
        <v>91</v>
      </c>
      <c r="P226" s="2" t="s">
        <v>112</v>
      </c>
      <c r="Q226" t="s">
        <v>64</v>
      </c>
      <c r="R226" t="s">
        <v>64</v>
      </c>
      <c r="S226" s="82" t="s">
        <v>261</v>
      </c>
      <c r="T226" t="s">
        <v>262</v>
      </c>
      <c r="U226" t="s">
        <v>263</v>
      </c>
      <c r="V226" s="2" t="s">
        <v>264</v>
      </c>
      <c r="W226" s="2" t="s">
        <v>65</v>
      </c>
      <c r="Z226" s="2" t="s">
        <v>120</v>
      </c>
      <c r="AA226" s="2" t="s">
        <v>121</v>
      </c>
      <c r="AB226" s="2" t="s">
        <v>66</v>
      </c>
      <c r="AC226" s="2" t="s">
        <v>67</v>
      </c>
    </row>
    <row r="227" spans="1:29" x14ac:dyDescent="0.25">
      <c r="A227" t="s">
        <v>113</v>
      </c>
      <c r="B227" t="s">
        <v>118</v>
      </c>
      <c r="C227" t="s">
        <v>119</v>
      </c>
      <c r="D227" t="s">
        <v>43</v>
      </c>
      <c r="E227" t="s">
        <v>122</v>
      </c>
      <c r="F227" t="s">
        <v>122</v>
      </c>
      <c r="G227" s="2" t="s">
        <v>119</v>
      </c>
      <c r="H227">
        <v>66554</v>
      </c>
      <c r="I227" s="31" t="s">
        <v>259</v>
      </c>
      <c r="J227" s="2" t="s">
        <v>260</v>
      </c>
      <c r="K227" t="s">
        <v>114</v>
      </c>
      <c r="L227" t="s">
        <v>123</v>
      </c>
      <c r="M227" s="2" t="s">
        <v>78</v>
      </c>
      <c r="N227" t="s">
        <v>144</v>
      </c>
      <c r="O227" t="s">
        <v>92</v>
      </c>
      <c r="P227" s="2" t="s">
        <v>112</v>
      </c>
      <c r="Q227" t="s">
        <v>64</v>
      </c>
      <c r="R227" t="s">
        <v>64</v>
      </c>
      <c r="S227" s="82" t="s">
        <v>261</v>
      </c>
      <c r="T227" t="s">
        <v>262</v>
      </c>
      <c r="U227" t="s">
        <v>263</v>
      </c>
      <c r="V227" s="2" t="s">
        <v>264</v>
      </c>
      <c r="W227" s="2" t="s">
        <v>65</v>
      </c>
      <c r="Z227" s="2" t="s">
        <v>120</v>
      </c>
      <c r="AA227" s="2" t="s">
        <v>121</v>
      </c>
      <c r="AB227" s="2" t="s">
        <v>66</v>
      </c>
      <c r="AC227" s="2" t="s">
        <v>67</v>
      </c>
    </row>
    <row r="228" spans="1:29" x14ac:dyDescent="0.25">
      <c r="A228" t="s">
        <v>113</v>
      </c>
      <c r="B228" t="s">
        <v>118</v>
      </c>
      <c r="C228" t="s">
        <v>119</v>
      </c>
      <c r="D228" t="s">
        <v>43</v>
      </c>
      <c r="E228" t="s">
        <v>122</v>
      </c>
      <c r="F228" t="s">
        <v>122</v>
      </c>
      <c r="G228" s="2" t="s">
        <v>119</v>
      </c>
      <c r="H228">
        <v>66554</v>
      </c>
      <c r="I228" s="31" t="s">
        <v>259</v>
      </c>
      <c r="J228" s="2" t="s">
        <v>260</v>
      </c>
      <c r="K228" t="s">
        <v>114</v>
      </c>
      <c r="L228" t="s">
        <v>123</v>
      </c>
      <c r="M228" s="2" t="s">
        <v>78</v>
      </c>
      <c r="N228" t="s">
        <v>144</v>
      </c>
      <c r="O228" t="s">
        <v>93</v>
      </c>
      <c r="P228" s="2" t="s">
        <v>112</v>
      </c>
      <c r="Q228" t="s">
        <v>64</v>
      </c>
      <c r="R228" t="s">
        <v>64</v>
      </c>
      <c r="S228" s="82" t="s">
        <v>261</v>
      </c>
      <c r="T228" t="s">
        <v>262</v>
      </c>
      <c r="U228" t="s">
        <v>263</v>
      </c>
      <c r="V228" s="2" t="s">
        <v>264</v>
      </c>
      <c r="W228" s="2" t="s">
        <v>65</v>
      </c>
      <c r="Z228" s="2" t="s">
        <v>120</v>
      </c>
      <c r="AA228" s="2" t="s">
        <v>121</v>
      </c>
      <c r="AB228" s="2" t="s">
        <v>66</v>
      </c>
      <c r="AC228" s="2" t="s">
        <v>67</v>
      </c>
    </row>
    <row r="229" spans="1:29" x14ac:dyDescent="0.25">
      <c r="A229" t="s">
        <v>113</v>
      </c>
      <c r="B229" t="s">
        <v>118</v>
      </c>
      <c r="C229" t="s">
        <v>119</v>
      </c>
      <c r="D229" t="s">
        <v>43</v>
      </c>
      <c r="E229" t="s">
        <v>122</v>
      </c>
      <c r="F229" t="s">
        <v>122</v>
      </c>
      <c r="G229" s="2" t="s">
        <v>119</v>
      </c>
      <c r="H229">
        <v>66554</v>
      </c>
      <c r="I229" s="31" t="s">
        <v>259</v>
      </c>
      <c r="J229" s="2" t="s">
        <v>260</v>
      </c>
      <c r="K229" t="s">
        <v>114</v>
      </c>
      <c r="L229" t="s">
        <v>123</v>
      </c>
      <c r="M229" s="2" t="s">
        <v>78</v>
      </c>
      <c r="N229" t="s">
        <v>144</v>
      </c>
      <c r="O229" t="s">
        <v>94</v>
      </c>
      <c r="P229" s="2" t="s">
        <v>112</v>
      </c>
      <c r="Q229" t="s">
        <v>64</v>
      </c>
      <c r="R229" t="s">
        <v>64</v>
      </c>
      <c r="S229" s="82" t="s">
        <v>261</v>
      </c>
      <c r="T229" t="s">
        <v>262</v>
      </c>
      <c r="U229" t="s">
        <v>263</v>
      </c>
      <c r="V229" s="2" t="s">
        <v>264</v>
      </c>
      <c r="W229" s="2" t="s">
        <v>65</v>
      </c>
      <c r="Z229" s="2" t="s">
        <v>120</v>
      </c>
      <c r="AA229" s="2" t="s">
        <v>121</v>
      </c>
      <c r="AB229" s="2" t="s">
        <v>66</v>
      </c>
      <c r="AC229" s="2" t="s">
        <v>67</v>
      </c>
    </row>
    <row r="230" spans="1:29" x14ac:dyDescent="0.25">
      <c r="A230" t="s">
        <v>113</v>
      </c>
      <c r="B230" t="s">
        <v>118</v>
      </c>
      <c r="C230" t="s">
        <v>119</v>
      </c>
      <c r="D230" t="s">
        <v>43</v>
      </c>
      <c r="E230" t="s">
        <v>122</v>
      </c>
      <c r="F230" t="s">
        <v>122</v>
      </c>
      <c r="G230" s="2" t="s">
        <v>119</v>
      </c>
      <c r="H230">
        <v>66554</v>
      </c>
      <c r="I230" s="31" t="s">
        <v>259</v>
      </c>
      <c r="J230" s="2" t="s">
        <v>260</v>
      </c>
      <c r="K230" t="s">
        <v>114</v>
      </c>
      <c r="L230" t="s">
        <v>123</v>
      </c>
      <c r="M230" s="2" t="s">
        <v>78</v>
      </c>
      <c r="N230" t="s">
        <v>144</v>
      </c>
      <c r="O230" t="s">
        <v>95</v>
      </c>
      <c r="P230" s="2" t="s">
        <v>112</v>
      </c>
      <c r="Q230" t="s">
        <v>64</v>
      </c>
      <c r="R230" t="s">
        <v>64</v>
      </c>
      <c r="S230" s="82" t="s">
        <v>261</v>
      </c>
      <c r="T230" t="s">
        <v>262</v>
      </c>
      <c r="U230" t="s">
        <v>263</v>
      </c>
      <c r="V230" s="2" t="s">
        <v>264</v>
      </c>
      <c r="W230" s="2" t="s">
        <v>65</v>
      </c>
      <c r="Z230" s="2" t="s">
        <v>120</v>
      </c>
      <c r="AA230" s="2" t="s">
        <v>121</v>
      </c>
      <c r="AB230" s="2" t="s">
        <v>66</v>
      </c>
      <c r="AC230" s="2" t="s">
        <v>67</v>
      </c>
    </row>
    <row r="231" spans="1:29" x14ac:dyDescent="0.25">
      <c r="A231" t="s">
        <v>113</v>
      </c>
      <c r="B231" t="s">
        <v>118</v>
      </c>
      <c r="C231" t="s">
        <v>119</v>
      </c>
      <c r="D231" t="s">
        <v>43</v>
      </c>
      <c r="E231" t="s">
        <v>122</v>
      </c>
      <c r="F231" t="s">
        <v>122</v>
      </c>
      <c r="G231" s="2" t="s">
        <v>119</v>
      </c>
      <c r="H231">
        <v>66554</v>
      </c>
      <c r="I231" s="31" t="s">
        <v>259</v>
      </c>
      <c r="J231" s="2" t="s">
        <v>260</v>
      </c>
      <c r="K231" t="s">
        <v>114</v>
      </c>
      <c r="L231" t="s">
        <v>123</v>
      </c>
      <c r="M231" s="2" t="s">
        <v>78</v>
      </c>
      <c r="N231" t="s">
        <v>144</v>
      </c>
      <c r="O231" t="s">
        <v>96</v>
      </c>
      <c r="P231" s="2" t="s">
        <v>112</v>
      </c>
      <c r="Q231" t="s">
        <v>64</v>
      </c>
      <c r="R231" t="s">
        <v>64</v>
      </c>
      <c r="S231" s="82" t="s">
        <v>261</v>
      </c>
      <c r="T231" t="s">
        <v>262</v>
      </c>
      <c r="U231" t="s">
        <v>263</v>
      </c>
      <c r="V231" s="2" t="s">
        <v>264</v>
      </c>
      <c r="W231" s="2" t="s">
        <v>65</v>
      </c>
      <c r="Z231" s="2" t="s">
        <v>120</v>
      </c>
      <c r="AA231" s="2" t="s">
        <v>121</v>
      </c>
      <c r="AB231" s="2" t="s">
        <v>66</v>
      </c>
      <c r="AC231" s="2" t="s">
        <v>67</v>
      </c>
    </row>
    <row r="232" spans="1:29" x14ac:dyDescent="0.25">
      <c r="A232" t="s">
        <v>113</v>
      </c>
      <c r="B232" t="s">
        <v>118</v>
      </c>
      <c r="C232" t="s">
        <v>119</v>
      </c>
      <c r="D232" t="s">
        <v>43</v>
      </c>
      <c r="E232" t="s">
        <v>122</v>
      </c>
      <c r="F232" t="s">
        <v>122</v>
      </c>
      <c r="G232" s="2" t="s">
        <v>119</v>
      </c>
      <c r="H232">
        <v>66554</v>
      </c>
      <c r="I232" s="31" t="s">
        <v>259</v>
      </c>
      <c r="J232" s="2" t="s">
        <v>260</v>
      </c>
      <c r="K232" t="s">
        <v>114</v>
      </c>
      <c r="L232" t="s">
        <v>123</v>
      </c>
      <c r="M232" s="2" t="s">
        <v>78</v>
      </c>
      <c r="N232" t="s">
        <v>144</v>
      </c>
      <c r="O232" t="s">
        <v>97</v>
      </c>
      <c r="P232" s="2" t="s">
        <v>112</v>
      </c>
      <c r="Q232" t="s">
        <v>64</v>
      </c>
      <c r="R232" t="s">
        <v>64</v>
      </c>
      <c r="S232" s="82" t="s">
        <v>261</v>
      </c>
      <c r="T232" t="s">
        <v>262</v>
      </c>
      <c r="U232" t="s">
        <v>263</v>
      </c>
      <c r="V232" s="2" t="s">
        <v>264</v>
      </c>
      <c r="W232" s="2" t="s">
        <v>65</v>
      </c>
      <c r="Z232" s="2" t="s">
        <v>120</v>
      </c>
      <c r="AA232" s="2" t="s">
        <v>121</v>
      </c>
      <c r="AB232" s="2" t="s">
        <v>66</v>
      </c>
      <c r="AC232" s="2" t="s">
        <v>67</v>
      </c>
    </row>
    <row r="233" spans="1:29" x14ac:dyDescent="0.25">
      <c r="A233" t="s">
        <v>113</v>
      </c>
      <c r="B233" t="s">
        <v>118</v>
      </c>
      <c r="C233" t="s">
        <v>119</v>
      </c>
      <c r="D233" t="s">
        <v>43</v>
      </c>
      <c r="E233" t="s">
        <v>122</v>
      </c>
      <c r="F233" t="s">
        <v>122</v>
      </c>
      <c r="G233" s="2" t="s">
        <v>119</v>
      </c>
      <c r="H233">
        <v>66554</v>
      </c>
      <c r="I233" s="31" t="s">
        <v>259</v>
      </c>
      <c r="J233" s="2" t="s">
        <v>260</v>
      </c>
      <c r="K233" t="s">
        <v>114</v>
      </c>
      <c r="L233" t="s">
        <v>123</v>
      </c>
      <c r="M233" s="2" t="s">
        <v>78</v>
      </c>
      <c r="N233" t="s">
        <v>144</v>
      </c>
      <c r="O233" t="s">
        <v>98</v>
      </c>
      <c r="P233" s="2" t="s">
        <v>20</v>
      </c>
      <c r="Q233" t="s">
        <v>64</v>
      </c>
      <c r="R233" t="s">
        <v>64</v>
      </c>
      <c r="S233" s="82" t="s">
        <v>261</v>
      </c>
      <c r="T233" t="s">
        <v>262</v>
      </c>
      <c r="U233" t="s">
        <v>263</v>
      </c>
      <c r="V233" s="2" t="s">
        <v>264</v>
      </c>
      <c r="W233" s="2" t="s">
        <v>65</v>
      </c>
      <c r="Z233" s="2" t="s">
        <v>120</v>
      </c>
      <c r="AA233" s="2" t="s">
        <v>121</v>
      </c>
      <c r="AB233" s="2" t="s">
        <v>66</v>
      </c>
      <c r="AC233" s="2" t="s">
        <v>67</v>
      </c>
    </row>
    <row r="234" spans="1:29" x14ac:dyDescent="0.25">
      <c r="A234" t="s">
        <v>113</v>
      </c>
      <c r="B234" t="s">
        <v>118</v>
      </c>
      <c r="C234" t="s">
        <v>119</v>
      </c>
      <c r="D234" t="s">
        <v>43</v>
      </c>
      <c r="E234" t="s">
        <v>122</v>
      </c>
      <c r="F234" t="s">
        <v>122</v>
      </c>
      <c r="G234" s="2" t="s">
        <v>119</v>
      </c>
      <c r="H234">
        <v>66554</v>
      </c>
      <c r="I234" s="31" t="s">
        <v>259</v>
      </c>
      <c r="J234" s="2" t="s">
        <v>260</v>
      </c>
      <c r="K234" t="s">
        <v>114</v>
      </c>
      <c r="L234" t="s">
        <v>123</v>
      </c>
      <c r="M234" s="2" t="s">
        <v>78</v>
      </c>
      <c r="N234" t="s">
        <v>144</v>
      </c>
      <c r="O234" t="s">
        <v>99</v>
      </c>
      <c r="P234" s="2" t="s">
        <v>112</v>
      </c>
      <c r="Q234" t="s">
        <v>64</v>
      </c>
      <c r="R234" t="s">
        <v>64</v>
      </c>
      <c r="S234" s="82" t="s">
        <v>261</v>
      </c>
      <c r="T234" t="s">
        <v>262</v>
      </c>
      <c r="U234" t="s">
        <v>263</v>
      </c>
      <c r="V234" s="2" t="s">
        <v>264</v>
      </c>
      <c r="W234" s="2" t="s">
        <v>65</v>
      </c>
      <c r="Z234" s="2" t="s">
        <v>120</v>
      </c>
      <c r="AA234" s="2" t="s">
        <v>121</v>
      </c>
      <c r="AB234" s="2" t="s">
        <v>66</v>
      </c>
      <c r="AC234" s="2" t="s">
        <v>67</v>
      </c>
    </row>
    <row r="235" spans="1:29" x14ac:dyDescent="0.25">
      <c r="A235" t="s">
        <v>113</v>
      </c>
      <c r="B235" t="s">
        <v>118</v>
      </c>
      <c r="C235" t="s">
        <v>119</v>
      </c>
      <c r="D235" t="s">
        <v>43</v>
      </c>
      <c r="E235" t="s">
        <v>122</v>
      </c>
      <c r="F235" t="s">
        <v>122</v>
      </c>
      <c r="G235" s="2" t="s">
        <v>119</v>
      </c>
      <c r="H235">
        <v>66554</v>
      </c>
      <c r="I235" s="31" t="s">
        <v>259</v>
      </c>
      <c r="J235" s="2" t="s">
        <v>260</v>
      </c>
      <c r="K235" t="s">
        <v>114</v>
      </c>
      <c r="L235" t="s">
        <v>123</v>
      </c>
      <c r="M235" s="2" t="s">
        <v>78</v>
      </c>
      <c r="N235" t="s">
        <v>144</v>
      </c>
      <c r="O235" t="s">
        <v>100</v>
      </c>
      <c r="P235" s="2" t="s">
        <v>112</v>
      </c>
      <c r="Q235" t="s">
        <v>64</v>
      </c>
      <c r="R235" t="s">
        <v>64</v>
      </c>
      <c r="S235" s="82" t="s">
        <v>261</v>
      </c>
      <c r="T235" t="s">
        <v>262</v>
      </c>
      <c r="U235" t="s">
        <v>263</v>
      </c>
      <c r="V235" s="2" t="s">
        <v>264</v>
      </c>
      <c r="W235" s="2" t="s">
        <v>65</v>
      </c>
      <c r="Z235" s="2" t="s">
        <v>120</v>
      </c>
      <c r="AA235" s="2" t="s">
        <v>121</v>
      </c>
      <c r="AB235" s="2" t="s">
        <v>66</v>
      </c>
      <c r="AC235" s="2" t="s">
        <v>67</v>
      </c>
    </row>
    <row r="236" spans="1:29" x14ac:dyDescent="0.25">
      <c r="A236" t="s">
        <v>113</v>
      </c>
      <c r="B236" t="s">
        <v>118</v>
      </c>
      <c r="C236" t="s">
        <v>119</v>
      </c>
      <c r="D236" t="s">
        <v>43</v>
      </c>
      <c r="E236" t="s">
        <v>122</v>
      </c>
      <c r="F236" t="s">
        <v>122</v>
      </c>
      <c r="G236" s="2" t="s">
        <v>119</v>
      </c>
      <c r="H236">
        <v>66554</v>
      </c>
      <c r="I236" s="31" t="s">
        <v>259</v>
      </c>
      <c r="J236" s="2" t="s">
        <v>260</v>
      </c>
      <c r="K236" t="s">
        <v>114</v>
      </c>
      <c r="L236" t="s">
        <v>123</v>
      </c>
      <c r="M236" s="2" t="s">
        <v>78</v>
      </c>
      <c r="N236" t="s">
        <v>144</v>
      </c>
      <c r="O236" t="s">
        <v>101</v>
      </c>
      <c r="P236" s="2" t="s">
        <v>112</v>
      </c>
      <c r="Q236" t="s">
        <v>64</v>
      </c>
      <c r="R236" t="s">
        <v>64</v>
      </c>
      <c r="S236" s="82" t="s">
        <v>261</v>
      </c>
      <c r="T236" t="s">
        <v>262</v>
      </c>
      <c r="U236" t="s">
        <v>263</v>
      </c>
      <c r="V236" s="2" t="s">
        <v>264</v>
      </c>
      <c r="W236" s="2" t="s">
        <v>65</v>
      </c>
      <c r="Z236" s="2" t="s">
        <v>120</v>
      </c>
      <c r="AA236" s="2" t="s">
        <v>121</v>
      </c>
      <c r="AB236" s="2" t="s">
        <v>66</v>
      </c>
      <c r="AC236" s="2" t="s">
        <v>67</v>
      </c>
    </row>
    <row r="237" spans="1:29" x14ac:dyDescent="0.25">
      <c r="A237" t="s">
        <v>113</v>
      </c>
      <c r="B237" t="s">
        <v>118</v>
      </c>
      <c r="C237" t="s">
        <v>119</v>
      </c>
      <c r="D237" t="s">
        <v>43</v>
      </c>
      <c r="E237" t="s">
        <v>122</v>
      </c>
      <c r="F237" t="s">
        <v>122</v>
      </c>
      <c r="G237" s="2" t="s">
        <v>119</v>
      </c>
      <c r="H237">
        <v>66554</v>
      </c>
      <c r="I237" s="31" t="s">
        <v>259</v>
      </c>
      <c r="J237" s="2" t="s">
        <v>260</v>
      </c>
      <c r="K237" t="s">
        <v>114</v>
      </c>
      <c r="L237" t="s">
        <v>123</v>
      </c>
      <c r="M237" s="2" t="s">
        <v>78</v>
      </c>
      <c r="N237" t="s">
        <v>144</v>
      </c>
      <c r="O237" t="s">
        <v>102</v>
      </c>
      <c r="P237" s="2" t="s">
        <v>112</v>
      </c>
      <c r="Q237" t="s">
        <v>64</v>
      </c>
      <c r="R237" t="s">
        <v>64</v>
      </c>
      <c r="S237" s="82" t="s">
        <v>261</v>
      </c>
      <c r="T237" t="s">
        <v>262</v>
      </c>
      <c r="U237" t="s">
        <v>263</v>
      </c>
      <c r="V237" s="2" t="s">
        <v>264</v>
      </c>
      <c r="W237" s="2" t="s">
        <v>65</v>
      </c>
      <c r="Z237" s="2" t="s">
        <v>120</v>
      </c>
      <c r="AA237" s="2" t="s">
        <v>121</v>
      </c>
      <c r="AB237" s="2" t="s">
        <v>66</v>
      </c>
      <c r="AC237" s="2" t="s">
        <v>67</v>
      </c>
    </row>
    <row r="238" spans="1:29" x14ac:dyDescent="0.25">
      <c r="A238" t="s">
        <v>113</v>
      </c>
      <c r="B238" t="s">
        <v>118</v>
      </c>
      <c r="C238" t="s">
        <v>119</v>
      </c>
      <c r="D238" t="s">
        <v>43</v>
      </c>
      <c r="E238" t="s">
        <v>122</v>
      </c>
      <c r="F238" t="s">
        <v>122</v>
      </c>
      <c r="G238" s="2" t="s">
        <v>119</v>
      </c>
      <c r="H238">
        <v>66554</v>
      </c>
      <c r="I238" s="31" t="s">
        <v>259</v>
      </c>
      <c r="J238" s="2" t="s">
        <v>260</v>
      </c>
      <c r="K238" t="s">
        <v>114</v>
      </c>
      <c r="L238" t="s">
        <v>123</v>
      </c>
      <c r="M238" s="2" t="s">
        <v>78</v>
      </c>
      <c r="N238" t="s">
        <v>144</v>
      </c>
      <c r="O238" t="s">
        <v>103</v>
      </c>
      <c r="P238" s="2" t="s">
        <v>112</v>
      </c>
      <c r="Q238" t="s">
        <v>64</v>
      </c>
      <c r="R238" t="s">
        <v>64</v>
      </c>
      <c r="S238" s="82" t="s">
        <v>261</v>
      </c>
      <c r="T238" t="s">
        <v>262</v>
      </c>
      <c r="U238" t="s">
        <v>263</v>
      </c>
      <c r="V238" s="2" t="s">
        <v>264</v>
      </c>
      <c r="W238" s="2" t="s">
        <v>65</v>
      </c>
      <c r="Z238" s="2" t="s">
        <v>120</v>
      </c>
      <c r="AA238" s="2" t="s">
        <v>121</v>
      </c>
      <c r="AB238" s="2" t="s">
        <v>66</v>
      </c>
      <c r="AC238" s="2" t="s">
        <v>67</v>
      </c>
    </row>
    <row r="239" spans="1:29" x14ac:dyDescent="0.25">
      <c r="A239" t="s">
        <v>113</v>
      </c>
      <c r="B239" t="s">
        <v>118</v>
      </c>
      <c r="C239" t="s">
        <v>119</v>
      </c>
      <c r="D239" t="s">
        <v>43</v>
      </c>
      <c r="E239" t="s">
        <v>122</v>
      </c>
      <c r="F239" t="s">
        <v>122</v>
      </c>
      <c r="G239" s="2" t="s">
        <v>119</v>
      </c>
      <c r="H239">
        <v>66554</v>
      </c>
      <c r="I239" s="31" t="s">
        <v>259</v>
      </c>
      <c r="J239" s="2" t="s">
        <v>260</v>
      </c>
      <c r="K239" t="s">
        <v>114</v>
      </c>
      <c r="L239" t="s">
        <v>123</v>
      </c>
      <c r="M239" s="2" t="s">
        <v>78</v>
      </c>
      <c r="N239" t="s">
        <v>144</v>
      </c>
      <c r="O239" t="s">
        <v>104</v>
      </c>
      <c r="P239" s="2" t="s">
        <v>112</v>
      </c>
      <c r="Q239" t="s">
        <v>64</v>
      </c>
      <c r="R239" t="s">
        <v>64</v>
      </c>
      <c r="S239" s="82" t="s">
        <v>261</v>
      </c>
      <c r="T239" t="s">
        <v>262</v>
      </c>
      <c r="U239" t="s">
        <v>263</v>
      </c>
      <c r="V239" s="2" t="s">
        <v>264</v>
      </c>
      <c r="W239" s="2" t="s">
        <v>65</v>
      </c>
      <c r="Z239" s="2" t="s">
        <v>120</v>
      </c>
      <c r="AA239" s="2" t="s">
        <v>121</v>
      </c>
      <c r="AB239" s="2" t="s">
        <v>66</v>
      </c>
      <c r="AC239" s="2" t="s">
        <v>67</v>
      </c>
    </row>
    <row r="240" spans="1:29" x14ac:dyDescent="0.25">
      <c r="A240" t="s">
        <v>113</v>
      </c>
      <c r="B240" t="s">
        <v>118</v>
      </c>
      <c r="C240" t="s">
        <v>119</v>
      </c>
      <c r="D240" t="s">
        <v>43</v>
      </c>
      <c r="E240" t="s">
        <v>122</v>
      </c>
      <c r="F240" t="s">
        <v>122</v>
      </c>
      <c r="G240" s="2" t="s">
        <v>119</v>
      </c>
      <c r="H240">
        <v>66554</v>
      </c>
      <c r="I240" s="31" t="s">
        <v>259</v>
      </c>
      <c r="J240" s="2" t="s">
        <v>260</v>
      </c>
      <c r="K240" t="s">
        <v>114</v>
      </c>
      <c r="L240" t="s">
        <v>123</v>
      </c>
      <c r="M240" s="2" t="s">
        <v>78</v>
      </c>
      <c r="N240" t="s">
        <v>144</v>
      </c>
      <c r="O240" t="s">
        <v>125</v>
      </c>
      <c r="P240" s="2" t="s">
        <v>112</v>
      </c>
      <c r="Q240" t="s">
        <v>64</v>
      </c>
      <c r="R240" t="s">
        <v>64</v>
      </c>
      <c r="S240" s="82" t="s">
        <v>261</v>
      </c>
      <c r="T240" t="s">
        <v>262</v>
      </c>
      <c r="U240" t="s">
        <v>263</v>
      </c>
      <c r="V240" s="2" t="s">
        <v>264</v>
      </c>
      <c r="W240" s="2" t="s">
        <v>65</v>
      </c>
      <c r="Z240" s="2" t="s">
        <v>120</v>
      </c>
      <c r="AA240" s="2" t="s">
        <v>121</v>
      </c>
      <c r="AB240" s="2" t="s">
        <v>66</v>
      </c>
      <c r="AC240" s="2" t="s">
        <v>67</v>
      </c>
    </row>
    <row r="241" spans="1:29" x14ac:dyDescent="0.25">
      <c r="A241" t="s">
        <v>113</v>
      </c>
      <c r="B241" t="s">
        <v>118</v>
      </c>
      <c r="C241" t="s">
        <v>119</v>
      </c>
      <c r="D241" t="s">
        <v>43</v>
      </c>
      <c r="E241" t="s">
        <v>122</v>
      </c>
      <c r="F241" t="s">
        <v>122</v>
      </c>
      <c r="G241" s="2" t="s">
        <v>119</v>
      </c>
      <c r="H241">
        <v>66554</v>
      </c>
      <c r="I241" s="31" t="s">
        <v>259</v>
      </c>
      <c r="J241" s="2" t="s">
        <v>260</v>
      </c>
      <c r="K241" t="s">
        <v>114</v>
      </c>
      <c r="L241" t="s">
        <v>123</v>
      </c>
      <c r="M241" s="2" t="s">
        <v>78</v>
      </c>
      <c r="N241" t="s">
        <v>144</v>
      </c>
      <c r="O241" t="s">
        <v>105</v>
      </c>
      <c r="P241" s="2" t="s">
        <v>117</v>
      </c>
      <c r="Q241" t="s">
        <v>64</v>
      </c>
      <c r="R241" t="s">
        <v>64</v>
      </c>
      <c r="S241" s="82" t="s">
        <v>261</v>
      </c>
      <c r="T241" t="s">
        <v>262</v>
      </c>
      <c r="U241" t="s">
        <v>263</v>
      </c>
      <c r="V241" s="2" t="s">
        <v>264</v>
      </c>
      <c r="W241" s="2" t="s">
        <v>65</v>
      </c>
      <c r="Z241" s="2" t="s">
        <v>120</v>
      </c>
      <c r="AA241" s="2" t="s">
        <v>121</v>
      </c>
      <c r="AB241" s="2" t="s">
        <v>66</v>
      </c>
      <c r="AC241" s="2" t="s">
        <v>67</v>
      </c>
    </row>
    <row r="242" spans="1:29" x14ac:dyDescent="0.25">
      <c r="A242" t="s">
        <v>113</v>
      </c>
      <c r="B242" t="s">
        <v>118</v>
      </c>
      <c r="C242" t="s">
        <v>119</v>
      </c>
      <c r="D242" t="s">
        <v>43</v>
      </c>
      <c r="E242" t="s">
        <v>122</v>
      </c>
      <c r="F242" t="s">
        <v>122</v>
      </c>
      <c r="G242" s="2" t="s">
        <v>119</v>
      </c>
      <c r="H242">
        <v>66554</v>
      </c>
      <c r="I242" s="31" t="s">
        <v>259</v>
      </c>
      <c r="J242" s="2" t="s">
        <v>260</v>
      </c>
      <c r="K242" t="s">
        <v>114</v>
      </c>
      <c r="L242" t="s">
        <v>123</v>
      </c>
      <c r="M242" s="2" t="s">
        <v>78</v>
      </c>
      <c r="N242" t="s">
        <v>144</v>
      </c>
      <c r="O242" t="s">
        <v>130</v>
      </c>
      <c r="P242" s="2" t="s">
        <v>112</v>
      </c>
      <c r="Q242" t="s">
        <v>64</v>
      </c>
      <c r="R242" t="s">
        <v>64</v>
      </c>
      <c r="S242" s="82" t="s">
        <v>261</v>
      </c>
      <c r="T242" t="s">
        <v>262</v>
      </c>
      <c r="U242" t="s">
        <v>263</v>
      </c>
      <c r="V242" s="2" t="s">
        <v>264</v>
      </c>
      <c r="W242" s="2" t="s">
        <v>65</v>
      </c>
      <c r="Z242" s="2" t="s">
        <v>120</v>
      </c>
      <c r="AA242" s="2" t="s">
        <v>121</v>
      </c>
      <c r="AB242" s="2" t="s">
        <v>66</v>
      </c>
      <c r="AC242" s="2" t="s">
        <v>67</v>
      </c>
    </row>
    <row r="243" spans="1:29" x14ac:dyDescent="0.25">
      <c r="A243" t="s">
        <v>113</v>
      </c>
      <c r="B243" t="s">
        <v>118</v>
      </c>
      <c r="C243" t="s">
        <v>119</v>
      </c>
      <c r="D243" t="s">
        <v>43</v>
      </c>
      <c r="E243" t="s">
        <v>122</v>
      </c>
      <c r="F243" t="s">
        <v>122</v>
      </c>
      <c r="G243" s="2" t="s">
        <v>119</v>
      </c>
      <c r="H243">
        <v>66554</v>
      </c>
      <c r="I243" s="31" t="s">
        <v>259</v>
      </c>
      <c r="J243" s="2" t="s">
        <v>260</v>
      </c>
      <c r="K243" t="s">
        <v>114</v>
      </c>
      <c r="L243" t="s">
        <v>123</v>
      </c>
      <c r="M243" s="2" t="s">
        <v>78</v>
      </c>
      <c r="N243" t="s">
        <v>144</v>
      </c>
      <c r="O243" t="s">
        <v>106</v>
      </c>
      <c r="P243" s="2" t="s">
        <v>20</v>
      </c>
      <c r="Q243" t="s">
        <v>64</v>
      </c>
      <c r="R243" t="s">
        <v>64</v>
      </c>
      <c r="S243" s="82" t="s">
        <v>261</v>
      </c>
      <c r="T243" t="s">
        <v>262</v>
      </c>
      <c r="U243" t="s">
        <v>263</v>
      </c>
      <c r="V243" s="2" t="s">
        <v>264</v>
      </c>
      <c r="W243" s="2" t="s">
        <v>65</v>
      </c>
      <c r="Z243" s="2" t="s">
        <v>120</v>
      </c>
      <c r="AA243" s="2" t="s">
        <v>121</v>
      </c>
      <c r="AB243" s="2" t="s">
        <v>66</v>
      </c>
      <c r="AC243" s="2" t="s">
        <v>67</v>
      </c>
    </row>
    <row r="244" spans="1:29" x14ac:dyDescent="0.25">
      <c r="A244" t="s">
        <v>113</v>
      </c>
      <c r="B244" t="s">
        <v>118</v>
      </c>
      <c r="C244" t="s">
        <v>119</v>
      </c>
      <c r="D244" t="s">
        <v>43</v>
      </c>
      <c r="E244" t="s">
        <v>122</v>
      </c>
      <c r="F244" t="s">
        <v>122</v>
      </c>
      <c r="G244" s="2" t="s">
        <v>119</v>
      </c>
      <c r="H244">
        <v>66554</v>
      </c>
      <c r="I244" s="31" t="s">
        <v>259</v>
      </c>
      <c r="J244" s="2" t="s">
        <v>260</v>
      </c>
      <c r="K244" t="s">
        <v>114</v>
      </c>
      <c r="L244" t="s">
        <v>123</v>
      </c>
      <c r="M244" s="2" t="s">
        <v>78</v>
      </c>
      <c r="N244" t="s">
        <v>144</v>
      </c>
      <c r="O244" t="s">
        <v>107</v>
      </c>
      <c r="P244" s="2" t="s">
        <v>265</v>
      </c>
      <c r="Q244" t="s">
        <v>64</v>
      </c>
      <c r="R244" t="s">
        <v>64</v>
      </c>
      <c r="S244" s="82" t="s">
        <v>261</v>
      </c>
      <c r="T244" t="s">
        <v>262</v>
      </c>
      <c r="U244" t="s">
        <v>263</v>
      </c>
      <c r="V244" s="2" t="s">
        <v>264</v>
      </c>
      <c r="W244" s="2" t="s">
        <v>65</v>
      </c>
      <c r="Z244" s="2" t="s">
        <v>120</v>
      </c>
      <c r="AA244" s="2" t="s">
        <v>121</v>
      </c>
      <c r="AB244" s="2" t="s">
        <v>66</v>
      </c>
      <c r="AC244" s="2" t="s">
        <v>67</v>
      </c>
    </row>
    <row r="245" spans="1:29" x14ac:dyDescent="0.25">
      <c r="A245" t="s">
        <v>113</v>
      </c>
      <c r="B245" t="s">
        <v>245</v>
      </c>
      <c r="C245" t="s">
        <v>246</v>
      </c>
      <c r="D245" t="s">
        <v>43</v>
      </c>
      <c r="E245" t="s">
        <v>247</v>
      </c>
      <c r="F245" t="s">
        <v>248</v>
      </c>
      <c r="G245" s="2" t="s">
        <v>246</v>
      </c>
      <c r="H245">
        <v>129909</v>
      </c>
      <c r="I245" s="31" t="s">
        <v>266</v>
      </c>
      <c r="J245" s="2" t="s">
        <v>267</v>
      </c>
      <c r="K245" t="s">
        <v>114</v>
      </c>
      <c r="L245" t="s">
        <v>251</v>
      </c>
      <c r="M245" s="2" t="s">
        <v>78</v>
      </c>
      <c r="N245" t="s">
        <v>144</v>
      </c>
      <c r="O245" t="s">
        <v>87</v>
      </c>
      <c r="P245" s="2" t="s">
        <v>112</v>
      </c>
      <c r="Q245" t="s">
        <v>64</v>
      </c>
      <c r="R245" t="s">
        <v>64</v>
      </c>
      <c r="S245" s="82" t="s">
        <v>268</v>
      </c>
      <c r="T245" t="s">
        <v>269</v>
      </c>
      <c r="U245" t="s">
        <v>270</v>
      </c>
      <c r="V245" s="2" t="s">
        <v>271</v>
      </c>
      <c r="W245" s="2" t="s">
        <v>65</v>
      </c>
      <c r="Z245" s="2" t="s">
        <v>256</v>
      </c>
      <c r="AA245" s="2" t="s">
        <v>257</v>
      </c>
      <c r="AB245" s="2" t="s">
        <v>66</v>
      </c>
      <c r="AC245" s="2" t="s">
        <v>67</v>
      </c>
    </row>
    <row r="246" spans="1:29" x14ac:dyDescent="0.25">
      <c r="A246" t="s">
        <v>113</v>
      </c>
      <c r="B246" t="s">
        <v>245</v>
      </c>
      <c r="C246" t="s">
        <v>246</v>
      </c>
      <c r="D246" t="s">
        <v>43</v>
      </c>
      <c r="E246" t="s">
        <v>247</v>
      </c>
      <c r="F246" t="s">
        <v>248</v>
      </c>
      <c r="G246" s="2" t="s">
        <v>246</v>
      </c>
      <c r="H246">
        <v>129909</v>
      </c>
      <c r="I246" s="31" t="s">
        <v>266</v>
      </c>
      <c r="J246" s="2" t="s">
        <v>267</v>
      </c>
      <c r="K246" t="s">
        <v>114</v>
      </c>
      <c r="L246" t="s">
        <v>251</v>
      </c>
      <c r="M246" s="2" t="s">
        <v>78</v>
      </c>
      <c r="N246" t="s">
        <v>144</v>
      </c>
      <c r="O246" t="s">
        <v>88</v>
      </c>
      <c r="P246" s="2" t="s">
        <v>112</v>
      </c>
      <c r="Q246" t="s">
        <v>64</v>
      </c>
      <c r="R246" t="s">
        <v>64</v>
      </c>
      <c r="S246" s="82" t="s">
        <v>268</v>
      </c>
      <c r="T246" t="s">
        <v>269</v>
      </c>
      <c r="U246" t="s">
        <v>270</v>
      </c>
      <c r="V246" s="2" t="s">
        <v>271</v>
      </c>
      <c r="W246" s="2" t="s">
        <v>65</v>
      </c>
      <c r="Z246" s="2" t="s">
        <v>256</v>
      </c>
      <c r="AA246" s="2" t="s">
        <v>257</v>
      </c>
      <c r="AB246" s="2" t="s">
        <v>66</v>
      </c>
      <c r="AC246" s="2" t="s">
        <v>67</v>
      </c>
    </row>
    <row r="247" spans="1:29" x14ac:dyDescent="0.25">
      <c r="A247" t="s">
        <v>113</v>
      </c>
      <c r="B247" t="s">
        <v>245</v>
      </c>
      <c r="C247" t="s">
        <v>246</v>
      </c>
      <c r="D247" t="s">
        <v>43</v>
      </c>
      <c r="E247" t="s">
        <v>247</v>
      </c>
      <c r="F247" t="s">
        <v>248</v>
      </c>
      <c r="G247" s="2" t="s">
        <v>246</v>
      </c>
      <c r="H247">
        <v>129909</v>
      </c>
      <c r="I247" s="31" t="s">
        <v>266</v>
      </c>
      <c r="J247" s="2" t="s">
        <v>267</v>
      </c>
      <c r="K247" t="s">
        <v>114</v>
      </c>
      <c r="L247" t="s">
        <v>251</v>
      </c>
      <c r="M247" s="2" t="s">
        <v>78</v>
      </c>
      <c r="N247" t="s">
        <v>144</v>
      </c>
      <c r="O247" t="s">
        <v>89</v>
      </c>
      <c r="P247" s="2" t="s">
        <v>112</v>
      </c>
      <c r="Q247" t="s">
        <v>64</v>
      </c>
      <c r="R247" t="s">
        <v>64</v>
      </c>
      <c r="S247" s="82" t="s">
        <v>268</v>
      </c>
      <c r="T247" t="s">
        <v>269</v>
      </c>
      <c r="U247" t="s">
        <v>270</v>
      </c>
      <c r="V247" s="2" t="s">
        <v>271</v>
      </c>
      <c r="W247" s="2" t="s">
        <v>65</v>
      </c>
      <c r="Z247" s="2" t="s">
        <v>256</v>
      </c>
      <c r="AA247" s="2" t="s">
        <v>257</v>
      </c>
      <c r="AB247" s="2" t="s">
        <v>66</v>
      </c>
      <c r="AC247" s="2" t="s">
        <v>67</v>
      </c>
    </row>
    <row r="248" spans="1:29" x14ac:dyDescent="0.25">
      <c r="A248" t="s">
        <v>113</v>
      </c>
      <c r="B248" t="s">
        <v>245</v>
      </c>
      <c r="C248" t="s">
        <v>246</v>
      </c>
      <c r="D248" t="s">
        <v>43</v>
      </c>
      <c r="E248" t="s">
        <v>247</v>
      </c>
      <c r="F248" t="s">
        <v>248</v>
      </c>
      <c r="G248" s="2" t="s">
        <v>246</v>
      </c>
      <c r="H248">
        <v>129909</v>
      </c>
      <c r="I248" s="31" t="s">
        <v>266</v>
      </c>
      <c r="J248" s="2" t="s">
        <v>267</v>
      </c>
      <c r="K248" t="s">
        <v>114</v>
      </c>
      <c r="L248" t="s">
        <v>251</v>
      </c>
      <c r="M248" s="2" t="s">
        <v>78</v>
      </c>
      <c r="N248" t="s">
        <v>144</v>
      </c>
      <c r="O248" t="s">
        <v>90</v>
      </c>
      <c r="P248" s="2" t="s">
        <v>112</v>
      </c>
      <c r="Q248" t="s">
        <v>64</v>
      </c>
      <c r="R248" t="s">
        <v>64</v>
      </c>
      <c r="S248" s="82" t="s">
        <v>268</v>
      </c>
      <c r="T248" t="s">
        <v>269</v>
      </c>
      <c r="U248" t="s">
        <v>270</v>
      </c>
      <c r="V248" s="2" t="s">
        <v>271</v>
      </c>
      <c r="W248" s="2" t="s">
        <v>65</v>
      </c>
      <c r="Z248" s="2" t="s">
        <v>256</v>
      </c>
      <c r="AA248" s="2" t="s">
        <v>257</v>
      </c>
      <c r="AB248" s="2" t="s">
        <v>66</v>
      </c>
      <c r="AC248" s="2" t="s">
        <v>67</v>
      </c>
    </row>
    <row r="249" spans="1:29" x14ac:dyDescent="0.25">
      <c r="A249" t="s">
        <v>113</v>
      </c>
      <c r="B249" t="s">
        <v>245</v>
      </c>
      <c r="C249" t="s">
        <v>246</v>
      </c>
      <c r="D249" t="s">
        <v>43</v>
      </c>
      <c r="E249" t="s">
        <v>247</v>
      </c>
      <c r="F249" t="s">
        <v>248</v>
      </c>
      <c r="G249" s="2" t="s">
        <v>246</v>
      </c>
      <c r="H249">
        <v>129909</v>
      </c>
      <c r="I249" s="31" t="s">
        <v>266</v>
      </c>
      <c r="J249" s="2" t="s">
        <v>267</v>
      </c>
      <c r="K249" t="s">
        <v>114</v>
      </c>
      <c r="L249" t="s">
        <v>251</v>
      </c>
      <c r="M249" s="2" t="s">
        <v>78</v>
      </c>
      <c r="N249" t="s">
        <v>144</v>
      </c>
      <c r="O249" t="s">
        <v>35</v>
      </c>
      <c r="P249" s="2" t="s">
        <v>112</v>
      </c>
      <c r="Q249" t="s">
        <v>64</v>
      </c>
      <c r="R249" t="s">
        <v>64</v>
      </c>
      <c r="S249" s="82" t="s">
        <v>268</v>
      </c>
      <c r="T249" t="s">
        <v>269</v>
      </c>
      <c r="U249" t="s">
        <v>270</v>
      </c>
      <c r="V249" s="2" t="s">
        <v>271</v>
      </c>
      <c r="W249" s="2" t="s">
        <v>65</v>
      </c>
      <c r="Z249" s="2" t="s">
        <v>256</v>
      </c>
      <c r="AA249" s="2" t="s">
        <v>257</v>
      </c>
      <c r="AB249" s="2" t="s">
        <v>66</v>
      </c>
      <c r="AC249" s="2" t="s">
        <v>67</v>
      </c>
    </row>
    <row r="250" spans="1:29" x14ac:dyDescent="0.25">
      <c r="A250" t="s">
        <v>113</v>
      </c>
      <c r="B250" t="s">
        <v>245</v>
      </c>
      <c r="C250" t="s">
        <v>246</v>
      </c>
      <c r="D250" t="s">
        <v>43</v>
      </c>
      <c r="E250" t="s">
        <v>247</v>
      </c>
      <c r="F250" t="s">
        <v>248</v>
      </c>
      <c r="G250" s="2" t="s">
        <v>246</v>
      </c>
      <c r="H250">
        <v>129909</v>
      </c>
      <c r="I250" s="31" t="s">
        <v>266</v>
      </c>
      <c r="J250" s="2" t="s">
        <v>267</v>
      </c>
      <c r="K250" t="s">
        <v>114</v>
      </c>
      <c r="L250" t="s">
        <v>251</v>
      </c>
      <c r="M250" s="2" t="s">
        <v>78</v>
      </c>
      <c r="N250" t="s">
        <v>144</v>
      </c>
      <c r="O250" t="s">
        <v>91</v>
      </c>
      <c r="P250" s="2" t="s">
        <v>112</v>
      </c>
      <c r="Q250" t="s">
        <v>64</v>
      </c>
      <c r="R250" t="s">
        <v>64</v>
      </c>
      <c r="S250" s="82" t="s">
        <v>268</v>
      </c>
      <c r="T250" t="s">
        <v>269</v>
      </c>
      <c r="U250" t="s">
        <v>270</v>
      </c>
      <c r="V250" s="2" t="s">
        <v>271</v>
      </c>
      <c r="W250" s="2" t="s">
        <v>65</v>
      </c>
      <c r="Z250" s="2" t="s">
        <v>256</v>
      </c>
      <c r="AA250" s="2" t="s">
        <v>257</v>
      </c>
      <c r="AB250" s="2" t="s">
        <v>66</v>
      </c>
      <c r="AC250" s="2" t="s">
        <v>67</v>
      </c>
    </row>
    <row r="251" spans="1:29" x14ac:dyDescent="0.25">
      <c r="A251" t="s">
        <v>113</v>
      </c>
      <c r="B251" t="s">
        <v>245</v>
      </c>
      <c r="C251" t="s">
        <v>246</v>
      </c>
      <c r="D251" t="s">
        <v>43</v>
      </c>
      <c r="E251" t="s">
        <v>247</v>
      </c>
      <c r="F251" t="s">
        <v>248</v>
      </c>
      <c r="G251" s="2" t="s">
        <v>246</v>
      </c>
      <c r="H251">
        <v>129909</v>
      </c>
      <c r="I251" s="31" t="s">
        <v>266</v>
      </c>
      <c r="J251" s="2" t="s">
        <v>267</v>
      </c>
      <c r="K251" t="s">
        <v>114</v>
      </c>
      <c r="L251" t="s">
        <v>251</v>
      </c>
      <c r="M251" s="2" t="s">
        <v>78</v>
      </c>
      <c r="N251" t="s">
        <v>144</v>
      </c>
      <c r="O251" t="s">
        <v>92</v>
      </c>
      <c r="P251" s="2" t="s">
        <v>112</v>
      </c>
      <c r="Q251" t="s">
        <v>64</v>
      </c>
      <c r="R251" t="s">
        <v>64</v>
      </c>
      <c r="S251" s="82" t="s">
        <v>268</v>
      </c>
      <c r="T251" t="s">
        <v>269</v>
      </c>
      <c r="U251" t="s">
        <v>270</v>
      </c>
      <c r="V251" s="2" t="s">
        <v>271</v>
      </c>
      <c r="W251" s="2" t="s">
        <v>65</v>
      </c>
      <c r="Z251" s="2" t="s">
        <v>256</v>
      </c>
      <c r="AA251" s="2" t="s">
        <v>257</v>
      </c>
      <c r="AB251" s="2" t="s">
        <v>66</v>
      </c>
      <c r="AC251" s="2" t="s">
        <v>67</v>
      </c>
    </row>
    <row r="252" spans="1:29" x14ac:dyDescent="0.25">
      <c r="A252" t="s">
        <v>113</v>
      </c>
      <c r="B252" t="s">
        <v>245</v>
      </c>
      <c r="C252" t="s">
        <v>246</v>
      </c>
      <c r="D252" t="s">
        <v>43</v>
      </c>
      <c r="E252" t="s">
        <v>247</v>
      </c>
      <c r="F252" t="s">
        <v>248</v>
      </c>
      <c r="G252" s="2" t="s">
        <v>246</v>
      </c>
      <c r="H252">
        <v>129909</v>
      </c>
      <c r="I252" s="31" t="s">
        <v>266</v>
      </c>
      <c r="J252" s="2" t="s">
        <v>267</v>
      </c>
      <c r="K252" t="s">
        <v>114</v>
      </c>
      <c r="L252" t="s">
        <v>251</v>
      </c>
      <c r="M252" s="2" t="s">
        <v>78</v>
      </c>
      <c r="N252" t="s">
        <v>144</v>
      </c>
      <c r="O252" t="s">
        <v>93</v>
      </c>
      <c r="P252" s="2" t="s">
        <v>112</v>
      </c>
      <c r="Q252" t="s">
        <v>64</v>
      </c>
      <c r="R252" t="s">
        <v>64</v>
      </c>
      <c r="S252" s="82" t="s">
        <v>268</v>
      </c>
      <c r="T252" t="s">
        <v>269</v>
      </c>
      <c r="U252" t="s">
        <v>270</v>
      </c>
      <c r="V252" s="2" t="s">
        <v>271</v>
      </c>
      <c r="W252" s="2" t="s">
        <v>65</v>
      </c>
      <c r="Z252" s="2" t="s">
        <v>256</v>
      </c>
      <c r="AA252" s="2" t="s">
        <v>257</v>
      </c>
      <c r="AB252" s="2" t="s">
        <v>66</v>
      </c>
      <c r="AC252" s="2" t="s">
        <v>67</v>
      </c>
    </row>
    <row r="253" spans="1:29" x14ac:dyDescent="0.25">
      <c r="A253" t="s">
        <v>113</v>
      </c>
      <c r="B253" t="s">
        <v>245</v>
      </c>
      <c r="C253" t="s">
        <v>246</v>
      </c>
      <c r="D253" t="s">
        <v>43</v>
      </c>
      <c r="E253" t="s">
        <v>247</v>
      </c>
      <c r="F253" t="s">
        <v>248</v>
      </c>
      <c r="G253" s="2" t="s">
        <v>246</v>
      </c>
      <c r="H253">
        <v>129909</v>
      </c>
      <c r="I253" s="31" t="s">
        <v>266</v>
      </c>
      <c r="J253" s="2" t="s">
        <v>267</v>
      </c>
      <c r="K253" t="s">
        <v>114</v>
      </c>
      <c r="L253" t="s">
        <v>251</v>
      </c>
      <c r="M253" s="2" t="s">
        <v>78</v>
      </c>
      <c r="N253" t="s">
        <v>144</v>
      </c>
      <c r="O253" t="s">
        <v>94</v>
      </c>
      <c r="P253" s="2" t="s">
        <v>112</v>
      </c>
      <c r="Q253" t="s">
        <v>64</v>
      </c>
      <c r="R253" t="s">
        <v>64</v>
      </c>
      <c r="S253" s="82" t="s">
        <v>268</v>
      </c>
      <c r="T253" t="s">
        <v>269</v>
      </c>
      <c r="U253" t="s">
        <v>270</v>
      </c>
      <c r="V253" s="2" t="s">
        <v>271</v>
      </c>
      <c r="W253" s="2" t="s">
        <v>65</v>
      </c>
      <c r="Z253" s="2" t="s">
        <v>256</v>
      </c>
      <c r="AA253" s="2" t="s">
        <v>257</v>
      </c>
      <c r="AB253" s="2" t="s">
        <v>66</v>
      </c>
      <c r="AC253" s="2" t="s">
        <v>67</v>
      </c>
    </row>
    <row r="254" spans="1:29" x14ac:dyDescent="0.25">
      <c r="A254" t="s">
        <v>113</v>
      </c>
      <c r="B254" t="s">
        <v>245</v>
      </c>
      <c r="C254" t="s">
        <v>246</v>
      </c>
      <c r="D254" t="s">
        <v>43</v>
      </c>
      <c r="E254" t="s">
        <v>247</v>
      </c>
      <c r="F254" t="s">
        <v>248</v>
      </c>
      <c r="G254" s="2" t="s">
        <v>246</v>
      </c>
      <c r="H254">
        <v>129909</v>
      </c>
      <c r="I254" s="31" t="s">
        <v>266</v>
      </c>
      <c r="J254" s="2" t="s">
        <v>267</v>
      </c>
      <c r="K254" t="s">
        <v>114</v>
      </c>
      <c r="L254" t="s">
        <v>251</v>
      </c>
      <c r="M254" s="2" t="s">
        <v>78</v>
      </c>
      <c r="N254" t="s">
        <v>144</v>
      </c>
      <c r="O254" t="s">
        <v>95</v>
      </c>
      <c r="P254" s="2" t="s">
        <v>112</v>
      </c>
      <c r="Q254" t="s">
        <v>64</v>
      </c>
      <c r="R254" t="s">
        <v>64</v>
      </c>
      <c r="S254" s="82" t="s">
        <v>268</v>
      </c>
      <c r="T254" t="s">
        <v>269</v>
      </c>
      <c r="U254" t="s">
        <v>270</v>
      </c>
      <c r="V254" s="2" t="s">
        <v>271</v>
      </c>
      <c r="W254" s="2" t="s">
        <v>65</v>
      </c>
      <c r="Z254" s="2" t="s">
        <v>256</v>
      </c>
      <c r="AA254" s="2" t="s">
        <v>257</v>
      </c>
      <c r="AB254" s="2" t="s">
        <v>66</v>
      </c>
      <c r="AC254" s="2" t="s">
        <v>67</v>
      </c>
    </row>
    <row r="255" spans="1:29" x14ac:dyDescent="0.25">
      <c r="A255" t="s">
        <v>113</v>
      </c>
      <c r="B255" t="s">
        <v>245</v>
      </c>
      <c r="C255" t="s">
        <v>246</v>
      </c>
      <c r="D255" t="s">
        <v>43</v>
      </c>
      <c r="E255" t="s">
        <v>247</v>
      </c>
      <c r="F255" t="s">
        <v>248</v>
      </c>
      <c r="G255" s="2" t="s">
        <v>246</v>
      </c>
      <c r="H255">
        <v>129909</v>
      </c>
      <c r="I255" s="31" t="s">
        <v>266</v>
      </c>
      <c r="J255" s="2" t="s">
        <v>267</v>
      </c>
      <c r="K255" t="s">
        <v>114</v>
      </c>
      <c r="L255" t="s">
        <v>251</v>
      </c>
      <c r="M255" s="2" t="s">
        <v>78</v>
      </c>
      <c r="N255" t="s">
        <v>144</v>
      </c>
      <c r="O255" t="s">
        <v>96</v>
      </c>
      <c r="P255" s="2" t="s">
        <v>112</v>
      </c>
      <c r="Q255" t="s">
        <v>64</v>
      </c>
      <c r="R255" t="s">
        <v>64</v>
      </c>
      <c r="S255" s="82" t="s">
        <v>268</v>
      </c>
      <c r="T255" t="s">
        <v>269</v>
      </c>
      <c r="U255" t="s">
        <v>270</v>
      </c>
      <c r="V255" s="2" t="s">
        <v>271</v>
      </c>
      <c r="W255" s="2" t="s">
        <v>65</v>
      </c>
      <c r="Z255" s="2" t="s">
        <v>256</v>
      </c>
      <c r="AA255" s="2" t="s">
        <v>257</v>
      </c>
      <c r="AB255" s="2" t="s">
        <v>66</v>
      </c>
      <c r="AC255" s="2" t="s">
        <v>67</v>
      </c>
    </row>
    <row r="256" spans="1:29" x14ac:dyDescent="0.25">
      <c r="A256" t="s">
        <v>113</v>
      </c>
      <c r="B256" t="s">
        <v>245</v>
      </c>
      <c r="C256" t="s">
        <v>246</v>
      </c>
      <c r="D256" t="s">
        <v>43</v>
      </c>
      <c r="E256" t="s">
        <v>247</v>
      </c>
      <c r="F256" t="s">
        <v>248</v>
      </c>
      <c r="G256" s="2" t="s">
        <v>246</v>
      </c>
      <c r="H256">
        <v>129909</v>
      </c>
      <c r="I256" s="31" t="s">
        <v>266</v>
      </c>
      <c r="J256" s="2" t="s">
        <v>267</v>
      </c>
      <c r="K256" t="s">
        <v>114</v>
      </c>
      <c r="L256" t="s">
        <v>251</v>
      </c>
      <c r="M256" s="2" t="s">
        <v>78</v>
      </c>
      <c r="N256" t="s">
        <v>144</v>
      </c>
      <c r="O256" t="s">
        <v>97</v>
      </c>
      <c r="P256" s="2" t="s">
        <v>112</v>
      </c>
      <c r="Q256" t="s">
        <v>64</v>
      </c>
      <c r="R256" t="s">
        <v>64</v>
      </c>
      <c r="S256" s="82" t="s">
        <v>268</v>
      </c>
      <c r="T256" t="s">
        <v>269</v>
      </c>
      <c r="U256" t="s">
        <v>270</v>
      </c>
      <c r="V256" s="2" t="s">
        <v>271</v>
      </c>
      <c r="W256" s="2" t="s">
        <v>65</v>
      </c>
      <c r="Z256" s="2" t="s">
        <v>256</v>
      </c>
      <c r="AA256" s="2" t="s">
        <v>257</v>
      </c>
      <c r="AB256" s="2" t="s">
        <v>66</v>
      </c>
      <c r="AC256" s="2" t="s">
        <v>67</v>
      </c>
    </row>
    <row r="257" spans="1:29" x14ac:dyDescent="0.25">
      <c r="A257" t="s">
        <v>113</v>
      </c>
      <c r="B257" t="s">
        <v>245</v>
      </c>
      <c r="C257" t="s">
        <v>246</v>
      </c>
      <c r="D257" t="s">
        <v>43</v>
      </c>
      <c r="E257" t="s">
        <v>247</v>
      </c>
      <c r="F257" t="s">
        <v>248</v>
      </c>
      <c r="G257" s="2" t="s">
        <v>246</v>
      </c>
      <c r="H257">
        <v>129909</v>
      </c>
      <c r="I257" s="31" t="s">
        <v>266</v>
      </c>
      <c r="J257" s="2" t="s">
        <v>267</v>
      </c>
      <c r="K257" t="s">
        <v>114</v>
      </c>
      <c r="L257" t="s">
        <v>251</v>
      </c>
      <c r="M257" s="2" t="s">
        <v>78</v>
      </c>
      <c r="N257" t="s">
        <v>144</v>
      </c>
      <c r="O257" t="s">
        <v>98</v>
      </c>
      <c r="P257" s="2" t="s">
        <v>112</v>
      </c>
      <c r="Q257" t="s">
        <v>64</v>
      </c>
      <c r="R257" t="s">
        <v>64</v>
      </c>
      <c r="S257" s="82" t="s">
        <v>268</v>
      </c>
      <c r="T257" t="s">
        <v>269</v>
      </c>
      <c r="U257" t="s">
        <v>270</v>
      </c>
      <c r="V257" s="2" t="s">
        <v>271</v>
      </c>
      <c r="W257" s="2" t="s">
        <v>65</v>
      </c>
      <c r="Z257" s="2" t="s">
        <v>256</v>
      </c>
      <c r="AA257" s="2" t="s">
        <v>257</v>
      </c>
      <c r="AB257" s="2" t="s">
        <v>66</v>
      </c>
      <c r="AC257" s="2" t="s">
        <v>67</v>
      </c>
    </row>
    <row r="258" spans="1:29" x14ac:dyDescent="0.25">
      <c r="A258" t="s">
        <v>113</v>
      </c>
      <c r="B258" t="s">
        <v>245</v>
      </c>
      <c r="C258" t="s">
        <v>246</v>
      </c>
      <c r="D258" t="s">
        <v>43</v>
      </c>
      <c r="E258" t="s">
        <v>247</v>
      </c>
      <c r="F258" t="s">
        <v>248</v>
      </c>
      <c r="G258" s="2" t="s">
        <v>246</v>
      </c>
      <c r="H258">
        <v>129909</v>
      </c>
      <c r="I258" s="31" t="s">
        <v>266</v>
      </c>
      <c r="J258" s="2" t="s">
        <v>267</v>
      </c>
      <c r="K258" t="s">
        <v>114</v>
      </c>
      <c r="L258" t="s">
        <v>251</v>
      </c>
      <c r="M258" s="2" t="s">
        <v>78</v>
      </c>
      <c r="N258" t="s">
        <v>144</v>
      </c>
      <c r="O258" t="s">
        <v>99</v>
      </c>
      <c r="P258" s="2" t="s">
        <v>112</v>
      </c>
      <c r="Q258" t="s">
        <v>64</v>
      </c>
      <c r="R258" t="s">
        <v>64</v>
      </c>
      <c r="S258" s="82" t="s">
        <v>268</v>
      </c>
      <c r="T258" t="s">
        <v>269</v>
      </c>
      <c r="U258" t="s">
        <v>270</v>
      </c>
      <c r="V258" s="2" t="s">
        <v>271</v>
      </c>
      <c r="W258" s="2" t="s">
        <v>65</v>
      </c>
      <c r="Z258" s="2" t="s">
        <v>256</v>
      </c>
      <c r="AA258" s="2" t="s">
        <v>257</v>
      </c>
      <c r="AB258" s="2" t="s">
        <v>66</v>
      </c>
      <c r="AC258" s="2" t="s">
        <v>67</v>
      </c>
    </row>
    <row r="259" spans="1:29" x14ac:dyDescent="0.25">
      <c r="A259" t="s">
        <v>113</v>
      </c>
      <c r="B259" t="s">
        <v>245</v>
      </c>
      <c r="C259" t="s">
        <v>246</v>
      </c>
      <c r="D259" t="s">
        <v>43</v>
      </c>
      <c r="E259" t="s">
        <v>247</v>
      </c>
      <c r="F259" t="s">
        <v>248</v>
      </c>
      <c r="G259" s="2" t="s">
        <v>246</v>
      </c>
      <c r="H259">
        <v>129909</v>
      </c>
      <c r="I259" s="31" t="s">
        <v>266</v>
      </c>
      <c r="J259" s="2" t="s">
        <v>267</v>
      </c>
      <c r="K259" t="s">
        <v>114</v>
      </c>
      <c r="L259" t="s">
        <v>251</v>
      </c>
      <c r="M259" s="2" t="s">
        <v>78</v>
      </c>
      <c r="N259" t="s">
        <v>144</v>
      </c>
      <c r="O259" t="s">
        <v>100</v>
      </c>
      <c r="P259" s="2" t="s">
        <v>112</v>
      </c>
      <c r="Q259" t="s">
        <v>64</v>
      </c>
      <c r="R259" t="s">
        <v>64</v>
      </c>
      <c r="S259" s="82" t="s">
        <v>268</v>
      </c>
      <c r="T259" t="s">
        <v>269</v>
      </c>
      <c r="U259" t="s">
        <v>270</v>
      </c>
      <c r="V259" s="2" t="s">
        <v>271</v>
      </c>
      <c r="W259" s="2" t="s">
        <v>65</v>
      </c>
      <c r="Z259" s="2" t="s">
        <v>256</v>
      </c>
      <c r="AA259" s="2" t="s">
        <v>257</v>
      </c>
      <c r="AB259" s="2" t="s">
        <v>66</v>
      </c>
      <c r="AC259" s="2" t="s">
        <v>67</v>
      </c>
    </row>
    <row r="260" spans="1:29" x14ac:dyDescent="0.25">
      <c r="A260" t="s">
        <v>113</v>
      </c>
      <c r="B260" t="s">
        <v>245</v>
      </c>
      <c r="C260" t="s">
        <v>246</v>
      </c>
      <c r="D260" t="s">
        <v>43</v>
      </c>
      <c r="E260" t="s">
        <v>247</v>
      </c>
      <c r="F260" t="s">
        <v>248</v>
      </c>
      <c r="G260" s="2" t="s">
        <v>246</v>
      </c>
      <c r="H260">
        <v>129909</v>
      </c>
      <c r="I260" s="31" t="s">
        <v>266</v>
      </c>
      <c r="J260" s="2" t="s">
        <v>267</v>
      </c>
      <c r="K260" t="s">
        <v>114</v>
      </c>
      <c r="L260" t="s">
        <v>251</v>
      </c>
      <c r="M260" s="2" t="s">
        <v>78</v>
      </c>
      <c r="N260" t="s">
        <v>144</v>
      </c>
      <c r="O260" t="s">
        <v>101</v>
      </c>
      <c r="P260" s="2" t="s">
        <v>112</v>
      </c>
      <c r="Q260" t="s">
        <v>64</v>
      </c>
      <c r="R260" t="s">
        <v>64</v>
      </c>
      <c r="S260" s="82" t="s">
        <v>268</v>
      </c>
      <c r="T260" t="s">
        <v>269</v>
      </c>
      <c r="U260" t="s">
        <v>270</v>
      </c>
      <c r="V260" s="2" t="s">
        <v>271</v>
      </c>
      <c r="W260" s="2" t="s">
        <v>65</v>
      </c>
      <c r="Z260" s="2" t="s">
        <v>256</v>
      </c>
      <c r="AA260" s="2" t="s">
        <v>257</v>
      </c>
      <c r="AB260" s="2" t="s">
        <v>66</v>
      </c>
      <c r="AC260" s="2" t="s">
        <v>67</v>
      </c>
    </row>
    <row r="261" spans="1:29" x14ac:dyDescent="0.25">
      <c r="A261" t="s">
        <v>113</v>
      </c>
      <c r="B261" t="s">
        <v>245</v>
      </c>
      <c r="C261" t="s">
        <v>246</v>
      </c>
      <c r="D261" t="s">
        <v>43</v>
      </c>
      <c r="E261" t="s">
        <v>247</v>
      </c>
      <c r="F261" t="s">
        <v>248</v>
      </c>
      <c r="G261" s="2" t="s">
        <v>246</v>
      </c>
      <c r="H261">
        <v>129909</v>
      </c>
      <c r="I261" s="31" t="s">
        <v>266</v>
      </c>
      <c r="J261" s="2" t="s">
        <v>267</v>
      </c>
      <c r="K261" t="s">
        <v>114</v>
      </c>
      <c r="L261" t="s">
        <v>251</v>
      </c>
      <c r="M261" s="2" t="s">
        <v>78</v>
      </c>
      <c r="N261" t="s">
        <v>144</v>
      </c>
      <c r="O261" t="s">
        <v>102</v>
      </c>
      <c r="P261" s="2" t="s">
        <v>112</v>
      </c>
      <c r="Q261" t="s">
        <v>64</v>
      </c>
      <c r="R261" t="s">
        <v>64</v>
      </c>
      <c r="S261" s="82" t="s">
        <v>268</v>
      </c>
      <c r="T261" t="s">
        <v>269</v>
      </c>
      <c r="U261" t="s">
        <v>270</v>
      </c>
      <c r="V261" s="2" t="s">
        <v>271</v>
      </c>
      <c r="W261" s="2" t="s">
        <v>65</v>
      </c>
      <c r="Z261" s="2" t="s">
        <v>256</v>
      </c>
      <c r="AA261" s="2" t="s">
        <v>257</v>
      </c>
      <c r="AB261" s="2" t="s">
        <v>66</v>
      </c>
      <c r="AC261" s="2" t="s">
        <v>67</v>
      </c>
    </row>
    <row r="262" spans="1:29" x14ac:dyDescent="0.25">
      <c r="A262" t="s">
        <v>113</v>
      </c>
      <c r="B262" t="s">
        <v>245</v>
      </c>
      <c r="C262" t="s">
        <v>246</v>
      </c>
      <c r="D262" t="s">
        <v>43</v>
      </c>
      <c r="E262" t="s">
        <v>247</v>
      </c>
      <c r="F262" t="s">
        <v>248</v>
      </c>
      <c r="G262" s="2" t="s">
        <v>246</v>
      </c>
      <c r="H262">
        <v>129909</v>
      </c>
      <c r="I262" s="31" t="s">
        <v>266</v>
      </c>
      <c r="J262" s="2" t="s">
        <v>267</v>
      </c>
      <c r="K262" t="s">
        <v>114</v>
      </c>
      <c r="L262" t="s">
        <v>251</v>
      </c>
      <c r="M262" s="2" t="s">
        <v>78</v>
      </c>
      <c r="N262" t="s">
        <v>144</v>
      </c>
      <c r="O262" t="s">
        <v>103</v>
      </c>
      <c r="P262" s="2" t="s">
        <v>112</v>
      </c>
      <c r="Q262" t="s">
        <v>64</v>
      </c>
      <c r="R262" t="s">
        <v>64</v>
      </c>
      <c r="S262" s="82" t="s">
        <v>268</v>
      </c>
      <c r="T262" t="s">
        <v>269</v>
      </c>
      <c r="U262" t="s">
        <v>270</v>
      </c>
      <c r="V262" s="2" t="s">
        <v>271</v>
      </c>
      <c r="W262" s="2" t="s">
        <v>65</v>
      </c>
      <c r="Z262" s="2" t="s">
        <v>256</v>
      </c>
      <c r="AA262" s="2" t="s">
        <v>257</v>
      </c>
      <c r="AB262" s="2" t="s">
        <v>66</v>
      </c>
      <c r="AC262" s="2" t="s">
        <v>67</v>
      </c>
    </row>
    <row r="263" spans="1:29" x14ac:dyDescent="0.25">
      <c r="A263" t="s">
        <v>113</v>
      </c>
      <c r="B263" t="s">
        <v>245</v>
      </c>
      <c r="C263" t="s">
        <v>246</v>
      </c>
      <c r="D263" t="s">
        <v>43</v>
      </c>
      <c r="E263" t="s">
        <v>247</v>
      </c>
      <c r="F263" t="s">
        <v>248</v>
      </c>
      <c r="G263" s="2" t="s">
        <v>246</v>
      </c>
      <c r="H263">
        <v>129909</v>
      </c>
      <c r="I263" s="31" t="s">
        <v>266</v>
      </c>
      <c r="J263" s="2" t="s">
        <v>267</v>
      </c>
      <c r="K263" t="s">
        <v>114</v>
      </c>
      <c r="L263" t="s">
        <v>251</v>
      </c>
      <c r="M263" s="2" t="s">
        <v>78</v>
      </c>
      <c r="N263" t="s">
        <v>144</v>
      </c>
      <c r="O263" t="s">
        <v>104</v>
      </c>
      <c r="P263" s="2" t="s">
        <v>112</v>
      </c>
      <c r="Q263" t="s">
        <v>64</v>
      </c>
      <c r="R263" t="s">
        <v>64</v>
      </c>
      <c r="S263" s="82" t="s">
        <v>268</v>
      </c>
      <c r="T263" t="s">
        <v>269</v>
      </c>
      <c r="U263" t="s">
        <v>270</v>
      </c>
      <c r="V263" s="2" t="s">
        <v>271</v>
      </c>
      <c r="W263" s="2" t="s">
        <v>65</v>
      </c>
      <c r="Z263" s="2" t="s">
        <v>256</v>
      </c>
      <c r="AA263" s="2" t="s">
        <v>257</v>
      </c>
      <c r="AB263" s="2" t="s">
        <v>66</v>
      </c>
      <c r="AC263" s="2" t="s">
        <v>67</v>
      </c>
    </row>
    <row r="264" spans="1:29" x14ac:dyDescent="0.25">
      <c r="A264" t="s">
        <v>113</v>
      </c>
      <c r="B264" t="s">
        <v>245</v>
      </c>
      <c r="C264" t="s">
        <v>246</v>
      </c>
      <c r="D264" t="s">
        <v>43</v>
      </c>
      <c r="E264" t="s">
        <v>247</v>
      </c>
      <c r="F264" t="s">
        <v>248</v>
      </c>
      <c r="G264" s="2" t="s">
        <v>246</v>
      </c>
      <c r="H264">
        <v>129909</v>
      </c>
      <c r="I264" s="31" t="s">
        <v>266</v>
      </c>
      <c r="J264" s="2" t="s">
        <v>267</v>
      </c>
      <c r="K264" t="s">
        <v>114</v>
      </c>
      <c r="L264" t="s">
        <v>251</v>
      </c>
      <c r="M264" s="2" t="s">
        <v>78</v>
      </c>
      <c r="N264" t="s">
        <v>144</v>
      </c>
      <c r="O264" t="s">
        <v>125</v>
      </c>
      <c r="P264" s="2" t="s">
        <v>112</v>
      </c>
      <c r="Q264" t="s">
        <v>64</v>
      </c>
      <c r="R264" t="s">
        <v>64</v>
      </c>
      <c r="S264" s="82" t="s">
        <v>268</v>
      </c>
      <c r="T264" t="s">
        <v>269</v>
      </c>
      <c r="U264" t="s">
        <v>270</v>
      </c>
      <c r="V264" s="2" t="s">
        <v>271</v>
      </c>
      <c r="W264" s="2" t="s">
        <v>65</v>
      </c>
      <c r="Z264" s="2" t="s">
        <v>256</v>
      </c>
      <c r="AA264" s="2" t="s">
        <v>257</v>
      </c>
      <c r="AB264" s="2" t="s">
        <v>66</v>
      </c>
      <c r="AC264" s="2" t="s">
        <v>67</v>
      </c>
    </row>
    <row r="265" spans="1:29" x14ac:dyDescent="0.25">
      <c r="A265" t="s">
        <v>113</v>
      </c>
      <c r="B265" t="s">
        <v>245</v>
      </c>
      <c r="C265" t="s">
        <v>246</v>
      </c>
      <c r="D265" t="s">
        <v>43</v>
      </c>
      <c r="E265" t="s">
        <v>247</v>
      </c>
      <c r="F265" t="s">
        <v>248</v>
      </c>
      <c r="G265" s="2" t="s">
        <v>246</v>
      </c>
      <c r="H265">
        <v>129909</v>
      </c>
      <c r="I265" s="31" t="s">
        <v>266</v>
      </c>
      <c r="J265" s="2" t="s">
        <v>267</v>
      </c>
      <c r="K265" t="s">
        <v>114</v>
      </c>
      <c r="L265" t="s">
        <v>251</v>
      </c>
      <c r="M265" s="2" t="s">
        <v>78</v>
      </c>
      <c r="N265" t="s">
        <v>144</v>
      </c>
      <c r="O265" t="s">
        <v>105</v>
      </c>
      <c r="P265" s="2" t="s">
        <v>117</v>
      </c>
      <c r="Q265" t="s">
        <v>64</v>
      </c>
      <c r="R265" t="s">
        <v>64</v>
      </c>
      <c r="S265" s="82" t="s">
        <v>268</v>
      </c>
      <c r="T265" t="s">
        <v>269</v>
      </c>
      <c r="U265" t="s">
        <v>270</v>
      </c>
      <c r="V265" s="2" t="s">
        <v>271</v>
      </c>
      <c r="W265" s="2" t="s">
        <v>65</v>
      </c>
      <c r="Z265" s="2" t="s">
        <v>256</v>
      </c>
      <c r="AA265" s="2" t="s">
        <v>257</v>
      </c>
      <c r="AB265" s="2" t="s">
        <v>66</v>
      </c>
      <c r="AC265" s="2" t="s">
        <v>67</v>
      </c>
    </row>
    <row r="266" spans="1:29" x14ac:dyDescent="0.25">
      <c r="A266" t="s">
        <v>113</v>
      </c>
      <c r="B266" t="s">
        <v>245</v>
      </c>
      <c r="C266" t="s">
        <v>246</v>
      </c>
      <c r="D266" t="s">
        <v>43</v>
      </c>
      <c r="E266" t="s">
        <v>247</v>
      </c>
      <c r="F266" t="s">
        <v>248</v>
      </c>
      <c r="G266" s="2" t="s">
        <v>246</v>
      </c>
      <c r="H266">
        <v>129909</v>
      </c>
      <c r="I266" s="31" t="s">
        <v>266</v>
      </c>
      <c r="J266" s="2" t="s">
        <v>267</v>
      </c>
      <c r="K266" t="s">
        <v>114</v>
      </c>
      <c r="L266" t="s">
        <v>251</v>
      </c>
      <c r="M266" s="2" t="s">
        <v>78</v>
      </c>
      <c r="N266" t="s">
        <v>144</v>
      </c>
      <c r="O266" t="s">
        <v>130</v>
      </c>
      <c r="P266" s="2" t="s">
        <v>112</v>
      </c>
      <c r="Q266" t="s">
        <v>64</v>
      </c>
      <c r="R266" t="s">
        <v>64</v>
      </c>
      <c r="S266" s="82" t="s">
        <v>268</v>
      </c>
      <c r="T266" t="s">
        <v>269</v>
      </c>
      <c r="U266" t="s">
        <v>270</v>
      </c>
      <c r="V266" s="2" t="s">
        <v>271</v>
      </c>
      <c r="W266" s="2" t="s">
        <v>65</v>
      </c>
      <c r="Z266" s="2" t="s">
        <v>256</v>
      </c>
      <c r="AA266" s="2" t="s">
        <v>257</v>
      </c>
      <c r="AB266" s="2" t="s">
        <v>66</v>
      </c>
      <c r="AC266" s="2" t="s">
        <v>67</v>
      </c>
    </row>
    <row r="267" spans="1:29" x14ac:dyDescent="0.25">
      <c r="A267" t="s">
        <v>113</v>
      </c>
      <c r="B267" t="s">
        <v>245</v>
      </c>
      <c r="C267" t="s">
        <v>246</v>
      </c>
      <c r="D267" t="s">
        <v>43</v>
      </c>
      <c r="E267" t="s">
        <v>247</v>
      </c>
      <c r="F267" t="s">
        <v>248</v>
      </c>
      <c r="G267" s="2" t="s">
        <v>246</v>
      </c>
      <c r="H267">
        <v>129909</v>
      </c>
      <c r="I267" s="31" t="s">
        <v>266</v>
      </c>
      <c r="J267" s="2" t="s">
        <v>267</v>
      </c>
      <c r="K267" t="s">
        <v>114</v>
      </c>
      <c r="L267" t="s">
        <v>251</v>
      </c>
      <c r="M267" s="2" t="s">
        <v>78</v>
      </c>
      <c r="N267" t="s">
        <v>144</v>
      </c>
      <c r="O267" t="s">
        <v>106</v>
      </c>
      <c r="P267" s="2" t="s">
        <v>20</v>
      </c>
      <c r="Q267" t="s">
        <v>64</v>
      </c>
      <c r="R267" t="s">
        <v>64</v>
      </c>
      <c r="S267" s="82" t="s">
        <v>268</v>
      </c>
      <c r="T267" t="s">
        <v>269</v>
      </c>
      <c r="U267" t="s">
        <v>270</v>
      </c>
      <c r="V267" s="2" t="s">
        <v>271</v>
      </c>
      <c r="W267" s="2" t="s">
        <v>65</v>
      </c>
      <c r="Z267" s="2" t="s">
        <v>256</v>
      </c>
      <c r="AA267" s="2" t="s">
        <v>257</v>
      </c>
      <c r="AB267" s="2" t="s">
        <v>66</v>
      </c>
      <c r="AC267" s="2" t="s">
        <v>67</v>
      </c>
    </row>
    <row r="268" spans="1:29" x14ac:dyDescent="0.25">
      <c r="A268" t="s">
        <v>113</v>
      </c>
      <c r="B268" t="s">
        <v>245</v>
      </c>
      <c r="C268" t="s">
        <v>246</v>
      </c>
      <c r="D268" t="s">
        <v>43</v>
      </c>
      <c r="E268" t="s">
        <v>247</v>
      </c>
      <c r="F268" t="s">
        <v>248</v>
      </c>
      <c r="G268" s="2" t="s">
        <v>246</v>
      </c>
      <c r="H268">
        <v>129909</v>
      </c>
      <c r="I268" s="31" t="s">
        <v>266</v>
      </c>
      <c r="J268" s="2" t="s">
        <v>267</v>
      </c>
      <c r="K268" t="s">
        <v>114</v>
      </c>
      <c r="L268" t="s">
        <v>251</v>
      </c>
      <c r="M268" s="2" t="s">
        <v>78</v>
      </c>
      <c r="N268" t="s">
        <v>144</v>
      </c>
      <c r="O268" t="s">
        <v>107</v>
      </c>
      <c r="P268" s="2" t="s">
        <v>272</v>
      </c>
      <c r="Q268" t="s">
        <v>64</v>
      </c>
      <c r="R268" t="s">
        <v>64</v>
      </c>
      <c r="S268" s="82" t="s">
        <v>268</v>
      </c>
      <c r="T268" t="s">
        <v>269</v>
      </c>
      <c r="U268" t="s">
        <v>270</v>
      </c>
      <c r="V268" s="2" t="s">
        <v>271</v>
      </c>
      <c r="W268" s="2" t="s">
        <v>65</v>
      </c>
      <c r="Z268" s="2" t="s">
        <v>256</v>
      </c>
      <c r="AA268" s="2" t="s">
        <v>257</v>
      </c>
      <c r="AB268" s="2" t="s">
        <v>66</v>
      </c>
      <c r="AC268" s="2" t="s">
        <v>67</v>
      </c>
    </row>
    <row r="269" spans="1:29" x14ac:dyDescent="0.25">
      <c r="A269" s="83" t="s">
        <v>113</v>
      </c>
      <c r="B269" s="83" t="s">
        <v>134</v>
      </c>
      <c r="C269" s="83" t="s">
        <v>135</v>
      </c>
      <c r="D269" t="s">
        <v>43</v>
      </c>
      <c r="E269" s="83" t="s">
        <v>136</v>
      </c>
      <c r="F269" s="83" t="s">
        <v>136</v>
      </c>
      <c r="G269" s="84" t="s">
        <v>134</v>
      </c>
      <c r="H269">
        <v>110508</v>
      </c>
      <c r="I269" s="85" t="s">
        <v>273</v>
      </c>
      <c r="J269" s="84" t="s">
        <v>274</v>
      </c>
      <c r="K269" s="83" t="s">
        <v>64</v>
      </c>
      <c r="L269" s="83" t="s">
        <v>137</v>
      </c>
      <c r="M269" s="84" t="s">
        <v>78</v>
      </c>
      <c r="N269" s="83" t="s">
        <v>144</v>
      </c>
      <c r="O269" s="83" t="s">
        <v>87</v>
      </c>
      <c r="P269" s="84" t="s">
        <v>20</v>
      </c>
      <c r="Q269" s="83" t="s">
        <v>64</v>
      </c>
      <c r="R269" s="83" t="s">
        <v>64</v>
      </c>
      <c r="S269" s="86" t="s">
        <v>275</v>
      </c>
      <c r="T269" s="83" t="s">
        <v>276</v>
      </c>
      <c r="U269" s="83" t="s">
        <v>277</v>
      </c>
      <c r="V269" s="84" t="s">
        <v>278</v>
      </c>
      <c r="W269" s="84" t="s">
        <v>65</v>
      </c>
      <c r="X269" s="84"/>
      <c r="Y269" s="84"/>
      <c r="Z269" s="84" t="s">
        <v>138</v>
      </c>
      <c r="AA269" s="84" t="s">
        <v>139</v>
      </c>
      <c r="AB269" s="84" t="s">
        <v>66</v>
      </c>
      <c r="AC269" s="84" t="s">
        <v>67</v>
      </c>
    </row>
    <row r="270" spans="1:29" x14ac:dyDescent="0.25">
      <c r="A270" s="83" t="s">
        <v>113</v>
      </c>
      <c r="B270" s="83" t="s">
        <v>134</v>
      </c>
      <c r="C270" s="83" t="s">
        <v>135</v>
      </c>
      <c r="D270" t="s">
        <v>43</v>
      </c>
      <c r="E270" s="83" t="s">
        <v>136</v>
      </c>
      <c r="F270" s="83" t="s">
        <v>136</v>
      </c>
      <c r="G270" s="84" t="s">
        <v>134</v>
      </c>
      <c r="H270">
        <v>110508</v>
      </c>
      <c r="I270" s="85" t="s">
        <v>273</v>
      </c>
      <c r="J270" s="84" t="s">
        <v>274</v>
      </c>
      <c r="K270" s="83" t="s">
        <v>64</v>
      </c>
      <c r="L270" s="83" t="s">
        <v>137</v>
      </c>
      <c r="M270" s="84" t="s">
        <v>78</v>
      </c>
      <c r="N270" s="83" t="s">
        <v>144</v>
      </c>
      <c r="O270" s="83" t="s">
        <v>88</v>
      </c>
      <c r="P270" s="84" t="s">
        <v>20</v>
      </c>
      <c r="Q270" s="83" t="s">
        <v>64</v>
      </c>
      <c r="R270" s="83" t="s">
        <v>64</v>
      </c>
      <c r="S270" s="86" t="s">
        <v>275</v>
      </c>
      <c r="T270" s="83" t="s">
        <v>276</v>
      </c>
      <c r="U270" s="83" t="s">
        <v>277</v>
      </c>
      <c r="V270" s="84" t="s">
        <v>278</v>
      </c>
      <c r="W270" s="84" t="s">
        <v>65</v>
      </c>
      <c r="X270" s="84"/>
      <c r="Y270" s="84"/>
      <c r="Z270" s="84" t="s">
        <v>138</v>
      </c>
      <c r="AA270" s="84" t="s">
        <v>139</v>
      </c>
      <c r="AB270" s="84" t="s">
        <v>66</v>
      </c>
      <c r="AC270" s="84" t="s">
        <v>67</v>
      </c>
    </row>
    <row r="271" spans="1:29" x14ac:dyDescent="0.25">
      <c r="A271" s="83" t="s">
        <v>113</v>
      </c>
      <c r="B271" s="83" t="s">
        <v>134</v>
      </c>
      <c r="C271" s="83" t="s">
        <v>135</v>
      </c>
      <c r="D271" t="s">
        <v>43</v>
      </c>
      <c r="E271" s="83" t="s">
        <v>136</v>
      </c>
      <c r="F271" s="83" t="s">
        <v>136</v>
      </c>
      <c r="G271" s="84" t="s">
        <v>134</v>
      </c>
      <c r="H271">
        <v>110508</v>
      </c>
      <c r="I271" s="85" t="s">
        <v>273</v>
      </c>
      <c r="J271" s="84" t="s">
        <v>274</v>
      </c>
      <c r="K271" s="83" t="s">
        <v>64</v>
      </c>
      <c r="L271" s="83" t="s">
        <v>137</v>
      </c>
      <c r="M271" s="84" t="s">
        <v>78</v>
      </c>
      <c r="N271" s="83" t="s">
        <v>144</v>
      </c>
      <c r="O271" s="83" t="s">
        <v>89</v>
      </c>
      <c r="P271" s="84" t="s">
        <v>20</v>
      </c>
      <c r="Q271" s="83" t="s">
        <v>64</v>
      </c>
      <c r="R271" s="83" t="s">
        <v>64</v>
      </c>
      <c r="S271" s="86" t="s">
        <v>275</v>
      </c>
      <c r="T271" s="83" t="s">
        <v>276</v>
      </c>
      <c r="U271" s="83" t="s">
        <v>277</v>
      </c>
      <c r="V271" s="84" t="s">
        <v>278</v>
      </c>
      <c r="W271" s="84" t="s">
        <v>65</v>
      </c>
      <c r="X271" s="84"/>
      <c r="Y271" s="84"/>
      <c r="Z271" s="84" t="s">
        <v>138</v>
      </c>
      <c r="AA271" s="84" t="s">
        <v>139</v>
      </c>
      <c r="AB271" s="84" t="s">
        <v>66</v>
      </c>
      <c r="AC271" s="84" t="s">
        <v>67</v>
      </c>
    </row>
    <row r="272" spans="1:29" x14ac:dyDescent="0.25">
      <c r="A272" s="83" t="s">
        <v>113</v>
      </c>
      <c r="B272" s="83" t="s">
        <v>134</v>
      </c>
      <c r="C272" s="83" t="s">
        <v>135</v>
      </c>
      <c r="D272" t="s">
        <v>43</v>
      </c>
      <c r="E272" s="83" t="s">
        <v>136</v>
      </c>
      <c r="F272" s="83" t="s">
        <v>136</v>
      </c>
      <c r="G272" s="84" t="s">
        <v>134</v>
      </c>
      <c r="H272">
        <v>110508</v>
      </c>
      <c r="I272" s="85" t="s">
        <v>273</v>
      </c>
      <c r="J272" s="84" t="s">
        <v>274</v>
      </c>
      <c r="K272" s="83" t="s">
        <v>64</v>
      </c>
      <c r="L272" s="83" t="s">
        <v>137</v>
      </c>
      <c r="M272" s="84" t="s">
        <v>78</v>
      </c>
      <c r="N272" s="83" t="s">
        <v>144</v>
      </c>
      <c r="O272" s="83" t="s">
        <v>90</v>
      </c>
      <c r="P272" s="84" t="s">
        <v>20</v>
      </c>
      <c r="Q272" s="83" t="s">
        <v>64</v>
      </c>
      <c r="R272" s="83" t="s">
        <v>64</v>
      </c>
      <c r="S272" s="86" t="s">
        <v>275</v>
      </c>
      <c r="T272" s="83" t="s">
        <v>276</v>
      </c>
      <c r="U272" s="83" t="s">
        <v>277</v>
      </c>
      <c r="V272" s="84" t="s">
        <v>278</v>
      </c>
      <c r="W272" s="84" t="s">
        <v>65</v>
      </c>
      <c r="X272" s="84"/>
      <c r="Y272" s="84"/>
      <c r="Z272" s="84" t="s">
        <v>138</v>
      </c>
      <c r="AA272" s="84" t="s">
        <v>139</v>
      </c>
      <c r="AB272" s="84" t="s">
        <v>66</v>
      </c>
      <c r="AC272" s="84" t="s">
        <v>67</v>
      </c>
    </row>
    <row r="273" spans="1:29" x14ac:dyDescent="0.25">
      <c r="A273" s="83" t="s">
        <v>113</v>
      </c>
      <c r="B273" s="83" t="s">
        <v>134</v>
      </c>
      <c r="C273" s="83" t="s">
        <v>135</v>
      </c>
      <c r="D273" t="s">
        <v>43</v>
      </c>
      <c r="E273" s="83" t="s">
        <v>136</v>
      </c>
      <c r="F273" s="83" t="s">
        <v>136</v>
      </c>
      <c r="G273" s="84" t="s">
        <v>134</v>
      </c>
      <c r="H273">
        <v>110508</v>
      </c>
      <c r="I273" s="85" t="s">
        <v>273</v>
      </c>
      <c r="J273" s="84" t="s">
        <v>274</v>
      </c>
      <c r="K273" s="83" t="s">
        <v>64</v>
      </c>
      <c r="L273" s="83" t="s">
        <v>137</v>
      </c>
      <c r="M273" s="84" t="s">
        <v>78</v>
      </c>
      <c r="N273" s="83" t="s">
        <v>144</v>
      </c>
      <c r="O273" s="83" t="s">
        <v>35</v>
      </c>
      <c r="P273" s="84" t="s">
        <v>20</v>
      </c>
      <c r="Q273" s="83" t="s">
        <v>64</v>
      </c>
      <c r="R273" s="83" t="s">
        <v>64</v>
      </c>
      <c r="S273" s="86" t="s">
        <v>275</v>
      </c>
      <c r="T273" s="83" t="s">
        <v>276</v>
      </c>
      <c r="U273" s="83" t="s">
        <v>277</v>
      </c>
      <c r="V273" s="84" t="s">
        <v>278</v>
      </c>
      <c r="W273" s="84" t="s">
        <v>65</v>
      </c>
      <c r="X273" s="84"/>
      <c r="Y273" s="84"/>
      <c r="Z273" s="84" t="s">
        <v>138</v>
      </c>
      <c r="AA273" s="84" t="s">
        <v>139</v>
      </c>
      <c r="AB273" s="84" t="s">
        <v>66</v>
      </c>
      <c r="AC273" s="84" t="s">
        <v>67</v>
      </c>
    </row>
    <row r="274" spans="1:29" x14ac:dyDescent="0.25">
      <c r="A274" s="83" t="s">
        <v>113</v>
      </c>
      <c r="B274" s="83" t="s">
        <v>134</v>
      </c>
      <c r="C274" s="83" t="s">
        <v>135</v>
      </c>
      <c r="D274" t="s">
        <v>43</v>
      </c>
      <c r="E274" s="83" t="s">
        <v>136</v>
      </c>
      <c r="F274" s="83" t="s">
        <v>136</v>
      </c>
      <c r="G274" s="84" t="s">
        <v>134</v>
      </c>
      <c r="H274">
        <v>110508</v>
      </c>
      <c r="I274" s="85" t="s">
        <v>273</v>
      </c>
      <c r="J274" s="84" t="s">
        <v>274</v>
      </c>
      <c r="K274" s="83" t="s">
        <v>64</v>
      </c>
      <c r="L274" s="83" t="s">
        <v>137</v>
      </c>
      <c r="M274" s="84" t="s">
        <v>78</v>
      </c>
      <c r="N274" s="83" t="s">
        <v>144</v>
      </c>
      <c r="O274" s="83" t="s">
        <v>91</v>
      </c>
      <c r="P274" s="2" t="s">
        <v>112</v>
      </c>
      <c r="Q274" s="83" t="s">
        <v>64</v>
      </c>
      <c r="R274" s="83" t="s">
        <v>64</v>
      </c>
      <c r="S274" s="86" t="s">
        <v>275</v>
      </c>
      <c r="T274" s="83" t="s">
        <v>276</v>
      </c>
      <c r="U274" s="83" t="s">
        <v>277</v>
      </c>
      <c r="V274" s="84" t="s">
        <v>278</v>
      </c>
      <c r="W274" s="84" t="s">
        <v>65</v>
      </c>
      <c r="X274" s="84"/>
      <c r="Y274" s="84"/>
      <c r="Z274" s="84" t="s">
        <v>138</v>
      </c>
      <c r="AA274" s="84" t="s">
        <v>139</v>
      </c>
      <c r="AB274" s="84" t="s">
        <v>66</v>
      </c>
      <c r="AC274" s="84" t="s">
        <v>67</v>
      </c>
    </row>
    <row r="275" spans="1:29" x14ac:dyDescent="0.25">
      <c r="A275" s="83" t="s">
        <v>113</v>
      </c>
      <c r="B275" s="83" t="s">
        <v>134</v>
      </c>
      <c r="C275" s="83" t="s">
        <v>135</v>
      </c>
      <c r="D275" t="s">
        <v>43</v>
      </c>
      <c r="E275" s="83" t="s">
        <v>136</v>
      </c>
      <c r="F275" s="83" t="s">
        <v>136</v>
      </c>
      <c r="G275" s="84" t="s">
        <v>134</v>
      </c>
      <c r="H275">
        <v>110508</v>
      </c>
      <c r="I275" s="85" t="s">
        <v>273</v>
      </c>
      <c r="J275" s="84" t="s">
        <v>274</v>
      </c>
      <c r="K275" s="83" t="s">
        <v>64</v>
      </c>
      <c r="L275" s="83" t="s">
        <v>137</v>
      </c>
      <c r="M275" s="84" t="s">
        <v>78</v>
      </c>
      <c r="N275" s="83" t="s">
        <v>144</v>
      </c>
      <c r="O275" s="83" t="s">
        <v>92</v>
      </c>
      <c r="P275" s="84" t="s">
        <v>20</v>
      </c>
      <c r="Q275" s="83" t="s">
        <v>64</v>
      </c>
      <c r="R275" s="83" t="s">
        <v>64</v>
      </c>
      <c r="S275" s="86" t="s">
        <v>275</v>
      </c>
      <c r="T275" s="83" t="s">
        <v>276</v>
      </c>
      <c r="U275" s="83" t="s">
        <v>277</v>
      </c>
      <c r="V275" s="84" t="s">
        <v>278</v>
      </c>
      <c r="W275" s="84" t="s">
        <v>65</v>
      </c>
      <c r="X275" s="84"/>
      <c r="Y275" s="84"/>
      <c r="Z275" s="84" t="s">
        <v>138</v>
      </c>
      <c r="AA275" s="84" t="s">
        <v>139</v>
      </c>
      <c r="AB275" s="84" t="s">
        <v>66</v>
      </c>
      <c r="AC275" s="84" t="s">
        <v>67</v>
      </c>
    </row>
    <row r="276" spans="1:29" x14ac:dyDescent="0.25">
      <c r="A276" s="83" t="s">
        <v>113</v>
      </c>
      <c r="B276" s="83" t="s">
        <v>134</v>
      </c>
      <c r="C276" s="83" t="s">
        <v>135</v>
      </c>
      <c r="D276" t="s">
        <v>43</v>
      </c>
      <c r="E276" s="83" t="s">
        <v>136</v>
      </c>
      <c r="F276" s="83" t="s">
        <v>136</v>
      </c>
      <c r="G276" s="84" t="s">
        <v>134</v>
      </c>
      <c r="H276">
        <v>110508</v>
      </c>
      <c r="I276" s="85" t="s">
        <v>273</v>
      </c>
      <c r="J276" s="84" t="s">
        <v>274</v>
      </c>
      <c r="K276" s="83" t="s">
        <v>64</v>
      </c>
      <c r="L276" s="83" t="s">
        <v>137</v>
      </c>
      <c r="M276" s="84" t="s">
        <v>78</v>
      </c>
      <c r="N276" s="83" t="s">
        <v>144</v>
      </c>
      <c r="O276" s="83" t="s">
        <v>93</v>
      </c>
      <c r="P276" s="84" t="s">
        <v>20</v>
      </c>
      <c r="Q276" s="83" t="s">
        <v>64</v>
      </c>
      <c r="R276" s="83" t="s">
        <v>64</v>
      </c>
      <c r="S276" s="86" t="s">
        <v>275</v>
      </c>
      <c r="T276" s="83" t="s">
        <v>276</v>
      </c>
      <c r="U276" s="83" t="s">
        <v>277</v>
      </c>
      <c r="V276" s="84" t="s">
        <v>278</v>
      </c>
      <c r="W276" s="84" t="s">
        <v>65</v>
      </c>
      <c r="X276" s="84"/>
      <c r="Y276" s="84"/>
      <c r="Z276" s="84" t="s">
        <v>138</v>
      </c>
      <c r="AA276" s="84" t="s">
        <v>139</v>
      </c>
      <c r="AB276" s="84" t="s">
        <v>66</v>
      </c>
      <c r="AC276" s="84" t="s">
        <v>67</v>
      </c>
    </row>
    <row r="277" spans="1:29" x14ac:dyDescent="0.25">
      <c r="A277" s="83" t="s">
        <v>113</v>
      </c>
      <c r="B277" s="83" t="s">
        <v>134</v>
      </c>
      <c r="C277" s="83" t="s">
        <v>135</v>
      </c>
      <c r="D277" t="s">
        <v>43</v>
      </c>
      <c r="E277" s="83" t="s">
        <v>136</v>
      </c>
      <c r="F277" s="83" t="s">
        <v>136</v>
      </c>
      <c r="G277" s="84" t="s">
        <v>134</v>
      </c>
      <c r="H277">
        <v>110508</v>
      </c>
      <c r="I277" s="85" t="s">
        <v>273</v>
      </c>
      <c r="J277" s="84" t="s">
        <v>274</v>
      </c>
      <c r="K277" s="83" t="s">
        <v>64</v>
      </c>
      <c r="L277" s="83" t="s">
        <v>137</v>
      </c>
      <c r="M277" s="84" t="s">
        <v>78</v>
      </c>
      <c r="N277" s="83" t="s">
        <v>144</v>
      </c>
      <c r="O277" s="83" t="s">
        <v>94</v>
      </c>
      <c r="P277" s="2" t="s">
        <v>112</v>
      </c>
      <c r="Q277" s="83" t="s">
        <v>64</v>
      </c>
      <c r="R277" s="83" t="s">
        <v>64</v>
      </c>
      <c r="S277" s="86" t="s">
        <v>275</v>
      </c>
      <c r="T277" s="83" t="s">
        <v>276</v>
      </c>
      <c r="U277" s="83" t="s">
        <v>277</v>
      </c>
      <c r="V277" s="84" t="s">
        <v>278</v>
      </c>
      <c r="W277" s="84" t="s">
        <v>65</v>
      </c>
      <c r="X277" s="84"/>
      <c r="Y277" s="84"/>
      <c r="Z277" s="84" t="s">
        <v>138</v>
      </c>
      <c r="AA277" s="84" t="s">
        <v>139</v>
      </c>
      <c r="AB277" s="84" t="s">
        <v>66</v>
      </c>
      <c r="AC277" s="84" t="s">
        <v>67</v>
      </c>
    </row>
    <row r="278" spans="1:29" x14ac:dyDescent="0.25">
      <c r="A278" s="83" t="s">
        <v>113</v>
      </c>
      <c r="B278" s="83" t="s">
        <v>134</v>
      </c>
      <c r="C278" s="83" t="s">
        <v>135</v>
      </c>
      <c r="D278" t="s">
        <v>43</v>
      </c>
      <c r="E278" s="83" t="s">
        <v>136</v>
      </c>
      <c r="F278" s="83" t="s">
        <v>136</v>
      </c>
      <c r="G278" s="84" t="s">
        <v>134</v>
      </c>
      <c r="H278">
        <v>110508</v>
      </c>
      <c r="I278" s="85" t="s">
        <v>273</v>
      </c>
      <c r="J278" s="84" t="s">
        <v>274</v>
      </c>
      <c r="K278" s="83" t="s">
        <v>64</v>
      </c>
      <c r="L278" s="83" t="s">
        <v>137</v>
      </c>
      <c r="M278" s="84" t="s">
        <v>78</v>
      </c>
      <c r="N278" s="83" t="s">
        <v>144</v>
      </c>
      <c r="O278" s="83" t="s">
        <v>95</v>
      </c>
      <c r="P278" s="2" t="s">
        <v>112</v>
      </c>
      <c r="Q278" s="83" t="s">
        <v>64</v>
      </c>
      <c r="R278" s="83" t="s">
        <v>64</v>
      </c>
      <c r="S278" s="86" t="s">
        <v>275</v>
      </c>
      <c r="T278" s="83" t="s">
        <v>276</v>
      </c>
      <c r="U278" s="83" t="s">
        <v>277</v>
      </c>
      <c r="V278" s="84" t="s">
        <v>278</v>
      </c>
      <c r="W278" s="84" t="s">
        <v>65</v>
      </c>
      <c r="X278" s="84"/>
      <c r="Y278" s="84"/>
      <c r="Z278" s="84" t="s">
        <v>138</v>
      </c>
      <c r="AA278" s="84" t="s">
        <v>139</v>
      </c>
      <c r="AB278" s="84" t="s">
        <v>66</v>
      </c>
      <c r="AC278" s="84" t="s">
        <v>67</v>
      </c>
    </row>
    <row r="279" spans="1:29" x14ac:dyDescent="0.25">
      <c r="A279" s="83" t="s">
        <v>113</v>
      </c>
      <c r="B279" s="83" t="s">
        <v>134</v>
      </c>
      <c r="C279" s="83" t="s">
        <v>135</v>
      </c>
      <c r="D279" t="s">
        <v>43</v>
      </c>
      <c r="E279" s="83" t="s">
        <v>136</v>
      </c>
      <c r="F279" s="83" t="s">
        <v>136</v>
      </c>
      <c r="G279" s="84" t="s">
        <v>134</v>
      </c>
      <c r="H279">
        <v>110508</v>
      </c>
      <c r="I279" s="85" t="s">
        <v>273</v>
      </c>
      <c r="J279" s="84" t="s">
        <v>274</v>
      </c>
      <c r="K279" s="83" t="s">
        <v>64</v>
      </c>
      <c r="L279" s="83" t="s">
        <v>137</v>
      </c>
      <c r="M279" s="84" t="s">
        <v>78</v>
      </c>
      <c r="N279" s="83" t="s">
        <v>144</v>
      </c>
      <c r="O279" s="83" t="s">
        <v>96</v>
      </c>
      <c r="P279" s="2" t="s">
        <v>112</v>
      </c>
      <c r="Q279" s="83" t="s">
        <v>64</v>
      </c>
      <c r="R279" s="83" t="s">
        <v>64</v>
      </c>
      <c r="S279" s="86" t="s">
        <v>275</v>
      </c>
      <c r="T279" s="83" t="s">
        <v>276</v>
      </c>
      <c r="U279" s="83" t="s">
        <v>277</v>
      </c>
      <c r="V279" s="84" t="s">
        <v>278</v>
      </c>
      <c r="W279" s="84" t="s">
        <v>65</v>
      </c>
      <c r="X279" s="84"/>
      <c r="Y279" s="84"/>
      <c r="Z279" s="84" t="s">
        <v>138</v>
      </c>
      <c r="AA279" s="84" t="s">
        <v>139</v>
      </c>
      <c r="AB279" s="84" t="s">
        <v>66</v>
      </c>
      <c r="AC279" s="84" t="s">
        <v>67</v>
      </c>
    </row>
    <row r="280" spans="1:29" x14ac:dyDescent="0.25">
      <c r="A280" s="83" t="s">
        <v>113</v>
      </c>
      <c r="B280" s="83" t="s">
        <v>134</v>
      </c>
      <c r="C280" s="83" t="s">
        <v>135</v>
      </c>
      <c r="D280" t="s">
        <v>43</v>
      </c>
      <c r="E280" s="83" t="s">
        <v>136</v>
      </c>
      <c r="F280" s="83" t="s">
        <v>136</v>
      </c>
      <c r="G280" s="84" t="s">
        <v>134</v>
      </c>
      <c r="H280">
        <v>110508</v>
      </c>
      <c r="I280" s="85" t="s">
        <v>273</v>
      </c>
      <c r="J280" s="84" t="s">
        <v>274</v>
      </c>
      <c r="K280" s="83" t="s">
        <v>64</v>
      </c>
      <c r="L280" s="83" t="s">
        <v>137</v>
      </c>
      <c r="M280" s="84" t="s">
        <v>78</v>
      </c>
      <c r="N280" s="83" t="s">
        <v>144</v>
      </c>
      <c r="O280" s="83" t="s">
        <v>97</v>
      </c>
      <c r="P280" s="2" t="s">
        <v>112</v>
      </c>
      <c r="Q280" s="83" t="s">
        <v>64</v>
      </c>
      <c r="R280" s="83" t="s">
        <v>64</v>
      </c>
      <c r="S280" s="86" t="s">
        <v>275</v>
      </c>
      <c r="T280" s="83" t="s">
        <v>276</v>
      </c>
      <c r="U280" s="83" t="s">
        <v>277</v>
      </c>
      <c r="V280" s="84" t="s">
        <v>278</v>
      </c>
      <c r="W280" s="84" t="s">
        <v>65</v>
      </c>
      <c r="X280" s="84"/>
      <c r="Y280" s="84"/>
      <c r="Z280" s="84" t="s">
        <v>138</v>
      </c>
      <c r="AA280" s="84" t="s">
        <v>139</v>
      </c>
      <c r="AB280" s="84" t="s">
        <v>66</v>
      </c>
      <c r="AC280" s="84" t="s">
        <v>67</v>
      </c>
    </row>
    <row r="281" spans="1:29" x14ac:dyDescent="0.25">
      <c r="A281" s="83" t="s">
        <v>113</v>
      </c>
      <c r="B281" s="83" t="s">
        <v>134</v>
      </c>
      <c r="C281" s="83" t="s">
        <v>135</v>
      </c>
      <c r="D281" t="s">
        <v>43</v>
      </c>
      <c r="E281" s="83" t="s">
        <v>136</v>
      </c>
      <c r="F281" s="83" t="s">
        <v>136</v>
      </c>
      <c r="G281" s="84" t="s">
        <v>134</v>
      </c>
      <c r="H281">
        <v>110508</v>
      </c>
      <c r="I281" s="85" t="s">
        <v>273</v>
      </c>
      <c r="J281" s="84" t="s">
        <v>274</v>
      </c>
      <c r="K281" s="83" t="s">
        <v>64</v>
      </c>
      <c r="L281" s="83" t="s">
        <v>137</v>
      </c>
      <c r="M281" s="84" t="s">
        <v>78</v>
      </c>
      <c r="N281" s="83" t="s">
        <v>144</v>
      </c>
      <c r="O281" s="83" t="s">
        <v>98</v>
      </c>
      <c r="P281" s="84" t="s">
        <v>20</v>
      </c>
      <c r="Q281" s="83" t="s">
        <v>64</v>
      </c>
      <c r="R281" s="83" t="s">
        <v>64</v>
      </c>
      <c r="S281" s="86" t="s">
        <v>275</v>
      </c>
      <c r="T281" s="83" t="s">
        <v>276</v>
      </c>
      <c r="U281" s="83" t="s">
        <v>277</v>
      </c>
      <c r="V281" s="84" t="s">
        <v>278</v>
      </c>
      <c r="W281" s="84" t="s">
        <v>65</v>
      </c>
      <c r="X281" s="84"/>
      <c r="Y281" s="84"/>
      <c r="Z281" s="84" t="s">
        <v>138</v>
      </c>
      <c r="AA281" s="84" t="s">
        <v>139</v>
      </c>
      <c r="AB281" s="84" t="s">
        <v>66</v>
      </c>
      <c r="AC281" s="84" t="s">
        <v>67</v>
      </c>
    </row>
    <row r="282" spans="1:29" x14ac:dyDescent="0.25">
      <c r="A282" s="83" t="s">
        <v>113</v>
      </c>
      <c r="B282" s="83" t="s">
        <v>134</v>
      </c>
      <c r="C282" s="83" t="s">
        <v>135</v>
      </c>
      <c r="D282" t="s">
        <v>43</v>
      </c>
      <c r="E282" s="83" t="s">
        <v>136</v>
      </c>
      <c r="F282" s="83" t="s">
        <v>136</v>
      </c>
      <c r="G282" s="84" t="s">
        <v>134</v>
      </c>
      <c r="H282">
        <v>110508</v>
      </c>
      <c r="I282" s="85" t="s">
        <v>273</v>
      </c>
      <c r="J282" s="84" t="s">
        <v>274</v>
      </c>
      <c r="K282" s="83" t="s">
        <v>64</v>
      </c>
      <c r="L282" s="83" t="s">
        <v>137</v>
      </c>
      <c r="M282" s="84" t="s">
        <v>78</v>
      </c>
      <c r="N282" s="83" t="s">
        <v>144</v>
      </c>
      <c r="O282" s="83" t="s">
        <v>99</v>
      </c>
      <c r="P282" s="84" t="s">
        <v>20</v>
      </c>
      <c r="Q282" s="83" t="s">
        <v>64</v>
      </c>
      <c r="R282" s="83" t="s">
        <v>64</v>
      </c>
      <c r="S282" s="86" t="s">
        <v>275</v>
      </c>
      <c r="T282" s="83" t="s">
        <v>276</v>
      </c>
      <c r="U282" s="83" t="s">
        <v>277</v>
      </c>
      <c r="V282" s="84" t="s">
        <v>278</v>
      </c>
      <c r="W282" s="84" t="s">
        <v>65</v>
      </c>
      <c r="X282" s="84"/>
      <c r="Y282" s="84"/>
      <c r="Z282" s="84" t="s">
        <v>138</v>
      </c>
      <c r="AA282" s="84" t="s">
        <v>139</v>
      </c>
      <c r="AB282" s="84" t="s">
        <v>66</v>
      </c>
      <c r="AC282" s="84" t="s">
        <v>67</v>
      </c>
    </row>
    <row r="283" spans="1:29" x14ac:dyDescent="0.25">
      <c r="A283" s="83" t="s">
        <v>113</v>
      </c>
      <c r="B283" s="83" t="s">
        <v>134</v>
      </c>
      <c r="C283" s="83" t="s">
        <v>135</v>
      </c>
      <c r="D283" t="s">
        <v>43</v>
      </c>
      <c r="E283" s="83" t="s">
        <v>136</v>
      </c>
      <c r="F283" s="83" t="s">
        <v>136</v>
      </c>
      <c r="G283" s="84" t="s">
        <v>134</v>
      </c>
      <c r="H283">
        <v>110508</v>
      </c>
      <c r="I283" s="85" t="s">
        <v>273</v>
      </c>
      <c r="J283" s="84" t="s">
        <v>274</v>
      </c>
      <c r="K283" s="83" t="s">
        <v>64</v>
      </c>
      <c r="L283" s="83" t="s">
        <v>137</v>
      </c>
      <c r="M283" s="84" t="s">
        <v>78</v>
      </c>
      <c r="N283" s="83" t="s">
        <v>144</v>
      </c>
      <c r="O283" s="83" t="s">
        <v>100</v>
      </c>
      <c r="P283" s="84" t="s">
        <v>20</v>
      </c>
      <c r="Q283" s="83" t="s">
        <v>64</v>
      </c>
      <c r="R283" s="83" t="s">
        <v>64</v>
      </c>
      <c r="S283" s="86" t="s">
        <v>275</v>
      </c>
      <c r="T283" s="83" t="s">
        <v>276</v>
      </c>
      <c r="U283" s="83" t="s">
        <v>277</v>
      </c>
      <c r="V283" s="84" t="s">
        <v>278</v>
      </c>
      <c r="W283" s="84" t="s">
        <v>65</v>
      </c>
      <c r="X283" s="84"/>
      <c r="Y283" s="84"/>
      <c r="Z283" s="84" t="s">
        <v>138</v>
      </c>
      <c r="AA283" s="84" t="s">
        <v>139</v>
      </c>
      <c r="AB283" s="84" t="s">
        <v>66</v>
      </c>
      <c r="AC283" s="84" t="s">
        <v>67</v>
      </c>
    </row>
    <row r="284" spans="1:29" x14ac:dyDescent="0.25">
      <c r="A284" s="83" t="s">
        <v>113</v>
      </c>
      <c r="B284" s="83" t="s">
        <v>134</v>
      </c>
      <c r="C284" s="83" t="s">
        <v>135</v>
      </c>
      <c r="D284" t="s">
        <v>43</v>
      </c>
      <c r="E284" s="83" t="s">
        <v>136</v>
      </c>
      <c r="F284" s="83" t="s">
        <v>136</v>
      </c>
      <c r="G284" s="84" t="s">
        <v>134</v>
      </c>
      <c r="H284">
        <v>110508</v>
      </c>
      <c r="I284" s="85" t="s">
        <v>273</v>
      </c>
      <c r="J284" s="84" t="s">
        <v>274</v>
      </c>
      <c r="K284" s="83" t="s">
        <v>64</v>
      </c>
      <c r="L284" s="83" t="s">
        <v>137</v>
      </c>
      <c r="M284" s="84" t="s">
        <v>78</v>
      </c>
      <c r="N284" s="83" t="s">
        <v>144</v>
      </c>
      <c r="O284" s="83" t="s">
        <v>101</v>
      </c>
      <c r="P284" s="84" t="s">
        <v>20</v>
      </c>
      <c r="Q284" s="83" t="s">
        <v>64</v>
      </c>
      <c r="R284" s="83" t="s">
        <v>64</v>
      </c>
      <c r="S284" s="86" t="s">
        <v>275</v>
      </c>
      <c r="T284" s="83" t="s">
        <v>276</v>
      </c>
      <c r="U284" s="83" t="s">
        <v>277</v>
      </c>
      <c r="V284" s="84" t="s">
        <v>278</v>
      </c>
      <c r="W284" s="84" t="s">
        <v>65</v>
      </c>
      <c r="X284" s="84"/>
      <c r="Y284" s="84"/>
      <c r="Z284" s="84" t="s">
        <v>138</v>
      </c>
      <c r="AA284" s="84" t="s">
        <v>139</v>
      </c>
      <c r="AB284" s="84" t="s">
        <v>66</v>
      </c>
      <c r="AC284" s="84" t="s">
        <v>67</v>
      </c>
    </row>
    <row r="285" spans="1:29" x14ac:dyDescent="0.25">
      <c r="A285" s="83" t="s">
        <v>113</v>
      </c>
      <c r="B285" s="83" t="s">
        <v>134</v>
      </c>
      <c r="C285" s="83" t="s">
        <v>135</v>
      </c>
      <c r="D285" t="s">
        <v>43</v>
      </c>
      <c r="E285" s="83" t="s">
        <v>136</v>
      </c>
      <c r="F285" s="83" t="s">
        <v>136</v>
      </c>
      <c r="G285" s="84" t="s">
        <v>134</v>
      </c>
      <c r="H285">
        <v>110508</v>
      </c>
      <c r="I285" s="85" t="s">
        <v>273</v>
      </c>
      <c r="J285" s="84" t="s">
        <v>274</v>
      </c>
      <c r="K285" s="83" t="s">
        <v>64</v>
      </c>
      <c r="L285" s="83" t="s">
        <v>137</v>
      </c>
      <c r="M285" s="84" t="s">
        <v>78</v>
      </c>
      <c r="N285" s="83" t="s">
        <v>144</v>
      </c>
      <c r="O285" s="83" t="s">
        <v>102</v>
      </c>
      <c r="P285" s="84" t="s">
        <v>20</v>
      </c>
      <c r="Q285" s="83" t="s">
        <v>64</v>
      </c>
      <c r="R285" s="83" t="s">
        <v>64</v>
      </c>
      <c r="S285" s="86" t="s">
        <v>275</v>
      </c>
      <c r="T285" s="83" t="s">
        <v>276</v>
      </c>
      <c r="U285" s="83" t="s">
        <v>277</v>
      </c>
      <c r="V285" s="84" t="s">
        <v>278</v>
      </c>
      <c r="W285" s="84" t="s">
        <v>65</v>
      </c>
      <c r="X285" s="84"/>
      <c r="Y285" s="84"/>
      <c r="Z285" s="84" t="s">
        <v>138</v>
      </c>
      <c r="AA285" s="84" t="s">
        <v>139</v>
      </c>
      <c r="AB285" s="84" t="s">
        <v>66</v>
      </c>
      <c r="AC285" s="84" t="s">
        <v>67</v>
      </c>
    </row>
    <row r="286" spans="1:29" x14ac:dyDescent="0.25">
      <c r="A286" s="83" t="s">
        <v>113</v>
      </c>
      <c r="B286" s="83" t="s">
        <v>134</v>
      </c>
      <c r="C286" s="83" t="s">
        <v>135</v>
      </c>
      <c r="D286" t="s">
        <v>43</v>
      </c>
      <c r="E286" s="83" t="s">
        <v>136</v>
      </c>
      <c r="F286" s="83" t="s">
        <v>136</v>
      </c>
      <c r="G286" s="84" t="s">
        <v>134</v>
      </c>
      <c r="H286">
        <v>110508</v>
      </c>
      <c r="I286" s="85" t="s">
        <v>273</v>
      </c>
      <c r="J286" s="84" t="s">
        <v>274</v>
      </c>
      <c r="K286" s="83" t="s">
        <v>64</v>
      </c>
      <c r="L286" s="83" t="s">
        <v>137</v>
      </c>
      <c r="M286" s="84" t="s">
        <v>78</v>
      </c>
      <c r="N286" s="83" t="s">
        <v>144</v>
      </c>
      <c r="O286" s="83" t="s">
        <v>103</v>
      </c>
      <c r="P286" s="84" t="s">
        <v>20</v>
      </c>
      <c r="Q286" s="83" t="s">
        <v>64</v>
      </c>
      <c r="R286" s="83" t="s">
        <v>64</v>
      </c>
      <c r="S286" s="86" t="s">
        <v>275</v>
      </c>
      <c r="T286" s="83" t="s">
        <v>276</v>
      </c>
      <c r="U286" s="83" t="s">
        <v>277</v>
      </c>
      <c r="V286" s="84" t="s">
        <v>278</v>
      </c>
      <c r="W286" s="84" t="s">
        <v>65</v>
      </c>
      <c r="X286" s="84"/>
      <c r="Y286" s="84"/>
      <c r="Z286" s="84" t="s">
        <v>138</v>
      </c>
      <c r="AA286" s="84" t="s">
        <v>139</v>
      </c>
      <c r="AB286" s="84" t="s">
        <v>66</v>
      </c>
      <c r="AC286" s="84" t="s">
        <v>67</v>
      </c>
    </row>
    <row r="287" spans="1:29" x14ac:dyDescent="0.25">
      <c r="A287" s="83" t="s">
        <v>113</v>
      </c>
      <c r="B287" s="83" t="s">
        <v>134</v>
      </c>
      <c r="C287" s="83" t="s">
        <v>135</v>
      </c>
      <c r="D287" t="s">
        <v>43</v>
      </c>
      <c r="E287" s="83" t="s">
        <v>136</v>
      </c>
      <c r="F287" s="83" t="s">
        <v>136</v>
      </c>
      <c r="G287" s="84" t="s">
        <v>134</v>
      </c>
      <c r="H287">
        <v>110508</v>
      </c>
      <c r="I287" s="85" t="s">
        <v>273</v>
      </c>
      <c r="J287" s="84" t="s">
        <v>274</v>
      </c>
      <c r="K287" s="83" t="s">
        <v>64</v>
      </c>
      <c r="L287" s="83" t="s">
        <v>137</v>
      </c>
      <c r="M287" s="84" t="s">
        <v>78</v>
      </c>
      <c r="N287" s="83" t="s">
        <v>144</v>
      </c>
      <c r="O287" s="83" t="s">
        <v>104</v>
      </c>
      <c r="P287" s="84" t="s">
        <v>20</v>
      </c>
      <c r="Q287" s="83" t="s">
        <v>64</v>
      </c>
      <c r="R287" s="83" t="s">
        <v>64</v>
      </c>
      <c r="S287" s="86" t="s">
        <v>275</v>
      </c>
      <c r="T287" s="83" t="s">
        <v>276</v>
      </c>
      <c r="U287" s="83" t="s">
        <v>277</v>
      </c>
      <c r="V287" s="84" t="s">
        <v>278</v>
      </c>
      <c r="W287" s="84" t="s">
        <v>65</v>
      </c>
      <c r="X287" s="84"/>
      <c r="Y287" s="84"/>
      <c r="Z287" s="84" t="s">
        <v>138</v>
      </c>
      <c r="AA287" s="84" t="s">
        <v>139</v>
      </c>
      <c r="AB287" s="84" t="s">
        <v>66</v>
      </c>
      <c r="AC287" s="84" t="s">
        <v>67</v>
      </c>
    </row>
    <row r="288" spans="1:29" x14ac:dyDescent="0.25">
      <c r="A288" s="83" t="s">
        <v>113</v>
      </c>
      <c r="B288" s="83" t="s">
        <v>134</v>
      </c>
      <c r="C288" s="83" t="s">
        <v>135</v>
      </c>
      <c r="D288" t="s">
        <v>43</v>
      </c>
      <c r="E288" s="83" t="s">
        <v>136</v>
      </c>
      <c r="F288" s="83" t="s">
        <v>136</v>
      </c>
      <c r="G288" s="84" t="s">
        <v>134</v>
      </c>
      <c r="H288">
        <v>110508</v>
      </c>
      <c r="I288" s="85" t="s">
        <v>273</v>
      </c>
      <c r="J288" s="84" t="s">
        <v>274</v>
      </c>
      <c r="K288" s="83" t="s">
        <v>64</v>
      </c>
      <c r="L288" s="83" t="s">
        <v>137</v>
      </c>
      <c r="M288" s="84" t="s">
        <v>78</v>
      </c>
      <c r="N288" s="83" t="s">
        <v>144</v>
      </c>
      <c r="O288" s="83" t="s">
        <v>125</v>
      </c>
      <c r="P288" s="84" t="s">
        <v>20</v>
      </c>
      <c r="Q288" s="83" t="s">
        <v>64</v>
      </c>
      <c r="R288" s="83" t="s">
        <v>64</v>
      </c>
      <c r="S288" s="86" t="s">
        <v>275</v>
      </c>
      <c r="T288" s="83" t="s">
        <v>276</v>
      </c>
      <c r="U288" s="83" t="s">
        <v>277</v>
      </c>
      <c r="V288" s="84" t="s">
        <v>278</v>
      </c>
      <c r="W288" s="84" t="s">
        <v>65</v>
      </c>
      <c r="X288" s="84"/>
      <c r="Y288" s="84"/>
      <c r="Z288" s="84" t="s">
        <v>138</v>
      </c>
      <c r="AA288" s="84" t="s">
        <v>139</v>
      </c>
      <c r="AB288" s="84" t="s">
        <v>66</v>
      </c>
      <c r="AC288" s="84" t="s">
        <v>67</v>
      </c>
    </row>
    <row r="289" spans="1:29" x14ac:dyDescent="0.25">
      <c r="A289" s="83" t="s">
        <v>113</v>
      </c>
      <c r="B289" s="83" t="s">
        <v>134</v>
      </c>
      <c r="C289" s="83" t="s">
        <v>135</v>
      </c>
      <c r="D289" t="s">
        <v>43</v>
      </c>
      <c r="E289" s="83" t="s">
        <v>136</v>
      </c>
      <c r="F289" s="83" t="s">
        <v>136</v>
      </c>
      <c r="G289" s="84" t="s">
        <v>134</v>
      </c>
      <c r="H289">
        <v>110508</v>
      </c>
      <c r="I289" s="85" t="s">
        <v>273</v>
      </c>
      <c r="J289" s="84" t="s">
        <v>274</v>
      </c>
      <c r="K289" s="83" t="s">
        <v>64</v>
      </c>
      <c r="L289" s="83" t="s">
        <v>137</v>
      </c>
      <c r="M289" s="84" t="s">
        <v>78</v>
      </c>
      <c r="N289" s="83" t="s">
        <v>144</v>
      </c>
      <c r="O289" s="83" t="s">
        <v>105</v>
      </c>
      <c r="P289" s="84" t="s">
        <v>117</v>
      </c>
      <c r="Q289" s="83" t="s">
        <v>64</v>
      </c>
      <c r="R289" s="83" t="s">
        <v>64</v>
      </c>
      <c r="S289" s="86" t="s">
        <v>275</v>
      </c>
      <c r="T289" s="83" t="s">
        <v>276</v>
      </c>
      <c r="U289" s="83" t="s">
        <v>277</v>
      </c>
      <c r="V289" s="84" t="s">
        <v>278</v>
      </c>
      <c r="W289" s="84" t="s">
        <v>65</v>
      </c>
      <c r="X289" s="84"/>
      <c r="Y289" s="84"/>
      <c r="Z289" s="84" t="s">
        <v>138</v>
      </c>
      <c r="AA289" s="84" t="s">
        <v>139</v>
      </c>
      <c r="AB289" s="84" t="s">
        <v>66</v>
      </c>
      <c r="AC289" s="84" t="s">
        <v>67</v>
      </c>
    </row>
    <row r="290" spans="1:29" x14ac:dyDescent="0.25">
      <c r="A290" s="83" t="s">
        <v>113</v>
      </c>
      <c r="B290" s="83" t="s">
        <v>134</v>
      </c>
      <c r="C290" s="83" t="s">
        <v>135</v>
      </c>
      <c r="D290" t="s">
        <v>43</v>
      </c>
      <c r="E290" s="83" t="s">
        <v>136</v>
      </c>
      <c r="F290" s="83" t="s">
        <v>136</v>
      </c>
      <c r="G290" s="84" t="s">
        <v>134</v>
      </c>
      <c r="H290">
        <v>110508</v>
      </c>
      <c r="I290" s="85" t="s">
        <v>273</v>
      </c>
      <c r="J290" s="84" t="s">
        <v>274</v>
      </c>
      <c r="K290" s="83" t="s">
        <v>64</v>
      </c>
      <c r="L290" s="83" t="s">
        <v>137</v>
      </c>
      <c r="M290" s="84" t="s">
        <v>78</v>
      </c>
      <c r="N290" s="83" t="s">
        <v>144</v>
      </c>
      <c r="O290" s="83" t="s">
        <v>130</v>
      </c>
      <c r="P290" s="84" t="s">
        <v>20</v>
      </c>
      <c r="Q290" s="83" t="s">
        <v>64</v>
      </c>
      <c r="R290" s="83" t="s">
        <v>64</v>
      </c>
      <c r="S290" s="86" t="s">
        <v>275</v>
      </c>
      <c r="T290" s="83" t="s">
        <v>276</v>
      </c>
      <c r="U290" s="83" t="s">
        <v>277</v>
      </c>
      <c r="V290" s="84" t="s">
        <v>278</v>
      </c>
      <c r="W290" s="84" t="s">
        <v>65</v>
      </c>
      <c r="X290" s="84"/>
      <c r="Y290" s="84"/>
      <c r="Z290" s="84" t="s">
        <v>138</v>
      </c>
      <c r="AA290" s="84" t="s">
        <v>139</v>
      </c>
      <c r="AB290" s="84" t="s">
        <v>66</v>
      </c>
      <c r="AC290" s="84" t="s">
        <v>67</v>
      </c>
    </row>
    <row r="291" spans="1:29" x14ac:dyDescent="0.25">
      <c r="A291" s="83" t="s">
        <v>113</v>
      </c>
      <c r="B291" s="83" t="s">
        <v>134</v>
      </c>
      <c r="C291" s="83" t="s">
        <v>135</v>
      </c>
      <c r="D291" t="s">
        <v>43</v>
      </c>
      <c r="E291" s="83" t="s">
        <v>136</v>
      </c>
      <c r="F291" s="83" t="s">
        <v>136</v>
      </c>
      <c r="G291" s="84" t="s">
        <v>134</v>
      </c>
      <c r="H291">
        <v>110508</v>
      </c>
      <c r="I291" s="85" t="s">
        <v>273</v>
      </c>
      <c r="J291" s="84" t="s">
        <v>274</v>
      </c>
      <c r="K291" s="83" t="s">
        <v>64</v>
      </c>
      <c r="L291" s="83" t="s">
        <v>137</v>
      </c>
      <c r="M291" s="84" t="s">
        <v>78</v>
      </c>
      <c r="N291" s="83" t="s">
        <v>144</v>
      </c>
      <c r="O291" s="83" t="s">
        <v>106</v>
      </c>
      <c r="P291" s="2" t="s">
        <v>112</v>
      </c>
      <c r="Q291" s="83" t="s">
        <v>64</v>
      </c>
      <c r="R291" s="83" t="s">
        <v>64</v>
      </c>
      <c r="S291" s="86" t="s">
        <v>275</v>
      </c>
      <c r="T291" s="83" t="s">
        <v>276</v>
      </c>
      <c r="U291" s="83" t="s">
        <v>277</v>
      </c>
      <c r="V291" s="84" t="s">
        <v>278</v>
      </c>
      <c r="W291" s="84" t="s">
        <v>65</v>
      </c>
      <c r="X291" s="84"/>
      <c r="Y291" s="84"/>
      <c r="Z291" s="84" t="s">
        <v>138</v>
      </c>
      <c r="AA291" s="84" t="s">
        <v>139</v>
      </c>
      <c r="AB291" s="84" t="s">
        <v>66</v>
      </c>
      <c r="AC291" s="84" t="s">
        <v>67</v>
      </c>
    </row>
  </sheetData>
  <phoneticPr fontId="3" type="noConversion"/>
  <conditionalFormatting sqref="O1:O1048576">
    <cfRule type="duplicateValues" dxfId="544" priority="8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E33-EDDE-4B1B-A585-84A321E83FE9}">
  <sheetPr codeName="Hoja7"/>
  <dimension ref="A1:K30"/>
  <sheetViews>
    <sheetView showGridLines="0" zoomScale="70" zoomScaleNormal="70" workbookViewId="0"/>
  </sheetViews>
  <sheetFormatPr baseColWidth="10" defaultColWidth="11.42578125" defaultRowHeight="15" customHeight="1" x14ac:dyDescent="0.25"/>
  <cols>
    <col min="1" max="1" width="24" style="46" bestFit="1" customWidth="1"/>
    <col min="2" max="2" width="27.140625" style="46" bestFit="1" customWidth="1"/>
    <col min="3" max="3" width="20.140625" style="46" bestFit="1" customWidth="1"/>
    <col min="4" max="4" width="31.140625" customWidth="1"/>
    <col min="5" max="5" width="14.85546875" bestFit="1" customWidth="1"/>
    <col min="6" max="6" width="13.140625" customWidth="1"/>
    <col min="7" max="7" width="75.42578125" bestFit="1" customWidth="1"/>
    <col min="8" max="8" width="41" customWidth="1"/>
    <col min="9" max="9" width="11.42578125" customWidth="1"/>
    <col min="10" max="10" width="29.140625" bestFit="1" customWidth="1"/>
    <col min="11" max="11" width="19.7109375" style="29" bestFit="1" customWidth="1"/>
  </cols>
  <sheetData>
    <row r="1" spans="1:11" ht="15" customHeight="1" x14ac:dyDescent="0.25">
      <c r="A1" s="23" t="s">
        <v>43</v>
      </c>
      <c r="B1" s="23" t="s">
        <v>14</v>
      </c>
      <c r="C1" s="23" t="s">
        <v>15</v>
      </c>
      <c r="D1" s="22" t="s">
        <v>13</v>
      </c>
      <c r="E1" s="38" t="s">
        <v>70</v>
      </c>
      <c r="F1" s="36" t="s">
        <v>71</v>
      </c>
      <c r="G1" s="36" t="s">
        <v>27</v>
      </c>
      <c r="H1" s="37" t="s">
        <v>33</v>
      </c>
      <c r="I1" s="11"/>
      <c r="J1" s="26" t="s">
        <v>13</v>
      </c>
      <c r="K1" s="28" t="s">
        <v>74</v>
      </c>
    </row>
    <row r="2" spans="1:11" ht="15" customHeight="1" x14ac:dyDescent="0.25">
      <c r="A2" s="39">
        <v>0</v>
      </c>
      <c r="B2" s="39">
        <v>0</v>
      </c>
      <c r="C2" s="39">
        <v>0</v>
      </c>
      <c r="D2" s="24" t="s">
        <v>68</v>
      </c>
      <c r="E2" s="39">
        <v>0</v>
      </c>
      <c r="F2" s="19" t="s">
        <v>72</v>
      </c>
      <c r="G2" s="19" t="s">
        <v>87</v>
      </c>
      <c r="H2" s="19"/>
      <c r="J2" s="45" t="s">
        <v>108</v>
      </c>
      <c r="K2" s="44">
        <v>0.1</v>
      </c>
    </row>
    <row r="3" spans="1:11" ht="15" customHeight="1" x14ac:dyDescent="0.25">
      <c r="A3" s="39">
        <v>20</v>
      </c>
      <c r="B3" s="39">
        <v>20</v>
      </c>
      <c r="C3" s="39">
        <v>20</v>
      </c>
      <c r="D3" s="24" t="s">
        <v>17</v>
      </c>
      <c r="E3" s="39">
        <v>20</v>
      </c>
      <c r="F3" s="19" t="s">
        <v>72</v>
      </c>
      <c r="G3" s="19" t="s">
        <v>88</v>
      </c>
      <c r="H3" s="19" t="s">
        <v>20</v>
      </c>
      <c r="J3" s="45" t="s">
        <v>17</v>
      </c>
      <c r="K3" s="44">
        <v>0.2</v>
      </c>
    </row>
    <row r="4" spans="1:11" ht="15" customHeight="1" x14ac:dyDescent="0.25">
      <c r="A4" s="39">
        <f t="shared" ref="A4:C4" si="0">10/10</f>
        <v>1</v>
      </c>
      <c r="B4" s="39">
        <f t="shared" si="0"/>
        <v>1</v>
      </c>
      <c r="C4" s="39">
        <f t="shared" si="0"/>
        <v>1</v>
      </c>
      <c r="D4" s="24" t="s">
        <v>108</v>
      </c>
      <c r="E4" s="39">
        <f>10/10</f>
        <v>1</v>
      </c>
      <c r="F4" s="19" t="s">
        <v>72</v>
      </c>
      <c r="G4" s="19" t="s">
        <v>89</v>
      </c>
      <c r="H4" s="19" t="s">
        <v>20</v>
      </c>
      <c r="J4" s="45" t="s">
        <v>109</v>
      </c>
      <c r="K4" s="44">
        <v>0.3</v>
      </c>
    </row>
    <row r="5" spans="1:11" ht="15" customHeight="1" x14ac:dyDescent="0.25">
      <c r="A5" s="39">
        <f t="shared" ref="A5:E13" si="1">10/10</f>
        <v>1</v>
      </c>
      <c r="B5" s="39">
        <f t="shared" si="1"/>
        <v>1</v>
      </c>
      <c r="C5" s="39">
        <f t="shared" si="1"/>
        <v>1</v>
      </c>
      <c r="D5" s="24" t="s">
        <v>108</v>
      </c>
      <c r="E5" s="39">
        <f t="shared" si="1"/>
        <v>1</v>
      </c>
      <c r="F5" s="19" t="s">
        <v>72</v>
      </c>
      <c r="G5" s="19" t="s">
        <v>90</v>
      </c>
      <c r="H5" s="19" t="s">
        <v>20</v>
      </c>
      <c r="J5" s="45" t="s">
        <v>110</v>
      </c>
      <c r="K5" s="44">
        <v>0.4</v>
      </c>
    </row>
    <row r="6" spans="1:11" ht="15" customHeight="1" x14ac:dyDescent="0.25">
      <c r="A6" s="39">
        <f t="shared" si="1"/>
        <v>1</v>
      </c>
      <c r="B6" s="39">
        <f t="shared" si="1"/>
        <v>1</v>
      </c>
      <c r="C6" s="39">
        <f t="shared" si="1"/>
        <v>1</v>
      </c>
      <c r="D6" s="24" t="s">
        <v>108</v>
      </c>
      <c r="E6" s="39">
        <f t="shared" si="1"/>
        <v>1</v>
      </c>
      <c r="F6" s="19" t="s">
        <v>72</v>
      </c>
      <c r="G6" s="19" t="s">
        <v>35</v>
      </c>
      <c r="H6" s="19" t="s">
        <v>20</v>
      </c>
      <c r="J6" s="27" t="s">
        <v>73</v>
      </c>
      <c r="K6" s="30">
        <f ca="1">SUM(K2:K6)</f>
        <v>1</v>
      </c>
    </row>
    <row r="7" spans="1:11" ht="15" customHeight="1" x14ac:dyDescent="0.25">
      <c r="A7" s="39">
        <f t="shared" si="1"/>
        <v>1</v>
      </c>
      <c r="B7" s="39">
        <f t="shared" si="1"/>
        <v>1</v>
      </c>
      <c r="C7" s="39">
        <f t="shared" si="1"/>
        <v>1</v>
      </c>
      <c r="D7" s="24" t="s">
        <v>108</v>
      </c>
      <c r="E7" s="39">
        <f t="shared" si="1"/>
        <v>1</v>
      </c>
      <c r="F7" s="19" t="s">
        <v>72</v>
      </c>
      <c r="G7" s="19" t="s">
        <v>91</v>
      </c>
      <c r="H7" s="19" t="s">
        <v>112</v>
      </c>
    </row>
    <row r="8" spans="1:11" ht="15" customHeight="1" x14ac:dyDescent="0.25">
      <c r="A8" s="39">
        <f t="shared" si="1"/>
        <v>1</v>
      </c>
      <c r="B8" s="39">
        <f t="shared" si="1"/>
        <v>1</v>
      </c>
      <c r="C8" s="39">
        <f t="shared" si="1"/>
        <v>1</v>
      </c>
      <c r="D8" s="24" t="s">
        <v>108</v>
      </c>
      <c r="E8" s="39">
        <f t="shared" si="1"/>
        <v>1</v>
      </c>
      <c r="F8" s="19" t="s">
        <v>72</v>
      </c>
      <c r="G8" s="19" t="s">
        <v>92</v>
      </c>
      <c r="H8" s="19" t="s">
        <v>20</v>
      </c>
    </row>
    <row r="9" spans="1:11" ht="15" customHeight="1" x14ac:dyDescent="0.25">
      <c r="A9" s="39">
        <f t="shared" si="1"/>
        <v>1</v>
      </c>
      <c r="B9" s="39">
        <f t="shared" si="1"/>
        <v>1</v>
      </c>
      <c r="C9" s="39">
        <f t="shared" si="1"/>
        <v>1</v>
      </c>
      <c r="D9" s="24" t="s">
        <v>108</v>
      </c>
      <c r="E9" s="39">
        <f t="shared" si="1"/>
        <v>1</v>
      </c>
      <c r="F9" s="19" t="s">
        <v>72</v>
      </c>
      <c r="G9" s="19" t="s">
        <v>93</v>
      </c>
      <c r="H9" s="19" t="s">
        <v>20</v>
      </c>
    </row>
    <row r="10" spans="1:11" ht="15" customHeight="1" x14ac:dyDescent="0.25">
      <c r="A10" s="39">
        <f t="shared" si="1"/>
        <v>1</v>
      </c>
      <c r="B10" s="39">
        <f t="shared" si="1"/>
        <v>1</v>
      </c>
      <c r="C10" s="39">
        <f t="shared" si="1"/>
        <v>1</v>
      </c>
      <c r="D10" s="24" t="s">
        <v>108</v>
      </c>
      <c r="E10" s="39">
        <f t="shared" si="1"/>
        <v>1</v>
      </c>
      <c r="F10" s="19" t="s">
        <v>72</v>
      </c>
      <c r="G10" s="19" t="s">
        <v>94</v>
      </c>
      <c r="H10" s="19" t="s">
        <v>112</v>
      </c>
      <c r="K10"/>
    </row>
    <row r="11" spans="1:11" ht="15" customHeight="1" x14ac:dyDescent="0.25">
      <c r="A11" s="39">
        <f t="shared" si="1"/>
        <v>1</v>
      </c>
      <c r="B11" s="39">
        <f t="shared" si="1"/>
        <v>1</v>
      </c>
      <c r="C11" s="39">
        <f t="shared" si="1"/>
        <v>1</v>
      </c>
      <c r="D11" s="24" t="s">
        <v>108</v>
      </c>
      <c r="E11" s="39">
        <f t="shared" si="1"/>
        <v>1</v>
      </c>
      <c r="F11" s="19" t="s">
        <v>72</v>
      </c>
      <c r="G11" s="19" t="s">
        <v>95</v>
      </c>
      <c r="H11" s="19" t="s">
        <v>112</v>
      </c>
      <c r="K11"/>
    </row>
    <row r="12" spans="1:11" ht="15" customHeight="1" x14ac:dyDescent="0.25">
      <c r="A12" s="39">
        <f t="shared" si="1"/>
        <v>1</v>
      </c>
      <c r="B12" s="39">
        <f t="shared" si="1"/>
        <v>1</v>
      </c>
      <c r="C12" s="39">
        <f t="shared" si="1"/>
        <v>1</v>
      </c>
      <c r="D12" s="24" t="s">
        <v>108</v>
      </c>
      <c r="E12" s="39">
        <f t="shared" si="1"/>
        <v>1</v>
      </c>
      <c r="F12" s="19" t="s">
        <v>72</v>
      </c>
      <c r="G12" s="19" t="s">
        <v>96</v>
      </c>
      <c r="H12" s="19" t="s">
        <v>112</v>
      </c>
      <c r="K12"/>
    </row>
    <row r="13" spans="1:11" ht="15" customHeight="1" x14ac:dyDescent="0.25">
      <c r="A13" s="39">
        <f t="shared" si="1"/>
        <v>1</v>
      </c>
      <c r="B13" s="39">
        <f t="shared" si="1"/>
        <v>1</v>
      </c>
      <c r="C13" s="39">
        <f t="shared" si="1"/>
        <v>1</v>
      </c>
      <c r="D13" s="24" t="s">
        <v>108</v>
      </c>
      <c r="E13" s="39">
        <f t="shared" si="1"/>
        <v>1</v>
      </c>
      <c r="F13" s="19" t="s">
        <v>72</v>
      </c>
      <c r="G13" s="19" t="s">
        <v>97</v>
      </c>
      <c r="H13" s="19" t="s">
        <v>112</v>
      </c>
      <c r="K13"/>
    </row>
    <row r="14" spans="1:11" ht="15" customHeight="1" x14ac:dyDescent="0.25">
      <c r="A14" s="39">
        <f t="shared" ref="A14:C21" si="2">30/8</f>
        <v>3.75</v>
      </c>
      <c r="B14" s="39">
        <f t="shared" si="2"/>
        <v>3.75</v>
      </c>
      <c r="C14" s="39">
        <f t="shared" si="2"/>
        <v>3.75</v>
      </c>
      <c r="D14" s="24" t="s">
        <v>111</v>
      </c>
      <c r="E14" s="39">
        <f>30/8</f>
        <v>3.75</v>
      </c>
      <c r="F14" s="19" t="s">
        <v>72</v>
      </c>
      <c r="G14" s="19" t="s">
        <v>98</v>
      </c>
      <c r="H14" s="19" t="s">
        <v>20</v>
      </c>
      <c r="K14"/>
    </row>
    <row r="15" spans="1:11" ht="15" customHeight="1" x14ac:dyDescent="0.25">
      <c r="A15" s="39">
        <f t="shared" si="2"/>
        <v>3.75</v>
      </c>
      <c r="B15" s="39">
        <f t="shared" si="2"/>
        <v>3.75</v>
      </c>
      <c r="C15" s="39">
        <f t="shared" si="2"/>
        <v>3.75</v>
      </c>
      <c r="D15" s="24" t="s">
        <v>111</v>
      </c>
      <c r="E15" s="39">
        <f t="shared" ref="E15:E21" si="3">30/8</f>
        <v>3.75</v>
      </c>
      <c r="F15" s="19" t="s">
        <v>72</v>
      </c>
      <c r="G15" s="19" t="s">
        <v>99</v>
      </c>
      <c r="H15" s="19" t="s">
        <v>20</v>
      </c>
      <c r="K15"/>
    </row>
    <row r="16" spans="1:11" ht="15" customHeight="1" x14ac:dyDescent="0.25">
      <c r="A16" s="39">
        <f t="shared" si="2"/>
        <v>3.75</v>
      </c>
      <c r="B16" s="39">
        <f t="shared" si="2"/>
        <v>3.75</v>
      </c>
      <c r="C16" s="39">
        <f t="shared" si="2"/>
        <v>3.75</v>
      </c>
      <c r="D16" s="24" t="s">
        <v>111</v>
      </c>
      <c r="E16" s="39">
        <f t="shared" si="3"/>
        <v>3.75</v>
      </c>
      <c r="F16" s="19" t="s">
        <v>72</v>
      </c>
      <c r="G16" s="40" t="s">
        <v>100</v>
      </c>
      <c r="H16" s="19" t="s">
        <v>20</v>
      </c>
    </row>
    <row r="17" spans="1:8" ht="15" customHeight="1" x14ac:dyDescent="0.25">
      <c r="A17" s="39">
        <f t="shared" si="2"/>
        <v>3.75</v>
      </c>
      <c r="B17" s="39">
        <f t="shared" si="2"/>
        <v>3.75</v>
      </c>
      <c r="C17" s="39">
        <f t="shared" si="2"/>
        <v>3.75</v>
      </c>
      <c r="D17" s="24" t="s">
        <v>111</v>
      </c>
      <c r="E17" s="39">
        <f t="shared" si="3"/>
        <v>3.75</v>
      </c>
      <c r="F17" s="19" t="s">
        <v>72</v>
      </c>
      <c r="G17" s="40" t="s">
        <v>101</v>
      </c>
      <c r="H17" s="19" t="s">
        <v>20</v>
      </c>
    </row>
    <row r="18" spans="1:8" ht="15" customHeight="1" x14ac:dyDescent="0.25">
      <c r="A18" s="39">
        <f t="shared" si="2"/>
        <v>3.75</v>
      </c>
      <c r="B18" s="39">
        <f t="shared" si="2"/>
        <v>3.75</v>
      </c>
      <c r="C18" s="39">
        <f t="shared" si="2"/>
        <v>3.75</v>
      </c>
      <c r="D18" s="24" t="s">
        <v>111</v>
      </c>
      <c r="E18" s="39">
        <f t="shared" si="3"/>
        <v>3.75</v>
      </c>
      <c r="F18" s="19" t="s">
        <v>72</v>
      </c>
      <c r="G18" s="40" t="s">
        <v>102</v>
      </c>
      <c r="H18" s="19" t="s">
        <v>20</v>
      </c>
    </row>
    <row r="19" spans="1:8" ht="15" customHeight="1" x14ac:dyDescent="0.25">
      <c r="A19" s="39">
        <f t="shared" si="2"/>
        <v>3.75</v>
      </c>
      <c r="B19" s="39">
        <f t="shared" si="2"/>
        <v>3.75</v>
      </c>
      <c r="C19" s="39">
        <f t="shared" si="2"/>
        <v>3.75</v>
      </c>
      <c r="D19" s="24" t="s">
        <v>111</v>
      </c>
      <c r="E19" s="39">
        <f t="shared" si="3"/>
        <v>3.75</v>
      </c>
      <c r="F19" s="19" t="s">
        <v>72</v>
      </c>
      <c r="G19" s="19" t="s">
        <v>103</v>
      </c>
      <c r="H19" s="19" t="s">
        <v>20</v>
      </c>
    </row>
    <row r="20" spans="1:8" ht="15" customHeight="1" x14ac:dyDescent="0.25">
      <c r="A20" s="39">
        <f t="shared" si="2"/>
        <v>3.75</v>
      </c>
      <c r="B20" s="39">
        <f t="shared" si="2"/>
        <v>3.75</v>
      </c>
      <c r="C20" s="39">
        <f t="shared" si="2"/>
        <v>3.75</v>
      </c>
      <c r="D20" s="24" t="s">
        <v>111</v>
      </c>
      <c r="E20" s="39">
        <f t="shared" si="3"/>
        <v>3.75</v>
      </c>
      <c r="F20" s="19" t="s">
        <v>72</v>
      </c>
      <c r="G20" s="19" t="s">
        <v>104</v>
      </c>
      <c r="H20" s="19" t="s">
        <v>20</v>
      </c>
    </row>
    <row r="21" spans="1:8" ht="15" customHeight="1" x14ac:dyDescent="0.25">
      <c r="A21" s="39">
        <f t="shared" si="2"/>
        <v>3.75</v>
      </c>
      <c r="B21" s="39">
        <f t="shared" si="2"/>
        <v>3.75</v>
      </c>
      <c r="C21" s="39">
        <f t="shared" si="2"/>
        <v>3.75</v>
      </c>
      <c r="D21" s="24" t="s">
        <v>111</v>
      </c>
      <c r="E21" s="39">
        <f t="shared" si="3"/>
        <v>3.75</v>
      </c>
      <c r="F21" s="19" t="s">
        <v>72</v>
      </c>
      <c r="G21" s="19" t="s">
        <v>125</v>
      </c>
      <c r="H21" s="19" t="s">
        <v>20</v>
      </c>
    </row>
    <row r="22" spans="1:8" ht="15" customHeight="1" x14ac:dyDescent="0.25">
      <c r="A22" s="39">
        <v>0</v>
      </c>
      <c r="B22" s="39">
        <v>0</v>
      </c>
      <c r="C22" s="39">
        <v>0</v>
      </c>
      <c r="D22" s="24" t="s">
        <v>68</v>
      </c>
      <c r="E22" s="39">
        <v>0</v>
      </c>
      <c r="F22" s="19" t="s">
        <v>72</v>
      </c>
      <c r="G22" s="19" t="s">
        <v>105</v>
      </c>
      <c r="H22" s="19"/>
    </row>
    <row r="23" spans="1:8" ht="15" customHeight="1" x14ac:dyDescent="0.25">
      <c r="A23" s="39">
        <v>0</v>
      </c>
      <c r="B23" s="39">
        <v>0</v>
      </c>
      <c r="C23" s="39">
        <f>40/2</f>
        <v>20</v>
      </c>
      <c r="D23" s="19" t="s">
        <v>110</v>
      </c>
      <c r="E23" s="39">
        <f>40/6</f>
        <v>6.666666666666667</v>
      </c>
      <c r="F23" s="19" t="s">
        <v>72</v>
      </c>
      <c r="G23" s="19" t="s">
        <v>126</v>
      </c>
      <c r="H23" s="19" t="s">
        <v>20</v>
      </c>
    </row>
    <row r="24" spans="1:8" ht="15" customHeight="1" x14ac:dyDescent="0.25">
      <c r="A24" s="39">
        <v>0</v>
      </c>
      <c r="B24" s="39">
        <v>0</v>
      </c>
      <c r="C24" s="39">
        <f t="shared" ref="C24" si="4">40/2</f>
        <v>20</v>
      </c>
      <c r="D24" s="19" t="s">
        <v>110</v>
      </c>
      <c r="E24" s="39">
        <f t="shared" ref="E24:E28" si="5">40/6</f>
        <v>6.666666666666667</v>
      </c>
      <c r="F24" s="19" t="s">
        <v>72</v>
      </c>
      <c r="G24" s="19" t="s">
        <v>127</v>
      </c>
      <c r="H24" s="19" t="s">
        <v>20</v>
      </c>
    </row>
    <row r="25" spans="1:8" ht="15" customHeight="1" x14ac:dyDescent="0.25">
      <c r="A25" s="39">
        <v>0</v>
      </c>
      <c r="B25" s="39">
        <f>40/3</f>
        <v>13.333333333333334</v>
      </c>
      <c r="C25" s="39">
        <v>0</v>
      </c>
      <c r="D25" s="19" t="s">
        <v>110</v>
      </c>
      <c r="E25" s="39">
        <f t="shared" si="5"/>
        <v>6.666666666666667</v>
      </c>
      <c r="F25" s="19" t="s">
        <v>72</v>
      </c>
      <c r="G25" s="19" t="s">
        <v>140</v>
      </c>
      <c r="H25" s="19" t="s">
        <v>20</v>
      </c>
    </row>
    <row r="26" spans="1:8" ht="15" customHeight="1" x14ac:dyDescent="0.25">
      <c r="A26" s="39">
        <v>0</v>
      </c>
      <c r="B26" s="39">
        <f t="shared" ref="B26:B27" si="6">40/3</f>
        <v>13.333333333333334</v>
      </c>
      <c r="C26" s="39">
        <v>0</v>
      </c>
      <c r="D26" s="19" t="s">
        <v>110</v>
      </c>
      <c r="E26" s="39">
        <f t="shared" si="5"/>
        <v>6.666666666666667</v>
      </c>
      <c r="F26" s="19" t="s">
        <v>72</v>
      </c>
      <c r="G26" s="47" t="s">
        <v>128</v>
      </c>
      <c r="H26" s="19" t="s">
        <v>20</v>
      </c>
    </row>
    <row r="27" spans="1:8" ht="15" customHeight="1" x14ac:dyDescent="0.25">
      <c r="A27" s="39">
        <v>0</v>
      </c>
      <c r="B27" s="39">
        <f t="shared" si="6"/>
        <v>13.333333333333334</v>
      </c>
      <c r="C27" s="39">
        <v>0</v>
      </c>
      <c r="D27" s="19" t="s">
        <v>110</v>
      </c>
      <c r="E27" s="39">
        <f t="shared" si="5"/>
        <v>6.666666666666667</v>
      </c>
      <c r="F27" s="19" t="s">
        <v>72</v>
      </c>
      <c r="G27" s="19" t="s">
        <v>129</v>
      </c>
      <c r="H27" s="19" t="s">
        <v>20</v>
      </c>
    </row>
    <row r="28" spans="1:8" ht="15" customHeight="1" x14ac:dyDescent="0.25">
      <c r="A28" s="39">
        <v>40</v>
      </c>
      <c r="B28" s="39">
        <v>0</v>
      </c>
      <c r="C28" s="39">
        <v>0</v>
      </c>
      <c r="D28" s="19" t="s">
        <v>110</v>
      </c>
      <c r="E28" s="39">
        <f t="shared" si="5"/>
        <v>6.666666666666667</v>
      </c>
      <c r="F28" s="19" t="s">
        <v>72</v>
      </c>
      <c r="G28" s="19" t="s">
        <v>130</v>
      </c>
      <c r="H28" s="19" t="s">
        <v>20</v>
      </c>
    </row>
    <row r="29" spans="1:8" ht="15" customHeight="1" x14ac:dyDescent="0.25">
      <c r="A29" s="39">
        <v>0</v>
      </c>
      <c r="B29" s="39">
        <v>0</v>
      </c>
      <c r="C29" s="39">
        <v>0</v>
      </c>
      <c r="D29" s="24" t="s">
        <v>68</v>
      </c>
      <c r="E29" s="39">
        <v>0</v>
      </c>
      <c r="F29" s="19" t="s">
        <v>72</v>
      </c>
      <c r="G29" s="19" t="s">
        <v>106</v>
      </c>
      <c r="H29" s="19"/>
    </row>
    <row r="30" spans="1:8" ht="15" customHeight="1" x14ac:dyDescent="0.25">
      <c r="A30" s="39">
        <v>0</v>
      </c>
      <c r="B30" s="39">
        <v>0</v>
      </c>
      <c r="C30" s="39">
        <v>0</v>
      </c>
      <c r="D30" s="24" t="s">
        <v>68</v>
      </c>
      <c r="E30" s="39">
        <v>0</v>
      </c>
      <c r="F30" s="19" t="s">
        <v>79</v>
      </c>
      <c r="G30" s="19" t="s">
        <v>107</v>
      </c>
      <c r="H30" s="19"/>
    </row>
  </sheetData>
  <autoFilter ref="A1:H25" xr:uid="{0D205E33-EDDE-4B1B-A585-84A321E83FE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523bf45-09fb-4f9b-aa49-e403c0417b1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FA310A980BBAC44A75191F65BAE12E7" ma:contentTypeVersion="17" ma:contentTypeDescription="Crear nuevo documento." ma:contentTypeScope="" ma:versionID="1b66a577699fb63061267e374f5870ae">
  <xsd:schema xmlns:xsd="http://www.w3.org/2001/XMLSchema" xmlns:xs="http://www.w3.org/2001/XMLSchema" xmlns:p="http://schemas.microsoft.com/office/2006/metadata/properties" xmlns:ns3="e523bf45-09fb-4f9b-aa49-e403c0417b10" xmlns:ns4="726c8eaf-14c1-4e89-a6e9-59524033e4a7" targetNamespace="http://schemas.microsoft.com/office/2006/metadata/properties" ma:root="true" ma:fieldsID="1778c55661338f28ad7931875976b49f" ns3:_="" ns4:_="">
    <xsd:import namespace="e523bf45-09fb-4f9b-aa49-e403c0417b10"/>
    <xsd:import namespace="726c8eaf-14c1-4e89-a6e9-59524033e4a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23bf45-09fb-4f9b-aa49-e403c0417b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6c8eaf-14c1-4e89-a6e9-59524033e4a7"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9021CB17-80F6-4B1D-9C82-0C36B1D4B169}">
  <ds:schemaRefs>
    <ds:schemaRef ds:uri="http://schemas.microsoft.com/office/2006/metadata/properties"/>
    <ds:schemaRef ds:uri="http://schemas.microsoft.com/office/infopath/2007/PartnerControls"/>
    <ds:schemaRef ds:uri="e523bf45-09fb-4f9b-aa49-e403c0417b10"/>
  </ds:schemaRefs>
</ds:datastoreItem>
</file>

<file path=customXml/itemProps2.xml><?xml version="1.0" encoding="utf-8"?>
<ds:datastoreItem xmlns:ds="http://schemas.openxmlformats.org/officeDocument/2006/customXml" ds:itemID="{462ED4BD-0CE0-4FDF-8FF3-F2F79D1AF8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23bf45-09fb-4f9b-aa49-e403c0417b10"/>
    <ds:schemaRef ds:uri="726c8eaf-14c1-4e89-a6e9-59524033e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FF7801-3054-4CCF-A9EE-106F9F9A2BBD}">
  <ds:schemaRefs>
    <ds:schemaRef ds:uri="http://schemas.microsoft.com/sharepoint/v3/contenttype/forms"/>
  </ds:schemaRefs>
</ds:datastoreItem>
</file>

<file path=customXml/itemProps4.xml><?xml version="1.0" encoding="utf-8"?>
<ds:datastoreItem xmlns:ds="http://schemas.openxmlformats.org/officeDocument/2006/customXml" ds:itemID="{3A97DFE0-2812-4F8D-BEA5-EADA0185B0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INFORME</vt:lpstr>
      <vt:lpstr>Videos</vt:lpstr>
      <vt:lpstr>PUNTAJES</vt:lpstr>
      <vt:lpstr>Panel</vt:lpstr>
      <vt:lpstr>DATA INFORME</vt:lpstr>
      <vt:lpstr>Export</vt:lpstr>
      <vt:lpstr>ENCUESTA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Lorena Gomez Romero</dc:creator>
  <cp:keywords/>
  <dc:description/>
  <cp:lastModifiedBy>Diego Raul Guerrero Anaya</cp:lastModifiedBy>
  <cp:revision/>
  <dcterms:created xsi:type="dcterms:W3CDTF">2024-08-27T21:29:06Z</dcterms:created>
  <dcterms:modified xsi:type="dcterms:W3CDTF">2025-11-06T20:23:30Z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0x0101009FA310A980BBAC44A75191F65BAE12E7</vt:lpwstr>
  </property>
  <property fmtid="{D5CDD505-2E9C-101B-9397-08002B2CF9AE}" pid="3" name="MSIP_Label_b64e5b13-2d98-4ce3-adad-008bcee42cb2_Enabled">
    <vt:lpwstr>true</vt:lpwstr>
  </property>
  <property fmtid="{D5CDD505-2E9C-101B-9397-08002B2CF9AE}" pid="4" name="MSIP_Label_b64e5b13-2d98-4ce3-adad-008bcee42cb2_SetDate">
    <vt:lpwstr>2025-02-18T13:41:51Z</vt:lpwstr>
  </property>
  <property fmtid="{D5CDD505-2E9C-101B-9397-08002B2CF9AE}" pid="5" name="MSIP_Label_b64e5b13-2d98-4ce3-adad-008bcee42cb2_Method">
    <vt:lpwstr>Standard</vt:lpwstr>
  </property>
  <property fmtid="{D5CDD505-2E9C-101B-9397-08002B2CF9AE}" pid="6" name="MSIP_Label_b64e5b13-2d98-4ce3-adad-008bcee42cb2_Name">
    <vt:lpwstr>Información Confidencial</vt:lpwstr>
  </property>
  <property fmtid="{D5CDD505-2E9C-101B-9397-08002B2CF9AE}" pid="7" name="MSIP_Label_b64e5b13-2d98-4ce3-adad-008bcee42cb2_SiteId">
    <vt:lpwstr>d2bc208e-4fff-4078-b5ac-f69a6a266ff3</vt:lpwstr>
  </property>
  <property fmtid="{D5CDD505-2E9C-101B-9397-08002B2CF9AE}" pid="8" name="MSIP_Label_b64e5b13-2d98-4ce3-adad-008bcee42cb2_ActionId">
    <vt:lpwstr>01ccb257-027b-4f45-9af8-536a979f0bdf</vt:lpwstr>
  </property>
  <property fmtid="{D5CDD505-2E9C-101B-9397-08002B2CF9AE}" pid="9" name="MSIP_Label_b64e5b13-2d98-4ce3-adad-008bcee42cb2_ContentBits">
    <vt:lpwstr>0</vt:lpwstr>
  </property>
  <property fmtid="{D5CDD505-2E9C-101B-9397-08002B2CF9AE}" pid="10" name="MSIP_Label_b64e5b13-2d98-4ce3-adad-008bcee42cb2_Tag">
    <vt:lpwstr>10, 3, 0, 2</vt:lpwstr>
  </property>
</Properties>
</file>