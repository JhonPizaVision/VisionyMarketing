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listos-my.sharepoint.com/personal/diego_guerrero_visionymarketing_com_co/Documents/Desktop/Diego Guerrero/NESTLÉ/PURINA/JUNIO/Informe/"/>
    </mc:Choice>
  </mc:AlternateContent>
  <xr:revisionPtr revIDLastSave="470" documentId="8_{AEDEEC47-FF89-4AE5-ABD7-66D1B1D358E3}" xr6:coauthVersionLast="47" xr6:coauthVersionMax="47" xr10:uidLastSave="{E1C41EE7-DCD6-4A7F-A899-4637754E61BC}"/>
  <bookViews>
    <workbookView xWindow="-120" yWindow="-120" windowWidth="20730" windowHeight="11040" tabRatio="989" activeTab="6" xr2:uid="{22547094-DDA4-4673-ADB1-0AED661F9EB6}"/>
  </bookViews>
  <sheets>
    <sheet name="INFORME" sheetId="4" r:id="rId1"/>
    <sheet name="Videos" sheetId="15" r:id="rId2"/>
    <sheet name="PUNTAJES" sheetId="5" r:id="rId3"/>
    <sheet name="Panel" sheetId="1" r:id="rId4"/>
    <sheet name="DATA INFORME" sheetId="12" r:id="rId5"/>
    <sheet name="Export" sheetId="2" r:id="rId6"/>
    <sheet name="ENCUESTA" sheetId="8" r:id="rId7"/>
  </sheets>
  <definedNames>
    <definedName name="_xlnm._FilterDatabase" localSheetId="6" hidden="1">ENCUESTA!$A$1:$H$25</definedName>
    <definedName name="_xlnm._FilterDatabase" localSheetId="3" hidden="1">Panel!#REF!</definedName>
    <definedName name="_xlnm._FilterDatabase" localSheetId="1" hidden="1">Videos!$A$1:$C$4</definedName>
    <definedName name="DatosExternos_1" localSheetId="4" hidden="1">'DATA INFORME'!$A$1:$AI$7</definedName>
    <definedName name="DatosExternos_2" localSheetId="2" hidden="1">PUNTAJES!$A$1:$K$142</definedName>
    <definedName name="SegmentaciónDeDatos_CIUDAD">#N/A</definedName>
    <definedName name="SegmentaciónDeDatos_NOMBRE_COMERCIAL">#N/A</definedName>
  </definedNames>
  <calcPr calcId="191028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M7" i="5" s="1"/>
  <c r="L8" i="5"/>
  <c r="N8" i="5" s="1"/>
  <c r="L9" i="5"/>
  <c r="M9" i="5" s="1"/>
  <c r="L10" i="5"/>
  <c r="L11" i="5"/>
  <c r="L12" i="5"/>
  <c r="L13" i="5"/>
  <c r="L14" i="5"/>
  <c r="L15" i="5"/>
  <c r="M15" i="5" s="1"/>
  <c r="L16" i="5"/>
  <c r="N16" i="5" s="1"/>
  <c r="L17" i="5"/>
  <c r="M17" i="5" s="1"/>
  <c r="L18" i="5"/>
  <c r="L19" i="5"/>
  <c r="L20" i="5"/>
  <c r="L21" i="5"/>
  <c r="L22" i="5"/>
  <c r="L23" i="5"/>
  <c r="M23" i="5" s="1"/>
  <c r="L24" i="5"/>
  <c r="N24" i="5" s="1"/>
  <c r="L25" i="5"/>
  <c r="N25" i="5" s="1"/>
  <c r="L26" i="5"/>
  <c r="L27" i="5"/>
  <c r="L28" i="5"/>
  <c r="L29" i="5"/>
  <c r="L30" i="5"/>
  <c r="L31" i="5"/>
  <c r="M31" i="5" s="1"/>
  <c r="L32" i="5"/>
  <c r="N32" i="5" s="1"/>
  <c r="L33" i="5"/>
  <c r="M33" i="5" s="1"/>
  <c r="L34" i="5"/>
  <c r="L35" i="5"/>
  <c r="L36" i="5"/>
  <c r="L37" i="5"/>
  <c r="L38" i="5"/>
  <c r="L39" i="5"/>
  <c r="M39" i="5" s="1"/>
  <c r="L40" i="5"/>
  <c r="N40" i="5" s="1"/>
  <c r="L41" i="5"/>
  <c r="M41" i="5" s="1"/>
  <c r="L42" i="5"/>
  <c r="L43" i="5"/>
  <c r="L44" i="5"/>
  <c r="L45" i="5"/>
  <c r="L46" i="5"/>
  <c r="L47" i="5"/>
  <c r="M47" i="5" s="1"/>
  <c r="L48" i="5"/>
  <c r="N48" i="5" s="1"/>
  <c r="L49" i="5"/>
  <c r="M49" i="5" s="1"/>
  <c r="L50" i="5"/>
  <c r="L51" i="5"/>
  <c r="L52" i="5"/>
  <c r="L53" i="5"/>
  <c r="L54" i="5"/>
  <c r="L55" i="5"/>
  <c r="M55" i="5" s="1"/>
  <c r="L56" i="5"/>
  <c r="N56" i="5" s="1"/>
  <c r="L57" i="5"/>
  <c r="N57" i="5" s="1"/>
  <c r="L58" i="5"/>
  <c r="L59" i="5"/>
  <c r="L60" i="5"/>
  <c r="L61" i="5"/>
  <c r="L62" i="5"/>
  <c r="L63" i="5"/>
  <c r="M63" i="5" s="1"/>
  <c r="L64" i="5"/>
  <c r="N64" i="5" s="1"/>
  <c r="L65" i="5"/>
  <c r="M65" i="5" s="1"/>
  <c r="L66" i="5"/>
  <c r="L67" i="5"/>
  <c r="L68" i="5"/>
  <c r="L69" i="5"/>
  <c r="L70" i="5"/>
  <c r="L71" i="5"/>
  <c r="M71" i="5" s="1"/>
  <c r="L72" i="5"/>
  <c r="N72" i="5" s="1"/>
  <c r="L73" i="5"/>
  <c r="M73" i="5" s="1"/>
  <c r="L74" i="5"/>
  <c r="L75" i="5"/>
  <c r="L76" i="5"/>
  <c r="L77" i="5"/>
  <c r="L78" i="5"/>
  <c r="L79" i="5"/>
  <c r="M79" i="5" s="1"/>
  <c r="L80" i="5"/>
  <c r="N80" i="5" s="1"/>
  <c r="L81" i="5"/>
  <c r="M81" i="5" s="1"/>
  <c r="L82" i="5"/>
  <c r="L83" i="5"/>
  <c r="L84" i="5"/>
  <c r="L85" i="5"/>
  <c r="L86" i="5"/>
  <c r="L87" i="5"/>
  <c r="M87" i="5" s="1"/>
  <c r="L88" i="5"/>
  <c r="N88" i="5" s="1"/>
  <c r="L89" i="5"/>
  <c r="N89" i="5" s="1"/>
  <c r="L90" i="5"/>
  <c r="L91" i="5"/>
  <c r="L92" i="5"/>
  <c r="L93" i="5"/>
  <c r="L94" i="5"/>
  <c r="L95" i="5"/>
  <c r="M95" i="5" s="1"/>
  <c r="L96" i="5"/>
  <c r="N96" i="5" s="1"/>
  <c r="L97" i="5"/>
  <c r="M97" i="5" s="1"/>
  <c r="L98" i="5"/>
  <c r="L99" i="5"/>
  <c r="L100" i="5"/>
  <c r="L101" i="5"/>
  <c r="L102" i="5"/>
  <c r="L103" i="5"/>
  <c r="M103" i="5" s="1"/>
  <c r="L104" i="5"/>
  <c r="N104" i="5" s="1"/>
  <c r="L105" i="5"/>
  <c r="M105" i="5" s="1"/>
  <c r="L106" i="5"/>
  <c r="L107" i="5"/>
  <c r="L108" i="5"/>
  <c r="L109" i="5"/>
  <c r="L110" i="5"/>
  <c r="L111" i="5"/>
  <c r="M111" i="5" s="1"/>
  <c r="L112" i="5"/>
  <c r="N112" i="5" s="1"/>
  <c r="L113" i="5"/>
  <c r="M113" i="5" s="1"/>
  <c r="L114" i="5"/>
  <c r="L115" i="5"/>
  <c r="L116" i="5"/>
  <c r="L117" i="5"/>
  <c r="L118" i="5"/>
  <c r="L119" i="5"/>
  <c r="M119" i="5" s="1"/>
  <c r="L120" i="5"/>
  <c r="N120" i="5" s="1"/>
  <c r="L121" i="5"/>
  <c r="N121" i="5" s="1"/>
  <c r="L122" i="5"/>
  <c r="L123" i="5"/>
  <c r="L124" i="5"/>
  <c r="L125" i="5"/>
  <c r="L126" i="5"/>
  <c r="L127" i="5"/>
  <c r="M127" i="5" s="1"/>
  <c r="L128" i="5"/>
  <c r="N128" i="5" s="1"/>
  <c r="L129" i="5"/>
  <c r="M129" i="5" s="1"/>
  <c r="L130" i="5"/>
  <c r="L131" i="5"/>
  <c r="L132" i="5"/>
  <c r="L133" i="5"/>
  <c r="L134" i="5"/>
  <c r="L135" i="5"/>
  <c r="M135" i="5" s="1"/>
  <c r="L136" i="5"/>
  <c r="N136" i="5" s="1"/>
  <c r="L137" i="5"/>
  <c r="M137" i="5" s="1"/>
  <c r="L138" i="5"/>
  <c r="L139" i="5"/>
  <c r="L140" i="5"/>
  <c r="L141" i="5"/>
  <c r="L142" i="5"/>
  <c r="M2" i="5"/>
  <c r="M3" i="5"/>
  <c r="M4" i="5"/>
  <c r="M5" i="5"/>
  <c r="M6" i="5"/>
  <c r="M10" i="5"/>
  <c r="M11" i="5"/>
  <c r="M12" i="5"/>
  <c r="M13" i="5"/>
  <c r="M14" i="5"/>
  <c r="M18" i="5"/>
  <c r="M19" i="5"/>
  <c r="M20" i="5"/>
  <c r="M21" i="5"/>
  <c r="M22" i="5"/>
  <c r="M26" i="5"/>
  <c r="M27" i="5"/>
  <c r="M28" i="5"/>
  <c r="M29" i="5"/>
  <c r="M30" i="5"/>
  <c r="M34" i="5"/>
  <c r="M35" i="5"/>
  <c r="M36" i="5"/>
  <c r="M37" i="5"/>
  <c r="M38" i="5"/>
  <c r="M42" i="5"/>
  <c r="M43" i="5"/>
  <c r="M44" i="5"/>
  <c r="M45" i="5"/>
  <c r="M46" i="5"/>
  <c r="M50" i="5"/>
  <c r="M51" i="5"/>
  <c r="M52" i="5"/>
  <c r="M53" i="5"/>
  <c r="M54" i="5"/>
  <c r="M58" i="5"/>
  <c r="M59" i="5"/>
  <c r="M60" i="5"/>
  <c r="M61" i="5"/>
  <c r="M62" i="5"/>
  <c r="M66" i="5"/>
  <c r="M67" i="5"/>
  <c r="M68" i="5"/>
  <c r="M69" i="5"/>
  <c r="M70" i="5"/>
  <c r="M74" i="5"/>
  <c r="M75" i="5"/>
  <c r="M76" i="5"/>
  <c r="M77" i="5"/>
  <c r="M78" i="5"/>
  <c r="M82" i="5"/>
  <c r="M83" i="5"/>
  <c r="M84" i="5"/>
  <c r="M85" i="5"/>
  <c r="M86" i="5"/>
  <c r="M90" i="5"/>
  <c r="M91" i="5"/>
  <c r="M92" i="5"/>
  <c r="M93" i="5"/>
  <c r="M94" i="5"/>
  <c r="M98" i="5"/>
  <c r="M99" i="5"/>
  <c r="M100" i="5"/>
  <c r="M101" i="5"/>
  <c r="M102" i="5"/>
  <c r="M106" i="5"/>
  <c r="M107" i="5"/>
  <c r="M108" i="5"/>
  <c r="M109" i="5"/>
  <c r="M110" i="5"/>
  <c r="M114" i="5"/>
  <c r="M115" i="5"/>
  <c r="M116" i="5"/>
  <c r="M117" i="5"/>
  <c r="M118" i="5"/>
  <c r="M122" i="5"/>
  <c r="M123" i="5"/>
  <c r="M124" i="5"/>
  <c r="M125" i="5"/>
  <c r="M126" i="5"/>
  <c r="M130" i="5"/>
  <c r="M131" i="5"/>
  <c r="M132" i="5"/>
  <c r="M133" i="5"/>
  <c r="M134" i="5"/>
  <c r="M138" i="5"/>
  <c r="M139" i="5"/>
  <c r="M140" i="5"/>
  <c r="M141" i="5"/>
  <c r="M142" i="5"/>
  <c r="N2" i="5"/>
  <c r="N3" i="5"/>
  <c r="N4" i="5"/>
  <c r="N5" i="5"/>
  <c r="N6" i="5"/>
  <c r="N10" i="5"/>
  <c r="N11" i="5"/>
  <c r="N12" i="5"/>
  <c r="N13" i="5"/>
  <c r="N14" i="5"/>
  <c r="N18" i="5"/>
  <c r="N19" i="5"/>
  <c r="N20" i="5"/>
  <c r="N21" i="5"/>
  <c r="N22" i="5"/>
  <c r="N26" i="5"/>
  <c r="N27" i="5"/>
  <c r="N28" i="5"/>
  <c r="N29" i="5"/>
  <c r="N30" i="5"/>
  <c r="N33" i="5"/>
  <c r="N34" i="5"/>
  <c r="N35" i="5"/>
  <c r="N36" i="5"/>
  <c r="N37" i="5"/>
  <c r="N38" i="5"/>
  <c r="N42" i="5"/>
  <c r="N43" i="5"/>
  <c r="N44" i="5"/>
  <c r="N45" i="5"/>
  <c r="N46" i="5"/>
  <c r="N50" i="5"/>
  <c r="N51" i="5"/>
  <c r="N52" i="5"/>
  <c r="N53" i="5"/>
  <c r="N54" i="5"/>
  <c r="N58" i="5"/>
  <c r="N59" i="5"/>
  <c r="N60" i="5"/>
  <c r="N61" i="5"/>
  <c r="N62" i="5"/>
  <c r="N65" i="5"/>
  <c r="N66" i="5"/>
  <c r="N67" i="5"/>
  <c r="N68" i="5"/>
  <c r="N69" i="5"/>
  <c r="N70" i="5"/>
  <c r="N74" i="5"/>
  <c r="N75" i="5"/>
  <c r="N76" i="5"/>
  <c r="N77" i="5"/>
  <c r="N78" i="5"/>
  <c r="N82" i="5"/>
  <c r="N83" i="5"/>
  <c r="N84" i="5"/>
  <c r="N85" i="5"/>
  <c r="P85" i="5" s="1"/>
  <c r="N86" i="5"/>
  <c r="N90" i="5"/>
  <c r="N91" i="5"/>
  <c r="N92" i="5"/>
  <c r="N93" i="5"/>
  <c r="N94" i="5"/>
  <c r="N97" i="5"/>
  <c r="N98" i="5"/>
  <c r="P98" i="5" s="1"/>
  <c r="N99" i="5"/>
  <c r="N100" i="5"/>
  <c r="N101" i="5"/>
  <c r="N102" i="5"/>
  <c r="N106" i="5"/>
  <c r="N107" i="5"/>
  <c r="N108" i="5"/>
  <c r="N109" i="5"/>
  <c r="P109" i="5" s="1"/>
  <c r="N110" i="5"/>
  <c r="N114" i="5"/>
  <c r="N115" i="5"/>
  <c r="N116" i="5"/>
  <c r="N117" i="5"/>
  <c r="N118" i="5"/>
  <c r="N122" i="5"/>
  <c r="N123" i="5"/>
  <c r="N124" i="5"/>
  <c r="N125" i="5"/>
  <c r="N126" i="5"/>
  <c r="N129" i="5"/>
  <c r="N130" i="5"/>
  <c r="N131" i="5"/>
  <c r="N132" i="5"/>
  <c r="N133" i="5"/>
  <c r="N134" i="5"/>
  <c r="N138" i="5"/>
  <c r="N139" i="5"/>
  <c r="N140" i="5"/>
  <c r="N141" i="5"/>
  <c r="N142" i="5"/>
  <c r="O2" i="5"/>
  <c r="P2" i="5" s="1"/>
  <c r="O3" i="5"/>
  <c r="P3" i="5" s="1"/>
  <c r="O4" i="5"/>
  <c r="O5" i="5"/>
  <c r="O6" i="5"/>
  <c r="O7" i="5"/>
  <c r="O8" i="5"/>
  <c r="O9" i="5"/>
  <c r="O10" i="5"/>
  <c r="P10" i="5" s="1"/>
  <c r="O11" i="5"/>
  <c r="O12" i="5"/>
  <c r="O13" i="5"/>
  <c r="O14" i="5"/>
  <c r="P14" i="5" s="1"/>
  <c r="O15" i="5"/>
  <c r="O16" i="5"/>
  <c r="P16" i="5" s="1"/>
  <c r="O17" i="5"/>
  <c r="P17" i="5" s="1"/>
  <c r="O18" i="5"/>
  <c r="P18" i="5" s="1"/>
  <c r="O19" i="5"/>
  <c r="P19" i="5" s="1"/>
  <c r="O20" i="5"/>
  <c r="O21" i="5"/>
  <c r="O22" i="5"/>
  <c r="O23" i="5"/>
  <c r="O24" i="5"/>
  <c r="P24" i="5" s="1"/>
  <c r="O25" i="5"/>
  <c r="P25" i="5" s="1"/>
  <c r="O26" i="5"/>
  <c r="P26" i="5" s="1"/>
  <c r="O27" i="5"/>
  <c r="P27" i="5" s="1"/>
  <c r="O28" i="5"/>
  <c r="O29" i="5"/>
  <c r="O30" i="5"/>
  <c r="P30" i="5" s="1"/>
  <c r="O31" i="5"/>
  <c r="O32" i="5"/>
  <c r="P32" i="5" s="1"/>
  <c r="O33" i="5"/>
  <c r="P33" i="5" s="1"/>
  <c r="O34" i="5"/>
  <c r="P34" i="5" s="1"/>
  <c r="O35" i="5"/>
  <c r="P35" i="5" s="1"/>
  <c r="O36" i="5"/>
  <c r="O37" i="5"/>
  <c r="O38" i="5"/>
  <c r="P38" i="5" s="1"/>
  <c r="O39" i="5"/>
  <c r="O40" i="5"/>
  <c r="O41" i="5"/>
  <c r="O42" i="5"/>
  <c r="P42" i="5" s="1"/>
  <c r="O43" i="5"/>
  <c r="P43" i="5" s="1"/>
  <c r="O44" i="5"/>
  <c r="O45" i="5"/>
  <c r="O46" i="5"/>
  <c r="P46" i="5" s="1"/>
  <c r="O47" i="5"/>
  <c r="O48" i="5"/>
  <c r="P48" i="5" s="1"/>
  <c r="O49" i="5"/>
  <c r="P49" i="5" s="1"/>
  <c r="O50" i="5"/>
  <c r="P50" i="5" s="1"/>
  <c r="O51" i="5"/>
  <c r="P51" i="5" s="1"/>
  <c r="O52" i="5"/>
  <c r="O53" i="5"/>
  <c r="O54" i="5"/>
  <c r="P54" i="5" s="1"/>
  <c r="O55" i="5"/>
  <c r="O56" i="5"/>
  <c r="P56" i="5" s="1"/>
  <c r="O57" i="5"/>
  <c r="P57" i="5" s="1"/>
  <c r="O58" i="5"/>
  <c r="P58" i="5" s="1"/>
  <c r="O59" i="5"/>
  <c r="P59" i="5" s="1"/>
  <c r="O60" i="5"/>
  <c r="P60" i="5" s="1"/>
  <c r="O61" i="5"/>
  <c r="P61" i="5" s="1"/>
  <c r="O62" i="5"/>
  <c r="P62" i="5" s="1"/>
  <c r="O63" i="5"/>
  <c r="O64" i="5"/>
  <c r="P64" i="5" s="1"/>
  <c r="O65" i="5"/>
  <c r="P65" i="5" s="1"/>
  <c r="O66" i="5"/>
  <c r="P66" i="5" s="1"/>
  <c r="O67" i="5"/>
  <c r="P67" i="5" s="1"/>
  <c r="O68" i="5"/>
  <c r="O69" i="5"/>
  <c r="O70" i="5"/>
  <c r="O71" i="5"/>
  <c r="O72" i="5"/>
  <c r="P72" i="5" s="1"/>
  <c r="O73" i="5"/>
  <c r="P73" i="5" s="1"/>
  <c r="O74" i="5"/>
  <c r="O75" i="5"/>
  <c r="P75" i="5" s="1"/>
  <c r="O76" i="5"/>
  <c r="O77" i="5"/>
  <c r="O78" i="5"/>
  <c r="P78" i="5" s="1"/>
  <c r="O79" i="5"/>
  <c r="O80" i="5"/>
  <c r="O81" i="5"/>
  <c r="O82" i="5"/>
  <c r="P82" i="5" s="1"/>
  <c r="O83" i="5"/>
  <c r="P83" i="5" s="1"/>
  <c r="O84" i="5"/>
  <c r="P84" i="5" s="1"/>
  <c r="O85" i="5"/>
  <c r="O86" i="5"/>
  <c r="P86" i="5" s="1"/>
  <c r="O87" i="5"/>
  <c r="O88" i="5"/>
  <c r="O89" i="5"/>
  <c r="O90" i="5"/>
  <c r="P90" i="5" s="1"/>
  <c r="O91" i="5"/>
  <c r="P91" i="5" s="1"/>
  <c r="O92" i="5"/>
  <c r="P92" i="5" s="1"/>
  <c r="O93" i="5"/>
  <c r="O94" i="5"/>
  <c r="O95" i="5"/>
  <c r="O96" i="5"/>
  <c r="O97" i="5"/>
  <c r="O98" i="5"/>
  <c r="O99" i="5"/>
  <c r="P99" i="5" s="1"/>
  <c r="O100" i="5"/>
  <c r="P100" i="5" s="1"/>
  <c r="O101" i="5"/>
  <c r="P101" i="5" s="1"/>
  <c r="O102" i="5"/>
  <c r="O103" i="5"/>
  <c r="O104" i="5"/>
  <c r="O105" i="5"/>
  <c r="O106" i="5"/>
  <c r="P106" i="5" s="1"/>
  <c r="O107" i="5"/>
  <c r="O108" i="5"/>
  <c r="O109" i="5"/>
  <c r="O110" i="5"/>
  <c r="P110" i="5" s="1"/>
  <c r="O111" i="5"/>
  <c r="O112" i="5"/>
  <c r="P112" i="5" s="1"/>
  <c r="O113" i="5"/>
  <c r="P113" i="5" s="1"/>
  <c r="O114" i="5"/>
  <c r="P114" i="5" s="1"/>
  <c r="O115" i="5"/>
  <c r="P115" i="5" s="1"/>
  <c r="O116" i="5"/>
  <c r="P116" i="5" s="1"/>
  <c r="O117" i="5"/>
  <c r="P117" i="5" s="1"/>
  <c r="O118" i="5"/>
  <c r="P118" i="5" s="1"/>
  <c r="O119" i="5"/>
  <c r="P119" i="5" s="1"/>
  <c r="O120" i="5"/>
  <c r="P120" i="5" s="1"/>
  <c r="O121" i="5"/>
  <c r="P121" i="5" s="1"/>
  <c r="O122" i="5"/>
  <c r="P122" i="5" s="1"/>
  <c r="O123" i="5"/>
  <c r="P123" i="5" s="1"/>
  <c r="O124" i="5"/>
  <c r="P124" i="5" s="1"/>
  <c r="O125" i="5"/>
  <c r="O126" i="5"/>
  <c r="P126" i="5" s="1"/>
  <c r="O127" i="5"/>
  <c r="O128" i="5"/>
  <c r="O129" i="5"/>
  <c r="O130" i="5"/>
  <c r="P130" i="5" s="1"/>
  <c r="O131" i="5"/>
  <c r="P131" i="5" s="1"/>
  <c r="O132" i="5"/>
  <c r="P132" i="5" s="1"/>
  <c r="O133" i="5"/>
  <c r="P133" i="5" s="1"/>
  <c r="O134" i="5"/>
  <c r="P134" i="5" s="1"/>
  <c r="O135" i="5"/>
  <c r="P135" i="5" s="1"/>
  <c r="O136" i="5"/>
  <c r="P136" i="5" s="1"/>
  <c r="O137" i="5"/>
  <c r="P137" i="5" s="1"/>
  <c r="O138" i="5"/>
  <c r="P138" i="5" s="1"/>
  <c r="O139" i="5"/>
  <c r="P139" i="5" s="1"/>
  <c r="O140" i="5"/>
  <c r="P140" i="5" s="1"/>
  <c r="O141" i="5"/>
  <c r="O142" i="5"/>
  <c r="P142" i="5" s="1"/>
  <c r="P4" i="5"/>
  <c r="P12" i="5"/>
  <c r="P13" i="5"/>
  <c r="P15" i="5"/>
  <c r="P20" i="5"/>
  <c r="P21" i="5"/>
  <c r="P23" i="5"/>
  <c r="P28" i="5"/>
  <c r="P29" i="5"/>
  <c r="P31" i="5"/>
  <c r="P36" i="5"/>
  <c r="P37" i="5"/>
  <c r="P44" i="5"/>
  <c r="P45" i="5"/>
  <c r="P47" i="5"/>
  <c r="P52" i="5"/>
  <c r="P53" i="5"/>
  <c r="P55" i="5"/>
  <c r="P63" i="5"/>
  <c r="P68" i="5"/>
  <c r="P69" i="5"/>
  <c r="P71" i="5"/>
  <c r="P76" i="5"/>
  <c r="P125" i="5"/>
  <c r="P141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G6" i="1"/>
  <c r="G7" i="1"/>
  <c r="H6" i="1"/>
  <c r="H7" i="1"/>
  <c r="I6" i="1"/>
  <c r="I7" i="1"/>
  <c r="E26" i="8"/>
  <c r="E25" i="8"/>
  <c r="E24" i="8"/>
  <c r="E23" i="8"/>
  <c r="E22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C26" i="8"/>
  <c r="B26" i="8"/>
  <c r="A26" i="8"/>
  <c r="C25" i="8"/>
  <c r="B25" i="8"/>
  <c r="A25" i="8"/>
  <c r="C24" i="8"/>
  <c r="B24" i="8"/>
  <c r="A24" i="8"/>
  <c r="C23" i="8"/>
  <c r="B23" i="8"/>
  <c r="A23" i="8"/>
  <c r="B22" i="8"/>
  <c r="A22" i="8"/>
  <c r="C22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B14" i="8"/>
  <c r="A14" i="8"/>
  <c r="C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B4" i="8"/>
  <c r="A4" i="8"/>
  <c r="C4" i="8"/>
  <c r="P97" i="5" l="1"/>
  <c r="P40" i="5"/>
  <c r="P74" i="5"/>
  <c r="P22" i="5"/>
  <c r="P108" i="5"/>
  <c r="P11" i="5"/>
  <c r="P107" i="5"/>
  <c r="P94" i="5"/>
  <c r="M121" i="5"/>
  <c r="M89" i="5"/>
  <c r="M57" i="5"/>
  <c r="M25" i="5"/>
  <c r="N137" i="5"/>
  <c r="N105" i="5"/>
  <c r="P105" i="5" s="1"/>
  <c r="P93" i="5"/>
  <c r="N73" i="5"/>
  <c r="N41" i="5"/>
  <c r="P41" i="5" s="1"/>
  <c r="N9" i="5"/>
  <c r="P9" i="5" s="1"/>
  <c r="P102" i="5"/>
  <c r="P70" i="5"/>
  <c r="P6" i="5"/>
  <c r="N113" i="5"/>
  <c r="N81" i="5"/>
  <c r="P81" i="5" s="1"/>
  <c r="N49" i="5"/>
  <c r="N17" i="5"/>
  <c r="P5" i="5"/>
  <c r="P129" i="5"/>
  <c r="P89" i="5"/>
  <c r="P77" i="5"/>
  <c r="P88" i="5"/>
  <c r="P128" i="5"/>
  <c r="P104" i="5"/>
  <c r="P96" i="5"/>
  <c r="P80" i="5"/>
  <c r="P8" i="5"/>
  <c r="N135" i="5"/>
  <c r="N127" i="5"/>
  <c r="P127" i="5" s="1"/>
  <c r="N119" i="5"/>
  <c r="N111" i="5"/>
  <c r="P111" i="5" s="1"/>
  <c r="N103" i="5"/>
  <c r="P103" i="5" s="1"/>
  <c r="N95" i="5"/>
  <c r="P95" i="5" s="1"/>
  <c r="N87" i="5"/>
  <c r="P87" i="5" s="1"/>
  <c r="N79" i="5"/>
  <c r="P79" i="5" s="1"/>
  <c r="N71" i="5"/>
  <c r="N63" i="5"/>
  <c r="N55" i="5"/>
  <c r="N47" i="5"/>
  <c r="N39" i="5"/>
  <c r="P39" i="5" s="1"/>
  <c r="N31" i="5"/>
  <c r="N23" i="5"/>
  <c r="N15" i="5"/>
  <c r="N7" i="5"/>
  <c r="P7" i="5" s="1"/>
  <c r="M136" i="5"/>
  <c r="M128" i="5"/>
  <c r="M120" i="5"/>
  <c r="M112" i="5"/>
  <c r="M104" i="5"/>
  <c r="M96" i="5"/>
  <c r="M88" i="5"/>
  <c r="M80" i="5"/>
  <c r="M72" i="5"/>
  <c r="M64" i="5"/>
  <c r="M56" i="5"/>
  <c r="M48" i="5"/>
  <c r="M40" i="5"/>
  <c r="M32" i="5"/>
  <c r="M24" i="5"/>
  <c r="M16" i="5"/>
  <c r="M8" i="5"/>
  <c r="G5" i="1"/>
  <c r="H5" i="1"/>
  <c r="I5" i="1"/>
  <c r="H4" i="1"/>
  <c r="H3" i="1"/>
  <c r="H2" i="1"/>
  <c r="G2" i="1"/>
  <c r="I4" i="1"/>
  <c r="I3" i="1"/>
  <c r="G3" i="1"/>
  <c r="I2" i="1" l="1"/>
  <c r="G4" i="1"/>
  <c r="K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FD3B2-8356-441F-947B-6941990BB748}" keepAlive="1" name="Consulta - Errores en Tabla2 (2)" description="Conexión a la consulta 'Errores en Tabla2 (2)' en el libro." type="5" refreshedVersion="0" background="1">
    <dbPr connection="Provider=Microsoft.Mashup.OleDb.1;Data Source=$Workbook$;Location=&quot;Errores en Tabla2 (2)&quot;;Extended Properties=&quot;&quot;" command="SELECT * FROM [Errores en Tabla2 (2)]"/>
  </connection>
  <connection id="2" xr16:uid="{71BDF42B-3F4E-4244-9118-E9B987176825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  <connection id="3" xr16:uid="{1547C4EA-4CA0-48B9-8457-0A1BCB87B976}" keepAlive="1" name="Consulta - Tabla2 (3)" description="Conexión a la consulta 'Tabla2 (3)' en el libro." type="5" refreshedVersion="8" background="1" saveData="1">
    <dbPr connection="Provider=Microsoft.Mashup.OleDb.1;Data Source=$Workbook$;Location=&quot;Tabla2 (3)&quot;;Extended Properties=&quot;&quot;" command="SELECT * FROM [Tabla2 (3)]"/>
  </connection>
</connections>
</file>

<file path=xl/sharedStrings.xml><?xml version="1.0" encoding="utf-8"?>
<sst xmlns="http://schemas.openxmlformats.org/spreadsheetml/2006/main" count="5469" uniqueCount="214">
  <si>
    <t>EJECUCION DEL PLAN</t>
  </si>
  <si>
    <t>CIUDAD</t>
  </si>
  <si>
    <t>#PDV Obj.</t>
  </si>
  <si>
    <t>#PDV Eje.</t>
  </si>
  <si>
    <t>.% Ejecucion</t>
  </si>
  <si>
    <t>Obj Mystery</t>
  </si>
  <si>
    <t>Mystery Eje.</t>
  </si>
  <si>
    <t>% Efectividad.</t>
  </si>
  <si>
    <t>BOGOTA</t>
  </si>
  <si>
    <t>Total general</t>
  </si>
  <si>
    <t>MYSTERY POR CLUSTER</t>
  </si>
  <si>
    <t>Suma de % MYSTERY</t>
  </si>
  <si>
    <t>Etiquetas de columna</t>
  </si>
  <si>
    <t>CLUSTER</t>
  </si>
  <si>
    <t>ESPECIALIZADO</t>
  </si>
  <si>
    <t>MODERNO</t>
  </si>
  <si>
    <t>% MYSTERY</t>
  </si>
  <si>
    <t>HORARIO</t>
  </si>
  <si>
    <t>MYSTERY POR CLUSTER - CIUDAD</t>
  </si>
  <si>
    <t>MYSTERY EFECTIVO</t>
  </si>
  <si>
    <t>SI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</si>
  <si>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</si>
  <si>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</si>
  <si>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</si>
  <si>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</si>
  <si>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</si>
  <si>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</si>
  <si>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</si>
  <si>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RTA</t>
  </si>
  <si>
    <t>FECHA VISITA</t>
  </si>
  <si>
    <t>CODIGO RUTA</t>
  </si>
  <si>
    <t>USUARIO</t>
  </si>
  <si>
    <t>TOTAL PUNTAJE</t>
  </si>
  <si>
    <t>RTA CORRECTA</t>
  </si>
  <si>
    <t>PUNTAJE OBTENIDO</t>
  </si>
  <si>
    <t>CUENTA CON CALZADO DE ACUERDO AL UNIFORME</t>
  </si>
  <si>
    <t>VUM</t>
  </si>
  <si>
    <t>NOMBRE PDV</t>
  </si>
  <si>
    <t>Objetivo Mystery</t>
  </si>
  <si>
    <t>#PDV Objetivos</t>
  </si>
  <si>
    <t>#PDV Ejecutados</t>
  </si>
  <si>
    <t># Visitas</t>
  </si>
  <si>
    <t>Mystery Ejecutado</t>
  </si>
  <si>
    <t>TRADICIONAL</t>
  </si>
  <si>
    <t>NOVEDAD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</si>
  <si>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</si>
  <si>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</si>
  <si>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</si>
  <si>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</si>
  <si>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</si>
  <si>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</si>
  <si>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</si>
  <si>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</si>
  <si>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</si>
  <si>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</si>
  <si>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</si>
  <si>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</si>
  <si>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</si>
  <si>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</si>
  <si>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</si>
  <si>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</si>
  <si>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</si>
  <si>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</si>
  <si>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</si>
  <si>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/>
  </si>
  <si>
    <t>PRODUCTIVIDAD</t>
  </si>
  <si>
    <t>CAMILO MONTAÑO RESTREPO</t>
  </si>
  <si>
    <t>camilo.montano</t>
  </si>
  <si>
    <t>N/A</t>
  </si>
  <si>
    <t>CENTRO</t>
  </si>
  <si>
    <t>PESO</t>
  </si>
  <si>
    <t>TIPO</t>
  </si>
  <si>
    <t>UNICA</t>
  </si>
  <si>
    <t>TOTAL GENERAL</t>
  </si>
  <si>
    <t>PESO CLUSTER</t>
  </si>
  <si>
    <t>Columna1</t>
  </si>
  <si>
    <t>SI(O(G17="Dog Chow";G17="Cat Chow";G17="Alpo";G17="Gatsy";G17="Feliz");N17;0)</t>
  </si>
  <si>
    <t>SI(O(G29="Dog Chow húmedo";G29="Cat Chow húmedo";G29="Fancy Feast";G29="Felix";G29="Proplan húmedo";G29="One húmedo";G29="Snack Abrazzos";G29="Snak Dentalife";G29="Arenilla Tidy Cat");N29;0)</t>
  </si>
  <si>
    <t>1</t>
  </si>
  <si>
    <t>EXITO</t>
  </si>
  <si>
    <t>ABIERTA</t>
  </si>
  <si>
    <t xml:space="preserve"> NO</t>
  </si>
  <si>
    <t>VIDEO 1</t>
  </si>
  <si>
    <t>VIDEO 2</t>
  </si>
  <si>
    <t>VIDEO 3</t>
  </si>
  <si>
    <t>-</t>
  </si>
  <si>
    <t>Columna2</t>
  </si>
  <si>
    <t>VIDEO 4</t>
  </si>
  <si>
    <t>VIDEO 5</t>
  </si>
  <si>
    <t>ANTIOQUIA</t>
  </si>
  <si>
    <t>MEDELLIN</t>
  </si>
  <si>
    <t>25/06/2025 00:00:00</t>
  </si>
  <si>
    <t>SE LOGRA REALIZAR LA AUDITORIA?</t>
  </si>
  <si>
    <t>¿CUMPLE HORARIO DE ENTRADA O SALIDA DE LA TIENDA?</t>
  </si>
  <si>
    <t>CUENTA CON PANTALON DEL UNIFORME SEGÚN EL CARGO (NEGRO / ROJO / TURQUESA / JEAN)</t>
  </si>
  <si>
    <t>CUENTA CON CAMISA DEL UNIFORME Y LOGOS SEGÚN EL CARGO (NEGRA / GRIS / ROJA / TURQUESA) (ES PERMITIDO USAR DEBAJO DE LA CAMISA BUSO MANGA LARGA NEGRO)</t>
  </si>
  <si>
    <t>POSEE ALGUNA PRENDA ENCIMA DEL UNIFORME NO AUTORIZADA POR LA MARCA (UNICAMENTE ESTA PERMITIDO CHALECO DE SODIMAC Y EASY)</t>
  </si>
  <si>
    <t>EL UNIFORME Y ZAPATOS SE ENCUENTRAN LIMPIOS Y EN BUEN ESTADO</t>
  </si>
  <si>
    <t>SU CABELLO LUCE LIMPIO, ORGANIZADO O RECOGIDO</t>
  </si>
  <si>
    <t>PRESENTA EXCESO DE MAQUILLAJE QUE NO CUMPLE CON EL CODIGO DE VESTIMENTA</t>
  </si>
  <si>
    <t>TIENE TATUAJES O PIERCINGS VISIBLES QUE NO CUMPLE CON EL CODIGO DE VESTIMENTA</t>
  </si>
  <si>
    <t>TIENE UÑAS LLAMATIVAS Y/O LARGAS QUE NO CUMPLE CON EL CODIGO DE VESTIMENTA</t>
  </si>
  <si>
    <t>USA ACCESORIOS QUE NO CUMPLE CON EL CODIGO DE VESTIMENTA</t>
  </si>
  <si>
    <t>EL LINEAL SE ENCUENTRA LIMPIO Y ORGANIZADO</t>
  </si>
  <si>
    <t>LOS PRODUCTOS TIENEN EL PRECIO Y ESTAN ACORDE O CORRESPONDIENTE A CADA REFERENCIA</t>
  </si>
  <si>
    <t>LOS PRODUCTOS ESTAN SURTIDOS DE ACUERDO A PEPS O FIFO (REVISAR TANTO PRODUCTO SECO COMO HUMEDO)</t>
  </si>
  <si>
    <t>CONOCE LOS INFALTABLES DEL PUNTO DE VENTA Y CUENTA CON EL MATERIAL DE APOYO (AYUDAVENTAS INFALTABLES)</t>
  </si>
  <si>
    <t>CONOCE Y TIENE SURTIDO DE ACUERDO A LA ESTRATEGIA DE EXHIBICIÓN (ETAPAS DE VIDA - SEGMENTACIÓN DE MARCAS)</t>
  </si>
  <si>
    <t>CUAL ES LA ESTRATEGIA DE EXHIBICIÓN PARA LAS MARCAS MAINSTRAIN (ALPO Y GATSY) DE PURINA Y PORQUE?</t>
  </si>
  <si>
    <t>CONOCE EL % DE PARTICIPACIÓN QUE TIENE EN EL PUNTO DE VENTA E INFORMA CUAL ES ESE %</t>
  </si>
  <si>
    <t>SELECCIONE EL CANAL DEL PDV AUDITADO?</t>
  </si>
  <si>
    <t>Tiene resaltadas las referencias en el lineal la dinamica "IMPRESIONANTES DE GRUPO ÉXITO"</t>
  </si>
  <si>
    <t>Tiene conocimiento de los infaltables según el cluster del pdv</t>
  </si>
  <si>
    <t>Tiene conocimiento de las presentaciones de Pro Plan Live Clear, si esta la nueva presentación (x 1kg y x 3kg) ¿tiene el sticker de comunicación de nueva gramaje?</t>
  </si>
  <si>
    <t>Esta implementado los sticker de la reducción de precios Excellent (No aplica cuando el mercaderista informa que el PDV no ha hecho la reducción de precios).</t>
  </si>
  <si>
    <t>Esta implementada la nueva estrategia de baja de precios
(Si el mercaderista informa que el PDV no lo permite implementar quedaria como N/A)</t>
  </si>
  <si>
    <t>DESEA AÑADIR ALGUNA OBSERVACION / NOVEDAD CON LA AUDITORIA REALIZADA?</t>
  </si>
  <si>
    <t>INDIQUE OBSERVACIÓN/NOVEDAD</t>
  </si>
  <si>
    <t>PRESENTACIÓN PERSONAL</t>
  </si>
  <si>
    <t>EJECUCION DEL PDV</t>
  </si>
  <si>
    <t>ACTIVIDADES DEL MES</t>
  </si>
  <si>
    <t>EJECUCIÓN DEL PDV</t>
  </si>
  <si>
    <t>NO</t>
  </si>
  <si>
    <t>MODERNO, TRADICIONAL</t>
  </si>
  <si>
    <t>NESTLE PURINA</t>
  </si>
  <si>
    <t>0</t>
  </si>
  <si>
    <t>GESTION AUDITORIA - JUNIO 2025</t>
  </si>
  <si>
    <t xml:space="preserve">User 1 </t>
  </si>
  <si>
    <t>NestleP.1</t>
  </si>
  <si>
    <t xml:space="preserve"> TRADICIONAL</t>
  </si>
  <si>
    <t>PACIFICO</t>
  </si>
  <si>
    <t>CALI</t>
  </si>
  <si>
    <t>SUPERETE</t>
  </si>
  <si>
    <t>SUPERETES</t>
  </si>
  <si>
    <t>66552</t>
  </si>
  <si>
    <t>LA CASA DE LOS TENDEROS</t>
  </si>
  <si>
    <t>Mercadeo</t>
  </si>
  <si>
    <t>13/06/2025 14:32:20</t>
  </si>
  <si>
    <t>13/06/2025 14:32:42</t>
  </si>
  <si>
    <t>13/06/2025 14:32:49</t>
  </si>
  <si>
    <t>27474721</t>
  </si>
  <si>
    <t xml:space="preserve">User 7 </t>
  </si>
  <si>
    <t>NestleP.7</t>
  </si>
  <si>
    <t>13/06/2025 14:32:53</t>
  </si>
  <si>
    <t>13/06/2025 14:32:56</t>
  </si>
  <si>
    <t>13/06/2025 14:33:01</t>
  </si>
  <si>
    <t>13/06/2025 14:33:05</t>
  </si>
  <si>
    <t>13/06/2025 14:33:09</t>
  </si>
  <si>
    <t>13/06/2025 14:33:13</t>
  </si>
  <si>
    <t>13/06/2025 14:33:18</t>
  </si>
  <si>
    <t>13/06/2025 14:33:25</t>
  </si>
  <si>
    <t>13/06/2025 14:33:29</t>
  </si>
  <si>
    <t>13/06/2025 14:33:35</t>
  </si>
  <si>
    <t>13/06/2025 14:33:39</t>
  </si>
  <si>
    <t>13/06/2025 14:33:42</t>
  </si>
  <si>
    <t>13/06/2025 14:33:46</t>
  </si>
  <si>
    <t>13/06/2025 14:33:50</t>
  </si>
  <si>
    <t>13/06/2025 14:33:53</t>
  </si>
  <si>
    <t>13/06/2025 14:33:59</t>
  </si>
  <si>
    <t>13/06/2025 14:34:31</t>
  </si>
  <si>
    <t>13/06/2025 14:34:35</t>
  </si>
  <si>
    <t>13/06/2025 14:34:41</t>
  </si>
  <si>
    <t>13/06/2025 14:34:47</t>
  </si>
  <si>
    <t>13/06/2025 14:34:51</t>
  </si>
  <si>
    <t>12211</t>
  </si>
  <si>
    <t>12211-PROVEEDURIA EMPRESAS PUBLICAS EPM</t>
  </si>
  <si>
    <t>Impulso</t>
  </si>
  <si>
    <t>14/06/2025 00:00:00</t>
  </si>
  <si>
    <t>15/06/2025 14:38:32</t>
  </si>
  <si>
    <t>15/06/2025 14:42:41</t>
  </si>
  <si>
    <t>27481191</t>
  </si>
  <si>
    <t xml:space="preserve">User 11 </t>
  </si>
  <si>
    <t>NestleP.11</t>
  </si>
  <si>
    <t>Aun no conoce el % de participación, indica que es nueva en el pdv.</t>
  </si>
  <si>
    <t>MERCA Z</t>
  </si>
  <si>
    <t>55306</t>
  </si>
  <si>
    <t>55306-SUPAPA REFUGIO</t>
  </si>
  <si>
    <t>SUPERMERCADOS INDEPENDIENTES</t>
  </si>
  <si>
    <t>16/06/2025 00:00:00</t>
  </si>
  <si>
    <t>16/06/2025 09:14:09</t>
  </si>
  <si>
    <t>16/06/2025 09:17:23</t>
  </si>
  <si>
    <t>27483590</t>
  </si>
  <si>
    <t>Lkego al pdv secinforma que la mercaderista no se encuentra y la supervisora me dice que ella está en la eps</t>
  </si>
  <si>
    <t>456498</t>
  </si>
  <si>
    <t>456498-MERCA Z CALI</t>
  </si>
  <si>
    <t>17/06/2025 00:00:00</t>
  </si>
  <si>
    <t>17/06/2025 18:01:03</t>
  </si>
  <si>
    <t>17/06/2025 18:07:06</t>
  </si>
  <si>
    <t>27493916</t>
  </si>
  <si>
    <t>Se llega al pdv a las 2:28 se busca a la mk por los pasillos cuando verifico qué no está lo reporto en el grupo y la supervisora informa que la mk cambio el horario de la visita para cumplir en el pdv</t>
  </si>
  <si>
    <t>29714</t>
  </si>
  <si>
    <t>MERCAMIO CALLE 5</t>
  </si>
  <si>
    <t>25/06/2025 19:12:56</t>
  </si>
  <si>
    <t>25/06/2025 19:18:01</t>
  </si>
  <si>
    <t>27529996</t>
  </si>
  <si>
    <t xml:space="preserve">La mk estaba en bodega bajando mercancía para surtir por eso hay partes del lineal con huecos </t>
  </si>
  <si>
    <t>129406</t>
  </si>
  <si>
    <t>ZAPATOCA VILLA LUZ</t>
  </si>
  <si>
    <t>28/06/2025 00:00:00</t>
  </si>
  <si>
    <t>28/06/2025 18:38:42</t>
  </si>
  <si>
    <t>28/06/2025 18:50:10</t>
  </si>
  <si>
    <t>27593785</t>
  </si>
  <si>
    <t xml:space="preserve">Se presenta el mercaderista de Nestlé de la parte de cafés y me comunica que la asesora de Nestlé Purina no se encuentra porque no asistió en el día de hoy al punto . Por lo tanto no se puede realizar la auditoría </t>
  </si>
  <si>
    <t>(Todas)</t>
  </si>
  <si>
    <t>SE SOLICITO POR PARTE DE VENTAS A ULTIMA HORA PARA OTRO PUNTO DE VENTA</t>
  </si>
  <si>
    <t>ESE DIA LA MERCADERISTA SE FUE PARA LA EPS</t>
  </si>
  <si>
    <t>POR TEMAS DE PAZ Y SALVO SE MADRUGO AL PUNTO DE VENTA</t>
  </si>
  <si>
    <t>INFORME AUDITORIA JUNIO</t>
  </si>
  <si>
    <t>MYSTERY ZAPATOCA VILLA LUZ.avi - Google Drive</t>
  </si>
  <si>
    <t>Proveeduria epm junio 14.mp4 - Google Drive</t>
  </si>
  <si>
    <t>AUDITORIA SU PAPA EL REFUGIO.mp4 - Google Drive</t>
  </si>
  <si>
    <t>AUDITORIA MERCAZ (1).mp4 - Google Drive</t>
  </si>
  <si>
    <t>AUDITORIA MERCAMIO CL 5.mp4 - Google Drive</t>
  </si>
  <si>
    <t>AUDITORIA LA TIENDA DE LOS TENDEROS.mp4 - Google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</si>
</sst>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9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sz val="8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7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/>
  </cellStyleXfs>
  <cellXfs count="9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9" borderId="2" xfId="1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7" fillId="0" borderId="0" xfId="0" pivotButton="1" applyFont="1"/>
    <xf numFmtId="9" fontId="9" fillId="10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5" fillId="9" borderId="4" xfId="1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1" xfId="1" applyFont="1" applyBorder="1" applyAlignment="1">
      <alignment horizontal="center" vertical="center" wrapText="1"/>
    </xf>
    <xf numFmtId="0" fontId="2" fillId="2" borderId="0" xfId="0" applyFont="1" applyFill="1"/>
    <xf numFmtId="0" fontId="9" fillId="11" borderId="0" xfId="0" applyFont="1" applyFill="1"/>
    <xf numFmtId="1" fontId="10" fillId="12" borderId="1" xfId="0" applyNumberFormat="1" applyFont="1" applyFill="1" applyBorder="1" applyAlignment="1">
      <alignment horizontal="left" vertical="center"/>
    </xf>
    <xf numFmtId="1" fontId="10" fillId="12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10" fillId="13" borderId="1" xfId="0" applyFont="1" applyFill="1" applyBorder="1"/>
    <xf numFmtId="1" fontId="2" fillId="13" borderId="1" xfId="0" applyNumberFormat="1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14" borderId="1" xfId="2" applyFont="1" applyFill="1" applyBorder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0" fillId="12" borderId="1" xfId="0" applyFont="1" applyFill="1" applyBorder="1"/>
    <xf numFmtId="0" fontId="10" fillId="12" borderId="1" xfId="0" applyFont="1" applyFill="1" applyBorder="1" applyAlignment="1">
      <alignment vertical="top" wrapText="1"/>
    </xf>
    <xf numFmtId="0" fontId="11" fillId="9" borderId="2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1" fillId="8" borderId="1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1" fontId="10" fillId="12" borderId="3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9" fillId="0" borderId="1" xfId="0" applyFont="1" applyBorder="1"/>
    <xf numFmtId="0" fontId="0" fillId="0" borderId="0" xfId="0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11" fillId="16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7" fillId="0" borderId="5" xfId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15" borderId="1" xfId="0" applyFont="1" applyFill="1" applyBorder="1"/>
    <xf numFmtId="0" fontId="7" fillId="6" borderId="1" xfId="0" applyFont="1" applyFill="1" applyBorder="1"/>
    <xf numFmtId="0" fontId="7" fillId="6" borderId="8" xfId="0" applyFont="1" applyFill="1" applyBorder="1"/>
    <xf numFmtId="0" fontId="0" fillId="0" borderId="1" xfId="0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15" fillId="0" borderId="1" xfId="3" applyBorder="1" applyAlignment="1"/>
    <xf numFmtId="0" fontId="17" fillId="0" borderId="0" xfId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9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0" xfId="0" applyNumberFormat="1" applyFont="1" applyAlignment="1">
      <alignment horizontal="center"/>
    </xf>
    <xf numFmtId="1" fontId="9" fillId="0" borderId="1" xfId="0" applyNumberFormat="1" applyFont="1" applyBorder="1" applyAlignment="1">
      <alignment horizontal="center"/>
    </xf>
    <xf numFmtId="14" fontId="0" fillId="0" borderId="9" xfId="0" applyNumberFormat="1" applyBorder="1"/>
    <xf numFmtId="22" fontId="0" fillId="0" borderId="0" xfId="0" applyNumberFormat="1"/>
    <xf numFmtId="0" fontId="18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horizontal="left" vertical="center" wrapText="1"/>
    </xf>
    <xf numFmtId="0" fontId="9" fillId="6" borderId="0" xfId="0" applyFont="1" applyFill="1" applyAlignment="1">
      <alignment horizontal="center" vertical="center"/>
    </xf>
    <xf numFmtId="0" fontId="0" fillId="18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4295055E-378D-4CC5-B2A4-84281D75DBBF}"/>
    <cellStyle name="Normal 3" xfId="4" xr:uid="{E4260F30-A0F7-4660-9A95-A71008C78429}"/>
    <cellStyle name="Porcentaje" xfId="2" builtinId="5"/>
  </cellStyles>
  <dxfs count="2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/mm/yyyy\ h:mm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color auto="1"/>
      </font>
    </dxf>
    <dxf>
      <fill>
        <patternFill patternType="solid"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</dxf>
    <dxf>
      <fill>
        <patternFill patternType="solid">
          <bgColor theme="9" tint="0.79998168889431442"/>
        </patternFill>
      </fill>
    </dxf>
    <dxf>
      <font>
        <b/>
      </font>
    </dxf>
    <dxf>
      <alignment vertical="center"/>
    </dxf>
    <dxf>
      <alignment vertical="center"/>
    </dxf>
    <dxf>
      <alignment horizontal="general"/>
    </dxf>
    <dxf>
      <alignment horizontal="general"/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wrapText="1"/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b/>
      </font>
    </dxf>
    <dxf>
      <font>
        <b/>
      </font>
    </dxf>
    <dxf>
      <font>
        <b/>
      </font>
    </dxf>
    <dxf>
      <fill>
        <patternFill>
          <fgColor theme="6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204"/>
      <tableStyleElement type="totalRow" dxfId="203"/>
    </tableStyle>
  </tableStyles>
  <colors>
    <mruColors>
      <color rgb="FF00B0F0"/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 Junio 2025.xlsx]INFORME!TablaDinámica11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INFORME!$E$16:$E$17</c:f>
              <c:strCache>
                <c:ptCount val="1"/>
                <c:pt idx="0">
                  <c:v>MODERNO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HORARIO</c:v>
                </c:pt>
                <c:pt idx="1">
                  <c:v>PRESENTACIÓN PERSONAL</c:v>
                </c:pt>
                <c:pt idx="2">
                  <c:v>ACTIVIDADES DEL MES</c:v>
                </c:pt>
                <c:pt idx="3">
                  <c:v>EJECUCIÓN DEL PDV</c:v>
                </c:pt>
              </c:strCache>
            </c:strRef>
          </c:cat>
          <c:val>
            <c:numRef>
              <c:f>INFORME!$E$18:$E$22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0.28571428571428575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INFORME!$F$16:$F$17</c:f>
              <c:strCache>
                <c:ptCount val="1"/>
                <c:pt idx="0">
                  <c:v>TRADICIONAL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HORARIO</c:v>
                </c:pt>
                <c:pt idx="1">
                  <c:v>PRESENTACIÓN PERSONAL</c:v>
                </c:pt>
                <c:pt idx="2">
                  <c:v>ACTIVIDADES DEL MES</c:v>
                </c:pt>
                <c:pt idx="3">
                  <c:v>EJECUCIÓN DEL PDV</c:v>
                </c:pt>
              </c:strCache>
            </c:strRef>
          </c:cat>
          <c:val>
            <c:numRef>
              <c:f>INFORME!$F$18:$F$22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6-4A33-B44B-1C5CDE0A2B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Auditoria Purina - Junio 2025.xlsx]INFORME!TablaDinámica12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INFORME!$E$26:$E$27</c:f>
              <c:strCache>
                <c:ptCount val="1"/>
                <c:pt idx="0">
                  <c:v>CALI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HORARIO</c:v>
                </c:pt>
                <c:pt idx="1">
                  <c:v>PRESENTACIÓN PERSONAL</c:v>
                </c:pt>
                <c:pt idx="2">
                  <c:v>ACTIVIDADES DEL MES</c:v>
                </c:pt>
                <c:pt idx="3">
                  <c:v>EJECUCIÓN DEL PDV</c:v>
                </c:pt>
              </c:strCache>
            </c:strRef>
          </c:cat>
          <c:val>
            <c:numRef>
              <c:f>INFORME!$E$28:$E$32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0.66666666666666663</c:v>
                </c:pt>
                <c:pt idx="3">
                  <c:v>0.6428571428571429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INFORME!$F$26:$F$27</c:f>
              <c:strCache>
                <c:ptCount val="1"/>
                <c:pt idx="0">
                  <c:v>MEDELLIN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0F0F0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HORARIO</c:v>
                </c:pt>
                <c:pt idx="1">
                  <c:v>PRESENTACIÓN PERSONAL</c:v>
                </c:pt>
                <c:pt idx="2">
                  <c:v>ACTIVIDADES DEL MES</c:v>
                </c:pt>
                <c:pt idx="3">
                  <c:v>EJECUCIÓN DEL PDV</c:v>
                </c:pt>
              </c:strCache>
            </c:strRef>
          </c:cat>
          <c:val>
            <c:numRef>
              <c:f>INFORME!$F$28:$F$32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0.85714285714285721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9-4B19-8681-759CC3F0F3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666750</xdr:colOff>
      <xdr:row>17</xdr:row>
      <xdr:rowOff>75406</xdr:rowOff>
    </xdr:from>
    <xdr:to>
      <xdr:col>17</xdr:col>
      <xdr:colOff>522741</xdr:colOff>
      <xdr:row>39</xdr:row>
      <xdr:rowOff>39687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254000</xdr:colOff>
      <xdr:row>5</xdr:row>
      <xdr:rowOff>1059</xdr:rowOff>
    </xdr:from>
    <xdr:to>
      <xdr:col>0</xdr:col>
      <xdr:colOff>2397125</xdr:colOff>
      <xdr:row>12</xdr:row>
      <xdr:rowOff>97972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825" y="982436"/>
              <a:ext cx="2146300" cy="9488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248688</xdr:colOff>
      <xdr:row>13</xdr:row>
      <xdr:rowOff>106962</xdr:rowOff>
    </xdr:from>
    <xdr:to>
      <xdr:col>0</xdr:col>
      <xdr:colOff>2429913</xdr:colOff>
      <xdr:row>31</xdr:row>
      <xdr:rowOff>63499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688" y="2656034"/>
              <a:ext cx="2181225" cy="21281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80165</xdr:colOff>
      <xdr:row>17</xdr:row>
      <xdr:rowOff>65427</xdr:rowOff>
    </xdr:from>
    <xdr:to>
      <xdr:col>25</xdr:col>
      <xdr:colOff>549955</xdr:colOff>
      <xdr:row>39</xdr:row>
      <xdr:rowOff>39120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81643</xdr:colOff>
      <xdr:row>1</xdr:row>
      <xdr:rowOff>176893</xdr:rowOff>
    </xdr:from>
    <xdr:to>
      <xdr:col>0</xdr:col>
      <xdr:colOff>2528803</xdr:colOff>
      <xdr:row>4</xdr:row>
      <xdr:rowOff>35345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97B8F53A-E4DF-4BA4-8837-4FC2CE28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476250"/>
          <a:ext cx="2447160" cy="51159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tor" refreshedDate="45841.339312847223" createdVersion="8" refreshedVersion="8" minRefreshableVersion="3" recordCount="6" xr:uid="{CF551015-06BD-4229-9B56-77016B602580}">
  <cacheSource type="worksheet">
    <worksheetSource name="Tabla1"/>
  </cacheSource>
  <cacheFields count="11">
    <cacheField name="CANAL" numFmtId="0">
      <sharedItems/>
    </cacheField>
    <cacheField name="CIUDAD" numFmtId="0">
      <sharedItems containsBlank="1" count="15">
        <s v="BOGOTA"/>
        <s v="CALI"/>
        <s v="MEDELLIN"/>
        <s v="BARRANQUILLA" u="1"/>
        <s v="ENVIGADO" u="1"/>
        <m u="1"/>
        <s v="ARMENIA (QUINDIO)" u="1"/>
        <s v="CHIA" u="1"/>
        <s v="CARTAGENA" u="1"/>
        <s v="BUCARAMANGA" u="1"/>
        <s v="ITAGUI" u="1"/>
        <s v="PALMIRA" u="1"/>
        <s v="PEREIRA" u="1"/>
        <s v="BELLO" u="1"/>
        <s v="SOACHA" u="1"/>
      </sharedItems>
    </cacheField>
    <cacheField name="CODIGO PDV" numFmtId="0">
      <sharedItems containsSemiMixedTypes="0" containsString="0" containsNumber="1" containsInteger="1" minValue="12211" maxValue="456498"/>
    </cacheField>
    <cacheField name="NOMBRE COMERCIAL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1" maxValue="1"/>
    </cacheField>
    <cacheField name="# Visitas" numFmtId="0">
      <sharedItems containsSemiMixedTypes="0" containsString="0" containsNumber="1" containsInteger="1" minValue="1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tor" refreshedDate="45841.339380092591" createdVersion="8" refreshedVersion="8" minRefreshableVersion="3" recordCount="141" xr:uid="{FB106F23-78AF-4657-98AE-84D2CE3B6430}">
  <cacheSource type="worksheet">
    <worksheetSource name="Tabla2__2"/>
  </cacheSource>
  <cacheFields count="19">
    <cacheField name="ACTIVIDAD" numFmtId="0">
      <sharedItems/>
    </cacheField>
    <cacheField name="CIUDAD" numFmtId="0">
      <sharedItems containsBlank="1" count="11">
        <s v="CALI"/>
        <s v="BOGOTA"/>
        <s v="MEDELLIN"/>
        <s v="BARRANQUILLA" u="1"/>
        <s v="ENVIGADO" u="1"/>
        <s v="CHIA" u="1"/>
        <s v="ARMENIA (QUINDIO)" u="1"/>
        <s v="CARTAGENA" u="1"/>
        <s v="BUCARAMANGA" u="1"/>
        <m u="1"/>
        <s v="ITAGUI" u="1"/>
      </sharedItems>
    </cacheField>
    <cacheField name="CANAL" numFmtId="0">
      <sharedItems containsMixedTypes="1" containsNumber="1" containsInteger="1" minValue="0" maxValue="0" count="3">
        <s v="TRADICIONAL"/>
        <s v="MODERNO"/>
        <n v="0" u="1"/>
      </sharedItems>
    </cacheField>
    <cacheField name="CADENA" numFmtId="0">
      <sharedItems/>
    </cacheField>
    <cacheField name="CODIGO PDV" numFmtId="0">
      <sharedItems containsSemiMixedTypes="0" containsString="0" containsNumber="1" containsInteger="1" minValue="12211" maxValue="456498"/>
    </cacheField>
    <cacheField name="NOMBRE COMERCIAL" numFmtId="0">
      <sharedItems containsBlank="1" count="97">
        <s v="LA CASA DE LOS TENDEROS"/>
        <s v="MERCAMIO CALLE 5"/>
        <s v="456498-MERCA Z CALI"/>
        <s v="ZAPATOCA VILLA LUZ"/>
        <s v="55306-SUPAPA REFUGIO"/>
        <s v="12211-PROVEEDURIA EMPRESAS PUBLICAS EPM"/>
        <s v="12397-EXITO OCCIDENTE" u="1"/>
        <s v="103470612-MERCALDAS-BOGOTA" u="1"/>
        <s v="434812-AUTOSERVICIO IDMT" u="1"/>
        <s v="12394-EXITO CALLE 80" u="1"/>
        <s v="427385-OLIMPICA STO 094 VILLA CAROLINA" u="1"/>
        <s v="Exito  Country WOW" u="1"/>
        <s v="12054-JUMBO ALTOS DEL PRADO" u="1"/>
        <s v="12565-JUMBO SANTA ANA" u="1"/>
        <s v="EXITO ENVIGADO" u="1"/>
        <s v="Jumbo Las Vegas" u="1"/>
        <s v="12559-JUMBO CALLE 80" u="1"/>
        <s v="Jumbo Calle 170" u="1"/>
        <s v="12568-JUMBO CHIA" u="1"/>
        <s v="12041-EXITO BUENA VISTA (CV) BLLA" u="1"/>
        <s v="59430-MERCADO ZAPATOCA" u="1"/>
        <s v="419758-Vaquita El Poblado" u="1"/>
        <s v="13505-EXITO UNICENTRO ARMENIA" u="1"/>
        <s v="458848-EURO FRONTERA" u="1"/>
        <s v="12557-JUMBO BULEVAR NIZA" u="1"/>
        <s v="427729-AUTOSERVICIO EL PERDOMO" u="1"/>
        <s v="JUMBO CHIA" u="1"/>
        <s v="PORVENIR FERIAS" u="1"/>
        <s v="191305-OLIMPICA SDO 544 DROGUERIA" u="1"/>
        <s v="191185-OLIMPICA STO 103 BOCAGRANDE DROGUERIA" u="1"/>
        <s v="Exito Poblado." u="1"/>
        <s v="Exito Cabecera" u="1"/>
        <s v="EXITO VIVA LAURELES" u="1"/>
        <s v="JUMBO HAYUELOS" u="1"/>
        <s v="JUMBO SANTA FE" u="1"/>
        <s v="OLIMPICA STO 093 CR 46" u="1"/>
        <s v="CLINICA VETERINARIA DON PERRO BARRANQUILLA" u="1"/>
        <s v="AGROCAMPO S.A.S." u="1"/>
        <s v="HOMECENTER AUTOPISTA NORTE BOGOTA" u="1"/>
        <s v="PUPPIS CALIMA" u="1"/>
        <s v="PUPPIS CARRERA 15" u="1"/>
        <s v="SUPERMASCOTAS CIUDAD JARDIN" u="1"/>
        <s v="EXITO LAURELES." u="1"/>
        <s v="PLAZA PETS S.A.S." u="1"/>
        <s v="CONCENTRADOS EL RANCHO LTDA DROGUERIA VETERINARIA" u="1"/>
        <s v="EXITO COUNTRY" u="1"/>
        <s v="HOMECENTER CALLE 80 CR 68" u="1"/>
        <s v="MUNDIAL DE GRANOS Y PANELAS S.A.S." u="1"/>
        <s v="PUPPIS CALLE 85" u="1"/>
        <s v="DEGANADO NORTE" u="1"/>
        <s v="PDV GENERICO 1" u="1"/>
        <s v="MERCAFAMILIAR LAS PALMAS S.A.S." u="1"/>
        <s v="ZOOMARPETS" u="1"/>
        <s v="SERVICE CAN COLOMBIA" u="1"/>
        <s v="AHORRE MAS" u="1"/>
        <s v="OLIMPICA 405 PLAZA DE LAS AMERICAS" u="1"/>
        <s v="AGROGANADERO DEL CARIBE S.A.S." u="1"/>
        <m u="1"/>
        <s v="EURO  FLORIDA" u="1"/>
        <s v="CANAVERAL PANCE" u="1"/>
        <s v="CHALO 3" u="1"/>
        <s v="439301-AVENTURA PLAZA MASCOTAS MARSELLA" u="1"/>
        <s v="435146-KAMARI PETS S.A.S." u="1"/>
        <s v="424798-PETCOL CEDRITOS" u="1"/>
        <s v="12479-EXITO GRAN ESTACION" u="1"/>
        <s v="TIERRAGRO MEDELLIN" u="1"/>
        <s v="LA CARIÑOSA" u="1"/>
        <s v="424776-CEBA USAQUEN" u="1"/>
        <s v="425918-KUMPET S.A.S." u="1"/>
        <s v="425172-JUMBO AUTOPISTA SUR" u="1"/>
        <s v="EL RANCHO." u="1"/>
        <s v="421532-TIERRAGRO MEDELLIN" u="1"/>
        <s v="29714-MERCAMIO CALLE 5" u="1"/>
        <s v="12130-ÉXITO LAURELES" u="1"/>
        <s v="12108-OLIMPICA STO 053 PORTAL DEL PRADO" u="1"/>
        <s v="424887-TIERRAGRO ITAGUI" u="1"/>
        <s v="424893-HOMECENTER CALLE 80" u="1"/>
        <s v="442220-AGROCORRALES ITAGUI" u="1"/>
        <s v="ANIMAL CENTER S.A.S GALERIAS" u="1"/>
        <s v="CLINICA DOVER S.A.S." u="1"/>
        <s v="ANIMALS COLINA AV LAS VILLAS" u="1"/>
        <s v="ANIMAL CENTER S.A.S." u="1"/>
        <s v="SUPERTIENDAS CANAVERAL S.A.S." u="1"/>
        <s v="SURTICAMPO S.A." u="1"/>
        <s v="ALMACENES EXITO S.A." u="1"/>
        <s v="SUPERTIENDAS Y DROGUERIAS OLIMPICA S.A." u="1"/>
        <s v="DISTRIBUIDORA SUPER 80 S.A." u="1"/>
        <s v="SUPERMERCADO EURO - LC 6 Y 7" u="1"/>
        <s v="EXITO CHIPICHAPE" u="1"/>
        <s v="JUMBO VALLE DEL LILI" u="1"/>
        <s v="CARULLA CALLE 140" u="1"/>
        <s v="JUMBO SANTA ANA" u="1"/>
        <s v="JUMBO CALLE 80" u="1"/>
        <s v="MEGATIENDAS CABRERO" u="1"/>
        <s v="OLIMPICA STO 105 LA PLAZUELA CARTAGENA" u="1"/>
        <s v="FARMATODO CEDRITOS 2" u="1"/>
        <s v="OLIMPICA STO 105 LA PLAZUELA" u="1"/>
      </sharedItems>
    </cacheField>
    <cacheField name="PREGUNTA" numFmtId="0">
      <sharedItems/>
    </cacheField>
    <cacheField name="RTA" numFmtId="0">
      <sharedItems/>
    </cacheField>
    <cacheField name="FECHA VISITA" numFmtId="14">
      <sharedItems containsNonDate="0" containsString="0" containsBlank="1"/>
    </cacheField>
    <cacheField name="CODIGO RUTA" numFmtId="0">
      <sharedItems containsSemiMixedTypes="0" containsString="0" containsNumber="1" containsInteger="1" minValue="27474721" maxValue="27593785"/>
    </cacheField>
    <cacheField name="USUARIO" numFmtId="0">
      <sharedItems/>
    </cacheField>
    <cacheField name="MYSTERY EFECTIVO" numFmtId="0">
      <sharedItems containsMixedTypes="1" containsNumber="1" containsInteger="1" minValue="0" maxValue="0" count="3">
        <s v="SI"/>
        <s v=" NO"/>
        <n v="0" u="1"/>
      </sharedItems>
    </cacheField>
    <cacheField name="CLUSTER" numFmtId="0">
      <sharedItems containsMixedTypes="1" containsNumber="1" containsInteger="1" minValue="0" maxValue="0" count="6">
        <s v="N/A"/>
        <s v="PRESENTACIÓN PERSONAL"/>
        <s v="HORARIO"/>
        <s v="EJECUCIÓN DEL PDV"/>
        <s v="ACTIVIDADES DEL MES"/>
        <n v="0" u="1"/>
      </sharedItems>
    </cacheField>
    <cacheField name="TOTAL PUNTAJE" numFmtId="0">
      <sharedItems containsSemiMixedTypes="0" containsString="0" containsNumber="1" minValue="0" maxValue="2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SemiMixedTypes="0" containsString="0" containsNumber="1" minValue="0" maxValue="20"/>
    </cacheField>
    <cacheField name="Columna1" numFmtId="0">
      <sharedItems containsSemiMixedTypes="0" containsString="0" containsNumber="1" containsInteger="1" minValue="0" maxValue="0"/>
    </cacheField>
    <cacheField name="Columna2" numFmtId="0">
      <sharedItems containsNonDate="0" containsString="0" containsBlank="1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6027176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MODERNO"/>
    <x v="0"/>
    <n v="129406"/>
    <s v="ZAPATOCA VILLA LUZ"/>
    <n v="1"/>
    <n v="1"/>
    <n v="1"/>
    <n v="1"/>
    <n v="0"/>
  </r>
  <r>
    <s v="MODERNO"/>
    <x v="1"/>
    <n v="55306"/>
    <s v="55306-SUPAPA REFUGIO"/>
    <n v="1"/>
    <n v="1"/>
    <n v="1"/>
    <n v="1"/>
    <n v="0"/>
  </r>
  <r>
    <s v="MODERNO"/>
    <x v="1"/>
    <n v="456498"/>
    <s v="456498-MERCA Z CALI"/>
    <n v="1"/>
    <n v="1"/>
    <n v="1"/>
    <n v="1"/>
    <n v="0"/>
  </r>
  <r>
    <s v="MODERNO"/>
    <x v="1"/>
    <n v="29714"/>
    <s v="MERCAMIO CALLE 5"/>
    <n v="1"/>
    <n v="1"/>
    <n v="1"/>
    <n v="1"/>
    <n v="1"/>
  </r>
  <r>
    <s v="TRADICIONAL"/>
    <x v="1"/>
    <n v="66552"/>
    <s v="LA CASA DE LOS TENDEROS"/>
    <n v="1"/>
    <n v="1"/>
    <n v="1"/>
    <n v="1"/>
    <n v="1"/>
  </r>
  <r>
    <s v="TRADICIONAL"/>
    <x v="2"/>
    <n v="12211"/>
    <s v="12211-PROVEEDURIA EMPRESAS PUBLICAS EPM"/>
    <n v="1"/>
    <n v="1"/>
    <n v="1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NESTLE PURINA"/>
    <x v="0"/>
    <x v="0"/>
    <s v="SUPERETE"/>
    <n v="66552"/>
    <x v="0"/>
    <s v="SE LOGRA REALIZAR LA AUDITORIA?"/>
    <s v="SI"/>
    <m/>
    <n v="27474721"/>
    <s v="NestleP.7"/>
    <x v="0"/>
    <x v="0"/>
    <n v="0"/>
    <n v="0"/>
    <n v="0"/>
    <n v="0"/>
    <m/>
  </r>
  <r>
    <s v="NESTLE PURINA"/>
    <x v="0"/>
    <x v="1"/>
    <s v="SUPERETE"/>
    <n v="29714"/>
    <x v="1"/>
    <s v="TIENE TATUAJES O PIERCINGS VISIBLES QUE NO CUMPLE CON EL CODIGO DE VESTIMENTA"/>
    <s v="NO"/>
    <m/>
    <n v="27529996"/>
    <s v="NestleP.7"/>
    <x v="0"/>
    <x v="1"/>
    <n v="1"/>
    <s v="NO"/>
    <n v="1"/>
    <n v="0"/>
    <m/>
  </r>
  <r>
    <s v="NESTLE PURINA"/>
    <x v="0"/>
    <x v="1"/>
    <s v="SUPERETE"/>
    <n v="29714"/>
    <x v="1"/>
    <s v="PRESENTA EXCESO DE MAQUILLAJE QUE NO CUMPLE CON EL CODIGO DE VESTIMENTA"/>
    <s v="NO"/>
    <m/>
    <n v="27529996"/>
    <s v="NestleP.7"/>
    <x v="0"/>
    <x v="1"/>
    <n v="1"/>
    <s v="NO"/>
    <n v="1"/>
    <n v="0"/>
    <m/>
  </r>
  <r>
    <s v="NESTLE PURINA"/>
    <x v="0"/>
    <x v="1"/>
    <s v="SUPERETE"/>
    <n v="29714"/>
    <x v="1"/>
    <s v="SU CABELLO LUCE LIMPIO, ORGANIZADO O RECOGIDO"/>
    <s v="SI"/>
    <m/>
    <n v="27529996"/>
    <s v="NestleP.7"/>
    <x v="0"/>
    <x v="1"/>
    <n v="1"/>
    <s v="SI"/>
    <n v="1"/>
    <n v="0"/>
    <m/>
  </r>
  <r>
    <s v="NESTLE PURINA"/>
    <x v="0"/>
    <x v="1"/>
    <s v="SUPERETE"/>
    <n v="29714"/>
    <x v="1"/>
    <s v="EL UNIFORME Y ZAPATOS SE ENCUENTRAN LIMPIOS Y EN BUEN ESTADO"/>
    <s v="SI"/>
    <m/>
    <n v="27529996"/>
    <s v="NestleP.7"/>
    <x v="0"/>
    <x v="1"/>
    <n v="1"/>
    <s v="SI"/>
    <n v="1"/>
    <n v="0"/>
    <m/>
  </r>
  <r>
    <s v="NESTLE PURINA"/>
    <x v="0"/>
    <x v="1"/>
    <s v="SUPERETE"/>
    <n v="29714"/>
    <x v="1"/>
    <s v="POSEE ALGUNA PRENDA ENCIMA DEL UNIFORME NO AUTORIZADA POR LA MARCA (UNICAMENTE ESTA PERMITIDO CHALECO DE SODIMAC Y EASY)"/>
    <s v="NO"/>
    <m/>
    <n v="27529996"/>
    <s v="NestleP.7"/>
    <x v="0"/>
    <x v="1"/>
    <n v="1"/>
    <s v="NO"/>
    <n v="1"/>
    <n v="0"/>
    <m/>
  </r>
  <r>
    <s v="NESTLE PURINA"/>
    <x v="0"/>
    <x v="1"/>
    <s v="SUPERETE"/>
    <n v="29714"/>
    <x v="1"/>
    <s v="CUENTA CON CALZADO DE ACUERDO AL UNIFORME"/>
    <s v="SI"/>
    <m/>
    <n v="27529996"/>
    <s v="NestleP.7"/>
    <x v="0"/>
    <x v="1"/>
    <n v="1"/>
    <s v="SI"/>
    <n v="1"/>
    <n v="0"/>
    <m/>
  </r>
  <r>
    <s v="NESTLE PURINA"/>
    <x v="0"/>
    <x v="1"/>
    <s v="SUPERETE"/>
    <n v="29714"/>
    <x v="1"/>
    <s v="CUENTA CON CAMISA DEL UNIFORME Y LOGOS SEGÚN EL CARGO (NEGRA / GRIS / ROJA / TURQUESA) (ES PERMITIDO USAR DEBAJO DE LA CAMISA BUSO MANGA LARGA NEGRO)"/>
    <s v="SI"/>
    <m/>
    <n v="27529996"/>
    <s v="NestleP.7"/>
    <x v="0"/>
    <x v="1"/>
    <n v="1"/>
    <s v="SI"/>
    <n v="1"/>
    <n v="0"/>
    <m/>
  </r>
  <r>
    <s v="NESTLE PURINA"/>
    <x v="0"/>
    <x v="1"/>
    <s v="SUPERETE"/>
    <n v="29714"/>
    <x v="1"/>
    <s v="CUENTA CON PANTALON DEL UNIFORME SEGÚN EL CARGO (NEGRO / ROJO / TURQUESA / JEAN)"/>
    <s v="SI"/>
    <m/>
    <n v="27529996"/>
    <s v="NestleP.7"/>
    <x v="0"/>
    <x v="1"/>
    <n v="1"/>
    <s v="SI"/>
    <n v="1"/>
    <n v="0"/>
    <m/>
  </r>
  <r>
    <s v="NESTLE PURINA"/>
    <x v="0"/>
    <x v="1"/>
    <s v="SUPERETE"/>
    <n v="29714"/>
    <x v="1"/>
    <s v="¿CUMPLE HORARIO DE ENTRADA O SALIDA DE LA TIENDA?"/>
    <s v="SI"/>
    <m/>
    <n v="27529996"/>
    <s v="NestleP.7"/>
    <x v="0"/>
    <x v="2"/>
    <n v="20"/>
    <s v="SI"/>
    <n v="20"/>
    <n v="0"/>
    <m/>
  </r>
  <r>
    <s v="NESTLE PURINA"/>
    <x v="0"/>
    <x v="1"/>
    <s v="SUPERETE"/>
    <n v="29714"/>
    <x v="1"/>
    <s v="SE LOGRA REALIZAR LA AUDITORIA?"/>
    <s v="SI"/>
    <m/>
    <n v="27529996"/>
    <s v="NestleP.7"/>
    <x v="0"/>
    <x v="0"/>
    <n v="0"/>
    <n v="0"/>
    <n v="0"/>
    <n v="0"/>
    <m/>
  </r>
  <r>
    <s v="NESTLE PURINA"/>
    <x v="0"/>
    <x v="1"/>
    <s v="MERCA Z"/>
    <n v="456498"/>
    <x v="2"/>
    <s v="INDIQUE OBSERVACIÓN/NOVEDAD"/>
    <s v="Se llega al pdv a las 2:28 se busca a la mk por los pasillos cuando verifico qué no está lo reporto en el grupo y la supervisora informa que la mk cambio el horario de la visita para cumplir en el pdv"/>
    <m/>
    <n v="27493916"/>
    <s v="NestleP.7"/>
    <x v="1"/>
    <x v="0"/>
    <n v="0"/>
    <n v="0"/>
    <n v="0"/>
    <n v="0"/>
    <m/>
  </r>
  <r>
    <s v="NESTLE PURINA"/>
    <x v="0"/>
    <x v="1"/>
    <s v="MERCA Z"/>
    <n v="456498"/>
    <x v="2"/>
    <s v="DESEA AÑADIR ALGUNA OBSERVACION / NOVEDAD CON LA AUDITORIA REALIZADA?"/>
    <s v="SI"/>
    <m/>
    <n v="27493916"/>
    <s v="NestleP.7"/>
    <x v="1"/>
    <x v="0"/>
    <n v="0"/>
    <n v="0"/>
    <n v="0"/>
    <n v="0"/>
    <m/>
  </r>
  <r>
    <s v="NESTLE PURINA"/>
    <x v="0"/>
    <x v="1"/>
    <s v="MERCA Z"/>
    <n v="456498"/>
    <x v="2"/>
    <s v="Tiene conocimiento de los infaltables según el cluster del pdv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Tiene resaltadas las referencias en el lineal la dinamica &quot;IMPRESIONANTES DE GRUPO ÉXITO&quot;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SELECCIONE EL CANAL DEL PDV AUDITADO?"/>
    <s v="MODERNO"/>
    <m/>
    <n v="27493916"/>
    <s v="NestleP.7"/>
    <x v="1"/>
    <x v="0"/>
    <n v="0"/>
    <s v="MODERNO, TRADICIONAL"/>
    <n v="0"/>
    <n v="0"/>
    <m/>
  </r>
  <r>
    <s v="NESTLE PURINA"/>
    <x v="0"/>
    <x v="1"/>
    <s v="MERCA Z"/>
    <n v="456498"/>
    <x v="2"/>
    <s v="CONOCE EL % DE PARTICIPACIÓN QUE TIENE EN EL PUNTO DE VENTA E INFORMA CUAL ES ESE %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CUAL ES LA ESTRATEGIA DE EXHIBICIÓN PARA LAS MARCAS MAINSTRAIN (ALPO Y GATSY) DE PURINA Y PORQUE?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CUENTA CON CAMISA DEL UNIFORME Y LOGOS SEGÚN EL CARGO (NEGRA / GRIS / ROJA / TURQUESA) (ES PERMITIDO USAR DEBAJO DE LA CAMISA BUSO MANGA LARGA NEGRO)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CUENTA CON CALZADO DE ACUERDO AL UNIFORME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POSEE ALGUNA PRENDA ENCIMA DEL UNIFORME NO AUTORIZADA POR LA MARCA (UNICAMENTE ESTA PERMITIDO CHALECO DE SODIMAC Y EASY)"/>
    <s v="NO"/>
    <m/>
    <n v="27493916"/>
    <s v="NestleP.7"/>
    <x v="1"/>
    <x v="0"/>
    <n v="0"/>
    <s v="NO"/>
    <n v="0"/>
    <n v="0"/>
    <m/>
  </r>
  <r>
    <s v="NESTLE PURINA"/>
    <x v="0"/>
    <x v="1"/>
    <s v="MERCA Z"/>
    <n v="456498"/>
    <x v="2"/>
    <s v="EL UNIFORME Y ZAPATOS SE ENCUENTRAN LIMPIOS Y EN BUEN ESTADO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SU CABELLO LUCE LIMPIO, ORGANIZADO O RECOGIDO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PRESENTA EXCESO DE MAQUILLAJE QUE NO CUMPLE CON EL CODIGO DE VESTIMENTA"/>
    <s v="NO"/>
    <m/>
    <n v="27493916"/>
    <s v="NestleP.7"/>
    <x v="1"/>
    <x v="0"/>
    <n v="0"/>
    <s v="NO"/>
    <n v="0"/>
    <n v="0"/>
    <m/>
  </r>
  <r>
    <s v="NESTLE PURINA"/>
    <x v="0"/>
    <x v="1"/>
    <s v="SUPERETE"/>
    <n v="29714"/>
    <x v="1"/>
    <s v="TIENE UÑAS LLAMATIVAS Y/O LARGAS QUE NO CUMPLE CON EL CODIGO DE VESTIMENTA"/>
    <s v="NO"/>
    <m/>
    <n v="27529996"/>
    <s v="NestleP.7"/>
    <x v="0"/>
    <x v="1"/>
    <n v="1"/>
    <s v="NO"/>
    <n v="1"/>
    <n v="0"/>
    <m/>
  </r>
  <r>
    <s v="NESTLE PURINA"/>
    <x v="0"/>
    <x v="1"/>
    <s v="MERCA Z"/>
    <n v="456498"/>
    <x v="2"/>
    <s v="TIENE TATUAJES O PIERCINGS VISIBLES QUE NO CUMPLE CON EL CODIGO DE VESTIMENTA"/>
    <s v="NO"/>
    <m/>
    <n v="27493916"/>
    <s v="NestleP.7"/>
    <x v="1"/>
    <x v="0"/>
    <n v="0"/>
    <s v="NO"/>
    <n v="0"/>
    <n v="0"/>
    <m/>
  </r>
  <r>
    <s v="NESTLE PURINA"/>
    <x v="0"/>
    <x v="1"/>
    <s v="MERCA Z"/>
    <n v="456498"/>
    <x v="2"/>
    <s v="USA ACCESORIOS QUE NO CUMPLE CON EL CODIGO DE VESTIMENTA"/>
    <s v="NO"/>
    <m/>
    <n v="27493916"/>
    <s v="NestleP.7"/>
    <x v="1"/>
    <x v="0"/>
    <n v="0"/>
    <s v="NO"/>
    <n v="0"/>
    <n v="0"/>
    <m/>
  </r>
  <r>
    <s v="NESTLE PURINA"/>
    <x v="0"/>
    <x v="1"/>
    <s v="MERCA Z"/>
    <n v="456498"/>
    <x v="2"/>
    <s v="EL LINEAL SE ENCUENTRA LIMPIO Y ORGANIZADO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LOS PRODUCTOS TIENEN EL PRECIO Y ESTAN ACORDE O CORRESPONDIENTE A CADA REFERENCIA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LOS PRODUCTOS ESTAN SURTIDOS DE ACUERDO A PEPS O FIFO (REVISAR TANTO PRODUCTO SECO COMO HUMEDO)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CONOCE LOS INFALTABLES DEL PUNTO DE VENTA Y CUENTA CON EL MATERIAL DE APOYO (AYUDAVENTAS INFALTABLES)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CONOCE Y TIENE SURTIDO DE ACUERDO A LA ESTRATEGIA DE EXHIBICIÓN (ETAPAS DE VIDA - SEGMENTACIÓN DE MARCAS)"/>
    <s v="NO"/>
    <m/>
    <n v="27493916"/>
    <s v="NestleP.7"/>
    <x v="1"/>
    <x v="0"/>
    <n v="0"/>
    <s v="SI"/>
    <n v="0"/>
    <n v="0"/>
    <m/>
  </r>
  <r>
    <s v="NESTLE PURINA"/>
    <x v="0"/>
    <x v="1"/>
    <s v="MERCA Z"/>
    <n v="456498"/>
    <x v="2"/>
    <s v="TIENE UÑAS LLAMATIVAS Y/O LARGAS QUE NO CUMPLE CON EL CODIGO DE VESTIMENTA"/>
    <s v="NO"/>
    <m/>
    <n v="27493916"/>
    <s v="NestleP.7"/>
    <x v="1"/>
    <x v="0"/>
    <n v="0"/>
    <s v="NO"/>
    <n v="0"/>
    <n v="0"/>
    <m/>
  </r>
  <r>
    <s v="NESTLE PURINA"/>
    <x v="0"/>
    <x v="1"/>
    <s v="SUPERETE"/>
    <n v="29714"/>
    <x v="1"/>
    <s v="USA ACCESORIOS QUE NO CUMPLE CON EL CODIGO DE VESTIMENTA"/>
    <s v="NO"/>
    <m/>
    <n v="27529996"/>
    <s v="NestleP.7"/>
    <x v="0"/>
    <x v="1"/>
    <n v="1"/>
    <s v="NO"/>
    <n v="1"/>
    <n v="0"/>
    <m/>
  </r>
  <r>
    <s v="NESTLE PURINA"/>
    <x v="0"/>
    <x v="1"/>
    <s v="SUPERETE"/>
    <n v="29714"/>
    <x v="1"/>
    <s v="EL LINEAL SE ENCUENTRA LIMPIO Y ORGANIZADO"/>
    <s v="NO"/>
    <m/>
    <n v="27529996"/>
    <s v="NestleP.7"/>
    <x v="0"/>
    <x v="3"/>
    <n v="4.2857142857142856"/>
    <s v="SI"/>
    <n v="0"/>
    <n v="0"/>
    <m/>
  </r>
  <r>
    <s v="NESTLE PURINA"/>
    <x v="0"/>
    <x v="1"/>
    <s v="SUPERETE"/>
    <n v="29714"/>
    <x v="1"/>
    <s v="LOS PRODUCTOS TIENEN EL PRECIO Y ESTAN ACORDE O CORRESPONDIENTE A CADA REFERENCIA"/>
    <s v="NO"/>
    <m/>
    <n v="27529996"/>
    <s v="NestleP.7"/>
    <x v="0"/>
    <x v="3"/>
    <n v="4.2857142857142856"/>
    <s v="SI"/>
    <n v="0"/>
    <n v="0"/>
    <m/>
  </r>
  <r>
    <s v="NESTLE PURINA"/>
    <x v="1"/>
    <x v="1"/>
    <s v="EXITO"/>
    <n v="129406"/>
    <x v="3"/>
    <s v="PRESENTA EXCESO DE MAQUILLAJE QUE NO CUMPLE CON EL CODIGO DE VESTIMENTA"/>
    <s v="NO"/>
    <m/>
    <n v="27593785"/>
    <s v="NestleP.1"/>
    <x v="1"/>
    <x v="0"/>
    <n v="0"/>
    <s v="NO"/>
    <n v="0"/>
    <n v="0"/>
    <m/>
  </r>
  <r>
    <s v="NESTLE PURINA"/>
    <x v="1"/>
    <x v="1"/>
    <s v="EXITO"/>
    <n v="129406"/>
    <x v="3"/>
    <s v="TIENE TATUAJES O PIERCINGS VISIBLES QUE NO CUMPLE CON EL CODIGO DE VESTIMENTA"/>
    <s v="NO"/>
    <m/>
    <n v="27593785"/>
    <s v="NestleP.1"/>
    <x v="1"/>
    <x v="0"/>
    <n v="0"/>
    <s v="NO"/>
    <n v="0"/>
    <n v="0"/>
    <m/>
  </r>
  <r>
    <s v="NESTLE PURINA"/>
    <x v="1"/>
    <x v="1"/>
    <s v="EXITO"/>
    <n v="129406"/>
    <x v="3"/>
    <s v="TIENE UÑAS LLAMATIVAS Y/O LARGAS QUE NO CUMPLE CON EL CODIGO DE VESTIMENTA"/>
    <s v="NO"/>
    <m/>
    <n v="27593785"/>
    <s v="NestleP.1"/>
    <x v="1"/>
    <x v="0"/>
    <n v="0"/>
    <s v="NO"/>
    <n v="0"/>
    <n v="0"/>
    <m/>
  </r>
  <r>
    <s v="NESTLE PURINA"/>
    <x v="1"/>
    <x v="1"/>
    <s v="EXITO"/>
    <n v="129406"/>
    <x v="3"/>
    <s v="USA ACCESORIOS QUE NO CUMPLE CON EL CODIGO DE VESTIMENTA"/>
    <s v="NO"/>
    <m/>
    <n v="27593785"/>
    <s v="NestleP.1"/>
    <x v="1"/>
    <x v="0"/>
    <n v="0"/>
    <s v="NO"/>
    <n v="0"/>
    <n v="0"/>
    <m/>
  </r>
  <r>
    <s v="NESTLE PURINA"/>
    <x v="1"/>
    <x v="1"/>
    <s v="EXITO"/>
    <n v="129406"/>
    <x v="3"/>
    <s v="EL LINEAL SE ENCUENTRA LIMPIO Y ORGANIZADO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LOS PRODUCTOS TIENEN EL PRECIO Y ESTAN ACORDE O CORRESPONDIENTE A CADA REFERENCIA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SU CABELLO LUCE LIMPIO, ORGANIZADO O RECOGIDO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LOS PRODUCTOS ESTAN SURTIDOS DE ACUERDO A PEPS O FIFO (REVISAR TANTO PRODUCTO SECO COMO HUMEDO)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CONOCE Y TIENE SURTIDO DE ACUERDO A LA ESTRATEGIA DE EXHIBICIÓN (ETAPAS DE VIDA - SEGMENTACIÓN DE MARCAS)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CUAL ES LA ESTRATEGIA DE EXHIBICIÓN PARA LAS MARCAS MAINSTRAIN (ALPO Y GATSY) DE PURINA Y PORQUE?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CONOCE EL % DE PARTICIPACIÓN QUE TIENE EN EL PUNTO DE VENTA E INFORMA CUAL ES ESE %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SELECCIONE EL CANAL DEL PDV AUDITADO?"/>
    <s v="MODERNO"/>
    <m/>
    <n v="27593785"/>
    <s v="NestleP.1"/>
    <x v="1"/>
    <x v="0"/>
    <n v="0"/>
    <s v="MODERNO, TRADICIONAL"/>
    <n v="0"/>
    <n v="0"/>
    <m/>
  </r>
  <r>
    <s v="NESTLE PURINA"/>
    <x v="1"/>
    <x v="1"/>
    <s v="EXITO"/>
    <n v="129406"/>
    <x v="3"/>
    <s v="Tiene resaltadas las referencias en el lineal la dinamica &quot;IMPRESIONANTES DE GRUPO ÉXITO&quot;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Tiene conocimiento de los infaltables según el cluster del pdv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CONOCE LOS INFALTABLES DEL PUNTO DE VENTA Y CUENTA CON EL MATERIAL DE APOYO (AYUDAVENTAS INFALTABLES)"/>
    <s v="NO"/>
    <m/>
    <n v="27593785"/>
    <s v="NestleP.1"/>
    <x v="1"/>
    <x v="0"/>
    <n v="0"/>
    <s v="SI"/>
    <n v="0"/>
    <n v="0"/>
    <m/>
  </r>
  <r>
    <s v="NESTLE PURINA"/>
    <x v="0"/>
    <x v="1"/>
    <s v="MERCA Z"/>
    <n v="456498"/>
    <x v="2"/>
    <s v="CUENTA CON PANTALON DEL UNIFORME SEGÚN EL CARGO (NEGRO / ROJO / TURQUESA / JEAN)"/>
    <s v="NO"/>
    <m/>
    <n v="27493916"/>
    <s v="NestleP.7"/>
    <x v="1"/>
    <x v="0"/>
    <n v="0"/>
    <s v="SI"/>
    <n v="0"/>
    <n v="0"/>
    <m/>
  </r>
  <r>
    <s v="NESTLE PURINA"/>
    <x v="1"/>
    <x v="1"/>
    <s v="EXITO"/>
    <n v="129406"/>
    <x v="3"/>
    <s v="EL UNIFORME Y ZAPATOS SE ENCUENTRAN LIMPIOS Y EN BUEN ESTADO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CUENTA CON CALZADO DE ACUERDO AL UNIFORME"/>
    <s v="NO"/>
    <m/>
    <n v="27593785"/>
    <s v="NestleP.1"/>
    <x v="1"/>
    <x v="0"/>
    <n v="0"/>
    <s v="SI"/>
    <n v="0"/>
    <n v="0"/>
    <m/>
  </r>
  <r>
    <s v="NESTLE PURINA"/>
    <x v="0"/>
    <x v="1"/>
    <s v="SUPERETE"/>
    <n v="29714"/>
    <x v="1"/>
    <s v="LOS PRODUCTOS ESTAN SURTIDOS DE ACUERDO A PEPS O FIFO (REVISAR TANTO PRODUCTO SECO COMO HUMEDO)"/>
    <s v="NO"/>
    <m/>
    <n v="27529996"/>
    <s v="NestleP.7"/>
    <x v="0"/>
    <x v="3"/>
    <n v="4.2857142857142856"/>
    <s v="SI"/>
    <n v="0"/>
    <n v="0"/>
    <m/>
  </r>
  <r>
    <s v="NESTLE PURINA"/>
    <x v="0"/>
    <x v="1"/>
    <s v="SUPERETE"/>
    <n v="29714"/>
    <x v="1"/>
    <s v="CONOCE LOS INFALTABLES DEL PUNTO DE VENTA Y CUENTA CON EL MATERIAL DE APOYO (AYUDAVENTAS INFALTABLES)"/>
    <s v="NO"/>
    <m/>
    <n v="27529996"/>
    <s v="NestleP.7"/>
    <x v="0"/>
    <x v="3"/>
    <n v="4.2857142857142856"/>
    <s v="SI"/>
    <n v="0"/>
    <n v="0"/>
    <m/>
  </r>
  <r>
    <s v="NESTLE PURINA"/>
    <x v="0"/>
    <x v="1"/>
    <s v="SUPERETE"/>
    <n v="29714"/>
    <x v="1"/>
    <s v="CONOCE Y TIENE SURTIDO DE ACUERDO A LA ESTRATEGIA DE EXHIBICIÓN (ETAPAS DE VIDA - SEGMENTACIÓN DE MARCAS)"/>
    <s v="SI"/>
    <m/>
    <n v="27529996"/>
    <s v="NestleP.7"/>
    <x v="0"/>
    <x v="3"/>
    <n v="4.2857142857142856"/>
    <s v="SI"/>
    <n v="4.2857142857142856"/>
    <n v="0"/>
    <m/>
  </r>
  <r>
    <s v="NESTLE PURINA"/>
    <x v="0"/>
    <x v="1"/>
    <s v="SUPERETE"/>
    <n v="29714"/>
    <x v="1"/>
    <s v="CUAL ES LA ESTRATEGIA DE EXHIBICIÓN PARA LAS MARCAS MAINSTRAIN (ALPO Y GATSY) DE PURINA Y PORQUE?"/>
    <s v="SI"/>
    <m/>
    <n v="27529996"/>
    <s v="NestleP.7"/>
    <x v="0"/>
    <x v="3"/>
    <n v="4.2857142857142856"/>
    <s v="SI"/>
    <n v="4.2857142857142856"/>
    <n v="0"/>
    <m/>
  </r>
  <r>
    <s v="NESTLE PURINA"/>
    <x v="0"/>
    <x v="1"/>
    <s v="SUPERETE"/>
    <n v="29714"/>
    <x v="1"/>
    <s v="CONOCE EL % DE PARTICIPACIÓN QUE TIENE EN EL PUNTO DE VENTA E INFORMA CUAL ES ESE %"/>
    <s v="NO"/>
    <m/>
    <n v="27529996"/>
    <s v="NestleP.7"/>
    <x v="0"/>
    <x v="3"/>
    <n v="4.2857142857142856"/>
    <s v="SI"/>
    <n v="0"/>
    <n v="0"/>
    <m/>
  </r>
  <r>
    <s v="NESTLE PURINA"/>
    <x v="0"/>
    <x v="1"/>
    <s v="SUPERETE"/>
    <n v="29714"/>
    <x v="1"/>
    <s v="SELECCIONE EL CANAL DEL PDV AUDITADO?"/>
    <s v="MODERNO"/>
    <m/>
    <n v="27529996"/>
    <s v="NestleP.7"/>
    <x v="0"/>
    <x v="0"/>
    <n v="0"/>
    <s v="MODERNO, TRADICIONAL"/>
    <n v="0"/>
    <n v="0"/>
    <m/>
  </r>
  <r>
    <s v="NESTLE PURINA"/>
    <x v="1"/>
    <x v="1"/>
    <s v="EXITO"/>
    <n v="129406"/>
    <x v="3"/>
    <s v="POSEE ALGUNA PRENDA ENCIMA DEL UNIFORME NO AUTORIZADA POR LA MARCA (UNICAMENTE ESTA PERMITIDO CHALECO DE SODIMAC Y EASY)"/>
    <s v="NO"/>
    <m/>
    <n v="27593785"/>
    <s v="NestleP.1"/>
    <x v="1"/>
    <x v="0"/>
    <n v="0"/>
    <s v="NO"/>
    <n v="0"/>
    <n v="0"/>
    <m/>
  </r>
  <r>
    <s v="NESTLE PURINA"/>
    <x v="0"/>
    <x v="1"/>
    <s v="SUPERETE"/>
    <n v="29714"/>
    <x v="1"/>
    <s v="Tiene resaltadas las referencias en el lineal la dinamica &quot;IMPRESIONANTES DE GRUPO ÉXITO&quot;"/>
    <s v="NO"/>
    <m/>
    <n v="27529996"/>
    <s v="NestleP.7"/>
    <x v="0"/>
    <x v="4"/>
    <n v="8"/>
    <s v="SI"/>
    <n v="0"/>
    <n v="0"/>
    <m/>
  </r>
  <r>
    <s v="NESTLE PURINA"/>
    <x v="0"/>
    <x v="1"/>
    <s v="SUPERETE"/>
    <n v="29714"/>
    <x v="1"/>
    <s v="DESEA AÑADIR ALGUNA OBSERVACION / NOVEDAD CON LA AUDITORIA REALIZADA?"/>
    <s v="SI"/>
    <m/>
    <n v="27529996"/>
    <s v="NestleP.7"/>
    <x v="0"/>
    <x v="0"/>
    <n v="0"/>
    <n v="0"/>
    <n v="0"/>
    <n v="0"/>
    <m/>
  </r>
  <r>
    <s v="NESTLE PURINA"/>
    <x v="0"/>
    <x v="1"/>
    <s v="SUPERETE"/>
    <n v="29714"/>
    <x v="1"/>
    <s v="INDIQUE OBSERVACIÓN/NOVEDAD"/>
    <s v="La mk estaba en bodega bajando mercancía para surtir por eso hay partes del lineal con huecos "/>
    <m/>
    <n v="27529996"/>
    <s v="NestleP.7"/>
    <x v="0"/>
    <x v="0"/>
    <n v="0"/>
    <n v="0"/>
    <n v="0"/>
    <n v="0"/>
    <m/>
  </r>
  <r>
    <s v="NESTLE PURINA"/>
    <x v="1"/>
    <x v="1"/>
    <s v="EXITO"/>
    <n v="129406"/>
    <x v="3"/>
    <s v="SE LOGRA REALIZAR LA AUDITORIA?"/>
    <s v="NO"/>
    <m/>
    <n v="27593785"/>
    <s v="NestleP.1"/>
    <x v="1"/>
    <x v="0"/>
    <n v="0"/>
    <n v="0"/>
    <n v="0"/>
    <n v="0"/>
    <m/>
  </r>
  <r>
    <s v="NESTLE PURINA"/>
    <x v="1"/>
    <x v="1"/>
    <s v="EXITO"/>
    <n v="129406"/>
    <x v="3"/>
    <s v="¿CUMPLE HORARIO DE ENTRADA O SALIDA DE LA TIENDA?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CUENTA CON PANTALON DEL UNIFORME SEGÚN EL CARGO (NEGRO / ROJO / TURQUESA / JEAN)"/>
    <s v="NO"/>
    <m/>
    <n v="27593785"/>
    <s v="NestleP.1"/>
    <x v="1"/>
    <x v="0"/>
    <n v="0"/>
    <s v="SI"/>
    <n v="0"/>
    <n v="0"/>
    <m/>
  </r>
  <r>
    <s v="NESTLE PURINA"/>
    <x v="1"/>
    <x v="1"/>
    <s v="EXITO"/>
    <n v="129406"/>
    <x v="3"/>
    <s v="CUENTA CON CAMISA DEL UNIFORME Y LOGOS SEGÚN EL CARGO (NEGRA / GRIS / ROJA / TURQUESA) (ES PERMITIDO USAR DEBAJO DE LA CAMISA BUSO MANGA LARGA NEGRO)"/>
    <s v="NO"/>
    <m/>
    <n v="27593785"/>
    <s v="NestleP.1"/>
    <x v="1"/>
    <x v="0"/>
    <n v="0"/>
    <s v="SI"/>
    <n v="0"/>
    <n v="0"/>
    <m/>
  </r>
  <r>
    <s v="NESTLE PURINA"/>
    <x v="0"/>
    <x v="1"/>
    <s v="SUPERETE"/>
    <n v="29714"/>
    <x v="1"/>
    <s v="Tiene conocimiento de los infaltables según el cluster del pdv"/>
    <s v="SI"/>
    <m/>
    <n v="27529996"/>
    <s v="NestleP.7"/>
    <x v="0"/>
    <x v="4"/>
    <n v="8"/>
    <s v="SI"/>
    <n v="8"/>
    <n v="0"/>
    <m/>
  </r>
  <r>
    <s v="NESTLE PURINA"/>
    <x v="1"/>
    <x v="1"/>
    <s v="EXITO"/>
    <n v="129406"/>
    <x v="3"/>
    <s v="DESEA AÑADIR ALGUNA OBSERVACION / NOVEDAD CON LA AUDITORIA REALIZADA?"/>
    <s v="SI"/>
    <m/>
    <n v="27593785"/>
    <s v="NestleP.1"/>
    <x v="1"/>
    <x v="0"/>
    <n v="0"/>
    <n v="0"/>
    <n v="0"/>
    <n v="0"/>
    <m/>
  </r>
  <r>
    <s v="NESTLE PURINA"/>
    <x v="0"/>
    <x v="1"/>
    <s v="MERCA Z"/>
    <n v="456498"/>
    <x v="2"/>
    <s v="¿CUMPLE HORARIO DE ENTRADA O SALIDA DE LA TIENDA?"/>
    <s v="NO"/>
    <m/>
    <n v="27493916"/>
    <s v="NestleP.7"/>
    <x v="1"/>
    <x v="0"/>
    <n v="0"/>
    <s v="SI"/>
    <n v="0"/>
    <n v="0"/>
    <m/>
  </r>
  <r>
    <s v="NESTLE PURINA"/>
    <x v="0"/>
    <x v="1"/>
    <s v="MERCA Z"/>
    <n v="55306"/>
    <x v="4"/>
    <s v="INDIQUE OBSERVACIÓN/NOVEDAD"/>
    <s v="Lkego al pdv secinforma que la mercaderista no se encuentra y la supervisora me dice que ella está en la eps"/>
    <m/>
    <n v="27483590"/>
    <s v="NestleP.7"/>
    <x v="1"/>
    <x v="0"/>
    <n v="0"/>
    <n v="0"/>
    <n v="0"/>
    <n v="0"/>
    <m/>
  </r>
  <r>
    <s v="NESTLE PURINA"/>
    <x v="2"/>
    <x v="0"/>
    <s v="SUPERETE"/>
    <n v="12211"/>
    <x v="5"/>
    <s v="TIENE TATUAJES O PIERCINGS VISIBLES QUE NO CUMPLE CON EL CODIGO DE VESTIMENTA"/>
    <s v="NO"/>
    <m/>
    <n v="27481191"/>
    <s v="NestleP.11"/>
    <x v="0"/>
    <x v="1"/>
    <n v="1"/>
    <s v="NO"/>
    <n v="1"/>
    <n v="0"/>
    <m/>
  </r>
  <r>
    <s v="NESTLE PURINA"/>
    <x v="2"/>
    <x v="0"/>
    <s v="SUPERETE"/>
    <n v="12211"/>
    <x v="5"/>
    <s v="PRESENTA EXCESO DE MAQUILLAJE QUE NO CUMPLE CON EL CODIGO DE VESTIMENTA"/>
    <s v="NO"/>
    <m/>
    <n v="27481191"/>
    <s v="NestleP.11"/>
    <x v="0"/>
    <x v="1"/>
    <n v="1"/>
    <s v="NO"/>
    <n v="1"/>
    <n v="0"/>
    <m/>
  </r>
  <r>
    <s v="NESTLE PURINA"/>
    <x v="2"/>
    <x v="0"/>
    <s v="SUPERETE"/>
    <n v="12211"/>
    <x v="5"/>
    <s v="SU CABELLO LUCE LIMPIO, ORGANIZADO O RECOGIDO"/>
    <s v="SI"/>
    <m/>
    <n v="27481191"/>
    <s v="NestleP.11"/>
    <x v="0"/>
    <x v="1"/>
    <n v="1"/>
    <s v="SI"/>
    <n v="1"/>
    <n v="0"/>
    <m/>
  </r>
  <r>
    <s v="NESTLE PURINA"/>
    <x v="2"/>
    <x v="0"/>
    <s v="SUPERETE"/>
    <n v="12211"/>
    <x v="5"/>
    <s v="EL UNIFORME Y ZAPATOS SE ENCUENTRAN LIMPIOS Y EN BUEN ESTADO"/>
    <s v="SI"/>
    <m/>
    <n v="27481191"/>
    <s v="NestleP.11"/>
    <x v="0"/>
    <x v="1"/>
    <n v="1"/>
    <s v="SI"/>
    <n v="1"/>
    <n v="0"/>
    <m/>
  </r>
  <r>
    <s v="NESTLE PURINA"/>
    <x v="2"/>
    <x v="0"/>
    <s v="SUPERETE"/>
    <n v="12211"/>
    <x v="5"/>
    <s v="POSEE ALGUNA PRENDA ENCIMA DEL UNIFORME NO AUTORIZADA POR LA MARCA (UNICAMENTE ESTA PERMITIDO CHALECO DE SODIMAC Y EASY)"/>
    <s v="NO"/>
    <m/>
    <n v="27481191"/>
    <s v="NestleP.11"/>
    <x v="0"/>
    <x v="1"/>
    <n v="1"/>
    <s v="NO"/>
    <n v="1"/>
    <n v="0"/>
    <m/>
  </r>
  <r>
    <s v="NESTLE PURINA"/>
    <x v="2"/>
    <x v="0"/>
    <s v="SUPERETE"/>
    <n v="12211"/>
    <x v="5"/>
    <s v="CUENTA CON CALZADO DE ACUERDO AL UNIFORME"/>
    <s v="SI"/>
    <m/>
    <n v="27481191"/>
    <s v="NestleP.11"/>
    <x v="0"/>
    <x v="1"/>
    <n v="1"/>
    <s v="SI"/>
    <n v="1"/>
    <n v="0"/>
    <m/>
  </r>
  <r>
    <s v="NESTLE PURINA"/>
    <x v="2"/>
    <x v="0"/>
    <s v="SUPERETE"/>
    <n v="12211"/>
    <x v="5"/>
    <s v="CUENTA CON CAMISA DEL UNIFORME Y LOGOS SEGÚN EL CARGO (NEGRA / GRIS / ROJA / TURQUESA) (ES PERMITIDO USAR DEBAJO DE LA CAMISA BUSO MANGA LARGA NEGRO)"/>
    <s v="SI"/>
    <m/>
    <n v="27481191"/>
    <s v="NestleP.11"/>
    <x v="0"/>
    <x v="1"/>
    <n v="1"/>
    <s v="SI"/>
    <n v="1"/>
    <n v="0"/>
    <m/>
  </r>
  <r>
    <s v="NESTLE PURINA"/>
    <x v="2"/>
    <x v="0"/>
    <s v="SUPERETE"/>
    <n v="12211"/>
    <x v="5"/>
    <s v="CUENTA CON PANTALON DEL UNIFORME SEGÚN EL CARGO (NEGRO / ROJO / TURQUESA / JEAN)"/>
    <s v="SI"/>
    <m/>
    <n v="27481191"/>
    <s v="NestleP.11"/>
    <x v="0"/>
    <x v="1"/>
    <n v="1"/>
    <s v="SI"/>
    <n v="1"/>
    <n v="0"/>
    <m/>
  </r>
  <r>
    <s v="NESTLE PURINA"/>
    <x v="2"/>
    <x v="0"/>
    <s v="SUPERETE"/>
    <n v="12211"/>
    <x v="5"/>
    <s v="¿CUMPLE HORARIO DE ENTRADA O SALIDA DE LA TIENDA?"/>
    <s v="SI"/>
    <m/>
    <n v="27481191"/>
    <s v="NestleP.11"/>
    <x v="0"/>
    <x v="2"/>
    <n v="20"/>
    <s v="SI"/>
    <n v="20"/>
    <n v="0"/>
    <m/>
  </r>
  <r>
    <s v="NESTLE PURINA"/>
    <x v="2"/>
    <x v="0"/>
    <s v="SUPERETE"/>
    <n v="12211"/>
    <x v="5"/>
    <s v="SE LOGRA REALIZAR LA AUDITORIA?"/>
    <s v="SI"/>
    <m/>
    <n v="27481191"/>
    <s v="NestleP.11"/>
    <x v="0"/>
    <x v="0"/>
    <n v="0"/>
    <n v="0"/>
    <n v="0"/>
    <n v="0"/>
    <m/>
  </r>
  <r>
    <s v="NESTLE PURINA"/>
    <x v="0"/>
    <x v="0"/>
    <s v="SUPERETE"/>
    <n v="66552"/>
    <x v="0"/>
    <s v="DESEA AÑADIR ALGUNA OBSERVACION / NOVEDAD CON LA AUDITORIA REALIZADA?"/>
    <s v="NO"/>
    <m/>
    <n v="27474721"/>
    <s v="NestleP.7"/>
    <x v="0"/>
    <x v="0"/>
    <n v="0"/>
    <n v="0"/>
    <n v="0"/>
    <n v="0"/>
    <m/>
  </r>
  <r>
    <s v="NESTLE PURINA"/>
    <x v="0"/>
    <x v="0"/>
    <s v="SUPERETE"/>
    <n v="66552"/>
    <x v="0"/>
    <s v="Esta implementada la nueva estrategia de baja de precios_x000a_(Si el mercaderista informa que el PDV no lo permite implementar quedaria como N/A)"/>
    <s v="SI"/>
    <m/>
    <n v="27474721"/>
    <s v="NestleP.7"/>
    <x v="0"/>
    <x v="4"/>
    <n v="8"/>
    <s v="SI"/>
    <n v="8"/>
    <n v="0"/>
    <m/>
  </r>
  <r>
    <s v="NESTLE PURINA"/>
    <x v="0"/>
    <x v="0"/>
    <s v="SUPERETE"/>
    <n v="66552"/>
    <x v="0"/>
    <s v="SELECCIONE EL CANAL DEL PDV AUDITADO?"/>
    <s v=" TRADICIONAL"/>
    <m/>
    <n v="27474721"/>
    <s v="NestleP.7"/>
    <x v="0"/>
    <x v="0"/>
    <n v="0"/>
    <s v="MODERNO, TRADICIONAL"/>
    <n v="0"/>
    <n v="0"/>
    <m/>
  </r>
  <r>
    <s v="NESTLE PURINA"/>
    <x v="0"/>
    <x v="0"/>
    <s v="SUPERETE"/>
    <n v="66552"/>
    <x v="0"/>
    <s v="CONOCE EL % DE PARTICIPACIÓN QUE TIENE EN EL PUNTO DE VENTA E INFORMA CUAL ES ESE %"/>
    <s v="SI"/>
    <m/>
    <n v="27474721"/>
    <s v="NestleP.7"/>
    <x v="0"/>
    <x v="3"/>
    <n v="4.2857142857142856"/>
    <s v="SI"/>
    <n v="4.2857142857142856"/>
    <n v="0"/>
    <m/>
  </r>
  <r>
    <s v="NESTLE PURINA"/>
    <x v="0"/>
    <x v="0"/>
    <s v="SUPERETE"/>
    <n v="66552"/>
    <x v="0"/>
    <s v="CUAL ES LA ESTRATEGIA DE EXHIBICIÓN PARA LAS MARCAS MAINSTRAIN (ALPO Y GATSY) DE PURINA Y PORQUE?"/>
    <s v="SI"/>
    <m/>
    <n v="27474721"/>
    <s v="NestleP.7"/>
    <x v="0"/>
    <x v="3"/>
    <n v="4.2857142857142856"/>
    <s v="SI"/>
    <n v="4.2857142857142856"/>
    <n v="0"/>
    <m/>
  </r>
  <r>
    <s v="NESTLE PURINA"/>
    <x v="0"/>
    <x v="0"/>
    <s v="SUPERETE"/>
    <n v="66552"/>
    <x v="0"/>
    <s v="CONOCE Y TIENE SURTIDO DE ACUERDO A LA ESTRATEGIA DE EXHIBICIÓN (ETAPAS DE VIDA - SEGMENTACIÓN DE MARCAS)"/>
    <s v="SI"/>
    <m/>
    <n v="27474721"/>
    <s v="NestleP.7"/>
    <x v="0"/>
    <x v="3"/>
    <n v="4.2857142857142856"/>
    <s v="SI"/>
    <n v="4.2857142857142856"/>
    <n v="0"/>
    <m/>
  </r>
  <r>
    <s v="NESTLE PURINA"/>
    <x v="0"/>
    <x v="0"/>
    <s v="SUPERETE"/>
    <n v="66552"/>
    <x v="0"/>
    <s v="CONOCE LOS INFALTABLES DEL PUNTO DE VENTA Y CUENTA CON EL MATERIAL DE APOYO (AYUDAVENTAS INFALTABLES)"/>
    <s v="SI"/>
    <m/>
    <n v="27474721"/>
    <s v="NestleP.7"/>
    <x v="0"/>
    <x v="3"/>
    <n v="4.2857142857142856"/>
    <s v="SI"/>
    <n v="4.2857142857142856"/>
    <n v="0"/>
    <m/>
  </r>
  <r>
    <s v="NESTLE PURINA"/>
    <x v="0"/>
    <x v="0"/>
    <s v="SUPERETE"/>
    <n v="66552"/>
    <x v="0"/>
    <s v="¿CUMPLE HORARIO DE ENTRADA O SALIDA DE LA TIENDA?"/>
    <s v="SI"/>
    <m/>
    <n v="27474721"/>
    <s v="NestleP.7"/>
    <x v="0"/>
    <x v="2"/>
    <n v="20"/>
    <s v="SI"/>
    <n v="20"/>
    <n v="0"/>
    <m/>
  </r>
  <r>
    <s v="NESTLE PURINA"/>
    <x v="0"/>
    <x v="0"/>
    <s v="SUPERETE"/>
    <n v="66552"/>
    <x v="0"/>
    <s v="CUENTA CON PANTALON DEL UNIFORME SEGÚN EL CARGO (NEGRO / ROJO / TURQUESA / JEAN)"/>
    <s v="SI"/>
    <m/>
    <n v="27474721"/>
    <s v="NestleP.7"/>
    <x v="0"/>
    <x v="1"/>
    <n v="1"/>
    <s v="SI"/>
    <n v="1"/>
    <n v="0"/>
    <m/>
  </r>
  <r>
    <s v="NESTLE PURINA"/>
    <x v="0"/>
    <x v="0"/>
    <s v="SUPERETE"/>
    <n v="66552"/>
    <x v="0"/>
    <s v="CUENTA CON CAMISA DEL UNIFORME Y LOGOS SEGÚN EL CARGO (NEGRA / GRIS / ROJA / TURQUESA) (ES PERMITIDO USAR DEBAJO DE LA CAMISA BUSO MANGA LARGA NEGRO)"/>
    <s v="SI"/>
    <m/>
    <n v="27474721"/>
    <s v="NestleP.7"/>
    <x v="0"/>
    <x v="1"/>
    <n v="1"/>
    <s v="SI"/>
    <n v="1"/>
    <n v="0"/>
    <m/>
  </r>
  <r>
    <s v="NESTLE PURINA"/>
    <x v="0"/>
    <x v="0"/>
    <s v="SUPERETE"/>
    <n v="66552"/>
    <x v="0"/>
    <s v="CUENTA CON CALZADO DE ACUERDO AL UNIFORME"/>
    <s v="SI"/>
    <m/>
    <n v="27474721"/>
    <s v="NestleP.7"/>
    <x v="0"/>
    <x v="1"/>
    <n v="1"/>
    <s v="SI"/>
    <n v="1"/>
    <n v="0"/>
    <m/>
  </r>
  <r>
    <s v="NESTLE PURINA"/>
    <x v="0"/>
    <x v="0"/>
    <s v="SUPERETE"/>
    <n v="66552"/>
    <x v="0"/>
    <s v="POSEE ALGUNA PRENDA ENCIMA DEL UNIFORME NO AUTORIZADA POR LA MARCA (UNICAMENTE ESTA PERMITIDO CHALECO DE SODIMAC Y EASY)"/>
    <s v="NO"/>
    <m/>
    <n v="27474721"/>
    <s v="NestleP.7"/>
    <x v="0"/>
    <x v="1"/>
    <n v="1"/>
    <s v="NO"/>
    <n v="1"/>
    <n v="0"/>
    <m/>
  </r>
  <r>
    <s v="NESTLE PURINA"/>
    <x v="0"/>
    <x v="0"/>
    <s v="SUPERETE"/>
    <n v="66552"/>
    <x v="0"/>
    <s v="EL UNIFORME Y ZAPATOS SE ENCUENTRAN LIMPIOS Y EN BUEN ESTADO"/>
    <s v="SI"/>
    <m/>
    <n v="27474721"/>
    <s v="NestleP.7"/>
    <x v="0"/>
    <x v="1"/>
    <n v="1"/>
    <s v="SI"/>
    <n v="1"/>
    <n v="0"/>
    <m/>
  </r>
  <r>
    <s v="NESTLE PURINA"/>
    <x v="2"/>
    <x v="0"/>
    <s v="SUPERETE"/>
    <n v="12211"/>
    <x v="5"/>
    <s v="TIENE UÑAS LLAMATIVAS Y/O LARGAS QUE NO CUMPLE CON EL CODIGO DE VESTIMENTA"/>
    <s v="NO"/>
    <m/>
    <n v="27481191"/>
    <s v="NestleP.11"/>
    <x v="0"/>
    <x v="1"/>
    <n v="1"/>
    <s v="NO"/>
    <n v="1"/>
    <n v="0"/>
    <m/>
  </r>
  <r>
    <s v="NESTLE PURINA"/>
    <x v="0"/>
    <x v="0"/>
    <s v="SUPERETE"/>
    <n v="66552"/>
    <x v="0"/>
    <s v="SU CABELLO LUCE LIMPIO, ORGANIZADO O RECOGIDO"/>
    <s v="SI"/>
    <m/>
    <n v="27474721"/>
    <s v="NestleP.7"/>
    <x v="0"/>
    <x v="1"/>
    <n v="1"/>
    <s v="SI"/>
    <n v="1"/>
    <n v="0"/>
    <m/>
  </r>
  <r>
    <s v="NESTLE PURINA"/>
    <x v="0"/>
    <x v="0"/>
    <s v="SUPERETE"/>
    <n v="66552"/>
    <x v="0"/>
    <s v="TIENE TATUAJES O PIERCINGS VISIBLES QUE NO CUMPLE CON EL CODIGO DE VESTIMENTA"/>
    <s v="NO"/>
    <m/>
    <n v="27474721"/>
    <s v="NestleP.7"/>
    <x v="0"/>
    <x v="1"/>
    <n v="1"/>
    <s v="NO"/>
    <n v="1"/>
    <n v="0"/>
    <m/>
  </r>
  <r>
    <s v="NESTLE PURINA"/>
    <x v="0"/>
    <x v="0"/>
    <s v="SUPERETE"/>
    <n v="66552"/>
    <x v="0"/>
    <s v="TIENE UÑAS LLAMATIVAS Y/O LARGAS QUE NO CUMPLE CON EL CODIGO DE VESTIMENTA"/>
    <s v="NO"/>
    <m/>
    <n v="27474721"/>
    <s v="NestleP.7"/>
    <x v="0"/>
    <x v="1"/>
    <n v="1"/>
    <s v="NO"/>
    <n v="1"/>
    <n v="0"/>
    <m/>
  </r>
  <r>
    <s v="NESTLE PURINA"/>
    <x v="0"/>
    <x v="0"/>
    <s v="SUPERETE"/>
    <n v="66552"/>
    <x v="0"/>
    <s v="USA ACCESORIOS QUE NO CUMPLE CON EL CODIGO DE VESTIMENTA"/>
    <s v="NO"/>
    <m/>
    <n v="27474721"/>
    <s v="NestleP.7"/>
    <x v="0"/>
    <x v="1"/>
    <n v="1"/>
    <s v="NO"/>
    <n v="1"/>
    <n v="0"/>
    <m/>
  </r>
  <r>
    <s v="NESTLE PURINA"/>
    <x v="0"/>
    <x v="0"/>
    <s v="SUPERETE"/>
    <n v="66552"/>
    <x v="0"/>
    <s v="EL LINEAL SE ENCUENTRA LIMPIO Y ORGANIZADO"/>
    <s v="SI"/>
    <m/>
    <n v="27474721"/>
    <s v="NestleP.7"/>
    <x v="0"/>
    <x v="3"/>
    <n v="4.2857142857142856"/>
    <s v="SI"/>
    <n v="4.2857142857142856"/>
    <n v="0"/>
    <m/>
  </r>
  <r>
    <s v="NESTLE PURINA"/>
    <x v="0"/>
    <x v="0"/>
    <s v="SUPERETE"/>
    <n v="66552"/>
    <x v="0"/>
    <s v="LOS PRODUCTOS TIENEN EL PRECIO Y ESTAN ACORDE O CORRESPONDIENTE A CADA REFERENCIA"/>
    <s v="SI"/>
    <m/>
    <n v="27474721"/>
    <s v="NestleP.7"/>
    <x v="0"/>
    <x v="3"/>
    <n v="4.2857142857142856"/>
    <s v="SI"/>
    <n v="4.2857142857142856"/>
    <n v="0"/>
    <m/>
  </r>
  <r>
    <s v="NESTLE PURINA"/>
    <x v="0"/>
    <x v="0"/>
    <s v="SUPERETE"/>
    <n v="66552"/>
    <x v="0"/>
    <s v="LOS PRODUCTOS ESTAN SURTIDOS DE ACUERDO A PEPS O FIFO (REVISAR TANTO PRODUCTO SECO COMO HUMEDO)"/>
    <s v="SI"/>
    <m/>
    <n v="27474721"/>
    <s v="NestleP.7"/>
    <x v="0"/>
    <x v="3"/>
    <n v="4.2857142857142856"/>
    <s v="SI"/>
    <n v="4.2857142857142856"/>
    <n v="0"/>
    <m/>
  </r>
  <r>
    <s v="NESTLE PURINA"/>
    <x v="0"/>
    <x v="0"/>
    <s v="SUPERETE"/>
    <n v="66552"/>
    <x v="0"/>
    <s v="PRESENTA EXCESO DE MAQUILLAJE QUE NO CUMPLE CON EL CODIGO DE VESTIMENTA"/>
    <s v="NO"/>
    <m/>
    <n v="27474721"/>
    <s v="NestleP.7"/>
    <x v="0"/>
    <x v="1"/>
    <n v="1"/>
    <s v="NO"/>
    <n v="1"/>
    <n v="0"/>
    <m/>
  </r>
  <r>
    <s v="NESTLE PURINA"/>
    <x v="2"/>
    <x v="0"/>
    <s v="SUPERETE"/>
    <n v="12211"/>
    <x v="5"/>
    <s v="USA ACCESORIOS QUE NO CUMPLE CON EL CODIGO DE VESTIMENTA"/>
    <s v="NO"/>
    <m/>
    <n v="27481191"/>
    <s v="NestleP.11"/>
    <x v="0"/>
    <x v="1"/>
    <n v="1"/>
    <s v="NO"/>
    <n v="1"/>
    <n v="0"/>
    <m/>
  </r>
  <r>
    <s v="NESTLE PURINA"/>
    <x v="2"/>
    <x v="0"/>
    <s v="SUPERETE"/>
    <n v="12211"/>
    <x v="5"/>
    <s v="EL LINEAL SE ENCUENTRA LIMPIO Y ORGANIZADO"/>
    <s v="SI"/>
    <m/>
    <n v="27481191"/>
    <s v="NestleP.11"/>
    <x v="0"/>
    <x v="3"/>
    <n v="4.2857142857142856"/>
    <s v="SI"/>
    <n v="4.2857142857142856"/>
    <n v="0"/>
    <m/>
  </r>
  <r>
    <s v="NESTLE PURINA"/>
    <x v="2"/>
    <x v="0"/>
    <s v="SUPERETE"/>
    <n v="12211"/>
    <x v="5"/>
    <s v="LOS PRODUCTOS TIENEN EL PRECIO Y ESTAN ACORDE O CORRESPONDIENTE A CADA REFERENCIA"/>
    <s v="SI"/>
    <m/>
    <n v="27481191"/>
    <s v="NestleP.11"/>
    <x v="0"/>
    <x v="3"/>
    <n v="4.2857142857142856"/>
    <s v="SI"/>
    <n v="4.2857142857142856"/>
    <n v="0"/>
    <m/>
  </r>
  <r>
    <s v="NESTLE PURINA"/>
    <x v="0"/>
    <x v="1"/>
    <s v="MERCA Z"/>
    <n v="55306"/>
    <x v="4"/>
    <s v="TIENE TATUAJES O PIERCINGS VISIBLES QUE NO CUMPLE CON EL CODIGO DE VESTIMENTA"/>
    <s v="NO"/>
    <m/>
    <n v="27483590"/>
    <s v="NestleP.7"/>
    <x v="1"/>
    <x v="0"/>
    <n v="0"/>
    <s v="NO"/>
    <n v="0"/>
    <n v="0"/>
    <m/>
  </r>
  <r>
    <s v="NESTLE PURINA"/>
    <x v="0"/>
    <x v="1"/>
    <s v="MERCA Z"/>
    <n v="55306"/>
    <x v="4"/>
    <s v="TIENE UÑAS LLAMATIVAS Y/O LARGAS QUE NO CUMPLE CON EL CODIGO DE VESTIMENTA"/>
    <s v="NO"/>
    <m/>
    <n v="27483590"/>
    <s v="NestleP.7"/>
    <x v="1"/>
    <x v="0"/>
    <n v="0"/>
    <s v="NO"/>
    <n v="0"/>
    <n v="0"/>
    <m/>
  </r>
  <r>
    <s v="NESTLE PURINA"/>
    <x v="0"/>
    <x v="1"/>
    <s v="MERCA Z"/>
    <n v="55306"/>
    <x v="4"/>
    <s v="USA ACCESORIOS QUE NO CUMPLE CON EL CODIGO DE VESTIMENTA"/>
    <s v="NO"/>
    <m/>
    <n v="27483590"/>
    <s v="NestleP.7"/>
    <x v="1"/>
    <x v="0"/>
    <n v="0"/>
    <s v="NO"/>
    <n v="0"/>
    <n v="0"/>
    <m/>
  </r>
  <r>
    <s v="NESTLE PURINA"/>
    <x v="0"/>
    <x v="1"/>
    <s v="MERCA Z"/>
    <n v="55306"/>
    <x v="4"/>
    <s v="EL LINEAL SE ENCUENTRA LIMPIO Y ORGANIZADO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LOS PRODUCTOS TIENEN EL PRECIO Y ESTAN ACORDE O CORRESPONDIENTE A CADA REFERENCIA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LOS PRODUCTOS ESTAN SURTIDOS DE ACUERDO A PEPS O FIFO (REVISAR TANTO PRODUCTO SECO COMO HUMEDO)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PRESENTA EXCESO DE MAQUILLAJE QUE NO CUMPLE CON EL CODIGO DE VESTIMENTA"/>
    <s v="NO"/>
    <m/>
    <n v="27483590"/>
    <s v="NestleP.7"/>
    <x v="1"/>
    <x v="0"/>
    <n v="0"/>
    <s v="NO"/>
    <n v="0"/>
    <n v="0"/>
    <m/>
  </r>
  <r>
    <s v="NESTLE PURINA"/>
    <x v="0"/>
    <x v="1"/>
    <s v="MERCA Z"/>
    <n v="55306"/>
    <x v="4"/>
    <s v="CONOCE LOS INFALTABLES DEL PUNTO DE VENTA Y CUENTA CON EL MATERIAL DE APOYO (AYUDAVENTAS INFALTABLES)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CUAL ES LA ESTRATEGIA DE EXHIBICIÓN PARA LAS MARCAS MAINSTRAIN (ALPO Y GATSY) DE PURINA Y PORQUE?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CONOCE EL % DE PARTICIPACIÓN QUE TIENE EN EL PUNTO DE VENTA E INFORMA CUAL ES ESE %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SELECCIONE EL CANAL DEL PDV AUDITADO?"/>
    <s v="MODERNO"/>
    <m/>
    <n v="27483590"/>
    <s v="NestleP.7"/>
    <x v="1"/>
    <x v="0"/>
    <n v="0"/>
    <s v="MODERNO, TRADICIONAL"/>
    <n v="0"/>
    <n v="0"/>
    <m/>
  </r>
  <r>
    <s v="NESTLE PURINA"/>
    <x v="0"/>
    <x v="1"/>
    <s v="MERCA Z"/>
    <n v="55306"/>
    <x v="4"/>
    <s v="Tiene resaltadas las referencias en el lineal la dinamica &quot;IMPRESIONANTES DE GRUPO ÉXITO&quot;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Tiene conocimiento de los infaltables según el cluster del pdv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DESEA AÑADIR ALGUNA OBSERVACION / NOVEDAD CON LA AUDITORIA REALIZADA?"/>
    <s v="SI"/>
    <m/>
    <n v="27483590"/>
    <s v="NestleP.7"/>
    <x v="1"/>
    <x v="0"/>
    <n v="0"/>
    <n v="0"/>
    <n v="0"/>
    <n v="0"/>
    <m/>
  </r>
  <r>
    <s v="NESTLE PURINA"/>
    <x v="0"/>
    <x v="1"/>
    <s v="MERCA Z"/>
    <n v="55306"/>
    <x v="4"/>
    <s v="CONOCE Y TIENE SURTIDO DE ACUERDO A LA ESTRATEGIA DE EXHIBICIÓN (ETAPAS DE VIDA - SEGMENTACIÓN DE MARCAS)"/>
    <s v="NO"/>
    <m/>
    <n v="27483590"/>
    <s v="NestleP.7"/>
    <x v="1"/>
    <x v="0"/>
    <n v="0"/>
    <s v="SI"/>
    <n v="0"/>
    <n v="0"/>
    <m/>
  </r>
  <r>
    <s v="NESTLE PURINA"/>
    <x v="0"/>
    <x v="1"/>
    <s v="MERCA Z"/>
    <n v="456498"/>
    <x v="2"/>
    <s v="SE LOGRA REALIZAR LA AUDITORIA?"/>
    <s v="NO"/>
    <m/>
    <n v="27493916"/>
    <s v="NestleP.7"/>
    <x v="1"/>
    <x v="0"/>
    <n v="0"/>
    <n v="0"/>
    <n v="0"/>
    <n v="0"/>
    <m/>
  </r>
  <r>
    <s v="NESTLE PURINA"/>
    <x v="0"/>
    <x v="1"/>
    <s v="MERCA Z"/>
    <n v="55306"/>
    <x v="4"/>
    <s v="SU CABELLO LUCE LIMPIO, ORGANIZADO O RECOGIDO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POSEE ALGUNA PRENDA ENCIMA DEL UNIFORME NO AUTORIZADA POR LA MARCA (UNICAMENTE ESTA PERMITIDO CHALECO DE SODIMAC Y EASY)"/>
    <s v="NO"/>
    <m/>
    <n v="27483590"/>
    <s v="NestleP.7"/>
    <x v="1"/>
    <x v="0"/>
    <n v="0"/>
    <s v="NO"/>
    <n v="0"/>
    <n v="0"/>
    <m/>
  </r>
  <r>
    <s v="NESTLE PURINA"/>
    <x v="2"/>
    <x v="0"/>
    <s v="SUPERETE"/>
    <n v="12211"/>
    <x v="5"/>
    <s v="LOS PRODUCTOS ESTAN SURTIDOS DE ACUERDO A PEPS O FIFO (REVISAR TANTO PRODUCTO SECO COMO HUMEDO)"/>
    <s v="SI"/>
    <m/>
    <n v="27481191"/>
    <s v="NestleP.11"/>
    <x v="0"/>
    <x v="3"/>
    <n v="4.2857142857142856"/>
    <s v="SI"/>
    <n v="4.2857142857142856"/>
    <n v="0"/>
    <m/>
  </r>
  <r>
    <s v="NESTLE PURINA"/>
    <x v="2"/>
    <x v="0"/>
    <s v="SUPERETE"/>
    <n v="12211"/>
    <x v="5"/>
    <s v="CONOCE LOS INFALTABLES DEL PUNTO DE VENTA Y CUENTA CON EL MATERIAL DE APOYO (AYUDAVENTAS INFALTABLES)"/>
    <s v="SI"/>
    <m/>
    <n v="27481191"/>
    <s v="NestleP.11"/>
    <x v="0"/>
    <x v="3"/>
    <n v="4.2857142857142856"/>
    <s v="SI"/>
    <n v="4.2857142857142856"/>
    <n v="0"/>
    <m/>
  </r>
  <r>
    <s v="NESTLE PURINA"/>
    <x v="2"/>
    <x v="0"/>
    <s v="SUPERETE"/>
    <n v="12211"/>
    <x v="5"/>
    <s v="CONOCE Y TIENE SURTIDO DE ACUERDO A LA ESTRATEGIA DE EXHIBICIÓN (ETAPAS DE VIDA - SEGMENTACIÓN DE MARCAS)"/>
    <s v="SI"/>
    <m/>
    <n v="27481191"/>
    <s v="NestleP.11"/>
    <x v="0"/>
    <x v="3"/>
    <n v="4.2857142857142856"/>
    <s v="SI"/>
    <n v="4.2857142857142856"/>
    <n v="0"/>
    <m/>
  </r>
  <r>
    <s v="NESTLE PURINA"/>
    <x v="2"/>
    <x v="0"/>
    <s v="SUPERETE"/>
    <n v="12211"/>
    <x v="5"/>
    <s v="CUAL ES LA ESTRATEGIA DE EXHIBICIÓN PARA LAS MARCAS MAINSTRAIN (ALPO Y GATSY) DE PURINA Y PORQUE?"/>
    <s v="SI"/>
    <m/>
    <n v="27481191"/>
    <s v="NestleP.11"/>
    <x v="0"/>
    <x v="3"/>
    <n v="4.2857142857142856"/>
    <s v="SI"/>
    <n v="4.2857142857142856"/>
    <n v="0"/>
    <m/>
  </r>
  <r>
    <s v="NESTLE PURINA"/>
    <x v="2"/>
    <x v="0"/>
    <s v="SUPERETE"/>
    <n v="12211"/>
    <x v="5"/>
    <s v="CONOCE EL % DE PARTICIPACIÓN QUE TIENE EN EL PUNTO DE VENTA E INFORMA CUAL ES ESE %"/>
    <s v="NO"/>
    <m/>
    <n v="27481191"/>
    <s v="NestleP.11"/>
    <x v="0"/>
    <x v="3"/>
    <n v="4.2857142857142856"/>
    <s v="SI"/>
    <n v="0"/>
    <n v="0"/>
    <m/>
  </r>
  <r>
    <s v="NESTLE PURINA"/>
    <x v="2"/>
    <x v="0"/>
    <s v="SUPERETE"/>
    <n v="12211"/>
    <x v="5"/>
    <s v="SELECCIONE EL CANAL DEL PDV AUDITADO?"/>
    <s v=" TRADICIONAL"/>
    <m/>
    <n v="27481191"/>
    <s v="NestleP.11"/>
    <x v="0"/>
    <x v="0"/>
    <n v="0"/>
    <s v="MODERNO, TRADICIONAL"/>
    <n v="0"/>
    <n v="0"/>
    <m/>
  </r>
  <r>
    <s v="NESTLE PURINA"/>
    <x v="0"/>
    <x v="1"/>
    <s v="MERCA Z"/>
    <n v="55306"/>
    <x v="4"/>
    <s v="EL UNIFORME Y ZAPATOS SE ENCUENTRAN LIMPIOS Y EN BUEN ESTADO"/>
    <s v="NO"/>
    <m/>
    <n v="27483590"/>
    <s v="NestleP.7"/>
    <x v="1"/>
    <x v="0"/>
    <n v="0"/>
    <s v="SI"/>
    <n v="0"/>
    <n v="0"/>
    <m/>
  </r>
  <r>
    <s v="NESTLE PURINA"/>
    <x v="2"/>
    <x v="0"/>
    <s v="SUPERETE"/>
    <n v="12211"/>
    <x v="5"/>
    <s v="Esta implementada la nueva estrategia de baja de precios_x000a_(Si el mercaderista informa que el PDV no lo permite implementar quedaria como N/A)"/>
    <s v="SI"/>
    <m/>
    <n v="27481191"/>
    <s v="NestleP.11"/>
    <x v="0"/>
    <x v="4"/>
    <n v="8"/>
    <s v="SI"/>
    <n v="8"/>
    <n v="0"/>
    <m/>
  </r>
  <r>
    <s v="NESTLE PURINA"/>
    <x v="2"/>
    <x v="0"/>
    <s v="SUPERETE"/>
    <n v="12211"/>
    <x v="5"/>
    <s v="INDIQUE OBSERVACIÓN/NOVEDAD"/>
    <s v="Aun no conoce el % de participación, indica que es nueva en el pdv."/>
    <m/>
    <n v="27481191"/>
    <s v="NestleP.11"/>
    <x v="0"/>
    <x v="0"/>
    <n v="0"/>
    <n v="0"/>
    <n v="0"/>
    <n v="0"/>
    <m/>
  </r>
  <r>
    <s v="NESTLE PURINA"/>
    <x v="0"/>
    <x v="1"/>
    <s v="MERCA Z"/>
    <n v="55306"/>
    <x v="4"/>
    <s v="SE LOGRA REALIZAR LA AUDITORIA?"/>
    <s v="NO"/>
    <m/>
    <n v="27483590"/>
    <s v="NestleP.7"/>
    <x v="1"/>
    <x v="0"/>
    <n v="0"/>
    <n v="0"/>
    <n v="0"/>
    <n v="0"/>
    <m/>
  </r>
  <r>
    <s v="NESTLE PURINA"/>
    <x v="0"/>
    <x v="1"/>
    <s v="MERCA Z"/>
    <n v="55306"/>
    <x v="4"/>
    <s v="¿CUMPLE HORARIO DE ENTRADA O SALIDA DE LA TIENDA?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CUENTA CON PANTALON DEL UNIFORME SEGÚN EL CARGO (NEGRO / ROJO / TURQUESA / JEAN)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CUENTA CON CAMISA DEL UNIFORME Y LOGOS SEGÚN EL CARGO (NEGRA / GRIS / ROJA / TURQUESA) (ES PERMITIDO USAR DEBAJO DE LA CAMISA BUSO MANGA LARGA NEGRO)"/>
    <s v="NO"/>
    <m/>
    <n v="27483590"/>
    <s v="NestleP.7"/>
    <x v="1"/>
    <x v="0"/>
    <n v="0"/>
    <s v="SI"/>
    <n v="0"/>
    <n v="0"/>
    <m/>
  </r>
  <r>
    <s v="NESTLE PURINA"/>
    <x v="0"/>
    <x v="1"/>
    <s v="MERCA Z"/>
    <n v="55306"/>
    <x v="4"/>
    <s v="CUENTA CON CALZADO DE ACUERDO AL UNIFORME"/>
    <s v="NO"/>
    <m/>
    <n v="27483590"/>
    <s v="NestleP.7"/>
    <x v="1"/>
    <x v="0"/>
    <n v="0"/>
    <s v="SI"/>
    <n v="0"/>
    <n v="0"/>
    <m/>
  </r>
  <r>
    <s v="NESTLE PURINA"/>
    <x v="2"/>
    <x v="0"/>
    <s v="SUPERETE"/>
    <n v="12211"/>
    <x v="5"/>
    <s v="DESEA AÑADIR ALGUNA OBSERVACION / NOVEDAD CON LA AUDITORIA REALIZADA?"/>
    <s v="SI"/>
    <m/>
    <n v="27481191"/>
    <s v="NestleP.11"/>
    <x v="0"/>
    <x v="0"/>
    <n v="0"/>
    <n v="0"/>
    <n v="0"/>
    <n v="0"/>
    <m/>
  </r>
  <r>
    <s v="NESTLE PURINA"/>
    <x v="1"/>
    <x v="1"/>
    <s v="EXITO"/>
    <n v="129406"/>
    <x v="3"/>
    <s v="INDIQUE OBSERVACIÓN/NOVEDAD"/>
    <s v="Se presenta el mercaderista de Nestlé de la parte de cafés y me comunica que la asesora de Nestlé Purina no se encuentra porque no asistió en el día de hoy al punto . Por lo tanto no se puede realizar la auditoría "/>
    <m/>
    <n v="27593785"/>
    <s v="NestleP.1"/>
    <x v="1"/>
    <x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F2861-8B4F-4AB1-8DB9-3577766F9B6D}" name="TablaDinámica14" cacheId="1" applyNumberFormats="0" applyBorderFormats="0" applyFontFormats="0" applyPatternFormats="0" applyAlignmentFormats="0" applyWidthHeightFormats="1" dataCaption="Valores" grandTotalCaption="% MYSTERY" showError="1" updatedVersion="8" minRefreshableVersion="3" itemPrintTitles="1" createdVersion="8" indent="0" compact="0" compactData="0" multipleFieldFilters="0">
  <location ref="D41:K46" firstHeaderRow="1" firstDataRow="2" firstDataCol="3" rowPageCount="1" colPageCount="1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1"/>
        <item x="0"/>
        <item m="1" x="7"/>
        <item m="1" x="4"/>
        <item x="2"/>
        <item m="1" x="3"/>
        <item m="1" x="10"/>
        <item m="1" x="9"/>
        <item m="1" x="8"/>
        <item m="1" x="5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97">
        <item m="1" x="84"/>
        <item m="1" x="90"/>
        <item m="1" x="86"/>
        <item m="1" x="88"/>
        <item m="1" x="32"/>
        <item m="1" x="95"/>
        <item m="1" x="17"/>
        <item m="1" x="92"/>
        <item m="1" x="15"/>
        <item m="1" x="91"/>
        <item m="1" x="89"/>
        <item m="1" x="93"/>
        <item m="1" x="96"/>
        <item m="1" x="94"/>
        <item m="1" x="87"/>
        <item m="1" x="82"/>
        <item m="1" x="85"/>
        <item m="1" x="83"/>
        <item m="1" x="65"/>
        <item m="1" x="14"/>
        <item m="1" x="81"/>
        <item m="1" x="79"/>
        <item m="1" x="80"/>
        <item m="1" x="78"/>
        <item x="0"/>
        <item m="1" x="70"/>
        <item m="1" x="71"/>
        <item m="1" x="72"/>
        <item m="1" x="73"/>
        <item m="1" x="74"/>
        <item m="1" x="75"/>
        <item m="1" x="76"/>
        <item m="1" x="77"/>
        <item m="1" x="66"/>
        <item m="1" x="58"/>
        <item m="1" x="59"/>
        <item m="1" x="60"/>
        <item m="1" x="61"/>
        <item m="1" x="62"/>
        <item m="1" x="67"/>
        <item m="1" x="63"/>
        <item m="1" x="68"/>
        <item m="1" x="69"/>
        <item m="1" x="64"/>
        <item m="1" x="51"/>
        <item m="1" x="55"/>
        <item m="1" x="54"/>
        <item m="1" x="53"/>
        <item m="1" x="57"/>
        <item m="1" x="56"/>
        <item m="1" x="52"/>
        <item m="1" x="40"/>
        <item m="1" x="39"/>
        <item m="1" x="37"/>
        <item m="1" x="44"/>
        <item m="1" x="43"/>
        <item m="1" x="45"/>
        <item m="1" x="38"/>
        <item m="1" x="36"/>
        <item m="1" x="50"/>
        <item m="1" x="41"/>
        <item m="1" x="42"/>
        <item m="1" x="46"/>
        <item m="1" x="49"/>
        <item m="1" x="47"/>
        <item x="1"/>
        <item m="1" x="48"/>
        <item m="1" x="33"/>
        <item m="1" x="11"/>
        <item m="1" x="34"/>
        <item m="1" x="31"/>
        <item m="1" x="35"/>
        <item m="1" x="26"/>
        <item m="1" x="27"/>
        <item m="1" x="29"/>
        <item m="1" x="28"/>
        <item m="1" x="30"/>
        <item m="1" x="22"/>
        <item m="1" x="16"/>
        <item m="1" x="19"/>
        <item m="1" x="21"/>
        <item m="1" x="24"/>
        <item m="1" x="23"/>
        <item m="1" x="25"/>
        <item m="1" x="20"/>
        <item m="1" x="18"/>
        <item m="1" x="12"/>
        <item m="1" x="9"/>
        <item m="1" x="10"/>
        <item m="1" x="13"/>
        <item m="1" x="6"/>
        <item x="2"/>
        <item x="4"/>
        <item x="3"/>
        <item m="1" x="8"/>
        <item m="1" x="7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m="1"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>
      <items count="7">
        <item h="1" m="1" x="5"/>
        <item x="4"/>
        <item x="3"/>
        <item x="2"/>
        <item h="1"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4">
    <i>
      <x v="1"/>
      <x v="1"/>
      <x v="65"/>
    </i>
    <i r="1">
      <x v="2"/>
      <x v="24"/>
    </i>
    <i>
      <x v="4"/>
      <x v="2"/>
      <x v="96"/>
    </i>
    <i t="grand">
      <x/>
    </i>
  </rowItems>
  <colFields count="1">
    <field x="12"/>
  </colFields>
  <colItems count="5">
    <i>
      <x v="1"/>
    </i>
    <i>
      <x v="2"/>
    </i>
    <i>
      <x v="3"/>
    </i>
    <i>
      <x v="5"/>
    </i>
    <i t="grand">
      <x/>
    </i>
  </colItems>
  <pageFields count="1">
    <pageField fld="11" hier="-1"/>
  </pageFields>
  <dataFields count="1">
    <dataField name="Suma de % MYSTERY" fld="18" baseField="0" baseItem="0" numFmtId="9"/>
  </dataFields>
  <formats count="42">
    <format dxfId="145">
      <pivotArea outline="0" collapsedLevelsAreSubtotals="1" fieldPosition="0"/>
    </format>
    <format dxfId="144">
      <pivotArea outline="0" collapsedLevelsAreSubtotals="1" fieldPosition="0"/>
    </format>
    <format dxfId="143">
      <pivotArea dataOnly="0" labelOnly="1" grandCol="1" outline="0" fieldPosition="0"/>
    </format>
    <format dxfId="142">
      <pivotArea outline="0" collapsedLevelsAreSubtotals="1" fieldPosition="0"/>
    </format>
    <format dxfId="141">
      <pivotArea dataOnly="0" labelOnly="1" grandCol="1" outline="0" fieldPosition="0"/>
    </format>
    <format dxfId="140">
      <pivotArea grandRow="1" outline="0" collapsedLevelsAreSubtotals="1" fieldPosition="0"/>
    </format>
    <format dxfId="139">
      <pivotArea grandRow="1" outline="0" collapsedLevelsAreSubtotals="1" fieldPosition="0"/>
    </format>
    <format dxfId="138">
      <pivotArea dataOnly="0" labelOnly="1" grandCol="1" outline="0" fieldPosition="0"/>
    </format>
    <format dxfId="137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36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35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34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33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32">
      <pivotArea field="1" type="button" dataOnly="0" labelOnly="1" outline="0" axis="axisRow" fieldPosition="0"/>
    </format>
    <format dxfId="131">
      <pivotArea field="5" type="button" dataOnly="0" labelOnly="1" outline="0" axis="axisRow" fieldPosition="2"/>
    </format>
    <format dxfId="130">
      <pivotArea dataOnly="0" labelOnly="1" outline="0" fieldPosition="0">
        <references count="1">
          <reference field="12" count="0"/>
        </references>
      </pivotArea>
    </format>
    <format dxfId="129">
      <pivotArea dataOnly="0" labelOnly="1" grandCol="1" outline="0" fieldPosition="0"/>
    </format>
    <format dxfId="128">
      <pivotArea field="1" type="button" dataOnly="0" labelOnly="1" outline="0" axis="axisRow" fieldPosition="0"/>
    </format>
    <format dxfId="127">
      <pivotArea field="5" type="button" dataOnly="0" labelOnly="1" outline="0" axis="axisRow" fieldPosition="2"/>
    </format>
    <format dxfId="126">
      <pivotArea dataOnly="0" labelOnly="1" outline="0" fieldPosition="0">
        <references count="1">
          <reference field="12" count="0"/>
        </references>
      </pivotArea>
    </format>
    <format dxfId="125">
      <pivotArea dataOnly="0" labelOnly="1" grandCol="1" outline="0" fieldPosition="0"/>
    </format>
    <format dxfId="124">
      <pivotArea field="2" type="button" dataOnly="0" labelOnly="1" outline="0" axis="axisRow" fieldPosition="1"/>
    </format>
    <format dxfId="123">
      <pivotArea field="1" type="button" dataOnly="0" labelOnly="1" outline="0" axis="axisRow" fieldPosition="0"/>
    </format>
    <format dxfId="122">
      <pivotArea field="2" type="button" dataOnly="0" labelOnly="1" outline="0" axis="axisRow" fieldPosition="1"/>
    </format>
    <format dxfId="121">
      <pivotArea field="5" type="button" dataOnly="0" labelOnly="1" outline="0" axis="axisRow" fieldPosition="2"/>
    </format>
    <format dxfId="120">
      <pivotArea dataOnly="0" labelOnly="1" outline="0" fieldPosition="0">
        <references count="1">
          <reference field="12" count="0"/>
        </references>
      </pivotArea>
    </format>
    <format dxfId="119">
      <pivotArea dataOnly="0" labelOnly="1" grandCol="1" outline="0" fieldPosition="0"/>
    </format>
    <format dxfId="118">
      <pivotArea field="1" type="button" dataOnly="0" labelOnly="1" outline="0" axis="axisRow" fieldPosition="0"/>
    </format>
    <format dxfId="117">
      <pivotArea field="2" type="button" dataOnly="0" labelOnly="1" outline="0" axis="axisRow" fieldPosition="1"/>
    </format>
    <format dxfId="116">
      <pivotArea field="5" type="button" dataOnly="0" labelOnly="1" outline="0" axis="axisRow" fieldPosition="2"/>
    </format>
    <format dxfId="115">
      <pivotArea dataOnly="0" labelOnly="1" outline="0" fieldPosition="0">
        <references count="1">
          <reference field="12" count="0"/>
        </references>
      </pivotArea>
    </format>
    <format dxfId="114">
      <pivotArea field="12" grandRow="1" outline="0" axis="axisCol" fieldPosition="0">
        <references count="1">
          <reference field="12" count="0" selected="0"/>
        </references>
      </pivotArea>
    </format>
    <format dxfId="113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10">
      <pivotArea dataOnly="0" labelOnly="1" grandRow="1" outline="0" fieldPosition="0"/>
    </format>
    <format dxfId="109">
      <pivotArea field="11" type="button" dataOnly="0" labelOnly="1" outline="0" axis="axisPage" fieldPosition="0"/>
    </format>
    <format dxfId="108">
      <pivotArea field="12" grandRow="1" outline="0" axis="axisCol" fieldPosition="0">
        <references count="1">
          <reference field="12" count="0" selected="0"/>
        </references>
      </pivotArea>
    </format>
    <format dxfId="107">
      <pivotArea field="12" grandRow="1" outline="0" axis="axisCol" fieldPosition="0">
        <references count="1">
          <reference field="12" count="0" selected="0"/>
        </references>
      </pivotArea>
    </format>
    <format dxfId="106">
      <pivotArea field="12" grandRow="1" outline="0" axis="axisCol" fieldPosition="0">
        <references count="1">
          <reference field="12" count="0" selected="0"/>
        </references>
      </pivotArea>
    </format>
    <format dxfId="105">
      <pivotArea grandRow="1" grandCol="1" outline="0" collapsedLevelsAreSubtotals="1" fieldPosition="0"/>
    </format>
    <format dxfId="104">
      <pivotArea grandRow="1" grandCol="1" outline="0" collapsedLevelsAreSubtotals="1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2">
          <x14:conditionalFormat priority="4" id="{77DEA58D-9E99-425A-9445-E00F5EBBE714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5" selected="0">
                    <x v="0"/>
                    <x v="3"/>
                    <x v="4"/>
                    <x v="5"/>
                    <x v="8"/>
                  </reference>
                  <reference field="2" count="1" selected="0">
                    <x v="1"/>
                  </reference>
                  <reference field="5" count="7" selected="0">
                    <x v="4"/>
                    <x v="19"/>
                    <x v="67"/>
                    <x v="68"/>
                    <x v="69"/>
                    <x v="70"/>
                    <x v="71"/>
                  </reference>
                </references>
              </pivotArea>
            </x14:pivotAreas>
          </x14:conditionalFormat>
          <x14:conditionalFormat priority="1" id="{FEDEA57B-B43C-4ADF-B15A-40144AAD63D3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1DB93-6B46-4C1C-881B-037C4912781B}" name="TablaDinámica12" cacheId="1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6" rowHeaderCaption="CLUSTER">
  <location ref="D26:G32" firstHeaderRow="1" firstDataRow="2" firstDataCol="1"/>
  <pivotFields count="19">
    <pivotField showAll="0"/>
    <pivotField axis="axisCol" showAll="0">
      <items count="12">
        <item x="1"/>
        <item x="0"/>
        <item m="1" x="7"/>
        <item m="1" x="4"/>
        <item x="2"/>
        <item m="1" x="3"/>
        <item m="1" x="10"/>
        <item m="1" x="9"/>
        <item m="1" x="8"/>
        <item m="1" x="5"/>
        <item m="1" x="6"/>
        <item t="default"/>
      </items>
    </pivotField>
    <pivotField showAll="0"/>
    <pivotField showAll="0"/>
    <pivotField showAll="0"/>
    <pivotField showAll="0">
      <items count="98">
        <item m="1" x="7"/>
        <item m="1" x="19"/>
        <item m="1" x="12"/>
        <item m="1" x="74"/>
        <item m="1" x="73"/>
        <item x="5"/>
        <item m="1" x="9"/>
        <item m="1" x="6"/>
        <item m="1" x="64"/>
        <item m="1" x="24"/>
        <item m="1" x="16"/>
        <item m="1" x="13"/>
        <item m="1" x="18"/>
        <item m="1" x="22"/>
        <item m="1" x="29"/>
        <item m="1" x="28"/>
        <item m="1" x="72"/>
        <item m="1" x="21"/>
        <item m="1" x="71"/>
        <item m="1" x="67"/>
        <item m="1" x="63"/>
        <item m="1" x="75"/>
        <item m="1" x="76"/>
        <item m="1" x="69"/>
        <item m="1" x="68"/>
        <item m="1" x="10"/>
        <item m="1" x="25"/>
        <item m="1" x="8"/>
        <item m="1" x="62"/>
        <item m="1" x="61"/>
        <item m="1" x="77"/>
        <item x="2"/>
        <item m="1" x="23"/>
        <item x="4"/>
        <item m="1" x="20"/>
        <item m="1" x="37"/>
        <item m="1" x="56"/>
        <item m="1" x="54"/>
        <item m="1" x="84"/>
        <item m="1" x="78"/>
        <item m="1" x="81"/>
        <item m="1" x="80"/>
        <item m="1" x="59"/>
        <item m="1" x="90"/>
        <item m="1" x="60"/>
        <item m="1" x="79"/>
        <item m="1" x="36"/>
        <item m="1" x="44"/>
        <item m="1" x="49"/>
        <item m="1" x="86"/>
        <item m="1" x="70"/>
        <item m="1" x="58"/>
        <item m="1" x="11"/>
        <item m="1" x="31"/>
        <item m="1" x="88"/>
        <item m="1" x="45"/>
        <item m="1" x="14"/>
        <item m="1" x="42"/>
        <item m="1" x="30"/>
        <item m="1" x="32"/>
        <item m="1" x="95"/>
        <item m="1" x="38"/>
        <item m="1" x="46"/>
        <item m="1" x="17"/>
        <item m="1" x="92"/>
        <item m="1" x="26"/>
        <item m="1" x="33"/>
        <item m="1" x="15"/>
        <item m="1" x="91"/>
        <item m="1" x="34"/>
        <item m="1" x="89"/>
        <item m="1" x="66"/>
        <item x="0"/>
        <item m="1" x="93"/>
        <item m="1" x="51"/>
        <item x="1"/>
        <item m="1" x="47"/>
        <item m="1" x="55"/>
        <item m="1" x="35"/>
        <item m="1" x="96"/>
        <item m="1" x="94"/>
        <item m="1" x="50"/>
        <item m="1" x="43"/>
        <item m="1" x="27"/>
        <item m="1" x="39"/>
        <item m="1" x="48"/>
        <item m="1" x="40"/>
        <item m="1" x="53"/>
        <item m="1" x="41"/>
        <item m="1" x="87"/>
        <item m="1" x="82"/>
        <item m="1" x="85"/>
        <item m="1" x="83"/>
        <item m="1" x="65"/>
        <item x="3"/>
        <item m="1" x="52"/>
        <item m="1" x="57"/>
        <item t="default"/>
      </items>
    </pivotField>
    <pivotField showAll="0"/>
    <pivotField showAll="0"/>
    <pivotField numFmtId="14" showAll="0"/>
    <pivotField multipleItemSelectionAllowed="1" showAll="0"/>
    <pivotField showAll="0"/>
    <pivotField showAll="0"/>
    <pivotField axis="axisRow" showAll="0" sortType="descending">
      <items count="7">
        <item h="1" x="0"/>
        <item h="1" m="1" x="5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2"/>
    </i>
    <i>
      <x v="3"/>
    </i>
    <i>
      <x v="5"/>
    </i>
    <i>
      <x v="4"/>
    </i>
    <i t="grand">
      <x/>
    </i>
  </rowItems>
  <colFields count="1">
    <field x="1"/>
  </colFields>
  <colItems count="3">
    <i>
      <x v="1"/>
    </i>
    <i>
      <x v="4"/>
    </i>
    <i t="grand">
      <x/>
    </i>
  </colItems>
  <dataFields count="1">
    <dataField name="Suma de % MYSTERY" fld="18" baseField="0" baseItem="0" numFmtId="9"/>
  </dataFields>
  <formats count="17">
    <format dxfId="162">
      <pivotArea outline="0" collapsedLevelsAreSubtotals="1" fieldPosition="0"/>
    </format>
    <format dxfId="161">
      <pivotArea dataOnly="0" labelOnly="1" grandCol="1" outline="0" fieldPosition="0"/>
    </format>
    <format dxfId="160">
      <pivotArea dataOnly="0" labelOnly="1" grandCol="1" outline="0" fieldPosition="0"/>
    </format>
    <format dxfId="159">
      <pivotArea grandRow="1" outline="0" collapsedLevelsAreSubtotals="1" fieldPosition="0"/>
    </format>
    <format dxfId="158">
      <pivotArea grandRow="1" outline="0" collapsedLevelsAreSubtotals="1" fieldPosition="0"/>
    </format>
    <format dxfId="157">
      <pivotArea dataOnly="0" labelOnly="1" grandCol="1" outline="0" fieldPosition="0"/>
    </format>
    <format dxfId="156">
      <pivotArea grandRow="1" grandCol="1" outline="0" collapsedLevelsAreSubtotals="1" fieldPosition="0"/>
    </format>
    <format dxfId="155">
      <pivotArea outline="0" collapsedLevelsAreSubtotals="1" fieldPosition="0"/>
    </format>
    <format dxfId="154">
      <pivotArea field="1" type="button" dataOnly="0" labelOnly="1" outline="0" axis="axisCol" fieldPosition="0"/>
    </format>
    <format dxfId="153">
      <pivotArea type="topRight" dataOnly="0" labelOnly="1" outline="0" fieldPosition="0"/>
    </format>
    <format dxfId="152">
      <pivotArea dataOnly="0" labelOnly="1" fieldPosition="0">
        <references count="1">
          <reference field="1" count="0"/>
        </references>
      </pivotArea>
    </format>
    <format dxfId="151">
      <pivotArea dataOnly="0" labelOnly="1" grandCol="1" outline="0" fieldPosition="0"/>
    </format>
    <format dxfId="150">
      <pivotArea outline="0" collapsedLevelsAreSubtotals="1" fieldPosition="0"/>
    </format>
    <format dxfId="149">
      <pivotArea field="1" type="button" dataOnly="0" labelOnly="1" outline="0" axis="axisCol" fieldPosition="0"/>
    </format>
    <format dxfId="148">
      <pivotArea type="topRight" dataOnly="0" labelOnly="1" outline="0" fieldPosition="0"/>
    </format>
    <format dxfId="147">
      <pivotArea dataOnly="0" labelOnly="1" fieldPosition="0">
        <references count="1">
          <reference field="1" count="0"/>
        </references>
      </pivotArea>
    </format>
    <format dxfId="146">
      <pivotArea dataOnly="0" labelOnly="1" grandCol="1" outline="0" fieldPosition="0"/>
    </format>
  </formats>
  <chartFormats count="10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5">
          <x14:conditionalFormat priority="8" id="{8DF1E6C7-5D69-49D1-8025-AE8B78AA654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5"/>
                  </reference>
                </references>
              </pivotArea>
            </x14:pivotAreas>
          </x14:conditionalFormat>
          <x14:conditionalFormat priority="9" id="{84DE4F07-E727-4C73-AE29-1D4C44E1922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4"/>
                  </reference>
                </references>
              </pivotArea>
            </x14:pivotAreas>
          </x14:conditionalFormat>
          <x14:conditionalFormat priority="10" id="{89AB2A6D-6E46-4627-BFDD-62ACB8214849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3"/>
                  </reference>
                </references>
              </pivotArea>
            </x14:pivotAreas>
          </x14:conditionalFormat>
          <x14:conditionalFormat priority="88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81" id="{B74256D8-C2EA-4EA7-A1C5-07F3712318E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31FF4-9FC5-4CE5-9C4A-4C9C0C5884C6}" name="TablaDinámica11" cacheId="1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34" rowHeaderCaption="CLUSTER">
  <location ref="D16:G22" firstHeaderRow="1" firstDataRow="2" firstDataCol="1"/>
  <pivotFields count="19">
    <pivotField showAll="0"/>
    <pivotField showAll="0">
      <items count="12">
        <item m="1" x="6"/>
        <item m="1" x="3"/>
        <item x="1"/>
        <item m="1" x="8"/>
        <item x="0"/>
        <item m="1" x="7"/>
        <item m="1" x="5"/>
        <item m="1" x="4"/>
        <item m="1" x="10"/>
        <item x="2"/>
        <item m="1" x="9"/>
        <item t="default"/>
      </items>
    </pivotField>
    <pivotField axis="axisCol" showAll="0">
      <items count="4">
        <item h="1" m="1" x="2"/>
        <item x="1"/>
        <item x="0"/>
        <item t="default"/>
      </items>
    </pivotField>
    <pivotField showAll="0"/>
    <pivotField showAll="0"/>
    <pivotField showAll="0">
      <items count="98">
        <item m="1" x="7"/>
        <item m="1" x="19"/>
        <item m="1" x="12"/>
        <item m="1" x="74"/>
        <item m="1" x="73"/>
        <item x="5"/>
        <item m="1" x="9"/>
        <item m="1" x="6"/>
        <item m="1" x="64"/>
        <item m="1" x="24"/>
        <item m="1" x="16"/>
        <item m="1" x="13"/>
        <item m="1" x="18"/>
        <item m="1" x="22"/>
        <item m="1" x="29"/>
        <item m="1" x="28"/>
        <item m="1" x="72"/>
        <item m="1" x="21"/>
        <item m="1" x="71"/>
        <item m="1" x="67"/>
        <item m="1" x="63"/>
        <item m="1" x="75"/>
        <item m="1" x="76"/>
        <item m="1" x="69"/>
        <item m="1" x="68"/>
        <item m="1" x="10"/>
        <item m="1" x="25"/>
        <item m="1" x="8"/>
        <item m="1" x="62"/>
        <item m="1" x="61"/>
        <item m="1" x="77"/>
        <item x="2"/>
        <item m="1" x="23"/>
        <item x="4"/>
        <item m="1" x="20"/>
        <item m="1" x="37"/>
        <item m="1" x="56"/>
        <item m="1" x="54"/>
        <item m="1" x="84"/>
        <item m="1" x="78"/>
        <item m="1" x="81"/>
        <item m="1" x="80"/>
        <item m="1" x="59"/>
        <item m="1" x="90"/>
        <item m="1" x="60"/>
        <item m="1" x="79"/>
        <item m="1" x="36"/>
        <item m="1" x="44"/>
        <item m="1" x="49"/>
        <item m="1" x="86"/>
        <item m="1" x="70"/>
        <item m="1" x="58"/>
        <item m="1" x="11"/>
        <item m="1" x="31"/>
        <item m="1" x="88"/>
        <item m="1" x="45"/>
        <item m="1" x="14"/>
        <item m="1" x="42"/>
        <item m="1" x="30"/>
        <item m="1" x="32"/>
        <item m="1" x="95"/>
        <item m="1" x="38"/>
        <item m="1" x="46"/>
        <item m="1" x="17"/>
        <item m="1" x="92"/>
        <item m="1" x="26"/>
        <item m="1" x="33"/>
        <item m="1" x="15"/>
        <item m="1" x="91"/>
        <item m="1" x="34"/>
        <item m="1" x="89"/>
        <item m="1" x="66"/>
        <item x="0"/>
        <item m="1" x="93"/>
        <item m="1" x="51"/>
        <item x="1"/>
        <item m="1" x="47"/>
        <item m="1" x="55"/>
        <item m="1" x="35"/>
        <item m="1" x="96"/>
        <item m="1" x="94"/>
        <item m="1" x="50"/>
        <item m="1" x="43"/>
        <item m="1" x="27"/>
        <item m="1" x="39"/>
        <item m="1" x="48"/>
        <item m="1" x="40"/>
        <item m="1" x="53"/>
        <item m="1" x="41"/>
        <item m="1" x="87"/>
        <item m="1" x="82"/>
        <item m="1" x="85"/>
        <item m="1" x="83"/>
        <item m="1" x="65"/>
        <item x="3"/>
        <item m="1" x="52"/>
        <item m="1" x="57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7">
        <item h="1" m="1" x="5"/>
        <item h="1"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2"/>
    </i>
    <i>
      <x v="3"/>
    </i>
    <i>
      <x v="5"/>
    </i>
    <i>
      <x v="4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Suma de % MYSTERY" fld="18" baseField="0" baseItem="0" numFmtId="9"/>
  </dataFields>
  <formats count="17">
    <format dxfId="179">
      <pivotArea outline="0" collapsedLevelsAreSubtotals="1" fieldPosition="0"/>
    </format>
    <format dxfId="178">
      <pivotArea dataOnly="0" labelOnly="1" grandCol="1" outline="0" fieldPosition="0"/>
    </format>
    <format dxfId="177">
      <pivotArea dataOnly="0" labelOnly="1" grandCol="1" outline="0" fieldPosition="0"/>
    </format>
    <format dxfId="176">
      <pivotArea grandRow="1" outline="0" collapsedLevelsAreSubtotals="1" fieldPosition="0"/>
    </format>
    <format dxfId="175">
      <pivotArea grandRow="1" outline="0" collapsedLevelsAreSubtotals="1" fieldPosition="0"/>
    </format>
    <format dxfId="174">
      <pivotArea dataOnly="0" labelOnly="1" grandCol="1" outline="0" fieldPosition="0"/>
    </format>
    <format dxfId="173">
      <pivotArea grandRow="1" grandCol="1" outline="0" collapsedLevelsAreSubtotals="1" fieldPosition="0"/>
    </format>
    <format dxfId="172">
      <pivotArea outline="0" collapsedLevelsAreSubtotals="1" fieldPosition="0"/>
    </format>
    <format dxfId="171">
      <pivotArea field="2" type="button" dataOnly="0" labelOnly="1" outline="0" axis="axisCol" fieldPosition="0"/>
    </format>
    <format dxfId="170">
      <pivotArea type="topRight" dataOnly="0" labelOnly="1" outline="0" fieldPosition="0"/>
    </format>
    <format dxfId="169">
      <pivotArea dataOnly="0" labelOnly="1" fieldPosition="0">
        <references count="1">
          <reference field="2" count="0"/>
        </references>
      </pivotArea>
    </format>
    <format dxfId="168">
      <pivotArea dataOnly="0" labelOnly="1" grandCol="1" outline="0" fieldPosition="0"/>
    </format>
    <format dxfId="167">
      <pivotArea outline="0" collapsedLevelsAreSubtotals="1" fieldPosition="0"/>
    </format>
    <format dxfId="166">
      <pivotArea field="2" type="button" dataOnly="0" labelOnly="1" outline="0" axis="axisCol" fieldPosition="0"/>
    </format>
    <format dxfId="165">
      <pivotArea type="topRight" dataOnly="0" labelOnly="1" outline="0" fieldPosition="0"/>
    </format>
    <format dxfId="164">
      <pivotArea dataOnly="0" labelOnly="1" fieldPosition="0">
        <references count="1">
          <reference field="2" count="0"/>
        </references>
      </pivotArea>
    </format>
    <format dxfId="163">
      <pivotArea dataOnly="0" labelOnly="1" grandCol="1" outline="0" fieldPosition="0"/>
    </format>
  </formats>
  <chartFormats count="3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2">
          <x14:conditionalFormat priority="11" id="{FF20B6F6-C92A-436B-B28E-2EAFEFDDBF0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1"/>
                  </reference>
                </references>
              </pivotArea>
            </x14:pivotAreas>
          </x14:conditionalFormat>
          <x14:conditionalFormat priority="91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8" firstHeaderRow="0" firstDataRow="1" firstDataCol="1"/>
  <pivotFields count="11">
    <pivotField showAll="0"/>
    <pivotField axis="axisRow" showAll="0" sortType="descending">
      <items count="16">
        <item m="1" x="3"/>
        <item x="0"/>
        <item x="1"/>
        <item m="1" x="8"/>
        <item m="1" x="7"/>
        <item m="1" x="4"/>
        <item x="2"/>
        <item m="1" x="14"/>
        <item m="1" x="13"/>
        <item m="1" x="11"/>
        <item m="1" x="12"/>
        <item m="1" x="9"/>
        <item m="1" x="10"/>
        <item m="1" x="5"/>
        <item m="1" x="6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 v="6"/>
    </i>
    <i>
      <x v="2"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Mystery" fld="4" baseField="0" baseItem="0"/>
    <dataField name="Mystery Eje." fld="8" baseField="0" baseItem="0"/>
    <dataField name="% Efectividad." fld="10" baseField="0" baseItem="0" numFmtId="9"/>
  </dataFields>
  <formats count="23">
    <format dxfId="20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1">
      <pivotArea outline="0" collapsedLevelsAreSubtotals="1" fieldPosition="0"/>
    </format>
    <format dxfId="2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9">
      <pivotArea outline="0" collapsedLevelsAreSubtotals="1" fieldPosition="0"/>
    </format>
    <format dxfId="1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6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9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4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9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92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91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90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89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88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87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86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85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84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83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82">
      <pivotArea field="1" type="button" dataOnly="0" labelOnly="1" outline="0" axis="axisRow" fieldPosition="0"/>
    </format>
    <format dxfId="1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0">
      <pivotArea dataOnly="0" labelOnly="1" grandRow="1" outline="0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5319C1C-C683-4701-8640-F49E06C1EA50}" autoFormatId="16" applyNumberFormats="0" applyBorderFormats="0" applyFontFormats="0" applyPatternFormats="0" applyAlignmentFormats="0" applyWidthHeightFormats="0">
  <queryTableRefresh nextId="28" unboundColumnsRight="7">
    <queryTableFields count="18">
      <queryTableField id="1" name="ACTIVIDAD" tableColumnId="1"/>
      <queryTableField id="2" name="CIUDAD" tableColumnId="2"/>
      <queryTableField id="24" name="CANAL" tableColumnId="18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RTA" tableColumnId="7"/>
      <queryTableField id="8" name="FECHA VISITA" tableColumnId="8"/>
      <queryTableField id="9" name="CODIGO RUTA" tableColumnId="9"/>
      <queryTableField id="10" name="USUARIO" tableColumnId="10"/>
      <queryTableField id="17" dataBound="0" tableColumnId="13"/>
      <queryTableField id="16" dataBound="0" tableColumnId="16"/>
      <queryTableField id="12" dataBound="0" tableColumnId="12"/>
      <queryTableField id="21" dataBound="0" tableColumnId="14"/>
      <queryTableField id="15" dataBound="0" tableColumnId="15"/>
      <queryTableField id="23" dataBound="0" tableColumnId="17"/>
      <queryTableField id="27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4183C87-B4DC-436D-9817-A62DA7CA64FC}" autoFormatId="16" applyNumberFormats="0" applyBorderFormats="0" applyFontFormats="0" applyPatternFormats="0" applyAlignmentFormats="0" applyWidthHeightFormats="0">
  <queryTableRefresh nextId="184">
    <queryTableFields count="35">
      <queryTableField id="1" name="ACTIVIDAD" tableColumnId="1"/>
      <queryTableField id="2" name="CIUDAD" tableColumnId="2"/>
      <queryTableField id="3" name="CADENA" tableColumnId="3"/>
      <queryTableField id="4" name="CODIGO PDV" tableColumnId="4"/>
      <queryTableField id="5" name="NOMBRE COMERCIAL" tableColumnId="5"/>
      <queryTableField id="6" name="CONSECUTIVO ENCUESTA" tableColumnId="6"/>
      <queryTableField id="7" name="NOMBRE ENCUESTA" tableColumnId="7"/>
      <queryTableField id="10" name="FECHA VISITA" tableColumnId="10"/>
      <queryTableField id="11" name="CODIGO RUTA" tableColumnId="11"/>
      <queryTableField id="12" name="USUARIO" tableColumnId="12"/>
      <queryTableField id="153" name="SE LOGRA REALIZAR LA AUDITORIA?" tableColumnId="8"/>
      <queryTableField id="154" name="¿CUMPLE HORARIO DE ENTRADA O SALIDA DE LA TIENDA?" tableColumnId="9"/>
      <queryTableField id="155" name="CUENTA CON PANTALON DEL UNIFORME SEGÚN EL CARGO (NEGRO / ROJO / TURQUESA / JEAN)" tableColumnId="13"/>
      <queryTableField id="156" name="CUENTA CON CAMISA DEL UNIFORME Y LOGOS SEGÚN EL CARGO (NEGRA / GRIS / ROJA / TURQUESA) (ES PERMITIDO USAR DEBAJO DE LA CAMISA BUSO MANGA LARGA NEGRO)" tableColumnId="14"/>
      <queryTableField id="54" name="CUENTA CON CALZADO DE ACUERDO AL UNIFORME" tableColumnId="16"/>
      <queryTableField id="157" name="POSEE ALGUNA PRENDA ENCIMA DEL UNIFORME NO AUTORIZADA POR LA MARCA (UNICAMENTE ESTA PERMITIDO CHALECO DE SODIMAC Y EASY)" tableColumnId="15"/>
      <queryTableField id="158" name="EL UNIFORME Y ZAPATOS SE ENCUENTRAN LIMPIOS Y EN BUEN ESTADO" tableColumnId="17"/>
      <queryTableField id="159" name="SU CABELLO LUCE LIMPIO, ORGANIZADO O RECOGIDO" tableColumnId="18"/>
      <queryTableField id="160" name="PRESENTA EXCESO DE MAQUILLAJE QUE NO CUMPLE CON EL CODIGO DE VESTIMENTA" tableColumnId="19"/>
      <queryTableField id="161" name="TIENE TATUAJES O PIERCINGS VISIBLES QUE NO CUMPLE CON EL CODIGO DE VESTIMENTA" tableColumnId="20"/>
      <queryTableField id="162" name="TIENE UÑAS LLAMATIVAS Y/O LARGAS QUE NO CUMPLE CON EL CODIGO DE VESTIMENTA" tableColumnId="21"/>
      <queryTableField id="163" name="USA ACCESORIOS QUE NO CUMPLE CON EL CODIGO DE VESTIMENTA" tableColumnId="22"/>
      <queryTableField id="164" name="EL LINEAL SE ENCUENTRA LIMPIO Y ORGANIZADO" tableColumnId="23"/>
      <queryTableField id="165" name="LOS PRODUCTOS TIENEN EL PRECIO Y ESTAN ACORDE O CORRESPONDIENTE A CADA REFERENCIA" tableColumnId="24"/>
      <queryTableField id="166" name="LOS PRODUCTOS ESTAN SURTIDOS DE ACUERDO A PEPS O FIFO (REVISAR TANTO PRODUCTO SECO COMO HUMEDO)" tableColumnId="25"/>
      <queryTableField id="167" name="CONOCE LOS INFALTABLES DEL PUNTO DE VENTA Y CUENTA CON EL MATERIAL DE APOYO (AYUDAVENTAS INFALTABLES)" tableColumnId="26"/>
      <queryTableField id="168" name="CONOCE Y TIENE SURTIDO DE ACUERDO A LA ESTRATEGIA DE EXHIBICIÓN (ETAPAS DE VIDA - SEGMENTACIÓN DE MARCAS)" tableColumnId="27"/>
      <queryTableField id="169" name="CUAL ES LA ESTRATEGIA DE EXHIBICIÓN PARA LAS MARCAS MAINSTRAIN (ALPO Y GATSY) DE PURINA Y PORQUE?" tableColumnId="28"/>
      <queryTableField id="170" name="CONOCE EL % DE PARTICIPACIÓN QUE TIENE EN EL PUNTO DE VENTA E INFORMA CUAL ES ESE %" tableColumnId="29"/>
      <queryTableField id="171" name="SELECCIONE EL CANAL DEL PDV AUDITADO?" tableColumnId="30"/>
      <queryTableField id="176" name="Esta implementada la nueva estrategia de baja de precios_x000a_(Si el mercaderista informa que el PDV no lo permite implementar quedaria como N/A)" tableColumnId="35"/>
      <queryTableField id="174" name="DESEA AÑADIR ALGUNA OBSERVACION / NOVEDAD CON LA AUDITORIA REALIZADA?" tableColumnId="33"/>
      <queryTableField id="175" name="INDIQUE OBSERVACIÓN/NOVEDAD" tableColumnId="34"/>
      <queryTableField id="172" name="Tiene resaltadas las referencias en el lineal la dinamica &quot;IMPRESIONANTES DE GRUPO ÉXITO&quot;" tableColumnId="31"/>
      <queryTableField id="173" name="Tiene conocimiento de los infaltables según el cluster del pdv" tableColumnId="3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602717627">
      <items count="11">
        <i x="0" s="1"/>
        <i x="2" s="1"/>
        <i x="6" s="1" nd="1"/>
        <i x="3" s="1" nd="1"/>
        <i x="1" s="1" nd="1"/>
        <i x="8" s="1" nd="1"/>
        <i x="7" s="1" nd="1"/>
        <i x="5" s="1" nd="1"/>
        <i x="4" s="1" nd="1"/>
        <i x="10" s="1" nd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602717627">
      <items count="97">
        <i x="5" s="1"/>
        <i x="0" s="1"/>
        <i x="1" s="1"/>
        <i x="7" s="1" nd="1"/>
        <i x="19" s="1" nd="1"/>
        <i x="12" s="1" nd="1"/>
        <i x="74" s="1" nd="1"/>
        <i x="73" s="1" nd="1"/>
        <i x="9" s="1" nd="1"/>
        <i x="6" s="1" nd="1"/>
        <i x="64" s="1" nd="1"/>
        <i x="24" s="1" nd="1"/>
        <i x="16" s="1" nd="1"/>
        <i x="13" s="1" nd="1"/>
        <i x="18" s="1" nd="1"/>
        <i x="22" s="1" nd="1"/>
        <i x="29" s="1" nd="1"/>
        <i x="28" s="1" nd="1"/>
        <i x="72" s="1" nd="1"/>
        <i x="21" s="1" nd="1"/>
        <i x="71" s="1" nd="1"/>
        <i x="67" s="1" nd="1"/>
        <i x="63" s="1" nd="1"/>
        <i x="75" s="1" nd="1"/>
        <i x="76" s="1" nd="1"/>
        <i x="69" s="1" nd="1"/>
        <i x="68" s="1" nd="1"/>
        <i x="10" s="1" nd="1"/>
        <i x="25" s="1" nd="1"/>
        <i x="8" s="1" nd="1"/>
        <i x="62" s="1" nd="1"/>
        <i x="61" s="1" nd="1"/>
        <i x="77" s="1" nd="1"/>
        <i x="2" s="1" nd="1"/>
        <i x="23" s="1" nd="1"/>
        <i x="4" s="1" nd="1"/>
        <i x="20" s="1" nd="1"/>
        <i x="37" s="1" nd="1"/>
        <i x="56" s="1" nd="1"/>
        <i x="54" s="1" nd="1"/>
        <i x="84" s="1" nd="1"/>
        <i x="78" s="1" nd="1"/>
        <i x="81" s="1" nd="1"/>
        <i x="80" s="1" nd="1"/>
        <i x="59" s="1" nd="1"/>
        <i x="90" s="1" nd="1"/>
        <i x="60" s="1" nd="1"/>
        <i x="79" s="1" nd="1"/>
        <i x="36" s="1" nd="1"/>
        <i x="44" s="1" nd="1"/>
        <i x="49" s="1" nd="1"/>
        <i x="86" s="1" nd="1"/>
        <i x="70" s="1" nd="1"/>
        <i x="58" s="1" nd="1"/>
        <i x="11" s="1" nd="1"/>
        <i x="31" s="1" nd="1"/>
        <i x="88" s="1" nd="1"/>
        <i x="45" s="1" nd="1"/>
        <i x="14" s="1" nd="1"/>
        <i x="42" s="1" nd="1"/>
        <i x="30" s="1" nd="1"/>
        <i x="32" s="1" nd="1"/>
        <i x="95" s="1" nd="1"/>
        <i x="38" s="1" nd="1"/>
        <i x="46" s="1" nd="1"/>
        <i x="17" s="1" nd="1"/>
        <i x="92" s="1" nd="1"/>
        <i x="26" s="1" nd="1"/>
        <i x="33" s="1" nd="1"/>
        <i x="15" s="1" nd="1"/>
        <i x="91" s="1" nd="1"/>
        <i x="34" s="1" nd="1"/>
        <i x="89" s="1" nd="1"/>
        <i x="66" s="1" nd="1"/>
        <i x="93" s="1" nd="1"/>
        <i x="51" s="1" nd="1"/>
        <i x="47" s="1" nd="1"/>
        <i x="55" s="1" nd="1"/>
        <i x="35" s="1" nd="1"/>
        <i x="96" s="1" nd="1"/>
        <i x="94" s="1" nd="1"/>
        <i x="50" s="1" nd="1"/>
        <i x="43" s="1" nd="1"/>
        <i x="27" s="1" nd="1"/>
        <i x="39" s="1" nd="1"/>
        <i x="48" s="1" nd="1"/>
        <i x="40" s="1" nd="1"/>
        <i x="53" s="1" nd="1"/>
        <i x="41" s="1" nd="1"/>
        <i x="87" s="1" nd="1"/>
        <i x="82" s="1" nd="1"/>
        <i x="85" s="1" nd="1"/>
        <i x="83" s="1" nd="1"/>
        <i x="65" s="1" nd="1"/>
        <i x="3" s="1" nd="1"/>
        <i x="52" s="1" nd="1"/>
        <i x="5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FBBA3F-C205-4AFF-A76D-34CFCE9A6BBA}" name="Tabla2__2" displayName="Tabla2__2" ref="A1:R142" tableType="queryTable" totalsRowShown="0" dataDxfId="103">
  <autoFilter ref="A1:R142" xr:uid="{97FBBA3F-C205-4AFF-A76D-34CFCE9A6BBA}"/>
  <sortState xmlns:xlrd2="http://schemas.microsoft.com/office/spreadsheetml/2017/richdata2" ref="A2:R142">
    <sortCondition ref="I1:I142"/>
  </sortState>
  <tableColumns count="18">
    <tableColumn id="1" xr3:uid="{F8980204-6799-4FD6-9D3F-ACBAADC7880C}" uniqueName="1" name="ACTIVIDAD" queryTableFieldId="1" dataDxfId="102"/>
    <tableColumn id="2" xr3:uid="{1473C919-5D8D-427F-BA10-68EF03B2B653}" uniqueName="2" name="CIUDAD" queryTableFieldId="2" dataDxfId="101"/>
    <tableColumn id="18" xr3:uid="{20FCDFA3-8687-4CA1-9A5B-AEA6FCAD9592}" uniqueName="18" name="CANAL" queryTableFieldId="24" dataDxfId="100"/>
    <tableColumn id="3" xr3:uid="{271FB548-EFFC-45F2-8177-856C35C071DC}" uniqueName="3" name="CADENA" queryTableFieldId="3" dataDxfId="99"/>
    <tableColumn id="4" xr3:uid="{F71A0A19-15B2-4D1D-905C-70CEC9D6AF47}" uniqueName="4" name="CODIGO PDV" queryTableFieldId="4" dataDxfId="98"/>
    <tableColumn id="5" xr3:uid="{E4FEADCA-E2DE-4789-9C78-5F8FB6496823}" uniqueName="5" name="NOMBRE COMERCIAL" queryTableFieldId="5" dataDxfId="97"/>
    <tableColumn id="6" xr3:uid="{5C99D03B-478A-40A2-B3AE-437E7D31990C}" uniqueName="6" name="PREGUNTA" queryTableFieldId="6" dataDxfId="96"/>
    <tableColumn id="7" xr3:uid="{A5EA4B65-C844-4AE4-AE87-CD2AEFA3E4BD}" uniqueName="7" name="RTA" queryTableFieldId="7" dataDxfId="95"/>
    <tableColumn id="8" xr3:uid="{8D71EA04-388B-4C72-AD67-882BB5218CAB}" uniqueName="8" name="FECHA VISITA" queryTableFieldId="8" dataDxfId="94"/>
    <tableColumn id="9" xr3:uid="{11007230-BF6F-4DA6-9C0C-28D77621834B}" uniqueName="9" name="CODIGO RUTA" queryTableFieldId="9" dataDxfId="93"/>
    <tableColumn id="10" xr3:uid="{CF07A078-D8EF-4D63-9B89-6F593201E2E4}" uniqueName="10" name="USUARIO" queryTableFieldId="10" dataDxfId="92"/>
    <tableColumn id="13" xr3:uid="{F212FAAC-215E-43D0-BC9D-3AA543F277F7}" uniqueName="13" name="MYSTERY EFECTIVO" queryTableFieldId="17" dataDxfId="91">
      <calculatedColumnFormula>_xlfn.XLOOKUP(Tabla2__2[[#This Row],[CODIGO RUTA]],'DATA INFORME'!I:I,'DATA INFORME'!K:K)</calculatedColumnFormula>
    </tableColumn>
    <tableColumn id="16" xr3:uid="{21F854B2-004D-4505-9E1A-A9AC1F214887}" uniqueName="16" name="CLUSTER" queryTableFieldId="16" dataDxfId="90">
      <calculatedColumnFormula>IF(Tabla2__2[[#This Row],[MYSTERY EFECTIVO]]="SI",_xlfn.XLOOKUP(Tabla2__2[[#This Row],[PREGUNTA]],ENCUESTA!G:G,ENCUESTA!D:D),"N/A")</calculatedColumnFormula>
    </tableColumn>
    <tableColumn id="12" xr3:uid="{AFEBD2E2-BCC0-467F-B0E5-D144F68133B0}" uniqueName="12" name="TOTAL PUNTAJE" queryTableFieldId="12" dataDxfId="89">
      <calculatedColumnFormula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calculatedColumnFormula>
    </tableColumn>
    <tableColumn id="14" xr3:uid="{03EC5ACB-C771-49B5-A065-6C73F64EFDA4}" uniqueName="14" name="RTA CORRECTA" queryTableFieldId="21" dataDxfId="88">
      <calculatedColumnFormula>_xlfn.XLOOKUP(Tabla2__2[[#This Row],[PREGUNTA]],ENCUESTA!G:G,ENCUESTA!H:H)</calculatedColumnFormula>
    </tableColumn>
    <tableColumn id="15" xr3:uid="{E8D41959-0664-4224-BEF1-FD955A109471}" uniqueName="15" name="PUNTAJE OBTENIDO" queryTableFieldId="15" dataDxfId="87">
      <calculatedColumnFormula>IF(Tabla2__2[[#This Row],[RTA]]=Tabla2__2[[#This Row],[RTA CORRECTA]],Tabla2__2[[#This Row],[TOTAL PUNTAJE]],0)</calculatedColumnFormula>
    </tableColumn>
    <tableColumn id="17" xr3:uid="{448B051F-50DD-4A27-B120-BB93A9AFD029}" uniqueName="17" name="Columna1" queryTableFieldId="23" dataDxfId="86">
      <calculatedColumnFormula>IF(OR(H2="Dog Chow húmedo",H2="Cat Chow húmedo",H2="Fancy Feast",H2="Felix",H2="Proplan húmedo",H2="One húmedo",H2="Snack Abrazzos",H2="Snak Dentalife",H2="Arenilla Tidy Cat"),N2,0)</calculatedColumnFormula>
    </tableColumn>
    <tableColumn id="11" xr3:uid="{79DA9E2E-4C94-4AA8-A4E3-5A8E5FBA233D}" uniqueName="11" name="Columna2" queryTableFieldId="27" dataDxfId="8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7" totalsRowShown="0" headerRowDxfId="84" dataDxfId="82" headerRowBorderDxfId="83" tableBorderDxfId="81" totalsRowBorderDxfId="80" headerRowCellStyle="Normal 2" dataCellStyle="Normal 2">
  <autoFilter ref="A1:I7" xr:uid="{A06AE8C8-5477-4852-991F-0FB4F9396ED6}"/>
  <tableColumns count="9">
    <tableColumn id="3" xr3:uid="{CEEFCC7D-2B45-4409-9FEE-36A6008A09E3}" name="CANAL" dataDxfId="79" dataCellStyle="Normal 2"/>
    <tableColumn id="1" xr3:uid="{D5DD6073-7452-4C56-A046-CF25B19FCB4F}" name="CIUDAD" dataDxfId="78" dataCellStyle="Normal 2"/>
    <tableColumn id="2" xr3:uid="{304FB0E8-7EB9-4B2E-BDF0-6B1E9D3DF639}" name="CODIGO PDV" dataDxfId="77"/>
    <tableColumn id="4" xr3:uid="{5FFEE965-7C33-4146-8749-C7E79BD9F083}" name="NOMBRE COMERCIAL" dataDxfId="76" dataCellStyle="Normal 2"/>
    <tableColumn id="9" xr3:uid="{56DA6644-1938-47DF-9205-928EAD17CD86}" name="Objetivo Mystery" dataDxfId="75" dataCellStyle="Normal 2"/>
    <tableColumn id="6" xr3:uid="{8587C1B8-25E9-47DF-96EC-0DE9EA854031}" name="#PDV Objetivos" dataDxfId="74"/>
    <tableColumn id="7" xr3:uid="{254582AE-0341-4027-9F60-A63C456EE6EE}" name="#PDV Ejecutados" dataDxfId="73">
      <calculatedColumnFormula>IF(COUNTIFS(Export!I:I,Tabla1[[#This Row],[CODIGO PDV]])&gt;0,1,0)</calculatedColumnFormula>
    </tableColumn>
    <tableColumn id="11" xr3:uid="{EA4A24E0-6A56-4A45-8F19-78AD6DCA277C}" name="# Visitas" dataDxfId="72" dataCellStyle="Normal 2">
      <calculatedColumnFormula>COUNTIFS('DATA INFORME'!D:D,Tabla1[[#This Row],[CODIGO PDV]])</calculatedColumnFormula>
    </tableColumn>
    <tableColumn id="12" xr3:uid="{F623D095-7356-4242-BFFB-11B8E769EF0F}" name="Mystery Ejecutado" dataDxfId="71" dataCellStyle="Normal 2">
      <calculatedColumnFormula>COUNTIFS('DATA INFORME'!D:D,Tabla1[[#This Row],[CODIGO PDV]],'DATA INFORME'!K:K,"SI")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2BD29-73FE-4027-BA12-621401EE7163}" name="Tabla2__3" displayName="Tabla2__3" ref="A1:AI7" tableType="queryTable" totalsRowShown="0" dataDxfId="70">
  <autoFilter ref="A1:AI7" xr:uid="{0562BD29-73FE-4027-BA12-621401EE7163}"/>
  <tableColumns count="35">
    <tableColumn id="1" xr3:uid="{5E36F5EC-EFE4-416F-AE2A-0A34DABD1BE1}" uniqueName="1" name="ACTIVIDAD" queryTableFieldId="1" dataDxfId="69"/>
    <tableColumn id="2" xr3:uid="{2D91E598-A31D-4125-8581-3FD329B9D8A6}" uniqueName="2" name="CIUDAD" queryTableFieldId="2" dataDxfId="68"/>
    <tableColumn id="3" xr3:uid="{BE955660-67C1-4BC9-A7B2-76050F0F9717}" uniqueName="3" name="CADENA" queryTableFieldId="3" dataDxfId="67"/>
    <tableColumn id="4" xr3:uid="{584B1D0E-A845-487E-B24D-3F46D830A3DD}" uniqueName="4" name="CODIGO PDV" queryTableFieldId="4" dataDxfId="66"/>
    <tableColumn id="5" xr3:uid="{5C21200B-0203-45FF-8479-0CBCF5834786}" uniqueName="5" name="NOMBRE COMERCIAL" queryTableFieldId="5" dataDxfId="65"/>
    <tableColumn id="6" xr3:uid="{AF5E9C40-1A6C-47AF-818E-E6BCE6E6B906}" uniqueName="6" name="CONSECUTIVO ENCUESTA" queryTableFieldId="6" dataDxfId="64"/>
    <tableColumn id="7" xr3:uid="{3C3C5756-6C5B-4F83-A4BA-7370A5D3B586}" uniqueName="7" name="NOMBRE ENCUESTA" queryTableFieldId="7" dataDxfId="63"/>
    <tableColumn id="10" xr3:uid="{592470FD-FBDE-42A0-A47E-06AE15D2BD4D}" uniqueName="10" name="FECHA VISITA" queryTableFieldId="10" dataDxfId="62"/>
    <tableColumn id="11" xr3:uid="{2A1045B2-E0F3-426E-AF7C-91A0AAEEA606}" uniqueName="11" name="CODIGO RUTA" queryTableFieldId="11" dataDxfId="61"/>
    <tableColumn id="12" xr3:uid="{7575ACE8-4DCC-44B4-BD89-97F5F6978813}" uniqueName="12" name="USUARIO" queryTableFieldId="12" dataDxfId="60"/>
    <tableColumn id="8" xr3:uid="{1799BF2D-5DA9-4392-984F-66DA565D17B1}" uniqueName="8" name="SE LOGRA REALIZAR LA AUDITORIA?" queryTableFieldId="153" dataDxfId="59"/>
    <tableColumn id="9" xr3:uid="{36AC2E6B-F783-41F9-A395-AD816E6B1B6B}" uniqueName="9" name="¿CUMPLE HORARIO DE ENTRADA O SALIDA DE LA TIENDA?" queryTableFieldId="154" dataDxfId="58"/>
    <tableColumn id="13" xr3:uid="{C51AF687-3DBE-4078-B41B-510ABFCE0684}" uniqueName="13" name="CUENTA CON PANTALON DEL UNIFORME SEGÚN EL CARGO (NEGRO / ROJO / TURQUESA / JEAN)" queryTableFieldId="155" dataDxfId="57"/>
    <tableColumn id="14" xr3:uid="{341F0A1D-8FCD-41D6-8964-34CCED3ED411}" uniqueName="14" name="CUENTA CON CAMISA DEL UNIFORME Y LOGOS SEGÚN EL CARGO (NEGRA / GRIS / ROJA / TURQUESA) (ES PERMITIDO USAR DEBAJO DE LA CAMISA BUSO MANGA LARGA NEGRO)" queryTableFieldId="156" dataDxfId="56"/>
    <tableColumn id="16" xr3:uid="{D2371F42-BC07-4548-B6B4-80B991018D4D}" uniqueName="16" name="CUENTA CON CALZADO DE ACUERDO AL UNIFORME" queryTableFieldId="54" dataDxfId="55"/>
    <tableColumn id="15" xr3:uid="{9BB8CF8A-778E-4204-AC89-28DFE270E157}" uniqueName="15" name="POSEE ALGUNA PRENDA ENCIMA DEL UNIFORME NO AUTORIZADA POR LA MARCA (UNICAMENTE ESTA PERMITIDO CHALECO DE SODIMAC Y EASY)" queryTableFieldId="157" dataDxfId="54"/>
    <tableColumn id="17" xr3:uid="{F5E30CB3-007B-4336-B1FC-B61B58699F7A}" uniqueName="17" name="EL UNIFORME Y ZAPATOS SE ENCUENTRAN LIMPIOS Y EN BUEN ESTADO" queryTableFieldId="158" dataDxfId="53"/>
    <tableColumn id="18" xr3:uid="{3D3D39A7-BDA7-4332-84A1-F6CA631ED8B1}" uniqueName="18" name="SU CABELLO LUCE LIMPIO, ORGANIZADO O RECOGIDO" queryTableFieldId="159" dataDxfId="52"/>
    <tableColumn id="19" xr3:uid="{10DB44B2-E41E-4EF2-8742-4966C6A2BC32}" uniqueName="19" name="PRESENTA EXCESO DE MAQUILLAJE QUE NO CUMPLE CON EL CODIGO DE VESTIMENTA" queryTableFieldId="160" dataDxfId="51"/>
    <tableColumn id="20" xr3:uid="{6AAEAE78-D4F5-4752-93C8-5B7CAB0DD784}" uniqueName="20" name="TIENE TATUAJES O PIERCINGS VISIBLES QUE NO CUMPLE CON EL CODIGO DE VESTIMENTA" queryTableFieldId="161" dataDxfId="50"/>
    <tableColumn id="21" xr3:uid="{296B1AC1-D069-4B4E-93B0-CF0ED2A976DD}" uniqueName="21" name="TIENE UÑAS LLAMATIVAS Y/O LARGAS QUE NO CUMPLE CON EL CODIGO DE VESTIMENTA" queryTableFieldId="162" dataDxfId="49"/>
    <tableColumn id="22" xr3:uid="{437C56A5-8D82-4008-AE1E-7ABA17C881D7}" uniqueName="22" name="USA ACCESORIOS QUE NO CUMPLE CON EL CODIGO DE VESTIMENTA" queryTableFieldId="163" dataDxfId="48"/>
    <tableColumn id="23" xr3:uid="{2BEFE160-7296-4C42-AB0C-60BDA0560246}" uniqueName="23" name="EL LINEAL SE ENCUENTRA LIMPIO Y ORGANIZADO" queryTableFieldId="164" dataDxfId="47"/>
    <tableColumn id="24" xr3:uid="{6A5659AC-57BB-4322-B395-E12AEC8A2568}" uniqueName="24" name="LOS PRODUCTOS TIENEN EL PRECIO Y ESTAN ACORDE O CORRESPONDIENTE A CADA REFERENCIA" queryTableFieldId="165" dataDxfId="46"/>
    <tableColumn id="25" xr3:uid="{B4B5D1D5-56F2-4B7A-BCBA-13AA0E0264D8}" uniqueName="25" name="LOS PRODUCTOS ESTAN SURTIDOS DE ACUERDO A PEPS O FIFO (REVISAR TANTO PRODUCTO SECO COMO HUMEDO)" queryTableFieldId="166" dataDxfId="45"/>
    <tableColumn id="26" xr3:uid="{0AA072D5-5A98-4885-9864-1784A7BF8B3A}" uniqueName="26" name="CONOCE LOS INFALTABLES DEL PUNTO DE VENTA Y CUENTA CON EL MATERIAL DE APOYO (AYUDAVENTAS INFALTABLES)" queryTableFieldId="167" dataDxfId="44"/>
    <tableColumn id="27" xr3:uid="{DF850D57-800D-4F55-98EB-C0D5AE4AEFEC}" uniqueName="27" name="CONOCE Y TIENE SURTIDO DE ACUERDO A LA ESTRATEGIA DE EXHIBICIÓN (ETAPAS DE VIDA - SEGMENTACIÓN DE MARCAS)" queryTableFieldId="168" dataDxfId="43"/>
    <tableColumn id="28" xr3:uid="{271C043C-A5A9-4115-8362-56A9D9D5B58E}" uniqueName="28" name="CUAL ES LA ESTRATEGIA DE EXHIBICIÓN PARA LAS MARCAS MAINSTRAIN (ALPO Y GATSY) DE PURINA Y PORQUE?" queryTableFieldId="169" dataDxfId="42"/>
    <tableColumn id="29" xr3:uid="{E08B2304-D73D-40F8-ADC2-52A729D5094B}" uniqueName="29" name="CONOCE EL % DE PARTICIPACIÓN QUE TIENE EN EL PUNTO DE VENTA E INFORMA CUAL ES ESE %" queryTableFieldId="170" dataDxfId="41"/>
    <tableColumn id="30" xr3:uid="{0933B4A0-AFA3-4603-BC08-EC388F0134D0}" uniqueName="30" name="SELECCIONE EL CANAL DEL PDV AUDITADO?" queryTableFieldId="171" dataDxfId="40"/>
    <tableColumn id="35" xr3:uid="{FE2404CF-E6A4-4561-8066-340E218ECAC1}" uniqueName="35" name="Esta implementada la nueva estrategia de baja de precios_x000a_(Si el mercaderista informa que el PDV no lo permite implementar quedaria como N/A)" queryTableFieldId="176" dataDxfId="39"/>
    <tableColumn id="33" xr3:uid="{5353CB55-2C8E-4597-ACE2-53C8819B4ACE}" uniqueName="33" name="DESEA AÑADIR ALGUNA OBSERVACION / NOVEDAD CON LA AUDITORIA REALIZADA?" queryTableFieldId="174" dataDxfId="38"/>
    <tableColumn id="34" xr3:uid="{8466D9BA-09FE-48D6-ABFC-430E089A4370}" uniqueName="34" name="INDIQUE OBSERVACIÓN/NOVEDAD" queryTableFieldId="175" dataDxfId="37"/>
    <tableColumn id="31" xr3:uid="{9962F521-B103-435C-9A50-BCE427465C6C}" uniqueName="31" name="Tiene resaltadas las referencias en el lineal la dinamica &quot;IMPRESIONANTES DE GRUPO ÉXITO&quot;" queryTableFieldId="172" dataDxfId="36"/>
    <tableColumn id="32" xr3:uid="{F29A9B2A-5C0C-4CD9-86EB-E231DC1E0589}" uniqueName="32" name="Tiene conocimiento de los infaltables según el cluster del pdv" queryTableFieldId="173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142" totalsRowShown="0" dataDxfId="34">
  <autoFilter ref="A1:AC142" xr:uid="{DF097FD5-2AE4-4313-BF77-CBF36E66D478}"/>
  <tableColumns count="29">
    <tableColumn id="1" xr3:uid="{EEAB5D40-1395-44AC-989B-7BEBDB594890}" name="ACTIVIDAD" dataDxfId="33"/>
    <tableColumn id="2" xr3:uid="{7135FC02-E21A-4459-956C-B095998917BA}" name="REGIONAL" dataDxfId="32"/>
    <tableColumn id="3" xr3:uid="{A676BE8F-9D25-4608-AFA9-335EE953599F}" name="CIUDAD" dataDxfId="31"/>
    <tableColumn id="4" xr3:uid="{8C438510-9FA2-4A67-81E2-F5A249D8C2D8}" name="CANAL" dataDxfId="30"/>
    <tableColumn id="5" xr3:uid="{55468C83-E61B-4AC3-8AB6-7842CA8A8685}" name="CADENA" dataDxfId="29"/>
    <tableColumn id="6" xr3:uid="{319677CB-3518-4692-9804-576A90B637C6}" name="SUBCADENA" dataDxfId="28"/>
    <tableColumn id="7" xr3:uid="{280B06EB-BEEB-41FF-BD4D-C86267C96B51}" name="ZONA" dataDxfId="27"/>
    <tableColumn id="8" xr3:uid="{38318117-E4E5-4BBD-BCB8-A0CF5740AD2E}" name="RV" dataDxfId="26"/>
    <tableColumn id="9" xr3:uid="{AE249958-DA07-4D5E-8893-DA47B2F89DBB}" name="CODIGO PDV" dataDxfId="25"/>
    <tableColumn id="10" xr3:uid="{5063BA25-7363-4804-9209-6EF1C7FD9552}" name="NOMBRE COMERCIAL" dataDxfId="24"/>
    <tableColumn id="11" xr3:uid="{1CA31434-5FCA-4588-9EF7-31A85DF89C42}" name="CODIGO EAN" dataDxfId="23"/>
    <tableColumn id="12" xr3:uid="{F4C77DD5-927D-43C6-A19F-C551C82B3D0D}" name="TIPO PUNTO VENTA" dataDxfId="22"/>
    <tableColumn id="13" xr3:uid="{EF48160A-97DF-4C9A-9BBF-2ECC73BF528F}" name="CONSECUTIVO ENCUESTA" dataDxfId="21"/>
    <tableColumn id="14" xr3:uid="{6FA0BAC5-63D5-4D95-B588-F0B164135E47}" name="NOMBRE ENCUESTA" dataDxfId="20"/>
    <tableColumn id="15" xr3:uid="{7C6BC3DB-B9BC-4C72-ADB7-0BB7A62378BB}" name="PREGUNTA" dataDxfId="19"/>
    <tableColumn id="16" xr3:uid="{AB325775-AFD1-4793-A618-BF02FE3029AE}" name="RESPUESTA" dataDxfId="18"/>
    <tableColumn id="17" xr3:uid="{85D12482-E7F3-4879-B4F0-D80F64421259}" name="CODIGO FOTO" dataDxfId="17"/>
    <tableColumn id="18" xr3:uid="{01036A0B-7510-4B37-96FC-1C395DEDC179}" name="OBSERVACION" dataDxfId="16"/>
    <tableColumn id="19" xr3:uid="{2F24E07E-80CB-4EA2-9555-9AEB9E02C9EF}" name="FECHA VISITA" dataDxfId="15"/>
    <tableColumn id="20" xr3:uid="{DC9D56CE-D3BF-4EEF-90B5-C3152AB2A8A8}" name="FECHA INICIO VISITA" dataDxfId="14"/>
    <tableColumn id="21" xr3:uid="{8DDE28A9-EDD9-412B-B7A2-DF2644A996E9}" name="FECHA CREACIÓN RESPUESTA" dataDxfId="13"/>
    <tableColumn id="22" xr3:uid="{3A74E72D-F4BF-4E54-8634-EEEC35A8C032}" name="CODIGO RUTA" dataDxfId="12"/>
    <tableColumn id="23" xr3:uid="{0ADFC93D-A4B4-4C17-8A6B-A6D563B99FCD}" name="CLIENTE" dataDxfId="11"/>
    <tableColumn id="24" xr3:uid="{6908F565-FB85-4368-B2F7-297DF2BEFBCD}" name="CODIGO EXHIBICION" dataDxfId="10"/>
    <tableColumn id="25" xr3:uid="{AA5CE162-90D2-43B1-96A0-970F0C412A96}" name="NOMBRE EXHIBICION" dataDxfId="9"/>
    <tableColumn id="26" xr3:uid="{D2023860-446B-430D-8595-9C2C1438BED3}" name="NOMBRE USUARIO" dataDxfId="8"/>
    <tableColumn id="27" xr3:uid="{F11E0B94-0622-411D-9CA7-B259829B8A9F}" name="USUARIO" dataDxfId="7"/>
    <tableColumn id="28" xr3:uid="{E1B013E5-0581-4476-9D6C-3AFBAC21C681}" name="NOMBRE SUPERVISOR " dataDxfId="6"/>
    <tableColumn id="29" xr3:uid="{B64E6504-C110-44E6-B203-6C06A1F0FFB1}" name="USUARIO SUPERVISOR" dataDxfId="5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ZNqskWCs5Gl6fYumjf8mbzLiYFlswSFe/vie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dimension ref="A1:U73"/>
  <sheetViews>
    <sheetView showGridLines="0" zoomScale="70" zoomScaleNormal="70" workbookViewId="0">
      <selection activeCell="E1" sqref="E1"/>
    </sheetView>
  </sheetViews>
  <sheetFormatPr baseColWidth="10" defaultColWidth="11.42578125" defaultRowHeight="15" x14ac:dyDescent="0.25"/>
  <cols>
    <col min="1" max="1" width="38.140625" customWidth="1"/>
    <col min="2" max="2" width="1.85546875" style="90" customWidth="1"/>
    <col min="3" max="3" width="8.5703125" customWidth="1"/>
    <col min="4" max="4" width="14.140625" customWidth="1"/>
    <col min="5" max="5" width="17.7109375" customWidth="1"/>
    <col min="6" max="6" width="49.7109375" bestFit="1" customWidth="1"/>
    <col min="7" max="7" width="17.140625" customWidth="1"/>
    <col min="8" max="8" width="15.140625" customWidth="1"/>
    <col min="9" max="9" width="12.85546875" customWidth="1"/>
    <col min="10" max="10" width="20.140625" customWidth="1"/>
    <col min="11" max="11" width="16.85546875" customWidth="1"/>
    <col min="12" max="12" width="16.42578125" customWidth="1"/>
    <col min="13" max="13" width="18.42578125" customWidth="1"/>
    <col min="14" max="14" width="11.85546875" customWidth="1"/>
  </cols>
  <sheetData>
    <row r="1" spans="1:10" ht="23.45" customHeight="1" x14ac:dyDescent="0.25">
      <c r="A1" s="91" t="s">
        <v>207</v>
      </c>
    </row>
    <row r="2" spans="1:10" x14ac:dyDescent="0.25">
      <c r="A2" s="92"/>
    </row>
    <row r="3" spans="1:10" ht="21" x14ac:dyDescent="0.35">
      <c r="A3" s="92"/>
      <c r="D3" s="7" t="s">
        <v>0</v>
      </c>
      <c r="E3" s="3"/>
      <c r="F3" s="3"/>
      <c r="G3" s="3"/>
      <c r="H3" s="3"/>
      <c r="I3" s="3"/>
      <c r="J3" s="3"/>
    </row>
    <row r="4" spans="1:10" x14ac:dyDescent="0.25">
      <c r="D4" s="14" t="s">
        <v>1</v>
      </c>
      <c r="E4" s="16" t="s">
        <v>2</v>
      </c>
      <c r="F4" s="16" t="s">
        <v>3</v>
      </c>
      <c r="G4" s="17" t="s">
        <v>4</v>
      </c>
      <c r="H4" s="16" t="s">
        <v>5</v>
      </c>
      <c r="I4" s="16" t="s">
        <v>6</v>
      </c>
      <c r="J4" s="17" t="s">
        <v>7</v>
      </c>
    </row>
    <row r="5" spans="1:10" x14ac:dyDescent="0.25">
      <c r="D5" s="2" t="s">
        <v>90</v>
      </c>
      <c r="E5" s="3">
        <v>1</v>
      </c>
      <c r="F5" s="3">
        <v>1</v>
      </c>
      <c r="G5" s="4">
        <v>1</v>
      </c>
      <c r="H5" s="3">
        <v>1</v>
      </c>
      <c r="I5" s="3">
        <v>1</v>
      </c>
      <c r="J5" s="4">
        <v>1</v>
      </c>
    </row>
    <row r="6" spans="1:10" x14ac:dyDescent="0.25">
      <c r="D6" s="2" t="s">
        <v>131</v>
      </c>
      <c r="E6" s="3">
        <v>4</v>
      </c>
      <c r="F6" s="3">
        <v>4</v>
      </c>
      <c r="G6" s="4">
        <v>1</v>
      </c>
      <c r="H6" s="3">
        <v>4</v>
      </c>
      <c r="I6" s="3">
        <v>2</v>
      </c>
      <c r="J6" s="4">
        <v>0.5</v>
      </c>
    </row>
    <row r="7" spans="1:10" x14ac:dyDescent="0.25">
      <c r="D7" s="2" t="s">
        <v>8</v>
      </c>
      <c r="E7" s="3">
        <v>1</v>
      </c>
      <c r="F7" s="3">
        <v>1</v>
      </c>
      <c r="G7" s="4">
        <v>1</v>
      </c>
      <c r="H7" s="3">
        <v>1</v>
      </c>
      <c r="I7" s="3">
        <v>0</v>
      </c>
      <c r="J7" s="4">
        <v>0</v>
      </c>
    </row>
    <row r="8" spans="1:10" x14ac:dyDescent="0.25">
      <c r="D8" s="18" t="s">
        <v>9</v>
      </c>
      <c r="E8" s="89">
        <v>6</v>
      </c>
      <c r="F8" s="89">
        <v>6</v>
      </c>
      <c r="G8" s="13">
        <v>1</v>
      </c>
      <c r="H8" s="89">
        <v>6</v>
      </c>
      <c r="I8" s="89">
        <v>3</v>
      </c>
      <c r="J8" s="15">
        <v>0.5</v>
      </c>
    </row>
    <row r="15" spans="1:10" ht="21" x14ac:dyDescent="0.35">
      <c r="D15" s="7" t="s">
        <v>10</v>
      </c>
      <c r="E15" s="3"/>
      <c r="F15" s="3"/>
    </row>
    <row r="16" spans="1:10" hidden="1" x14ac:dyDescent="0.25">
      <c r="D16" s="1" t="s">
        <v>11</v>
      </c>
      <c r="E16" s="29" t="s">
        <v>12</v>
      </c>
      <c r="F16" s="3"/>
      <c r="G16" s="3"/>
    </row>
    <row r="17" spans="4:8" x14ac:dyDescent="0.25">
      <c r="D17" s="1" t="s">
        <v>13</v>
      </c>
      <c r="E17" s="3" t="s">
        <v>15</v>
      </c>
      <c r="F17" s="3" t="s">
        <v>43</v>
      </c>
      <c r="G17" s="5" t="s">
        <v>16</v>
      </c>
    </row>
    <row r="18" spans="4:8" x14ac:dyDescent="0.25">
      <c r="D18" s="2" t="s">
        <v>17</v>
      </c>
      <c r="E18" s="4">
        <v>1</v>
      </c>
      <c r="F18" s="4">
        <v>1</v>
      </c>
      <c r="G18" s="4">
        <v>1</v>
      </c>
    </row>
    <row r="19" spans="4:8" x14ac:dyDescent="0.25">
      <c r="D19" s="2" t="s">
        <v>118</v>
      </c>
      <c r="E19" s="4">
        <v>1</v>
      </c>
      <c r="F19" s="4">
        <v>1</v>
      </c>
      <c r="G19" s="4">
        <v>1</v>
      </c>
    </row>
    <row r="20" spans="4:8" x14ac:dyDescent="0.25">
      <c r="D20" s="2" t="s">
        <v>120</v>
      </c>
      <c r="E20" s="4">
        <v>0.5</v>
      </c>
      <c r="F20" s="4">
        <v>1</v>
      </c>
      <c r="G20" s="4">
        <v>0.75</v>
      </c>
    </row>
    <row r="21" spans="4:8" x14ac:dyDescent="0.25">
      <c r="D21" s="2" t="s">
        <v>121</v>
      </c>
      <c r="E21" s="4">
        <v>0.28571428571428575</v>
      </c>
      <c r="F21" s="4">
        <v>0.9285714285714286</v>
      </c>
      <c r="G21" s="4">
        <v>0.71428571428571397</v>
      </c>
    </row>
    <row r="22" spans="4:8" x14ac:dyDescent="0.25">
      <c r="D22" s="2" t="s">
        <v>16</v>
      </c>
      <c r="E22" s="9">
        <v>0.61278195488721798</v>
      </c>
      <c r="F22" s="9">
        <v>0.96848739495798308</v>
      </c>
      <c r="G22" s="11">
        <v>0.84097035040431256</v>
      </c>
    </row>
    <row r="25" spans="4:8" ht="21" x14ac:dyDescent="0.25">
      <c r="D25" s="8" t="s">
        <v>18</v>
      </c>
      <c r="E25" s="3"/>
      <c r="F25" s="3"/>
      <c r="G25" s="3"/>
      <c r="H25" s="3"/>
    </row>
    <row r="26" spans="4:8" hidden="1" x14ac:dyDescent="0.25">
      <c r="D26" s="1" t="s">
        <v>11</v>
      </c>
      <c r="E26" s="29" t="s">
        <v>12</v>
      </c>
      <c r="F26" s="3"/>
      <c r="G26" s="3"/>
    </row>
    <row r="27" spans="4:8" x14ac:dyDescent="0.25">
      <c r="D27" s="1" t="s">
        <v>13</v>
      </c>
      <c r="E27" s="3" t="s">
        <v>131</v>
      </c>
      <c r="F27" s="3" t="s">
        <v>90</v>
      </c>
      <c r="G27" s="5" t="s">
        <v>16</v>
      </c>
    </row>
    <row r="28" spans="4:8" x14ac:dyDescent="0.25">
      <c r="D28" s="2" t="s">
        <v>17</v>
      </c>
      <c r="E28" s="4">
        <v>1</v>
      </c>
      <c r="F28" s="4">
        <v>1</v>
      </c>
      <c r="G28" s="4">
        <v>1</v>
      </c>
    </row>
    <row r="29" spans="4:8" x14ac:dyDescent="0.25">
      <c r="D29" s="2" t="s">
        <v>118</v>
      </c>
      <c r="E29" s="4">
        <v>1</v>
      </c>
      <c r="F29" s="4">
        <v>1</v>
      </c>
      <c r="G29" s="4">
        <v>1</v>
      </c>
    </row>
    <row r="30" spans="4:8" x14ac:dyDescent="0.25">
      <c r="D30" s="2" t="s">
        <v>120</v>
      </c>
      <c r="E30" s="4">
        <v>0.66666666666666663</v>
      </c>
      <c r="F30" s="4">
        <v>1</v>
      </c>
      <c r="G30" s="4">
        <v>0.75</v>
      </c>
    </row>
    <row r="31" spans="4:8" x14ac:dyDescent="0.25">
      <c r="D31" s="2" t="s">
        <v>121</v>
      </c>
      <c r="E31" s="4">
        <v>0.6428571428571429</v>
      </c>
      <c r="F31" s="4">
        <v>0.85714285714285721</v>
      </c>
      <c r="G31" s="4">
        <v>0.71428571428571397</v>
      </c>
    </row>
    <row r="32" spans="4:8" x14ac:dyDescent="0.25">
      <c r="D32" s="2" t="s">
        <v>16</v>
      </c>
      <c r="E32" s="9">
        <v>0.79563492063492058</v>
      </c>
      <c r="F32" s="9">
        <v>0.93697478991596628</v>
      </c>
      <c r="G32" s="11">
        <v>0.84097035040431256</v>
      </c>
    </row>
    <row r="37" spans="4:11" x14ac:dyDescent="0.25">
      <c r="E37" s="3"/>
      <c r="F37" s="3"/>
      <c r="G37" s="3"/>
      <c r="H37" s="3"/>
    </row>
    <row r="38" spans="4:11" x14ac:dyDescent="0.25">
      <c r="F38" s="3"/>
      <c r="G38" s="3"/>
      <c r="H38" s="3"/>
    </row>
    <row r="39" spans="4:11" hidden="1" x14ac:dyDescent="0.25">
      <c r="D39" s="14" t="s">
        <v>19</v>
      </c>
      <c r="E39" t="s">
        <v>203</v>
      </c>
    </row>
    <row r="40" spans="4:11" ht="21" x14ac:dyDescent="0.35">
      <c r="D40" s="7" t="s">
        <v>21</v>
      </c>
    </row>
    <row r="41" spans="4:11" hidden="1" x14ac:dyDescent="0.25">
      <c r="D41" s="1" t="s">
        <v>11</v>
      </c>
      <c r="G41" s="1" t="s">
        <v>13</v>
      </c>
    </row>
    <row r="42" spans="4:11" ht="30" x14ac:dyDescent="0.25">
      <c r="D42" s="20" t="s">
        <v>1</v>
      </c>
      <c r="E42" s="20" t="s">
        <v>22</v>
      </c>
      <c r="F42" s="20" t="s">
        <v>23</v>
      </c>
      <c r="G42" s="36" t="s">
        <v>120</v>
      </c>
      <c r="H42" s="36" t="s">
        <v>121</v>
      </c>
      <c r="I42" s="36" t="s">
        <v>17</v>
      </c>
      <c r="J42" s="36" t="s">
        <v>118</v>
      </c>
      <c r="K42" s="19" t="s">
        <v>16</v>
      </c>
    </row>
    <row r="43" spans="4:11" x14ac:dyDescent="0.25">
      <c r="D43" t="s">
        <v>131</v>
      </c>
      <c r="E43" t="s">
        <v>15</v>
      </c>
      <c r="F43" t="s">
        <v>191</v>
      </c>
      <c r="G43" s="4">
        <v>0.5</v>
      </c>
      <c r="H43" s="4">
        <v>0.28571428571428575</v>
      </c>
      <c r="I43" s="4">
        <v>1</v>
      </c>
      <c r="J43" s="4">
        <v>1</v>
      </c>
      <c r="K43" s="4">
        <v>0.61278195488721798</v>
      </c>
    </row>
    <row r="44" spans="4:11" x14ac:dyDescent="0.25">
      <c r="D44" t="s">
        <v>131</v>
      </c>
      <c r="E44" t="s">
        <v>43</v>
      </c>
      <c r="F44" t="s">
        <v>135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</row>
    <row r="45" spans="4:11" x14ac:dyDescent="0.25">
      <c r="D45" s="10" t="s">
        <v>90</v>
      </c>
      <c r="E45" t="s">
        <v>43</v>
      </c>
      <c r="F45" t="s">
        <v>165</v>
      </c>
      <c r="G45" s="4">
        <v>1</v>
      </c>
      <c r="H45" s="4">
        <v>0.85714285714285721</v>
      </c>
      <c r="I45" s="4">
        <v>1</v>
      </c>
      <c r="J45" s="4">
        <v>1</v>
      </c>
      <c r="K45" s="4">
        <v>0.93697478991596628</v>
      </c>
    </row>
    <row r="46" spans="4:11" x14ac:dyDescent="0.25">
      <c r="D46" s="10" t="s">
        <v>16</v>
      </c>
      <c r="E46" s="10"/>
      <c r="F46" s="10"/>
      <c r="G46" s="9">
        <v>0.75</v>
      </c>
      <c r="H46" s="9">
        <v>0.71428571428571397</v>
      </c>
      <c r="I46" s="9">
        <v>1</v>
      </c>
      <c r="J46" s="9">
        <v>1</v>
      </c>
      <c r="K46" s="11">
        <v>0.84097035040431267</v>
      </c>
    </row>
    <row r="73" spans="21:21" x14ac:dyDescent="0.25">
      <c r="U73" s="4"/>
    </row>
  </sheetData>
  <mergeCells count="1">
    <mergeCell ref="A1:A3"/>
  </mergeCells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91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G18:G22</xm:sqref>
        </x14:conditionalFormatting>
        <x14:conditionalFormatting xmlns:xm="http://schemas.microsoft.com/office/excel/2006/main" pivot="1">
          <x14:cfRule type="iconSet" priority="88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G28:G32</xm:sqref>
        </x14:conditionalFormatting>
        <x14:conditionalFormatting xmlns:xm="http://schemas.microsoft.com/office/excel/2006/main" pivot="1">
          <x14:cfRule type="iconSet" priority="81" id="{B74256D8-C2EA-4EA7-A1C5-07F3712318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>
          <x14:cfRule type="iconSet" priority="79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U73</xm:sqref>
        </x14:conditionalFormatting>
        <x14:conditionalFormatting xmlns:xm="http://schemas.microsoft.com/office/excel/2006/main" pivot="1">
          <x14:cfRule type="iconSet" priority="11" id="{FF20B6F6-C92A-436B-B28E-2EAFEFDDBF0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E18:E22</xm:sqref>
        </x14:conditionalFormatting>
        <x14:conditionalFormatting xmlns:xm="http://schemas.microsoft.com/office/excel/2006/main" pivot="1">
          <x14:cfRule type="iconSet" priority="10" id="{89AB2A6D-6E46-4627-BFDD-62ACB821484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9" id="{84DE4F07-E727-4C73-AE29-1D4C44E192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F28:F32</xm:sqref>
        </x14:conditionalFormatting>
        <x14:conditionalFormatting xmlns:xm="http://schemas.microsoft.com/office/excel/2006/main" pivot="1">
          <x14:cfRule type="iconSet" priority="8" id="{8DF1E6C7-5D69-49D1-8025-AE8B78AA654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4" id="{77DEA58D-9E99-425A-9445-E00F5EBBE71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" id="{FEDEA57B-B43C-4ADF-B15A-40144AAD63D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K43:K46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8C9D-50A1-466F-A4CF-A3BF379C3F7F}">
  <dimension ref="A1:G7"/>
  <sheetViews>
    <sheetView showGridLines="0" workbookViewId="0">
      <selection activeCell="C12" sqref="C12"/>
    </sheetView>
  </sheetViews>
  <sheetFormatPr baseColWidth="10" defaultRowHeight="15" x14ac:dyDescent="0.25"/>
  <cols>
    <col min="1" max="1" width="13.85546875" bestFit="1" customWidth="1"/>
    <col min="2" max="2" width="45.5703125" bestFit="1" customWidth="1"/>
    <col min="3" max="3" width="31.7109375" customWidth="1"/>
    <col min="4" max="4" width="16.42578125" customWidth="1"/>
  </cols>
  <sheetData>
    <row r="1" spans="1:7" x14ac:dyDescent="0.25">
      <c r="A1" s="67" t="s">
        <v>1</v>
      </c>
      <c r="B1" s="67" t="s">
        <v>23</v>
      </c>
      <c r="C1" s="68" t="s">
        <v>82</v>
      </c>
      <c r="D1" s="68" t="s">
        <v>83</v>
      </c>
      <c r="E1" s="68" t="s">
        <v>84</v>
      </c>
      <c r="F1" s="69" t="s">
        <v>87</v>
      </c>
      <c r="G1" s="69" t="s">
        <v>88</v>
      </c>
    </row>
    <row r="2" spans="1:7" x14ac:dyDescent="0.25">
      <c r="A2" s="70" t="s">
        <v>8</v>
      </c>
      <c r="B2" s="71" t="s">
        <v>197</v>
      </c>
      <c r="C2" s="72" t="s">
        <v>208</v>
      </c>
      <c r="D2" s="22" t="s">
        <v>85</v>
      </c>
      <c r="E2" s="22" t="s">
        <v>85</v>
      </c>
      <c r="F2" s="22" t="s">
        <v>85</v>
      </c>
      <c r="G2" s="22" t="s">
        <v>85</v>
      </c>
    </row>
    <row r="3" spans="1:7" x14ac:dyDescent="0.25">
      <c r="A3" s="70" t="s">
        <v>131</v>
      </c>
      <c r="B3" s="71" t="s">
        <v>176</v>
      </c>
      <c r="C3" s="72" t="s">
        <v>210</v>
      </c>
      <c r="D3" s="22" t="s">
        <v>85</v>
      </c>
      <c r="E3" s="22" t="s">
        <v>85</v>
      </c>
      <c r="F3" s="22" t="s">
        <v>85</v>
      </c>
      <c r="G3" s="22" t="s">
        <v>85</v>
      </c>
    </row>
    <row r="4" spans="1:7" x14ac:dyDescent="0.25">
      <c r="A4" s="70" t="s">
        <v>131</v>
      </c>
      <c r="B4" s="71" t="s">
        <v>184</v>
      </c>
      <c r="C4" s="72" t="s">
        <v>211</v>
      </c>
      <c r="D4" s="22" t="s">
        <v>85</v>
      </c>
      <c r="E4" s="22" t="s">
        <v>85</v>
      </c>
      <c r="F4" s="22" t="s">
        <v>85</v>
      </c>
      <c r="G4" s="22" t="s">
        <v>85</v>
      </c>
    </row>
    <row r="5" spans="1:7" x14ac:dyDescent="0.25">
      <c r="A5" s="70" t="s">
        <v>131</v>
      </c>
      <c r="B5" s="71" t="s">
        <v>191</v>
      </c>
      <c r="C5" s="72" t="s">
        <v>212</v>
      </c>
      <c r="D5" s="22" t="s">
        <v>85</v>
      </c>
      <c r="E5" s="22" t="s">
        <v>85</v>
      </c>
      <c r="F5" s="22" t="s">
        <v>85</v>
      </c>
      <c r="G5" s="22" t="s">
        <v>85</v>
      </c>
    </row>
    <row r="6" spans="1:7" x14ac:dyDescent="0.25">
      <c r="A6" s="70" t="s">
        <v>131</v>
      </c>
      <c r="B6" s="71" t="s">
        <v>135</v>
      </c>
      <c r="C6" s="72" t="s">
        <v>213</v>
      </c>
      <c r="D6" s="22" t="s">
        <v>85</v>
      </c>
      <c r="E6" s="22" t="s">
        <v>85</v>
      </c>
      <c r="F6" s="22" t="s">
        <v>85</v>
      </c>
      <c r="G6" s="22" t="s">
        <v>85</v>
      </c>
    </row>
    <row r="7" spans="1:7" x14ac:dyDescent="0.25">
      <c r="A7" s="70" t="s">
        <v>90</v>
      </c>
      <c r="B7" s="71" t="s">
        <v>165</v>
      </c>
      <c r="C7" s="72" t="s">
        <v>209</v>
      </c>
      <c r="D7" s="22" t="s">
        <v>85</v>
      </c>
      <c r="E7" s="22" t="s">
        <v>85</v>
      </c>
      <c r="F7" s="22" t="s">
        <v>85</v>
      </c>
      <c r="G7" s="22" t="s">
        <v>85</v>
      </c>
    </row>
  </sheetData>
  <autoFilter ref="A1:C4" xr:uid="{31D98C9D-50A1-466F-A4CF-A3BF379C3F7F}"/>
  <hyperlinks>
    <hyperlink ref="C2" r:id="rId1" display="https://drive.google.com/file/d/1ZNqskWCs5Gl6fYumjf8mbzLiYFlswSFe/view" xr:uid="{7654DE15-B6FE-49E2-9C59-D837BFFDBE2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dimension ref="A1:U330"/>
  <sheetViews>
    <sheetView showGridLines="0" topLeftCell="F1" zoomScale="80" zoomScaleNormal="80" workbookViewId="0">
      <selection activeCell="H8" sqref="H8"/>
    </sheetView>
  </sheetViews>
  <sheetFormatPr baseColWidth="10" defaultColWidth="11.42578125" defaultRowHeight="15" x14ac:dyDescent="0.25"/>
  <cols>
    <col min="1" max="1" width="14.5703125" bestFit="1" customWidth="1"/>
    <col min="2" max="2" width="11.42578125" bestFit="1" customWidth="1"/>
    <col min="3" max="3" width="13.140625" bestFit="1" customWidth="1"/>
    <col min="4" max="4" width="12" bestFit="1" customWidth="1"/>
    <col min="5" max="5" width="16" bestFit="1" customWidth="1"/>
    <col min="6" max="6" width="43.42578125" bestFit="1" customWidth="1"/>
    <col min="7" max="8" width="81.140625" bestFit="1" customWidth="1"/>
    <col min="9" max="9" width="16.28515625" bestFit="1" customWidth="1"/>
    <col min="10" max="10" width="16.7109375" bestFit="1" customWidth="1"/>
    <col min="11" max="11" width="12.140625" bestFit="1" customWidth="1"/>
    <col min="12" max="12" width="21.42578125" bestFit="1" customWidth="1"/>
    <col min="13" max="13" width="25" bestFit="1" customWidth="1"/>
    <col min="14" max="14" width="17.85546875" bestFit="1" customWidth="1"/>
    <col min="15" max="15" width="24.140625" bestFit="1" customWidth="1"/>
    <col min="16" max="16" width="22" bestFit="1" customWidth="1"/>
    <col min="17" max="17" width="12.42578125" hidden="1" customWidth="1"/>
    <col min="18" max="18" width="13.140625" bestFit="1" customWidth="1" collapsed="1"/>
    <col min="19" max="19" width="12.42578125" bestFit="1" customWidth="1"/>
    <col min="22" max="23" width="0" hidden="1" customWidth="1"/>
  </cols>
  <sheetData>
    <row r="1" spans="1:21" x14ac:dyDescent="0.25">
      <c r="A1" t="s">
        <v>24</v>
      </c>
      <c r="B1" t="s">
        <v>1</v>
      </c>
      <c r="C1" t="s">
        <v>22</v>
      </c>
      <c r="D1" t="s">
        <v>25</v>
      </c>
      <c r="E1" t="s">
        <v>26</v>
      </c>
      <c r="F1" t="s">
        <v>23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s="24" t="s">
        <v>19</v>
      </c>
      <c r="M1" t="s">
        <v>13</v>
      </c>
      <c r="N1" t="s">
        <v>32</v>
      </c>
      <c r="O1" s="25" t="s">
        <v>33</v>
      </c>
      <c r="P1" t="s">
        <v>34</v>
      </c>
      <c r="Q1" t="s">
        <v>75</v>
      </c>
      <c r="R1" t="s">
        <v>86</v>
      </c>
      <c r="T1" t="s">
        <v>76</v>
      </c>
      <c r="U1" t="s">
        <v>77</v>
      </c>
    </row>
    <row r="2" spans="1:21" x14ac:dyDescent="0.25">
      <c r="A2" s="38" t="s">
        <v>124</v>
      </c>
      <c r="B2" s="38" t="s">
        <v>131</v>
      </c>
      <c r="C2" t="s">
        <v>43</v>
      </c>
      <c r="D2" s="38" t="s">
        <v>132</v>
      </c>
      <c r="E2" s="38">
        <v>66552</v>
      </c>
      <c r="F2" s="38" t="s">
        <v>135</v>
      </c>
      <c r="G2" s="38" t="s">
        <v>92</v>
      </c>
      <c r="H2" s="38" t="s">
        <v>20</v>
      </c>
      <c r="I2" s="39"/>
      <c r="J2" s="38">
        <v>27474721</v>
      </c>
      <c r="K2" s="38" t="s">
        <v>142</v>
      </c>
      <c r="L2" s="38" t="str">
        <f>_xlfn.XLOOKUP(Tabla2__2[[#This Row],[CODIGO RUTA]],'DATA INFORME'!I:I,'DATA INFORME'!K:K)</f>
        <v>SI</v>
      </c>
      <c r="M2" s="38" t="str">
        <f>IF(Tabla2__2[[#This Row],[MYSTERY EFECTIVO]]="SI",_xlfn.XLOOKUP(Tabla2__2[[#This Row],[PREGUNTA]],ENCUESTA!G:G,ENCUESTA!D:D),"N/A")</f>
        <v>N/A</v>
      </c>
      <c r="N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" s="38">
        <f>_xlfn.XLOOKUP(Tabla2__2[[#This Row],[PREGUNTA]],ENCUESTA!G:G,ENCUESTA!H:H)</f>
        <v>0</v>
      </c>
      <c r="P2" s="38">
        <f>IF(Tabla2__2[[#This Row],[RTA]]=Tabla2__2[[#This Row],[RTA CORRECTA]],Tabla2__2[[#This Row],[TOTAL PUNTAJE]],0)</f>
        <v>0</v>
      </c>
      <c r="Q2" s="38">
        <f t="shared" ref="Q2:Q33" si="0">IF(OR(H2="Dog Chow húmedo",H2="Cat Chow húmedo",H2="Fancy Feast",H2="Felix",H2="Proplan húmedo",H2="One húmedo",H2="Snack Abrazzos",H2="Snak Dentalife",H2="Arenilla Tidy Cat"),N2,0)</f>
        <v>0</v>
      </c>
      <c r="R2" s="38"/>
    </row>
    <row r="3" spans="1:21" x14ac:dyDescent="0.25">
      <c r="A3" s="38" t="s">
        <v>124</v>
      </c>
      <c r="B3" s="38" t="s">
        <v>131</v>
      </c>
      <c r="C3" t="s">
        <v>15</v>
      </c>
      <c r="D3" s="38" t="s">
        <v>132</v>
      </c>
      <c r="E3" s="38">
        <v>29714</v>
      </c>
      <c r="F3" s="38" t="s">
        <v>191</v>
      </c>
      <c r="G3" s="38" t="s">
        <v>100</v>
      </c>
      <c r="H3" s="38" t="s">
        <v>122</v>
      </c>
      <c r="I3" s="39"/>
      <c r="J3" s="38">
        <v>27529996</v>
      </c>
      <c r="K3" s="38" t="s">
        <v>142</v>
      </c>
      <c r="L3" s="38" t="str">
        <f>_xlfn.XLOOKUP(Tabla2__2[[#This Row],[CODIGO RUTA]],'DATA INFORME'!I:I,'DATA INFORME'!K:K)</f>
        <v>SI</v>
      </c>
      <c r="M3" s="38" t="str">
        <f>IF(Tabla2__2[[#This Row],[MYSTERY EFECTIVO]]="SI",_xlfn.XLOOKUP(Tabla2__2[[#This Row],[PREGUNTA]],ENCUESTA!G:G,ENCUESTA!D:D),"N/A")</f>
        <v>PRESENTACIÓN PERSONAL</v>
      </c>
      <c r="N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" s="38" t="str">
        <f>_xlfn.XLOOKUP(Tabla2__2[[#This Row],[PREGUNTA]],ENCUESTA!G:G,ENCUESTA!H:H)</f>
        <v>NO</v>
      </c>
      <c r="P3" s="38">
        <f>IF(Tabla2__2[[#This Row],[RTA]]=Tabla2__2[[#This Row],[RTA CORRECTA]],Tabla2__2[[#This Row],[TOTAL PUNTAJE]],0)</f>
        <v>1</v>
      </c>
      <c r="Q3" s="38">
        <f t="shared" si="0"/>
        <v>0</v>
      </c>
      <c r="R3" s="38"/>
    </row>
    <row r="4" spans="1:21" x14ac:dyDescent="0.25">
      <c r="A4" s="38" t="s">
        <v>124</v>
      </c>
      <c r="B4" s="38" t="s">
        <v>131</v>
      </c>
      <c r="C4" t="s">
        <v>15</v>
      </c>
      <c r="D4" s="38" t="s">
        <v>132</v>
      </c>
      <c r="E4" s="38">
        <v>29714</v>
      </c>
      <c r="F4" s="38" t="s">
        <v>191</v>
      </c>
      <c r="G4" s="38" t="s">
        <v>99</v>
      </c>
      <c r="H4" s="38" t="s">
        <v>122</v>
      </c>
      <c r="I4" s="39"/>
      <c r="J4" s="38">
        <v>27529996</v>
      </c>
      <c r="K4" s="38" t="s">
        <v>142</v>
      </c>
      <c r="L4" s="38" t="str">
        <f>_xlfn.XLOOKUP(Tabla2__2[[#This Row],[CODIGO RUTA]],'DATA INFORME'!I:I,'DATA INFORME'!K:K)</f>
        <v>SI</v>
      </c>
      <c r="M4" s="38" t="str">
        <f>IF(Tabla2__2[[#This Row],[MYSTERY EFECTIVO]]="SI",_xlfn.XLOOKUP(Tabla2__2[[#This Row],[PREGUNTA]],ENCUESTA!G:G,ENCUESTA!D:D),"N/A")</f>
        <v>PRESENTACIÓN PERSONAL</v>
      </c>
      <c r="N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" s="38" t="str">
        <f>_xlfn.XLOOKUP(Tabla2__2[[#This Row],[PREGUNTA]],ENCUESTA!G:G,ENCUESTA!H:H)</f>
        <v>NO</v>
      </c>
      <c r="P4" s="38">
        <f>IF(Tabla2__2[[#This Row],[RTA]]=Tabla2__2[[#This Row],[RTA CORRECTA]],Tabla2__2[[#This Row],[TOTAL PUNTAJE]],0)</f>
        <v>1</v>
      </c>
      <c r="Q4" s="38">
        <f t="shared" si="0"/>
        <v>0</v>
      </c>
      <c r="R4" s="38"/>
    </row>
    <row r="5" spans="1:21" x14ac:dyDescent="0.25">
      <c r="A5" s="38" t="s">
        <v>124</v>
      </c>
      <c r="B5" s="38" t="s">
        <v>131</v>
      </c>
      <c r="C5" t="s">
        <v>15</v>
      </c>
      <c r="D5" s="38" t="s">
        <v>132</v>
      </c>
      <c r="E5" s="38">
        <v>29714</v>
      </c>
      <c r="F5" s="38" t="s">
        <v>191</v>
      </c>
      <c r="G5" s="38" t="s">
        <v>98</v>
      </c>
      <c r="H5" s="38" t="s">
        <v>20</v>
      </c>
      <c r="I5" s="39"/>
      <c r="J5" s="38">
        <v>27529996</v>
      </c>
      <c r="K5" s="38" t="s">
        <v>142</v>
      </c>
      <c r="L5" s="38" t="str">
        <f>_xlfn.XLOOKUP(Tabla2__2[[#This Row],[CODIGO RUTA]],'DATA INFORME'!I:I,'DATA INFORME'!K:K)</f>
        <v>SI</v>
      </c>
      <c r="M5" s="38" t="str">
        <f>IF(Tabla2__2[[#This Row],[MYSTERY EFECTIVO]]="SI",_xlfn.XLOOKUP(Tabla2__2[[#This Row],[PREGUNTA]],ENCUESTA!G:G,ENCUESTA!D:D),"N/A")</f>
        <v>PRESENTACIÓN PERSONAL</v>
      </c>
      <c r="N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" s="38" t="str">
        <f>_xlfn.XLOOKUP(Tabla2__2[[#This Row],[PREGUNTA]],ENCUESTA!G:G,ENCUESTA!H:H)</f>
        <v>SI</v>
      </c>
      <c r="P5" s="38">
        <f>IF(Tabla2__2[[#This Row],[RTA]]=Tabla2__2[[#This Row],[RTA CORRECTA]],Tabla2__2[[#This Row],[TOTAL PUNTAJE]],0)</f>
        <v>1</v>
      </c>
      <c r="Q5" s="38">
        <f t="shared" si="0"/>
        <v>0</v>
      </c>
      <c r="R5" s="38"/>
    </row>
    <row r="6" spans="1:21" x14ac:dyDescent="0.25">
      <c r="A6" s="38" t="s">
        <v>124</v>
      </c>
      <c r="B6" s="38" t="s">
        <v>131</v>
      </c>
      <c r="C6" t="s">
        <v>15</v>
      </c>
      <c r="D6" s="38" t="s">
        <v>132</v>
      </c>
      <c r="E6" s="38">
        <v>29714</v>
      </c>
      <c r="F6" s="38" t="s">
        <v>191</v>
      </c>
      <c r="G6" s="38" t="s">
        <v>97</v>
      </c>
      <c r="H6" s="38" t="s">
        <v>20</v>
      </c>
      <c r="I6" s="39"/>
      <c r="J6" s="38">
        <v>27529996</v>
      </c>
      <c r="K6" s="38" t="s">
        <v>142</v>
      </c>
      <c r="L6" s="38" t="str">
        <f>_xlfn.XLOOKUP(Tabla2__2[[#This Row],[CODIGO RUTA]],'DATA INFORME'!I:I,'DATA INFORME'!K:K)</f>
        <v>SI</v>
      </c>
      <c r="M6" s="38" t="str">
        <f>IF(Tabla2__2[[#This Row],[MYSTERY EFECTIVO]]="SI",_xlfn.XLOOKUP(Tabla2__2[[#This Row],[PREGUNTA]],ENCUESTA!G:G,ENCUESTA!D:D),"N/A")</f>
        <v>PRESENTACIÓN PERSONAL</v>
      </c>
      <c r="N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" s="38" t="str">
        <f>_xlfn.XLOOKUP(Tabla2__2[[#This Row],[PREGUNTA]],ENCUESTA!G:G,ENCUESTA!H:H)</f>
        <v>SI</v>
      </c>
      <c r="P6" s="38">
        <f>IF(Tabla2__2[[#This Row],[RTA]]=Tabla2__2[[#This Row],[RTA CORRECTA]],Tabla2__2[[#This Row],[TOTAL PUNTAJE]],0)</f>
        <v>1</v>
      </c>
      <c r="Q6" s="38">
        <f t="shared" si="0"/>
        <v>0</v>
      </c>
      <c r="R6" s="38"/>
    </row>
    <row r="7" spans="1:21" x14ac:dyDescent="0.25">
      <c r="A7" s="38" t="s">
        <v>124</v>
      </c>
      <c r="B7" s="38" t="s">
        <v>131</v>
      </c>
      <c r="C7" t="s">
        <v>15</v>
      </c>
      <c r="D7" s="38" t="s">
        <v>132</v>
      </c>
      <c r="E7" s="38">
        <v>29714</v>
      </c>
      <c r="F7" s="38" t="s">
        <v>191</v>
      </c>
      <c r="G7" s="38" t="s">
        <v>96</v>
      </c>
      <c r="H7" s="38" t="s">
        <v>122</v>
      </c>
      <c r="I7" s="39"/>
      <c r="J7" s="38">
        <v>27529996</v>
      </c>
      <c r="K7" s="38" t="s">
        <v>142</v>
      </c>
      <c r="L7" s="38" t="str">
        <f>_xlfn.XLOOKUP(Tabla2__2[[#This Row],[CODIGO RUTA]],'DATA INFORME'!I:I,'DATA INFORME'!K:K)</f>
        <v>SI</v>
      </c>
      <c r="M7" s="38" t="str">
        <f>IF(Tabla2__2[[#This Row],[MYSTERY EFECTIVO]]="SI",_xlfn.XLOOKUP(Tabla2__2[[#This Row],[PREGUNTA]],ENCUESTA!G:G,ENCUESTA!D:D),"N/A")</f>
        <v>PRESENTACIÓN PERSONAL</v>
      </c>
      <c r="N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" s="38" t="str">
        <f>_xlfn.XLOOKUP(Tabla2__2[[#This Row],[PREGUNTA]],ENCUESTA!G:G,ENCUESTA!H:H)</f>
        <v>NO</v>
      </c>
      <c r="P7" s="38">
        <f>IF(Tabla2__2[[#This Row],[RTA]]=Tabla2__2[[#This Row],[RTA CORRECTA]],Tabla2__2[[#This Row],[TOTAL PUNTAJE]],0)</f>
        <v>1</v>
      </c>
      <c r="Q7" s="38">
        <f t="shared" si="0"/>
        <v>0</v>
      </c>
      <c r="R7" s="38"/>
    </row>
    <row r="8" spans="1:21" x14ac:dyDescent="0.25">
      <c r="A8" s="38" t="s">
        <v>124</v>
      </c>
      <c r="B8" s="38" t="s">
        <v>131</v>
      </c>
      <c r="C8" t="s">
        <v>15</v>
      </c>
      <c r="D8" s="38" t="s">
        <v>132</v>
      </c>
      <c r="E8" s="38">
        <v>29714</v>
      </c>
      <c r="F8" s="38" t="s">
        <v>191</v>
      </c>
      <c r="G8" s="38" t="s">
        <v>35</v>
      </c>
      <c r="H8" s="38" t="s">
        <v>20</v>
      </c>
      <c r="I8" s="39"/>
      <c r="J8" s="38">
        <v>27529996</v>
      </c>
      <c r="K8" s="38" t="s">
        <v>142</v>
      </c>
      <c r="L8" s="38" t="str">
        <f>_xlfn.XLOOKUP(Tabla2__2[[#This Row],[CODIGO RUTA]],'DATA INFORME'!I:I,'DATA INFORME'!K:K)</f>
        <v>SI</v>
      </c>
      <c r="M8" s="38" t="str">
        <f>IF(Tabla2__2[[#This Row],[MYSTERY EFECTIVO]]="SI",_xlfn.XLOOKUP(Tabla2__2[[#This Row],[PREGUNTA]],ENCUESTA!G:G,ENCUESTA!D:D),"N/A")</f>
        <v>PRESENTACIÓN PERSONAL</v>
      </c>
      <c r="N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" s="38" t="str">
        <f>_xlfn.XLOOKUP(Tabla2__2[[#This Row],[PREGUNTA]],ENCUESTA!G:G,ENCUESTA!H:H)</f>
        <v>SI</v>
      </c>
      <c r="P8" s="38">
        <f>IF(Tabla2__2[[#This Row],[RTA]]=Tabla2__2[[#This Row],[RTA CORRECTA]],Tabla2__2[[#This Row],[TOTAL PUNTAJE]],0)</f>
        <v>1</v>
      </c>
      <c r="Q8" s="38">
        <f t="shared" si="0"/>
        <v>0</v>
      </c>
      <c r="R8" s="38"/>
    </row>
    <row r="9" spans="1:21" x14ac:dyDescent="0.25">
      <c r="A9" s="38" t="s">
        <v>124</v>
      </c>
      <c r="B9" s="38" t="s">
        <v>131</v>
      </c>
      <c r="C9" t="s">
        <v>15</v>
      </c>
      <c r="D9" s="38" t="s">
        <v>132</v>
      </c>
      <c r="E9" s="38">
        <v>29714</v>
      </c>
      <c r="F9" s="38" t="s">
        <v>191</v>
      </c>
      <c r="G9" s="38" t="s">
        <v>95</v>
      </c>
      <c r="H9" s="38" t="s">
        <v>20</v>
      </c>
      <c r="I9" s="39"/>
      <c r="J9" s="38">
        <v>27529996</v>
      </c>
      <c r="K9" s="38" t="s">
        <v>142</v>
      </c>
      <c r="L9" s="38" t="str">
        <f>_xlfn.XLOOKUP(Tabla2__2[[#This Row],[CODIGO RUTA]],'DATA INFORME'!I:I,'DATA INFORME'!K:K)</f>
        <v>SI</v>
      </c>
      <c r="M9" s="38" t="str">
        <f>IF(Tabla2__2[[#This Row],[MYSTERY EFECTIVO]]="SI",_xlfn.XLOOKUP(Tabla2__2[[#This Row],[PREGUNTA]],ENCUESTA!G:G,ENCUESTA!D:D),"N/A")</f>
        <v>PRESENTACIÓN PERSONAL</v>
      </c>
      <c r="N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" s="38" t="str">
        <f>_xlfn.XLOOKUP(Tabla2__2[[#This Row],[PREGUNTA]],ENCUESTA!G:G,ENCUESTA!H:H)</f>
        <v>SI</v>
      </c>
      <c r="P9" s="38">
        <f>IF(Tabla2__2[[#This Row],[RTA]]=Tabla2__2[[#This Row],[RTA CORRECTA]],Tabla2__2[[#This Row],[TOTAL PUNTAJE]],0)</f>
        <v>1</v>
      </c>
      <c r="Q9" s="38">
        <f t="shared" si="0"/>
        <v>0</v>
      </c>
      <c r="R9" s="38"/>
    </row>
    <row r="10" spans="1:21" x14ac:dyDescent="0.25">
      <c r="A10" s="38" t="s">
        <v>124</v>
      </c>
      <c r="B10" s="38" t="s">
        <v>131</v>
      </c>
      <c r="C10" t="s">
        <v>15</v>
      </c>
      <c r="D10" s="38" t="s">
        <v>132</v>
      </c>
      <c r="E10" s="38">
        <v>29714</v>
      </c>
      <c r="F10" s="38" t="s">
        <v>191</v>
      </c>
      <c r="G10" s="38" t="s">
        <v>94</v>
      </c>
      <c r="H10" s="38" t="s">
        <v>20</v>
      </c>
      <c r="I10" s="39"/>
      <c r="J10" s="38">
        <v>27529996</v>
      </c>
      <c r="K10" s="38" t="s">
        <v>142</v>
      </c>
      <c r="L10" s="38" t="str">
        <f>_xlfn.XLOOKUP(Tabla2__2[[#This Row],[CODIGO RUTA]],'DATA INFORME'!I:I,'DATA INFORME'!K:K)</f>
        <v>SI</v>
      </c>
      <c r="M10" s="38" t="str">
        <f>IF(Tabla2__2[[#This Row],[MYSTERY EFECTIVO]]="SI",_xlfn.XLOOKUP(Tabla2__2[[#This Row],[PREGUNTA]],ENCUESTA!G:G,ENCUESTA!D:D),"N/A")</f>
        <v>PRESENTACIÓN PERSONAL</v>
      </c>
      <c r="N1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" s="38" t="str">
        <f>_xlfn.XLOOKUP(Tabla2__2[[#This Row],[PREGUNTA]],ENCUESTA!G:G,ENCUESTA!H:H)</f>
        <v>SI</v>
      </c>
      <c r="P10" s="38">
        <f>IF(Tabla2__2[[#This Row],[RTA]]=Tabla2__2[[#This Row],[RTA CORRECTA]],Tabla2__2[[#This Row],[TOTAL PUNTAJE]],0)</f>
        <v>1</v>
      </c>
      <c r="Q10" s="38">
        <f t="shared" si="0"/>
        <v>0</v>
      </c>
      <c r="R10" s="38"/>
    </row>
    <row r="11" spans="1:21" x14ac:dyDescent="0.25">
      <c r="A11" s="38" t="s">
        <v>124</v>
      </c>
      <c r="B11" s="38" t="s">
        <v>131</v>
      </c>
      <c r="C11" t="s">
        <v>15</v>
      </c>
      <c r="D11" s="38" t="s">
        <v>132</v>
      </c>
      <c r="E11" s="38">
        <v>29714</v>
      </c>
      <c r="F11" s="38" t="s">
        <v>191</v>
      </c>
      <c r="G11" s="38" t="s">
        <v>93</v>
      </c>
      <c r="H11" s="38" t="s">
        <v>20</v>
      </c>
      <c r="I11" s="39"/>
      <c r="J11" s="38">
        <v>27529996</v>
      </c>
      <c r="K11" s="38" t="s">
        <v>142</v>
      </c>
      <c r="L11" s="38" t="str">
        <f>_xlfn.XLOOKUP(Tabla2__2[[#This Row],[CODIGO RUTA]],'DATA INFORME'!I:I,'DATA INFORME'!K:K)</f>
        <v>SI</v>
      </c>
      <c r="M11" s="38" t="str">
        <f>IF(Tabla2__2[[#This Row],[MYSTERY EFECTIVO]]="SI",_xlfn.XLOOKUP(Tabla2__2[[#This Row],[PREGUNTA]],ENCUESTA!G:G,ENCUESTA!D:D),"N/A")</f>
        <v>HORARIO</v>
      </c>
      <c r="N1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1" s="38" t="str">
        <f>_xlfn.XLOOKUP(Tabla2__2[[#This Row],[PREGUNTA]],ENCUESTA!G:G,ENCUESTA!H:H)</f>
        <v>SI</v>
      </c>
      <c r="P11" s="38">
        <f>IF(Tabla2__2[[#This Row],[RTA]]=Tabla2__2[[#This Row],[RTA CORRECTA]],Tabla2__2[[#This Row],[TOTAL PUNTAJE]],0)</f>
        <v>20</v>
      </c>
      <c r="Q11" s="38">
        <f t="shared" si="0"/>
        <v>0</v>
      </c>
      <c r="R11" s="38"/>
    </row>
    <row r="12" spans="1:21" x14ac:dyDescent="0.25">
      <c r="A12" s="38" t="s">
        <v>124</v>
      </c>
      <c r="B12" s="38" t="s">
        <v>131</v>
      </c>
      <c r="C12" t="s">
        <v>15</v>
      </c>
      <c r="D12" s="38" t="s">
        <v>132</v>
      </c>
      <c r="E12" s="38">
        <v>29714</v>
      </c>
      <c r="F12" s="38" t="s">
        <v>191</v>
      </c>
      <c r="G12" s="38" t="s">
        <v>92</v>
      </c>
      <c r="H12" s="38" t="s">
        <v>20</v>
      </c>
      <c r="I12" s="39"/>
      <c r="J12" s="38">
        <v>27529996</v>
      </c>
      <c r="K12" s="38" t="s">
        <v>142</v>
      </c>
      <c r="L12" s="38" t="str">
        <f>_xlfn.XLOOKUP(Tabla2__2[[#This Row],[CODIGO RUTA]],'DATA INFORME'!I:I,'DATA INFORME'!K:K)</f>
        <v>SI</v>
      </c>
      <c r="M12" s="38" t="str">
        <f>IF(Tabla2__2[[#This Row],[MYSTERY EFECTIVO]]="SI",_xlfn.XLOOKUP(Tabla2__2[[#This Row],[PREGUNTA]],ENCUESTA!G:G,ENCUESTA!D:D),"N/A")</f>
        <v>N/A</v>
      </c>
      <c r="N1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" s="38">
        <f>_xlfn.XLOOKUP(Tabla2__2[[#This Row],[PREGUNTA]],ENCUESTA!G:G,ENCUESTA!H:H)</f>
        <v>0</v>
      </c>
      <c r="P12" s="38">
        <f>IF(Tabla2__2[[#This Row],[RTA]]=Tabla2__2[[#This Row],[RTA CORRECTA]],Tabla2__2[[#This Row],[TOTAL PUNTAJE]],0)</f>
        <v>0</v>
      </c>
      <c r="Q12" s="38">
        <f t="shared" si="0"/>
        <v>0</v>
      </c>
      <c r="R12" s="38"/>
    </row>
    <row r="13" spans="1:21" x14ac:dyDescent="0.25">
      <c r="A13" s="38" t="s">
        <v>124</v>
      </c>
      <c r="B13" s="38" t="s">
        <v>131</v>
      </c>
      <c r="C13" t="s">
        <v>15</v>
      </c>
      <c r="D13" s="38" t="s">
        <v>174</v>
      </c>
      <c r="E13" s="38">
        <v>456498</v>
      </c>
      <c r="F13" s="38" t="s">
        <v>184</v>
      </c>
      <c r="G13" s="38" t="s">
        <v>117</v>
      </c>
      <c r="H13" s="38" t="s">
        <v>189</v>
      </c>
      <c r="I13" s="39"/>
      <c r="J13" s="38">
        <v>27493916</v>
      </c>
      <c r="K13" s="38" t="s">
        <v>142</v>
      </c>
      <c r="L13" s="38" t="str">
        <f>_xlfn.XLOOKUP(Tabla2__2[[#This Row],[CODIGO RUTA]],'DATA INFORME'!I:I,'DATA INFORME'!K:K)</f>
        <v xml:space="preserve"> NO</v>
      </c>
      <c r="M13" s="38" t="str">
        <f>IF(Tabla2__2[[#This Row],[MYSTERY EFECTIVO]]="SI",_xlfn.XLOOKUP(Tabla2__2[[#This Row],[PREGUNTA]],ENCUESTA!G:G,ENCUESTA!D:D),"N/A")</f>
        <v>N/A</v>
      </c>
      <c r="N1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" s="38">
        <f>_xlfn.XLOOKUP(Tabla2__2[[#This Row],[PREGUNTA]],ENCUESTA!G:G,ENCUESTA!H:H)</f>
        <v>0</v>
      </c>
      <c r="P13" s="38">
        <f>IF(Tabla2__2[[#This Row],[RTA]]=Tabla2__2[[#This Row],[RTA CORRECTA]],Tabla2__2[[#This Row],[TOTAL PUNTAJE]],0)</f>
        <v>0</v>
      </c>
      <c r="Q13" s="38">
        <f t="shared" si="0"/>
        <v>0</v>
      </c>
      <c r="R13" s="38"/>
    </row>
    <row r="14" spans="1:21" x14ac:dyDescent="0.25">
      <c r="A14" s="38" t="s">
        <v>124</v>
      </c>
      <c r="B14" s="38" t="s">
        <v>131</v>
      </c>
      <c r="C14" t="s">
        <v>15</v>
      </c>
      <c r="D14" s="38" t="s">
        <v>174</v>
      </c>
      <c r="E14" s="38">
        <v>456498</v>
      </c>
      <c r="F14" s="38" t="s">
        <v>184</v>
      </c>
      <c r="G14" s="38" t="s">
        <v>116</v>
      </c>
      <c r="H14" s="38" t="s">
        <v>20</v>
      </c>
      <c r="I14" s="39"/>
      <c r="J14" s="38">
        <v>27493916</v>
      </c>
      <c r="K14" s="38" t="s">
        <v>142</v>
      </c>
      <c r="L14" s="38" t="str">
        <f>_xlfn.XLOOKUP(Tabla2__2[[#This Row],[CODIGO RUTA]],'DATA INFORME'!I:I,'DATA INFORME'!K:K)</f>
        <v xml:space="preserve"> NO</v>
      </c>
      <c r="M14" s="38" t="str">
        <f>IF(Tabla2__2[[#This Row],[MYSTERY EFECTIVO]]="SI",_xlfn.XLOOKUP(Tabla2__2[[#This Row],[PREGUNTA]],ENCUESTA!G:G,ENCUESTA!D:D),"N/A")</f>
        <v>N/A</v>
      </c>
      <c r="N1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" s="38">
        <f>_xlfn.XLOOKUP(Tabla2__2[[#This Row],[PREGUNTA]],ENCUESTA!G:G,ENCUESTA!H:H)</f>
        <v>0</v>
      </c>
      <c r="P14" s="38">
        <f>IF(Tabla2__2[[#This Row],[RTA]]=Tabla2__2[[#This Row],[RTA CORRECTA]],Tabla2__2[[#This Row],[TOTAL PUNTAJE]],0)</f>
        <v>0</v>
      </c>
      <c r="Q14" s="38">
        <f t="shared" si="0"/>
        <v>0</v>
      </c>
      <c r="R14" s="38"/>
    </row>
    <row r="15" spans="1:21" x14ac:dyDescent="0.25">
      <c r="A15" s="38" t="s">
        <v>124</v>
      </c>
      <c r="B15" s="38" t="s">
        <v>131</v>
      </c>
      <c r="C15" t="s">
        <v>15</v>
      </c>
      <c r="D15" s="38" t="s">
        <v>174</v>
      </c>
      <c r="E15" s="38">
        <v>456498</v>
      </c>
      <c r="F15" s="38" t="s">
        <v>184</v>
      </c>
      <c r="G15" s="38" t="s">
        <v>112</v>
      </c>
      <c r="H15" s="38" t="s">
        <v>122</v>
      </c>
      <c r="I15" s="39"/>
      <c r="J15" s="38">
        <v>27493916</v>
      </c>
      <c r="K15" s="38" t="s">
        <v>142</v>
      </c>
      <c r="L15" s="38" t="str">
        <f>_xlfn.XLOOKUP(Tabla2__2[[#This Row],[CODIGO RUTA]],'DATA INFORME'!I:I,'DATA INFORME'!K:K)</f>
        <v xml:space="preserve"> NO</v>
      </c>
      <c r="M15" s="38" t="str">
        <f>IF(Tabla2__2[[#This Row],[MYSTERY EFECTIVO]]="SI",_xlfn.XLOOKUP(Tabla2__2[[#This Row],[PREGUNTA]],ENCUESTA!G:G,ENCUESTA!D:D),"N/A")</f>
        <v>N/A</v>
      </c>
      <c r="N1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5" s="38" t="str">
        <f>_xlfn.XLOOKUP(Tabla2__2[[#This Row],[PREGUNTA]],ENCUESTA!G:G,ENCUESTA!H:H)</f>
        <v>SI</v>
      </c>
      <c r="P15" s="38">
        <f>IF(Tabla2__2[[#This Row],[RTA]]=Tabla2__2[[#This Row],[RTA CORRECTA]],Tabla2__2[[#This Row],[TOTAL PUNTAJE]],0)</f>
        <v>0</v>
      </c>
      <c r="Q15" s="38">
        <f t="shared" si="0"/>
        <v>0</v>
      </c>
      <c r="R15" s="38"/>
    </row>
    <row r="16" spans="1:21" x14ac:dyDescent="0.25">
      <c r="A16" s="38" t="s">
        <v>124</v>
      </c>
      <c r="B16" s="38" t="s">
        <v>131</v>
      </c>
      <c r="C16" t="s">
        <v>15</v>
      </c>
      <c r="D16" s="38" t="s">
        <v>174</v>
      </c>
      <c r="E16" s="38">
        <v>456498</v>
      </c>
      <c r="F16" s="38" t="s">
        <v>184</v>
      </c>
      <c r="G16" s="38" t="s">
        <v>111</v>
      </c>
      <c r="H16" s="38" t="s">
        <v>122</v>
      </c>
      <c r="I16" s="39"/>
      <c r="J16" s="38">
        <v>27493916</v>
      </c>
      <c r="K16" s="38" t="s">
        <v>142</v>
      </c>
      <c r="L16" s="38" t="str">
        <f>_xlfn.XLOOKUP(Tabla2__2[[#This Row],[CODIGO RUTA]],'DATA INFORME'!I:I,'DATA INFORME'!K:K)</f>
        <v xml:space="preserve"> NO</v>
      </c>
      <c r="M16" s="38" t="str">
        <f>IF(Tabla2__2[[#This Row],[MYSTERY EFECTIVO]]="SI",_xlfn.XLOOKUP(Tabla2__2[[#This Row],[PREGUNTA]],ENCUESTA!G:G,ENCUESTA!D:D),"N/A")</f>
        <v>N/A</v>
      </c>
      <c r="N1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" s="38" t="str">
        <f>_xlfn.XLOOKUP(Tabla2__2[[#This Row],[PREGUNTA]],ENCUESTA!G:G,ENCUESTA!H:H)</f>
        <v>SI</v>
      </c>
      <c r="P16" s="38">
        <f>IF(Tabla2__2[[#This Row],[RTA]]=Tabla2__2[[#This Row],[RTA CORRECTA]],Tabla2__2[[#This Row],[TOTAL PUNTAJE]],0)</f>
        <v>0</v>
      </c>
      <c r="Q16" s="38">
        <f t="shared" si="0"/>
        <v>0</v>
      </c>
      <c r="R16" s="38"/>
    </row>
    <row r="17" spans="1:18" x14ac:dyDescent="0.25">
      <c r="A17" s="38" t="s">
        <v>124</v>
      </c>
      <c r="B17" s="38" t="s">
        <v>131</v>
      </c>
      <c r="C17" t="s">
        <v>15</v>
      </c>
      <c r="D17" s="38" t="s">
        <v>174</v>
      </c>
      <c r="E17" s="38">
        <v>456498</v>
      </c>
      <c r="F17" s="38" t="s">
        <v>184</v>
      </c>
      <c r="G17" s="38" t="s">
        <v>110</v>
      </c>
      <c r="H17" s="38" t="s">
        <v>15</v>
      </c>
      <c r="I17" s="39"/>
      <c r="J17" s="38">
        <v>27493916</v>
      </c>
      <c r="K17" s="38" t="s">
        <v>142</v>
      </c>
      <c r="L17" s="38" t="str">
        <f>_xlfn.XLOOKUP(Tabla2__2[[#This Row],[CODIGO RUTA]],'DATA INFORME'!I:I,'DATA INFORME'!K:K)</f>
        <v xml:space="preserve"> NO</v>
      </c>
      <c r="M17" s="38" t="str">
        <f>IF(Tabla2__2[[#This Row],[MYSTERY EFECTIVO]]="SI",_xlfn.XLOOKUP(Tabla2__2[[#This Row],[PREGUNTA]],ENCUESTA!G:G,ENCUESTA!D:D),"N/A")</f>
        <v>N/A</v>
      </c>
      <c r="N1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" s="38" t="str">
        <f>_xlfn.XLOOKUP(Tabla2__2[[#This Row],[PREGUNTA]],ENCUESTA!G:G,ENCUESTA!H:H)</f>
        <v>MODERNO, TRADICIONAL</v>
      </c>
      <c r="P17" s="38">
        <f>IF(Tabla2__2[[#This Row],[RTA]]=Tabla2__2[[#This Row],[RTA CORRECTA]],Tabla2__2[[#This Row],[TOTAL PUNTAJE]],0)</f>
        <v>0</v>
      </c>
      <c r="Q17" s="38">
        <f t="shared" si="0"/>
        <v>0</v>
      </c>
      <c r="R17" s="38"/>
    </row>
    <row r="18" spans="1:18" x14ac:dyDescent="0.25">
      <c r="A18" s="38" t="s">
        <v>124</v>
      </c>
      <c r="B18" s="38" t="s">
        <v>131</v>
      </c>
      <c r="C18" t="s">
        <v>15</v>
      </c>
      <c r="D18" s="38" t="s">
        <v>174</v>
      </c>
      <c r="E18" s="38">
        <v>456498</v>
      </c>
      <c r="F18" s="38" t="s">
        <v>184</v>
      </c>
      <c r="G18" s="38" t="s">
        <v>109</v>
      </c>
      <c r="H18" s="38" t="s">
        <v>122</v>
      </c>
      <c r="I18" s="39"/>
      <c r="J18" s="38">
        <v>27493916</v>
      </c>
      <c r="K18" s="38" t="s">
        <v>142</v>
      </c>
      <c r="L18" s="38" t="str">
        <f>_xlfn.XLOOKUP(Tabla2__2[[#This Row],[CODIGO RUTA]],'DATA INFORME'!I:I,'DATA INFORME'!K:K)</f>
        <v xml:space="preserve"> NO</v>
      </c>
      <c r="M18" s="38" t="str">
        <f>IF(Tabla2__2[[#This Row],[MYSTERY EFECTIVO]]="SI",_xlfn.XLOOKUP(Tabla2__2[[#This Row],[PREGUNTA]],ENCUESTA!G:G,ENCUESTA!D:D),"N/A")</f>
        <v>N/A</v>
      </c>
      <c r="N1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" s="38" t="str">
        <f>_xlfn.XLOOKUP(Tabla2__2[[#This Row],[PREGUNTA]],ENCUESTA!G:G,ENCUESTA!H:H)</f>
        <v>SI</v>
      </c>
      <c r="P18" s="38">
        <f>IF(Tabla2__2[[#This Row],[RTA]]=Tabla2__2[[#This Row],[RTA CORRECTA]],Tabla2__2[[#This Row],[TOTAL PUNTAJE]],0)</f>
        <v>0</v>
      </c>
      <c r="Q18" s="38">
        <f t="shared" si="0"/>
        <v>0</v>
      </c>
      <c r="R18" s="38"/>
    </row>
    <row r="19" spans="1:18" x14ac:dyDescent="0.25">
      <c r="A19" s="38" t="s">
        <v>124</v>
      </c>
      <c r="B19" s="38" t="s">
        <v>131</v>
      </c>
      <c r="C19" t="s">
        <v>15</v>
      </c>
      <c r="D19" s="38" t="s">
        <v>174</v>
      </c>
      <c r="E19" s="38">
        <v>456498</v>
      </c>
      <c r="F19" s="38" t="s">
        <v>184</v>
      </c>
      <c r="G19" s="38" t="s">
        <v>108</v>
      </c>
      <c r="H19" s="38" t="s">
        <v>122</v>
      </c>
      <c r="I19" s="39"/>
      <c r="J19" s="38">
        <v>27493916</v>
      </c>
      <c r="K19" s="38" t="s">
        <v>142</v>
      </c>
      <c r="L19" s="38" t="str">
        <f>_xlfn.XLOOKUP(Tabla2__2[[#This Row],[CODIGO RUTA]],'DATA INFORME'!I:I,'DATA INFORME'!K:K)</f>
        <v xml:space="preserve"> NO</v>
      </c>
      <c r="M19" s="38" t="str">
        <f>IF(Tabla2__2[[#This Row],[MYSTERY EFECTIVO]]="SI",_xlfn.XLOOKUP(Tabla2__2[[#This Row],[PREGUNTA]],ENCUESTA!G:G,ENCUESTA!D:D),"N/A")</f>
        <v>N/A</v>
      </c>
      <c r="N1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9" s="38" t="str">
        <f>_xlfn.XLOOKUP(Tabla2__2[[#This Row],[PREGUNTA]],ENCUESTA!G:G,ENCUESTA!H:H)</f>
        <v>SI</v>
      </c>
      <c r="P19" s="38">
        <f>IF(Tabla2__2[[#This Row],[RTA]]=Tabla2__2[[#This Row],[RTA CORRECTA]],Tabla2__2[[#This Row],[TOTAL PUNTAJE]],0)</f>
        <v>0</v>
      </c>
      <c r="Q19" s="38">
        <f t="shared" si="0"/>
        <v>0</v>
      </c>
      <c r="R19" s="38"/>
    </row>
    <row r="20" spans="1:18" x14ac:dyDescent="0.25">
      <c r="A20" s="38" t="s">
        <v>124</v>
      </c>
      <c r="B20" s="38" t="s">
        <v>131</v>
      </c>
      <c r="C20" t="s">
        <v>15</v>
      </c>
      <c r="D20" s="38" t="s">
        <v>174</v>
      </c>
      <c r="E20" s="38">
        <v>456498</v>
      </c>
      <c r="F20" s="38" t="s">
        <v>184</v>
      </c>
      <c r="G20" s="38" t="s">
        <v>95</v>
      </c>
      <c r="H20" s="38" t="s">
        <v>122</v>
      </c>
      <c r="I20" s="39"/>
      <c r="J20" s="38">
        <v>27493916</v>
      </c>
      <c r="K20" s="38" t="s">
        <v>142</v>
      </c>
      <c r="L20" s="38" t="str">
        <f>_xlfn.XLOOKUP(Tabla2__2[[#This Row],[CODIGO RUTA]],'DATA INFORME'!I:I,'DATA INFORME'!K:K)</f>
        <v xml:space="preserve"> NO</v>
      </c>
      <c r="M20" s="38" t="str">
        <f>IF(Tabla2__2[[#This Row],[MYSTERY EFECTIVO]]="SI",_xlfn.XLOOKUP(Tabla2__2[[#This Row],[PREGUNTA]],ENCUESTA!G:G,ENCUESTA!D:D),"N/A")</f>
        <v>N/A</v>
      </c>
      <c r="N2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" s="38" t="str">
        <f>_xlfn.XLOOKUP(Tabla2__2[[#This Row],[PREGUNTA]],ENCUESTA!G:G,ENCUESTA!H:H)</f>
        <v>SI</v>
      </c>
      <c r="P20" s="38">
        <f>IF(Tabla2__2[[#This Row],[RTA]]=Tabla2__2[[#This Row],[RTA CORRECTA]],Tabla2__2[[#This Row],[TOTAL PUNTAJE]],0)</f>
        <v>0</v>
      </c>
      <c r="Q20" s="38">
        <f t="shared" si="0"/>
        <v>0</v>
      </c>
      <c r="R20" s="38"/>
    </row>
    <row r="21" spans="1:18" x14ac:dyDescent="0.25">
      <c r="A21" s="38" t="s">
        <v>124</v>
      </c>
      <c r="B21" s="38" t="s">
        <v>131</v>
      </c>
      <c r="C21" t="s">
        <v>15</v>
      </c>
      <c r="D21" s="38" t="s">
        <v>174</v>
      </c>
      <c r="E21" s="38">
        <v>456498</v>
      </c>
      <c r="F21" s="38" t="s">
        <v>184</v>
      </c>
      <c r="G21" s="38" t="s">
        <v>35</v>
      </c>
      <c r="H21" s="38" t="s">
        <v>122</v>
      </c>
      <c r="I21" s="39"/>
      <c r="J21" s="38">
        <v>27493916</v>
      </c>
      <c r="K21" s="38" t="s">
        <v>142</v>
      </c>
      <c r="L21" s="38" t="str">
        <f>_xlfn.XLOOKUP(Tabla2__2[[#This Row],[CODIGO RUTA]],'DATA INFORME'!I:I,'DATA INFORME'!K:K)</f>
        <v xml:space="preserve"> NO</v>
      </c>
      <c r="M21" s="38" t="str">
        <f>IF(Tabla2__2[[#This Row],[MYSTERY EFECTIVO]]="SI",_xlfn.XLOOKUP(Tabla2__2[[#This Row],[PREGUNTA]],ENCUESTA!G:G,ENCUESTA!D:D),"N/A")</f>
        <v>N/A</v>
      </c>
      <c r="N2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" s="38" t="str">
        <f>_xlfn.XLOOKUP(Tabla2__2[[#This Row],[PREGUNTA]],ENCUESTA!G:G,ENCUESTA!H:H)</f>
        <v>SI</v>
      </c>
      <c r="P21" s="38">
        <f>IF(Tabla2__2[[#This Row],[RTA]]=Tabla2__2[[#This Row],[RTA CORRECTA]],Tabla2__2[[#This Row],[TOTAL PUNTAJE]],0)</f>
        <v>0</v>
      </c>
      <c r="Q21" s="38">
        <f t="shared" si="0"/>
        <v>0</v>
      </c>
      <c r="R21" s="38"/>
    </row>
    <row r="22" spans="1:18" x14ac:dyDescent="0.25">
      <c r="A22" s="38" t="s">
        <v>124</v>
      </c>
      <c r="B22" s="38" t="s">
        <v>131</v>
      </c>
      <c r="C22" t="s">
        <v>15</v>
      </c>
      <c r="D22" s="38" t="s">
        <v>174</v>
      </c>
      <c r="E22" s="38">
        <v>456498</v>
      </c>
      <c r="F22" s="38" t="s">
        <v>184</v>
      </c>
      <c r="G22" s="38" t="s">
        <v>96</v>
      </c>
      <c r="H22" s="38" t="s">
        <v>122</v>
      </c>
      <c r="I22" s="39"/>
      <c r="J22" s="38">
        <v>27493916</v>
      </c>
      <c r="K22" s="38" t="s">
        <v>142</v>
      </c>
      <c r="L22" s="38" t="str">
        <f>_xlfn.XLOOKUP(Tabla2__2[[#This Row],[CODIGO RUTA]],'DATA INFORME'!I:I,'DATA INFORME'!K:K)</f>
        <v xml:space="preserve"> NO</v>
      </c>
      <c r="M22" s="38" t="str">
        <f>IF(Tabla2__2[[#This Row],[MYSTERY EFECTIVO]]="SI",_xlfn.XLOOKUP(Tabla2__2[[#This Row],[PREGUNTA]],ENCUESTA!G:G,ENCUESTA!D:D),"N/A")</f>
        <v>N/A</v>
      </c>
      <c r="N2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2" s="38" t="str">
        <f>_xlfn.XLOOKUP(Tabla2__2[[#This Row],[PREGUNTA]],ENCUESTA!G:G,ENCUESTA!H:H)</f>
        <v>NO</v>
      </c>
      <c r="P22" s="38">
        <f>IF(Tabla2__2[[#This Row],[RTA]]=Tabla2__2[[#This Row],[RTA CORRECTA]],Tabla2__2[[#This Row],[TOTAL PUNTAJE]],0)</f>
        <v>0</v>
      </c>
      <c r="Q22" s="38">
        <f t="shared" si="0"/>
        <v>0</v>
      </c>
      <c r="R22" s="38"/>
    </row>
    <row r="23" spans="1:18" x14ac:dyDescent="0.25">
      <c r="A23" s="38" t="s">
        <v>124</v>
      </c>
      <c r="B23" s="38" t="s">
        <v>131</v>
      </c>
      <c r="C23" t="s">
        <v>15</v>
      </c>
      <c r="D23" s="38" t="s">
        <v>174</v>
      </c>
      <c r="E23" s="38">
        <v>456498</v>
      </c>
      <c r="F23" s="38" t="s">
        <v>184</v>
      </c>
      <c r="G23" s="38" t="s">
        <v>97</v>
      </c>
      <c r="H23" s="38" t="s">
        <v>122</v>
      </c>
      <c r="I23" s="39"/>
      <c r="J23" s="38">
        <v>27493916</v>
      </c>
      <c r="K23" s="38" t="s">
        <v>142</v>
      </c>
      <c r="L23" s="38" t="str">
        <f>_xlfn.XLOOKUP(Tabla2__2[[#This Row],[CODIGO RUTA]],'DATA INFORME'!I:I,'DATA INFORME'!K:K)</f>
        <v xml:space="preserve"> NO</v>
      </c>
      <c r="M23" s="38" t="str">
        <f>IF(Tabla2__2[[#This Row],[MYSTERY EFECTIVO]]="SI",_xlfn.XLOOKUP(Tabla2__2[[#This Row],[PREGUNTA]],ENCUESTA!G:G,ENCUESTA!D:D),"N/A")</f>
        <v>N/A</v>
      </c>
      <c r="N2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3" s="38" t="str">
        <f>_xlfn.XLOOKUP(Tabla2__2[[#This Row],[PREGUNTA]],ENCUESTA!G:G,ENCUESTA!H:H)</f>
        <v>SI</v>
      </c>
      <c r="P23" s="38">
        <f>IF(Tabla2__2[[#This Row],[RTA]]=Tabla2__2[[#This Row],[RTA CORRECTA]],Tabla2__2[[#This Row],[TOTAL PUNTAJE]],0)</f>
        <v>0</v>
      </c>
      <c r="Q23" s="38">
        <f t="shared" si="0"/>
        <v>0</v>
      </c>
      <c r="R23" s="38"/>
    </row>
    <row r="24" spans="1:18" x14ac:dyDescent="0.25">
      <c r="A24" s="38" t="s">
        <v>124</v>
      </c>
      <c r="B24" s="38" t="s">
        <v>131</v>
      </c>
      <c r="C24" t="s">
        <v>15</v>
      </c>
      <c r="D24" s="38" t="s">
        <v>174</v>
      </c>
      <c r="E24" s="38">
        <v>456498</v>
      </c>
      <c r="F24" s="38" t="s">
        <v>184</v>
      </c>
      <c r="G24" s="38" t="s">
        <v>98</v>
      </c>
      <c r="H24" s="38" t="s">
        <v>122</v>
      </c>
      <c r="I24" s="39"/>
      <c r="J24" s="38">
        <v>27493916</v>
      </c>
      <c r="K24" s="38" t="s">
        <v>142</v>
      </c>
      <c r="L24" s="38" t="str">
        <f>_xlfn.XLOOKUP(Tabla2__2[[#This Row],[CODIGO RUTA]],'DATA INFORME'!I:I,'DATA INFORME'!K:K)</f>
        <v xml:space="preserve"> NO</v>
      </c>
      <c r="M24" s="38" t="str">
        <f>IF(Tabla2__2[[#This Row],[MYSTERY EFECTIVO]]="SI",_xlfn.XLOOKUP(Tabla2__2[[#This Row],[PREGUNTA]],ENCUESTA!G:G,ENCUESTA!D:D),"N/A")</f>
        <v>N/A</v>
      </c>
      <c r="N2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4" s="38" t="str">
        <f>_xlfn.XLOOKUP(Tabla2__2[[#This Row],[PREGUNTA]],ENCUESTA!G:G,ENCUESTA!H:H)</f>
        <v>SI</v>
      </c>
      <c r="P24" s="38">
        <f>IF(Tabla2__2[[#This Row],[RTA]]=Tabla2__2[[#This Row],[RTA CORRECTA]],Tabla2__2[[#This Row],[TOTAL PUNTAJE]],0)</f>
        <v>0</v>
      </c>
      <c r="Q24" s="38">
        <f t="shared" si="0"/>
        <v>0</v>
      </c>
      <c r="R24" s="38"/>
    </row>
    <row r="25" spans="1:18" x14ac:dyDescent="0.25">
      <c r="A25" s="38" t="s">
        <v>124</v>
      </c>
      <c r="B25" s="38" t="s">
        <v>131</v>
      </c>
      <c r="C25" t="s">
        <v>15</v>
      </c>
      <c r="D25" s="38" t="s">
        <v>174</v>
      </c>
      <c r="E25" s="38">
        <v>456498</v>
      </c>
      <c r="F25" s="38" t="s">
        <v>184</v>
      </c>
      <c r="G25" s="38" t="s">
        <v>99</v>
      </c>
      <c r="H25" s="38" t="s">
        <v>122</v>
      </c>
      <c r="I25" s="39"/>
      <c r="J25" s="38">
        <v>27493916</v>
      </c>
      <c r="K25" s="38" t="s">
        <v>142</v>
      </c>
      <c r="L25" s="38" t="str">
        <f>_xlfn.XLOOKUP(Tabla2__2[[#This Row],[CODIGO RUTA]],'DATA INFORME'!I:I,'DATA INFORME'!K:K)</f>
        <v xml:space="preserve"> NO</v>
      </c>
      <c r="M25" s="38" t="str">
        <f>IF(Tabla2__2[[#This Row],[MYSTERY EFECTIVO]]="SI",_xlfn.XLOOKUP(Tabla2__2[[#This Row],[PREGUNTA]],ENCUESTA!G:G,ENCUESTA!D:D),"N/A")</f>
        <v>N/A</v>
      </c>
      <c r="N2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5" s="38" t="str">
        <f>_xlfn.XLOOKUP(Tabla2__2[[#This Row],[PREGUNTA]],ENCUESTA!G:G,ENCUESTA!H:H)</f>
        <v>NO</v>
      </c>
      <c r="P25" s="38">
        <f>IF(Tabla2__2[[#This Row],[RTA]]=Tabla2__2[[#This Row],[RTA CORRECTA]],Tabla2__2[[#This Row],[TOTAL PUNTAJE]],0)</f>
        <v>0</v>
      </c>
      <c r="Q25" s="38">
        <f t="shared" si="0"/>
        <v>0</v>
      </c>
      <c r="R25" s="38"/>
    </row>
    <row r="26" spans="1:18" x14ac:dyDescent="0.25">
      <c r="A26" s="38" t="s">
        <v>124</v>
      </c>
      <c r="B26" s="38" t="s">
        <v>131</v>
      </c>
      <c r="C26" t="s">
        <v>15</v>
      </c>
      <c r="D26" s="38" t="s">
        <v>132</v>
      </c>
      <c r="E26" s="38">
        <v>29714</v>
      </c>
      <c r="F26" s="38" t="s">
        <v>191</v>
      </c>
      <c r="G26" s="38" t="s">
        <v>101</v>
      </c>
      <c r="H26" s="38" t="s">
        <v>122</v>
      </c>
      <c r="I26" s="39"/>
      <c r="J26" s="38">
        <v>27529996</v>
      </c>
      <c r="K26" s="38" t="s">
        <v>142</v>
      </c>
      <c r="L26" s="38" t="str">
        <f>_xlfn.XLOOKUP(Tabla2__2[[#This Row],[CODIGO RUTA]],'DATA INFORME'!I:I,'DATA INFORME'!K:K)</f>
        <v>SI</v>
      </c>
      <c r="M26" s="38" t="str">
        <f>IF(Tabla2__2[[#This Row],[MYSTERY EFECTIVO]]="SI",_xlfn.XLOOKUP(Tabla2__2[[#This Row],[PREGUNTA]],ENCUESTA!G:G,ENCUESTA!D:D),"N/A")</f>
        <v>PRESENTACIÓN PERSONAL</v>
      </c>
      <c r="N2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6" s="38" t="str">
        <f>_xlfn.XLOOKUP(Tabla2__2[[#This Row],[PREGUNTA]],ENCUESTA!G:G,ENCUESTA!H:H)</f>
        <v>NO</v>
      </c>
      <c r="P26" s="38">
        <f>IF(Tabla2__2[[#This Row],[RTA]]=Tabla2__2[[#This Row],[RTA CORRECTA]],Tabla2__2[[#This Row],[TOTAL PUNTAJE]],0)</f>
        <v>1</v>
      </c>
      <c r="Q26" s="38">
        <f t="shared" si="0"/>
        <v>0</v>
      </c>
      <c r="R26" s="38"/>
    </row>
    <row r="27" spans="1:18" x14ac:dyDescent="0.25">
      <c r="A27" s="38" t="s">
        <v>124</v>
      </c>
      <c r="B27" s="38" t="s">
        <v>131</v>
      </c>
      <c r="C27" t="s">
        <v>15</v>
      </c>
      <c r="D27" s="38" t="s">
        <v>174</v>
      </c>
      <c r="E27" s="38">
        <v>456498</v>
      </c>
      <c r="F27" s="38" t="s">
        <v>184</v>
      </c>
      <c r="G27" s="38" t="s">
        <v>100</v>
      </c>
      <c r="H27" s="38" t="s">
        <v>122</v>
      </c>
      <c r="I27" s="39"/>
      <c r="J27" s="38">
        <v>27493916</v>
      </c>
      <c r="K27" s="38" t="s">
        <v>142</v>
      </c>
      <c r="L27" s="38" t="str">
        <f>_xlfn.XLOOKUP(Tabla2__2[[#This Row],[CODIGO RUTA]],'DATA INFORME'!I:I,'DATA INFORME'!K:K)</f>
        <v xml:space="preserve"> NO</v>
      </c>
      <c r="M27" s="38" t="str">
        <f>IF(Tabla2__2[[#This Row],[MYSTERY EFECTIVO]]="SI",_xlfn.XLOOKUP(Tabla2__2[[#This Row],[PREGUNTA]],ENCUESTA!G:G,ENCUESTA!D:D),"N/A")</f>
        <v>N/A</v>
      </c>
      <c r="N2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7" s="38" t="str">
        <f>_xlfn.XLOOKUP(Tabla2__2[[#This Row],[PREGUNTA]],ENCUESTA!G:G,ENCUESTA!H:H)</f>
        <v>NO</v>
      </c>
      <c r="P27" s="38">
        <f>IF(Tabla2__2[[#This Row],[RTA]]=Tabla2__2[[#This Row],[RTA CORRECTA]],Tabla2__2[[#This Row],[TOTAL PUNTAJE]],0)</f>
        <v>0</v>
      </c>
      <c r="Q27" s="38">
        <f t="shared" si="0"/>
        <v>0</v>
      </c>
      <c r="R27" s="38"/>
    </row>
    <row r="28" spans="1:18" x14ac:dyDescent="0.25">
      <c r="A28" s="38" t="s">
        <v>124</v>
      </c>
      <c r="B28" s="38" t="s">
        <v>131</v>
      </c>
      <c r="C28" t="s">
        <v>15</v>
      </c>
      <c r="D28" s="38" t="s">
        <v>174</v>
      </c>
      <c r="E28" s="38">
        <v>456498</v>
      </c>
      <c r="F28" s="38" t="s">
        <v>184</v>
      </c>
      <c r="G28" s="38" t="s">
        <v>102</v>
      </c>
      <c r="H28" s="38" t="s">
        <v>122</v>
      </c>
      <c r="I28" s="39"/>
      <c r="J28" s="38">
        <v>27493916</v>
      </c>
      <c r="K28" s="38" t="s">
        <v>142</v>
      </c>
      <c r="L28" s="38" t="str">
        <f>_xlfn.XLOOKUP(Tabla2__2[[#This Row],[CODIGO RUTA]],'DATA INFORME'!I:I,'DATA INFORME'!K:K)</f>
        <v xml:space="preserve"> NO</v>
      </c>
      <c r="M28" s="38" t="str">
        <f>IF(Tabla2__2[[#This Row],[MYSTERY EFECTIVO]]="SI",_xlfn.XLOOKUP(Tabla2__2[[#This Row],[PREGUNTA]],ENCUESTA!G:G,ENCUESTA!D:D),"N/A")</f>
        <v>N/A</v>
      </c>
      <c r="N2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" s="38" t="str">
        <f>_xlfn.XLOOKUP(Tabla2__2[[#This Row],[PREGUNTA]],ENCUESTA!G:G,ENCUESTA!H:H)</f>
        <v>NO</v>
      </c>
      <c r="P28" s="38">
        <f>IF(Tabla2__2[[#This Row],[RTA]]=Tabla2__2[[#This Row],[RTA CORRECTA]],Tabla2__2[[#This Row],[TOTAL PUNTAJE]],0)</f>
        <v>0</v>
      </c>
      <c r="Q28" s="38">
        <f t="shared" si="0"/>
        <v>0</v>
      </c>
      <c r="R28" s="38"/>
    </row>
    <row r="29" spans="1:18" x14ac:dyDescent="0.25">
      <c r="A29" s="38" t="s">
        <v>124</v>
      </c>
      <c r="B29" s="38" t="s">
        <v>131</v>
      </c>
      <c r="C29" t="s">
        <v>15</v>
      </c>
      <c r="D29" s="38" t="s">
        <v>174</v>
      </c>
      <c r="E29" s="38">
        <v>456498</v>
      </c>
      <c r="F29" s="38" t="s">
        <v>184</v>
      </c>
      <c r="G29" s="38" t="s">
        <v>103</v>
      </c>
      <c r="H29" s="38" t="s">
        <v>122</v>
      </c>
      <c r="I29" s="39"/>
      <c r="J29" s="38">
        <v>27493916</v>
      </c>
      <c r="K29" s="38" t="s">
        <v>142</v>
      </c>
      <c r="L29" s="38" t="str">
        <f>_xlfn.XLOOKUP(Tabla2__2[[#This Row],[CODIGO RUTA]],'DATA INFORME'!I:I,'DATA INFORME'!K:K)</f>
        <v xml:space="preserve"> NO</v>
      </c>
      <c r="M29" s="38" t="str">
        <f>IF(Tabla2__2[[#This Row],[MYSTERY EFECTIVO]]="SI",_xlfn.XLOOKUP(Tabla2__2[[#This Row],[PREGUNTA]],ENCUESTA!G:G,ENCUESTA!D:D),"N/A")</f>
        <v>N/A</v>
      </c>
      <c r="N2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" s="38" t="str">
        <f>_xlfn.XLOOKUP(Tabla2__2[[#This Row],[PREGUNTA]],ENCUESTA!G:G,ENCUESTA!H:H)</f>
        <v>SI</v>
      </c>
      <c r="P29" s="38">
        <f>IF(Tabla2__2[[#This Row],[RTA]]=Tabla2__2[[#This Row],[RTA CORRECTA]],Tabla2__2[[#This Row],[TOTAL PUNTAJE]],0)</f>
        <v>0</v>
      </c>
      <c r="Q29" s="38">
        <f t="shared" si="0"/>
        <v>0</v>
      </c>
      <c r="R29" s="38"/>
    </row>
    <row r="30" spans="1:18" x14ac:dyDescent="0.25">
      <c r="A30" s="38" t="s">
        <v>124</v>
      </c>
      <c r="B30" s="38" t="s">
        <v>131</v>
      </c>
      <c r="C30" t="s">
        <v>15</v>
      </c>
      <c r="D30" s="38" t="s">
        <v>174</v>
      </c>
      <c r="E30" s="38">
        <v>456498</v>
      </c>
      <c r="F30" s="38" t="s">
        <v>184</v>
      </c>
      <c r="G30" s="38" t="s">
        <v>104</v>
      </c>
      <c r="H30" s="38" t="s">
        <v>122</v>
      </c>
      <c r="I30" s="39"/>
      <c r="J30" s="38">
        <v>27493916</v>
      </c>
      <c r="K30" s="38" t="s">
        <v>142</v>
      </c>
      <c r="L30" s="38" t="str">
        <f>_xlfn.XLOOKUP(Tabla2__2[[#This Row],[CODIGO RUTA]],'DATA INFORME'!I:I,'DATA INFORME'!K:K)</f>
        <v xml:space="preserve"> NO</v>
      </c>
      <c r="M30" s="38" t="str">
        <f>IF(Tabla2__2[[#This Row],[MYSTERY EFECTIVO]]="SI",_xlfn.XLOOKUP(Tabla2__2[[#This Row],[PREGUNTA]],ENCUESTA!G:G,ENCUESTA!D:D),"N/A")</f>
        <v>N/A</v>
      </c>
      <c r="N3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0" s="38" t="str">
        <f>_xlfn.XLOOKUP(Tabla2__2[[#This Row],[PREGUNTA]],ENCUESTA!G:G,ENCUESTA!H:H)</f>
        <v>SI</v>
      </c>
      <c r="P30" s="38">
        <f>IF(Tabla2__2[[#This Row],[RTA]]=Tabla2__2[[#This Row],[RTA CORRECTA]],Tabla2__2[[#This Row],[TOTAL PUNTAJE]],0)</f>
        <v>0</v>
      </c>
      <c r="Q30" s="38">
        <f t="shared" si="0"/>
        <v>0</v>
      </c>
      <c r="R30" s="38"/>
    </row>
    <row r="31" spans="1:18" x14ac:dyDescent="0.25">
      <c r="A31" s="38" t="s">
        <v>124</v>
      </c>
      <c r="B31" s="38" t="s">
        <v>131</v>
      </c>
      <c r="C31" t="s">
        <v>15</v>
      </c>
      <c r="D31" s="38" t="s">
        <v>174</v>
      </c>
      <c r="E31" s="38">
        <v>456498</v>
      </c>
      <c r="F31" s="38" t="s">
        <v>184</v>
      </c>
      <c r="G31" s="38" t="s">
        <v>105</v>
      </c>
      <c r="H31" s="38" t="s">
        <v>122</v>
      </c>
      <c r="I31" s="39"/>
      <c r="J31" s="38">
        <v>27493916</v>
      </c>
      <c r="K31" s="38" t="s">
        <v>142</v>
      </c>
      <c r="L31" s="38" t="str">
        <f>_xlfn.XLOOKUP(Tabla2__2[[#This Row],[CODIGO RUTA]],'DATA INFORME'!I:I,'DATA INFORME'!K:K)</f>
        <v xml:space="preserve"> NO</v>
      </c>
      <c r="M31" s="38" t="str">
        <f>IF(Tabla2__2[[#This Row],[MYSTERY EFECTIVO]]="SI",_xlfn.XLOOKUP(Tabla2__2[[#This Row],[PREGUNTA]],ENCUESTA!G:G,ENCUESTA!D:D),"N/A")</f>
        <v>N/A</v>
      </c>
      <c r="N3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1" s="38" t="str">
        <f>_xlfn.XLOOKUP(Tabla2__2[[#This Row],[PREGUNTA]],ENCUESTA!G:G,ENCUESTA!H:H)</f>
        <v>SI</v>
      </c>
      <c r="P31" s="38">
        <f>IF(Tabla2__2[[#This Row],[RTA]]=Tabla2__2[[#This Row],[RTA CORRECTA]],Tabla2__2[[#This Row],[TOTAL PUNTAJE]],0)</f>
        <v>0</v>
      </c>
      <c r="Q31" s="38">
        <f t="shared" si="0"/>
        <v>0</v>
      </c>
      <c r="R31" s="38"/>
    </row>
    <row r="32" spans="1:18" x14ac:dyDescent="0.25">
      <c r="A32" s="38" t="s">
        <v>124</v>
      </c>
      <c r="B32" s="38" t="s">
        <v>131</v>
      </c>
      <c r="C32" t="s">
        <v>15</v>
      </c>
      <c r="D32" s="38" t="s">
        <v>174</v>
      </c>
      <c r="E32" s="38">
        <v>456498</v>
      </c>
      <c r="F32" s="38" t="s">
        <v>184</v>
      </c>
      <c r="G32" s="38" t="s">
        <v>106</v>
      </c>
      <c r="H32" s="38" t="s">
        <v>122</v>
      </c>
      <c r="I32" s="39"/>
      <c r="J32" s="38">
        <v>27493916</v>
      </c>
      <c r="K32" s="38" t="s">
        <v>142</v>
      </c>
      <c r="L32" s="38" t="str">
        <f>_xlfn.XLOOKUP(Tabla2__2[[#This Row],[CODIGO RUTA]],'DATA INFORME'!I:I,'DATA INFORME'!K:K)</f>
        <v xml:space="preserve"> NO</v>
      </c>
      <c r="M32" s="38" t="str">
        <f>IF(Tabla2__2[[#This Row],[MYSTERY EFECTIVO]]="SI",_xlfn.XLOOKUP(Tabla2__2[[#This Row],[PREGUNTA]],ENCUESTA!G:G,ENCUESTA!D:D),"N/A")</f>
        <v>N/A</v>
      </c>
      <c r="N3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" s="38" t="str">
        <f>_xlfn.XLOOKUP(Tabla2__2[[#This Row],[PREGUNTA]],ENCUESTA!G:G,ENCUESTA!H:H)</f>
        <v>SI</v>
      </c>
      <c r="P32" s="38">
        <f>IF(Tabla2__2[[#This Row],[RTA]]=Tabla2__2[[#This Row],[RTA CORRECTA]],Tabla2__2[[#This Row],[TOTAL PUNTAJE]],0)</f>
        <v>0</v>
      </c>
      <c r="Q32" s="38">
        <f t="shared" si="0"/>
        <v>0</v>
      </c>
      <c r="R32" s="38"/>
    </row>
    <row r="33" spans="1:18" x14ac:dyDescent="0.25">
      <c r="A33" s="38" t="s">
        <v>124</v>
      </c>
      <c r="B33" s="38" t="s">
        <v>131</v>
      </c>
      <c r="C33" t="s">
        <v>15</v>
      </c>
      <c r="D33" s="38" t="s">
        <v>174</v>
      </c>
      <c r="E33" s="38">
        <v>456498</v>
      </c>
      <c r="F33" s="38" t="s">
        <v>184</v>
      </c>
      <c r="G33" s="38" t="s">
        <v>107</v>
      </c>
      <c r="H33" s="38" t="s">
        <v>122</v>
      </c>
      <c r="I33" s="39"/>
      <c r="J33" s="38">
        <v>27493916</v>
      </c>
      <c r="K33" s="38" t="s">
        <v>142</v>
      </c>
      <c r="L33" s="38" t="str">
        <f>_xlfn.XLOOKUP(Tabla2__2[[#This Row],[CODIGO RUTA]],'DATA INFORME'!I:I,'DATA INFORME'!K:K)</f>
        <v xml:space="preserve"> NO</v>
      </c>
      <c r="M33" s="38" t="str">
        <f>IF(Tabla2__2[[#This Row],[MYSTERY EFECTIVO]]="SI",_xlfn.XLOOKUP(Tabla2__2[[#This Row],[PREGUNTA]],ENCUESTA!G:G,ENCUESTA!D:D),"N/A")</f>
        <v>N/A</v>
      </c>
      <c r="N3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" s="38" t="str">
        <f>_xlfn.XLOOKUP(Tabla2__2[[#This Row],[PREGUNTA]],ENCUESTA!G:G,ENCUESTA!H:H)</f>
        <v>SI</v>
      </c>
      <c r="P33" s="38">
        <f>IF(Tabla2__2[[#This Row],[RTA]]=Tabla2__2[[#This Row],[RTA CORRECTA]],Tabla2__2[[#This Row],[TOTAL PUNTAJE]],0)</f>
        <v>0</v>
      </c>
      <c r="Q33" s="38">
        <f t="shared" si="0"/>
        <v>0</v>
      </c>
      <c r="R33" s="38"/>
    </row>
    <row r="34" spans="1:18" x14ac:dyDescent="0.25">
      <c r="A34" s="38" t="s">
        <v>124</v>
      </c>
      <c r="B34" s="38" t="s">
        <v>131</v>
      </c>
      <c r="C34" t="s">
        <v>15</v>
      </c>
      <c r="D34" s="38" t="s">
        <v>174</v>
      </c>
      <c r="E34" s="38">
        <v>456498</v>
      </c>
      <c r="F34" s="38" t="s">
        <v>184</v>
      </c>
      <c r="G34" s="38" t="s">
        <v>101</v>
      </c>
      <c r="H34" s="38" t="s">
        <v>122</v>
      </c>
      <c r="I34" s="39"/>
      <c r="J34" s="38">
        <v>27493916</v>
      </c>
      <c r="K34" s="38" t="s">
        <v>142</v>
      </c>
      <c r="L34" s="38" t="str">
        <f>_xlfn.XLOOKUP(Tabla2__2[[#This Row],[CODIGO RUTA]],'DATA INFORME'!I:I,'DATA INFORME'!K:K)</f>
        <v xml:space="preserve"> NO</v>
      </c>
      <c r="M34" s="38" t="str">
        <f>IF(Tabla2__2[[#This Row],[MYSTERY EFECTIVO]]="SI",_xlfn.XLOOKUP(Tabla2__2[[#This Row],[PREGUNTA]],ENCUESTA!G:G,ENCUESTA!D:D),"N/A")</f>
        <v>N/A</v>
      </c>
      <c r="N3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" s="38" t="str">
        <f>_xlfn.XLOOKUP(Tabla2__2[[#This Row],[PREGUNTA]],ENCUESTA!G:G,ENCUESTA!H:H)</f>
        <v>NO</v>
      </c>
      <c r="P34" s="38">
        <f>IF(Tabla2__2[[#This Row],[RTA]]=Tabla2__2[[#This Row],[RTA CORRECTA]],Tabla2__2[[#This Row],[TOTAL PUNTAJE]],0)</f>
        <v>0</v>
      </c>
      <c r="Q34" s="38">
        <f t="shared" ref="Q34:Q65" si="1">IF(OR(H34="Dog Chow húmedo",H34="Cat Chow húmedo",H34="Fancy Feast",H34="Felix",H34="Proplan húmedo",H34="One húmedo",H34="Snack Abrazzos",H34="Snak Dentalife",H34="Arenilla Tidy Cat"),N34,0)</f>
        <v>0</v>
      </c>
      <c r="R34" s="38"/>
    </row>
    <row r="35" spans="1:18" x14ac:dyDescent="0.25">
      <c r="A35" s="38" t="s">
        <v>124</v>
      </c>
      <c r="B35" s="38" t="s">
        <v>131</v>
      </c>
      <c r="C35" t="s">
        <v>15</v>
      </c>
      <c r="D35" s="38" t="s">
        <v>132</v>
      </c>
      <c r="E35" s="38">
        <v>29714</v>
      </c>
      <c r="F35" s="38" t="s">
        <v>191</v>
      </c>
      <c r="G35" s="38" t="s">
        <v>102</v>
      </c>
      <c r="H35" s="38" t="s">
        <v>122</v>
      </c>
      <c r="I35" s="39"/>
      <c r="J35" s="38">
        <v>27529996</v>
      </c>
      <c r="K35" s="38" t="s">
        <v>142</v>
      </c>
      <c r="L35" s="38" t="str">
        <f>_xlfn.XLOOKUP(Tabla2__2[[#This Row],[CODIGO RUTA]],'DATA INFORME'!I:I,'DATA INFORME'!K:K)</f>
        <v>SI</v>
      </c>
      <c r="M35" s="38" t="str">
        <f>IF(Tabla2__2[[#This Row],[MYSTERY EFECTIVO]]="SI",_xlfn.XLOOKUP(Tabla2__2[[#This Row],[PREGUNTA]],ENCUESTA!G:G,ENCUESTA!D:D),"N/A")</f>
        <v>PRESENTACIÓN PERSONAL</v>
      </c>
      <c r="N3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5" s="38" t="str">
        <f>_xlfn.XLOOKUP(Tabla2__2[[#This Row],[PREGUNTA]],ENCUESTA!G:G,ENCUESTA!H:H)</f>
        <v>NO</v>
      </c>
      <c r="P35" s="38">
        <f>IF(Tabla2__2[[#This Row],[RTA]]=Tabla2__2[[#This Row],[RTA CORRECTA]],Tabla2__2[[#This Row],[TOTAL PUNTAJE]],0)</f>
        <v>1</v>
      </c>
      <c r="Q35" s="38">
        <f t="shared" si="1"/>
        <v>0</v>
      </c>
      <c r="R35" s="38"/>
    </row>
    <row r="36" spans="1:18" x14ac:dyDescent="0.25">
      <c r="A36" s="38" t="s">
        <v>124</v>
      </c>
      <c r="B36" s="38" t="s">
        <v>131</v>
      </c>
      <c r="C36" t="s">
        <v>15</v>
      </c>
      <c r="D36" s="38" t="s">
        <v>132</v>
      </c>
      <c r="E36" s="38">
        <v>29714</v>
      </c>
      <c r="F36" s="38" t="s">
        <v>191</v>
      </c>
      <c r="G36" s="38" t="s">
        <v>103</v>
      </c>
      <c r="H36" s="38" t="s">
        <v>122</v>
      </c>
      <c r="I36" s="39"/>
      <c r="J36" s="38">
        <v>27529996</v>
      </c>
      <c r="K36" s="38" t="s">
        <v>142</v>
      </c>
      <c r="L36" s="38" t="str">
        <f>_xlfn.XLOOKUP(Tabla2__2[[#This Row],[CODIGO RUTA]],'DATA INFORME'!I:I,'DATA INFORME'!K:K)</f>
        <v>SI</v>
      </c>
      <c r="M36" s="38" t="str">
        <f>IF(Tabla2__2[[#This Row],[MYSTERY EFECTIVO]]="SI",_xlfn.XLOOKUP(Tabla2__2[[#This Row],[PREGUNTA]],ENCUESTA!G:G,ENCUESTA!D:D),"N/A")</f>
        <v>EJECUCIÓN DEL PDV</v>
      </c>
      <c r="N3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36" s="38" t="str">
        <f>_xlfn.XLOOKUP(Tabla2__2[[#This Row],[PREGUNTA]],ENCUESTA!G:G,ENCUESTA!H:H)</f>
        <v>SI</v>
      </c>
      <c r="P36" s="38">
        <f>IF(Tabla2__2[[#This Row],[RTA]]=Tabla2__2[[#This Row],[RTA CORRECTA]],Tabla2__2[[#This Row],[TOTAL PUNTAJE]],0)</f>
        <v>0</v>
      </c>
      <c r="Q36" s="38">
        <f t="shared" si="1"/>
        <v>0</v>
      </c>
      <c r="R36" s="38"/>
    </row>
    <row r="37" spans="1:18" x14ac:dyDescent="0.25">
      <c r="A37" s="38" t="s">
        <v>124</v>
      </c>
      <c r="B37" s="38" t="s">
        <v>131</v>
      </c>
      <c r="C37" t="s">
        <v>15</v>
      </c>
      <c r="D37" s="38" t="s">
        <v>132</v>
      </c>
      <c r="E37" s="38">
        <v>29714</v>
      </c>
      <c r="F37" s="38" t="s">
        <v>191</v>
      </c>
      <c r="G37" s="38" t="s">
        <v>104</v>
      </c>
      <c r="H37" s="38" t="s">
        <v>122</v>
      </c>
      <c r="I37" s="39"/>
      <c r="J37" s="38">
        <v>27529996</v>
      </c>
      <c r="K37" s="38" t="s">
        <v>142</v>
      </c>
      <c r="L37" s="38" t="str">
        <f>_xlfn.XLOOKUP(Tabla2__2[[#This Row],[CODIGO RUTA]],'DATA INFORME'!I:I,'DATA INFORME'!K:K)</f>
        <v>SI</v>
      </c>
      <c r="M37" s="38" t="str">
        <f>IF(Tabla2__2[[#This Row],[MYSTERY EFECTIVO]]="SI",_xlfn.XLOOKUP(Tabla2__2[[#This Row],[PREGUNTA]],ENCUESTA!G:G,ENCUESTA!D:D),"N/A")</f>
        <v>EJECUCIÓN DEL PDV</v>
      </c>
      <c r="N3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37" s="38" t="str">
        <f>_xlfn.XLOOKUP(Tabla2__2[[#This Row],[PREGUNTA]],ENCUESTA!G:G,ENCUESTA!H:H)</f>
        <v>SI</v>
      </c>
      <c r="P37" s="38">
        <f>IF(Tabla2__2[[#This Row],[RTA]]=Tabla2__2[[#This Row],[RTA CORRECTA]],Tabla2__2[[#This Row],[TOTAL PUNTAJE]],0)</f>
        <v>0</v>
      </c>
      <c r="Q37" s="38">
        <f t="shared" si="1"/>
        <v>0</v>
      </c>
      <c r="R37" s="38"/>
    </row>
    <row r="38" spans="1:18" x14ac:dyDescent="0.25">
      <c r="A38" s="38" t="s">
        <v>124</v>
      </c>
      <c r="B38" s="38" t="s">
        <v>8</v>
      </c>
      <c r="C38" t="s">
        <v>15</v>
      </c>
      <c r="D38" s="38" t="s">
        <v>79</v>
      </c>
      <c r="E38" s="38">
        <v>129406</v>
      </c>
      <c r="F38" s="38" t="s">
        <v>197</v>
      </c>
      <c r="G38" s="38" t="s">
        <v>99</v>
      </c>
      <c r="H38" s="38" t="s">
        <v>122</v>
      </c>
      <c r="I38" s="39"/>
      <c r="J38" s="38">
        <v>27593785</v>
      </c>
      <c r="K38" s="38" t="s">
        <v>128</v>
      </c>
      <c r="L38" s="38" t="str">
        <f>_xlfn.XLOOKUP(Tabla2__2[[#This Row],[CODIGO RUTA]],'DATA INFORME'!I:I,'DATA INFORME'!K:K)</f>
        <v xml:space="preserve"> NO</v>
      </c>
      <c r="M38" s="38" t="str">
        <f>IF(Tabla2__2[[#This Row],[MYSTERY EFECTIVO]]="SI",_xlfn.XLOOKUP(Tabla2__2[[#This Row],[PREGUNTA]],ENCUESTA!G:G,ENCUESTA!D:D),"N/A")</f>
        <v>N/A</v>
      </c>
      <c r="N3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8" s="38" t="str">
        <f>_xlfn.XLOOKUP(Tabla2__2[[#This Row],[PREGUNTA]],ENCUESTA!G:G,ENCUESTA!H:H)</f>
        <v>NO</v>
      </c>
      <c r="P38" s="38">
        <f>IF(Tabla2__2[[#This Row],[RTA]]=Tabla2__2[[#This Row],[RTA CORRECTA]],Tabla2__2[[#This Row],[TOTAL PUNTAJE]],0)</f>
        <v>0</v>
      </c>
      <c r="Q38" s="38">
        <f t="shared" si="1"/>
        <v>0</v>
      </c>
      <c r="R38" s="38"/>
    </row>
    <row r="39" spans="1:18" x14ac:dyDescent="0.25">
      <c r="A39" s="38" t="s">
        <v>124</v>
      </c>
      <c r="B39" s="38" t="s">
        <v>8</v>
      </c>
      <c r="C39" t="s">
        <v>15</v>
      </c>
      <c r="D39" s="38" t="s">
        <v>79</v>
      </c>
      <c r="E39" s="38">
        <v>129406</v>
      </c>
      <c r="F39" s="38" t="s">
        <v>197</v>
      </c>
      <c r="G39" s="38" t="s">
        <v>100</v>
      </c>
      <c r="H39" s="38" t="s">
        <v>122</v>
      </c>
      <c r="I39" s="39"/>
      <c r="J39" s="38">
        <v>27593785</v>
      </c>
      <c r="K39" s="38" t="s">
        <v>128</v>
      </c>
      <c r="L39" s="38" t="str">
        <f>_xlfn.XLOOKUP(Tabla2__2[[#This Row],[CODIGO RUTA]],'DATA INFORME'!I:I,'DATA INFORME'!K:K)</f>
        <v xml:space="preserve"> NO</v>
      </c>
      <c r="M39" s="38" t="str">
        <f>IF(Tabla2__2[[#This Row],[MYSTERY EFECTIVO]]="SI",_xlfn.XLOOKUP(Tabla2__2[[#This Row],[PREGUNTA]],ENCUESTA!G:G,ENCUESTA!D:D),"N/A")</f>
        <v>N/A</v>
      </c>
      <c r="N3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9" s="38" t="str">
        <f>_xlfn.XLOOKUP(Tabla2__2[[#This Row],[PREGUNTA]],ENCUESTA!G:G,ENCUESTA!H:H)</f>
        <v>NO</v>
      </c>
      <c r="P39" s="38">
        <f>IF(Tabla2__2[[#This Row],[RTA]]=Tabla2__2[[#This Row],[RTA CORRECTA]],Tabla2__2[[#This Row],[TOTAL PUNTAJE]],0)</f>
        <v>0</v>
      </c>
      <c r="Q39" s="38">
        <f t="shared" si="1"/>
        <v>0</v>
      </c>
      <c r="R39" s="38"/>
    </row>
    <row r="40" spans="1:18" x14ac:dyDescent="0.25">
      <c r="A40" s="38" t="s">
        <v>124</v>
      </c>
      <c r="B40" s="38" t="s">
        <v>8</v>
      </c>
      <c r="C40" t="s">
        <v>15</v>
      </c>
      <c r="D40" s="38" t="s">
        <v>79</v>
      </c>
      <c r="E40" s="38">
        <v>129406</v>
      </c>
      <c r="F40" s="38" t="s">
        <v>197</v>
      </c>
      <c r="G40" s="38" t="s">
        <v>101</v>
      </c>
      <c r="H40" s="38" t="s">
        <v>122</v>
      </c>
      <c r="I40" s="39"/>
      <c r="J40" s="38">
        <v>27593785</v>
      </c>
      <c r="K40" s="38" t="s">
        <v>128</v>
      </c>
      <c r="L40" s="38" t="str">
        <f>_xlfn.XLOOKUP(Tabla2__2[[#This Row],[CODIGO RUTA]],'DATA INFORME'!I:I,'DATA INFORME'!K:K)</f>
        <v xml:space="preserve"> NO</v>
      </c>
      <c r="M40" s="38" t="str">
        <f>IF(Tabla2__2[[#This Row],[MYSTERY EFECTIVO]]="SI",_xlfn.XLOOKUP(Tabla2__2[[#This Row],[PREGUNTA]],ENCUESTA!G:G,ENCUESTA!D:D),"N/A")</f>
        <v>N/A</v>
      </c>
      <c r="N4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0" s="38" t="str">
        <f>_xlfn.XLOOKUP(Tabla2__2[[#This Row],[PREGUNTA]],ENCUESTA!G:G,ENCUESTA!H:H)</f>
        <v>NO</v>
      </c>
      <c r="P40" s="38">
        <f>IF(Tabla2__2[[#This Row],[RTA]]=Tabla2__2[[#This Row],[RTA CORRECTA]],Tabla2__2[[#This Row],[TOTAL PUNTAJE]],0)</f>
        <v>0</v>
      </c>
      <c r="Q40" s="38">
        <f t="shared" si="1"/>
        <v>0</v>
      </c>
      <c r="R40" s="38"/>
    </row>
    <row r="41" spans="1:18" x14ac:dyDescent="0.25">
      <c r="A41" s="38" t="s">
        <v>124</v>
      </c>
      <c r="B41" s="38" t="s">
        <v>8</v>
      </c>
      <c r="C41" t="s">
        <v>15</v>
      </c>
      <c r="D41" s="38" t="s">
        <v>79</v>
      </c>
      <c r="E41" s="38">
        <v>129406</v>
      </c>
      <c r="F41" s="38" t="s">
        <v>197</v>
      </c>
      <c r="G41" s="38" t="s">
        <v>102</v>
      </c>
      <c r="H41" s="38" t="s">
        <v>122</v>
      </c>
      <c r="I41" s="39"/>
      <c r="J41" s="38">
        <v>27593785</v>
      </c>
      <c r="K41" s="38" t="s">
        <v>128</v>
      </c>
      <c r="L41" s="38" t="str">
        <f>_xlfn.XLOOKUP(Tabla2__2[[#This Row],[CODIGO RUTA]],'DATA INFORME'!I:I,'DATA INFORME'!K:K)</f>
        <v xml:space="preserve"> NO</v>
      </c>
      <c r="M41" s="38" t="str">
        <f>IF(Tabla2__2[[#This Row],[MYSTERY EFECTIVO]]="SI",_xlfn.XLOOKUP(Tabla2__2[[#This Row],[PREGUNTA]],ENCUESTA!G:G,ENCUESTA!D:D),"N/A")</f>
        <v>N/A</v>
      </c>
      <c r="N4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1" s="38" t="str">
        <f>_xlfn.XLOOKUP(Tabla2__2[[#This Row],[PREGUNTA]],ENCUESTA!G:G,ENCUESTA!H:H)</f>
        <v>NO</v>
      </c>
      <c r="P41" s="38">
        <f>IF(Tabla2__2[[#This Row],[RTA]]=Tabla2__2[[#This Row],[RTA CORRECTA]],Tabla2__2[[#This Row],[TOTAL PUNTAJE]],0)</f>
        <v>0</v>
      </c>
      <c r="Q41" s="38">
        <f t="shared" si="1"/>
        <v>0</v>
      </c>
      <c r="R41" s="38"/>
    </row>
    <row r="42" spans="1:18" x14ac:dyDescent="0.25">
      <c r="A42" s="38" t="s">
        <v>124</v>
      </c>
      <c r="B42" s="38" t="s">
        <v>8</v>
      </c>
      <c r="C42" t="s">
        <v>15</v>
      </c>
      <c r="D42" s="38" t="s">
        <v>79</v>
      </c>
      <c r="E42" s="38">
        <v>129406</v>
      </c>
      <c r="F42" s="38" t="s">
        <v>197</v>
      </c>
      <c r="G42" s="38" t="s">
        <v>103</v>
      </c>
      <c r="H42" s="38" t="s">
        <v>122</v>
      </c>
      <c r="I42" s="39"/>
      <c r="J42" s="38">
        <v>27593785</v>
      </c>
      <c r="K42" s="38" t="s">
        <v>128</v>
      </c>
      <c r="L42" s="38" t="str">
        <f>_xlfn.XLOOKUP(Tabla2__2[[#This Row],[CODIGO RUTA]],'DATA INFORME'!I:I,'DATA INFORME'!K:K)</f>
        <v xml:space="preserve"> NO</v>
      </c>
      <c r="M42" s="38" t="str">
        <f>IF(Tabla2__2[[#This Row],[MYSTERY EFECTIVO]]="SI",_xlfn.XLOOKUP(Tabla2__2[[#This Row],[PREGUNTA]],ENCUESTA!G:G,ENCUESTA!D:D),"N/A")</f>
        <v>N/A</v>
      </c>
      <c r="N4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2" s="38" t="str">
        <f>_xlfn.XLOOKUP(Tabla2__2[[#This Row],[PREGUNTA]],ENCUESTA!G:G,ENCUESTA!H:H)</f>
        <v>SI</v>
      </c>
      <c r="P42" s="38">
        <f>IF(Tabla2__2[[#This Row],[RTA]]=Tabla2__2[[#This Row],[RTA CORRECTA]],Tabla2__2[[#This Row],[TOTAL PUNTAJE]],0)</f>
        <v>0</v>
      </c>
      <c r="Q42" s="38">
        <f t="shared" si="1"/>
        <v>0</v>
      </c>
      <c r="R42" s="38"/>
    </row>
    <row r="43" spans="1:18" x14ac:dyDescent="0.25">
      <c r="A43" s="38" t="s">
        <v>124</v>
      </c>
      <c r="B43" s="38" t="s">
        <v>8</v>
      </c>
      <c r="C43" t="s">
        <v>15</v>
      </c>
      <c r="D43" s="38" t="s">
        <v>79</v>
      </c>
      <c r="E43" s="38">
        <v>129406</v>
      </c>
      <c r="F43" s="38" t="s">
        <v>197</v>
      </c>
      <c r="G43" s="38" t="s">
        <v>104</v>
      </c>
      <c r="H43" s="38" t="s">
        <v>122</v>
      </c>
      <c r="I43" s="39"/>
      <c r="J43" s="38">
        <v>27593785</v>
      </c>
      <c r="K43" s="38" t="s">
        <v>128</v>
      </c>
      <c r="L43" s="38" t="str">
        <f>_xlfn.XLOOKUP(Tabla2__2[[#This Row],[CODIGO RUTA]],'DATA INFORME'!I:I,'DATA INFORME'!K:K)</f>
        <v xml:space="preserve"> NO</v>
      </c>
      <c r="M43" s="38" t="str">
        <f>IF(Tabla2__2[[#This Row],[MYSTERY EFECTIVO]]="SI",_xlfn.XLOOKUP(Tabla2__2[[#This Row],[PREGUNTA]],ENCUESTA!G:G,ENCUESTA!D:D),"N/A")</f>
        <v>N/A</v>
      </c>
      <c r="N4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3" s="38" t="str">
        <f>_xlfn.XLOOKUP(Tabla2__2[[#This Row],[PREGUNTA]],ENCUESTA!G:G,ENCUESTA!H:H)</f>
        <v>SI</v>
      </c>
      <c r="P43" s="38">
        <f>IF(Tabla2__2[[#This Row],[RTA]]=Tabla2__2[[#This Row],[RTA CORRECTA]],Tabla2__2[[#This Row],[TOTAL PUNTAJE]],0)</f>
        <v>0</v>
      </c>
      <c r="Q43" s="38">
        <f t="shared" si="1"/>
        <v>0</v>
      </c>
      <c r="R43" s="38"/>
    </row>
    <row r="44" spans="1:18" x14ac:dyDescent="0.25">
      <c r="A44" s="38" t="s">
        <v>124</v>
      </c>
      <c r="B44" s="38" t="s">
        <v>8</v>
      </c>
      <c r="C44" t="s">
        <v>15</v>
      </c>
      <c r="D44" s="38" t="s">
        <v>79</v>
      </c>
      <c r="E44" s="38">
        <v>129406</v>
      </c>
      <c r="F44" s="38" t="s">
        <v>197</v>
      </c>
      <c r="G44" s="38" t="s">
        <v>98</v>
      </c>
      <c r="H44" s="38" t="s">
        <v>122</v>
      </c>
      <c r="I44" s="39"/>
      <c r="J44" s="38">
        <v>27593785</v>
      </c>
      <c r="K44" s="38" t="s">
        <v>128</v>
      </c>
      <c r="L44" s="38" t="str">
        <f>_xlfn.XLOOKUP(Tabla2__2[[#This Row],[CODIGO RUTA]],'DATA INFORME'!I:I,'DATA INFORME'!K:K)</f>
        <v xml:space="preserve"> NO</v>
      </c>
      <c r="M44" s="38" t="str">
        <f>IF(Tabla2__2[[#This Row],[MYSTERY EFECTIVO]]="SI",_xlfn.XLOOKUP(Tabla2__2[[#This Row],[PREGUNTA]],ENCUESTA!G:G,ENCUESTA!D:D),"N/A")</f>
        <v>N/A</v>
      </c>
      <c r="N4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4" s="38" t="str">
        <f>_xlfn.XLOOKUP(Tabla2__2[[#This Row],[PREGUNTA]],ENCUESTA!G:G,ENCUESTA!H:H)</f>
        <v>SI</v>
      </c>
      <c r="P44" s="38">
        <f>IF(Tabla2__2[[#This Row],[RTA]]=Tabla2__2[[#This Row],[RTA CORRECTA]],Tabla2__2[[#This Row],[TOTAL PUNTAJE]],0)</f>
        <v>0</v>
      </c>
      <c r="Q44" s="38">
        <f t="shared" si="1"/>
        <v>0</v>
      </c>
      <c r="R44" s="38"/>
    </row>
    <row r="45" spans="1:18" x14ac:dyDescent="0.25">
      <c r="A45" s="38" t="s">
        <v>124</v>
      </c>
      <c r="B45" s="38" t="s">
        <v>8</v>
      </c>
      <c r="C45" t="s">
        <v>15</v>
      </c>
      <c r="D45" s="38" t="s">
        <v>79</v>
      </c>
      <c r="E45" s="38">
        <v>129406</v>
      </c>
      <c r="F45" s="38" t="s">
        <v>197</v>
      </c>
      <c r="G45" s="38" t="s">
        <v>105</v>
      </c>
      <c r="H45" s="38" t="s">
        <v>122</v>
      </c>
      <c r="I45" s="39"/>
      <c r="J45" s="38">
        <v>27593785</v>
      </c>
      <c r="K45" s="38" t="s">
        <v>128</v>
      </c>
      <c r="L45" s="38" t="str">
        <f>_xlfn.XLOOKUP(Tabla2__2[[#This Row],[CODIGO RUTA]],'DATA INFORME'!I:I,'DATA INFORME'!K:K)</f>
        <v xml:space="preserve"> NO</v>
      </c>
      <c r="M45" s="38" t="str">
        <f>IF(Tabla2__2[[#This Row],[MYSTERY EFECTIVO]]="SI",_xlfn.XLOOKUP(Tabla2__2[[#This Row],[PREGUNTA]],ENCUESTA!G:G,ENCUESTA!D:D),"N/A")</f>
        <v>N/A</v>
      </c>
      <c r="N4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5" s="38" t="str">
        <f>_xlfn.XLOOKUP(Tabla2__2[[#This Row],[PREGUNTA]],ENCUESTA!G:G,ENCUESTA!H:H)</f>
        <v>SI</v>
      </c>
      <c r="P45" s="38">
        <f>IF(Tabla2__2[[#This Row],[RTA]]=Tabla2__2[[#This Row],[RTA CORRECTA]],Tabla2__2[[#This Row],[TOTAL PUNTAJE]],0)</f>
        <v>0</v>
      </c>
      <c r="Q45" s="38">
        <f t="shared" si="1"/>
        <v>0</v>
      </c>
      <c r="R45" s="38"/>
    </row>
    <row r="46" spans="1:18" x14ac:dyDescent="0.25">
      <c r="A46" s="38" t="s">
        <v>124</v>
      </c>
      <c r="B46" s="38" t="s">
        <v>8</v>
      </c>
      <c r="C46" t="s">
        <v>15</v>
      </c>
      <c r="D46" s="38" t="s">
        <v>79</v>
      </c>
      <c r="E46" s="38">
        <v>129406</v>
      </c>
      <c r="F46" s="38" t="s">
        <v>197</v>
      </c>
      <c r="G46" s="38" t="s">
        <v>107</v>
      </c>
      <c r="H46" s="38" t="s">
        <v>122</v>
      </c>
      <c r="I46" s="39"/>
      <c r="J46" s="38">
        <v>27593785</v>
      </c>
      <c r="K46" s="38" t="s">
        <v>128</v>
      </c>
      <c r="L46" s="38" t="str">
        <f>_xlfn.XLOOKUP(Tabla2__2[[#This Row],[CODIGO RUTA]],'DATA INFORME'!I:I,'DATA INFORME'!K:K)</f>
        <v xml:space="preserve"> NO</v>
      </c>
      <c r="M46" s="38" t="str">
        <f>IF(Tabla2__2[[#This Row],[MYSTERY EFECTIVO]]="SI",_xlfn.XLOOKUP(Tabla2__2[[#This Row],[PREGUNTA]],ENCUESTA!G:G,ENCUESTA!D:D),"N/A")</f>
        <v>N/A</v>
      </c>
      <c r="N4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6" s="38" t="str">
        <f>_xlfn.XLOOKUP(Tabla2__2[[#This Row],[PREGUNTA]],ENCUESTA!G:G,ENCUESTA!H:H)</f>
        <v>SI</v>
      </c>
      <c r="P46" s="38">
        <f>IF(Tabla2__2[[#This Row],[RTA]]=Tabla2__2[[#This Row],[RTA CORRECTA]],Tabla2__2[[#This Row],[TOTAL PUNTAJE]],0)</f>
        <v>0</v>
      </c>
      <c r="Q46" s="38">
        <f t="shared" si="1"/>
        <v>0</v>
      </c>
      <c r="R46" s="38"/>
    </row>
    <row r="47" spans="1:18" x14ac:dyDescent="0.25">
      <c r="A47" s="38" t="s">
        <v>124</v>
      </c>
      <c r="B47" s="38" t="s">
        <v>8</v>
      </c>
      <c r="C47" t="s">
        <v>15</v>
      </c>
      <c r="D47" s="38" t="s">
        <v>79</v>
      </c>
      <c r="E47" s="38">
        <v>129406</v>
      </c>
      <c r="F47" s="38" t="s">
        <v>197</v>
      </c>
      <c r="G47" s="38" t="s">
        <v>108</v>
      </c>
      <c r="H47" s="38" t="s">
        <v>122</v>
      </c>
      <c r="I47" s="39"/>
      <c r="J47" s="38">
        <v>27593785</v>
      </c>
      <c r="K47" s="38" t="s">
        <v>128</v>
      </c>
      <c r="L47" s="38" t="str">
        <f>_xlfn.XLOOKUP(Tabla2__2[[#This Row],[CODIGO RUTA]],'DATA INFORME'!I:I,'DATA INFORME'!K:K)</f>
        <v xml:space="preserve"> NO</v>
      </c>
      <c r="M47" s="38" t="str">
        <f>IF(Tabla2__2[[#This Row],[MYSTERY EFECTIVO]]="SI",_xlfn.XLOOKUP(Tabla2__2[[#This Row],[PREGUNTA]],ENCUESTA!G:G,ENCUESTA!D:D),"N/A")</f>
        <v>N/A</v>
      </c>
      <c r="N4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7" s="38" t="str">
        <f>_xlfn.XLOOKUP(Tabla2__2[[#This Row],[PREGUNTA]],ENCUESTA!G:G,ENCUESTA!H:H)</f>
        <v>SI</v>
      </c>
      <c r="P47" s="38">
        <f>IF(Tabla2__2[[#This Row],[RTA]]=Tabla2__2[[#This Row],[RTA CORRECTA]],Tabla2__2[[#This Row],[TOTAL PUNTAJE]],0)</f>
        <v>0</v>
      </c>
      <c r="Q47" s="38">
        <f t="shared" si="1"/>
        <v>0</v>
      </c>
      <c r="R47" s="38"/>
    </row>
    <row r="48" spans="1:18" x14ac:dyDescent="0.25">
      <c r="A48" s="38" t="s">
        <v>124</v>
      </c>
      <c r="B48" s="38" t="s">
        <v>8</v>
      </c>
      <c r="C48" t="s">
        <v>15</v>
      </c>
      <c r="D48" s="38" t="s">
        <v>79</v>
      </c>
      <c r="E48" s="38">
        <v>129406</v>
      </c>
      <c r="F48" s="38" t="s">
        <v>197</v>
      </c>
      <c r="G48" s="38" t="s">
        <v>109</v>
      </c>
      <c r="H48" s="38" t="s">
        <v>122</v>
      </c>
      <c r="I48" s="39"/>
      <c r="J48" s="38">
        <v>27593785</v>
      </c>
      <c r="K48" s="38" t="s">
        <v>128</v>
      </c>
      <c r="L48" s="38" t="str">
        <f>_xlfn.XLOOKUP(Tabla2__2[[#This Row],[CODIGO RUTA]],'DATA INFORME'!I:I,'DATA INFORME'!K:K)</f>
        <v xml:space="preserve"> NO</v>
      </c>
      <c r="M48" s="38" t="str">
        <f>IF(Tabla2__2[[#This Row],[MYSTERY EFECTIVO]]="SI",_xlfn.XLOOKUP(Tabla2__2[[#This Row],[PREGUNTA]],ENCUESTA!G:G,ENCUESTA!D:D),"N/A")</f>
        <v>N/A</v>
      </c>
      <c r="N4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8" s="38" t="str">
        <f>_xlfn.XLOOKUP(Tabla2__2[[#This Row],[PREGUNTA]],ENCUESTA!G:G,ENCUESTA!H:H)</f>
        <v>SI</v>
      </c>
      <c r="P48" s="38">
        <f>IF(Tabla2__2[[#This Row],[RTA]]=Tabla2__2[[#This Row],[RTA CORRECTA]],Tabla2__2[[#This Row],[TOTAL PUNTAJE]],0)</f>
        <v>0</v>
      </c>
      <c r="Q48" s="38">
        <f t="shared" si="1"/>
        <v>0</v>
      </c>
      <c r="R48" s="38"/>
    </row>
    <row r="49" spans="1:18" x14ac:dyDescent="0.25">
      <c r="A49" s="38" t="s">
        <v>124</v>
      </c>
      <c r="B49" s="38" t="s">
        <v>8</v>
      </c>
      <c r="C49" t="s">
        <v>15</v>
      </c>
      <c r="D49" s="38" t="s">
        <v>79</v>
      </c>
      <c r="E49" s="38">
        <v>129406</v>
      </c>
      <c r="F49" s="38" t="s">
        <v>197</v>
      </c>
      <c r="G49" s="38" t="s">
        <v>110</v>
      </c>
      <c r="H49" s="38" t="s">
        <v>15</v>
      </c>
      <c r="I49" s="39"/>
      <c r="J49" s="38">
        <v>27593785</v>
      </c>
      <c r="K49" s="38" t="s">
        <v>128</v>
      </c>
      <c r="L49" s="38" t="str">
        <f>_xlfn.XLOOKUP(Tabla2__2[[#This Row],[CODIGO RUTA]],'DATA INFORME'!I:I,'DATA INFORME'!K:K)</f>
        <v xml:space="preserve"> NO</v>
      </c>
      <c r="M49" s="38" t="str">
        <f>IF(Tabla2__2[[#This Row],[MYSTERY EFECTIVO]]="SI",_xlfn.XLOOKUP(Tabla2__2[[#This Row],[PREGUNTA]],ENCUESTA!G:G,ENCUESTA!D:D),"N/A")</f>
        <v>N/A</v>
      </c>
      <c r="N4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9" s="38" t="str">
        <f>_xlfn.XLOOKUP(Tabla2__2[[#This Row],[PREGUNTA]],ENCUESTA!G:G,ENCUESTA!H:H)</f>
        <v>MODERNO, TRADICIONAL</v>
      </c>
      <c r="P49" s="38">
        <f>IF(Tabla2__2[[#This Row],[RTA]]=Tabla2__2[[#This Row],[RTA CORRECTA]],Tabla2__2[[#This Row],[TOTAL PUNTAJE]],0)</f>
        <v>0</v>
      </c>
      <c r="Q49" s="38">
        <f t="shared" si="1"/>
        <v>0</v>
      </c>
      <c r="R49" s="38"/>
    </row>
    <row r="50" spans="1:18" x14ac:dyDescent="0.25">
      <c r="A50" s="38" t="s">
        <v>124</v>
      </c>
      <c r="B50" s="38" t="s">
        <v>8</v>
      </c>
      <c r="C50" t="s">
        <v>15</v>
      </c>
      <c r="D50" s="38" t="s">
        <v>79</v>
      </c>
      <c r="E50" s="38">
        <v>129406</v>
      </c>
      <c r="F50" s="38" t="s">
        <v>197</v>
      </c>
      <c r="G50" s="38" t="s">
        <v>111</v>
      </c>
      <c r="H50" s="38" t="s">
        <v>122</v>
      </c>
      <c r="I50" s="39"/>
      <c r="J50" s="38">
        <v>27593785</v>
      </c>
      <c r="K50" s="38" t="s">
        <v>128</v>
      </c>
      <c r="L50" s="38" t="str">
        <f>_xlfn.XLOOKUP(Tabla2__2[[#This Row],[CODIGO RUTA]],'DATA INFORME'!I:I,'DATA INFORME'!K:K)</f>
        <v xml:space="preserve"> NO</v>
      </c>
      <c r="M50" s="38" t="str">
        <f>IF(Tabla2__2[[#This Row],[MYSTERY EFECTIVO]]="SI",_xlfn.XLOOKUP(Tabla2__2[[#This Row],[PREGUNTA]],ENCUESTA!G:G,ENCUESTA!D:D),"N/A")</f>
        <v>N/A</v>
      </c>
      <c r="N5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0" s="38" t="str">
        <f>_xlfn.XLOOKUP(Tabla2__2[[#This Row],[PREGUNTA]],ENCUESTA!G:G,ENCUESTA!H:H)</f>
        <v>SI</v>
      </c>
      <c r="P50" s="38">
        <f>IF(Tabla2__2[[#This Row],[RTA]]=Tabla2__2[[#This Row],[RTA CORRECTA]],Tabla2__2[[#This Row],[TOTAL PUNTAJE]],0)</f>
        <v>0</v>
      </c>
      <c r="Q50" s="38">
        <f t="shared" si="1"/>
        <v>0</v>
      </c>
      <c r="R50" s="38"/>
    </row>
    <row r="51" spans="1:18" x14ac:dyDescent="0.25">
      <c r="A51" s="38" t="s">
        <v>124</v>
      </c>
      <c r="B51" s="38" t="s">
        <v>8</v>
      </c>
      <c r="C51" t="s">
        <v>15</v>
      </c>
      <c r="D51" s="38" t="s">
        <v>79</v>
      </c>
      <c r="E51" s="38">
        <v>129406</v>
      </c>
      <c r="F51" s="38" t="s">
        <v>197</v>
      </c>
      <c r="G51" s="38" t="s">
        <v>112</v>
      </c>
      <c r="H51" s="38" t="s">
        <v>122</v>
      </c>
      <c r="I51" s="39"/>
      <c r="J51" s="38">
        <v>27593785</v>
      </c>
      <c r="K51" s="38" t="s">
        <v>128</v>
      </c>
      <c r="L51" s="38" t="str">
        <f>_xlfn.XLOOKUP(Tabla2__2[[#This Row],[CODIGO RUTA]],'DATA INFORME'!I:I,'DATA INFORME'!K:K)</f>
        <v xml:space="preserve"> NO</v>
      </c>
      <c r="M51" s="38" t="str">
        <f>IF(Tabla2__2[[#This Row],[MYSTERY EFECTIVO]]="SI",_xlfn.XLOOKUP(Tabla2__2[[#This Row],[PREGUNTA]],ENCUESTA!G:G,ENCUESTA!D:D),"N/A")</f>
        <v>N/A</v>
      </c>
      <c r="N5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1" s="38" t="str">
        <f>_xlfn.XLOOKUP(Tabla2__2[[#This Row],[PREGUNTA]],ENCUESTA!G:G,ENCUESTA!H:H)</f>
        <v>SI</v>
      </c>
      <c r="P51" s="38">
        <f>IF(Tabla2__2[[#This Row],[RTA]]=Tabla2__2[[#This Row],[RTA CORRECTA]],Tabla2__2[[#This Row],[TOTAL PUNTAJE]],0)</f>
        <v>0</v>
      </c>
      <c r="Q51" s="38">
        <f t="shared" si="1"/>
        <v>0</v>
      </c>
      <c r="R51" s="38"/>
    </row>
    <row r="52" spans="1:18" x14ac:dyDescent="0.25">
      <c r="A52" s="38" t="s">
        <v>124</v>
      </c>
      <c r="B52" s="38" t="s">
        <v>8</v>
      </c>
      <c r="C52" t="s">
        <v>15</v>
      </c>
      <c r="D52" s="38" t="s">
        <v>79</v>
      </c>
      <c r="E52" s="38">
        <v>129406</v>
      </c>
      <c r="F52" s="38" t="s">
        <v>197</v>
      </c>
      <c r="G52" s="38" t="s">
        <v>106</v>
      </c>
      <c r="H52" s="38" t="s">
        <v>122</v>
      </c>
      <c r="I52" s="39"/>
      <c r="J52" s="38">
        <v>27593785</v>
      </c>
      <c r="K52" s="38" t="s">
        <v>128</v>
      </c>
      <c r="L52" s="38" t="str">
        <f>_xlfn.XLOOKUP(Tabla2__2[[#This Row],[CODIGO RUTA]],'DATA INFORME'!I:I,'DATA INFORME'!K:K)</f>
        <v xml:space="preserve"> NO</v>
      </c>
      <c r="M52" s="38" t="str">
        <f>IF(Tabla2__2[[#This Row],[MYSTERY EFECTIVO]]="SI",_xlfn.XLOOKUP(Tabla2__2[[#This Row],[PREGUNTA]],ENCUESTA!G:G,ENCUESTA!D:D),"N/A")</f>
        <v>N/A</v>
      </c>
      <c r="N5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2" s="38" t="str">
        <f>_xlfn.XLOOKUP(Tabla2__2[[#This Row],[PREGUNTA]],ENCUESTA!G:G,ENCUESTA!H:H)</f>
        <v>SI</v>
      </c>
      <c r="P52" s="38">
        <f>IF(Tabla2__2[[#This Row],[RTA]]=Tabla2__2[[#This Row],[RTA CORRECTA]],Tabla2__2[[#This Row],[TOTAL PUNTAJE]],0)</f>
        <v>0</v>
      </c>
      <c r="Q52" s="38">
        <f t="shared" si="1"/>
        <v>0</v>
      </c>
      <c r="R52" s="38"/>
    </row>
    <row r="53" spans="1:18" x14ac:dyDescent="0.25">
      <c r="A53" s="38" t="s">
        <v>124</v>
      </c>
      <c r="B53" s="38" t="s">
        <v>131</v>
      </c>
      <c r="C53" t="s">
        <v>15</v>
      </c>
      <c r="D53" s="38" t="s">
        <v>174</v>
      </c>
      <c r="E53" s="38">
        <v>456498</v>
      </c>
      <c r="F53" s="38" t="s">
        <v>184</v>
      </c>
      <c r="G53" s="38" t="s">
        <v>94</v>
      </c>
      <c r="H53" s="38" t="s">
        <v>122</v>
      </c>
      <c r="I53" s="39"/>
      <c r="J53" s="38">
        <v>27493916</v>
      </c>
      <c r="K53" s="38" t="s">
        <v>142</v>
      </c>
      <c r="L53" s="38" t="str">
        <f>_xlfn.XLOOKUP(Tabla2__2[[#This Row],[CODIGO RUTA]],'DATA INFORME'!I:I,'DATA INFORME'!K:K)</f>
        <v xml:space="preserve"> NO</v>
      </c>
      <c r="M53" s="38" t="str">
        <f>IF(Tabla2__2[[#This Row],[MYSTERY EFECTIVO]]="SI",_xlfn.XLOOKUP(Tabla2__2[[#This Row],[PREGUNTA]],ENCUESTA!G:G,ENCUESTA!D:D),"N/A")</f>
        <v>N/A</v>
      </c>
      <c r="N5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3" s="38" t="str">
        <f>_xlfn.XLOOKUP(Tabla2__2[[#This Row],[PREGUNTA]],ENCUESTA!G:G,ENCUESTA!H:H)</f>
        <v>SI</v>
      </c>
      <c r="P53" s="38">
        <f>IF(Tabla2__2[[#This Row],[RTA]]=Tabla2__2[[#This Row],[RTA CORRECTA]],Tabla2__2[[#This Row],[TOTAL PUNTAJE]],0)</f>
        <v>0</v>
      </c>
      <c r="Q53" s="38">
        <f t="shared" si="1"/>
        <v>0</v>
      </c>
      <c r="R53" s="38"/>
    </row>
    <row r="54" spans="1:18" x14ac:dyDescent="0.25">
      <c r="A54" s="38" t="s">
        <v>124</v>
      </c>
      <c r="B54" s="38" t="s">
        <v>8</v>
      </c>
      <c r="C54" t="s">
        <v>15</v>
      </c>
      <c r="D54" s="38" t="s">
        <v>79</v>
      </c>
      <c r="E54" s="38">
        <v>129406</v>
      </c>
      <c r="F54" s="38" t="s">
        <v>197</v>
      </c>
      <c r="G54" s="38" t="s">
        <v>97</v>
      </c>
      <c r="H54" s="38" t="s">
        <v>122</v>
      </c>
      <c r="I54" s="39"/>
      <c r="J54" s="38">
        <v>27593785</v>
      </c>
      <c r="K54" s="38" t="s">
        <v>128</v>
      </c>
      <c r="L54" s="38" t="str">
        <f>_xlfn.XLOOKUP(Tabla2__2[[#This Row],[CODIGO RUTA]],'DATA INFORME'!I:I,'DATA INFORME'!K:K)</f>
        <v xml:space="preserve"> NO</v>
      </c>
      <c r="M54" s="38" t="str">
        <f>IF(Tabla2__2[[#This Row],[MYSTERY EFECTIVO]]="SI",_xlfn.XLOOKUP(Tabla2__2[[#This Row],[PREGUNTA]],ENCUESTA!G:G,ENCUESTA!D:D),"N/A")</f>
        <v>N/A</v>
      </c>
      <c r="N5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4" s="38" t="str">
        <f>_xlfn.XLOOKUP(Tabla2__2[[#This Row],[PREGUNTA]],ENCUESTA!G:G,ENCUESTA!H:H)</f>
        <v>SI</v>
      </c>
      <c r="P54" s="38">
        <f>IF(Tabla2__2[[#This Row],[RTA]]=Tabla2__2[[#This Row],[RTA CORRECTA]],Tabla2__2[[#This Row],[TOTAL PUNTAJE]],0)</f>
        <v>0</v>
      </c>
      <c r="Q54" s="38">
        <f t="shared" si="1"/>
        <v>0</v>
      </c>
      <c r="R54" s="38"/>
    </row>
    <row r="55" spans="1:18" x14ac:dyDescent="0.25">
      <c r="A55" s="38" t="s">
        <v>124</v>
      </c>
      <c r="B55" s="38" t="s">
        <v>8</v>
      </c>
      <c r="C55" t="s">
        <v>15</v>
      </c>
      <c r="D55" s="38" t="s">
        <v>79</v>
      </c>
      <c r="E55" s="38">
        <v>129406</v>
      </c>
      <c r="F55" s="38" t="s">
        <v>197</v>
      </c>
      <c r="G55" s="38" t="s">
        <v>35</v>
      </c>
      <c r="H55" s="38" t="s">
        <v>122</v>
      </c>
      <c r="I55" s="39"/>
      <c r="J55" s="38">
        <v>27593785</v>
      </c>
      <c r="K55" s="38" t="s">
        <v>128</v>
      </c>
      <c r="L55" s="38" t="str">
        <f>_xlfn.XLOOKUP(Tabla2__2[[#This Row],[CODIGO RUTA]],'DATA INFORME'!I:I,'DATA INFORME'!K:K)</f>
        <v xml:space="preserve"> NO</v>
      </c>
      <c r="M55" s="38" t="str">
        <f>IF(Tabla2__2[[#This Row],[MYSTERY EFECTIVO]]="SI",_xlfn.XLOOKUP(Tabla2__2[[#This Row],[PREGUNTA]],ENCUESTA!G:G,ENCUESTA!D:D),"N/A")</f>
        <v>N/A</v>
      </c>
      <c r="N5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5" s="38" t="str">
        <f>_xlfn.XLOOKUP(Tabla2__2[[#This Row],[PREGUNTA]],ENCUESTA!G:G,ENCUESTA!H:H)</f>
        <v>SI</v>
      </c>
      <c r="P55" s="38">
        <f>IF(Tabla2__2[[#This Row],[RTA]]=Tabla2__2[[#This Row],[RTA CORRECTA]],Tabla2__2[[#This Row],[TOTAL PUNTAJE]],0)</f>
        <v>0</v>
      </c>
      <c r="Q55" s="38">
        <f t="shared" si="1"/>
        <v>0</v>
      </c>
      <c r="R55" s="38"/>
    </row>
    <row r="56" spans="1:18" x14ac:dyDescent="0.25">
      <c r="A56" s="38" t="s">
        <v>124</v>
      </c>
      <c r="B56" s="38" t="s">
        <v>131</v>
      </c>
      <c r="C56" t="s">
        <v>15</v>
      </c>
      <c r="D56" s="38" t="s">
        <v>132</v>
      </c>
      <c r="E56" s="38">
        <v>29714</v>
      </c>
      <c r="F56" s="38" t="s">
        <v>191</v>
      </c>
      <c r="G56" s="38" t="s">
        <v>105</v>
      </c>
      <c r="H56" s="38" t="s">
        <v>122</v>
      </c>
      <c r="I56" s="39"/>
      <c r="J56" s="38">
        <v>27529996</v>
      </c>
      <c r="K56" s="38" t="s">
        <v>142</v>
      </c>
      <c r="L56" s="38" t="str">
        <f>_xlfn.XLOOKUP(Tabla2__2[[#This Row],[CODIGO RUTA]],'DATA INFORME'!I:I,'DATA INFORME'!K:K)</f>
        <v>SI</v>
      </c>
      <c r="M56" s="38" t="str">
        <f>IF(Tabla2__2[[#This Row],[MYSTERY EFECTIVO]]="SI",_xlfn.XLOOKUP(Tabla2__2[[#This Row],[PREGUNTA]],ENCUESTA!G:G,ENCUESTA!D:D),"N/A")</f>
        <v>EJECUCIÓN DEL PDV</v>
      </c>
      <c r="N5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56" s="38" t="str">
        <f>_xlfn.XLOOKUP(Tabla2__2[[#This Row],[PREGUNTA]],ENCUESTA!G:G,ENCUESTA!H:H)</f>
        <v>SI</v>
      </c>
      <c r="P56" s="38">
        <f>IF(Tabla2__2[[#This Row],[RTA]]=Tabla2__2[[#This Row],[RTA CORRECTA]],Tabla2__2[[#This Row],[TOTAL PUNTAJE]],0)</f>
        <v>0</v>
      </c>
      <c r="Q56" s="38">
        <f t="shared" si="1"/>
        <v>0</v>
      </c>
      <c r="R56" s="38"/>
    </row>
    <row r="57" spans="1:18" x14ac:dyDescent="0.25">
      <c r="A57" s="38" t="s">
        <v>124</v>
      </c>
      <c r="B57" s="38" t="s">
        <v>131</v>
      </c>
      <c r="C57" t="s">
        <v>15</v>
      </c>
      <c r="D57" s="38" t="s">
        <v>132</v>
      </c>
      <c r="E57" s="38">
        <v>29714</v>
      </c>
      <c r="F57" s="38" t="s">
        <v>191</v>
      </c>
      <c r="G57" s="38" t="s">
        <v>106</v>
      </c>
      <c r="H57" s="38" t="s">
        <v>122</v>
      </c>
      <c r="I57" s="39"/>
      <c r="J57" s="38">
        <v>27529996</v>
      </c>
      <c r="K57" s="38" t="s">
        <v>142</v>
      </c>
      <c r="L57" s="38" t="str">
        <f>_xlfn.XLOOKUP(Tabla2__2[[#This Row],[CODIGO RUTA]],'DATA INFORME'!I:I,'DATA INFORME'!K:K)</f>
        <v>SI</v>
      </c>
      <c r="M57" s="38" t="str">
        <f>IF(Tabla2__2[[#This Row],[MYSTERY EFECTIVO]]="SI",_xlfn.XLOOKUP(Tabla2__2[[#This Row],[PREGUNTA]],ENCUESTA!G:G,ENCUESTA!D:D),"N/A")</f>
        <v>EJECUCIÓN DEL PDV</v>
      </c>
      <c r="N5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57" s="38" t="str">
        <f>_xlfn.XLOOKUP(Tabla2__2[[#This Row],[PREGUNTA]],ENCUESTA!G:G,ENCUESTA!H:H)</f>
        <v>SI</v>
      </c>
      <c r="P57" s="38">
        <f>IF(Tabla2__2[[#This Row],[RTA]]=Tabla2__2[[#This Row],[RTA CORRECTA]],Tabla2__2[[#This Row],[TOTAL PUNTAJE]],0)</f>
        <v>0</v>
      </c>
      <c r="Q57" s="38">
        <f t="shared" si="1"/>
        <v>0</v>
      </c>
      <c r="R57" s="38"/>
    </row>
    <row r="58" spans="1:18" x14ac:dyDescent="0.25">
      <c r="A58" s="38" t="s">
        <v>124</v>
      </c>
      <c r="B58" s="38" t="s">
        <v>131</v>
      </c>
      <c r="C58" t="s">
        <v>15</v>
      </c>
      <c r="D58" s="38" t="s">
        <v>132</v>
      </c>
      <c r="E58" s="38">
        <v>29714</v>
      </c>
      <c r="F58" s="38" t="s">
        <v>191</v>
      </c>
      <c r="G58" s="38" t="s">
        <v>107</v>
      </c>
      <c r="H58" s="38" t="s">
        <v>20</v>
      </c>
      <c r="I58" s="39"/>
      <c r="J58" s="38">
        <v>27529996</v>
      </c>
      <c r="K58" s="38" t="s">
        <v>142</v>
      </c>
      <c r="L58" s="38" t="str">
        <f>_xlfn.XLOOKUP(Tabla2__2[[#This Row],[CODIGO RUTA]],'DATA INFORME'!I:I,'DATA INFORME'!K:K)</f>
        <v>SI</v>
      </c>
      <c r="M58" s="38" t="str">
        <f>IF(Tabla2__2[[#This Row],[MYSTERY EFECTIVO]]="SI",_xlfn.XLOOKUP(Tabla2__2[[#This Row],[PREGUNTA]],ENCUESTA!G:G,ENCUESTA!D:D),"N/A")</f>
        <v>EJECUCIÓN DEL PDV</v>
      </c>
      <c r="N5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58" s="38" t="str">
        <f>_xlfn.XLOOKUP(Tabla2__2[[#This Row],[PREGUNTA]],ENCUESTA!G:G,ENCUESTA!H:H)</f>
        <v>SI</v>
      </c>
      <c r="P58" s="38">
        <f>IF(Tabla2__2[[#This Row],[RTA]]=Tabla2__2[[#This Row],[RTA CORRECTA]],Tabla2__2[[#This Row],[TOTAL PUNTAJE]],0)</f>
        <v>4.2857142857142856</v>
      </c>
      <c r="Q58" s="38">
        <f t="shared" si="1"/>
        <v>0</v>
      </c>
      <c r="R58" s="38"/>
    </row>
    <row r="59" spans="1:18" x14ac:dyDescent="0.25">
      <c r="A59" s="38" t="s">
        <v>124</v>
      </c>
      <c r="B59" s="38" t="s">
        <v>131</v>
      </c>
      <c r="C59" t="s">
        <v>15</v>
      </c>
      <c r="D59" s="38" t="s">
        <v>132</v>
      </c>
      <c r="E59" s="38">
        <v>29714</v>
      </c>
      <c r="F59" s="38" t="s">
        <v>191</v>
      </c>
      <c r="G59" s="38" t="s">
        <v>108</v>
      </c>
      <c r="H59" s="38" t="s">
        <v>20</v>
      </c>
      <c r="I59" s="39"/>
      <c r="J59" s="38">
        <v>27529996</v>
      </c>
      <c r="K59" s="38" t="s">
        <v>142</v>
      </c>
      <c r="L59" s="38" t="str">
        <f>_xlfn.XLOOKUP(Tabla2__2[[#This Row],[CODIGO RUTA]],'DATA INFORME'!I:I,'DATA INFORME'!K:K)</f>
        <v>SI</v>
      </c>
      <c r="M59" s="38" t="str">
        <f>IF(Tabla2__2[[#This Row],[MYSTERY EFECTIVO]]="SI",_xlfn.XLOOKUP(Tabla2__2[[#This Row],[PREGUNTA]],ENCUESTA!G:G,ENCUESTA!D:D),"N/A")</f>
        <v>EJECUCIÓN DEL PDV</v>
      </c>
      <c r="N5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59" s="38" t="str">
        <f>_xlfn.XLOOKUP(Tabla2__2[[#This Row],[PREGUNTA]],ENCUESTA!G:G,ENCUESTA!H:H)</f>
        <v>SI</v>
      </c>
      <c r="P59" s="38">
        <f>IF(Tabla2__2[[#This Row],[RTA]]=Tabla2__2[[#This Row],[RTA CORRECTA]],Tabla2__2[[#This Row],[TOTAL PUNTAJE]],0)</f>
        <v>4.2857142857142856</v>
      </c>
      <c r="Q59" s="38">
        <f t="shared" si="1"/>
        <v>0</v>
      </c>
      <c r="R59" s="38"/>
    </row>
    <row r="60" spans="1:18" x14ac:dyDescent="0.25">
      <c r="A60" s="38" t="s">
        <v>124</v>
      </c>
      <c r="B60" s="38" t="s">
        <v>131</v>
      </c>
      <c r="C60" t="s">
        <v>15</v>
      </c>
      <c r="D60" s="38" t="s">
        <v>132</v>
      </c>
      <c r="E60" s="38">
        <v>29714</v>
      </c>
      <c r="F60" s="38" t="s">
        <v>191</v>
      </c>
      <c r="G60" s="38" t="s">
        <v>109</v>
      </c>
      <c r="H60" s="38" t="s">
        <v>122</v>
      </c>
      <c r="I60" s="39"/>
      <c r="J60" s="38">
        <v>27529996</v>
      </c>
      <c r="K60" s="38" t="s">
        <v>142</v>
      </c>
      <c r="L60" s="38" t="str">
        <f>_xlfn.XLOOKUP(Tabla2__2[[#This Row],[CODIGO RUTA]],'DATA INFORME'!I:I,'DATA INFORME'!K:K)</f>
        <v>SI</v>
      </c>
      <c r="M60" s="38" t="str">
        <f>IF(Tabla2__2[[#This Row],[MYSTERY EFECTIVO]]="SI",_xlfn.XLOOKUP(Tabla2__2[[#This Row],[PREGUNTA]],ENCUESTA!G:G,ENCUESTA!D:D),"N/A")</f>
        <v>EJECUCIÓN DEL PDV</v>
      </c>
      <c r="N6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60" s="38" t="str">
        <f>_xlfn.XLOOKUP(Tabla2__2[[#This Row],[PREGUNTA]],ENCUESTA!G:G,ENCUESTA!H:H)</f>
        <v>SI</v>
      </c>
      <c r="P60" s="38">
        <f>IF(Tabla2__2[[#This Row],[RTA]]=Tabla2__2[[#This Row],[RTA CORRECTA]],Tabla2__2[[#This Row],[TOTAL PUNTAJE]],0)</f>
        <v>0</v>
      </c>
      <c r="Q60" s="38">
        <f t="shared" si="1"/>
        <v>0</v>
      </c>
      <c r="R60" s="38"/>
    </row>
    <row r="61" spans="1:18" x14ac:dyDescent="0.25">
      <c r="A61" s="38" t="s">
        <v>124</v>
      </c>
      <c r="B61" s="38" t="s">
        <v>131</v>
      </c>
      <c r="C61" t="s">
        <v>15</v>
      </c>
      <c r="D61" s="38" t="s">
        <v>132</v>
      </c>
      <c r="E61" s="38">
        <v>29714</v>
      </c>
      <c r="F61" s="38" t="s">
        <v>191</v>
      </c>
      <c r="G61" s="38" t="s">
        <v>110</v>
      </c>
      <c r="H61" s="38" t="s">
        <v>15</v>
      </c>
      <c r="I61" s="39"/>
      <c r="J61" s="38">
        <v>27529996</v>
      </c>
      <c r="K61" s="38" t="s">
        <v>142</v>
      </c>
      <c r="L61" s="38" t="str">
        <f>_xlfn.XLOOKUP(Tabla2__2[[#This Row],[CODIGO RUTA]],'DATA INFORME'!I:I,'DATA INFORME'!K:K)</f>
        <v>SI</v>
      </c>
      <c r="M61" s="38" t="str">
        <f>IF(Tabla2__2[[#This Row],[MYSTERY EFECTIVO]]="SI",_xlfn.XLOOKUP(Tabla2__2[[#This Row],[PREGUNTA]],ENCUESTA!G:G,ENCUESTA!D:D),"N/A")</f>
        <v>N/A</v>
      </c>
      <c r="N6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1" s="38" t="str">
        <f>_xlfn.XLOOKUP(Tabla2__2[[#This Row],[PREGUNTA]],ENCUESTA!G:G,ENCUESTA!H:H)</f>
        <v>MODERNO, TRADICIONAL</v>
      </c>
      <c r="P61" s="38">
        <f>IF(Tabla2__2[[#This Row],[RTA]]=Tabla2__2[[#This Row],[RTA CORRECTA]],Tabla2__2[[#This Row],[TOTAL PUNTAJE]],0)</f>
        <v>0</v>
      </c>
      <c r="Q61" s="38">
        <f t="shared" si="1"/>
        <v>0</v>
      </c>
      <c r="R61" s="38"/>
    </row>
    <row r="62" spans="1:18" x14ac:dyDescent="0.25">
      <c r="A62" s="38" t="s">
        <v>124</v>
      </c>
      <c r="B62" s="38" t="s">
        <v>8</v>
      </c>
      <c r="C62" t="s">
        <v>15</v>
      </c>
      <c r="D62" s="38" t="s">
        <v>79</v>
      </c>
      <c r="E62" s="38">
        <v>129406</v>
      </c>
      <c r="F62" s="38" t="s">
        <v>197</v>
      </c>
      <c r="G62" s="38" t="s">
        <v>96</v>
      </c>
      <c r="H62" s="38" t="s">
        <v>122</v>
      </c>
      <c r="I62" s="39"/>
      <c r="J62" s="38">
        <v>27593785</v>
      </c>
      <c r="K62" s="38" t="s">
        <v>128</v>
      </c>
      <c r="L62" s="38" t="str">
        <f>_xlfn.XLOOKUP(Tabla2__2[[#This Row],[CODIGO RUTA]],'DATA INFORME'!I:I,'DATA INFORME'!K:K)</f>
        <v xml:space="preserve"> NO</v>
      </c>
      <c r="M62" s="38" t="str">
        <f>IF(Tabla2__2[[#This Row],[MYSTERY EFECTIVO]]="SI",_xlfn.XLOOKUP(Tabla2__2[[#This Row],[PREGUNTA]],ENCUESTA!G:G,ENCUESTA!D:D),"N/A")</f>
        <v>N/A</v>
      </c>
      <c r="N6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2" s="38" t="str">
        <f>_xlfn.XLOOKUP(Tabla2__2[[#This Row],[PREGUNTA]],ENCUESTA!G:G,ENCUESTA!H:H)</f>
        <v>NO</v>
      </c>
      <c r="P62" s="38">
        <f>IF(Tabla2__2[[#This Row],[RTA]]=Tabla2__2[[#This Row],[RTA CORRECTA]],Tabla2__2[[#This Row],[TOTAL PUNTAJE]],0)</f>
        <v>0</v>
      </c>
      <c r="Q62" s="38">
        <f t="shared" si="1"/>
        <v>0</v>
      </c>
      <c r="R62" s="38"/>
    </row>
    <row r="63" spans="1:18" x14ac:dyDescent="0.25">
      <c r="A63" s="38" t="s">
        <v>124</v>
      </c>
      <c r="B63" s="38" t="s">
        <v>131</v>
      </c>
      <c r="C63" t="s">
        <v>15</v>
      </c>
      <c r="D63" s="38" t="s">
        <v>132</v>
      </c>
      <c r="E63" s="38">
        <v>29714</v>
      </c>
      <c r="F63" s="38" t="s">
        <v>191</v>
      </c>
      <c r="G63" s="38" t="s">
        <v>111</v>
      </c>
      <c r="H63" s="38" t="s">
        <v>122</v>
      </c>
      <c r="I63" s="39"/>
      <c r="J63" s="38">
        <v>27529996</v>
      </c>
      <c r="K63" s="38" t="s">
        <v>142</v>
      </c>
      <c r="L63" s="38" t="str">
        <f>_xlfn.XLOOKUP(Tabla2__2[[#This Row],[CODIGO RUTA]],'DATA INFORME'!I:I,'DATA INFORME'!K:K)</f>
        <v>SI</v>
      </c>
      <c r="M63" s="38" t="str">
        <f>IF(Tabla2__2[[#This Row],[MYSTERY EFECTIVO]]="SI",_xlfn.XLOOKUP(Tabla2__2[[#This Row],[PREGUNTA]],ENCUESTA!G:G,ENCUESTA!D:D),"N/A")</f>
        <v>ACTIVIDADES DEL MES</v>
      </c>
      <c r="N6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63" s="38" t="str">
        <f>_xlfn.XLOOKUP(Tabla2__2[[#This Row],[PREGUNTA]],ENCUESTA!G:G,ENCUESTA!H:H)</f>
        <v>SI</v>
      </c>
      <c r="P63" s="38">
        <f>IF(Tabla2__2[[#This Row],[RTA]]=Tabla2__2[[#This Row],[RTA CORRECTA]],Tabla2__2[[#This Row],[TOTAL PUNTAJE]],0)</f>
        <v>0</v>
      </c>
      <c r="Q63" s="38">
        <f t="shared" si="1"/>
        <v>0</v>
      </c>
      <c r="R63" s="38"/>
    </row>
    <row r="64" spans="1:18" x14ac:dyDescent="0.25">
      <c r="A64" s="38" t="s">
        <v>124</v>
      </c>
      <c r="B64" s="38" t="s">
        <v>131</v>
      </c>
      <c r="C64" t="s">
        <v>15</v>
      </c>
      <c r="D64" s="38" t="s">
        <v>132</v>
      </c>
      <c r="E64" s="38">
        <v>29714</v>
      </c>
      <c r="F64" s="38" t="s">
        <v>191</v>
      </c>
      <c r="G64" s="38" t="s">
        <v>116</v>
      </c>
      <c r="H64" s="38" t="s">
        <v>20</v>
      </c>
      <c r="I64" s="39"/>
      <c r="J64" s="38">
        <v>27529996</v>
      </c>
      <c r="K64" s="38" t="s">
        <v>142</v>
      </c>
      <c r="L64" s="38" t="str">
        <f>_xlfn.XLOOKUP(Tabla2__2[[#This Row],[CODIGO RUTA]],'DATA INFORME'!I:I,'DATA INFORME'!K:K)</f>
        <v>SI</v>
      </c>
      <c r="M64" s="38" t="str">
        <f>IF(Tabla2__2[[#This Row],[MYSTERY EFECTIVO]]="SI",_xlfn.XLOOKUP(Tabla2__2[[#This Row],[PREGUNTA]],ENCUESTA!G:G,ENCUESTA!D:D),"N/A")</f>
        <v>N/A</v>
      </c>
      <c r="N6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4" s="38">
        <f>_xlfn.XLOOKUP(Tabla2__2[[#This Row],[PREGUNTA]],ENCUESTA!G:G,ENCUESTA!H:H)</f>
        <v>0</v>
      </c>
      <c r="P64" s="38">
        <f>IF(Tabla2__2[[#This Row],[RTA]]=Tabla2__2[[#This Row],[RTA CORRECTA]],Tabla2__2[[#This Row],[TOTAL PUNTAJE]],0)</f>
        <v>0</v>
      </c>
      <c r="Q64" s="38">
        <f t="shared" si="1"/>
        <v>0</v>
      </c>
      <c r="R64" s="38"/>
    </row>
    <row r="65" spans="1:18" x14ac:dyDescent="0.25">
      <c r="A65" s="38" t="s">
        <v>124</v>
      </c>
      <c r="B65" s="38" t="s">
        <v>131</v>
      </c>
      <c r="C65" t="s">
        <v>15</v>
      </c>
      <c r="D65" s="38" t="s">
        <v>132</v>
      </c>
      <c r="E65" s="38">
        <v>29714</v>
      </c>
      <c r="F65" s="38" t="s">
        <v>191</v>
      </c>
      <c r="G65" s="38" t="s">
        <v>117</v>
      </c>
      <c r="H65" s="38" t="s">
        <v>195</v>
      </c>
      <c r="I65" s="39"/>
      <c r="J65" s="38">
        <v>27529996</v>
      </c>
      <c r="K65" s="38" t="s">
        <v>142</v>
      </c>
      <c r="L65" s="38" t="str">
        <f>_xlfn.XLOOKUP(Tabla2__2[[#This Row],[CODIGO RUTA]],'DATA INFORME'!I:I,'DATA INFORME'!K:K)</f>
        <v>SI</v>
      </c>
      <c r="M65" s="38" t="str">
        <f>IF(Tabla2__2[[#This Row],[MYSTERY EFECTIVO]]="SI",_xlfn.XLOOKUP(Tabla2__2[[#This Row],[PREGUNTA]],ENCUESTA!G:G,ENCUESTA!D:D),"N/A")</f>
        <v>N/A</v>
      </c>
      <c r="N6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5" s="38">
        <f>_xlfn.XLOOKUP(Tabla2__2[[#This Row],[PREGUNTA]],ENCUESTA!G:G,ENCUESTA!H:H)</f>
        <v>0</v>
      </c>
      <c r="P65" s="38">
        <f>IF(Tabla2__2[[#This Row],[RTA]]=Tabla2__2[[#This Row],[RTA CORRECTA]],Tabla2__2[[#This Row],[TOTAL PUNTAJE]],0)</f>
        <v>0</v>
      </c>
      <c r="Q65" s="38">
        <f t="shared" si="1"/>
        <v>0</v>
      </c>
      <c r="R65" s="38"/>
    </row>
    <row r="66" spans="1:18" x14ac:dyDescent="0.25">
      <c r="A66" s="38" t="s">
        <v>124</v>
      </c>
      <c r="B66" s="38" t="s">
        <v>8</v>
      </c>
      <c r="C66" t="s">
        <v>15</v>
      </c>
      <c r="D66" s="38" t="s">
        <v>79</v>
      </c>
      <c r="E66" s="38">
        <v>129406</v>
      </c>
      <c r="F66" s="38" t="s">
        <v>197</v>
      </c>
      <c r="G66" s="38" t="s">
        <v>92</v>
      </c>
      <c r="H66" s="38" t="s">
        <v>122</v>
      </c>
      <c r="I66" s="39"/>
      <c r="J66" s="38">
        <v>27593785</v>
      </c>
      <c r="K66" s="38" t="s">
        <v>128</v>
      </c>
      <c r="L66" s="38" t="str">
        <f>_xlfn.XLOOKUP(Tabla2__2[[#This Row],[CODIGO RUTA]],'DATA INFORME'!I:I,'DATA INFORME'!K:K)</f>
        <v xml:space="preserve"> NO</v>
      </c>
      <c r="M66" s="38" t="str">
        <f>IF(Tabla2__2[[#This Row],[MYSTERY EFECTIVO]]="SI",_xlfn.XLOOKUP(Tabla2__2[[#This Row],[PREGUNTA]],ENCUESTA!G:G,ENCUESTA!D:D),"N/A")</f>
        <v>N/A</v>
      </c>
      <c r="N6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6" s="38">
        <f>_xlfn.XLOOKUP(Tabla2__2[[#This Row],[PREGUNTA]],ENCUESTA!G:G,ENCUESTA!H:H)</f>
        <v>0</v>
      </c>
      <c r="P66" s="38">
        <f>IF(Tabla2__2[[#This Row],[RTA]]=Tabla2__2[[#This Row],[RTA CORRECTA]],Tabla2__2[[#This Row],[TOTAL PUNTAJE]],0)</f>
        <v>0</v>
      </c>
      <c r="Q66" s="38">
        <f t="shared" ref="Q66:Q97" si="2">IF(OR(H66="Dog Chow húmedo",H66="Cat Chow húmedo",H66="Fancy Feast",H66="Felix",H66="Proplan húmedo",H66="One húmedo",H66="Snack Abrazzos",H66="Snak Dentalife",H66="Arenilla Tidy Cat"),N66,0)</f>
        <v>0</v>
      </c>
      <c r="R66" s="38"/>
    </row>
    <row r="67" spans="1:18" x14ac:dyDescent="0.25">
      <c r="A67" s="38" t="s">
        <v>124</v>
      </c>
      <c r="B67" s="38" t="s">
        <v>8</v>
      </c>
      <c r="C67" t="s">
        <v>15</v>
      </c>
      <c r="D67" s="38" t="s">
        <v>79</v>
      </c>
      <c r="E67" s="38">
        <v>129406</v>
      </c>
      <c r="F67" s="38" t="s">
        <v>197</v>
      </c>
      <c r="G67" s="38" t="s">
        <v>93</v>
      </c>
      <c r="H67" s="38" t="s">
        <v>122</v>
      </c>
      <c r="I67" s="39"/>
      <c r="J67" s="38">
        <v>27593785</v>
      </c>
      <c r="K67" s="38" t="s">
        <v>128</v>
      </c>
      <c r="L67" s="38" t="str">
        <f>_xlfn.XLOOKUP(Tabla2__2[[#This Row],[CODIGO RUTA]],'DATA INFORME'!I:I,'DATA INFORME'!K:K)</f>
        <v xml:space="preserve"> NO</v>
      </c>
      <c r="M67" s="38" t="str">
        <f>IF(Tabla2__2[[#This Row],[MYSTERY EFECTIVO]]="SI",_xlfn.XLOOKUP(Tabla2__2[[#This Row],[PREGUNTA]],ENCUESTA!G:G,ENCUESTA!D:D),"N/A")</f>
        <v>N/A</v>
      </c>
      <c r="N6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7" s="38" t="str">
        <f>_xlfn.XLOOKUP(Tabla2__2[[#This Row],[PREGUNTA]],ENCUESTA!G:G,ENCUESTA!H:H)</f>
        <v>SI</v>
      </c>
      <c r="P67" s="38">
        <f>IF(Tabla2__2[[#This Row],[RTA]]=Tabla2__2[[#This Row],[RTA CORRECTA]],Tabla2__2[[#This Row],[TOTAL PUNTAJE]],0)</f>
        <v>0</v>
      </c>
      <c r="Q67" s="38">
        <f t="shared" si="2"/>
        <v>0</v>
      </c>
      <c r="R67" s="38"/>
    </row>
    <row r="68" spans="1:18" x14ac:dyDescent="0.25">
      <c r="A68" s="38" t="s">
        <v>124</v>
      </c>
      <c r="B68" s="38" t="s">
        <v>8</v>
      </c>
      <c r="C68" t="s">
        <v>15</v>
      </c>
      <c r="D68" s="38" t="s">
        <v>79</v>
      </c>
      <c r="E68" s="38">
        <v>129406</v>
      </c>
      <c r="F68" s="38" t="s">
        <v>197</v>
      </c>
      <c r="G68" s="38" t="s">
        <v>94</v>
      </c>
      <c r="H68" s="38" t="s">
        <v>122</v>
      </c>
      <c r="I68" s="39"/>
      <c r="J68" s="38">
        <v>27593785</v>
      </c>
      <c r="K68" s="38" t="s">
        <v>128</v>
      </c>
      <c r="L68" s="38" t="str">
        <f>_xlfn.XLOOKUP(Tabla2__2[[#This Row],[CODIGO RUTA]],'DATA INFORME'!I:I,'DATA INFORME'!K:K)</f>
        <v xml:space="preserve"> NO</v>
      </c>
      <c r="M68" s="38" t="str">
        <f>IF(Tabla2__2[[#This Row],[MYSTERY EFECTIVO]]="SI",_xlfn.XLOOKUP(Tabla2__2[[#This Row],[PREGUNTA]],ENCUESTA!G:G,ENCUESTA!D:D),"N/A")</f>
        <v>N/A</v>
      </c>
      <c r="N6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8" s="38" t="str">
        <f>_xlfn.XLOOKUP(Tabla2__2[[#This Row],[PREGUNTA]],ENCUESTA!G:G,ENCUESTA!H:H)</f>
        <v>SI</v>
      </c>
      <c r="P68" s="38">
        <f>IF(Tabla2__2[[#This Row],[RTA]]=Tabla2__2[[#This Row],[RTA CORRECTA]],Tabla2__2[[#This Row],[TOTAL PUNTAJE]],0)</f>
        <v>0</v>
      </c>
      <c r="Q68" s="38">
        <f t="shared" si="2"/>
        <v>0</v>
      </c>
      <c r="R68" s="38"/>
    </row>
    <row r="69" spans="1:18" x14ac:dyDescent="0.25">
      <c r="A69" s="38" t="s">
        <v>124</v>
      </c>
      <c r="B69" s="38" t="s">
        <v>8</v>
      </c>
      <c r="C69" t="s">
        <v>15</v>
      </c>
      <c r="D69" s="38" t="s">
        <v>79</v>
      </c>
      <c r="E69" s="38">
        <v>129406</v>
      </c>
      <c r="F69" s="38" t="s">
        <v>197</v>
      </c>
      <c r="G69" s="38" t="s">
        <v>95</v>
      </c>
      <c r="H69" s="38" t="s">
        <v>122</v>
      </c>
      <c r="I69" s="39"/>
      <c r="J69" s="38">
        <v>27593785</v>
      </c>
      <c r="K69" s="38" t="s">
        <v>128</v>
      </c>
      <c r="L69" s="38" t="str">
        <f>_xlfn.XLOOKUP(Tabla2__2[[#This Row],[CODIGO RUTA]],'DATA INFORME'!I:I,'DATA INFORME'!K:K)</f>
        <v xml:space="preserve"> NO</v>
      </c>
      <c r="M69" s="38" t="str">
        <f>IF(Tabla2__2[[#This Row],[MYSTERY EFECTIVO]]="SI",_xlfn.XLOOKUP(Tabla2__2[[#This Row],[PREGUNTA]],ENCUESTA!G:G,ENCUESTA!D:D),"N/A")</f>
        <v>N/A</v>
      </c>
      <c r="N6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9" s="38" t="str">
        <f>_xlfn.XLOOKUP(Tabla2__2[[#This Row],[PREGUNTA]],ENCUESTA!G:G,ENCUESTA!H:H)</f>
        <v>SI</v>
      </c>
      <c r="P69" s="38">
        <f>IF(Tabla2__2[[#This Row],[RTA]]=Tabla2__2[[#This Row],[RTA CORRECTA]],Tabla2__2[[#This Row],[TOTAL PUNTAJE]],0)</f>
        <v>0</v>
      </c>
      <c r="Q69" s="38">
        <f t="shared" si="2"/>
        <v>0</v>
      </c>
      <c r="R69" s="38"/>
    </row>
    <row r="70" spans="1:18" x14ac:dyDescent="0.25">
      <c r="A70" s="38" t="s">
        <v>124</v>
      </c>
      <c r="B70" s="38" t="s">
        <v>131</v>
      </c>
      <c r="C70" t="s">
        <v>15</v>
      </c>
      <c r="D70" s="38" t="s">
        <v>132</v>
      </c>
      <c r="E70" s="38">
        <v>29714</v>
      </c>
      <c r="F70" s="38" t="s">
        <v>191</v>
      </c>
      <c r="G70" s="38" t="s">
        <v>112</v>
      </c>
      <c r="H70" s="38" t="s">
        <v>20</v>
      </c>
      <c r="I70" s="39"/>
      <c r="J70" s="38">
        <v>27529996</v>
      </c>
      <c r="K70" s="38" t="s">
        <v>142</v>
      </c>
      <c r="L70" s="38" t="str">
        <f>_xlfn.XLOOKUP(Tabla2__2[[#This Row],[CODIGO RUTA]],'DATA INFORME'!I:I,'DATA INFORME'!K:K)</f>
        <v>SI</v>
      </c>
      <c r="M70" s="38" t="str">
        <f>IF(Tabla2__2[[#This Row],[MYSTERY EFECTIVO]]="SI",_xlfn.XLOOKUP(Tabla2__2[[#This Row],[PREGUNTA]],ENCUESTA!G:G,ENCUESTA!D:D),"N/A")</f>
        <v>ACTIVIDADES DEL MES</v>
      </c>
      <c r="N7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70" s="38" t="str">
        <f>_xlfn.XLOOKUP(Tabla2__2[[#This Row],[PREGUNTA]],ENCUESTA!G:G,ENCUESTA!H:H)</f>
        <v>SI</v>
      </c>
      <c r="P70" s="38">
        <f>IF(Tabla2__2[[#This Row],[RTA]]=Tabla2__2[[#This Row],[RTA CORRECTA]],Tabla2__2[[#This Row],[TOTAL PUNTAJE]],0)</f>
        <v>8</v>
      </c>
      <c r="Q70" s="38">
        <f t="shared" si="2"/>
        <v>0</v>
      </c>
      <c r="R70" s="38"/>
    </row>
    <row r="71" spans="1:18" x14ac:dyDescent="0.25">
      <c r="A71" s="38" t="s">
        <v>124</v>
      </c>
      <c r="B71" s="38" t="s">
        <v>8</v>
      </c>
      <c r="C71" t="s">
        <v>15</v>
      </c>
      <c r="D71" s="38" t="s">
        <v>79</v>
      </c>
      <c r="E71" s="38">
        <v>129406</v>
      </c>
      <c r="F71" s="38" t="s">
        <v>197</v>
      </c>
      <c r="G71" s="38" t="s">
        <v>116</v>
      </c>
      <c r="H71" s="38" t="s">
        <v>20</v>
      </c>
      <c r="I71" s="39"/>
      <c r="J71" s="38">
        <v>27593785</v>
      </c>
      <c r="K71" s="38" t="s">
        <v>128</v>
      </c>
      <c r="L71" s="38" t="str">
        <f>_xlfn.XLOOKUP(Tabla2__2[[#This Row],[CODIGO RUTA]],'DATA INFORME'!I:I,'DATA INFORME'!K:K)</f>
        <v xml:space="preserve"> NO</v>
      </c>
      <c r="M71" s="38" t="str">
        <f>IF(Tabla2__2[[#This Row],[MYSTERY EFECTIVO]]="SI",_xlfn.XLOOKUP(Tabla2__2[[#This Row],[PREGUNTA]],ENCUESTA!G:G,ENCUESTA!D:D),"N/A")</f>
        <v>N/A</v>
      </c>
      <c r="N7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1" s="38">
        <f>_xlfn.XLOOKUP(Tabla2__2[[#This Row],[PREGUNTA]],ENCUESTA!G:G,ENCUESTA!H:H)</f>
        <v>0</v>
      </c>
      <c r="P71" s="38">
        <f>IF(Tabla2__2[[#This Row],[RTA]]=Tabla2__2[[#This Row],[RTA CORRECTA]],Tabla2__2[[#This Row],[TOTAL PUNTAJE]],0)</f>
        <v>0</v>
      </c>
      <c r="Q71" s="38">
        <f t="shared" si="2"/>
        <v>0</v>
      </c>
      <c r="R71" s="38"/>
    </row>
    <row r="72" spans="1:18" x14ac:dyDescent="0.25">
      <c r="A72" s="38" t="s">
        <v>124</v>
      </c>
      <c r="B72" s="38" t="s">
        <v>131</v>
      </c>
      <c r="C72" t="s">
        <v>15</v>
      </c>
      <c r="D72" s="38" t="s">
        <v>174</v>
      </c>
      <c r="E72" s="38">
        <v>456498</v>
      </c>
      <c r="F72" s="38" t="s">
        <v>184</v>
      </c>
      <c r="G72" s="38" t="s">
        <v>93</v>
      </c>
      <c r="H72" s="38" t="s">
        <v>122</v>
      </c>
      <c r="I72" s="39"/>
      <c r="J72" s="38">
        <v>27493916</v>
      </c>
      <c r="K72" s="38" t="s">
        <v>142</v>
      </c>
      <c r="L72" s="38" t="str">
        <f>_xlfn.XLOOKUP(Tabla2__2[[#This Row],[CODIGO RUTA]],'DATA INFORME'!I:I,'DATA INFORME'!K:K)</f>
        <v xml:space="preserve"> NO</v>
      </c>
      <c r="M72" s="38" t="str">
        <f>IF(Tabla2__2[[#This Row],[MYSTERY EFECTIVO]]="SI",_xlfn.XLOOKUP(Tabla2__2[[#This Row],[PREGUNTA]],ENCUESTA!G:G,ENCUESTA!D:D),"N/A")</f>
        <v>N/A</v>
      </c>
      <c r="N7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2" s="38" t="str">
        <f>_xlfn.XLOOKUP(Tabla2__2[[#This Row],[PREGUNTA]],ENCUESTA!G:G,ENCUESTA!H:H)</f>
        <v>SI</v>
      </c>
      <c r="P72" s="38">
        <f>IF(Tabla2__2[[#This Row],[RTA]]=Tabla2__2[[#This Row],[RTA CORRECTA]],Tabla2__2[[#This Row],[TOTAL PUNTAJE]],0)</f>
        <v>0</v>
      </c>
      <c r="Q72" s="38">
        <f t="shared" si="2"/>
        <v>0</v>
      </c>
      <c r="R72" s="38"/>
    </row>
    <row r="73" spans="1:18" x14ac:dyDescent="0.25">
      <c r="A73" s="38" t="s">
        <v>124</v>
      </c>
      <c r="B73" s="38" t="s">
        <v>131</v>
      </c>
      <c r="C73" t="s">
        <v>15</v>
      </c>
      <c r="D73" s="38" t="s">
        <v>174</v>
      </c>
      <c r="E73" s="38">
        <v>55306</v>
      </c>
      <c r="F73" s="38" t="s">
        <v>176</v>
      </c>
      <c r="G73" s="38" t="s">
        <v>117</v>
      </c>
      <c r="H73" s="38" t="s">
        <v>182</v>
      </c>
      <c r="I73" s="39"/>
      <c r="J73" s="38">
        <v>27483590</v>
      </c>
      <c r="K73" s="38" t="s">
        <v>142</v>
      </c>
      <c r="L73" s="38" t="str">
        <f>_xlfn.XLOOKUP(Tabla2__2[[#This Row],[CODIGO RUTA]],'DATA INFORME'!I:I,'DATA INFORME'!K:K)</f>
        <v xml:space="preserve"> NO</v>
      </c>
      <c r="M73" s="38" t="str">
        <f>IF(Tabla2__2[[#This Row],[MYSTERY EFECTIVO]]="SI",_xlfn.XLOOKUP(Tabla2__2[[#This Row],[PREGUNTA]],ENCUESTA!G:G,ENCUESTA!D:D),"N/A")</f>
        <v>N/A</v>
      </c>
      <c r="N7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3" s="38">
        <f>_xlfn.XLOOKUP(Tabla2__2[[#This Row],[PREGUNTA]],ENCUESTA!G:G,ENCUESTA!H:H)</f>
        <v>0</v>
      </c>
      <c r="P73" s="38">
        <f>IF(Tabla2__2[[#This Row],[RTA]]=Tabla2__2[[#This Row],[RTA CORRECTA]],Tabla2__2[[#This Row],[TOTAL PUNTAJE]],0)</f>
        <v>0</v>
      </c>
      <c r="Q73" s="38">
        <f t="shared" si="2"/>
        <v>0</v>
      </c>
      <c r="R73" s="38"/>
    </row>
    <row r="74" spans="1:18" x14ac:dyDescent="0.25">
      <c r="A74" s="38" t="s">
        <v>124</v>
      </c>
      <c r="B74" s="38" t="s">
        <v>90</v>
      </c>
      <c r="C74" t="s">
        <v>43</v>
      </c>
      <c r="D74" s="38" t="s">
        <v>132</v>
      </c>
      <c r="E74" s="38">
        <v>12211</v>
      </c>
      <c r="F74" s="38" t="s">
        <v>165</v>
      </c>
      <c r="G74" s="38" t="s">
        <v>100</v>
      </c>
      <c r="H74" s="38" t="s">
        <v>122</v>
      </c>
      <c r="I74" s="39"/>
      <c r="J74" s="38">
        <v>27481191</v>
      </c>
      <c r="K74" s="38" t="s">
        <v>172</v>
      </c>
      <c r="L74" s="38" t="str">
        <f>_xlfn.XLOOKUP(Tabla2__2[[#This Row],[CODIGO RUTA]],'DATA INFORME'!I:I,'DATA INFORME'!K:K)</f>
        <v>SI</v>
      </c>
      <c r="M74" s="38" t="str">
        <f>IF(Tabla2__2[[#This Row],[MYSTERY EFECTIVO]]="SI",_xlfn.XLOOKUP(Tabla2__2[[#This Row],[PREGUNTA]],ENCUESTA!G:G,ENCUESTA!D:D),"N/A")</f>
        <v>PRESENTACIÓN PERSONAL</v>
      </c>
      <c r="N7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4" s="38" t="str">
        <f>_xlfn.XLOOKUP(Tabla2__2[[#This Row],[PREGUNTA]],ENCUESTA!G:G,ENCUESTA!H:H)</f>
        <v>NO</v>
      </c>
      <c r="P74" s="38">
        <f>IF(Tabla2__2[[#This Row],[RTA]]=Tabla2__2[[#This Row],[RTA CORRECTA]],Tabla2__2[[#This Row],[TOTAL PUNTAJE]],0)</f>
        <v>1</v>
      </c>
      <c r="Q74" s="38">
        <f t="shared" si="2"/>
        <v>0</v>
      </c>
      <c r="R74" s="38"/>
    </row>
    <row r="75" spans="1:18" x14ac:dyDescent="0.25">
      <c r="A75" s="38" t="s">
        <v>124</v>
      </c>
      <c r="B75" s="38" t="s">
        <v>90</v>
      </c>
      <c r="C75" t="s">
        <v>43</v>
      </c>
      <c r="D75" s="38" t="s">
        <v>132</v>
      </c>
      <c r="E75" s="38">
        <v>12211</v>
      </c>
      <c r="F75" s="38" t="s">
        <v>165</v>
      </c>
      <c r="G75" s="38" t="s">
        <v>99</v>
      </c>
      <c r="H75" s="38" t="s">
        <v>122</v>
      </c>
      <c r="I75" s="39"/>
      <c r="J75" s="38">
        <v>27481191</v>
      </c>
      <c r="K75" s="38" t="s">
        <v>172</v>
      </c>
      <c r="L75" s="38" t="str">
        <f>_xlfn.XLOOKUP(Tabla2__2[[#This Row],[CODIGO RUTA]],'DATA INFORME'!I:I,'DATA INFORME'!K:K)</f>
        <v>SI</v>
      </c>
      <c r="M75" s="38" t="str">
        <f>IF(Tabla2__2[[#This Row],[MYSTERY EFECTIVO]]="SI",_xlfn.XLOOKUP(Tabla2__2[[#This Row],[PREGUNTA]],ENCUESTA!G:G,ENCUESTA!D:D),"N/A")</f>
        <v>PRESENTACIÓN PERSONAL</v>
      </c>
      <c r="N7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5" s="38" t="str">
        <f>_xlfn.XLOOKUP(Tabla2__2[[#This Row],[PREGUNTA]],ENCUESTA!G:G,ENCUESTA!H:H)</f>
        <v>NO</v>
      </c>
      <c r="P75" s="38">
        <f>IF(Tabla2__2[[#This Row],[RTA]]=Tabla2__2[[#This Row],[RTA CORRECTA]],Tabla2__2[[#This Row],[TOTAL PUNTAJE]],0)</f>
        <v>1</v>
      </c>
      <c r="Q75" s="38">
        <f t="shared" si="2"/>
        <v>0</v>
      </c>
      <c r="R75" s="38"/>
    </row>
    <row r="76" spans="1:18" x14ac:dyDescent="0.25">
      <c r="A76" s="38" t="s">
        <v>124</v>
      </c>
      <c r="B76" s="38" t="s">
        <v>90</v>
      </c>
      <c r="C76" t="s">
        <v>43</v>
      </c>
      <c r="D76" s="38" t="s">
        <v>132</v>
      </c>
      <c r="E76" s="38">
        <v>12211</v>
      </c>
      <c r="F76" s="38" t="s">
        <v>165</v>
      </c>
      <c r="G76" s="38" t="s">
        <v>98</v>
      </c>
      <c r="H76" s="38" t="s">
        <v>20</v>
      </c>
      <c r="I76" s="39"/>
      <c r="J76" s="38">
        <v>27481191</v>
      </c>
      <c r="K76" s="38" t="s">
        <v>172</v>
      </c>
      <c r="L76" s="38" t="str">
        <f>_xlfn.XLOOKUP(Tabla2__2[[#This Row],[CODIGO RUTA]],'DATA INFORME'!I:I,'DATA INFORME'!K:K)</f>
        <v>SI</v>
      </c>
      <c r="M76" s="38" t="str">
        <f>IF(Tabla2__2[[#This Row],[MYSTERY EFECTIVO]]="SI",_xlfn.XLOOKUP(Tabla2__2[[#This Row],[PREGUNTA]],ENCUESTA!G:G,ENCUESTA!D:D),"N/A")</f>
        <v>PRESENTACIÓN PERSONAL</v>
      </c>
      <c r="N7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6" s="38" t="str">
        <f>_xlfn.XLOOKUP(Tabla2__2[[#This Row],[PREGUNTA]],ENCUESTA!G:G,ENCUESTA!H:H)</f>
        <v>SI</v>
      </c>
      <c r="P76" s="38">
        <f>IF(Tabla2__2[[#This Row],[RTA]]=Tabla2__2[[#This Row],[RTA CORRECTA]],Tabla2__2[[#This Row],[TOTAL PUNTAJE]],0)</f>
        <v>1</v>
      </c>
      <c r="Q76" s="38">
        <f t="shared" si="2"/>
        <v>0</v>
      </c>
      <c r="R76" s="38"/>
    </row>
    <row r="77" spans="1:18" x14ac:dyDescent="0.25">
      <c r="A77" s="38" t="s">
        <v>124</v>
      </c>
      <c r="B77" s="38" t="s">
        <v>90</v>
      </c>
      <c r="C77" t="s">
        <v>43</v>
      </c>
      <c r="D77" s="38" t="s">
        <v>132</v>
      </c>
      <c r="E77" s="38">
        <v>12211</v>
      </c>
      <c r="F77" s="38" t="s">
        <v>165</v>
      </c>
      <c r="G77" s="38" t="s">
        <v>97</v>
      </c>
      <c r="H77" s="38" t="s">
        <v>20</v>
      </c>
      <c r="I77" s="39"/>
      <c r="J77" s="38">
        <v>27481191</v>
      </c>
      <c r="K77" s="38" t="s">
        <v>172</v>
      </c>
      <c r="L77" s="38" t="str">
        <f>_xlfn.XLOOKUP(Tabla2__2[[#This Row],[CODIGO RUTA]],'DATA INFORME'!I:I,'DATA INFORME'!K:K)</f>
        <v>SI</v>
      </c>
      <c r="M77" s="38" t="str">
        <f>IF(Tabla2__2[[#This Row],[MYSTERY EFECTIVO]]="SI",_xlfn.XLOOKUP(Tabla2__2[[#This Row],[PREGUNTA]],ENCUESTA!G:G,ENCUESTA!D:D),"N/A")</f>
        <v>PRESENTACIÓN PERSONAL</v>
      </c>
      <c r="N7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7" s="38" t="str">
        <f>_xlfn.XLOOKUP(Tabla2__2[[#This Row],[PREGUNTA]],ENCUESTA!G:G,ENCUESTA!H:H)</f>
        <v>SI</v>
      </c>
      <c r="P77" s="38">
        <f>IF(Tabla2__2[[#This Row],[RTA]]=Tabla2__2[[#This Row],[RTA CORRECTA]],Tabla2__2[[#This Row],[TOTAL PUNTAJE]],0)</f>
        <v>1</v>
      </c>
      <c r="Q77" s="38">
        <f t="shared" si="2"/>
        <v>0</v>
      </c>
      <c r="R77" s="38"/>
    </row>
    <row r="78" spans="1:18" x14ac:dyDescent="0.25">
      <c r="A78" s="38" t="s">
        <v>124</v>
      </c>
      <c r="B78" s="38" t="s">
        <v>90</v>
      </c>
      <c r="C78" t="s">
        <v>43</v>
      </c>
      <c r="D78" s="38" t="s">
        <v>132</v>
      </c>
      <c r="E78" s="38">
        <v>12211</v>
      </c>
      <c r="F78" s="38" t="s">
        <v>165</v>
      </c>
      <c r="G78" s="38" t="s">
        <v>96</v>
      </c>
      <c r="H78" s="38" t="s">
        <v>122</v>
      </c>
      <c r="I78" s="39"/>
      <c r="J78" s="38">
        <v>27481191</v>
      </c>
      <c r="K78" s="38" t="s">
        <v>172</v>
      </c>
      <c r="L78" s="38" t="str">
        <f>_xlfn.XLOOKUP(Tabla2__2[[#This Row],[CODIGO RUTA]],'DATA INFORME'!I:I,'DATA INFORME'!K:K)</f>
        <v>SI</v>
      </c>
      <c r="M78" s="38" t="str">
        <f>IF(Tabla2__2[[#This Row],[MYSTERY EFECTIVO]]="SI",_xlfn.XLOOKUP(Tabla2__2[[#This Row],[PREGUNTA]],ENCUESTA!G:G,ENCUESTA!D:D),"N/A")</f>
        <v>PRESENTACIÓN PERSONAL</v>
      </c>
      <c r="N7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8" s="38" t="str">
        <f>_xlfn.XLOOKUP(Tabla2__2[[#This Row],[PREGUNTA]],ENCUESTA!G:G,ENCUESTA!H:H)</f>
        <v>NO</v>
      </c>
      <c r="P78" s="38">
        <f>IF(Tabla2__2[[#This Row],[RTA]]=Tabla2__2[[#This Row],[RTA CORRECTA]],Tabla2__2[[#This Row],[TOTAL PUNTAJE]],0)</f>
        <v>1</v>
      </c>
      <c r="Q78" s="38">
        <f t="shared" si="2"/>
        <v>0</v>
      </c>
      <c r="R78" s="38"/>
    </row>
    <row r="79" spans="1:18" x14ac:dyDescent="0.25">
      <c r="A79" s="38" t="s">
        <v>124</v>
      </c>
      <c r="B79" s="38" t="s">
        <v>90</v>
      </c>
      <c r="C79" t="s">
        <v>43</v>
      </c>
      <c r="D79" s="38" t="s">
        <v>132</v>
      </c>
      <c r="E79" s="38">
        <v>12211</v>
      </c>
      <c r="F79" s="38" t="s">
        <v>165</v>
      </c>
      <c r="G79" s="38" t="s">
        <v>35</v>
      </c>
      <c r="H79" s="38" t="s">
        <v>20</v>
      </c>
      <c r="I79" s="39"/>
      <c r="J79" s="38">
        <v>27481191</v>
      </c>
      <c r="K79" s="38" t="s">
        <v>172</v>
      </c>
      <c r="L79" s="38" t="str">
        <f>_xlfn.XLOOKUP(Tabla2__2[[#This Row],[CODIGO RUTA]],'DATA INFORME'!I:I,'DATA INFORME'!K:K)</f>
        <v>SI</v>
      </c>
      <c r="M79" s="38" t="str">
        <f>IF(Tabla2__2[[#This Row],[MYSTERY EFECTIVO]]="SI",_xlfn.XLOOKUP(Tabla2__2[[#This Row],[PREGUNTA]],ENCUESTA!G:G,ENCUESTA!D:D),"N/A")</f>
        <v>PRESENTACIÓN PERSONAL</v>
      </c>
      <c r="N7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9" s="38" t="str">
        <f>_xlfn.XLOOKUP(Tabla2__2[[#This Row],[PREGUNTA]],ENCUESTA!G:G,ENCUESTA!H:H)</f>
        <v>SI</v>
      </c>
      <c r="P79" s="38">
        <f>IF(Tabla2__2[[#This Row],[RTA]]=Tabla2__2[[#This Row],[RTA CORRECTA]],Tabla2__2[[#This Row],[TOTAL PUNTAJE]],0)</f>
        <v>1</v>
      </c>
      <c r="Q79" s="38">
        <f t="shared" si="2"/>
        <v>0</v>
      </c>
      <c r="R79" s="38"/>
    </row>
    <row r="80" spans="1:18" x14ac:dyDescent="0.25">
      <c r="A80" s="38" t="s">
        <v>124</v>
      </c>
      <c r="B80" s="38" t="s">
        <v>90</v>
      </c>
      <c r="C80" t="s">
        <v>43</v>
      </c>
      <c r="D80" s="38" t="s">
        <v>132</v>
      </c>
      <c r="E80" s="38">
        <v>12211</v>
      </c>
      <c r="F80" s="38" t="s">
        <v>165</v>
      </c>
      <c r="G80" s="38" t="s">
        <v>95</v>
      </c>
      <c r="H80" s="38" t="s">
        <v>20</v>
      </c>
      <c r="I80" s="39"/>
      <c r="J80" s="38">
        <v>27481191</v>
      </c>
      <c r="K80" s="38" t="s">
        <v>172</v>
      </c>
      <c r="L80" s="38" t="str">
        <f>_xlfn.XLOOKUP(Tabla2__2[[#This Row],[CODIGO RUTA]],'DATA INFORME'!I:I,'DATA INFORME'!K:K)</f>
        <v>SI</v>
      </c>
      <c r="M80" s="38" t="str">
        <f>IF(Tabla2__2[[#This Row],[MYSTERY EFECTIVO]]="SI",_xlfn.XLOOKUP(Tabla2__2[[#This Row],[PREGUNTA]],ENCUESTA!G:G,ENCUESTA!D:D),"N/A")</f>
        <v>PRESENTACIÓN PERSONAL</v>
      </c>
      <c r="N8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0" s="38" t="str">
        <f>_xlfn.XLOOKUP(Tabla2__2[[#This Row],[PREGUNTA]],ENCUESTA!G:G,ENCUESTA!H:H)</f>
        <v>SI</v>
      </c>
      <c r="P80" s="38">
        <f>IF(Tabla2__2[[#This Row],[RTA]]=Tabla2__2[[#This Row],[RTA CORRECTA]],Tabla2__2[[#This Row],[TOTAL PUNTAJE]],0)</f>
        <v>1</v>
      </c>
      <c r="Q80" s="38">
        <f t="shared" si="2"/>
        <v>0</v>
      </c>
      <c r="R80" s="38"/>
    </row>
    <row r="81" spans="1:18" x14ac:dyDescent="0.25">
      <c r="A81" s="38" t="s">
        <v>124</v>
      </c>
      <c r="B81" s="38" t="s">
        <v>90</v>
      </c>
      <c r="C81" t="s">
        <v>43</v>
      </c>
      <c r="D81" s="38" t="s">
        <v>132</v>
      </c>
      <c r="E81" s="38">
        <v>12211</v>
      </c>
      <c r="F81" s="38" t="s">
        <v>165</v>
      </c>
      <c r="G81" s="38" t="s">
        <v>94</v>
      </c>
      <c r="H81" s="38" t="s">
        <v>20</v>
      </c>
      <c r="I81" s="39"/>
      <c r="J81" s="38">
        <v>27481191</v>
      </c>
      <c r="K81" s="38" t="s">
        <v>172</v>
      </c>
      <c r="L81" s="38" t="str">
        <f>_xlfn.XLOOKUP(Tabla2__2[[#This Row],[CODIGO RUTA]],'DATA INFORME'!I:I,'DATA INFORME'!K:K)</f>
        <v>SI</v>
      </c>
      <c r="M81" s="38" t="str">
        <f>IF(Tabla2__2[[#This Row],[MYSTERY EFECTIVO]]="SI",_xlfn.XLOOKUP(Tabla2__2[[#This Row],[PREGUNTA]],ENCUESTA!G:G,ENCUESTA!D:D),"N/A")</f>
        <v>PRESENTACIÓN PERSONAL</v>
      </c>
      <c r="N8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1" s="38" t="str">
        <f>_xlfn.XLOOKUP(Tabla2__2[[#This Row],[PREGUNTA]],ENCUESTA!G:G,ENCUESTA!H:H)</f>
        <v>SI</v>
      </c>
      <c r="P81" s="38">
        <f>IF(Tabla2__2[[#This Row],[RTA]]=Tabla2__2[[#This Row],[RTA CORRECTA]],Tabla2__2[[#This Row],[TOTAL PUNTAJE]],0)</f>
        <v>1</v>
      </c>
      <c r="Q81" s="38">
        <f t="shared" si="2"/>
        <v>0</v>
      </c>
      <c r="R81" s="38"/>
    </row>
    <row r="82" spans="1:18" x14ac:dyDescent="0.25">
      <c r="A82" s="38" t="s">
        <v>124</v>
      </c>
      <c r="B82" s="38" t="s">
        <v>90</v>
      </c>
      <c r="C82" t="s">
        <v>43</v>
      </c>
      <c r="D82" s="38" t="s">
        <v>132</v>
      </c>
      <c r="E82" s="38">
        <v>12211</v>
      </c>
      <c r="F82" s="38" t="s">
        <v>165</v>
      </c>
      <c r="G82" s="38" t="s">
        <v>93</v>
      </c>
      <c r="H82" s="38" t="s">
        <v>20</v>
      </c>
      <c r="I82" s="39"/>
      <c r="J82" s="38">
        <v>27481191</v>
      </c>
      <c r="K82" s="38" t="s">
        <v>172</v>
      </c>
      <c r="L82" s="38" t="str">
        <f>_xlfn.XLOOKUP(Tabla2__2[[#This Row],[CODIGO RUTA]],'DATA INFORME'!I:I,'DATA INFORME'!K:K)</f>
        <v>SI</v>
      </c>
      <c r="M82" s="38" t="str">
        <f>IF(Tabla2__2[[#This Row],[MYSTERY EFECTIVO]]="SI",_xlfn.XLOOKUP(Tabla2__2[[#This Row],[PREGUNTA]],ENCUESTA!G:G,ENCUESTA!D:D),"N/A")</f>
        <v>HORARIO</v>
      </c>
      <c r="N8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82" s="38" t="str">
        <f>_xlfn.XLOOKUP(Tabla2__2[[#This Row],[PREGUNTA]],ENCUESTA!G:G,ENCUESTA!H:H)</f>
        <v>SI</v>
      </c>
      <c r="P82" s="38">
        <f>IF(Tabla2__2[[#This Row],[RTA]]=Tabla2__2[[#This Row],[RTA CORRECTA]],Tabla2__2[[#This Row],[TOTAL PUNTAJE]],0)</f>
        <v>20</v>
      </c>
      <c r="Q82" s="38">
        <f t="shared" si="2"/>
        <v>0</v>
      </c>
      <c r="R82" s="38"/>
    </row>
    <row r="83" spans="1:18" x14ac:dyDescent="0.25">
      <c r="A83" s="38" t="s">
        <v>124</v>
      </c>
      <c r="B83" s="38" t="s">
        <v>90</v>
      </c>
      <c r="C83" t="s">
        <v>43</v>
      </c>
      <c r="D83" s="38" t="s">
        <v>132</v>
      </c>
      <c r="E83" s="38">
        <v>12211</v>
      </c>
      <c r="F83" s="38" t="s">
        <v>165</v>
      </c>
      <c r="G83" s="38" t="s">
        <v>92</v>
      </c>
      <c r="H83" s="38" t="s">
        <v>20</v>
      </c>
      <c r="I83" s="39"/>
      <c r="J83" s="38">
        <v>27481191</v>
      </c>
      <c r="K83" s="38" t="s">
        <v>172</v>
      </c>
      <c r="L83" s="38" t="str">
        <f>_xlfn.XLOOKUP(Tabla2__2[[#This Row],[CODIGO RUTA]],'DATA INFORME'!I:I,'DATA INFORME'!K:K)</f>
        <v>SI</v>
      </c>
      <c r="M83" s="38" t="str">
        <f>IF(Tabla2__2[[#This Row],[MYSTERY EFECTIVO]]="SI",_xlfn.XLOOKUP(Tabla2__2[[#This Row],[PREGUNTA]],ENCUESTA!G:G,ENCUESTA!D:D),"N/A")</f>
        <v>N/A</v>
      </c>
      <c r="N8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3" s="38">
        <f>_xlfn.XLOOKUP(Tabla2__2[[#This Row],[PREGUNTA]],ENCUESTA!G:G,ENCUESTA!H:H)</f>
        <v>0</v>
      </c>
      <c r="P83" s="38">
        <f>IF(Tabla2__2[[#This Row],[RTA]]=Tabla2__2[[#This Row],[RTA CORRECTA]],Tabla2__2[[#This Row],[TOTAL PUNTAJE]],0)</f>
        <v>0</v>
      </c>
      <c r="Q83" s="38">
        <f t="shared" si="2"/>
        <v>0</v>
      </c>
      <c r="R83" s="38"/>
    </row>
    <row r="84" spans="1:18" x14ac:dyDescent="0.25">
      <c r="A84" s="38" t="s">
        <v>124</v>
      </c>
      <c r="B84" s="38" t="s">
        <v>131</v>
      </c>
      <c r="C84" t="s">
        <v>43</v>
      </c>
      <c r="D84" s="38" t="s">
        <v>132</v>
      </c>
      <c r="E84" s="38">
        <v>66552</v>
      </c>
      <c r="F84" s="38" t="s">
        <v>135</v>
      </c>
      <c r="G84" s="38" t="s">
        <v>116</v>
      </c>
      <c r="H84" s="38" t="s">
        <v>122</v>
      </c>
      <c r="I84" s="39"/>
      <c r="J84" s="38">
        <v>27474721</v>
      </c>
      <c r="K84" s="38" t="s">
        <v>142</v>
      </c>
      <c r="L84" s="38" t="str">
        <f>_xlfn.XLOOKUP(Tabla2__2[[#This Row],[CODIGO RUTA]],'DATA INFORME'!I:I,'DATA INFORME'!K:K)</f>
        <v>SI</v>
      </c>
      <c r="M84" s="38" t="str">
        <f>IF(Tabla2__2[[#This Row],[MYSTERY EFECTIVO]]="SI",_xlfn.XLOOKUP(Tabla2__2[[#This Row],[PREGUNTA]],ENCUESTA!G:G,ENCUESTA!D:D),"N/A")</f>
        <v>N/A</v>
      </c>
      <c r="N8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4" s="38">
        <f>_xlfn.XLOOKUP(Tabla2__2[[#This Row],[PREGUNTA]],ENCUESTA!G:G,ENCUESTA!H:H)</f>
        <v>0</v>
      </c>
      <c r="P84" s="38">
        <f>IF(Tabla2__2[[#This Row],[RTA]]=Tabla2__2[[#This Row],[RTA CORRECTA]],Tabla2__2[[#This Row],[TOTAL PUNTAJE]],0)</f>
        <v>0</v>
      </c>
      <c r="Q84" s="38">
        <f t="shared" si="2"/>
        <v>0</v>
      </c>
      <c r="R84" s="38"/>
    </row>
    <row r="85" spans="1:18" x14ac:dyDescent="0.25">
      <c r="A85" s="38" t="s">
        <v>124</v>
      </c>
      <c r="B85" s="38" t="s">
        <v>131</v>
      </c>
      <c r="C85" t="s">
        <v>43</v>
      </c>
      <c r="D85" s="38" t="s">
        <v>132</v>
      </c>
      <c r="E85" s="38">
        <v>66552</v>
      </c>
      <c r="F85" s="38" t="s">
        <v>135</v>
      </c>
      <c r="G85" s="38" t="s">
        <v>115</v>
      </c>
      <c r="H85" s="38" t="s">
        <v>20</v>
      </c>
      <c r="I85" s="39"/>
      <c r="J85" s="38">
        <v>27474721</v>
      </c>
      <c r="K85" s="38" t="s">
        <v>142</v>
      </c>
      <c r="L85" s="38" t="str">
        <f>_xlfn.XLOOKUP(Tabla2__2[[#This Row],[CODIGO RUTA]],'DATA INFORME'!I:I,'DATA INFORME'!K:K)</f>
        <v>SI</v>
      </c>
      <c r="M85" s="38" t="str">
        <f>IF(Tabla2__2[[#This Row],[MYSTERY EFECTIVO]]="SI",_xlfn.XLOOKUP(Tabla2__2[[#This Row],[PREGUNTA]],ENCUESTA!G:G,ENCUESTA!D:D),"N/A")</f>
        <v>ACTIVIDADES DEL MES</v>
      </c>
      <c r="N8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85" s="38" t="str">
        <f>_xlfn.XLOOKUP(Tabla2__2[[#This Row],[PREGUNTA]],ENCUESTA!G:G,ENCUESTA!H:H)</f>
        <v>SI</v>
      </c>
      <c r="P85" s="38">
        <f>IF(Tabla2__2[[#This Row],[RTA]]=Tabla2__2[[#This Row],[RTA CORRECTA]],Tabla2__2[[#This Row],[TOTAL PUNTAJE]],0)</f>
        <v>8</v>
      </c>
      <c r="Q85" s="38">
        <f t="shared" si="2"/>
        <v>0</v>
      </c>
      <c r="R85" s="38"/>
    </row>
    <row r="86" spans="1:18" x14ac:dyDescent="0.25">
      <c r="A86" s="38" t="s">
        <v>124</v>
      </c>
      <c r="B86" s="38" t="s">
        <v>131</v>
      </c>
      <c r="C86" t="s">
        <v>43</v>
      </c>
      <c r="D86" s="38" t="s">
        <v>132</v>
      </c>
      <c r="E86" s="38">
        <v>66552</v>
      </c>
      <c r="F86" s="38" t="s">
        <v>135</v>
      </c>
      <c r="G86" s="38" t="s">
        <v>110</v>
      </c>
      <c r="H86" s="38" t="s">
        <v>129</v>
      </c>
      <c r="I86" s="39"/>
      <c r="J86" s="38">
        <v>27474721</v>
      </c>
      <c r="K86" s="38" t="s">
        <v>142</v>
      </c>
      <c r="L86" s="38" t="str">
        <f>_xlfn.XLOOKUP(Tabla2__2[[#This Row],[CODIGO RUTA]],'DATA INFORME'!I:I,'DATA INFORME'!K:K)</f>
        <v>SI</v>
      </c>
      <c r="M86" s="38" t="str">
        <f>IF(Tabla2__2[[#This Row],[MYSTERY EFECTIVO]]="SI",_xlfn.XLOOKUP(Tabla2__2[[#This Row],[PREGUNTA]],ENCUESTA!G:G,ENCUESTA!D:D),"N/A")</f>
        <v>N/A</v>
      </c>
      <c r="N8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6" s="38" t="str">
        <f>_xlfn.XLOOKUP(Tabla2__2[[#This Row],[PREGUNTA]],ENCUESTA!G:G,ENCUESTA!H:H)</f>
        <v>MODERNO, TRADICIONAL</v>
      </c>
      <c r="P86" s="38">
        <f>IF(Tabla2__2[[#This Row],[RTA]]=Tabla2__2[[#This Row],[RTA CORRECTA]],Tabla2__2[[#This Row],[TOTAL PUNTAJE]],0)</f>
        <v>0</v>
      </c>
      <c r="Q86" s="38">
        <f t="shared" si="2"/>
        <v>0</v>
      </c>
      <c r="R86" s="38"/>
    </row>
    <row r="87" spans="1:18" x14ac:dyDescent="0.25">
      <c r="A87" s="38" t="s">
        <v>124</v>
      </c>
      <c r="B87" s="38" t="s">
        <v>131</v>
      </c>
      <c r="C87" t="s">
        <v>43</v>
      </c>
      <c r="D87" s="38" t="s">
        <v>132</v>
      </c>
      <c r="E87" s="38">
        <v>66552</v>
      </c>
      <c r="F87" s="38" t="s">
        <v>135</v>
      </c>
      <c r="G87" s="38" t="s">
        <v>109</v>
      </c>
      <c r="H87" s="38" t="s">
        <v>20</v>
      </c>
      <c r="I87" s="39"/>
      <c r="J87" s="38">
        <v>27474721</v>
      </c>
      <c r="K87" s="38" t="s">
        <v>142</v>
      </c>
      <c r="L87" s="38" t="str">
        <f>_xlfn.XLOOKUP(Tabla2__2[[#This Row],[CODIGO RUTA]],'DATA INFORME'!I:I,'DATA INFORME'!K:K)</f>
        <v>SI</v>
      </c>
      <c r="M87" s="38" t="str">
        <f>IF(Tabla2__2[[#This Row],[MYSTERY EFECTIVO]]="SI",_xlfn.XLOOKUP(Tabla2__2[[#This Row],[PREGUNTA]],ENCUESTA!G:G,ENCUESTA!D:D),"N/A")</f>
        <v>EJECUCIÓN DEL PDV</v>
      </c>
      <c r="N8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87" s="38" t="str">
        <f>_xlfn.XLOOKUP(Tabla2__2[[#This Row],[PREGUNTA]],ENCUESTA!G:G,ENCUESTA!H:H)</f>
        <v>SI</v>
      </c>
      <c r="P87" s="38">
        <f>IF(Tabla2__2[[#This Row],[RTA]]=Tabla2__2[[#This Row],[RTA CORRECTA]],Tabla2__2[[#This Row],[TOTAL PUNTAJE]],0)</f>
        <v>4.2857142857142856</v>
      </c>
      <c r="Q87" s="38">
        <f t="shared" si="2"/>
        <v>0</v>
      </c>
      <c r="R87" s="38"/>
    </row>
    <row r="88" spans="1:18" x14ac:dyDescent="0.25">
      <c r="A88" s="38" t="s">
        <v>124</v>
      </c>
      <c r="B88" s="38" t="s">
        <v>131</v>
      </c>
      <c r="C88" t="s">
        <v>43</v>
      </c>
      <c r="D88" s="38" t="s">
        <v>132</v>
      </c>
      <c r="E88" s="38">
        <v>66552</v>
      </c>
      <c r="F88" s="38" t="s">
        <v>135</v>
      </c>
      <c r="G88" s="38" t="s">
        <v>108</v>
      </c>
      <c r="H88" s="38" t="s">
        <v>20</v>
      </c>
      <c r="I88" s="39"/>
      <c r="J88" s="38">
        <v>27474721</v>
      </c>
      <c r="K88" s="38" t="s">
        <v>142</v>
      </c>
      <c r="L88" s="38" t="str">
        <f>_xlfn.XLOOKUP(Tabla2__2[[#This Row],[CODIGO RUTA]],'DATA INFORME'!I:I,'DATA INFORME'!K:K)</f>
        <v>SI</v>
      </c>
      <c r="M88" s="38" t="str">
        <f>IF(Tabla2__2[[#This Row],[MYSTERY EFECTIVO]]="SI",_xlfn.XLOOKUP(Tabla2__2[[#This Row],[PREGUNTA]],ENCUESTA!G:G,ENCUESTA!D:D),"N/A")</f>
        <v>EJECUCIÓN DEL PDV</v>
      </c>
      <c r="N8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88" s="38" t="str">
        <f>_xlfn.XLOOKUP(Tabla2__2[[#This Row],[PREGUNTA]],ENCUESTA!G:G,ENCUESTA!H:H)</f>
        <v>SI</v>
      </c>
      <c r="P88" s="38">
        <f>IF(Tabla2__2[[#This Row],[RTA]]=Tabla2__2[[#This Row],[RTA CORRECTA]],Tabla2__2[[#This Row],[TOTAL PUNTAJE]],0)</f>
        <v>4.2857142857142856</v>
      </c>
      <c r="Q88" s="38">
        <f t="shared" si="2"/>
        <v>0</v>
      </c>
      <c r="R88" s="38"/>
    </row>
    <row r="89" spans="1:18" x14ac:dyDescent="0.25">
      <c r="A89" s="38" t="s">
        <v>124</v>
      </c>
      <c r="B89" s="38" t="s">
        <v>131</v>
      </c>
      <c r="C89" t="s">
        <v>43</v>
      </c>
      <c r="D89" s="38" t="s">
        <v>132</v>
      </c>
      <c r="E89" s="38">
        <v>66552</v>
      </c>
      <c r="F89" s="38" t="s">
        <v>135</v>
      </c>
      <c r="G89" s="38" t="s">
        <v>107</v>
      </c>
      <c r="H89" s="38" t="s">
        <v>20</v>
      </c>
      <c r="I89" s="39"/>
      <c r="J89" s="38">
        <v>27474721</v>
      </c>
      <c r="K89" s="38" t="s">
        <v>142</v>
      </c>
      <c r="L89" s="38" t="str">
        <f>_xlfn.XLOOKUP(Tabla2__2[[#This Row],[CODIGO RUTA]],'DATA INFORME'!I:I,'DATA INFORME'!K:K)</f>
        <v>SI</v>
      </c>
      <c r="M89" s="38" t="str">
        <f>IF(Tabla2__2[[#This Row],[MYSTERY EFECTIVO]]="SI",_xlfn.XLOOKUP(Tabla2__2[[#This Row],[PREGUNTA]],ENCUESTA!G:G,ENCUESTA!D:D),"N/A")</f>
        <v>EJECUCIÓN DEL PDV</v>
      </c>
      <c r="N8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89" s="38" t="str">
        <f>_xlfn.XLOOKUP(Tabla2__2[[#This Row],[PREGUNTA]],ENCUESTA!G:G,ENCUESTA!H:H)</f>
        <v>SI</v>
      </c>
      <c r="P89" s="38">
        <f>IF(Tabla2__2[[#This Row],[RTA]]=Tabla2__2[[#This Row],[RTA CORRECTA]],Tabla2__2[[#This Row],[TOTAL PUNTAJE]],0)</f>
        <v>4.2857142857142856</v>
      </c>
      <c r="Q89" s="38">
        <f t="shared" si="2"/>
        <v>0</v>
      </c>
      <c r="R89" s="38"/>
    </row>
    <row r="90" spans="1:18" x14ac:dyDescent="0.25">
      <c r="A90" s="38" t="s">
        <v>124</v>
      </c>
      <c r="B90" s="38" t="s">
        <v>131</v>
      </c>
      <c r="C90" t="s">
        <v>43</v>
      </c>
      <c r="D90" s="38" t="s">
        <v>132</v>
      </c>
      <c r="E90" s="38">
        <v>66552</v>
      </c>
      <c r="F90" s="38" t="s">
        <v>135</v>
      </c>
      <c r="G90" s="38" t="s">
        <v>106</v>
      </c>
      <c r="H90" s="38" t="s">
        <v>20</v>
      </c>
      <c r="I90" s="39"/>
      <c r="J90" s="38">
        <v>27474721</v>
      </c>
      <c r="K90" s="38" t="s">
        <v>142</v>
      </c>
      <c r="L90" s="38" t="str">
        <f>_xlfn.XLOOKUP(Tabla2__2[[#This Row],[CODIGO RUTA]],'DATA INFORME'!I:I,'DATA INFORME'!K:K)</f>
        <v>SI</v>
      </c>
      <c r="M90" s="38" t="str">
        <f>IF(Tabla2__2[[#This Row],[MYSTERY EFECTIVO]]="SI",_xlfn.XLOOKUP(Tabla2__2[[#This Row],[PREGUNTA]],ENCUESTA!G:G,ENCUESTA!D:D),"N/A")</f>
        <v>EJECUCIÓN DEL PDV</v>
      </c>
      <c r="N9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90" s="38" t="str">
        <f>_xlfn.XLOOKUP(Tabla2__2[[#This Row],[PREGUNTA]],ENCUESTA!G:G,ENCUESTA!H:H)</f>
        <v>SI</v>
      </c>
      <c r="P90" s="38">
        <f>IF(Tabla2__2[[#This Row],[RTA]]=Tabla2__2[[#This Row],[RTA CORRECTA]],Tabla2__2[[#This Row],[TOTAL PUNTAJE]],0)</f>
        <v>4.2857142857142856</v>
      </c>
      <c r="Q90" s="38">
        <f t="shared" si="2"/>
        <v>0</v>
      </c>
      <c r="R90" s="38"/>
    </row>
    <row r="91" spans="1:18" x14ac:dyDescent="0.25">
      <c r="A91" s="38" t="s">
        <v>124</v>
      </c>
      <c r="B91" s="38" t="s">
        <v>131</v>
      </c>
      <c r="C91" t="s">
        <v>43</v>
      </c>
      <c r="D91" s="38" t="s">
        <v>132</v>
      </c>
      <c r="E91" s="38">
        <v>66552</v>
      </c>
      <c r="F91" s="38" t="s">
        <v>135</v>
      </c>
      <c r="G91" s="38" t="s">
        <v>93</v>
      </c>
      <c r="H91" s="38" t="s">
        <v>20</v>
      </c>
      <c r="I91" s="39"/>
      <c r="J91" s="38">
        <v>27474721</v>
      </c>
      <c r="K91" s="38" t="s">
        <v>142</v>
      </c>
      <c r="L91" s="38" t="str">
        <f>_xlfn.XLOOKUP(Tabla2__2[[#This Row],[CODIGO RUTA]],'DATA INFORME'!I:I,'DATA INFORME'!K:K)</f>
        <v>SI</v>
      </c>
      <c r="M91" s="38" t="str">
        <f>IF(Tabla2__2[[#This Row],[MYSTERY EFECTIVO]]="SI",_xlfn.XLOOKUP(Tabla2__2[[#This Row],[PREGUNTA]],ENCUESTA!G:G,ENCUESTA!D:D),"N/A")</f>
        <v>HORARIO</v>
      </c>
      <c r="N9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91" s="38" t="str">
        <f>_xlfn.XLOOKUP(Tabla2__2[[#This Row],[PREGUNTA]],ENCUESTA!G:G,ENCUESTA!H:H)</f>
        <v>SI</v>
      </c>
      <c r="P91" s="38">
        <f>IF(Tabla2__2[[#This Row],[RTA]]=Tabla2__2[[#This Row],[RTA CORRECTA]],Tabla2__2[[#This Row],[TOTAL PUNTAJE]],0)</f>
        <v>20</v>
      </c>
      <c r="Q91" s="38">
        <f t="shared" si="2"/>
        <v>0</v>
      </c>
      <c r="R91" s="38"/>
    </row>
    <row r="92" spans="1:18" x14ac:dyDescent="0.25">
      <c r="A92" s="38" t="s">
        <v>124</v>
      </c>
      <c r="B92" s="38" t="s">
        <v>131</v>
      </c>
      <c r="C92" t="s">
        <v>43</v>
      </c>
      <c r="D92" s="38" t="s">
        <v>132</v>
      </c>
      <c r="E92" s="38">
        <v>66552</v>
      </c>
      <c r="F92" s="38" t="s">
        <v>135</v>
      </c>
      <c r="G92" s="38" t="s">
        <v>94</v>
      </c>
      <c r="H92" s="38" t="s">
        <v>20</v>
      </c>
      <c r="I92" s="39"/>
      <c r="J92" s="38">
        <v>27474721</v>
      </c>
      <c r="K92" s="38" t="s">
        <v>142</v>
      </c>
      <c r="L92" s="38" t="str">
        <f>_xlfn.XLOOKUP(Tabla2__2[[#This Row],[CODIGO RUTA]],'DATA INFORME'!I:I,'DATA INFORME'!K:K)</f>
        <v>SI</v>
      </c>
      <c r="M92" s="38" t="str">
        <f>IF(Tabla2__2[[#This Row],[MYSTERY EFECTIVO]]="SI",_xlfn.XLOOKUP(Tabla2__2[[#This Row],[PREGUNTA]],ENCUESTA!G:G,ENCUESTA!D:D),"N/A")</f>
        <v>PRESENTACIÓN PERSONAL</v>
      </c>
      <c r="N9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2" s="38" t="str">
        <f>_xlfn.XLOOKUP(Tabla2__2[[#This Row],[PREGUNTA]],ENCUESTA!G:G,ENCUESTA!H:H)</f>
        <v>SI</v>
      </c>
      <c r="P92" s="38">
        <f>IF(Tabla2__2[[#This Row],[RTA]]=Tabla2__2[[#This Row],[RTA CORRECTA]],Tabla2__2[[#This Row],[TOTAL PUNTAJE]],0)</f>
        <v>1</v>
      </c>
      <c r="Q92" s="38">
        <f t="shared" si="2"/>
        <v>0</v>
      </c>
      <c r="R92" s="38"/>
    </row>
    <row r="93" spans="1:18" x14ac:dyDescent="0.25">
      <c r="A93" s="38" t="s">
        <v>124</v>
      </c>
      <c r="B93" s="38" t="s">
        <v>131</v>
      </c>
      <c r="C93" t="s">
        <v>43</v>
      </c>
      <c r="D93" s="38" t="s">
        <v>132</v>
      </c>
      <c r="E93" s="38">
        <v>66552</v>
      </c>
      <c r="F93" s="38" t="s">
        <v>135</v>
      </c>
      <c r="G93" s="38" t="s">
        <v>95</v>
      </c>
      <c r="H93" s="38" t="s">
        <v>20</v>
      </c>
      <c r="I93" s="39"/>
      <c r="J93" s="38">
        <v>27474721</v>
      </c>
      <c r="K93" s="38" t="s">
        <v>142</v>
      </c>
      <c r="L93" s="38" t="str">
        <f>_xlfn.XLOOKUP(Tabla2__2[[#This Row],[CODIGO RUTA]],'DATA INFORME'!I:I,'DATA INFORME'!K:K)</f>
        <v>SI</v>
      </c>
      <c r="M93" s="38" t="str">
        <f>IF(Tabla2__2[[#This Row],[MYSTERY EFECTIVO]]="SI",_xlfn.XLOOKUP(Tabla2__2[[#This Row],[PREGUNTA]],ENCUESTA!G:G,ENCUESTA!D:D),"N/A")</f>
        <v>PRESENTACIÓN PERSONAL</v>
      </c>
      <c r="N9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3" s="38" t="str">
        <f>_xlfn.XLOOKUP(Tabla2__2[[#This Row],[PREGUNTA]],ENCUESTA!G:G,ENCUESTA!H:H)</f>
        <v>SI</v>
      </c>
      <c r="P93" s="38">
        <f>IF(Tabla2__2[[#This Row],[RTA]]=Tabla2__2[[#This Row],[RTA CORRECTA]],Tabla2__2[[#This Row],[TOTAL PUNTAJE]],0)</f>
        <v>1</v>
      </c>
      <c r="Q93" s="38">
        <f t="shared" si="2"/>
        <v>0</v>
      </c>
      <c r="R93" s="38"/>
    </row>
    <row r="94" spans="1:18" x14ac:dyDescent="0.25">
      <c r="A94" s="38" t="s">
        <v>124</v>
      </c>
      <c r="B94" s="38" t="s">
        <v>131</v>
      </c>
      <c r="C94" t="s">
        <v>43</v>
      </c>
      <c r="D94" s="38" t="s">
        <v>132</v>
      </c>
      <c r="E94" s="38">
        <v>66552</v>
      </c>
      <c r="F94" s="38" t="s">
        <v>135</v>
      </c>
      <c r="G94" s="38" t="s">
        <v>35</v>
      </c>
      <c r="H94" s="38" t="s">
        <v>20</v>
      </c>
      <c r="I94" s="39"/>
      <c r="J94" s="38">
        <v>27474721</v>
      </c>
      <c r="K94" s="38" t="s">
        <v>142</v>
      </c>
      <c r="L94" s="38" t="str">
        <f>_xlfn.XLOOKUP(Tabla2__2[[#This Row],[CODIGO RUTA]],'DATA INFORME'!I:I,'DATA INFORME'!K:K)</f>
        <v>SI</v>
      </c>
      <c r="M94" s="38" t="str">
        <f>IF(Tabla2__2[[#This Row],[MYSTERY EFECTIVO]]="SI",_xlfn.XLOOKUP(Tabla2__2[[#This Row],[PREGUNTA]],ENCUESTA!G:G,ENCUESTA!D:D),"N/A")</f>
        <v>PRESENTACIÓN PERSONAL</v>
      </c>
      <c r="N9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4" s="38" t="str">
        <f>_xlfn.XLOOKUP(Tabla2__2[[#This Row],[PREGUNTA]],ENCUESTA!G:G,ENCUESTA!H:H)</f>
        <v>SI</v>
      </c>
      <c r="P94" s="38">
        <f>IF(Tabla2__2[[#This Row],[RTA]]=Tabla2__2[[#This Row],[RTA CORRECTA]],Tabla2__2[[#This Row],[TOTAL PUNTAJE]],0)</f>
        <v>1</v>
      </c>
      <c r="Q94" s="38">
        <f t="shared" si="2"/>
        <v>0</v>
      </c>
      <c r="R94" s="38"/>
    </row>
    <row r="95" spans="1:18" x14ac:dyDescent="0.25">
      <c r="A95" s="38" t="s">
        <v>124</v>
      </c>
      <c r="B95" s="38" t="s">
        <v>131</v>
      </c>
      <c r="C95" t="s">
        <v>43</v>
      </c>
      <c r="D95" s="38" t="s">
        <v>132</v>
      </c>
      <c r="E95" s="38">
        <v>66552</v>
      </c>
      <c r="F95" s="38" t="s">
        <v>135</v>
      </c>
      <c r="G95" s="38" t="s">
        <v>96</v>
      </c>
      <c r="H95" s="38" t="s">
        <v>122</v>
      </c>
      <c r="I95" s="39"/>
      <c r="J95" s="38">
        <v>27474721</v>
      </c>
      <c r="K95" s="38" t="s">
        <v>142</v>
      </c>
      <c r="L95" s="38" t="str">
        <f>_xlfn.XLOOKUP(Tabla2__2[[#This Row],[CODIGO RUTA]],'DATA INFORME'!I:I,'DATA INFORME'!K:K)</f>
        <v>SI</v>
      </c>
      <c r="M95" s="38" t="str">
        <f>IF(Tabla2__2[[#This Row],[MYSTERY EFECTIVO]]="SI",_xlfn.XLOOKUP(Tabla2__2[[#This Row],[PREGUNTA]],ENCUESTA!G:G,ENCUESTA!D:D),"N/A")</f>
        <v>PRESENTACIÓN PERSONAL</v>
      </c>
      <c r="N9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5" s="38" t="str">
        <f>_xlfn.XLOOKUP(Tabla2__2[[#This Row],[PREGUNTA]],ENCUESTA!G:G,ENCUESTA!H:H)</f>
        <v>NO</v>
      </c>
      <c r="P95" s="38">
        <f>IF(Tabla2__2[[#This Row],[RTA]]=Tabla2__2[[#This Row],[RTA CORRECTA]],Tabla2__2[[#This Row],[TOTAL PUNTAJE]],0)</f>
        <v>1</v>
      </c>
      <c r="Q95" s="38">
        <f t="shared" si="2"/>
        <v>0</v>
      </c>
      <c r="R95" s="38"/>
    </row>
    <row r="96" spans="1:18" x14ac:dyDescent="0.25">
      <c r="A96" s="38" t="s">
        <v>124</v>
      </c>
      <c r="B96" s="38" t="s">
        <v>131</v>
      </c>
      <c r="C96" t="s">
        <v>43</v>
      </c>
      <c r="D96" s="38" t="s">
        <v>132</v>
      </c>
      <c r="E96" s="38">
        <v>66552</v>
      </c>
      <c r="F96" s="38" t="s">
        <v>135</v>
      </c>
      <c r="G96" s="38" t="s">
        <v>97</v>
      </c>
      <c r="H96" s="38" t="s">
        <v>20</v>
      </c>
      <c r="I96" s="39"/>
      <c r="J96" s="38">
        <v>27474721</v>
      </c>
      <c r="K96" s="38" t="s">
        <v>142</v>
      </c>
      <c r="L96" s="38" t="str">
        <f>_xlfn.XLOOKUP(Tabla2__2[[#This Row],[CODIGO RUTA]],'DATA INFORME'!I:I,'DATA INFORME'!K:K)</f>
        <v>SI</v>
      </c>
      <c r="M96" s="38" t="str">
        <f>IF(Tabla2__2[[#This Row],[MYSTERY EFECTIVO]]="SI",_xlfn.XLOOKUP(Tabla2__2[[#This Row],[PREGUNTA]],ENCUESTA!G:G,ENCUESTA!D:D),"N/A")</f>
        <v>PRESENTACIÓN PERSONAL</v>
      </c>
      <c r="N9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6" s="38" t="str">
        <f>_xlfn.XLOOKUP(Tabla2__2[[#This Row],[PREGUNTA]],ENCUESTA!G:G,ENCUESTA!H:H)</f>
        <v>SI</v>
      </c>
      <c r="P96" s="38">
        <f>IF(Tabla2__2[[#This Row],[RTA]]=Tabla2__2[[#This Row],[RTA CORRECTA]],Tabla2__2[[#This Row],[TOTAL PUNTAJE]],0)</f>
        <v>1</v>
      </c>
      <c r="Q96" s="38">
        <f t="shared" si="2"/>
        <v>0</v>
      </c>
      <c r="R96" s="38"/>
    </row>
    <row r="97" spans="1:18" x14ac:dyDescent="0.25">
      <c r="A97" s="38" t="s">
        <v>124</v>
      </c>
      <c r="B97" s="38" t="s">
        <v>90</v>
      </c>
      <c r="C97" t="s">
        <v>43</v>
      </c>
      <c r="D97" s="38" t="s">
        <v>132</v>
      </c>
      <c r="E97" s="38">
        <v>12211</v>
      </c>
      <c r="F97" s="38" t="s">
        <v>165</v>
      </c>
      <c r="G97" s="38" t="s">
        <v>101</v>
      </c>
      <c r="H97" s="38" t="s">
        <v>122</v>
      </c>
      <c r="I97" s="39"/>
      <c r="J97" s="38">
        <v>27481191</v>
      </c>
      <c r="K97" s="38" t="s">
        <v>172</v>
      </c>
      <c r="L97" s="38" t="str">
        <f>_xlfn.XLOOKUP(Tabla2__2[[#This Row],[CODIGO RUTA]],'DATA INFORME'!I:I,'DATA INFORME'!K:K)</f>
        <v>SI</v>
      </c>
      <c r="M97" s="38" t="str">
        <f>IF(Tabla2__2[[#This Row],[MYSTERY EFECTIVO]]="SI",_xlfn.XLOOKUP(Tabla2__2[[#This Row],[PREGUNTA]],ENCUESTA!G:G,ENCUESTA!D:D),"N/A")</f>
        <v>PRESENTACIÓN PERSONAL</v>
      </c>
      <c r="N9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7" s="38" t="str">
        <f>_xlfn.XLOOKUP(Tabla2__2[[#This Row],[PREGUNTA]],ENCUESTA!G:G,ENCUESTA!H:H)</f>
        <v>NO</v>
      </c>
      <c r="P97" s="38">
        <f>IF(Tabla2__2[[#This Row],[RTA]]=Tabla2__2[[#This Row],[RTA CORRECTA]],Tabla2__2[[#This Row],[TOTAL PUNTAJE]],0)</f>
        <v>1</v>
      </c>
      <c r="Q97" s="38">
        <f t="shared" si="2"/>
        <v>0</v>
      </c>
      <c r="R97" s="38"/>
    </row>
    <row r="98" spans="1:18" x14ac:dyDescent="0.25">
      <c r="A98" s="38" t="s">
        <v>124</v>
      </c>
      <c r="B98" s="38" t="s">
        <v>131</v>
      </c>
      <c r="C98" t="s">
        <v>43</v>
      </c>
      <c r="D98" s="38" t="s">
        <v>132</v>
      </c>
      <c r="E98" s="38">
        <v>66552</v>
      </c>
      <c r="F98" s="38" t="s">
        <v>135</v>
      </c>
      <c r="G98" s="38" t="s">
        <v>98</v>
      </c>
      <c r="H98" s="38" t="s">
        <v>20</v>
      </c>
      <c r="I98" s="39"/>
      <c r="J98" s="38">
        <v>27474721</v>
      </c>
      <c r="K98" s="38" t="s">
        <v>142</v>
      </c>
      <c r="L98" s="38" t="str">
        <f>_xlfn.XLOOKUP(Tabla2__2[[#This Row],[CODIGO RUTA]],'DATA INFORME'!I:I,'DATA INFORME'!K:K)</f>
        <v>SI</v>
      </c>
      <c r="M98" s="38" t="str">
        <f>IF(Tabla2__2[[#This Row],[MYSTERY EFECTIVO]]="SI",_xlfn.XLOOKUP(Tabla2__2[[#This Row],[PREGUNTA]],ENCUESTA!G:G,ENCUESTA!D:D),"N/A")</f>
        <v>PRESENTACIÓN PERSONAL</v>
      </c>
      <c r="N9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8" s="38" t="str">
        <f>_xlfn.XLOOKUP(Tabla2__2[[#This Row],[PREGUNTA]],ENCUESTA!G:G,ENCUESTA!H:H)</f>
        <v>SI</v>
      </c>
      <c r="P98" s="38">
        <f>IF(Tabla2__2[[#This Row],[RTA]]=Tabla2__2[[#This Row],[RTA CORRECTA]],Tabla2__2[[#This Row],[TOTAL PUNTAJE]],0)</f>
        <v>1</v>
      </c>
      <c r="Q98" s="38">
        <f t="shared" ref="Q98:Q129" si="3">IF(OR(H98="Dog Chow húmedo",H98="Cat Chow húmedo",H98="Fancy Feast",H98="Felix",H98="Proplan húmedo",H98="One húmedo",H98="Snack Abrazzos",H98="Snak Dentalife",H98="Arenilla Tidy Cat"),N98,0)</f>
        <v>0</v>
      </c>
      <c r="R98" s="38"/>
    </row>
    <row r="99" spans="1:18" x14ac:dyDescent="0.25">
      <c r="A99" s="38" t="s">
        <v>124</v>
      </c>
      <c r="B99" s="38" t="s">
        <v>131</v>
      </c>
      <c r="C99" t="s">
        <v>43</v>
      </c>
      <c r="D99" s="38" t="s">
        <v>132</v>
      </c>
      <c r="E99" s="38">
        <v>66552</v>
      </c>
      <c r="F99" s="38" t="s">
        <v>135</v>
      </c>
      <c r="G99" s="38" t="s">
        <v>100</v>
      </c>
      <c r="H99" s="38" t="s">
        <v>122</v>
      </c>
      <c r="I99" s="39"/>
      <c r="J99" s="38">
        <v>27474721</v>
      </c>
      <c r="K99" s="38" t="s">
        <v>142</v>
      </c>
      <c r="L99" s="38" t="str">
        <f>_xlfn.XLOOKUP(Tabla2__2[[#This Row],[CODIGO RUTA]],'DATA INFORME'!I:I,'DATA INFORME'!K:K)</f>
        <v>SI</v>
      </c>
      <c r="M99" s="38" t="str">
        <f>IF(Tabla2__2[[#This Row],[MYSTERY EFECTIVO]]="SI",_xlfn.XLOOKUP(Tabla2__2[[#This Row],[PREGUNTA]],ENCUESTA!G:G,ENCUESTA!D:D),"N/A")</f>
        <v>PRESENTACIÓN PERSONAL</v>
      </c>
      <c r="N9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9" s="38" t="str">
        <f>_xlfn.XLOOKUP(Tabla2__2[[#This Row],[PREGUNTA]],ENCUESTA!G:G,ENCUESTA!H:H)</f>
        <v>NO</v>
      </c>
      <c r="P99" s="38">
        <f>IF(Tabla2__2[[#This Row],[RTA]]=Tabla2__2[[#This Row],[RTA CORRECTA]],Tabla2__2[[#This Row],[TOTAL PUNTAJE]],0)</f>
        <v>1</v>
      </c>
      <c r="Q99" s="38">
        <f t="shared" si="3"/>
        <v>0</v>
      </c>
      <c r="R99" s="38"/>
    </row>
    <row r="100" spans="1:18" x14ac:dyDescent="0.25">
      <c r="A100" s="38" t="s">
        <v>124</v>
      </c>
      <c r="B100" s="38" t="s">
        <v>131</v>
      </c>
      <c r="C100" t="s">
        <v>43</v>
      </c>
      <c r="D100" s="38" t="s">
        <v>132</v>
      </c>
      <c r="E100" s="38">
        <v>66552</v>
      </c>
      <c r="F100" s="38" t="s">
        <v>135</v>
      </c>
      <c r="G100" s="38" t="s">
        <v>101</v>
      </c>
      <c r="H100" s="38" t="s">
        <v>122</v>
      </c>
      <c r="I100" s="39"/>
      <c r="J100" s="38">
        <v>27474721</v>
      </c>
      <c r="K100" s="38" t="s">
        <v>142</v>
      </c>
      <c r="L100" s="38" t="str">
        <f>_xlfn.XLOOKUP(Tabla2__2[[#This Row],[CODIGO RUTA]],'DATA INFORME'!I:I,'DATA INFORME'!K:K)</f>
        <v>SI</v>
      </c>
      <c r="M100" s="38" t="str">
        <f>IF(Tabla2__2[[#This Row],[MYSTERY EFECTIVO]]="SI",_xlfn.XLOOKUP(Tabla2__2[[#This Row],[PREGUNTA]],ENCUESTA!G:G,ENCUESTA!D:D),"N/A")</f>
        <v>PRESENTACIÓN PERSONAL</v>
      </c>
      <c r="N10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0" s="38" t="str">
        <f>_xlfn.XLOOKUP(Tabla2__2[[#This Row],[PREGUNTA]],ENCUESTA!G:G,ENCUESTA!H:H)</f>
        <v>NO</v>
      </c>
      <c r="P100" s="38">
        <f>IF(Tabla2__2[[#This Row],[RTA]]=Tabla2__2[[#This Row],[RTA CORRECTA]],Tabla2__2[[#This Row],[TOTAL PUNTAJE]],0)</f>
        <v>1</v>
      </c>
      <c r="Q100" s="38">
        <f t="shared" si="3"/>
        <v>0</v>
      </c>
      <c r="R100" s="38"/>
    </row>
    <row r="101" spans="1:18" x14ac:dyDescent="0.25">
      <c r="A101" s="38" t="s">
        <v>124</v>
      </c>
      <c r="B101" s="38" t="s">
        <v>131</v>
      </c>
      <c r="C101" t="s">
        <v>43</v>
      </c>
      <c r="D101" s="38" t="s">
        <v>132</v>
      </c>
      <c r="E101" s="38">
        <v>66552</v>
      </c>
      <c r="F101" s="38" t="s">
        <v>135</v>
      </c>
      <c r="G101" s="38" t="s">
        <v>102</v>
      </c>
      <c r="H101" s="38" t="s">
        <v>122</v>
      </c>
      <c r="I101" s="39"/>
      <c r="J101" s="38">
        <v>27474721</v>
      </c>
      <c r="K101" s="38" t="s">
        <v>142</v>
      </c>
      <c r="L101" s="38" t="str">
        <f>_xlfn.XLOOKUP(Tabla2__2[[#This Row],[CODIGO RUTA]],'DATA INFORME'!I:I,'DATA INFORME'!K:K)</f>
        <v>SI</v>
      </c>
      <c r="M101" s="38" t="str">
        <f>IF(Tabla2__2[[#This Row],[MYSTERY EFECTIVO]]="SI",_xlfn.XLOOKUP(Tabla2__2[[#This Row],[PREGUNTA]],ENCUESTA!G:G,ENCUESTA!D:D),"N/A")</f>
        <v>PRESENTACIÓN PERSONAL</v>
      </c>
      <c r="N10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1" s="38" t="str">
        <f>_xlfn.XLOOKUP(Tabla2__2[[#This Row],[PREGUNTA]],ENCUESTA!G:G,ENCUESTA!H:H)</f>
        <v>NO</v>
      </c>
      <c r="P101" s="38">
        <f>IF(Tabla2__2[[#This Row],[RTA]]=Tabla2__2[[#This Row],[RTA CORRECTA]],Tabla2__2[[#This Row],[TOTAL PUNTAJE]],0)</f>
        <v>1</v>
      </c>
      <c r="Q101" s="38">
        <f t="shared" si="3"/>
        <v>0</v>
      </c>
      <c r="R101" s="38"/>
    </row>
    <row r="102" spans="1:18" x14ac:dyDescent="0.25">
      <c r="A102" s="38" t="s">
        <v>124</v>
      </c>
      <c r="B102" s="38" t="s">
        <v>131</v>
      </c>
      <c r="C102" t="s">
        <v>43</v>
      </c>
      <c r="D102" s="38" t="s">
        <v>132</v>
      </c>
      <c r="E102" s="38">
        <v>66552</v>
      </c>
      <c r="F102" s="38" t="s">
        <v>135</v>
      </c>
      <c r="G102" s="38" t="s">
        <v>103</v>
      </c>
      <c r="H102" s="38" t="s">
        <v>20</v>
      </c>
      <c r="I102" s="39"/>
      <c r="J102" s="38">
        <v>27474721</v>
      </c>
      <c r="K102" s="38" t="s">
        <v>142</v>
      </c>
      <c r="L102" s="38" t="str">
        <f>_xlfn.XLOOKUP(Tabla2__2[[#This Row],[CODIGO RUTA]],'DATA INFORME'!I:I,'DATA INFORME'!K:K)</f>
        <v>SI</v>
      </c>
      <c r="M102" s="38" t="str">
        <f>IF(Tabla2__2[[#This Row],[MYSTERY EFECTIVO]]="SI",_xlfn.XLOOKUP(Tabla2__2[[#This Row],[PREGUNTA]],ENCUESTA!G:G,ENCUESTA!D:D),"N/A")</f>
        <v>EJECUCIÓN DEL PDV</v>
      </c>
      <c r="N10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102" s="38" t="str">
        <f>_xlfn.XLOOKUP(Tabla2__2[[#This Row],[PREGUNTA]],ENCUESTA!G:G,ENCUESTA!H:H)</f>
        <v>SI</v>
      </c>
      <c r="P102" s="38">
        <f>IF(Tabla2__2[[#This Row],[RTA]]=Tabla2__2[[#This Row],[RTA CORRECTA]],Tabla2__2[[#This Row],[TOTAL PUNTAJE]],0)</f>
        <v>4.2857142857142856</v>
      </c>
      <c r="Q102" s="38">
        <f t="shared" si="3"/>
        <v>0</v>
      </c>
      <c r="R102" s="38"/>
    </row>
    <row r="103" spans="1:18" x14ac:dyDescent="0.25">
      <c r="A103" s="38" t="s">
        <v>124</v>
      </c>
      <c r="B103" s="38" t="s">
        <v>131</v>
      </c>
      <c r="C103" t="s">
        <v>43</v>
      </c>
      <c r="D103" s="38" t="s">
        <v>132</v>
      </c>
      <c r="E103" s="38">
        <v>66552</v>
      </c>
      <c r="F103" s="38" t="s">
        <v>135</v>
      </c>
      <c r="G103" s="38" t="s">
        <v>104</v>
      </c>
      <c r="H103" s="38" t="s">
        <v>20</v>
      </c>
      <c r="I103" s="39"/>
      <c r="J103" s="38">
        <v>27474721</v>
      </c>
      <c r="K103" s="38" t="s">
        <v>142</v>
      </c>
      <c r="L103" s="38" t="str">
        <f>_xlfn.XLOOKUP(Tabla2__2[[#This Row],[CODIGO RUTA]],'DATA INFORME'!I:I,'DATA INFORME'!K:K)</f>
        <v>SI</v>
      </c>
      <c r="M103" s="38" t="str">
        <f>IF(Tabla2__2[[#This Row],[MYSTERY EFECTIVO]]="SI",_xlfn.XLOOKUP(Tabla2__2[[#This Row],[PREGUNTA]],ENCUESTA!G:G,ENCUESTA!D:D),"N/A")</f>
        <v>EJECUCIÓN DEL PDV</v>
      </c>
      <c r="N10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103" s="38" t="str">
        <f>_xlfn.XLOOKUP(Tabla2__2[[#This Row],[PREGUNTA]],ENCUESTA!G:G,ENCUESTA!H:H)</f>
        <v>SI</v>
      </c>
      <c r="P103" s="38">
        <f>IF(Tabla2__2[[#This Row],[RTA]]=Tabla2__2[[#This Row],[RTA CORRECTA]],Tabla2__2[[#This Row],[TOTAL PUNTAJE]],0)</f>
        <v>4.2857142857142856</v>
      </c>
      <c r="Q103" s="38">
        <f t="shared" si="3"/>
        <v>0</v>
      </c>
      <c r="R103" s="38"/>
    </row>
    <row r="104" spans="1:18" x14ac:dyDescent="0.25">
      <c r="A104" s="38" t="s">
        <v>124</v>
      </c>
      <c r="B104" s="38" t="s">
        <v>131</v>
      </c>
      <c r="C104" t="s">
        <v>43</v>
      </c>
      <c r="D104" s="38" t="s">
        <v>132</v>
      </c>
      <c r="E104" s="38">
        <v>66552</v>
      </c>
      <c r="F104" s="38" t="s">
        <v>135</v>
      </c>
      <c r="G104" s="38" t="s">
        <v>105</v>
      </c>
      <c r="H104" s="38" t="s">
        <v>20</v>
      </c>
      <c r="I104" s="39"/>
      <c r="J104" s="38">
        <v>27474721</v>
      </c>
      <c r="K104" s="38" t="s">
        <v>142</v>
      </c>
      <c r="L104" s="38" t="str">
        <f>_xlfn.XLOOKUP(Tabla2__2[[#This Row],[CODIGO RUTA]],'DATA INFORME'!I:I,'DATA INFORME'!K:K)</f>
        <v>SI</v>
      </c>
      <c r="M104" s="38" t="str">
        <f>IF(Tabla2__2[[#This Row],[MYSTERY EFECTIVO]]="SI",_xlfn.XLOOKUP(Tabla2__2[[#This Row],[PREGUNTA]],ENCUESTA!G:G,ENCUESTA!D:D),"N/A")</f>
        <v>EJECUCIÓN DEL PDV</v>
      </c>
      <c r="N10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104" s="38" t="str">
        <f>_xlfn.XLOOKUP(Tabla2__2[[#This Row],[PREGUNTA]],ENCUESTA!G:G,ENCUESTA!H:H)</f>
        <v>SI</v>
      </c>
      <c r="P104" s="38">
        <f>IF(Tabla2__2[[#This Row],[RTA]]=Tabla2__2[[#This Row],[RTA CORRECTA]],Tabla2__2[[#This Row],[TOTAL PUNTAJE]],0)</f>
        <v>4.2857142857142856</v>
      </c>
      <c r="Q104" s="38">
        <f t="shared" si="3"/>
        <v>0</v>
      </c>
      <c r="R104" s="38"/>
    </row>
    <row r="105" spans="1:18" x14ac:dyDescent="0.25">
      <c r="A105" s="38" t="s">
        <v>124</v>
      </c>
      <c r="B105" s="38" t="s">
        <v>131</v>
      </c>
      <c r="C105" t="s">
        <v>43</v>
      </c>
      <c r="D105" s="38" t="s">
        <v>132</v>
      </c>
      <c r="E105" s="38">
        <v>66552</v>
      </c>
      <c r="F105" s="38" t="s">
        <v>135</v>
      </c>
      <c r="G105" s="38" t="s">
        <v>99</v>
      </c>
      <c r="H105" s="38" t="s">
        <v>122</v>
      </c>
      <c r="I105" s="39"/>
      <c r="J105" s="38">
        <v>27474721</v>
      </c>
      <c r="K105" s="38" t="s">
        <v>142</v>
      </c>
      <c r="L105" s="38" t="str">
        <f>_xlfn.XLOOKUP(Tabla2__2[[#This Row],[CODIGO RUTA]],'DATA INFORME'!I:I,'DATA INFORME'!K:K)</f>
        <v>SI</v>
      </c>
      <c r="M105" s="38" t="str">
        <f>IF(Tabla2__2[[#This Row],[MYSTERY EFECTIVO]]="SI",_xlfn.XLOOKUP(Tabla2__2[[#This Row],[PREGUNTA]],ENCUESTA!G:G,ENCUESTA!D:D),"N/A")</f>
        <v>PRESENTACIÓN PERSONAL</v>
      </c>
      <c r="N10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5" s="38" t="str">
        <f>_xlfn.XLOOKUP(Tabla2__2[[#This Row],[PREGUNTA]],ENCUESTA!G:G,ENCUESTA!H:H)</f>
        <v>NO</v>
      </c>
      <c r="P105" s="38">
        <f>IF(Tabla2__2[[#This Row],[RTA]]=Tabla2__2[[#This Row],[RTA CORRECTA]],Tabla2__2[[#This Row],[TOTAL PUNTAJE]],0)</f>
        <v>1</v>
      </c>
      <c r="Q105" s="38">
        <f t="shared" si="3"/>
        <v>0</v>
      </c>
      <c r="R105" s="38"/>
    </row>
    <row r="106" spans="1:18" x14ac:dyDescent="0.25">
      <c r="A106" s="38" t="s">
        <v>124</v>
      </c>
      <c r="B106" s="38" t="s">
        <v>90</v>
      </c>
      <c r="C106" t="s">
        <v>43</v>
      </c>
      <c r="D106" s="38" t="s">
        <v>132</v>
      </c>
      <c r="E106" s="38">
        <v>12211</v>
      </c>
      <c r="F106" s="38" t="s">
        <v>165</v>
      </c>
      <c r="G106" s="38" t="s">
        <v>102</v>
      </c>
      <c r="H106" s="38" t="s">
        <v>122</v>
      </c>
      <c r="I106" s="39"/>
      <c r="J106" s="38">
        <v>27481191</v>
      </c>
      <c r="K106" s="38" t="s">
        <v>172</v>
      </c>
      <c r="L106" s="38" t="str">
        <f>_xlfn.XLOOKUP(Tabla2__2[[#This Row],[CODIGO RUTA]],'DATA INFORME'!I:I,'DATA INFORME'!K:K)</f>
        <v>SI</v>
      </c>
      <c r="M106" s="38" t="str">
        <f>IF(Tabla2__2[[#This Row],[MYSTERY EFECTIVO]]="SI",_xlfn.XLOOKUP(Tabla2__2[[#This Row],[PREGUNTA]],ENCUESTA!G:G,ENCUESTA!D:D),"N/A")</f>
        <v>PRESENTACIÓN PERSONAL</v>
      </c>
      <c r="N10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6" s="38" t="str">
        <f>_xlfn.XLOOKUP(Tabla2__2[[#This Row],[PREGUNTA]],ENCUESTA!G:G,ENCUESTA!H:H)</f>
        <v>NO</v>
      </c>
      <c r="P106" s="38">
        <f>IF(Tabla2__2[[#This Row],[RTA]]=Tabla2__2[[#This Row],[RTA CORRECTA]],Tabla2__2[[#This Row],[TOTAL PUNTAJE]],0)</f>
        <v>1</v>
      </c>
      <c r="Q106" s="38">
        <f t="shared" si="3"/>
        <v>0</v>
      </c>
      <c r="R106" s="38"/>
    </row>
    <row r="107" spans="1:18" x14ac:dyDescent="0.25">
      <c r="A107" s="38" t="s">
        <v>124</v>
      </c>
      <c r="B107" s="38" t="s">
        <v>90</v>
      </c>
      <c r="C107" t="s">
        <v>43</v>
      </c>
      <c r="D107" s="38" t="s">
        <v>132</v>
      </c>
      <c r="E107" s="38">
        <v>12211</v>
      </c>
      <c r="F107" s="38" t="s">
        <v>165</v>
      </c>
      <c r="G107" s="38" t="s">
        <v>103</v>
      </c>
      <c r="H107" s="38" t="s">
        <v>20</v>
      </c>
      <c r="I107" s="39"/>
      <c r="J107" s="38">
        <v>27481191</v>
      </c>
      <c r="K107" s="38" t="s">
        <v>172</v>
      </c>
      <c r="L107" s="38" t="str">
        <f>_xlfn.XLOOKUP(Tabla2__2[[#This Row],[CODIGO RUTA]],'DATA INFORME'!I:I,'DATA INFORME'!K:K)</f>
        <v>SI</v>
      </c>
      <c r="M107" s="38" t="str">
        <f>IF(Tabla2__2[[#This Row],[MYSTERY EFECTIVO]]="SI",_xlfn.XLOOKUP(Tabla2__2[[#This Row],[PREGUNTA]],ENCUESTA!G:G,ENCUESTA!D:D),"N/A")</f>
        <v>EJECUCIÓN DEL PDV</v>
      </c>
      <c r="N10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107" s="38" t="str">
        <f>_xlfn.XLOOKUP(Tabla2__2[[#This Row],[PREGUNTA]],ENCUESTA!G:G,ENCUESTA!H:H)</f>
        <v>SI</v>
      </c>
      <c r="P107" s="38">
        <f>IF(Tabla2__2[[#This Row],[RTA]]=Tabla2__2[[#This Row],[RTA CORRECTA]],Tabla2__2[[#This Row],[TOTAL PUNTAJE]],0)</f>
        <v>4.2857142857142856</v>
      </c>
      <c r="Q107" s="38">
        <f t="shared" si="3"/>
        <v>0</v>
      </c>
      <c r="R107" s="38"/>
    </row>
    <row r="108" spans="1:18" x14ac:dyDescent="0.25">
      <c r="A108" s="38" t="s">
        <v>124</v>
      </c>
      <c r="B108" s="38" t="s">
        <v>90</v>
      </c>
      <c r="C108" t="s">
        <v>43</v>
      </c>
      <c r="D108" s="38" t="s">
        <v>132</v>
      </c>
      <c r="E108" s="38">
        <v>12211</v>
      </c>
      <c r="F108" s="38" t="s">
        <v>165</v>
      </c>
      <c r="G108" s="38" t="s">
        <v>104</v>
      </c>
      <c r="H108" s="38" t="s">
        <v>20</v>
      </c>
      <c r="I108" s="39"/>
      <c r="J108" s="38">
        <v>27481191</v>
      </c>
      <c r="K108" s="38" t="s">
        <v>172</v>
      </c>
      <c r="L108" s="38" t="str">
        <f>_xlfn.XLOOKUP(Tabla2__2[[#This Row],[CODIGO RUTA]],'DATA INFORME'!I:I,'DATA INFORME'!K:K)</f>
        <v>SI</v>
      </c>
      <c r="M108" s="38" t="str">
        <f>IF(Tabla2__2[[#This Row],[MYSTERY EFECTIVO]]="SI",_xlfn.XLOOKUP(Tabla2__2[[#This Row],[PREGUNTA]],ENCUESTA!G:G,ENCUESTA!D:D),"N/A")</f>
        <v>EJECUCIÓN DEL PDV</v>
      </c>
      <c r="N10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108" s="38" t="str">
        <f>_xlfn.XLOOKUP(Tabla2__2[[#This Row],[PREGUNTA]],ENCUESTA!G:G,ENCUESTA!H:H)</f>
        <v>SI</v>
      </c>
      <c r="P108" s="38">
        <f>IF(Tabla2__2[[#This Row],[RTA]]=Tabla2__2[[#This Row],[RTA CORRECTA]],Tabla2__2[[#This Row],[TOTAL PUNTAJE]],0)</f>
        <v>4.2857142857142856</v>
      </c>
      <c r="Q108" s="38">
        <f t="shared" si="3"/>
        <v>0</v>
      </c>
      <c r="R108" s="38"/>
    </row>
    <row r="109" spans="1:18" x14ac:dyDescent="0.25">
      <c r="A109" s="38" t="s">
        <v>124</v>
      </c>
      <c r="B109" s="38" t="s">
        <v>131</v>
      </c>
      <c r="C109" t="s">
        <v>15</v>
      </c>
      <c r="D109" s="38" t="s">
        <v>174</v>
      </c>
      <c r="E109" s="38">
        <v>55306</v>
      </c>
      <c r="F109" s="38" t="s">
        <v>176</v>
      </c>
      <c r="G109" s="38" t="s">
        <v>100</v>
      </c>
      <c r="H109" s="38" t="s">
        <v>122</v>
      </c>
      <c r="I109" s="39"/>
      <c r="J109" s="38">
        <v>27483590</v>
      </c>
      <c r="K109" s="38" t="s">
        <v>142</v>
      </c>
      <c r="L109" s="38" t="str">
        <f>_xlfn.XLOOKUP(Tabla2__2[[#This Row],[CODIGO RUTA]],'DATA INFORME'!I:I,'DATA INFORME'!K:K)</f>
        <v xml:space="preserve"> NO</v>
      </c>
      <c r="M109" s="38" t="str">
        <f>IF(Tabla2__2[[#This Row],[MYSTERY EFECTIVO]]="SI",_xlfn.XLOOKUP(Tabla2__2[[#This Row],[PREGUNTA]],ENCUESTA!G:G,ENCUESTA!D:D),"N/A")</f>
        <v>N/A</v>
      </c>
      <c r="N10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9" s="38" t="str">
        <f>_xlfn.XLOOKUP(Tabla2__2[[#This Row],[PREGUNTA]],ENCUESTA!G:G,ENCUESTA!H:H)</f>
        <v>NO</v>
      </c>
      <c r="P109" s="38">
        <f>IF(Tabla2__2[[#This Row],[RTA]]=Tabla2__2[[#This Row],[RTA CORRECTA]],Tabla2__2[[#This Row],[TOTAL PUNTAJE]],0)</f>
        <v>0</v>
      </c>
      <c r="Q109" s="38">
        <f t="shared" si="3"/>
        <v>0</v>
      </c>
      <c r="R109" s="38"/>
    </row>
    <row r="110" spans="1:18" x14ac:dyDescent="0.25">
      <c r="A110" s="38" t="s">
        <v>124</v>
      </c>
      <c r="B110" s="38" t="s">
        <v>131</v>
      </c>
      <c r="C110" t="s">
        <v>15</v>
      </c>
      <c r="D110" s="38" t="s">
        <v>174</v>
      </c>
      <c r="E110" s="38">
        <v>55306</v>
      </c>
      <c r="F110" s="38" t="s">
        <v>176</v>
      </c>
      <c r="G110" s="38" t="s">
        <v>101</v>
      </c>
      <c r="H110" s="38" t="s">
        <v>122</v>
      </c>
      <c r="I110" s="39"/>
      <c r="J110" s="38">
        <v>27483590</v>
      </c>
      <c r="K110" s="38" t="s">
        <v>142</v>
      </c>
      <c r="L110" s="38" t="str">
        <f>_xlfn.XLOOKUP(Tabla2__2[[#This Row],[CODIGO RUTA]],'DATA INFORME'!I:I,'DATA INFORME'!K:K)</f>
        <v xml:space="preserve"> NO</v>
      </c>
      <c r="M110" s="38" t="str">
        <f>IF(Tabla2__2[[#This Row],[MYSTERY EFECTIVO]]="SI",_xlfn.XLOOKUP(Tabla2__2[[#This Row],[PREGUNTA]],ENCUESTA!G:G,ENCUESTA!D:D),"N/A")</f>
        <v>N/A</v>
      </c>
      <c r="N11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0" s="38" t="str">
        <f>_xlfn.XLOOKUP(Tabla2__2[[#This Row],[PREGUNTA]],ENCUESTA!G:G,ENCUESTA!H:H)</f>
        <v>NO</v>
      </c>
      <c r="P110" s="38">
        <f>IF(Tabla2__2[[#This Row],[RTA]]=Tabla2__2[[#This Row],[RTA CORRECTA]],Tabla2__2[[#This Row],[TOTAL PUNTAJE]],0)</f>
        <v>0</v>
      </c>
      <c r="Q110" s="38">
        <f t="shared" si="3"/>
        <v>0</v>
      </c>
      <c r="R110" s="38"/>
    </row>
    <row r="111" spans="1:18" x14ac:dyDescent="0.25">
      <c r="A111" s="38" t="s">
        <v>124</v>
      </c>
      <c r="B111" s="38" t="s">
        <v>131</v>
      </c>
      <c r="C111" t="s">
        <v>15</v>
      </c>
      <c r="D111" s="38" t="s">
        <v>174</v>
      </c>
      <c r="E111" s="38">
        <v>55306</v>
      </c>
      <c r="F111" s="38" t="s">
        <v>176</v>
      </c>
      <c r="G111" s="38" t="s">
        <v>102</v>
      </c>
      <c r="H111" s="38" t="s">
        <v>122</v>
      </c>
      <c r="I111" s="39"/>
      <c r="J111" s="38">
        <v>27483590</v>
      </c>
      <c r="K111" s="38" t="s">
        <v>142</v>
      </c>
      <c r="L111" s="38" t="str">
        <f>_xlfn.XLOOKUP(Tabla2__2[[#This Row],[CODIGO RUTA]],'DATA INFORME'!I:I,'DATA INFORME'!K:K)</f>
        <v xml:space="preserve"> NO</v>
      </c>
      <c r="M111" s="38" t="str">
        <f>IF(Tabla2__2[[#This Row],[MYSTERY EFECTIVO]]="SI",_xlfn.XLOOKUP(Tabla2__2[[#This Row],[PREGUNTA]],ENCUESTA!G:G,ENCUESTA!D:D),"N/A")</f>
        <v>N/A</v>
      </c>
      <c r="N11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1" s="38" t="str">
        <f>_xlfn.XLOOKUP(Tabla2__2[[#This Row],[PREGUNTA]],ENCUESTA!G:G,ENCUESTA!H:H)</f>
        <v>NO</v>
      </c>
      <c r="P111" s="38">
        <f>IF(Tabla2__2[[#This Row],[RTA]]=Tabla2__2[[#This Row],[RTA CORRECTA]],Tabla2__2[[#This Row],[TOTAL PUNTAJE]],0)</f>
        <v>0</v>
      </c>
      <c r="Q111" s="38">
        <f t="shared" si="3"/>
        <v>0</v>
      </c>
      <c r="R111" s="38"/>
    </row>
    <row r="112" spans="1:18" x14ac:dyDescent="0.25">
      <c r="A112" s="38" t="s">
        <v>124</v>
      </c>
      <c r="B112" s="38" t="s">
        <v>131</v>
      </c>
      <c r="C112" t="s">
        <v>15</v>
      </c>
      <c r="D112" s="38" t="s">
        <v>174</v>
      </c>
      <c r="E112" s="38">
        <v>55306</v>
      </c>
      <c r="F112" s="38" t="s">
        <v>176</v>
      </c>
      <c r="G112" s="38" t="s">
        <v>103</v>
      </c>
      <c r="H112" s="38" t="s">
        <v>122</v>
      </c>
      <c r="I112" s="39"/>
      <c r="J112" s="38">
        <v>27483590</v>
      </c>
      <c r="K112" s="38" t="s">
        <v>142</v>
      </c>
      <c r="L112" s="38" t="str">
        <f>_xlfn.XLOOKUP(Tabla2__2[[#This Row],[CODIGO RUTA]],'DATA INFORME'!I:I,'DATA INFORME'!K:K)</f>
        <v xml:space="preserve"> NO</v>
      </c>
      <c r="M112" s="38" t="str">
        <f>IF(Tabla2__2[[#This Row],[MYSTERY EFECTIVO]]="SI",_xlfn.XLOOKUP(Tabla2__2[[#This Row],[PREGUNTA]],ENCUESTA!G:G,ENCUESTA!D:D),"N/A")</f>
        <v>N/A</v>
      </c>
      <c r="N11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2" s="38" t="str">
        <f>_xlfn.XLOOKUP(Tabla2__2[[#This Row],[PREGUNTA]],ENCUESTA!G:G,ENCUESTA!H:H)</f>
        <v>SI</v>
      </c>
      <c r="P112" s="38">
        <f>IF(Tabla2__2[[#This Row],[RTA]]=Tabla2__2[[#This Row],[RTA CORRECTA]],Tabla2__2[[#This Row],[TOTAL PUNTAJE]],0)</f>
        <v>0</v>
      </c>
      <c r="Q112" s="38">
        <f t="shared" si="3"/>
        <v>0</v>
      </c>
      <c r="R112" s="38"/>
    </row>
    <row r="113" spans="1:18" x14ac:dyDescent="0.25">
      <c r="A113" s="38" t="s">
        <v>124</v>
      </c>
      <c r="B113" s="38" t="s">
        <v>131</v>
      </c>
      <c r="C113" t="s">
        <v>15</v>
      </c>
      <c r="D113" s="38" t="s">
        <v>174</v>
      </c>
      <c r="E113" s="38">
        <v>55306</v>
      </c>
      <c r="F113" s="38" t="s">
        <v>176</v>
      </c>
      <c r="G113" s="38" t="s">
        <v>104</v>
      </c>
      <c r="H113" s="38" t="s">
        <v>122</v>
      </c>
      <c r="I113" s="39"/>
      <c r="J113" s="38">
        <v>27483590</v>
      </c>
      <c r="K113" s="38" t="s">
        <v>142</v>
      </c>
      <c r="L113" s="38" t="str">
        <f>_xlfn.XLOOKUP(Tabla2__2[[#This Row],[CODIGO RUTA]],'DATA INFORME'!I:I,'DATA INFORME'!K:K)</f>
        <v xml:space="preserve"> NO</v>
      </c>
      <c r="M113" s="38" t="str">
        <f>IF(Tabla2__2[[#This Row],[MYSTERY EFECTIVO]]="SI",_xlfn.XLOOKUP(Tabla2__2[[#This Row],[PREGUNTA]],ENCUESTA!G:G,ENCUESTA!D:D),"N/A")</f>
        <v>N/A</v>
      </c>
      <c r="N11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3" s="38" t="str">
        <f>_xlfn.XLOOKUP(Tabla2__2[[#This Row],[PREGUNTA]],ENCUESTA!G:G,ENCUESTA!H:H)</f>
        <v>SI</v>
      </c>
      <c r="P113" s="38">
        <f>IF(Tabla2__2[[#This Row],[RTA]]=Tabla2__2[[#This Row],[RTA CORRECTA]],Tabla2__2[[#This Row],[TOTAL PUNTAJE]],0)</f>
        <v>0</v>
      </c>
      <c r="Q113" s="38">
        <f t="shared" si="3"/>
        <v>0</v>
      </c>
      <c r="R113" s="38"/>
    </row>
    <row r="114" spans="1:18" x14ac:dyDescent="0.25">
      <c r="A114" s="38" t="s">
        <v>124</v>
      </c>
      <c r="B114" s="38" t="s">
        <v>131</v>
      </c>
      <c r="C114" t="s">
        <v>15</v>
      </c>
      <c r="D114" s="38" t="s">
        <v>174</v>
      </c>
      <c r="E114" s="38">
        <v>55306</v>
      </c>
      <c r="F114" s="38" t="s">
        <v>176</v>
      </c>
      <c r="G114" s="38" t="s">
        <v>105</v>
      </c>
      <c r="H114" s="38" t="s">
        <v>122</v>
      </c>
      <c r="I114" s="39"/>
      <c r="J114" s="38">
        <v>27483590</v>
      </c>
      <c r="K114" s="38" t="s">
        <v>142</v>
      </c>
      <c r="L114" s="38" t="str">
        <f>_xlfn.XLOOKUP(Tabla2__2[[#This Row],[CODIGO RUTA]],'DATA INFORME'!I:I,'DATA INFORME'!K:K)</f>
        <v xml:space="preserve"> NO</v>
      </c>
      <c r="M114" s="38" t="str">
        <f>IF(Tabla2__2[[#This Row],[MYSTERY EFECTIVO]]="SI",_xlfn.XLOOKUP(Tabla2__2[[#This Row],[PREGUNTA]],ENCUESTA!G:G,ENCUESTA!D:D),"N/A")</f>
        <v>N/A</v>
      </c>
      <c r="N11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4" s="38" t="str">
        <f>_xlfn.XLOOKUP(Tabla2__2[[#This Row],[PREGUNTA]],ENCUESTA!G:G,ENCUESTA!H:H)</f>
        <v>SI</v>
      </c>
      <c r="P114" s="38">
        <f>IF(Tabla2__2[[#This Row],[RTA]]=Tabla2__2[[#This Row],[RTA CORRECTA]],Tabla2__2[[#This Row],[TOTAL PUNTAJE]],0)</f>
        <v>0</v>
      </c>
      <c r="Q114" s="38">
        <f t="shared" si="3"/>
        <v>0</v>
      </c>
      <c r="R114" s="38"/>
    </row>
    <row r="115" spans="1:18" x14ac:dyDescent="0.25">
      <c r="A115" s="38" t="s">
        <v>124</v>
      </c>
      <c r="B115" s="38" t="s">
        <v>131</v>
      </c>
      <c r="C115" t="s">
        <v>15</v>
      </c>
      <c r="D115" s="38" t="s">
        <v>174</v>
      </c>
      <c r="E115" s="38">
        <v>55306</v>
      </c>
      <c r="F115" s="38" t="s">
        <v>176</v>
      </c>
      <c r="G115" s="38" t="s">
        <v>99</v>
      </c>
      <c r="H115" s="38" t="s">
        <v>122</v>
      </c>
      <c r="I115" s="39"/>
      <c r="J115" s="38">
        <v>27483590</v>
      </c>
      <c r="K115" s="38" t="s">
        <v>142</v>
      </c>
      <c r="L115" s="38" t="str">
        <f>_xlfn.XLOOKUP(Tabla2__2[[#This Row],[CODIGO RUTA]],'DATA INFORME'!I:I,'DATA INFORME'!K:K)</f>
        <v xml:space="preserve"> NO</v>
      </c>
      <c r="M115" s="38" t="str">
        <f>IF(Tabla2__2[[#This Row],[MYSTERY EFECTIVO]]="SI",_xlfn.XLOOKUP(Tabla2__2[[#This Row],[PREGUNTA]],ENCUESTA!G:G,ENCUESTA!D:D),"N/A")</f>
        <v>N/A</v>
      </c>
      <c r="N11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5" s="38" t="str">
        <f>_xlfn.XLOOKUP(Tabla2__2[[#This Row],[PREGUNTA]],ENCUESTA!G:G,ENCUESTA!H:H)</f>
        <v>NO</v>
      </c>
      <c r="P115" s="38">
        <f>IF(Tabla2__2[[#This Row],[RTA]]=Tabla2__2[[#This Row],[RTA CORRECTA]],Tabla2__2[[#This Row],[TOTAL PUNTAJE]],0)</f>
        <v>0</v>
      </c>
      <c r="Q115" s="38">
        <f t="shared" si="3"/>
        <v>0</v>
      </c>
      <c r="R115" s="38"/>
    </row>
    <row r="116" spans="1:18" x14ac:dyDescent="0.25">
      <c r="A116" s="38" t="s">
        <v>124</v>
      </c>
      <c r="B116" s="38" t="s">
        <v>131</v>
      </c>
      <c r="C116" t="s">
        <v>15</v>
      </c>
      <c r="D116" s="38" t="s">
        <v>174</v>
      </c>
      <c r="E116" s="38">
        <v>55306</v>
      </c>
      <c r="F116" s="38" t="s">
        <v>176</v>
      </c>
      <c r="G116" s="38" t="s">
        <v>106</v>
      </c>
      <c r="H116" s="38" t="s">
        <v>122</v>
      </c>
      <c r="I116" s="39"/>
      <c r="J116" s="38">
        <v>27483590</v>
      </c>
      <c r="K116" s="38" t="s">
        <v>142</v>
      </c>
      <c r="L116" s="38" t="str">
        <f>_xlfn.XLOOKUP(Tabla2__2[[#This Row],[CODIGO RUTA]],'DATA INFORME'!I:I,'DATA INFORME'!K:K)</f>
        <v xml:space="preserve"> NO</v>
      </c>
      <c r="M116" s="38" t="str">
        <f>IF(Tabla2__2[[#This Row],[MYSTERY EFECTIVO]]="SI",_xlfn.XLOOKUP(Tabla2__2[[#This Row],[PREGUNTA]],ENCUESTA!G:G,ENCUESTA!D:D),"N/A")</f>
        <v>N/A</v>
      </c>
      <c r="N11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6" s="38" t="str">
        <f>_xlfn.XLOOKUP(Tabla2__2[[#This Row],[PREGUNTA]],ENCUESTA!G:G,ENCUESTA!H:H)</f>
        <v>SI</v>
      </c>
      <c r="P116" s="38">
        <f>IF(Tabla2__2[[#This Row],[RTA]]=Tabla2__2[[#This Row],[RTA CORRECTA]],Tabla2__2[[#This Row],[TOTAL PUNTAJE]],0)</f>
        <v>0</v>
      </c>
      <c r="Q116" s="38">
        <f t="shared" si="3"/>
        <v>0</v>
      </c>
      <c r="R116" s="38"/>
    </row>
    <row r="117" spans="1:18" x14ac:dyDescent="0.25">
      <c r="A117" s="38" t="s">
        <v>124</v>
      </c>
      <c r="B117" s="38" t="s">
        <v>131</v>
      </c>
      <c r="C117" t="s">
        <v>15</v>
      </c>
      <c r="D117" s="38" t="s">
        <v>174</v>
      </c>
      <c r="E117" s="38">
        <v>55306</v>
      </c>
      <c r="F117" s="38" t="s">
        <v>176</v>
      </c>
      <c r="G117" s="38" t="s">
        <v>108</v>
      </c>
      <c r="H117" s="38" t="s">
        <v>122</v>
      </c>
      <c r="I117" s="39"/>
      <c r="J117" s="38">
        <v>27483590</v>
      </c>
      <c r="K117" s="38" t="s">
        <v>142</v>
      </c>
      <c r="L117" s="38" t="str">
        <f>_xlfn.XLOOKUP(Tabla2__2[[#This Row],[CODIGO RUTA]],'DATA INFORME'!I:I,'DATA INFORME'!K:K)</f>
        <v xml:space="preserve"> NO</v>
      </c>
      <c r="M117" s="38" t="str">
        <f>IF(Tabla2__2[[#This Row],[MYSTERY EFECTIVO]]="SI",_xlfn.XLOOKUP(Tabla2__2[[#This Row],[PREGUNTA]],ENCUESTA!G:G,ENCUESTA!D:D),"N/A")</f>
        <v>N/A</v>
      </c>
      <c r="N11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7" s="38" t="str">
        <f>_xlfn.XLOOKUP(Tabla2__2[[#This Row],[PREGUNTA]],ENCUESTA!G:G,ENCUESTA!H:H)</f>
        <v>SI</v>
      </c>
      <c r="P117" s="38">
        <f>IF(Tabla2__2[[#This Row],[RTA]]=Tabla2__2[[#This Row],[RTA CORRECTA]],Tabla2__2[[#This Row],[TOTAL PUNTAJE]],0)</f>
        <v>0</v>
      </c>
      <c r="Q117" s="38">
        <f t="shared" si="3"/>
        <v>0</v>
      </c>
      <c r="R117" s="38"/>
    </row>
    <row r="118" spans="1:18" x14ac:dyDescent="0.25">
      <c r="A118" s="38" t="s">
        <v>124</v>
      </c>
      <c r="B118" s="38" t="s">
        <v>131</v>
      </c>
      <c r="C118" t="s">
        <v>15</v>
      </c>
      <c r="D118" s="38" t="s">
        <v>174</v>
      </c>
      <c r="E118" s="38">
        <v>55306</v>
      </c>
      <c r="F118" s="38" t="s">
        <v>176</v>
      </c>
      <c r="G118" s="38" t="s">
        <v>109</v>
      </c>
      <c r="H118" s="38" t="s">
        <v>122</v>
      </c>
      <c r="I118" s="39"/>
      <c r="J118" s="38">
        <v>27483590</v>
      </c>
      <c r="K118" s="38" t="s">
        <v>142</v>
      </c>
      <c r="L118" s="38" t="str">
        <f>_xlfn.XLOOKUP(Tabla2__2[[#This Row],[CODIGO RUTA]],'DATA INFORME'!I:I,'DATA INFORME'!K:K)</f>
        <v xml:space="preserve"> NO</v>
      </c>
      <c r="M118" s="38" t="str">
        <f>IF(Tabla2__2[[#This Row],[MYSTERY EFECTIVO]]="SI",_xlfn.XLOOKUP(Tabla2__2[[#This Row],[PREGUNTA]],ENCUESTA!G:G,ENCUESTA!D:D),"N/A")</f>
        <v>N/A</v>
      </c>
      <c r="N11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8" s="38" t="str">
        <f>_xlfn.XLOOKUP(Tabla2__2[[#This Row],[PREGUNTA]],ENCUESTA!G:G,ENCUESTA!H:H)</f>
        <v>SI</v>
      </c>
      <c r="P118" s="38">
        <f>IF(Tabla2__2[[#This Row],[RTA]]=Tabla2__2[[#This Row],[RTA CORRECTA]],Tabla2__2[[#This Row],[TOTAL PUNTAJE]],0)</f>
        <v>0</v>
      </c>
      <c r="Q118" s="38">
        <f t="shared" si="3"/>
        <v>0</v>
      </c>
      <c r="R118" s="38"/>
    </row>
    <row r="119" spans="1:18" x14ac:dyDescent="0.25">
      <c r="A119" s="38" t="s">
        <v>124</v>
      </c>
      <c r="B119" s="38" t="s">
        <v>131</v>
      </c>
      <c r="C119" t="s">
        <v>15</v>
      </c>
      <c r="D119" s="38" t="s">
        <v>174</v>
      </c>
      <c r="E119" s="38">
        <v>55306</v>
      </c>
      <c r="F119" s="38" t="s">
        <v>176</v>
      </c>
      <c r="G119" s="38" t="s">
        <v>110</v>
      </c>
      <c r="H119" s="38" t="s">
        <v>15</v>
      </c>
      <c r="I119" s="39"/>
      <c r="J119" s="38">
        <v>27483590</v>
      </c>
      <c r="K119" s="38" t="s">
        <v>142</v>
      </c>
      <c r="L119" s="38" t="str">
        <f>_xlfn.XLOOKUP(Tabla2__2[[#This Row],[CODIGO RUTA]],'DATA INFORME'!I:I,'DATA INFORME'!K:K)</f>
        <v xml:space="preserve"> NO</v>
      </c>
      <c r="M119" s="38" t="str">
        <f>IF(Tabla2__2[[#This Row],[MYSTERY EFECTIVO]]="SI",_xlfn.XLOOKUP(Tabla2__2[[#This Row],[PREGUNTA]],ENCUESTA!G:G,ENCUESTA!D:D),"N/A")</f>
        <v>N/A</v>
      </c>
      <c r="N11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9" s="38" t="str">
        <f>_xlfn.XLOOKUP(Tabla2__2[[#This Row],[PREGUNTA]],ENCUESTA!G:G,ENCUESTA!H:H)</f>
        <v>MODERNO, TRADICIONAL</v>
      </c>
      <c r="P119" s="38">
        <f>IF(Tabla2__2[[#This Row],[RTA]]=Tabla2__2[[#This Row],[RTA CORRECTA]],Tabla2__2[[#This Row],[TOTAL PUNTAJE]],0)</f>
        <v>0</v>
      </c>
      <c r="Q119" s="38">
        <f t="shared" si="3"/>
        <v>0</v>
      </c>
      <c r="R119" s="38"/>
    </row>
    <row r="120" spans="1:18" x14ac:dyDescent="0.25">
      <c r="A120" s="38" t="s">
        <v>124</v>
      </c>
      <c r="B120" s="38" t="s">
        <v>131</v>
      </c>
      <c r="C120" t="s">
        <v>15</v>
      </c>
      <c r="D120" s="38" t="s">
        <v>174</v>
      </c>
      <c r="E120" s="38">
        <v>55306</v>
      </c>
      <c r="F120" s="38" t="s">
        <v>176</v>
      </c>
      <c r="G120" s="38" t="s">
        <v>111</v>
      </c>
      <c r="H120" s="38" t="s">
        <v>122</v>
      </c>
      <c r="I120" s="39"/>
      <c r="J120" s="38">
        <v>27483590</v>
      </c>
      <c r="K120" s="38" t="s">
        <v>142</v>
      </c>
      <c r="L120" s="38" t="str">
        <f>_xlfn.XLOOKUP(Tabla2__2[[#This Row],[CODIGO RUTA]],'DATA INFORME'!I:I,'DATA INFORME'!K:K)</f>
        <v xml:space="preserve"> NO</v>
      </c>
      <c r="M120" s="38" t="str">
        <f>IF(Tabla2__2[[#This Row],[MYSTERY EFECTIVO]]="SI",_xlfn.XLOOKUP(Tabla2__2[[#This Row],[PREGUNTA]],ENCUESTA!G:G,ENCUESTA!D:D),"N/A")</f>
        <v>N/A</v>
      </c>
      <c r="N12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0" s="38" t="str">
        <f>_xlfn.XLOOKUP(Tabla2__2[[#This Row],[PREGUNTA]],ENCUESTA!G:G,ENCUESTA!H:H)</f>
        <v>SI</v>
      </c>
      <c r="P120" s="38">
        <f>IF(Tabla2__2[[#This Row],[RTA]]=Tabla2__2[[#This Row],[RTA CORRECTA]],Tabla2__2[[#This Row],[TOTAL PUNTAJE]],0)</f>
        <v>0</v>
      </c>
      <c r="Q120" s="38">
        <f t="shared" si="3"/>
        <v>0</v>
      </c>
      <c r="R120" s="38"/>
    </row>
    <row r="121" spans="1:18" x14ac:dyDescent="0.25">
      <c r="A121" s="38" t="s">
        <v>124</v>
      </c>
      <c r="B121" s="38" t="s">
        <v>131</v>
      </c>
      <c r="C121" t="s">
        <v>15</v>
      </c>
      <c r="D121" s="38" t="s">
        <v>174</v>
      </c>
      <c r="E121" s="38">
        <v>55306</v>
      </c>
      <c r="F121" s="38" t="s">
        <v>176</v>
      </c>
      <c r="G121" s="38" t="s">
        <v>112</v>
      </c>
      <c r="H121" s="38" t="s">
        <v>122</v>
      </c>
      <c r="I121" s="39"/>
      <c r="J121" s="38">
        <v>27483590</v>
      </c>
      <c r="K121" s="38" t="s">
        <v>142</v>
      </c>
      <c r="L121" s="38" t="str">
        <f>_xlfn.XLOOKUP(Tabla2__2[[#This Row],[CODIGO RUTA]],'DATA INFORME'!I:I,'DATA INFORME'!K:K)</f>
        <v xml:space="preserve"> NO</v>
      </c>
      <c r="M121" s="38" t="str">
        <f>IF(Tabla2__2[[#This Row],[MYSTERY EFECTIVO]]="SI",_xlfn.XLOOKUP(Tabla2__2[[#This Row],[PREGUNTA]],ENCUESTA!G:G,ENCUESTA!D:D),"N/A")</f>
        <v>N/A</v>
      </c>
      <c r="N12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1" s="38" t="str">
        <f>_xlfn.XLOOKUP(Tabla2__2[[#This Row],[PREGUNTA]],ENCUESTA!G:G,ENCUESTA!H:H)</f>
        <v>SI</v>
      </c>
      <c r="P121" s="38">
        <f>IF(Tabla2__2[[#This Row],[RTA]]=Tabla2__2[[#This Row],[RTA CORRECTA]],Tabla2__2[[#This Row],[TOTAL PUNTAJE]],0)</f>
        <v>0</v>
      </c>
      <c r="Q121" s="38">
        <f t="shared" si="3"/>
        <v>0</v>
      </c>
      <c r="R121" s="38"/>
    </row>
    <row r="122" spans="1:18" x14ac:dyDescent="0.25">
      <c r="A122" s="38" t="s">
        <v>124</v>
      </c>
      <c r="B122" s="38" t="s">
        <v>131</v>
      </c>
      <c r="C122" t="s">
        <v>15</v>
      </c>
      <c r="D122" s="38" t="s">
        <v>174</v>
      </c>
      <c r="E122" s="38">
        <v>55306</v>
      </c>
      <c r="F122" s="38" t="s">
        <v>176</v>
      </c>
      <c r="G122" s="38" t="s">
        <v>116</v>
      </c>
      <c r="H122" s="38" t="s">
        <v>20</v>
      </c>
      <c r="I122" s="39"/>
      <c r="J122" s="38">
        <v>27483590</v>
      </c>
      <c r="K122" s="38" t="s">
        <v>142</v>
      </c>
      <c r="L122" s="38" t="str">
        <f>_xlfn.XLOOKUP(Tabla2__2[[#This Row],[CODIGO RUTA]],'DATA INFORME'!I:I,'DATA INFORME'!K:K)</f>
        <v xml:space="preserve"> NO</v>
      </c>
      <c r="M122" s="38" t="str">
        <f>IF(Tabla2__2[[#This Row],[MYSTERY EFECTIVO]]="SI",_xlfn.XLOOKUP(Tabla2__2[[#This Row],[PREGUNTA]],ENCUESTA!G:G,ENCUESTA!D:D),"N/A")</f>
        <v>N/A</v>
      </c>
      <c r="N12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2" s="38">
        <f>_xlfn.XLOOKUP(Tabla2__2[[#This Row],[PREGUNTA]],ENCUESTA!G:G,ENCUESTA!H:H)</f>
        <v>0</v>
      </c>
      <c r="P122" s="38">
        <f>IF(Tabla2__2[[#This Row],[RTA]]=Tabla2__2[[#This Row],[RTA CORRECTA]],Tabla2__2[[#This Row],[TOTAL PUNTAJE]],0)</f>
        <v>0</v>
      </c>
      <c r="Q122" s="38">
        <f t="shared" si="3"/>
        <v>0</v>
      </c>
      <c r="R122" s="38"/>
    </row>
    <row r="123" spans="1:18" x14ac:dyDescent="0.25">
      <c r="A123" s="38" t="s">
        <v>124</v>
      </c>
      <c r="B123" s="38" t="s">
        <v>131</v>
      </c>
      <c r="C123" t="s">
        <v>15</v>
      </c>
      <c r="D123" s="38" t="s">
        <v>174</v>
      </c>
      <c r="E123" s="38">
        <v>55306</v>
      </c>
      <c r="F123" s="38" t="s">
        <v>176</v>
      </c>
      <c r="G123" s="38" t="s">
        <v>107</v>
      </c>
      <c r="H123" s="38" t="s">
        <v>122</v>
      </c>
      <c r="I123" s="39"/>
      <c r="J123" s="38">
        <v>27483590</v>
      </c>
      <c r="K123" s="38" t="s">
        <v>142</v>
      </c>
      <c r="L123" s="38" t="str">
        <f>_xlfn.XLOOKUP(Tabla2__2[[#This Row],[CODIGO RUTA]],'DATA INFORME'!I:I,'DATA INFORME'!K:K)</f>
        <v xml:space="preserve"> NO</v>
      </c>
      <c r="M123" s="38" t="str">
        <f>IF(Tabla2__2[[#This Row],[MYSTERY EFECTIVO]]="SI",_xlfn.XLOOKUP(Tabla2__2[[#This Row],[PREGUNTA]],ENCUESTA!G:G,ENCUESTA!D:D),"N/A")</f>
        <v>N/A</v>
      </c>
      <c r="N12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3" s="38" t="str">
        <f>_xlfn.XLOOKUP(Tabla2__2[[#This Row],[PREGUNTA]],ENCUESTA!G:G,ENCUESTA!H:H)</f>
        <v>SI</v>
      </c>
      <c r="P123" s="38">
        <f>IF(Tabla2__2[[#This Row],[RTA]]=Tabla2__2[[#This Row],[RTA CORRECTA]],Tabla2__2[[#This Row],[TOTAL PUNTAJE]],0)</f>
        <v>0</v>
      </c>
      <c r="Q123" s="38">
        <f t="shared" si="3"/>
        <v>0</v>
      </c>
      <c r="R123" s="38"/>
    </row>
    <row r="124" spans="1:18" x14ac:dyDescent="0.25">
      <c r="A124" s="38" t="s">
        <v>124</v>
      </c>
      <c r="B124" s="38" t="s">
        <v>131</v>
      </c>
      <c r="C124" t="s">
        <v>15</v>
      </c>
      <c r="D124" s="38" t="s">
        <v>174</v>
      </c>
      <c r="E124" s="38">
        <v>456498</v>
      </c>
      <c r="F124" s="38" t="s">
        <v>184</v>
      </c>
      <c r="G124" s="38" t="s">
        <v>92</v>
      </c>
      <c r="H124" s="38" t="s">
        <v>122</v>
      </c>
      <c r="I124" s="39"/>
      <c r="J124" s="38">
        <v>27493916</v>
      </c>
      <c r="K124" s="38" t="s">
        <v>142</v>
      </c>
      <c r="L124" s="38" t="str">
        <f>_xlfn.XLOOKUP(Tabla2__2[[#This Row],[CODIGO RUTA]],'DATA INFORME'!I:I,'DATA INFORME'!K:K)</f>
        <v xml:space="preserve"> NO</v>
      </c>
      <c r="M124" s="38" t="str">
        <f>IF(Tabla2__2[[#This Row],[MYSTERY EFECTIVO]]="SI",_xlfn.XLOOKUP(Tabla2__2[[#This Row],[PREGUNTA]],ENCUESTA!G:G,ENCUESTA!D:D),"N/A")</f>
        <v>N/A</v>
      </c>
      <c r="N12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4" s="38">
        <f>_xlfn.XLOOKUP(Tabla2__2[[#This Row],[PREGUNTA]],ENCUESTA!G:G,ENCUESTA!H:H)</f>
        <v>0</v>
      </c>
      <c r="P124" s="38">
        <f>IF(Tabla2__2[[#This Row],[RTA]]=Tabla2__2[[#This Row],[RTA CORRECTA]],Tabla2__2[[#This Row],[TOTAL PUNTAJE]],0)</f>
        <v>0</v>
      </c>
      <c r="Q124" s="38">
        <f t="shared" si="3"/>
        <v>0</v>
      </c>
      <c r="R124" s="38"/>
    </row>
    <row r="125" spans="1:18" x14ac:dyDescent="0.25">
      <c r="A125" s="38" t="s">
        <v>124</v>
      </c>
      <c r="B125" s="38" t="s">
        <v>131</v>
      </c>
      <c r="C125" t="s">
        <v>15</v>
      </c>
      <c r="D125" s="38" t="s">
        <v>174</v>
      </c>
      <c r="E125" s="38">
        <v>55306</v>
      </c>
      <c r="F125" s="38" t="s">
        <v>176</v>
      </c>
      <c r="G125" s="38" t="s">
        <v>98</v>
      </c>
      <c r="H125" s="38" t="s">
        <v>122</v>
      </c>
      <c r="I125" s="39"/>
      <c r="J125" s="38">
        <v>27483590</v>
      </c>
      <c r="K125" s="38" t="s">
        <v>142</v>
      </c>
      <c r="L125" s="38" t="str">
        <f>_xlfn.XLOOKUP(Tabla2__2[[#This Row],[CODIGO RUTA]],'DATA INFORME'!I:I,'DATA INFORME'!K:K)</f>
        <v xml:space="preserve"> NO</v>
      </c>
      <c r="M125" s="38" t="str">
        <f>IF(Tabla2__2[[#This Row],[MYSTERY EFECTIVO]]="SI",_xlfn.XLOOKUP(Tabla2__2[[#This Row],[PREGUNTA]],ENCUESTA!G:G,ENCUESTA!D:D),"N/A")</f>
        <v>N/A</v>
      </c>
      <c r="N12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5" s="38" t="str">
        <f>_xlfn.XLOOKUP(Tabla2__2[[#This Row],[PREGUNTA]],ENCUESTA!G:G,ENCUESTA!H:H)</f>
        <v>SI</v>
      </c>
      <c r="P125" s="38">
        <f>IF(Tabla2__2[[#This Row],[RTA]]=Tabla2__2[[#This Row],[RTA CORRECTA]],Tabla2__2[[#This Row],[TOTAL PUNTAJE]],0)</f>
        <v>0</v>
      </c>
      <c r="Q125" s="38">
        <f t="shared" si="3"/>
        <v>0</v>
      </c>
      <c r="R125" s="38"/>
    </row>
    <row r="126" spans="1:18" x14ac:dyDescent="0.25">
      <c r="A126" s="38" t="s">
        <v>124</v>
      </c>
      <c r="B126" s="38" t="s">
        <v>131</v>
      </c>
      <c r="C126" t="s">
        <v>15</v>
      </c>
      <c r="D126" s="38" t="s">
        <v>174</v>
      </c>
      <c r="E126" s="38">
        <v>55306</v>
      </c>
      <c r="F126" s="38" t="s">
        <v>176</v>
      </c>
      <c r="G126" s="38" t="s">
        <v>96</v>
      </c>
      <c r="H126" s="38" t="s">
        <v>122</v>
      </c>
      <c r="I126" s="39"/>
      <c r="J126" s="38">
        <v>27483590</v>
      </c>
      <c r="K126" s="38" t="s">
        <v>142</v>
      </c>
      <c r="L126" s="38" t="str">
        <f>_xlfn.XLOOKUP(Tabla2__2[[#This Row],[CODIGO RUTA]],'DATA INFORME'!I:I,'DATA INFORME'!K:K)</f>
        <v xml:space="preserve"> NO</v>
      </c>
      <c r="M126" s="38" t="str">
        <f>IF(Tabla2__2[[#This Row],[MYSTERY EFECTIVO]]="SI",_xlfn.XLOOKUP(Tabla2__2[[#This Row],[PREGUNTA]],ENCUESTA!G:G,ENCUESTA!D:D),"N/A")</f>
        <v>N/A</v>
      </c>
      <c r="N12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6" s="38" t="str">
        <f>_xlfn.XLOOKUP(Tabla2__2[[#This Row],[PREGUNTA]],ENCUESTA!G:G,ENCUESTA!H:H)</f>
        <v>NO</v>
      </c>
      <c r="P126" s="38">
        <f>IF(Tabla2__2[[#This Row],[RTA]]=Tabla2__2[[#This Row],[RTA CORRECTA]],Tabla2__2[[#This Row],[TOTAL PUNTAJE]],0)</f>
        <v>0</v>
      </c>
      <c r="Q126" s="38">
        <f t="shared" si="3"/>
        <v>0</v>
      </c>
      <c r="R126" s="38"/>
    </row>
    <row r="127" spans="1:18" x14ac:dyDescent="0.25">
      <c r="A127" s="38" t="s">
        <v>124</v>
      </c>
      <c r="B127" s="38" t="s">
        <v>90</v>
      </c>
      <c r="C127" t="s">
        <v>43</v>
      </c>
      <c r="D127" s="38" t="s">
        <v>132</v>
      </c>
      <c r="E127" s="38">
        <v>12211</v>
      </c>
      <c r="F127" s="38" t="s">
        <v>165</v>
      </c>
      <c r="G127" s="38" t="s">
        <v>105</v>
      </c>
      <c r="H127" s="38" t="s">
        <v>20</v>
      </c>
      <c r="I127" s="39"/>
      <c r="J127" s="38">
        <v>27481191</v>
      </c>
      <c r="K127" s="38" t="s">
        <v>172</v>
      </c>
      <c r="L127" s="38" t="str">
        <f>_xlfn.XLOOKUP(Tabla2__2[[#This Row],[CODIGO RUTA]],'DATA INFORME'!I:I,'DATA INFORME'!K:K)</f>
        <v>SI</v>
      </c>
      <c r="M127" s="38" t="str">
        <f>IF(Tabla2__2[[#This Row],[MYSTERY EFECTIVO]]="SI",_xlfn.XLOOKUP(Tabla2__2[[#This Row],[PREGUNTA]],ENCUESTA!G:G,ENCUESTA!D:D),"N/A")</f>
        <v>EJECUCIÓN DEL PDV</v>
      </c>
      <c r="N12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127" s="38" t="str">
        <f>_xlfn.XLOOKUP(Tabla2__2[[#This Row],[PREGUNTA]],ENCUESTA!G:G,ENCUESTA!H:H)</f>
        <v>SI</v>
      </c>
      <c r="P127" s="38">
        <f>IF(Tabla2__2[[#This Row],[RTA]]=Tabla2__2[[#This Row],[RTA CORRECTA]],Tabla2__2[[#This Row],[TOTAL PUNTAJE]],0)</f>
        <v>4.2857142857142856</v>
      </c>
      <c r="Q127" s="38">
        <f t="shared" si="3"/>
        <v>0</v>
      </c>
      <c r="R127" s="38"/>
    </row>
    <row r="128" spans="1:18" x14ac:dyDescent="0.25">
      <c r="A128" s="38" t="s">
        <v>124</v>
      </c>
      <c r="B128" s="38" t="s">
        <v>90</v>
      </c>
      <c r="C128" t="s">
        <v>43</v>
      </c>
      <c r="D128" s="38" t="s">
        <v>132</v>
      </c>
      <c r="E128" s="38">
        <v>12211</v>
      </c>
      <c r="F128" s="38" t="s">
        <v>165</v>
      </c>
      <c r="G128" s="38" t="s">
        <v>106</v>
      </c>
      <c r="H128" s="38" t="s">
        <v>20</v>
      </c>
      <c r="I128" s="39"/>
      <c r="J128" s="38">
        <v>27481191</v>
      </c>
      <c r="K128" s="38" t="s">
        <v>172</v>
      </c>
      <c r="L128" s="38" t="str">
        <f>_xlfn.XLOOKUP(Tabla2__2[[#This Row],[CODIGO RUTA]],'DATA INFORME'!I:I,'DATA INFORME'!K:K)</f>
        <v>SI</v>
      </c>
      <c r="M128" s="38" t="str">
        <f>IF(Tabla2__2[[#This Row],[MYSTERY EFECTIVO]]="SI",_xlfn.XLOOKUP(Tabla2__2[[#This Row],[PREGUNTA]],ENCUESTA!G:G,ENCUESTA!D:D),"N/A")</f>
        <v>EJECUCIÓN DEL PDV</v>
      </c>
      <c r="N12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128" s="38" t="str">
        <f>_xlfn.XLOOKUP(Tabla2__2[[#This Row],[PREGUNTA]],ENCUESTA!G:G,ENCUESTA!H:H)</f>
        <v>SI</v>
      </c>
      <c r="P128" s="38">
        <f>IF(Tabla2__2[[#This Row],[RTA]]=Tabla2__2[[#This Row],[RTA CORRECTA]],Tabla2__2[[#This Row],[TOTAL PUNTAJE]],0)</f>
        <v>4.2857142857142856</v>
      </c>
      <c r="Q128" s="38">
        <f t="shared" si="3"/>
        <v>0</v>
      </c>
      <c r="R128" s="38"/>
    </row>
    <row r="129" spans="1:18" x14ac:dyDescent="0.25">
      <c r="A129" s="38" t="s">
        <v>124</v>
      </c>
      <c r="B129" s="38" t="s">
        <v>90</v>
      </c>
      <c r="C129" t="s">
        <v>43</v>
      </c>
      <c r="D129" s="38" t="s">
        <v>132</v>
      </c>
      <c r="E129" s="38">
        <v>12211</v>
      </c>
      <c r="F129" s="38" t="s">
        <v>165</v>
      </c>
      <c r="G129" s="38" t="s">
        <v>107</v>
      </c>
      <c r="H129" s="38" t="s">
        <v>20</v>
      </c>
      <c r="I129" s="39"/>
      <c r="J129" s="38">
        <v>27481191</v>
      </c>
      <c r="K129" s="38" t="s">
        <v>172</v>
      </c>
      <c r="L129" s="38" t="str">
        <f>_xlfn.XLOOKUP(Tabla2__2[[#This Row],[CODIGO RUTA]],'DATA INFORME'!I:I,'DATA INFORME'!K:K)</f>
        <v>SI</v>
      </c>
      <c r="M129" s="38" t="str">
        <f>IF(Tabla2__2[[#This Row],[MYSTERY EFECTIVO]]="SI",_xlfn.XLOOKUP(Tabla2__2[[#This Row],[PREGUNTA]],ENCUESTA!G:G,ENCUESTA!D:D),"N/A")</f>
        <v>EJECUCIÓN DEL PDV</v>
      </c>
      <c r="N12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129" s="38" t="str">
        <f>_xlfn.XLOOKUP(Tabla2__2[[#This Row],[PREGUNTA]],ENCUESTA!G:G,ENCUESTA!H:H)</f>
        <v>SI</v>
      </c>
      <c r="P129" s="38">
        <f>IF(Tabla2__2[[#This Row],[RTA]]=Tabla2__2[[#This Row],[RTA CORRECTA]],Tabla2__2[[#This Row],[TOTAL PUNTAJE]],0)</f>
        <v>4.2857142857142856</v>
      </c>
      <c r="Q129" s="38">
        <f t="shared" si="3"/>
        <v>0</v>
      </c>
      <c r="R129" s="38"/>
    </row>
    <row r="130" spans="1:18" x14ac:dyDescent="0.25">
      <c r="A130" s="38" t="s">
        <v>124</v>
      </c>
      <c r="B130" s="38" t="s">
        <v>90</v>
      </c>
      <c r="C130" t="s">
        <v>43</v>
      </c>
      <c r="D130" s="38" t="s">
        <v>132</v>
      </c>
      <c r="E130" s="38">
        <v>12211</v>
      </c>
      <c r="F130" s="38" t="s">
        <v>165</v>
      </c>
      <c r="G130" s="38" t="s">
        <v>108</v>
      </c>
      <c r="H130" s="38" t="s">
        <v>20</v>
      </c>
      <c r="I130" s="39"/>
      <c r="J130" s="38">
        <v>27481191</v>
      </c>
      <c r="K130" s="38" t="s">
        <v>172</v>
      </c>
      <c r="L130" s="38" t="str">
        <f>_xlfn.XLOOKUP(Tabla2__2[[#This Row],[CODIGO RUTA]],'DATA INFORME'!I:I,'DATA INFORME'!K:K)</f>
        <v>SI</v>
      </c>
      <c r="M130" s="38" t="str">
        <f>IF(Tabla2__2[[#This Row],[MYSTERY EFECTIVO]]="SI",_xlfn.XLOOKUP(Tabla2__2[[#This Row],[PREGUNTA]],ENCUESTA!G:G,ENCUESTA!D:D),"N/A")</f>
        <v>EJECUCIÓN DEL PDV</v>
      </c>
      <c r="N13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130" s="38" t="str">
        <f>_xlfn.XLOOKUP(Tabla2__2[[#This Row],[PREGUNTA]],ENCUESTA!G:G,ENCUESTA!H:H)</f>
        <v>SI</v>
      </c>
      <c r="P130" s="38">
        <f>IF(Tabla2__2[[#This Row],[RTA]]=Tabla2__2[[#This Row],[RTA CORRECTA]],Tabla2__2[[#This Row],[TOTAL PUNTAJE]],0)</f>
        <v>4.2857142857142856</v>
      </c>
      <c r="Q130" s="38">
        <f t="shared" ref="Q130:Q142" si="4">IF(OR(H130="Dog Chow húmedo",H130="Cat Chow húmedo",H130="Fancy Feast",H130="Felix",H130="Proplan húmedo",H130="One húmedo",H130="Snack Abrazzos",H130="Snak Dentalife",H130="Arenilla Tidy Cat"),N130,0)</f>
        <v>0</v>
      </c>
      <c r="R130" s="38"/>
    </row>
    <row r="131" spans="1:18" x14ac:dyDescent="0.25">
      <c r="A131" s="38" t="s">
        <v>124</v>
      </c>
      <c r="B131" s="38" t="s">
        <v>90</v>
      </c>
      <c r="C131" t="s">
        <v>43</v>
      </c>
      <c r="D131" s="38" t="s">
        <v>132</v>
      </c>
      <c r="E131" s="38">
        <v>12211</v>
      </c>
      <c r="F131" s="38" t="s">
        <v>165</v>
      </c>
      <c r="G131" s="38" t="s">
        <v>109</v>
      </c>
      <c r="H131" s="38" t="s">
        <v>122</v>
      </c>
      <c r="I131" s="39"/>
      <c r="J131" s="38">
        <v>27481191</v>
      </c>
      <c r="K131" s="38" t="s">
        <v>172</v>
      </c>
      <c r="L131" s="38" t="str">
        <f>_xlfn.XLOOKUP(Tabla2__2[[#This Row],[CODIGO RUTA]],'DATA INFORME'!I:I,'DATA INFORME'!K:K)</f>
        <v>SI</v>
      </c>
      <c r="M131" s="38" t="str">
        <f>IF(Tabla2__2[[#This Row],[MYSTERY EFECTIVO]]="SI",_xlfn.XLOOKUP(Tabla2__2[[#This Row],[PREGUNTA]],ENCUESTA!G:G,ENCUESTA!D:D),"N/A")</f>
        <v>EJECUCIÓN DEL PDV</v>
      </c>
      <c r="N13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4.2857142857142856</v>
      </c>
      <c r="O131" s="38" t="str">
        <f>_xlfn.XLOOKUP(Tabla2__2[[#This Row],[PREGUNTA]],ENCUESTA!G:G,ENCUESTA!H:H)</f>
        <v>SI</v>
      </c>
      <c r="P131" s="38">
        <f>IF(Tabla2__2[[#This Row],[RTA]]=Tabla2__2[[#This Row],[RTA CORRECTA]],Tabla2__2[[#This Row],[TOTAL PUNTAJE]],0)</f>
        <v>0</v>
      </c>
      <c r="Q131" s="38">
        <f t="shared" si="4"/>
        <v>0</v>
      </c>
      <c r="R131" s="38"/>
    </row>
    <row r="132" spans="1:18" x14ac:dyDescent="0.25">
      <c r="A132" s="38" t="s">
        <v>124</v>
      </c>
      <c r="B132" s="38" t="s">
        <v>90</v>
      </c>
      <c r="C132" t="s">
        <v>43</v>
      </c>
      <c r="D132" s="38" t="s">
        <v>132</v>
      </c>
      <c r="E132" s="38">
        <v>12211</v>
      </c>
      <c r="F132" s="38" t="s">
        <v>165</v>
      </c>
      <c r="G132" s="38" t="s">
        <v>110</v>
      </c>
      <c r="H132" s="38" t="s">
        <v>129</v>
      </c>
      <c r="I132" s="39"/>
      <c r="J132" s="38">
        <v>27481191</v>
      </c>
      <c r="K132" s="38" t="s">
        <v>172</v>
      </c>
      <c r="L132" s="38" t="str">
        <f>_xlfn.XLOOKUP(Tabla2__2[[#This Row],[CODIGO RUTA]],'DATA INFORME'!I:I,'DATA INFORME'!K:K)</f>
        <v>SI</v>
      </c>
      <c r="M132" s="38" t="str">
        <f>IF(Tabla2__2[[#This Row],[MYSTERY EFECTIVO]]="SI",_xlfn.XLOOKUP(Tabla2__2[[#This Row],[PREGUNTA]],ENCUESTA!G:G,ENCUESTA!D:D),"N/A")</f>
        <v>N/A</v>
      </c>
      <c r="N13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2" s="38" t="str">
        <f>_xlfn.XLOOKUP(Tabla2__2[[#This Row],[PREGUNTA]],ENCUESTA!G:G,ENCUESTA!H:H)</f>
        <v>MODERNO, TRADICIONAL</v>
      </c>
      <c r="P132" s="38">
        <f>IF(Tabla2__2[[#This Row],[RTA]]=Tabla2__2[[#This Row],[RTA CORRECTA]],Tabla2__2[[#This Row],[TOTAL PUNTAJE]],0)</f>
        <v>0</v>
      </c>
      <c r="Q132" s="38">
        <f t="shared" si="4"/>
        <v>0</v>
      </c>
      <c r="R132" s="38"/>
    </row>
    <row r="133" spans="1:18" x14ac:dyDescent="0.25">
      <c r="A133" s="38" t="s">
        <v>124</v>
      </c>
      <c r="B133" s="38" t="s">
        <v>131</v>
      </c>
      <c r="C133" t="s">
        <v>15</v>
      </c>
      <c r="D133" s="38" t="s">
        <v>174</v>
      </c>
      <c r="E133" s="38">
        <v>55306</v>
      </c>
      <c r="F133" s="38" t="s">
        <v>176</v>
      </c>
      <c r="G133" s="38" t="s">
        <v>97</v>
      </c>
      <c r="H133" s="38" t="s">
        <v>122</v>
      </c>
      <c r="I133" s="39"/>
      <c r="J133" s="38">
        <v>27483590</v>
      </c>
      <c r="K133" s="38" t="s">
        <v>142</v>
      </c>
      <c r="L133" s="38" t="str">
        <f>_xlfn.XLOOKUP(Tabla2__2[[#This Row],[CODIGO RUTA]],'DATA INFORME'!I:I,'DATA INFORME'!K:K)</f>
        <v xml:space="preserve"> NO</v>
      </c>
      <c r="M133" s="38" t="str">
        <f>IF(Tabla2__2[[#This Row],[MYSTERY EFECTIVO]]="SI",_xlfn.XLOOKUP(Tabla2__2[[#This Row],[PREGUNTA]],ENCUESTA!G:G,ENCUESTA!D:D),"N/A")</f>
        <v>N/A</v>
      </c>
      <c r="N133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3" s="38" t="str">
        <f>_xlfn.XLOOKUP(Tabla2__2[[#This Row],[PREGUNTA]],ENCUESTA!G:G,ENCUESTA!H:H)</f>
        <v>SI</v>
      </c>
      <c r="P133" s="38">
        <f>IF(Tabla2__2[[#This Row],[RTA]]=Tabla2__2[[#This Row],[RTA CORRECTA]],Tabla2__2[[#This Row],[TOTAL PUNTAJE]],0)</f>
        <v>0</v>
      </c>
      <c r="Q133" s="38">
        <f t="shared" si="4"/>
        <v>0</v>
      </c>
      <c r="R133" s="38"/>
    </row>
    <row r="134" spans="1:18" x14ac:dyDescent="0.25">
      <c r="A134" s="38" t="s">
        <v>124</v>
      </c>
      <c r="B134" s="38" t="s">
        <v>90</v>
      </c>
      <c r="C134" t="s">
        <v>43</v>
      </c>
      <c r="D134" s="38" t="s">
        <v>132</v>
      </c>
      <c r="E134" s="38">
        <v>12211</v>
      </c>
      <c r="F134" s="38" t="s">
        <v>165</v>
      </c>
      <c r="G134" s="38" t="s">
        <v>115</v>
      </c>
      <c r="H134" s="38" t="s">
        <v>20</v>
      </c>
      <c r="I134" s="39"/>
      <c r="J134" s="38">
        <v>27481191</v>
      </c>
      <c r="K134" s="38" t="s">
        <v>172</v>
      </c>
      <c r="L134" s="38" t="str">
        <f>_xlfn.XLOOKUP(Tabla2__2[[#This Row],[CODIGO RUTA]],'DATA INFORME'!I:I,'DATA INFORME'!K:K)</f>
        <v>SI</v>
      </c>
      <c r="M134" s="38" t="str">
        <f>IF(Tabla2__2[[#This Row],[MYSTERY EFECTIVO]]="SI",_xlfn.XLOOKUP(Tabla2__2[[#This Row],[PREGUNTA]],ENCUESTA!G:G,ENCUESTA!D:D),"N/A")</f>
        <v>ACTIVIDADES DEL MES</v>
      </c>
      <c r="N134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34" s="38" t="str">
        <f>_xlfn.XLOOKUP(Tabla2__2[[#This Row],[PREGUNTA]],ENCUESTA!G:G,ENCUESTA!H:H)</f>
        <v>SI</v>
      </c>
      <c r="P134" s="38">
        <f>IF(Tabla2__2[[#This Row],[RTA]]=Tabla2__2[[#This Row],[RTA CORRECTA]],Tabla2__2[[#This Row],[TOTAL PUNTAJE]],0)</f>
        <v>8</v>
      </c>
      <c r="Q134" s="38">
        <f t="shared" si="4"/>
        <v>0</v>
      </c>
      <c r="R134" s="38"/>
    </row>
    <row r="135" spans="1:18" x14ac:dyDescent="0.25">
      <c r="A135" s="38" t="s">
        <v>124</v>
      </c>
      <c r="B135" s="38" t="s">
        <v>90</v>
      </c>
      <c r="C135" t="s">
        <v>43</v>
      </c>
      <c r="D135" s="38" t="s">
        <v>132</v>
      </c>
      <c r="E135" s="38">
        <v>12211</v>
      </c>
      <c r="F135" s="38" t="s">
        <v>165</v>
      </c>
      <c r="G135" s="38" t="s">
        <v>117</v>
      </c>
      <c r="H135" s="38" t="s">
        <v>173</v>
      </c>
      <c r="I135" s="39"/>
      <c r="J135" s="38">
        <v>27481191</v>
      </c>
      <c r="K135" s="38" t="s">
        <v>172</v>
      </c>
      <c r="L135" s="38" t="str">
        <f>_xlfn.XLOOKUP(Tabla2__2[[#This Row],[CODIGO RUTA]],'DATA INFORME'!I:I,'DATA INFORME'!K:K)</f>
        <v>SI</v>
      </c>
      <c r="M135" s="38" t="str">
        <f>IF(Tabla2__2[[#This Row],[MYSTERY EFECTIVO]]="SI",_xlfn.XLOOKUP(Tabla2__2[[#This Row],[PREGUNTA]],ENCUESTA!G:G,ENCUESTA!D:D),"N/A")</f>
        <v>N/A</v>
      </c>
      <c r="N135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5" s="38">
        <f>_xlfn.XLOOKUP(Tabla2__2[[#This Row],[PREGUNTA]],ENCUESTA!G:G,ENCUESTA!H:H)</f>
        <v>0</v>
      </c>
      <c r="P135" s="38">
        <f>IF(Tabla2__2[[#This Row],[RTA]]=Tabla2__2[[#This Row],[RTA CORRECTA]],Tabla2__2[[#This Row],[TOTAL PUNTAJE]],0)</f>
        <v>0</v>
      </c>
      <c r="Q135" s="38">
        <f t="shared" si="4"/>
        <v>0</v>
      </c>
      <c r="R135" s="38"/>
    </row>
    <row r="136" spans="1:18" x14ac:dyDescent="0.25">
      <c r="A136" s="38" t="s">
        <v>124</v>
      </c>
      <c r="B136" s="38" t="s">
        <v>131</v>
      </c>
      <c r="C136" t="s">
        <v>15</v>
      </c>
      <c r="D136" s="38" t="s">
        <v>174</v>
      </c>
      <c r="E136" s="38">
        <v>55306</v>
      </c>
      <c r="F136" s="38" t="s">
        <v>176</v>
      </c>
      <c r="G136" s="38" t="s">
        <v>92</v>
      </c>
      <c r="H136" s="38" t="s">
        <v>122</v>
      </c>
      <c r="I136" s="39"/>
      <c r="J136" s="38">
        <v>27483590</v>
      </c>
      <c r="K136" s="38" t="s">
        <v>142</v>
      </c>
      <c r="L136" s="38" t="str">
        <f>_xlfn.XLOOKUP(Tabla2__2[[#This Row],[CODIGO RUTA]],'DATA INFORME'!I:I,'DATA INFORME'!K:K)</f>
        <v xml:space="preserve"> NO</v>
      </c>
      <c r="M136" s="38" t="str">
        <f>IF(Tabla2__2[[#This Row],[MYSTERY EFECTIVO]]="SI",_xlfn.XLOOKUP(Tabla2__2[[#This Row],[PREGUNTA]],ENCUESTA!G:G,ENCUESTA!D:D),"N/A")</f>
        <v>N/A</v>
      </c>
      <c r="N136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6" s="38">
        <f>_xlfn.XLOOKUP(Tabla2__2[[#This Row],[PREGUNTA]],ENCUESTA!G:G,ENCUESTA!H:H)</f>
        <v>0</v>
      </c>
      <c r="P136" s="38">
        <f>IF(Tabla2__2[[#This Row],[RTA]]=Tabla2__2[[#This Row],[RTA CORRECTA]],Tabla2__2[[#This Row],[TOTAL PUNTAJE]],0)</f>
        <v>0</v>
      </c>
      <c r="Q136" s="38">
        <f t="shared" si="4"/>
        <v>0</v>
      </c>
      <c r="R136" s="38"/>
    </row>
    <row r="137" spans="1:18" x14ac:dyDescent="0.25">
      <c r="A137" s="38" t="s">
        <v>124</v>
      </c>
      <c r="B137" s="38" t="s">
        <v>131</v>
      </c>
      <c r="C137" t="s">
        <v>15</v>
      </c>
      <c r="D137" s="38" t="s">
        <v>174</v>
      </c>
      <c r="E137" s="38">
        <v>55306</v>
      </c>
      <c r="F137" s="38" t="s">
        <v>176</v>
      </c>
      <c r="G137" s="38" t="s">
        <v>93</v>
      </c>
      <c r="H137" s="38" t="s">
        <v>122</v>
      </c>
      <c r="I137" s="39"/>
      <c r="J137" s="38">
        <v>27483590</v>
      </c>
      <c r="K137" s="38" t="s">
        <v>142</v>
      </c>
      <c r="L137" s="38" t="str">
        <f>_xlfn.XLOOKUP(Tabla2__2[[#This Row],[CODIGO RUTA]],'DATA INFORME'!I:I,'DATA INFORME'!K:K)</f>
        <v xml:space="preserve"> NO</v>
      </c>
      <c r="M137" s="38" t="str">
        <f>IF(Tabla2__2[[#This Row],[MYSTERY EFECTIVO]]="SI",_xlfn.XLOOKUP(Tabla2__2[[#This Row],[PREGUNTA]],ENCUESTA!G:G,ENCUESTA!D:D),"N/A")</f>
        <v>N/A</v>
      </c>
      <c r="N137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7" s="38" t="str">
        <f>_xlfn.XLOOKUP(Tabla2__2[[#This Row],[PREGUNTA]],ENCUESTA!G:G,ENCUESTA!H:H)</f>
        <v>SI</v>
      </c>
      <c r="P137" s="38">
        <f>IF(Tabla2__2[[#This Row],[RTA]]=Tabla2__2[[#This Row],[RTA CORRECTA]],Tabla2__2[[#This Row],[TOTAL PUNTAJE]],0)</f>
        <v>0</v>
      </c>
      <c r="Q137" s="38">
        <f t="shared" si="4"/>
        <v>0</v>
      </c>
      <c r="R137" s="38"/>
    </row>
    <row r="138" spans="1:18" x14ac:dyDescent="0.25">
      <c r="A138" s="38" t="s">
        <v>124</v>
      </c>
      <c r="B138" s="38" t="s">
        <v>131</v>
      </c>
      <c r="C138" t="s">
        <v>15</v>
      </c>
      <c r="D138" s="38" t="s">
        <v>174</v>
      </c>
      <c r="E138" s="38">
        <v>55306</v>
      </c>
      <c r="F138" s="38" t="s">
        <v>176</v>
      </c>
      <c r="G138" s="38" t="s">
        <v>94</v>
      </c>
      <c r="H138" s="38" t="s">
        <v>122</v>
      </c>
      <c r="I138" s="39"/>
      <c r="J138" s="38">
        <v>27483590</v>
      </c>
      <c r="K138" s="38" t="s">
        <v>142</v>
      </c>
      <c r="L138" s="38" t="str">
        <f>_xlfn.XLOOKUP(Tabla2__2[[#This Row],[CODIGO RUTA]],'DATA INFORME'!I:I,'DATA INFORME'!K:K)</f>
        <v xml:space="preserve"> NO</v>
      </c>
      <c r="M138" s="38" t="str">
        <f>IF(Tabla2__2[[#This Row],[MYSTERY EFECTIVO]]="SI",_xlfn.XLOOKUP(Tabla2__2[[#This Row],[PREGUNTA]],ENCUESTA!G:G,ENCUESTA!D:D),"N/A")</f>
        <v>N/A</v>
      </c>
      <c r="N138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8" s="38" t="str">
        <f>_xlfn.XLOOKUP(Tabla2__2[[#This Row],[PREGUNTA]],ENCUESTA!G:G,ENCUESTA!H:H)</f>
        <v>SI</v>
      </c>
      <c r="P138" s="38">
        <f>IF(Tabla2__2[[#This Row],[RTA]]=Tabla2__2[[#This Row],[RTA CORRECTA]],Tabla2__2[[#This Row],[TOTAL PUNTAJE]],0)</f>
        <v>0</v>
      </c>
      <c r="Q138" s="38">
        <f t="shared" si="4"/>
        <v>0</v>
      </c>
      <c r="R138" s="38"/>
    </row>
    <row r="139" spans="1:18" x14ac:dyDescent="0.25">
      <c r="A139" s="38" t="s">
        <v>124</v>
      </c>
      <c r="B139" s="38" t="s">
        <v>131</v>
      </c>
      <c r="C139" t="s">
        <v>15</v>
      </c>
      <c r="D139" s="38" t="s">
        <v>174</v>
      </c>
      <c r="E139" s="38">
        <v>55306</v>
      </c>
      <c r="F139" s="38" t="s">
        <v>176</v>
      </c>
      <c r="G139" s="38" t="s">
        <v>95</v>
      </c>
      <c r="H139" s="38" t="s">
        <v>122</v>
      </c>
      <c r="I139" s="39"/>
      <c r="J139" s="38">
        <v>27483590</v>
      </c>
      <c r="K139" s="38" t="s">
        <v>142</v>
      </c>
      <c r="L139" s="38" t="str">
        <f>_xlfn.XLOOKUP(Tabla2__2[[#This Row],[CODIGO RUTA]],'DATA INFORME'!I:I,'DATA INFORME'!K:K)</f>
        <v xml:space="preserve"> NO</v>
      </c>
      <c r="M139" s="38" t="str">
        <f>IF(Tabla2__2[[#This Row],[MYSTERY EFECTIVO]]="SI",_xlfn.XLOOKUP(Tabla2__2[[#This Row],[PREGUNTA]],ENCUESTA!G:G,ENCUESTA!D:D),"N/A")</f>
        <v>N/A</v>
      </c>
      <c r="N139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9" s="38" t="str">
        <f>_xlfn.XLOOKUP(Tabla2__2[[#This Row],[PREGUNTA]],ENCUESTA!G:G,ENCUESTA!H:H)</f>
        <v>SI</v>
      </c>
      <c r="P139" s="38">
        <f>IF(Tabla2__2[[#This Row],[RTA]]=Tabla2__2[[#This Row],[RTA CORRECTA]],Tabla2__2[[#This Row],[TOTAL PUNTAJE]],0)</f>
        <v>0</v>
      </c>
      <c r="Q139" s="38">
        <f t="shared" si="4"/>
        <v>0</v>
      </c>
      <c r="R139" s="38"/>
    </row>
    <row r="140" spans="1:18" x14ac:dyDescent="0.25">
      <c r="A140" s="38" t="s">
        <v>124</v>
      </c>
      <c r="B140" s="38" t="s">
        <v>131</v>
      </c>
      <c r="C140" t="s">
        <v>15</v>
      </c>
      <c r="D140" s="38" t="s">
        <v>174</v>
      </c>
      <c r="E140" s="38">
        <v>55306</v>
      </c>
      <c r="F140" s="38" t="s">
        <v>176</v>
      </c>
      <c r="G140" s="38" t="s">
        <v>35</v>
      </c>
      <c r="H140" s="38" t="s">
        <v>122</v>
      </c>
      <c r="I140" s="39"/>
      <c r="J140" s="38">
        <v>27483590</v>
      </c>
      <c r="K140" s="38" t="s">
        <v>142</v>
      </c>
      <c r="L140" s="38" t="str">
        <f>_xlfn.XLOOKUP(Tabla2__2[[#This Row],[CODIGO RUTA]],'DATA INFORME'!I:I,'DATA INFORME'!K:K)</f>
        <v xml:space="preserve"> NO</v>
      </c>
      <c r="M140" s="38" t="str">
        <f>IF(Tabla2__2[[#This Row],[MYSTERY EFECTIVO]]="SI",_xlfn.XLOOKUP(Tabla2__2[[#This Row],[PREGUNTA]],ENCUESTA!G:G,ENCUESTA!D:D),"N/A")</f>
        <v>N/A</v>
      </c>
      <c r="N140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0" s="38" t="str">
        <f>_xlfn.XLOOKUP(Tabla2__2[[#This Row],[PREGUNTA]],ENCUESTA!G:G,ENCUESTA!H:H)</f>
        <v>SI</v>
      </c>
      <c r="P140" s="38">
        <f>IF(Tabla2__2[[#This Row],[RTA]]=Tabla2__2[[#This Row],[RTA CORRECTA]],Tabla2__2[[#This Row],[TOTAL PUNTAJE]],0)</f>
        <v>0</v>
      </c>
      <c r="Q140" s="38">
        <f t="shared" si="4"/>
        <v>0</v>
      </c>
      <c r="R140" s="38"/>
    </row>
    <row r="141" spans="1:18" x14ac:dyDescent="0.25">
      <c r="A141" s="38" t="s">
        <v>124</v>
      </c>
      <c r="B141" s="38" t="s">
        <v>90</v>
      </c>
      <c r="C141" t="s">
        <v>43</v>
      </c>
      <c r="D141" s="38" t="s">
        <v>132</v>
      </c>
      <c r="E141" s="38">
        <v>12211</v>
      </c>
      <c r="F141" s="38" t="s">
        <v>165</v>
      </c>
      <c r="G141" s="38" t="s">
        <v>116</v>
      </c>
      <c r="H141" s="38" t="s">
        <v>20</v>
      </c>
      <c r="I141" s="39"/>
      <c r="J141" s="38">
        <v>27481191</v>
      </c>
      <c r="K141" s="38" t="s">
        <v>172</v>
      </c>
      <c r="L141" s="38" t="str">
        <f>_xlfn.XLOOKUP(Tabla2__2[[#This Row],[CODIGO RUTA]],'DATA INFORME'!I:I,'DATA INFORME'!K:K)</f>
        <v>SI</v>
      </c>
      <c r="M141" s="38" t="str">
        <f>IF(Tabla2__2[[#This Row],[MYSTERY EFECTIVO]]="SI",_xlfn.XLOOKUP(Tabla2__2[[#This Row],[PREGUNTA]],ENCUESTA!G:G,ENCUESTA!D:D),"N/A")</f>
        <v>N/A</v>
      </c>
      <c r="N141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1" s="38">
        <f>_xlfn.XLOOKUP(Tabla2__2[[#This Row],[PREGUNTA]],ENCUESTA!G:G,ENCUESTA!H:H)</f>
        <v>0</v>
      </c>
      <c r="P141" s="38">
        <f>IF(Tabla2__2[[#This Row],[RTA]]=Tabla2__2[[#This Row],[RTA CORRECTA]],Tabla2__2[[#This Row],[TOTAL PUNTAJE]],0)</f>
        <v>0</v>
      </c>
      <c r="Q141" s="38">
        <f t="shared" si="4"/>
        <v>0</v>
      </c>
      <c r="R141" s="38"/>
    </row>
    <row r="142" spans="1:18" x14ac:dyDescent="0.25">
      <c r="A142" s="38" t="s">
        <v>124</v>
      </c>
      <c r="B142" s="38" t="s">
        <v>8</v>
      </c>
      <c r="C142" t="s">
        <v>15</v>
      </c>
      <c r="D142" s="38" t="s">
        <v>79</v>
      </c>
      <c r="E142" s="38">
        <v>129406</v>
      </c>
      <c r="F142" s="38" t="s">
        <v>197</v>
      </c>
      <c r="G142" s="38" t="s">
        <v>117</v>
      </c>
      <c r="H142" s="38" t="s">
        <v>202</v>
      </c>
      <c r="I142" s="39"/>
      <c r="J142" s="38">
        <v>27593785</v>
      </c>
      <c r="K142" s="38" t="s">
        <v>128</v>
      </c>
      <c r="L142" s="38" t="str">
        <f>_xlfn.XLOOKUP(Tabla2__2[[#This Row],[CODIGO RUTA]],'DATA INFORME'!I:I,'DATA INFORME'!K:K)</f>
        <v xml:space="preserve"> NO</v>
      </c>
      <c r="M142" s="38" t="str">
        <f>IF(Tabla2__2[[#This Row],[MYSTERY EFECTIVO]]="SI",_xlfn.XLOOKUP(Tabla2__2[[#This Row],[PREGUNTA]],ENCUESTA!G:G,ENCUESTA!D:D),"N/A")</f>
        <v>N/A</v>
      </c>
      <c r="N142" s="38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2" s="38">
        <f>_xlfn.XLOOKUP(Tabla2__2[[#This Row],[PREGUNTA]],ENCUESTA!G:G,ENCUESTA!H:H)</f>
        <v>0</v>
      </c>
      <c r="P142" s="38">
        <f>IF(Tabla2__2[[#This Row],[RTA]]=Tabla2__2[[#This Row],[RTA CORRECTA]],Tabla2__2[[#This Row],[TOTAL PUNTAJE]],0)</f>
        <v>0</v>
      </c>
      <c r="Q142" s="38">
        <f t="shared" si="4"/>
        <v>0</v>
      </c>
      <c r="R142" s="38"/>
    </row>
    <row r="143" spans="1:18" x14ac:dyDescent="0.25">
      <c r="A143" s="38"/>
      <c r="B143" s="38"/>
      <c r="C143" s="38"/>
      <c r="D143" s="38"/>
      <c r="E143" s="38"/>
      <c r="F143" s="38"/>
      <c r="G143" s="38"/>
      <c r="H143" s="39"/>
      <c r="I143" s="38"/>
      <c r="J143" s="38"/>
      <c r="K143" s="38"/>
      <c r="L143" s="38"/>
      <c r="M143" s="38"/>
      <c r="N143" s="38"/>
      <c r="O143" s="38"/>
      <c r="P143" s="38"/>
      <c r="Q143" s="38"/>
    </row>
    <row r="330" spans="18:18" x14ac:dyDescent="0.25">
      <c r="R330" s="38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dimension ref="A1:I20"/>
  <sheetViews>
    <sheetView showGridLines="0" zoomScaleNormal="100" workbookViewId="0">
      <selection activeCell="D12" sqref="D12:E15"/>
    </sheetView>
  </sheetViews>
  <sheetFormatPr baseColWidth="10" defaultColWidth="11.42578125" defaultRowHeight="15" x14ac:dyDescent="0.25"/>
  <cols>
    <col min="1" max="1" width="14.140625" style="58" bestFit="1" customWidth="1"/>
    <col min="2" max="2" width="18.28515625" style="58" bestFit="1" customWidth="1"/>
    <col min="3" max="3" width="14" style="59" bestFit="1" customWidth="1"/>
    <col min="4" max="4" width="45.5703125" style="44" bestFit="1" customWidth="1"/>
    <col min="5" max="5" width="46.5703125" style="58" customWidth="1"/>
    <col min="6" max="6" width="12.42578125" style="57" bestFit="1" customWidth="1"/>
    <col min="7" max="7" width="13.5703125" style="57" bestFit="1" customWidth="1"/>
    <col min="8" max="8" width="11.5703125" style="57" bestFit="1" customWidth="1"/>
    <col min="9" max="9" width="12.85546875" style="57" bestFit="1" customWidth="1"/>
    <col min="10" max="10" width="10.85546875" style="57" customWidth="1"/>
    <col min="11" max="16384" width="11.42578125" style="57"/>
  </cols>
  <sheetData>
    <row r="1" spans="1:9" ht="24" x14ac:dyDescent="0.25">
      <c r="A1" s="45" t="s">
        <v>22</v>
      </c>
      <c r="B1" s="45" t="s">
        <v>1</v>
      </c>
      <c r="C1" s="45" t="s">
        <v>26</v>
      </c>
      <c r="D1" s="45" t="s">
        <v>23</v>
      </c>
      <c r="E1" s="42" t="s">
        <v>38</v>
      </c>
      <c r="F1" s="6" t="s">
        <v>39</v>
      </c>
      <c r="G1" s="6" t="s">
        <v>40</v>
      </c>
      <c r="H1" s="6" t="s">
        <v>41</v>
      </c>
      <c r="I1" s="21" t="s">
        <v>42</v>
      </c>
    </row>
    <row r="2" spans="1:9" s="88" customFormat="1" x14ac:dyDescent="0.25">
      <c r="A2" s="65" t="s">
        <v>15</v>
      </c>
      <c r="B2" s="65" t="s">
        <v>8</v>
      </c>
      <c r="C2" s="65">
        <v>129406</v>
      </c>
      <c r="D2" s="50" t="s">
        <v>197</v>
      </c>
      <c r="E2" s="43">
        <v>1</v>
      </c>
      <c r="F2" s="52">
        <v>1</v>
      </c>
      <c r="G2" s="52">
        <f>IF(COUNTIFS(Export!I:I,Tabla1[[#This Row],[CODIGO PDV]])&gt;0,1,0)</f>
        <v>1</v>
      </c>
      <c r="H2" s="23">
        <f>COUNTIFS('DATA INFORME'!D:D,Tabla1[[#This Row],[CODIGO PDV]])</f>
        <v>1</v>
      </c>
      <c r="I2" s="53">
        <f>COUNTIFS('DATA INFORME'!D:D,Tabla1[[#This Row],[CODIGO PDV]],'DATA INFORME'!K:K,"SI")</f>
        <v>0</v>
      </c>
    </row>
    <row r="3" spans="1:9" x14ac:dyDescent="0.25">
      <c r="A3" s="65" t="s">
        <v>15</v>
      </c>
      <c r="B3" s="65" t="s">
        <v>131</v>
      </c>
      <c r="C3" s="65">
        <v>55306</v>
      </c>
      <c r="D3" s="50" t="s">
        <v>176</v>
      </c>
      <c r="E3" s="23">
        <v>1</v>
      </c>
      <c r="F3" s="52">
        <v>1</v>
      </c>
      <c r="G3" s="52">
        <f>IF(COUNTIFS(Export!I:I,Tabla1[[#This Row],[CODIGO PDV]])&gt;0,1,0)</f>
        <v>1</v>
      </c>
      <c r="H3" s="23">
        <f>COUNTIFS('DATA INFORME'!D:D,Tabla1[[#This Row],[CODIGO PDV]])</f>
        <v>1</v>
      </c>
      <c r="I3" s="53">
        <f>COUNTIFS('DATA INFORME'!D:D,Tabla1[[#This Row],[CODIGO PDV]],'DATA INFORME'!K:K,"SI")</f>
        <v>0</v>
      </c>
    </row>
    <row r="4" spans="1:9" x14ac:dyDescent="0.25">
      <c r="A4" s="65" t="s">
        <v>15</v>
      </c>
      <c r="B4" s="65" t="s">
        <v>131</v>
      </c>
      <c r="C4" s="65">
        <v>456498</v>
      </c>
      <c r="D4" s="50" t="s">
        <v>184</v>
      </c>
      <c r="E4" s="43">
        <v>1</v>
      </c>
      <c r="F4" s="52">
        <v>1</v>
      </c>
      <c r="G4" s="52">
        <f>IF(COUNTIFS(Export!I:I,Tabla1[[#This Row],[CODIGO PDV]])&gt;0,1,0)</f>
        <v>1</v>
      </c>
      <c r="H4" s="23">
        <f>COUNTIFS('DATA INFORME'!D:D,Tabla1[[#This Row],[CODIGO PDV]])</f>
        <v>1</v>
      </c>
      <c r="I4" s="53">
        <f>COUNTIFS('DATA INFORME'!D:D,Tabla1[[#This Row],[CODIGO PDV]],'DATA INFORME'!K:K,"SI")</f>
        <v>0</v>
      </c>
    </row>
    <row r="5" spans="1:9" x14ac:dyDescent="0.25">
      <c r="A5" s="65" t="s">
        <v>15</v>
      </c>
      <c r="B5" s="60" t="s">
        <v>131</v>
      </c>
      <c r="C5" s="61">
        <v>29714</v>
      </c>
      <c r="D5" s="62" t="s">
        <v>191</v>
      </c>
      <c r="E5" s="51">
        <v>1</v>
      </c>
      <c r="F5" s="54">
        <v>1</v>
      </c>
      <c r="G5" s="54">
        <f>IF(COUNTIFS(Export!I:I,Tabla1[[#This Row],[CODIGO PDV]])&gt;0,1,0)</f>
        <v>1</v>
      </c>
      <c r="H5" s="51">
        <f>COUNTIFS('DATA INFORME'!D:D,Tabla1[[#This Row],[CODIGO PDV]])</f>
        <v>1</v>
      </c>
      <c r="I5" s="55">
        <f>COUNTIFS('DATA INFORME'!D:D,Tabla1[[#This Row],[CODIGO PDV]],'DATA INFORME'!K:K,"SI")</f>
        <v>1</v>
      </c>
    </row>
    <row r="6" spans="1:9" x14ac:dyDescent="0.25">
      <c r="A6" s="82" t="s">
        <v>43</v>
      </c>
      <c r="B6" s="83" t="s">
        <v>131</v>
      </c>
      <c r="C6" s="84">
        <v>66552</v>
      </c>
      <c r="D6" s="85" t="s">
        <v>135</v>
      </c>
      <c r="E6" s="23">
        <v>1</v>
      </c>
      <c r="F6" s="52">
        <v>1</v>
      </c>
      <c r="G6" s="52">
        <f>IF(COUNTIFS(Export!I:I,Tabla1[[#This Row],[CODIGO PDV]])&gt;0,1,0)</f>
        <v>1</v>
      </c>
      <c r="H6" s="23">
        <f>COUNTIFS('DATA INFORME'!D:D,Tabla1[[#This Row],[CODIGO PDV]])</f>
        <v>1</v>
      </c>
      <c r="I6" s="53">
        <f>COUNTIFS('DATA INFORME'!D:D,Tabla1[[#This Row],[CODIGO PDV]],'DATA INFORME'!K:K,"SI")</f>
        <v>1</v>
      </c>
    </row>
    <row r="7" spans="1:9" x14ac:dyDescent="0.25">
      <c r="A7" s="82" t="s">
        <v>43</v>
      </c>
      <c r="B7" s="83" t="s">
        <v>90</v>
      </c>
      <c r="C7" s="84">
        <v>12211</v>
      </c>
      <c r="D7" s="85" t="s">
        <v>165</v>
      </c>
      <c r="E7" s="23">
        <v>1</v>
      </c>
      <c r="F7" s="52">
        <v>1</v>
      </c>
      <c r="G7" s="52">
        <f>IF(COUNTIFS(Export!I:I,Tabla1[[#This Row],[CODIGO PDV]])&gt;0,1,0)</f>
        <v>1</v>
      </c>
      <c r="H7" s="23">
        <f>COUNTIFS('DATA INFORME'!D:D,Tabla1[[#This Row],[CODIGO PDV]])</f>
        <v>1</v>
      </c>
      <c r="I7" s="53">
        <f>COUNTIFS('DATA INFORME'!D:D,Tabla1[[#This Row],[CODIGO PDV]],'DATA INFORME'!K:K,"SI")</f>
        <v>1</v>
      </c>
    </row>
    <row r="8" spans="1:9" x14ac:dyDescent="0.25">
      <c r="A8" s="50"/>
      <c r="B8" s="73"/>
      <c r="C8" s="74"/>
      <c r="D8" s="75"/>
      <c r="E8" s="64"/>
      <c r="F8" s="63"/>
      <c r="G8" s="63"/>
      <c r="H8" s="64"/>
      <c r="I8" s="64"/>
    </row>
    <row r="9" spans="1:9" x14ac:dyDescent="0.25">
      <c r="A9" s="50"/>
      <c r="B9" s="73"/>
      <c r="C9" s="74"/>
      <c r="D9" s="75"/>
      <c r="E9" s="64"/>
      <c r="F9" s="63"/>
      <c r="G9" s="63"/>
      <c r="H9" s="64"/>
      <c r="I9" s="64"/>
    </row>
    <row r="10" spans="1:9" x14ac:dyDescent="0.25">
      <c r="A10" s="50"/>
      <c r="B10" s="73"/>
      <c r="C10" s="74"/>
      <c r="D10" s="75"/>
      <c r="E10" s="64"/>
      <c r="F10" s="63"/>
      <c r="G10" s="63"/>
      <c r="H10" s="64"/>
      <c r="I10" s="64"/>
    </row>
    <row r="11" spans="1:9" x14ac:dyDescent="0.25">
      <c r="A11" s="66"/>
      <c r="B11" s="66"/>
      <c r="C11" s="66"/>
      <c r="D11" s="66"/>
      <c r="E11" s="66"/>
      <c r="F11" s="50"/>
      <c r="G11" s="50"/>
      <c r="H11" s="50"/>
      <c r="I11" s="50"/>
    </row>
    <row r="12" spans="1:9" x14ac:dyDescent="0.25">
      <c r="A12" s="45" t="s">
        <v>22</v>
      </c>
      <c r="B12" s="45" t="s">
        <v>1</v>
      </c>
      <c r="C12" s="45" t="s">
        <v>36</v>
      </c>
      <c r="D12" s="45" t="s">
        <v>37</v>
      </c>
      <c r="E12" s="56" t="s">
        <v>44</v>
      </c>
      <c r="F12" s="50"/>
      <c r="G12" s="50"/>
      <c r="H12" s="50"/>
      <c r="I12" s="50"/>
    </row>
    <row r="13" spans="1:9" ht="22.5" x14ac:dyDescent="0.25">
      <c r="A13" s="65" t="s">
        <v>15</v>
      </c>
      <c r="B13" s="65" t="s">
        <v>8</v>
      </c>
      <c r="C13" s="65">
        <v>129406</v>
      </c>
      <c r="D13" s="86" t="s">
        <v>197</v>
      </c>
      <c r="E13" s="46" t="s">
        <v>204</v>
      </c>
      <c r="F13" s="50"/>
      <c r="G13" s="50"/>
      <c r="H13" s="50"/>
      <c r="I13" s="50"/>
    </row>
    <row r="14" spans="1:9" x14ac:dyDescent="0.25">
      <c r="A14" s="65" t="s">
        <v>15</v>
      </c>
      <c r="B14" s="65" t="s">
        <v>131</v>
      </c>
      <c r="C14" s="65">
        <v>55306</v>
      </c>
      <c r="D14" s="86" t="s">
        <v>176</v>
      </c>
      <c r="E14" s="46" t="s">
        <v>205</v>
      </c>
      <c r="F14" s="50"/>
      <c r="G14" s="50"/>
      <c r="H14" s="50"/>
      <c r="I14" s="50"/>
    </row>
    <row r="15" spans="1:9" x14ac:dyDescent="0.25">
      <c r="A15" s="65" t="s">
        <v>15</v>
      </c>
      <c r="B15" s="65" t="s">
        <v>131</v>
      </c>
      <c r="C15" s="65">
        <v>456498</v>
      </c>
      <c r="D15" s="86" t="s">
        <v>184</v>
      </c>
      <c r="E15" s="46" t="s">
        <v>206</v>
      </c>
      <c r="F15" s="50"/>
      <c r="G15" s="50"/>
      <c r="H15" s="50"/>
      <c r="I15" s="50"/>
    </row>
    <row r="19" spans="1:9" s="88" customFormat="1" x14ac:dyDescent="0.25">
      <c r="A19" s="58"/>
      <c r="B19" s="58"/>
      <c r="C19" s="59"/>
      <c r="D19" s="44"/>
      <c r="E19" s="58"/>
      <c r="F19" s="57"/>
      <c r="G19" s="57"/>
      <c r="H19" s="57"/>
      <c r="I19" s="57"/>
    </row>
    <row r="20" spans="1:9" ht="27.95" customHeight="1" x14ac:dyDescent="0.25"/>
  </sheetData>
  <phoneticPr fontId="3" type="noConversion"/>
  <conditionalFormatting sqref="C2:C10">
    <cfRule type="duplicateValues" dxfId="4" priority="103"/>
  </conditionalFormatting>
  <conditionalFormatting sqref="C13:C15">
    <cfRule type="duplicateValues" dxfId="3" priority="104"/>
  </conditionalFormatting>
  <conditionalFormatting sqref="D1">
    <cfRule type="duplicateValues" dxfId="2" priority="36"/>
  </conditionalFormatting>
  <conditionalFormatting sqref="D12">
    <cfRule type="duplicateValues" dxfId="1" priority="9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AD-F1CE-4E4C-BF86-A78BF80D79A3}">
  <dimension ref="A1:AI7"/>
  <sheetViews>
    <sheetView workbookViewId="0">
      <selection activeCell="E6" sqref="E6"/>
    </sheetView>
  </sheetViews>
  <sheetFormatPr baseColWidth="10" defaultRowHeight="15" x14ac:dyDescent="0.25"/>
  <cols>
    <col min="1" max="1" width="14.5703125" bestFit="1" customWidth="1"/>
    <col min="2" max="2" width="10.7109375" bestFit="1" customWidth="1"/>
    <col min="3" max="3" width="11.140625" bestFit="1" customWidth="1"/>
    <col min="4" max="4" width="15.28515625" bestFit="1" customWidth="1"/>
    <col min="5" max="5" width="42.28515625" bestFit="1" customWidth="1"/>
    <col min="6" max="6" width="27.28515625" bestFit="1" customWidth="1"/>
    <col min="7" max="7" width="30.7109375" bestFit="1" customWidth="1"/>
    <col min="8" max="8" width="15.5703125" bestFit="1" customWidth="1"/>
    <col min="9" max="9" width="16.28515625" bestFit="1" customWidth="1"/>
    <col min="10" max="10" width="11.5703125" bestFit="1" customWidth="1"/>
    <col min="11" max="11" width="35.85546875" bestFit="1" customWidth="1"/>
    <col min="12" max="12" width="56.5703125" bestFit="1" customWidth="1"/>
    <col min="13" max="14" width="81.140625" bestFit="1" customWidth="1"/>
    <col min="15" max="15" width="50.85546875" bestFit="1" customWidth="1"/>
    <col min="16" max="16" width="81.140625" bestFit="1" customWidth="1"/>
    <col min="17" max="17" width="68.5703125" bestFit="1" customWidth="1"/>
    <col min="18" max="18" width="53.28515625" bestFit="1" customWidth="1"/>
    <col min="19" max="21" width="81.140625" bestFit="1" customWidth="1"/>
    <col min="22" max="22" width="66.7109375" bestFit="1" customWidth="1"/>
    <col min="23" max="23" width="48.5703125" bestFit="1" customWidth="1"/>
    <col min="24" max="29" width="81.140625" bestFit="1" customWidth="1"/>
    <col min="30" max="30" width="44.28515625" bestFit="1" customWidth="1"/>
    <col min="31" max="31" width="81.140625" bestFit="1" customWidth="1"/>
    <col min="32" max="32" width="79.7109375" bestFit="1" customWidth="1"/>
    <col min="33" max="34" width="81.140625" bestFit="1" customWidth="1"/>
    <col min="35" max="35" width="60.140625" bestFit="1" customWidth="1"/>
    <col min="36" max="36" width="54.85546875" bestFit="1" customWidth="1"/>
    <col min="37" max="37" width="57.5703125" bestFit="1" customWidth="1"/>
    <col min="38" max="38" width="50.85546875" bestFit="1" customWidth="1"/>
    <col min="39" max="39" width="50.42578125" bestFit="1" customWidth="1"/>
    <col min="40" max="40" width="41.5703125" bestFit="1" customWidth="1"/>
    <col min="41" max="41" width="78.5703125" bestFit="1" customWidth="1"/>
    <col min="42" max="42" width="81.140625" bestFit="1" customWidth="1"/>
    <col min="43" max="43" width="78.28515625" bestFit="1" customWidth="1"/>
    <col min="44" max="44" width="70.42578125" bestFit="1" customWidth="1"/>
    <col min="45" max="45" width="81.140625" bestFit="1" customWidth="1"/>
    <col min="46" max="46" width="46.5703125" bestFit="1" customWidth="1"/>
    <col min="47" max="47" width="50.42578125" bestFit="1" customWidth="1"/>
    <col min="48" max="48" width="25" bestFit="1" customWidth="1"/>
    <col min="49" max="49" width="38.5703125" bestFit="1" customWidth="1"/>
    <col min="50" max="50" width="37.7109375" bestFit="1" customWidth="1"/>
    <col min="51" max="51" width="33" bestFit="1" customWidth="1"/>
    <col min="52" max="52" width="24.5703125" bestFit="1" customWidth="1"/>
    <col min="53" max="53" width="38" bestFit="1" customWidth="1"/>
    <col min="54" max="54" width="81.140625" bestFit="1" customWidth="1"/>
    <col min="55" max="55" width="62.85546875" bestFit="1" customWidth="1"/>
    <col min="56" max="56" width="36.42578125" bestFit="1" customWidth="1"/>
    <col min="57" max="58" width="17.5703125" bestFit="1" customWidth="1"/>
    <col min="59" max="59" width="42.42578125" bestFit="1" customWidth="1"/>
    <col min="60" max="61" width="81.140625" bestFit="1" customWidth="1"/>
    <col min="62" max="62" width="50.85546875" bestFit="1" customWidth="1"/>
    <col min="63" max="63" width="81.140625" bestFit="1" customWidth="1"/>
    <col min="64" max="64" width="68.5703125" bestFit="1" customWidth="1"/>
    <col min="65" max="65" width="53.28515625" bestFit="1" customWidth="1"/>
    <col min="66" max="68" width="81.140625" bestFit="1" customWidth="1"/>
    <col min="69" max="69" width="66.7109375" bestFit="1" customWidth="1"/>
    <col min="70" max="70" width="55.85546875" bestFit="1" customWidth="1"/>
    <col min="71" max="72" width="81.140625" bestFit="1" customWidth="1"/>
    <col min="73" max="73" width="27.42578125" bestFit="1" customWidth="1"/>
    <col min="74" max="74" width="81.140625" bestFit="1" customWidth="1"/>
    <col min="75" max="75" width="77.140625" bestFit="1" customWidth="1"/>
    <col min="76" max="79" width="81.140625" bestFit="1" customWidth="1"/>
    <col min="80" max="80" width="77.28515625" bestFit="1" customWidth="1"/>
    <col min="81" max="81" width="70" bestFit="1" customWidth="1"/>
    <col min="82" max="82" width="32.140625" bestFit="1" customWidth="1"/>
    <col min="83" max="83" width="30.28515625" bestFit="1" customWidth="1"/>
    <col min="84" max="84" width="46.5703125" bestFit="1" customWidth="1"/>
    <col min="85" max="85" width="51" bestFit="1" customWidth="1"/>
    <col min="86" max="86" width="81.140625" bestFit="1" customWidth="1"/>
    <col min="87" max="87" width="81.140625" customWidth="1"/>
    <col min="88" max="88" width="73.140625" bestFit="1" customWidth="1"/>
    <col min="89" max="89" width="81.140625" bestFit="1" customWidth="1"/>
    <col min="90" max="94" width="81.140625" customWidth="1"/>
    <col min="95" max="95" width="31.7109375" bestFit="1" customWidth="1"/>
    <col min="96" max="96" width="81.140625" bestFit="1" customWidth="1"/>
    <col min="97" max="97" width="81.140625" customWidth="1"/>
    <col min="98" max="98" width="10.42578125" bestFit="1" customWidth="1"/>
    <col min="99" max="99" width="12.28515625" bestFit="1" customWidth="1"/>
    <col min="100" max="100" width="12.5703125" bestFit="1" customWidth="1"/>
    <col min="101" max="101" width="67.5703125" customWidth="1"/>
    <col min="102" max="106" width="80.7109375" customWidth="1"/>
    <col min="107" max="107" width="29.140625" customWidth="1"/>
    <col min="108" max="108" width="27.28515625" customWidth="1"/>
    <col min="109" max="109" width="9.7109375" customWidth="1"/>
    <col min="110" max="110" width="11.42578125" bestFit="1" customWidth="1"/>
    <col min="111" max="111" width="11.7109375" bestFit="1" customWidth="1"/>
    <col min="112" max="112" width="11.42578125" bestFit="1" customWidth="1"/>
    <col min="113" max="113" width="56" bestFit="1" customWidth="1"/>
    <col min="114" max="114" width="46.140625" bestFit="1" customWidth="1"/>
    <col min="115" max="116" width="56" bestFit="1" customWidth="1"/>
    <col min="117" max="117" width="48.28515625" bestFit="1" customWidth="1"/>
    <col min="118" max="121" width="56" bestFit="1" customWidth="1"/>
    <col min="122" max="122" width="48.85546875" bestFit="1" customWidth="1"/>
    <col min="123" max="124" width="56" bestFit="1" customWidth="1"/>
    <col min="125" max="125" width="25.28515625" bestFit="1" customWidth="1"/>
    <col min="126" max="130" width="56" bestFit="1" customWidth="1"/>
    <col min="131" max="131" width="42.42578125" bestFit="1" customWidth="1"/>
    <col min="132" max="132" width="46.140625" bestFit="1" customWidth="1"/>
    <col min="133" max="133" width="25.140625" bestFit="1" customWidth="1"/>
    <col min="134" max="141" width="56" bestFit="1" customWidth="1"/>
    <col min="142" max="142" width="29.140625" bestFit="1" customWidth="1"/>
    <col min="143" max="143" width="9.85546875" bestFit="1" customWidth="1"/>
    <col min="144" max="144" width="11.42578125" bestFit="1" customWidth="1"/>
  </cols>
  <sheetData>
    <row r="1" spans="1:35" x14ac:dyDescent="0.25">
      <c r="A1" t="s">
        <v>24</v>
      </c>
      <c r="B1" t="s">
        <v>1</v>
      </c>
      <c r="C1" t="s">
        <v>25</v>
      </c>
      <c r="D1" t="s">
        <v>26</v>
      </c>
      <c r="E1" t="s">
        <v>23</v>
      </c>
      <c r="F1" t="s">
        <v>51</v>
      </c>
      <c r="G1" t="s">
        <v>52</v>
      </c>
      <c r="H1" t="s">
        <v>29</v>
      </c>
      <c r="I1" t="s">
        <v>30</v>
      </c>
      <c r="J1" t="s">
        <v>31</v>
      </c>
      <c r="K1" t="s">
        <v>92</v>
      </c>
      <c r="L1" t="s">
        <v>93</v>
      </c>
      <c r="M1" t="s">
        <v>94</v>
      </c>
      <c r="N1" t="s">
        <v>95</v>
      </c>
      <c r="O1" t="s">
        <v>35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115</v>
      </c>
      <c r="AF1" t="s">
        <v>116</v>
      </c>
      <c r="AG1" t="s">
        <v>117</v>
      </c>
      <c r="AH1" t="s">
        <v>111</v>
      </c>
      <c r="AI1" t="s">
        <v>112</v>
      </c>
    </row>
    <row r="2" spans="1:35" x14ac:dyDescent="0.25">
      <c r="A2" t="s">
        <v>124</v>
      </c>
      <c r="B2" t="s">
        <v>8</v>
      </c>
      <c r="C2" t="s">
        <v>79</v>
      </c>
      <c r="D2">
        <v>129406</v>
      </c>
      <c r="E2" t="s">
        <v>197</v>
      </c>
      <c r="F2">
        <v>1</v>
      </c>
      <c r="G2" t="s">
        <v>126</v>
      </c>
      <c r="H2" s="81">
        <v>45836</v>
      </c>
      <c r="I2">
        <v>27593785</v>
      </c>
      <c r="J2" t="s">
        <v>128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15</v>
      </c>
      <c r="AF2" t="s">
        <v>20</v>
      </c>
      <c r="AG2" t="s">
        <v>202</v>
      </c>
      <c r="AH2" t="s">
        <v>81</v>
      </c>
      <c r="AI2" t="s">
        <v>81</v>
      </c>
    </row>
    <row r="3" spans="1:35" x14ac:dyDescent="0.25">
      <c r="A3" t="s">
        <v>124</v>
      </c>
      <c r="B3" t="s">
        <v>131</v>
      </c>
      <c r="C3" t="s">
        <v>174</v>
      </c>
      <c r="D3">
        <v>55306</v>
      </c>
      <c r="E3" t="s">
        <v>176</v>
      </c>
      <c r="F3">
        <v>1</v>
      </c>
      <c r="G3" t="s">
        <v>126</v>
      </c>
      <c r="H3" s="81">
        <v>45824</v>
      </c>
      <c r="I3">
        <v>27483590</v>
      </c>
      <c r="J3" t="s">
        <v>142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15</v>
      </c>
      <c r="AF3" t="s">
        <v>20</v>
      </c>
      <c r="AG3" t="s">
        <v>182</v>
      </c>
      <c r="AH3" t="s">
        <v>81</v>
      </c>
      <c r="AI3" t="s">
        <v>81</v>
      </c>
    </row>
    <row r="4" spans="1:35" x14ac:dyDescent="0.25">
      <c r="A4" t="s">
        <v>124</v>
      </c>
      <c r="B4" t="s">
        <v>131</v>
      </c>
      <c r="C4" t="s">
        <v>174</v>
      </c>
      <c r="D4">
        <v>456498</v>
      </c>
      <c r="E4" t="s">
        <v>184</v>
      </c>
      <c r="F4">
        <v>1</v>
      </c>
      <c r="G4" t="s">
        <v>126</v>
      </c>
      <c r="H4" s="81">
        <v>45825</v>
      </c>
      <c r="I4">
        <v>27493916</v>
      </c>
      <c r="J4" t="s">
        <v>142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  <c r="U4" t="s">
        <v>81</v>
      </c>
      <c r="V4" t="s">
        <v>81</v>
      </c>
      <c r="W4" t="s">
        <v>81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15</v>
      </c>
      <c r="AF4" t="s">
        <v>20</v>
      </c>
      <c r="AG4" t="s">
        <v>189</v>
      </c>
      <c r="AH4" t="s">
        <v>81</v>
      </c>
      <c r="AI4" t="s">
        <v>81</v>
      </c>
    </row>
    <row r="5" spans="1:35" x14ac:dyDescent="0.25">
      <c r="A5" t="s">
        <v>124</v>
      </c>
      <c r="B5" t="s">
        <v>131</v>
      </c>
      <c r="C5" t="s">
        <v>132</v>
      </c>
      <c r="D5">
        <v>29714</v>
      </c>
      <c r="E5" t="s">
        <v>191</v>
      </c>
      <c r="F5">
        <v>1</v>
      </c>
      <c r="G5" t="s">
        <v>126</v>
      </c>
      <c r="H5" s="81">
        <v>45833</v>
      </c>
      <c r="I5">
        <v>27529996</v>
      </c>
      <c r="J5" t="s">
        <v>142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81</v>
      </c>
      <c r="Q5" t="s">
        <v>20</v>
      </c>
      <c r="R5" t="s">
        <v>20</v>
      </c>
      <c r="S5" t="s">
        <v>81</v>
      </c>
      <c r="T5" t="s">
        <v>81</v>
      </c>
      <c r="U5" t="s">
        <v>81</v>
      </c>
      <c r="V5" t="s">
        <v>81</v>
      </c>
      <c r="W5" t="s">
        <v>81</v>
      </c>
      <c r="X5" t="s">
        <v>81</v>
      </c>
      <c r="Y5" t="s">
        <v>81</v>
      </c>
      <c r="Z5" t="s">
        <v>81</v>
      </c>
      <c r="AA5" t="s">
        <v>20</v>
      </c>
      <c r="AB5" t="s">
        <v>20</v>
      </c>
      <c r="AC5" t="s">
        <v>81</v>
      </c>
      <c r="AD5" t="s">
        <v>15</v>
      </c>
      <c r="AF5" t="s">
        <v>20</v>
      </c>
      <c r="AG5" t="s">
        <v>195</v>
      </c>
      <c r="AH5" t="s">
        <v>81</v>
      </c>
      <c r="AI5" t="s">
        <v>20</v>
      </c>
    </row>
    <row r="6" spans="1:35" x14ac:dyDescent="0.25">
      <c r="A6" t="s">
        <v>124</v>
      </c>
      <c r="B6" t="s">
        <v>131</v>
      </c>
      <c r="C6" t="s">
        <v>132</v>
      </c>
      <c r="D6">
        <v>66552</v>
      </c>
      <c r="E6" t="s">
        <v>135</v>
      </c>
      <c r="F6">
        <v>1</v>
      </c>
      <c r="G6" t="s">
        <v>126</v>
      </c>
      <c r="H6" s="81">
        <v>45821.605787037035</v>
      </c>
      <c r="I6">
        <v>27474721</v>
      </c>
      <c r="J6" t="s">
        <v>142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81</v>
      </c>
      <c r="Q6" t="s">
        <v>20</v>
      </c>
      <c r="R6" t="s">
        <v>20</v>
      </c>
      <c r="S6" t="s">
        <v>81</v>
      </c>
      <c r="T6" t="s">
        <v>81</v>
      </c>
      <c r="U6" t="s">
        <v>81</v>
      </c>
      <c r="V6" t="s">
        <v>81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129</v>
      </c>
      <c r="AE6" t="s">
        <v>20</v>
      </c>
      <c r="AF6" t="s">
        <v>81</v>
      </c>
    </row>
    <row r="7" spans="1:35" x14ac:dyDescent="0.25">
      <c r="A7" t="s">
        <v>124</v>
      </c>
      <c r="B7" t="s">
        <v>90</v>
      </c>
      <c r="C7" t="s">
        <v>132</v>
      </c>
      <c r="D7">
        <v>12211</v>
      </c>
      <c r="E7" t="s">
        <v>165</v>
      </c>
      <c r="F7">
        <v>1</v>
      </c>
      <c r="G7" t="s">
        <v>126</v>
      </c>
      <c r="H7" s="81">
        <v>45822</v>
      </c>
      <c r="I7">
        <v>27481191</v>
      </c>
      <c r="J7" t="s">
        <v>172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81</v>
      </c>
      <c r="Q7" t="s">
        <v>20</v>
      </c>
      <c r="R7" t="s">
        <v>20</v>
      </c>
      <c r="S7" t="s">
        <v>81</v>
      </c>
      <c r="T7" t="s">
        <v>81</v>
      </c>
      <c r="U7" t="s">
        <v>81</v>
      </c>
      <c r="V7" t="s">
        <v>81</v>
      </c>
      <c r="W7" t="s">
        <v>20</v>
      </c>
      <c r="X7" t="s">
        <v>20</v>
      </c>
      <c r="Y7" t="s">
        <v>20</v>
      </c>
      <c r="Z7" t="s">
        <v>20</v>
      </c>
      <c r="AA7" t="s">
        <v>20</v>
      </c>
      <c r="AB7" t="s">
        <v>20</v>
      </c>
      <c r="AC7" t="s">
        <v>81</v>
      </c>
      <c r="AD7" t="s">
        <v>129</v>
      </c>
      <c r="AE7" t="s">
        <v>20</v>
      </c>
      <c r="AF7" t="s">
        <v>20</v>
      </c>
      <c r="AG7" t="s">
        <v>173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dimension ref="A1:AC142"/>
  <sheetViews>
    <sheetView topLeftCell="G1" zoomScale="70" zoomScaleNormal="70" workbookViewId="0">
      <selection activeCell="G2" sqref="A2:XFD25"/>
    </sheetView>
  </sheetViews>
  <sheetFormatPr baseColWidth="10" defaultColWidth="11.42578125" defaultRowHeight="15" x14ac:dyDescent="0.25"/>
  <cols>
    <col min="1" max="1" width="11.85546875" customWidth="1"/>
    <col min="2" max="2" width="11.42578125" customWidth="1"/>
    <col min="4" max="5" width="11.42578125" customWidth="1"/>
    <col min="6" max="6" width="13.140625" customWidth="1"/>
    <col min="7" max="7" width="11.42578125" style="2" customWidth="1"/>
    <col min="8" max="8" width="11.42578125" customWidth="1"/>
    <col min="9" max="9" width="13.5703125" style="35" customWidth="1"/>
    <col min="10" max="10" width="32.42578125" style="2" customWidth="1"/>
    <col min="11" max="11" width="13.42578125" customWidth="1"/>
    <col min="12" max="12" width="18.5703125" customWidth="1"/>
    <col min="13" max="13" width="9.140625" style="2" customWidth="1"/>
    <col min="14" max="14" width="32.140625" customWidth="1"/>
    <col min="15" max="15" width="91.28515625" customWidth="1"/>
    <col min="16" max="16" width="30.28515625" customWidth="1"/>
    <col min="17" max="17" width="14.5703125" customWidth="1"/>
    <col min="18" max="18" width="15" customWidth="1"/>
    <col min="19" max="19" width="18.7109375" style="37" customWidth="1"/>
    <col min="20" max="20" width="18.28515625" style="2" customWidth="1"/>
    <col min="21" max="21" width="24.42578125" style="2" customWidth="1"/>
    <col min="22" max="22" width="14.5703125" style="2" customWidth="1"/>
    <col min="23" max="23" width="11.42578125" style="2"/>
    <col min="24" max="24" width="20" style="2" customWidth="1"/>
    <col min="25" max="25" width="20.42578125" style="2" customWidth="1"/>
    <col min="26" max="26" width="18.140625" style="2" customWidth="1"/>
    <col min="27" max="27" width="11.42578125" style="2"/>
    <col min="28" max="28" width="21.5703125" style="2" customWidth="1"/>
    <col min="29" max="29" width="21.85546875" style="2" customWidth="1"/>
  </cols>
  <sheetData>
    <row r="1" spans="1:29" x14ac:dyDescent="0.25">
      <c r="A1" t="s">
        <v>24</v>
      </c>
      <c r="B1" t="s">
        <v>45</v>
      </c>
      <c r="C1" t="s">
        <v>1</v>
      </c>
      <c r="D1" t="s">
        <v>22</v>
      </c>
      <c r="E1" t="s">
        <v>25</v>
      </c>
      <c r="F1" t="s">
        <v>46</v>
      </c>
      <c r="G1" s="2" t="s">
        <v>47</v>
      </c>
      <c r="H1" t="s">
        <v>48</v>
      </c>
      <c r="I1" s="35" t="s">
        <v>26</v>
      </c>
      <c r="J1" s="2" t="s">
        <v>23</v>
      </c>
      <c r="K1" t="s">
        <v>49</v>
      </c>
      <c r="L1" t="s">
        <v>50</v>
      </c>
      <c r="M1" s="2" t="s">
        <v>51</v>
      </c>
      <c r="N1" t="s">
        <v>52</v>
      </c>
      <c r="O1" t="s">
        <v>27</v>
      </c>
      <c r="P1" t="s">
        <v>53</v>
      </c>
      <c r="Q1" t="s">
        <v>54</v>
      </c>
      <c r="R1" t="s">
        <v>55</v>
      </c>
      <c r="S1" s="37" t="s">
        <v>29</v>
      </c>
      <c r="T1" s="2" t="s">
        <v>56</v>
      </c>
      <c r="U1" s="2" t="s">
        <v>57</v>
      </c>
      <c r="V1" s="2" t="s">
        <v>30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31</v>
      </c>
      <c r="AB1" s="2" t="s">
        <v>62</v>
      </c>
      <c r="AC1" s="2" t="s">
        <v>63</v>
      </c>
    </row>
    <row r="2" spans="1:29" x14ac:dyDescent="0.25">
      <c r="A2" t="s">
        <v>124</v>
      </c>
      <c r="B2" t="s">
        <v>130</v>
      </c>
      <c r="C2" t="s">
        <v>131</v>
      </c>
      <c r="D2" t="s">
        <v>43</v>
      </c>
      <c r="E2" t="s">
        <v>132</v>
      </c>
      <c r="F2" t="s">
        <v>133</v>
      </c>
      <c r="G2" s="2" t="s">
        <v>131</v>
      </c>
      <c r="H2" t="s">
        <v>64</v>
      </c>
      <c r="I2" s="35" t="s">
        <v>134</v>
      </c>
      <c r="J2" s="2" t="s">
        <v>135</v>
      </c>
      <c r="K2" t="s">
        <v>125</v>
      </c>
      <c r="L2" t="s">
        <v>136</v>
      </c>
      <c r="M2" s="2" t="s">
        <v>78</v>
      </c>
      <c r="N2" t="s">
        <v>126</v>
      </c>
      <c r="O2" t="s">
        <v>92</v>
      </c>
      <c r="P2" s="2" t="s">
        <v>20</v>
      </c>
      <c r="Q2" t="s">
        <v>64</v>
      </c>
      <c r="R2" t="s">
        <v>64</v>
      </c>
      <c r="S2" s="80" t="s">
        <v>137</v>
      </c>
      <c r="T2" t="s">
        <v>138</v>
      </c>
      <c r="U2" t="s">
        <v>139</v>
      </c>
      <c r="V2" s="2" t="s">
        <v>140</v>
      </c>
      <c r="W2" s="2" t="s">
        <v>65</v>
      </c>
      <c r="Z2" s="2" t="s">
        <v>141</v>
      </c>
      <c r="AA2" s="2" t="s">
        <v>142</v>
      </c>
      <c r="AB2" s="2" t="s">
        <v>66</v>
      </c>
      <c r="AC2" s="2" t="s">
        <v>67</v>
      </c>
    </row>
    <row r="3" spans="1:29" x14ac:dyDescent="0.25">
      <c r="A3" t="s">
        <v>124</v>
      </c>
      <c r="B3" t="s">
        <v>130</v>
      </c>
      <c r="C3" t="s">
        <v>131</v>
      </c>
      <c r="D3" t="s">
        <v>43</v>
      </c>
      <c r="E3" t="s">
        <v>132</v>
      </c>
      <c r="F3" t="s">
        <v>133</v>
      </c>
      <c r="G3" s="2" t="s">
        <v>131</v>
      </c>
      <c r="H3" t="s">
        <v>64</v>
      </c>
      <c r="I3" s="35" t="s">
        <v>134</v>
      </c>
      <c r="J3" s="2" t="s">
        <v>135</v>
      </c>
      <c r="K3" t="s">
        <v>125</v>
      </c>
      <c r="L3" t="s">
        <v>136</v>
      </c>
      <c r="M3" s="2" t="s">
        <v>78</v>
      </c>
      <c r="N3" t="s">
        <v>126</v>
      </c>
      <c r="O3" t="s">
        <v>93</v>
      </c>
      <c r="P3" s="2" t="s">
        <v>20</v>
      </c>
      <c r="Q3" t="s">
        <v>64</v>
      </c>
      <c r="R3" t="s">
        <v>64</v>
      </c>
      <c r="S3" s="80" t="s">
        <v>137</v>
      </c>
      <c r="T3" t="s">
        <v>138</v>
      </c>
      <c r="U3" t="s">
        <v>143</v>
      </c>
      <c r="V3" s="2" t="s">
        <v>140</v>
      </c>
      <c r="W3" s="2" t="s">
        <v>65</v>
      </c>
      <c r="Z3" s="2" t="s">
        <v>141</v>
      </c>
      <c r="AA3" s="2" t="s">
        <v>142</v>
      </c>
      <c r="AB3" s="2" t="s">
        <v>66</v>
      </c>
      <c r="AC3" s="2" t="s">
        <v>67</v>
      </c>
    </row>
    <row r="4" spans="1:29" x14ac:dyDescent="0.25">
      <c r="A4" t="s">
        <v>124</v>
      </c>
      <c r="B4" t="s">
        <v>130</v>
      </c>
      <c r="C4" t="s">
        <v>131</v>
      </c>
      <c r="D4" t="s">
        <v>43</v>
      </c>
      <c r="E4" t="s">
        <v>132</v>
      </c>
      <c r="F4" t="s">
        <v>133</v>
      </c>
      <c r="G4" s="2" t="s">
        <v>131</v>
      </c>
      <c r="H4" t="s">
        <v>64</v>
      </c>
      <c r="I4" s="35" t="s">
        <v>134</v>
      </c>
      <c r="J4" s="2" t="s">
        <v>135</v>
      </c>
      <c r="K4" t="s">
        <v>125</v>
      </c>
      <c r="L4" t="s">
        <v>136</v>
      </c>
      <c r="M4" s="2" t="s">
        <v>78</v>
      </c>
      <c r="N4" t="s">
        <v>126</v>
      </c>
      <c r="O4" t="s">
        <v>94</v>
      </c>
      <c r="P4" s="2" t="s">
        <v>20</v>
      </c>
      <c r="Q4" t="s">
        <v>64</v>
      </c>
      <c r="R4" t="s">
        <v>64</v>
      </c>
      <c r="S4" s="80" t="s">
        <v>137</v>
      </c>
      <c r="T4" t="s">
        <v>138</v>
      </c>
      <c r="U4" t="s">
        <v>144</v>
      </c>
      <c r="V4" s="2" t="s">
        <v>140</v>
      </c>
      <c r="W4" s="2" t="s">
        <v>65</v>
      </c>
      <c r="Z4" s="2" t="s">
        <v>141</v>
      </c>
      <c r="AA4" s="2" t="s">
        <v>142</v>
      </c>
      <c r="AB4" s="2" t="s">
        <v>66</v>
      </c>
      <c r="AC4" s="2" t="s">
        <v>67</v>
      </c>
    </row>
    <row r="5" spans="1:29" x14ac:dyDescent="0.25">
      <c r="A5" t="s">
        <v>124</v>
      </c>
      <c r="B5" t="s">
        <v>130</v>
      </c>
      <c r="C5" t="s">
        <v>131</v>
      </c>
      <c r="D5" t="s">
        <v>43</v>
      </c>
      <c r="E5" t="s">
        <v>132</v>
      </c>
      <c r="F5" t="s">
        <v>133</v>
      </c>
      <c r="G5" s="2" t="s">
        <v>131</v>
      </c>
      <c r="H5" t="s">
        <v>64</v>
      </c>
      <c r="I5" s="35" t="s">
        <v>134</v>
      </c>
      <c r="J5" s="2" t="s">
        <v>135</v>
      </c>
      <c r="K5" t="s">
        <v>125</v>
      </c>
      <c r="L5" t="s">
        <v>136</v>
      </c>
      <c r="M5" s="2" t="s">
        <v>78</v>
      </c>
      <c r="N5" t="s">
        <v>126</v>
      </c>
      <c r="O5" t="s">
        <v>95</v>
      </c>
      <c r="P5" s="2" t="s">
        <v>20</v>
      </c>
      <c r="Q5" t="s">
        <v>64</v>
      </c>
      <c r="R5" t="s">
        <v>64</v>
      </c>
      <c r="S5" s="80" t="s">
        <v>137</v>
      </c>
      <c r="T5" t="s">
        <v>138</v>
      </c>
      <c r="U5" t="s">
        <v>145</v>
      </c>
      <c r="V5" s="2" t="s">
        <v>140</v>
      </c>
      <c r="W5" s="2" t="s">
        <v>65</v>
      </c>
      <c r="Z5" s="2" t="s">
        <v>141</v>
      </c>
      <c r="AA5" s="2" t="s">
        <v>142</v>
      </c>
      <c r="AB5" s="2" t="s">
        <v>66</v>
      </c>
      <c r="AC5" s="2" t="s">
        <v>67</v>
      </c>
    </row>
    <row r="6" spans="1:29" x14ac:dyDescent="0.25">
      <c r="A6" t="s">
        <v>124</v>
      </c>
      <c r="B6" t="s">
        <v>130</v>
      </c>
      <c r="C6" t="s">
        <v>131</v>
      </c>
      <c r="D6" t="s">
        <v>43</v>
      </c>
      <c r="E6" t="s">
        <v>132</v>
      </c>
      <c r="F6" t="s">
        <v>133</v>
      </c>
      <c r="G6" s="2" t="s">
        <v>131</v>
      </c>
      <c r="H6" t="s">
        <v>64</v>
      </c>
      <c r="I6" s="35" t="s">
        <v>134</v>
      </c>
      <c r="J6" s="2" t="s">
        <v>135</v>
      </c>
      <c r="K6" t="s">
        <v>125</v>
      </c>
      <c r="L6" t="s">
        <v>136</v>
      </c>
      <c r="M6" s="2" t="s">
        <v>78</v>
      </c>
      <c r="N6" t="s">
        <v>126</v>
      </c>
      <c r="O6" t="s">
        <v>35</v>
      </c>
      <c r="P6" s="2" t="s">
        <v>20</v>
      </c>
      <c r="Q6" t="s">
        <v>64</v>
      </c>
      <c r="R6" t="s">
        <v>64</v>
      </c>
      <c r="S6" s="80" t="s">
        <v>137</v>
      </c>
      <c r="T6" t="s">
        <v>138</v>
      </c>
      <c r="U6" t="s">
        <v>146</v>
      </c>
      <c r="V6" s="2" t="s">
        <v>140</v>
      </c>
      <c r="W6" s="2" t="s">
        <v>65</v>
      </c>
      <c r="Z6" s="2" t="s">
        <v>141</v>
      </c>
      <c r="AA6" s="2" t="s">
        <v>142</v>
      </c>
      <c r="AB6" s="2" t="s">
        <v>66</v>
      </c>
      <c r="AC6" s="2" t="s">
        <v>67</v>
      </c>
    </row>
    <row r="7" spans="1:29" x14ac:dyDescent="0.25">
      <c r="A7" t="s">
        <v>124</v>
      </c>
      <c r="B7" t="s">
        <v>130</v>
      </c>
      <c r="C7" t="s">
        <v>131</v>
      </c>
      <c r="D7" t="s">
        <v>43</v>
      </c>
      <c r="E7" t="s">
        <v>132</v>
      </c>
      <c r="F7" t="s">
        <v>133</v>
      </c>
      <c r="G7" s="2" t="s">
        <v>131</v>
      </c>
      <c r="H7" t="s">
        <v>64</v>
      </c>
      <c r="I7" s="35" t="s">
        <v>134</v>
      </c>
      <c r="J7" s="2" t="s">
        <v>135</v>
      </c>
      <c r="K7" t="s">
        <v>125</v>
      </c>
      <c r="L7" t="s">
        <v>136</v>
      </c>
      <c r="M7" s="2" t="s">
        <v>78</v>
      </c>
      <c r="N7" t="s">
        <v>126</v>
      </c>
      <c r="O7" t="s">
        <v>96</v>
      </c>
      <c r="P7" s="2" t="s">
        <v>81</v>
      </c>
      <c r="Q7" t="s">
        <v>64</v>
      </c>
      <c r="R7" t="s">
        <v>64</v>
      </c>
      <c r="S7" s="80" t="s">
        <v>137</v>
      </c>
      <c r="T7" t="s">
        <v>138</v>
      </c>
      <c r="U7" t="s">
        <v>147</v>
      </c>
      <c r="V7" s="2" t="s">
        <v>140</v>
      </c>
      <c r="W7" s="2" t="s">
        <v>65</v>
      </c>
      <c r="Z7" s="2" t="s">
        <v>141</v>
      </c>
      <c r="AA7" s="2" t="s">
        <v>142</v>
      </c>
      <c r="AB7" s="2" t="s">
        <v>66</v>
      </c>
      <c r="AC7" s="2" t="s">
        <v>67</v>
      </c>
    </row>
    <row r="8" spans="1:29" x14ac:dyDescent="0.25">
      <c r="A8" t="s">
        <v>124</v>
      </c>
      <c r="B8" t="s">
        <v>130</v>
      </c>
      <c r="C8" t="s">
        <v>131</v>
      </c>
      <c r="D8" t="s">
        <v>43</v>
      </c>
      <c r="E8" t="s">
        <v>132</v>
      </c>
      <c r="F8" t="s">
        <v>133</v>
      </c>
      <c r="G8" s="2" t="s">
        <v>131</v>
      </c>
      <c r="H8" t="s">
        <v>64</v>
      </c>
      <c r="I8" s="35" t="s">
        <v>134</v>
      </c>
      <c r="J8" s="2" t="s">
        <v>135</v>
      </c>
      <c r="K8" t="s">
        <v>125</v>
      </c>
      <c r="L8" t="s">
        <v>136</v>
      </c>
      <c r="M8" s="2" t="s">
        <v>78</v>
      </c>
      <c r="N8" t="s">
        <v>126</v>
      </c>
      <c r="O8" t="s">
        <v>97</v>
      </c>
      <c r="P8" s="2" t="s">
        <v>20</v>
      </c>
      <c r="Q8" t="s">
        <v>64</v>
      </c>
      <c r="R8" t="s">
        <v>64</v>
      </c>
      <c r="S8" s="80" t="s">
        <v>137</v>
      </c>
      <c r="T8" t="s">
        <v>138</v>
      </c>
      <c r="U8" t="s">
        <v>148</v>
      </c>
      <c r="V8" s="2" t="s">
        <v>140</v>
      </c>
      <c r="W8" s="2" t="s">
        <v>65</v>
      </c>
      <c r="Z8" s="2" t="s">
        <v>141</v>
      </c>
      <c r="AA8" s="2" t="s">
        <v>142</v>
      </c>
      <c r="AB8" s="2" t="s">
        <v>66</v>
      </c>
      <c r="AC8" s="2" t="s">
        <v>67</v>
      </c>
    </row>
    <row r="9" spans="1:29" x14ac:dyDescent="0.25">
      <c r="A9" t="s">
        <v>124</v>
      </c>
      <c r="B9" t="s">
        <v>130</v>
      </c>
      <c r="C9" t="s">
        <v>131</v>
      </c>
      <c r="D9" t="s">
        <v>43</v>
      </c>
      <c r="E9" t="s">
        <v>132</v>
      </c>
      <c r="F9" t="s">
        <v>133</v>
      </c>
      <c r="G9" s="2" t="s">
        <v>131</v>
      </c>
      <c r="H9" t="s">
        <v>64</v>
      </c>
      <c r="I9" s="35" t="s">
        <v>134</v>
      </c>
      <c r="J9" s="2" t="s">
        <v>135</v>
      </c>
      <c r="K9" t="s">
        <v>125</v>
      </c>
      <c r="L9" t="s">
        <v>136</v>
      </c>
      <c r="M9" s="2" t="s">
        <v>78</v>
      </c>
      <c r="N9" t="s">
        <v>126</v>
      </c>
      <c r="O9" t="s">
        <v>98</v>
      </c>
      <c r="P9" s="2" t="s">
        <v>20</v>
      </c>
      <c r="Q9" t="s">
        <v>64</v>
      </c>
      <c r="R9" t="s">
        <v>64</v>
      </c>
      <c r="S9" s="80" t="s">
        <v>137</v>
      </c>
      <c r="T9" t="s">
        <v>138</v>
      </c>
      <c r="U9" t="s">
        <v>149</v>
      </c>
      <c r="V9" s="2" t="s">
        <v>140</v>
      </c>
      <c r="W9" s="2" t="s">
        <v>65</v>
      </c>
      <c r="Z9" s="2" t="s">
        <v>141</v>
      </c>
      <c r="AA9" s="2" t="s">
        <v>142</v>
      </c>
      <c r="AB9" s="2" t="s">
        <v>66</v>
      </c>
      <c r="AC9" s="2" t="s">
        <v>67</v>
      </c>
    </row>
    <row r="10" spans="1:29" x14ac:dyDescent="0.25">
      <c r="A10" t="s">
        <v>124</v>
      </c>
      <c r="B10" t="s">
        <v>130</v>
      </c>
      <c r="C10" t="s">
        <v>131</v>
      </c>
      <c r="D10" t="s">
        <v>43</v>
      </c>
      <c r="E10" t="s">
        <v>132</v>
      </c>
      <c r="F10" t="s">
        <v>133</v>
      </c>
      <c r="G10" s="2" t="s">
        <v>131</v>
      </c>
      <c r="H10" t="s">
        <v>64</v>
      </c>
      <c r="I10" s="35" t="s">
        <v>134</v>
      </c>
      <c r="J10" s="2" t="s">
        <v>135</v>
      </c>
      <c r="K10" t="s">
        <v>125</v>
      </c>
      <c r="L10" t="s">
        <v>136</v>
      </c>
      <c r="M10" s="2" t="s">
        <v>78</v>
      </c>
      <c r="N10" t="s">
        <v>126</v>
      </c>
      <c r="O10" t="s">
        <v>99</v>
      </c>
      <c r="P10" s="2" t="s">
        <v>81</v>
      </c>
      <c r="Q10" t="s">
        <v>64</v>
      </c>
      <c r="R10" t="s">
        <v>64</v>
      </c>
      <c r="S10" s="80" t="s">
        <v>137</v>
      </c>
      <c r="T10" t="s">
        <v>138</v>
      </c>
      <c r="U10" t="s">
        <v>150</v>
      </c>
      <c r="V10" s="2" t="s">
        <v>140</v>
      </c>
      <c r="W10" s="2" t="s">
        <v>65</v>
      </c>
      <c r="Z10" s="2" t="s">
        <v>141</v>
      </c>
      <c r="AA10" s="2" t="s">
        <v>142</v>
      </c>
      <c r="AB10" s="2" t="s">
        <v>66</v>
      </c>
      <c r="AC10" s="2" t="s">
        <v>67</v>
      </c>
    </row>
    <row r="11" spans="1:29" x14ac:dyDescent="0.25">
      <c r="A11" t="s">
        <v>124</v>
      </c>
      <c r="B11" t="s">
        <v>130</v>
      </c>
      <c r="C11" t="s">
        <v>131</v>
      </c>
      <c r="D11" t="s">
        <v>43</v>
      </c>
      <c r="E11" t="s">
        <v>132</v>
      </c>
      <c r="F11" t="s">
        <v>133</v>
      </c>
      <c r="G11" s="2" t="s">
        <v>131</v>
      </c>
      <c r="H11" t="s">
        <v>64</v>
      </c>
      <c r="I11" s="35" t="s">
        <v>134</v>
      </c>
      <c r="J11" s="2" t="s">
        <v>135</v>
      </c>
      <c r="K11" t="s">
        <v>125</v>
      </c>
      <c r="L11" t="s">
        <v>136</v>
      </c>
      <c r="M11" s="2" t="s">
        <v>78</v>
      </c>
      <c r="N11" t="s">
        <v>126</v>
      </c>
      <c r="O11" t="s">
        <v>100</v>
      </c>
      <c r="P11" s="2" t="s">
        <v>81</v>
      </c>
      <c r="Q11" t="s">
        <v>64</v>
      </c>
      <c r="R11" t="s">
        <v>64</v>
      </c>
      <c r="S11" s="80" t="s">
        <v>137</v>
      </c>
      <c r="T11" t="s">
        <v>138</v>
      </c>
      <c r="U11" t="s">
        <v>151</v>
      </c>
      <c r="V11" s="2" t="s">
        <v>140</v>
      </c>
      <c r="W11" s="2" t="s">
        <v>65</v>
      </c>
      <c r="Z11" s="2" t="s">
        <v>141</v>
      </c>
      <c r="AA11" s="2" t="s">
        <v>142</v>
      </c>
      <c r="AB11" s="2" t="s">
        <v>66</v>
      </c>
      <c r="AC11" s="2" t="s">
        <v>67</v>
      </c>
    </row>
    <row r="12" spans="1:29" x14ac:dyDescent="0.25">
      <c r="A12" t="s">
        <v>124</v>
      </c>
      <c r="B12" t="s">
        <v>130</v>
      </c>
      <c r="C12" t="s">
        <v>131</v>
      </c>
      <c r="D12" t="s">
        <v>43</v>
      </c>
      <c r="E12" t="s">
        <v>132</v>
      </c>
      <c r="F12" t="s">
        <v>133</v>
      </c>
      <c r="G12" s="2" t="s">
        <v>131</v>
      </c>
      <c r="H12" t="s">
        <v>64</v>
      </c>
      <c r="I12" s="35" t="s">
        <v>134</v>
      </c>
      <c r="J12" s="2" t="s">
        <v>135</v>
      </c>
      <c r="K12" t="s">
        <v>125</v>
      </c>
      <c r="L12" t="s">
        <v>136</v>
      </c>
      <c r="M12" s="2" t="s">
        <v>78</v>
      </c>
      <c r="N12" t="s">
        <v>126</v>
      </c>
      <c r="O12" t="s">
        <v>101</v>
      </c>
      <c r="P12" s="2" t="s">
        <v>81</v>
      </c>
      <c r="Q12" t="s">
        <v>64</v>
      </c>
      <c r="R12" t="s">
        <v>64</v>
      </c>
      <c r="S12" s="80" t="s">
        <v>137</v>
      </c>
      <c r="T12" t="s">
        <v>138</v>
      </c>
      <c r="U12" t="s">
        <v>152</v>
      </c>
      <c r="V12" s="2" t="s">
        <v>140</v>
      </c>
      <c r="W12" s="2" t="s">
        <v>65</v>
      </c>
      <c r="Z12" s="2" t="s">
        <v>141</v>
      </c>
      <c r="AA12" s="2" t="s">
        <v>142</v>
      </c>
      <c r="AB12" s="2" t="s">
        <v>66</v>
      </c>
      <c r="AC12" s="2" t="s">
        <v>67</v>
      </c>
    </row>
    <row r="13" spans="1:29" x14ac:dyDescent="0.25">
      <c r="A13" t="s">
        <v>124</v>
      </c>
      <c r="B13" t="s">
        <v>130</v>
      </c>
      <c r="C13" t="s">
        <v>131</v>
      </c>
      <c r="D13" t="s">
        <v>43</v>
      </c>
      <c r="E13" t="s">
        <v>132</v>
      </c>
      <c r="F13" t="s">
        <v>133</v>
      </c>
      <c r="G13" s="2" t="s">
        <v>131</v>
      </c>
      <c r="H13" t="s">
        <v>64</v>
      </c>
      <c r="I13" s="35" t="s">
        <v>134</v>
      </c>
      <c r="J13" s="2" t="s">
        <v>135</v>
      </c>
      <c r="K13" t="s">
        <v>125</v>
      </c>
      <c r="L13" t="s">
        <v>136</v>
      </c>
      <c r="M13" s="2" t="s">
        <v>78</v>
      </c>
      <c r="N13" t="s">
        <v>126</v>
      </c>
      <c r="O13" t="s">
        <v>102</v>
      </c>
      <c r="P13" s="2" t="s">
        <v>81</v>
      </c>
      <c r="Q13" t="s">
        <v>64</v>
      </c>
      <c r="R13" t="s">
        <v>64</v>
      </c>
      <c r="S13" s="80" t="s">
        <v>137</v>
      </c>
      <c r="T13" t="s">
        <v>138</v>
      </c>
      <c r="U13" t="s">
        <v>153</v>
      </c>
      <c r="V13" s="2" t="s">
        <v>140</v>
      </c>
      <c r="W13" s="2" t="s">
        <v>65</v>
      </c>
      <c r="Z13" s="2" t="s">
        <v>141</v>
      </c>
      <c r="AA13" s="2" t="s">
        <v>142</v>
      </c>
      <c r="AB13" s="2" t="s">
        <v>66</v>
      </c>
      <c r="AC13" s="2" t="s">
        <v>67</v>
      </c>
    </row>
    <row r="14" spans="1:29" x14ac:dyDescent="0.25">
      <c r="A14" t="s">
        <v>124</v>
      </c>
      <c r="B14" t="s">
        <v>130</v>
      </c>
      <c r="C14" t="s">
        <v>131</v>
      </c>
      <c r="D14" t="s">
        <v>43</v>
      </c>
      <c r="E14" t="s">
        <v>132</v>
      </c>
      <c r="F14" t="s">
        <v>133</v>
      </c>
      <c r="G14" s="2" t="s">
        <v>131</v>
      </c>
      <c r="H14" t="s">
        <v>64</v>
      </c>
      <c r="I14" s="35" t="s">
        <v>134</v>
      </c>
      <c r="J14" s="2" t="s">
        <v>135</v>
      </c>
      <c r="K14" t="s">
        <v>125</v>
      </c>
      <c r="L14" t="s">
        <v>136</v>
      </c>
      <c r="M14" s="2" t="s">
        <v>78</v>
      </c>
      <c r="N14" t="s">
        <v>126</v>
      </c>
      <c r="O14" t="s">
        <v>103</v>
      </c>
      <c r="P14" s="2" t="s">
        <v>20</v>
      </c>
      <c r="Q14" t="s">
        <v>64</v>
      </c>
      <c r="R14" t="s">
        <v>64</v>
      </c>
      <c r="S14" s="80" t="s">
        <v>137</v>
      </c>
      <c r="T14" t="s">
        <v>138</v>
      </c>
      <c r="U14" t="s">
        <v>154</v>
      </c>
      <c r="V14" s="2" t="s">
        <v>140</v>
      </c>
      <c r="W14" s="2" t="s">
        <v>65</v>
      </c>
      <c r="Z14" s="2" t="s">
        <v>141</v>
      </c>
      <c r="AA14" s="2" t="s">
        <v>142</v>
      </c>
      <c r="AB14" s="2" t="s">
        <v>66</v>
      </c>
      <c r="AC14" s="2" t="s">
        <v>67</v>
      </c>
    </row>
    <row r="15" spans="1:29" x14ac:dyDescent="0.25">
      <c r="A15" t="s">
        <v>124</v>
      </c>
      <c r="B15" t="s">
        <v>130</v>
      </c>
      <c r="C15" t="s">
        <v>131</v>
      </c>
      <c r="D15" t="s">
        <v>43</v>
      </c>
      <c r="E15" t="s">
        <v>132</v>
      </c>
      <c r="F15" t="s">
        <v>133</v>
      </c>
      <c r="G15" s="2" t="s">
        <v>131</v>
      </c>
      <c r="H15" t="s">
        <v>64</v>
      </c>
      <c r="I15" s="35" t="s">
        <v>134</v>
      </c>
      <c r="J15" s="2" t="s">
        <v>135</v>
      </c>
      <c r="K15" t="s">
        <v>125</v>
      </c>
      <c r="L15" t="s">
        <v>136</v>
      </c>
      <c r="M15" s="2" t="s">
        <v>78</v>
      </c>
      <c r="N15" t="s">
        <v>126</v>
      </c>
      <c r="O15" t="s">
        <v>104</v>
      </c>
      <c r="P15" s="2" t="s">
        <v>20</v>
      </c>
      <c r="Q15" t="s">
        <v>64</v>
      </c>
      <c r="R15" t="s">
        <v>64</v>
      </c>
      <c r="S15" s="80" t="s">
        <v>137</v>
      </c>
      <c r="T15" t="s">
        <v>138</v>
      </c>
      <c r="U15" t="s">
        <v>155</v>
      </c>
      <c r="V15" s="2" t="s">
        <v>140</v>
      </c>
      <c r="W15" s="2" t="s">
        <v>65</v>
      </c>
      <c r="Z15" s="2" t="s">
        <v>141</v>
      </c>
      <c r="AA15" s="2" t="s">
        <v>142</v>
      </c>
      <c r="AB15" s="2" t="s">
        <v>66</v>
      </c>
      <c r="AC15" s="2" t="s">
        <v>67</v>
      </c>
    </row>
    <row r="16" spans="1:29" x14ac:dyDescent="0.25">
      <c r="A16" t="s">
        <v>124</v>
      </c>
      <c r="B16" t="s">
        <v>130</v>
      </c>
      <c r="C16" t="s">
        <v>131</v>
      </c>
      <c r="D16" t="s">
        <v>43</v>
      </c>
      <c r="E16" t="s">
        <v>132</v>
      </c>
      <c r="F16" t="s">
        <v>133</v>
      </c>
      <c r="G16" s="2" t="s">
        <v>131</v>
      </c>
      <c r="H16" t="s">
        <v>64</v>
      </c>
      <c r="I16" s="35" t="s">
        <v>134</v>
      </c>
      <c r="J16" s="2" t="s">
        <v>135</v>
      </c>
      <c r="K16" t="s">
        <v>125</v>
      </c>
      <c r="L16" t="s">
        <v>136</v>
      </c>
      <c r="M16" s="2" t="s">
        <v>78</v>
      </c>
      <c r="N16" t="s">
        <v>126</v>
      </c>
      <c r="O16" t="s">
        <v>105</v>
      </c>
      <c r="P16" s="2" t="s">
        <v>20</v>
      </c>
      <c r="Q16" t="s">
        <v>64</v>
      </c>
      <c r="R16" t="s">
        <v>64</v>
      </c>
      <c r="S16" s="80" t="s">
        <v>137</v>
      </c>
      <c r="T16" t="s">
        <v>138</v>
      </c>
      <c r="U16" t="s">
        <v>156</v>
      </c>
      <c r="V16" s="2" t="s">
        <v>140</v>
      </c>
      <c r="W16" s="2" t="s">
        <v>65</v>
      </c>
      <c r="Z16" s="2" t="s">
        <v>141</v>
      </c>
      <c r="AA16" s="2" t="s">
        <v>142</v>
      </c>
      <c r="AB16" s="2" t="s">
        <v>66</v>
      </c>
      <c r="AC16" s="2" t="s">
        <v>67</v>
      </c>
    </row>
    <row r="17" spans="1:29" x14ac:dyDescent="0.25">
      <c r="A17" t="s">
        <v>124</v>
      </c>
      <c r="B17" t="s">
        <v>130</v>
      </c>
      <c r="C17" t="s">
        <v>131</v>
      </c>
      <c r="D17" t="s">
        <v>43</v>
      </c>
      <c r="E17" t="s">
        <v>132</v>
      </c>
      <c r="F17" t="s">
        <v>133</v>
      </c>
      <c r="G17" s="2" t="s">
        <v>131</v>
      </c>
      <c r="H17" t="s">
        <v>64</v>
      </c>
      <c r="I17" s="35" t="s">
        <v>134</v>
      </c>
      <c r="J17" s="2" t="s">
        <v>135</v>
      </c>
      <c r="K17" t="s">
        <v>125</v>
      </c>
      <c r="L17" t="s">
        <v>136</v>
      </c>
      <c r="M17" s="2" t="s">
        <v>78</v>
      </c>
      <c r="N17" t="s">
        <v>126</v>
      </c>
      <c r="O17" t="s">
        <v>106</v>
      </c>
      <c r="P17" s="2" t="s">
        <v>20</v>
      </c>
      <c r="Q17" t="s">
        <v>64</v>
      </c>
      <c r="R17" t="s">
        <v>64</v>
      </c>
      <c r="S17" s="80" t="s">
        <v>137</v>
      </c>
      <c r="T17" t="s">
        <v>138</v>
      </c>
      <c r="U17" t="s">
        <v>157</v>
      </c>
      <c r="V17" s="2" t="s">
        <v>140</v>
      </c>
      <c r="W17" s="2" t="s">
        <v>65</v>
      </c>
      <c r="Z17" s="2" t="s">
        <v>141</v>
      </c>
      <c r="AA17" s="2" t="s">
        <v>142</v>
      </c>
      <c r="AB17" s="2" t="s">
        <v>66</v>
      </c>
      <c r="AC17" s="2" t="s">
        <v>67</v>
      </c>
    </row>
    <row r="18" spans="1:29" x14ac:dyDescent="0.25">
      <c r="A18" t="s">
        <v>124</v>
      </c>
      <c r="B18" t="s">
        <v>130</v>
      </c>
      <c r="C18" t="s">
        <v>131</v>
      </c>
      <c r="D18" t="s">
        <v>43</v>
      </c>
      <c r="E18" t="s">
        <v>132</v>
      </c>
      <c r="F18" t="s">
        <v>133</v>
      </c>
      <c r="G18" s="2" t="s">
        <v>131</v>
      </c>
      <c r="H18" t="s">
        <v>64</v>
      </c>
      <c r="I18" s="35" t="s">
        <v>134</v>
      </c>
      <c r="J18" s="2" t="s">
        <v>135</v>
      </c>
      <c r="K18" t="s">
        <v>125</v>
      </c>
      <c r="L18" t="s">
        <v>136</v>
      </c>
      <c r="M18" s="2" t="s">
        <v>78</v>
      </c>
      <c r="N18" t="s">
        <v>126</v>
      </c>
      <c r="O18" t="s">
        <v>107</v>
      </c>
      <c r="P18" s="2" t="s">
        <v>20</v>
      </c>
      <c r="Q18" t="s">
        <v>64</v>
      </c>
      <c r="R18" t="s">
        <v>64</v>
      </c>
      <c r="S18" s="80" t="s">
        <v>137</v>
      </c>
      <c r="T18" t="s">
        <v>138</v>
      </c>
      <c r="U18" t="s">
        <v>158</v>
      </c>
      <c r="V18" s="2" t="s">
        <v>140</v>
      </c>
      <c r="W18" s="2" t="s">
        <v>65</v>
      </c>
      <c r="Z18" s="2" t="s">
        <v>141</v>
      </c>
      <c r="AA18" s="2" t="s">
        <v>142</v>
      </c>
      <c r="AB18" s="2" t="s">
        <v>66</v>
      </c>
      <c r="AC18" s="2" t="s">
        <v>67</v>
      </c>
    </row>
    <row r="19" spans="1:29" x14ac:dyDescent="0.25">
      <c r="A19" t="s">
        <v>124</v>
      </c>
      <c r="B19" t="s">
        <v>130</v>
      </c>
      <c r="C19" t="s">
        <v>131</v>
      </c>
      <c r="D19" t="s">
        <v>43</v>
      </c>
      <c r="E19" t="s">
        <v>132</v>
      </c>
      <c r="F19" t="s">
        <v>133</v>
      </c>
      <c r="G19" s="2" t="s">
        <v>131</v>
      </c>
      <c r="H19" t="s">
        <v>64</v>
      </c>
      <c r="I19" s="35" t="s">
        <v>134</v>
      </c>
      <c r="J19" s="2" t="s">
        <v>135</v>
      </c>
      <c r="K19" t="s">
        <v>125</v>
      </c>
      <c r="L19" t="s">
        <v>136</v>
      </c>
      <c r="M19" s="2" t="s">
        <v>78</v>
      </c>
      <c r="N19" t="s">
        <v>126</v>
      </c>
      <c r="O19" t="s">
        <v>108</v>
      </c>
      <c r="P19" s="2" t="s">
        <v>20</v>
      </c>
      <c r="Q19" t="s">
        <v>64</v>
      </c>
      <c r="R19" t="s">
        <v>64</v>
      </c>
      <c r="S19" s="80" t="s">
        <v>137</v>
      </c>
      <c r="T19" t="s">
        <v>138</v>
      </c>
      <c r="U19" t="s">
        <v>159</v>
      </c>
      <c r="V19" s="2" t="s">
        <v>140</v>
      </c>
      <c r="W19" s="2" t="s">
        <v>65</v>
      </c>
      <c r="Z19" s="2" t="s">
        <v>141</v>
      </c>
      <c r="AA19" s="2" t="s">
        <v>142</v>
      </c>
      <c r="AB19" s="2" t="s">
        <v>66</v>
      </c>
      <c r="AC19" s="2" t="s">
        <v>67</v>
      </c>
    </row>
    <row r="20" spans="1:29" x14ac:dyDescent="0.25">
      <c r="A20" t="s">
        <v>124</v>
      </c>
      <c r="B20" t="s">
        <v>130</v>
      </c>
      <c r="C20" t="s">
        <v>131</v>
      </c>
      <c r="D20" t="s">
        <v>43</v>
      </c>
      <c r="E20" t="s">
        <v>132</v>
      </c>
      <c r="F20" t="s">
        <v>133</v>
      </c>
      <c r="G20" s="2" t="s">
        <v>131</v>
      </c>
      <c r="H20" t="s">
        <v>64</v>
      </c>
      <c r="I20" s="35" t="s">
        <v>134</v>
      </c>
      <c r="J20" s="2" t="s">
        <v>135</v>
      </c>
      <c r="K20" t="s">
        <v>125</v>
      </c>
      <c r="L20" t="s">
        <v>136</v>
      </c>
      <c r="M20" s="2" t="s">
        <v>78</v>
      </c>
      <c r="N20" t="s">
        <v>126</v>
      </c>
      <c r="O20" t="s">
        <v>109</v>
      </c>
      <c r="P20" s="2" t="s">
        <v>20</v>
      </c>
      <c r="Q20" t="s">
        <v>64</v>
      </c>
      <c r="R20" t="s">
        <v>64</v>
      </c>
      <c r="S20" s="80" t="s">
        <v>137</v>
      </c>
      <c r="T20" t="s">
        <v>138</v>
      </c>
      <c r="U20" t="s">
        <v>160</v>
      </c>
      <c r="V20" s="2" t="s">
        <v>140</v>
      </c>
      <c r="W20" s="2" t="s">
        <v>65</v>
      </c>
      <c r="Z20" s="2" t="s">
        <v>141</v>
      </c>
      <c r="AA20" s="2" t="s">
        <v>142</v>
      </c>
      <c r="AB20" s="2" t="s">
        <v>66</v>
      </c>
      <c r="AC20" s="2" t="s">
        <v>67</v>
      </c>
    </row>
    <row r="21" spans="1:29" x14ac:dyDescent="0.25">
      <c r="A21" t="s">
        <v>124</v>
      </c>
      <c r="B21" t="s">
        <v>130</v>
      </c>
      <c r="C21" t="s">
        <v>131</v>
      </c>
      <c r="D21" t="s">
        <v>43</v>
      </c>
      <c r="E21" t="s">
        <v>132</v>
      </c>
      <c r="F21" t="s">
        <v>133</v>
      </c>
      <c r="G21" s="2" t="s">
        <v>131</v>
      </c>
      <c r="H21" t="s">
        <v>64</v>
      </c>
      <c r="I21" s="35" t="s">
        <v>134</v>
      </c>
      <c r="J21" s="2" t="s">
        <v>135</v>
      </c>
      <c r="K21" t="s">
        <v>125</v>
      </c>
      <c r="L21" t="s">
        <v>136</v>
      </c>
      <c r="M21" s="2" t="s">
        <v>78</v>
      </c>
      <c r="N21" t="s">
        <v>126</v>
      </c>
      <c r="O21" t="s">
        <v>110</v>
      </c>
      <c r="P21" s="2" t="s">
        <v>129</v>
      </c>
      <c r="Q21" t="s">
        <v>64</v>
      </c>
      <c r="R21" t="s">
        <v>64</v>
      </c>
      <c r="S21" s="80" t="s">
        <v>137</v>
      </c>
      <c r="T21" t="s">
        <v>138</v>
      </c>
      <c r="U21" t="s">
        <v>161</v>
      </c>
      <c r="V21" s="2" t="s">
        <v>140</v>
      </c>
      <c r="W21" s="2" t="s">
        <v>65</v>
      </c>
      <c r="Z21" s="2" t="s">
        <v>141</v>
      </c>
      <c r="AA21" s="2" t="s">
        <v>142</v>
      </c>
      <c r="AB21" s="2" t="s">
        <v>66</v>
      </c>
      <c r="AC21" s="2" t="s">
        <v>67</v>
      </c>
    </row>
    <row r="22" spans="1:29" x14ac:dyDescent="0.25">
      <c r="A22" t="s">
        <v>124</v>
      </c>
      <c r="B22" t="s">
        <v>130</v>
      </c>
      <c r="C22" t="s">
        <v>131</v>
      </c>
      <c r="D22" t="s">
        <v>43</v>
      </c>
      <c r="E22" t="s">
        <v>132</v>
      </c>
      <c r="F22" t="s">
        <v>133</v>
      </c>
      <c r="G22" s="2" t="s">
        <v>131</v>
      </c>
      <c r="H22" t="s">
        <v>64</v>
      </c>
      <c r="I22" s="35" t="s">
        <v>134</v>
      </c>
      <c r="J22" s="2" t="s">
        <v>135</v>
      </c>
      <c r="K22" t="s">
        <v>125</v>
      </c>
      <c r="L22" t="s">
        <v>136</v>
      </c>
      <c r="M22" s="2" t="s">
        <v>78</v>
      </c>
      <c r="N22" t="s">
        <v>126</v>
      </c>
      <c r="O22" t="s">
        <v>115</v>
      </c>
      <c r="P22" s="2" t="s">
        <v>20</v>
      </c>
      <c r="Q22" t="s">
        <v>64</v>
      </c>
      <c r="R22" t="s">
        <v>64</v>
      </c>
      <c r="S22" s="80" t="s">
        <v>137</v>
      </c>
      <c r="T22" t="s">
        <v>138</v>
      </c>
      <c r="U22" t="s">
        <v>162</v>
      </c>
      <c r="V22" s="2" t="s">
        <v>140</v>
      </c>
      <c r="W22" s="2" t="s">
        <v>65</v>
      </c>
      <c r="Z22" s="2" t="s">
        <v>141</v>
      </c>
      <c r="AA22" s="2" t="s">
        <v>142</v>
      </c>
      <c r="AB22" s="2" t="s">
        <v>66</v>
      </c>
      <c r="AC22" s="2" t="s">
        <v>67</v>
      </c>
    </row>
    <row r="23" spans="1:29" x14ac:dyDescent="0.25">
      <c r="A23" t="s">
        <v>124</v>
      </c>
      <c r="B23" t="s">
        <v>130</v>
      </c>
      <c r="C23" t="s">
        <v>131</v>
      </c>
      <c r="D23" t="s">
        <v>43</v>
      </c>
      <c r="E23" t="s">
        <v>132</v>
      </c>
      <c r="F23" t="s">
        <v>133</v>
      </c>
      <c r="G23" s="2" t="s">
        <v>131</v>
      </c>
      <c r="H23" t="s">
        <v>64</v>
      </c>
      <c r="I23" s="35" t="s">
        <v>134</v>
      </c>
      <c r="J23" s="2" t="s">
        <v>135</v>
      </c>
      <c r="K23" t="s">
        <v>125</v>
      </c>
      <c r="L23" t="s">
        <v>136</v>
      </c>
      <c r="M23" s="2" t="s">
        <v>78</v>
      </c>
      <c r="N23" t="s">
        <v>126</v>
      </c>
      <c r="O23" t="s">
        <v>116</v>
      </c>
      <c r="P23" s="2" t="s">
        <v>81</v>
      </c>
      <c r="Q23" t="s">
        <v>64</v>
      </c>
      <c r="R23" t="s">
        <v>64</v>
      </c>
      <c r="S23" s="80" t="s">
        <v>137</v>
      </c>
      <c r="T23" t="s">
        <v>138</v>
      </c>
      <c r="U23" t="s">
        <v>163</v>
      </c>
      <c r="V23" s="2" t="s">
        <v>140</v>
      </c>
      <c r="W23" s="2" t="s">
        <v>65</v>
      </c>
      <c r="Z23" s="2" t="s">
        <v>141</v>
      </c>
      <c r="AA23" s="2" t="s">
        <v>142</v>
      </c>
      <c r="AB23" s="2" t="s">
        <v>66</v>
      </c>
      <c r="AC23" s="2" t="s">
        <v>67</v>
      </c>
    </row>
    <row r="24" spans="1:29" x14ac:dyDescent="0.25">
      <c r="A24" t="s">
        <v>124</v>
      </c>
      <c r="B24" t="s">
        <v>89</v>
      </c>
      <c r="C24" t="s">
        <v>90</v>
      </c>
      <c r="D24" t="s">
        <v>43</v>
      </c>
      <c r="E24" t="s">
        <v>132</v>
      </c>
      <c r="F24" t="s">
        <v>133</v>
      </c>
      <c r="G24" s="2" t="s">
        <v>89</v>
      </c>
      <c r="H24" t="s">
        <v>64</v>
      </c>
      <c r="I24" s="35" t="s">
        <v>164</v>
      </c>
      <c r="J24" s="2" t="s">
        <v>165</v>
      </c>
      <c r="K24" t="s">
        <v>125</v>
      </c>
      <c r="L24" t="s">
        <v>166</v>
      </c>
      <c r="M24" s="2" t="s">
        <v>78</v>
      </c>
      <c r="N24" t="s">
        <v>126</v>
      </c>
      <c r="O24" t="s">
        <v>92</v>
      </c>
      <c r="P24" s="2" t="s">
        <v>20</v>
      </c>
      <c r="Q24" t="s">
        <v>64</v>
      </c>
      <c r="R24" t="s">
        <v>64</v>
      </c>
      <c r="S24" s="80" t="s">
        <v>167</v>
      </c>
      <c r="T24" t="s">
        <v>168</v>
      </c>
      <c r="U24" t="s">
        <v>169</v>
      </c>
      <c r="V24" s="2" t="s">
        <v>170</v>
      </c>
      <c r="W24" s="2" t="s">
        <v>65</v>
      </c>
      <c r="Z24" s="2" t="s">
        <v>171</v>
      </c>
      <c r="AA24" s="2" t="s">
        <v>172</v>
      </c>
      <c r="AB24" s="2" t="s">
        <v>66</v>
      </c>
      <c r="AC24" s="2" t="s">
        <v>67</v>
      </c>
    </row>
    <row r="25" spans="1:29" x14ac:dyDescent="0.25">
      <c r="A25" t="s">
        <v>124</v>
      </c>
      <c r="B25" t="s">
        <v>89</v>
      </c>
      <c r="C25" t="s">
        <v>90</v>
      </c>
      <c r="D25" t="s">
        <v>43</v>
      </c>
      <c r="E25" t="s">
        <v>132</v>
      </c>
      <c r="F25" t="s">
        <v>133</v>
      </c>
      <c r="G25" s="2" t="s">
        <v>89</v>
      </c>
      <c r="H25" t="s">
        <v>64</v>
      </c>
      <c r="I25" s="35" t="s">
        <v>164</v>
      </c>
      <c r="J25" s="2" t="s">
        <v>165</v>
      </c>
      <c r="K25" t="s">
        <v>125</v>
      </c>
      <c r="L25" t="s">
        <v>166</v>
      </c>
      <c r="M25" s="2" t="s">
        <v>78</v>
      </c>
      <c r="N25" t="s">
        <v>126</v>
      </c>
      <c r="O25" t="s">
        <v>93</v>
      </c>
      <c r="P25" s="2" t="s">
        <v>20</v>
      </c>
      <c r="Q25" t="s">
        <v>64</v>
      </c>
      <c r="R25" t="s">
        <v>64</v>
      </c>
      <c r="S25" s="80" t="s">
        <v>167</v>
      </c>
      <c r="T25" t="s">
        <v>168</v>
      </c>
      <c r="U25" t="s">
        <v>169</v>
      </c>
      <c r="V25" s="2" t="s">
        <v>170</v>
      </c>
      <c r="W25" s="2" t="s">
        <v>65</v>
      </c>
      <c r="Z25" s="2" t="s">
        <v>171</v>
      </c>
      <c r="AA25" s="2" t="s">
        <v>172</v>
      </c>
      <c r="AB25" s="2" t="s">
        <v>66</v>
      </c>
      <c r="AC25" s="2" t="s">
        <v>67</v>
      </c>
    </row>
    <row r="26" spans="1:29" x14ac:dyDescent="0.25">
      <c r="A26" t="s">
        <v>124</v>
      </c>
      <c r="B26" t="s">
        <v>89</v>
      </c>
      <c r="C26" t="s">
        <v>90</v>
      </c>
      <c r="D26" t="s">
        <v>43</v>
      </c>
      <c r="E26" t="s">
        <v>132</v>
      </c>
      <c r="F26" t="s">
        <v>133</v>
      </c>
      <c r="G26" s="2" t="s">
        <v>89</v>
      </c>
      <c r="H26" t="s">
        <v>64</v>
      </c>
      <c r="I26" s="35" t="s">
        <v>164</v>
      </c>
      <c r="J26" s="2" t="s">
        <v>165</v>
      </c>
      <c r="K26" t="s">
        <v>125</v>
      </c>
      <c r="L26" t="s">
        <v>166</v>
      </c>
      <c r="M26" s="2" t="s">
        <v>78</v>
      </c>
      <c r="N26" t="s">
        <v>126</v>
      </c>
      <c r="O26" t="s">
        <v>94</v>
      </c>
      <c r="P26" s="2" t="s">
        <v>20</v>
      </c>
      <c r="Q26" t="s">
        <v>64</v>
      </c>
      <c r="R26" t="s">
        <v>64</v>
      </c>
      <c r="S26" s="80" t="s">
        <v>167</v>
      </c>
      <c r="T26" t="s">
        <v>168</v>
      </c>
      <c r="U26" t="s">
        <v>169</v>
      </c>
      <c r="V26" s="2" t="s">
        <v>170</v>
      </c>
      <c r="W26" s="2" t="s">
        <v>65</v>
      </c>
      <c r="Z26" s="2" t="s">
        <v>171</v>
      </c>
      <c r="AA26" s="2" t="s">
        <v>172</v>
      </c>
      <c r="AB26" s="2" t="s">
        <v>66</v>
      </c>
      <c r="AC26" s="2" t="s">
        <v>67</v>
      </c>
    </row>
    <row r="27" spans="1:29" x14ac:dyDescent="0.25">
      <c r="A27" t="s">
        <v>124</v>
      </c>
      <c r="B27" t="s">
        <v>89</v>
      </c>
      <c r="C27" t="s">
        <v>90</v>
      </c>
      <c r="D27" t="s">
        <v>43</v>
      </c>
      <c r="E27" t="s">
        <v>132</v>
      </c>
      <c r="F27" t="s">
        <v>133</v>
      </c>
      <c r="G27" s="2" t="s">
        <v>89</v>
      </c>
      <c r="H27" t="s">
        <v>64</v>
      </c>
      <c r="I27" s="35" t="s">
        <v>164</v>
      </c>
      <c r="J27" s="2" t="s">
        <v>165</v>
      </c>
      <c r="K27" t="s">
        <v>125</v>
      </c>
      <c r="L27" t="s">
        <v>166</v>
      </c>
      <c r="M27" s="2" t="s">
        <v>78</v>
      </c>
      <c r="N27" t="s">
        <v>126</v>
      </c>
      <c r="O27" t="s">
        <v>95</v>
      </c>
      <c r="P27" s="2" t="s">
        <v>20</v>
      </c>
      <c r="Q27" t="s">
        <v>64</v>
      </c>
      <c r="R27" t="s">
        <v>64</v>
      </c>
      <c r="S27" s="80" t="s">
        <v>167</v>
      </c>
      <c r="T27" t="s">
        <v>168</v>
      </c>
      <c r="U27" t="s">
        <v>169</v>
      </c>
      <c r="V27" s="2" t="s">
        <v>170</v>
      </c>
      <c r="W27" s="2" t="s">
        <v>65</v>
      </c>
      <c r="Z27" s="2" t="s">
        <v>171</v>
      </c>
      <c r="AA27" s="2" t="s">
        <v>172</v>
      </c>
      <c r="AB27" s="2" t="s">
        <v>66</v>
      </c>
      <c r="AC27" s="2" t="s">
        <v>67</v>
      </c>
    </row>
    <row r="28" spans="1:29" x14ac:dyDescent="0.25">
      <c r="A28" t="s">
        <v>124</v>
      </c>
      <c r="B28" t="s">
        <v>89</v>
      </c>
      <c r="C28" t="s">
        <v>90</v>
      </c>
      <c r="D28" t="s">
        <v>43</v>
      </c>
      <c r="E28" t="s">
        <v>132</v>
      </c>
      <c r="F28" t="s">
        <v>133</v>
      </c>
      <c r="G28" s="2" t="s">
        <v>89</v>
      </c>
      <c r="H28" t="s">
        <v>64</v>
      </c>
      <c r="I28" s="35" t="s">
        <v>164</v>
      </c>
      <c r="J28" s="2" t="s">
        <v>165</v>
      </c>
      <c r="K28" t="s">
        <v>125</v>
      </c>
      <c r="L28" t="s">
        <v>166</v>
      </c>
      <c r="M28" s="2" t="s">
        <v>78</v>
      </c>
      <c r="N28" t="s">
        <v>126</v>
      </c>
      <c r="O28" t="s">
        <v>35</v>
      </c>
      <c r="P28" s="2" t="s">
        <v>20</v>
      </c>
      <c r="Q28" t="s">
        <v>64</v>
      </c>
      <c r="R28" t="s">
        <v>64</v>
      </c>
      <c r="S28" s="80" t="s">
        <v>167</v>
      </c>
      <c r="T28" t="s">
        <v>168</v>
      </c>
      <c r="U28" t="s">
        <v>169</v>
      </c>
      <c r="V28" s="2" t="s">
        <v>170</v>
      </c>
      <c r="W28" s="2" t="s">
        <v>65</v>
      </c>
      <c r="Z28" s="2" t="s">
        <v>171</v>
      </c>
      <c r="AA28" s="2" t="s">
        <v>172</v>
      </c>
      <c r="AB28" s="2" t="s">
        <v>66</v>
      </c>
      <c r="AC28" s="2" t="s">
        <v>67</v>
      </c>
    </row>
    <row r="29" spans="1:29" x14ac:dyDescent="0.25">
      <c r="A29" t="s">
        <v>124</v>
      </c>
      <c r="B29" t="s">
        <v>89</v>
      </c>
      <c r="C29" t="s">
        <v>90</v>
      </c>
      <c r="D29" t="s">
        <v>43</v>
      </c>
      <c r="E29" t="s">
        <v>132</v>
      </c>
      <c r="F29" t="s">
        <v>133</v>
      </c>
      <c r="G29" s="2" t="s">
        <v>89</v>
      </c>
      <c r="H29" t="s">
        <v>64</v>
      </c>
      <c r="I29" s="35" t="s">
        <v>164</v>
      </c>
      <c r="J29" s="2" t="s">
        <v>165</v>
      </c>
      <c r="K29" t="s">
        <v>125</v>
      </c>
      <c r="L29" t="s">
        <v>166</v>
      </c>
      <c r="M29" s="2" t="s">
        <v>78</v>
      </c>
      <c r="N29" t="s">
        <v>126</v>
      </c>
      <c r="O29" t="s">
        <v>96</v>
      </c>
      <c r="P29" s="2" t="s">
        <v>81</v>
      </c>
      <c r="Q29" t="s">
        <v>64</v>
      </c>
      <c r="R29" t="s">
        <v>64</v>
      </c>
      <c r="S29" s="80" t="s">
        <v>167</v>
      </c>
      <c r="T29" t="s">
        <v>168</v>
      </c>
      <c r="U29" t="s">
        <v>169</v>
      </c>
      <c r="V29" s="2" t="s">
        <v>170</v>
      </c>
      <c r="W29" s="2" t="s">
        <v>65</v>
      </c>
      <c r="Z29" s="2" t="s">
        <v>171</v>
      </c>
      <c r="AA29" s="2" t="s">
        <v>172</v>
      </c>
      <c r="AB29" s="2" t="s">
        <v>66</v>
      </c>
      <c r="AC29" s="2" t="s">
        <v>67</v>
      </c>
    </row>
    <row r="30" spans="1:29" x14ac:dyDescent="0.25">
      <c r="A30" t="s">
        <v>124</v>
      </c>
      <c r="B30" t="s">
        <v>89</v>
      </c>
      <c r="C30" t="s">
        <v>90</v>
      </c>
      <c r="D30" t="s">
        <v>43</v>
      </c>
      <c r="E30" t="s">
        <v>132</v>
      </c>
      <c r="F30" t="s">
        <v>133</v>
      </c>
      <c r="G30" s="2" t="s">
        <v>89</v>
      </c>
      <c r="H30" t="s">
        <v>64</v>
      </c>
      <c r="I30" s="35" t="s">
        <v>164</v>
      </c>
      <c r="J30" s="2" t="s">
        <v>165</v>
      </c>
      <c r="K30" t="s">
        <v>125</v>
      </c>
      <c r="L30" t="s">
        <v>166</v>
      </c>
      <c r="M30" s="2" t="s">
        <v>78</v>
      </c>
      <c r="N30" t="s">
        <v>126</v>
      </c>
      <c r="O30" t="s">
        <v>97</v>
      </c>
      <c r="P30" s="2" t="s">
        <v>20</v>
      </c>
      <c r="Q30" t="s">
        <v>64</v>
      </c>
      <c r="R30" t="s">
        <v>64</v>
      </c>
      <c r="S30" s="80" t="s">
        <v>167</v>
      </c>
      <c r="T30" t="s">
        <v>168</v>
      </c>
      <c r="U30" t="s">
        <v>169</v>
      </c>
      <c r="V30" s="2" t="s">
        <v>170</v>
      </c>
      <c r="W30" s="2" t="s">
        <v>65</v>
      </c>
      <c r="Z30" s="2" t="s">
        <v>171</v>
      </c>
      <c r="AA30" s="2" t="s">
        <v>172</v>
      </c>
      <c r="AB30" s="2" t="s">
        <v>66</v>
      </c>
      <c r="AC30" s="2" t="s">
        <v>67</v>
      </c>
    </row>
    <row r="31" spans="1:29" x14ac:dyDescent="0.25">
      <c r="A31" t="s">
        <v>124</v>
      </c>
      <c r="B31" t="s">
        <v>89</v>
      </c>
      <c r="C31" t="s">
        <v>90</v>
      </c>
      <c r="D31" t="s">
        <v>43</v>
      </c>
      <c r="E31" t="s">
        <v>132</v>
      </c>
      <c r="F31" t="s">
        <v>133</v>
      </c>
      <c r="G31" s="2" t="s">
        <v>89</v>
      </c>
      <c r="H31" t="s">
        <v>64</v>
      </c>
      <c r="I31" s="35" t="s">
        <v>164</v>
      </c>
      <c r="J31" s="2" t="s">
        <v>165</v>
      </c>
      <c r="K31" t="s">
        <v>125</v>
      </c>
      <c r="L31" t="s">
        <v>166</v>
      </c>
      <c r="M31" s="2" t="s">
        <v>78</v>
      </c>
      <c r="N31" t="s">
        <v>126</v>
      </c>
      <c r="O31" t="s">
        <v>98</v>
      </c>
      <c r="P31" s="2" t="s">
        <v>20</v>
      </c>
      <c r="Q31" t="s">
        <v>64</v>
      </c>
      <c r="R31" t="s">
        <v>64</v>
      </c>
      <c r="S31" s="80" t="s">
        <v>167</v>
      </c>
      <c r="T31" t="s">
        <v>168</v>
      </c>
      <c r="U31" t="s">
        <v>169</v>
      </c>
      <c r="V31" s="2" t="s">
        <v>170</v>
      </c>
      <c r="W31" s="2" t="s">
        <v>65</v>
      </c>
      <c r="Z31" s="2" t="s">
        <v>171</v>
      </c>
      <c r="AA31" s="2" t="s">
        <v>172</v>
      </c>
      <c r="AB31" s="2" t="s">
        <v>66</v>
      </c>
      <c r="AC31" s="2" t="s">
        <v>67</v>
      </c>
    </row>
    <row r="32" spans="1:29" x14ac:dyDescent="0.25">
      <c r="A32" t="s">
        <v>124</v>
      </c>
      <c r="B32" t="s">
        <v>89</v>
      </c>
      <c r="C32" t="s">
        <v>90</v>
      </c>
      <c r="D32" t="s">
        <v>43</v>
      </c>
      <c r="E32" t="s">
        <v>132</v>
      </c>
      <c r="F32" t="s">
        <v>133</v>
      </c>
      <c r="G32" s="2" t="s">
        <v>89</v>
      </c>
      <c r="H32" t="s">
        <v>64</v>
      </c>
      <c r="I32" s="35" t="s">
        <v>164</v>
      </c>
      <c r="J32" s="2" t="s">
        <v>165</v>
      </c>
      <c r="K32" t="s">
        <v>125</v>
      </c>
      <c r="L32" t="s">
        <v>166</v>
      </c>
      <c r="M32" s="2" t="s">
        <v>78</v>
      </c>
      <c r="N32" t="s">
        <v>126</v>
      </c>
      <c r="O32" t="s">
        <v>99</v>
      </c>
      <c r="P32" s="2" t="s">
        <v>81</v>
      </c>
      <c r="Q32" t="s">
        <v>64</v>
      </c>
      <c r="R32" t="s">
        <v>64</v>
      </c>
      <c r="S32" s="80" t="s">
        <v>167</v>
      </c>
      <c r="T32" t="s">
        <v>168</v>
      </c>
      <c r="U32" t="s">
        <v>169</v>
      </c>
      <c r="V32" s="2" t="s">
        <v>170</v>
      </c>
      <c r="W32" s="2" t="s">
        <v>65</v>
      </c>
      <c r="Z32" s="2" t="s">
        <v>171</v>
      </c>
      <c r="AA32" s="2" t="s">
        <v>172</v>
      </c>
      <c r="AB32" s="2" t="s">
        <v>66</v>
      </c>
      <c r="AC32" s="2" t="s">
        <v>67</v>
      </c>
    </row>
    <row r="33" spans="1:29" x14ac:dyDescent="0.25">
      <c r="A33" t="s">
        <v>124</v>
      </c>
      <c r="B33" t="s">
        <v>89</v>
      </c>
      <c r="C33" t="s">
        <v>90</v>
      </c>
      <c r="D33" t="s">
        <v>43</v>
      </c>
      <c r="E33" t="s">
        <v>132</v>
      </c>
      <c r="F33" t="s">
        <v>133</v>
      </c>
      <c r="G33" s="2" t="s">
        <v>89</v>
      </c>
      <c r="H33" t="s">
        <v>64</v>
      </c>
      <c r="I33" s="35" t="s">
        <v>164</v>
      </c>
      <c r="J33" s="2" t="s">
        <v>165</v>
      </c>
      <c r="K33" t="s">
        <v>125</v>
      </c>
      <c r="L33" t="s">
        <v>166</v>
      </c>
      <c r="M33" s="2" t="s">
        <v>78</v>
      </c>
      <c r="N33" t="s">
        <v>126</v>
      </c>
      <c r="O33" t="s">
        <v>100</v>
      </c>
      <c r="P33" s="2" t="s">
        <v>81</v>
      </c>
      <c r="Q33" t="s">
        <v>64</v>
      </c>
      <c r="R33" t="s">
        <v>64</v>
      </c>
      <c r="S33" s="80" t="s">
        <v>167</v>
      </c>
      <c r="T33" t="s">
        <v>168</v>
      </c>
      <c r="U33" t="s">
        <v>169</v>
      </c>
      <c r="V33" s="2" t="s">
        <v>170</v>
      </c>
      <c r="W33" s="2" t="s">
        <v>65</v>
      </c>
      <c r="Z33" s="2" t="s">
        <v>171</v>
      </c>
      <c r="AA33" s="2" t="s">
        <v>172</v>
      </c>
      <c r="AB33" s="2" t="s">
        <v>66</v>
      </c>
      <c r="AC33" s="2" t="s">
        <v>67</v>
      </c>
    </row>
    <row r="34" spans="1:29" x14ac:dyDescent="0.25">
      <c r="A34" t="s">
        <v>124</v>
      </c>
      <c r="B34" t="s">
        <v>89</v>
      </c>
      <c r="C34" t="s">
        <v>90</v>
      </c>
      <c r="D34" t="s">
        <v>43</v>
      </c>
      <c r="E34" t="s">
        <v>132</v>
      </c>
      <c r="F34" t="s">
        <v>133</v>
      </c>
      <c r="G34" s="2" t="s">
        <v>89</v>
      </c>
      <c r="H34" t="s">
        <v>64</v>
      </c>
      <c r="I34" s="35" t="s">
        <v>164</v>
      </c>
      <c r="J34" s="2" t="s">
        <v>165</v>
      </c>
      <c r="K34" t="s">
        <v>125</v>
      </c>
      <c r="L34" t="s">
        <v>166</v>
      </c>
      <c r="M34" s="2" t="s">
        <v>78</v>
      </c>
      <c r="N34" t="s">
        <v>126</v>
      </c>
      <c r="O34" t="s">
        <v>101</v>
      </c>
      <c r="P34" s="2" t="s">
        <v>81</v>
      </c>
      <c r="Q34" t="s">
        <v>64</v>
      </c>
      <c r="R34" t="s">
        <v>64</v>
      </c>
      <c r="S34" s="80" t="s">
        <v>167</v>
      </c>
      <c r="T34" t="s">
        <v>168</v>
      </c>
      <c r="U34" t="s">
        <v>169</v>
      </c>
      <c r="V34" s="2" t="s">
        <v>170</v>
      </c>
      <c r="W34" s="2" t="s">
        <v>65</v>
      </c>
      <c r="Z34" s="2" t="s">
        <v>171</v>
      </c>
      <c r="AA34" s="2" t="s">
        <v>172</v>
      </c>
      <c r="AB34" s="2" t="s">
        <v>66</v>
      </c>
      <c r="AC34" s="2" t="s">
        <v>67</v>
      </c>
    </row>
    <row r="35" spans="1:29" x14ac:dyDescent="0.25">
      <c r="A35" t="s">
        <v>124</v>
      </c>
      <c r="B35" t="s">
        <v>89</v>
      </c>
      <c r="C35" t="s">
        <v>90</v>
      </c>
      <c r="D35" t="s">
        <v>43</v>
      </c>
      <c r="E35" t="s">
        <v>132</v>
      </c>
      <c r="F35" t="s">
        <v>133</v>
      </c>
      <c r="G35" s="2" t="s">
        <v>89</v>
      </c>
      <c r="H35" t="s">
        <v>64</v>
      </c>
      <c r="I35" s="35" t="s">
        <v>164</v>
      </c>
      <c r="J35" s="2" t="s">
        <v>165</v>
      </c>
      <c r="K35" t="s">
        <v>125</v>
      </c>
      <c r="L35" t="s">
        <v>166</v>
      </c>
      <c r="M35" s="2" t="s">
        <v>78</v>
      </c>
      <c r="N35" t="s">
        <v>126</v>
      </c>
      <c r="O35" t="s">
        <v>102</v>
      </c>
      <c r="P35" s="2" t="s">
        <v>81</v>
      </c>
      <c r="Q35" t="s">
        <v>64</v>
      </c>
      <c r="R35" t="s">
        <v>64</v>
      </c>
      <c r="S35" s="80" t="s">
        <v>167</v>
      </c>
      <c r="T35" t="s">
        <v>168</v>
      </c>
      <c r="U35" t="s">
        <v>169</v>
      </c>
      <c r="V35" s="2" t="s">
        <v>170</v>
      </c>
      <c r="W35" s="2" t="s">
        <v>65</v>
      </c>
      <c r="Z35" s="2" t="s">
        <v>171</v>
      </c>
      <c r="AA35" s="2" t="s">
        <v>172</v>
      </c>
      <c r="AB35" s="2" t="s">
        <v>66</v>
      </c>
      <c r="AC35" s="2" t="s">
        <v>67</v>
      </c>
    </row>
    <row r="36" spans="1:29" x14ac:dyDescent="0.25">
      <c r="A36" t="s">
        <v>124</v>
      </c>
      <c r="B36" t="s">
        <v>89</v>
      </c>
      <c r="C36" t="s">
        <v>90</v>
      </c>
      <c r="D36" t="s">
        <v>43</v>
      </c>
      <c r="E36" t="s">
        <v>132</v>
      </c>
      <c r="F36" t="s">
        <v>133</v>
      </c>
      <c r="G36" s="2" t="s">
        <v>89</v>
      </c>
      <c r="H36" t="s">
        <v>64</v>
      </c>
      <c r="I36" s="35" t="s">
        <v>164</v>
      </c>
      <c r="J36" s="2" t="s">
        <v>165</v>
      </c>
      <c r="K36" t="s">
        <v>125</v>
      </c>
      <c r="L36" t="s">
        <v>166</v>
      </c>
      <c r="M36" s="2" t="s">
        <v>78</v>
      </c>
      <c r="N36" t="s">
        <v>126</v>
      </c>
      <c r="O36" t="s">
        <v>103</v>
      </c>
      <c r="P36" s="2" t="s">
        <v>20</v>
      </c>
      <c r="Q36" t="s">
        <v>64</v>
      </c>
      <c r="R36" t="s">
        <v>64</v>
      </c>
      <c r="S36" s="80" t="s">
        <v>167</v>
      </c>
      <c r="T36" t="s">
        <v>168</v>
      </c>
      <c r="U36" t="s">
        <v>169</v>
      </c>
      <c r="V36" s="2" t="s">
        <v>170</v>
      </c>
      <c r="W36" s="2" t="s">
        <v>65</v>
      </c>
      <c r="Z36" s="2" t="s">
        <v>171</v>
      </c>
      <c r="AA36" s="2" t="s">
        <v>172</v>
      </c>
      <c r="AB36" s="2" t="s">
        <v>66</v>
      </c>
      <c r="AC36" s="2" t="s">
        <v>67</v>
      </c>
    </row>
    <row r="37" spans="1:29" x14ac:dyDescent="0.25">
      <c r="A37" t="s">
        <v>124</v>
      </c>
      <c r="B37" t="s">
        <v>89</v>
      </c>
      <c r="C37" t="s">
        <v>90</v>
      </c>
      <c r="D37" t="s">
        <v>43</v>
      </c>
      <c r="E37" t="s">
        <v>132</v>
      </c>
      <c r="F37" t="s">
        <v>133</v>
      </c>
      <c r="G37" s="2" t="s">
        <v>89</v>
      </c>
      <c r="H37" t="s">
        <v>64</v>
      </c>
      <c r="I37" s="35" t="s">
        <v>164</v>
      </c>
      <c r="J37" s="2" t="s">
        <v>165</v>
      </c>
      <c r="K37" t="s">
        <v>125</v>
      </c>
      <c r="L37" t="s">
        <v>166</v>
      </c>
      <c r="M37" s="2" t="s">
        <v>78</v>
      </c>
      <c r="N37" t="s">
        <v>126</v>
      </c>
      <c r="O37" t="s">
        <v>104</v>
      </c>
      <c r="P37" s="2" t="s">
        <v>20</v>
      </c>
      <c r="Q37" t="s">
        <v>64</v>
      </c>
      <c r="R37" t="s">
        <v>64</v>
      </c>
      <c r="S37" s="80" t="s">
        <v>167</v>
      </c>
      <c r="T37" t="s">
        <v>168</v>
      </c>
      <c r="U37" t="s">
        <v>169</v>
      </c>
      <c r="V37" s="2" t="s">
        <v>170</v>
      </c>
      <c r="W37" s="2" t="s">
        <v>65</v>
      </c>
      <c r="Z37" s="2" t="s">
        <v>171</v>
      </c>
      <c r="AA37" s="2" t="s">
        <v>172</v>
      </c>
      <c r="AB37" s="2" t="s">
        <v>66</v>
      </c>
      <c r="AC37" s="2" t="s">
        <v>67</v>
      </c>
    </row>
    <row r="38" spans="1:29" x14ac:dyDescent="0.25">
      <c r="A38" t="s">
        <v>124</v>
      </c>
      <c r="B38" t="s">
        <v>89</v>
      </c>
      <c r="C38" t="s">
        <v>90</v>
      </c>
      <c r="D38" t="s">
        <v>43</v>
      </c>
      <c r="E38" t="s">
        <v>132</v>
      </c>
      <c r="F38" t="s">
        <v>133</v>
      </c>
      <c r="G38" s="2" t="s">
        <v>89</v>
      </c>
      <c r="H38" t="s">
        <v>64</v>
      </c>
      <c r="I38" s="35" t="s">
        <v>164</v>
      </c>
      <c r="J38" s="2" t="s">
        <v>165</v>
      </c>
      <c r="K38" t="s">
        <v>125</v>
      </c>
      <c r="L38" t="s">
        <v>166</v>
      </c>
      <c r="M38" s="2" t="s">
        <v>78</v>
      </c>
      <c r="N38" t="s">
        <v>126</v>
      </c>
      <c r="O38" t="s">
        <v>105</v>
      </c>
      <c r="P38" s="2" t="s">
        <v>20</v>
      </c>
      <c r="Q38" t="s">
        <v>64</v>
      </c>
      <c r="R38" t="s">
        <v>64</v>
      </c>
      <c r="S38" s="80" t="s">
        <v>167</v>
      </c>
      <c r="T38" t="s">
        <v>168</v>
      </c>
      <c r="U38" t="s">
        <v>169</v>
      </c>
      <c r="V38" s="2" t="s">
        <v>170</v>
      </c>
      <c r="W38" s="2" t="s">
        <v>65</v>
      </c>
      <c r="Z38" s="2" t="s">
        <v>171</v>
      </c>
      <c r="AA38" s="2" t="s">
        <v>172</v>
      </c>
      <c r="AB38" s="2" t="s">
        <v>66</v>
      </c>
      <c r="AC38" s="2" t="s">
        <v>67</v>
      </c>
    </row>
    <row r="39" spans="1:29" x14ac:dyDescent="0.25">
      <c r="A39" t="s">
        <v>124</v>
      </c>
      <c r="B39" t="s">
        <v>89</v>
      </c>
      <c r="C39" t="s">
        <v>90</v>
      </c>
      <c r="D39" t="s">
        <v>43</v>
      </c>
      <c r="E39" t="s">
        <v>132</v>
      </c>
      <c r="F39" t="s">
        <v>133</v>
      </c>
      <c r="G39" s="2" t="s">
        <v>89</v>
      </c>
      <c r="H39" t="s">
        <v>64</v>
      </c>
      <c r="I39" s="35" t="s">
        <v>164</v>
      </c>
      <c r="J39" s="2" t="s">
        <v>165</v>
      </c>
      <c r="K39" t="s">
        <v>125</v>
      </c>
      <c r="L39" t="s">
        <v>166</v>
      </c>
      <c r="M39" s="2" t="s">
        <v>78</v>
      </c>
      <c r="N39" t="s">
        <v>126</v>
      </c>
      <c r="O39" t="s">
        <v>106</v>
      </c>
      <c r="P39" s="2" t="s">
        <v>20</v>
      </c>
      <c r="Q39" t="s">
        <v>64</v>
      </c>
      <c r="R39" t="s">
        <v>64</v>
      </c>
      <c r="S39" s="80" t="s">
        <v>167</v>
      </c>
      <c r="T39" t="s">
        <v>168</v>
      </c>
      <c r="U39" t="s">
        <v>169</v>
      </c>
      <c r="V39" s="2" t="s">
        <v>170</v>
      </c>
      <c r="W39" s="2" t="s">
        <v>65</v>
      </c>
      <c r="Z39" s="2" t="s">
        <v>171</v>
      </c>
      <c r="AA39" s="2" t="s">
        <v>172</v>
      </c>
      <c r="AB39" s="2" t="s">
        <v>66</v>
      </c>
      <c r="AC39" s="2" t="s">
        <v>67</v>
      </c>
    </row>
    <row r="40" spans="1:29" x14ac:dyDescent="0.25">
      <c r="A40" t="s">
        <v>124</v>
      </c>
      <c r="B40" t="s">
        <v>89</v>
      </c>
      <c r="C40" t="s">
        <v>90</v>
      </c>
      <c r="D40" t="s">
        <v>43</v>
      </c>
      <c r="E40" t="s">
        <v>132</v>
      </c>
      <c r="F40" t="s">
        <v>133</v>
      </c>
      <c r="G40" s="2" t="s">
        <v>89</v>
      </c>
      <c r="H40" t="s">
        <v>64</v>
      </c>
      <c r="I40" s="35" t="s">
        <v>164</v>
      </c>
      <c r="J40" s="2" t="s">
        <v>165</v>
      </c>
      <c r="K40" t="s">
        <v>125</v>
      </c>
      <c r="L40" t="s">
        <v>166</v>
      </c>
      <c r="M40" s="2" t="s">
        <v>78</v>
      </c>
      <c r="N40" t="s">
        <v>126</v>
      </c>
      <c r="O40" t="s">
        <v>107</v>
      </c>
      <c r="P40" s="2" t="s">
        <v>20</v>
      </c>
      <c r="Q40" t="s">
        <v>64</v>
      </c>
      <c r="R40" t="s">
        <v>64</v>
      </c>
      <c r="S40" s="80" t="s">
        <v>167</v>
      </c>
      <c r="T40" t="s">
        <v>168</v>
      </c>
      <c r="U40" t="s">
        <v>169</v>
      </c>
      <c r="V40" s="2" t="s">
        <v>170</v>
      </c>
      <c r="W40" s="2" t="s">
        <v>65</v>
      </c>
      <c r="Z40" s="2" t="s">
        <v>171</v>
      </c>
      <c r="AA40" s="2" t="s">
        <v>172</v>
      </c>
      <c r="AB40" s="2" t="s">
        <v>66</v>
      </c>
      <c r="AC40" s="2" t="s">
        <v>67</v>
      </c>
    </row>
    <row r="41" spans="1:29" x14ac:dyDescent="0.25">
      <c r="A41" t="s">
        <v>124</v>
      </c>
      <c r="B41" t="s">
        <v>89</v>
      </c>
      <c r="C41" t="s">
        <v>90</v>
      </c>
      <c r="D41" t="s">
        <v>43</v>
      </c>
      <c r="E41" t="s">
        <v>132</v>
      </c>
      <c r="F41" t="s">
        <v>133</v>
      </c>
      <c r="G41" s="2" t="s">
        <v>89</v>
      </c>
      <c r="H41" t="s">
        <v>64</v>
      </c>
      <c r="I41" s="35" t="s">
        <v>164</v>
      </c>
      <c r="J41" s="2" t="s">
        <v>165</v>
      </c>
      <c r="K41" t="s">
        <v>125</v>
      </c>
      <c r="L41" t="s">
        <v>166</v>
      </c>
      <c r="M41" s="2" t="s">
        <v>78</v>
      </c>
      <c r="N41" t="s">
        <v>126</v>
      </c>
      <c r="O41" t="s">
        <v>108</v>
      </c>
      <c r="P41" s="2" t="s">
        <v>20</v>
      </c>
      <c r="Q41" t="s">
        <v>64</v>
      </c>
      <c r="R41" t="s">
        <v>64</v>
      </c>
      <c r="S41" s="80" t="s">
        <v>167</v>
      </c>
      <c r="T41" t="s">
        <v>168</v>
      </c>
      <c r="U41" t="s">
        <v>169</v>
      </c>
      <c r="V41" s="2" t="s">
        <v>170</v>
      </c>
      <c r="W41" s="2" t="s">
        <v>65</v>
      </c>
      <c r="Z41" s="2" t="s">
        <v>171</v>
      </c>
      <c r="AA41" s="2" t="s">
        <v>172</v>
      </c>
      <c r="AB41" s="2" t="s">
        <v>66</v>
      </c>
      <c r="AC41" s="2" t="s">
        <v>67</v>
      </c>
    </row>
    <row r="42" spans="1:29" x14ac:dyDescent="0.25">
      <c r="A42" t="s">
        <v>124</v>
      </c>
      <c r="B42" t="s">
        <v>89</v>
      </c>
      <c r="C42" t="s">
        <v>90</v>
      </c>
      <c r="D42" t="s">
        <v>43</v>
      </c>
      <c r="E42" t="s">
        <v>132</v>
      </c>
      <c r="F42" t="s">
        <v>133</v>
      </c>
      <c r="G42" s="2" t="s">
        <v>89</v>
      </c>
      <c r="H42" t="s">
        <v>64</v>
      </c>
      <c r="I42" s="35" t="s">
        <v>164</v>
      </c>
      <c r="J42" s="2" t="s">
        <v>165</v>
      </c>
      <c r="K42" t="s">
        <v>125</v>
      </c>
      <c r="L42" t="s">
        <v>166</v>
      </c>
      <c r="M42" s="2" t="s">
        <v>78</v>
      </c>
      <c r="N42" t="s">
        <v>126</v>
      </c>
      <c r="O42" t="s">
        <v>109</v>
      </c>
      <c r="P42" s="2" t="s">
        <v>81</v>
      </c>
      <c r="Q42" t="s">
        <v>64</v>
      </c>
      <c r="R42" t="s">
        <v>64</v>
      </c>
      <c r="S42" s="80" t="s">
        <v>167</v>
      </c>
      <c r="T42" t="s">
        <v>168</v>
      </c>
      <c r="U42" t="s">
        <v>169</v>
      </c>
      <c r="V42" s="2" t="s">
        <v>170</v>
      </c>
      <c r="W42" s="2" t="s">
        <v>65</v>
      </c>
      <c r="Z42" s="2" t="s">
        <v>171</v>
      </c>
      <c r="AA42" s="2" t="s">
        <v>172</v>
      </c>
      <c r="AB42" s="2" t="s">
        <v>66</v>
      </c>
      <c r="AC42" s="2" t="s">
        <v>67</v>
      </c>
    </row>
    <row r="43" spans="1:29" x14ac:dyDescent="0.25">
      <c r="A43" t="s">
        <v>124</v>
      </c>
      <c r="B43" t="s">
        <v>89</v>
      </c>
      <c r="C43" t="s">
        <v>90</v>
      </c>
      <c r="D43" t="s">
        <v>43</v>
      </c>
      <c r="E43" t="s">
        <v>132</v>
      </c>
      <c r="F43" t="s">
        <v>133</v>
      </c>
      <c r="G43" s="2" t="s">
        <v>89</v>
      </c>
      <c r="H43" t="s">
        <v>64</v>
      </c>
      <c r="I43" s="35" t="s">
        <v>164</v>
      </c>
      <c r="J43" s="2" t="s">
        <v>165</v>
      </c>
      <c r="K43" t="s">
        <v>125</v>
      </c>
      <c r="L43" t="s">
        <v>166</v>
      </c>
      <c r="M43" s="2" t="s">
        <v>78</v>
      </c>
      <c r="N43" t="s">
        <v>126</v>
      </c>
      <c r="O43" t="s">
        <v>110</v>
      </c>
      <c r="P43" s="2" t="s">
        <v>129</v>
      </c>
      <c r="Q43" t="s">
        <v>64</v>
      </c>
      <c r="R43" t="s">
        <v>64</v>
      </c>
      <c r="S43" s="80" t="s">
        <v>167</v>
      </c>
      <c r="T43" t="s">
        <v>168</v>
      </c>
      <c r="U43" t="s">
        <v>169</v>
      </c>
      <c r="V43" s="2" t="s">
        <v>170</v>
      </c>
      <c r="W43" s="2" t="s">
        <v>65</v>
      </c>
      <c r="Z43" s="2" t="s">
        <v>171</v>
      </c>
      <c r="AA43" s="2" t="s">
        <v>172</v>
      </c>
      <c r="AB43" s="2" t="s">
        <v>66</v>
      </c>
      <c r="AC43" s="2" t="s">
        <v>67</v>
      </c>
    </row>
    <row r="44" spans="1:29" x14ac:dyDescent="0.25">
      <c r="A44" t="s">
        <v>124</v>
      </c>
      <c r="B44" t="s">
        <v>89</v>
      </c>
      <c r="C44" t="s">
        <v>90</v>
      </c>
      <c r="D44" t="s">
        <v>43</v>
      </c>
      <c r="E44" t="s">
        <v>132</v>
      </c>
      <c r="F44" t="s">
        <v>133</v>
      </c>
      <c r="G44" s="2" t="s">
        <v>89</v>
      </c>
      <c r="H44" t="s">
        <v>64</v>
      </c>
      <c r="I44" s="35" t="s">
        <v>164</v>
      </c>
      <c r="J44" s="2" t="s">
        <v>165</v>
      </c>
      <c r="K44" t="s">
        <v>125</v>
      </c>
      <c r="L44" t="s">
        <v>166</v>
      </c>
      <c r="M44" s="2" t="s">
        <v>78</v>
      </c>
      <c r="N44" t="s">
        <v>126</v>
      </c>
      <c r="O44" t="s">
        <v>115</v>
      </c>
      <c r="P44" s="2" t="s">
        <v>20</v>
      </c>
      <c r="Q44" t="s">
        <v>64</v>
      </c>
      <c r="R44" t="s">
        <v>64</v>
      </c>
      <c r="S44" s="80" t="s">
        <v>167</v>
      </c>
      <c r="T44" t="s">
        <v>168</v>
      </c>
      <c r="U44" t="s">
        <v>169</v>
      </c>
      <c r="V44" s="2" t="s">
        <v>170</v>
      </c>
      <c r="W44" s="2" t="s">
        <v>65</v>
      </c>
      <c r="Z44" s="2" t="s">
        <v>171</v>
      </c>
      <c r="AA44" s="2" t="s">
        <v>172</v>
      </c>
      <c r="AB44" s="2" t="s">
        <v>66</v>
      </c>
      <c r="AC44" s="2" t="s">
        <v>67</v>
      </c>
    </row>
    <row r="45" spans="1:29" x14ac:dyDescent="0.25">
      <c r="A45" t="s">
        <v>124</v>
      </c>
      <c r="B45" t="s">
        <v>89</v>
      </c>
      <c r="C45" t="s">
        <v>90</v>
      </c>
      <c r="D45" t="s">
        <v>43</v>
      </c>
      <c r="E45" t="s">
        <v>132</v>
      </c>
      <c r="F45" t="s">
        <v>133</v>
      </c>
      <c r="G45" s="2" t="s">
        <v>89</v>
      </c>
      <c r="H45" t="s">
        <v>64</v>
      </c>
      <c r="I45" s="35" t="s">
        <v>164</v>
      </c>
      <c r="J45" s="2" t="s">
        <v>165</v>
      </c>
      <c r="K45" t="s">
        <v>125</v>
      </c>
      <c r="L45" t="s">
        <v>166</v>
      </c>
      <c r="M45" s="2" t="s">
        <v>78</v>
      </c>
      <c r="N45" t="s">
        <v>126</v>
      </c>
      <c r="O45" t="s">
        <v>116</v>
      </c>
      <c r="P45" s="2" t="s">
        <v>20</v>
      </c>
      <c r="Q45" t="s">
        <v>64</v>
      </c>
      <c r="R45" t="s">
        <v>64</v>
      </c>
      <c r="S45" s="80" t="s">
        <v>167</v>
      </c>
      <c r="T45" t="s">
        <v>168</v>
      </c>
      <c r="U45" t="s">
        <v>169</v>
      </c>
      <c r="V45" s="2" t="s">
        <v>170</v>
      </c>
      <c r="W45" s="2" t="s">
        <v>65</v>
      </c>
      <c r="Z45" s="2" t="s">
        <v>171</v>
      </c>
      <c r="AA45" s="2" t="s">
        <v>172</v>
      </c>
      <c r="AB45" s="2" t="s">
        <v>66</v>
      </c>
      <c r="AC45" s="2" t="s">
        <v>67</v>
      </c>
    </row>
    <row r="46" spans="1:29" x14ac:dyDescent="0.25">
      <c r="A46" t="s">
        <v>124</v>
      </c>
      <c r="B46" t="s">
        <v>89</v>
      </c>
      <c r="C46" t="s">
        <v>90</v>
      </c>
      <c r="D46" t="s">
        <v>43</v>
      </c>
      <c r="E46" t="s">
        <v>132</v>
      </c>
      <c r="F46" t="s">
        <v>133</v>
      </c>
      <c r="G46" s="2" t="s">
        <v>89</v>
      </c>
      <c r="H46" t="s">
        <v>64</v>
      </c>
      <c r="I46" s="35" t="s">
        <v>164</v>
      </c>
      <c r="J46" s="2" t="s">
        <v>165</v>
      </c>
      <c r="K46" t="s">
        <v>125</v>
      </c>
      <c r="L46" t="s">
        <v>166</v>
      </c>
      <c r="M46" s="2" t="s">
        <v>78</v>
      </c>
      <c r="N46" t="s">
        <v>126</v>
      </c>
      <c r="O46" t="s">
        <v>117</v>
      </c>
      <c r="P46" s="2" t="s">
        <v>173</v>
      </c>
      <c r="Q46" t="s">
        <v>64</v>
      </c>
      <c r="R46" t="s">
        <v>64</v>
      </c>
      <c r="S46" s="80" t="s">
        <v>167</v>
      </c>
      <c r="T46" t="s">
        <v>168</v>
      </c>
      <c r="U46" t="s">
        <v>169</v>
      </c>
      <c r="V46" s="2" t="s">
        <v>170</v>
      </c>
      <c r="W46" s="2" t="s">
        <v>65</v>
      </c>
      <c r="Z46" s="2" t="s">
        <v>171</v>
      </c>
      <c r="AA46" s="2" t="s">
        <v>172</v>
      </c>
      <c r="AB46" s="2" t="s">
        <v>66</v>
      </c>
      <c r="AC46" s="2" t="s">
        <v>67</v>
      </c>
    </row>
    <row r="47" spans="1:29" x14ac:dyDescent="0.25">
      <c r="A47" t="s">
        <v>124</v>
      </c>
      <c r="B47" t="s">
        <v>130</v>
      </c>
      <c r="C47" t="s">
        <v>131</v>
      </c>
      <c r="D47" t="s">
        <v>15</v>
      </c>
      <c r="E47" t="s">
        <v>174</v>
      </c>
      <c r="F47" t="s">
        <v>174</v>
      </c>
      <c r="G47" s="2" t="s">
        <v>131</v>
      </c>
      <c r="H47" t="s">
        <v>64</v>
      </c>
      <c r="I47" s="35" t="s">
        <v>175</v>
      </c>
      <c r="J47" s="2" t="s">
        <v>176</v>
      </c>
      <c r="K47" t="s">
        <v>125</v>
      </c>
      <c r="L47" t="s">
        <v>177</v>
      </c>
      <c r="M47" s="2" t="s">
        <v>78</v>
      </c>
      <c r="N47" t="s">
        <v>126</v>
      </c>
      <c r="O47" t="s">
        <v>92</v>
      </c>
      <c r="P47" s="2" t="s">
        <v>81</v>
      </c>
      <c r="Q47" t="s">
        <v>64</v>
      </c>
      <c r="R47" t="s">
        <v>64</v>
      </c>
      <c r="S47" s="80" t="s">
        <v>178</v>
      </c>
      <c r="T47" t="s">
        <v>179</v>
      </c>
      <c r="U47" t="s">
        <v>180</v>
      </c>
      <c r="V47" s="2" t="s">
        <v>181</v>
      </c>
      <c r="W47" s="2" t="s">
        <v>65</v>
      </c>
      <c r="Z47" s="2" t="s">
        <v>141</v>
      </c>
      <c r="AA47" s="2" t="s">
        <v>142</v>
      </c>
      <c r="AB47" s="2" t="s">
        <v>66</v>
      </c>
      <c r="AC47" s="2" t="s">
        <v>67</v>
      </c>
    </row>
    <row r="48" spans="1:29" x14ac:dyDescent="0.25">
      <c r="A48" t="s">
        <v>124</v>
      </c>
      <c r="B48" t="s">
        <v>130</v>
      </c>
      <c r="C48" t="s">
        <v>131</v>
      </c>
      <c r="D48" t="s">
        <v>15</v>
      </c>
      <c r="E48" t="s">
        <v>174</v>
      </c>
      <c r="F48" t="s">
        <v>174</v>
      </c>
      <c r="G48" s="2" t="s">
        <v>131</v>
      </c>
      <c r="H48" t="s">
        <v>64</v>
      </c>
      <c r="I48" s="35" t="s">
        <v>175</v>
      </c>
      <c r="J48" s="2" t="s">
        <v>176</v>
      </c>
      <c r="K48" t="s">
        <v>125</v>
      </c>
      <c r="L48" t="s">
        <v>177</v>
      </c>
      <c r="M48" s="2" t="s">
        <v>78</v>
      </c>
      <c r="N48" t="s">
        <v>126</v>
      </c>
      <c r="O48" t="s">
        <v>93</v>
      </c>
      <c r="P48" s="2" t="s">
        <v>81</v>
      </c>
      <c r="Q48" t="s">
        <v>64</v>
      </c>
      <c r="R48" t="s">
        <v>64</v>
      </c>
      <c r="S48" s="80" t="s">
        <v>178</v>
      </c>
      <c r="T48" t="s">
        <v>179</v>
      </c>
      <c r="U48" t="s">
        <v>180</v>
      </c>
      <c r="V48" s="2" t="s">
        <v>181</v>
      </c>
      <c r="W48" s="2" t="s">
        <v>65</v>
      </c>
      <c r="Z48" s="2" t="s">
        <v>141</v>
      </c>
      <c r="AA48" s="2" t="s">
        <v>142</v>
      </c>
      <c r="AB48" s="2" t="s">
        <v>66</v>
      </c>
      <c r="AC48" s="2" t="s">
        <v>67</v>
      </c>
    </row>
    <row r="49" spans="1:29" x14ac:dyDescent="0.25">
      <c r="A49" t="s">
        <v>124</v>
      </c>
      <c r="B49" t="s">
        <v>130</v>
      </c>
      <c r="C49" t="s">
        <v>131</v>
      </c>
      <c r="D49" t="s">
        <v>15</v>
      </c>
      <c r="E49" t="s">
        <v>174</v>
      </c>
      <c r="F49" t="s">
        <v>174</v>
      </c>
      <c r="G49" s="2" t="s">
        <v>131</v>
      </c>
      <c r="H49" t="s">
        <v>64</v>
      </c>
      <c r="I49" s="35" t="s">
        <v>175</v>
      </c>
      <c r="J49" s="2" t="s">
        <v>176</v>
      </c>
      <c r="K49" t="s">
        <v>125</v>
      </c>
      <c r="L49" t="s">
        <v>177</v>
      </c>
      <c r="M49" s="2" t="s">
        <v>78</v>
      </c>
      <c r="N49" t="s">
        <v>126</v>
      </c>
      <c r="O49" t="s">
        <v>94</v>
      </c>
      <c r="P49" s="2" t="s">
        <v>81</v>
      </c>
      <c r="Q49" t="s">
        <v>64</v>
      </c>
      <c r="R49" t="s">
        <v>64</v>
      </c>
      <c r="S49" s="80" t="s">
        <v>178</v>
      </c>
      <c r="T49" t="s">
        <v>179</v>
      </c>
      <c r="U49" t="s">
        <v>180</v>
      </c>
      <c r="V49" s="2" t="s">
        <v>181</v>
      </c>
      <c r="W49" s="2" t="s">
        <v>65</v>
      </c>
      <c r="Z49" s="2" t="s">
        <v>141</v>
      </c>
      <c r="AA49" s="2" t="s">
        <v>142</v>
      </c>
      <c r="AB49" s="2" t="s">
        <v>66</v>
      </c>
      <c r="AC49" s="2" t="s">
        <v>67</v>
      </c>
    </row>
    <row r="50" spans="1:29" x14ac:dyDescent="0.25">
      <c r="A50" t="s">
        <v>124</v>
      </c>
      <c r="B50" t="s">
        <v>130</v>
      </c>
      <c r="C50" t="s">
        <v>131</v>
      </c>
      <c r="D50" t="s">
        <v>15</v>
      </c>
      <c r="E50" t="s">
        <v>174</v>
      </c>
      <c r="F50" t="s">
        <v>174</v>
      </c>
      <c r="G50" s="2" t="s">
        <v>131</v>
      </c>
      <c r="H50" t="s">
        <v>64</v>
      </c>
      <c r="I50" s="35" t="s">
        <v>175</v>
      </c>
      <c r="J50" s="2" t="s">
        <v>176</v>
      </c>
      <c r="K50" t="s">
        <v>125</v>
      </c>
      <c r="L50" t="s">
        <v>177</v>
      </c>
      <c r="M50" s="2" t="s">
        <v>78</v>
      </c>
      <c r="N50" t="s">
        <v>126</v>
      </c>
      <c r="O50" t="s">
        <v>95</v>
      </c>
      <c r="P50" s="2" t="s">
        <v>81</v>
      </c>
      <c r="Q50" t="s">
        <v>64</v>
      </c>
      <c r="R50" t="s">
        <v>64</v>
      </c>
      <c r="S50" s="80" t="s">
        <v>178</v>
      </c>
      <c r="T50" t="s">
        <v>179</v>
      </c>
      <c r="U50" t="s">
        <v>180</v>
      </c>
      <c r="V50" s="2" t="s">
        <v>181</v>
      </c>
      <c r="W50" s="2" t="s">
        <v>65</v>
      </c>
      <c r="Z50" s="2" t="s">
        <v>141</v>
      </c>
      <c r="AA50" s="2" t="s">
        <v>142</v>
      </c>
      <c r="AB50" s="2" t="s">
        <v>66</v>
      </c>
      <c r="AC50" s="2" t="s">
        <v>67</v>
      </c>
    </row>
    <row r="51" spans="1:29" x14ac:dyDescent="0.25">
      <c r="A51" t="s">
        <v>124</v>
      </c>
      <c r="B51" t="s">
        <v>130</v>
      </c>
      <c r="C51" t="s">
        <v>131</v>
      </c>
      <c r="D51" t="s">
        <v>15</v>
      </c>
      <c r="E51" t="s">
        <v>174</v>
      </c>
      <c r="F51" t="s">
        <v>174</v>
      </c>
      <c r="G51" s="2" t="s">
        <v>131</v>
      </c>
      <c r="H51" t="s">
        <v>64</v>
      </c>
      <c r="I51" s="35" t="s">
        <v>175</v>
      </c>
      <c r="J51" s="2" t="s">
        <v>176</v>
      </c>
      <c r="K51" t="s">
        <v>125</v>
      </c>
      <c r="L51" t="s">
        <v>177</v>
      </c>
      <c r="M51" s="2" t="s">
        <v>78</v>
      </c>
      <c r="N51" t="s">
        <v>126</v>
      </c>
      <c r="O51" t="s">
        <v>35</v>
      </c>
      <c r="P51" s="2" t="s">
        <v>81</v>
      </c>
      <c r="Q51" t="s">
        <v>64</v>
      </c>
      <c r="R51" t="s">
        <v>64</v>
      </c>
      <c r="S51" s="80" t="s">
        <v>178</v>
      </c>
      <c r="T51" t="s">
        <v>179</v>
      </c>
      <c r="U51" t="s">
        <v>180</v>
      </c>
      <c r="V51" s="2" t="s">
        <v>181</v>
      </c>
      <c r="W51" s="2" t="s">
        <v>65</v>
      </c>
      <c r="Z51" s="2" t="s">
        <v>141</v>
      </c>
      <c r="AA51" s="2" t="s">
        <v>142</v>
      </c>
      <c r="AB51" s="2" t="s">
        <v>66</v>
      </c>
      <c r="AC51" s="2" t="s">
        <v>67</v>
      </c>
    </row>
    <row r="52" spans="1:29" x14ac:dyDescent="0.25">
      <c r="A52" t="s">
        <v>124</v>
      </c>
      <c r="B52" t="s">
        <v>130</v>
      </c>
      <c r="C52" t="s">
        <v>131</v>
      </c>
      <c r="D52" t="s">
        <v>15</v>
      </c>
      <c r="E52" t="s">
        <v>174</v>
      </c>
      <c r="F52" t="s">
        <v>174</v>
      </c>
      <c r="G52" s="2" t="s">
        <v>131</v>
      </c>
      <c r="H52" t="s">
        <v>64</v>
      </c>
      <c r="I52" s="35" t="s">
        <v>175</v>
      </c>
      <c r="J52" s="2" t="s">
        <v>176</v>
      </c>
      <c r="K52" t="s">
        <v>125</v>
      </c>
      <c r="L52" t="s">
        <v>177</v>
      </c>
      <c r="M52" s="2" t="s">
        <v>78</v>
      </c>
      <c r="N52" t="s">
        <v>126</v>
      </c>
      <c r="O52" t="s">
        <v>96</v>
      </c>
      <c r="P52" s="2" t="s">
        <v>81</v>
      </c>
      <c r="Q52" t="s">
        <v>64</v>
      </c>
      <c r="R52" t="s">
        <v>64</v>
      </c>
      <c r="S52" s="80" t="s">
        <v>178</v>
      </c>
      <c r="T52" t="s">
        <v>179</v>
      </c>
      <c r="U52" t="s">
        <v>180</v>
      </c>
      <c r="V52" s="2" t="s">
        <v>181</v>
      </c>
      <c r="W52" s="2" t="s">
        <v>65</v>
      </c>
      <c r="Z52" s="2" t="s">
        <v>141</v>
      </c>
      <c r="AA52" s="2" t="s">
        <v>142</v>
      </c>
      <c r="AB52" s="2" t="s">
        <v>66</v>
      </c>
      <c r="AC52" s="2" t="s">
        <v>67</v>
      </c>
    </row>
    <row r="53" spans="1:29" x14ac:dyDescent="0.25">
      <c r="A53" t="s">
        <v>124</v>
      </c>
      <c r="B53" t="s">
        <v>130</v>
      </c>
      <c r="C53" t="s">
        <v>131</v>
      </c>
      <c r="D53" t="s">
        <v>15</v>
      </c>
      <c r="E53" t="s">
        <v>174</v>
      </c>
      <c r="F53" t="s">
        <v>174</v>
      </c>
      <c r="G53" s="2" t="s">
        <v>131</v>
      </c>
      <c r="H53" t="s">
        <v>64</v>
      </c>
      <c r="I53" s="35" t="s">
        <v>175</v>
      </c>
      <c r="J53" s="2" t="s">
        <v>176</v>
      </c>
      <c r="K53" t="s">
        <v>125</v>
      </c>
      <c r="L53" t="s">
        <v>177</v>
      </c>
      <c r="M53" s="2" t="s">
        <v>78</v>
      </c>
      <c r="N53" t="s">
        <v>126</v>
      </c>
      <c r="O53" t="s">
        <v>97</v>
      </c>
      <c r="P53" s="2" t="s">
        <v>81</v>
      </c>
      <c r="Q53" t="s">
        <v>64</v>
      </c>
      <c r="R53" t="s">
        <v>64</v>
      </c>
      <c r="S53" s="80" t="s">
        <v>178</v>
      </c>
      <c r="T53" t="s">
        <v>179</v>
      </c>
      <c r="U53" t="s">
        <v>180</v>
      </c>
      <c r="V53" s="2" t="s">
        <v>181</v>
      </c>
      <c r="W53" s="2" t="s">
        <v>65</v>
      </c>
      <c r="Z53" s="2" t="s">
        <v>141</v>
      </c>
      <c r="AA53" s="2" t="s">
        <v>142</v>
      </c>
      <c r="AB53" s="2" t="s">
        <v>66</v>
      </c>
      <c r="AC53" s="2" t="s">
        <v>67</v>
      </c>
    </row>
    <row r="54" spans="1:29" x14ac:dyDescent="0.25">
      <c r="A54" t="s">
        <v>124</v>
      </c>
      <c r="B54" t="s">
        <v>130</v>
      </c>
      <c r="C54" t="s">
        <v>131</v>
      </c>
      <c r="D54" t="s">
        <v>15</v>
      </c>
      <c r="E54" t="s">
        <v>174</v>
      </c>
      <c r="F54" t="s">
        <v>174</v>
      </c>
      <c r="G54" s="2" t="s">
        <v>131</v>
      </c>
      <c r="H54" t="s">
        <v>64</v>
      </c>
      <c r="I54" s="35" t="s">
        <v>175</v>
      </c>
      <c r="J54" s="2" t="s">
        <v>176</v>
      </c>
      <c r="K54" t="s">
        <v>125</v>
      </c>
      <c r="L54" t="s">
        <v>177</v>
      </c>
      <c r="M54" s="2" t="s">
        <v>78</v>
      </c>
      <c r="N54" t="s">
        <v>126</v>
      </c>
      <c r="O54" t="s">
        <v>98</v>
      </c>
      <c r="P54" s="2" t="s">
        <v>81</v>
      </c>
      <c r="Q54" t="s">
        <v>64</v>
      </c>
      <c r="R54" t="s">
        <v>64</v>
      </c>
      <c r="S54" s="80" t="s">
        <v>178</v>
      </c>
      <c r="T54" t="s">
        <v>179</v>
      </c>
      <c r="U54" t="s">
        <v>180</v>
      </c>
      <c r="V54" s="2" t="s">
        <v>181</v>
      </c>
      <c r="W54" s="2" t="s">
        <v>65</v>
      </c>
      <c r="Z54" s="2" t="s">
        <v>141</v>
      </c>
      <c r="AA54" s="2" t="s">
        <v>142</v>
      </c>
      <c r="AB54" s="2" t="s">
        <v>66</v>
      </c>
      <c r="AC54" s="2" t="s">
        <v>67</v>
      </c>
    </row>
    <row r="55" spans="1:29" x14ac:dyDescent="0.25">
      <c r="A55" t="s">
        <v>124</v>
      </c>
      <c r="B55" t="s">
        <v>130</v>
      </c>
      <c r="C55" t="s">
        <v>131</v>
      </c>
      <c r="D55" t="s">
        <v>15</v>
      </c>
      <c r="E55" t="s">
        <v>174</v>
      </c>
      <c r="F55" t="s">
        <v>174</v>
      </c>
      <c r="G55" s="2" t="s">
        <v>131</v>
      </c>
      <c r="H55" t="s">
        <v>64</v>
      </c>
      <c r="I55" s="35" t="s">
        <v>175</v>
      </c>
      <c r="J55" s="2" t="s">
        <v>176</v>
      </c>
      <c r="K55" t="s">
        <v>125</v>
      </c>
      <c r="L55" t="s">
        <v>177</v>
      </c>
      <c r="M55" s="2" t="s">
        <v>78</v>
      </c>
      <c r="N55" t="s">
        <v>126</v>
      </c>
      <c r="O55" t="s">
        <v>99</v>
      </c>
      <c r="P55" s="2" t="s">
        <v>81</v>
      </c>
      <c r="Q55" t="s">
        <v>64</v>
      </c>
      <c r="R55" t="s">
        <v>64</v>
      </c>
      <c r="S55" s="80" t="s">
        <v>178</v>
      </c>
      <c r="T55" t="s">
        <v>179</v>
      </c>
      <c r="U55" t="s">
        <v>180</v>
      </c>
      <c r="V55" s="2" t="s">
        <v>181</v>
      </c>
      <c r="W55" s="2" t="s">
        <v>65</v>
      </c>
      <c r="Z55" s="2" t="s">
        <v>141</v>
      </c>
      <c r="AA55" s="2" t="s">
        <v>142</v>
      </c>
      <c r="AB55" s="2" t="s">
        <v>66</v>
      </c>
      <c r="AC55" s="2" t="s">
        <v>67</v>
      </c>
    </row>
    <row r="56" spans="1:29" x14ac:dyDescent="0.25">
      <c r="A56" t="s">
        <v>124</v>
      </c>
      <c r="B56" t="s">
        <v>130</v>
      </c>
      <c r="C56" t="s">
        <v>131</v>
      </c>
      <c r="D56" t="s">
        <v>15</v>
      </c>
      <c r="E56" t="s">
        <v>174</v>
      </c>
      <c r="F56" t="s">
        <v>174</v>
      </c>
      <c r="G56" s="2" t="s">
        <v>131</v>
      </c>
      <c r="H56" t="s">
        <v>64</v>
      </c>
      <c r="I56" s="35" t="s">
        <v>175</v>
      </c>
      <c r="J56" s="2" t="s">
        <v>176</v>
      </c>
      <c r="K56" t="s">
        <v>125</v>
      </c>
      <c r="L56" t="s">
        <v>177</v>
      </c>
      <c r="M56" s="2" t="s">
        <v>78</v>
      </c>
      <c r="N56" t="s">
        <v>126</v>
      </c>
      <c r="O56" t="s">
        <v>100</v>
      </c>
      <c r="P56" s="2" t="s">
        <v>81</v>
      </c>
      <c r="Q56" t="s">
        <v>64</v>
      </c>
      <c r="R56" t="s">
        <v>64</v>
      </c>
      <c r="S56" s="80" t="s">
        <v>178</v>
      </c>
      <c r="T56" t="s">
        <v>179</v>
      </c>
      <c r="U56" t="s">
        <v>180</v>
      </c>
      <c r="V56" s="2" t="s">
        <v>181</v>
      </c>
      <c r="W56" s="2" t="s">
        <v>65</v>
      </c>
      <c r="Z56" s="2" t="s">
        <v>141</v>
      </c>
      <c r="AA56" s="2" t="s">
        <v>142</v>
      </c>
      <c r="AB56" s="2" t="s">
        <v>66</v>
      </c>
      <c r="AC56" s="2" t="s">
        <v>67</v>
      </c>
    </row>
    <row r="57" spans="1:29" x14ac:dyDescent="0.25">
      <c r="A57" t="s">
        <v>124</v>
      </c>
      <c r="B57" t="s">
        <v>130</v>
      </c>
      <c r="C57" t="s">
        <v>131</v>
      </c>
      <c r="D57" t="s">
        <v>15</v>
      </c>
      <c r="E57" t="s">
        <v>174</v>
      </c>
      <c r="F57" t="s">
        <v>174</v>
      </c>
      <c r="G57" s="2" t="s">
        <v>131</v>
      </c>
      <c r="H57" t="s">
        <v>64</v>
      </c>
      <c r="I57" s="35" t="s">
        <v>175</v>
      </c>
      <c r="J57" s="2" t="s">
        <v>176</v>
      </c>
      <c r="K57" t="s">
        <v>125</v>
      </c>
      <c r="L57" t="s">
        <v>177</v>
      </c>
      <c r="M57" s="2" t="s">
        <v>78</v>
      </c>
      <c r="N57" t="s">
        <v>126</v>
      </c>
      <c r="O57" t="s">
        <v>101</v>
      </c>
      <c r="P57" s="2" t="s">
        <v>81</v>
      </c>
      <c r="Q57" t="s">
        <v>64</v>
      </c>
      <c r="R57" t="s">
        <v>64</v>
      </c>
      <c r="S57" s="80" t="s">
        <v>178</v>
      </c>
      <c r="T57" t="s">
        <v>179</v>
      </c>
      <c r="U57" t="s">
        <v>180</v>
      </c>
      <c r="V57" s="2" t="s">
        <v>181</v>
      </c>
      <c r="W57" s="2" t="s">
        <v>65</v>
      </c>
      <c r="Z57" s="2" t="s">
        <v>141</v>
      </c>
      <c r="AA57" s="2" t="s">
        <v>142</v>
      </c>
      <c r="AB57" s="2" t="s">
        <v>66</v>
      </c>
      <c r="AC57" s="2" t="s">
        <v>67</v>
      </c>
    </row>
    <row r="58" spans="1:29" x14ac:dyDescent="0.25">
      <c r="A58" t="s">
        <v>124</v>
      </c>
      <c r="B58" t="s">
        <v>130</v>
      </c>
      <c r="C58" t="s">
        <v>131</v>
      </c>
      <c r="D58" t="s">
        <v>15</v>
      </c>
      <c r="E58" t="s">
        <v>174</v>
      </c>
      <c r="F58" t="s">
        <v>174</v>
      </c>
      <c r="G58" s="2" t="s">
        <v>131</v>
      </c>
      <c r="H58" t="s">
        <v>64</v>
      </c>
      <c r="I58" s="35" t="s">
        <v>175</v>
      </c>
      <c r="J58" s="2" t="s">
        <v>176</v>
      </c>
      <c r="K58" t="s">
        <v>125</v>
      </c>
      <c r="L58" t="s">
        <v>177</v>
      </c>
      <c r="M58" s="2" t="s">
        <v>78</v>
      </c>
      <c r="N58" t="s">
        <v>126</v>
      </c>
      <c r="O58" t="s">
        <v>102</v>
      </c>
      <c r="P58" s="2" t="s">
        <v>81</v>
      </c>
      <c r="Q58" t="s">
        <v>64</v>
      </c>
      <c r="R58" t="s">
        <v>64</v>
      </c>
      <c r="S58" s="80" t="s">
        <v>178</v>
      </c>
      <c r="T58" t="s">
        <v>179</v>
      </c>
      <c r="U58" t="s">
        <v>180</v>
      </c>
      <c r="V58" s="2" t="s">
        <v>181</v>
      </c>
      <c r="W58" s="2" t="s">
        <v>65</v>
      </c>
      <c r="Z58" s="2" t="s">
        <v>141</v>
      </c>
      <c r="AA58" s="2" t="s">
        <v>142</v>
      </c>
      <c r="AB58" s="2" t="s">
        <v>66</v>
      </c>
      <c r="AC58" s="2" t="s">
        <v>67</v>
      </c>
    </row>
    <row r="59" spans="1:29" x14ac:dyDescent="0.25">
      <c r="A59" t="s">
        <v>124</v>
      </c>
      <c r="B59" t="s">
        <v>130</v>
      </c>
      <c r="C59" t="s">
        <v>131</v>
      </c>
      <c r="D59" t="s">
        <v>15</v>
      </c>
      <c r="E59" t="s">
        <v>174</v>
      </c>
      <c r="F59" t="s">
        <v>174</v>
      </c>
      <c r="G59" s="2" t="s">
        <v>131</v>
      </c>
      <c r="H59" t="s">
        <v>64</v>
      </c>
      <c r="I59" s="35" t="s">
        <v>175</v>
      </c>
      <c r="J59" s="2" t="s">
        <v>176</v>
      </c>
      <c r="K59" t="s">
        <v>125</v>
      </c>
      <c r="L59" t="s">
        <v>177</v>
      </c>
      <c r="M59" s="2" t="s">
        <v>78</v>
      </c>
      <c r="N59" t="s">
        <v>126</v>
      </c>
      <c r="O59" t="s">
        <v>103</v>
      </c>
      <c r="P59" s="2" t="s">
        <v>81</v>
      </c>
      <c r="Q59" t="s">
        <v>64</v>
      </c>
      <c r="R59" t="s">
        <v>64</v>
      </c>
      <c r="S59" s="80" t="s">
        <v>178</v>
      </c>
      <c r="T59" t="s">
        <v>179</v>
      </c>
      <c r="U59" t="s">
        <v>180</v>
      </c>
      <c r="V59" s="2" t="s">
        <v>181</v>
      </c>
      <c r="W59" s="2" t="s">
        <v>65</v>
      </c>
      <c r="Z59" s="2" t="s">
        <v>141</v>
      </c>
      <c r="AA59" s="2" t="s">
        <v>142</v>
      </c>
      <c r="AB59" s="2" t="s">
        <v>66</v>
      </c>
      <c r="AC59" s="2" t="s">
        <v>67</v>
      </c>
    </row>
    <row r="60" spans="1:29" x14ac:dyDescent="0.25">
      <c r="A60" t="s">
        <v>124</v>
      </c>
      <c r="B60" t="s">
        <v>130</v>
      </c>
      <c r="C60" t="s">
        <v>131</v>
      </c>
      <c r="D60" t="s">
        <v>15</v>
      </c>
      <c r="E60" t="s">
        <v>174</v>
      </c>
      <c r="F60" t="s">
        <v>174</v>
      </c>
      <c r="G60" s="2" t="s">
        <v>131</v>
      </c>
      <c r="H60" t="s">
        <v>64</v>
      </c>
      <c r="I60" s="35" t="s">
        <v>175</v>
      </c>
      <c r="J60" s="2" t="s">
        <v>176</v>
      </c>
      <c r="K60" t="s">
        <v>125</v>
      </c>
      <c r="L60" t="s">
        <v>177</v>
      </c>
      <c r="M60" s="2" t="s">
        <v>78</v>
      </c>
      <c r="N60" t="s">
        <v>126</v>
      </c>
      <c r="O60" t="s">
        <v>104</v>
      </c>
      <c r="P60" s="2" t="s">
        <v>81</v>
      </c>
      <c r="Q60" t="s">
        <v>64</v>
      </c>
      <c r="R60" t="s">
        <v>64</v>
      </c>
      <c r="S60" s="80" t="s">
        <v>178</v>
      </c>
      <c r="T60" t="s">
        <v>179</v>
      </c>
      <c r="U60" t="s">
        <v>180</v>
      </c>
      <c r="V60" s="2" t="s">
        <v>181</v>
      </c>
      <c r="W60" s="2" t="s">
        <v>65</v>
      </c>
      <c r="Z60" s="2" t="s">
        <v>141</v>
      </c>
      <c r="AA60" s="2" t="s">
        <v>142</v>
      </c>
      <c r="AB60" s="2" t="s">
        <v>66</v>
      </c>
      <c r="AC60" s="2" t="s">
        <v>67</v>
      </c>
    </row>
    <row r="61" spans="1:29" x14ac:dyDescent="0.25">
      <c r="A61" t="s">
        <v>124</v>
      </c>
      <c r="B61" t="s">
        <v>130</v>
      </c>
      <c r="C61" t="s">
        <v>131</v>
      </c>
      <c r="D61" t="s">
        <v>15</v>
      </c>
      <c r="E61" t="s">
        <v>174</v>
      </c>
      <c r="F61" t="s">
        <v>174</v>
      </c>
      <c r="G61" s="2" t="s">
        <v>131</v>
      </c>
      <c r="H61" t="s">
        <v>64</v>
      </c>
      <c r="I61" s="35" t="s">
        <v>175</v>
      </c>
      <c r="J61" s="2" t="s">
        <v>176</v>
      </c>
      <c r="K61" t="s">
        <v>125</v>
      </c>
      <c r="L61" t="s">
        <v>177</v>
      </c>
      <c r="M61" s="2" t="s">
        <v>78</v>
      </c>
      <c r="N61" t="s">
        <v>126</v>
      </c>
      <c r="O61" t="s">
        <v>105</v>
      </c>
      <c r="P61" s="2" t="s">
        <v>81</v>
      </c>
      <c r="Q61" t="s">
        <v>64</v>
      </c>
      <c r="R61" t="s">
        <v>64</v>
      </c>
      <c r="S61" s="80" t="s">
        <v>178</v>
      </c>
      <c r="T61" t="s">
        <v>179</v>
      </c>
      <c r="U61" t="s">
        <v>180</v>
      </c>
      <c r="V61" s="2" t="s">
        <v>181</v>
      </c>
      <c r="W61" s="2" t="s">
        <v>65</v>
      </c>
      <c r="Z61" s="2" t="s">
        <v>141</v>
      </c>
      <c r="AA61" s="2" t="s">
        <v>142</v>
      </c>
      <c r="AB61" s="2" t="s">
        <v>66</v>
      </c>
      <c r="AC61" s="2" t="s">
        <v>67</v>
      </c>
    </row>
    <row r="62" spans="1:29" x14ac:dyDescent="0.25">
      <c r="A62" t="s">
        <v>124</v>
      </c>
      <c r="B62" t="s">
        <v>130</v>
      </c>
      <c r="C62" t="s">
        <v>131</v>
      </c>
      <c r="D62" t="s">
        <v>15</v>
      </c>
      <c r="E62" t="s">
        <v>174</v>
      </c>
      <c r="F62" t="s">
        <v>174</v>
      </c>
      <c r="G62" s="2" t="s">
        <v>131</v>
      </c>
      <c r="H62" t="s">
        <v>64</v>
      </c>
      <c r="I62" s="35" t="s">
        <v>175</v>
      </c>
      <c r="J62" s="2" t="s">
        <v>176</v>
      </c>
      <c r="K62" t="s">
        <v>125</v>
      </c>
      <c r="L62" t="s">
        <v>177</v>
      </c>
      <c r="M62" s="2" t="s">
        <v>78</v>
      </c>
      <c r="N62" t="s">
        <v>126</v>
      </c>
      <c r="O62" t="s">
        <v>106</v>
      </c>
      <c r="P62" s="2" t="s">
        <v>81</v>
      </c>
      <c r="Q62" t="s">
        <v>64</v>
      </c>
      <c r="R62" t="s">
        <v>64</v>
      </c>
      <c r="S62" s="80" t="s">
        <v>178</v>
      </c>
      <c r="T62" t="s">
        <v>179</v>
      </c>
      <c r="U62" t="s">
        <v>180</v>
      </c>
      <c r="V62" s="2" t="s">
        <v>181</v>
      </c>
      <c r="W62" s="2" t="s">
        <v>65</v>
      </c>
      <c r="Z62" s="2" t="s">
        <v>141</v>
      </c>
      <c r="AA62" s="2" t="s">
        <v>142</v>
      </c>
      <c r="AB62" s="2" t="s">
        <v>66</v>
      </c>
      <c r="AC62" s="2" t="s">
        <v>67</v>
      </c>
    </row>
    <row r="63" spans="1:29" x14ac:dyDescent="0.25">
      <c r="A63" t="s">
        <v>124</v>
      </c>
      <c r="B63" t="s">
        <v>130</v>
      </c>
      <c r="C63" t="s">
        <v>131</v>
      </c>
      <c r="D63" t="s">
        <v>15</v>
      </c>
      <c r="E63" t="s">
        <v>174</v>
      </c>
      <c r="F63" t="s">
        <v>174</v>
      </c>
      <c r="G63" s="2" t="s">
        <v>131</v>
      </c>
      <c r="H63" t="s">
        <v>64</v>
      </c>
      <c r="I63" s="35" t="s">
        <v>175</v>
      </c>
      <c r="J63" s="2" t="s">
        <v>176</v>
      </c>
      <c r="K63" t="s">
        <v>125</v>
      </c>
      <c r="L63" t="s">
        <v>177</v>
      </c>
      <c r="M63" s="2" t="s">
        <v>78</v>
      </c>
      <c r="N63" t="s">
        <v>126</v>
      </c>
      <c r="O63" t="s">
        <v>107</v>
      </c>
      <c r="P63" s="2" t="s">
        <v>81</v>
      </c>
      <c r="Q63" t="s">
        <v>64</v>
      </c>
      <c r="R63" t="s">
        <v>64</v>
      </c>
      <c r="S63" s="80" t="s">
        <v>178</v>
      </c>
      <c r="T63" t="s">
        <v>179</v>
      </c>
      <c r="U63" t="s">
        <v>180</v>
      </c>
      <c r="V63" s="2" t="s">
        <v>181</v>
      </c>
      <c r="W63" s="2" t="s">
        <v>65</v>
      </c>
      <c r="Z63" s="2" t="s">
        <v>141</v>
      </c>
      <c r="AA63" s="2" t="s">
        <v>142</v>
      </c>
      <c r="AB63" s="2" t="s">
        <v>66</v>
      </c>
      <c r="AC63" s="2" t="s">
        <v>67</v>
      </c>
    </row>
    <row r="64" spans="1:29" x14ac:dyDescent="0.25">
      <c r="A64" t="s">
        <v>124</v>
      </c>
      <c r="B64" t="s">
        <v>130</v>
      </c>
      <c r="C64" t="s">
        <v>131</v>
      </c>
      <c r="D64" t="s">
        <v>15</v>
      </c>
      <c r="E64" t="s">
        <v>174</v>
      </c>
      <c r="F64" t="s">
        <v>174</v>
      </c>
      <c r="G64" s="2" t="s">
        <v>131</v>
      </c>
      <c r="H64" t="s">
        <v>64</v>
      </c>
      <c r="I64" s="35" t="s">
        <v>175</v>
      </c>
      <c r="J64" s="2" t="s">
        <v>176</v>
      </c>
      <c r="K64" t="s">
        <v>125</v>
      </c>
      <c r="L64" t="s">
        <v>177</v>
      </c>
      <c r="M64" s="2" t="s">
        <v>78</v>
      </c>
      <c r="N64" t="s">
        <v>126</v>
      </c>
      <c r="O64" t="s">
        <v>108</v>
      </c>
      <c r="P64" s="2" t="s">
        <v>81</v>
      </c>
      <c r="Q64" t="s">
        <v>64</v>
      </c>
      <c r="R64" t="s">
        <v>64</v>
      </c>
      <c r="S64" s="80" t="s">
        <v>178</v>
      </c>
      <c r="T64" t="s">
        <v>179</v>
      </c>
      <c r="U64" t="s">
        <v>180</v>
      </c>
      <c r="V64" s="2" t="s">
        <v>181</v>
      </c>
      <c r="W64" s="2" t="s">
        <v>65</v>
      </c>
      <c r="Z64" s="2" t="s">
        <v>141</v>
      </c>
      <c r="AA64" s="2" t="s">
        <v>142</v>
      </c>
      <c r="AB64" s="2" t="s">
        <v>66</v>
      </c>
      <c r="AC64" s="2" t="s">
        <v>67</v>
      </c>
    </row>
    <row r="65" spans="1:29" x14ac:dyDescent="0.25">
      <c r="A65" t="s">
        <v>124</v>
      </c>
      <c r="B65" t="s">
        <v>130</v>
      </c>
      <c r="C65" t="s">
        <v>131</v>
      </c>
      <c r="D65" t="s">
        <v>15</v>
      </c>
      <c r="E65" t="s">
        <v>174</v>
      </c>
      <c r="F65" t="s">
        <v>174</v>
      </c>
      <c r="G65" s="2" t="s">
        <v>131</v>
      </c>
      <c r="H65" t="s">
        <v>64</v>
      </c>
      <c r="I65" s="35" t="s">
        <v>175</v>
      </c>
      <c r="J65" s="2" t="s">
        <v>176</v>
      </c>
      <c r="K65" t="s">
        <v>125</v>
      </c>
      <c r="L65" t="s">
        <v>177</v>
      </c>
      <c r="M65" s="2" t="s">
        <v>78</v>
      </c>
      <c r="N65" t="s">
        <v>126</v>
      </c>
      <c r="O65" t="s">
        <v>109</v>
      </c>
      <c r="P65" s="2" t="s">
        <v>81</v>
      </c>
      <c r="Q65" t="s">
        <v>64</v>
      </c>
      <c r="R65" t="s">
        <v>64</v>
      </c>
      <c r="S65" s="80" t="s">
        <v>178</v>
      </c>
      <c r="T65" t="s">
        <v>179</v>
      </c>
      <c r="U65" t="s">
        <v>180</v>
      </c>
      <c r="V65" s="2" t="s">
        <v>181</v>
      </c>
      <c r="W65" s="2" t="s">
        <v>65</v>
      </c>
      <c r="Z65" s="2" t="s">
        <v>141</v>
      </c>
      <c r="AA65" s="2" t="s">
        <v>142</v>
      </c>
      <c r="AB65" s="2" t="s">
        <v>66</v>
      </c>
      <c r="AC65" s="2" t="s">
        <v>67</v>
      </c>
    </row>
    <row r="66" spans="1:29" x14ac:dyDescent="0.25">
      <c r="A66" t="s">
        <v>124</v>
      </c>
      <c r="B66" t="s">
        <v>130</v>
      </c>
      <c r="C66" t="s">
        <v>131</v>
      </c>
      <c r="D66" t="s">
        <v>15</v>
      </c>
      <c r="E66" t="s">
        <v>174</v>
      </c>
      <c r="F66" t="s">
        <v>174</v>
      </c>
      <c r="G66" s="2" t="s">
        <v>131</v>
      </c>
      <c r="H66" t="s">
        <v>64</v>
      </c>
      <c r="I66" s="35" t="s">
        <v>175</v>
      </c>
      <c r="J66" s="2" t="s">
        <v>176</v>
      </c>
      <c r="K66" t="s">
        <v>125</v>
      </c>
      <c r="L66" t="s">
        <v>177</v>
      </c>
      <c r="M66" s="2" t="s">
        <v>78</v>
      </c>
      <c r="N66" t="s">
        <v>126</v>
      </c>
      <c r="O66" t="s">
        <v>110</v>
      </c>
      <c r="P66" s="2" t="s">
        <v>15</v>
      </c>
      <c r="Q66" t="s">
        <v>64</v>
      </c>
      <c r="R66" t="s">
        <v>64</v>
      </c>
      <c r="S66" s="80" t="s">
        <v>178</v>
      </c>
      <c r="T66" t="s">
        <v>179</v>
      </c>
      <c r="U66" t="s">
        <v>180</v>
      </c>
      <c r="V66" s="2" t="s">
        <v>181</v>
      </c>
      <c r="W66" s="2" t="s">
        <v>65</v>
      </c>
      <c r="Z66" s="2" t="s">
        <v>141</v>
      </c>
      <c r="AA66" s="2" t="s">
        <v>142</v>
      </c>
      <c r="AB66" s="2" t="s">
        <v>66</v>
      </c>
      <c r="AC66" s="2" t="s">
        <v>67</v>
      </c>
    </row>
    <row r="67" spans="1:29" x14ac:dyDescent="0.25">
      <c r="A67" t="s">
        <v>124</v>
      </c>
      <c r="B67" t="s">
        <v>130</v>
      </c>
      <c r="C67" t="s">
        <v>131</v>
      </c>
      <c r="D67" t="s">
        <v>15</v>
      </c>
      <c r="E67" t="s">
        <v>174</v>
      </c>
      <c r="F67" t="s">
        <v>174</v>
      </c>
      <c r="G67" s="2" t="s">
        <v>131</v>
      </c>
      <c r="H67" t="s">
        <v>64</v>
      </c>
      <c r="I67" s="35" t="s">
        <v>175</v>
      </c>
      <c r="J67" s="2" t="s">
        <v>176</v>
      </c>
      <c r="K67" t="s">
        <v>125</v>
      </c>
      <c r="L67" t="s">
        <v>177</v>
      </c>
      <c r="M67" s="2" t="s">
        <v>78</v>
      </c>
      <c r="N67" t="s">
        <v>126</v>
      </c>
      <c r="O67" t="s">
        <v>111</v>
      </c>
      <c r="P67" s="2" t="s">
        <v>81</v>
      </c>
      <c r="Q67" t="s">
        <v>64</v>
      </c>
      <c r="R67" t="s">
        <v>64</v>
      </c>
      <c r="S67" s="80" t="s">
        <v>178</v>
      </c>
      <c r="T67" t="s">
        <v>179</v>
      </c>
      <c r="U67" t="s">
        <v>180</v>
      </c>
      <c r="V67" s="2" t="s">
        <v>181</v>
      </c>
      <c r="W67" s="2" t="s">
        <v>65</v>
      </c>
      <c r="Z67" s="2" t="s">
        <v>141</v>
      </c>
      <c r="AA67" s="2" t="s">
        <v>142</v>
      </c>
      <c r="AB67" s="2" t="s">
        <v>66</v>
      </c>
      <c r="AC67" s="2" t="s">
        <v>67</v>
      </c>
    </row>
    <row r="68" spans="1:29" x14ac:dyDescent="0.25">
      <c r="A68" t="s">
        <v>124</v>
      </c>
      <c r="B68" t="s">
        <v>130</v>
      </c>
      <c r="C68" t="s">
        <v>131</v>
      </c>
      <c r="D68" t="s">
        <v>15</v>
      </c>
      <c r="E68" t="s">
        <v>174</v>
      </c>
      <c r="F68" t="s">
        <v>174</v>
      </c>
      <c r="G68" s="2" t="s">
        <v>131</v>
      </c>
      <c r="H68" t="s">
        <v>64</v>
      </c>
      <c r="I68" s="35" t="s">
        <v>175</v>
      </c>
      <c r="J68" s="2" t="s">
        <v>176</v>
      </c>
      <c r="K68" t="s">
        <v>125</v>
      </c>
      <c r="L68" t="s">
        <v>177</v>
      </c>
      <c r="M68" s="2" t="s">
        <v>78</v>
      </c>
      <c r="N68" t="s">
        <v>126</v>
      </c>
      <c r="O68" t="s">
        <v>112</v>
      </c>
      <c r="P68" s="2" t="s">
        <v>81</v>
      </c>
      <c r="Q68" t="s">
        <v>64</v>
      </c>
      <c r="R68" t="s">
        <v>64</v>
      </c>
      <c r="S68" s="80" t="s">
        <v>178</v>
      </c>
      <c r="T68" t="s">
        <v>179</v>
      </c>
      <c r="U68" t="s">
        <v>180</v>
      </c>
      <c r="V68" s="2" t="s">
        <v>181</v>
      </c>
      <c r="W68" s="2" t="s">
        <v>65</v>
      </c>
      <c r="Z68" s="2" t="s">
        <v>141</v>
      </c>
      <c r="AA68" s="2" t="s">
        <v>142</v>
      </c>
      <c r="AB68" s="2" t="s">
        <v>66</v>
      </c>
      <c r="AC68" s="2" t="s">
        <v>67</v>
      </c>
    </row>
    <row r="69" spans="1:29" x14ac:dyDescent="0.25">
      <c r="A69" t="s">
        <v>124</v>
      </c>
      <c r="B69" t="s">
        <v>130</v>
      </c>
      <c r="C69" t="s">
        <v>131</v>
      </c>
      <c r="D69" t="s">
        <v>15</v>
      </c>
      <c r="E69" t="s">
        <v>174</v>
      </c>
      <c r="F69" t="s">
        <v>174</v>
      </c>
      <c r="G69" s="2" t="s">
        <v>131</v>
      </c>
      <c r="H69" t="s">
        <v>64</v>
      </c>
      <c r="I69" s="35" t="s">
        <v>175</v>
      </c>
      <c r="J69" s="2" t="s">
        <v>176</v>
      </c>
      <c r="K69" t="s">
        <v>125</v>
      </c>
      <c r="L69" t="s">
        <v>177</v>
      </c>
      <c r="M69" s="2" t="s">
        <v>78</v>
      </c>
      <c r="N69" t="s">
        <v>126</v>
      </c>
      <c r="O69" t="s">
        <v>116</v>
      </c>
      <c r="P69" s="2" t="s">
        <v>20</v>
      </c>
      <c r="Q69" t="s">
        <v>64</v>
      </c>
      <c r="R69" t="s">
        <v>64</v>
      </c>
      <c r="S69" s="80" t="s">
        <v>178</v>
      </c>
      <c r="T69" t="s">
        <v>179</v>
      </c>
      <c r="U69" t="s">
        <v>180</v>
      </c>
      <c r="V69" s="2" t="s">
        <v>181</v>
      </c>
      <c r="W69" s="2" t="s">
        <v>65</v>
      </c>
      <c r="Z69" s="2" t="s">
        <v>141</v>
      </c>
      <c r="AA69" s="2" t="s">
        <v>142</v>
      </c>
      <c r="AB69" s="2" t="s">
        <v>66</v>
      </c>
      <c r="AC69" s="2" t="s">
        <v>67</v>
      </c>
    </row>
    <row r="70" spans="1:29" x14ac:dyDescent="0.25">
      <c r="A70" t="s">
        <v>124</v>
      </c>
      <c r="B70" t="s">
        <v>130</v>
      </c>
      <c r="C70" t="s">
        <v>131</v>
      </c>
      <c r="D70" t="s">
        <v>15</v>
      </c>
      <c r="E70" t="s">
        <v>174</v>
      </c>
      <c r="F70" t="s">
        <v>174</v>
      </c>
      <c r="G70" s="2" t="s">
        <v>131</v>
      </c>
      <c r="H70" t="s">
        <v>64</v>
      </c>
      <c r="I70" s="35" t="s">
        <v>175</v>
      </c>
      <c r="J70" s="2" t="s">
        <v>176</v>
      </c>
      <c r="K70" t="s">
        <v>125</v>
      </c>
      <c r="L70" t="s">
        <v>177</v>
      </c>
      <c r="M70" s="2" t="s">
        <v>78</v>
      </c>
      <c r="N70" t="s">
        <v>126</v>
      </c>
      <c r="O70" t="s">
        <v>117</v>
      </c>
      <c r="P70" s="2" t="s">
        <v>182</v>
      </c>
      <c r="Q70" t="s">
        <v>64</v>
      </c>
      <c r="R70" t="s">
        <v>64</v>
      </c>
      <c r="S70" s="80" t="s">
        <v>178</v>
      </c>
      <c r="T70" t="s">
        <v>179</v>
      </c>
      <c r="U70" t="s">
        <v>180</v>
      </c>
      <c r="V70" s="2" t="s">
        <v>181</v>
      </c>
      <c r="W70" s="2" t="s">
        <v>65</v>
      </c>
      <c r="Z70" s="2" t="s">
        <v>141</v>
      </c>
      <c r="AA70" s="2" t="s">
        <v>142</v>
      </c>
      <c r="AB70" s="2" t="s">
        <v>66</v>
      </c>
      <c r="AC70" s="2" t="s">
        <v>67</v>
      </c>
    </row>
    <row r="71" spans="1:29" x14ac:dyDescent="0.25">
      <c r="A71" t="s">
        <v>124</v>
      </c>
      <c r="B71" t="s">
        <v>130</v>
      </c>
      <c r="C71" t="s">
        <v>131</v>
      </c>
      <c r="D71" t="s">
        <v>15</v>
      </c>
      <c r="E71" t="s">
        <v>174</v>
      </c>
      <c r="F71" t="s">
        <v>174</v>
      </c>
      <c r="G71" s="2" t="s">
        <v>131</v>
      </c>
      <c r="H71" t="s">
        <v>64</v>
      </c>
      <c r="I71" s="35" t="s">
        <v>183</v>
      </c>
      <c r="J71" s="2" t="s">
        <v>184</v>
      </c>
      <c r="K71" t="s">
        <v>64</v>
      </c>
      <c r="L71" t="s">
        <v>177</v>
      </c>
      <c r="M71" s="2" t="s">
        <v>78</v>
      </c>
      <c r="N71" t="s">
        <v>126</v>
      </c>
      <c r="O71" t="s">
        <v>92</v>
      </c>
      <c r="P71" s="2" t="s">
        <v>81</v>
      </c>
      <c r="Q71" t="s">
        <v>64</v>
      </c>
      <c r="R71" t="s">
        <v>64</v>
      </c>
      <c r="S71" s="80" t="s">
        <v>185</v>
      </c>
      <c r="T71" t="s">
        <v>186</v>
      </c>
      <c r="U71" t="s">
        <v>187</v>
      </c>
      <c r="V71" s="2" t="s">
        <v>188</v>
      </c>
      <c r="W71" s="2" t="s">
        <v>65</v>
      </c>
      <c r="Z71" s="2" t="s">
        <v>141</v>
      </c>
      <c r="AA71" s="2" t="s">
        <v>142</v>
      </c>
      <c r="AB71" s="2" t="s">
        <v>66</v>
      </c>
      <c r="AC71" s="2" t="s">
        <v>67</v>
      </c>
    </row>
    <row r="72" spans="1:29" x14ac:dyDescent="0.25">
      <c r="A72" t="s">
        <v>124</v>
      </c>
      <c r="B72" t="s">
        <v>130</v>
      </c>
      <c r="C72" t="s">
        <v>131</v>
      </c>
      <c r="D72" t="s">
        <v>15</v>
      </c>
      <c r="E72" t="s">
        <v>174</v>
      </c>
      <c r="F72" t="s">
        <v>174</v>
      </c>
      <c r="G72" s="2" t="s">
        <v>131</v>
      </c>
      <c r="H72" t="s">
        <v>64</v>
      </c>
      <c r="I72" s="35" t="s">
        <v>183</v>
      </c>
      <c r="J72" s="2" t="s">
        <v>184</v>
      </c>
      <c r="K72" t="s">
        <v>64</v>
      </c>
      <c r="L72" t="s">
        <v>177</v>
      </c>
      <c r="M72" s="2" t="s">
        <v>78</v>
      </c>
      <c r="N72" t="s">
        <v>126</v>
      </c>
      <c r="O72" t="s">
        <v>93</v>
      </c>
      <c r="P72" s="2" t="s">
        <v>81</v>
      </c>
      <c r="Q72" t="s">
        <v>64</v>
      </c>
      <c r="R72" t="s">
        <v>64</v>
      </c>
      <c r="S72" s="80" t="s">
        <v>185</v>
      </c>
      <c r="T72" t="s">
        <v>186</v>
      </c>
      <c r="U72" t="s">
        <v>187</v>
      </c>
      <c r="V72" s="2" t="s">
        <v>188</v>
      </c>
      <c r="W72" s="2" t="s">
        <v>65</v>
      </c>
      <c r="Z72" s="2" t="s">
        <v>141</v>
      </c>
      <c r="AA72" s="2" t="s">
        <v>142</v>
      </c>
      <c r="AB72" s="2" t="s">
        <v>66</v>
      </c>
      <c r="AC72" s="2" t="s">
        <v>67</v>
      </c>
    </row>
    <row r="73" spans="1:29" x14ac:dyDescent="0.25">
      <c r="A73" t="s">
        <v>124</v>
      </c>
      <c r="B73" t="s">
        <v>130</v>
      </c>
      <c r="C73" t="s">
        <v>131</v>
      </c>
      <c r="D73" t="s">
        <v>15</v>
      </c>
      <c r="E73" t="s">
        <v>174</v>
      </c>
      <c r="F73" t="s">
        <v>174</v>
      </c>
      <c r="G73" s="2" t="s">
        <v>131</v>
      </c>
      <c r="H73" t="s">
        <v>64</v>
      </c>
      <c r="I73" s="35" t="s">
        <v>183</v>
      </c>
      <c r="J73" s="2" t="s">
        <v>184</v>
      </c>
      <c r="K73" t="s">
        <v>64</v>
      </c>
      <c r="L73" t="s">
        <v>177</v>
      </c>
      <c r="M73" s="2" t="s">
        <v>78</v>
      </c>
      <c r="N73" t="s">
        <v>126</v>
      </c>
      <c r="O73" t="s">
        <v>94</v>
      </c>
      <c r="P73" s="2" t="s">
        <v>81</v>
      </c>
      <c r="Q73" t="s">
        <v>64</v>
      </c>
      <c r="R73" t="s">
        <v>64</v>
      </c>
      <c r="S73" s="80" t="s">
        <v>185</v>
      </c>
      <c r="T73" t="s">
        <v>186</v>
      </c>
      <c r="U73" t="s">
        <v>187</v>
      </c>
      <c r="V73" s="2" t="s">
        <v>188</v>
      </c>
      <c r="W73" s="2" t="s">
        <v>65</v>
      </c>
      <c r="Z73" s="2" t="s">
        <v>141</v>
      </c>
      <c r="AA73" s="2" t="s">
        <v>142</v>
      </c>
      <c r="AB73" s="2" t="s">
        <v>66</v>
      </c>
      <c r="AC73" s="2" t="s">
        <v>67</v>
      </c>
    </row>
    <row r="74" spans="1:29" x14ac:dyDescent="0.25">
      <c r="A74" t="s">
        <v>124</v>
      </c>
      <c r="B74" t="s">
        <v>130</v>
      </c>
      <c r="C74" t="s">
        <v>131</v>
      </c>
      <c r="D74" t="s">
        <v>15</v>
      </c>
      <c r="E74" t="s">
        <v>174</v>
      </c>
      <c r="F74" t="s">
        <v>174</v>
      </c>
      <c r="G74" s="2" t="s">
        <v>131</v>
      </c>
      <c r="H74" t="s">
        <v>64</v>
      </c>
      <c r="I74" s="35" t="s">
        <v>183</v>
      </c>
      <c r="J74" s="2" t="s">
        <v>184</v>
      </c>
      <c r="K74" t="s">
        <v>64</v>
      </c>
      <c r="L74" t="s">
        <v>177</v>
      </c>
      <c r="M74" s="2" t="s">
        <v>78</v>
      </c>
      <c r="N74" t="s">
        <v>126</v>
      </c>
      <c r="O74" t="s">
        <v>95</v>
      </c>
      <c r="P74" s="2" t="s">
        <v>81</v>
      </c>
      <c r="Q74" t="s">
        <v>64</v>
      </c>
      <c r="R74" t="s">
        <v>64</v>
      </c>
      <c r="S74" s="80" t="s">
        <v>185</v>
      </c>
      <c r="T74" t="s">
        <v>186</v>
      </c>
      <c r="U74" t="s">
        <v>187</v>
      </c>
      <c r="V74" s="2" t="s">
        <v>188</v>
      </c>
      <c r="W74" s="2" t="s">
        <v>65</v>
      </c>
      <c r="Z74" s="2" t="s">
        <v>141</v>
      </c>
      <c r="AA74" s="2" t="s">
        <v>142</v>
      </c>
      <c r="AB74" s="2" t="s">
        <v>66</v>
      </c>
      <c r="AC74" s="2" t="s">
        <v>67</v>
      </c>
    </row>
    <row r="75" spans="1:29" x14ac:dyDescent="0.25">
      <c r="A75" t="s">
        <v>124</v>
      </c>
      <c r="B75" t="s">
        <v>130</v>
      </c>
      <c r="C75" t="s">
        <v>131</v>
      </c>
      <c r="D75" t="s">
        <v>15</v>
      </c>
      <c r="E75" t="s">
        <v>174</v>
      </c>
      <c r="F75" t="s">
        <v>174</v>
      </c>
      <c r="G75" s="2" t="s">
        <v>131</v>
      </c>
      <c r="H75" t="s">
        <v>64</v>
      </c>
      <c r="I75" s="35" t="s">
        <v>183</v>
      </c>
      <c r="J75" s="2" t="s">
        <v>184</v>
      </c>
      <c r="K75" t="s">
        <v>64</v>
      </c>
      <c r="L75" t="s">
        <v>177</v>
      </c>
      <c r="M75" s="2" t="s">
        <v>78</v>
      </c>
      <c r="N75" t="s">
        <v>126</v>
      </c>
      <c r="O75" t="s">
        <v>35</v>
      </c>
      <c r="P75" s="2" t="s">
        <v>81</v>
      </c>
      <c r="Q75" t="s">
        <v>64</v>
      </c>
      <c r="R75" t="s">
        <v>64</v>
      </c>
      <c r="S75" s="80" t="s">
        <v>185</v>
      </c>
      <c r="T75" t="s">
        <v>186</v>
      </c>
      <c r="U75" t="s">
        <v>187</v>
      </c>
      <c r="V75" s="2" t="s">
        <v>188</v>
      </c>
      <c r="W75" s="2" t="s">
        <v>65</v>
      </c>
      <c r="Z75" s="2" t="s">
        <v>141</v>
      </c>
      <c r="AA75" s="2" t="s">
        <v>142</v>
      </c>
      <c r="AB75" s="2" t="s">
        <v>66</v>
      </c>
      <c r="AC75" s="2" t="s">
        <v>67</v>
      </c>
    </row>
    <row r="76" spans="1:29" x14ac:dyDescent="0.25">
      <c r="A76" t="s">
        <v>124</v>
      </c>
      <c r="B76" t="s">
        <v>130</v>
      </c>
      <c r="C76" t="s">
        <v>131</v>
      </c>
      <c r="D76" t="s">
        <v>15</v>
      </c>
      <c r="E76" t="s">
        <v>174</v>
      </c>
      <c r="F76" t="s">
        <v>174</v>
      </c>
      <c r="G76" s="2" t="s">
        <v>131</v>
      </c>
      <c r="H76" t="s">
        <v>64</v>
      </c>
      <c r="I76" s="35" t="s">
        <v>183</v>
      </c>
      <c r="J76" s="2" t="s">
        <v>184</v>
      </c>
      <c r="K76" t="s">
        <v>64</v>
      </c>
      <c r="L76" t="s">
        <v>177</v>
      </c>
      <c r="M76" s="2" t="s">
        <v>78</v>
      </c>
      <c r="N76" t="s">
        <v>126</v>
      </c>
      <c r="O76" t="s">
        <v>96</v>
      </c>
      <c r="P76" s="2" t="s">
        <v>81</v>
      </c>
      <c r="Q76" t="s">
        <v>64</v>
      </c>
      <c r="R76" t="s">
        <v>64</v>
      </c>
      <c r="S76" s="80" t="s">
        <v>185</v>
      </c>
      <c r="T76" t="s">
        <v>186</v>
      </c>
      <c r="U76" t="s">
        <v>187</v>
      </c>
      <c r="V76" s="2" t="s">
        <v>188</v>
      </c>
      <c r="W76" s="2" t="s">
        <v>65</v>
      </c>
      <c r="Z76" s="2" t="s">
        <v>141</v>
      </c>
      <c r="AA76" s="2" t="s">
        <v>142</v>
      </c>
      <c r="AB76" s="2" t="s">
        <v>66</v>
      </c>
      <c r="AC76" s="2" t="s">
        <v>67</v>
      </c>
    </row>
    <row r="77" spans="1:29" x14ac:dyDescent="0.25">
      <c r="A77" t="s">
        <v>124</v>
      </c>
      <c r="B77" t="s">
        <v>130</v>
      </c>
      <c r="C77" t="s">
        <v>131</v>
      </c>
      <c r="D77" t="s">
        <v>15</v>
      </c>
      <c r="E77" t="s">
        <v>174</v>
      </c>
      <c r="F77" t="s">
        <v>174</v>
      </c>
      <c r="G77" s="2" t="s">
        <v>131</v>
      </c>
      <c r="H77" t="s">
        <v>64</v>
      </c>
      <c r="I77" s="35" t="s">
        <v>183</v>
      </c>
      <c r="J77" s="2" t="s">
        <v>184</v>
      </c>
      <c r="K77" t="s">
        <v>64</v>
      </c>
      <c r="L77" t="s">
        <v>177</v>
      </c>
      <c r="M77" s="2" t="s">
        <v>78</v>
      </c>
      <c r="N77" t="s">
        <v>126</v>
      </c>
      <c r="O77" t="s">
        <v>97</v>
      </c>
      <c r="P77" s="2" t="s">
        <v>81</v>
      </c>
      <c r="Q77" t="s">
        <v>64</v>
      </c>
      <c r="R77" t="s">
        <v>64</v>
      </c>
      <c r="S77" s="80" t="s">
        <v>185</v>
      </c>
      <c r="T77" t="s">
        <v>186</v>
      </c>
      <c r="U77" t="s">
        <v>187</v>
      </c>
      <c r="V77" s="2" t="s">
        <v>188</v>
      </c>
      <c r="W77" s="2" t="s">
        <v>65</v>
      </c>
      <c r="Z77" s="2" t="s">
        <v>141</v>
      </c>
      <c r="AA77" s="2" t="s">
        <v>142</v>
      </c>
      <c r="AB77" s="2" t="s">
        <v>66</v>
      </c>
      <c r="AC77" s="2" t="s">
        <v>67</v>
      </c>
    </row>
    <row r="78" spans="1:29" x14ac:dyDescent="0.25">
      <c r="A78" t="s">
        <v>124</v>
      </c>
      <c r="B78" t="s">
        <v>130</v>
      </c>
      <c r="C78" t="s">
        <v>131</v>
      </c>
      <c r="D78" t="s">
        <v>15</v>
      </c>
      <c r="E78" t="s">
        <v>174</v>
      </c>
      <c r="F78" t="s">
        <v>174</v>
      </c>
      <c r="G78" s="2" t="s">
        <v>131</v>
      </c>
      <c r="H78" t="s">
        <v>64</v>
      </c>
      <c r="I78" s="35" t="s">
        <v>183</v>
      </c>
      <c r="J78" s="2" t="s">
        <v>184</v>
      </c>
      <c r="K78" t="s">
        <v>64</v>
      </c>
      <c r="L78" t="s">
        <v>177</v>
      </c>
      <c r="M78" s="2" t="s">
        <v>78</v>
      </c>
      <c r="N78" t="s">
        <v>126</v>
      </c>
      <c r="O78" t="s">
        <v>98</v>
      </c>
      <c r="P78" s="2" t="s">
        <v>81</v>
      </c>
      <c r="Q78" t="s">
        <v>64</v>
      </c>
      <c r="R78" t="s">
        <v>64</v>
      </c>
      <c r="S78" s="80" t="s">
        <v>185</v>
      </c>
      <c r="T78" t="s">
        <v>186</v>
      </c>
      <c r="U78" t="s">
        <v>187</v>
      </c>
      <c r="V78" s="2" t="s">
        <v>188</v>
      </c>
      <c r="W78" s="2" t="s">
        <v>65</v>
      </c>
      <c r="Z78" s="2" t="s">
        <v>141</v>
      </c>
      <c r="AA78" s="2" t="s">
        <v>142</v>
      </c>
      <c r="AB78" s="2" t="s">
        <v>66</v>
      </c>
      <c r="AC78" s="2" t="s">
        <v>67</v>
      </c>
    </row>
    <row r="79" spans="1:29" x14ac:dyDescent="0.25">
      <c r="A79" t="s">
        <v>124</v>
      </c>
      <c r="B79" t="s">
        <v>130</v>
      </c>
      <c r="C79" t="s">
        <v>131</v>
      </c>
      <c r="D79" t="s">
        <v>15</v>
      </c>
      <c r="E79" t="s">
        <v>174</v>
      </c>
      <c r="F79" t="s">
        <v>174</v>
      </c>
      <c r="G79" s="2" t="s">
        <v>131</v>
      </c>
      <c r="H79" t="s">
        <v>64</v>
      </c>
      <c r="I79" s="35" t="s">
        <v>183</v>
      </c>
      <c r="J79" s="2" t="s">
        <v>184</v>
      </c>
      <c r="K79" t="s">
        <v>64</v>
      </c>
      <c r="L79" t="s">
        <v>177</v>
      </c>
      <c r="M79" s="2" t="s">
        <v>78</v>
      </c>
      <c r="N79" t="s">
        <v>126</v>
      </c>
      <c r="O79" t="s">
        <v>99</v>
      </c>
      <c r="P79" s="2" t="s">
        <v>81</v>
      </c>
      <c r="Q79" t="s">
        <v>64</v>
      </c>
      <c r="R79" t="s">
        <v>64</v>
      </c>
      <c r="S79" s="80" t="s">
        <v>185</v>
      </c>
      <c r="T79" t="s">
        <v>186</v>
      </c>
      <c r="U79" t="s">
        <v>187</v>
      </c>
      <c r="V79" s="2" t="s">
        <v>188</v>
      </c>
      <c r="W79" s="2" t="s">
        <v>65</v>
      </c>
      <c r="Z79" s="2" t="s">
        <v>141</v>
      </c>
      <c r="AA79" s="2" t="s">
        <v>142</v>
      </c>
      <c r="AB79" s="2" t="s">
        <v>66</v>
      </c>
      <c r="AC79" s="2" t="s">
        <v>67</v>
      </c>
    </row>
    <row r="80" spans="1:29" x14ac:dyDescent="0.25">
      <c r="A80" t="s">
        <v>124</v>
      </c>
      <c r="B80" t="s">
        <v>130</v>
      </c>
      <c r="C80" t="s">
        <v>131</v>
      </c>
      <c r="D80" t="s">
        <v>15</v>
      </c>
      <c r="E80" t="s">
        <v>174</v>
      </c>
      <c r="F80" t="s">
        <v>174</v>
      </c>
      <c r="G80" s="2" t="s">
        <v>131</v>
      </c>
      <c r="H80" t="s">
        <v>64</v>
      </c>
      <c r="I80" s="35" t="s">
        <v>183</v>
      </c>
      <c r="J80" s="2" t="s">
        <v>184</v>
      </c>
      <c r="K80" t="s">
        <v>64</v>
      </c>
      <c r="L80" t="s">
        <v>177</v>
      </c>
      <c r="M80" s="2" t="s">
        <v>78</v>
      </c>
      <c r="N80" t="s">
        <v>126</v>
      </c>
      <c r="O80" t="s">
        <v>100</v>
      </c>
      <c r="P80" s="2" t="s">
        <v>81</v>
      </c>
      <c r="Q80" t="s">
        <v>64</v>
      </c>
      <c r="R80" t="s">
        <v>64</v>
      </c>
      <c r="S80" s="80" t="s">
        <v>185</v>
      </c>
      <c r="T80" t="s">
        <v>186</v>
      </c>
      <c r="U80" t="s">
        <v>187</v>
      </c>
      <c r="V80" s="2" t="s">
        <v>188</v>
      </c>
      <c r="W80" s="2" t="s">
        <v>65</v>
      </c>
      <c r="Z80" s="2" t="s">
        <v>141</v>
      </c>
      <c r="AA80" s="2" t="s">
        <v>142</v>
      </c>
      <c r="AB80" s="2" t="s">
        <v>66</v>
      </c>
      <c r="AC80" s="2" t="s">
        <v>67</v>
      </c>
    </row>
    <row r="81" spans="1:29" x14ac:dyDescent="0.25">
      <c r="A81" t="s">
        <v>124</v>
      </c>
      <c r="B81" t="s">
        <v>130</v>
      </c>
      <c r="C81" t="s">
        <v>131</v>
      </c>
      <c r="D81" t="s">
        <v>15</v>
      </c>
      <c r="E81" t="s">
        <v>174</v>
      </c>
      <c r="F81" t="s">
        <v>174</v>
      </c>
      <c r="G81" s="2" t="s">
        <v>131</v>
      </c>
      <c r="H81" t="s">
        <v>64</v>
      </c>
      <c r="I81" s="35" t="s">
        <v>183</v>
      </c>
      <c r="J81" s="2" t="s">
        <v>184</v>
      </c>
      <c r="K81" t="s">
        <v>64</v>
      </c>
      <c r="L81" t="s">
        <v>177</v>
      </c>
      <c r="M81" s="2" t="s">
        <v>78</v>
      </c>
      <c r="N81" t="s">
        <v>126</v>
      </c>
      <c r="O81" t="s">
        <v>101</v>
      </c>
      <c r="P81" s="2" t="s">
        <v>81</v>
      </c>
      <c r="Q81" t="s">
        <v>64</v>
      </c>
      <c r="R81" t="s">
        <v>64</v>
      </c>
      <c r="S81" s="80" t="s">
        <v>185</v>
      </c>
      <c r="T81" t="s">
        <v>186</v>
      </c>
      <c r="U81" t="s">
        <v>187</v>
      </c>
      <c r="V81" s="2" t="s">
        <v>188</v>
      </c>
      <c r="W81" s="2" t="s">
        <v>65</v>
      </c>
      <c r="Z81" s="2" t="s">
        <v>141</v>
      </c>
      <c r="AA81" s="2" t="s">
        <v>142</v>
      </c>
      <c r="AB81" s="2" t="s">
        <v>66</v>
      </c>
      <c r="AC81" s="2" t="s">
        <v>67</v>
      </c>
    </row>
    <row r="82" spans="1:29" x14ac:dyDescent="0.25">
      <c r="A82" t="s">
        <v>124</v>
      </c>
      <c r="B82" t="s">
        <v>130</v>
      </c>
      <c r="C82" t="s">
        <v>131</v>
      </c>
      <c r="D82" t="s">
        <v>15</v>
      </c>
      <c r="E82" t="s">
        <v>174</v>
      </c>
      <c r="F82" t="s">
        <v>174</v>
      </c>
      <c r="G82" s="2" t="s">
        <v>131</v>
      </c>
      <c r="H82" t="s">
        <v>64</v>
      </c>
      <c r="I82" s="35" t="s">
        <v>183</v>
      </c>
      <c r="J82" s="2" t="s">
        <v>184</v>
      </c>
      <c r="K82" t="s">
        <v>64</v>
      </c>
      <c r="L82" t="s">
        <v>177</v>
      </c>
      <c r="M82" s="2" t="s">
        <v>78</v>
      </c>
      <c r="N82" t="s">
        <v>126</v>
      </c>
      <c r="O82" t="s">
        <v>102</v>
      </c>
      <c r="P82" s="2" t="s">
        <v>81</v>
      </c>
      <c r="Q82" t="s">
        <v>64</v>
      </c>
      <c r="R82" t="s">
        <v>64</v>
      </c>
      <c r="S82" s="80" t="s">
        <v>185</v>
      </c>
      <c r="T82" t="s">
        <v>186</v>
      </c>
      <c r="U82" t="s">
        <v>187</v>
      </c>
      <c r="V82" s="2" t="s">
        <v>188</v>
      </c>
      <c r="W82" s="2" t="s">
        <v>65</v>
      </c>
      <c r="Z82" s="2" t="s">
        <v>141</v>
      </c>
      <c r="AA82" s="2" t="s">
        <v>142</v>
      </c>
      <c r="AB82" s="2" t="s">
        <v>66</v>
      </c>
      <c r="AC82" s="2" t="s">
        <v>67</v>
      </c>
    </row>
    <row r="83" spans="1:29" x14ac:dyDescent="0.25">
      <c r="A83" t="s">
        <v>124</v>
      </c>
      <c r="B83" t="s">
        <v>130</v>
      </c>
      <c r="C83" t="s">
        <v>131</v>
      </c>
      <c r="D83" t="s">
        <v>15</v>
      </c>
      <c r="E83" t="s">
        <v>174</v>
      </c>
      <c r="F83" t="s">
        <v>174</v>
      </c>
      <c r="G83" s="2" t="s">
        <v>131</v>
      </c>
      <c r="H83" t="s">
        <v>64</v>
      </c>
      <c r="I83" s="35" t="s">
        <v>183</v>
      </c>
      <c r="J83" s="2" t="s">
        <v>184</v>
      </c>
      <c r="K83" t="s">
        <v>64</v>
      </c>
      <c r="L83" t="s">
        <v>177</v>
      </c>
      <c r="M83" s="2" t="s">
        <v>78</v>
      </c>
      <c r="N83" t="s">
        <v>126</v>
      </c>
      <c r="O83" t="s">
        <v>103</v>
      </c>
      <c r="P83" s="2" t="s">
        <v>81</v>
      </c>
      <c r="Q83" t="s">
        <v>64</v>
      </c>
      <c r="R83" t="s">
        <v>64</v>
      </c>
      <c r="S83" s="80" t="s">
        <v>185</v>
      </c>
      <c r="T83" t="s">
        <v>186</v>
      </c>
      <c r="U83" t="s">
        <v>187</v>
      </c>
      <c r="V83" s="2" t="s">
        <v>188</v>
      </c>
      <c r="W83" s="2" t="s">
        <v>65</v>
      </c>
      <c r="Z83" s="2" t="s">
        <v>141</v>
      </c>
      <c r="AA83" s="2" t="s">
        <v>142</v>
      </c>
      <c r="AB83" s="2" t="s">
        <v>66</v>
      </c>
      <c r="AC83" s="2" t="s">
        <v>67</v>
      </c>
    </row>
    <row r="84" spans="1:29" x14ac:dyDescent="0.25">
      <c r="A84" t="s">
        <v>124</v>
      </c>
      <c r="B84" t="s">
        <v>130</v>
      </c>
      <c r="C84" t="s">
        <v>131</v>
      </c>
      <c r="D84" t="s">
        <v>15</v>
      </c>
      <c r="E84" t="s">
        <v>174</v>
      </c>
      <c r="F84" t="s">
        <v>174</v>
      </c>
      <c r="G84" s="2" t="s">
        <v>131</v>
      </c>
      <c r="H84" t="s">
        <v>64</v>
      </c>
      <c r="I84" s="35" t="s">
        <v>183</v>
      </c>
      <c r="J84" s="2" t="s">
        <v>184</v>
      </c>
      <c r="K84" t="s">
        <v>64</v>
      </c>
      <c r="L84" t="s">
        <v>177</v>
      </c>
      <c r="M84" s="2" t="s">
        <v>78</v>
      </c>
      <c r="N84" t="s">
        <v>126</v>
      </c>
      <c r="O84" t="s">
        <v>104</v>
      </c>
      <c r="P84" s="2" t="s">
        <v>81</v>
      </c>
      <c r="Q84" t="s">
        <v>64</v>
      </c>
      <c r="R84" t="s">
        <v>64</v>
      </c>
      <c r="S84" s="80" t="s">
        <v>185</v>
      </c>
      <c r="T84" t="s">
        <v>186</v>
      </c>
      <c r="U84" t="s">
        <v>187</v>
      </c>
      <c r="V84" s="2" t="s">
        <v>188</v>
      </c>
      <c r="W84" s="2" t="s">
        <v>65</v>
      </c>
      <c r="Z84" s="2" t="s">
        <v>141</v>
      </c>
      <c r="AA84" s="2" t="s">
        <v>142</v>
      </c>
      <c r="AB84" s="2" t="s">
        <v>66</v>
      </c>
      <c r="AC84" s="2" t="s">
        <v>67</v>
      </c>
    </row>
    <row r="85" spans="1:29" x14ac:dyDescent="0.25">
      <c r="A85" t="s">
        <v>124</v>
      </c>
      <c r="B85" t="s">
        <v>130</v>
      </c>
      <c r="C85" t="s">
        <v>131</v>
      </c>
      <c r="D85" t="s">
        <v>15</v>
      </c>
      <c r="E85" t="s">
        <v>174</v>
      </c>
      <c r="F85" t="s">
        <v>174</v>
      </c>
      <c r="G85" s="2" t="s">
        <v>131</v>
      </c>
      <c r="H85" t="s">
        <v>64</v>
      </c>
      <c r="I85" s="35" t="s">
        <v>183</v>
      </c>
      <c r="J85" s="2" t="s">
        <v>184</v>
      </c>
      <c r="K85" t="s">
        <v>64</v>
      </c>
      <c r="L85" t="s">
        <v>177</v>
      </c>
      <c r="M85" s="2" t="s">
        <v>78</v>
      </c>
      <c r="N85" t="s">
        <v>126</v>
      </c>
      <c r="O85" t="s">
        <v>105</v>
      </c>
      <c r="P85" s="2" t="s">
        <v>81</v>
      </c>
      <c r="Q85" t="s">
        <v>64</v>
      </c>
      <c r="R85" t="s">
        <v>64</v>
      </c>
      <c r="S85" s="80" t="s">
        <v>185</v>
      </c>
      <c r="T85" t="s">
        <v>186</v>
      </c>
      <c r="U85" t="s">
        <v>187</v>
      </c>
      <c r="V85" s="2" t="s">
        <v>188</v>
      </c>
      <c r="W85" s="2" t="s">
        <v>65</v>
      </c>
      <c r="Z85" s="2" t="s">
        <v>141</v>
      </c>
      <c r="AA85" s="2" t="s">
        <v>142</v>
      </c>
      <c r="AB85" s="2" t="s">
        <v>66</v>
      </c>
      <c r="AC85" s="2" t="s">
        <v>67</v>
      </c>
    </row>
    <row r="86" spans="1:29" x14ac:dyDescent="0.25">
      <c r="A86" t="s">
        <v>124</v>
      </c>
      <c r="B86" t="s">
        <v>130</v>
      </c>
      <c r="C86" t="s">
        <v>131</v>
      </c>
      <c r="D86" t="s">
        <v>15</v>
      </c>
      <c r="E86" t="s">
        <v>174</v>
      </c>
      <c r="F86" t="s">
        <v>174</v>
      </c>
      <c r="G86" s="2" t="s">
        <v>131</v>
      </c>
      <c r="H86" t="s">
        <v>64</v>
      </c>
      <c r="I86" s="35" t="s">
        <v>183</v>
      </c>
      <c r="J86" s="2" t="s">
        <v>184</v>
      </c>
      <c r="K86" t="s">
        <v>64</v>
      </c>
      <c r="L86" t="s">
        <v>177</v>
      </c>
      <c r="M86" s="2" t="s">
        <v>78</v>
      </c>
      <c r="N86" t="s">
        <v>126</v>
      </c>
      <c r="O86" t="s">
        <v>106</v>
      </c>
      <c r="P86" s="2" t="s">
        <v>81</v>
      </c>
      <c r="Q86" t="s">
        <v>64</v>
      </c>
      <c r="R86" t="s">
        <v>64</v>
      </c>
      <c r="S86" s="80" t="s">
        <v>185</v>
      </c>
      <c r="T86" t="s">
        <v>186</v>
      </c>
      <c r="U86" t="s">
        <v>187</v>
      </c>
      <c r="V86" s="2" t="s">
        <v>188</v>
      </c>
      <c r="W86" s="2" t="s">
        <v>65</v>
      </c>
      <c r="Z86" s="2" t="s">
        <v>141</v>
      </c>
      <c r="AA86" s="2" t="s">
        <v>142</v>
      </c>
      <c r="AB86" s="2" t="s">
        <v>66</v>
      </c>
      <c r="AC86" s="2" t="s">
        <v>67</v>
      </c>
    </row>
    <row r="87" spans="1:29" x14ac:dyDescent="0.25">
      <c r="A87" t="s">
        <v>124</v>
      </c>
      <c r="B87" t="s">
        <v>130</v>
      </c>
      <c r="C87" t="s">
        <v>131</v>
      </c>
      <c r="D87" t="s">
        <v>15</v>
      </c>
      <c r="E87" t="s">
        <v>174</v>
      </c>
      <c r="F87" t="s">
        <v>174</v>
      </c>
      <c r="G87" s="2" t="s">
        <v>131</v>
      </c>
      <c r="H87" t="s">
        <v>64</v>
      </c>
      <c r="I87" s="35" t="s">
        <v>183</v>
      </c>
      <c r="J87" s="2" t="s">
        <v>184</v>
      </c>
      <c r="K87" t="s">
        <v>64</v>
      </c>
      <c r="L87" t="s">
        <v>177</v>
      </c>
      <c r="M87" s="2" t="s">
        <v>78</v>
      </c>
      <c r="N87" t="s">
        <v>126</v>
      </c>
      <c r="O87" t="s">
        <v>107</v>
      </c>
      <c r="P87" s="2" t="s">
        <v>81</v>
      </c>
      <c r="Q87" t="s">
        <v>64</v>
      </c>
      <c r="R87" t="s">
        <v>64</v>
      </c>
      <c r="S87" s="80" t="s">
        <v>185</v>
      </c>
      <c r="T87" t="s">
        <v>186</v>
      </c>
      <c r="U87" t="s">
        <v>187</v>
      </c>
      <c r="V87" s="2" t="s">
        <v>188</v>
      </c>
      <c r="W87" s="2" t="s">
        <v>65</v>
      </c>
      <c r="Z87" s="2" t="s">
        <v>141</v>
      </c>
      <c r="AA87" s="2" t="s">
        <v>142</v>
      </c>
      <c r="AB87" s="2" t="s">
        <v>66</v>
      </c>
      <c r="AC87" s="2" t="s">
        <v>67</v>
      </c>
    </row>
    <row r="88" spans="1:29" x14ac:dyDescent="0.25">
      <c r="A88" t="s">
        <v>124</v>
      </c>
      <c r="B88" t="s">
        <v>130</v>
      </c>
      <c r="C88" t="s">
        <v>131</v>
      </c>
      <c r="D88" t="s">
        <v>15</v>
      </c>
      <c r="E88" t="s">
        <v>174</v>
      </c>
      <c r="F88" t="s">
        <v>174</v>
      </c>
      <c r="G88" s="2" t="s">
        <v>131</v>
      </c>
      <c r="H88" t="s">
        <v>64</v>
      </c>
      <c r="I88" s="35" t="s">
        <v>183</v>
      </c>
      <c r="J88" s="2" t="s">
        <v>184</v>
      </c>
      <c r="K88" t="s">
        <v>64</v>
      </c>
      <c r="L88" t="s">
        <v>177</v>
      </c>
      <c r="M88" s="2" t="s">
        <v>78</v>
      </c>
      <c r="N88" t="s">
        <v>126</v>
      </c>
      <c r="O88" t="s">
        <v>108</v>
      </c>
      <c r="P88" s="2" t="s">
        <v>81</v>
      </c>
      <c r="Q88" t="s">
        <v>64</v>
      </c>
      <c r="R88" t="s">
        <v>64</v>
      </c>
      <c r="S88" s="80" t="s">
        <v>185</v>
      </c>
      <c r="T88" t="s">
        <v>186</v>
      </c>
      <c r="U88" t="s">
        <v>187</v>
      </c>
      <c r="V88" s="2" t="s">
        <v>188</v>
      </c>
      <c r="W88" s="2" t="s">
        <v>65</v>
      </c>
      <c r="Z88" s="2" t="s">
        <v>141</v>
      </c>
      <c r="AA88" s="2" t="s">
        <v>142</v>
      </c>
      <c r="AB88" s="2" t="s">
        <v>66</v>
      </c>
      <c r="AC88" s="2" t="s">
        <v>67</v>
      </c>
    </row>
    <row r="89" spans="1:29" x14ac:dyDescent="0.25">
      <c r="A89" t="s">
        <v>124</v>
      </c>
      <c r="B89" t="s">
        <v>130</v>
      </c>
      <c r="C89" t="s">
        <v>131</v>
      </c>
      <c r="D89" t="s">
        <v>15</v>
      </c>
      <c r="E89" t="s">
        <v>174</v>
      </c>
      <c r="F89" t="s">
        <v>174</v>
      </c>
      <c r="G89" s="2" t="s">
        <v>131</v>
      </c>
      <c r="H89" t="s">
        <v>64</v>
      </c>
      <c r="I89" s="35" t="s">
        <v>183</v>
      </c>
      <c r="J89" s="2" t="s">
        <v>184</v>
      </c>
      <c r="K89" t="s">
        <v>64</v>
      </c>
      <c r="L89" t="s">
        <v>177</v>
      </c>
      <c r="M89" s="2" t="s">
        <v>78</v>
      </c>
      <c r="N89" t="s">
        <v>126</v>
      </c>
      <c r="O89" t="s">
        <v>109</v>
      </c>
      <c r="P89" s="2" t="s">
        <v>81</v>
      </c>
      <c r="Q89" t="s">
        <v>64</v>
      </c>
      <c r="R89" t="s">
        <v>64</v>
      </c>
      <c r="S89" s="80" t="s">
        <v>185</v>
      </c>
      <c r="T89" t="s">
        <v>186</v>
      </c>
      <c r="U89" t="s">
        <v>187</v>
      </c>
      <c r="V89" s="2" t="s">
        <v>188</v>
      </c>
      <c r="W89" s="2" t="s">
        <v>65</v>
      </c>
      <c r="Z89" s="2" t="s">
        <v>141</v>
      </c>
      <c r="AA89" s="2" t="s">
        <v>142</v>
      </c>
      <c r="AB89" s="2" t="s">
        <v>66</v>
      </c>
      <c r="AC89" s="2" t="s">
        <v>67</v>
      </c>
    </row>
    <row r="90" spans="1:29" x14ac:dyDescent="0.25">
      <c r="A90" t="s">
        <v>124</v>
      </c>
      <c r="B90" t="s">
        <v>130</v>
      </c>
      <c r="C90" t="s">
        <v>131</v>
      </c>
      <c r="D90" t="s">
        <v>15</v>
      </c>
      <c r="E90" t="s">
        <v>174</v>
      </c>
      <c r="F90" t="s">
        <v>174</v>
      </c>
      <c r="G90" s="2" t="s">
        <v>131</v>
      </c>
      <c r="H90" t="s">
        <v>64</v>
      </c>
      <c r="I90" s="35" t="s">
        <v>183</v>
      </c>
      <c r="J90" s="2" t="s">
        <v>184</v>
      </c>
      <c r="K90" t="s">
        <v>64</v>
      </c>
      <c r="L90" t="s">
        <v>177</v>
      </c>
      <c r="M90" s="2" t="s">
        <v>78</v>
      </c>
      <c r="N90" t="s">
        <v>126</v>
      </c>
      <c r="O90" t="s">
        <v>110</v>
      </c>
      <c r="P90" s="2" t="s">
        <v>15</v>
      </c>
      <c r="Q90" t="s">
        <v>64</v>
      </c>
      <c r="R90" t="s">
        <v>64</v>
      </c>
      <c r="S90" s="80" t="s">
        <v>185</v>
      </c>
      <c r="T90" t="s">
        <v>186</v>
      </c>
      <c r="U90" t="s">
        <v>187</v>
      </c>
      <c r="V90" s="2" t="s">
        <v>188</v>
      </c>
      <c r="W90" s="2" t="s">
        <v>65</v>
      </c>
      <c r="Z90" s="2" t="s">
        <v>141</v>
      </c>
      <c r="AA90" s="2" t="s">
        <v>142</v>
      </c>
      <c r="AB90" s="2" t="s">
        <v>66</v>
      </c>
      <c r="AC90" s="2" t="s">
        <v>67</v>
      </c>
    </row>
    <row r="91" spans="1:29" x14ac:dyDescent="0.25">
      <c r="A91" t="s">
        <v>124</v>
      </c>
      <c r="B91" t="s">
        <v>130</v>
      </c>
      <c r="C91" t="s">
        <v>131</v>
      </c>
      <c r="D91" t="s">
        <v>15</v>
      </c>
      <c r="E91" t="s">
        <v>174</v>
      </c>
      <c r="F91" t="s">
        <v>174</v>
      </c>
      <c r="G91" s="2" t="s">
        <v>131</v>
      </c>
      <c r="H91" t="s">
        <v>64</v>
      </c>
      <c r="I91" s="35" t="s">
        <v>183</v>
      </c>
      <c r="J91" s="2" t="s">
        <v>184</v>
      </c>
      <c r="K91" t="s">
        <v>64</v>
      </c>
      <c r="L91" t="s">
        <v>177</v>
      </c>
      <c r="M91" s="2" t="s">
        <v>78</v>
      </c>
      <c r="N91" t="s">
        <v>126</v>
      </c>
      <c r="O91" t="s">
        <v>111</v>
      </c>
      <c r="P91" s="2" t="s">
        <v>81</v>
      </c>
      <c r="Q91" t="s">
        <v>64</v>
      </c>
      <c r="R91" t="s">
        <v>64</v>
      </c>
      <c r="S91" s="80" t="s">
        <v>185</v>
      </c>
      <c r="T91" t="s">
        <v>186</v>
      </c>
      <c r="U91" t="s">
        <v>187</v>
      </c>
      <c r="V91" s="2" t="s">
        <v>188</v>
      </c>
      <c r="W91" s="2" t="s">
        <v>65</v>
      </c>
      <c r="Z91" s="2" t="s">
        <v>141</v>
      </c>
      <c r="AA91" s="2" t="s">
        <v>142</v>
      </c>
      <c r="AB91" s="2" t="s">
        <v>66</v>
      </c>
      <c r="AC91" s="2" t="s">
        <v>67</v>
      </c>
    </row>
    <row r="92" spans="1:29" x14ac:dyDescent="0.25">
      <c r="A92" t="s">
        <v>124</v>
      </c>
      <c r="B92" t="s">
        <v>130</v>
      </c>
      <c r="C92" t="s">
        <v>131</v>
      </c>
      <c r="D92" t="s">
        <v>15</v>
      </c>
      <c r="E92" t="s">
        <v>174</v>
      </c>
      <c r="F92" t="s">
        <v>174</v>
      </c>
      <c r="G92" s="2" t="s">
        <v>131</v>
      </c>
      <c r="H92" t="s">
        <v>64</v>
      </c>
      <c r="I92" s="35" t="s">
        <v>183</v>
      </c>
      <c r="J92" s="2" t="s">
        <v>184</v>
      </c>
      <c r="K92" t="s">
        <v>64</v>
      </c>
      <c r="L92" t="s">
        <v>177</v>
      </c>
      <c r="M92" s="2" t="s">
        <v>78</v>
      </c>
      <c r="N92" t="s">
        <v>126</v>
      </c>
      <c r="O92" t="s">
        <v>112</v>
      </c>
      <c r="P92" s="2" t="s">
        <v>81</v>
      </c>
      <c r="Q92" t="s">
        <v>64</v>
      </c>
      <c r="R92" t="s">
        <v>64</v>
      </c>
      <c r="S92" s="80" t="s">
        <v>185</v>
      </c>
      <c r="T92" t="s">
        <v>186</v>
      </c>
      <c r="U92" t="s">
        <v>187</v>
      </c>
      <c r="V92" s="2" t="s">
        <v>188</v>
      </c>
      <c r="W92" s="2" t="s">
        <v>65</v>
      </c>
      <c r="Z92" s="2" t="s">
        <v>141</v>
      </c>
      <c r="AA92" s="2" t="s">
        <v>142</v>
      </c>
      <c r="AB92" s="2" t="s">
        <v>66</v>
      </c>
      <c r="AC92" s="2" t="s">
        <v>67</v>
      </c>
    </row>
    <row r="93" spans="1:29" x14ac:dyDescent="0.25">
      <c r="A93" t="s">
        <v>124</v>
      </c>
      <c r="B93" t="s">
        <v>130</v>
      </c>
      <c r="C93" t="s">
        <v>131</v>
      </c>
      <c r="D93" t="s">
        <v>15</v>
      </c>
      <c r="E93" t="s">
        <v>174</v>
      </c>
      <c r="F93" t="s">
        <v>174</v>
      </c>
      <c r="G93" s="2" t="s">
        <v>131</v>
      </c>
      <c r="H93" t="s">
        <v>64</v>
      </c>
      <c r="I93" s="35" t="s">
        <v>183</v>
      </c>
      <c r="J93" s="2" t="s">
        <v>184</v>
      </c>
      <c r="K93" t="s">
        <v>64</v>
      </c>
      <c r="L93" t="s">
        <v>177</v>
      </c>
      <c r="M93" s="2" t="s">
        <v>78</v>
      </c>
      <c r="N93" t="s">
        <v>126</v>
      </c>
      <c r="O93" t="s">
        <v>116</v>
      </c>
      <c r="P93" s="2" t="s">
        <v>20</v>
      </c>
      <c r="Q93" t="s">
        <v>64</v>
      </c>
      <c r="R93" t="s">
        <v>64</v>
      </c>
      <c r="S93" s="80" t="s">
        <v>185</v>
      </c>
      <c r="T93" t="s">
        <v>186</v>
      </c>
      <c r="U93" t="s">
        <v>187</v>
      </c>
      <c r="V93" s="2" t="s">
        <v>188</v>
      </c>
      <c r="W93" s="2" t="s">
        <v>65</v>
      </c>
      <c r="Z93" s="2" t="s">
        <v>141</v>
      </c>
      <c r="AA93" s="2" t="s">
        <v>142</v>
      </c>
      <c r="AB93" s="2" t="s">
        <v>66</v>
      </c>
      <c r="AC93" s="2" t="s">
        <v>67</v>
      </c>
    </row>
    <row r="94" spans="1:29" x14ac:dyDescent="0.25">
      <c r="A94" t="s">
        <v>124</v>
      </c>
      <c r="B94" t="s">
        <v>130</v>
      </c>
      <c r="C94" t="s">
        <v>131</v>
      </c>
      <c r="D94" t="s">
        <v>15</v>
      </c>
      <c r="E94" t="s">
        <v>174</v>
      </c>
      <c r="F94" t="s">
        <v>174</v>
      </c>
      <c r="G94" s="2" t="s">
        <v>131</v>
      </c>
      <c r="H94" t="s">
        <v>64</v>
      </c>
      <c r="I94" s="35" t="s">
        <v>183</v>
      </c>
      <c r="J94" s="2" t="s">
        <v>184</v>
      </c>
      <c r="K94" t="s">
        <v>64</v>
      </c>
      <c r="L94" t="s">
        <v>177</v>
      </c>
      <c r="M94" s="2" t="s">
        <v>78</v>
      </c>
      <c r="N94" t="s">
        <v>126</v>
      </c>
      <c r="O94" t="s">
        <v>117</v>
      </c>
      <c r="P94" s="2" t="s">
        <v>189</v>
      </c>
      <c r="Q94" t="s">
        <v>64</v>
      </c>
      <c r="R94" t="s">
        <v>64</v>
      </c>
      <c r="S94" s="80" t="s">
        <v>185</v>
      </c>
      <c r="T94" t="s">
        <v>186</v>
      </c>
      <c r="U94" t="s">
        <v>187</v>
      </c>
      <c r="V94" s="2" t="s">
        <v>188</v>
      </c>
      <c r="W94" s="2" t="s">
        <v>65</v>
      </c>
      <c r="Z94" s="2" t="s">
        <v>141</v>
      </c>
      <c r="AA94" s="2" t="s">
        <v>142</v>
      </c>
      <c r="AB94" s="2" t="s">
        <v>66</v>
      </c>
      <c r="AC94" s="2" t="s">
        <v>67</v>
      </c>
    </row>
    <row r="95" spans="1:29" x14ac:dyDescent="0.25">
      <c r="A95" t="s">
        <v>124</v>
      </c>
      <c r="B95" t="s">
        <v>130</v>
      </c>
      <c r="C95" t="s">
        <v>131</v>
      </c>
      <c r="D95" t="s">
        <v>15</v>
      </c>
      <c r="E95" t="s">
        <v>132</v>
      </c>
      <c r="F95" t="s">
        <v>133</v>
      </c>
      <c r="G95" s="2" t="s">
        <v>131</v>
      </c>
      <c r="H95" t="s">
        <v>64</v>
      </c>
      <c r="I95" s="35" t="s">
        <v>190</v>
      </c>
      <c r="J95" s="2" t="s">
        <v>191</v>
      </c>
      <c r="K95" t="s">
        <v>125</v>
      </c>
      <c r="L95" t="s">
        <v>166</v>
      </c>
      <c r="M95" s="2" t="s">
        <v>78</v>
      </c>
      <c r="N95" t="s">
        <v>126</v>
      </c>
      <c r="O95" t="s">
        <v>92</v>
      </c>
      <c r="P95" s="2" t="s">
        <v>20</v>
      </c>
      <c r="Q95" t="s">
        <v>64</v>
      </c>
      <c r="R95" t="s">
        <v>64</v>
      </c>
      <c r="S95" s="80" t="s">
        <v>91</v>
      </c>
      <c r="T95" t="s">
        <v>192</v>
      </c>
      <c r="U95" t="s">
        <v>193</v>
      </c>
      <c r="V95" s="2" t="s">
        <v>194</v>
      </c>
      <c r="W95" s="2" t="s">
        <v>65</v>
      </c>
      <c r="Z95" s="2" t="s">
        <v>141</v>
      </c>
      <c r="AA95" s="2" t="s">
        <v>142</v>
      </c>
      <c r="AB95" s="2" t="s">
        <v>66</v>
      </c>
      <c r="AC95" s="2" t="s">
        <v>67</v>
      </c>
    </row>
    <row r="96" spans="1:29" x14ac:dyDescent="0.25">
      <c r="A96" t="s">
        <v>124</v>
      </c>
      <c r="B96" t="s">
        <v>130</v>
      </c>
      <c r="C96" t="s">
        <v>131</v>
      </c>
      <c r="D96" t="s">
        <v>15</v>
      </c>
      <c r="E96" t="s">
        <v>132</v>
      </c>
      <c r="F96" t="s">
        <v>133</v>
      </c>
      <c r="G96" s="2" t="s">
        <v>131</v>
      </c>
      <c r="H96" t="s">
        <v>64</v>
      </c>
      <c r="I96" s="35" t="s">
        <v>190</v>
      </c>
      <c r="J96" s="2" t="s">
        <v>191</v>
      </c>
      <c r="K96" t="s">
        <v>125</v>
      </c>
      <c r="L96" t="s">
        <v>166</v>
      </c>
      <c r="M96" s="2" t="s">
        <v>78</v>
      </c>
      <c r="N96" t="s">
        <v>126</v>
      </c>
      <c r="O96" t="s">
        <v>93</v>
      </c>
      <c r="P96" s="2" t="s">
        <v>20</v>
      </c>
      <c r="Q96" t="s">
        <v>64</v>
      </c>
      <c r="R96" t="s">
        <v>64</v>
      </c>
      <c r="S96" s="80" t="s">
        <v>91</v>
      </c>
      <c r="T96" t="s">
        <v>192</v>
      </c>
      <c r="U96" t="s">
        <v>193</v>
      </c>
      <c r="V96" s="2" t="s">
        <v>194</v>
      </c>
      <c r="W96" s="2" t="s">
        <v>65</v>
      </c>
      <c r="Z96" s="2" t="s">
        <v>141</v>
      </c>
      <c r="AA96" s="2" t="s">
        <v>142</v>
      </c>
      <c r="AB96" s="2" t="s">
        <v>66</v>
      </c>
      <c r="AC96" s="2" t="s">
        <v>67</v>
      </c>
    </row>
    <row r="97" spans="1:29" x14ac:dyDescent="0.25">
      <c r="A97" t="s">
        <v>124</v>
      </c>
      <c r="B97" t="s">
        <v>130</v>
      </c>
      <c r="C97" t="s">
        <v>131</v>
      </c>
      <c r="D97" t="s">
        <v>15</v>
      </c>
      <c r="E97" t="s">
        <v>132</v>
      </c>
      <c r="F97" t="s">
        <v>133</v>
      </c>
      <c r="G97" s="2" t="s">
        <v>131</v>
      </c>
      <c r="H97" t="s">
        <v>64</v>
      </c>
      <c r="I97" s="35" t="s">
        <v>190</v>
      </c>
      <c r="J97" s="2" t="s">
        <v>191</v>
      </c>
      <c r="K97" t="s">
        <v>125</v>
      </c>
      <c r="L97" t="s">
        <v>166</v>
      </c>
      <c r="M97" s="2" t="s">
        <v>78</v>
      </c>
      <c r="N97" t="s">
        <v>126</v>
      </c>
      <c r="O97" t="s">
        <v>94</v>
      </c>
      <c r="P97" s="2" t="s">
        <v>20</v>
      </c>
      <c r="Q97" t="s">
        <v>64</v>
      </c>
      <c r="R97" t="s">
        <v>64</v>
      </c>
      <c r="S97" s="80" t="s">
        <v>91</v>
      </c>
      <c r="T97" t="s">
        <v>192</v>
      </c>
      <c r="U97" t="s">
        <v>193</v>
      </c>
      <c r="V97" s="2" t="s">
        <v>194</v>
      </c>
      <c r="W97" s="2" t="s">
        <v>65</v>
      </c>
      <c r="Z97" s="2" t="s">
        <v>141</v>
      </c>
      <c r="AA97" s="2" t="s">
        <v>142</v>
      </c>
      <c r="AB97" s="2" t="s">
        <v>66</v>
      </c>
      <c r="AC97" s="2" t="s">
        <v>67</v>
      </c>
    </row>
    <row r="98" spans="1:29" x14ac:dyDescent="0.25">
      <c r="A98" t="s">
        <v>124</v>
      </c>
      <c r="B98" t="s">
        <v>130</v>
      </c>
      <c r="C98" t="s">
        <v>131</v>
      </c>
      <c r="D98" t="s">
        <v>15</v>
      </c>
      <c r="E98" t="s">
        <v>132</v>
      </c>
      <c r="F98" t="s">
        <v>133</v>
      </c>
      <c r="G98" s="2" t="s">
        <v>131</v>
      </c>
      <c r="H98" t="s">
        <v>64</v>
      </c>
      <c r="I98" s="35" t="s">
        <v>190</v>
      </c>
      <c r="J98" s="2" t="s">
        <v>191</v>
      </c>
      <c r="K98" t="s">
        <v>125</v>
      </c>
      <c r="L98" t="s">
        <v>166</v>
      </c>
      <c r="M98" s="2" t="s">
        <v>78</v>
      </c>
      <c r="N98" t="s">
        <v>126</v>
      </c>
      <c r="O98" t="s">
        <v>95</v>
      </c>
      <c r="P98" s="2" t="s">
        <v>20</v>
      </c>
      <c r="Q98" t="s">
        <v>64</v>
      </c>
      <c r="R98" t="s">
        <v>64</v>
      </c>
      <c r="S98" s="80" t="s">
        <v>91</v>
      </c>
      <c r="T98" t="s">
        <v>192</v>
      </c>
      <c r="U98" t="s">
        <v>193</v>
      </c>
      <c r="V98" s="2" t="s">
        <v>194</v>
      </c>
      <c r="W98" s="2" t="s">
        <v>65</v>
      </c>
      <c r="Z98" s="2" t="s">
        <v>141</v>
      </c>
      <c r="AA98" s="2" t="s">
        <v>142</v>
      </c>
      <c r="AB98" s="2" t="s">
        <v>66</v>
      </c>
      <c r="AC98" s="2" t="s">
        <v>67</v>
      </c>
    </row>
    <row r="99" spans="1:29" x14ac:dyDescent="0.25">
      <c r="A99" t="s">
        <v>124</v>
      </c>
      <c r="B99" t="s">
        <v>130</v>
      </c>
      <c r="C99" t="s">
        <v>131</v>
      </c>
      <c r="D99" t="s">
        <v>15</v>
      </c>
      <c r="E99" t="s">
        <v>132</v>
      </c>
      <c r="F99" t="s">
        <v>133</v>
      </c>
      <c r="G99" s="2" t="s">
        <v>131</v>
      </c>
      <c r="H99" t="s">
        <v>64</v>
      </c>
      <c r="I99" s="35" t="s">
        <v>190</v>
      </c>
      <c r="J99" s="2" t="s">
        <v>191</v>
      </c>
      <c r="K99" t="s">
        <v>125</v>
      </c>
      <c r="L99" t="s">
        <v>166</v>
      </c>
      <c r="M99" s="2" t="s">
        <v>78</v>
      </c>
      <c r="N99" t="s">
        <v>126</v>
      </c>
      <c r="O99" t="s">
        <v>35</v>
      </c>
      <c r="P99" s="2" t="s">
        <v>20</v>
      </c>
      <c r="Q99" t="s">
        <v>64</v>
      </c>
      <c r="R99" t="s">
        <v>64</v>
      </c>
      <c r="S99" s="80" t="s">
        <v>91</v>
      </c>
      <c r="T99" t="s">
        <v>192</v>
      </c>
      <c r="U99" t="s">
        <v>193</v>
      </c>
      <c r="V99" s="2" t="s">
        <v>194</v>
      </c>
      <c r="W99" s="2" t="s">
        <v>65</v>
      </c>
      <c r="Z99" s="2" t="s">
        <v>141</v>
      </c>
      <c r="AA99" s="2" t="s">
        <v>142</v>
      </c>
      <c r="AB99" s="2" t="s">
        <v>66</v>
      </c>
      <c r="AC99" s="2" t="s">
        <v>67</v>
      </c>
    </row>
    <row r="100" spans="1:29" x14ac:dyDescent="0.25">
      <c r="A100" t="s">
        <v>124</v>
      </c>
      <c r="B100" t="s">
        <v>130</v>
      </c>
      <c r="C100" t="s">
        <v>131</v>
      </c>
      <c r="D100" t="s">
        <v>15</v>
      </c>
      <c r="E100" t="s">
        <v>132</v>
      </c>
      <c r="F100" t="s">
        <v>133</v>
      </c>
      <c r="G100" s="2" t="s">
        <v>131</v>
      </c>
      <c r="H100" t="s">
        <v>64</v>
      </c>
      <c r="I100" s="35" t="s">
        <v>190</v>
      </c>
      <c r="J100" s="2" t="s">
        <v>191</v>
      </c>
      <c r="K100" t="s">
        <v>125</v>
      </c>
      <c r="L100" t="s">
        <v>166</v>
      </c>
      <c r="M100" s="2" t="s">
        <v>78</v>
      </c>
      <c r="N100" t="s">
        <v>126</v>
      </c>
      <c r="O100" t="s">
        <v>96</v>
      </c>
      <c r="P100" s="2" t="s">
        <v>81</v>
      </c>
      <c r="Q100" t="s">
        <v>64</v>
      </c>
      <c r="R100" t="s">
        <v>64</v>
      </c>
      <c r="S100" s="80" t="s">
        <v>91</v>
      </c>
      <c r="T100" t="s">
        <v>192</v>
      </c>
      <c r="U100" t="s">
        <v>193</v>
      </c>
      <c r="V100" s="2" t="s">
        <v>194</v>
      </c>
      <c r="W100" s="2" t="s">
        <v>65</v>
      </c>
      <c r="Z100" s="2" t="s">
        <v>141</v>
      </c>
      <c r="AA100" s="2" t="s">
        <v>142</v>
      </c>
      <c r="AB100" s="2" t="s">
        <v>66</v>
      </c>
      <c r="AC100" s="2" t="s">
        <v>67</v>
      </c>
    </row>
    <row r="101" spans="1:29" x14ac:dyDescent="0.25">
      <c r="A101" t="s">
        <v>124</v>
      </c>
      <c r="B101" t="s">
        <v>130</v>
      </c>
      <c r="C101" t="s">
        <v>131</v>
      </c>
      <c r="D101" t="s">
        <v>15</v>
      </c>
      <c r="E101" t="s">
        <v>132</v>
      </c>
      <c r="F101" t="s">
        <v>133</v>
      </c>
      <c r="G101" s="2" t="s">
        <v>131</v>
      </c>
      <c r="H101" t="s">
        <v>64</v>
      </c>
      <c r="I101" s="35" t="s">
        <v>190</v>
      </c>
      <c r="J101" s="2" t="s">
        <v>191</v>
      </c>
      <c r="K101" t="s">
        <v>125</v>
      </c>
      <c r="L101" t="s">
        <v>166</v>
      </c>
      <c r="M101" s="2" t="s">
        <v>78</v>
      </c>
      <c r="N101" t="s">
        <v>126</v>
      </c>
      <c r="O101" t="s">
        <v>97</v>
      </c>
      <c r="P101" s="2" t="s">
        <v>20</v>
      </c>
      <c r="Q101" t="s">
        <v>64</v>
      </c>
      <c r="R101" t="s">
        <v>64</v>
      </c>
      <c r="S101" s="80" t="s">
        <v>91</v>
      </c>
      <c r="T101" t="s">
        <v>192</v>
      </c>
      <c r="U101" t="s">
        <v>193</v>
      </c>
      <c r="V101" s="2" t="s">
        <v>194</v>
      </c>
      <c r="W101" s="2" t="s">
        <v>65</v>
      </c>
      <c r="Z101" s="2" t="s">
        <v>141</v>
      </c>
      <c r="AA101" s="2" t="s">
        <v>142</v>
      </c>
      <c r="AB101" s="2" t="s">
        <v>66</v>
      </c>
      <c r="AC101" s="2" t="s">
        <v>67</v>
      </c>
    </row>
    <row r="102" spans="1:29" x14ac:dyDescent="0.25">
      <c r="A102" t="s">
        <v>124</v>
      </c>
      <c r="B102" t="s">
        <v>130</v>
      </c>
      <c r="C102" t="s">
        <v>131</v>
      </c>
      <c r="D102" t="s">
        <v>15</v>
      </c>
      <c r="E102" t="s">
        <v>132</v>
      </c>
      <c r="F102" t="s">
        <v>133</v>
      </c>
      <c r="G102" s="2" t="s">
        <v>131</v>
      </c>
      <c r="H102" t="s">
        <v>64</v>
      </c>
      <c r="I102" s="35" t="s">
        <v>190</v>
      </c>
      <c r="J102" s="2" t="s">
        <v>191</v>
      </c>
      <c r="K102" t="s">
        <v>125</v>
      </c>
      <c r="L102" t="s">
        <v>166</v>
      </c>
      <c r="M102" s="2" t="s">
        <v>78</v>
      </c>
      <c r="N102" t="s">
        <v>126</v>
      </c>
      <c r="O102" t="s">
        <v>98</v>
      </c>
      <c r="P102" s="2" t="s">
        <v>20</v>
      </c>
      <c r="Q102" t="s">
        <v>64</v>
      </c>
      <c r="R102" t="s">
        <v>64</v>
      </c>
      <c r="S102" s="80" t="s">
        <v>91</v>
      </c>
      <c r="T102" t="s">
        <v>192</v>
      </c>
      <c r="U102" t="s">
        <v>193</v>
      </c>
      <c r="V102" s="2" t="s">
        <v>194</v>
      </c>
      <c r="W102" s="2" t="s">
        <v>65</v>
      </c>
      <c r="Z102" s="2" t="s">
        <v>141</v>
      </c>
      <c r="AA102" s="2" t="s">
        <v>142</v>
      </c>
      <c r="AB102" s="2" t="s">
        <v>66</v>
      </c>
      <c r="AC102" s="2" t="s">
        <v>67</v>
      </c>
    </row>
    <row r="103" spans="1:29" x14ac:dyDescent="0.25">
      <c r="A103" t="s">
        <v>124</v>
      </c>
      <c r="B103" t="s">
        <v>130</v>
      </c>
      <c r="C103" t="s">
        <v>131</v>
      </c>
      <c r="D103" t="s">
        <v>15</v>
      </c>
      <c r="E103" t="s">
        <v>132</v>
      </c>
      <c r="F103" t="s">
        <v>133</v>
      </c>
      <c r="G103" s="2" t="s">
        <v>131</v>
      </c>
      <c r="H103" t="s">
        <v>64</v>
      </c>
      <c r="I103" s="35" t="s">
        <v>190</v>
      </c>
      <c r="J103" s="2" t="s">
        <v>191</v>
      </c>
      <c r="K103" t="s">
        <v>125</v>
      </c>
      <c r="L103" t="s">
        <v>166</v>
      </c>
      <c r="M103" s="2" t="s">
        <v>78</v>
      </c>
      <c r="N103" t="s">
        <v>126</v>
      </c>
      <c r="O103" t="s">
        <v>99</v>
      </c>
      <c r="P103" s="2" t="s">
        <v>81</v>
      </c>
      <c r="Q103" t="s">
        <v>64</v>
      </c>
      <c r="R103" t="s">
        <v>64</v>
      </c>
      <c r="S103" s="80" t="s">
        <v>91</v>
      </c>
      <c r="T103" t="s">
        <v>192</v>
      </c>
      <c r="U103" t="s">
        <v>193</v>
      </c>
      <c r="V103" s="2" t="s">
        <v>194</v>
      </c>
      <c r="W103" s="2" t="s">
        <v>65</v>
      </c>
      <c r="Z103" s="2" t="s">
        <v>141</v>
      </c>
      <c r="AA103" s="2" t="s">
        <v>142</v>
      </c>
      <c r="AB103" s="2" t="s">
        <v>66</v>
      </c>
      <c r="AC103" s="2" t="s">
        <v>67</v>
      </c>
    </row>
    <row r="104" spans="1:29" x14ac:dyDescent="0.25">
      <c r="A104" t="s">
        <v>124</v>
      </c>
      <c r="B104" t="s">
        <v>130</v>
      </c>
      <c r="C104" t="s">
        <v>131</v>
      </c>
      <c r="D104" t="s">
        <v>15</v>
      </c>
      <c r="E104" t="s">
        <v>132</v>
      </c>
      <c r="F104" t="s">
        <v>133</v>
      </c>
      <c r="G104" s="2" t="s">
        <v>131</v>
      </c>
      <c r="H104" t="s">
        <v>64</v>
      </c>
      <c r="I104" s="35" t="s">
        <v>190</v>
      </c>
      <c r="J104" s="2" t="s">
        <v>191</v>
      </c>
      <c r="K104" t="s">
        <v>125</v>
      </c>
      <c r="L104" t="s">
        <v>166</v>
      </c>
      <c r="M104" s="2" t="s">
        <v>78</v>
      </c>
      <c r="N104" t="s">
        <v>126</v>
      </c>
      <c r="O104" t="s">
        <v>100</v>
      </c>
      <c r="P104" s="2" t="s">
        <v>81</v>
      </c>
      <c r="Q104" t="s">
        <v>64</v>
      </c>
      <c r="R104" t="s">
        <v>64</v>
      </c>
      <c r="S104" s="80" t="s">
        <v>91</v>
      </c>
      <c r="T104" t="s">
        <v>192</v>
      </c>
      <c r="U104" t="s">
        <v>193</v>
      </c>
      <c r="V104" s="2" t="s">
        <v>194</v>
      </c>
      <c r="W104" s="2" t="s">
        <v>65</v>
      </c>
      <c r="Z104" s="2" t="s">
        <v>141</v>
      </c>
      <c r="AA104" s="2" t="s">
        <v>142</v>
      </c>
      <c r="AB104" s="2" t="s">
        <v>66</v>
      </c>
      <c r="AC104" s="2" t="s">
        <v>67</v>
      </c>
    </row>
    <row r="105" spans="1:29" x14ac:dyDescent="0.25">
      <c r="A105" t="s">
        <v>124</v>
      </c>
      <c r="B105" t="s">
        <v>130</v>
      </c>
      <c r="C105" t="s">
        <v>131</v>
      </c>
      <c r="D105" t="s">
        <v>15</v>
      </c>
      <c r="E105" t="s">
        <v>132</v>
      </c>
      <c r="F105" t="s">
        <v>133</v>
      </c>
      <c r="G105" s="2" t="s">
        <v>131</v>
      </c>
      <c r="H105" t="s">
        <v>64</v>
      </c>
      <c r="I105" s="35" t="s">
        <v>190</v>
      </c>
      <c r="J105" s="2" t="s">
        <v>191</v>
      </c>
      <c r="K105" t="s">
        <v>125</v>
      </c>
      <c r="L105" t="s">
        <v>166</v>
      </c>
      <c r="M105" s="2" t="s">
        <v>78</v>
      </c>
      <c r="N105" t="s">
        <v>126</v>
      </c>
      <c r="O105" t="s">
        <v>101</v>
      </c>
      <c r="P105" s="2" t="s">
        <v>81</v>
      </c>
      <c r="Q105" t="s">
        <v>64</v>
      </c>
      <c r="R105" t="s">
        <v>64</v>
      </c>
      <c r="S105" s="80" t="s">
        <v>91</v>
      </c>
      <c r="T105" t="s">
        <v>192</v>
      </c>
      <c r="U105" t="s">
        <v>193</v>
      </c>
      <c r="V105" s="2" t="s">
        <v>194</v>
      </c>
      <c r="W105" s="2" t="s">
        <v>65</v>
      </c>
      <c r="Z105" s="2" t="s">
        <v>141</v>
      </c>
      <c r="AA105" s="2" t="s">
        <v>142</v>
      </c>
      <c r="AB105" s="2" t="s">
        <v>66</v>
      </c>
      <c r="AC105" s="2" t="s">
        <v>67</v>
      </c>
    </row>
    <row r="106" spans="1:29" x14ac:dyDescent="0.25">
      <c r="A106" t="s">
        <v>124</v>
      </c>
      <c r="B106" t="s">
        <v>130</v>
      </c>
      <c r="C106" t="s">
        <v>131</v>
      </c>
      <c r="D106" t="s">
        <v>15</v>
      </c>
      <c r="E106" t="s">
        <v>132</v>
      </c>
      <c r="F106" t="s">
        <v>133</v>
      </c>
      <c r="G106" s="2" t="s">
        <v>131</v>
      </c>
      <c r="H106" t="s">
        <v>64</v>
      </c>
      <c r="I106" s="35" t="s">
        <v>190</v>
      </c>
      <c r="J106" s="2" t="s">
        <v>191</v>
      </c>
      <c r="K106" t="s">
        <v>125</v>
      </c>
      <c r="L106" t="s">
        <v>166</v>
      </c>
      <c r="M106" s="2" t="s">
        <v>78</v>
      </c>
      <c r="N106" t="s">
        <v>126</v>
      </c>
      <c r="O106" t="s">
        <v>102</v>
      </c>
      <c r="P106" s="2" t="s">
        <v>81</v>
      </c>
      <c r="Q106" t="s">
        <v>64</v>
      </c>
      <c r="R106" t="s">
        <v>64</v>
      </c>
      <c r="S106" s="80" t="s">
        <v>91</v>
      </c>
      <c r="T106" t="s">
        <v>192</v>
      </c>
      <c r="U106" t="s">
        <v>193</v>
      </c>
      <c r="V106" s="2" t="s">
        <v>194</v>
      </c>
      <c r="W106" s="2" t="s">
        <v>65</v>
      </c>
      <c r="Z106" s="2" t="s">
        <v>141</v>
      </c>
      <c r="AA106" s="2" t="s">
        <v>142</v>
      </c>
      <c r="AB106" s="2" t="s">
        <v>66</v>
      </c>
      <c r="AC106" s="2" t="s">
        <v>67</v>
      </c>
    </row>
    <row r="107" spans="1:29" x14ac:dyDescent="0.25">
      <c r="A107" t="s">
        <v>124</v>
      </c>
      <c r="B107" t="s">
        <v>130</v>
      </c>
      <c r="C107" t="s">
        <v>131</v>
      </c>
      <c r="D107" t="s">
        <v>15</v>
      </c>
      <c r="E107" t="s">
        <v>132</v>
      </c>
      <c r="F107" t="s">
        <v>133</v>
      </c>
      <c r="G107" s="2" t="s">
        <v>131</v>
      </c>
      <c r="H107" t="s">
        <v>64</v>
      </c>
      <c r="I107" s="35" t="s">
        <v>190</v>
      </c>
      <c r="J107" s="2" t="s">
        <v>191</v>
      </c>
      <c r="K107" t="s">
        <v>125</v>
      </c>
      <c r="L107" t="s">
        <v>166</v>
      </c>
      <c r="M107" s="2" t="s">
        <v>78</v>
      </c>
      <c r="N107" t="s">
        <v>126</v>
      </c>
      <c r="O107" t="s">
        <v>103</v>
      </c>
      <c r="P107" s="2" t="s">
        <v>81</v>
      </c>
      <c r="Q107" t="s">
        <v>64</v>
      </c>
      <c r="R107" t="s">
        <v>64</v>
      </c>
      <c r="S107" s="80" t="s">
        <v>91</v>
      </c>
      <c r="T107" t="s">
        <v>192</v>
      </c>
      <c r="U107" t="s">
        <v>193</v>
      </c>
      <c r="V107" s="2" t="s">
        <v>194</v>
      </c>
      <c r="W107" s="2" t="s">
        <v>65</v>
      </c>
      <c r="Z107" s="2" t="s">
        <v>141</v>
      </c>
      <c r="AA107" s="2" t="s">
        <v>142</v>
      </c>
      <c r="AB107" s="2" t="s">
        <v>66</v>
      </c>
      <c r="AC107" s="2" t="s">
        <v>67</v>
      </c>
    </row>
    <row r="108" spans="1:29" x14ac:dyDescent="0.25">
      <c r="A108" t="s">
        <v>124</v>
      </c>
      <c r="B108" t="s">
        <v>130</v>
      </c>
      <c r="C108" t="s">
        <v>131</v>
      </c>
      <c r="D108" t="s">
        <v>15</v>
      </c>
      <c r="E108" t="s">
        <v>132</v>
      </c>
      <c r="F108" t="s">
        <v>133</v>
      </c>
      <c r="G108" s="2" t="s">
        <v>131</v>
      </c>
      <c r="H108" t="s">
        <v>64</v>
      </c>
      <c r="I108" s="35" t="s">
        <v>190</v>
      </c>
      <c r="J108" s="2" t="s">
        <v>191</v>
      </c>
      <c r="K108" t="s">
        <v>125</v>
      </c>
      <c r="L108" t="s">
        <v>166</v>
      </c>
      <c r="M108" s="2" t="s">
        <v>78</v>
      </c>
      <c r="N108" t="s">
        <v>126</v>
      </c>
      <c r="O108" t="s">
        <v>104</v>
      </c>
      <c r="P108" s="2" t="s">
        <v>81</v>
      </c>
      <c r="Q108" t="s">
        <v>64</v>
      </c>
      <c r="R108" t="s">
        <v>64</v>
      </c>
      <c r="S108" s="80" t="s">
        <v>91</v>
      </c>
      <c r="T108" t="s">
        <v>192</v>
      </c>
      <c r="U108" t="s">
        <v>193</v>
      </c>
      <c r="V108" s="2" t="s">
        <v>194</v>
      </c>
      <c r="W108" s="2" t="s">
        <v>65</v>
      </c>
      <c r="Z108" s="2" t="s">
        <v>141</v>
      </c>
      <c r="AA108" s="2" t="s">
        <v>142</v>
      </c>
      <c r="AB108" s="2" t="s">
        <v>66</v>
      </c>
      <c r="AC108" s="2" t="s">
        <v>67</v>
      </c>
    </row>
    <row r="109" spans="1:29" x14ac:dyDescent="0.25">
      <c r="A109" t="s">
        <v>124</v>
      </c>
      <c r="B109" t="s">
        <v>130</v>
      </c>
      <c r="C109" t="s">
        <v>131</v>
      </c>
      <c r="D109" t="s">
        <v>15</v>
      </c>
      <c r="E109" t="s">
        <v>132</v>
      </c>
      <c r="F109" t="s">
        <v>133</v>
      </c>
      <c r="G109" s="2" t="s">
        <v>131</v>
      </c>
      <c r="H109" t="s">
        <v>64</v>
      </c>
      <c r="I109" s="35" t="s">
        <v>190</v>
      </c>
      <c r="J109" s="2" t="s">
        <v>191</v>
      </c>
      <c r="K109" t="s">
        <v>125</v>
      </c>
      <c r="L109" t="s">
        <v>166</v>
      </c>
      <c r="M109" s="2" t="s">
        <v>78</v>
      </c>
      <c r="N109" t="s">
        <v>126</v>
      </c>
      <c r="O109" t="s">
        <v>105</v>
      </c>
      <c r="P109" s="2" t="s">
        <v>81</v>
      </c>
      <c r="Q109" t="s">
        <v>64</v>
      </c>
      <c r="R109" t="s">
        <v>64</v>
      </c>
      <c r="S109" s="80" t="s">
        <v>91</v>
      </c>
      <c r="T109" t="s">
        <v>192</v>
      </c>
      <c r="U109" t="s">
        <v>193</v>
      </c>
      <c r="V109" s="2" t="s">
        <v>194</v>
      </c>
      <c r="W109" s="2" t="s">
        <v>65</v>
      </c>
      <c r="Z109" s="2" t="s">
        <v>141</v>
      </c>
      <c r="AA109" s="2" t="s">
        <v>142</v>
      </c>
      <c r="AB109" s="2" t="s">
        <v>66</v>
      </c>
      <c r="AC109" s="2" t="s">
        <v>67</v>
      </c>
    </row>
    <row r="110" spans="1:29" x14ac:dyDescent="0.25">
      <c r="A110" t="s">
        <v>124</v>
      </c>
      <c r="B110" t="s">
        <v>130</v>
      </c>
      <c r="C110" t="s">
        <v>131</v>
      </c>
      <c r="D110" t="s">
        <v>15</v>
      </c>
      <c r="E110" t="s">
        <v>132</v>
      </c>
      <c r="F110" t="s">
        <v>133</v>
      </c>
      <c r="G110" s="2" t="s">
        <v>131</v>
      </c>
      <c r="H110" t="s">
        <v>64</v>
      </c>
      <c r="I110" s="35" t="s">
        <v>190</v>
      </c>
      <c r="J110" s="2" t="s">
        <v>191</v>
      </c>
      <c r="K110" t="s">
        <v>125</v>
      </c>
      <c r="L110" t="s">
        <v>166</v>
      </c>
      <c r="M110" s="2" t="s">
        <v>78</v>
      </c>
      <c r="N110" t="s">
        <v>126</v>
      </c>
      <c r="O110" t="s">
        <v>106</v>
      </c>
      <c r="P110" s="2" t="s">
        <v>81</v>
      </c>
      <c r="Q110" t="s">
        <v>64</v>
      </c>
      <c r="R110" t="s">
        <v>64</v>
      </c>
      <c r="S110" s="80" t="s">
        <v>91</v>
      </c>
      <c r="T110" t="s">
        <v>192</v>
      </c>
      <c r="U110" t="s">
        <v>193</v>
      </c>
      <c r="V110" s="2" t="s">
        <v>194</v>
      </c>
      <c r="W110" s="2" t="s">
        <v>65</v>
      </c>
      <c r="Z110" s="2" t="s">
        <v>141</v>
      </c>
      <c r="AA110" s="2" t="s">
        <v>142</v>
      </c>
      <c r="AB110" s="2" t="s">
        <v>66</v>
      </c>
      <c r="AC110" s="2" t="s">
        <v>67</v>
      </c>
    </row>
    <row r="111" spans="1:29" x14ac:dyDescent="0.25">
      <c r="A111" t="s">
        <v>124</v>
      </c>
      <c r="B111" t="s">
        <v>130</v>
      </c>
      <c r="C111" t="s">
        <v>131</v>
      </c>
      <c r="D111" t="s">
        <v>15</v>
      </c>
      <c r="E111" t="s">
        <v>132</v>
      </c>
      <c r="F111" t="s">
        <v>133</v>
      </c>
      <c r="G111" s="2" t="s">
        <v>131</v>
      </c>
      <c r="H111" t="s">
        <v>64</v>
      </c>
      <c r="I111" s="35" t="s">
        <v>190</v>
      </c>
      <c r="J111" s="2" t="s">
        <v>191</v>
      </c>
      <c r="K111" t="s">
        <v>125</v>
      </c>
      <c r="L111" t="s">
        <v>166</v>
      </c>
      <c r="M111" s="2" t="s">
        <v>78</v>
      </c>
      <c r="N111" t="s">
        <v>126</v>
      </c>
      <c r="O111" t="s">
        <v>107</v>
      </c>
      <c r="P111" s="2" t="s">
        <v>20</v>
      </c>
      <c r="Q111" t="s">
        <v>64</v>
      </c>
      <c r="R111" t="s">
        <v>64</v>
      </c>
      <c r="S111" s="80" t="s">
        <v>91</v>
      </c>
      <c r="T111" t="s">
        <v>192</v>
      </c>
      <c r="U111" t="s">
        <v>193</v>
      </c>
      <c r="V111" s="2" t="s">
        <v>194</v>
      </c>
      <c r="W111" s="2" t="s">
        <v>65</v>
      </c>
      <c r="Z111" s="2" t="s">
        <v>141</v>
      </c>
      <c r="AA111" s="2" t="s">
        <v>142</v>
      </c>
      <c r="AB111" s="2" t="s">
        <v>66</v>
      </c>
      <c r="AC111" s="2" t="s">
        <v>67</v>
      </c>
    </row>
    <row r="112" spans="1:29" x14ac:dyDescent="0.25">
      <c r="A112" t="s">
        <v>124</v>
      </c>
      <c r="B112" t="s">
        <v>130</v>
      </c>
      <c r="C112" t="s">
        <v>131</v>
      </c>
      <c r="D112" t="s">
        <v>15</v>
      </c>
      <c r="E112" t="s">
        <v>132</v>
      </c>
      <c r="F112" t="s">
        <v>133</v>
      </c>
      <c r="G112" s="2" t="s">
        <v>131</v>
      </c>
      <c r="H112" t="s">
        <v>64</v>
      </c>
      <c r="I112" s="35" t="s">
        <v>190</v>
      </c>
      <c r="J112" s="2" t="s">
        <v>191</v>
      </c>
      <c r="K112" t="s">
        <v>125</v>
      </c>
      <c r="L112" t="s">
        <v>166</v>
      </c>
      <c r="M112" s="2" t="s">
        <v>78</v>
      </c>
      <c r="N112" t="s">
        <v>126</v>
      </c>
      <c r="O112" t="s">
        <v>108</v>
      </c>
      <c r="P112" s="2" t="s">
        <v>20</v>
      </c>
      <c r="Q112" t="s">
        <v>64</v>
      </c>
      <c r="R112" t="s">
        <v>64</v>
      </c>
      <c r="S112" s="80" t="s">
        <v>91</v>
      </c>
      <c r="T112" t="s">
        <v>192</v>
      </c>
      <c r="U112" t="s">
        <v>193</v>
      </c>
      <c r="V112" s="2" t="s">
        <v>194</v>
      </c>
      <c r="W112" s="2" t="s">
        <v>65</v>
      </c>
      <c r="Z112" s="2" t="s">
        <v>141</v>
      </c>
      <c r="AA112" s="2" t="s">
        <v>142</v>
      </c>
      <c r="AB112" s="2" t="s">
        <v>66</v>
      </c>
      <c r="AC112" s="2" t="s">
        <v>67</v>
      </c>
    </row>
    <row r="113" spans="1:29" x14ac:dyDescent="0.25">
      <c r="A113" t="s">
        <v>124</v>
      </c>
      <c r="B113" t="s">
        <v>130</v>
      </c>
      <c r="C113" t="s">
        <v>131</v>
      </c>
      <c r="D113" t="s">
        <v>15</v>
      </c>
      <c r="E113" t="s">
        <v>132</v>
      </c>
      <c r="F113" t="s">
        <v>133</v>
      </c>
      <c r="G113" s="2" t="s">
        <v>131</v>
      </c>
      <c r="H113" t="s">
        <v>64</v>
      </c>
      <c r="I113" s="35" t="s">
        <v>190</v>
      </c>
      <c r="J113" s="2" t="s">
        <v>191</v>
      </c>
      <c r="K113" t="s">
        <v>125</v>
      </c>
      <c r="L113" t="s">
        <v>166</v>
      </c>
      <c r="M113" s="2" t="s">
        <v>78</v>
      </c>
      <c r="N113" t="s">
        <v>126</v>
      </c>
      <c r="O113" t="s">
        <v>109</v>
      </c>
      <c r="P113" s="2" t="s">
        <v>81</v>
      </c>
      <c r="Q113" t="s">
        <v>64</v>
      </c>
      <c r="R113" t="s">
        <v>64</v>
      </c>
      <c r="S113" s="80" t="s">
        <v>91</v>
      </c>
      <c r="T113" t="s">
        <v>192</v>
      </c>
      <c r="U113" t="s">
        <v>193</v>
      </c>
      <c r="V113" s="2" t="s">
        <v>194</v>
      </c>
      <c r="W113" s="2" t="s">
        <v>65</v>
      </c>
      <c r="Z113" s="2" t="s">
        <v>141</v>
      </c>
      <c r="AA113" s="2" t="s">
        <v>142</v>
      </c>
      <c r="AB113" s="2" t="s">
        <v>66</v>
      </c>
      <c r="AC113" s="2" t="s">
        <v>67</v>
      </c>
    </row>
    <row r="114" spans="1:29" x14ac:dyDescent="0.25">
      <c r="A114" t="s">
        <v>124</v>
      </c>
      <c r="B114" t="s">
        <v>130</v>
      </c>
      <c r="C114" t="s">
        <v>131</v>
      </c>
      <c r="D114" t="s">
        <v>15</v>
      </c>
      <c r="E114" t="s">
        <v>132</v>
      </c>
      <c r="F114" t="s">
        <v>133</v>
      </c>
      <c r="G114" s="2" t="s">
        <v>131</v>
      </c>
      <c r="H114" t="s">
        <v>64</v>
      </c>
      <c r="I114" s="35" t="s">
        <v>190</v>
      </c>
      <c r="J114" s="2" t="s">
        <v>191</v>
      </c>
      <c r="K114" t="s">
        <v>125</v>
      </c>
      <c r="L114" t="s">
        <v>166</v>
      </c>
      <c r="M114" s="2" t="s">
        <v>78</v>
      </c>
      <c r="N114" t="s">
        <v>126</v>
      </c>
      <c r="O114" t="s">
        <v>110</v>
      </c>
      <c r="P114" s="2" t="s">
        <v>15</v>
      </c>
      <c r="Q114" t="s">
        <v>64</v>
      </c>
      <c r="R114" t="s">
        <v>64</v>
      </c>
      <c r="S114" s="80" t="s">
        <v>91</v>
      </c>
      <c r="T114" t="s">
        <v>192</v>
      </c>
      <c r="U114" t="s">
        <v>193</v>
      </c>
      <c r="V114" s="2" t="s">
        <v>194</v>
      </c>
      <c r="W114" s="2" t="s">
        <v>65</v>
      </c>
      <c r="Z114" s="2" t="s">
        <v>141</v>
      </c>
      <c r="AA114" s="2" t="s">
        <v>142</v>
      </c>
      <c r="AB114" s="2" t="s">
        <v>66</v>
      </c>
      <c r="AC114" s="2" t="s">
        <v>67</v>
      </c>
    </row>
    <row r="115" spans="1:29" x14ac:dyDescent="0.25">
      <c r="A115" t="s">
        <v>124</v>
      </c>
      <c r="B115" t="s">
        <v>130</v>
      </c>
      <c r="C115" t="s">
        <v>131</v>
      </c>
      <c r="D115" t="s">
        <v>15</v>
      </c>
      <c r="E115" t="s">
        <v>132</v>
      </c>
      <c r="F115" t="s">
        <v>133</v>
      </c>
      <c r="G115" s="2" t="s">
        <v>131</v>
      </c>
      <c r="H115" t="s">
        <v>64</v>
      </c>
      <c r="I115" s="35" t="s">
        <v>190</v>
      </c>
      <c r="J115" s="2" t="s">
        <v>191</v>
      </c>
      <c r="K115" t="s">
        <v>125</v>
      </c>
      <c r="L115" t="s">
        <v>166</v>
      </c>
      <c r="M115" s="2" t="s">
        <v>78</v>
      </c>
      <c r="N115" t="s">
        <v>126</v>
      </c>
      <c r="O115" t="s">
        <v>111</v>
      </c>
      <c r="P115" s="2" t="s">
        <v>81</v>
      </c>
      <c r="Q115" t="s">
        <v>64</v>
      </c>
      <c r="R115" t="s">
        <v>64</v>
      </c>
      <c r="S115" s="80" t="s">
        <v>91</v>
      </c>
      <c r="T115" t="s">
        <v>192</v>
      </c>
      <c r="U115" t="s">
        <v>193</v>
      </c>
      <c r="V115" s="2" t="s">
        <v>194</v>
      </c>
      <c r="W115" s="2" t="s">
        <v>65</v>
      </c>
      <c r="Z115" s="2" t="s">
        <v>141</v>
      </c>
      <c r="AA115" s="2" t="s">
        <v>142</v>
      </c>
      <c r="AB115" s="2" t="s">
        <v>66</v>
      </c>
      <c r="AC115" s="2" t="s">
        <v>67</v>
      </c>
    </row>
    <row r="116" spans="1:29" x14ac:dyDescent="0.25">
      <c r="A116" t="s">
        <v>124</v>
      </c>
      <c r="B116" t="s">
        <v>130</v>
      </c>
      <c r="C116" t="s">
        <v>131</v>
      </c>
      <c r="D116" t="s">
        <v>15</v>
      </c>
      <c r="E116" t="s">
        <v>132</v>
      </c>
      <c r="F116" t="s">
        <v>133</v>
      </c>
      <c r="G116" s="2" t="s">
        <v>131</v>
      </c>
      <c r="H116" t="s">
        <v>64</v>
      </c>
      <c r="I116" s="35" t="s">
        <v>190</v>
      </c>
      <c r="J116" s="2" t="s">
        <v>191</v>
      </c>
      <c r="K116" t="s">
        <v>125</v>
      </c>
      <c r="L116" t="s">
        <v>166</v>
      </c>
      <c r="M116" s="2" t="s">
        <v>78</v>
      </c>
      <c r="N116" t="s">
        <v>126</v>
      </c>
      <c r="O116" t="s">
        <v>112</v>
      </c>
      <c r="P116" s="2" t="s">
        <v>20</v>
      </c>
      <c r="Q116" t="s">
        <v>64</v>
      </c>
      <c r="R116" t="s">
        <v>64</v>
      </c>
      <c r="S116" s="80" t="s">
        <v>91</v>
      </c>
      <c r="T116" t="s">
        <v>192</v>
      </c>
      <c r="U116" t="s">
        <v>193</v>
      </c>
      <c r="V116" s="2" t="s">
        <v>194</v>
      </c>
      <c r="W116" s="2" t="s">
        <v>65</v>
      </c>
      <c r="Z116" s="2" t="s">
        <v>141</v>
      </c>
      <c r="AA116" s="2" t="s">
        <v>142</v>
      </c>
      <c r="AB116" s="2" t="s">
        <v>66</v>
      </c>
      <c r="AC116" s="2" t="s">
        <v>67</v>
      </c>
    </row>
    <row r="117" spans="1:29" x14ac:dyDescent="0.25">
      <c r="A117" t="s">
        <v>124</v>
      </c>
      <c r="B117" t="s">
        <v>130</v>
      </c>
      <c r="C117" t="s">
        <v>131</v>
      </c>
      <c r="D117" t="s">
        <v>15</v>
      </c>
      <c r="E117" t="s">
        <v>132</v>
      </c>
      <c r="F117" t="s">
        <v>133</v>
      </c>
      <c r="G117" s="2" t="s">
        <v>131</v>
      </c>
      <c r="H117" t="s">
        <v>64</v>
      </c>
      <c r="I117" s="35" t="s">
        <v>190</v>
      </c>
      <c r="J117" s="2" t="s">
        <v>191</v>
      </c>
      <c r="K117" t="s">
        <v>125</v>
      </c>
      <c r="L117" t="s">
        <v>166</v>
      </c>
      <c r="M117" s="2" t="s">
        <v>78</v>
      </c>
      <c r="N117" t="s">
        <v>126</v>
      </c>
      <c r="O117" t="s">
        <v>116</v>
      </c>
      <c r="P117" s="2" t="s">
        <v>20</v>
      </c>
      <c r="Q117" t="s">
        <v>64</v>
      </c>
      <c r="R117" t="s">
        <v>64</v>
      </c>
      <c r="S117" s="80" t="s">
        <v>91</v>
      </c>
      <c r="T117" t="s">
        <v>192</v>
      </c>
      <c r="U117" t="s">
        <v>193</v>
      </c>
      <c r="V117" s="2" t="s">
        <v>194</v>
      </c>
      <c r="W117" s="2" t="s">
        <v>65</v>
      </c>
      <c r="Z117" s="2" t="s">
        <v>141</v>
      </c>
      <c r="AA117" s="2" t="s">
        <v>142</v>
      </c>
      <c r="AB117" s="2" t="s">
        <v>66</v>
      </c>
      <c r="AC117" s="2" t="s">
        <v>67</v>
      </c>
    </row>
    <row r="118" spans="1:29" x14ac:dyDescent="0.25">
      <c r="A118" t="s">
        <v>124</v>
      </c>
      <c r="B118" t="s">
        <v>130</v>
      </c>
      <c r="C118" t="s">
        <v>131</v>
      </c>
      <c r="D118" t="s">
        <v>15</v>
      </c>
      <c r="E118" t="s">
        <v>132</v>
      </c>
      <c r="F118" t="s">
        <v>133</v>
      </c>
      <c r="G118" s="2" t="s">
        <v>131</v>
      </c>
      <c r="H118" t="s">
        <v>64</v>
      </c>
      <c r="I118" s="35" t="s">
        <v>190</v>
      </c>
      <c r="J118" s="2" t="s">
        <v>191</v>
      </c>
      <c r="K118" t="s">
        <v>125</v>
      </c>
      <c r="L118" t="s">
        <v>166</v>
      </c>
      <c r="M118" s="2" t="s">
        <v>78</v>
      </c>
      <c r="N118" t="s">
        <v>126</v>
      </c>
      <c r="O118" t="s">
        <v>117</v>
      </c>
      <c r="P118" s="2" t="s">
        <v>195</v>
      </c>
      <c r="Q118" t="s">
        <v>64</v>
      </c>
      <c r="R118" t="s">
        <v>64</v>
      </c>
      <c r="S118" s="80" t="s">
        <v>91</v>
      </c>
      <c r="T118" t="s">
        <v>192</v>
      </c>
      <c r="U118" t="s">
        <v>193</v>
      </c>
      <c r="V118" s="2" t="s">
        <v>194</v>
      </c>
      <c r="W118" s="2" t="s">
        <v>65</v>
      </c>
      <c r="Z118" s="2" t="s">
        <v>141</v>
      </c>
      <c r="AA118" s="2" t="s">
        <v>142</v>
      </c>
      <c r="AB118" s="2" t="s">
        <v>66</v>
      </c>
      <c r="AC118" s="2" t="s">
        <v>67</v>
      </c>
    </row>
    <row r="119" spans="1:29" x14ac:dyDescent="0.25">
      <c r="A119" t="s">
        <v>124</v>
      </c>
      <c r="B119" t="s">
        <v>69</v>
      </c>
      <c r="C119" t="s">
        <v>8</v>
      </c>
      <c r="D119" t="s">
        <v>15</v>
      </c>
      <c r="E119" t="s">
        <v>79</v>
      </c>
      <c r="F119" t="s">
        <v>79</v>
      </c>
      <c r="G119" s="2" t="s">
        <v>69</v>
      </c>
      <c r="H119" t="s">
        <v>64</v>
      </c>
      <c r="I119" s="35" t="s">
        <v>196</v>
      </c>
      <c r="J119" s="2" t="s">
        <v>197</v>
      </c>
      <c r="K119" t="s">
        <v>125</v>
      </c>
      <c r="L119" t="s">
        <v>166</v>
      </c>
      <c r="M119" s="2" t="s">
        <v>78</v>
      </c>
      <c r="N119" t="s">
        <v>126</v>
      </c>
      <c r="O119" t="s">
        <v>92</v>
      </c>
      <c r="P119" s="2" t="s">
        <v>81</v>
      </c>
      <c r="Q119" t="s">
        <v>64</v>
      </c>
      <c r="R119" t="s">
        <v>64</v>
      </c>
      <c r="S119" s="80" t="s">
        <v>198</v>
      </c>
      <c r="T119" t="s">
        <v>199</v>
      </c>
      <c r="U119" t="s">
        <v>200</v>
      </c>
      <c r="V119" s="2" t="s">
        <v>201</v>
      </c>
      <c r="W119" s="2" t="s">
        <v>65</v>
      </c>
      <c r="Z119" s="2" t="s">
        <v>127</v>
      </c>
      <c r="AA119" s="2" t="s">
        <v>128</v>
      </c>
      <c r="AB119" s="2" t="s">
        <v>66</v>
      </c>
      <c r="AC119" s="2" t="s">
        <v>67</v>
      </c>
    </row>
    <row r="120" spans="1:29" x14ac:dyDescent="0.25">
      <c r="A120" t="s">
        <v>124</v>
      </c>
      <c r="B120" t="s">
        <v>69</v>
      </c>
      <c r="C120" t="s">
        <v>8</v>
      </c>
      <c r="D120" t="s">
        <v>15</v>
      </c>
      <c r="E120" t="s">
        <v>79</v>
      </c>
      <c r="F120" t="s">
        <v>79</v>
      </c>
      <c r="G120" s="2" t="s">
        <v>69</v>
      </c>
      <c r="H120" t="s">
        <v>64</v>
      </c>
      <c r="I120" s="35" t="s">
        <v>196</v>
      </c>
      <c r="J120" s="2" t="s">
        <v>197</v>
      </c>
      <c r="K120" t="s">
        <v>125</v>
      </c>
      <c r="L120" t="s">
        <v>166</v>
      </c>
      <c r="M120" s="2" t="s">
        <v>78</v>
      </c>
      <c r="N120" t="s">
        <v>126</v>
      </c>
      <c r="O120" t="s">
        <v>93</v>
      </c>
      <c r="P120" s="2" t="s">
        <v>81</v>
      </c>
      <c r="Q120" t="s">
        <v>64</v>
      </c>
      <c r="R120" t="s">
        <v>64</v>
      </c>
      <c r="S120" s="80" t="s">
        <v>198</v>
      </c>
      <c r="T120" t="s">
        <v>199</v>
      </c>
      <c r="U120" t="s">
        <v>200</v>
      </c>
      <c r="V120" s="2" t="s">
        <v>201</v>
      </c>
      <c r="W120" s="2" t="s">
        <v>65</v>
      </c>
      <c r="Z120" s="2" t="s">
        <v>127</v>
      </c>
      <c r="AA120" s="2" t="s">
        <v>128</v>
      </c>
      <c r="AB120" s="2" t="s">
        <v>66</v>
      </c>
      <c r="AC120" s="2" t="s">
        <v>67</v>
      </c>
    </row>
    <row r="121" spans="1:29" x14ac:dyDescent="0.25">
      <c r="A121" t="s">
        <v>124</v>
      </c>
      <c r="B121" t="s">
        <v>69</v>
      </c>
      <c r="C121" t="s">
        <v>8</v>
      </c>
      <c r="D121" t="s">
        <v>15</v>
      </c>
      <c r="E121" t="s">
        <v>79</v>
      </c>
      <c r="F121" t="s">
        <v>79</v>
      </c>
      <c r="G121" s="2" t="s">
        <v>69</v>
      </c>
      <c r="H121" t="s">
        <v>64</v>
      </c>
      <c r="I121" s="35" t="s">
        <v>196</v>
      </c>
      <c r="J121" s="2" t="s">
        <v>197</v>
      </c>
      <c r="K121" t="s">
        <v>125</v>
      </c>
      <c r="L121" t="s">
        <v>166</v>
      </c>
      <c r="M121" s="2" t="s">
        <v>78</v>
      </c>
      <c r="N121" t="s">
        <v>126</v>
      </c>
      <c r="O121" t="s">
        <v>94</v>
      </c>
      <c r="P121" s="2" t="s">
        <v>81</v>
      </c>
      <c r="Q121" t="s">
        <v>64</v>
      </c>
      <c r="R121" t="s">
        <v>64</v>
      </c>
      <c r="S121" s="80" t="s">
        <v>198</v>
      </c>
      <c r="T121" t="s">
        <v>199</v>
      </c>
      <c r="U121" t="s">
        <v>200</v>
      </c>
      <c r="V121" s="2" t="s">
        <v>201</v>
      </c>
      <c r="W121" s="2" t="s">
        <v>65</v>
      </c>
      <c r="Z121" s="2" t="s">
        <v>127</v>
      </c>
      <c r="AA121" s="2" t="s">
        <v>128</v>
      </c>
      <c r="AB121" s="2" t="s">
        <v>66</v>
      </c>
      <c r="AC121" s="2" t="s">
        <v>67</v>
      </c>
    </row>
    <row r="122" spans="1:29" x14ac:dyDescent="0.25">
      <c r="A122" t="s">
        <v>124</v>
      </c>
      <c r="B122" t="s">
        <v>69</v>
      </c>
      <c r="C122" t="s">
        <v>8</v>
      </c>
      <c r="D122" t="s">
        <v>15</v>
      </c>
      <c r="E122" t="s">
        <v>79</v>
      </c>
      <c r="F122" t="s">
        <v>79</v>
      </c>
      <c r="G122" s="2" t="s">
        <v>69</v>
      </c>
      <c r="H122" t="s">
        <v>64</v>
      </c>
      <c r="I122" s="35" t="s">
        <v>196</v>
      </c>
      <c r="J122" s="2" t="s">
        <v>197</v>
      </c>
      <c r="K122" t="s">
        <v>125</v>
      </c>
      <c r="L122" t="s">
        <v>166</v>
      </c>
      <c r="M122" s="2" t="s">
        <v>78</v>
      </c>
      <c r="N122" t="s">
        <v>126</v>
      </c>
      <c r="O122" t="s">
        <v>95</v>
      </c>
      <c r="P122" s="2" t="s">
        <v>81</v>
      </c>
      <c r="Q122" t="s">
        <v>64</v>
      </c>
      <c r="R122" t="s">
        <v>64</v>
      </c>
      <c r="S122" s="80" t="s">
        <v>198</v>
      </c>
      <c r="T122" t="s">
        <v>199</v>
      </c>
      <c r="U122" t="s">
        <v>200</v>
      </c>
      <c r="V122" s="2" t="s">
        <v>201</v>
      </c>
      <c r="W122" s="2" t="s">
        <v>65</v>
      </c>
      <c r="Z122" s="2" t="s">
        <v>127</v>
      </c>
      <c r="AA122" s="2" t="s">
        <v>128</v>
      </c>
      <c r="AB122" s="2" t="s">
        <v>66</v>
      </c>
      <c r="AC122" s="2" t="s">
        <v>67</v>
      </c>
    </row>
    <row r="123" spans="1:29" x14ac:dyDescent="0.25">
      <c r="A123" t="s">
        <v>124</v>
      </c>
      <c r="B123" t="s">
        <v>69</v>
      </c>
      <c r="C123" t="s">
        <v>8</v>
      </c>
      <c r="D123" t="s">
        <v>15</v>
      </c>
      <c r="E123" t="s">
        <v>79</v>
      </c>
      <c r="F123" t="s">
        <v>79</v>
      </c>
      <c r="G123" s="2" t="s">
        <v>69</v>
      </c>
      <c r="H123" t="s">
        <v>64</v>
      </c>
      <c r="I123" s="35" t="s">
        <v>196</v>
      </c>
      <c r="J123" s="2" t="s">
        <v>197</v>
      </c>
      <c r="K123" t="s">
        <v>125</v>
      </c>
      <c r="L123" t="s">
        <v>166</v>
      </c>
      <c r="M123" s="2" t="s">
        <v>78</v>
      </c>
      <c r="N123" t="s">
        <v>126</v>
      </c>
      <c r="O123" t="s">
        <v>35</v>
      </c>
      <c r="P123" s="2" t="s">
        <v>81</v>
      </c>
      <c r="Q123" t="s">
        <v>64</v>
      </c>
      <c r="R123" t="s">
        <v>64</v>
      </c>
      <c r="S123" s="80" t="s">
        <v>198</v>
      </c>
      <c r="T123" t="s">
        <v>199</v>
      </c>
      <c r="U123" t="s">
        <v>200</v>
      </c>
      <c r="V123" s="2" t="s">
        <v>201</v>
      </c>
      <c r="W123" s="2" t="s">
        <v>65</v>
      </c>
      <c r="Z123" s="2" t="s">
        <v>127</v>
      </c>
      <c r="AA123" s="2" t="s">
        <v>128</v>
      </c>
      <c r="AB123" s="2" t="s">
        <v>66</v>
      </c>
      <c r="AC123" s="2" t="s">
        <v>67</v>
      </c>
    </row>
    <row r="124" spans="1:29" x14ac:dyDescent="0.25">
      <c r="A124" t="s">
        <v>124</v>
      </c>
      <c r="B124" t="s">
        <v>69</v>
      </c>
      <c r="C124" t="s">
        <v>8</v>
      </c>
      <c r="D124" t="s">
        <v>15</v>
      </c>
      <c r="E124" t="s">
        <v>79</v>
      </c>
      <c r="F124" t="s">
        <v>79</v>
      </c>
      <c r="G124" s="2" t="s">
        <v>69</v>
      </c>
      <c r="H124" t="s">
        <v>64</v>
      </c>
      <c r="I124" s="35" t="s">
        <v>196</v>
      </c>
      <c r="J124" s="2" t="s">
        <v>197</v>
      </c>
      <c r="K124" t="s">
        <v>125</v>
      </c>
      <c r="L124" t="s">
        <v>166</v>
      </c>
      <c r="M124" s="2" t="s">
        <v>78</v>
      </c>
      <c r="N124" t="s">
        <v>126</v>
      </c>
      <c r="O124" t="s">
        <v>96</v>
      </c>
      <c r="P124" s="2" t="s">
        <v>81</v>
      </c>
      <c r="Q124" t="s">
        <v>64</v>
      </c>
      <c r="R124" t="s">
        <v>64</v>
      </c>
      <c r="S124" s="80" t="s">
        <v>198</v>
      </c>
      <c r="T124" t="s">
        <v>199</v>
      </c>
      <c r="U124" t="s">
        <v>200</v>
      </c>
      <c r="V124" s="2" t="s">
        <v>201</v>
      </c>
      <c r="W124" s="2" t="s">
        <v>65</v>
      </c>
      <c r="Z124" s="2" t="s">
        <v>127</v>
      </c>
      <c r="AA124" s="2" t="s">
        <v>128</v>
      </c>
      <c r="AB124" s="2" t="s">
        <v>66</v>
      </c>
      <c r="AC124" s="2" t="s">
        <v>67</v>
      </c>
    </row>
    <row r="125" spans="1:29" x14ac:dyDescent="0.25">
      <c r="A125" t="s">
        <v>124</v>
      </c>
      <c r="B125" t="s">
        <v>69</v>
      </c>
      <c r="C125" t="s">
        <v>8</v>
      </c>
      <c r="D125" t="s">
        <v>15</v>
      </c>
      <c r="E125" t="s">
        <v>79</v>
      </c>
      <c r="F125" t="s">
        <v>79</v>
      </c>
      <c r="G125" s="2" t="s">
        <v>69</v>
      </c>
      <c r="H125" t="s">
        <v>64</v>
      </c>
      <c r="I125" s="35" t="s">
        <v>196</v>
      </c>
      <c r="J125" s="2" t="s">
        <v>197</v>
      </c>
      <c r="K125" t="s">
        <v>125</v>
      </c>
      <c r="L125" t="s">
        <v>166</v>
      </c>
      <c r="M125" s="2" t="s">
        <v>78</v>
      </c>
      <c r="N125" t="s">
        <v>126</v>
      </c>
      <c r="O125" t="s">
        <v>97</v>
      </c>
      <c r="P125" s="2" t="s">
        <v>81</v>
      </c>
      <c r="Q125" t="s">
        <v>64</v>
      </c>
      <c r="R125" t="s">
        <v>64</v>
      </c>
      <c r="S125" s="80" t="s">
        <v>198</v>
      </c>
      <c r="T125" t="s">
        <v>199</v>
      </c>
      <c r="U125" t="s">
        <v>200</v>
      </c>
      <c r="V125" s="2" t="s">
        <v>201</v>
      </c>
      <c r="W125" s="2" t="s">
        <v>65</v>
      </c>
      <c r="Z125" s="2" t="s">
        <v>127</v>
      </c>
      <c r="AA125" s="2" t="s">
        <v>128</v>
      </c>
      <c r="AB125" s="2" t="s">
        <v>66</v>
      </c>
      <c r="AC125" s="2" t="s">
        <v>67</v>
      </c>
    </row>
    <row r="126" spans="1:29" x14ac:dyDescent="0.25">
      <c r="A126" t="s">
        <v>124</v>
      </c>
      <c r="B126" t="s">
        <v>69</v>
      </c>
      <c r="C126" t="s">
        <v>8</v>
      </c>
      <c r="D126" t="s">
        <v>15</v>
      </c>
      <c r="E126" t="s">
        <v>79</v>
      </c>
      <c r="F126" t="s">
        <v>79</v>
      </c>
      <c r="G126" s="2" t="s">
        <v>69</v>
      </c>
      <c r="H126" t="s">
        <v>64</v>
      </c>
      <c r="I126" s="35" t="s">
        <v>196</v>
      </c>
      <c r="J126" s="2" t="s">
        <v>197</v>
      </c>
      <c r="K126" t="s">
        <v>125</v>
      </c>
      <c r="L126" t="s">
        <v>166</v>
      </c>
      <c r="M126" s="2" t="s">
        <v>78</v>
      </c>
      <c r="N126" t="s">
        <v>126</v>
      </c>
      <c r="O126" t="s">
        <v>98</v>
      </c>
      <c r="P126" s="2" t="s">
        <v>81</v>
      </c>
      <c r="Q126" t="s">
        <v>64</v>
      </c>
      <c r="R126" t="s">
        <v>64</v>
      </c>
      <c r="S126" s="80" t="s">
        <v>198</v>
      </c>
      <c r="T126" t="s">
        <v>199</v>
      </c>
      <c r="U126" t="s">
        <v>200</v>
      </c>
      <c r="V126" s="2" t="s">
        <v>201</v>
      </c>
      <c r="W126" s="2" t="s">
        <v>65</v>
      </c>
      <c r="Z126" s="2" t="s">
        <v>127</v>
      </c>
      <c r="AA126" s="2" t="s">
        <v>128</v>
      </c>
      <c r="AB126" s="2" t="s">
        <v>66</v>
      </c>
      <c r="AC126" s="2" t="s">
        <v>67</v>
      </c>
    </row>
    <row r="127" spans="1:29" x14ac:dyDescent="0.25">
      <c r="A127" t="s">
        <v>124</v>
      </c>
      <c r="B127" t="s">
        <v>69</v>
      </c>
      <c r="C127" t="s">
        <v>8</v>
      </c>
      <c r="D127" t="s">
        <v>15</v>
      </c>
      <c r="E127" t="s">
        <v>79</v>
      </c>
      <c r="F127" t="s">
        <v>79</v>
      </c>
      <c r="G127" s="2" t="s">
        <v>69</v>
      </c>
      <c r="H127" t="s">
        <v>64</v>
      </c>
      <c r="I127" s="35" t="s">
        <v>196</v>
      </c>
      <c r="J127" s="2" t="s">
        <v>197</v>
      </c>
      <c r="K127" t="s">
        <v>125</v>
      </c>
      <c r="L127" t="s">
        <v>166</v>
      </c>
      <c r="M127" s="2" t="s">
        <v>78</v>
      </c>
      <c r="N127" t="s">
        <v>126</v>
      </c>
      <c r="O127" t="s">
        <v>99</v>
      </c>
      <c r="P127" s="2" t="s">
        <v>81</v>
      </c>
      <c r="Q127" t="s">
        <v>64</v>
      </c>
      <c r="R127" t="s">
        <v>64</v>
      </c>
      <c r="S127" s="80" t="s">
        <v>198</v>
      </c>
      <c r="T127" t="s">
        <v>199</v>
      </c>
      <c r="U127" t="s">
        <v>200</v>
      </c>
      <c r="V127" s="2" t="s">
        <v>201</v>
      </c>
      <c r="W127" s="2" t="s">
        <v>65</v>
      </c>
      <c r="Z127" s="2" t="s">
        <v>127</v>
      </c>
      <c r="AA127" s="2" t="s">
        <v>128</v>
      </c>
      <c r="AB127" s="2" t="s">
        <v>66</v>
      </c>
      <c r="AC127" s="2" t="s">
        <v>67</v>
      </c>
    </row>
    <row r="128" spans="1:29" x14ac:dyDescent="0.25">
      <c r="A128" t="s">
        <v>124</v>
      </c>
      <c r="B128" t="s">
        <v>69</v>
      </c>
      <c r="C128" t="s">
        <v>8</v>
      </c>
      <c r="D128" t="s">
        <v>15</v>
      </c>
      <c r="E128" t="s">
        <v>79</v>
      </c>
      <c r="F128" t="s">
        <v>79</v>
      </c>
      <c r="G128" s="2" t="s">
        <v>69</v>
      </c>
      <c r="H128" t="s">
        <v>64</v>
      </c>
      <c r="I128" s="35" t="s">
        <v>196</v>
      </c>
      <c r="J128" s="2" t="s">
        <v>197</v>
      </c>
      <c r="K128" t="s">
        <v>125</v>
      </c>
      <c r="L128" t="s">
        <v>166</v>
      </c>
      <c r="M128" s="2" t="s">
        <v>78</v>
      </c>
      <c r="N128" t="s">
        <v>126</v>
      </c>
      <c r="O128" t="s">
        <v>100</v>
      </c>
      <c r="P128" s="2" t="s">
        <v>81</v>
      </c>
      <c r="Q128" t="s">
        <v>64</v>
      </c>
      <c r="R128" t="s">
        <v>64</v>
      </c>
      <c r="S128" s="80" t="s">
        <v>198</v>
      </c>
      <c r="T128" t="s">
        <v>199</v>
      </c>
      <c r="U128" t="s">
        <v>200</v>
      </c>
      <c r="V128" s="2" t="s">
        <v>201</v>
      </c>
      <c r="W128" s="2" t="s">
        <v>65</v>
      </c>
      <c r="Z128" s="2" t="s">
        <v>127</v>
      </c>
      <c r="AA128" s="2" t="s">
        <v>128</v>
      </c>
      <c r="AB128" s="2" t="s">
        <v>66</v>
      </c>
      <c r="AC128" s="2" t="s">
        <v>67</v>
      </c>
    </row>
    <row r="129" spans="1:29" x14ac:dyDescent="0.25">
      <c r="A129" t="s">
        <v>124</v>
      </c>
      <c r="B129" t="s">
        <v>69</v>
      </c>
      <c r="C129" t="s">
        <v>8</v>
      </c>
      <c r="D129" t="s">
        <v>15</v>
      </c>
      <c r="E129" t="s">
        <v>79</v>
      </c>
      <c r="F129" t="s">
        <v>79</v>
      </c>
      <c r="G129" s="2" t="s">
        <v>69</v>
      </c>
      <c r="H129" t="s">
        <v>64</v>
      </c>
      <c r="I129" s="35" t="s">
        <v>196</v>
      </c>
      <c r="J129" s="2" t="s">
        <v>197</v>
      </c>
      <c r="K129" t="s">
        <v>125</v>
      </c>
      <c r="L129" t="s">
        <v>166</v>
      </c>
      <c r="M129" s="2" t="s">
        <v>78</v>
      </c>
      <c r="N129" t="s">
        <v>126</v>
      </c>
      <c r="O129" t="s">
        <v>101</v>
      </c>
      <c r="P129" s="2" t="s">
        <v>81</v>
      </c>
      <c r="Q129" t="s">
        <v>64</v>
      </c>
      <c r="R129" t="s">
        <v>64</v>
      </c>
      <c r="S129" s="80" t="s">
        <v>198</v>
      </c>
      <c r="T129" t="s">
        <v>199</v>
      </c>
      <c r="U129" t="s">
        <v>200</v>
      </c>
      <c r="V129" s="2" t="s">
        <v>201</v>
      </c>
      <c r="W129" s="2" t="s">
        <v>65</v>
      </c>
      <c r="Z129" s="2" t="s">
        <v>127</v>
      </c>
      <c r="AA129" s="2" t="s">
        <v>128</v>
      </c>
      <c r="AB129" s="2" t="s">
        <v>66</v>
      </c>
      <c r="AC129" s="2" t="s">
        <v>67</v>
      </c>
    </row>
    <row r="130" spans="1:29" x14ac:dyDescent="0.25">
      <c r="A130" t="s">
        <v>124</v>
      </c>
      <c r="B130" t="s">
        <v>69</v>
      </c>
      <c r="C130" t="s">
        <v>8</v>
      </c>
      <c r="D130" t="s">
        <v>15</v>
      </c>
      <c r="E130" t="s">
        <v>79</v>
      </c>
      <c r="F130" t="s">
        <v>79</v>
      </c>
      <c r="G130" s="2" t="s">
        <v>69</v>
      </c>
      <c r="H130" t="s">
        <v>64</v>
      </c>
      <c r="I130" s="35" t="s">
        <v>196</v>
      </c>
      <c r="J130" s="2" t="s">
        <v>197</v>
      </c>
      <c r="K130" t="s">
        <v>125</v>
      </c>
      <c r="L130" t="s">
        <v>166</v>
      </c>
      <c r="M130" s="2" t="s">
        <v>78</v>
      </c>
      <c r="N130" t="s">
        <v>126</v>
      </c>
      <c r="O130" t="s">
        <v>102</v>
      </c>
      <c r="P130" s="2" t="s">
        <v>81</v>
      </c>
      <c r="Q130" t="s">
        <v>64</v>
      </c>
      <c r="R130" t="s">
        <v>64</v>
      </c>
      <c r="S130" s="80" t="s">
        <v>198</v>
      </c>
      <c r="T130" t="s">
        <v>199</v>
      </c>
      <c r="U130" t="s">
        <v>200</v>
      </c>
      <c r="V130" s="2" t="s">
        <v>201</v>
      </c>
      <c r="W130" s="2" t="s">
        <v>65</v>
      </c>
      <c r="Z130" s="2" t="s">
        <v>127</v>
      </c>
      <c r="AA130" s="2" t="s">
        <v>128</v>
      </c>
      <c r="AB130" s="2" t="s">
        <v>66</v>
      </c>
      <c r="AC130" s="2" t="s">
        <v>67</v>
      </c>
    </row>
    <row r="131" spans="1:29" x14ac:dyDescent="0.25">
      <c r="A131" t="s">
        <v>124</v>
      </c>
      <c r="B131" t="s">
        <v>69</v>
      </c>
      <c r="C131" t="s">
        <v>8</v>
      </c>
      <c r="D131" t="s">
        <v>15</v>
      </c>
      <c r="E131" t="s">
        <v>79</v>
      </c>
      <c r="F131" t="s">
        <v>79</v>
      </c>
      <c r="G131" s="2" t="s">
        <v>69</v>
      </c>
      <c r="H131" t="s">
        <v>64</v>
      </c>
      <c r="I131" s="35" t="s">
        <v>196</v>
      </c>
      <c r="J131" s="2" t="s">
        <v>197</v>
      </c>
      <c r="K131" t="s">
        <v>125</v>
      </c>
      <c r="L131" t="s">
        <v>166</v>
      </c>
      <c r="M131" s="2" t="s">
        <v>78</v>
      </c>
      <c r="N131" t="s">
        <v>126</v>
      </c>
      <c r="O131" t="s">
        <v>103</v>
      </c>
      <c r="P131" s="2" t="s">
        <v>81</v>
      </c>
      <c r="Q131" t="s">
        <v>64</v>
      </c>
      <c r="R131" t="s">
        <v>64</v>
      </c>
      <c r="S131" s="80" t="s">
        <v>198</v>
      </c>
      <c r="T131" t="s">
        <v>199</v>
      </c>
      <c r="U131" t="s">
        <v>200</v>
      </c>
      <c r="V131" s="2" t="s">
        <v>201</v>
      </c>
      <c r="W131" s="2" t="s">
        <v>65</v>
      </c>
      <c r="Z131" s="2" t="s">
        <v>127</v>
      </c>
      <c r="AA131" s="2" t="s">
        <v>128</v>
      </c>
      <c r="AB131" s="2" t="s">
        <v>66</v>
      </c>
      <c r="AC131" s="2" t="s">
        <v>67</v>
      </c>
    </row>
    <row r="132" spans="1:29" x14ac:dyDescent="0.25">
      <c r="A132" t="s">
        <v>124</v>
      </c>
      <c r="B132" t="s">
        <v>69</v>
      </c>
      <c r="C132" t="s">
        <v>8</v>
      </c>
      <c r="D132" t="s">
        <v>15</v>
      </c>
      <c r="E132" t="s">
        <v>79</v>
      </c>
      <c r="F132" t="s">
        <v>79</v>
      </c>
      <c r="G132" s="2" t="s">
        <v>69</v>
      </c>
      <c r="H132" t="s">
        <v>64</v>
      </c>
      <c r="I132" s="35" t="s">
        <v>196</v>
      </c>
      <c r="J132" s="2" t="s">
        <v>197</v>
      </c>
      <c r="K132" t="s">
        <v>125</v>
      </c>
      <c r="L132" t="s">
        <v>166</v>
      </c>
      <c r="M132" s="2" t="s">
        <v>78</v>
      </c>
      <c r="N132" t="s">
        <v>126</v>
      </c>
      <c r="O132" t="s">
        <v>104</v>
      </c>
      <c r="P132" s="2" t="s">
        <v>81</v>
      </c>
      <c r="Q132" t="s">
        <v>64</v>
      </c>
      <c r="R132" t="s">
        <v>64</v>
      </c>
      <c r="S132" s="80" t="s">
        <v>198</v>
      </c>
      <c r="T132" t="s">
        <v>199</v>
      </c>
      <c r="U132" t="s">
        <v>200</v>
      </c>
      <c r="V132" s="2" t="s">
        <v>201</v>
      </c>
      <c r="W132" s="2" t="s">
        <v>65</v>
      </c>
      <c r="Z132" s="2" t="s">
        <v>127</v>
      </c>
      <c r="AA132" s="2" t="s">
        <v>128</v>
      </c>
      <c r="AB132" s="2" t="s">
        <v>66</v>
      </c>
      <c r="AC132" s="2" t="s">
        <v>67</v>
      </c>
    </row>
    <row r="133" spans="1:29" x14ac:dyDescent="0.25">
      <c r="A133" t="s">
        <v>124</v>
      </c>
      <c r="B133" t="s">
        <v>69</v>
      </c>
      <c r="C133" t="s">
        <v>8</v>
      </c>
      <c r="D133" t="s">
        <v>15</v>
      </c>
      <c r="E133" t="s">
        <v>79</v>
      </c>
      <c r="F133" t="s">
        <v>79</v>
      </c>
      <c r="G133" s="2" t="s">
        <v>69</v>
      </c>
      <c r="H133" t="s">
        <v>64</v>
      </c>
      <c r="I133" s="35" t="s">
        <v>196</v>
      </c>
      <c r="J133" s="2" t="s">
        <v>197</v>
      </c>
      <c r="K133" t="s">
        <v>125</v>
      </c>
      <c r="L133" t="s">
        <v>166</v>
      </c>
      <c r="M133" s="2" t="s">
        <v>78</v>
      </c>
      <c r="N133" t="s">
        <v>126</v>
      </c>
      <c r="O133" t="s">
        <v>105</v>
      </c>
      <c r="P133" s="2" t="s">
        <v>81</v>
      </c>
      <c r="Q133" t="s">
        <v>64</v>
      </c>
      <c r="R133" t="s">
        <v>64</v>
      </c>
      <c r="S133" s="80" t="s">
        <v>198</v>
      </c>
      <c r="T133" t="s">
        <v>199</v>
      </c>
      <c r="U133" t="s">
        <v>200</v>
      </c>
      <c r="V133" s="2" t="s">
        <v>201</v>
      </c>
      <c r="W133" s="2" t="s">
        <v>65</v>
      </c>
      <c r="Z133" s="2" t="s">
        <v>127</v>
      </c>
      <c r="AA133" s="2" t="s">
        <v>128</v>
      </c>
      <c r="AB133" s="2" t="s">
        <v>66</v>
      </c>
      <c r="AC133" s="2" t="s">
        <v>67</v>
      </c>
    </row>
    <row r="134" spans="1:29" x14ac:dyDescent="0.25">
      <c r="A134" t="s">
        <v>124</v>
      </c>
      <c r="B134" t="s">
        <v>69</v>
      </c>
      <c r="C134" t="s">
        <v>8</v>
      </c>
      <c r="D134" t="s">
        <v>15</v>
      </c>
      <c r="E134" t="s">
        <v>79</v>
      </c>
      <c r="F134" t="s">
        <v>79</v>
      </c>
      <c r="G134" s="2" t="s">
        <v>69</v>
      </c>
      <c r="H134" t="s">
        <v>64</v>
      </c>
      <c r="I134" s="35" t="s">
        <v>196</v>
      </c>
      <c r="J134" s="2" t="s">
        <v>197</v>
      </c>
      <c r="K134" t="s">
        <v>125</v>
      </c>
      <c r="L134" t="s">
        <v>166</v>
      </c>
      <c r="M134" s="2" t="s">
        <v>78</v>
      </c>
      <c r="N134" t="s">
        <v>126</v>
      </c>
      <c r="O134" t="s">
        <v>106</v>
      </c>
      <c r="P134" s="2" t="s">
        <v>81</v>
      </c>
      <c r="Q134" t="s">
        <v>64</v>
      </c>
      <c r="R134" t="s">
        <v>64</v>
      </c>
      <c r="S134" s="80" t="s">
        <v>198</v>
      </c>
      <c r="T134" t="s">
        <v>199</v>
      </c>
      <c r="U134" t="s">
        <v>200</v>
      </c>
      <c r="V134" s="2" t="s">
        <v>201</v>
      </c>
      <c r="W134" s="2" t="s">
        <v>65</v>
      </c>
      <c r="Z134" s="2" t="s">
        <v>127</v>
      </c>
      <c r="AA134" s="2" t="s">
        <v>128</v>
      </c>
      <c r="AB134" s="2" t="s">
        <v>66</v>
      </c>
      <c r="AC134" s="2" t="s">
        <v>67</v>
      </c>
    </row>
    <row r="135" spans="1:29" x14ac:dyDescent="0.25">
      <c r="A135" t="s">
        <v>124</v>
      </c>
      <c r="B135" t="s">
        <v>69</v>
      </c>
      <c r="C135" t="s">
        <v>8</v>
      </c>
      <c r="D135" t="s">
        <v>15</v>
      </c>
      <c r="E135" t="s">
        <v>79</v>
      </c>
      <c r="F135" t="s">
        <v>79</v>
      </c>
      <c r="G135" s="2" t="s">
        <v>69</v>
      </c>
      <c r="H135" t="s">
        <v>64</v>
      </c>
      <c r="I135" s="35" t="s">
        <v>196</v>
      </c>
      <c r="J135" s="2" t="s">
        <v>197</v>
      </c>
      <c r="K135" t="s">
        <v>125</v>
      </c>
      <c r="L135" t="s">
        <v>166</v>
      </c>
      <c r="M135" s="2" t="s">
        <v>78</v>
      </c>
      <c r="N135" t="s">
        <v>126</v>
      </c>
      <c r="O135" t="s">
        <v>107</v>
      </c>
      <c r="P135" s="2" t="s">
        <v>81</v>
      </c>
      <c r="Q135" t="s">
        <v>64</v>
      </c>
      <c r="R135" t="s">
        <v>64</v>
      </c>
      <c r="S135" s="80" t="s">
        <v>198</v>
      </c>
      <c r="T135" t="s">
        <v>199</v>
      </c>
      <c r="U135" t="s">
        <v>200</v>
      </c>
      <c r="V135" s="2" t="s">
        <v>201</v>
      </c>
      <c r="W135" s="2" t="s">
        <v>65</v>
      </c>
      <c r="Z135" s="2" t="s">
        <v>127</v>
      </c>
      <c r="AA135" s="2" t="s">
        <v>128</v>
      </c>
      <c r="AB135" s="2" t="s">
        <v>66</v>
      </c>
      <c r="AC135" s="2" t="s">
        <v>67</v>
      </c>
    </row>
    <row r="136" spans="1:29" x14ac:dyDescent="0.25">
      <c r="A136" t="s">
        <v>124</v>
      </c>
      <c r="B136" t="s">
        <v>69</v>
      </c>
      <c r="C136" t="s">
        <v>8</v>
      </c>
      <c r="D136" t="s">
        <v>15</v>
      </c>
      <c r="E136" t="s">
        <v>79</v>
      </c>
      <c r="F136" t="s">
        <v>79</v>
      </c>
      <c r="G136" s="2" t="s">
        <v>69</v>
      </c>
      <c r="H136" t="s">
        <v>64</v>
      </c>
      <c r="I136" s="35" t="s">
        <v>196</v>
      </c>
      <c r="J136" s="2" t="s">
        <v>197</v>
      </c>
      <c r="K136" t="s">
        <v>125</v>
      </c>
      <c r="L136" t="s">
        <v>166</v>
      </c>
      <c r="M136" s="2" t="s">
        <v>78</v>
      </c>
      <c r="N136" t="s">
        <v>126</v>
      </c>
      <c r="O136" t="s">
        <v>108</v>
      </c>
      <c r="P136" s="2" t="s">
        <v>81</v>
      </c>
      <c r="Q136" t="s">
        <v>64</v>
      </c>
      <c r="R136" t="s">
        <v>64</v>
      </c>
      <c r="S136" s="80" t="s">
        <v>198</v>
      </c>
      <c r="T136" t="s">
        <v>199</v>
      </c>
      <c r="U136" t="s">
        <v>200</v>
      </c>
      <c r="V136" s="2" t="s">
        <v>201</v>
      </c>
      <c r="W136" s="2" t="s">
        <v>65</v>
      </c>
      <c r="Z136" s="2" t="s">
        <v>127</v>
      </c>
      <c r="AA136" s="2" t="s">
        <v>128</v>
      </c>
      <c r="AB136" s="2" t="s">
        <v>66</v>
      </c>
      <c r="AC136" s="2" t="s">
        <v>67</v>
      </c>
    </row>
    <row r="137" spans="1:29" x14ac:dyDescent="0.25">
      <c r="A137" t="s">
        <v>124</v>
      </c>
      <c r="B137" t="s">
        <v>69</v>
      </c>
      <c r="C137" t="s">
        <v>8</v>
      </c>
      <c r="D137" t="s">
        <v>15</v>
      </c>
      <c r="E137" t="s">
        <v>79</v>
      </c>
      <c r="F137" t="s">
        <v>79</v>
      </c>
      <c r="G137" s="2" t="s">
        <v>69</v>
      </c>
      <c r="H137" t="s">
        <v>64</v>
      </c>
      <c r="I137" s="35" t="s">
        <v>196</v>
      </c>
      <c r="J137" s="2" t="s">
        <v>197</v>
      </c>
      <c r="K137" t="s">
        <v>125</v>
      </c>
      <c r="L137" t="s">
        <v>166</v>
      </c>
      <c r="M137" s="2" t="s">
        <v>78</v>
      </c>
      <c r="N137" t="s">
        <v>126</v>
      </c>
      <c r="O137" t="s">
        <v>109</v>
      </c>
      <c r="P137" s="2" t="s">
        <v>81</v>
      </c>
      <c r="Q137" t="s">
        <v>64</v>
      </c>
      <c r="R137" t="s">
        <v>64</v>
      </c>
      <c r="S137" s="80" t="s">
        <v>198</v>
      </c>
      <c r="T137" t="s">
        <v>199</v>
      </c>
      <c r="U137" t="s">
        <v>200</v>
      </c>
      <c r="V137" s="2" t="s">
        <v>201</v>
      </c>
      <c r="W137" s="2" t="s">
        <v>65</v>
      </c>
      <c r="Z137" s="2" t="s">
        <v>127</v>
      </c>
      <c r="AA137" s="2" t="s">
        <v>128</v>
      </c>
      <c r="AB137" s="2" t="s">
        <v>66</v>
      </c>
      <c r="AC137" s="2" t="s">
        <v>67</v>
      </c>
    </row>
    <row r="138" spans="1:29" x14ac:dyDescent="0.25">
      <c r="A138" t="s">
        <v>124</v>
      </c>
      <c r="B138" t="s">
        <v>69</v>
      </c>
      <c r="C138" t="s">
        <v>8</v>
      </c>
      <c r="D138" t="s">
        <v>15</v>
      </c>
      <c r="E138" t="s">
        <v>79</v>
      </c>
      <c r="F138" t="s">
        <v>79</v>
      </c>
      <c r="G138" s="2" t="s">
        <v>69</v>
      </c>
      <c r="H138" t="s">
        <v>64</v>
      </c>
      <c r="I138" s="35" t="s">
        <v>196</v>
      </c>
      <c r="J138" s="2" t="s">
        <v>197</v>
      </c>
      <c r="K138" t="s">
        <v>125</v>
      </c>
      <c r="L138" t="s">
        <v>166</v>
      </c>
      <c r="M138" s="2" t="s">
        <v>78</v>
      </c>
      <c r="N138" t="s">
        <v>126</v>
      </c>
      <c r="O138" t="s">
        <v>110</v>
      </c>
      <c r="P138" s="2" t="s">
        <v>15</v>
      </c>
      <c r="Q138" t="s">
        <v>64</v>
      </c>
      <c r="R138" t="s">
        <v>64</v>
      </c>
      <c r="S138" s="80" t="s">
        <v>198</v>
      </c>
      <c r="T138" t="s">
        <v>199</v>
      </c>
      <c r="U138" t="s">
        <v>200</v>
      </c>
      <c r="V138" s="2" t="s">
        <v>201</v>
      </c>
      <c r="W138" s="2" t="s">
        <v>65</v>
      </c>
      <c r="Z138" s="2" t="s">
        <v>127</v>
      </c>
      <c r="AA138" s="2" t="s">
        <v>128</v>
      </c>
      <c r="AB138" s="2" t="s">
        <v>66</v>
      </c>
      <c r="AC138" s="2" t="s">
        <v>67</v>
      </c>
    </row>
    <row r="139" spans="1:29" x14ac:dyDescent="0.25">
      <c r="A139" t="s">
        <v>124</v>
      </c>
      <c r="B139" t="s">
        <v>69</v>
      </c>
      <c r="C139" t="s">
        <v>8</v>
      </c>
      <c r="D139" t="s">
        <v>15</v>
      </c>
      <c r="E139" t="s">
        <v>79</v>
      </c>
      <c r="F139" t="s">
        <v>79</v>
      </c>
      <c r="G139" s="2" t="s">
        <v>69</v>
      </c>
      <c r="H139" t="s">
        <v>64</v>
      </c>
      <c r="I139" s="35" t="s">
        <v>196</v>
      </c>
      <c r="J139" s="2" t="s">
        <v>197</v>
      </c>
      <c r="K139" t="s">
        <v>125</v>
      </c>
      <c r="L139" t="s">
        <v>166</v>
      </c>
      <c r="M139" s="2" t="s">
        <v>78</v>
      </c>
      <c r="N139" t="s">
        <v>126</v>
      </c>
      <c r="O139" t="s">
        <v>111</v>
      </c>
      <c r="P139" s="2" t="s">
        <v>81</v>
      </c>
      <c r="Q139" t="s">
        <v>64</v>
      </c>
      <c r="R139" t="s">
        <v>64</v>
      </c>
      <c r="S139" s="80" t="s">
        <v>198</v>
      </c>
      <c r="T139" t="s">
        <v>199</v>
      </c>
      <c r="U139" t="s">
        <v>200</v>
      </c>
      <c r="V139" s="2" t="s">
        <v>201</v>
      </c>
      <c r="W139" s="2" t="s">
        <v>65</v>
      </c>
      <c r="Z139" s="2" t="s">
        <v>127</v>
      </c>
      <c r="AA139" s="2" t="s">
        <v>128</v>
      </c>
      <c r="AB139" s="2" t="s">
        <v>66</v>
      </c>
      <c r="AC139" s="2" t="s">
        <v>67</v>
      </c>
    </row>
    <row r="140" spans="1:29" x14ac:dyDescent="0.25">
      <c r="A140" t="s">
        <v>124</v>
      </c>
      <c r="B140" t="s">
        <v>69</v>
      </c>
      <c r="C140" t="s">
        <v>8</v>
      </c>
      <c r="D140" t="s">
        <v>15</v>
      </c>
      <c r="E140" t="s">
        <v>79</v>
      </c>
      <c r="F140" t="s">
        <v>79</v>
      </c>
      <c r="G140" s="2" t="s">
        <v>69</v>
      </c>
      <c r="H140" t="s">
        <v>64</v>
      </c>
      <c r="I140" s="35" t="s">
        <v>196</v>
      </c>
      <c r="J140" s="2" t="s">
        <v>197</v>
      </c>
      <c r="K140" t="s">
        <v>125</v>
      </c>
      <c r="L140" t="s">
        <v>166</v>
      </c>
      <c r="M140" s="2" t="s">
        <v>78</v>
      </c>
      <c r="N140" t="s">
        <v>126</v>
      </c>
      <c r="O140" t="s">
        <v>112</v>
      </c>
      <c r="P140" s="2" t="s">
        <v>81</v>
      </c>
      <c r="Q140" t="s">
        <v>64</v>
      </c>
      <c r="R140" t="s">
        <v>64</v>
      </c>
      <c r="S140" s="80" t="s">
        <v>198</v>
      </c>
      <c r="T140" t="s">
        <v>199</v>
      </c>
      <c r="U140" t="s">
        <v>200</v>
      </c>
      <c r="V140" s="2" t="s">
        <v>201</v>
      </c>
      <c r="W140" s="2" t="s">
        <v>65</v>
      </c>
      <c r="Z140" s="2" t="s">
        <v>127</v>
      </c>
      <c r="AA140" s="2" t="s">
        <v>128</v>
      </c>
      <c r="AB140" s="2" t="s">
        <v>66</v>
      </c>
      <c r="AC140" s="2" t="s">
        <v>67</v>
      </c>
    </row>
    <row r="141" spans="1:29" x14ac:dyDescent="0.25">
      <c r="A141" t="s">
        <v>124</v>
      </c>
      <c r="B141" t="s">
        <v>69</v>
      </c>
      <c r="C141" t="s">
        <v>8</v>
      </c>
      <c r="D141" t="s">
        <v>15</v>
      </c>
      <c r="E141" t="s">
        <v>79</v>
      </c>
      <c r="F141" t="s">
        <v>79</v>
      </c>
      <c r="G141" s="2" t="s">
        <v>69</v>
      </c>
      <c r="H141" t="s">
        <v>64</v>
      </c>
      <c r="I141" s="35" t="s">
        <v>196</v>
      </c>
      <c r="J141" s="2" t="s">
        <v>197</v>
      </c>
      <c r="K141" t="s">
        <v>125</v>
      </c>
      <c r="L141" t="s">
        <v>166</v>
      </c>
      <c r="M141" s="2" t="s">
        <v>78</v>
      </c>
      <c r="N141" t="s">
        <v>126</v>
      </c>
      <c r="O141" t="s">
        <v>116</v>
      </c>
      <c r="P141" s="2" t="s">
        <v>20</v>
      </c>
      <c r="Q141" t="s">
        <v>64</v>
      </c>
      <c r="R141" t="s">
        <v>64</v>
      </c>
      <c r="S141" s="80" t="s">
        <v>198</v>
      </c>
      <c r="T141" t="s">
        <v>199</v>
      </c>
      <c r="U141" t="s">
        <v>200</v>
      </c>
      <c r="V141" s="2" t="s">
        <v>201</v>
      </c>
      <c r="W141" s="2" t="s">
        <v>65</v>
      </c>
      <c r="Z141" s="2" t="s">
        <v>127</v>
      </c>
      <c r="AA141" s="2" t="s">
        <v>128</v>
      </c>
      <c r="AB141" s="2" t="s">
        <v>66</v>
      </c>
      <c r="AC141" s="2" t="s">
        <v>67</v>
      </c>
    </row>
    <row r="142" spans="1:29" x14ac:dyDescent="0.25">
      <c r="A142" t="s">
        <v>124</v>
      </c>
      <c r="B142" t="s">
        <v>69</v>
      </c>
      <c r="C142" t="s">
        <v>8</v>
      </c>
      <c r="D142" t="s">
        <v>15</v>
      </c>
      <c r="E142" t="s">
        <v>79</v>
      </c>
      <c r="F142" t="s">
        <v>79</v>
      </c>
      <c r="G142" s="2" t="s">
        <v>69</v>
      </c>
      <c r="H142" t="s">
        <v>64</v>
      </c>
      <c r="I142" s="35" t="s">
        <v>196</v>
      </c>
      <c r="J142" s="2" t="s">
        <v>197</v>
      </c>
      <c r="K142" t="s">
        <v>125</v>
      </c>
      <c r="L142" t="s">
        <v>166</v>
      </c>
      <c r="M142" s="2" t="s">
        <v>78</v>
      </c>
      <c r="N142" t="s">
        <v>126</v>
      </c>
      <c r="O142" t="s">
        <v>117</v>
      </c>
      <c r="P142" s="2" t="s">
        <v>202</v>
      </c>
      <c r="Q142" t="s">
        <v>64</v>
      </c>
      <c r="R142" t="s">
        <v>64</v>
      </c>
      <c r="S142" s="80" t="s">
        <v>198</v>
      </c>
      <c r="T142" t="s">
        <v>199</v>
      </c>
      <c r="U142" t="s">
        <v>200</v>
      </c>
      <c r="V142" s="2" t="s">
        <v>201</v>
      </c>
      <c r="W142" s="2" t="s">
        <v>65</v>
      </c>
      <c r="Z142" s="2" t="s">
        <v>127</v>
      </c>
      <c r="AA142" s="2" t="s">
        <v>128</v>
      </c>
      <c r="AB142" s="2" t="s">
        <v>66</v>
      </c>
      <c r="AC142" s="2" t="s">
        <v>67</v>
      </c>
    </row>
  </sheetData>
  <phoneticPr fontId="3" type="noConversion"/>
  <conditionalFormatting sqref="O1:O1048576">
    <cfRule type="duplicateValues" dxfId="0" priority="8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dimension ref="A1:K28"/>
  <sheetViews>
    <sheetView showGridLines="0" tabSelected="1" topLeftCell="C1" zoomScale="70" zoomScaleNormal="70" workbookViewId="0">
      <selection activeCell="L24" sqref="L24"/>
    </sheetView>
  </sheetViews>
  <sheetFormatPr baseColWidth="10" defaultColWidth="11.42578125" defaultRowHeight="15" customHeight="1" x14ac:dyDescent="0.25"/>
  <cols>
    <col min="1" max="1" width="24" style="78" bestFit="1" customWidth="1"/>
    <col min="2" max="2" width="27.140625" style="78" bestFit="1" customWidth="1"/>
    <col min="3" max="3" width="20.140625" style="78" bestFit="1" customWidth="1"/>
    <col min="4" max="4" width="31.140625" customWidth="1"/>
    <col min="5" max="5" width="14.85546875" bestFit="1" customWidth="1"/>
    <col min="6" max="6" width="13.140625" customWidth="1"/>
    <col min="7" max="7" width="75.42578125" bestFit="1" customWidth="1"/>
    <col min="8" max="8" width="41" customWidth="1"/>
    <col min="9" max="9" width="11.42578125" customWidth="1"/>
    <col min="10" max="10" width="33.7109375" customWidth="1"/>
    <col min="11" max="11" width="19.7109375" style="33" bestFit="1" customWidth="1"/>
  </cols>
  <sheetData>
    <row r="1" spans="1:11" ht="15" customHeight="1" x14ac:dyDescent="0.25">
      <c r="A1" s="27" t="s">
        <v>43</v>
      </c>
      <c r="B1" s="27" t="s">
        <v>14</v>
      </c>
      <c r="C1" s="27" t="s">
        <v>15</v>
      </c>
      <c r="D1" s="26" t="s">
        <v>13</v>
      </c>
      <c r="E1" s="47" t="s">
        <v>70</v>
      </c>
      <c r="F1" s="40" t="s">
        <v>71</v>
      </c>
      <c r="G1" s="40" t="s">
        <v>27</v>
      </c>
      <c r="H1" s="41" t="s">
        <v>33</v>
      </c>
      <c r="I1" s="12"/>
      <c r="J1" s="30" t="s">
        <v>13</v>
      </c>
      <c r="K1" s="32" t="s">
        <v>74</v>
      </c>
    </row>
    <row r="2" spans="1:11" ht="15" customHeight="1" x14ac:dyDescent="0.25">
      <c r="A2" s="48">
        <v>0</v>
      </c>
      <c r="B2" s="48">
        <v>0</v>
      </c>
      <c r="C2" s="48">
        <v>0</v>
      </c>
      <c r="D2" s="28" t="s">
        <v>68</v>
      </c>
      <c r="E2" s="48">
        <v>0</v>
      </c>
      <c r="F2" s="22" t="s">
        <v>72</v>
      </c>
      <c r="G2" s="22" t="s">
        <v>92</v>
      </c>
      <c r="H2" s="22"/>
      <c r="J2" s="77" t="s">
        <v>118</v>
      </c>
      <c r="K2" s="76">
        <v>0.1</v>
      </c>
    </row>
    <row r="3" spans="1:11" ht="15" customHeight="1" x14ac:dyDescent="0.25">
      <c r="A3" s="48">
        <v>20</v>
      </c>
      <c r="B3" s="48">
        <v>20</v>
      </c>
      <c r="C3" s="48">
        <v>20</v>
      </c>
      <c r="D3" s="28" t="s">
        <v>17</v>
      </c>
      <c r="E3" s="48">
        <v>20</v>
      </c>
      <c r="F3" s="22" t="s">
        <v>72</v>
      </c>
      <c r="G3" s="22" t="s">
        <v>93</v>
      </c>
      <c r="H3" s="22" t="s">
        <v>20</v>
      </c>
      <c r="J3" s="77" t="s">
        <v>17</v>
      </c>
      <c r="K3" s="76">
        <v>0.2</v>
      </c>
    </row>
    <row r="4" spans="1:11" ht="15" customHeight="1" x14ac:dyDescent="0.25">
      <c r="A4" s="48">
        <f t="shared" ref="A4:E13" si="0">10/10</f>
        <v>1</v>
      </c>
      <c r="B4" s="48">
        <f t="shared" si="0"/>
        <v>1</v>
      </c>
      <c r="C4" s="48">
        <f>10/10</f>
        <v>1</v>
      </c>
      <c r="D4" s="28" t="s">
        <v>118</v>
      </c>
      <c r="E4" s="48">
        <f>10/10</f>
        <v>1</v>
      </c>
      <c r="F4" s="22" t="s">
        <v>72</v>
      </c>
      <c r="G4" s="22" t="s">
        <v>94</v>
      </c>
      <c r="H4" s="22" t="s">
        <v>20</v>
      </c>
      <c r="J4" s="77" t="s">
        <v>119</v>
      </c>
      <c r="K4" s="76">
        <v>0.3</v>
      </c>
    </row>
    <row r="5" spans="1:11" ht="15" customHeight="1" x14ac:dyDescent="0.25">
      <c r="A5" s="48">
        <f t="shared" si="0"/>
        <v>1</v>
      </c>
      <c r="B5" s="48">
        <f t="shared" si="0"/>
        <v>1</v>
      </c>
      <c r="C5" s="48">
        <f t="shared" si="0"/>
        <v>1</v>
      </c>
      <c r="D5" s="28" t="s">
        <v>118</v>
      </c>
      <c r="E5" s="48">
        <f t="shared" si="0"/>
        <v>1</v>
      </c>
      <c r="F5" s="22" t="s">
        <v>72</v>
      </c>
      <c r="G5" s="22" t="s">
        <v>95</v>
      </c>
      <c r="H5" s="22" t="s">
        <v>20</v>
      </c>
      <c r="J5" s="77" t="s">
        <v>120</v>
      </c>
      <c r="K5" s="76">
        <v>0.4</v>
      </c>
    </row>
    <row r="6" spans="1:11" ht="15" customHeight="1" x14ac:dyDescent="0.25">
      <c r="A6" s="48">
        <f t="shared" si="0"/>
        <v>1</v>
      </c>
      <c r="B6" s="48">
        <f t="shared" si="0"/>
        <v>1</v>
      </c>
      <c r="C6" s="48">
        <f t="shared" si="0"/>
        <v>1</v>
      </c>
      <c r="D6" s="28" t="s">
        <v>118</v>
      </c>
      <c r="E6" s="48">
        <f t="shared" si="0"/>
        <v>1</v>
      </c>
      <c r="F6" s="22" t="s">
        <v>72</v>
      </c>
      <c r="G6" s="22" t="s">
        <v>35</v>
      </c>
      <c r="H6" s="22" t="s">
        <v>20</v>
      </c>
      <c r="J6" s="31" t="s">
        <v>73</v>
      </c>
      <c r="K6" s="34">
        <f ca="1">SUM(K2:K6)</f>
        <v>1</v>
      </c>
    </row>
    <row r="7" spans="1:11" ht="15" customHeight="1" x14ac:dyDescent="0.25">
      <c r="A7" s="48">
        <f t="shared" si="0"/>
        <v>1</v>
      </c>
      <c r="B7" s="48">
        <f t="shared" si="0"/>
        <v>1</v>
      </c>
      <c r="C7" s="48">
        <f t="shared" si="0"/>
        <v>1</v>
      </c>
      <c r="D7" s="28" t="s">
        <v>118</v>
      </c>
      <c r="E7" s="48">
        <f t="shared" si="0"/>
        <v>1</v>
      </c>
      <c r="F7" s="22" t="s">
        <v>72</v>
      </c>
      <c r="G7" s="22" t="s">
        <v>96</v>
      </c>
      <c r="H7" s="22" t="s">
        <v>122</v>
      </c>
    </row>
    <row r="8" spans="1:11" ht="15" customHeight="1" x14ac:dyDescent="0.25">
      <c r="A8" s="48">
        <f t="shared" si="0"/>
        <v>1</v>
      </c>
      <c r="B8" s="48">
        <f t="shared" si="0"/>
        <v>1</v>
      </c>
      <c r="C8" s="48">
        <f t="shared" si="0"/>
        <v>1</v>
      </c>
      <c r="D8" s="28" t="s">
        <v>118</v>
      </c>
      <c r="E8" s="48">
        <f t="shared" si="0"/>
        <v>1</v>
      </c>
      <c r="F8" s="22" t="s">
        <v>72</v>
      </c>
      <c r="G8" s="22" t="s">
        <v>97</v>
      </c>
      <c r="H8" s="22" t="s">
        <v>20</v>
      </c>
    </row>
    <row r="9" spans="1:11" ht="15" customHeight="1" x14ac:dyDescent="0.25">
      <c r="A9" s="48">
        <f t="shared" si="0"/>
        <v>1</v>
      </c>
      <c r="B9" s="48">
        <f t="shared" si="0"/>
        <v>1</v>
      </c>
      <c r="C9" s="48">
        <f t="shared" si="0"/>
        <v>1</v>
      </c>
      <c r="D9" s="28" t="s">
        <v>118</v>
      </c>
      <c r="E9" s="48">
        <f t="shared" si="0"/>
        <v>1</v>
      </c>
      <c r="F9" s="22" t="s">
        <v>72</v>
      </c>
      <c r="G9" s="22" t="s">
        <v>98</v>
      </c>
      <c r="H9" s="22" t="s">
        <v>20</v>
      </c>
    </row>
    <row r="10" spans="1:11" ht="15" customHeight="1" x14ac:dyDescent="0.25">
      <c r="A10" s="48">
        <f t="shared" si="0"/>
        <v>1</v>
      </c>
      <c r="B10" s="48">
        <f t="shared" si="0"/>
        <v>1</v>
      </c>
      <c r="C10" s="48">
        <f t="shared" si="0"/>
        <v>1</v>
      </c>
      <c r="D10" s="28" t="s">
        <v>118</v>
      </c>
      <c r="E10" s="48">
        <f t="shared" si="0"/>
        <v>1</v>
      </c>
      <c r="F10" s="22" t="s">
        <v>72</v>
      </c>
      <c r="G10" s="22" t="s">
        <v>99</v>
      </c>
      <c r="H10" s="22" t="s">
        <v>122</v>
      </c>
      <c r="K10"/>
    </row>
    <row r="11" spans="1:11" ht="15" customHeight="1" x14ac:dyDescent="0.25">
      <c r="A11" s="48">
        <f t="shared" si="0"/>
        <v>1</v>
      </c>
      <c r="B11" s="48">
        <f t="shared" si="0"/>
        <v>1</v>
      </c>
      <c r="C11" s="48">
        <f t="shared" si="0"/>
        <v>1</v>
      </c>
      <c r="D11" s="28" t="s">
        <v>118</v>
      </c>
      <c r="E11" s="48">
        <f t="shared" si="0"/>
        <v>1</v>
      </c>
      <c r="F11" s="22" t="s">
        <v>72</v>
      </c>
      <c r="G11" s="22" t="s">
        <v>100</v>
      </c>
      <c r="H11" s="22" t="s">
        <v>122</v>
      </c>
      <c r="K11"/>
    </row>
    <row r="12" spans="1:11" ht="15" customHeight="1" x14ac:dyDescent="0.25">
      <c r="A12" s="48">
        <f t="shared" si="0"/>
        <v>1</v>
      </c>
      <c r="B12" s="48">
        <f t="shared" si="0"/>
        <v>1</v>
      </c>
      <c r="C12" s="48">
        <f t="shared" si="0"/>
        <v>1</v>
      </c>
      <c r="D12" s="28" t="s">
        <v>118</v>
      </c>
      <c r="E12" s="48">
        <f t="shared" si="0"/>
        <v>1</v>
      </c>
      <c r="F12" s="22" t="s">
        <v>72</v>
      </c>
      <c r="G12" s="22" t="s">
        <v>101</v>
      </c>
      <c r="H12" s="22" t="s">
        <v>122</v>
      </c>
      <c r="K12"/>
    </row>
    <row r="13" spans="1:11" ht="15" customHeight="1" x14ac:dyDescent="0.25">
      <c r="A13" s="48">
        <f t="shared" si="0"/>
        <v>1</v>
      </c>
      <c r="B13" s="48">
        <f t="shared" si="0"/>
        <v>1</v>
      </c>
      <c r="C13" s="48">
        <f t="shared" si="0"/>
        <v>1</v>
      </c>
      <c r="D13" s="28" t="s">
        <v>118</v>
      </c>
      <c r="E13" s="48">
        <f t="shared" si="0"/>
        <v>1</v>
      </c>
      <c r="F13" s="22" t="s">
        <v>72</v>
      </c>
      <c r="G13" s="22" t="s">
        <v>102</v>
      </c>
      <c r="H13" s="22" t="s">
        <v>122</v>
      </c>
      <c r="K13"/>
    </row>
    <row r="14" spans="1:11" ht="15" customHeight="1" x14ac:dyDescent="0.25">
      <c r="A14" s="48">
        <f t="shared" ref="A14:E20" si="1">30/7</f>
        <v>4.2857142857142856</v>
      </c>
      <c r="B14" s="48">
        <f t="shared" si="1"/>
        <v>4.2857142857142856</v>
      </c>
      <c r="C14" s="48">
        <f>30/7</f>
        <v>4.2857142857142856</v>
      </c>
      <c r="D14" s="28" t="s">
        <v>121</v>
      </c>
      <c r="E14" s="48">
        <f>30/7</f>
        <v>4.2857142857142856</v>
      </c>
      <c r="F14" s="22" t="s">
        <v>72</v>
      </c>
      <c r="G14" s="22" t="s">
        <v>103</v>
      </c>
      <c r="H14" s="22" t="s">
        <v>20</v>
      </c>
      <c r="K14"/>
    </row>
    <row r="15" spans="1:11" ht="15" customHeight="1" x14ac:dyDescent="0.25">
      <c r="A15" s="48">
        <f t="shared" si="1"/>
        <v>4.2857142857142856</v>
      </c>
      <c r="B15" s="48">
        <f t="shared" si="1"/>
        <v>4.2857142857142856</v>
      </c>
      <c r="C15" s="48">
        <f t="shared" si="1"/>
        <v>4.2857142857142856</v>
      </c>
      <c r="D15" s="28" t="s">
        <v>121</v>
      </c>
      <c r="E15" s="48">
        <f t="shared" si="1"/>
        <v>4.2857142857142856</v>
      </c>
      <c r="F15" s="22" t="s">
        <v>72</v>
      </c>
      <c r="G15" s="22" t="s">
        <v>104</v>
      </c>
      <c r="H15" s="22" t="s">
        <v>20</v>
      </c>
      <c r="K15"/>
    </row>
    <row r="16" spans="1:11" ht="15" customHeight="1" x14ac:dyDescent="0.25">
      <c r="A16" s="48">
        <f t="shared" si="1"/>
        <v>4.2857142857142856</v>
      </c>
      <c r="B16" s="48">
        <f t="shared" si="1"/>
        <v>4.2857142857142856</v>
      </c>
      <c r="C16" s="48">
        <f t="shared" si="1"/>
        <v>4.2857142857142856</v>
      </c>
      <c r="D16" s="28" t="s">
        <v>121</v>
      </c>
      <c r="E16" s="48">
        <f t="shared" si="1"/>
        <v>4.2857142857142856</v>
      </c>
      <c r="F16" s="22" t="s">
        <v>72</v>
      </c>
      <c r="G16" s="49" t="s">
        <v>105</v>
      </c>
      <c r="H16" s="22" t="s">
        <v>20</v>
      </c>
    </row>
    <row r="17" spans="1:8" ht="15" customHeight="1" x14ac:dyDescent="0.25">
      <c r="A17" s="48">
        <f t="shared" si="1"/>
        <v>4.2857142857142856</v>
      </c>
      <c r="B17" s="48">
        <f t="shared" si="1"/>
        <v>4.2857142857142856</v>
      </c>
      <c r="C17" s="48">
        <f t="shared" si="1"/>
        <v>4.2857142857142856</v>
      </c>
      <c r="D17" s="28" t="s">
        <v>121</v>
      </c>
      <c r="E17" s="48">
        <f t="shared" si="1"/>
        <v>4.2857142857142856</v>
      </c>
      <c r="F17" s="22" t="s">
        <v>72</v>
      </c>
      <c r="G17" s="49" t="s">
        <v>106</v>
      </c>
      <c r="H17" s="22" t="s">
        <v>20</v>
      </c>
    </row>
    <row r="18" spans="1:8" ht="15" customHeight="1" x14ac:dyDescent="0.25">
      <c r="A18" s="48">
        <f t="shared" si="1"/>
        <v>4.2857142857142856</v>
      </c>
      <c r="B18" s="48">
        <f t="shared" si="1"/>
        <v>4.2857142857142856</v>
      </c>
      <c r="C18" s="48">
        <f t="shared" si="1"/>
        <v>4.2857142857142856</v>
      </c>
      <c r="D18" s="28" t="s">
        <v>121</v>
      </c>
      <c r="E18" s="48">
        <f t="shared" si="1"/>
        <v>4.2857142857142856</v>
      </c>
      <c r="F18" s="22" t="s">
        <v>72</v>
      </c>
      <c r="G18" s="49" t="s">
        <v>107</v>
      </c>
      <c r="H18" s="22" t="s">
        <v>20</v>
      </c>
    </row>
    <row r="19" spans="1:8" ht="15" customHeight="1" x14ac:dyDescent="0.25">
      <c r="A19" s="48">
        <f t="shared" si="1"/>
        <v>4.2857142857142856</v>
      </c>
      <c r="B19" s="48">
        <f t="shared" si="1"/>
        <v>4.2857142857142856</v>
      </c>
      <c r="C19" s="48">
        <f t="shared" si="1"/>
        <v>4.2857142857142856</v>
      </c>
      <c r="D19" s="28" t="s">
        <v>121</v>
      </c>
      <c r="E19" s="48">
        <f t="shared" si="1"/>
        <v>4.2857142857142856</v>
      </c>
      <c r="F19" s="22" t="s">
        <v>72</v>
      </c>
      <c r="G19" s="22" t="s">
        <v>108</v>
      </c>
      <c r="H19" s="22" t="s">
        <v>20</v>
      </c>
    </row>
    <row r="20" spans="1:8" ht="15" customHeight="1" x14ac:dyDescent="0.25">
      <c r="A20" s="48">
        <f t="shared" si="1"/>
        <v>4.2857142857142856</v>
      </c>
      <c r="B20" s="48">
        <f t="shared" si="1"/>
        <v>4.2857142857142856</v>
      </c>
      <c r="C20" s="48">
        <f t="shared" si="1"/>
        <v>4.2857142857142856</v>
      </c>
      <c r="D20" s="28" t="s">
        <v>121</v>
      </c>
      <c r="E20" s="48">
        <f t="shared" si="1"/>
        <v>4.2857142857142856</v>
      </c>
      <c r="F20" s="22" t="s">
        <v>72</v>
      </c>
      <c r="G20" s="22" t="s">
        <v>109</v>
      </c>
      <c r="H20" s="22" t="s">
        <v>20</v>
      </c>
    </row>
    <row r="21" spans="1:8" ht="15" customHeight="1" x14ac:dyDescent="0.25">
      <c r="A21" s="48">
        <v>0</v>
      </c>
      <c r="B21" s="48">
        <v>0</v>
      </c>
      <c r="C21" s="48">
        <v>0</v>
      </c>
      <c r="D21" s="28" t="s">
        <v>68</v>
      </c>
      <c r="E21" s="48">
        <v>0</v>
      </c>
      <c r="F21" s="22" t="s">
        <v>72</v>
      </c>
      <c r="G21" s="22" t="s">
        <v>110</v>
      </c>
      <c r="H21" s="22" t="s">
        <v>123</v>
      </c>
    </row>
    <row r="22" spans="1:8" ht="15" customHeight="1" x14ac:dyDescent="0.25">
      <c r="A22" s="48">
        <f t="shared" ref="A22:E26" si="2">40/5</f>
        <v>8</v>
      </c>
      <c r="B22" s="48">
        <f t="shared" si="2"/>
        <v>8</v>
      </c>
      <c r="C22" s="48">
        <f>40/5</f>
        <v>8</v>
      </c>
      <c r="D22" s="28" t="s">
        <v>120</v>
      </c>
      <c r="E22" s="48">
        <f>40/5</f>
        <v>8</v>
      </c>
      <c r="F22" s="22" t="s">
        <v>72</v>
      </c>
      <c r="G22" s="22" t="s">
        <v>111</v>
      </c>
      <c r="H22" s="22" t="s">
        <v>20</v>
      </c>
    </row>
    <row r="23" spans="1:8" ht="15" customHeight="1" x14ac:dyDescent="0.25">
      <c r="A23" s="48">
        <f t="shared" si="2"/>
        <v>8</v>
      </c>
      <c r="B23" s="48">
        <f t="shared" si="2"/>
        <v>8</v>
      </c>
      <c r="C23" s="48">
        <f t="shared" si="2"/>
        <v>8</v>
      </c>
      <c r="D23" s="22" t="s">
        <v>120</v>
      </c>
      <c r="E23" s="48">
        <f t="shared" si="2"/>
        <v>8</v>
      </c>
      <c r="F23" s="22" t="s">
        <v>72</v>
      </c>
      <c r="G23" s="22" t="s">
        <v>112</v>
      </c>
      <c r="H23" s="22" t="s">
        <v>20</v>
      </c>
    </row>
    <row r="24" spans="1:8" ht="15" customHeight="1" x14ac:dyDescent="0.25">
      <c r="A24" s="48">
        <f t="shared" si="2"/>
        <v>8</v>
      </c>
      <c r="B24" s="48">
        <f t="shared" si="2"/>
        <v>8</v>
      </c>
      <c r="C24" s="48">
        <f t="shared" si="2"/>
        <v>8</v>
      </c>
      <c r="D24" s="22" t="s">
        <v>120</v>
      </c>
      <c r="E24" s="48">
        <f t="shared" si="2"/>
        <v>8</v>
      </c>
      <c r="F24" s="22" t="s">
        <v>72</v>
      </c>
      <c r="G24" s="22" t="s">
        <v>113</v>
      </c>
      <c r="H24" s="22" t="s">
        <v>20</v>
      </c>
    </row>
    <row r="25" spans="1:8" ht="15" customHeight="1" x14ac:dyDescent="0.25">
      <c r="A25" s="48">
        <f t="shared" si="2"/>
        <v>8</v>
      </c>
      <c r="B25" s="48">
        <f t="shared" si="2"/>
        <v>8</v>
      </c>
      <c r="C25" s="48">
        <f t="shared" si="2"/>
        <v>8</v>
      </c>
      <c r="D25" s="22" t="s">
        <v>120</v>
      </c>
      <c r="E25" s="48">
        <f t="shared" si="2"/>
        <v>8</v>
      </c>
      <c r="F25" s="22" t="s">
        <v>72</v>
      </c>
      <c r="G25" s="22" t="s">
        <v>114</v>
      </c>
      <c r="H25" s="22" t="s">
        <v>20</v>
      </c>
    </row>
    <row r="26" spans="1:8" ht="15" customHeight="1" x14ac:dyDescent="0.25">
      <c r="A26" s="48">
        <f t="shared" si="2"/>
        <v>8</v>
      </c>
      <c r="B26" s="48">
        <f t="shared" si="2"/>
        <v>8</v>
      </c>
      <c r="C26" s="48">
        <f t="shared" si="2"/>
        <v>8</v>
      </c>
      <c r="D26" s="22" t="s">
        <v>120</v>
      </c>
      <c r="E26" s="48">
        <f t="shared" si="2"/>
        <v>8</v>
      </c>
      <c r="F26" s="22" t="s">
        <v>72</v>
      </c>
      <c r="G26" s="87" t="s">
        <v>115</v>
      </c>
      <c r="H26" s="22" t="s">
        <v>20</v>
      </c>
    </row>
    <row r="27" spans="1:8" ht="15" customHeight="1" x14ac:dyDescent="0.25">
      <c r="A27" s="48">
        <v>0</v>
      </c>
      <c r="B27" s="48">
        <v>0</v>
      </c>
      <c r="C27" s="48">
        <v>0</v>
      </c>
      <c r="D27" s="22" t="s">
        <v>68</v>
      </c>
      <c r="E27" s="48">
        <v>0</v>
      </c>
      <c r="F27" s="22" t="s">
        <v>72</v>
      </c>
      <c r="G27" s="22" t="s">
        <v>116</v>
      </c>
      <c r="H27" s="22"/>
    </row>
    <row r="28" spans="1:8" ht="15" customHeight="1" x14ac:dyDescent="0.25">
      <c r="A28" s="79">
        <v>0</v>
      </c>
      <c r="B28" s="79">
        <v>0</v>
      </c>
      <c r="C28" s="79">
        <v>0</v>
      </c>
      <c r="D28" s="22" t="s">
        <v>68</v>
      </c>
      <c r="E28" s="79">
        <v>0</v>
      </c>
      <c r="F28" s="22" t="s">
        <v>80</v>
      </c>
      <c r="G28" s="22" t="s">
        <v>117</v>
      </c>
      <c r="H28" s="22"/>
    </row>
  </sheetData>
  <autoFilter ref="A1:H25" xr:uid="{0D205E33-EDDE-4B1B-A585-84A321E83F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9B8D18AB98464181D1E85108248829" ma:contentTypeVersion="17" ma:contentTypeDescription="Crear nuevo documento." ma:contentTypeScope="" ma:versionID="b9cea1c05ae2262eed0cd5c2b2009515">
  <xsd:schema xmlns:xsd="http://www.w3.org/2001/XMLSchema" xmlns:xs="http://www.w3.org/2001/XMLSchema" xmlns:p="http://schemas.microsoft.com/office/2006/metadata/properties" xmlns:ns2="932c55c3-b5e0-4673-a25e-773070737706" xmlns:ns3="1828f71f-f3a5-414e-8b06-277e7a91b4d5" targetNamespace="http://schemas.microsoft.com/office/2006/metadata/properties" ma:root="true" ma:fieldsID="e080551d790acb6b42469279dd31adeb" ns2:_="" ns3:_="">
    <xsd:import namespace="932c55c3-b5e0-4673-a25e-773070737706"/>
    <xsd:import namespace="1828f71f-f3a5-414e-8b06-277e7a91b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c55c3-b5e0-4673-a25e-7730707377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fb041b7-8286-4f54-8f47-108c361624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8f71f-f3a5-414e-8b06-277e7a91b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f7eabd3-d49c-4116-8f8a-f44327f7309c}" ma:internalName="TaxCatchAll" ma:showField="CatchAllData" ma:web="1828f71f-f3a5-414e-8b06-277e7a91b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2c55c3-b5e0-4673-a25e-773070737706">
      <Terms xmlns="http://schemas.microsoft.com/office/infopath/2007/PartnerControls"/>
    </lcf76f155ced4ddcb4097134ff3c332f>
    <TaxCatchAll xmlns="1828f71f-f3a5-414e-8b06-277e7a91b4d5" xsi:nil="true"/>
  </documentManagement>
</p:properties>
</file>

<file path=customXml/itemProps1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D543962-BC38-4D95-B9D1-6031B8665BAF}"/>
</file>

<file path=customXml/itemProps3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INFORME</vt:lpstr>
      <vt:lpstr>Videos</vt:lpstr>
      <vt:lpstr>PUNTAJES</vt:lpstr>
      <vt:lpstr>Panel</vt:lpstr>
      <vt:lpstr>DATA INFORME</vt:lpstr>
      <vt:lpstr>Export</vt:lpstr>
      <vt:lpstr>ENCUESTA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Diego Raul Guerrero Anaya</cp:lastModifiedBy>
  <cp:revision/>
  <dcterms:created xsi:type="dcterms:W3CDTF">2024-08-27T21:29:06Z</dcterms:created>
  <dcterms:modified xsi:type="dcterms:W3CDTF">2025-08-15T15:31:41Z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0x010100239B8D18AB98464181D1E85108248829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2025-02-18T13:41:51Z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01ccb257-027b-4f45-9af8-536a979f0bdf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10, 3, 0, 2</vt:lpwstr>
  </property>
</Properties>
</file>