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listos-my.sharepoint.com/personal/camilab_buitrago_visionymarketing_com_co/Documents/Desktop/Diego Guerrero/NESTLÉ/PURINA/2026/MAYO/Informe/"/>
    </mc:Choice>
  </mc:AlternateContent>
  <xr:revisionPtr revIDLastSave="484" documentId="8_{DD3F986E-BC71-4396-90D2-5BDA511C79C6}" xr6:coauthVersionLast="47" xr6:coauthVersionMax="47" xr10:uidLastSave="{F6E46ACB-F1B6-47FE-AED0-DA23EC76911B}"/>
  <bookViews>
    <workbookView xWindow="-110" yWindow="-110" windowWidth="19420" windowHeight="11500" xr2:uid="{2EA4E318-EF17-4063-A66F-467A65FB5097}"/>
  </bookViews>
  <sheets>
    <sheet name="INFORME" sheetId="4" r:id="rId1"/>
    <sheet name="Videos" sheetId="15" r:id="rId2"/>
    <sheet name="PUNTAJES" sheetId="5" r:id="rId3"/>
    <sheet name="Panel" sheetId="1" r:id="rId4"/>
    <sheet name="DATA INFORME" sheetId="12" r:id="rId5"/>
    <sheet name="Export" sheetId="2" r:id="rId6"/>
    <sheet name="ENCUESTA" sheetId="8" r:id="rId7"/>
  </sheets>
  <definedNames>
    <definedName name="_xlnm._FilterDatabase" localSheetId="6" hidden="1">ENCUESTA!$A$1:$H$43</definedName>
    <definedName name="_xlnm._FilterDatabase" localSheetId="3" hidden="1">Panel!#REF!</definedName>
    <definedName name="_xlnm._FilterDatabase" localSheetId="1" hidden="1">Videos!$A$1:$D$5</definedName>
    <definedName name="DatosExternos_1" localSheetId="4" hidden="1">'DATA INFORME'!$A$1:$AZ$8</definedName>
    <definedName name="DatosExternos_2" localSheetId="2" hidden="1">PUNTAJES!$A$1:$K$198</definedName>
    <definedName name="SegmentaciónDeDatos_CIUDAD">#N/A</definedName>
    <definedName name="SegmentaciónDeDatos_NOMBRE_COMERCIAL">#N/A</definedName>
  </definedNames>
  <calcPr calcId="191028"/>
  <pivotCaches>
    <pivotCache cacheId="77" r:id="rId8"/>
    <pivotCache cacheId="85"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M2" i="5" s="1"/>
  <c r="L29" i="5"/>
  <c r="L30" i="5"/>
  <c r="M30" i="5" s="1"/>
  <c r="L31" i="5"/>
  <c r="L32" i="5"/>
  <c r="M32" i="5" s="1"/>
  <c r="L33" i="5"/>
  <c r="N33" i="5" s="1"/>
  <c r="L34" i="5"/>
  <c r="M34" i="5" s="1"/>
  <c r="L165" i="5"/>
  <c r="L166" i="5"/>
  <c r="N166" i="5" s="1"/>
  <c r="P166" i="5" s="1"/>
  <c r="L167" i="5"/>
  <c r="N167" i="5" s="1"/>
  <c r="P167" i="5" s="1"/>
  <c r="L168" i="5"/>
  <c r="M168" i="5" s="1"/>
  <c r="L169" i="5"/>
  <c r="N169" i="5" s="1"/>
  <c r="P169" i="5" s="1"/>
  <c r="L170" i="5"/>
  <c r="N170" i="5" s="1"/>
  <c r="P170" i="5" s="1"/>
  <c r="L171" i="5"/>
  <c r="M171" i="5" s="1"/>
  <c r="L172" i="5"/>
  <c r="L173" i="5"/>
  <c r="L174" i="5"/>
  <c r="M174" i="5" s="1"/>
  <c r="L175" i="5"/>
  <c r="N175" i="5" s="1"/>
  <c r="L176" i="5"/>
  <c r="M176" i="5" s="1"/>
  <c r="L177" i="5"/>
  <c r="N177" i="5" s="1"/>
  <c r="L178" i="5"/>
  <c r="M178" i="5" s="1"/>
  <c r="L179" i="5"/>
  <c r="M179" i="5" s="1"/>
  <c r="L35" i="5"/>
  <c r="M35" i="5" s="1"/>
  <c r="L180" i="5"/>
  <c r="M180" i="5" s="1"/>
  <c r="L36" i="5"/>
  <c r="M36" i="5" s="1"/>
  <c r="L37" i="5"/>
  <c r="M37" i="5" s="1"/>
  <c r="L38" i="5"/>
  <c r="N38" i="5" s="1"/>
  <c r="P38" i="5" s="1"/>
  <c r="L39" i="5"/>
  <c r="M39" i="5" s="1"/>
  <c r="L40" i="5"/>
  <c r="N40" i="5" s="1"/>
  <c r="P40" i="5" s="1"/>
  <c r="L41" i="5"/>
  <c r="L42" i="5"/>
  <c r="L43" i="5"/>
  <c r="M43" i="5" s="1"/>
  <c r="L44" i="5"/>
  <c r="N44" i="5" s="1"/>
  <c r="L45" i="5"/>
  <c r="N45" i="5" s="1"/>
  <c r="L46" i="5"/>
  <c r="M46" i="5" s="1"/>
  <c r="L47" i="5"/>
  <c r="M47" i="5" s="1"/>
  <c r="L48" i="5"/>
  <c r="N48" i="5" s="1"/>
  <c r="L49" i="5"/>
  <c r="N49" i="5" s="1"/>
  <c r="L50" i="5"/>
  <c r="M50" i="5" s="1"/>
  <c r="L51" i="5"/>
  <c r="N51" i="5" s="1"/>
  <c r="P51" i="5" s="1"/>
  <c r="L52" i="5"/>
  <c r="N52" i="5" s="1"/>
  <c r="P52" i="5" s="1"/>
  <c r="L53" i="5"/>
  <c r="M53" i="5" s="1"/>
  <c r="L54" i="5"/>
  <c r="M54" i="5" s="1"/>
  <c r="L55" i="5"/>
  <c r="L56" i="5"/>
  <c r="L57" i="5"/>
  <c r="L58" i="5"/>
  <c r="L59" i="5"/>
  <c r="N59" i="5" s="1"/>
  <c r="L181" i="5"/>
  <c r="M181" i="5" s="1"/>
  <c r="L182" i="5"/>
  <c r="M182" i="5" s="1"/>
  <c r="L64" i="5"/>
  <c r="N64" i="5" s="1"/>
  <c r="L65" i="5"/>
  <c r="N65" i="5" s="1"/>
  <c r="L66" i="5"/>
  <c r="N66" i="5" s="1"/>
  <c r="L67" i="5"/>
  <c r="N67" i="5" s="1"/>
  <c r="P67" i="5" s="1"/>
  <c r="L68" i="5"/>
  <c r="N68" i="5" s="1"/>
  <c r="P68" i="5" s="1"/>
  <c r="L69" i="5"/>
  <c r="M69" i="5" s="1"/>
  <c r="L70" i="5"/>
  <c r="L71" i="5"/>
  <c r="L72" i="5"/>
  <c r="L73" i="5"/>
  <c r="L74" i="5"/>
  <c r="M74" i="5" s="1"/>
  <c r="L75" i="5"/>
  <c r="N75" i="5" s="1"/>
  <c r="L76" i="5"/>
  <c r="M76" i="5" s="1"/>
  <c r="L77" i="5"/>
  <c r="M77" i="5" s="1"/>
  <c r="L78" i="5"/>
  <c r="M78" i="5" s="1"/>
  <c r="L79" i="5"/>
  <c r="M79" i="5" s="1"/>
  <c r="L80" i="5"/>
  <c r="M80" i="5" s="1"/>
  <c r="L81" i="5"/>
  <c r="N81" i="5" s="1"/>
  <c r="P81" i="5" s="1"/>
  <c r="L82" i="5"/>
  <c r="N82" i="5" s="1"/>
  <c r="P82" i="5" s="1"/>
  <c r="L83" i="5"/>
  <c r="M83" i="5" s="1"/>
  <c r="L84" i="5"/>
  <c r="M84" i="5" s="1"/>
  <c r="L183" i="5"/>
  <c r="L85" i="5"/>
  <c r="L86" i="5"/>
  <c r="L184" i="5"/>
  <c r="N184" i="5" s="1"/>
  <c r="P184" i="5" s="1"/>
  <c r="L185" i="5"/>
  <c r="N185" i="5" s="1"/>
  <c r="L186" i="5"/>
  <c r="M186" i="5" s="1"/>
  <c r="L187" i="5"/>
  <c r="N187" i="5" s="1"/>
  <c r="P187" i="5" s="1"/>
  <c r="L188" i="5"/>
  <c r="N188" i="5" s="1"/>
  <c r="P188" i="5" s="1"/>
  <c r="L189" i="5"/>
  <c r="N189" i="5" s="1"/>
  <c r="L190" i="5"/>
  <c r="M190" i="5" s="1"/>
  <c r="L191" i="5"/>
  <c r="M191" i="5" s="1"/>
  <c r="L192" i="5"/>
  <c r="N192" i="5" s="1"/>
  <c r="P192" i="5" s="1"/>
  <c r="L193" i="5"/>
  <c r="M193" i="5" s="1"/>
  <c r="L194" i="5"/>
  <c r="N194" i="5" s="1"/>
  <c r="L195" i="5"/>
  <c r="L87" i="5"/>
  <c r="N87" i="5" s="1"/>
  <c r="L88" i="5"/>
  <c r="N88" i="5" s="1"/>
  <c r="L89" i="5"/>
  <c r="N89" i="5" s="1"/>
  <c r="L90" i="5"/>
  <c r="N90" i="5" s="1"/>
  <c r="L91" i="5"/>
  <c r="M91" i="5" s="1"/>
  <c r="L92" i="5"/>
  <c r="M92" i="5" s="1"/>
  <c r="L93" i="5"/>
  <c r="N93" i="5" s="1"/>
  <c r="L94" i="5"/>
  <c r="N94" i="5" s="1"/>
  <c r="L95" i="5"/>
  <c r="N95" i="5" s="1"/>
  <c r="L96" i="5"/>
  <c r="N96" i="5" s="1"/>
  <c r="P96" i="5" s="1"/>
  <c r="L97" i="5"/>
  <c r="N97" i="5" s="1"/>
  <c r="L60" i="5"/>
  <c r="M60" i="5" s="1"/>
  <c r="L61" i="5"/>
  <c r="L3" i="5"/>
  <c r="L99" i="5"/>
  <c r="L100" i="5"/>
  <c r="L101" i="5"/>
  <c r="N101" i="5" s="1"/>
  <c r="P101" i="5" s="1"/>
  <c r="L102" i="5"/>
  <c r="N102" i="5" s="1"/>
  <c r="L103" i="5"/>
  <c r="M103" i="5" s="1"/>
  <c r="L104" i="5"/>
  <c r="N104" i="5" s="1"/>
  <c r="L105" i="5"/>
  <c r="N105" i="5" s="1"/>
  <c r="L106" i="5"/>
  <c r="N106" i="5" s="1"/>
  <c r="L107" i="5"/>
  <c r="N107" i="5" s="1"/>
  <c r="L108" i="5"/>
  <c r="N108" i="5" s="1"/>
  <c r="P108" i="5" s="1"/>
  <c r="L109" i="5"/>
  <c r="N109" i="5" s="1"/>
  <c r="P109" i="5" s="1"/>
  <c r="L110" i="5"/>
  <c r="M110" i="5" s="1"/>
  <c r="L111" i="5"/>
  <c r="N111" i="5" s="1"/>
  <c r="L112" i="5"/>
  <c r="L113" i="5"/>
  <c r="M113" i="5" s="1"/>
  <c r="L114" i="5"/>
  <c r="M114" i="5" s="1"/>
  <c r="L115" i="5"/>
  <c r="M115" i="5" s="1"/>
  <c r="L116" i="5"/>
  <c r="N116" i="5" s="1"/>
  <c r="L117" i="5"/>
  <c r="M117" i="5" s="1"/>
  <c r="L118" i="5"/>
  <c r="M118" i="5" s="1"/>
  <c r="L4" i="5"/>
  <c r="M4" i="5" s="1"/>
  <c r="L119" i="5"/>
  <c r="N119" i="5" s="1"/>
  <c r="L5" i="5"/>
  <c r="N5" i="5" s="1"/>
  <c r="L6" i="5"/>
  <c r="N6" i="5" s="1"/>
  <c r="P6" i="5" s="1"/>
  <c r="L7" i="5"/>
  <c r="N7" i="5" s="1"/>
  <c r="P7" i="5" s="1"/>
  <c r="L8" i="5"/>
  <c r="M8" i="5" s="1"/>
  <c r="L9" i="5"/>
  <c r="N9" i="5" s="1"/>
  <c r="P9" i="5" s="1"/>
  <c r="L10" i="5"/>
  <c r="N10" i="5" s="1"/>
  <c r="P10" i="5" s="1"/>
  <c r="L11" i="5"/>
  <c r="L12" i="5"/>
  <c r="M12" i="5" s="1"/>
  <c r="L13" i="5"/>
  <c r="M13" i="5" s="1"/>
  <c r="L14" i="5"/>
  <c r="N14" i="5" s="1"/>
  <c r="L15" i="5"/>
  <c r="M15" i="5" s="1"/>
  <c r="L16" i="5"/>
  <c r="M16" i="5" s="1"/>
  <c r="L17" i="5"/>
  <c r="M17" i="5" s="1"/>
  <c r="L18" i="5"/>
  <c r="M18" i="5" s="1"/>
  <c r="L19" i="5"/>
  <c r="M19" i="5" s="1"/>
  <c r="L20" i="5"/>
  <c r="M20" i="5" s="1"/>
  <c r="L21" i="5"/>
  <c r="N21" i="5" s="1"/>
  <c r="L22" i="5"/>
  <c r="M22" i="5" s="1"/>
  <c r="L23" i="5"/>
  <c r="L24" i="5"/>
  <c r="L25" i="5"/>
  <c r="M25" i="5" s="1"/>
  <c r="L26" i="5"/>
  <c r="L27" i="5"/>
  <c r="M27" i="5" s="1"/>
  <c r="L28" i="5"/>
  <c r="N28" i="5" s="1"/>
  <c r="L62" i="5"/>
  <c r="M62" i="5" s="1"/>
  <c r="L120" i="5"/>
  <c r="M120" i="5" s="1"/>
  <c r="L121" i="5"/>
  <c r="M121" i="5" s="1"/>
  <c r="L130" i="5"/>
  <c r="N130" i="5" s="1"/>
  <c r="L131" i="5"/>
  <c r="M131" i="5" s="1"/>
  <c r="L132" i="5"/>
  <c r="N132" i="5" s="1"/>
  <c r="L133" i="5"/>
  <c r="N133" i="5" s="1"/>
  <c r="L134" i="5"/>
  <c r="M134" i="5" s="1"/>
  <c r="L135" i="5"/>
  <c r="L136" i="5"/>
  <c r="L137" i="5"/>
  <c r="L138" i="5"/>
  <c r="N138" i="5" s="1"/>
  <c r="L139" i="5"/>
  <c r="N139" i="5" s="1"/>
  <c r="L196" i="5"/>
  <c r="N196" i="5" s="1"/>
  <c r="L197" i="5"/>
  <c r="M197" i="5" s="1"/>
  <c r="L198" i="5"/>
  <c r="N198" i="5" s="1"/>
  <c r="L140" i="5"/>
  <c r="M140" i="5" s="1"/>
  <c r="L141" i="5"/>
  <c r="M141" i="5" s="1"/>
  <c r="L142" i="5"/>
  <c r="N142" i="5" s="1"/>
  <c r="L143" i="5"/>
  <c r="M143" i="5" s="1"/>
  <c r="L144" i="5"/>
  <c r="N144" i="5" s="1"/>
  <c r="P144" i="5" s="1"/>
  <c r="L145" i="5"/>
  <c r="M145" i="5" s="1"/>
  <c r="L146" i="5"/>
  <c r="N146" i="5" s="1"/>
  <c r="L63" i="5"/>
  <c r="M63" i="5" s="1"/>
  <c r="L147" i="5"/>
  <c r="N147" i="5" s="1"/>
  <c r="L122" i="5"/>
  <c r="N122" i="5" s="1"/>
  <c r="L148" i="5"/>
  <c r="M148" i="5" s="1"/>
  <c r="L149" i="5"/>
  <c r="N149" i="5" s="1"/>
  <c r="L123" i="5"/>
  <c r="M123" i="5" s="1"/>
  <c r="L124" i="5"/>
  <c r="N124" i="5" s="1"/>
  <c r="L125" i="5"/>
  <c r="N125" i="5" s="1"/>
  <c r="L126" i="5"/>
  <c r="N126" i="5" s="1"/>
  <c r="L127" i="5"/>
  <c r="M127" i="5" s="1"/>
  <c r="L128" i="5"/>
  <c r="N128" i="5" s="1"/>
  <c r="L129" i="5"/>
  <c r="N129" i="5" s="1"/>
  <c r="L150" i="5"/>
  <c r="M150" i="5" s="1"/>
  <c r="L151" i="5"/>
  <c r="L152" i="5"/>
  <c r="L153" i="5"/>
  <c r="L154" i="5"/>
  <c r="L155" i="5"/>
  <c r="L156" i="5"/>
  <c r="N156" i="5" s="1"/>
  <c r="L157" i="5"/>
  <c r="M157" i="5" s="1"/>
  <c r="L158" i="5"/>
  <c r="L159" i="5"/>
  <c r="N159" i="5" s="1"/>
  <c r="L160" i="5"/>
  <c r="M160" i="5" s="1"/>
  <c r="L161" i="5"/>
  <c r="N161" i="5" s="1"/>
  <c r="L162" i="5"/>
  <c r="N162" i="5" s="1"/>
  <c r="P162" i="5" s="1"/>
  <c r="L163" i="5"/>
  <c r="N163" i="5" s="1"/>
  <c r="P163" i="5" s="1"/>
  <c r="L164" i="5"/>
  <c r="M164" i="5" s="1"/>
  <c r="L98" i="5"/>
  <c r="M98" i="5" s="1"/>
  <c r="M29" i="5"/>
  <c r="M31" i="5"/>
  <c r="M33" i="5"/>
  <c r="M165" i="5"/>
  <c r="M172" i="5"/>
  <c r="M173" i="5"/>
  <c r="M40" i="5"/>
  <c r="M41" i="5"/>
  <c r="M42" i="5"/>
  <c r="M55" i="5"/>
  <c r="M56" i="5"/>
  <c r="M57" i="5"/>
  <c r="M58" i="5"/>
  <c r="M70" i="5"/>
  <c r="M71" i="5"/>
  <c r="M72" i="5"/>
  <c r="M73" i="5"/>
  <c r="M183" i="5"/>
  <c r="M85" i="5"/>
  <c r="M86" i="5"/>
  <c r="M184" i="5"/>
  <c r="M194" i="5"/>
  <c r="M195" i="5"/>
  <c r="M88" i="5"/>
  <c r="M61" i="5"/>
  <c r="M3" i="5"/>
  <c r="M99" i="5"/>
  <c r="M100" i="5"/>
  <c r="M101" i="5"/>
  <c r="M111" i="5"/>
  <c r="M112" i="5"/>
  <c r="M10" i="5"/>
  <c r="M11" i="5"/>
  <c r="M23" i="5"/>
  <c r="M24" i="5"/>
  <c r="M26" i="5"/>
  <c r="M135" i="5"/>
  <c r="M136" i="5"/>
  <c r="M137" i="5"/>
  <c r="M138" i="5"/>
  <c r="M139" i="5"/>
  <c r="M196" i="5"/>
  <c r="M198" i="5"/>
  <c r="M147" i="5"/>
  <c r="M122" i="5"/>
  <c r="M151" i="5"/>
  <c r="M152" i="5"/>
  <c r="M153" i="5"/>
  <c r="M154" i="5"/>
  <c r="M155" i="5"/>
  <c r="M156" i="5"/>
  <c r="M158" i="5"/>
  <c r="M159" i="5"/>
  <c r="N2" i="5"/>
  <c r="N29" i="5"/>
  <c r="P29" i="5" s="1"/>
  <c r="N30" i="5"/>
  <c r="P30" i="5" s="1"/>
  <c r="N31" i="5"/>
  <c r="N165" i="5"/>
  <c r="N172" i="5"/>
  <c r="P172" i="5" s="1"/>
  <c r="N173" i="5"/>
  <c r="N41" i="5"/>
  <c r="N42" i="5"/>
  <c r="N43" i="5"/>
  <c r="N54" i="5"/>
  <c r="N55" i="5"/>
  <c r="N56" i="5"/>
  <c r="N57" i="5"/>
  <c r="N58" i="5"/>
  <c r="N181" i="5"/>
  <c r="N182" i="5"/>
  <c r="N70" i="5"/>
  <c r="N71" i="5"/>
  <c r="N72" i="5"/>
  <c r="N73" i="5"/>
  <c r="N74" i="5"/>
  <c r="N84" i="5"/>
  <c r="P84" i="5" s="1"/>
  <c r="N183" i="5"/>
  <c r="P183" i="5" s="1"/>
  <c r="N85" i="5"/>
  <c r="P85" i="5" s="1"/>
  <c r="N86" i="5"/>
  <c r="N195" i="5"/>
  <c r="N92" i="5"/>
  <c r="N61" i="5"/>
  <c r="P61" i="5" s="1"/>
  <c r="N3" i="5"/>
  <c r="N99" i="5"/>
  <c r="N100" i="5"/>
  <c r="N112" i="5"/>
  <c r="N114" i="5"/>
  <c r="N115" i="5"/>
  <c r="N117" i="5"/>
  <c r="N118" i="5"/>
  <c r="N11" i="5"/>
  <c r="N12" i="5"/>
  <c r="N13" i="5"/>
  <c r="N23" i="5"/>
  <c r="P23" i="5" s="1"/>
  <c r="N24" i="5"/>
  <c r="P24" i="5" s="1"/>
  <c r="N25" i="5"/>
  <c r="P25" i="5" s="1"/>
  <c r="N26" i="5"/>
  <c r="N27" i="5"/>
  <c r="P27" i="5" s="1"/>
  <c r="N120" i="5"/>
  <c r="P120" i="5" s="1"/>
  <c r="N135" i="5"/>
  <c r="N136" i="5"/>
  <c r="N137" i="5"/>
  <c r="N63" i="5"/>
  <c r="N151" i="5"/>
  <c r="N152" i="5"/>
  <c r="N153" i="5"/>
  <c r="P153" i="5" s="1"/>
  <c r="N154" i="5"/>
  <c r="N155" i="5"/>
  <c r="P155" i="5" s="1"/>
  <c r="N157" i="5"/>
  <c r="P157" i="5" s="1"/>
  <c r="N158" i="5"/>
  <c r="P158" i="5" s="1"/>
  <c r="N98" i="5"/>
  <c r="O2" i="5"/>
  <c r="O29" i="5"/>
  <c r="O30" i="5"/>
  <c r="O31" i="5"/>
  <c r="O32" i="5"/>
  <c r="O33" i="5"/>
  <c r="O34" i="5"/>
  <c r="O165" i="5"/>
  <c r="O166" i="5"/>
  <c r="O167" i="5"/>
  <c r="O168" i="5"/>
  <c r="O169" i="5"/>
  <c r="O170" i="5"/>
  <c r="O171" i="5"/>
  <c r="O172" i="5"/>
  <c r="O173" i="5"/>
  <c r="O174" i="5"/>
  <c r="O175" i="5"/>
  <c r="O176" i="5"/>
  <c r="O177" i="5"/>
  <c r="O178" i="5"/>
  <c r="O179" i="5"/>
  <c r="O35" i="5"/>
  <c r="P35" i="5" s="1"/>
  <c r="O180" i="5"/>
  <c r="O36" i="5"/>
  <c r="O37" i="5"/>
  <c r="O38" i="5"/>
  <c r="O39" i="5"/>
  <c r="O40" i="5"/>
  <c r="O41" i="5"/>
  <c r="O42" i="5"/>
  <c r="O43" i="5"/>
  <c r="O44" i="5"/>
  <c r="O45" i="5"/>
  <c r="O46" i="5"/>
  <c r="O47" i="5"/>
  <c r="O48" i="5"/>
  <c r="O49" i="5"/>
  <c r="O50" i="5"/>
  <c r="O51" i="5"/>
  <c r="O52" i="5"/>
  <c r="O53" i="5"/>
  <c r="P53" i="5" s="1"/>
  <c r="O54" i="5"/>
  <c r="O55" i="5"/>
  <c r="O56" i="5"/>
  <c r="O57" i="5"/>
  <c r="O58" i="5"/>
  <c r="P58" i="5" s="1"/>
  <c r="O59" i="5"/>
  <c r="O181" i="5"/>
  <c r="O182" i="5"/>
  <c r="O64" i="5"/>
  <c r="O65" i="5"/>
  <c r="O66" i="5"/>
  <c r="O67" i="5"/>
  <c r="O68" i="5"/>
  <c r="O69" i="5"/>
  <c r="O70" i="5"/>
  <c r="O71" i="5"/>
  <c r="P71" i="5" s="1"/>
  <c r="O72" i="5"/>
  <c r="O73" i="5"/>
  <c r="O74" i="5"/>
  <c r="O75" i="5"/>
  <c r="O76" i="5"/>
  <c r="O77" i="5"/>
  <c r="P77" i="5" s="1"/>
  <c r="O78" i="5"/>
  <c r="O79" i="5"/>
  <c r="P79" i="5" s="1"/>
  <c r="O80" i="5"/>
  <c r="O81" i="5"/>
  <c r="O82" i="5"/>
  <c r="O83" i="5"/>
  <c r="O84" i="5"/>
  <c r="O183" i="5"/>
  <c r="O85" i="5"/>
  <c r="O86" i="5"/>
  <c r="O184" i="5"/>
  <c r="O185" i="5"/>
  <c r="O186" i="5"/>
  <c r="O187" i="5"/>
  <c r="O188" i="5"/>
  <c r="O189" i="5"/>
  <c r="O190" i="5"/>
  <c r="O191" i="5"/>
  <c r="O192" i="5"/>
  <c r="O193" i="5"/>
  <c r="O194" i="5"/>
  <c r="O195" i="5"/>
  <c r="P195" i="5" s="1"/>
  <c r="O87" i="5"/>
  <c r="P87" i="5" s="1"/>
  <c r="O88" i="5"/>
  <c r="O89" i="5"/>
  <c r="O90" i="5"/>
  <c r="O91" i="5"/>
  <c r="O92" i="5"/>
  <c r="P92" i="5" s="1"/>
  <c r="O93" i="5"/>
  <c r="O94" i="5"/>
  <c r="O95" i="5"/>
  <c r="O96" i="5"/>
  <c r="O97" i="5"/>
  <c r="O60" i="5"/>
  <c r="O61" i="5"/>
  <c r="O3" i="5"/>
  <c r="P3" i="5" s="1"/>
  <c r="O99" i="5"/>
  <c r="P99" i="5" s="1"/>
  <c r="O100" i="5"/>
  <c r="O101" i="5"/>
  <c r="O102" i="5"/>
  <c r="O103" i="5"/>
  <c r="O104" i="5"/>
  <c r="O105" i="5"/>
  <c r="O106" i="5"/>
  <c r="O107" i="5"/>
  <c r="O108" i="5"/>
  <c r="O109" i="5"/>
  <c r="O110" i="5"/>
  <c r="O111" i="5"/>
  <c r="O112" i="5"/>
  <c r="O113" i="5"/>
  <c r="O114" i="5"/>
  <c r="P114" i="5" s="1"/>
  <c r="O115" i="5"/>
  <c r="O116" i="5"/>
  <c r="O117" i="5"/>
  <c r="O118" i="5"/>
  <c r="O4" i="5"/>
  <c r="P4" i="5" s="1"/>
  <c r="O119" i="5"/>
  <c r="P119" i="5" s="1"/>
  <c r="O5" i="5"/>
  <c r="O6" i="5"/>
  <c r="O7" i="5"/>
  <c r="O8" i="5"/>
  <c r="O9" i="5"/>
  <c r="O10" i="5"/>
  <c r="O11" i="5"/>
  <c r="P11" i="5" s="1"/>
  <c r="O12" i="5"/>
  <c r="O13" i="5"/>
  <c r="O14" i="5"/>
  <c r="O15" i="5"/>
  <c r="O16" i="5"/>
  <c r="O17" i="5"/>
  <c r="O18" i="5"/>
  <c r="O19" i="5"/>
  <c r="O20" i="5"/>
  <c r="O21" i="5"/>
  <c r="O22" i="5"/>
  <c r="O23" i="5"/>
  <c r="O24" i="5"/>
  <c r="O25" i="5"/>
  <c r="O26" i="5"/>
  <c r="P26" i="5" s="1"/>
  <c r="O27" i="5"/>
  <c r="O28" i="5"/>
  <c r="O62" i="5"/>
  <c r="O120" i="5"/>
  <c r="O121" i="5"/>
  <c r="O130" i="5"/>
  <c r="O131" i="5"/>
  <c r="O132" i="5"/>
  <c r="O133" i="5"/>
  <c r="O134" i="5"/>
  <c r="O135" i="5"/>
  <c r="O136" i="5"/>
  <c r="O137" i="5"/>
  <c r="O138" i="5"/>
  <c r="P138" i="5" s="1"/>
  <c r="O139" i="5"/>
  <c r="P139" i="5" s="1"/>
  <c r="O196" i="5"/>
  <c r="P196" i="5" s="1"/>
  <c r="O197" i="5"/>
  <c r="P197" i="5" s="1"/>
  <c r="O198" i="5"/>
  <c r="P198" i="5" s="1"/>
  <c r="O140" i="5"/>
  <c r="O141" i="5"/>
  <c r="O142" i="5"/>
  <c r="O143" i="5"/>
  <c r="O144" i="5"/>
  <c r="O145" i="5"/>
  <c r="P145" i="5" s="1"/>
  <c r="O146" i="5"/>
  <c r="O63" i="5"/>
  <c r="P63" i="5" s="1"/>
  <c r="O147" i="5"/>
  <c r="P147" i="5" s="1"/>
  <c r="O122" i="5"/>
  <c r="O148" i="5"/>
  <c r="O149" i="5"/>
  <c r="O123" i="5"/>
  <c r="P123" i="5" s="1"/>
  <c r="O124" i="5"/>
  <c r="P124" i="5" s="1"/>
  <c r="O125" i="5"/>
  <c r="O126" i="5"/>
  <c r="O127" i="5"/>
  <c r="O128" i="5"/>
  <c r="O129" i="5"/>
  <c r="O150" i="5"/>
  <c r="O151" i="5"/>
  <c r="O152" i="5"/>
  <c r="O153" i="5"/>
  <c r="O154" i="5"/>
  <c r="O155" i="5"/>
  <c r="O156" i="5"/>
  <c r="O157" i="5"/>
  <c r="O158" i="5"/>
  <c r="O159" i="5"/>
  <c r="O160" i="5"/>
  <c r="O161" i="5"/>
  <c r="O162" i="5"/>
  <c r="O163" i="5"/>
  <c r="O164" i="5"/>
  <c r="O98" i="5"/>
  <c r="P98" i="5" s="1"/>
  <c r="P2" i="5"/>
  <c r="P33" i="5"/>
  <c r="P34" i="5"/>
  <c r="P165" i="5"/>
  <c r="P70" i="5"/>
  <c r="P185" i="5"/>
  <c r="P189" i="5"/>
  <c r="P194" i="5"/>
  <c r="P97" i="5"/>
  <c r="P21" i="5"/>
  <c r="P132" i="5"/>
  <c r="P133" i="5"/>
  <c r="P146" i="5"/>
  <c r="P128" i="5"/>
  <c r="P129" i="5"/>
  <c r="P150" i="5"/>
  <c r="P151" i="5"/>
  <c r="P152" i="5"/>
  <c r="Q2" i="5"/>
  <c r="Q29" i="5"/>
  <c r="Q30" i="5"/>
  <c r="Q31" i="5"/>
  <c r="Q32" i="5"/>
  <c r="Q33" i="5"/>
  <c r="Q34" i="5"/>
  <c r="Q165" i="5"/>
  <c r="Q166" i="5"/>
  <c r="Q167" i="5"/>
  <c r="Q168" i="5"/>
  <c r="Q169" i="5"/>
  <c r="Q170" i="5"/>
  <c r="Q171" i="5"/>
  <c r="Q172" i="5"/>
  <c r="Q173" i="5"/>
  <c r="Q174" i="5"/>
  <c r="Q175" i="5"/>
  <c r="Q176" i="5"/>
  <c r="Q177" i="5"/>
  <c r="Q178" i="5"/>
  <c r="Q179" i="5"/>
  <c r="Q35" i="5"/>
  <c r="Q180" i="5"/>
  <c r="Q36" i="5"/>
  <c r="Q37" i="5"/>
  <c r="Q38" i="5"/>
  <c r="Q39" i="5"/>
  <c r="Q40" i="5"/>
  <c r="Q41" i="5"/>
  <c r="Q42" i="5"/>
  <c r="Q43" i="5"/>
  <c r="Q44" i="5"/>
  <c r="Q45" i="5"/>
  <c r="Q46" i="5"/>
  <c r="Q47" i="5"/>
  <c r="Q48" i="5"/>
  <c r="Q49" i="5"/>
  <c r="Q50" i="5"/>
  <c r="Q51" i="5"/>
  <c r="Q52" i="5"/>
  <c r="Q53" i="5"/>
  <c r="Q54" i="5"/>
  <c r="Q55" i="5"/>
  <c r="Q56" i="5"/>
  <c r="Q57" i="5"/>
  <c r="Q58" i="5"/>
  <c r="Q59" i="5"/>
  <c r="Q181" i="5"/>
  <c r="Q182" i="5"/>
  <c r="Q64" i="5"/>
  <c r="Q65" i="5"/>
  <c r="Q66" i="5"/>
  <c r="Q67" i="5"/>
  <c r="Q68" i="5"/>
  <c r="Q69" i="5"/>
  <c r="Q70" i="5"/>
  <c r="Q71" i="5"/>
  <c r="Q72" i="5"/>
  <c r="Q73" i="5"/>
  <c r="Q74" i="5"/>
  <c r="Q75" i="5"/>
  <c r="Q76" i="5"/>
  <c r="Q77" i="5"/>
  <c r="Q78" i="5"/>
  <c r="Q79" i="5"/>
  <c r="Q80" i="5"/>
  <c r="Q81" i="5"/>
  <c r="Q82" i="5"/>
  <c r="Q83" i="5"/>
  <c r="Q84" i="5"/>
  <c r="Q183" i="5"/>
  <c r="Q85" i="5"/>
  <c r="Q86" i="5"/>
  <c r="Q184" i="5"/>
  <c r="Q185" i="5"/>
  <c r="Q186" i="5"/>
  <c r="Q187" i="5"/>
  <c r="Q188" i="5"/>
  <c r="Q189" i="5"/>
  <c r="Q190" i="5"/>
  <c r="Q191" i="5"/>
  <c r="Q192" i="5"/>
  <c r="Q193" i="5"/>
  <c r="Q194" i="5"/>
  <c r="Q195" i="5"/>
  <c r="Q87" i="5"/>
  <c r="Q88" i="5"/>
  <c r="Q89" i="5"/>
  <c r="Q90" i="5"/>
  <c r="Q91" i="5"/>
  <c r="Q92" i="5"/>
  <c r="Q93" i="5"/>
  <c r="Q94" i="5"/>
  <c r="Q95" i="5"/>
  <c r="Q96" i="5"/>
  <c r="Q97" i="5"/>
  <c r="Q60" i="5"/>
  <c r="Q61" i="5"/>
  <c r="Q3" i="5"/>
  <c r="Q99" i="5"/>
  <c r="Q100" i="5"/>
  <c r="Q101" i="5"/>
  <c r="Q102" i="5"/>
  <c r="Q103" i="5"/>
  <c r="Q104" i="5"/>
  <c r="Q105" i="5"/>
  <c r="Q106" i="5"/>
  <c r="Q107" i="5"/>
  <c r="Q108" i="5"/>
  <c r="Q109" i="5"/>
  <c r="Q110" i="5"/>
  <c r="Q111" i="5"/>
  <c r="Q112" i="5"/>
  <c r="Q113" i="5"/>
  <c r="Q114" i="5"/>
  <c r="Q115" i="5"/>
  <c r="Q116" i="5"/>
  <c r="Q117" i="5"/>
  <c r="Q118" i="5"/>
  <c r="Q4" i="5"/>
  <c r="Q119" i="5"/>
  <c r="Q5" i="5"/>
  <c r="Q6" i="5"/>
  <c r="Q7" i="5"/>
  <c r="Q8" i="5"/>
  <c r="Q9" i="5"/>
  <c r="Q10" i="5"/>
  <c r="Q11" i="5"/>
  <c r="Q12" i="5"/>
  <c r="Q13" i="5"/>
  <c r="Q14" i="5"/>
  <c r="Q15" i="5"/>
  <c r="Q16" i="5"/>
  <c r="Q17" i="5"/>
  <c r="Q18" i="5"/>
  <c r="Q19" i="5"/>
  <c r="Q20" i="5"/>
  <c r="Q21" i="5"/>
  <c r="Q22" i="5"/>
  <c r="Q23" i="5"/>
  <c r="Q24" i="5"/>
  <c r="Q25" i="5"/>
  <c r="Q26" i="5"/>
  <c r="Q27" i="5"/>
  <c r="Q28" i="5"/>
  <c r="Q62" i="5"/>
  <c r="Q120" i="5"/>
  <c r="Q121" i="5"/>
  <c r="Q130" i="5"/>
  <c r="Q131" i="5"/>
  <c r="Q132" i="5"/>
  <c r="Q133" i="5"/>
  <c r="Q134" i="5"/>
  <c r="Q135" i="5"/>
  <c r="Q136" i="5"/>
  <c r="Q137" i="5"/>
  <c r="Q138" i="5"/>
  <c r="Q139" i="5"/>
  <c r="Q196" i="5"/>
  <c r="Q197" i="5"/>
  <c r="Q198" i="5"/>
  <c r="Q140" i="5"/>
  <c r="Q141" i="5"/>
  <c r="Q142" i="5"/>
  <c r="Q143" i="5"/>
  <c r="Q144" i="5"/>
  <c r="Q145" i="5"/>
  <c r="Q146" i="5"/>
  <c r="Q63" i="5"/>
  <c r="Q147" i="5"/>
  <c r="Q122" i="5"/>
  <c r="Q148" i="5"/>
  <c r="Q149" i="5"/>
  <c r="Q123" i="5"/>
  <c r="Q124" i="5"/>
  <c r="Q125" i="5"/>
  <c r="Q126" i="5"/>
  <c r="Q127" i="5"/>
  <c r="Q128" i="5"/>
  <c r="Q129" i="5"/>
  <c r="Q150" i="5"/>
  <c r="Q151" i="5"/>
  <c r="Q152" i="5"/>
  <c r="Q153" i="5"/>
  <c r="Q154" i="5"/>
  <c r="Q155" i="5"/>
  <c r="Q156" i="5"/>
  <c r="Q157" i="5"/>
  <c r="Q158" i="5"/>
  <c r="Q159" i="5"/>
  <c r="Q160" i="5"/>
  <c r="Q161" i="5"/>
  <c r="Q162" i="5"/>
  <c r="Q163" i="5"/>
  <c r="Q164" i="5"/>
  <c r="Q98" i="5"/>
  <c r="A33" i="8"/>
  <c r="A32" i="8"/>
  <c r="A31" i="8"/>
  <c r="A30" i="8"/>
  <c r="A19" i="8"/>
  <c r="A18" i="8"/>
  <c r="A17" i="8"/>
  <c r="A16" i="8"/>
  <c r="A15" i="8"/>
  <c r="A13" i="8"/>
  <c r="B29" i="8"/>
  <c r="B28" i="8"/>
  <c r="B27" i="8"/>
  <c r="B26" i="8"/>
  <c r="B25" i="8"/>
  <c r="B24" i="8"/>
  <c r="B23" i="8"/>
  <c r="B19" i="8"/>
  <c r="B18" i="8"/>
  <c r="B17" i="8"/>
  <c r="B16" i="8"/>
  <c r="B15" i="8"/>
  <c r="B13" i="8"/>
  <c r="C14" i="8"/>
  <c r="C19" i="8"/>
  <c r="C18" i="8"/>
  <c r="C17" i="8"/>
  <c r="C16" i="8"/>
  <c r="C15" i="8"/>
  <c r="C13" i="8"/>
  <c r="C20" i="8"/>
  <c r="C21" i="8"/>
  <c r="C22" i="8"/>
  <c r="E14" i="8"/>
  <c r="E15" i="8"/>
  <c r="E16" i="8"/>
  <c r="E17" i="8"/>
  <c r="E18" i="8"/>
  <c r="E19" i="8"/>
  <c r="E20" i="8"/>
  <c r="E21" i="8"/>
  <c r="E22" i="8"/>
  <c r="E23" i="8"/>
  <c r="E24" i="8"/>
  <c r="E25" i="8"/>
  <c r="E26" i="8"/>
  <c r="E27" i="8"/>
  <c r="E28" i="8"/>
  <c r="E29" i="8"/>
  <c r="E30" i="8"/>
  <c r="E31" i="8"/>
  <c r="E32" i="8"/>
  <c r="E33" i="8"/>
  <c r="E13" i="8"/>
  <c r="I8" i="1"/>
  <c r="H8" i="1"/>
  <c r="G8" i="1"/>
  <c r="I7" i="1"/>
  <c r="H7" i="1"/>
  <c r="G7" i="1"/>
  <c r="P125" i="5" l="1"/>
  <c r="P105" i="5"/>
  <c r="P93" i="5"/>
  <c r="P64" i="5"/>
  <c r="N168" i="5"/>
  <c r="P168" i="5" s="1"/>
  <c r="M167" i="5"/>
  <c r="M169" i="5"/>
  <c r="P106" i="5"/>
  <c r="M166" i="5"/>
  <c r="P115" i="5"/>
  <c r="P89" i="5"/>
  <c r="P74" i="5"/>
  <c r="N148" i="5"/>
  <c r="P148" i="5" s="1"/>
  <c r="N32" i="5"/>
  <c r="P32" i="5" s="1"/>
  <c r="M188" i="5"/>
  <c r="M170" i="5"/>
  <c r="N123" i="5"/>
  <c r="M189" i="5"/>
  <c r="P13" i="5"/>
  <c r="P73" i="5"/>
  <c r="M9" i="5"/>
  <c r="M187" i="5"/>
  <c r="P126" i="5"/>
  <c r="P94" i="5"/>
  <c r="P65" i="5"/>
  <c r="P49" i="5"/>
  <c r="P117" i="5"/>
  <c r="P137" i="5"/>
  <c r="P72" i="5"/>
  <c r="M146" i="5"/>
  <c r="M185" i="5"/>
  <c r="P118" i="5"/>
  <c r="P112" i="5"/>
  <c r="P173" i="5"/>
  <c r="N4" i="5"/>
  <c r="N80" i="5"/>
  <c r="P80" i="5" s="1"/>
  <c r="P48" i="5"/>
  <c r="N78" i="5"/>
  <c r="P78" i="5" s="1"/>
  <c r="P31" i="5"/>
  <c r="P113" i="5"/>
  <c r="P42" i="5"/>
  <c r="P136" i="5"/>
  <c r="P41" i="5"/>
  <c r="M125" i="5"/>
  <c r="M107" i="5"/>
  <c r="P44" i="5"/>
  <c r="P135" i="5"/>
  <c r="P111" i="5"/>
  <c r="P54" i="5"/>
  <c r="N18" i="5"/>
  <c r="N113" i="5"/>
  <c r="M124" i="5"/>
  <c r="M106" i="5"/>
  <c r="M90" i="5"/>
  <c r="P18" i="5"/>
  <c r="P159" i="5"/>
  <c r="M96" i="5"/>
  <c r="P104" i="5"/>
  <c r="P12" i="5"/>
  <c r="N77" i="5"/>
  <c r="N20" i="5"/>
  <c r="P20" i="5" s="1"/>
  <c r="M126" i="5"/>
  <c r="M108" i="5"/>
  <c r="M93" i="5"/>
  <c r="P55" i="5"/>
  <c r="N19" i="5"/>
  <c r="P19" i="5" s="1"/>
  <c r="N179" i="5"/>
  <c r="P179" i="5" s="1"/>
  <c r="M149" i="5"/>
  <c r="M105" i="5"/>
  <c r="M89" i="5"/>
  <c r="P130" i="5"/>
  <c r="N79" i="5"/>
  <c r="N191" i="5"/>
  <c r="P191" i="5" s="1"/>
  <c r="M109" i="5"/>
  <c r="M94" i="5"/>
  <c r="N190" i="5"/>
  <c r="P190" i="5" s="1"/>
  <c r="N76" i="5"/>
  <c r="P76" i="5" s="1"/>
  <c r="N17" i="5"/>
  <c r="P17" i="5" s="1"/>
  <c r="M162" i="5"/>
  <c r="N160" i="5"/>
  <c r="P160" i="5" s="1"/>
  <c r="N16" i="5"/>
  <c r="P16" i="5" s="1"/>
  <c r="N186" i="5"/>
  <c r="P186" i="5" s="1"/>
  <c r="M161" i="5"/>
  <c r="M104" i="5"/>
  <c r="M75" i="5"/>
  <c r="P182" i="5"/>
  <c r="P181" i="5"/>
  <c r="M95" i="5"/>
  <c r="P86" i="5"/>
  <c r="P56" i="5"/>
  <c r="N15" i="5"/>
  <c r="P15" i="5" s="1"/>
  <c r="M102" i="5"/>
  <c r="M87" i="5"/>
  <c r="N37" i="5"/>
  <c r="P37" i="5" s="1"/>
  <c r="M6" i="5"/>
  <c r="N143" i="5"/>
  <c r="P143" i="5" s="1"/>
  <c r="N121" i="5"/>
  <c r="P121" i="5" s="1"/>
  <c r="N180" i="5"/>
  <c r="P180" i="5" s="1"/>
  <c r="N34" i="5"/>
  <c r="M119" i="5"/>
  <c r="M51" i="5"/>
  <c r="P5" i="5"/>
  <c r="N131" i="5"/>
  <c r="P131" i="5" s="1"/>
  <c r="N36" i="5"/>
  <c r="P36" i="5" s="1"/>
  <c r="P100" i="5"/>
  <c r="P57" i="5"/>
  <c r="M133" i="5"/>
  <c r="N141" i="5"/>
  <c r="P141" i="5" s="1"/>
  <c r="N62" i="5"/>
  <c r="P62" i="5" s="1"/>
  <c r="M132" i="5"/>
  <c r="M67" i="5"/>
  <c r="M49" i="5"/>
  <c r="P90" i="5"/>
  <c r="P45" i="5"/>
  <c r="N140" i="5"/>
  <c r="P140" i="5" s="1"/>
  <c r="N178" i="5"/>
  <c r="P178" i="5" s="1"/>
  <c r="M66" i="5"/>
  <c r="M177" i="5"/>
  <c r="N176" i="5"/>
  <c r="P176" i="5" s="1"/>
  <c r="N47" i="5"/>
  <c r="P47" i="5" s="1"/>
  <c r="M129" i="5"/>
  <c r="M142" i="5"/>
  <c r="M14" i="5"/>
  <c r="M192" i="5"/>
  <c r="M64" i="5"/>
  <c r="M45" i="5"/>
  <c r="M175" i="5"/>
  <c r="P142" i="5"/>
  <c r="P107" i="5"/>
  <c r="P66" i="5"/>
  <c r="M7" i="5"/>
  <c r="M21" i="5"/>
  <c r="M5" i="5"/>
  <c r="M52" i="5"/>
  <c r="P154" i="5"/>
  <c r="P43" i="5"/>
  <c r="N50" i="5"/>
  <c r="P50" i="5" s="1"/>
  <c r="P149" i="5"/>
  <c r="P28" i="5"/>
  <c r="P116" i="5"/>
  <c r="P59" i="5"/>
  <c r="P177" i="5"/>
  <c r="M82" i="5"/>
  <c r="M48" i="5"/>
  <c r="N91" i="5"/>
  <c r="P91" i="5" s="1"/>
  <c r="M130" i="5"/>
  <c r="M65" i="5"/>
  <c r="N46" i="5"/>
  <c r="P46" i="5" s="1"/>
  <c r="N174" i="5"/>
  <c r="P174" i="5" s="1"/>
  <c r="M128" i="5"/>
  <c r="M44" i="5"/>
  <c r="P161" i="5"/>
  <c r="P95" i="5"/>
  <c r="M38" i="5"/>
  <c r="P122" i="5"/>
  <c r="P88" i="5"/>
  <c r="P175" i="5"/>
  <c r="N35" i="5"/>
  <c r="M68" i="5"/>
  <c r="P156" i="5"/>
  <c r="P14" i="5"/>
  <c r="P102" i="5"/>
  <c r="P75" i="5"/>
  <c r="M144" i="5"/>
  <c r="M116" i="5"/>
  <c r="N127" i="5"/>
  <c r="P127" i="5" s="1"/>
  <c r="M81" i="5"/>
  <c r="N197" i="5"/>
  <c r="N103" i="5"/>
  <c r="P103" i="5" s="1"/>
  <c r="M163" i="5"/>
  <c r="M28" i="5"/>
  <c r="M97" i="5"/>
  <c r="M59" i="5"/>
  <c r="N164" i="5"/>
  <c r="P164" i="5" s="1"/>
  <c r="N150" i="5"/>
  <c r="N145" i="5"/>
  <c r="N134" i="5"/>
  <c r="P134" i="5" s="1"/>
  <c r="N22" i="5"/>
  <c r="P22" i="5" s="1"/>
  <c r="N8" i="5"/>
  <c r="P8" i="5" s="1"/>
  <c r="N110" i="5"/>
  <c r="P110" i="5" s="1"/>
  <c r="N60" i="5"/>
  <c r="P60" i="5" s="1"/>
  <c r="N193" i="5"/>
  <c r="P193" i="5" s="1"/>
  <c r="N83" i="5"/>
  <c r="P83" i="5" s="1"/>
  <c r="N69" i="5"/>
  <c r="P69" i="5" s="1"/>
  <c r="N53" i="5"/>
  <c r="N39" i="5"/>
  <c r="P39" i="5" s="1"/>
  <c r="N171" i="5"/>
  <c r="P171" i="5" s="1"/>
  <c r="G6" i="1"/>
  <c r="H6" i="1"/>
  <c r="I6" i="1"/>
  <c r="A4" i="8"/>
  <c r="B4" i="8"/>
  <c r="A5" i="8"/>
  <c r="B5" i="8"/>
  <c r="A6" i="8"/>
  <c r="B6" i="8"/>
  <c r="A7" i="8"/>
  <c r="B7" i="8"/>
  <c r="C5" i="8"/>
  <c r="C6" i="8"/>
  <c r="C7" i="8"/>
  <c r="C4" i="8"/>
  <c r="E7" i="8" l="1"/>
  <c r="E6" i="8"/>
  <c r="E5" i="8"/>
  <c r="E4" i="8"/>
  <c r="E43" i="8" l="1"/>
  <c r="C43" i="8"/>
  <c r="B43" i="8"/>
  <c r="A43" i="8"/>
  <c r="E42" i="8"/>
  <c r="C42" i="8"/>
  <c r="B42" i="8"/>
  <c r="A42" i="8"/>
  <c r="E41" i="8"/>
  <c r="C41" i="8"/>
  <c r="B41" i="8"/>
  <c r="A41" i="8"/>
  <c r="E40" i="8"/>
  <c r="C40" i="8"/>
  <c r="B40" i="8"/>
  <c r="A40" i="8"/>
  <c r="E39" i="8"/>
  <c r="C39" i="8"/>
  <c r="B39" i="8"/>
  <c r="A39" i="8"/>
  <c r="E38" i="8"/>
  <c r="C38" i="8"/>
  <c r="B38" i="8"/>
  <c r="A38" i="8"/>
  <c r="E37" i="8"/>
  <c r="C37" i="8"/>
  <c r="B37" i="8"/>
  <c r="A37" i="8"/>
  <c r="E36" i="8"/>
  <c r="C36" i="8"/>
  <c r="B36" i="8"/>
  <c r="A36" i="8"/>
  <c r="E35" i="8"/>
  <c r="C35" i="8"/>
  <c r="B35" i="8"/>
  <c r="A35" i="8"/>
  <c r="E34" i="8"/>
  <c r="C34" i="8"/>
  <c r="B34" i="8"/>
  <c r="A34" i="8"/>
  <c r="G4" i="1" l="1"/>
  <c r="H4" i="1"/>
  <c r="I4" i="1"/>
  <c r="G3" i="1"/>
  <c r="H3" i="1"/>
  <c r="I3" i="1"/>
  <c r="A4" i="1" l="1"/>
  <c r="A3" i="1"/>
  <c r="A2" i="1"/>
  <c r="A5" i="1" l="1"/>
  <c r="M7" i="8"/>
  <c r="H5" i="1" l="1"/>
  <c r="H2" i="1"/>
  <c r="I5" i="1"/>
  <c r="I2" i="1"/>
  <c r="G5" i="1" l="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8FD3B2-8356-441F-947B-6941990BB748}" keepAlive="1" name="Consulta - Errores en Tabla2 (2)" description="Conexión a la consulta 'Errores en Tabla2 (2)' en el libro." type="5" refreshedVersion="0" background="1">
    <dbPr connection="Provider=Microsoft.Mashup.OleDb.1;Data Source=$Workbook$;Location=&quot;Errores en Tabla2 (2)&quot;;Extended Properties=&quot;&quot;" command="SELECT * FROM [Errores en Tabla2 (2)]"/>
  </connection>
  <connection id="2" xr16:uid="{71BDF42B-3F4E-4244-9118-E9B987176825}" keepAlive="1" name="Consulta - Tabla2 (2)" description="Conexión a la consulta 'Tabla2 (2)' en el libro." type="5" refreshedVersion="8" background="1" saveData="1">
    <dbPr connection="Provider=Microsoft.Mashup.OleDb.1;Data Source=$Workbook$;Location=&quot;Tabla2 (2)&quot;;Extended Properties=&quot;&quot;" command="SELECT * FROM [Tabla2 (2)]"/>
  </connection>
  <connection id="3" xr16:uid="{1547C4EA-4CA0-48B9-8457-0A1BCB87B976}" keepAlive="1" name="Consulta - Tabla2 (3)" description="Conexión a la consulta 'Tabla2 (3)' en el libro." type="5" refreshedVersion="8" background="1" saveData="1">
    <dbPr connection="Provider=Microsoft.Mashup.OleDb.1;Data Source=$Workbook$;Location=&quot;Tabla2 (3)&quot;;Extended Properties=&quot;&quot;" command="SELECT * FROM [Tabla2 (3)]"/>
  </connection>
</connections>
</file>

<file path=xl/sharedStrings.xml><?xml version="1.0" encoding="utf-8"?>
<sst xmlns="http://schemas.openxmlformats.org/spreadsheetml/2006/main" count="7419" uniqueCount="211">
  <si>
    <t>EJECUCION DEL PLAN</t>
  </si>
  <si>
    <t>CIUDAD</t>
  </si>
  <si>
    <t>#PDV Obj.</t>
  </si>
  <si>
    <t>#PDV Eje.</t>
  </si>
  <si>
    <t>.% Ejecucion</t>
  </si>
  <si>
    <t>Obj Mystery</t>
  </si>
  <si>
    <t>Mystery Eje.</t>
  </si>
  <si>
    <t>% Efectividad.</t>
  </si>
  <si>
    <t>BOGOTA</t>
  </si>
  <si>
    <t>Total general</t>
  </si>
  <si>
    <t>MYSTERY POR CLUSTER</t>
  </si>
  <si>
    <t>Suma de % MYSTERY</t>
  </si>
  <si>
    <t>Etiquetas de columna</t>
  </si>
  <si>
    <t>CLUSTER</t>
  </si>
  <si>
    <t>ESPECIALIZADO</t>
  </si>
  <si>
    <t>MODERNO</t>
  </si>
  <si>
    <t>% MYSTERY</t>
  </si>
  <si>
    <t>HORARIO</t>
  </si>
  <si>
    <t>MYSTERY POR CLUSTER - CIUDAD</t>
  </si>
  <si>
    <t>MYSTERY EFECTIVO</t>
  </si>
  <si>
    <t>SI</t>
  </si>
  <si>
    <t>MYSTERY POR PDV</t>
  </si>
  <si>
    <t>CANAL</t>
  </si>
  <si>
    <t>NOMBRE COMERCIAL</t>
  </si>
  <si>
    <t>ACTIVIDAD</t>
  </si>
  <si>
    <t>CADENA</t>
  </si>
  <si>
    <t>CODIGO PDV</t>
  </si>
  <si>
    <t>PREGUNTA</t>
  </si>
  <si>
    <t>RTA</t>
  </si>
  <si>
    <t>FECHA VISITA</t>
  </si>
  <si>
    <t>CODIGO RUTA</t>
  </si>
  <si>
    <t>USUARIO</t>
  </si>
  <si>
    <t>TOTAL PUNTAJE</t>
  </si>
  <si>
    <t>RTA CORRECTA</t>
  </si>
  <si>
    <t>PUNTAJE OBTENIDO</t>
  </si>
  <si>
    <t>CUENTA CON CALZADO DE ACUERDO AL UNIFORME</t>
  </si>
  <si>
    <t>Objetivo Mystery</t>
  </si>
  <si>
    <t>#PDV Objetivos</t>
  </si>
  <si>
    <t>#PDV Ejecutados</t>
  </si>
  <si>
    <t># Visitas</t>
  </si>
  <si>
    <t>Mystery Ejecutado</t>
  </si>
  <si>
    <t>TRADICIONAL</t>
  </si>
  <si>
    <t>REGIONAL</t>
  </si>
  <si>
    <t>SUBCADENA</t>
  </si>
  <si>
    <t>ZONA</t>
  </si>
  <si>
    <t>RV</t>
  </si>
  <si>
    <t>CODIGO EAN</t>
  </si>
  <si>
    <t>TIPO PUNTO VENTA</t>
  </si>
  <si>
    <t>CONSECUTIVO ENCUESTA</t>
  </si>
  <si>
    <t>NOMBRE ENCUESTA</t>
  </si>
  <si>
    <t>RESPUESTA</t>
  </si>
  <si>
    <t>CODIGO FOTO</t>
  </si>
  <si>
    <t>OBSERVACION</t>
  </si>
  <si>
    <t>FECHA INICIO VISITA</t>
  </si>
  <si>
    <t>FECHA CREACIÓN RESPUESTA</t>
  </si>
  <si>
    <t>CLIENTE</t>
  </si>
  <si>
    <t>CODIGO EXHIBICION</t>
  </si>
  <si>
    <t>NOMBRE EXHIBICION</t>
  </si>
  <si>
    <t>NOMBRE USUARIO</t>
  </si>
  <si>
    <t xml:space="preserve">NOMBRE SUPERVISOR </t>
  </si>
  <si>
    <t>USUARIO SUPERVISOR</t>
  </si>
  <si>
    <t/>
  </si>
  <si>
    <t>PRODUCTIVIDAD</t>
  </si>
  <si>
    <t>CAMILO MONTAÑO RESTREPO</t>
  </si>
  <si>
    <t>camilo.montano</t>
  </si>
  <si>
    <t>N/A</t>
  </si>
  <si>
    <t>CENTRO</t>
  </si>
  <si>
    <t>PESO</t>
  </si>
  <si>
    <t>TIPO</t>
  </si>
  <si>
    <t>UNICA</t>
  </si>
  <si>
    <t>TOTAL GENERAL</t>
  </si>
  <si>
    <t>PESO CLUSTER</t>
  </si>
  <si>
    <t>Columna1</t>
  </si>
  <si>
    <t>SI(O(G17="Dog Chow";G17="Cat Chow";G17="Alpo";G17="Gatsy";G17="Feliz");N17;0)</t>
  </si>
  <si>
    <t>SI(O(G29="Dog Chow húmedo";G29="Cat Chow húmedo";G29="Fancy Feast";G29="Felix";G29="Proplan húmedo";G29="One húmedo";G29="Snack Abrazzos";G29="Snak Dentalife";G29="Arenilla Tidy Cat");N29;0)</t>
  </si>
  <si>
    <t>1</t>
  </si>
  <si>
    <t>VIDEO 1</t>
  </si>
  <si>
    <t>VIDEO 2</t>
  </si>
  <si>
    <t>VIDEO 3</t>
  </si>
  <si>
    <t>-</t>
  </si>
  <si>
    <t>Columna2</t>
  </si>
  <si>
    <t>VIDEO 4</t>
  </si>
  <si>
    <t>VIDEO 5</t>
  </si>
  <si>
    <t>¿CUMPLE HORARIO DE ENTRADA O SALIDA DE LA TIENDA?</t>
  </si>
  <si>
    <t>CUENTA CON PANTALON DEL UNIFORME SEGÚN EL CARGO (NEGRO / ROJO / TURQUESA / JEAN)</t>
  </si>
  <si>
    <t>EL UNIFORME Y ZAPATOS SE ENCUENTRAN LIMPIOS Y EN BUEN ESTADO</t>
  </si>
  <si>
    <t>SU CABELLO LUCE LIMPIO, ORGANIZADO O RECOGIDO</t>
  </si>
  <si>
    <t>PRESENTA EXCESO DE MAQUILLAJE QUE NO CUMPLE CON EL CODIGO DE VESTIMENTA</t>
  </si>
  <si>
    <t>TIENE TATUAJES O PIERCINGS VISIBLES QUE NO CUMPLE CON EL CODIGO DE VESTIMENTA</t>
  </si>
  <si>
    <t>TIENE UÑAS LLAMATIVAS Y/O LARGAS QUE NO CUMPLE CON EL CODIGO DE VESTIMENTA</t>
  </si>
  <si>
    <t>USA ACCESORIOS QUE NO CUMPLE CON EL CODIGO DE VESTIMENTA</t>
  </si>
  <si>
    <t>NESTLE PURINA</t>
  </si>
  <si>
    <t>0</t>
  </si>
  <si>
    <t xml:space="preserve">User 1 </t>
  </si>
  <si>
    <t>NestleP.1</t>
  </si>
  <si>
    <t>UNIFORME</t>
  </si>
  <si>
    <t>ABORDAJE</t>
  </si>
  <si>
    <t>PORTAFOLIO Y MANEJO DE OBJECIONES</t>
  </si>
  <si>
    <t>LABOR DE VENTA</t>
  </si>
  <si>
    <t>SE LOGRA REALIZAR EL MYSTERY?</t>
  </si>
  <si>
    <t>CUENTA CON CAMISA DEL UNIFORME Y LOGOS SEGÚN EL CARGO (NEGRA / GRIS / ROJA / TURQUESA) (Es permitido usar debajo de la camisa buso manga larga Negro)</t>
  </si>
  <si>
    <t>POSEE ALGUNA PRENDA ENCIMA DEL UNIFORME NO AUTORIZADA POR LA MARCA (Unicamente esta permitido chaleco de Sodimac y Easy)</t>
  </si>
  <si>
    <t>SELECCIONE EL CANAL DEL PDV QUE EVALUA</t>
  </si>
  <si>
    <t>INDIQUE QUE TIPO DE OBJECION / DUDA MANIFESTÓ</t>
  </si>
  <si>
    <t>RESUELVE LA OBJECION SATISFACTORIAMENTE?</t>
  </si>
  <si>
    <t>REALIZA CIERRE DE VENTA</t>
  </si>
  <si>
    <t>CONSIDERO QUE INDEPENDIENTEMENTE DEL SPEECH, LA LABOR DE VENTA ES BUENA</t>
  </si>
  <si>
    <t>DESEA AÑADIR ALGUNA OBSERVACION Y/O NOVEDAD DEL MYSTERY REALIZADO?</t>
  </si>
  <si>
    <t>INDIQUE OBSERVACION Y/O NOVEDAD DEL MYSTERY REALIZADO</t>
  </si>
  <si>
    <t>VIDEO 6</t>
  </si>
  <si>
    <t>INDAGA SOBRE LAS NECESIDADES DEL CLIENTE CON RESPECTO A SU CONSUMO HABITUAL " MARCAS COMPETENCIA O PROPIAS" - OBJECIÓN DE PRECIOS.</t>
  </si>
  <si>
    <t>CM - OFRECE ALIMENTO HUMEDO DE DOG CHOW Y FELIX</t>
  </si>
  <si>
    <t>CM - CONOCE LAS DINAMICAS COMERCIALES DEL PDV</t>
  </si>
  <si>
    <t>CT - OFRECIO ALGUN PRODUCTO DEL PORTAFOLIO PURINA DE PRODUCTOS SECOS COMUNICANDO LOS BENEFICIOS DEL PRODUCTO (DOG CHOW, CAT CHOW, ALPO, GATSY, FELIX O NINGUNO)</t>
  </si>
  <si>
    <t>CT - OFRECIO ALGUN PRODUCTO PORTAFOLIO PURINA DE PRODUCTOS HUMEDOS COMUNICANDO LOS BENEFICIOS DEL PRODUCTO (Dog chow húmedo, Cat chow húmedo, Fancy Feast, Felix, Proplan Húmedo, One Húmedo, Snacks (Abrazzos, Dentalife), Arenilla (Tidy Cat)</t>
  </si>
  <si>
    <t>CT - MENCIONA ALGUNA DE LAS INNOVACIONES QUE TENEMOS EN EL CANAL (CAT 200GR FELIX TRIPLE DELI Y MEGA MIX DE WET Y DOG CHOW ALTA PROTEINA DE 350GR 475GR )</t>
  </si>
  <si>
    <t>SE ENCUENTRA LIMPIA EL AREA DE DEMOSTRACION "REVISION DE PRODUCTO SIN POLVO Y EN OPTIMAS CONDICIONES"</t>
  </si>
  <si>
    <t>SE PRODUCE ABORDAJE PROACTIVO (antes de 1 min)</t>
  </si>
  <si>
    <t>OFRECE PURINA ONE: (APLICA SOLO EN CANAL MODERNO, CADENAS, SI EL PRODUCTO ESTA EN EL PDV)</t>
  </si>
  <si>
    <t>MENCIONA QUE LOS RESULTADOS SON VISIBLES EN 28 DIAS?</t>
  </si>
  <si>
    <t>MENCIONA QUE TIENE CARNE DE VERDAD COMO INGREDIENTE NO.1 E INGREDIENTES NATURALES Y FUNCIONALES?</t>
  </si>
  <si>
    <t>MENCIONA QUE PURINA ONE CUENTA CON ALIMENTO HUMEDO Y MENCIONA LAS 3 VARIADADES QUE TIENE ( SUPER FOODS, SUPER NUTRIENTES Y MULTI PROTEINAS); APLICA TANTO PARA PERRO COMO PARA GATO?</t>
  </si>
  <si>
    <t>(OFRECE EL OBSEQUIO APLICA VIERNES, SABADO Y DOMINGO) Y EXPLICA COMO HACER LA TRANSICIÓN  DEL PRODUCTO Y BENEFICIOS?</t>
  </si>
  <si>
    <t>CE - LO PRIMERO QUE OFRECE EL ASESOR ES LA MARCA PRO PLAN? (ENFOQUE EN GATOS)</t>
  </si>
  <si>
    <t>CE - EL ASESOR COMUNICA LOS BENEFICIOS Y CARACTERISTICAS DE LA MARCA PRO PLAN? (ENFOQUE EN GATOS)</t>
  </si>
  <si>
    <t>CE - LUEGO DE REALIZAR LA OBJECIÓN DE PRECIO, OFRECE LA MARCA EXCELLENT? (ENFOQUE EN GATOS)</t>
  </si>
  <si>
    <t>CE - EL ASESOR COMUNICA QUE LA MARCA EXCELLENT ESTA DENTRO DE LA CATEGORIA SUPERPREMIUM PERO A UN COSTO MAS ACCESIBLE.</t>
  </si>
  <si>
    <t>CE - EL ASESOR COMUNICA LOS BENEFICIOS Y CARACTERISTICAS DEL PRODUCTO EXCELLENT? (ENFOQUE EN GATOS)</t>
  </si>
  <si>
    <t>ABORDA AL SHOPPER CON EL VERBATIM Y MANEJA LAS OBJECIONES SEGÚN COMUNICADO ENVIADO.</t>
  </si>
  <si>
    <t>CE - OFRECE PRODUCTO HUMEDO Y OFRECE LAS DIFERENTES VARIEDADES? (GATOS Y PERROS)</t>
  </si>
  <si>
    <t>EJE CAFETERO</t>
  </si>
  <si>
    <t>PEREIRA</t>
  </si>
  <si>
    <t>SUPER IND</t>
  </si>
  <si>
    <t>(Todas)</t>
  </si>
  <si>
    <t>VUM</t>
  </si>
  <si>
    <t>NOMBRE PDV</t>
  </si>
  <si>
    <t>NOVEDAD</t>
  </si>
  <si>
    <t>ABIERTA</t>
  </si>
  <si>
    <t>CT - EL ACTIVADOR MENCIONA LOS NUEVO SABORES Y REFERENCIAS DEL PORTAFOLIO DE DOG CHOW Y MENCIONA  SU NUEVO PRECIO</t>
  </si>
  <si>
    <t>CE - OFRECE LOS  SUPLEMENTOS Y LA CAMPAÑA "SOBRE AL DÍA" (INDAGAR AL ASESOR O ACTIVADOR ACERCA DE LOS SUPLEMENTOS)</t>
  </si>
  <si>
    <t>355912</t>
  </si>
  <si>
    <t>355912 - MERCADOS ALCOSTO ALMENDROS</t>
  </si>
  <si>
    <t>MYSTERY MAYO 2026</t>
  </si>
  <si>
    <t>14/05/2026 00:00:00</t>
  </si>
  <si>
    <t>20/05/2026 09:24:05</t>
  </si>
  <si>
    <t>20/05/2026 09:32:24</t>
  </si>
  <si>
    <t>31343424</t>
  </si>
  <si>
    <t xml:space="preserve"> NO</t>
  </si>
  <si>
    <t xml:space="preserve"> TRADICIONAL</t>
  </si>
  <si>
    <t xml:space="preserve"> NO TIENE DINERO</t>
  </si>
  <si>
    <t>NA</t>
  </si>
  <si>
    <t>COSTA</t>
  </si>
  <si>
    <t>BARRANQUILLA</t>
  </si>
  <si>
    <t>455609</t>
  </si>
  <si>
    <t>455609 - HOMECENTER BARRANQUILLA NORTE</t>
  </si>
  <si>
    <t>21/05/2026 00:00:00</t>
  </si>
  <si>
    <t>21/05/2026 12:22:03</t>
  </si>
  <si>
    <t>21/05/2026 12:26:08</t>
  </si>
  <si>
    <t>31364139</t>
  </si>
  <si>
    <t xml:space="preserve">User 5 </t>
  </si>
  <si>
    <t>NestleP.5</t>
  </si>
  <si>
    <t>CM - OFRECE DOG CHOW O CAT CHOW COMO PRIMERA OPCION "SI EL PDV CUENTA CON LA REFERENCIA DE PURINA ONE ESTA DEBE SER LA PRIMERA OPCION"</t>
  </si>
  <si>
    <t>Ninguna</t>
  </si>
  <si>
    <t>424803</t>
  </si>
  <si>
    <t>ALCONCENTRADOS</t>
  </si>
  <si>
    <t>26/05/2026 00:00:00</t>
  </si>
  <si>
    <t>28/05/2026 15:17:15</t>
  </si>
  <si>
    <t>28/05/2026 15:32:06</t>
  </si>
  <si>
    <t>31427785</t>
  </si>
  <si>
    <t xml:space="preserve"> PREFIERE LA COMPETENCIA</t>
  </si>
  <si>
    <t>122880</t>
  </si>
  <si>
    <t>SUPERMERCADO COMUNAL</t>
  </si>
  <si>
    <t>23/05/2026 00:00:00</t>
  </si>
  <si>
    <t>25/05/2026 12:20:01</t>
  </si>
  <si>
    <t>25/05/2026 12:20:53</t>
  </si>
  <si>
    <t>31379286</t>
  </si>
  <si>
    <t>Buen dia, nos indican que mercaderista adelanto visita ayer por solicitud de  ejecutiva, por ingreso de pedido</t>
  </si>
  <si>
    <t>MI CORRAL NORTE CRA 46</t>
  </si>
  <si>
    <t>CARTAGENA</t>
  </si>
  <si>
    <t>ÉXITO CARTAGENA</t>
  </si>
  <si>
    <t>MASCOCLINICA</t>
  </si>
  <si>
    <t>https://drive.google.com/file/d/1CqfCrK-V3z7UEvLvWiKUuNIVZUNHi8Kt/view?usp=sharing</t>
  </si>
  <si>
    <t>https://drive.google.com/file/d/1aiQ47vrWogHk6OjlzXHaht0fZ3H_v69z/view?usp=sharing</t>
  </si>
  <si>
    <t>https://drive.google.com/file/d/1xrt4EMFWTlariN8O2b5CJs8i1oCnUinT/view?usp=sharing</t>
  </si>
  <si>
    <t>INFORME MYSTERY         MAYO</t>
  </si>
  <si>
    <t>426071</t>
  </si>
  <si>
    <t>426071 - MASCOCLINICA</t>
  </si>
  <si>
    <t>30/05/2026 00:00:00</t>
  </si>
  <si>
    <t>30/05/2026 09:29:46</t>
  </si>
  <si>
    <t>30/05/2026 09:32:55</t>
  </si>
  <si>
    <t>31465920</t>
  </si>
  <si>
    <t xml:space="preserve"> ESPECIALIZADO</t>
  </si>
  <si>
    <t>N.A</t>
  </si>
  <si>
    <t>421657</t>
  </si>
  <si>
    <t>421657 - MI CORRAL NORTE CRA 46</t>
  </si>
  <si>
    <t>30/05/2026 13:26:06</t>
  </si>
  <si>
    <t>30/05/2026 13:30:36</t>
  </si>
  <si>
    <t>31467203</t>
  </si>
  <si>
    <t>12329</t>
  </si>
  <si>
    <t>7701001004402</t>
  </si>
  <si>
    <t>27/05/2026 00:00:00</t>
  </si>
  <si>
    <t>01/06/2026 11:46:15</t>
  </si>
  <si>
    <t>01/06/2026 11:55:34</t>
  </si>
  <si>
    <t>31528799</t>
  </si>
  <si>
    <t>FALTA DE PRODUCTO</t>
  </si>
  <si>
    <t>https://drive.google.com/file/d/1rzkIOTN5F-zLHupQnKRqaxzJUHDZkmYx/view?usp=sharing</t>
  </si>
  <si>
    <t>https://drive.google.com/file/d/1He589fBQvxkbbuME3taddoSL6Mmqjnc7/view?usp=sharing</t>
  </si>
  <si>
    <t>https://drive.google.com/file/d/1uHOn068uEo5bc8Vkr8_xKvoF2BlUtZis/view?usp=sharing</t>
  </si>
  <si>
    <t>https://drive.google.com/file/d/1v6cWztMDTPzIzRmSPZ5-Uvd5iUlXJ5c2/view?usp=sharing</t>
  </si>
  <si>
    <t>NO</t>
  </si>
  <si>
    <t>Buen dia, nos indican que mercaderista adelanto visita día anterior por solicitud de  ejecutiva, por ingreso de pedido.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</si>
</sst>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1"/>
      <color theme="0"/>
      <name val="Aptos Narrow"/>
      <family val="2"/>
      <scheme val="minor"/>
    </font>
    <font>
      <sz val="8"/>
      <name val="Aptos Narrow"/>
      <family val="2"/>
      <scheme val="minor"/>
    </font>
    <font>
      <sz val="8"/>
      <color theme="1"/>
      <name val="Aptos Narrow"/>
      <family val="2"/>
      <scheme val="minor"/>
    </font>
    <font>
      <b/>
      <sz val="9"/>
      <color indexed="9"/>
      <name val="Aptos"/>
      <family val="2"/>
    </font>
    <font>
      <sz val="9"/>
      <color theme="1"/>
      <name val="Aptos"/>
      <family val="2"/>
    </font>
    <font>
      <b/>
      <sz val="11"/>
      <color theme="1"/>
      <name val="Aptos Narrow"/>
      <family val="2"/>
      <scheme val="minor"/>
    </font>
    <font>
      <sz val="16"/>
      <color theme="1"/>
      <name val="Franklin Gothic Demi"/>
      <family val="2"/>
    </font>
    <font>
      <sz val="11"/>
      <name val="Aptos Narrow"/>
      <family val="2"/>
      <scheme val="minor"/>
    </font>
    <font>
      <b/>
      <sz val="11"/>
      <color theme="0"/>
      <name val="Aptos Narrow"/>
      <family val="2"/>
      <scheme val="minor"/>
    </font>
    <font>
      <b/>
      <sz val="10"/>
      <color indexed="9"/>
      <name val="Aptos"/>
      <family val="2"/>
    </font>
    <font>
      <sz val="10"/>
      <color theme="1"/>
      <name val="Aptos Narrow"/>
      <family val="2"/>
      <scheme val="minor"/>
    </font>
    <font>
      <sz val="10"/>
      <color theme="1"/>
      <name val="Aptos"/>
      <family val="2"/>
    </font>
    <font>
      <u/>
      <sz val="11"/>
      <color theme="10"/>
      <name val="Aptos Narrow"/>
      <family val="2"/>
      <scheme val="minor"/>
    </font>
    <font>
      <sz val="11"/>
      <color indexed="8"/>
      <name val="Aptos Narrow"/>
      <family val="2"/>
      <scheme val="minor"/>
    </font>
    <font>
      <sz val="11"/>
      <color indexed="8"/>
      <name val="Calibri"/>
      <family val="2"/>
    </font>
    <font>
      <sz val="11"/>
      <color theme="1"/>
      <name val="Aptos"/>
      <family val="2"/>
    </font>
    <font>
      <b/>
      <sz val="16"/>
      <color theme="1"/>
      <name val="Aptos Narrow"/>
      <family val="2"/>
      <scheme val="minor"/>
    </font>
  </fonts>
  <fills count="19">
    <fill>
      <patternFill patternType="none"/>
    </fill>
    <fill>
      <patternFill patternType="gray125"/>
    </fill>
    <fill>
      <patternFill patternType="solid">
        <fgColor theme="7"/>
        <bgColor indexed="64"/>
      </patternFill>
    </fill>
    <fill>
      <patternFill patternType="solid">
        <fgColor theme="6"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bgColor indexed="64"/>
      </patternFill>
    </fill>
    <fill>
      <patternFill patternType="solid">
        <fgColor rgb="FF00B0F0"/>
        <bgColor indexed="64"/>
      </patternFill>
    </fill>
    <fill>
      <patternFill patternType="solid">
        <fgColor rgb="FFFFFF00"/>
        <bgColor indexed="64"/>
      </patternFill>
    </fill>
    <fill>
      <patternFill patternType="solid">
        <fgColor theme="4"/>
        <bgColor indexed="64"/>
      </patternFill>
    </fill>
    <fill>
      <patternFill patternType="solid">
        <fgColor theme="1"/>
        <bgColor indexed="64"/>
      </patternFill>
    </fill>
    <fill>
      <patternFill patternType="solid">
        <fgColor theme="2"/>
        <bgColor indexed="64"/>
      </patternFill>
    </fill>
    <fill>
      <patternFill patternType="solid">
        <fgColor theme="9"/>
        <bgColor theme="9"/>
      </patternFill>
    </fill>
    <fill>
      <patternFill patternType="solid">
        <fgColor rgb="FFEE0000"/>
        <bgColor indexed="64"/>
      </patternFill>
    </fill>
    <fill>
      <patternFill patternType="solid">
        <fgColor theme="0" tint="-4.9989318521683403E-2"/>
        <bgColor theme="5" tint="0.79998168889431442"/>
      </patternFill>
    </fill>
    <fill>
      <patternFill patternType="solid">
        <fgColor theme="5" tint="0.79998168889431442"/>
        <bgColor theme="6" tint="0.79998168889431442"/>
      </patternFill>
    </fill>
    <fill>
      <patternFill patternType="solid">
        <fgColor theme="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style="thin">
        <color theme="7"/>
      </top>
      <bottom/>
      <diagonal/>
    </border>
    <border>
      <left style="thin">
        <color indexed="64"/>
      </left>
      <right/>
      <top style="thin">
        <color indexed="64"/>
      </top>
      <bottom/>
      <diagonal/>
    </border>
    <border>
      <left/>
      <right/>
      <top style="thin">
        <color theme="8"/>
      </top>
      <bottom style="thin">
        <color theme="8"/>
      </bottom>
      <diagonal/>
    </border>
    <border>
      <left style="thin">
        <color indexed="64"/>
      </left>
      <right style="thin">
        <color indexed="64"/>
      </right>
      <top style="thin">
        <color indexed="64"/>
      </top>
      <bottom/>
      <diagonal/>
    </border>
  </borders>
  <cellStyleXfs count="5">
    <xf numFmtId="0" fontId="0" fillId="0" borderId="0"/>
    <xf numFmtId="0" fontId="1" fillId="0" borderId="0"/>
    <xf numFmtId="9" fontId="1" fillId="0" borderId="0" applyFont="0" applyFill="0" applyBorder="0" applyAlignment="0" applyProtection="0"/>
    <xf numFmtId="0" fontId="14" fillId="0" borderId="0" applyNumberFormat="0" applyFill="0" applyBorder="0" applyAlignment="0" applyProtection="0"/>
    <xf numFmtId="0" fontId="15" fillId="0" borderId="0"/>
  </cellStyleXfs>
  <cellXfs count="99">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9" fontId="0" fillId="0" borderId="0" xfId="0" applyNumberFormat="1" applyAlignment="1">
      <alignment horizontal="center" vertical="center"/>
    </xf>
    <xf numFmtId="0" fontId="0" fillId="5" borderId="0" xfId="0" applyFill="1" applyAlignment="1">
      <alignment horizontal="center" vertical="center"/>
    </xf>
    <xf numFmtId="0" fontId="5" fillId="9" borderId="2" xfId="1" applyFont="1" applyFill="1" applyBorder="1" applyAlignment="1">
      <alignment horizontal="center" vertical="center" wrapText="1"/>
    </xf>
    <xf numFmtId="0" fontId="8" fillId="0" borderId="0" xfId="0" applyFont="1"/>
    <xf numFmtId="0" fontId="8" fillId="0" borderId="0" xfId="0" applyFont="1" applyAlignment="1">
      <alignment horizontal="left" vertical="center"/>
    </xf>
    <xf numFmtId="9" fontId="9" fillId="6" borderId="0" xfId="0" applyNumberFormat="1" applyFont="1" applyFill="1" applyAlignment="1">
      <alignment horizontal="center" vertical="center"/>
    </xf>
    <xf numFmtId="0" fontId="0" fillId="0" borderId="0" xfId="0" applyAlignment="1">
      <alignment vertical="center"/>
    </xf>
    <xf numFmtId="9" fontId="9" fillId="7" borderId="0" xfId="0" applyNumberFormat="1" applyFont="1" applyFill="1" applyAlignment="1">
      <alignment horizontal="center" vertical="center"/>
    </xf>
    <xf numFmtId="9" fontId="9" fillId="3" borderId="0" xfId="0" applyNumberFormat="1" applyFont="1" applyFill="1" applyAlignment="1">
      <alignment horizontal="center" vertical="center"/>
    </xf>
    <xf numFmtId="0" fontId="7" fillId="0" borderId="0" xfId="0" pivotButton="1" applyFont="1"/>
    <xf numFmtId="0" fontId="7" fillId="0" borderId="0" xfId="0" applyFont="1" applyAlignment="1">
      <alignment horizontal="center" vertical="center"/>
    </xf>
    <xf numFmtId="0" fontId="7" fillId="4" borderId="0" xfId="0" applyFont="1" applyFill="1" applyAlignment="1">
      <alignment horizontal="center" vertical="center"/>
    </xf>
    <xf numFmtId="0" fontId="7" fillId="0" borderId="0" xfId="0" applyFont="1" applyAlignment="1">
      <alignment horizontal="left"/>
    </xf>
    <xf numFmtId="0" fontId="0" fillId="5" borderId="0" xfId="0" applyFill="1" applyAlignment="1">
      <alignment horizontal="center" vertical="center" wrapText="1"/>
    </xf>
    <xf numFmtId="0" fontId="7" fillId="0" borderId="0" xfId="0" pivotButton="1" applyFont="1" applyAlignment="1">
      <alignment horizontal="center" vertical="center" wrapText="1"/>
    </xf>
    <xf numFmtId="0" fontId="5" fillId="9" borderId="4" xfId="1" applyFont="1" applyFill="1" applyBorder="1" applyAlignment="1">
      <alignment horizontal="center" vertical="center" wrapText="1"/>
    </xf>
    <xf numFmtId="0" fontId="0" fillId="0" borderId="1" xfId="0" applyBorder="1"/>
    <xf numFmtId="0" fontId="6" fillId="0" borderId="1" xfId="1" applyFont="1" applyBorder="1" applyAlignment="1">
      <alignment horizontal="center" vertical="center" wrapText="1"/>
    </xf>
    <xf numFmtId="0" fontId="2" fillId="2" borderId="0" xfId="0" applyFont="1" applyFill="1"/>
    <xf numFmtId="0" fontId="9" fillId="10" borderId="0" xfId="0" applyFont="1" applyFill="1"/>
    <xf numFmtId="1" fontId="10" fillId="11" borderId="1" xfId="0" applyNumberFormat="1" applyFont="1" applyFill="1" applyBorder="1" applyAlignment="1">
      <alignment horizontal="left" vertical="center"/>
    </xf>
    <xf numFmtId="1" fontId="10" fillId="11" borderId="1" xfId="0" applyNumberFormat="1" applyFont="1" applyFill="1" applyBorder="1" applyAlignment="1">
      <alignment horizontal="center" vertical="center"/>
    </xf>
    <xf numFmtId="1" fontId="9" fillId="0" borderId="1" xfId="0" applyNumberFormat="1" applyFont="1" applyBorder="1" applyAlignment="1">
      <alignment horizontal="left" vertical="center"/>
    </xf>
    <xf numFmtId="0" fontId="0" fillId="0" borderId="0" xfId="0" pivotButton="1" applyAlignment="1">
      <alignment horizontal="center" vertical="center"/>
    </xf>
    <xf numFmtId="0" fontId="10" fillId="12" borderId="1" xfId="0" applyFont="1" applyFill="1" applyBorder="1"/>
    <xf numFmtId="1" fontId="2" fillId="12" borderId="1" xfId="0" applyNumberFormat="1" applyFont="1" applyFill="1" applyBorder="1" applyAlignment="1">
      <alignment horizontal="left" vertical="center"/>
    </xf>
    <xf numFmtId="0" fontId="10" fillId="12" borderId="1" xfId="0" applyFont="1" applyFill="1" applyBorder="1" applyAlignment="1">
      <alignment horizontal="center"/>
    </xf>
    <xf numFmtId="9" fontId="0" fillId="13" borderId="1" xfId="2" applyFont="1" applyFill="1" applyBorder="1" applyAlignment="1">
      <alignment horizontal="center"/>
    </xf>
    <xf numFmtId="0" fontId="0" fillId="0" borderId="0" xfId="0" applyAlignment="1">
      <alignment horizontal="right"/>
    </xf>
    <xf numFmtId="0" fontId="7" fillId="0" borderId="0" xfId="0" applyFont="1" applyAlignment="1">
      <alignment horizontal="center" vertical="center" wrapText="1"/>
    </xf>
    <xf numFmtId="14" fontId="0" fillId="0" borderId="0" xfId="0" applyNumberFormat="1" applyAlignment="1">
      <alignment horizontal="left"/>
    </xf>
    <xf numFmtId="0" fontId="0" fillId="0" borderId="0" xfId="0" applyAlignment="1">
      <alignment horizontal="left" vertical="center"/>
    </xf>
    <xf numFmtId="14" fontId="0" fillId="0" borderId="0" xfId="0" applyNumberFormat="1" applyAlignment="1">
      <alignment horizontal="left" vertical="center"/>
    </xf>
    <xf numFmtId="0" fontId="10" fillId="11" borderId="1" xfId="0" applyFont="1" applyFill="1" applyBorder="1"/>
    <xf numFmtId="0" fontId="10" fillId="11" borderId="1" xfId="0" applyFont="1" applyFill="1" applyBorder="1" applyAlignment="1">
      <alignment vertical="top" wrapText="1"/>
    </xf>
    <xf numFmtId="0" fontId="11" fillId="9" borderId="2" xfId="1" applyFont="1" applyFill="1" applyBorder="1" applyAlignment="1">
      <alignment horizontal="center" vertical="center" wrapText="1"/>
    </xf>
    <xf numFmtId="0" fontId="13" fillId="0" borderId="1" xfId="1" applyFont="1" applyBorder="1" applyAlignment="1">
      <alignment horizontal="center" vertical="center" wrapText="1"/>
    </xf>
    <xf numFmtId="0" fontId="12" fillId="0" borderId="0" xfId="0" applyFont="1" applyAlignment="1">
      <alignment horizontal="left" wrapText="1"/>
    </xf>
    <xf numFmtId="0" fontId="11" fillId="8" borderId="1" xfId="1" applyFont="1" applyFill="1" applyBorder="1" applyAlignment="1">
      <alignment horizontal="center" vertical="center" wrapText="1"/>
    </xf>
    <xf numFmtId="1" fontId="10" fillId="11" borderId="3" xfId="0" applyNumberFormat="1" applyFont="1" applyFill="1" applyBorder="1" applyAlignment="1">
      <alignment horizontal="center"/>
    </xf>
    <xf numFmtId="0" fontId="0" fillId="0" borderId="0" xfId="0" applyAlignment="1">
      <alignment horizontal="center" vertical="center" wrapText="1"/>
    </xf>
    <xf numFmtId="0" fontId="6" fillId="0" borderId="1" xfId="0" applyFont="1" applyBorder="1" applyAlignment="1">
      <alignment horizontal="center" vertical="center" wrapText="1"/>
    </xf>
    <xf numFmtId="0" fontId="6" fillId="0" borderId="3" xfId="1" applyFont="1" applyBorder="1" applyAlignment="1">
      <alignment horizontal="center" vertical="center" wrapText="1"/>
    </xf>
    <xf numFmtId="0" fontId="0" fillId="0" borderId="0" xfId="0" applyAlignment="1">
      <alignment wrapText="1"/>
    </xf>
    <xf numFmtId="0" fontId="12" fillId="0" borderId="0" xfId="0" applyFont="1" applyAlignment="1">
      <alignment wrapText="1"/>
    </xf>
    <xf numFmtId="0" fontId="12" fillId="0" borderId="0" xfId="0" applyFont="1" applyAlignment="1">
      <alignment horizontal="right" wrapText="1"/>
    </xf>
    <xf numFmtId="0" fontId="6" fillId="0" borderId="0" xfId="0" applyFont="1" applyAlignment="1">
      <alignment horizontal="center" vertical="center" wrapText="1"/>
    </xf>
    <xf numFmtId="0" fontId="6" fillId="0" borderId="0" xfId="1" applyFont="1" applyAlignment="1">
      <alignment horizontal="center" vertical="center" wrapText="1"/>
    </xf>
    <xf numFmtId="0" fontId="0" fillId="0" borderId="1" xfId="0" applyBorder="1" applyAlignment="1">
      <alignment horizontal="center" vertical="center" wrapText="1"/>
    </xf>
    <xf numFmtId="0" fontId="14" fillId="0" borderId="1" xfId="3" applyBorder="1" applyAlignment="1"/>
    <xf numFmtId="0" fontId="16" fillId="0" borderId="0" xfId="1" applyFont="1" applyAlignment="1">
      <alignment horizontal="center" vertical="center" wrapText="1"/>
    </xf>
    <xf numFmtId="0" fontId="16" fillId="0" borderId="0" xfId="0" applyFont="1" applyAlignment="1">
      <alignment horizontal="center" vertical="center" wrapText="1"/>
    </xf>
    <xf numFmtId="0" fontId="15" fillId="0" borderId="0" xfId="1" applyFont="1" applyAlignment="1">
      <alignment horizontal="center" vertical="center" wrapText="1"/>
    </xf>
    <xf numFmtId="1" fontId="9" fillId="0" borderId="0" xfId="0" applyNumberFormat="1" applyFont="1" applyAlignment="1">
      <alignment horizontal="center"/>
    </xf>
    <xf numFmtId="9" fontId="0" fillId="0" borderId="1" xfId="2" applyFont="1" applyBorder="1" applyAlignment="1">
      <alignment horizontal="center"/>
    </xf>
    <xf numFmtId="0" fontId="17" fillId="0" borderId="0" xfId="1" applyFont="1" applyAlignment="1">
      <alignment horizontal="center" vertical="center" wrapText="1"/>
    </xf>
    <xf numFmtId="0" fontId="4" fillId="0" borderId="0" xfId="0" applyFont="1" applyAlignment="1">
      <alignment horizontal="left" vertical="center" wrapText="1"/>
    </xf>
    <xf numFmtId="0" fontId="0" fillId="15" borderId="0" xfId="0" applyFill="1"/>
    <xf numFmtId="0" fontId="10" fillId="14"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5" xfId="0" applyFont="1" applyFill="1" applyBorder="1" applyAlignment="1">
      <alignment horizontal="center" vertical="center"/>
    </xf>
    <xf numFmtId="9" fontId="9" fillId="16" borderId="0" xfId="0" applyNumberFormat="1" applyFont="1" applyFill="1" applyAlignment="1">
      <alignment horizontal="center" vertical="center"/>
    </xf>
    <xf numFmtId="9" fontId="9" fillId="17" borderId="0" xfId="0" applyNumberFormat="1" applyFont="1" applyFill="1" applyAlignment="1">
      <alignment horizontal="center" vertical="center"/>
    </xf>
    <xf numFmtId="14" fontId="0" fillId="0" borderId="6" xfId="0" applyNumberFormat="1" applyBorder="1"/>
    <xf numFmtId="1" fontId="9" fillId="0" borderId="1" xfId="0" applyNumberFormat="1" applyFont="1" applyBorder="1" applyAlignment="1">
      <alignment horizontal="center"/>
    </xf>
    <xf numFmtId="1" fontId="9" fillId="0" borderId="1" xfId="0" applyNumberFormat="1" applyFont="1" applyBorder="1" applyAlignment="1">
      <alignment horizontal="left"/>
    </xf>
    <xf numFmtId="0" fontId="11" fillId="8" borderId="1" xfId="1" applyFont="1" applyFill="1" applyBorder="1" applyAlignment="1">
      <alignment horizontal="center" vertical="center"/>
    </xf>
    <xf numFmtId="0" fontId="11" fillId="18" borderId="1" xfId="1" applyFont="1" applyFill="1" applyBorder="1" applyAlignment="1">
      <alignment horizontal="center" vertical="center"/>
    </xf>
    <xf numFmtId="0" fontId="6" fillId="0" borderId="9" xfId="1" applyFont="1" applyBorder="1" applyAlignment="1">
      <alignment horizontal="center" vertical="center" wrapText="1"/>
    </xf>
    <xf numFmtId="0" fontId="6" fillId="0" borderId="9" xfId="0" applyFont="1" applyBorder="1" applyAlignment="1">
      <alignment horizontal="center" vertical="center" wrapText="1"/>
    </xf>
    <xf numFmtId="0" fontId="6" fillId="0" borderId="7" xfId="1" applyFont="1" applyBorder="1" applyAlignment="1">
      <alignment horizontal="center" vertical="center" wrapText="1"/>
    </xf>
    <xf numFmtId="0" fontId="0" fillId="0" borderId="5" xfId="0" applyBorder="1"/>
    <xf numFmtId="22" fontId="0" fillId="0" borderId="0" xfId="0" applyNumberFormat="1"/>
    <xf numFmtId="0" fontId="0" fillId="0" borderId="8" xfId="0" applyBorder="1" applyAlignment="1">
      <alignment horizontal="left" vertical="center"/>
    </xf>
    <xf numFmtId="0" fontId="18" fillId="0" borderId="0" xfId="0" applyFont="1" applyAlignment="1">
      <alignment horizontal="center" vertical="center" wrapText="1"/>
    </xf>
    <xf numFmtId="0" fontId="18" fillId="0" borderId="0" xfId="0" applyFont="1" applyAlignment="1">
      <alignment horizontal="center" vertical="center"/>
    </xf>
    <xf numFmtId="1" fontId="9" fillId="10" borderId="1" xfId="0" applyNumberFormat="1" applyFont="1" applyFill="1" applyBorder="1" applyAlignment="1">
      <alignment horizontal="center"/>
    </xf>
    <xf numFmtId="0" fontId="0" fillId="0" borderId="0" xfId="0" applyNumberFormat="1" applyAlignment="1">
      <alignment horizontal="center" vertical="center"/>
    </xf>
    <xf numFmtId="0" fontId="9" fillId="6" borderId="0" xfId="0" applyNumberFormat="1" applyFont="1" applyFill="1" applyAlignment="1">
      <alignment horizontal="center" vertical="center"/>
    </xf>
    <xf numFmtId="0" fontId="0" fillId="0" borderId="0" xfId="0" applyFill="1"/>
    <xf numFmtId="0" fontId="0" fillId="0" borderId="0" xfId="0" applyFill="1" applyAlignment="1">
      <alignment horizontal="left"/>
    </xf>
    <xf numFmtId="0" fontId="0" fillId="0" borderId="0" xfId="0" applyNumberFormat="1" applyFill="1"/>
    <xf numFmtId="0" fontId="0" fillId="0" borderId="0" xfId="0" applyNumberFormat="1" applyFont="1" applyFill="1" applyAlignment="1">
      <alignment horizontal="left" vertical="center"/>
    </xf>
    <xf numFmtId="0" fontId="0" fillId="0" borderId="0" xfId="0" applyFont="1" applyFill="1" applyAlignment="1">
      <alignment horizontal="left" vertical="center"/>
    </xf>
    <xf numFmtId="14" fontId="0" fillId="0" borderId="0" xfId="0" applyNumberFormat="1" applyFont="1" applyFill="1" applyAlignment="1">
      <alignment horizontal="left" vertical="center"/>
    </xf>
    <xf numFmtId="0" fontId="0" fillId="0" borderId="1" xfId="0" applyFill="1" applyBorder="1" applyAlignment="1">
      <alignment horizontal="center" vertical="center" wrapText="1"/>
    </xf>
    <xf numFmtId="0" fontId="17" fillId="0" borderId="1" xfId="1" applyFont="1" applyFill="1" applyBorder="1" applyAlignment="1">
      <alignment horizontal="center" vertical="center" wrapText="1"/>
    </xf>
    <xf numFmtId="0" fontId="17" fillId="0" borderId="3" xfId="1" applyFont="1" applyFill="1" applyBorder="1" applyAlignment="1">
      <alignment horizontal="center" vertical="center" wrapText="1"/>
    </xf>
    <xf numFmtId="0" fontId="16" fillId="0" borderId="1" xfId="1" applyFont="1" applyFill="1" applyBorder="1" applyAlignment="1">
      <alignment horizontal="center" vertical="center" wrapText="1"/>
    </xf>
    <xf numFmtId="0" fontId="16" fillId="0" borderId="1" xfId="0" applyFont="1" applyFill="1" applyBorder="1" applyAlignment="1">
      <alignment horizontal="center" vertical="center" wrapText="1"/>
    </xf>
    <xf numFmtId="0" fontId="15" fillId="0" borderId="1" xfId="1" applyFont="1" applyFill="1" applyBorder="1" applyAlignment="1">
      <alignment horizontal="center" vertical="center" wrapText="1"/>
    </xf>
    <xf numFmtId="0" fontId="17" fillId="0" borderId="7" xfId="1" applyFont="1" applyFill="1" applyBorder="1" applyAlignment="1">
      <alignment horizontal="center" vertical="center" wrapText="1"/>
    </xf>
    <xf numFmtId="0" fontId="16" fillId="0" borderId="9" xfId="1" applyFont="1" applyFill="1" applyBorder="1" applyAlignment="1">
      <alignment horizontal="center" vertical="center" wrapText="1"/>
    </xf>
    <xf numFmtId="0" fontId="16" fillId="0" borderId="9" xfId="0" applyFont="1" applyFill="1" applyBorder="1" applyAlignment="1">
      <alignment horizontal="center" vertical="center" wrapText="1"/>
    </xf>
    <xf numFmtId="0" fontId="15" fillId="0" borderId="9" xfId="1" applyFont="1" applyFill="1" applyBorder="1" applyAlignment="1">
      <alignment horizontal="center" vertical="center" wrapText="1"/>
    </xf>
  </cellXfs>
  <cellStyles count="5">
    <cellStyle name="Hipervínculo" xfId="3" builtinId="8"/>
    <cellStyle name="Normal" xfId="0" builtinId="0"/>
    <cellStyle name="Normal 2" xfId="1" xr:uid="{4295055E-378D-4CC5-B2A4-84281D75DBBF}"/>
    <cellStyle name="Normal 3" xfId="4" xr:uid="{E4260F30-A0F7-4660-9A95-A71008C78429}"/>
    <cellStyle name="Porcentaje" xfId="2" builtinId="5"/>
  </cellStyles>
  <dxfs count="2626">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indexed="8"/>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27" formatCode="d/mm/yyyy\ h:mm"/>
      <fill>
        <patternFill patternType="none">
          <fgColor indexed="64"/>
          <bgColor indexed="65"/>
        </patternFill>
      </fill>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19" formatCode="d/mm/yyyy"/>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vertical="center"/>
    </dxf>
    <dxf>
      <alignment horizontal="center"/>
    </dxf>
    <dxf>
      <alignment horizontal="center"/>
    </dxf>
    <dxf>
      <fill>
        <patternFill patternType="solid">
          <bgColor theme="9"/>
        </patternFill>
      </fill>
    </dxf>
    <dxf>
      <fill>
        <patternFill patternType="solid">
          <bgColor theme="6" tint="0.79998168889431442"/>
        </patternFill>
      </fill>
    </dxf>
    <dxf>
      <fill>
        <patternFill>
          <bgColor rgb="FF00B050"/>
        </patternFill>
      </fill>
    </dxf>
    <dxf>
      <numFmt numFmtId="13" formatCode="0%"/>
    </dxf>
    <dxf>
      <fill>
        <patternFill patternType="solid">
          <fgColor indexed="64"/>
          <bgColor rgb="FF00B050"/>
        </patternFill>
      </fill>
      <alignment horizontal="center" vertical="center"/>
    </dxf>
    <dxf>
      <alignment vertical="center"/>
    </dxf>
    <dxf>
      <alignment vertic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font>
        <color auto="1"/>
      </font>
    </dxf>
    <dxf>
      <font>
        <color auto="1"/>
      </font>
    </dxf>
    <dxf>
      <font>
        <color auto="1"/>
      </font>
    </dxf>
    <dxf>
      <fill>
        <patternFill>
          <fgColor theme="6" tint="0.79998168889431442"/>
        </patternFill>
      </fill>
    </dxf>
    <dxf>
      <font>
        <b/>
      </font>
    </dxf>
    <dxf>
      <font>
        <b/>
      </font>
    </dxf>
    <dxf>
      <font>
        <b/>
      </font>
    </dxf>
    <dxf>
      <fill>
        <patternFill>
          <bgColor theme="5" tint="0.79998168889431442"/>
        </patternFill>
      </fill>
    </dxf>
    <dxf>
      <numFmt numFmtId="13" formatCode="0%"/>
    </dxf>
    <dxf>
      <alignment vertical="center"/>
    </dxf>
    <dxf>
      <alignment vertical="center"/>
    </dxf>
    <dxf>
      <alignment horizontal="center"/>
    </dxf>
    <dxf>
      <alignment horizontal="center"/>
    </dxf>
    <dxf>
      <fill>
        <patternFill patternType="solid">
          <bgColor theme="9"/>
        </patternFill>
      </fill>
    </dxf>
    <dxf>
      <fill>
        <patternFill patternType="solid">
          <bgColor theme="6" tint="0.79998168889431442"/>
        </patternFill>
      </fill>
    </dxf>
    <dxf>
      <fill>
        <patternFill>
          <bgColor rgb="FF00B050"/>
        </patternFill>
      </fill>
    </dxf>
    <dxf>
      <numFmt numFmtId="13" formatCode="0%"/>
    </dxf>
    <dxf>
      <fill>
        <patternFill patternType="solid">
          <fgColor indexed="64"/>
          <bgColor rgb="FF00B050"/>
        </patternFill>
      </fill>
      <alignment horizontal="center" vertical="center"/>
    </dxf>
    <dxf>
      <alignment vertical="center"/>
    </dxf>
    <dxf>
      <alignment vertic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font>
        <color auto="1"/>
      </font>
    </dxf>
    <dxf>
      <font>
        <color auto="1"/>
      </font>
    </dxf>
    <dxf>
      <font>
        <color auto="1"/>
      </font>
    </dxf>
    <dxf>
      <fill>
        <patternFill>
          <fgColor theme="6" tint="0.79998168889431442"/>
        </patternFill>
      </fill>
    </dxf>
    <dxf>
      <font>
        <b/>
      </font>
    </dxf>
    <dxf>
      <font>
        <b/>
      </font>
    </dxf>
    <dxf>
      <font>
        <b/>
      </font>
    </dxf>
    <dxf>
      <fill>
        <patternFill>
          <b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vertical="center"/>
    </dxf>
    <dxf>
      <alignment horizontal="center"/>
    </dxf>
    <dxf>
      <alignment horizontal="center"/>
    </dxf>
    <dxf>
      <fill>
        <patternFill patternType="solid">
          <bgColor theme="9"/>
        </patternFill>
      </fill>
    </dxf>
    <dxf>
      <fill>
        <patternFill patternType="solid">
          <bgColor theme="6" tint="0.79998168889431442"/>
        </patternFill>
      </fill>
    </dxf>
    <dxf>
      <fill>
        <patternFill>
          <bgColor rgb="FF00B050"/>
        </patternFill>
      </fill>
    </dxf>
    <dxf>
      <numFmt numFmtId="13" formatCode="0%"/>
    </dxf>
    <dxf>
      <fill>
        <patternFill patternType="solid">
          <fgColor indexed="64"/>
          <bgColor rgb="FF00B050"/>
        </patternFill>
      </fill>
      <alignment horizontal="center" vertical="center"/>
    </dxf>
    <dxf>
      <alignment vertical="center"/>
    </dxf>
    <dxf>
      <alignment vertic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font>
        <color auto="1"/>
      </font>
    </dxf>
    <dxf>
      <font>
        <color auto="1"/>
      </font>
    </dxf>
    <dxf>
      <font>
        <color auto="1"/>
      </font>
    </dxf>
    <dxf>
      <fill>
        <patternFill>
          <fgColor theme="6" tint="0.79998168889431442"/>
        </patternFill>
      </fill>
    </dxf>
    <dxf>
      <font>
        <b/>
      </font>
    </dxf>
    <dxf>
      <font>
        <b/>
      </font>
    </dxf>
    <dxf>
      <font>
        <b/>
      </font>
    </dxf>
    <dxf>
      <fill>
        <patternFill>
          <bgColor theme="5" tint="0.79998168889431442"/>
        </patternFill>
      </fill>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9"/>
        </patternFill>
      </fill>
    </dxf>
    <dxf>
      <fill>
        <patternFill patternType="solid">
          <bgColor theme="6" tint="0.79998168889431442"/>
        </patternFill>
      </fill>
    </dxf>
    <dxf>
      <fill>
        <patternFill>
          <bgColor rgb="FF00B050"/>
        </patternFill>
      </fill>
    </dxf>
    <dxf>
      <numFmt numFmtId="13" formatCode="0%"/>
    </dxf>
    <dxf>
      <fill>
        <patternFill patternType="solid">
          <fgColor indexed="64"/>
          <bgColor rgb="FF00B050"/>
        </patternFill>
      </fill>
      <alignment horizontal="center" vertical="center"/>
    </dxf>
    <dxf>
      <alignment vertical="center"/>
    </dxf>
    <dxf>
      <alignment vertic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font>
        <color auto="1"/>
      </font>
    </dxf>
    <dxf>
      <font>
        <color auto="1"/>
      </font>
    </dxf>
    <dxf>
      <font>
        <color auto="1"/>
      </font>
    </dxf>
    <dxf>
      <fill>
        <patternFill>
          <fgColor theme="6" tint="0.79998168889431442"/>
        </patternFill>
      </fill>
    </dxf>
    <dxf>
      <font>
        <b/>
      </font>
    </dxf>
    <dxf>
      <font>
        <b/>
      </font>
    </dxf>
    <dxf>
      <font>
        <b/>
      </font>
    </dxf>
    <dxf>
      <fill>
        <patternFill>
          <b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vertical="center"/>
    </dxf>
    <dxf>
      <alignment horizontal="center"/>
    </dxf>
    <dxf>
      <alignment horizontal="center"/>
    </dxf>
    <dxf>
      <fill>
        <patternFill patternType="solid">
          <bgColor theme="9"/>
        </patternFill>
      </fill>
    </dxf>
    <dxf>
      <fill>
        <patternFill patternType="solid">
          <bgColor theme="6" tint="0.79998168889431442"/>
        </patternFill>
      </fill>
    </dxf>
    <dxf>
      <fill>
        <patternFill>
          <bgColor rgb="FF00B050"/>
        </patternFill>
      </fill>
    </dxf>
    <dxf>
      <numFmt numFmtId="13" formatCode="0%"/>
    </dxf>
    <dxf>
      <fill>
        <patternFill patternType="solid">
          <fgColor indexed="64"/>
          <bgColor rgb="FF00B050"/>
        </patternFill>
      </fill>
      <alignment horizontal="center" vertical="center"/>
    </dxf>
    <dxf>
      <alignment vertical="center"/>
    </dxf>
    <dxf>
      <alignment vertic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font>
        <color auto="1"/>
      </font>
    </dxf>
    <dxf>
      <font>
        <color auto="1"/>
      </font>
    </dxf>
    <dxf>
      <font>
        <color auto="1"/>
      </font>
    </dxf>
    <dxf>
      <fill>
        <patternFill>
          <fgColor theme="6" tint="0.79998168889431442"/>
        </patternFill>
      </fill>
    </dxf>
    <dxf>
      <font>
        <b/>
      </font>
    </dxf>
    <dxf>
      <font>
        <b/>
      </font>
    </dxf>
    <dxf>
      <font>
        <b/>
      </font>
    </dxf>
    <dxf>
      <fill>
        <patternFill>
          <bgColor theme="5" tint="0.79998168889431442"/>
        </patternFill>
      </fill>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3" formatCode="0%"/>
    </dxf>
    <dxf>
      <alignment vertical="center"/>
    </dxf>
    <dxf>
      <alignment vertical="center"/>
    </dxf>
    <dxf>
      <alignment horizontal="center"/>
    </dxf>
    <dxf>
      <alignment horizontal="center"/>
    </dxf>
    <dxf>
      <fill>
        <patternFill patternType="solid">
          <bgColor theme="9"/>
        </patternFill>
      </fill>
    </dxf>
    <dxf>
      <fill>
        <patternFill patternType="solid">
          <bgColor theme="6" tint="0.79998168889431442"/>
        </patternFill>
      </fill>
    </dxf>
    <dxf>
      <fill>
        <patternFill>
          <bgColor rgb="FF00B050"/>
        </patternFill>
      </fill>
    </dxf>
    <dxf>
      <numFmt numFmtId="13" formatCode="0%"/>
    </dxf>
    <dxf>
      <fill>
        <patternFill patternType="solid">
          <fgColor indexed="64"/>
          <bgColor rgb="FF00B050"/>
        </patternFill>
      </fill>
      <alignment horizontal="center" vertical="center"/>
    </dxf>
    <dxf>
      <alignment vertical="center"/>
    </dxf>
    <dxf>
      <alignment vertic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font>
        <color auto="1"/>
      </font>
    </dxf>
    <dxf>
      <font>
        <color auto="1"/>
      </font>
    </dxf>
    <dxf>
      <font>
        <color auto="1"/>
      </font>
    </dxf>
    <dxf>
      <fill>
        <patternFill>
          <fgColor theme="6" tint="0.79998168889431442"/>
        </patternFill>
      </fill>
    </dxf>
    <dxf>
      <font>
        <b/>
      </font>
    </dxf>
    <dxf>
      <font>
        <b/>
      </font>
    </dxf>
    <dxf>
      <font>
        <b/>
      </font>
    </dxf>
    <dxf>
      <fill>
        <patternFill>
          <b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vertical="center"/>
    </dxf>
    <dxf>
      <alignment horizontal="center"/>
    </dxf>
    <dxf>
      <alignment horizontal="center"/>
    </dxf>
    <dxf>
      <fill>
        <patternFill patternType="solid">
          <bgColor theme="9"/>
        </patternFill>
      </fill>
    </dxf>
    <dxf>
      <fill>
        <patternFill patternType="solid">
          <bgColor theme="6" tint="0.79998168889431442"/>
        </patternFill>
      </fill>
    </dxf>
    <dxf>
      <fill>
        <patternFill>
          <bgColor rgb="FF00B050"/>
        </patternFill>
      </fill>
    </dxf>
    <dxf>
      <numFmt numFmtId="13" formatCode="0%"/>
    </dxf>
    <dxf>
      <fill>
        <patternFill patternType="solid">
          <fgColor indexed="64"/>
          <bgColor rgb="FF00B050"/>
        </patternFill>
      </fill>
      <alignment horizontal="center" vertical="center"/>
    </dxf>
    <dxf>
      <alignment vertical="center"/>
    </dxf>
    <dxf>
      <alignment vertic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font>
        <color auto="1"/>
      </font>
    </dxf>
    <dxf>
      <font>
        <color auto="1"/>
      </font>
    </dxf>
    <dxf>
      <font>
        <color auto="1"/>
      </font>
    </dxf>
    <dxf>
      <fill>
        <patternFill>
          <fgColor theme="6" tint="0.79998168889431442"/>
        </patternFill>
      </fill>
    </dxf>
    <dxf>
      <font>
        <b/>
      </font>
    </dxf>
    <dxf>
      <font>
        <b/>
      </font>
    </dxf>
    <dxf>
      <font>
        <b/>
      </font>
    </dxf>
    <dxf>
      <fill>
        <patternFill>
          <bgColor theme="5" tint="0.79998168889431442"/>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19" formatCode="d/mm/yyyy"/>
      <fill>
        <patternFill patternType="none">
          <fgColor indexed="64"/>
          <bgColor auto="1"/>
        </patternFill>
      </fill>
      <alignment horizontal="general" vertical="bottom" textRotation="0" wrapText="0" indent="0" justifyLastLine="0" shrinkToFit="0" readingOrder="0"/>
      <border diagonalUp="0" diagonalDown="0" outline="0">
        <left/>
        <right/>
        <top style="thin">
          <color theme="7"/>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numFmt numFmtId="0" formatCode="General"/>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auto="1"/>
        </patternFill>
      </fill>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9"/>
        <color indexed="9"/>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name val="Aptos Narrow"/>
        <family val="2"/>
        <scheme val="minor"/>
      </font>
      <fill>
        <patternFill patternType="none">
          <fgColor indexed="64"/>
          <bgColor auto="1"/>
        </patternFill>
      </fill>
      <alignment horizontal="left" vertical="center" textRotation="0" wrapText="0" indent="0" justifyLastLine="0" shrinkToFit="0" readingOrder="0"/>
    </dxf>
    <dxf>
      <fill>
        <patternFill>
          <fgColor theme="5" tint="0.79998168889431442"/>
        </patternFill>
      </fill>
    </dxf>
    <dxf>
      <font>
        <color auto="1"/>
      </font>
    </dxf>
    <dxf>
      <fill>
        <patternFill patternType="solid">
          <bgColor theme="5" tint="0.79998168889431442"/>
        </patternFill>
      </fill>
    </dxf>
    <dxf>
      <fill>
        <patternFill>
          <bgColor theme="0" tint="-4.9989318521683403E-2"/>
        </patternFill>
      </fill>
    </dxf>
    <dxf>
      <font>
        <color auto="1"/>
      </font>
    </dxf>
    <dxf>
      <fill>
        <patternFill patternType="solid">
          <bgColor theme="9" tint="0.79998168889431442"/>
        </patternFill>
      </fill>
    </dxf>
    <dxf>
      <font>
        <b/>
      </font>
    </dxf>
    <dxf>
      <alignment vertical="center"/>
    </dxf>
    <dxf>
      <alignment vertical="center"/>
    </dxf>
    <dxf>
      <alignment horizontal="general"/>
    </dxf>
    <dxf>
      <alignment horizontal="general"/>
    </dxf>
    <dxf>
      <font>
        <color auto="1"/>
      </font>
    </dxf>
    <dxf>
      <font>
        <b/>
      </font>
    </dxf>
    <dxf>
      <font>
        <b/>
      </font>
    </dxf>
    <dxf>
      <font>
        <b/>
      </font>
    </dxf>
    <dxf>
      <font>
        <b/>
      </font>
    </dxf>
    <dxf>
      <alignment wrapText="1"/>
    </dxf>
    <dxf>
      <alignment wrapText="1"/>
    </dxf>
    <dxf>
      <alignment wrapText="1"/>
    </dxf>
    <dxf>
      <alignment wrapText="1"/>
    </dxf>
    <dxf>
      <alignment wrapText="1"/>
    </dxf>
    <dxf>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wrapText="1"/>
    </dxf>
    <dxf>
      <fill>
        <patternFill patternType="solid">
          <bgColor rgb="FFFFC000"/>
        </patternFill>
      </fill>
    </dxf>
    <dxf>
      <font>
        <color auto="1"/>
      </font>
    </dxf>
    <dxf>
      <fill>
        <patternFill patternType="solid">
          <bgColor theme="0" tint="-4.9989318521683403E-2"/>
        </patternFill>
      </fill>
    </dxf>
    <dxf>
      <alignment horizontal="center"/>
    </dxf>
    <dxf>
      <alignment horizontal="center"/>
    </dxf>
    <dxf>
      <alignment vertical="center"/>
    </dxf>
    <dxf>
      <alignment vertical="center"/>
    </dxf>
    <dxf>
      <numFmt numFmtId="1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fill>
        <patternFill>
          <bgColor theme="5" tint="0.79998168889431442"/>
        </patternFill>
      </fill>
    </dxf>
    <dxf>
      <font>
        <b/>
      </font>
    </dxf>
    <dxf>
      <font>
        <b/>
      </font>
    </dxf>
    <dxf>
      <font>
        <b/>
      </font>
    </dxf>
    <dxf>
      <fill>
        <patternFill>
          <fgColor theme="6" tint="0.79998168889431442"/>
        </patternFill>
      </fill>
    </dxf>
    <dxf>
      <font>
        <color auto="1"/>
      </font>
    </dxf>
    <dxf>
      <font>
        <color auto="1"/>
      </font>
    </dxf>
    <dxf>
      <font>
        <color auto="1"/>
      </font>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vertical="center"/>
    </dxf>
    <dxf>
      <alignment vertical="center"/>
    </dxf>
    <dxf>
      <fill>
        <patternFill patternType="solid">
          <fgColor indexed="64"/>
          <bgColor rgb="FF00B050"/>
        </patternFill>
      </fill>
      <alignment horizontal="center" vertical="center"/>
    </dxf>
    <dxf>
      <numFmt numFmtId="13" formatCode="0%"/>
    </dxf>
    <dxf>
      <fill>
        <patternFill>
          <bgColor rgb="FF00B050"/>
        </patternFill>
      </fill>
    </dxf>
    <dxf>
      <fill>
        <patternFill patternType="solid">
          <bgColor theme="6" tint="0.79998168889431442"/>
        </patternFill>
      </fill>
    </dxf>
    <dxf>
      <fill>
        <patternFill patternType="solid">
          <bgColor theme="9"/>
        </patternFill>
      </fill>
    </dxf>
    <dxf>
      <alignment horizontal="center"/>
    </dxf>
    <dxf>
      <alignment horizontal="center"/>
    </dxf>
    <dxf>
      <alignment vertical="center"/>
    </dxf>
    <dxf>
      <alignment vertical="center"/>
    </dxf>
    <dxf>
      <numFmt numFmtId="13" formatCode="0%"/>
    </dxf>
    <dxf>
      <font>
        <color theme="0"/>
      </font>
      <fill>
        <patternFill>
          <bgColor theme="1"/>
        </patternFill>
      </fill>
    </dxf>
    <dxf>
      <font>
        <color theme="0"/>
      </font>
      <fill>
        <patternFill>
          <bgColor theme="1"/>
        </patternFill>
      </fill>
    </dxf>
  </dxfs>
  <tableStyles count="1" defaultTableStyle="TableStyleMedium2" defaultPivotStyle="PivotStyleLight16">
    <tableStyle name="Estilo de tabla dinámica 1" table="0" count="2" xr9:uid="{7CD1BCAD-EE2E-4FCA-9197-79EEB80D72C9}">
      <tableStyleElement type="headerRow" dxfId="2625"/>
      <tableStyleElement type="totalRow" dxfId="2624"/>
    </tableStyle>
  </tableStyles>
  <colors>
    <mruColors>
      <color rgb="FF00B0F0"/>
      <color rgb="FFFFF1C5"/>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[Informe Impulso Purina - Mayo 2026.xlsx]INFORME!TablaDinámica11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Resultados por cluster por Canal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tx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pivotFmt>
      <c:pivotFmt>
        <c:idx val="7"/>
        <c:spPr>
          <a:solidFill>
            <a:schemeClr val="accent4"/>
          </a:solidFill>
          <a:ln>
            <a:noFill/>
          </a:ln>
          <a:effectLst/>
        </c:spPr>
        <c:marker>
          <c:symbol val="none"/>
        </c:marker>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INFORME!$E$16:$E$17</c:f>
              <c:strCache>
                <c:ptCount val="1"/>
                <c:pt idx="0">
                  <c:v>MODERNO</c:v>
                </c:pt>
              </c:strCache>
            </c:strRef>
          </c:tx>
          <c:spPr>
            <a:solidFill>
              <a:schemeClr val="accent4">
                <a:shade val="6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LABOR DE VENTA</c:v>
                </c:pt>
                <c:pt idx="1">
                  <c:v>HORARIO</c:v>
                </c:pt>
                <c:pt idx="2">
                  <c:v>UNIFORME</c:v>
                </c:pt>
                <c:pt idx="3">
                  <c:v>ABORDAJE</c:v>
                </c:pt>
                <c:pt idx="4">
                  <c:v>PORTAFOLIO Y MANEJO DE OBJECIONES</c:v>
                </c:pt>
              </c:strCache>
            </c:strRef>
          </c:cat>
          <c:val>
            <c:numRef>
              <c:f>INFORME!$E$18:$E$23</c:f>
              <c:numCache>
                <c:formatCode>0%</c:formatCode>
                <c:ptCount val="5"/>
                <c:pt idx="0">
                  <c:v>1</c:v>
                </c:pt>
                <c:pt idx="1">
                  <c:v>1</c:v>
                </c:pt>
                <c:pt idx="2">
                  <c:v>1</c:v>
                </c:pt>
                <c:pt idx="3">
                  <c:v>1</c:v>
                </c:pt>
                <c:pt idx="4">
                  <c:v>0.97619047619047616</c:v>
                </c:pt>
              </c:numCache>
            </c:numRef>
          </c:val>
          <c:extLst>
            <c:ext xmlns:c16="http://schemas.microsoft.com/office/drawing/2014/chart" uri="{C3380CC4-5D6E-409C-BE32-E72D297353CC}">
              <c16:uniqueId val="{00000000-F9DA-4BC2-9FB8-4879E930A982}"/>
            </c:ext>
          </c:extLst>
        </c:ser>
        <c:ser>
          <c:idx val="1"/>
          <c:order val="1"/>
          <c:tx>
            <c:strRef>
              <c:f>INFORME!$F$16:$F$17</c:f>
              <c:strCache>
                <c:ptCount val="1"/>
                <c:pt idx="0">
                  <c:v>ESPECIALIZADO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LABOR DE VENTA</c:v>
                </c:pt>
                <c:pt idx="1">
                  <c:v>HORARIO</c:v>
                </c:pt>
                <c:pt idx="2">
                  <c:v>UNIFORME</c:v>
                </c:pt>
                <c:pt idx="3">
                  <c:v>ABORDAJE</c:v>
                </c:pt>
                <c:pt idx="4">
                  <c:v>PORTAFOLIO Y MANEJO DE OBJECIONES</c:v>
                </c:pt>
              </c:strCache>
            </c:strRef>
          </c:cat>
          <c:val>
            <c:numRef>
              <c:f>INFORME!$F$18:$F$23</c:f>
              <c:numCache>
                <c:formatCode>0%</c:formatCode>
                <c:ptCount val="5"/>
                <c:pt idx="0">
                  <c:v>1</c:v>
                </c:pt>
                <c:pt idx="1">
                  <c:v>1</c:v>
                </c:pt>
                <c:pt idx="2">
                  <c:v>1</c:v>
                </c:pt>
                <c:pt idx="3">
                  <c:v>1</c:v>
                </c:pt>
                <c:pt idx="4">
                  <c:v>0.89743589743589747</c:v>
                </c:pt>
              </c:numCache>
            </c:numRef>
          </c:val>
          <c:extLst>
            <c:ext xmlns:c16="http://schemas.microsoft.com/office/drawing/2014/chart" uri="{C3380CC4-5D6E-409C-BE32-E72D297353CC}">
              <c16:uniqueId val="{00000009-CE8C-496D-A8BD-6EACBB1C9F97}"/>
            </c:ext>
          </c:extLst>
        </c:ser>
        <c:ser>
          <c:idx val="2"/>
          <c:order val="2"/>
          <c:tx>
            <c:strRef>
              <c:f>INFORME!$G$16:$G$17</c:f>
              <c:strCache>
                <c:ptCount val="1"/>
                <c:pt idx="0">
                  <c:v>TRADICIONAL</c:v>
                </c:pt>
              </c:strCache>
            </c:strRef>
          </c:tx>
          <c:spPr>
            <a:solidFill>
              <a:schemeClr val="accent4">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LABOR DE VENTA</c:v>
                </c:pt>
                <c:pt idx="1">
                  <c:v>HORARIO</c:v>
                </c:pt>
                <c:pt idx="2">
                  <c:v>UNIFORME</c:v>
                </c:pt>
                <c:pt idx="3">
                  <c:v>ABORDAJE</c:v>
                </c:pt>
                <c:pt idx="4">
                  <c:v>PORTAFOLIO Y MANEJO DE OBJECIONES</c:v>
                </c:pt>
              </c:strCache>
            </c:strRef>
          </c:cat>
          <c:val>
            <c:numRef>
              <c:f>INFORME!$G$18:$G$23</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A-CE8C-496D-A8BD-6EACBB1C9F97}"/>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Impulso Purina - Mayo 2026.xlsx]INFORME!TablaDinámica12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Resultados por cluster por Ciudad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INFORME!$E$30:$E$31</c:f>
              <c:strCache>
                <c:ptCount val="1"/>
                <c:pt idx="0">
                  <c:v>BOGOTA</c:v>
                </c:pt>
              </c:strCache>
            </c:strRef>
          </c:tx>
          <c:spPr>
            <a:solidFill>
              <a:schemeClr val="accent1"/>
            </a:solidFill>
            <a:ln>
              <a:noFill/>
            </a:ln>
            <a:effectLst/>
          </c:spPr>
          <c:invertIfNegative val="0"/>
          <c:dLbls>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LABOR DE VENTA</c:v>
                </c:pt>
                <c:pt idx="1">
                  <c:v>HORARIO</c:v>
                </c:pt>
                <c:pt idx="2">
                  <c:v>UNIFORME</c:v>
                </c:pt>
                <c:pt idx="3">
                  <c:v>ABORDAJE</c:v>
                </c:pt>
                <c:pt idx="4">
                  <c:v>PORTAFOLIO Y MANEJO DE OBJECIONES</c:v>
                </c:pt>
              </c:strCache>
            </c:strRef>
          </c:cat>
          <c:val>
            <c:numRef>
              <c:f>INFORME!$E$32:$E$37</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0-F9DA-4BC2-9FB8-4879E930A982}"/>
            </c:ext>
          </c:extLst>
        </c:ser>
        <c:ser>
          <c:idx val="1"/>
          <c:order val="1"/>
          <c:tx>
            <c:strRef>
              <c:f>INFORME!$F$30:$F$31</c:f>
              <c:strCache>
                <c:ptCount val="1"/>
                <c:pt idx="0">
                  <c:v>CARTAGENA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LABOR DE VENTA</c:v>
                </c:pt>
                <c:pt idx="1">
                  <c:v>HORARIO</c:v>
                </c:pt>
                <c:pt idx="2">
                  <c:v>UNIFORME</c:v>
                </c:pt>
                <c:pt idx="3">
                  <c:v>ABORDAJE</c:v>
                </c:pt>
                <c:pt idx="4">
                  <c:v>PORTAFOLIO Y MANEJO DE OBJECIONES</c:v>
                </c:pt>
              </c:strCache>
            </c:strRef>
          </c:cat>
          <c:val>
            <c:numRef>
              <c:f>INFORME!$F$32:$F$37</c:f>
              <c:numCache>
                <c:formatCode>0%</c:formatCode>
                <c:ptCount val="5"/>
                <c:pt idx="0">
                  <c:v>1</c:v>
                </c:pt>
                <c:pt idx="1">
                  <c:v>1</c:v>
                </c:pt>
                <c:pt idx="2">
                  <c:v>1</c:v>
                </c:pt>
                <c:pt idx="3">
                  <c:v>1</c:v>
                </c:pt>
                <c:pt idx="4">
                  <c:v>0.96153846153846156</c:v>
                </c:pt>
              </c:numCache>
            </c:numRef>
          </c:val>
          <c:extLst>
            <c:ext xmlns:c16="http://schemas.microsoft.com/office/drawing/2014/chart" uri="{C3380CC4-5D6E-409C-BE32-E72D297353CC}">
              <c16:uniqueId val="{0000000C-D8F3-447D-8FC6-89E9853E77CF}"/>
            </c:ext>
          </c:extLst>
        </c:ser>
        <c:ser>
          <c:idx val="2"/>
          <c:order val="2"/>
          <c:tx>
            <c:strRef>
              <c:f>INFORME!$G$30:$G$31</c:f>
              <c:strCache>
                <c:ptCount val="1"/>
                <c:pt idx="0">
                  <c:v>BARRANQUILLA</c:v>
                </c:pt>
              </c:strCache>
            </c:strRef>
          </c:tx>
          <c:spPr>
            <a:solidFill>
              <a:schemeClr val="accent3"/>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LABOR DE VENTA</c:v>
                </c:pt>
                <c:pt idx="1">
                  <c:v>HORARIO</c:v>
                </c:pt>
                <c:pt idx="2">
                  <c:v>UNIFORME</c:v>
                </c:pt>
                <c:pt idx="3">
                  <c:v>ABORDAJE</c:v>
                </c:pt>
                <c:pt idx="4">
                  <c:v>PORTAFOLIO Y MANEJO DE OBJECIONES</c:v>
                </c:pt>
              </c:strCache>
            </c:strRef>
          </c:cat>
          <c:val>
            <c:numRef>
              <c:f>INFORME!$G$32:$G$37</c:f>
              <c:numCache>
                <c:formatCode>0%</c:formatCode>
                <c:ptCount val="5"/>
                <c:pt idx="0">
                  <c:v>1</c:v>
                </c:pt>
                <c:pt idx="1">
                  <c:v>1</c:v>
                </c:pt>
                <c:pt idx="2">
                  <c:v>1</c:v>
                </c:pt>
                <c:pt idx="3">
                  <c:v>1</c:v>
                </c:pt>
                <c:pt idx="4">
                  <c:v>0.93772893772893762</c:v>
                </c:pt>
              </c:numCache>
            </c:numRef>
          </c:val>
          <c:extLst>
            <c:ext xmlns:c16="http://schemas.microsoft.com/office/drawing/2014/chart" uri="{C3380CC4-5D6E-409C-BE32-E72D297353CC}">
              <c16:uniqueId val="{0000000D-D8F3-447D-8FC6-89E9853E77CF}"/>
            </c:ext>
          </c:extLst>
        </c:ser>
        <c:ser>
          <c:idx val="3"/>
          <c:order val="3"/>
          <c:tx>
            <c:strRef>
              <c:f>INFORME!$H$30:$H$31</c:f>
              <c:strCache>
                <c:ptCount val="1"/>
                <c:pt idx="0">
                  <c:v>PEREIRA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LABOR DE VENTA</c:v>
                </c:pt>
                <c:pt idx="1">
                  <c:v>HORARIO</c:v>
                </c:pt>
                <c:pt idx="2">
                  <c:v>UNIFORME</c:v>
                </c:pt>
                <c:pt idx="3">
                  <c:v>ABORDAJE</c:v>
                </c:pt>
                <c:pt idx="4">
                  <c:v>PORTAFOLIO Y MANEJO DE OBJECIONES</c:v>
                </c:pt>
              </c:strCache>
            </c:strRef>
          </c:cat>
          <c:val>
            <c:numRef>
              <c:f>INFORME!$H$32:$H$37</c:f>
              <c:numCache>
                <c:formatCode>0%</c:formatCode>
                <c:ptCount val="5"/>
                <c:pt idx="0">
                  <c:v>1</c:v>
                </c:pt>
                <c:pt idx="1">
                  <c:v>1</c:v>
                </c:pt>
                <c:pt idx="2">
                  <c:v>1</c:v>
                </c:pt>
                <c:pt idx="3">
                  <c:v>1</c:v>
                </c:pt>
                <c:pt idx="4">
                  <c:v>0.84615384615384615</c:v>
                </c:pt>
              </c:numCache>
            </c:numRef>
          </c:val>
          <c:extLst>
            <c:ext xmlns:c16="http://schemas.microsoft.com/office/drawing/2014/chart" uri="{C3380CC4-5D6E-409C-BE32-E72D297353CC}">
              <c16:uniqueId val="{0000000E-D8F3-447D-8FC6-89E9853E77CF}"/>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1</xdr:row>
      <xdr:rowOff>67233</xdr:rowOff>
    </xdr:from>
    <xdr:to>
      <xdr:col>13</xdr:col>
      <xdr:colOff>0</xdr:colOff>
      <xdr:row>5</xdr:row>
      <xdr:rowOff>97116</xdr:rowOff>
    </xdr:to>
    <xdr:sp macro="" textlink="">
      <xdr:nvSpPr>
        <xdr:cNvPr id="3" name="CuadroTexto 2">
          <a:extLst>
            <a:ext uri="{FF2B5EF4-FFF2-40B4-BE49-F238E27FC236}">
              <a16:creationId xmlns:a16="http://schemas.microsoft.com/office/drawing/2014/main" id="{43DFF3F2-6C69-9AFA-48CE-BBA38DD9A512}"/>
            </a:ext>
          </a:extLst>
        </xdr:cNvPr>
        <xdr:cNvSpPr txBox="1"/>
      </xdr:nvSpPr>
      <xdr:spPr>
        <a:xfrm>
          <a:off x="2017060" y="253998"/>
          <a:ext cx="2495176" cy="776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800" b="1"/>
            <a:t>NESTLE F&amp;B</a:t>
          </a:r>
        </a:p>
        <a:p>
          <a:r>
            <a:rPr lang="es-CO" sz="1100"/>
            <a:t>INFORME MYSTERY SHOPPER </a:t>
          </a:r>
        </a:p>
        <a:p>
          <a:endParaRPr lang="es-CO" sz="200"/>
        </a:p>
        <a:p>
          <a:r>
            <a:rPr lang="es-CO" sz="1000" i="1"/>
            <a:t>24</a:t>
          </a:r>
          <a:r>
            <a:rPr lang="es-CO" sz="1000" i="1" baseline="0"/>
            <a:t> Agosto al 4 Septiembre </a:t>
          </a:r>
          <a:endParaRPr lang="es-CO" sz="1000" i="1"/>
        </a:p>
      </xdr:txBody>
    </xdr:sp>
    <xdr:clientData/>
  </xdr:twoCellAnchor>
  <xdr:twoCellAnchor>
    <xdr:from>
      <xdr:col>13</xdr:col>
      <xdr:colOff>0</xdr:colOff>
      <xdr:row>1</xdr:row>
      <xdr:rowOff>7468</xdr:rowOff>
    </xdr:from>
    <xdr:to>
      <xdr:col>13</xdr:col>
      <xdr:colOff>0</xdr:colOff>
      <xdr:row>5</xdr:row>
      <xdr:rowOff>179292</xdr:rowOff>
    </xdr:to>
    <xdr:sp macro="" textlink="">
      <xdr:nvSpPr>
        <xdr:cNvPr id="4" name="Rectángulo 3">
          <a:extLst>
            <a:ext uri="{FF2B5EF4-FFF2-40B4-BE49-F238E27FC236}">
              <a16:creationId xmlns:a16="http://schemas.microsoft.com/office/drawing/2014/main" id="{8BA0075D-6610-9B93-DF97-FDD9D0641296}"/>
            </a:ext>
          </a:extLst>
        </xdr:cNvPr>
        <xdr:cNvSpPr/>
      </xdr:nvSpPr>
      <xdr:spPr>
        <a:xfrm>
          <a:off x="1837765" y="194233"/>
          <a:ext cx="52294" cy="918883"/>
        </a:xfrm>
        <a:prstGeom prst="rect">
          <a:avLst/>
        </a:prstGeom>
        <a:solidFill>
          <a:srgbClr val="996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666750</xdr:colOff>
      <xdr:row>17</xdr:row>
      <xdr:rowOff>75406</xdr:rowOff>
    </xdr:from>
    <xdr:to>
      <xdr:col>17</xdr:col>
      <xdr:colOff>522741</xdr:colOff>
      <xdr:row>43</xdr:row>
      <xdr:rowOff>39687</xdr:rowOff>
    </xdr:to>
    <xdr:graphicFrame macro="">
      <xdr:nvGraphicFramePr>
        <xdr:cNvPr id="8" name="Gráfico 7">
          <a:extLst>
            <a:ext uri="{FF2B5EF4-FFF2-40B4-BE49-F238E27FC236}">
              <a16:creationId xmlns:a16="http://schemas.microsoft.com/office/drawing/2014/main" id="{6DC84FFA-91C2-A047-EC7F-E35F34A60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119062</xdr:colOff>
      <xdr:row>6</xdr:row>
      <xdr:rowOff>130968</xdr:rowOff>
    </xdr:from>
    <xdr:to>
      <xdr:col>0</xdr:col>
      <xdr:colOff>2428874</xdr:colOff>
      <xdr:row>18</xdr:row>
      <xdr:rowOff>169333</xdr:rowOff>
    </xdr:to>
    <mc:AlternateContent xmlns:mc="http://schemas.openxmlformats.org/markup-compatibility/2006" xmlns:a14="http://schemas.microsoft.com/office/drawing/2010/main">
      <mc:Choice Requires="a14">
        <xdr:graphicFrame macro="">
          <xdr:nvGraphicFramePr>
            <xdr:cNvPr id="9" name="CIUDAD">
              <a:extLst>
                <a:ext uri="{FF2B5EF4-FFF2-40B4-BE49-F238E27FC236}">
                  <a16:creationId xmlns:a16="http://schemas.microsoft.com/office/drawing/2014/main" id="{99DA9371-904D-B9CC-FEA2-A327FC85F7C9}"/>
                </a:ext>
              </a:extLst>
            </xdr:cNvPr>
            <xdr:cNvGraphicFramePr/>
          </xdr:nvGraphicFramePr>
          <xdr:xfrm>
            <a:off x="0" y="0"/>
            <a:ext cx="0" cy="0"/>
          </xdr:xfrm>
          <a:graphic>
            <a:graphicData uri="http://schemas.microsoft.com/office/drawing/2010/slicer">
              <sle:slicer xmlns:sle="http://schemas.microsoft.com/office/drawing/2010/slicer" name="CIUDAD"/>
            </a:graphicData>
          </a:graphic>
        </xdr:graphicFrame>
      </mc:Choice>
      <mc:Fallback xmlns="">
        <xdr:sp macro="" textlink="">
          <xdr:nvSpPr>
            <xdr:cNvPr id="0" name=""/>
            <xdr:cNvSpPr>
              <a:spLocks noTextEdit="1"/>
            </xdr:cNvSpPr>
          </xdr:nvSpPr>
          <xdr:spPr>
            <a:xfrm>
              <a:off x="119062" y="1452561"/>
              <a:ext cx="2309812" cy="2071689"/>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0</xdr:colOff>
      <xdr:row>21</xdr:row>
      <xdr:rowOff>155224</xdr:rowOff>
    </xdr:from>
    <xdr:to>
      <xdr:col>0</xdr:col>
      <xdr:colOff>2309812</xdr:colOff>
      <xdr:row>36</xdr:row>
      <xdr:rowOff>46746</xdr:rowOff>
    </xdr:to>
    <mc:AlternateContent xmlns:mc="http://schemas.openxmlformats.org/markup-compatibility/2006" xmlns:a14="http://schemas.microsoft.com/office/drawing/2010/main">
      <mc:Choice Requires="a14">
        <xdr:graphicFrame macro="">
          <xdr:nvGraphicFramePr>
            <xdr:cNvPr id="10" name="NOMBRE COMERCIAL">
              <a:extLst>
                <a:ext uri="{FF2B5EF4-FFF2-40B4-BE49-F238E27FC236}">
                  <a16:creationId xmlns:a16="http://schemas.microsoft.com/office/drawing/2014/main" id="{F50E9D89-339A-DBE7-56A8-7DFF3F5D9111}"/>
                </a:ext>
              </a:extLst>
            </xdr:cNvPr>
            <xdr:cNvGraphicFramePr/>
          </xdr:nvGraphicFramePr>
          <xdr:xfrm>
            <a:off x="0" y="0"/>
            <a:ext cx="0" cy="0"/>
          </xdr:xfrm>
          <a:graphic>
            <a:graphicData uri="http://schemas.microsoft.com/office/drawing/2010/slicer">
              <sle:slicer xmlns:sle="http://schemas.microsoft.com/office/drawing/2010/slicer" name="NOMBRE COMERCIAL"/>
            </a:graphicData>
          </a:graphic>
        </xdr:graphicFrame>
      </mc:Choice>
      <mc:Fallback xmlns="">
        <xdr:sp macro="" textlink="">
          <xdr:nvSpPr>
            <xdr:cNvPr id="0" name=""/>
            <xdr:cNvSpPr>
              <a:spLocks noTextEdit="1"/>
            </xdr:cNvSpPr>
          </xdr:nvSpPr>
          <xdr:spPr>
            <a:xfrm>
              <a:off x="0" y="4078113"/>
              <a:ext cx="2309812" cy="253030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18</xdr:col>
      <xdr:colOff>80165</xdr:colOff>
      <xdr:row>17</xdr:row>
      <xdr:rowOff>65427</xdr:rowOff>
    </xdr:from>
    <xdr:to>
      <xdr:col>25</xdr:col>
      <xdr:colOff>549955</xdr:colOff>
      <xdr:row>43</xdr:row>
      <xdr:rowOff>39120</xdr:rowOff>
    </xdr:to>
    <xdr:graphicFrame macro="">
      <xdr:nvGraphicFramePr>
        <xdr:cNvPr id="12" name="Gráfico 11">
          <a:extLst>
            <a:ext uri="{FF2B5EF4-FFF2-40B4-BE49-F238E27FC236}">
              <a16:creationId xmlns:a16="http://schemas.microsoft.com/office/drawing/2014/main" id="{CDCED173-A93D-4192-FE60-24A713D14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71438</xdr:colOff>
      <xdr:row>3</xdr:row>
      <xdr:rowOff>83343</xdr:rowOff>
    </xdr:from>
    <xdr:to>
      <xdr:col>0</xdr:col>
      <xdr:colOff>2518598</xdr:colOff>
      <xdr:row>6</xdr:row>
      <xdr:rowOff>23438</xdr:rowOff>
    </xdr:to>
    <xdr:pic>
      <xdr:nvPicPr>
        <xdr:cNvPr id="2" name="Imagen 1" descr="Icono&#10;&#10;Descripción generada automáticamente">
          <a:extLst>
            <a:ext uri="{FF2B5EF4-FFF2-40B4-BE49-F238E27FC236}">
              <a16:creationId xmlns:a16="http://schemas.microsoft.com/office/drawing/2014/main" id="{072150EB-EF4F-4EFA-A07F-BCDAA5C812C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438" y="833437"/>
          <a:ext cx="2447160" cy="51159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Raul Guerrero Anaya" refreshedDate="46176.364019097222" createdVersion="8" refreshedVersion="8" minRefreshableVersion="3" recordCount="7" xr:uid="{CF551015-06BD-4229-9B56-77016B602580}">
  <cacheSource type="worksheet">
    <worksheetSource name="Tabla1"/>
  </cacheSource>
  <cacheFields count="11">
    <cacheField name="CANAL" numFmtId="0">
      <sharedItems/>
    </cacheField>
    <cacheField name="CIUDAD" numFmtId="0">
      <sharedItems containsBlank="1" count="16">
        <s v="BOGOTA"/>
        <s v="PEREIRA"/>
        <s v="BARRANQUILLA"/>
        <s v="CARTAGENA"/>
        <s v="CALI" u="1"/>
        <s v="MEDELLIN" u="1"/>
        <s v="ARMENIA" u="1"/>
        <s v="ENVIGADO" u="1"/>
        <m u="1"/>
        <s v="ARMENIA (QUINDIO)" u="1"/>
        <s v="CHIA" u="1"/>
        <s v="BUCARAMANGA" u="1"/>
        <s v="ITAGUI" u="1"/>
        <s v="PALMIRA" u="1"/>
        <s v="BELLO" u="1"/>
        <s v="SOACHA" u="1"/>
      </sharedItems>
    </cacheField>
    <cacheField name="CODIGO PDV" numFmtId="0">
      <sharedItems containsSemiMixedTypes="0" containsString="0" containsNumber="1" containsInteger="1" minValue="12329" maxValue="455609"/>
    </cacheField>
    <cacheField name="NOMBRE COMERCIAL" numFmtId="0">
      <sharedItems/>
    </cacheField>
    <cacheField name="Objetivo Mystery" numFmtId="0">
      <sharedItems containsSemiMixedTypes="0" containsString="0" containsNumber="1" containsInteger="1" minValue="1" maxValue="1"/>
    </cacheField>
    <cacheField name="#PDV Objetivos" numFmtId="0">
      <sharedItems containsSemiMixedTypes="0" containsString="0" containsNumber="1" containsInteger="1" minValue="1" maxValue="1"/>
    </cacheField>
    <cacheField name="#PDV Ejecutados" numFmtId="0">
      <sharedItems containsSemiMixedTypes="0" containsString="0" containsNumber="1" containsInteger="1" minValue="1" maxValue="1"/>
    </cacheField>
    <cacheField name="# Visitas" numFmtId="0">
      <sharedItems containsSemiMixedTypes="0" containsString="0" containsNumber="1" containsInteger="1" minValue="1" maxValue="1"/>
    </cacheField>
    <cacheField name="Mystery Ejecutado" numFmtId="0">
      <sharedItems containsSemiMixedTypes="0" containsString="0" containsNumber="1" containsInteger="1" minValue="0" maxValue="1"/>
    </cacheField>
    <cacheField name="% Ejecucion" numFmtId="0" formula="'#PDV Ejecutados'/'#PDV Objetivos'" databaseField="0"/>
    <cacheField name="% Efectividad" numFmtId="0" formula="'Mystery Ejecutado'/'Objetivo Mystery'"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Raul Guerrero Anaya" refreshedDate="46176.364019444445" createdVersion="8" refreshedVersion="8" minRefreshableVersion="3" recordCount="197" xr:uid="{FB106F23-78AF-4657-98AE-84D2CE3B6430}">
  <cacheSource type="worksheet">
    <worksheetSource name="Tabla2__2"/>
  </cacheSource>
  <cacheFields count="19">
    <cacheField name="ACTIVIDAD" numFmtId="0">
      <sharedItems/>
    </cacheField>
    <cacheField name="CIUDAD" numFmtId="0">
      <sharedItems containsBlank="1" count="14">
        <s v="BOGOTA"/>
        <s v="BARRANQUILLA"/>
        <s v="CARTAGENA"/>
        <s v="PEREIRA"/>
        <s v="CALI" u="1"/>
        <s v="MEDELLIN" u="1"/>
        <s v="ARMENIA" u="1"/>
        <s v="ENVIGADO" u="1"/>
        <s v="LOS PATIOS" u="1"/>
        <s v="CHIA" u="1"/>
        <s v="ARMENIA (QUINDIO)" u="1"/>
        <s v="BUCARAMANGA" u="1"/>
        <m u="1"/>
        <s v="ITAGUI" u="1"/>
      </sharedItems>
    </cacheField>
    <cacheField name="CANAL" numFmtId="0">
      <sharedItems containsMixedTypes="1" containsNumber="1" containsInteger="1" minValue="0" maxValue="0" count="4">
        <s v="TRADICIONAL"/>
        <s v="ESPECIALIZADO"/>
        <s v="MODERNO"/>
        <n v="0" u="1"/>
      </sharedItems>
    </cacheField>
    <cacheField name="CADENA" numFmtId="0">
      <sharedItems/>
    </cacheField>
    <cacheField name="CODIGO PDV" numFmtId="0">
      <sharedItems containsSemiMixedTypes="0" containsString="0" containsNumber="1" containsInteger="1" minValue="12329" maxValue="455609"/>
    </cacheField>
    <cacheField name="NOMBRE COMERCIAL" numFmtId="0">
      <sharedItems containsBlank="1" count="185">
        <s v="355912 - MERCADOS ALCOSTO ALMENDROS"/>
        <s v="421657 - MI CORRAL NORTE CRA 46"/>
        <s v="426071 - MASCOCLINICA"/>
        <s v="455609 - HOMECENTER BARRANQUILLA NORTE"/>
        <s v="ALCONCENTRADOS"/>
        <s v="ÉXITO CARTAGENA"/>
        <s v="SUPERMERCADO COMUNAL"/>
        <s v="424808 - HOLANDA NORTE" u="1"/>
        <s v="424842  - MUNDIAL DE GRANOS Y PANELAS S.A.S." u="1"/>
        <s v="MERCAMIO CALLE 5" u="1"/>
        <s v="355954 - MUNDO MASCOTAS FERIAS" u="1"/>
        <s v="411816 - MY TIENDA SANTA GEMA" u="1"/>
        <s v="SUPERMERCADO MERCAMAS" u="1"/>
        <s v="12390 - EXITO COUNTRY" u="1"/>
        <s v="COMERCIALIZADORA LA BONANZA" u="1"/>
        <s v="CLINICA DOVER S.A.S" u="1"/>
        <s v="367954 - OLIMPICA STO 054 VILLA CAMPESTRE TAJAMARES" u="1"/>
        <s v="103058 - SUPERMERCADO MERCAMIO" u="1"/>
        <s v="447964 - MAKRO BARRANQUILLA" u="1"/>
        <s v="455382 - MERCACENTRO BOSA BRASIL" u="1"/>
        <s v="424858 - AGROCAMPO S.A.S." u="1"/>
        <s v="424810 - HOMECENTER CARTAGENA" u="1"/>
        <s v="421609 - LA FAVORITA DE LA 14" u="1"/>
        <s v="LA CASA DE LOS TENDEROS" u="1"/>
        <s v="DEGANADO NORTE" u="1"/>
        <s v="12465 - ÉXITO NUEVO KENNEDY" u="1"/>
        <s v="180616 -PUPPIS SANTA BARBARA" u="1"/>
        <s v="424822 - CHALO 4" u="1"/>
        <s v="442719-EXITO COLINA" u="1"/>
        <s v="191636-ALMACEN EL VAQUERO" u="1"/>
        <s v="12882 - ÉXITO UNICALI 056" u="1"/>
        <s v="424880-AUTOSERVICIO MERCAUNION" u="1"/>
        <s v="352093- JUMBO PREMIER LIMONAR" u="1"/>
        <s v="421609-LA FAVORITA DE LA 14" u="1"/>
        <s v="12127 - ÉXITO POBLADO WOW" u="1"/>
        <s v="453160-DIVERPOOL MULTIPLAZA" u="1"/>
        <s v="12128-ÉXITO VIVA ENVIGADO WOW" u="1"/>
        <s v="38479 - JUMBO 65" u="1"/>
        <s v="191457-ALMACEN MI CORRAL 84" u="1"/>
        <s v="MUNDIAL DE GRANOS Y PANELAS S.A.S." u="1"/>
        <s v="12561-JUMBO HAYUELOS" u="1"/>
        <s v="425908-PUPPIS MODELIA" u="1"/>
        <s v="208335-MERKAMAS LEMETRE" u="1"/>
        <s v="124499-AUTOSERVICIO MERCAFULL" u="1"/>
        <s v="426054-ROYAL PET" u="1"/>
        <s v="406431-JUMBO VALLE DEL LILI" u="1"/>
        <s v="EXITO COUNTRY" u="1"/>
        <s v="406974-JUMBO 170" u="1"/>
        <s v="442180-CLÍNICA VETERINARIA ENVALLE S.A.S." u="1"/>
        <s v="55306-SUPAPA REFUGIO" u="1"/>
        <s v="CONCENTRADOS EL RANCHO LTDA DROGUERIA VETERINARIA" u="1"/>
        <s v="356625-AGRO LA HACIENDA SAS SUR" u="1"/>
        <s v="437044-SURTIFAMILIAR CACHIPAY" u="1"/>
        <s v="421577-DEGANADO ALAMEDA" u="1"/>
        <s v="421657-MI CORRAL NORTE CRA 46" u="1"/>
        <s v="461809-DISTRIBUIDORA EL 9CITO S.A.S." u="1"/>
        <s v="AGROCAMPO S.A.S." u="1"/>
        <s v="HOMECENTER CALLE 80 CR 68" u="1"/>
        <s v="146097-SURTIFAMILIAR ALCAZARES" u="1"/>
        <s v="OLIMPICA STO 053 PORTAL DEL PRADO" u="1"/>
        <s v="419603-MERCATODO FLORESTA" u="1"/>
        <s v="425901-DIDO S.A.S 121" u="1"/>
        <s v="SUPERMERCADO MERCAMIO" u="1"/>
        <s v="430454-OLIMPICA STO 082 BQUILLA" u="1"/>
        <s v="363615-LA MONTAÑA AGROMERCADOS LA 14 DE COSMOCENTRO 129" u="1"/>
        <s v="424843-I PET PLACE C.C NUESTRO BOGOTA" u="1"/>
        <s v="55309-EXITO SUPER INTER MELENDEZ" u="1"/>
        <s v="556332-MERKAVALLE JG SAS" u="1"/>
        <s v="12829-OLIMPICA 409 AV 19" u="1"/>
        <s v="128552-CAÑAVERAL EL INGENIO" u="1"/>
        <s v="424844-ANIMAL CENTER BELLA SUIZA" u="1"/>
        <s v="425879-AGROPUNTO SAN JOSE" u="1"/>
        <s v="12056-JUMBO BUENAVISTA" u="1"/>
        <s v="424771-SILVERAGRO 109" u="1"/>
        <s v="355954-MUNDO MASCOTAS FERIAS" u="1"/>
        <s v="435149-SUPERMASCOTAS CAPRI" u="1"/>
        <s v="456604-EXITO SUPER INTER GUAYACANES" u="1"/>
        <s v="430443-STO 428 MAZUREN" u="1"/>
        <s v="191583-MUNDO ANIMAL BARRANQUILLA" u="1"/>
        <s v="455609-HOMECENTER BARRANQUILLA NORTE" u="1"/>
        <s v="OLIMPICA 405 PLAZA DE LAS AMERICAS" u="1"/>
        <s v="448006-ÉXITO NORTE BARRANQUILLA" u="1"/>
        <s v="382375-PORVENIR SAN ISIDRO" u="1"/>
        <s v="150256-ANIMALS PEPE SIERRA" u="1"/>
        <s v="424809-HOMECENTER AV. EL DORADO" u="1"/>
        <s v="108904- LA RES DEL NORTE" u="1"/>
        <s v="365377-Su Papa Lopez" u="1"/>
        <s v="DISTRIBUCIONES MILENA" u="1"/>
        <s v="447964-MAKRO BARRANQUILLA" u="1"/>
        <s v="MUNDO MASCOTAS TABORA" u="1"/>
        <s v="CLINICA VETERINARIA SHARPEY" u="1"/>
        <s v="126325-OLIMPICA STO 039 CHIQUINQUIRA" u="1"/>
        <s v="12565-JUMBO SANTA ANA" u="1"/>
        <s v="KUMPET 94" u="1"/>
        <s v="108903-LA RES CENTRO" u="1"/>
        <s v="12394-EXITO CALLE 80" u="1"/>
        <s v="454996-LAIKA 116" u="1"/>
        <s v="428025-CARULLA RINCON DE OVIEDO" u="1"/>
        <s v="12662-JUMBO TITAN BOGOTA" u="1"/>
        <s v="SUPERMASCOTAS CIUDAD JARDIN" u="1"/>
        <s v="13555-OLIMPICA STO 137 VILLA COLOMBIA" u="1"/>
        <s v="12397-EXITO OCCIDENTE" u="1"/>
        <s v="456498-MERCA Z CALI" u="1"/>
        <s v="ZAPATOCA VILLA LUZ" u="1"/>
        <s v="434812-AUTOSERVICIO IDMT" u="1"/>
        <s v="103470612-MERCALDAS-BOGOTA" u="1"/>
        <s v="12211-PROVEEDURIA EMPRESAS PUBLICAS EPM" u="1"/>
        <s v="427385-OLIMPICA STO 094 VILLA CAROLINA" u="1"/>
        <s v="Exito  Country WOW" u="1"/>
        <s v="12054-JUMBO ALTOS DEL PRADO" u="1"/>
        <s v="EXITO ENVIGADO" u="1"/>
        <s v="Jumbo Las Vegas" u="1"/>
        <s v="12559-JUMBO CALLE 80" u="1"/>
        <s v="Jumbo Calle 170" u="1"/>
        <s v="12568-JUMBO CHIA" u="1"/>
        <s v="12041-EXITO BUENA VISTA (CV) BLLA" u="1"/>
        <s v="59430-MERCADO ZAPATOCA" u="1"/>
        <s v="419758-Vaquita El Poblado" u="1"/>
        <s v="13505-EXITO UNICENTRO ARMENIA" u="1"/>
        <s v="458848-EURO FRONTERA" u="1"/>
        <s v="12557-JUMBO BULEVAR NIZA" u="1"/>
        <s v="427729-AUTOSERVICIO EL PERDOMO" u="1"/>
        <s v="JUMBO CHIA" u="1"/>
        <s v="PORVENIR FERIAS" u="1"/>
        <s v="191305-OLIMPICA SDO 544 DROGUERIA" u="1"/>
        <s v="191185-OLIMPICA STO 103 BOCAGRANDE DROGUERIA" u="1"/>
        <s v="Exito Poblado." u="1"/>
        <s v="Exito Cabecera" u="1"/>
        <s v="EXITO VIVA LAURELES" u="1"/>
        <s v="JUMBO HAYUELOS" u="1"/>
        <s v="JUMBO SANTA FE" u="1"/>
        <s v="OLIMPICA STO 093 CR 46" u="1"/>
        <s v="CLINICA VETERINARIA DON PERRO BARRANQUILLA" u="1"/>
        <s v="HOMECENTER AUTOPISTA NORTE BOGOTA" u="1"/>
        <s v="PUPPIS CALIMA" u="1"/>
        <s v="PUPPIS CARRERA 15" u="1"/>
        <s v="EXITO LAURELES." u="1"/>
        <s v="PLAZA PETS S.A.S." u="1"/>
        <s v="PUPPIS CALLE 85" u="1"/>
        <s v="PDV GENERICO 1" u="1"/>
        <s v="MERCAFAMILIAR LAS PALMAS S.A.S." u="1"/>
        <s v="ZOOMARPETS" u="1"/>
        <s v="SERVICE CAN COLOMBIA" u="1"/>
        <s v="AHORRE MAS" u="1"/>
        <s v="AGROGANADERO DEL CARIBE S.A.S." u="1"/>
        <m u="1"/>
        <s v="EURO  FLORIDA" u="1"/>
        <s v="CANAVERAL PANCE" u="1"/>
        <s v="CHALO 3" u="1"/>
        <s v="439301-AVENTURA PLAZA MASCOTAS MARSELLA" u="1"/>
        <s v="435146-KAMARI PETS S.A.S." u="1"/>
        <s v="424798-PETCOL CEDRITOS" u="1"/>
        <s v="12479-EXITO GRAN ESTACION" u="1"/>
        <s v="TIERRAGRO MEDELLIN" u="1"/>
        <s v="LA CARIÑOSA" u="1"/>
        <s v="424776-CEBA USAQUEN" u="1"/>
        <s v="425918-KUMPET S.A.S." u="1"/>
        <s v="425172-JUMBO AUTOPISTA SUR" u="1"/>
        <s v="EL RANCHO." u="1"/>
        <s v="421532-TIERRAGRO MEDELLIN" u="1"/>
        <s v="29714-MERCAMIO CALLE 5" u="1"/>
        <s v="12130-ÉXITO LAURELES" u="1"/>
        <s v="12108-OLIMPICA STO 053 PORTAL DEL PRADO" u="1"/>
        <s v="424887-TIERRAGRO ITAGUI" u="1"/>
        <s v="424893-HOMECENTER CALLE 80" u="1"/>
        <s v="442220-AGROCORRALES ITAGUI" u="1"/>
        <s v="ANIMAL CENTER S.A.S GALERIAS" u="1"/>
        <s v="CLINICA DOVER S.A.S." u="1"/>
        <s v="ANIMALS COLINA AV LAS VILLAS" u="1"/>
        <s v="ANIMAL CENTER S.A.S." u="1"/>
        <s v="SUPERTIENDAS CANAVERAL S.A.S." u="1"/>
        <s v="SURTICAMPO S.A." u="1"/>
        <s v="ALMACENES EXITO S.A." u="1"/>
        <s v="SUPERTIENDAS Y DROGUERIAS OLIMPICA S.A." u="1"/>
        <s v="DISTRIBUIDORA SUPER 80 S.A." u="1"/>
        <s v="SUPERMERCADO EURO - LC 6 Y 7" u="1"/>
        <s v="EXITO CHIPICHAPE" u="1"/>
        <s v="JUMBO VALLE DEL LILI" u="1"/>
        <s v="CARULLA CALLE 140" u="1"/>
        <s v="JUMBO SANTA ANA" u="1"/>
        <s v="JUMBO CALLE 80" u="1"/>
        <s v="MEGATIENDAS CABRERO" u="1"/>
        <s v="OLIMPICA STO 105 LA PLAZUELA CARTAGENA" u="1"/>
        <s v="FARMATODO CEDRITOS 2" u="1"/>
        <s v="OLIMPICA STO 105 LA PLAZUELA" u="1"/>
      </sharedItems>
    </cacheField>
    <cacheField name="PREGUNTA" numFmtId="0">
      <sharedItems/>
    </cacheField>
    <cacheField name="RTA" numFmtId="0">
      <sharedItems/>
    </cacheField>
    <cacheField name="FECHA VISITA" numFmtId="14">
      <sharedItems containsNonDate="0" containsString="0" containsBlank="1"/>
    </cacheField>
    <cacheField name="CODIGO RUTA" numFmtId="0">
      <sharedItems containsSemiMixedTypes="0" containsString="0" containsNumber="1" containsInteger="1" minValue="31343424" maxValue="31528799"/>
    </cacheField>
    <cacheField name="USUARIO" numFmtId="0">
      <sharedItems/>
    </cacheField>
    <cacheField name="MYSTERY EFECTIVO" numFmtId="0">
      <sharedItems containsMixedTypes="1" containsNumber="1" containsInteger="1" minValue="0" maxValue="0" count="3">
        <s v="SI"/>
        <s v=" NO"/>
        <n v="0" u="1"/>
      </sharedItems>
    </cacheField>
    <cacheField name="CLUSTER" numFmtId="0">
      <sharedItems containsMixedTypes="1" containsNumber="1" containsInteger="1" minValue="0" maxValue="0" count="7">
        <s v="N/A"/>
        <s v="LABOR DE VENTA"/>
        <s v="HORARIO"/>
        <s v="UNIFORME"/>
        <s v="ABORDAJE"/>
        <s v="PORTAFOLIO Y MANEJO DE OBJECIONES"/>
        <n v="0" u="1"/>
      </sharedItems>
    </cacheField>
    <cacheField name="TOTAL PUNTAJE" numFmtId="0">
      <sharedItems containsSemiMixedTypes="0" containsString="0" containsNumber="1" minValue="0" maxValue="20"/>
    </cacheField>
    <cacheField name="RTA CORRECTA" numFmtId="0">
      <sharedItems containsMixedTypes="1" containsNumber="1" containsInteger="1" minValue="0" maxValue="0"/>
    </cacheField>
    <cacheField name="PUNTAJE OBTENIDO" numFmtId="0">
      <sharedItems containsSemiMixedTypes="0" containsString="0" containsNumber="1" minValue="0" maxValue="20"/>
    </cacheField>
    <cacheField name="Columna1" numFmtId="0">
      <sharedItems containsSemiMixedTypes="0" containsString="0" containsNumber="1" containsInteger="1" minValue="0" maxValue="0"/>
    </cacheField>
    <cacheField name="Columna2" numFmtId="0">
      <sharedItems containsNonDate="0" containsString="0" containsBlank="1"/>
    </cacheField>
    <cacheField name="% MYSTERY" numFmtId="0" formula="'PUNTAJE OBTENIDO'/'TOTAL PUNTAJE'" databaseField="0"/>
  </cacheFields>
  <extLst>
    <ext xmlns:x14="http://schemas.microsoft.com/office/spreadsheetml/2009/9/main" uri="{725AE2AE-9491-48be-B2B4-4EB974FC3084}">
      <x14:pivotCacheDefinition pivotCacheId="602717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s v="MODERNO"/>
    <x v="0"/>
    <n v="122880"/>
    <s v="SUPERMERCADO COMUNAL"/>
    <n v="1"/>
    <n v="1"/>
    <n v="1"/>
    <n v="1"/>
    <n v="0"/>
  </r>
  <r>
    <s v="TRADICIONAL"/>
    <x v="0"/>
    <n v="355912"/>
    <s v="355912 - MERCADOS ALCOSTO ALMENDROS"/>
    <n v="1"/>
    <n v="1"/>
    <n v="1"/>
    <n v="1"/>
    <n v="1"/>
  </r>
  <r>
    <s v="ESPECIALIZADO"/>
    <x v="1"/>
    <n v="424803"/>
    <s v="ALCONCENTRADOS"/>
    <n v="1"/>
    <n v="1"/>
    <n v="1"/>
    <n v="1"/>
    <n v="1"/>
  </r>
  <r>
    <s v="MODERNO"/>
    <x v="2"/>
    <n v="455609"/>
    <s v="455609 - HOMECENTER BARRANQUILLA NORTE"/>
    <n v="1"/>
    <n v="1"/>
    <n v="1"/>
    <n v="1"/>
    <n v="1"/>
  </r>
  <r>
    <s v="ESPECIALIZADO"/>
    <x v="2"/>
    <n v="421657"/>
    <s v="MI CORRAL NORTE CRA 46"/>
    <n v="1"/>
    <n v="1"/>
    <n v="1"/>
    <n v="1"/>
    <n v="1"/>
  </r>
  <r>
    <s v="ESPECIALIZADO"/>
    <x v="3"/>
    <n v="426071"/>
    <s v="MASCOCLINICA"/>
    <n v="1"/>
    <n v="1"/>
    <n v="1"/>
    <n v="1"/>
    <n v="1"/>
  </r>
  <r>
    <s v="MODERNO"/>
    <x v="3"/>
    <n v="12329"/>
    <s v="ÉXITO CARTAGENA"/>
    <n v="1"/>
    <n v="1"/>
    <n v="1"/>
    <n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
  <r>
    <s v="NESTLE PURINA"/>
    <x v="0"/>
    <x v="0"/>
    <s v="TRADICIONAL"/>
    <n v="355912"/>
    <x v="0"/>
    <s v="SE LOGRA REALIZAR EL MYSTERY?"/>
    <s v="SI"/>
    <m/>
    <n v="31343424"/>
    <s v="NestleP.1"/>
    <x v="0"/>
    <x v="0"/>
    <n v="0"/>
    <n v="0"/>
    <n v="0"/>
    <n v="0"/>
    <m/>
  </r>
  <r>
    <s v="NESTLE PURINA"/>
    <x v="0"/>
    <x v="0"/>
    <s v="TRADICIONAL"/>
    <n v="355912"/>
    <x v="0"/>
    <s v="INDIQUE OBSERVACION Y/O NOVEDAD DEL MYSTERY REALIZADO"/>
    <s v="NA"/>
    <m/>
    <n v="31343424"/>
    <s v="NestleP.1"/>
    <x v="0"/>
    <x v="0"/>
    <n v="0"/>
    <n v="0"/>
    <n v="0"/>
    <n v="0"/>
    <m/>
  </r>
  <r>
    <s v="NESTLE PURINA"/>
    <x v="0"/>
    <x v="0"/>
    <s v="TRADICIONAL"/>
    <n v="355912"/>
    <x v="0"/>
    <s v="DESEA AÑADIR ALGUNA OBSERVACION Y/O NOVEDAD DEL MYSTERY REALIZADO?"/>
    <s v=" NO"/>
    <m/>
    <n v="31343424"/>
    <s v="NestleP.1"/>
    <x v="0"/>
    <x v="0"/>
    <n v="0"/>
    <n v="0"/>
    <n v="0"/>
    <n v="0"/>
    <m/>
  </r>
  <r>
    <s v="NESTLE PURINA"/>
    <x v="0"/>
    <x v="0"/>
    <s v="TRADICIONAL"/>
    <n v="355912"/>
    <x v="0"/>
    <s v="CONSIDERO QUE INDEPENDIENTEMENTE DEL SPEECH, LA LABOR DE VENTA ES BUENA"/>
    <s v="SI"/>
    <m/>
    <n v="31343424"/>
    <s v="NestleP.1"/>
    <x v="0"/>
    <x v="1"/>
    <n v="3.75"/>
    <s v="SI"/>
    <n v="3.75"/>
    <n v="0"/>
    <m/>
  </r>
  <r>
    <s v="NESTLE PURINA"/>
    <x v="0"/>
    <x v="0"/>
    <s v="TRADICIONAL"/>
    <n v="355912"/>
    <x v="0"/>
    <s v="SE ENCUENTRA LIMPIA EL AREA DE DEMOSTRACION &quot;REVISION DE PRODUCTO SIN POLVO Y EN OPTIMAS CONDICIONES&quot;"/>
    <s v="SI"/>
    <m/>
    <n v="31343424"/>
    <s v="NestleP.1"/>
    <x v="0"/>
    <x v="1"/>
    <n v="3.75"/>
    <s v="SI"/>
    <n v="3.75"/>
    <n v="0"/>
    <m/>
  </r>
  <r>
    <s v="NESTLE PURINA"/>
    <x v="0"/>
    <x v="0"/>
    <s v="TRADICIONAL"/>
    <n v="355912"/>
    <x v="0"/>
    <s v="¿CUMPLE HORARIO DE ENTRADA O SALIDA DE LA TIENDA?"/>
    <s v="SI"/>
    <m/>
    <n v="31343424"/>
    <s v="NestleP.1"/>
    <x v="0"/>
    <x v="2"/>
    <n v="20"/>
    <s v="SI"/>
    <n v="20"/>
    <n v="0"/>
    <m/>
  </r>
  <r>
    <s v="NESTLE PURINA"/>
    <x v="0"/>
    <x v="0"/>
    <s v="TRADICIONAL"/>
    <n v="355912"/>
    <x v="0"/>
    <s v="CUENTA CON PANTALON DEL UNIFORME SEGÚN EL CARGO (NEGRO / ROJO / TURQUESA / JEAN)"/>
    <s v="SI"/>
    <m/>
    <n v="31343424"/>
    <s v="NestleP.1"/>
    <x v="0"/>
    <x v="3"/>
    <n v="1.5"/>
    <s v="SI"/>
    <n v="1.5"/>
    <n v="0"/>
    <m/>
  </r>
  <r>
    <s v="NESTLE PURINA"/>
    <x v="0"/>
    <x v="0"/>
    <s v="TRADICIONAL"/>
    <n v="355912"/>
    <x v="0"/>
    <s v="CUENTA CON CAMISA DEL UNIFORME Y LOGOS SEGÚN EL CARGO (NEGRA / GRIS / ROJA / TURQUESA) (Es permitido usar debajo de la camisa buso manga larga Negro)"/>
    <s v="SI"/>
    <m/>
    <n v="31343424"/>
    <s v="NestleP.1"/>
    <x v="0"/>
    <x v="3"/>
    <n v="1.5"/>
    <s v="SI"/>
    <n v="1.5"/>
    <n v="0"/>
    <m/>
  </r>
  <r>
    <s v="NESTLE PURINA"/>
    <x v="0"/>
    <x v="0"/>
    <s v="TRADICIONAL"/>
    <n v="355912"/>
    <x v="0"/>
    <s v="CUENTA CON CALZADO DE ACUERDO AL UNIFORME"/>
    <s v="SI"/>
    <m/>
    <n v="31343424"/>
    <s v="NestleP.1"/>
    <x v="0"/>
    <x v="3"/>
    <n v="1.5"/>
    <s v="SI"/>
    <n v="1.5"/>
    <n v="0"/>
    <m/>
  </r>
  <r>
    <s v="NESTLE PURINA"/>
    <x v="0"/>
    <x v="0"/>
    <s v="TRADICIONAL"/>
    <n v="355912"/>
    <x v="0"/>
    <s v="POSEE ALGUNA PRENDA ENCIMA DEL UNIFORME NO AUTORIZADA POR LA MARCA (Unicamente esta permitido chaleco de Sodimac y Easy)"/>
    <s v=" NO"/>
    <m/>
    <n v="31343424"/>
    <s v="NestleP.1"/>
    <x v="0"/>
    <x v="3"/>
    <n v="1.5"/>
    <s v=" NO"/>
    <n v="1.5"/>
    <n v="0"/>
    <m/>
  </r>
  <r>
    <s v="NESTLE PURINA"/>
    <x v="0"/>
    <x v="0"/>
    <s v="TRADICIONAL"/>
    <n v="355912"/>
    <x v="0"/>
    <s v="EL UNIFORME Y ZAPATOS SE ENCUENTRAN LIMPIOS Y EN BUEN ESTADO"/>
    <s v="SI"/>
    <m/>
    <n v="31343424"/>
    <s v="NestleP.1"/>
    <x v="0"/>
    <x v="3"/>
    <n v="1.5"/>
    <s v="SI"/>
    <n v="1.5"/>
    <n v="0"/>
    <m/>
  </r>
  <r>
    <s v="NESTLE PURINA"/>
    <x v="0"/>
    <x v="0"/>
    <s v="TRADICIONAL"/>
    <n v="355912"/>
    <x v="0"/>
    <s v="SU CABELLO LUCE LIMPIO, ORGANIZADO O RECOGIDO"/>
    <s v="SI"/>
    <m/>
    <n v="31343424"/>
    <s v="NestleP.1"/>
    <x v="0"/>
    <x v="3"/>
    <n v="1.5"/>
    <s v="SI"/>
    <n v="1.5"/>
    <n v="0"/>
    <m/>
  </r>
  <r>
    <s v="NESTLE PURINA"/>
    <x v="0"/>
    <x v="0"/>
    <s v="TRADICIONAL"/>
    <n v="355912"/>
    <x v="0"/>
    <s v="PRESENTA EXCESO DE MAQUILLAJE QUE NO CUMPLE CON EL CODIGO DE VESTIMENTA"/>
    <s v=" NO"/>
    <m/>
    <n v="31343424"/>
    <s v="NestleP.1"/>
    <x v="0"/>
    <x v="3"/>
    <n v="1.5"/>
    <s v=" NO"/>
    <n v="1.5"/>
    <n v="0"/>
    <m/>
  </r>
  <r>
    <s v="NESTLE PURINA"/>
    <x v="0"/>
    <x v="0"/>
    <s v="TRADICIONAL"/>
    <n v="355912"/>
    <x v="0"/>
    <s v="TIENE TATUAJES O PIERCINGS VISIBLES QUE NO CUMPLE CON EL CODIGO DE VESTIMENTA"/>
    <s v=" NO"/>
    <m/>
    <n v="31343424"/>
    <s v="NestleP.1"/>
    <x v="0"/>
    <x v="3"/>
    <n v="1.5"/>
    <s v=" NO"/>
    <n v="1.5"/>
    <n v="0"/>
    <m/>
  </r>
  <r>
    <s v="NESTLE PURINA"/>
    <x v="0"/>
    <x v="0"/>
    <s v="TRADICIONAL"/>
    <n v="355912"/>
    <x v="0"/>
    <s v="TIENE UÑAS LLAMATIVAS Y/O LARGAS QUE NO CUMPLE CON EL CODIGO DE VESTIMENTA"/>
    <s v=" NO"/>
    <m/>
    <n v="31343424"/>
    <s v="NestleP.1"/>
    <x v="0"/>
    <x v="3"/>
    <n v="1.5"/>
    <s v=" NO"/>
    <n v="1.5"/>
    <n v="0"/>
    <m/>
  </r>
  <r>
    <s v="NESTLE PURINA"/>
    <x v="0"/>
    <x v="0"/>
    <s v="TRADICIONAL"/>
    <n v="355912"/>
    <x v="0"/>
    <s v="USA ACCESORIOS QUE NO CUMPLE CON EL CODIGO DE VESTIMENTA"/>
    <s v=" NO"/>
    <m/>
    <n v="31343424"/>
    <s v="NestleP.1"/>
    <x v="0"/>
    <x v="3"/>
    <n v="1.5"/>
    <s v=" NO"/>
    <n v="1.5"/>
    <n v="0"/>
    <m/>
  </r>
  <r>
    <s v="NESTLE PURINA"/>
    <x v="0"/>
    <x v="0"/>
    <s v="TRADICIONAL"/>
    <n v="355912"/>
    <x v="0"/>
    <s v="SE PRODUCE ABORDAJE PROACTIVO (antes de 1 min)"/>
    <s v="SI"/>
    <m/>
    <n v="31343424"/>
    <s v="NestleP.1"/>
    <x v="0"/>
    <x v="4"/>
    <n v="20"/>
    <s v="SI"/>
    <n v="20"/>
    <n v="0"/>
    <m/>
  </r>
  <r>
    <s v="NESTLE PURINA"/>
    <x v="0"/>
    <x v="0"/>
    <s v="TRADICIONAL"/>
    <n v="355912"/>
    <x v="0"/>
    <s v="INDAGA SOBRE LAS NECESIDADES DEL CLIENTE CON RESPECTO A SU CONSUMO HABITUAL &quot; MARCAS COMPETENCIA O PROPIAS&quot; - OBJECIÓN DE PRECIOS."/>
    <s v="SI"/>
    <m/>
    <n v="31343424"/>
    <s v="NestleP.1"/>
    <x v="0"/>
    <x v="5"/>
    <n v="3"/>
    <s v="SI"/>
    <n v="3"/>
    <n v="0"/>
    <m/>
  </r>
  <r>
    <s v="NESTLE PURINA"/>
    <x v="0"/>
    <x v="0"/>
    <s v="TRADICIONAL"/>
    <n v="355912"/>
    <x v="0"/>
    <s v="OFRECE PURINA ONE: (APLICA SOLO EN CANAL MODERNO, CADENAS, SI EL PRODUCTO ESTA EN EL PDV)"/>
    <s v="SI"/>
    <m/>
    <n v="31343424"/>
    <s v="NestleP.1"/>
    <x v="0"/>
    <x v="5"/>
    <n v="0"/>
    <s v="SI"/>
    <n v="0"/>
    <n v="0"/>
    <m/>
  </r>
  <r>
    <s v="NESTLE PURINA"/>
    <x v="0"/>
    <x v="0"/>
    <s v="TRADICIONAL"/>
    <n v="355912"/>
    <x v="0"/>
    <s v="SELECCIONE EL CANAL DEL PDV QUE EVALUA"/>
    <s v=" TRADICIONAL"/>
    <m/>
    <n v="31343424"/>
    <s v="NestleP.1"/>
    <x v="0"/>
    <x v="0"/>
    <n v="0"/>
    <n v="0"/>
    <n v="0"/>
    <n v="0"/>
    <m/>
  </r>
  <r>
    <s v="NESTLE PURINA"/>
    <x v="0"/>
    <x v="0"/>
    <s v="TRADICIONAL"/>
    <n v="355912"/>
    <x v="0"/>
    <s v="CT - OFRECIO ALGUN PRODUCTO DEL PORTAFOLIO PURINA DE PRODUCTOS SECOS COMUNICANDO LOS BENEFICIOS DEL PRODUCTO (DOG CHOW, CAT CHOW, ALPO, GATSY, FELIX O NINGUNO)"/>
    <s v="SI"/>
    <m/>
    <n v="31343424"/>
    <s v="NestleP.1"/>
    <x v="0"/>
    <x v="5"/>
    <n v="3"/>
    <s v="SI"/>
    <n v="3"/>
    <n v="0"/>
    <m/>
  </r>
  <r>
    <s v="NESTLE PURINA"/>
    <x v="0"/>
    <x v="0"/>
    <s v="TRADICIONAL"/>
    <n v="355912"/>
    <x v="0"/>
    <s v="CT - EL ACTIVADOR MENCIONA LOS NUEVO SABORES Y REFERENCIAS DEL PORTAFOLIO DE DOG CHOW Y MENCIONA  SU NUEVO PRECIO"/>
    <s v="SI"/>
    <m/>
    <n v="31343424"/>
    <s v="NestleP.1"/>
    <x v="0"/>
    <x v="5"/>
    <n v="3"/>
    <s v="SI"/>
    <n v="3"/>
    <n v="0"/>
    <m/>
  </r>
  <r>
    <s v="NESTLE PURINA"/>
    <x v="0"/>
    <x v="0"/>
    <s v="TRADICIONAL"/>
    <n v="355912"/>
    <x v="0"/>
    <s v="CT - OFRECIO ALGUN PRODUCTO PORTAFOLIO PURINA DE PRODUCTOS HUMEDOS COMUNICANDO LOS BENEFICIOS DEL PRODUCTO (Dog chow húmedo, Cat chow húmedo, Fancy Feast, Felix, Proplan Húmedo, One Húmedo, Snacks (Abrazzos, Dentalife), Arenilla (Tidy Cat)"/>
    <s v="SI"/>
    <m/>
    <n v="31343424"/>
    <s v="NestleP.1"/>
    <x v="0"/>
    <x v="5"/>
    <n v="3"/>
    <s v="SI"/>
    <n v="3"/>
    <n v="0"/>
    <m/>
  </r>
  <r>
    <s v="NESTLE PURINA"/>
    <x v="0"/>
    <x v="0"/>
    <s v="TRADICIONAL"/>
    <n v="355912"/>
    <x v="0"/>
    <s v="CT - MENCIONA ALGUNA DE LAS INNOVACIONES QUE TENEMOS EN EL CANAL (CAT 200GR FELIX TRIPLE DELI Y MEGA MIX DE WET Y DOG CHOW ALTA PROTEINA DE 350GR 475GR )"/>
    <s v="SI"/>
    <m/>
    <n v="31343424"/>
    <s v="NestleP.1"/>
    <x v="0"/>
    <x v="5"/>
    <n v="3"/>
    <s v="SI"/>
    <n v="3"/>
    <n v="0"/>
    <m/>
  </r>
  <r>
    <s v="NESTLE PURINA"/>
    <x v="0"/>
    <x v="0"/>
    <s v="TRADICIONAL"/>
    <n v="355912"/>
    <x v="0"/>
    <s v="INDIQUE QUE TIPO DE OBJECION / DUDA MANIFESTÓ"/>
    <s v=" NO TIENE DINERO"/>
    <m/>
    <n v="31343424"/>
    <s v="NestleP.1"/>
    <x v="0"/>
    <x v="0"/>
    <n v="0"/>
    <n v="0"/>
    <n v="0"/>
    <n v="0"/>
    <m/>
  </r>
  <r>
    <s v="NESTLE PURINA"/>
    <x v="0"/>
    <x v="0"/>
    <s v="TRADICIONAL"/>
    <n v="355912"/>
    <x v="0"/>
    <s v="RESUELVE LA OBJECION SATISFACTORIAMENTE?"/>
    <s v="SI"/>
    <m/>
    <n v="31343424"/>
    <s v="NestleP.1"/>
    <x v="0"/>
    <x v="1"/>
    <n v="3.75"/>
    <s v="SI"/>
    <n v="3.75"/>
    <n v="0"/>
    <m/>
  </r>
  <r>
    <s v="NESTLE PURINA"/>
    <x v="0"/>
    <x v="0"/>
    <s v="TRADICIONAL"/>
    <n v="355912"/>
    <x v="0"/>
    <s v="REALIZA CIERRE DE VENTA"/>
    <s v="SI"/>
    <m/>
    <n v="31343424"/>
    <s v="NestleP.1"/>
    <x v="0"/>
    <x v="1"/>
    <n v="3.75"/>
    <s v="SI"/>
    <n v="3.75"/>
    <n v="0"/>
    <m/>
  </r>
  <r>
    <s v="NESTLE PURINA"/>
    <x v="1"/>
    <x v="1"/>
    <s v="ESPECIALIZADO"/>
    <n v="421657"/>
    <x v="1"/>
    <s v="RESUELVE LA OBJECION SATISFACTORIAMENTE?"/>
    <s v="SI"/>
    <m/>
    <n v="31467203"/>
    <s v="NestleP.5"/>
    <x v="0"/>
    <x v="1"/>
    <n v="3.75"/>
    <s v="SI"/>
    <n v="3.75"/>
    <n v="0"/>
    <m/>
  </r>
  <r>
    <s v="NESTLE PURINA"/>
    <x v="1"/>
    <x v="1"/>
    <s v="ESPECIALIZADO"/>
    <n v="421657"/>
    <x v="1"/>
    <s v="SE ENCUENTRA LIMPIA EL AREA DE DEMOSTRACION &quot;REVISION DE PRODUCTO SIN POLVO Y EN OPTIMAS CONDICIONES&quot;"/>
    <s v="SI"/>
    <m/>
    <n v="31467203"/>
    <s v="NestleP.5"/>
    <x v="0"/>
    <x v="1"/>
    <n v="3.75"/>
    <s v="SI"/>
    <n v="3.75"/>
    <n v="0"/>
    <m/>
  </r>
  <r>
    <s v="NESTLE PURINA"/>
    <x v="1"/>
    <x v="1"/>
    <s v="ESPECIALIZADO"/>
    <n v="421657"/>
    <x v="1"/>
    <s v="REALIZA CIERRE DE VENTA"/>
    <s v="SI"/>
    <m/>
    <n v="31467203"/>
    <s v="NestleP.5"/>
    <x v="0"/>
    <x v="1"/>
    <n v="3.75"/>
    <s v="SI"/>
    <n v="3.75"/>
    <n v="0"/>
    <m/>
  </r>
  <r>
    <s v="NESTLE PURINA"/>
    <x v="1"/>
    <x v="1"/>
    <s v="ESPECIALIZADO"/>
    <n v="421657"/>
    <x v="1"/>
    <s v="CONSIDERO QUE INDEPENDIENTEMENTE DEL SPEECH, LA LABOR DE VENTA ES BUENA"/>
    <s v="SI"/>
    <m/>
    <n v="31467203"/>
    <s v="NestleP.5"/>
    <x v="0"/>
    <x v="1"/>
    <n v="3.75"/>
    <s v="SI"/>
    <n v="3.75"/>
    <n v="0"/>
    <m/>
  </r>
  <r>
    <s v="NESTLE PURINA"/>
    <x v="1"/>
    <x v="1"/>
    <s v="ESPECIALIZADO"/>
    <n v="421657"/>
    <x v="1"/>
    <s v="DESEA AÑADIR ALGUNA OBSERVACION Y/O NOVEDAD DEL MYSTERY REALIZADO?"/>
    <s v=" NO"/>
    <m/>
    <n v="31467203"/>
    <s v="NestleP.5"/>
    <x v="0"/>
    <x v="0"/>
    <n v="0"/>
    <n v="0"/>
    <n v="0"/>
    <n v="0"/>
    <m/>
  </r>
  <r>
    <s v="NESTLE PURINA"/>
    <x v="1"/>
    <x v="1"/>
    <s v="ESPECIALIZADO"/>
    <n v="421657"/>
    <x v="1"/>
    <s v="INDIQUE OBSERVACION Y/O NOVEDAD DEL MYSTERY REALIZADO"/>
    <s v="Ninguna"/>
    <m/>
    <n v="31467203"/>
    <s v="NestleP.5"/>
    <x v="0"/>
    <x v="0"/>
    <n v="0"/>
    <n v="0"/>
    <n v="0"/>
    <n v="0"/>
    <m/>
  </r>
  <r>
    <s v="NESTLE PURINA"/>
    <x v="1"/>
    <x v="1"/>
    <s v="ESPECIALIZADO"/>
    <n v="421657"/>
    <x v="1"/>
    <s v="INDIQUE QUE TIPO DE OBJECION / DUDA MANIFESTÓ"/>
    <s v=" NO TIENE DINERO"/>
    <m/>
    <n v="31467203"/>
    <s v="NestleP.5"/>
    <x v="0"/>
    <x v="0"/>
    <n v="0"/>
    <n v="0"/>
    <n v="0"/>
    <n v="0"/>
    <m/>
  </r>
  <r>
    <s v="NESTLE PURINA"/>
    <x v="1"/>
    <x v="1"/>
    <s v="ESPECIALIZADO"/>
    <n v="421657"/>
    <x v="1"/>
    <s v="CE - OFRECE PRODUCTO HUMEDO Y OFRECE LAS DIFERENTES VARIEDADES? (GATOS Y PERROS)"/>
    <s v="SI"/>
    <m/>
    <n v="31467203"/>
    <s v="NestleP.5"/>
    <x v="0"/>
    <x v="5"/>
    <n v="2.3076923076923075"/>
    <s v="SI"/>
    <n v="2.3076923076923075"/>
    <n v="0"/>
    <m/>
  </r>
  <r>
    <s v="NESTLE PURINA"/>
    <x v="1"/>
    <x v="1"/>
    <s v="ESPECIALIZADO"/>
    <n v="421657"/>
    <x v="1"/>
    <s v="CE - EL ASESOR COMUNICA LOS BENEFICIOS Y CARACTERISTICAS DEL PRODUCTO EXCELLENT? (ENFOQUE EN GATOS)"/>
    <s v="SI"/>
    <m/>
    <n v="31467203"/>
    <s v="NestleP.5"/>
    <x v="0"/>
    <x v="5"/>
    <n v="2.3076923076923075"/>
    <s v="SI"/>
    <n v="2.3076923076923075"/>
    <n v="0"/>
    <m/>
  </r>
  <r>
    <s v="NESTLE PURINA"/>
    <x v="1"/>
    <x v="1"/>
    <s v="ESPECIALIZADO"/>
    <n v="421657"/>
    <x v="1"/>
    <s v="POSEE ALGUNA PRENDA ENCIMA DEL UNIFORME NO AUTORIZADA POR LA MARCA (Unicamente esta permitido chaleco de Sodimac y Easy)"/>
    <s v=" NO"/>
    <m/>
    <n v="31467203"/>
    <s v="NestleP.5"/>
    <x v="0"/>
    <x v="3"/>
    <n v="1.5"/>
    <s v=" NO"/>
    <n v="1.5"/>
    <n v="0"/>
    <m/>
  </r>
  <r>
    <s v="NESTLE PURINA"/>
    <x v="1"/>
    <x v="1"/>
    <s v="ESPECIALIZADO"/>
    <n v="421657"/>
    <x v="1"/>
    <s v="EL UNIFORME Y ZAPATOS SE ENCUENTRAN LIMPIOS Y EN BUEN ESTADO"/>
    <s v="SI"/>
    <m/>
    <n v="31467203"/>
    <s v="NestleP.5"/>
    <x v="0"/>
    <x v="3"/>
    <n v="1.5"/>
    <s v="SI"/>
    <n v="1.5"/>
    <n v="0"/>
    <m/>
  </r>
  <r>
    <s v="NESTLE PURINA"/>
    <x v="1"/>
    <x v="1"/>
    <s v="ESPECIALIZADO"/>
    <n v="421657"/>
    <x v="1"/>
    <s v="SU CABELLO LUCE LIMPIO, ORGANIZADO O RECOGIDO"/>
    <s v="SI"/>
    <m/>
    <n v="31467203"/>
    <s v="NestleP.5"/>
    <x v="0"/>
    <x v="3"/>
    <n v="1.5"/>
    <s v="SI"/>
    <n v="1.5"/>
    <n v="0"/>
    <m/>
  </r>
  <r>
    <s v="NESTLE PURINA"/>
    <x v="1"/>
    <x v="1"/>
    <s v="ESPECIALIZADO"/>
    <n v="421657"/>
    <x v="1"/>
    <s v="PRESENTA EXCESO DE MAQUILLAJE QUE NO CUMPLE CON EL CODIGO DE VESTIMENTA"/>
    <s v=" NO"/>
    <m/>
    <n v="31467203"/>
    <s v="NestleP.5"/>
    <x v="0"/>
    <x v="3"/>
    <n v="1.5"/>
    <s v=" NO"/>
    <n v="1.5"/>
    <n v="0"/>
    <m/>
  </r>
  <r>
    <s v="NESTLE PURINA"/>
    <x v="1"/>
    <x v="1"/>
    <s v="ESPECIALIZADO"/>
    <n v="421657"/>
    <x v="1"/>
    <s v="TIENE TATUAJES O PIERCINGS VISIBLES QUE NO CUMPLE CON EL CODIGO DE VESTIMENTA"/>
    <s v=" NO"/>
    <m/>
    <n v="31467203"/>
    <s v="NestleP.5"/>
    <x v="0"/>
    <x v="3"/>
    <n v="1.5"/>
    <s v=" NO"/>
    <n v="1.5"/>
    <n v="0"/>
    <m/>
  </r>
  <r>
    <s v="NESTLE PURINA"/>
    <x v="1"/>
    <x v="1"/>
    <s v="ESPECIALIZADO"/>
    <n v="421657"/>
    <x v="1"/>
    <s v="TIENE UÑAS LLAMATIVAS Y/O LARGAS QUE NO CUMPLE CON EL CODIGO DE VESTIMENTA"/>
    <s v=" NO"/>
    <m/>
    <n v="31467203"/>
    <s v="NestleP.5"/>
    <x v="0"/>
    <x v="3"/>
    <n v="1.5"/>
    <s v=" NO"/>
    <n v="1.5"/>
    <n v="0"/>
    <m/>
  </r>
  <r>
    <s v="NESTLE PURINA"/>
    <x v="1"/>
    <x v="1"/>
    <s v="ESPECIALIZADO"/>
    <n v="421657"/>
    <x v="1"/>
    <s v="USA ACCESORIOS QUE NO CUMPLE CON EL CODIGO DE VESTIMENTA"/>
    <s v=" NO"/>
    <m/>
    <n v="31467203"/>
    <s v="NestleP.5"/>
    <x v="0"/>
    <x v="3"/>
    <n v="1.5"/>
    <s v=" NO"/>
    <n v="1.5"/>
    <n v="0"/>
    <m/>
  </r>
  <r>
    <s v="NESTLE PURINA"/>
    <x v="1"/>
    <x v="1"/>
    <s v="ESPECIALIZADO"/>
    <n v="421657"/>
    <x v="1"/>
    <s v="SE PRODUCE ABORDAJE PROACTIVO (antes de 1 min)"/>
    <s v="SI"/>
    <m/>
    <n v="31467203"/>
    <s v="NestleP.5"/>
    <x v="0"/>
    <x v="4"/>
    <n v="20"/>
    <s v="SI"/>
    <n v="20"/>
    <n v="0"/>
    <m/>
  </r>
  <r>
    <s v="NESTLE PURINA"/>
    <x v="1"/>
    <x v="1"/>
    <s v="ESPECIALIZADO"/>
    <n v="421657"/>
    <x v="1"/>
    <s v="INDAGA SOBRE LAS NECESIDADES DEL CLIENTE CON RESPECTO A SU CONSUMO HABITUAL &quot; MARCAS COMPETENCIA O PROPIAS&quot; - OBJECIÓN DE PRECIOS."/>
    <s v="SI"/>
    <m/>
    <n v="31467203"/>
    <s v="NestleP.5"/>
    <x v="0"/>
    <x v="5"/>
    <n v="2.3076923076923075"/>
    <s v="SI"/>
    <n v="2.3076923076923075"/>
    <n v="0"/>
    <m/>
  </r>
  <r>
    <s v="NESTLE PURINA"/>
    <x v="1"/>
    <x v="1"/>
    <s v="ESPECIALIZADO"/>
    <n v="421657"/>
    <x v="1"/>
    <s v="OFRECE PURINA ONE: (APLICA SOLO EN CANAL MODERNO, CADENAS, SI EL PRODUCTO ESTA EN EL PDV)"/>
    <s v="SI"/>
    <m/>
    <n v="31467203"/>
    <s v="NestleP.5"/>
    <x v="0"/>
    <x v="5"/>
    <n v="0"/>
    <s v="SI"/>
    <n v="0"/>
    <n v="0"/>
    <m/>
  </r>
  <r>
    <s v="NESTLE PURINA"/>
    <x v="1"/>
    <x v="1"/>
    <s v="ESPECIALIZADO"/>
    <n v="421657"/>
    <x v="1"/>
    <s v="MENCIONA QUE LOS RESULTADOS SON VISIBLES EN 28 DIAS?"/>
    <s v="SI"/>
    <m/>
    <n v="31467203"/>
    <s v="NestleP.5"/>
    <x v="0"/>
    <x v="5"/>
    <n v="2.3076923076923075"/>
    <s v="SI"/>
    <n v="2.3076923076923075"/>
    <n v="0"/>
    <m/>
  </r>
  <r>
    <s v="NESTLE PURINA"/>
    <x v="1"/>
    <x v="1"/>
    <s v="ESPECIALIZADO"/>
    <n v="421657"/>
    <x v="1"/>
    <s v="MENCIONA QUE TIENE CARNE DE VERDAD COMO INGREDIENTE NO.1 E INGREDIENTES NATURALES Y FUNCIONALES?"/>
    <s v="SI"/>
    <m/>
    <n v="31467203"/>
    <s v="NestleP.5"/>
    <x v="0"/>
    <x v="5"/>
    <n v="2.3076923076923075"/>
    <s v="SI"/>
    <n v="2.3076923076923075"/>
    <n v="0"/>
    <m/>
  </r>
  <r>
    <s v="NESTLE PURINA"/>
    <x v="1"/>
    <x v="1"/>
    <s v="ESPECIALIZADO"/>
    <n v="421657"/>
    <x v="1"/>
    <s v="MENCIONA QUE PURINA ONE CUENTA CON ALIMENTO HUMEDO Y MENCIONA LAS 3 VARIADADES QUE TIENE ( SUPER FOODS, SUPER NUTRIENTES Y MULTI PROTEINAS); APLICA TANTO PARA PERRO COMO PARA GATO?"/>
    <s v="SI"/>
    <m/>
    <n v="31467203"/>
    <s v="NestleP.5"/>
    <x v="0"/>
    <x v="5"/>
    <n v="2.3076923076923075"/>
    <s v="SI"/>
    <n v="2.3076923076923075"/>
    <n v="0"/>
    <m/>
  </r>
  <r>
    <s v="NESTLE PURINA"/>
    <x v="1"/>
    <x v="1"/>
    <s v="ESPECIALIZADO"/>
    <n v="421657"/>
    <x v="1"/>
    <s v="ABORDA AL SHOPPER CON EL VERBATIM Y MANEJA LAS OBJECIONES SEGÚN COMUNICADO ENVIADO."/>
    <s v="SI"/>
    <m/>
    <n v="31467203"/>
    <s v="NestleP.5"/>
    <x v="0"/>
    <x v="5"/>
    <n v="2.3076923076923075"/>
    <s v="SI"/>
    <n v="2.3076923076923075"/>
    <n v="0"/>
    <m/>
  </r>
  <r>
    <s v="NESTLE PURINA"/>
    <x v="1"/>
    <x v="1"/>
    <s v="ESPECIALIZADO"/>
    <n v="421657"/>
    <x v="1"/>
    <s v="(OFRECE EL OBSEQUIO APLICA VIERNES, SABADO Y DOMINGO) Y EXPLICA COMO HACER LA TRANSICIÓN  DEL PRODUCTO Y BENEFICIOS?"/>
    <s v="SI"/>
    <m/>
    <n v="31467203"/>
    <s v="NestleP.5"/>
    <x v="0"/>
    <x v="5"/>
    <n v="2.3076923076923075"/>
    <s v="SI"/>
    <n v="2.3076923076923075"/>
    <n v="0"/>
    <m/>
  </r>
  <r>
    <s v="NESTLE PURINA"/>
    <x v="1"/>
    <x v="1"/>
    <s v="ESPECIALIZADO"/>
    <n v="421657"/>
    <x v="1"/>
    <s v="SELECCIONE EL CANAL DEL PDV QUE EVALUA"/>
    <s v=" ESPECIALIZADO"/>
    <m/>
    <n v="31467203"/>
    <s v="NestleP.5"/>
    <x v="0"/>
    <x v="0"/>
    <n v="0"/>
    <n v="0"/>
    <n v="0"/>
    <n v="0"/>
    <m/>
  </r>
  <r>
    <s v="NESTLE PURINA"/>
    <x v="1"/>
    <x v="1"/>
    <s v="ESPECIALIZADO"/>
    <n v="421657"/>
    <x v="1"/>
    <s v="CE - LO PRIMERO QUE OFRECE EL ASESOR ES LA MARCA PRO PLAN? (ENFOQUE EN GATOS)"/>
    <s v="SI"/>
    <m/>
    <n v="31467203"/>
    <s v="NestleP.5"/>
    <x v="0"/>
    <x v="5"/>
    <n v="2.3076923076923075"/>
    <s v="SI"/>
    <n v="2.3076923076923075"/>
    <n v="0"/>
    <m/>
  </r>
  <r>
    <s v="NESTLE PURINA"/>
    <x v="1"/>
    <x v="1"/>
    <s v="ESPECIALIZADO"/>
    <n v="421657"/>
    <x v="1"/>
    <s v="CE - EL ASESOR COMUNICA LOS BENEFICIOS Y CARACTERISTICAS DE LA MARCA PRO PLAN? (ENFOQUE EN GATOS)"/>
    <s v="SI"/>
    <m/>
    <n v="31467203"/>
    <s v="NestleP.5"/>
    <x v="0"/>
    <x v="5"/>
    <n v="2.3076923076923075"/>
    <s v="SI"/>
    <n v="2.3076923076923075"/>
    <n v="0"/>
    <m/>
  </r>
  <r>
    <s v="NESTLE PURINA"/>
    <x v="1"/>
    <x v="1"/>
    <s v="ESPECIALIZADO"/>
    <n v="421657"/>
    <x v="1"/>
    <s v="CE - LUEGO DE REALIZAR LA OBJECIÓN DE PRECIO, OFRECE LA MARCA EXCELLENT? (ENFOQUE EN GATOS)"/>
    <s v="SI"/>
    <m/>
    <n v="31467203"/>
    <s v="NestleP.5"/>
    <x v="0"/>
    <x v="5"/>
    <n v="2.3076923076923075"/>
    <s v="SI"/>
    <n v="2.3076923076923075"/>
    <n v="0"/>
    <m/>
  </r>
  <r>
    <s v="NESTLE PURINA"/>
    <x v="1"/>
    <x v="1"/>
    <s v="ESPECIALIZADO"/>
    <n v="421657"/>
    <x v="1"/>
    <s v="CE - EL ASESOR COMUNICA QUE LA MARCA EXCELLENT ESTA DENTRO DE LA CATEGORIA SUPERPREMIUM PERO A UN COSTO MAS ACCESIBLE."/>
    <s v="SI"/>
    <m/>
    <n v="31467203"/>
    <s v="NestleP.5"/>
    <x v="0"/>
    <x v="5"/>
    <n v="2.3076923076923075"/>
    <s v="SI"/>
    <n v="2.3076923076923075"/>
    <n v="0"/>
    <m/>
  </r>
  <r>
    <s v="NESTLE PURINA"/>
    <x v="1"/>
    <x v="1"/>
    <s v="ESPECIALIZADO"/>
    <n v="421657"/>
    <x v="1"/>
    <s v="CE - OFRECE LOS  SUPLEMENTOS Y LA CAMPAÑA &quot;SOBRE AL DÍA&quot; (INDAGAR AL ASESOR O ACTIVADOR ACERCA DE LOS SUPLEMENTOS)"/>
    <s v="NO"/>
    <m/>
    <n v="31467203"/>
    <s v="NestleP.5"/>
    <x v="0"/>
    <x v="5"/>
    <n v="2.3076923076923075"/>
    <s v="SI"/>
    <n v="0"/>
    <n v="0"/>
    <m/>
  </r>
  <r>
    <s v="NESTLE PURINA"/>
    <x v="1"/>
    <x v="1"/>
    <s v="ESPECIALIZADO"/>
    <n v="421657"/>
    <x v="1"/>
    <s v="CUENTA CON CALZADO DE ACUERDO AL UNIFORME"/>
    <s v="SI"/>
    <m/>
    <n v="31467203"/>
    <s v="NestleP.5"/>
    <x v="0"/>
    <x v="3"/>
    <n v="1.5"/>
    <s v="SI"/>
    <n v="1.5"/>
    <n v="0"/>
    <m/>
  </r>
  <r>
    <s v="NESTLE PURINA"/>
    <x v="1"/>
    <x v="1"/>
    <s v="ESPECIALIZADO"/>
    <n v="421657"/>
    <x v="1"/>
    <s v="CUENTA CON CAMISA DEL UNIFORME Y LOGOS SEGÚN EL CARGO (NEGRA / GRIS / ROJA / TURQUESA) (Es permitido usar debajo de la camisa buso manga larga Negro)"/>
    <s v="SI"/>
    <m/>
    <n v="31467203"/>
    <s v="NestleP.5"/>
    <x v="0"/>
    <x v="3"/>
    <n v="1.5"/>
    <s v="SI"/>
    <n v="1.5"/>
    <n v="0"/>
    <m/>
  </r>
  <r>
    <s v="NESTLE PURINA"/>
    <x v="1"/>
    <x v="1"/>
    <s v="ESPECIALIZADO"/>
    <n v="421657"/>
    <x v="1"/>
    <s v="¿CUMPLE HORARIO DE ENTRADA O SALIDA DE LA TIENDA?"/>
    <s v="SI"/>
    <m/>
    <n v="31467203"/>
    <s v="NestleP.5"/>
    <x v="0"/>
    <x v="2"/>
    <n v="20"/>
    <s v="SI"/>
    <n v="20"/>
    <n v="0"/>
    <m/>
  </r>
  <r>
    <s v="NESTLE PURINA"/>
    <x v="1"/>
    <x v="1"/>
    <s v="ESPECIALIZADO"/>
    <n v="421657"/>
    <x v="1"/>
    <s v="CUENTA CON PANTALON DEL UNIFORME SEGÚN EL CARGO (NEGRO / ROJO / TURQUESA / JEAN)"/>
    <s v="SI"/>
    <m/>
    <n v="31467203"/>
    <s v="NestleP.5"/>
    <x v="0"/>
    <x v="3"/>
    <n v="1.5"/>
    <s v="SI"/>
    <n v="1.5"/>
    <n v="0"/>
    <m/>
  </r>
  <r>
    <s v="NESTLE PURINA"/>
    <x v="1"/>
    <x v="1"/>
    <s v="ESPECIALIZADO"/>
    <n v="421657"/>
    <x v="1"/>
    <s v="SE LOGRA REALIZAR EL MYSTERY?"/>
    <s v="SI"/>
    <m/>
    <n v="31467203"/>
    <s v="NestleP.5"/>
    <x v="0"/>
    <x v="0"/>
    <n v="0"/>
    <n v="0"/>
    <n v="0"/>
    <n v="0"/>
    <m/>
  </r>
  <r>
    <s v="NESTLE PURINA"/>
    <x v="2"/>
    <x v="1"/>
    <s v="ESPECIALIZADO"/>
    <n v="426071"/>
    <x v="2"/>
    <s v="INDAGA SOBRE LAS NECESIDADES DEL CLIENTE CON RESPECTO A SU CONSUMO HABITUAL &quot; MARCAS COMPETENCIA O PROPIAS&quot; - OBJECIÓN DE PRECIOS."/>
    <s v="SI"/>
    <m/>
    <n v="31465920"/>
    <s v="NestleP.5"/>
    <x v="0"/>
    <x v="5"/>
    <n v="2.3076923076923075"/>
    <s v="SI"/>
    <n v="2.3076923076923075"/>
    <n v="0"/>
    <m/>
  </r>
  <r>
    <s v="NESTLE PURINA"/>
    <x v="2"/>
    <x v="1"/>
    <s v="ESPECIALIZADO"/>
    <n v="426071"/>
    <x v="2"/>
    <s v="OFRECE PURINA ONE: (APLICA SOLO EN CANAL MODERNO, CADENAS, SI EL PRODUCTO ESTA EN EL PDV)"/>
    <s v="SI"/>
    <m/>
    <n v="31465920"/>
    <s v="NestleP.5"/>
    <x v="0"/>
    <x v="5"/>
    <n v="0"/>
    <s v="SI"/>
    <n v="0"/>
    <n v="0"/>
    <m/>
  </r>
  <r>
    <s v="NESTLE PURINA"/>
    <x v="2"/>
    <x v="1"/>
    <s v="ESPECIALIZADO"/>
    <n v="426071"/>
    <x v="2"/>
    <s v="MENCIONA QUE LOS RESULTADOS SON VISIBLES EN 28 DIAS?"/>
    <s v="SI"/>
    <m/>
    <n v="31465920"/>
    <s v="NestleP.5"/>
    <x v="0"/>
    <x v="5"/>
    <n v="2.3076923076923075"/>
    <s v="SI"/>
    <n v="2.3076923076923075"/>
    <n v="0"/>
    <m/>
  </r>
  <r>
    <s v="NESTLE PURINA"/>
    <x v="2"/>
    <x v="1"/>
    <s v="ESPECIALIZADO"/>
    <n v="426071"/>
    <x v="2"/>
    <s v="MENCIONA QUE TIENE CARNE DE VERDAD COMO INGREDIENTE NO.1 E INGREDIENTES NATURALES Y FUNCIONALES?"/>
    <s v="SI"/>
    <m/>
    <n v="31465920"/>
    <s v="NestleP.5"/>
    <x v="0"/>
    <x v="5"/>
    <n v="2.3076923076923075"/>
    <s v="SI"/>
    <n v="2.3076923076923075"/>
    <n v="0"/>
    <m/>
  </r>
  <r>
    <s v="NESTLE PURINA"/>
    <x v="2"/>
    <x v="1"/>
    <s v="ESPECIALIZADO"/>
    <n v="426071"/>
    <x v="2"/>
    <s v="MENCIONA QUE PURINA ONE CUENTA CON ALIMENTO HUMEDO Y MENCIONA LAS 3 VARIADADES QUE TIENE ( SUPER FOODS, SUPER NUTRIENTES Y MULTI PROTEINAS); APLICA TANTO PARA PERRO COMO PARA GATO?"/>
    <s v="SI"/>
    <m/>
    <n v="31465920"/>
    <s v="NestleP.5"/>
    <x v="0"/>
    <x v="5"/>
    <n v="2.3076923076923075"/>
    <s v="SI"/>
    <n v="2.3076923076923075"/>
    <n v="0"/>
    <m/>
  </r>
  <r>
    <s v="NESTLE PURINA"/>
    <x v="2"/>
    <x v="1"/>
    <s v="ESPECIALIZADO"/>
    <n v="426071"/>
    <x v="2"/>
    <s v="ABORDA AL SHOPPER CON EL VERBATIM Y MANEJA LAS OBJECIONES SEGÚN COMUNICADO ENVIADO."/>
    <s v="SI"/>
    <m/>
    <n v="31465920"/>
    <s v="NestleP.5"/>
    <x v="0"/>
    <x v="5"/>
    <n v="2.3076923076923075"/>
    <s v="SI"/>
    <n v="2.3076923076923075"/>
    <n v="0"/>
    <m/>
  </r>
  <r>
    <s v="NESTLE PURINA"/>
    <x v="2"/>
    <x v="1"/>
    <s v="ESPECIALIZADO"/>
    <n v="426071"/>
    <x v="2"/>
    <s v="(OFRECE EL OBSEQUIO APLICA VIERNES, SABADO Y DOMINGO) Y EXPLICA COMO HACER LA TRANSICIÓN  DEL PRODUCTO Y BENEFICIOS?"/>
    <s v="SI"/>
    <m/>
    <n v="31465920"/>
    <s v="NestleP.5"/>
    <x v="0"/>
    <x v="5"/>
    <n v="2.3076923076923075"/>
    <s v="SI"/>
    <n v="2.3076923076923075"/>
    <n v="0"/>
    <m/>
  </r>
  <r>
    <s v="NESTLE PURINA"/>
    <x v="2"/>
    <x v="1"/>
    <s v="ESPECIALIZADO"/>
    <n v="426071"/>
    <x v="2"/>
    <s v="SELECCIONE EL CANAL DEL PDV QUE EVALUA"/>
    <s v=" ESPECIALIZADO"/>
    <m/>
    <n v="31465920"/>
    <s v="NestleP.5"/>
    <x v="0"/>
    <x v="0"/>
    <n v="0"/>
    <n v="0"/>
    <n v="0"/>
    <n v="0"/>
    <m/>
  </r>
  <r>
    <s v="NESTLE PURINA"/>
    <x v="2"/>
    <x v="1"/>
    <s v="ESPECIALIZADO"/>
    <n v="426071"/>
    <x v="2"/>
    <s v="CE - LO PRIMERO QUE OFRECE EL ASESOR ES LA MARCA PRO PLAN? (ENFOQUE EN GATOS)"/>
    <s v="SI"/>
    <m/>
    <n v="31465920"/>
    <s v="NestleP.5"/>
    <x v="0"/>
    <x v="5"/>
    <n v="2.3076923076923075"/>
    <s v="SI"/>
    <n v="2.3076923076923075"/>
    <n v="0"/>
    <m/>
  </r>
  <r>
    <s v="NESTLE PURINA"/>
    <x v="2"/>
    <x v="1"/>
    <s v="ESPECIALIZADO"/>
    <n v="426071"/>
    <x v="2"/>
    <s v="CE - EL ASESOR COMUNICA LOS BENEFICIOS Y CARACTERISTICAS DE LA MARCA PRO PLAN? (ENFOQUE EN GATOS)"/>
    <s v="SI"/>
    <m/>
    <n v="31465920"/>
    <s v="NestleP.5"/>
    <x v="0"/>
    <x v="5"/>
    <n v="2.3076923076923075"/>
    <s v="SI"/>
    <n v="2.3076923076923075"/>
    <n v="0"/>
    <m/>
  </r>
  <r>
    <s v="NESTLE PURINA"/>
    <x v="2"/>
    <x v="1"/>
    <s v="ESPECIALIZADO"/>
    <n v="426071"/>
    <x v="2"/>
    <s v="CE - LUEGO DE REALIZAR LA OBJECIÓN DE PRECIO, OFRECE LA MARCA EXCELLENT? (ENFOQUE EN GATOS)"/>
    <s v="SI"/>
    <m/>
    <n v="31465920"/>
    <s v="NestleP.5"/>
    <x v="0"/>
    <x v="5"/>
    <n v="2.3076923076923075"/>
    <s v="SI"/>
    <n v="2.3076923076923075"/>
    <n v="0"/>
    <m/>
  </r>
  <r>
    <s v="NESTLE PURINA"/>
    <x v="2"/>
    <x v="1"/>
    <s v="ESPECIALIZADO"/>
    <n v="426071"/>
    <x v="2"/>
    <s v="CE - EL ASESOR COMUNICA QUE LA MARCA EXCELLENT ESTA DENTRO DE LA CATEGORIA SUPERPREMIUM PERO A UN COSTO MAS ACCESIBLE."/>
    <s v="SI"/>
    <m/>
    <n v="31465920"/>
    <s v="NestleP.5"/>
    <x v="0"/>
    <x v="5"/>
    <n v="2.3076923076923075"/>
    <s v="SI"/>
    <n v="2.3076923076923075"/>
    <n v="0"/>
    <m/>
  </r>
  <r>
    <s v="NESTLE PURINA"/>
    <x v="2"/>
    <x v="1"/>
    <s v="ESPECIALIZADO"/>
    <n v="426071"/>
    <x v="2"/>
    <s v="CE - EL ASESOR COMUNICA LOS BENEFICIOS Y CARACTERISTICAS DEL PRODUCTO EXCELLENT? (ENFOQUE EN GATOS)"/>
    <s v="SI"/>
    <m/>
    <n v="31465920"/>
    <s v="NestleP.5"/>
    <x v="0"/>
    <x v="5"/>
    <n v="2.3076923076923075"/>
    <s v="SI"/>
    <n v="2.3076923076923075"/>
    <n v="0"/>
    <m/>
  </r>
  <r>
    <s v="NESTLE PURINA"/>
    <x v="2"/>
    <x v="1"/>
    <s v="ESPECIALIZADO"/>
    <n v="426071"/>
    <x v="2"/>
    <s v="CE - OFRECE LOS  SUPLEMENTOS Y LA CAMPAÑA &quot;SOBRE AL DÍA&quot; (INDAGAR AL ASESOR O ACTIVADOR ACERCA DE LOS SUPLEMENTOS)"/>
    <s v="NO"/>
    <m/>
    <n v="31465920"/>
    <s v="NestleP.5"/>
    <x v="0"/>
    <x v="5"/>
    <n v="2.3076923076923075"/>
    <s v="SI"/>
    <n v="0"/>
    <n v="0"/>
    <m/>
  </r>
  <r>
    <s v="NESTLE PURINA"/>
    <x v="2"/>
    <x v="1"/>
    <s v="ESPECIALIZADO"/>
    <n v="426071"/>
    <x v="2"/>
    <s v="CE - OFRECE PRODUCTO HUMEDO Y OFRECE LAS DIFERENTES VARIEDADES? (GATOS Y PERROS)"/>
    <s v="SI"/>
    <m/>
    <n v="31465920"/>
    <s v="NestleP.5"/>
    <x v="0"/>
    <x v="5"/>
    <n v="2.3076923076923075"/>
    <s v="SI"/>
    <n v="2.3076923076923075"/>
    <n v="0"/>
    <m/>
  </r>
  <r>
    <s v="NESTLE PURINA"/>
    <x v="2"/>
    <x v="1"/>
    <s v="ESPECIALIZADO"/>
    <n v="426071"/>
    <x v="2"/>
    <s v="INDIQUE QUE TIPO DE OBJECION / DUDA MANIFESTÓ"/>
    <s v=" NO TIENE DINERO"/>
    <m/>
    <n v="31465920"/>
    <s v="NestleP.5"/>
    <x v="0"/>
    <x v="0"/>
    <n v="0"/>
    <n v="0"/>
    <n v="0"/>
    <n v="0"/>
    <m/>
  </r>
  <r>
    <s v="NESTLE PURINA"/>
    <x v="2"/>
    <x v="1"/>
    <s v="ESPECIALIZADO"/>
    <n v="426071"/>
    <x v="2"/>
    <s v="RESUELVE LA OBJECION SATISFACTORIAMENTE?"/>
    <s v="SI"/>
    <m/>
    <n v="31465920"/>
    <s v="NestleP.5"/>
    <x v="0"/>
    <x v="1"/>
    <n v="3.75"/>
    <s v="SI"/>
    <n v="3.75"/>
    <n v="0"/>
    <m/>
  </r>
  <r>
    <s v="NESTLE PURINA"/>
    <x v="2"/>
    <x v="1"/>
    <s v="ESPECIALIZADO"/>
    <n v="426071"/>
    <x v="2"/>
    <s v="SE ENCUENTRA LIMPIA EL AREA DE DEMOSTRACION &quot;REVISION DE PRODUCTO SIN POLVO Y EN OPTIMAS CONDICIONES&quot;"/>
    <s v="SI"/>
    <m/>
    <n v="31465920"/>
    <s v="NestleP.5"/>
    <x v="0"/>
    <x v="1"/>
    <n v="3.75"/>
    <s v="SI"/>
    <n v="3.75"/>
    <n v="0"/>
    <m/>
  </r>
  <r>
    <s v="NESTLE PURINA"/>
    <x v="2"/>
    <x v="1"/>
    <s v="ESPECIALIZADO"/>
    <n v="426071"/>
    <x v="2"/>
    <s v="REALIZA CIERRE DE VENTA"/>
    <s v="SI"/>
    <m/>
    <n v="31465920"/>
    <s v="NestleP.5"/>
    <x v="0"/>
    <x v="1"/>
    <n v="3.75"/>
    <s v="SI"/>
    <n v="3.75"/>
    <n v="0"/>
    <m/>
  </r>
  <r>
    <s v="NESTLE PURINA"/>
    <x v="2"/>
    <x v="1"/>
    <s v="ESPECIALIZADO"/>
    <n v="426071"/>
    <x v="2"/>
    <s v="CONSIDERO QUE INDEPENDIENTEMENTE DEL SPEECH, LA LABOR DE VENTA ES BUENA"/>
    <s v="SI"/>
    <m/>
    <n v="31465920"/>
    <s v="NestleP.5"/>
    <x v="0"/>
    <x v="1"/>
    <n v="3.75"/>
    <s v="SI"/>
    <n v="3.75"/>
    <n v="0"/>
    <m/>
  </r>
  <r>
    <s v="NESTLE PURINA"/>
    <x v="2"/>
    <x v="1"/>
    <s v="ESPECIALIZADO"/>
    <n v="426071"/>
    <x v="2"/>
    <s v="SE PRODUCE ABORDAJE PROACTIVO (antes de 1 min)"/>
    <s v="SI"/>
    <m/>
    <n v="31465920"/>
    <s v="NestleP.5"/>
    <x v="0"/>
    <x v="4"/>
    <n v="20"/>
    <s v="SI"/>
    <n v="20"/>
    <n v="0"/>
    <m/>
  </r>
  <r>
    <s v="NESTLE PURINA"/>
    <x v="2"/>
    <x v="1"/>
    <s v="ESPECIALIZADO"/>
    <n v="426071"/>
    <x v="2"/>
    <s v="USA ACCESORIOS QUE NO CUMPLE CON EL CODIGO DE VESTIMENTA"/>
    <s v=" NO"/>
    <m/>
    <n v="31465920"/>
    <s v="NestleP.5"/>
    <x v="0"/>
    <x v="3"/>
    <n v="1.5"/>
    <s v=" NO"/>
    <n v="1.5"/>
    <n v="0"/>
    <m/>
  </r>
  <r>
    <s v="NESTLE PURINA"/>
    <x v="2"/>
    <x v="1"/>
    <s v="ESPECIALIZADO"/>
    <n v="426071"/>
    <x v="2"/>
    <s v="TIENE TATUAJES O PIERCINGS VISIBLES QUE NO CUMPLE CON EL CODIGO DE VESTIMENTA"/>
    <s v=" NO"/>
    <m/>
    <n v="31465920"/>
    <s v="NestleP.5"/>
    <x v="0"/>
    <x v="3"/>
    <n v="1.5"/>
    <s v=" NO"/>
    <n v="1.5"/>
    <n v="0"/>
    <m/>
  </r>
  <r>
    <s v="NESTLE PURINA"/>
    <x v="2"/>
    <x v="1"/>
    <s v="ESPECIALIZADO"/>
    <n v="426071"/>
    <x v="2"/>
    <s v="SE LOGRA REALIZAR EL MYSTERY?"/>
    <s v="SI"/>
    <m/>
    <n v="31465920"/>
    <s v="NestleP.5"/>
    <x v="0"/>
    <x v="0"/>
    <n v="0"/>
    <n v="0"/>
    <n v="0"/>
    <n v="0"/>
    <m/>
  </r>
  <r>
    <s v="NESTLE PURINA"/>
    <x v="2"/>
    <x v="1"/>
    <s v="ESPECIALIZADO"/>
    <n v="426071"/>
    <x v="2"/>
    <s v="¿CUMPLE HORARIO DE ENTRADA O SALIDA DE LA TIENDA?"/>
    <s v="SI"/>
    <m/>
    <n v="31465920"/>
    <s v="NestleP.5"/>
    <x v="0"/>
    <x v="2"/>
    <n v="20"/>
    <s v="SI"/>
    <n v="20"/>
    <n v="0"/>
    <m/>
  </r>
  <r>
    <s v="NESTLE PURINA"/>
    <x v="2"/>
    <x v="1"/>
    <s v="ESPECIALIZADO"/>
    <n v="426071"/>
    <x v="2"/>
    <s v="CUENTA CON PANTALON DEL UNIFORME SEGÚN EL CARGO (NEGRO / ROJO / TURQUESA / JEAN)"/>
    <s v="SI"/>
    <m/>
    <n v="31465920"/>
    <s v="NestleP.5"/>
    <x v="0"/>
    <x v="3"/>
    <n v="1.5"/>
    <s v="SI"/>
    <n v="1.5"/>
    <n v="0"/>
    <m/>
  </r>
  <r>
    <s v="NESTLE PURINA"/>
    <x v="2"/>
    <x v="1"/>
    <s v="ESPECIALIZADO"/>
    <n v="426071"/>
    <x v="2"/>
    <s v="CUENTA CON CAMISA DEL UNIFORME Y LOGOS SEGÚN EL CARGO (NEGRA / GRIS / ROJA / TURQUESA) (Es permitido usar debajo de la camisa buso manga larga Negro)"/>
    <s v="SI"/>
    <m/>
    <n v="31465920"/>
    <s v="NestleP.5"/>
    <x v="0"/>
    <x v="3"/>
    <n v="1.5"/>
    <s v="SI"/>
    <n v="1.5"/>
    <n v="0"/>
    <m/>
  </r>
  <r>
    <s v="NESTLE PURINA"/>
    <x v="2"/>
    <x v="1"/>
    <s v="ESPECIALIZADO"/>
    <n v="426071"/>
    <x v="2"/>
    <s v="CUENTA CON CALZADO DE ACUERDO AL UNIFORME"/>
    <s v="SI"/>
    <m/>
    <n v="31465920"/>
    <s v="NestleP.5"/>
    <x v="0"/>
    <x v="3"/>
    <n v="1.5"/>
    <s v="SI"/>
    <n v="1.5"/>
    <n v="0"/>
    <m/>
  </r>
  <r>
    <s v="NESTLE PURINA"/>
    <x v="2"/>
    <x v="1"/>
    <s v="ESPECIALIZADO"/>
    <n v="426071"/>
    <x v="2"/>
    <s v="POSEE ALGUNA PRENDA ENCIMA DEL UNIFORME NO AUTORIZADA POR LA MARCA (Unicamente esta permitido chaleco de Sodimac y Easy)"/>
    <s v=" NO"/>
    <m/>
    <n v="31465920"/>
    <s v="NestleP.5"/>
    <x v="0"/>
    <x v="3"/>
    <n v="1.5"/>
    <s v=" NO"/>
    <n v="1.5"/>
    <n v="0"/>
    <m/>
  </r>
  <r>
    <s v="NESTLE PURINA"/>
    <x v="2"/>
    <x v="1"/>
    <s v="ESPECIALIZADO"/>
    <n v="426071"/>
    <x v="2"/>
    <s v="EL UNIFORME Y ZAPATOS SE ENCUENTRAN LIMPIOS Y EN BUEN ESTADO"/>
    <s v="SI"/>
    <m/>
    <n v="31465920"/>
    <s v="NestleP.5"/>
    <x v="0"/>
    <x v="3"/>
    <n v="1.5"/>
    <s v="SI"/>
    <n v="1.5"/>
    <n v="0"/>
    <m/>
  </r>
  <r>
    <s v="NESTLE PURINA"/>
    <x v="2"/>
    <x v="1"/>
    <s v="ESPECIALIZADO"/>
    <n v="426071"/>
    <x v="2"/>
    <s v="SU CABELLO LUCE LIMPIO, ORGANIZADO O RECOGIDO"/>
    <s v="SI"/>
    <m/>
    <n v="31465920"/>
    <s v="NestleP.5"/>
    <x v="0"/>
    <x v="3"/>
    <n v="1.5"/>
    <s v="SI"/>
    <n v="1.5"/>
    <n v="0"/>
    <m/>
  </r>
  <r>
    <s v="NESTLE PURINA"/>
    <x v="2"/>
    <x v="1"/>
    <s v="ESPECIALIZADO"/>
    <n v="426071"/>
    <x v="2"/>
    <s v="PRESENTA EXCESO DE MAQUILLAJE QUE NO CUMPLE CON EL CODIGO DE VESTIMENTA"/>
    <s v=" NO"/>
    <m/>
    <n v="31465920"/>
    <s v="NestleP.5"/>
    <x v="0"/>
    <x v="3"/>
    <n v="1.5"/>
    <s v=" NO"/>
    <n v="1.5"/>
    <n v="0"/>
    <m/>
  </r>
  <r>
    <s v="NESTLE PURINA"/>
    <x v="2"/>
    <x v="1"/>
    <s v="ESPECIALIZADO"/>
    <n v="426071"/>
    <x v="2"/>
    <s v="TIENE UÑAS LLAMATIVAS Y/O LARGAS QUE NO CUMPLE CON EL CODIGO DE VESTIMENTA"/>
    <s v=" NO"/>
    <m/>
    <n v="31465920"/>
    <s v="NestleP.5"/>
    <x v="0"/>
    <x v="3"/>
    <n v="1.5"/>
    <s v=" NO"/>
    <n v="1.5"/>
    <n v="0"/>
    <m/>
  </r>
  <r>
    <s v="NESTLE PURINA"/>
    <x v="2"/>
    <x v="1"/>
    <s v="ESPECIALIZADO"/>
    <n v="426071"/>
    <x v="2"/>
    <s v="DESEA AÑADIR ALGUNA OBSERVACION Y/O NOVEDAD DEL MYSTERY REALIZADO?"/>
    <s v=" NO"/>
    <m/>
    <n v="31465920"/>
    <s v="NestleP.5"/>
    <x v="0"/>
    <x v="0"/>
    <n v="0"/>
    <n v="0"/>
    <n v="0"/>
    <n v="0"/>
    <m/>
  </r>
  <r>
    <s v="NESTLE PURINA"/>
    <x v="2"/>
    <x v="1"/>
    <s v="ESPECIALIZADO"/>
    <n v="426071"/>
    <x v="2"/>
    <s v="INDIQUE OBSERVACION Y/O NOVEDAD DEL MYSTERY REALIZADO"/>
    <s v="Ninguna"/>
    <m/>
    <n v="31465920"/>
    <s v="NestleP.5"/>
    <x v="0"/>
    <x v="0"/>
    <n v="0"/>
    <n v="0"/>
    <n v="0"/>
    <n v="0"/>
    <m/>
  </r>
  <r>
    <s v="NESTLE PURINA"/>
    <x v="1"/>
    <x v="2"/>
    <s v="MODERNO"/>
    <n v="455609"/>
    <x v="3"/>
    <s v="SE LOGRA REALIZAR EL MYSTERY?"/>
    <s v="SI"/>
    <m/>
    <n v="31364139"/>
    <s v="NestleP.5"/>
    <x v="0"/>
    <x v="0"/>
    <n v="0"/>
    <n v="0"/>
    <n v="0"/>
    <n v="0"/>
    <m/>
  </r>
  <r>
    <s v="NESTLE PURINA"/>
    <x v="1"/>
    <x v="2"/>
    <s v="MODERNO"/>
    <n v="455609"/>
    <x v="3"/>
    <s v="¿CUMPLE HORARIO DE ENTRADA O SALIDA DE LA TIENDA?"/>
    <s v="SI"/>
    <m/>
    <n v="31364139"/>
    <s v="NestleP.5"/>
    <x v="0"/>
    <x v="2"/>
    <n v="20"/>
    <s v="SI"/>
    <n v="20"/>
    <n v="0"/>
    <m/>
  </r>
  <r>
    <s v="NESTLE PURINA"/>
    <x v="1"/>
    <x v="2"/>
    <s v="MODERNO"/>
    <n v="455609"/>
    <x v="3"/>
    <s v="CUENTA CON PANTALON DEL UNIFORME SEGÚN EL CARGO (NEGRO / ROJO / TURQUESA / JEAN)"/>
    <s v="SI"/>
    <m/>
    <n v="31364139"/>
    <s v="NestleP.5"/>
    <x v="0"/>
    <x v="3"/>
    <n v="1.5"/>
    <s v="SI"/>
    <n v="1.5"/>
    <n v="0"/>
    <m/>
  </r>
  <r>
    <s v="NESTLE PURINA"/>
    <x v="1"/>
    <x v="2"/>
    <s v="MODERNO"/>
    <n v="455609"/>
    <x v="3"/>
    <s v="CUENTA CON CAMISA DEL UNIFORME Y LOGOS SEGÚN EL CARGO (NEGRA / GRIS / ROJA / TURQUESA) (Es permitido usar debajo de la camisa buso manga larga Negro)"/>
    <s v="SI"/>
    <m/>
    <n v="31364139"/>
    <s v="NestleP.5"/>
    <x v="0"/>
    <x v="3"/>
    <n v="1.5"/>
    <s v="SI"/>
    <n v="1.5"/>
    <n v="0"/>
    <m/>
  </r>
  <r>
    <s v="NESTLE PURINA"/>
    <x v="1"/>
    <x v="2"/>
    <s v="MODERNO"/>
    <n v="455609"/>
    <x v="3"/>
    <s v="CUENTA CON CALZADO DE ACUERDO AL UNIFORME"/>
    <s v="SI"/>
    <m/>
    <n v="31364139"/>
    <s v="NestleP.5"/>
    <x v="0"/>
    <x v="3"/>
    <n v="1.5"/>
    <s v="SI"/>
    <n v="1.5"/>
    <n v="0"/>
    <m/>
  </r>
  <r>
    <s v="NESTLE PURINA"/>
    <x v="1"/>
    <x v="2"/>
    <s v="MODERNO"/>
    <n v="455609"/>
    <x v="3"/>
    <s v="POSEE ALGUNA PRENDA ENCIMA DEL UNIFORME NO AUTORIZADA POR LA MARCA (Unicamente esta permitido chaleco de Sodimac y Easy)"/>
    <s v=" NO"/>
    <m/>
    <n v="31364139"/>
    <s v="NestleP.5"/>
    <x v="0"/>
    <x v="3"/>
    <n v="1.5"/>
    <s v=" NO"/>
    <n v="1.5"/>
    <n v="0"/>
    <m/>
  </r>
  <r>
    <s v="NESTLE PURINA"/>
    <x v="1"/>
    <x v="2"/>
    <s v="MODERNO"/>
    <n v="455609"/>
    <x v="3"/>
    <s v="EL UNIFORME Y ZAPATOS SE ENCUENTRAN LIMPIOS Y EN BUEN ESTADO"/>
    <s v="SI"/>
    <m/>
    <n v="31364139"/>
    <s v="NestleP.5"/>
    <x v="0"/>
    <x v="3"/>
    <n v="1.5"/>
    <s v="SI"/>
    <n v="1.5"/>
    <n v="0"/>
    <m/>
  </r>
  <r>
    <s v="NESTLE PURINA"/>
    <x v="1"/>
    <x v="2"/>
    <s v="MODERNO"/>
    <n v="455609"/>
    <x v="3"/>
    <s v="SU CABELLO LUCE LIMPIO, ORGANIZADO O RECOGIDO"/>
    <s v="SI"/>
    <m/>
    <n v="31364139"/>
    <s v="NestleP.5"/>
    <x v="0"/>
    <x v="3"/>
    <n v="1.5"/>
    <s v="SI"/>
    <n v="1.5"/>
    <n v="0"/>
    <m/>
  </r>
  <r>
    <s v="NESTLE PURINA"/>
    <x v="1"/>
    <x v="2"/>
    <s v="MODERNO"/>
    <n v="455609"/>
    <x v="3"/>
    <s v="PRESENTA EXCESO DE MAQUILLAJE QUE NO CUMPLE CON EL CODIGO DE VESTIMENTA"/>
    <s v=" NO"/>
    <m/>
    <n v="31364139"/>
    <s v="NestleP.5"/>
    <x v="0"/>
    <x v="3"/>
    <n v="1.5"/>
    <s v=" NO"/>
    <n v="1.5"/>
    <n v="0"/>
    <m/>
  </r>
  <r>
    <s v="NESTLE PURINA"/>
    <x v="1"/>
    <x v="2"/>
    <s v="MODERNO"/>
    <n v="455609"/>
    <x v="3"/>
    <s v="TIENE TATUAJES O PIERCINGS VISIBLES QUE NO CUMPLE CON EL CODIGO DE VESTIMENTA"/>
    <s v=" NO"/>
    <m/>
    <n v="31364139"/>
    <s v="NestleP.5"/>
    <x v="0"/>
    <x v="3"/>
    <n v="1.5"/>
    <s v=" NO"/>
    <n v="1.5"/>
    <n v="0"/>
    <m/>
  </r>
  <r>
    <s v="NESTLE PURINA"/>
    <x v="1"/>
    <x v="2"/>
    <s v="MODERNO"/>
    <n v="455609"/>
    <x v="3"/>
    <s v="TIENE UÑAS LLAMATIVAS Y/O LARGAS QUE NO CUMPLE CON EL CODIGO DE VESTIMENTA"/>
    <s v=" NO"/>
    <m/>
    <n v="31364139"/>
    <s v="NestleP.5"/>
    <x v="0"/>
    <x v="3"/>
    <n v="1.5"/>
    <s v=" NO"/>
    <n v="1.5"/>
    <n v="0"/>
    <m/>
  </r>
  <r>
    <s v="NESTLE PURINA"/>
    <x v="1"/>
    <x v="2"/>
    <s v="MODERNO"/>
    <n v="455609"/>
    <x v="3"/>
    <s v="USA ACCESORIOS QUE NO CUMPLE CON EL CODIGO DE VESTIMENTA"/>
    <s v=" NO"/>
    <m/>
    <n v="31364139"/>
    <s v="NestleP.5"/>
    <x v="0"/>
    <x v="3"/>
    <n v="1.5"/>
    <s v=" NO"/>
    <n v="1.5"/>
    <n v="0"/>
    <m/>
  </r>
  <r>
    <s v="NESTLE PURINA"/>
    <x v="1"/>
    <x v="2"/>
    <s v="MODERNO"/>
    <n v="455609"/>
    <x v="3"/>
    <s v="SE PRODUCE ABORDAJE PROACTIVO (antes de 1 min)"/>
    <s v="SI"/>
    <m/>
    <n v="31364139"/>
    <s v="NestleP.5"/>
    <x v="0"/>
    <x v="4"/>
    <n v="20"/>
    <s v="SI"/>
    <n v="20"/>
    <n v="0"/>
    <m/>
  </r>
  <r>
    <s v="NESTLE PURINA"/>
    <x v="1"/>
    <x v="2"/>
    <s v="MODERNO"/>
    <n v="455609"/>
    <x v="3"/>
    <s v="INDAGA SOBRE LAS NECESIDADES DEL CLIENTE CON RESPECTO A SU CONSUMO HABITUAL &quot; MARCAS COMPETENCIA O PROPIAS&quot; - OBJECIÓN DE PRECIOS."/>
    <s v="SI"/>
    <m/>
    <n v="31364139"/>
    <s v="NestleP.5"/>
    <x v="0"/>
    <x v="5"/>
    <n v="1.4285714285714286"/>
    <s v="SI"/>
    <n v="1.4285714285714286"/>
    <n v="0"/>
    <m/>
  </r>
  <r>
    <s v="NESTLE PURINA"/>
    <x v="1"/>
    <x v="2"/>
    <s v="MODERNO"/>
    <n v="455609"/>
    <x v="3"/>
    <s v="OFRECE PURINA ONE: (APLICA SOLO EN CANAL MODERNO, CADENAS, SI EL PRODUCTO ESTA EN EL PDV)"/>
    <s v="SI"/>
    <m/>
    <n v="31364139"/>
    <s v="NestleP.5"/>
    <x v="0"/>
    <x v="5"/>
    <n v="1.4285714285714286"/>
    <s v="SI"/>
    <n v="1.4285714285714286"/>
    <n v="0"/>
    <m/>
  </r>
  <r>
    <s v="NESTLE PURINA"/>
    <x v="1"/>
    <x v="2"/>
    <s v="MODERNO"/>
    <n v="455609"/>
    <x v="3"/>
    <s v="MENCIONA QUE LOS RESULTADOS SON VISIBLES EN 28 DIAS?"/>
    <s v="NO"/>
    <m/>
    <n v="31364139"/>
    <s v="NestleP.5"/>
    <x v="0"/>
    <x v="5"/>
    <n v="1.4285714285714286"/>
    <s v="SI"/>
    <n v="0"/>
    <n v="0"/>
    <m/>
  </r>
  <r>
    <s v="NESTLE PURINA"/>
    <x v="1"/>
    <x v="2"/>
    <s v="MODERNO"/>
    <n v="455609"/>
    <x v="3"/>
    <s v="MENCIONA QUE TIENE CARNE DE VERDAD COMO INGREDIENTE NO.1 E INGREDIENTES NATURALES Y FUNCIONALES?"/>
    <s v="SI"/>
    <m/>
    <n v="31364139"/>
    <s v="NestleP.5"/>
    <x v="0"/>
    <x v="5"/>
    <n v="1.4285714285714286"/>
    <s v="SI"/>
    <n v="1.4285714285714286"/>
    <n v="0"/>
    <m/>
  </r>
  <r>
    <s v="NESTLE PURINA"/>
    <x v="1"/>
    <x v="2"/>
    <s v="MODERNO"/>
    <n v="455609"/>
    <x v="3"/>
    <s v="MENCIONA QUE PURINA ONE CUENTA CON ALIMENTO HUMEDO Y MENCIONA LAS 3 VARIADADES QUE TIENE ( SUPER FOODS, SUPER NUTRIENTES Y MULTI PROTEINAS); APLICA TANTO PARA PERRO COMO PARA GATO?"/>
    <s v="SI"/>
    <m/>
    <n v="31364139"/>
    <s v="NestleP.5"/>
    <x v="0"/>
    <x v="5"/>
    <n v="1.4285714285714286"/>
    <s v="SI"/>
    <n v="1.4285714285714286"/>
    <n v="0"/>
    <m/>
  </r>
  <r>
    <s v="NESTLE PURINA"/>
    <x v="1"/>
    <x v="2"/>
    <s v="MODERNO"/>
    <n v="455609"/>
    <x v="3"/>
    <s v="ABORDA AL SHOPPER CON EL VERBATIM Y MANEJA LAS OBJECIONES SEGÚN COMUNICADO ENVIADO."/>
    <s v="SI"/>
    <m/>
    <n v="31364139"/>
    <s v="NestleP.5"/>
    <x v="0"/>
    <x v="5"/>
    <n v="1.4285714285714286"/>
    <s v="SI"/>
    <n v="1.4285714285714286"/>
    <n v="0"/>
    <m/>
  </r>
  <r>
    <s v="NESTLE PURINA"/>
    <x v="1"/>
    <x v="2"/>
    <s v="MODERNO"/>
    <n v="455609"/>
    <x v="3"/>
    <s v="(OFRECE EL OBSEQUIO APLICA VIERNES, SABADO Y DOMINGO) Y EXPLICA COMO HACER LA TRANSICIÓN  DEL PRODUCTO Y BENEFICIOS?"/>
    <s v="SI"/>
    <m/>
    <n v="31364139"/>
    <s v="NestleP.5"/>
    <x v="0"/>
    <x v="5"/>
    <n v="1.4285714285714286"/>
    <s v="SI"/>
    <n v="1.4285714285714286"/>
    <n v="0"/>
    <m/>
  </r>
  <r>
    <s v="NESTLE PURINA"/>
    <x v="1"/>
    <x v="2"/>
    <s v="MODERNO"/>
    <n v="455609"/>
    <x v="3"/>
    <s v="SELECCIONE EL CANAL DEL PDV QUE EVALUA"/>
    <s v="MODERNO"/>
    <m/>
    <n v="31364139"/>
    <s v="NestleP.5"/>
    <x v="0"/>
    <x v="0"/>
    <n v="0"/>
    <n v="0"/>
    <n v="0"/>
    <n v="0"/>
    <m/>
  </r>
  <r>
    <s v="NESTLE PURINA"/>
    <x v="1"/>
    <x v="2"/>
    <s v="MODERNO"/>
    <n v="455609"/>
    <x v="3"/>
    <s v="CM - OFRECE DOG CHOW O CAT CHOW COMO PRIMERA OPCION &quot;SI EL PDV CUENTA CON LA REFERENCIA DE PURINA ONE ESTA DEBE SER LA PRIMERA OPCION&quot;"/>
    <s v="SI"/>
    <m/>
    <n v="31364139"/>
    <s v="NestleP.5"/>
    <x v="0"/>
    <x v="5"/>
    <n v="6.666666666666667"/>
    <s v="SI"/>
    <n v="6.666666666666667"/>
    <n v="0"/>
    <m/>
  </r>
  <r>
    <s v="NESTLE PURINA"/>
    <x v="1"/>
    <x v="2"/>
    <s v="MODERNO"/>
    <n v="455609"/>
    <x v="3"/>
    <s v="CM - CONOCE LAS DINAMICAS COMERCIALES DEL PDV"/>
    <s v="SI"/>
    <m/>
    <n v="31364139"/>
    <s v="NestleP.5"/>
    <x v="0"/>
    <x v="5"/>
    <n v="6.666666666666667"/>
    <s v="SI"/>
    <n v="6.666666666666667"/>
    <n v="0"/>
    <m/>
  </r>
  <r>
    <s v="NESTLE PURINA"/>
    <x v="1"/>
    <x v="2"/>
    <s v="MODERNO"/>
    <n v="455609"/>
    <x v="3"/>
    <s v="CM - OFRECE ALIMENTO HUMEDO DE DOG CHOW Y FELIX"/>
    <s v="SI"/>
    <m/>
    <n v="31364139"/>
    <s v="NestleP.5"/>
    <x v="0"/>
    <x v="5"/>
    <n v="6.666666666666667"/>
    <s v="SI"/>
    <n v="6.666666666666667"/>
    <n v="0"/>
    <m/>
  </r>
  <r>
    <s v="NESTLE PURINA"/>
    <x v="1"/>
    <x v="2"/>
    <s v="MODERNO"/>
    <n v="455609"/>
    <x v="3"/>
    <s v="INDIQUE QUE TIPO DE OBJECION / DUDA MANIFESTÓ"/>
    <s v=" NO TIENE DINERO"/>
    <m/>
    <n v="31364139"/>
    <s v="NestleP.5"/>
    <x v="0"/>
    <x v="0"/>
    <n v="0"/>
    <n v="0"/>
    <n v="0"/>
    <n v="0"/>
    <m/>
  </r>
  <r>
    <s v="NESTLE PURINA"/>
    <x v="1"/>
    <x v="2"/>
    <s v="MODERNO"/>
    <n v="455609"/>
    <x v="3"/>
    <s v="RESUELVE LA OBJECION SATISFACTORIAMENTE?"/>
    <s v="SI"/>
    <m/>
    <n v="31364139"/>
    <s v="NestleP.5"/>
    <x v="0"/>
    <x v="1"/>
    <n v="3.75"/>
    <s v="SI"/>
    <n v="3.75"/>
    <n v="0"/>
    <m/>
  </r>
  <r>
    <s v="NESTLE PURINA"/>
    <x v="1"/>
    <x v="2"/>
    <s v="MODERNO"/>
    <n v="455609"/>
    <x v="3"/>
    <s v="SE ENCUENTRA LIMPIA EL AREA DE DEMOSTRACION &quot;REVISION DE PRODUCTO SIN POLVO Y EN OPTIMAS CONDICIONES&quot;"/>
    <s v="SI"/>
    <m/>
    <n v="31364139"/>
    <s v="NestleP.5"/>
    <x v="0"/>
    <x v="1"/>
    <n v="3.75"/>
    <s v="SI"/>
    <n v="3.75"/>
    <n v="0"/>
    <m/>
  </r>
  <r>
    <s v="NESTLE PURINA"/>
    <x v="1"/>
    <x v="2"/>
    <s v="MODERNO"/>
    <n v="455609"/>
    <x v="3"/>
    <s v="REALIZA CIERRE DE VENTA"/>
    <s v="SI"/>
    <m/>
    <n v="31364139"/>
    <s v="NestleP.5"/>
    <x v="0"/>
    <x v="1"/>
    <n v="3.75"/>
    <s v="SI"/>
    <n v="3.75"/>
    <n v="0"/>
    <m/>
  </r>
  <r>
    <s v="NESTLE PURINA"/>
    <x v="1"/>
    <x v="2"/>
    <s v="MODERNO"/>
    <n v="455609"/>
    <x v="3"/>
    <s v="CONSIDERO QUE INDEPENDIENTEMENTE DEL SPEECH, LA LABOR DE VENTA ES BUENA"/>
    <s v="SI"/>
    <m/>
    <n v="31364139"/>
    <s v="NestleP.5"/>
    <x v="0"/>
    <x v="1"/>
    <n v="3.75"/>
    <s v="SI"/>
    <n v="3.75"/>
    <n v="0"/>
    <m/>
  </r>
  <r>
    <s v="NESTLE PURINA"/>
    <x v="1"/>
    <x v="2"/>
    <s v="MODERNO"/>
    <n v="455609"/>
    <x v="3"/>
    <s v="DESEA AÑADIR ALGUNA OBSERVACION Y/O NOVEDAD DEL MYSTERY REALIZADO?"/>
    <s v=" NO"/>
    <m/>
    <n v="31364139"/>
    <s v="NestleP.5"/>
    <x v="0"/>
    <x v="0"/>
    <n v="0"/>
    <n v="0"/>
    <n v="0"/>
    <n v="0"/>
    <m/>
  </r>
  <r>
    <s v="NESTLE PURINA"/>
    <x v="1"/>
    <x v="2"/>
    <s v="MODERNO"/>
    <n v="455609"/>
    <x v="3"/>
    <s v="INDIQUE OBSERVACION Y/O NOVEDAD DEL MYSTERY REALIZADO"/>
    <s v="Ninguna"/>
    <m/>
    <n v="31364139"/>
    <s v="NestleP.5"/>
    <x v="0"/>
    <x v="0"/>
    <n v="0"/>
    <n v="0"/>
    <n v="0"/>
    <n v="0"/>
    <m/>
  </r>
  <r>
    <s v="NESTLE PURINA"/>
    <x v="3"/>
    <x v="1"/>
    <s v="ESPECIALIZADO"/>
    <n v="424803"/>
    <x v="4"/>
    <s v="ABORDA AL SHOPPER CON EL VERBATIM Y MANEJA LAS OBJECIONES SEGÚN COMUNICADO ENVIADO."/>
    <s v="SI"/>
    <m/>
    <n v="31427785"/>
    <s v="NestleP.1"/>
    <x v="0"/>
    <x v="5"/>
    <n v="2.3076923076923075"/>
    <s v="SI"/>
    <n v="2.3076923076923075"/>
    <n v="0"/>
    <m/>
  </r>
  <r>
    <s v="NESTLE PURINA"/>
    <x v="3"/>
    <x v="1"/>
    <s v="ESPECIALIZADO"/>
    <n v="424803"/>
    <x v="4"/>
    <s v="(OFRECE EL OBSEQUIO APLICA VIERNES, SABADO Y DOMINGO) Y EXPLICA COMO HACER LA TRANSICIÓN  DEL PRODUCTO Y BENEFICIOS?"/>
    <s v="SI"/>
    <m/>
    <n v="31427785"/>
    <s v="NestleP.1"/>
    <x v="0"/>
    <x v="5"/>
    <n v="2.3076923076923075"/>
    <s v="SI"/>
    <n v="2.3076923076923075"/>
    <n v="0"/>
    <m/>
  </r>
  <r>
    <s v="NESTLE PURINA"/>
    <x v="3"/>
    <x v="1"/>
    <s v="ESPECIALIZADO"/>
    <n v="424803"/>
    <x v="4"/>
    <s v="SELECCIONE EL CANAL DEL PDV QUE EVALUA"/>
    <s v="ESPECIALIZADO"/>
    <m/>
    <n v="31427785"/>
    <s v="NestleP.1"/>
    <x v="0"/>
    <x v="0"/>
    <n v="0"/>
    <n v="0"/>
    <n v="0"/>
    <n v="0"/>
    <m/>
  </r>
  <r>
    <s v="NESTLE PURINA"/>
    <x v="3"/>
    <x v="1"/>
    <s v="ESPECIALIZADO"/>
    <n v="424803"/>
    <x v="4"/>
    <s v="INDIQUE QUE TIPO DE OBJECION / DUDA MANIFESTÓ"/>
    <s v=" PREFIERE LA COMPETENCIA"/>
    <m/>
    <n v="31427785"/>
    <s v="NestleP.1"/>
    <x v="0"/>
    <x v="0"/>
    <n v="0"/>
    <n v="0"/>
    <n v="0"/>
    <n v="0"/>
    <m/>
  </r>
  <r>
    <s v="NESTLE PURINA"/>
    <x v="3"/>
    <x v="1"/>
    <s v="ESPECIALIZADO"/>
    <n v="424803"/>
    <x v="4"/>
    <s v="RESUELVE LA OBJECION SATISFACTORIAMENTE?"/>
    <s v="SI"/>
    <m/>
    <n v="31427785"/>
    <s v="NestleP.1"/>
    <x v="0"/>
    <x v="1"/>
    <n v="3.75"/>
    <s v="SI"/>
    <n v="3.75"/>
    <n v="0"/>
    <m/>
  </r>
  <r>
    <s v="NESTLE PURINA"/>
    <x v="3"/>
    <x v="1"/>
    <s v="ESPECIALIZADO"/>
    <n v="424803"/>
    <x v="4"/>
    <s v="SE ENCUENTRA LIMPIA EL AREA DE DEMOSTRACION &quot;REVISION DE PRODUCTO SIN POLVO Y EN OPTIMAS CONDICIONES&quot;"/>
    <s v="SI"/>
    <m/>
    <n v="31427785"/>
    <s v="NestleP.1"/>
    <x v="0"/>
    <x v="1"/>
    <n v="3.75"/>
    <s v="SI"/>
    <n v="3.75"/>
    <n v="0"/>
    <m/>
  </r>
  <r>
    <s v="NESTLE PURINA"/>
    <x v="3"/>
    <x v="1"/>
    <s v="ESPECIALIZADO"/>
    <n v="424803"/>
    <x v="4"/>
    <s v="REALIZA CIERRE DE VENTA"/>
    <s v="SI"/>
    <m/>
    <n v="31427785"/>
    <s v="NestleP.1"/>
    <x v="0"/>
    <x v="1"/>
    <n v="3.75"/>
    <s v="SI"/>
    <n v="3.75"/>
    <n v="0"/>
    <m/>
  </r>
  <r>
    <s v="NESTLE PURINA"/>
    <x v="3"/>
    <x v="1"/>
    <s v="ESPECIALIZADO"/>
    <n v="424803"/>
    <x v="4"/>
    <s v="CONSIDERO QUE INDEPENDIENTEMENTE DEL SPEECH, LA LABOR DE VENTA ES BUENA"/>
    <s v="SI"/>
    <m/>
    <n v="31427785"/>
    <s v="NestleP.1"/>
    <x v="0"/>
    <x v="1"/>
    <n v="3.75"/>
    <s v="SI"/>
    <n v="3.75"/>
    <n v="0"/>
    <m/>
  </r>
  <r>
    <s v="NESTLE PURINA"/>
    <x v="3"/>
    <x v="1"/>
    <s v="ESPECIALIZADO"/>
    <n v="424803"/>
    <x v="4"/>
    <s v="DESEA AÑADIR ALGUNA OBSERVACION Y/O NOVEDAD DEL MYSTERY REALIZADO?"/>
    <s v=" NO"/>
    <m/>
    <n v="31427785"/>
    <s v="NestleP.1"/>
    <x v="0"/>
    <x v="0"/>
    <n v="0"/>
    <n v="0"/>
    <n v="0"/>
    <n v="0"/>
    <m/>
  </r>
  <r>
    <s v="NESTLE PURINA"/>
    <x v="3"/>
    <x v="1"/>
    <s v="ESPECIALIZADO"/>
    <n v="424803"/>
    <x v="4"/>
    <s v="INDIQUE OBSERVACION Y/O NOVEDAD DEL MYSTERY REALIZADO"/>
    <s v="Ninguna"/>
    <m/>
    <n v="31427785"/>
    <s v="NestleP.1"/>
    <x v="0"/>
    <x v="0"/>
    <n v="0"/>
    <n v="0"/>
    <n v="0"/>
    <n v="0"/>
    <m/>
  </r>
  <r>
    <s v="NESTLE PURINA"/>
    <x v="3"/>
    <x v="1"/>
    <s v="ESPECIALIZADO"/>
    <n v="424803"/>
    <x v="4"/>
    <s v="CE - LO PRIMERO QUE OFRECE EL ASESOR ES LA MARCA PRO PLAN? (ENFOQUE EN GATOS)"/>
    <s v="SI"/>
    <m/>
    <n v="31427785"/>
    <s v="NestleP.1"/>
    <x v="0"/>
    <x v="5"/>
    <n v="2.3076923076923075"/>
    <s v="SI"/>
    <n v="2.3076923076923075"/>
    <n v="0"/>
    <m/>
  </r>
  <r>
    <s v="NESTLE PURINA"/>
    <x v="3"/>
    <x v="1"/>
    <s v="ESPECIALIZADO"/>
    <n v="424803"/>
    <x v="4"/>
    <s v="CE - EL ASESOR COMUNICA LOS BENEFICIOS Y CARACTERISTICAS DE LA MARCA PRO PLAN? (ENFOQUE EN GATOS)"/>
    <s v="SI"/>
    <m/>
    <n v="31427785"/>
    <s v="NestleP.1"/>
    <x v="0"/>
    <x v="5"/>
    <n v="2.3076923076923075"/>
    <s v="SI"/>
    <n v="2.3076923076923075"/>
    <n v="0"/>
    <m/>
  </r>
  <r>
    <s v="NESTLE PURINA"/>
    <x v="3"/>
    <x v="1"/>
    <s v="ESPECIALIZADO"/>
    <n v="424803"/>
    <x v="4"/>
    <s v="CE - LUEGO DE REALIZAR LA OBJECIÓN DE PRECIO, OFRECE LA MARCA EXCELLENT? (ENFOQUE EN GATOS)"/>
    <s v="SI"/>
    <m/>
    <n v="31427785"/>
    <s v="NestleP.1"/>
    <x v="0"/>
    <x v="5"/>
    <n v="2.3076923076923075"/>
    <s v="SI"/>
    <n v="2.3076923076923075"/>
    <n v="0"/>
    <m/>
  </r>
  <r>
    <s v="NESTLE PURINA"/>
    <x v="3"/>
    <x v="1"/>
    <s v="ESPECIALIZADO"/>
    <n v="424803"/>
    <x v="4"/>
    <s v="CE - EL ASESOR COMUNICA QUE LA MARCA EXCELLENT ESTA DENTRO DE LA CATEGORIA SUPERPREMIUM PERO A UN COSTO MAS ACCESIBLE."/>
    <s v="SI"/>
    <m/>
    <n v="31427785"/>
    <s v="NestleP.1"/>
    <x v="0"/>
    <x v="5"/>
    <n v="2.3076923076923075"/>
    <s v="SI"/>
    <n v="2.3076923076923075"/>
    <n v="0"/>
    <m/>
  </r>
  <r>
    <s v="NESTLE PURINA"/>
    <x v="3"/>
    <x v="1"/>
    <s v="ESPECIALIZADO"/>
    <n v="424803"/>
    <x v="4"/>
    <s v="CE - EL ASESOR COMUNICA LOS BENEFICIOS Y CARACTERISTICAS DEL PRODUCTO EXCELLENT? (ENFOQUE EN GATOS)"/>
    <s v="SI"/>
    <m/>
    <n v="31427785"/>
    <s v="NestleP.1"/>
    <x v="0"/>
    <x v="5"/>
    <n v="2.3076923076923075"/>
    <s v="SI"/>
    <n v="2.3076923076923075"/>
    <n v="0"/>
    <m/>
  </r>
  <r>
    <s v="NESTLE PURINA"/>
    <x v="3"/>
    <x v="1"/>
    <s v="ESPECIALIZADO"/>
    <n v="424803"/>
    <x v="4"/>
    <s v="CE - OFRECE LOS  SUPLEMENTOS Y LA CAMPAÑA &quot;SOBRE AL DÍA&quot; (INDAGAR AL ASESOR O ACTIVADOR ACERCA DE LOS SUPLEMENTOS)"/>
    <s v=" NO"/>
    <m/>
    <n v="31427785"/>
    <s v="NestleP.1"/>
    <x v="0"/>
    <x v="5"/>
    <n v="2.3076923076923075"/>
    <s v="SI"/>
    <n v="0"/>
    <n v="0"/>
    <m/>
  </r>
  <r>
    <s v="NESTLE PURINA"/>
    <x v="3"/>
    <x v="1"/>
    <s v="ESPECIALIZADO"/>
    <n v="424803"/>
    <x v="4"/>
    <s v="CE - OFRECE PRODUCTO HUMEDO Y OFRECE LAS DIFERENTES VARIEDADES? (GATOS Y PERROS)"/>
    <s v=" NO"/>
    <m/>
    <n v="31427785"/>
    <s v="NestleP.1"/>
    <x v="0"/>
    <x v="5"/>
    <n v="2.3076923076923075"/>
    <s v="SI"/>
    <n v="0"/>
    <n v="0"/>
    <m/>
  </r>
  <r>
    <s v="NESTLE PURINA"/>
    <x v="3"/>
    <x v="1"/>
    <s v="ESPECIALIZADO"/>
    <n v="424803"/>
    <x v="4"/>
    <s v="MENCIONA QUE PURINA ONE CUENTA CON ALIMENTO HUMEDO Y MENCIONA LAS 3 VARIADADES QUE TIENE ( SUPER FOODS, SUPER NUTRIENTES Y MULTI PROTEINAS); APLICA TANTO PARA PERRO COMO PARA GATO?"/>
    <s v="SI"/>
    <m/>
    <n v="31427785"/>
    <s v="NestleP.1"/>
    <x v="0"/>
    <x v="5"/>
    <n v="2.3076923076923075"/>
    <s v="SI"/>
    <n v="2.3076923076923075"/>
    <n v="0"/>
    <m/>
  </r>
  <r>
    <s v="NESTLE PURINA"/>
    <x v="3"/>
    <x v="1"/>
    <s v="ESPECIALIZADO"/>
    <n v="424803"/>
    <x v="4"/>
    <s v="MENCIONA QUE TIENE CARNE DE VERDAD COMO INGREDIENTE NO.1 E INGREDIENTES NATURALES Y FUNCIONALES?"/>
    <s v="SI"/>
    <m/>
    <n v="31427785"/>
    <s v="NestleP.1"/>
    <x v="0"/>
    <x v="5"/>
    <n v="2.3076923076923075"/>
    <s v="SI"/>
    <n v="2.3076923076923075"/>
    <n v="0"/>
    <m/>
  </r>
  <r>
    <s v="NESTLE PURINA"/>
    <x v="3"/>
    <x v="1"/>
    <s v="ESPECIALIZADO"/>
    <n v="424803"/>
    <x v="4"/>
    <s v="OFRECE PURINA ONE: (APLICA SOLO EN CANAL MODERNO, CADENAS, SI EL PRODUCTO ESTA EN EL PDV)"/>
    <s v="SI"/>
    <m/>
    <n v="31427785"/>
    <s v="NestleP.1"/>
    <x v="0"/>
    <x v="5"/>
    <n v="0"/>
    <s v="SI"/>
    <n v="0"/>
    <n v="0"/>
    <m/>
  </r>
  <r>
    <s v="NESTLE PURINA"/>
    <x v="3"/>
    <x v="1"/>
    <s v="ESPECIALIZADO"/>
    <n v="424803"/>
    <x v="4"/>
    <s v="SE LOGRA REALIZAR EL MYSTERY?"/>
    <s v="SI"/>
    <m/>
    <n v="31427785"/>
    <s v="NestleP.1"/>
    <x v="0"/>
    <x v="0"/>
    <n v="0"/>
    <n v="0"/>
    <n v="0"/>
    <n v="0"/>
    <m/>
  </r>
  <r>
    <s v="NESTLE PURINA"/>
    <x v="3"/>
    <x v="1"/>
    <s v="ESPECIALIZADO"/>
    <n v="424803"/>
    <x v="4"/>
    <s v="¿CUMPLE HORARIO DE ENTRADA O SALIDA DE LA TIENDA?"/>
    <s v="SI"/>
    <m/>
    <n v="31427785"/>
    <s v="NestleP.1"/>
    <x v="0"/>
    <x v="2"/>
    <n v="20"/>
    <s v="SI"/>
    <n v="20"/>
    <n v="0"/>
    <m/>
  </r>
  <r>
    <s v="NESTLE PURINA"/>
    <x v="3"/>
    <x v="1"/>
    <s v="ESPECIALIZADO"/>
    <n v="424803"/>
    <x v="4"/>
    <s v="CUENTA CON PANTALON DEL UNIFORME SEGÚN EL CARGO (NEGRO / ROJO / TURQUESA / JEAN)"/>
    <s v="SI"/>
    <m/>
    <n v="31427785"/>
    <s v="NestleP.1"/>
    <x v="0"/>
    <x v="3"/>
    <n v="1.5"/>
    <s v="SI"/>
    <n v="1.5"/>
    <n v="0"/>
    <m/>
  </r>
  <r>
    <s v="NESTLE PURINA"/>
    <x v="3"/>
    <x v="1"/>
    <s v="ESPECIALIZADO"/>
    <n v="424803"/>
    <x v="4"/>
    <s v="CUENTA CON CAMISA DEL UNIFORME Y LOGOS SEGÚN EL CARGO (NEGRA / GRIS / ROJA / TURQUESA) (Es permitido usar debajo de la camisa buso manga larga Negro)"/>
    <s v="SI"/>
    <m/>
    <n v="31427785"/>
    <s v="NestleP.1"/>
    <x v="0"/>
    <x v="3"/>
    <n v="1.5"/>
    <s v="SI"/>
    <n v="1.5"/>
    <n v="0"/>
    <m/>
  </r>
  <r>
    <s v="NESTLE PURINA"/>
    <x v="3"/>
    <x v="1"/>
    <s v="ESPECIALIZADO"/>
    <n v="424803"/>
    <x v="4"/>
    <s v="CUENTA CON CALZADO DE ACUERDO AL UNIFORME"/>
    <s v="SI"/>
    <m/>
    <n v="31427785"/>
    <s v="NestleP.1"/>
    <x v="0"/>
    <x v="3"/>
    <n v="1.5"/>
    <s v="SI"/>
    <n v="1.5"/>
    <n v="0"/>
    <m/>
  </r>
  <r>
    <s v="NESTLE PURINA"/>
    <x v="3"/>
    <x v="1"/>
    <s v="ESPECIALIZADO"/>
    <n v="424803"/>
    <x v="4"/>
    <s v="POSEE ALGUNA PRENDA ENCIMA DEL UNIFORME NO AUTORIZADA POR LA MARCA (Unicamente esta permitido chaleco de Sodimac y Easy)"/>
    <s v=" NO"/>
    <m/>
    <n v="31427785"/>
    <s v="NestleP.1"/>
    <x v="0"/>
    <x v="3"/>
    <n v="1.5"/>
    <s v=" NO"/>
    <n v="1.5"/>
    <n v="0"/>
    <m/>
  </r>
  <r>
    <s v="NESTLE PURINA"/>
    <x v="3"/>
    <x v="1"/>
    <s v="ESPECIALIZADO"/>
    <n v="424803"/>
    <x v="4"/>
    <s v="EL UNIFORME Y ZAPATOS SE ENCUENTRAN LIMPIOS Y EN BUEN ESTADO"/>
    <s v="SI"/>
    <m/>
    <n v="31427785"/>
    <s v="NestleP.1"/>
    <x v="0"/>
    <x v="3"/>
    <n v="1.5"/>
    <s v="SI"/>
    <n v="1.5"/>
    <n v="0"/>
    <m/>
  </r>
  <r>
    <s v="NESTLE PURINA"/>
    <x v="3"/>
    <x v="1"/>
    <s v="ESPECIALIZADO"/>
    <n v="424803"/>
    <x v="4"/>
    <s v="SU CABELLO LUCE LIMPIO, ORGANIZADO O RECOGIDO"/>
    <s v="SI"/>
    <m/>
    <n v="31427785"/>
    <s v="NestleP.1"/>
    <x v="0"/>
    <x v="3"/>
    <n v="1.5"/>
    <s v="SI"/>
    <n v="1.5"/>
    <n v="0"/>
    <m/>
  </r>
  <r>
    <s v="NESTLE PURINA"/>
    <x v="3"/>
    <x v="1"/>
    <s v="ESPECIALIZADO"/>
    <n v="424803"/>
    <x v="4"/>
    <s v="PRESENTA EXCESO DE MAQUILLAJE QUE NO CUMPLE CON EL CODIGO DE VESTIMENTA"/>
    <s v=" NO"/>
    <m/>
    <n v="31427785"/>
    <s v="NestleP.1"/>
    <x v="0"/>
    <x v="3"/>
    <n v="1.5"/>
    <s v=" NO"/>
    <n v="1.5"/>
    <n v="0"/>
    <m/>
  </r>
  <r>
    <s v="NESTLE PURINA"/>
    <x v="3"/>
    <x v="1"/>
    <s v="ESPECIALIZADO"/>
    <n v="424803"/>
    <x v="4"/>
    <s v="TIENE TATUAJES O PIERCINGS VISIBLES QUE NO CUMPLE CON EL CODIGO DE VESTIMENTA"/>
    <s v=" NO"/>
    <m/>
    <n v="31427785"/>
    <s v="NestleP.1"/>
    <x v="0"/>
    <x v="3"/>
    <n v="1.5"/>
    <s v=" NO"/>
    <n v="1.5"/>
    <n v="0"/>
    <m/>
  </r>
  <r>
    <s v="NESTLE PURINA"/>
    <x v="3"/>
    <x v="1"/>
    <s v="ESPECIALIZADO"/>
    <n v="424803"/>
    <x v="4"/>
    <s v="TIENE UÑAS LLAMATIVAS Y/O LARGAS QUE NO CUMPLE CON EL CODIGO DE VESTIMENTA"/>
    <s v=" NO"/>
    <m/>
    <n v="31427785"/>
    <s v="NestleP.1"/>
    <x v="0"/>
    <x v="3"/>
    <n v="1.5"/>
    <s v=" NO"/>
    <n v="1.5"/>
    <n v="0"/>
    <m/>
  </r>
  <r>
    <s v="NESTLE PURINA"/>
    <x v="3"/>
    <x v="1"/>
    <s v="ESPECIALIZADO"/>
    <n v="424803"/>
    <x v="4"/>
    <s v="USA ACCESORIOS QUE NO CUMPLE CON EL CODIGO DE VESTIMENTA"/>
    <s v=" NO"/>
    <m/>
    <n v="31427785"/>
    <s v="NestleP.1"/>
    <x v="0"/>
    <x v="3"/>
    <n v="1.5"/>
    <s v=" NO"/>
    <n v="1.5"/>
    <n v="0"/>
    <m/>
  </r>
  <r>
    <s v="NESTLE PURINA"/>
    <x v="3"/>
    <x v="1"/>
    <s v="ESPECIALIZADO"/>
    <n v="424803"/>
    <x v="4"/>
    <s v="SE PRODUCE ABORDAJE PROACTIVO (antes de 1 min)"/>
    <s v="SI"/>
    <m/>
    <n v="31427785"/>
    <s v="NestleP.1"/>
    <x v="0"/>
    <x v="4"/>
    <n v="20"/>
    <s v="SI"/>
    <n v="20"/>
    <n v="0"/>
    <m/>
  </r>
  <r>
    <s v="NESTLE PURINA"/>
    <x v="3"/>
    <x v="1"/>
    <s v="ESPECIALIZADO"/>
    <n v="424803"/>
    <x v="4"/>
    <s v="INDAGA SOBRE LAS NECESIDADES DEL CLIENTE CON RESPECTO A SU CONSUMO HABITUAL &quot; MARCAS COMPETENCIA O PROPIAS&quot; - OBJECIÓN DE PRECIOS."/>
    <s v="SI"/>
    <m/>
    <n v="31427785"/>
    <s v="NestleP.1"/>
    <x v="0"/>
    <x v="5"/>
    <n v="2.3076923076923075"/>
    <s v="SI"/>
    <n v="2.3076923076923075"/>
    <n v="0"/>
    <m/>
  </r>
  <r>
    <s v="NESTLE PURINA"/>
    <x v="3"/>
    <x v="1"/>
    <s v="ESPECIALIZADO"/>
    <n v="424803"/>
    <x v="4"/>
    <s v="MENCIONA QUE LOS RESULTADOS SON VISIBLES EN 28 DIAS?"/>
    <s v="SI"/>
    <m/>
    <n v="31427785"/>
    <s v="NestleP.1"/>
    <x v="0"/>
    <x v="5"/>
    <n v="2.3076923076923075"/>
    <s v="SI"/>
    <n v="2.3076923076923075"/>
    <n v="0"/>
    <m/>
  </r>
  <r>
    <s v="NESTLE PURINA"/>
    <x v="2"/>
    <x v="2"/>
    <s v="MODERNO"/>
    <n v="12329"/>
    <x v="5"/>
    <s v="SE LOGRA REALIZAR EL MYSTERY?"/>
    <s v="SI"/>
    <m/>
    <n v="31528799"/>
    <s v="NestleP.5"/>
    <x v="0"/>
    <x v="0"/>
    <n v="0"/>
    <n v="0"/>
    <n v="0"/>
    <n v="0"/>
    <m/>
  </r>
  <r>
    <s v="NESTLE PURINA"/>
    <x v="2"/>
    <x v="2"/>
    <s v="MODERNO"/>
    <n v="12329"/>
    <x v="5"/>
    <s v="¿CUMPLE HORARIO DE ENTRADA O SALIDA DE LA TIENDA?"/>
    <s v="SI"/>
    <m/>
    <n v="31528799"/>
    <s v="NestleP.5"/>
    <x v="0"/>
    <x v="2"/>
    <n v="20"/>
    <s v="SI"/>
    <n v="20"/>
    <n v="0"/>
    <m/>
  </r>
  <r>
    <s v="NESTLE PURINA"/>
    <x v="2"/>
    <x v="2"/>
    <s v="MODERNO"/>
    <n v="12329"/>
    <x v="5"/>
    <s v="CUENTA CON PANTALON DEL UNIFORME SEGÚN EL CARGO (NEGRO / ROJO / TURQUESA / JEAN)"/>
    <s v="SI"/>
    <m/>
    <n v="31528799"/>
    <s v="NestleP.5"/>
    <x v="0"/>
    <x v="3"/>
    <n v="1.5"/>
    <s v="SI"/>
    <n v="1.5"/>
    <n v="0"/>
    <m/>
  </r>
  <r>
    <s v="NESTLE PURINA"/>
    <x v="2"/>
    <x v="2"/>
    <s v="MODERNO"/>
    <n v="12329"/>
    <x v="5"/>
    <s v="CUENTA CON CAMISA DEL UNIFORME Y LOGOS SEGÚN EL CARGO (NEGRA / GRIS / ROJA / TURQUESA) (Es permitido usar debajo de la camisa buso manga larga Negro)"/>
    <s v="SI"/>
    <m/>
    <n v="31528799"/>
    <s v="NestleP.5"/>
    <x v="0"/>
    <x v="3"/>
    <n v="1.5"/>
    <s v="SI"/>
    <n v="1.5"/>
    <n v="0"/>
    <m/>
  </r>
  <r>
    <s v="NESTLE PURINA"/>
    <x v="2"/>
    <x v="2"/>
    <s v="MODERNO"/>
    <n v="12329"/>
    <x v="5"/>
    <s v="CUENTA CON CALZADO DE ACUERDO AL UNIFORME"/>
    <s v="SI"/>
    <m/>
    <n v="31528799"/>
    <s v="NestleP.5"/>
    <x v="0"/>
    <x v="3"/>
    <n v="1.5"/>
    <s v="SI"/>
    <n v="1.5"/>
    <n v="0"/>
    <m/>
  </r>
  <r>
    <s v="NESTLE PURINA"/>
    <x v="2"/>
    <x v="2"/>
    <s v="MODERNO"/>
    <n v="12329"/>
    <x v="5"/>
    <s v="POSEE ALGUNA PRENDA ENCIMA DEL UNIFORME NO AUTORIZADA POR LA MARCA (Unicamente esta permitido chaleco de Sodimac y Easy)"/>
    <s v=" NO"/>
    <m/>
    <n v="31528799"/>
    <s v="NestleP.5"/>
    <x v="0"/>
    <x v="3"/>
    <n v="1.5"/>
    <s v=" NO"/>
    <n v="1.5"/>
    <n v="0"/>
    <m/>
  </r>
  <r>
    <s v="NESTLE PURINA"/>
    <x v="2"/>
    <x v="2"/>
    <s v="MODERNO"/>
    <n v="12329"/>
    <x v="5"/>
    <s v="EL UNIFORME Y ZAPATOS SE ENCUENTRAN LIMPIOS Y EN BUEN ESTADO"/>
    <s v="SI"/>
    <m/>
    <n v="31528799"/>
    <s v="NestleP.5"/>
    <x v="0"/>
    <x v="3"/>
    <n v="1.5"/>
    <s v="SI"/>
    <n v="1.5"/>
    <n v="0"/>
    <m/>
  </r>
  <r>
    <s v="NESTLE PURINA"/>
    <x v="2"/>
    <x v="2"/>
    <s v="MODERNO"/>
    <n v="12329"/>
    <x v="5"/>
    <s v="SU CABELLO LUCE LIMPIO, ORGANIZADO O RECOGIDO"/>
    <s v="SI"/>
    <m/>
    <n v="31528799"/>
    <s v="NestleP.5"/>
    <x v="0"/>
    <x v="3"/>
    <n v="1.5"/>
    <s v="SI"/>
    <n v="1.5"/>
    <n v="0"/>
    <m/>
  </r>
  <r>
    <s v="NESTLE PURINA"/>
    <x v="2"/>
    <x v="2"/>
    <s v="MODERNO"/>
    <n v="12329"/>
    <x v="5"/>
    <s v="PRESENTA EXCESO DE MAQUILLAJE QUE NO CUMPLE CON EL CODIGO DE VESTIMENTA"/>
    <s v=" NO"/>
    <m/>
    <n v="31528799"/>
    <s v="NestleP.5"/>
    <x v="0"/>
    <x v="3"/>
    <n v="1.5"/>
    <s v=" NO"/>
    <n v="1.5"/>
    <n v="0"/>
    <m/>
  </r>
  <r>
    <s v="NESTLE PURINA"/>
    <x v="2"/>
    <x v="2"/>
    <s v="MODERNO"/>
    <n v="12329"/>
    <x v="5"/>
    <s v="TIENE TATUAJES O PIERCINGS VISIBLES QUE NO CUMPLE CON EL CODIGO DE VESTIMENTA"/>
    <s v=" NO"/>
    <m/>
    <n v="31528799"/>
    <s v="NestleP.5"/>
    <x v="0"/>
    <x v="3"/>
    <n v="1.5"/>
    <s v=" NO"/>
    <n v="1.5"/>
    <n v="0"/>
    <m/>
  </r>
  <r>
    <s v="NESTLE PURINA"/>
    <x v="2"/>
    <x v="2"/>
    <s v="MODERNO"/>
    <n v="12329"/>
    <x v="5"/>
    <s v="TIENE UÑAS LLAMATIVAS Y/O LARGAS QUE NO CUMPLE CON EL CODIGO DE VESTIMENTA"/>
    <s v=" NO"/>
    <m/>
    <n v="31528799"/>
    <s v="NestleP.5"/>
    <x v="0"/>
    <x v="3"/>
    <n v="1.5"/>
    <s v=" NO"/>
    <n v="1.5"/>
    <n v="0"/>
    <m/>
  </r>
  <r>
    <s v="NESTLE PURINA"/>
    <x v="2"/>
    <x v="2"/>
    <s v="MODERNO"/>
    <n v="12329"/>
    <x v="5"/>
    <s v="USA ACCESORIOS QUE NO CUMPLE CON EL CODIGO DE VESTIMENTA"/>
    <s v=" NO"/>
    <m/>
    <n v="31528799"/>
    <s v="NestleP.5"/>
    <x v="0"/>
    <x v="3"/>
    <n v="1.5"/>
    <s v=" NO"/>
    <n v="1.5"/>
    <n v="0"/>
    <m/>
  </r>
  <r>
    <s v="NESTLE PURINA"/>
    <x v="2"/>
    <x v="2"/>
    <s v="MODERNO"/>
    <n v="12329"/>
    <x v="5"/>
    <s v="SE PRODUCE ABORDAJE PROACTIVO (antes de 1 min)"/>
    <s v="SI"/>
    <m/>
    <n v="31528799"/>
    <s v="NestleP.5"/>
    <x v="0"/>
    <x v="4"/>
    <n v="20"/>
    <s v="SI"/>
    <n v="20"/>
    <n v="0"/>
    <m/>
  </r>
  <r>
    <s v="NESTLE PURINA"/>
    <x v="2"/>
    <x v="2"/>
    <s v="MODERNO"/>
    <n v="12329"/>
    <x v="5"/>
    <s v="INDAGA SOBRE LAS NECESIDADES DEL CLIENTE CON RESPECTO A SU CONSUMO HABITUAL &quot; MARCAS COMPETENCIA O PROPIAS&quot; - OBJECIÓN DE PRECIOS."/>
    <s v="SI"/>
    <m/>
    <n v="31528799"/>
    <s v="NestleP.5"/>
    <x v="0"/>
    <x v="5"/>
    <n v="1.4285714285714286"/>
    <s v="SI"/>
    <n v="1.4285714285714286"/>
    <n v="0"/>
    <m/>
  </r>
  <r>
    <s v="NESTLE PURINA"/>
    <x v="2"/>
    <x v="2"/>
    <s v="MODERNO"/>
    <n v="12329"/>
    <x v="5"/>
    <s v="OFRECE PURINA ONE: (APLICA SOLO EN CANAL MODERNO, CADENAS, SI EL PRODUCTO ESTA EN EL PDV)"/>
    <s v="SI"/>
    <m/>
    <n v="31528799"/>
    <s v="NestleP.5"/>
    <x v="0"/>
    <x v="5"/>
    <n v="1.4285714285714286"/>
    <s v="SI"/>
    <n v="1.4285714285714286"/>
    <n v="0"/>
    <m/>
  </r>
  <r>
    <s v="NESTLE PURINA"/>
    <x v="2"/>
    <x v="2"/>
    <s v="MODERNO"/>
    <n v="12329"/>
    <x v="5"/>
    <s v="MENCIONA QUE LOS RESULTADOS SON VISIBLES EN 28 DIAS?"/>
    <s v="SI"/>
    <m/>
    <n v="31528799"/>
    <s v="NestleP.5"/>
    <x v="0"/>
    <x v="5"/>
    <n v="1.4285714285714286"/>
    <s v="SI"/>
    <n v="1.4285714285714286"/>
    <n v="0"/>
    <m/>
  </r>
  <r>
    <s v="NESTLE PURINA"/>
    <x v="2"/>
    <x v="2"/>
    <s v="MODERNO"/>
    <n v="12329"/>
    <x v="5"/>
    <s v="MENCIONA QUE TIENE CARNE DE VERDAD COMO INGREDIENTE NO.1 E INGREDIENTES NATURALES Y FUNCIONALES?"/>
    <s v="SI"/>
    <m/>
    <n v="31528799"/>
    <s v="NestleP.5"/>
    <x v="0"/>
    <x v="5"/>
    <n v="1.4285714285714286"/>
    <s v="SI"/>
    <n v="1.4285714285714286"/>
    <n v="0"/>
    <m/>
  </r>
  <r>
    <s v="NESTLE PURINA"/>
    <x v="2"/>
    <x v="2"/>
    <s v="MODERNO"/>
    <n v="12329"/>
    <x v="5"/>
    <s v="ABORDA AL SHOPPER CON EL VERBATIM Y MANEJA LAS OBJECIONES SEGÚN COMUNICADO ENVIADO."/>
    <s v="SI"/>
    <m/>
    <n v="31528799"/>
    <s v="NestleP.5"/>
    <x v="0"/>
    <x v="5"/>
    <n v="1.4285714285714286"/>
    <s v="SI"/>
    <n v="1.4285714285714286"/>
    <n v="0"/>
    <m/>
  </r>
  <r>
    <s v="NESTLE PURINA"/>
    <x v="2"/>
    <x v="2"/>
    <s v="MODERNO"/>
    <n v="12329"/>
    <x v="5"/>
    <s v="MENCIONA QUE PURINA ONE CUENTA CON ALIMENTO HUMEDO Y MENCIONA LAS 3 VARIADADES QUE TIENE ( SUPER FOODS, SUPER NUTRIENTES Y MULTI PROTEINAS); APLICA TANTO PARA PERRO COMO PARA GATO?"/>
    <s v="SI"/>
    <m/>
    <n v="31528799"/>
    <s v="NestleP.5"/>
    <x v="0"/>
    <x v="5"/>
    <n v="1.4285714285714286"/>
    <s v="SI"/>
    <n v="1.4285714285714286"/>
    <n v="0"/>
    <m/>
  </r>
  <r>
    <s v="NESTLE PURINA"/>
    <x v="2"/>
    <x v="2"/>
    <s v="MODERNO"/>
    <n v="12329"/>
    <x v="5"/>
    <s v="(OFRECE EL OBSEQUIO APLICA VIERNES, SABADO Y DOMINGO) Y EXPLICA COMO HACER LA TRANSICIÓN  DEL PRODUCTO Y BENEFICIOS?"/>
    <s v="SI"/>
    <m/>
    <n v="31528799"/>
    <s v="NestleP.5"/>
    <x v="0"/>
    <x v="5"/>
    <n v="1.4285714285714286"/>
    <s v="SI"/>
    <n v="1.4285714285714286"/>
    <n v="0"/>
    <m/>
  </r>
  <r>
    <s v="NESTLE PURINA"/>
    <x v="2"/>
    <x v="2"/>
    <s v="MODERNO"/>
    <n v="12329"/>
    <x v="5"/>
    <s v="SELECCIONE EL CANAL DEL PDV QUE EVALUA"/>
    <s v="MODERNO"/>
    <m/>
    <n v="31528799"/>
    <s v="NestleP.5"/>
    <x v="0"/>
    <x v="0"/>
    <n v="0"/>
    <n v="0"/>
    <n v="0"/>
    <n v="0"/>
    <m/>
  </r>
  <r>
    <s v="NESTLE PURINA"/>
    <x v="2"/>
    <x v="2"/>
    <s v="MODERNO"/>
    <n v="12329"/>
    <x v="5"/>
    <s v="CM - OFRECE DOG CHOW O CAT CHOW COMO PRIMERA OPCION &quot;SI EL PDV CUENTA CON LA REFERENCIA DE PURINA ONE ESTA DEBE SER LA PRIMERA OPCION&quot;"/>
    <s v="SI"/>
    <m/>
    <n v="31528799"/>
    <s v="NestleP.5"/>
    <x v="0"/>
    <x v="5"/>
    <n v="6.666666666666667"/>
    <s v="SI"/>
    <n v="6.666666666666667"/>
    <n v="0"/>
    <m/>
  </r>
  <r>
    <s v="NESTLE PURINA"/>
    <x v="2"/>
    <x v="2"/>
    <s v="MODERNO"/>
    <n v="12329"/>
    <x v="5"/>
    <s v="CM - OFRECE ALIMENTO HUMEDO DE DOG CHOW Y FELIX"/>
    <s v="SI"/>
    <m/>
    <n v="31528799"/>
    <s v="NestleP.5"/>
    <x v="0"/>
    <x v="5"/>
    <n v="6.666666666666667"/>
    <s v="SI"/>
    <n v="6.666666666666667"/>
    <n v="0"/>
    <m/>
  </r>
  <r>
    <s v="NESTLE PURINA"/>
    <x v="2"/>
    <x v="2"/>
    <s v="MODERNO"/>
    <n v="12329"/>
    <x v="5"/>
    <s v="CM - CONOCE LAS DINAMICAS COMERCIALES DEL PDV"/>
    <s v="SI"/>
    <m/>
    <n v="31528799"/>
    <s v="NestleP.5"/>
    <x v="0"/>
    <x v="5"/>
    <n v="6.666666666666667"/>
    <s v="SI"/>
    <n v="6.666666666666667"/>
    <n v="0"/>
    <m/>
  </r>
  <r>
    <s v="NESTLE PURINA"/>
    <x v="2"/>
    <x v="2"/>
    <s v="MODERNO"/>
    <n v="12329"/>
    <x v="5"/>
    <s v="INDIQUE QUE TIPO DE OBJECION / DUDA MANIFESTÓ"/>
    <s v="FALTA DE PRODUCTO"/>
    <m/>
    <n v="31528799"/>
    <s v="NestleP.5"/>
    <x v="0"/>
    <x v="0"/>
    <n v="0"/>
    <n v="0"/>
    <n v="0"/>
    <n v="0"/>
    <m/>
  </r>
  <r>
    <s v="NESTLE PURINA"/>
    <x v="2"/>
    <x v="2"/>
    <s v="MODERNO"/>
    <n v="12329"/>
    <x v="5"/>
    <s v="RESUELVE LA OBJECION SATISFACTORIAMENTE?"/>
    <s v="SI"/>
    <m/>
    <n v="31528799"/>
    <s v="NestleP.5"/>
    <x v="0"/>
    <x v="1"/>
    <n v="3.75"/>
    <s v="SI"/>
    <n v="3.75"/>
    <n v="0"/>
    <m/>
  </r>
  <r>
    <s v="NESTLE PURINA"/>
    <x v="2"/>
    <x v="2"/>
    <s v="MODERNO"/>
    <n v="12329"/>
    <x v="5"/>
    <s v="SE ENCUENTRA LIMPIA EL AREA DE DEMOSTRACION &quot;REVISION DE PRODUCTO SIN POLVO Y EN OPTIMAS CONDICIONES&quot;"/>
    <s v="SI"/>
    <m/>
    <n v="31528799"/>
    <s v="NestleP.5"/>
    <x v="0"/>
    <x v="1"/>
    <n v="3.75"/>
    <s v="SI"/>
    <n v="3.75"/>
    <n v="0"/>
    <m/>
  </r>
  <r>
    <s v="NESTLE PURINA"/>
    <x v="2"/>
    <x v="2"/>
    <s v="MODERNO"/>
    <n v="12329"/>
    <x v="5"/>
    <s v="REALIZA CIERRE DE VENTA"/>
    <s v="SI"/>
    <m/>
    <n v="31528799"/>
    <s v="NestleP.5"/>
    <x v="0"/>
    <x v="1"/>
    <n v="3.75"/>
    <s v="SI"/>
    <n v="3.75"/>
    <n v="0"/>
    <m/>
  </r>
  <r>
    <s v="NESTLE PURINA"/>
    <x v="2"/>
    <x v="2"/>
    <s v="MODERNO"/>
    <n v="12329"/>
    <x v="5"/>
    <s v="CONSIDERO QUE INDEPENDIENTEMENTE DEL SPEECH, LA LABOR DE VENTA ES BUENA"/>
    <s v="SI"/>
    <m/>
    <n v="31528799"/>
    <s v="NestleP.5"/>
    <x v="0"/>
    <x v="1"/>
    <n v="3.75"/>
    <s v="SI"/>
    <n v="3.75"/>
    <n v="0"/>
    <m/>
  </r>
  <r>
    <s v="NESTLE PURINA"/>
    <x v="2"/>
    <x v="2"/>
    <s v="MODERNO"/>
    <n v="12329"/>
    <x v="5"/>
    <s v="DESEA AÑADIR ALGUNA OBSERVACION Y/O NOVEDAD DEL MYSTERY REALIZADO?"/>
    <s v=" NO"/>
    <m/>
    <n v="31528799"/>
    <s v="NestleP.5"/>
    <x v="0"/>
    <x v="0"/>
    <n v="0"/>
    <n v="0"/>
    <n v="0"/>
    <n v="0"/>
    <m/>
  </r>
  <r>
    <s v="NESTLE PURINA"/>
    <x v="2"/>
    <x v="2"/>
    <s v="MODERNO"/>
    <n v="12329"/>
    <x v="5"/>
    <s v="INDIQUE OBSERVACION Y/O NOVEDAD DEL MYSTERY REALIZADO"/>
    <s v="N.A"/>
    <m/>
    <n v="31528799"/>
    <s v="NestleP.5"/>
    <x v="0"/>
    <x v="0"/>
    <n v="0"/>
    <n v="0"/>
    <n v="0"/>
    <n v="0"/>
    <m/>
  </r>
  <r>
    <s v="NESTLE PURINA"/>
    <x v="0"/>
    <x v="2"/>
    <s v="MODERNO"/>
    <n v="122880"/>
    <x v="6"/>
    <s v="SE LOGRA REALIZAR EL MYSTERY?"/>
    <s v=" NO"/>
    <m/>
    <n v="31379286"/>
    <s v="NestleP.1"/>
    <x v="1"/>
    <x v="0"/>
    <n v="0"/>
    <n v="0"/>
    <n v="0"/>
    <n v="0"/>
    <m/>
  </r>
  <r>
    <s v="NESTLE PURINA"/>
    <x v="0"/>
    <x v="2"/>
    <s v="MODERNO"/>
    <n v="122880"/>
    <x v="6"/>
    <s v="DESEA AÑADIR ALGUNA OBSERVACION Y/O NOVEDAD DEL MYSTERY REALIZADO?"/>
    <s v="SI"/>
    <m/>
    <n v="31379286"/>
    <s v="NestleP.1"/>
    <x v="1"/>
    <x v="0"/>
    <n v="0"/>
    <n v="0"/>
    <n v="0"/>
    <n v="0"/>
    <m/>
  </r>
  <r>
    <s v="NESTLE PURINA"/>
    <x v="0"/>
    <x v="2"/>
    <s v="MODERNO"/>
    <n v="122880"/>
    <x v="6"/>
    <s v="INDIQUE OBSERVACION Y/O NOVEDAD DEL MYSTERY REALIZADO"/>
    <s v="Buen dia, nos indican que mercaderista adelanto visita ayer por solicitud de  ejecutiva, por ingreso de pedido"/>
    <m/>
    <n v="31379286"/>
    <s v="NestleP.1"/>
    <x v="1"/>
    <x v="0"/>
    <n v="0"/>
    <n v="0"/>
    <n v="0"/>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9F2861-8B4F-4AB1-8DB9-3577766F9B6D}" name="TablaDinámica14" cacheId="85" applyNumberFormats="0" applyBorderFormats="0" applyFontFormats="0" applyPatternFormats="0" applyAlignmentFormats="0" applyWidthHeightFormats="1" dataCaption="Valores" grandTotalCaption="% MYSTERY" showError="1" updatedVersion="8" minRefreshableVersion="3" itemPrintTitles="1" createdVersion="8" indent="0" compact="0" compactData="0" multipleFieldFilters="0">
  <location ref="D45:L53" firstHeaderRow="1" firstDataRow="2" firstDataCol="3" rowPageCount="1" colPageCount="1"/>
  <pivotFields count="19">
    <pivotField compact="0" outline="0" showAll="0">
      <extLst>
        <ext xmlns:x14="http://schemas.microsoft.com/office/spreadsheetml/2009/9/main" uri="{2946ED86-A175-432a-8AC1-64E0C546D7DE}">
          <x14:pivotField fillDownLabels="1"/>
        </ext>
      </extLst>
    </pivotField>
    <pivotField axis="axisRow" compact="0" outline="0" showAll="0" defaultSubtotal="0">
      <items count="14">
        <item x="0"/>
        <item m="1" x="4"/>
        <item x="2"/>
        <item m="1" x="7"/>
        <item m="1" x="5"/>
        <item x="1"/>
        <item m="1" x="13"/>
        <item m="1" x="12"/>
        <item m="1" x="11"/>
        <item m="1" x="9"/>
        <item m="1" x="10"/>
        <item m="1" x="8"/>
        <item m="1" x="6"/>
        <item x="3"/>
      </items>
      <extLst>
        <ext xmlns:x14="http://schemas.microsoft.com/office/spreadsheetml/2009/9/main" uri="{2946ED86-A175-432a-8AC1-64E0C546D7DE}">
          <x14:pivotField fillDownLabels="1"/>
        </ext>
      </extLst>
    </pivotField>
    <pivotField axis="axisRow" compact="0" outline="0" showAll="0" defaultSubtotal="0">
      <items count="4">
        <item m="1" x="3"/>
        <item x="2"/>
        <item x="1"/>
        <item x="0"/>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defaultSubtotal="0">
      <items count="185">
        <item m="1" x="172"/>
        <item m="1" x="178"/>
        <item m="1" x="174"/>
        <item m="1" x="176"/>
        <item m="1" x="128"/>
        <item m="1" x="183"/>
        <item m="1" x="113"/>
        <item m="1" x="180"/>
        <item m="1" x="111"/>
        <item m="1" x="179"/>
        <item m="1" x="177"/>
        <item m="1" x="181"/>
        <item m="1" x="184"/>
        <item m="1" x="182"/>
        <item m="1" x="175"/>
        <item m="1" x="170"/>
        <item m="1" x="173"/>
        <item m="1" x="171"/>
        <item m="1" x="153"/>
        <item m="1" x="110"/>
        <item m="1" x="169"/>
        <item m="1" x="167"/>
        <item m="1" x="168"/>
        <item m="1" x="166"/>
        <item m="1" x="23"/>
        <item m="1" x="158"/>
        <item m="1" x="159"/>
        <item m="1" x="160"/>
        <item m="1" x="161"/>
        <item m="1" x="162"/>
        <item m="1" x="163"/>
        <item m="1" x="164"/>
        <item m="1" x="165"/>
        <item m="1" x="154"/>
        <item m="1" x="146"/>
        <item m="1" x="147"/>
        <item m="1" x="148"/>
        <item m="1" x="149"/>
        <item m="1" x="150"/>
        <item m="1" x="155"/>
        <item m="1" x="151"/>
        <item m="1" x="156"/>
        <item m="1" x="157"/>
        <item m="1" x="152"/>
        <item m="1" x="140"/>
        <item m="1" x="80"/>
        <item m="1" x="143"/>
        <item m="1" x="142"/>
        <item m="1" x="145"/>
        <item m="1" x="144"/>
        <item m="1" x="141"/>
        <item m="1" x="135"/>
        <item m="1" x="134"/>
        <item m="1" x="56"/>
        <item m="1" x="50"/>
        <item m="1" x="137"/>
        <item m="1" x="46"/>
        <item m="1" x="133"/>
        <item m="1" x="132"/>
        <item m="1" x="139"/>
        <item m="1" x="99"/>
        <item m="1" x="136"/>
        <item m="1" x="57"/>
        <item m="1" x="24"/>
        <item m="1" x="39"/>
        <item m="1" x="9"/>
        <item m="1" x="138"/>
        <item m="1" x="129"/>
        <item m="1" x="108"/>
        <item m="1" x="130"/>
        <item m="1" x="127"/>
        <item m="1" x="131"/>
        <item m="1" x="122"/>
        <item m="1" x="123"/>
        <item m="1" x="125"/>
        <item m="1" x="124"/>
        <item m="1" x="126"/>
        <item m="1" x="118"/>
        <item m="1" x="112"/>
        <item m="1" x="115"/>
        <item m="1" x="117"/>
        <item m="1" x="120"/>
        <item m="1" x="119"/>
        <item m="1" x="121"/>
        <item m="1" x="116"/>
        <item m="1" x="114"/>
        <item m="1" x="109"/>
        <item m="1" x="95"/>
        <item m="1" x="107"/>
        <item m="1" x="92"/>
        <item m="1" x="101"/>
        <item m="1" x="102"/>
        <item m="1" x="49"/>
        <item m="1" x="103"/>
        <item m="1" x="104"/>
        <item m="1" x="105"/>
        <item m="1" x="106"/>
        <item m="1" x="86"/>
        <item m="1" x="87"/>
        <item m="1" x="88"/>
        <item m="1" x="89"/>
        <item m="1" x="90"/>
        <item m="1" x="51"/>
        <item m="1" x="91"/>
        <item m="1" x="47"/>
        <item m="1" x="28"/>
        <item m="1" x="93"/>
        <item m="1" x="94"/>
        <item m="1" x="96"/>
        <item m="1" x="97"/>
        <item m="1" x="98"/>
        <item m="1" x="100"/>
        <item m="1" x="77"/>
        <item m="1" x="45"/>
        <item m="1" x="78"/>
        <item m="1" x="79"/>
        <item m="1" x="59"/>
        <item m="1" x="81"/>
        <item m="1" x="82"/>
        <item m="1" x="38"/>
        <item m="1" x="58"/>
        <item m="1" x="83"/>
        <item m="1" x="48"/>
        <item m="1" x="84"/>
        <item m="1" x="85"/>
        <item m="1" x="60"/>
        <item m="1" x="61"/>
        <item m="1" x="62"/>
        <item m="1" x="76"/>
        <item m="1" x="65"/>
        <item m="1" x="54"/>
        <item m="1" x="63"/>
        <item m="1" x="66"/>
        <item m="1" x="67"/>
        <item m="1" x="68"/>
        <item m="1" x="64"/>
        <item m="1" x="69"/>
        <item m="1" x="71"/>
        <item m="1" x="40"/>
        <item m="1" x="70"/>
        <item m="1" x="72"/>
        <item m="1" x="73"/>
        <item m="1" x="74"/>
        <item m="1" x="75"/>
        <item m="1" x="53"/>
        <item m="1" x="52"/>
        <item m="1" x="55"/>
        <item m="1" x="44"/>
        <item m="1" x="41"/>
        <item m="1" x="42"/>
        <item m="1" x="43"/>
        <item m="1" x="36"/>
        <item m="1" x="37"/>
        <item m="1" x="25"/>
        <item m="1" x="27"/>
        <item m="1" x="26"/>
        <item m="1" x="30"/>
        <item m="1" x="31"/>
        <item m="1" x="32"/>
        <item m="1" x="33"/>
        <item m="1" x="35"/>
        <item m="1" x="29"/>
        <item m="1" x="34"/>
        <item m="1" x="20"/>
        <item m="1" x="21"/>
        <item m="1" x="7"/>
        <item m="1" x="22"/>
        <item m="1" x="15"/>
        <item m="1" x="16"/>
        <item m="1" x="17"/>
        <item m="1" x="18"/>
        <item m="1" x="8"/>
        <item m="1" x="19"/>
        <item x="1"/>
        <item m="1" x="11"/>
        <item m="1" x="14"/>
        <item m="1" x="13"/>
        <item m="1" x="10"/>
        <item m="1" x="12"/>
        <item x="0"/>
        <item x="4"/>
        <item x="3"/>
        <item x="6"/>
        <item x="2"/>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4">
        <item m="1" x="2"/>
        <item x="0"/>
        <item x="1"/>
        <item t="default"/>
      </items>
      <extLst>
        <ext xmlns:x14="http://schemas.microsoft.com/office/spreadsheetml/2009/9/main" uri="{2946ED86-A175-432a-8AC1-64E0C546D7DE}">
          <x14:pivotField fillDownLabels="1"/>
        </ext>
      </extLst>
    </pivotField>
    <pivotField axis="axisCol" compact="0" outline="0" showAll="0" sortType="ascending">
      <items count="8">
        <item h="1" m="1" x="6"/>
        <item x="4"/>
        <item x="2"/>
        <item x="1"/>
        <item h="1" x="0"/>
        <item x="5"/>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3">
    <field x="1"/>
    <field x="2"/>
    <field x="5"/>
  </rowFields>
  <rowItems count="7">
    <i>
      <x/>
      <x v="3"/>
      <x v="179"/>
    </i>
    <i>
      <x v="2"/>
      <x v="1"/>
      <x v="184"/>
    </i>
    <i r="1">
      <x v="2"/>
      <x v="183"/>
    </i>
    <i>
      <x v="5"/>
      <x v="1"/>
      <x v="181"/>
    </i>
    <i r="1">
      <x v="2"/>
      <x v="173"/>
    </i>
    <i>
      <x v="13"/>
      <x v="2"/>
      <x v="180"/>
    </i>
    <i t="grand">
      <x/>
    </i>
  </rowItems>
  <colFields count="1">
    <field x="12"/>
  </colFields>
  <colItems count="6">
    <i>
      <x v="1"/>
    </i>
    <i>
      <x v="2"/>
    </i>
    <i>
      <x v="3"/>
    </i>
    <i>
      <x v="5"/>
    </i>
    <i>
      <x v="6"/>
    </i>
    <i t="grand">
      <x/>
    </i>
  </colItems>
  <pageFields count="1">
    <pageField fld="11" hier="-1"/>
  </pageFields>
  <dataFields count="1">
    <dataField name="Suma de % MYSTERY" fld="18" baseField="0" baseItem="0" numFmtId="9"/>
  </dataFields>
  <formats count="43">
    <format dxfId="2565">
      <pivotArea outline="0" collapsedLevelsAreSubtotals="1" fieldPosition="0"/>
    </format>
    <format dxfId="2564">
      <pivotArea outline="0" collapsedLevelsAreSubtotals="1" fieldPosition="0"/>
    </format>
    <format dxfId="2563">
      <pivotArea dataOnly="0" labelOnly="1" grandCol="1" outline="0" fieldPosition="0"/>
    </format>
    <format dxfId="2562">
      <pivotArea outline="0" collapsedLevelsAreSubtotals="1" fieldPosition="0"/>
    </format>
    <format dxfId="2561">
      <pivotArea dataOnly="0" labelOnly="1" grandCol="1" outline="0" fieldPosition="0"/>
    </format>
    <format dxfId="2560">
      <pivotArea grandRow="1" outline="0" collapsedLevelsAreSubtotals="1" fieldPosition="0"/>
    </format>
    <format dxfId="2559">
      <pivotArea grandRow="1" outline="0" collapsedLevelsAreSubtotals="1" fieldPosition="0"/>
    </format>
    <format dxfId="2558">
      <pivotArea dataOnly="0" labelOnly="1" grandCol="1" outline="0" fieldPosition="0"/>
    </format>
    <format dxfId="2557">
      <pivotArea dataOnly="0" labelOnly="1" outline="0" fieldPosition="0">
        <references count="2">
          <reference field="1" count="1" selected="0">
            <x v="0"/>
          </reference>
          <reference field="5" count="1">
            <x v="16"/>
          </reference>
        </references>
      </pivotArea>
    </format>
    <format dxfId="2556">
      <pivotArea dataOnly="0" labelOnly="1" outline="0" fieldPosition="0">
        <references count="2">
          <reference field="1" count="1" selected="0">
            <x v="0"/>
          </reference>
          <reference field="5" count="1">
            <x v="16"/>
          </reference>
        </references>
      </pivotArea>
    </format>
    <format dxfId="2555">
      <pivotArea dataOnly="0" labelOnly="1" outline="0" fieldPosition="0">
        <references count="2">
          <reference field="1" count="1" selected="0">
            <x v="4"/>
          </reference>
          <reference field="5" count="2">
            <x v="14"/>
            <x v="18"/>
          </reference>
        </references>
      </pivotArea>
    </format>
    <format dxfId="2554">
      <pivotArea dataOnly="0" labelOnly="1" outline="0" fieldPosition="0">
        <references count="2">
          <reference field="1" count="1" selected="0">
            <x v="0"/>
          </reference>
          <reference field="5" count="1">
            <x v="16"/>
          </reference>
        </references>
      </pivotArea>
    </format>
    <format dxfId="2553">
      <pivotArea dataOnly="0" labelOnly="1" outline="0" fieldPosition="0">
        <references count="2">
          <reference field="1" count="1" selected="0">
            <x v="4"/>
          </reference>
          <reference field="5" count="2">
            <x v="14"/>
            <x v="18"/>
          </reference>
        </references>
      </pivotArea>
    </format>
    <format dxfId="2552">
      <pivotArea field="1" type="button" dataOnly="0" labelOnly="1" outline="0" axis="axisRow" fieldPosition="0"/>
    </format>
    <format dxfId="2551">
      <pivotArea field="5" type="button" dataOnly="0" labelOnly="1" outline="0" axis="axisRow" fieldPosition="2"/>
    </format>
    <format dxfId="2550">
      <pivotArea dataOnly="0" labelOnly="1" outline="0" fieldPosition="0">
        <references count="1">
          <reference field="12" count="0"/>
        </references>
      </pivotArea>
    </format>
    <format dxfId="2549">
      <pivotArea dataOnly="0" labelOnly="1" grandCol="1" outline="0" fieldPosition="0"/>
    </format>
    <format dxfId="2548">
      <pivotArea field="1" type="button" dataOnly="0" labelOnly="1" outline="0" axis="axisRow" fieldPosition="0"/>
    </format>
    <format dxfId="2547">
      <pivotArea field="5" type="button" dataOnly="0" labelOnly="1" outline="0" axis="axisRow" fieldPosition="2"/>
    </format>
    <format dxfId="2546">
      <pivotArea dataOnly="0" labelOnly="1" outline="0" fieldPosition="0">
        <references count="1">
          <reference field="12" count="0"/>
        </references>
      </pivotArea>
    </format>
    <format dxfId="2545">
      <pivotArea dataOnly="0" labelOnly="1" grandCol="1" outline="0" fieldPosition="0"/>
    </format>
    <format dxfId="2544">
      <pivotArea field="2" type="button" dataOnly="0" labelOnly="1" outline="0" axis="axisRow" fieldPosition="1"/>
    </format>
    <format dxfId="2543">
      <pivotArea field="1" type="button" dataOnly="0" labelOnly="1" outline="0" axis="axisRow" fieldPosition="0"/>
    </format>
    <format dxfId="2542">
      <pivotArea field="2" type="button" dataOnly="0" labelOnly="1" outline="0" axis="axisRow" fieldPosition="1"/>
    </format>
    <format dxfId="2541">
      <pivotArea field="5" type="button" dataOnly="0" labelOnly="1" outline="0" axis="axisRow" fieldPosition="2"/>
    </format>
    <format dxfId="2540">
      <pivotArea dataOnly="0" labelOnly="1" outline="0" fieldPosition="0">
        <references count="1">
          <reference field="12" count="0"/>
        </references>
      </pivotArea>
    </format>
    <format dxfId="2539">
      <pivotArea dataOnly="0" labelOnly="1" grandCol="1" outline="0" fieldPosition="0"/>
    </format>
    <format dxfId="2538">
      <pivotArea field="1" type="button" dataOnly="0" labelOnly="1" outline="0" axis="axisRow" fieldPosition="0"/>
    </format>
    <format dxfId="2537">
      <pivotArea field="2" type="button" dataOnly="0" labelOnly="1" outline="0" axis="axisRow" fieldPosition="1"/>
    </format>
    <format dxfId="2536">
      <pivotArea field="5" type="button" dataOnly="0" labelOnly="1" outline="0" axis="axisRow" fieldPosition="2"/>
    </format>
    <format dxfId="2535">
      <pivotArea dataOnly="0" labelOnly="1" outline="0" fieldPosition="0">
        <references count="1">
          <reference field="12" count="0"/>
        </references>
      </pivotArea>
    </format>
    <format dxfId="2534">
      <pivotArea field="12" grandRow="1" outline="0" axis="axisCol" fieldPosition="0">
        <references count="1">
          <reference field="12" count="0" selected="0"/>
        </references>
      </pivotArea>
    </format>
    <format dxfId="2533">
      <pivotArea dataOnly="0" labelOnly="1" outline="0" fieldPosition="0">
        <references count="1">
          <reference field="1" count="2">
            <x v="0"/>
            <x v="4"/>
          </reference>
        </references>
      </pivotArea>
    </format>
    <format dxfId="2532">
      <pivotArea dataOnly="0" labelOnly="1" grandRow="1" outline="0" fieldPosition="0"/>
    </format>
    <format dxfId="2531">
      <pivotArea dataOnly="0" labelOnly="1" outline="0" fieldPosition="0">
        <references count="1">
          <reference field="1" count="2">
            <x v="0"/>
            <x v="4"/>
          </reference>
        </references>
      </pivotArea>
    </format>
    <format dxfId="2530">
      <pivotArea dataOnly="0" labelOnly="1" grandRow="1" outline="0" fieldPosition="0"/>
    </format>
    <format dxfId="2529">
      <pivotArea field="11" type="button" dataOnly="0" labelOnly="1" outline="0" axis="axisPage" fieldPosition="0"/>
    </format>
    <format dxfId="2528">
      <pivotArea field="12" grandRow="1" outline="0" axis="axisCol" fieldPosition="0">
        <references count="1">
          <reference field="12" count="0" selected="0"/>
        </references>
      </pivotArea>
    </format>
    <format dxfId="2527">
      <pivotArea field="12" grandRow="1" outline="0" axis="axisCol" fieldPosition="0">
        <references count="1">
          <reference field="12" count="0" selected="0"/>
        </references>
      </pivotArea>
    </format>
    <format dxfId="2526">
      <pivotArea field="12" grandRow="1" outline="0" axis="axisCol" fieldPosition="0">
        <references count="1">
          <reference field="12" count="0" selected="0"/>
        </references>
      </pivotArea>
    </format>
    <format dxfId="2525">
      <pivotArea grandRow="1" grandCol="1" outline="0" collapsedLevelsAreSubtotals="1" fieldPosition="0"/>
    </format>
    <format dxfId="2524">
      <pivotArea grandRow="1" grandCol="1" outline="0" collapsedLevelsAreSubtotals="1" fieldPosition="0"/>
    </format>
    <format dxfId="2523">
      <pivotArea field="12" grandRow="1" outline="0" axis="axisCol" fieldPosition="0">
        <references count="1">
          <reference field="12" count="0" selected="0"/>
        </references>
      </pivotArea>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x14:conditionalFormats count="4">
          <x14:conditionalFormat priority="4" id="{793DEEDE-EB15-454C-9A1A-47BBA1A3B90B}">
            <x14:pivotAreas count="1">
              <pivotArea type="data" outline="0" collapsedLevelsAreSubtotals="1" fieldPosition="0">
                <references count="2">
                  <reference field="4294967294" count="1" selected="0">
                    <x v="0"/>
                  </reference>
                  <reference field="12" count="1" selected="0">
                    <x v="6"/>
                  </reference>
                </references>
              </pivotArea>
            </x14:pivotAreas>
          </x14:conditionalFormat>
          <x14:conditionalFormat priority="15" id="{77DEA58D-9E99-425A-9445-E00F5EBBE714}">
            <x14:pivotAreas count="1">
              <pivotArea type="data" grandCol="1" outline="0" collapsedLevelsAreSubtotals="1" fieldPosition="0">
                <references count="4">
                  <reference field="4294967294" count="1" selected="0">
                    <x v="0"/>
                  </reference>
                  <reference field="1" count="5" selected="0">
                    <x v="0"/>
                    <x v="3"/>
                    <x v="4"/>
                    <x v="5"/>
                    <x v="8"/>
                  </reference>
                  <reference field="2" count="1" selected="0">
                    <x v="1"/>
                  </reference>
                  <reference field="5" count="7" selected="0">
                    <x v="4"/>
                    <x v="19"/>
                    <x v="67"/>
                    <x v="68"/>
                    <x v="69"/>
                    <x v="70"/>
                    <x v="71"/>
                  </reference>
                </references>
              </pivotArea>
            </x14:pivotAreas>
          </x14:conditionalFormat>
          <x14:conditionalFormat priority="12" id="{FEDEA57B-B43C-4ADF-B15A-40144AAD63D3}">
            <x14:pivotAreas count="1">
              <pivotArea type="data" grandCol="1" outline="0" collapsedLevelsAreSubtotals="1" fieldPosition="0">
                <references count="1">
                  <reference field="4294967294" count="1" selected="0">
                    <x v="0"/>
                  </reference>
                </references>
              </pivotArea>
            </x14:pivotAreas>
          </x14:conditionalFormat>
          <x14:conditionalFormat priority="6" id="{BAE3BAAD-2855-4541-9A0D-5874056A0CCE}">
            <x14:pivotAreas count="1">
              <pivotArea type="data" outline="0" collapsedLevelsAreSubtotals="1" fieldPosition="0">
                <references count="2">
                  <reference field="4294967294" count="1" selected="0">
                    <x v="0"/>
                  </reference>
                  <reference field="12" count="4" selected="0">
                    <x v="1"/>
                    <x v="2"/>
                    <x v="3"/>
                    <x v="5"/>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D1DB93-6B46-4C1C-881B-037C4912781B}" name="TablaDinámica12" cacheId="85"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6" rowHeaderCaption="CLUSTER">
  <location ref="D30:I37" firstHeaderRow="1" firstDataRow="2" firstDataCol="1"/>
  <pivotFields count="19">
    <pivotField showAll="0"/>
    <pivotField axis="axisCol" showAll="0">
      <items count="15">
        <item x="0"/>
        <item m="1" x="4"/>
        <item x="2"/>
        <item m="1" x="7"/>
        <item m="1" x="5"/>
        <item x="1"/>
        <item m="1" x="13"/>
        <item m="1" x="12"/>
        <item m="1" x="11"/>
        <item m="1" x="9"/>
        <item m="1" x="10"/>
        <item m="1" x="8"/>
        <item m="1" x="6"/>
        <item x="3"/>
        <item t="default"/>
      </items>
    </pivotField>
    <pivotField showAll="0"/>
    <pivotField showAll="0"/>
    <pivotField showAll="0"/>
    <pivotField showAll="0">
      <items count="186">
        <item m="1" x="17"/>
        <item m="1" x="105"/>
        <item m="1" x="94"/>
        <item m="1" x="85"/>
        <item m="1" x="115"/>
        <item m="1" x="109"/>
        <item m="1" x="72"/>
        <item m="1" x="162"/>
        <item m="1" x="34"/>
        <item m="1" x="36"/>
        <item m="1" x="161"/>
        <item m="1" x="106"/>
        <item m="1" x="13"/>
        <item m="1" x="95"/>
        <item m="1" x="101"/>
        <item m="1" x="43"/>
        <item m="1" x="25"/>
        <item m="1" x="152"/>
        <item m="1" x="120"/>
        <item m="1" x="112"/>
        <item m="1" x="40"/>
        <item m="1" x="92"/>
        <item m="1" x="114"/>
        <item m="1" x="91"/>
        <item m="1" x="98"/>
        <item m="1" x="68"/>
        <item m="1" x="69"/>
        <item m="1" x="30"/>
        <item m="1" x="118"/>
        <item m="1" x="100"/>
        <item m="1" x="58"/>
        <item m="1" x="83"/>
        <item m="1" x="26"/>
        <item m="1" x="125"/>
        <item m="1" x="124"/>
        <item m="1" x="38"/>
        <item m="1" x="78"/>
        <item m="1" x="29"/>
        <item m="1" x="42"/>
        <item m="1" x="160"/>
        <item m="1" x="32"/>
        <item x="0"/>
        <item m="1" x="10"/>
        <item m="1" x="74"/>
        <item m="1" x="51"/>
        <item m="1" x="64"/>
        <item m="1" x="86"/>
        <item m="1" x="16"/>
        <item m="1" x="82"/>
        <item m="1" x="37"/>
        <item m="1" x="45"/>
        <item m="1" x="47"/>
        <item m="1" x="11"/>
        <item m="1" x="60"/>
        <item m="1" x="117"/>
        <item m="1" x="159"/>
        <item m="1" x="53"/>
        <item m="1" x="22"/>
        <item m="1" x="33"/>
        <item x="1"/>
        <item m="1" x="54"/>
        <item m="1" x="73"/>
        <item m="1" x="155"/>
        <item m="1" x="151"/>
        <item m="1" x="7"/>
        <item m="1" x="84"/>
        <item m="1" x="21"/>
        <item m="1" x="27"/>
        <item m="1" x="8"/>
        <item m="1" x="65"/>
        <item m="1" x="70"/>
        <item m="1" x="20"/>
        <item m="1" x="31"/>
        <item m="1" x="163"/>
        <item m="1" x="164"/>
        <item m="1" x="157"/>
        <item m="1" x="71"/>
        <item m="1" x="61"/>
        <item m="1" x="41"/>
        <item m="1" x="156"/>
        <item m="1" x="44"/>
        <item x="2"/>
        <item m="1" x="107"/>
        <item m="1" x="121"/>
        <item m="1" x="97"/>
        <item m="1" x="77"/>
        <item m="1" x="63"/>
        <item m="1" x="104"/>
        <item m="1" x="150"/>
        <item m="1" x="75"/>
        <item m="1" x="52"/>
        <item m="1" x="149"/>
        <item m="1" x="48"/>
        <item m="1" x="165"/>
        <item m="1" x="28"/>
        <item m="1" x="18"/>
        <item m="1" x="88"/>
        <item m="1" x="81"/>
        <item m="1" x="35"/>
        <item m="1" x="96"/>
        <item m="1" x="19"/>
        <item x="3"/>
        <item m="1" x="79"/>
        <item m="1" x="102"/>
        <item m="1" x="76"/>
        <item m="1" x="119"/>
        <item m="1" x="55"/>
        <item m="1" x="49"/>
        <item m="1" x="66"/>
        <item m="1" x="67"/>
        <item m="1" x="116"/>
        <item m="1" x="56"/>
        <item m="1" x="144"/>
        <item m="1" x="143"/>
        <item x="4"/>
        <item m="1" x="172"/>
        <item m="1" x="166"/>
        <item m="1" x="169"/>
        <item m="1" x="168"/>
        <item m="1" x="147"/>
        <item m="1" x="178"/>
        <item m="1" x="148"/>
        <item m="1" x="15"/>
        <item m="1" x="167"/>
        <item m="1" x="132"/>
        <item m="1" x="90"/>
        <item m="1" x="14"/>
        <item m="1" x="50"/>
        <item m="1" x="24"/>
        <item m="1" x="87"/>
        <item m="1" x="174"/>
        <item m="1" x="158"/>
        <item m="1" x="146"/>
        <item m="1" x="108"/>
        <item m="1" x="127"/>
        <item x="5"/>
        <item m="1" x="176"/>
        <item m="1" x="46"/>
        <item m="1" x="110"/>
        <item m="1" x="136"/>
        <item m="1" x="126"/>
        <item m="1" x="128"/>
        <item m="1" x="183"/>
        <item m="1" x="133"/>
        <item m="1" x="57"/>
        <item m="1" x="113"/>
        <item m="1" x="180"/>
        <item m="1" x="122"/>
        <item m="1" x="129"/>
        <item m="1" x="111"/>
        <item m="1" x="179"/>
        <item m="1" x="130"/>
        <item m="1" x="177"/>
        <item m="1" x="93"/>
        <item m="1" x="154"/>
        <item m="1" x="23"/>
        <item m="1" x="181"/>
        <item m="1" x="140"/>
        <item m="1" x="9"/>
        <item m="1" x="39"/>
        <item m="1" x="89"/>
        <item m="1" x="80"/>
        <item m="1" x="59"/>
        <item m="1" x="131"/>
        <item m="1" x="184"/>
        <item m="1" x="182"/>
        <item m="1" x="139"/>
        <item m="1" x="137"/>
        <item m="1" x="123"/>
        <item m="1" x="134"/>
        <item m="1" x="138"/>
        <item m="1" x="135"/>
        <item m="1" x="142"/>
        <item m="1" x="99"/>
        <item x="6"/>
        <item m="1" x="175"/>
        <item m="1" x="12"/>
        <item m="1" x="62"/>
        <item m="1" x="170"/>
        <item m="1" x="173"/>
        <item m="1" x="171"/>
        <item m="1" x="153"/>
        <item m="1" x="103"/>
        <item m="1" x="141"/>
        <item m="1" x="145"/>
        <item t="default"/>
      </items>
    </pivotField>
    <pivotField showAll="0"/>
    <pivotField showAll="0"/>
    <pivotField numFmtId="14" showAll="0"/>
    <pivotField multipleItemSelectionAllowed="1" showAll="0"/>
    <pivotField showAll="0"/>
    <pivotField showAll="0"/>
    <pivotField axis="axisRow" showAll="0" sortType="descending">
      <items count="8">
        <item h="1" x="0"/>
        <item h="1" m="1" x="6"/>
        <item x="2"/>
        <item x="3"/>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6"/>
    </i>
    <i>
      <x v="2"/>
    </i>
    <i>
      <x v="3"/>
    </i>
    <i>
      <x v="4"/>
    </i>
    <i>
      <x v="5"/>
    </i>
    <i t="grand">
      <x/>
    </i>
  </rowItems>
  <colFields count="1">
    <field x="1"/>
  </colFields>
  <colItems count="5">
    <i>
      <x/>
    </i>
    <i>
      <x v="2"/>
    </i>
    <i>
      <x v="5"/>
    </i>
    <i>
      <x v="13"/>
    </i>
    <i t="grand">
      <x/>
    </i>
  </colItems>
  <dataFields count="1">
    <dataField name="Suma de % MYSTERY" fld="18" baseField="0" baseItem="0" numFmtId="9"/>
  </dataFields>
  <formats count="17">
    <format dxfId="2582">
      <pivotArea outline="0" collapsedLevelsAreSubtotals="1" fieldPosition="0"/>
    </format>
    <format dxfId="2581">
      <pivotArea dataOnly="0" labelOnly="1" grandCol="1" outline="0" fieldPosition="0"/>
    </format>
    <format dxfId="2580">
      <pivotArea dataOnly="0" labelOnly="1" grandCol="1" outline="0" fieldPosition="0"/>
    </format>
    <format dxfId="2579">
      <pivotArea grandRow="1" outline="0" collapsedLevelsAreSubtotals="1" fieldPosition="0"/>
    </format>
    <format dxfId="2578">
      <pivotArea grandRow="1" outline="0" collapsedLevelsAreSubtotals="1" fieldPosition="0"/>
    </format>
    <format dxfId="2577">
      <pivotArea dataOnly="0" labelOnly="1" grandCol="1" outline="0" fieldPosition="0"/>
    </format>
    <format dxfId="2576">
      <pivotArea grandRow="1" grandCol="1" outline="0" collapsedLevelsAreSubtotals="1" fieldPosition="0"/>
    </format>
    <format dxfId="2575">
      <pivotArea outline="0" collapsedLevelsAreSubtotals="1" fieldPosition="0"/>
    </format>
    <format dxfId="2574">
      <pivotArea field="1" type="button" dataOnly="0" labelOnly="1" outline="0" axis="axisCol" fieldPosition="0"/>
    </format>
    <format dxfId="2573">
      <pivotArea type="topRight" dataOnly="0" labelOnly="1" outline="0" fieldPosition="0"/>
    </format>
    <format dxfId="2572">
      <pivotArea dataOnly="0" labelOnly="1" fieldPosition="0">
        <references count="1">
          <reference field="1" count="0"/>
        </references>
      </pivotArea>
    </format>
    <format dxfId="2571">
      <pivotArea dataOnly="0" labelOnly="1" grandCol="1" outline="0" fieldPosition="0"/>
    </format>
    <format dxfId="2570">
      <pivotArea outline="0" collapsedLevelsAreSubtotals="1" fieldPosition="0"/>
    </format>
    <format dxfId="2569">
      <pivotArea field="1" type="button" dataOnly="0" labelOnly="1" outline="0" axis="axisCol" fieldPosition="0"/>
    </format>
    <format dxfId="2568">
      <pivotArea type="topRight" dataOnly="0" labelOnly="1" outline="0" fieldPosition="0"/>
    </format>
    <format dxfId="2567">
      <pivotArea dataOnly="0" labelOnly="1" fieldPosition="0">
        <references count="1">
          <reference field="1" count="0"/>
        </references>
      </pivotArea>
    </format>
    <format dxfId="2566">
      <pivotArea dataOnly="0" labelOnly="1" grandCol="1" outline="0" fieldPosition="0"/>
    </format>
  </formats>
  <chartFormats count="13">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1" count="1" selected="0">
            <x v="9"/>
          </reference>
        </references>
      </pivotArea>
    </chartFormat>
    <chartFormat chart="0" format="12" series="1">
      <pivotArea type="data" outline="0" fieldPosition="0">
        <references count="2">
          <reference field="4294967294" count="1" selected="0">
            <x v="0"/>
          </reference>
          <reference field="1" count="1" selected="0">
            <x v="10"/>
          </reference>
        </references>
      </pivotArea>
    </chartFormat>
    <chartFormat chart="0" format="13" series="1">
      <pivotArea type="data" outline="0" fieldPosition="0">
        <references count="2">
          <reference field="4294967294" count="1" selected="0">
            <x v="0"/>
          </reference>
          <reference field="1" count="1" selected="0">
            <x v="2"/>
          </reference>
        </references>
      </pivotArea>
    </chartFormat>
    <chartFormat chart="0" format="14" series="1">
      <pivotArea type="data" outline="0" fieldPosition="0">
        <references count="2">
          <reference field="4294967294" count="1" selected="0">
            <x v="0"/>
          </reference>
          <reference field="1" count="1" selected="0">
            <x v="11"/>
          </reference>
        </references>
      </pivotArea>
    </chartFormat>
    <chartFormat chart="0" format="15" series="1">
      <pivotArea type="data" outline="0" fieldPosition="0">
        <references count="2">
          <reference field="4294967294" count="1" selected="0">
            <x v="0"/>
          </reference>
          <reference field="1" count="1" selected="0">
            <x v="12"/>
          </reference>
        </references>
      </pivotArea>
    </chartFormat>
    <chartFormat chart="0" format="16" series="1">
      <pivotArea type="data" outline="0" fieldPosition="0">
        <references count="2">
          <reference field="4294967294" count="1" selected="0">
            <x v="0"/>
          </reference>
          <reference field="1" count="1" selected="0">
            <x v="13"/>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7">
          <x14:conditionalFormat priority="2" id="{1A50011A-7144-4BA5-9551-74A12994C23A}">
            <x14:pivotAreas count="1">
              <pivotArea type="data" grandRow="1" grandCol="1" outline="0" collapsedLevelsAreSubtotals="1" fieldPosition="0">
                <references count="1">
                  <reference field="4294967294" count="1" selected="0">
                    <x v="0"/>
                  </reference>
                </references>
              </pivotArea>
            </x14:pivotAreas>
          </x14:conditionalFormat>
          <x14:conditionalFormat priority="3" id="{79EF4831-482A-49D1-9743-8F2E35D01FCC}">
            <x14:pivotAreas count="1">
              <pivotArea type="data" outline="0" collapsedLevelsAreSubtotals="1" fieldPosition="0">
                <references count="2">
                  <reference field="4294967294" count="1" selected="0">
                    <x v="0"/>
                  </reference>
                  <reference field="1" count="1" selected="0">
                    <x v="12"/>
                  </reference>
                </references>
              </pivotArea>
            </x14:pivotAreas>
          </x14:conditionalFormat>
          <x14:conditionalFormat priority="20" id="{84DE4F07-E727-4C73-AE29-1D4C44E1922B}">
            <x14:pivotAreas count="1">
              <pivotArea type="data" outline="0" collapsedLevelsAreSubtotals="1" fieldPosition="0">
                <references count="2">
                  <reference field="4294967294" count="1" selected="0">
                    <x v="0"/>
                  </reference>
                  <reference field="1" count="1" selected="0">
                    <x v="4"/>
                  </reference>
                </references>
              </pivotArea>
            </x14:pivotAreas>
          </x14:conditionalFormat>
          <x14:conditionalFormat priority="21" id="{89AB2A6D-6E46-4627-BFDD-62ACB8214849}">
            <x14:pivotAreas count="1">
              <pivotArea type="data" outline="0" collapsedLevelsAreSubtotals="1" fieldPosition="0">
                <references count="2">
                  <reference field="4294967294" count="1" selected="0">
                    <x v="0"/>
                  </reference>
                  <reference field="1" count="1" selected="0">
                    <x v="3"/>
                  </reference>
                </references>
              </pivotArea>
            </x14:pivotAreas>
          </x14:conditionalFormat>
          <x14:conditionalFormat priority="99" id="{578A6BBE-0746-49B8-A379-5CA92DEB79AA}">
            <x14:pivotAreas count="1">
              <pivotArea type="data" grandCol="1" collapsedLevelsAreSubtotals="1" fieldPosition="0">
                <references count="2">
                  <reference field="4294967294" count="1" selected="0">
                    <x v="0"/>
                  </reference>
                  <reference field="12" count="5">
                    <x v="2"/>
                    <x v="3"/>
                    <x v="4"/>
                    <x v="5"/>
                    <x v="6"/>
                  </reference>
                </references>
              </pivotArea>
            </x14:pivotAreas>
          </x14:conditionalFormat>
          <x14:conditionalFormat priority="10" id="{D07F4ABB-167C-4C29-B4DC-F2C854E5FF8F}">
            <x14:pivotAreas count="1">
              <pivotArea type="data" outline="0" collapsedLevelsAreSubtotals="1" fieldPosition="0">
                <references count="2">
                  <reference field="4294967294" count="1" selected="0">
                    <x v="0"/>
                  </reference>
                  <reference field="1" count="3" selected="0">
                    <x v="0"/>
                    <x v="1"/>
                    <x v="5"/>
                  </reference>
                </references>
              </pivotArea>
            </x14:pivotAreas>
          </x14:conditionalFormat>
          <x14:conditionalFormat priority="8" id="{FD37CB4B-EA35-45C1-B033-CBB122F3F452}">
            <x14:pivotAreas count="1">
              <pivotArea type="data" outline="0" collapsedLevelsAreSubtotals="1" fieldPosition="0">
                <references count="2">
                  <reference field="4294967294" count="1" selected="0">
                    <x v="0"/>
                  </reference>
                  <reference field="1" count="1" selected="0">
                    <x v="2"/>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031FF4-9FC5-4CE5-9C4A-4C9C0C5884C6}" name="TablaDinámica11" cacheId="85"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4" rowHeaderCaption="CLUSTER">
  <location ref="D16:H23" firstHeaderRow="1" firstDataRow="2" firstDataCol="1"/>
  <pivotFields count="19">
    <pivotField showAll="0"/>
    <pivotField showAll="0">
      <items count="15">
        <item m="1" x="6"/>
        <item m="1" x="10"/>
        <item x="1"/>
        <item x="0"/>
        <item m="1" x="11"/>
        <item m="1" x="4"/>
        <item x="2"/>
        <item m="1" x="9"/>
        <item m="1" x="7"/>
        <item m="1" x="13"/>
        <item m="1" x="8"/>
        <item m="1" x="5"/>
        <item x="3"/>
        <item m="1" x="12"/>
        <item t="default"/>
      </items>
    </pivotField>
    <pivotField axis="axisCol" showAll="0">
      <items count="5">
        <item h="1" m="1" x="3"/>
        <item x="2"/>
        <item x="1"/>
        <item x="0"/>
        <item t="default"/>
      </items>
    </pivotField>
    <pivotField showAll="0"/>
    <pivotField showAll="0"/>
    <pivotField showAll="0">
      <items count="186">
        <item m="1" x="17"/>
        <item m="1" x="105"/>
        <item m="1" x="94"/>
        <item m="1" x="85"/>
        <item m="1" x="115"/>
        <item m="1" x="109"/>
        <item m="1" x="72"/>
        <item m="1" x="162"/>
        <item m="1" x="34"/>
        <item m="1" x="36"/>
        <item m="1" x="161"/>
        <item m="1" x="106"/>
        <item m="1" x="13"/>
        <item m="1" x="95"/>
        <item m="1" x="101"/>
        <item m="1" x="43"/>
        <item m="1" x="25"/>
        <item m="1" x="152"/>
        <item m="1" x="120"/>
        <item m="1" x="112"/>
        <item m="1" x="40"/>
        <item m="1" x="92"/>
        <item m="1" x="114"/>
        <item m="1" x="91"/>
        <item m="1" x="98"/>
        <item m="1" x="68"/>
        <item m="1" x="69"/>
        <item m="1" x="30"/>
        <item m="1" x="118"/>
        <item m="1" x="100"/>
        <item m="1" x="58"/>
        <item m="1" x="83"/>
        <item m="1" x="26"/>
        <item m="1" x="125"/>
        <item m="1" x="124"/>
        <item m="1" x="38"/>
        <item m="1" x="78"/>
        <item m="1" x="29"/>
        <item m="1" x="42"/>
        <item m="1" x="160"/>
        <item m="1" x="32"/>
        <item x="0"/>
        <item m="1" x="10"/>
        <item m="1" x="74"/>
        <item m="1" x="51"/>
        <item m="1" x="64"/>
        <item m="1" x="86"/>
        <item m="1" x="16"/>
        <item m="1" x="82"/>
        <item m="1" x="37"/>
        <item m="1" x="45"/>
        <item m="1" x="47"/>
        <item m="1" x="11"/>
        <item m="1" x="60"/>
        <item m="1" x="117"/>
        <item m="1" x="159"/>
        <item m="1" x="53"/>
        <item m="1" x="22"/>
        <item m="1" x="33"/>
        <item x="1"/>
        <item m="1" x="54"/>
        <item m="1" x="73"/>
        <item m="1" x="155"/>
        <item m="1" x="151"/>
        <item m="1" x="7"/>
        <item m="1" x="84"/>
        <item m="1" x="21"/>
        <item m="1" x="27"/>
        <item m="1" x="8"/>
        <item m="1" x="65"/>
        <item m="1" x="70"/>
        <item m="1" x="20"/>
        <item m="1" x="31"/>
        <item m="1" x="163"/>
        <item m="1" x="164"/>
        <item m="1" x="157"/>
        <item m="1" x="71"/>
        <item m="1" x="61"/>
        <item m="1" x="41"/>
        <item m="1" x="156"/>
        <item m="1" x="44"/>
        <item x="2"/>
        <item m="1" x="107"/>
        <item m="1" x="121"/>
        <item m="1" x="97"/>
        <item m="1" x="77"/>
        <item m="1" x="63"/>
        <item m="1" x="104"/>
        <item m="1" x="150"/>
        <item m="1" x="75"/>
        <item m="1" x="52"/>
        <item m="1" x="149"/>
        <item m="1" x="48"/>
        <item m="1" x="165"/>
        <item m="1" x="28"/>
        <item m="1" x="18"/>
        <item m="1" x="88"/>
        <item m="1" x="81"/>
        <item m="1" x="35"/>
        <item m="1" x="96"/>
        <item m="1" x="19"/>
        <item x="3"/>
        <item m="1" x="79"/>
        <item m="1" x="102"/>
        <item m="1" x="76"/>
        <item m="1" x="119"/>
        <item m="1" x="55"/>
        <item m="1" x="49"/>
        <item m="1" x="66"/>
        <item m="1" x="67"/>
        <item m="1" x="116"/>
        <item m="1" x="56"/>
        <item m="1" x="144"/>
        <item m="1" x="143"/>
        <item x="4"/>
        <item m="1" x="172"/>
        <item m="1" x="166"/>
        <item m="1" x="169"/>
        <item m="1" x="168"/>
        <item m="1" x="147"/>
        <item m="1" x="178"/>
        <item m="1" x="148"/>
        <item m="1" x="15"/>
        <item m="1" x="167"/>
        <item m="1" x="132"/>
        <item m="1" x="90"/>
        <item m="1" x="14"/>
        <item m="1" x="50"/>
        <item m="1" x="24"/>
        <item m="1" x="87"/>
        <item m="1" x="174"/>
        <item m="1" x="158"/>
        <item m="1" x="146"/>
        <item m="1" x="108"/>
        <item m="1" x="127"/>
        <item x="5"/>
        <item m="1" x="176"/>
        <item m="1" x="46"/>
        <item m="1" x="110"/>
        <item m="1" x="136"/>
        <item m="1" x="126"/>
        <item m="1" x="128"/>
        <item m="1" x="183"/>
        <item m="1" x="133"/>
        <item m="1" x="57"/>
        <item m="1" x="113"/>
        <item m="1" x="180"/>
        <item m="1" x="122"/>
        <item m="1" x="129"/>
        <item m="1" x="111"/>
        <item m="1" x="179"/>
        <item m="1" x="130"/>
        <item m="1" x="177"/>
        <item m="1" x="93"/>
        <item m="1" x="154"/>
        <item m="1" x="23"/>
        <item m="1" x="181"/>
        <item m="1" x="140"/>
        <item m="1" x="9"/>
        <item m="1" x="39"/>
        <item m="1" x="89"/>
        <item m="1" x="80"/>
        <item m="1" x="59"/>
        <item m="1" x="131"/>
        <item m="1" x="184"/>
        <item m="1" x="182"/>
        <item m="1" x="139"/>
        <item m="1" x="137"/>
        <item m="1" x="123"/>
        <item m="1" x="134"/>
        <item m="1" x="138"/>
        <item m="1" x="135"/>
        <item m="1" x="142"/>
        <item m="1" x="99"/>
        <item x="6"/>
        <item m="1" x="175"/>
        <item m="1" x="12"/>
        <item m="1" x="62"/>
        <item m="1" x="170"/>
        <item m="1" x="173"/>
        <item m="1" x="171"/>
        <item m="1" x="153"/>
        <item m="1" x="103"/>
        <item m="1" x="141"/>
        <item m="1" x="145"/>
        <item t="default"/>
      </items>
    </pivotField>
    <pivotField showAll="0"/>
    <pivotField showAll="0"/>
    <pivotField numFmtId="14" showAll="0"/>
    <pivotField showAll="0"/>
    <pivotField showAll="0"/>
    <pivotField showAll="0"/>
    <pivotField axis="axisRow" showAll="0" sortType="descending">
      <items count="8">
        <item h="1" m="1" x="6"/>
        <item h="1" x="0"/>
        <item x="2"/>
        <item x="3"/>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6"/>
    </i>
    <i>
      <x v="2"/>
    </i>
    <i>
      <x v="3"/>
    </i>
    <i>
      <x v="4"/>
    </i>
    <i>
      <x v="5"/>
    </i>
    <i t="grand">
      <x/>
    </i>
  </rowItems>
  <colFields count="1">
    <field x="2"/>
  </colFields>
  <colItems count="4">
    <i>
      <x v="1"/>
    </i>
    <i>
      <x v="2"/>
    </i>
    <i>
      <x v="3"/>
    </i>
    <i t="grand">
      <x/>
    </i>
  </colItems>
  <dataFields count="1">
    <dataField name="Suma de % MYSTERY" fld="18" baseField="0" baseItem="0" numFmtId="9"/>
  </dataFields>
  <formats count="17">
    <format dxfId="2599">
      <pivotArea outline="0" collapsedLevelsAreSubtotals="1" fieldPosition="0"/>
    </format>
    <format dxfId="2598">
      <pivotArea dataOnly="0" labelOnly="1" grandCol="1" outline="0" fieldPosition="0"/>
    </format>
    <format dxfId="2597">
      <pivotArea dataOnly="0" labelOnly="1" grandCol="1" outline="0" fieldPosition="0"/>
    </format>
    <format dxfId="2596">
      <pivotArea grandRow="1" outline="0" collapsedLevelsAreSubtotals="1" fieldPosition="0"/>
    </format>
    <format dxfId="2595">
      <pivotArea grandRow="1" outline="0" collapsedLevelsAreSubtotals="1" fieldPosition="0"/>
    </format>
    <format dxfId="2594">
      <pivotArea dataOnly="0" labelOnly="1" grandCol="1" outline="0" fieldPosition="0"/>
    </format>
    <format dxfId="2593">
      <pivotArea grandRow="1" grandCol="1" outline="0" collapsedLevelsAreSubtotals="1" fieldPosition="0"/>
    </format>
    <format dxfId="2592">
      <pivotArea outline="0" collapsedLevelsAreSubtotals="1" fieldPosition="0"/>
    </format>
    <format dxfId="2591">
      <pivotArea field="2" type="button" dataOnly="0" labelOnly="1" outline="0" axis="axisCol" fieldPosition="0"/>
    </format>
    <format dxfId="2590">
      <pivotArea type="topRight" dataOnly="0" labelOnly="1" outline="0" fieldPosition="0"/>
    </format>
    <format dxfId="2589">
      <pivotArea dataOnly="0" labelOnly="1" fieldPosition="0">
        <references count="1">
          <reference field="2" count="0"/>
        </references>
      </pivotArea>
    </format>
    <format dxfId="2588">
      <pivotArea dataOnly="0" labelOnly="1" grandCol="1" outline="0" fieldPosition="0"/>
    </format>
    <format dxfId="2587">
      <pivotArea outline="0" collapsedLevelsAreSubtotals="1" fieldPosition="0"/>
    </format>
    <format dxfId="2586">
      <pivotArea field="2" type="button" dataOnly="0" labelOnly="1" outline="0" axis="axisCol" fieldPosition="0"/>
    </format>
    <format dxfId="2585">
      <pivotArea type="topRight" dataOnly="0" labelOnly="1" outline="0" fieldPosition="0"/>
    </format>
    <format dxfId="2584">
      <pivotArea dataOnly="0" labelOnly="1" fieldPosition="0">
        <references count="1">
          <reference field="2" count="0"/>
        </references>
      </pivotArea>
    </format>
    <format dxfId="2583">
      <pivotArea dataOnly="0" labelOnly="1" grandCol="1" outline="0" fieldPosition="0"/>
    </format>
  </formats>
  <chartFormats count="4">
    <chartFormat chart="0" format="10" series="1">
      <pivotArea type="data" outline="0" fieldPosition="0">
        <references count="2">
          <reference field="4294967294" count="1" selected="0">
            <x v="0"/>
          </reference>
          <reference field="2" count="1" selected="0">
            <x v="1"/>
          </reference>
        </references>
      </pivotArea>
    </chartFormat>
    <chartFormat chart="0" format="13" series="1">
      <pivotArea type="data" outline="0" fieldPosition="0">
        <references count="1">
          <reference field="4294967294" count="1" selected="0">
            <x v="0"/>
          </reference>
        </references>
      </pivotArea>
    </chartFormat>
    <chartFormat chart="0" format="21" series="1">
      <pivotArea type="data" outline="0" fieldPosition="0">
        <references count="2">
          <reference field="4294967294" count="1" selected="0">
            <x v="0"/>
          </reference>
          <reference field="2" count="1" selected="0">
            <x v="2"/>
          </reference>
        </references>
      </pivotArea>
    </chartFormat>
    <chartFormat chart="0" format="23" series="1">
      <pivotArea type="data" outline="0" fieldPosition="0">
        <references count="2">
          <reference field="4294967294" count="1" selected="0">
            <x v="0"/>
          </reference>
          <reference field="2" count="1" selected="0">
            <x v="3"/>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3">
          <x14:conditionalFormat priority="102" id="{A7410DC0-EE9E-4584-A866-672877DBC4E6}">
            <x14:pivotAreas count="1">
              <pivotArea type="data" grandCol="1" outline="0" collapsedLevelsAreSubtotals="1" fieldPosition="0">
                <references count="1">
                  <reference field="4294967294" count="1" selected="0">
                    <x v="0"/>
                  </reference>
                </references>
              </pivotArea>
            </x14:pivotAreas>
          </x14:conditionalFormat>
          <x14:conditionalFormat priority="11" id="{DB7AD4AB-F70F-4909-883A-90C1B83D84EE}">
            <x14:pivotAreas count="1">
              <pivotArea type="data" outline="0" collapsedLevelsAreSubtotals="1" fieldPosition="0">
                <references count="2">
                  <reference field="4294967294" count="1" selected="0">
                    <x v="0"/>
                  </reference>
                  <reference field="2" count="2" selected="0">
                    <x v="1"/>
                    <x v="2"/>
                  </reference>
                </references>
              </pivotArea>
            </x14:pivotAreas>
          </x14:conditionalFormat>
          <x14:conditionalFormat priority="1" id="{2B5C1FB9-92FD-4770-9D69-94FED7A884CD}">
            <x14:pivotAreas count="1">
              <pivotArea type="data" outline="0" collapsedLevelsAreSubtotals="1" fieldPosition="0">
                <references count="2">
                  <reference field="4294967294" count="1" selected="0">
                    <x v="0"/>
                  </reference>
                  <reference field="2" count="1" selected="0">
                    <x v="3"/>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C480BA-2D05-4BE0-8BEA-795F3E018008}" name="TablaDinámica9" cacheId="77"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CIUDAD">
  <location ref="D4:J9" firstHeaderRow="0" firstDataRow="1" firstDataCol="1"/>
  <pivotFields count="11">
    <pivotField showAll="0"/>
    <pivotField axis="axisRow" showAll="0" sortType="descending">
      <items count="17">
        <item x="2"/>
        <item x="0"/>
        <item m="1" x="4"/>
        <item x="3"/>
        <item m="1" x="10"/>
        <item m="1" x="7"/>
        <item m="1" x="5"/>
        <item m="1" x="15"/>
        <item m="1" x="14"/>
        <item m="1" x="13"/>
        <item x="1"/>
        <item m="1" x="11"/>
        <item m="1" x="12"/>
        <item m="1" x="8"/>
        <item m="1" x="9"/>
        <item m="1" x="6"/>
        <item t="default"/>
      </items>
      <autoSortScope>
        <pivotArea dataOnly="0" outline="0" fieldPosition="0">
          <references count="1">
            <reference field="4294967294" count="1" selected="0">
              <x v="5"/>
            </reference>
          </references>
        </pivotArea>
      </autoSortScope>
    </pivotField>
    <pivotField showAll="0"/>
    <pivotField showAll="0"/>
    <pivotField dataField="1" showAll="0"/>
    <pivotField dataField="1" showAll="0"/>
    <pivotField dataField="1" showAll="0"/>
    <pivotField showAll="0"/>
    <pivotField dataField="1" showAll="0"/>
    <pivotField dataField="1" dragToRow="0" dragToCol="0" dragToPage="0" showAll="0" defaultSubtotal="0"/>
    <pivotField dataField="1" dragToRow="0" dragToCol="0" dragToPage="0" showAll="0" defaultSubtotal="0"/>
  </pivotFields>
  <rowFields count="1">
    <field x="1"/>
  </rowFields>
  <rowItems count="5">
    <i>
      <x v="10"/>
    </i>
    <i>
      <x v="3"/>
    </i>
    <i>
      <x/>
    </i>
    <i>
      <x v="1"/>
    </i>
    <i t="grand">
      <x/>
    </i>
  </rowItems>
  <colFields count="1">
    <field x="-2"/>
  </colFields>
  <colItems count="6">
    <i>
      <x/>
    </i>
    <i i="1">
      <x v="1"/>
    </i>
    <i i="2">
      <x v="2"/>
    </i>
    <i i="3">
      <x v="3"/>
    </i>
    <i i="4">
      <x v="4"/>
    </i>
    <i i="5">
      <x v="5"/>
    </i>
  </colItems>
  <dataFields count="6">
    <dataField name="#PDV Obj." fld="5" baseField="0" baseItem="0"/>
    <dataField name="#PDV Eje." fld="6" baseField="0" baseItem="0"/>
    <dataField name=".% Ejecucion" fld="9" baseField="0" baseItem="0" numFmtId="9"/>
    <dataField name="Obj Mystery" fld="4" baseField="0" baseItem="0"/>
    <dataField name="Mystery Eje." fld="8" baseField="0" baseItem="0"/>
    <dataField name="% Efectividad." fld="10" baseField="0" baseItem="0" numFmtId="9"/>
  </dataFields>
  <formats count="24">
    <format dxfId="2623">
      <pivotArea outline="0" collapsedLevelsAreSubtotals="1" fieldPosition="0">
        <references count="1">
          <reference field="4294967294" count="1" selected="0">
            <x v="2"/>
          </reference>
        </references>
      </pivotArea>
    </format>
    <format dxfId="2622">
      <pivotArea outline="0" collapsedLevelsAreSubtotals="1" fieldPosition="0"/>
    </format>
    <format dxfId="2621">
      <pivotArea dataOnly="0" labelOnly="1" outline="0" fieldPosition="0">
        <references count="1">
          <reference field="4294967294" count="3">
            <x v="0"/>
            <x v="1"/>
            <x v="2"/>
          </reference>
        </references>
      </pivotArea>
    </format>
    <format dxfId="2620">
      <pivotArea outline="0" collapsedLevelsAreSubtotals="1" fieldPosition="0"/>
    </format>
    <format dxfId="2619">
      <pivotArea dataOnly="0" labelOnly="1" outline="0" fieldPosition="0">
        <references count="1">
          <reference field="4294967294" count="3">
            <x v="0"/>
            <x v="1"/>
            <x v="2"/>
          </reference>
        </references>
      </pivotArea>
    </format>
    <format dxfId="2618">
      <pivotArea dataOnly="0" labelOnly="1" outline="0" fieldPosition="0">
        <references count="1">
          <reference field="4294967294" count="1">
            <x v="2"/>
          </reference>
        </references>
      </pivotArea>
    </format>
    <format dxfId="2617">
      <pivotArea field="1" grandRow="1" outline="0" collapsedLevelsAreSubtotals="1" axis="axisRow" fieldPosition="0">
        <references count="1">
          <reference field="4294967294" count="1" selected="0">
            <x v="2"/>
          </reference>
        </references>
      </pivotArea>
    </format>
    <format dxfId="2616">
      <pivotArea dataOnly="0" labelOnly="1" outline="0" fieldPosition="0">
        <references count="1">
          <reference field="4294967294" count="1">
            <x v="2"/>
          </reference>
        </references>
      </pivotArea>
    </format>
    <format dxfId="2615">
      <pivotArea outline="0" collapsedLevelsAreSubtotals="1" fieldPosition="0">
        <references count="1">
          <reference field="4294967294" count="1" selected="0">
            <x v="5"/>
          </reference>
        </references>
      </pivotArea>
    </format>
    <format dxfId="2614">
      <pivotArea dataOnly="0" labelOnly="1" outline="0" fieldPosition="0">
        <references count="1">
          <reference field="4294967294" count="1">
            <x v="5"/>
          </reference>
        </references>
      </pivotArea>
    </format>
    <format dxfId="2613">
      <pivotArea outline="0" collapsedLevelsAreSubtotals="1" fieldPosition="0">
        <references count="1">
          <reference field="4294967294" count="3" selected="0">
            <x v="3"/>
            <x v="4"/>
            <x v="5"/>
          </reference>
        </references>
      </pivotArea>
    </format>
    <format dxfId="2612">
      <pivotArea dataOnly="0" labelOnly="1" outline="0" fieldPosition="0">
        <references count="1">
          <reference field="4294967294" count="3">
            <x v="3"/>
            <x v="4"/>
            <x v="5"/>
          </reference>
        </references>
      </pivotArea>
    </format>
    <format dxfId="2611">
      <pivotArea outline="0" collapsedLevelsAreSubtotals="1" fieldPosition="0">
        <references count="1">
          <reference field="4294967294" count="3" selected="0">
            <x v="3"/>
            <x v="4"/>
            <x v="5"/>
          </reference>
        </references>
      </pivotArea>
    </format>
    <format dxfId="2610">
      <pivotArea dataOnly="0" labelOnly="1" outline="0" fieldPosition="0">
        <references count="1">
          <reference field="4294967294" count="3">
            <x v="3"/>
            <x v="4"/>
            <x v="5"/>
          </reference>
        </references>
      </pivotArea>
    </format>
    <format dxfId="2609">
      <pivotArea field="1" grandRow="1" outline="0" collapsedLevelsAreSubtotals="1" axis="axisRow" fieldPosition="0">
        <references count="1">
          <reference field="4294967294" count="2" selected="0">
            <x v="0"/>
            <x v="1"/>
          </reference>
        </references>
      </pivotArea>
    </format>
    <format dxfId="2608">
      <pivotArea field="1" grandRow="1" outline="0" collapsedLevelsAreSubtotals="1" axis="axisRow" fieldPosition="0">
        <references count="1">
          <reference field="4294967294" count="3" selected="0">
            <x v="3"/>
            <x v="4"/>
            <x v="5"/>
          </reference>
        </references>
      </pivotArea>
    </format>
    <format dxfId="2607">
      <pivotArea field="1" grandRow="1" outline="0" collapsedLevelsAreSubtotals="1" axis="axisRow" fieldPosition="0">
        <references count="1">
          <reference field="4294967294" count="3" selected="0">
            <x v="3"/>
            <x v="4"/>
            <x v="5"/>
          </reference>
        </references>
      </pivotArea>
    </format>
    <format dxfId="2606">
      <pivotArea field="1" grandRow="1" outline="0" collapsedLevelsAreSubtotals="1" axis="axisRow" fieldPosition="0">
        <references count="1">
          <reference field="4294967294" count="2" selected="0">
            <x v="0"/>
            <x v="1"/>
          </reference>
        </references>
      </pivotArea>
    </format>
    <format dxfId="2605">
      <pivotArea field="1" grandRow="1" outline="0" collapsedLevelsAreSubtotals="1" axis="axisRow" fieldPosition="0">
        <references count="1">
          <reference field="4294967294" count="1" selected="0">
            <x v="2"/>
          </reference>
        </references>
      </pivotArea>
    </format>
    <format dxfId="2604">
      <pivotArea field="1" grandRow="1" outline="0" collapsedLevelsAreSubtotals="1" axis="axisRow" fieldPosition="0">
        <references count="1">
          <reference field="4294967294" count="1" selected="0">
            <x v="5"/>
          </reference>
        </references>
      </pivotArea>
    </format>
    <format dxfId="2603">
      <pivotArea field="1" type="button" dataOnly="0" labelOnly="1" outline="0" axis="axisRow" fieldPosition="0"/>
    </format>
    <format dxfId="2602">
      <pivotArea dataOnly="0" labelOnly="1" outline="0" fieldPosition="0">
        <references count="1">
          <reference field="4294967294" count="6">
            <x v="0"/>
            <x v="1"/>
            <x v="2"/>
            <x v="3"/>
            <x v="4"/>
            <x v="5"/>
          </reference>
        </references>
      </pivotArea>
    </format>
    <format dxfId="2601">
      <pivotArea dataOnly="0" labelOnly="1" grandRow="1" outline="0" fieldPosition="0"/>
    </format>
    <format dxfId="2600">
      <pivotArea field="1" grandRow="1" outline="0" collapsedLevelsAreSubtotals="1" axis="axisRow" fieldPosition="0">
        <references count="1">
          <reference field="4294967294" count="1" selected="0">
            <x v="5"/>
          </reference>
        </references>
      </pivotArea>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95319C1C-C683-4701-8640-F49E06C1EA50}" autoFormatId="16" applyNumberFormats="0" applyBorderFormats="0" applyFontFormats="0" applyPatternFormats="0" applyAlignmentFormats="0" applyWidthHeightFormats="0">
  <queryTableRefresh nextId="28" unboundColumnsRight="7">
    <queryTableFields count="18">
      <queryTableField id="1" name="ACTIVIDAD" tableColumnId="1"/>
      <queryTableField id="2" name="CIUDAD" tableColumnId="2"/>
      <queryTableField id="24" name="CANAL" tableColumnId="18"/>
      <queryTableField id="3" name="CADENA" tableColumnId="3"/>
      <queryTableField id="4" name="CODIGO PDV" tableColumnId="4"/>
      <queryTableField id="5" name="NOMBRE COMERCIAL" tableColumnId="5"/>
      <queryTableField id="6" name="PREGUNTA" tableColumnId="6"/>
      <queryTableField id="7" name="RTA" tableColumnId="7"/>
      <queryTableField id="8" name="FECHA VISITA" tableColumnId="8"/>
      <queryTableField id="9" name="CODIGO RUTA" tableColumnId="9"/>
      <queryTableField id="10" name="USUARIO" tableColumnId="10"/>
      <queryTableField id="17" dataBound="0" tableColumnId="13"/>
      <queryTableField id="16" dataBound="0" tableColumnId="16"/>
      <queryTableField id="12" dataBound="0" tableColumnId="12"/>
      <queryTableField id="21" dataBound="0" tableColumnId="14"/>
      <queryTableField id="15" dataBound="0" tableColumnId="15"/>
      <queryTableField id="23" dataBound="0" tableColumnId="17"/>
      <queryTableField id="27"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04183C87-B4DC-436D-9817-A62DA7CA64FC}" autoFormatId="16" applyNumberFormats="0" applyBorderFormats="0" applyFontFormats="0" applyPatternFormats="0" applyAlignmentFormats="0" applyWidthHeightFormats="0">
  <queryTableRefresh nextId="363">
    <queryTableFields count="52">
      <queryTableField id="1" name="ACTIVIDAD" tableColumnId="1"/>
      <queryTableField id="2" name="CIUDAD" tableColumnId="2"/>
      <queryTableField id="3" name="CADENA" tableColumnId="3"/>
      <queryTableField id="4" name="CODIGO PDV" tableColumnId="4"/>
      <queryTableField id="5" name="NOMBRE COMERCIAL" tableColumnId="5"/>
      <queryTableField id="6" name="CONSECUTIVO ENCUESTA" tableColumnId="6"/>
      <queryTableField id="7" name="NOMBRE ENCUESTA" tableColumnId="7"/>
      <queryTableField id="10" name="FECHA VISITA" tableColumnId="10"/>
      <queryTableField id="11" name="CODIGO RUTA" tableColumnId="11"/>
      <queryTableField id="12" name="USUARIO" tableColumnId="12"/>
      <queryTableField id="181" name="SE LOGRA REALIZAR EL MYSTERY?" tableColumnId="8"/>
      <queryTableField id="154" name="¿CUMPLE HORARIO DE ENTRADA O SALIDA DE LA TIENDA?" tableColumnId="9"/>
      <queryTableField id="155" name="CUENTA CON PANTALON DEL UNIFORME SEGÚN EL CARGO (NEGRO / ROJO / TURQUESA / JEAN)" tableColumnId="13"/>
      <queryTableField id="156" name="CUENTA CON CAMISA DEL UNIFORME Y LOGOS SEGÚN EL CARGO (NEGRA / GRIS / ROJA / TURQUESA) (ES PERMITIDO USAR DEBAJO DE LA CAMISA BUSO MANGA LARGA NEGRO)" tableColumnId="14"/>
      <queryTableField id="54" name="CUENTA CON CALZADO DE ACUERDO AL UNIFORME" tableColumnId="16"/>
      <queryTableField id="157" name="POSEE ALGUNA PRENDA ENCIMA DEL UNIFORME NO AUTORIZADA POR LA MARCA (UNICAMENTE ESTA PERMITIDO CHALECO DE SODIMAC Y EASY)" tableColumnId="15"/>
      <queryTableField id="158" name="EL UNIFORME Y ZAPATOS SE ENCUENTRAN LIMPIOS Y EN BUEN ESTADO" tableColumnId="17"/>
      <queryTableField id="159" name="SU CABELLO LUCE LIMPIO, ORGANIZADO O RECOGIDO" tableColumnId="18"/>
      <queryTableField id="160" name="PRESENTA EXCESO DE MAQUILLAJE QUE NO CUMPLE CON EL CODIGO DE VESTIMENTA" tableColumnId="19"/>
      <queryTableField id="161" name="TIENE TATUAJES O PIERCINGS VISIBLES QUE NO CUMPLE CON EL CODIGO DE VESTIMENTA" tableColumnId="20"/>
      <queryTableField id="162" name="TIENE UÑAS LLAMATIVAS Y/O LARGAS QUE NO CUMPLE CON EL CODIGO DE VESTIMENTA" tableColumnId="21"/>
      <queryTableField id="163" name="USA ACCESORIOS QUE NO CUMPLE CON EL CODIGO DE VESTIMENTA" tableColumnId="22"/>
      <queryTableField id="231" name="SE PRODUCE ABORDAJE PROACTIVO (antes de 1 min)" tableColumnId="23"/>
      <queryTableField id="207" name="INDAGA SOBRE LAS NECESIDADES DEL CLIENTE CON RESPECTO A SU CONSUMO HABITUAL &quot; MARCAS COMPETENCIA O PROPIAS&quot; - OBJECIÓN DE PRECIOS." tableColumnId="24"/>
      <queryTableField id="255" name="OFRECE PURINA ONE: (APLICA SOLO EN CANAL MODERNO, CADENAS, SI EL PRODUCTO ESTA EN EL PDV)" tableColumnId="27"/>
      <queryTableField id="185" name="SELECCIONE EL CANAL DEL PDV QUE EVALUA" tableColumnId="26"/>
      <queryTableField id="334" name="CT - OFRECIO ALGUN PRODUCTO DEL PORTAFOLIO PURINA DE PRODUCTOS SECOS COMUNICANDO LOS BENEFICIOS DEL PRODUCTO (DOG CHOW, CAT CHOW, ALPO, GATSY, FELIX O NINGUNO)" tableColumnId="25"/>
      <queryTableField id="335" name="CT - EL ACTIVADOR MENCIONA LOS NUEVO SABORES Y REFERENCIAS DEL PORTAFOLIO DE DOG CHOW Y MENCIONA  SU NUEVO PRECIO" tableColumnId="29"/>
      <queryTableField id="336" name="CT - OFRECIO ALGUN PRODUCTO PORTAFOLIO PURINA DE PRODUCTOS HUMEDOS COMUNICANDO LOS BENEFICIOS DEL PRODUCTO (Dog chow húmedo, Cat chow húmedo, Fancy Feast, Felix, Proplan Húmedo, One Húmedo, Snacks (Abrazzos, Dentalife), Arenilla (Tidy Cat)" tableColumnId="34"/>
      <queryTableField id="337" name="CT - MENCIONA ALGUNA DE LAS INNOVACIONES QUE TENEMOS EN EL CANAL (CAT 200GR FELIX TRIPLE DELI Y MEGA MIX DE WET Y DOG CHOW ALTA PROTEINA DE 350GR 475GR )" tableColumnId="38"/>
      <queryTableField id="191" name="INDIQUE QUE TIPO DE OBJECION / DUDA MANIFESTÓ" tableColumnId="32"/>
      <queryTableField id="192" name="RESUELVE LA OBJECION SATISFACTORIAMENTE?" tableColumnId="33"/>
      <queryTableField id="211" name="SE ENCUENTRA LIMPIA EL AREA DE DEMOSTRACION &quot;REVISION DE PRODUCTO SIN POLVO Y EN OPTIMAS CONDICIONES&quot;" tableColumnId="31"/>
      <queryTableField id="194" name="REALIZA CIERRE DE VENTA" tableColumnId="35"/>
      <queryTableField id="195" name="CONSIDERO QUE INDEPENDIENTEMENTE DEL SPEECH, LA LABOR DE VENTA ES BUENA" tableColumnId="36"/>
      <queryTableField id="196" name="DESEA AÑADIR ALGUNA OBSERVACION Y/O NOVEDAD DEL MYSTERY REALIZADO?" tableColumnId="37"/>
      <queryTableField id="308" name="INDIQUE OBSERVACION Y/O NOVEDAD DEL MYSTERY REALIZADO" tableColumnId="52"/>
      <queryTableField id="261" name="MENCIONA QUE LOS RESULTADOS SON VISIBLES EN 28 DIAS?" tableColumnId="42"/>
      <queryTableField id="262" name="MENCIONA QUE TIENE CARNE DE VERDAD COMO INGREDIENTE NO.1 E INGREDIENTES NATURALES Y FUNCIONALES?" tableColumnId="43"/>
      <queryTableField id="263" name="MENCIONA QUE PURINA ONE CUENTA CON ALIMENTO HUMEDO Y MENCIONA LAS 3 VARIADADES QUE TIENE ( SUPER FOODS, SUPER NUTRIENTES Y MULTI PROTEINAS); APLICA TANTO PARA PERRO COMO PARA GATO?" tableColumnId="44"/>
      <queryTableField id="279" name="ABORDA AL SHOPPER CON EL VERBATIM Y MANEJA LAS OBJECIONES SEGÚN COMUNICADO ENVIADO." tableColumnId="47"/>
      <queryTableField id="264" name="(OFRECE EL OBSEQUIO APLICA VIERNES, SABADO Y DOMINGO) Y EXPLICA COMO HACER LA TRANSICIÓN  DEL PRODUCTO Y BENEFICIOS?" tableColumnId="46"/>
      <queryTableField id="338" name="CM - OFRECE DOG CHOW O CAT CHOW COMO PRIMERA OPCION &quot;SI EL PDV CUENTA CON LA REFERENCIA DE PURINA ONE ESTA DEBE SER LA PRIMERA OPCION&quot;" tableColumnId="39"/>
      <queryTableField id="209" name="CM - OFRECE ALIMENTO HUMEDO DE DOG CHOW Y FELIX" tableColumnId="28"/>
      <queryTableField id="210" name="CM - CONOCE LAS DINAMICAS COMERCIALES DEL PDV" tableColumnId="30"/>
      <queryTableField id="356" name="CE - LO PRIMERO QUE OFRECE EL ASESOR ES LA MARCA PRO PLAN? (ENFOQUE EN GATOS)" tableColumnId="40"/>
      <queryTableField id="357" name="CE - EL ASESOR COMUNICA LOS BENEFICIOS Y CARACTERISTICAS DE LA MARCA PRO PLAN? (ENFOQUE EN GATOS)" tableColumnId="41"/>
      <queryTableField id="358" name="CE - LUEGO DE REALIZAR LA OBJECIÓN DE PRECIO, OFRECE LA MARCA EXCELLENT? (ENFOQUE EN GATOS)" tableColumnId="45"/>
      <queryTableField id="359" name="CE - EL ASESOR COMUNICA QUE LA MARCA EXCELLENT ESTA DENTRO DE LA CATEGORIA SUPERPREMIUM PERO A UN COSTO MAS ACCESIBLE." tableColumnId="48"/>
      <queryTableField id="360" name="CE - EL ASESOR COMUNICA LOS BENEFICIOS Y CARACTERISTICAS DEL PRODUCTO EXCELLENT? (ENFOQUE EN GATOS)" tableColumnId="49"/>
      <queryTableField id="361" name="CE - OFRECE LOS  SUPLEMENTOS Y LA CAMPAÑA &quot;SOBRE AL DÍA&quot; (INDAGAR AL ASESOR O ACTIVADOR ACERCA DE LOS SUPLEMENTOS)" tableColumnId="50"/>
      <queryTableField id="362" name="CE - OFRECE PRODUCTO HUMEDO Y OFRECE LAS DIFERENTES VARIEDADES? (GATOS Y PERROS)" tableColumnId="5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IUDAD" xr10:uid="{120D9671-221F-4492-8CE5-D6FBAC33FDB9}" sourceName="CIUDAD">
  <pivotTables>
    <pivotTable tabId="4" name="TablaDinámica11"/>
    <pivotTable tabId="4" name="TablaDinámica12"/>
    <pivotTable tabId="4" name="TablaDinámica14"/>
  </pivotTables>
  <data>
    <tabular pivotCacheId="602717627">
      <items count="14">
        <i x="1" s="1"/>
        <i x="0" s="1"/>
        <i x="2" s="1"/>
        <i x="3" s="1"/>
        <i x="6" s="1" nd="1"/>
        <i x="10" s="1" nd="1"/>
        <i x="11" s="1" nd="1"/>
        <i x="4" s="1" nd="1"/>
        <i x="9" s="1" nd="1"/>
        <i x="7" s="1" nd="1"/>
        <i x="13" s="1" nd="1"/>
        <i x="8" s="1" nd="1"/>
        <i x="5" s="1" nd="1"/>
        <i x="1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OMBRE_COMERCIAL" xr10:uid="{B44763D8-97E2-4FF2-BF49-5A2C3A57FF54}" sourceName="NOMBRE COMERCIAL">
  <pivotTables>
    <pivotTable tabId="4" name="TablaDinámica11"/>
    <pivotTable tabId="4" name="TablaDinámica12"/>
    <pivotTable tabId="4" name="TablaDinámica14"/>
  </pivotTables>
  <data>
    <tabular pivotCacheId="602717627">
      <items count="185">
        <i x="0" s="1"/>
        <i x="1" s="1"/>
        <i x="2" s="1"/>
        <i x="3" s="1"/>
        <i x="4" s="1"/>
        <i x="5" s="1"/>
        <i x="17" s="1" nd="1"/>
        <i x="105" s="1" nd="1"/>
        <i x="94" s="1" nd="1"/>
        <i x="85" s="1" nd="1"/>
        <i x="115" s="1" nd="1"/>
        <i x="109" s="1" nd="1"/>
        <i x="72" s="1" nd="1"/>
        <i x="162" s="1" nd="1"/>
        <i x="34" s="1" nd="1"/>
        <i x="36" s="1" nd="1"/>
        <i x="161" s="1" nd="1"/>
        <i x="106" s="1" nd="1"/>
        <i x="13" s="1" nd="1"/>
        <i x="95" s="1" nd="1"/>
        <i x="101" s="1" nd="1"/>
        <i x="43" s="1" nd="1"/>
        <i x="25" s="1" nd="1"/>
        <i x="152" s="1" nd="1"/>
        <i x="120" s="1" nd="1"/>
        <i x="112" s="1" nd="1"/>
        <i x="40" s="1" nd="1"/>
        <i x="92" s="1" nd="1"/>
        <i x="114" s="1" nd="1"/>
        <i x="91" s="1" nd="1"/>
        <i x="98" s="1" nd="1"/>
        <i x="68" s="1" nd="1"/>
        <i x="69" s="1" nd="1"/>
        <i x="30" s="1" nd="1"/>
        <i x="118" s="1" nd="1"/>
        <i x="100" s="1" nd="1"/>
        <i x="58" s="1" nd="1"/>
        <i x="83" s="1" nd="1"/>
        <i x="26" s="1" nd="1"/>
        <i x="125" s="1" nd="1"/>
        <i x="124" s="1" nd="1"/>
        <i x="38" s="1" nd="1"/>
        <i x="78" s="1" nd="1"/>
        <i x="29" s="1" nd="1"/>
        <i x="42" s="1" nd="1"/>
        <i x="160" s="1" nd="1"/>
        <i x="32" s="1" nd="1"/>
        <i x="10" s="1" nd="1"/>
        <i x="74" s="1" nd="1"/>
        <i x="51" s="1" nd="1"/>
        <i x="64" s="1" nd="1"/>
        <i x="86" s="1" nd="1"/>
        <i x="16" s="1" nd="1"/>
        <i x="82" s="1" nd="1"/>
        <i x="37" s="1" nd="1"/>
        <i x="45" s="1" nd="1"/>
        <i x="47" s="1" nd="1"/>
        <i x="11" s="1" nd="1"/>
        <i x="60" s="1" nd="1"/>
        <i x="117" s="1" nd="1"/>
        <i x="159" s="1" nd="1"/>
        <i x="53" s="1" nd="1"/>
        <i x="22" s="1" nd="1"/>
        <i x="33" s="1" nd="1"/>
        <i x="54" s="1" nd="1"/>
        <i x="73" s="1" nd="1"/>
        <i x="155" s="1" nd="1"/>
        <i x="151" s="1" nd="1"/>
        <i x="7" s="1" nd="1"/>
        <i x="84" s="1" nd="1"/>
        <i x="21" s="1" nd="1"/>
        <i x="27" s="1" nd="1"/>
        <i x="8" s="1" nd="1"/>
        <i x="65" s="1" nd="1"/>
        <i x="70" s="1" nd="1"/>
        <i x="20" s="1" nd="1"/>
        <i x="31" s="1" nd="1"/>
        <i x="163" s="1" nd="1"/>
        <i x="164" s="1" nd="1"/>
        <i x="157" s="1" nd="1"/>
        <i x="71" s="1" nd="1"/>
        <i x="61" s="1" nd="1"/>
        <i x="41" s="1" nd="1"/>
        <i x="156" s="1" nd="1"/>
        <i x="44" s="1" nd="1"/>
        <i x="107" s="1" nd="1"/>
        <i x="121" s="1" nd="1"/>
        <i x="97" s="1" nd="1"/>
        <i x="77" s="1" nd="1"/>
        <i x="63" s="1" nd="1"/>
        <i x="104" s="1" nd="1"/>
        <i x="150" s="1" nd="1"/>
        <i x="75" s="1" nd="1"/>
        <i x="52" s="1" nd="1"/>
        <i x="149" s="1" nd="1"/>
        <i x="48" s="1" nd="1"/>
        <i x="165" s="1" nd="1"/>
        <i x="28" s="1" nd="1"/>
        <i x="18" s="1" nd="1"/>
        <i x="88" s="1" nd="1"/>
        <i x="81" s="1" nd="1"/>
        <i x="35" s="1" nd="1"/>
        <i x="96" s="1" nd="1"/>
        <i x="19" s="1" nd="1"/>
        <i x="79" s="1" nd="1"/>
        <i x="102" s="1" nd="1"/>
        <i x="76" s="1" nd="1"/>
        <i x="119" s="1" nd="1"/>
        <i x="55" s="1" nd="1"/>
        <i x="49" s="1" nd="1"/>
        <i x="66" s="1" nd="1"/>
        <i x="67" s="1" nd="1"/>
        <i x="116" s="1" nd="1"/>
        <i x="56" s="1" nd="1"/>
        <i x="144" s="1" nd="1"/>
        <i x="143" s="1" nd="1"/>
        <i x="172" s="1" nd="1"/>
        <i x="166" s="1" nd="1"/>
        <i x="169" s="1" nd="1"/>
        <i x="168" s="1" nd="1"/>
        <i x="147" s="1" nd="1"/>
        <i x="178" s="1" nd="1"/>
        <i x="148" s="1" nd="1"/>
        <i x="15" s="1" nd="1"/>
        <i x="167" s="1" nd="1"/>
        <i x="132" s="1" nd="1"/>
        <i x="90" s="1" nd="1"/>
        <i x="14" s="1" nd="1"/>
        <i x="50" s="1" nd="1"/>
        <i x="24" s="1" nd="1"/>
        <i x="87" s="1" nd="1"/>
        <i x="174" s="1" nd="1"/>
        <i x="158" s="1" nd="1"/>
        <i x="146" s="1" nd="1"/>
        <i x="108" s="1" nd="1"/>
        <i x="127" s="1" nd="1"/>
        <i x="176" s="1" nd="1"/>
        <i x="46" s="1" nd="1"/>
        <i x="110" s="1" nd="1"/>
        <i x="136" s="1" nd="1"/>
        <i x="126" s="1" nd="1"/>
        <i x="128" s="1" nd="1"/>
        <i x="183" s="1" nd="1"/>
        <i x="133" s="1" nd="1"/>
        <i x="57" s="1" nd="1"/>
        <i x="113" s="1" nd="1"/>
        <i x="180" s="1" nd="1"/>
        <i x="122" s="1" nd="1"/>
        <i x="129" s="1" nd="1"/>
        <i x="111" s="1" nd="1"/>
        <i x="179" s="1" nd="1"/>
        <i x="130" s="1" nd="1"/>
        <i x="177" s="1" nd="1"/>
        <i x="93" s="1" nd="1"/>
        <i x="154" s="1" nd="1"/>
        <i x="23" s="1" nd="1"/>
        <i x="181" s="1" nd="1"/>
        <i x="140" s="1" nd="1"/>
        <i x="9" s="1" nd="1"/>
        <i x="39" s="1" nd="1"/>
        <i x="89" s="1" nd="1"/>
        <i x="80" s="1" nd="1"/>
        <i x="59" s="1" nd="1"/>
        <i x="131" s="1" nd="1"/>
        <i x="184" s="1" nd="1"/>
        <i x="182" s="1" nd="1"/>
        <i x="139" s="1" nd="1"/>
        <i x="137" s="1" nd="1"/>
        <i x="123" s="1" nd="1"/>
        <i x="134" s="1" nd="1"/>
        <i x="138" s="1" nd="1"/>
        <i x="135" s="1" nd="1"/>
        <i x="142" s="1" nd="1"/>
        <i x="99" s="1" nd="1"/>
        <i x="6" s="1" nd="1"/>
        <i x="175" s="1" nd="1"/>
        <i x="12" s="1" nd="1"/>
        <i x="62" s="1" nd="1"/>
        <i x="170" s="1" nd="1"/>
        <i x="173" s="1" nd="1"/>
        <i x="171" s="1" nd="1"/>
        <i x="153" s="1" nd="1"/>
        <i x="103" s="1" nd="1"/>
        <i x="141" s="1" nd="1"/>
        <i x="14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UDAD" xr10:uid="{15D7A5B9-999F-403C-A90B-E5BB31E9BCF9}" cache="SegmentaciónDeDatos_CIUDAD" caption="CIUDAD" style="SlicerStyleOther1" rowHeight="251883"/>
  <slicer name="NOMBRE COMERCIAL" xr10:uid="{6085962D-64C6-49BC-8B99-624C8A6924CE}" cache="SegmentaciónDeDatos_NOMBRE_COMERCIAL" caption="NOMBRE COMERCIAL"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FBBA3F-C205-4AFF-A76D-34CFCE9A6BBA}" name="Tabla2__2" displayName="Tabla2__2" ref="A1:R198" tableType="queryTable" totalsRowShown="0" dataDxfId="2522">
  <autoFilter ref="A1:R198" xr:uid="{97FBBA3F-C205-4AFF-A76D-34CFCE9A6BBA}">
    <filterColumn colId="5">
      <filters>
        <filter val="ÉXITO CARTAGENA"/>
      </filters>
    </filterColumn>
  </autoFilter>
  <sortState xmlns:xlrd2="http://schemas.microsoft.com/office/spreadsheetml/2017/richdata2" ref="A2:R198">
    <sortCondition ref="F1:F198"/>
  </sortState>
  <tableColumns count="18">
    <tableColumn id="1" xr3:uid="{F8980204-6799-4FD6-9D3F-ACBAADC7880C}" uniqueName="1" name="ACTIVIDAD" queryTableFieldId="1" dataDxfId="253"/>
    <tableColumn id="2" xr3:uid="{1473C919-5D8D-427F-BA10-68EF03B2B653}" uniqueName="2" name="CIUDAD" queryTableFieldId="2" dataDxfId="252"/>
    <tableColumn id="18" xr3:uid="{20FCDFA3-8687-4CA1-9A5B-AEA6FCAD9592}" uniqueName="18" name="CANAL" queryTableFieldId="24" dataDxfId="251"/>
    <tableColumn id="3" xr3:uid="{271FB548-EFFC-45F2-8177-856C35C071DC}" uniqueName="3" name="CADENA" queryTableFieldId="3" dataDxfId="250"/>
    <tableColumn id="4" xr3:uid="{F71A0A19-15B2-4D1D-905C-70CEC9D6AF47}" uniqueName="4" name="CODIGO PDV" queryTableFieldId="4" dataDxfId="249"/>
    <tableColumn id="5" xr3:uid="{E4FEADCA-E2DE-4789-9C78-5F8FB6496823}" uniqueName="5" name="NOMBRE COMERCIAL" queryTableFieldId="5" dataDxfId="248"/>
    <tableColumn id="6" xr3:uid="{5C99D03B-478A-40A2-B3AE-437E7D31990C}" uniqueName="6" name="PREGUNTA" queryTableFieldId="6" dataDxfId="247"/>
    <tableColumn id="7" xr3:uid="{A5EA4B65-C844-4AE4-AE87-CD2AEFA3E4BD}" uniqueName="7" name="RTA" queryTableFieldId="7" dataDxfId="246"/>
    <tableColumn id="8" xr3:uid="{8D71EA04-388B-4C72-AD67-882BB5218CAB}" uniqueName="8" name="FECHA VISITA" queryTableFieldId="8" dataDxfId="245"/>
    <tableColumn id="9" xr3:uid="{11007230-BF6F-4DA6-9C0C-28D77621834B}" uniqueName="9" name="CODIGO RUTA" queryTableFieldId="9" dataDxfId="244"/>
    <tableColumn id="10" xr3:uid="{CF07A078-D8EF-4D63-9B89-6F593201E2E4}" uniqueName="10" name="USUARIO" queryTableFieldId="10" dataDxfId="243"/>
    <tableColumn id="13" xr3:uid="{F212FAAC-215E-43D0-BC9D-3AA543F277F7}" uniqueName="13" name="MYSTERY EFECTIVO" queryTableFieldId="17" dataDxfId="242">
      <calculatedColumnFormula>_xlfn.XLOOKUP(Tabla2__2[[#This Row],[CODIGO RUTA]],'DATA INFORME'!I:I,'DATA INFORME'!K:K)</calculatedColumnFormula>
    </tableColumn>
    <tableColumn id="16" xr3:uid="{21F854B2-004D-4505-9E1A-A9AC1F214887}" uniqueName="16" name="CLUSTER" queryTableFieldId="16" dataDxfId="241">
      <calculatedColumnFormula>IF(Tabla2__2[[#This Row],[MYSTERY EFECTIVO]]="SI",_xlfn.XLOOKUP(Tabla2__2[[#This Row],[PREGUNTA]],ENCUESTA!G:G,ENCUESTA!D:D),"N/A")</calculatedColumnFormula>
    </tableColumn>
    <tableColumn id="12" xr3:uid="{AFEBD2E2-BCC0-467F-B0E5-D144F68133B0}" uniqueName="12" name="TOTAL PUNTAJE" queryTableFieldId="12" dataDxfId="240">
      <calculatedColumnFormula>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calculatedColumnFormula>
    </tableColumn>
    <tableColumn id="14" xr3:uid="{03EC5ACB-C771-49B5-A065-6C73F64EFDA4}" uniqueName="14" name="RTA CORRECTA" queryTableFieldId="21" dataDxfId="239">
      <calculatedColumnFormula>_xlfn.XLOOKUP(Tabla2__2[[#This Row],[PREGUNTA]],ENCUESTA!G:G,ENCUESTA!H:H)</calculatedColumnFormula>
    </tableColumn>
    <tableColumn id="15" xr3:uid="{E8D41959-0664-4224-BEF1-FD955A109471}" uniqueName="15" name="PUNTAJE OBTENIDO" queryTableFieldId="15" dataDxfId="238">
      <calculatedColumnFormula>IF(Tabla2__2[[#This Row],[RTA]]=Tabla2__2[[#This Row],[RTA CORRECTA]],Tabla2__2[[#This Row],[TOTAL PUNTAJE]],0)</calculatedColumnFormula>
    </tableColumn>
    <tableColumn id="17" xr3:uid="{448B051F-50DD-4A27-B120-BB93A9AFD029}" uniqueName="17" name="Columna1" queryTableFieldId="23" dataDxfId="237">
      <calculatedColumnFormula>IF(OR(H2="Dog Chow húmedo",H2="Cat Chow húmedo",H2="Fancy Feast",H2="Felix",H2="Proplan húmedo",H2="One húmedo",H2="Snack Abrazzos",H2="Snak Dentalife",H2="Arenilla Tidy Cat"),N2,0)</calculatedColumnFormula>
    </tableColumn>
    <tableColumn id="11" xr3:uid="{79DA9E2E-4C94-4AA8-A4E3-5A8E5FBA233D}" uniqueName="11" name="Columna2" queryTableFieldId="27" dataDxfId="236"/>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AE8C8-5477-4852-991F-0FB4F9396ED6}" name="Tabla1" displayName="Tabla1" ref="A1:I8" totalsRowShown="0" headerRowDxfId="2521" dataDxfId="2519" headerRowBorderDxfId="2520" tableBorderDxfId="2518" totalsRowBorderDxfId="2517" headerRowCellStyle="Normal 2" dataCellStyle="Normal 2">
  <tableColumns count="9">
    <tableColumn id="3" xr3:uid="{CEEFCC7D-2B45-4409-9FEE-36A6008A09E3}" name="CANAL" dataDxfId="157" dataCellStyle="Normal 2">
      <calculatedColumnFormula>_xlfn.XLOOKUP(Tabla1[[#This Row],[CODIGO PDV]],Export!H:H,Export!D:D,0)</calculatedColumnFormula>
    </tableColumn>
    <tableColumn id="1" xr3:uid="{D5DD6073-7452-4C56-A046-CF25B19FCB4F}" name="CIUDAD" dataDxfId="156" dataCellStyle="Normal 2"/>
    <tableColumn id="2" xr3:uid="{304FB0E8-7EB9-4B2E-BDF0-6B1E9D3DF639}" name="CODIGO PDV" dataDxfId="155"/>
    <tableColumn id="4" xr3:uid="{5FFEE965-7C33-4146-8749-C7E79BD9F083}" name="NOMBRE COMERCIAL" dataDxfId="154" dataCellStyle="Normal 2"/>
    <tableColumn id="9" xr3:uid="{56DA6644-1938-47DF-9205-928EAD17CD86}" name="Objetivo Mystery" dataDxfId="2516" dataCellStyle="Normal 2"/>
    <tableColumn id="6" xr3:uid="{8587C1B8-25E9-47DF-96EC-0DE9EA854031}" name="#PDV Objetivos" dataDxfId="2515"/>
    <tableColumn id="7" xr3:uid="{254582AE-0341-4027-9F60-A63C456EE6EE}" name="#PDV Ejecutados" dataDxfId="2514">
      <calculatedColumnFormula>IF(COUNTIFS(Export!I:I,Tabla1[[#This Row],[CODIGO PDV]])&gt;0,1,0)</calculatedColumnFormula>
    </tableColumn>
    <tableColumn id="11" xr3:uid="{EA4A24E0-6A56-4A45-8F19-78AD6DCA277C}" name="# Visitas" dataDxfId="2513" dataCellStyle="Normal 2">
      <calculatedColumnFormula>COUNTIFS('DATA INFORME'!D:D,Tabla1[[#This Row],[CODIGO PDV]])</calculatedColumnFormula>
    </tableColumn>
    <tableColumn id="12" xr3:uid="{F623D095-7356-4242-BFFB-11B8E769EF0F}" name="Mystery Ejecutado" dataDxfId="2512" dataCellStyle="Normal 2">
      <calculatedColumnFormula>COUNTIFS('DATA INFORME'!D:D,Tabla1[[#This Row],[CODIGO PDV]],'DATA INFORME'!K:K,"SI")</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62BD29-73FE-4027-BA12-621401EE7163}" name="Tabla2__3" displayName="Tabla2__3" ref="A1:AZ8" tableType="queryTable" totalsRowShown="0" dataDxfId="2511">
  <tableColumns count="52">
    <tableColumn id="1" xr3:uid="{5E36F5EC-EFE4-416F-AE2A-0A34DABD1BE1}" uniqueName="1" name="ACTIVIDAD" queryTableFieldId="1" dataDxfId="2510"/>
    <tableColumn id="2" xr3:uid="{2D91E598-A31D-4125-8581-3FD329B9D8A6}" uniqueName="2" name="CIUDAD" queryTableFieldId="2" dataDxfId="2509"/>
    <tableColumn id="3" xr3:uid="{BE955660-67C1-4BC9-A7B2-76050F0F9717}" uniqueName="3" name="CADENA" queryTableFieldId="3" dataDxfId="2508"/>
    <tableColumn id="4" xr3:uid="{584B1D0E-A845-487E-B24D-3F46D830A3DD}" uniqueName="4" name="CODIGO PDV" queryTableFieldId="4" dataDxfId="2507"/>
    <tableColumn id="5" xr3:uid="{5C21200B-0203-45FF-8479-0CBCF5834786}" uniqueName="5" name="NOMBRE COMERCIAL" queryTableFieldId="5" dataDxfId="2506"/>
    <tableColumn id="6" xr3:uid="{AF5E9C40-1A6C-47AF-818E-E6BCE6E6B906}" uniqueName="6" name="CONSECUTIVO ENCUESTA" queryTableFieldId="6" dataDxfId="2505"/>
    <tableColumn id="7" xr3:uid="{3C3C5756-6C5B-4F83-A4BA-7370A5D3B586}" uniqueName="7" name="NOMBRE ENCUESTA" queryTableFieldId="7" dataDxfId="2504"/>
    <tableColumn id="10" xr3:uid="{592470FD-FBDE-42A0-A47E-06AE15D2BD4D}" uniqueName="10" name="FECHA VISITA" queryTableFieldId="10" dataDxfId="235"/>
    <tableColumn id="11" xr3:uid="{2A1045B2-E0F3-426E-AF7C-91A0AAEEA606}" uniqueName="11" name="CODIGO RUTA" queryTableFieldId="11" dataDxfId="2503"/>
    <tableColumn id="12" xr3:uid="{7575ACE8-4DCC-44B4-BD89-97F5F6978813}" uniqueName="12" name="USUARIO" queryTableFieldId="12" dataDxfId="2502"/>
    <tableColumn id="8" xr3:uid="{8674FC2D-67B0-45D7-A117-6AB0FC2FC3AE}" uniqueName="8" name="SE LOGRA REALIZAR EL MYSTERY?" queryTableFieldId="181" dataDxfId="2501"/>
    <tableColumn id="9" xr3:uid="{36AC2E6B-F783-41F9-A395-AD816E6B1B6B}" uniqueName="9" name="¿CUMPLE HORARIO DE ENTRADA O SALIDA DE LA TIENDA?" queryTableFieldId="154" dataDxfId="2500"/>
    <tableColumn id="13" xr3:uid="{C51AF687-3DBE-4078-B41B-510ABFCE0684}" uniqueName="13" name="CUENTA CON PANTALON DEL UNIFORME SEGÚN EL CARGO (NEGRO / ROJO / TURQUESA / JEAN)" queryTableFieldId="155" dataDxfId="2499"/>
    <tableColumn id="14" xr3:uid="{341F0A1D-8FCD-41D6-8964-34CCED3ED411}" uniqueName="14" name="CUENTA CON CAMISA DEL UNIFORME Y LOGOS SEGÚN EL CARGO (NEGRA / GRIS / ROJA / TURQUESA) (Es permitido usar debajo de la camisa buso manga larga Negro)" queryTableFieldId="156" dataDxfId="2498"/>
    <tableColumn id="16" xr3:uid="{D2371F42-BC07-4548-B6B4-80B991018D4D}" uniqueName="16" name="CUENTA CON CALZADO DE ACUERDO AL UNIFORME" queryTableFieldId="54" dataDxfId="2497"/>
    <tableColumn id="15" xr3:uid="{9BB8CF8A-778E-4204-AC89-28DFE270E157}" uniqueName="15" name="POSEE ALGUNA PRENDA ENCIMA DEL UNIFORME NO AUTORIZADA POR LA MARCA (Unicamente esta permitido chaleco de Sodimac y Easy)" queryTableFieldId="157" dataDxfId="2496"/>
    <tableColumn id="17" xr3:uid="{F5E30CB3-007B-4336-B1FC-B61B58699F7A}" uniqueName="17" name="EL UNIFORME Y ZAPATOS SE ENCUENTRAN LIMPIOS Y EN BUEN ESTADO" queryTableFieldId="158" dataDxfId="2495"/>
    <tableColumn id="18" xr3:uid="{3D3D39A7-BDA7-4332-84A1-F6CA631ED8B1}" uniqueName="18" name="SU CABELLO LUCE LIMPIO, ORGANIZADO O RECOGIDO" queryTableFieldId="159" dataDxfId="2494"/>
    <tableColumn id="19" xr3:uid="{10DB44B2-E41E-4EF2-8742-4966C6A2BC32}" uniqueName="19" name="PRESENTA EXCESO DE MAQUILLAJE QUE NO CUMPLE CON EL CODIGO DE VESTIMENTA" queryTableFieldId="160" dataDxfId="2493"/>
    <tableColumn id="20" xr3:uid="{6AAEAE78-D4F5-4752-93C8-5B7CAB0DD784}" uniqueName="20" name="TIENE TATUAJES O PIERCINGS VISIBLES QUE NO CUMPLE CON EL CODIGO DE VESTIMENTA" queryTableFieldId="161" dataDxfId="2492"/>
    <tableColumn id="21" xr3:uid="{296B1AC1-D069-4B4E-93B0-CF0ED2A976DD}" uniqueName="21" name="TIENE UÑAS LLAMATIVAS Y/O LARGAS QUE NO CUMPLE CON EL CODIGO DE VESTIMENTA" queryTableFieldId="162" dataDxfId="2491"/>
    <tableColumn id="22" xr3:uid="{437C56A5-8D82-4008-AE1E-7ABA17C881D7}" uniqueName="22" name="USA ACCESORIOS QUE NO CUMPLE CON EL CODIGO DE VESTIMENTA" queryTableFieldId="163" dataDxfId="2490"/>
    <tableColumn id="23" xr3:uid="{60ED6DCE-BA23-42DE-8B2D-3A4A6A52642F}" uniqueName="23" name="SE PRODUCE ABORDAJE PROACTIVO (antes de 1 min)" queryTableFieldId="231" dataDxfId="2489"/>
    <tableColumn id="24" xr3:uid="{83BE787B-B06C-4885-A33E-CC11993E34CC}" uniqueName="24" name="INDAGA SOBRE LAS NECESIDADES DEL CLIENTE CON RESPECTO A SU CONSUMO HABITUAL &quot; MARCAS COMPETENCIA O PROPIAS&quot; - OBJECIÓN DE PRECIOS." queryTableFieldId="207" dataDxfId="2488"/>
    <tableColumn id="27" xr3:uid="{284379A9-A157-4838-9E29-3684DCE1F269}" uniqueName="27" name="OFRECE PURINA ONE: (APLICA SOLO EN CANAL MODERNO, CADENAS, SI EL PRODUCTO ESTA EN EL PDV)" queryTableFieldId="255" dataDxfId="2487"/>
    <tableColumn id="26" xr3:uid="{B61435E1-7BBA-4D29-9AF5-28E7A92D15FC}" uniqueName="26" name="SELECCIONE EL CANAL DEL PDV QUE EVALUA" queryTableFieldId="185" dataDxfId="2486"/>
    <tableColumn id="25" xr3:uid="{A7020BA2-C5EA-4D4F-AE79-8F8EF24E33D7}" uniqueName="25" name="CT - OFRECIO ALGUN PRODUCTO DEL PORTAFOLIO PURINA DE PRODUCTOS SECOS COMUNICANDO LOS BENEFICIOS DEL PRODUCTO (DOG CHOW, CAT CHOW, ALPO, GATSY, FELIX O NINGUNO)" queryTableFieldId="334" dataDxfId="2485"/>
    <tableColumn id="29" xr3:uid="{CAFE35EE-9C9A-48E9-B3E3-8789C4984F41}" uniqueName="29" name="CT - EL ACTIVADOR MENCIONA LOS NUEVO SABORES Y REFERENCIAS DEL PORTAFOLIO DE DOG CHOW Y MENCIONA  SU NUEVO PRECIO" queryTableFieldId="335" dataDxfId="2484"/>
    <tableColumn id="34" xr3:uid="{61D4E7AF-AF3C-4207-8A78-BA1091705F44}" uniqueName="34" name="CT - OFRECIO ALGUN PRODUCTO PORTAFOLIO PURINA DE PRODUCTOS HUMEDOS COMUNICANDO LOS BENEFICIOS DEL PRODUCTO (Dog chow húmedo, Cat chow húmedo, Fancy Feast, Felix, Proplan Húmedo, One Húmedo, Snacks (Abrazzos, Dentalife), Arenilla (Tidy Cat)" queryTableFieldId="336" dataDxfId="2483"/>
    <tableColumn id="38" xr3:uid="{A5C841A2-E21B-4A45-8F30-533B715D1E60}" uniqueName="38" name="CT - MENCIONA ALGUNA DE LAS INNOVACIONES QUE TENEMOS EN EL CANAL (CAT 200GR FELIX TRIPLE DELI Y MEGA MIX DE WET Y DOG CHOW ALTA PROTEINA DE 350GR 475GR )" queryTableFieldId="337" dataDxfId="2482"/>
    <tableColumn id="32" xr3:uid="{CBEB7872-E0FC-433F-92ED-BF6DF9A3C871}" uniqueName="32" name="INDIQUE QUE TIPO DE OBJECION / DUDA MANIFESTÓ" queryTableFieldId="191" dataDxfId="2481"/>
    <tableColumn id="33" xr3:uid="{774766D5-18B3-4E35-B2FD-98A885CFD662}" uniqueName="33" name="RESUELVE LA OBJECION SATISFACTORIAMENTE?" queryTableFieldId="192" dataDxfId="2480"/>
    <tableColumn id="31" xr3:uid="{4E18A3A0-6D02-46B2-9740-8B74AD99F75A}" uniqueName="31" name="SE ENCUENTRA LIMPIA EL AREA DE DEMOSTRACION &quot;REVISION DE PRODUCTO SIN POLVO Y EN OPTIMAS CONDICIONES&quot;" queryTableFieldId="211" dataDxfId="2479"/>
    <tableColumn id="35" xr3:uid="{3683C6AA-101F-48B4-B6A1-E0088EF5A86C}" uniqueName="35" name="REALIZA CIERRE DE VENTA" queryTableFieldId="194" dataDxfId="2478"/>
    <tableColumn id="36" xr3:uid="{94638410-401E-4210-92E9-5182B805AAFB}" uniqueName="36" name="CONSIDERO QUE INDEPENDIENTEMENTE DEL SPEECH, LA LABOR DE VENTA ES BUENA" queryTableFieldId="195" dataDxfId="2477"/>
    <tableColumn id="37" xr3:uid="{3A6DAE93-BEED-4A28-87F2-FA1A6561FE9D}" uniqueName="37" name="DESEA AÑADIR ALGUNA OBSERVACION Y/O NOVEDAD DEL MYSTERY REALIZADO?" queryTableFieldId="196" dataDxfId="2476"/>
    <tableColumn id="52" xr3:uid="{11EEC556-FAD8-4F46-8694-D1A5FA61E087}" uniqueName="52" name="INDIQUE OBSERVACION Y/O NOVEDAD DEL MYSTERY REALIZADO" queryTableFieldId="308" dataDxfId="2475"/>
    <tableColumn id="42" xr3:uid="{9B084867-EAF1-4A33-A167-C92DA8E938C6}" uniqueName="42" name="MENCIONA QUE LOS RESULTADOS SON VISIBLES EN 28 DIAS?" queryTableFieldId="261" dataDxfId="2474"/>
    <tableColumn id="43" xr3:uid="{EFAAAC76-F29B-48D3-A59C-81A36F6A154A}" uniqueName="43" name="MENCIONA QUE TIENE CARNE DE VERDAD COMO INGREDIENTE NO.1 E INGREDIENTES NATURALES Y FUNCIONALES?" queryTableFieldId="262" dataDxfId="2473"/>
    <tableColumn id="44" xr3:uid="{701F39B1-4966-4DE1-A233-A698474A4367}" uniqueName="44" name="MENCIONA QUE PURINA ONE CUENTA CON ALIMENTO HUMEDO Y MENCIONA LAS 3 VARIADADES QUE TIENE ( SUPER FOODS, SUPER NUTRIENTES Y MULTI PROTEINAS); APLICA TANTO PARA PERRO COMO PARA GATO?" queryTableFieldId="263" dataDxfId="2472"/>
    <tableColumn id="47" xr3:uid="{E92DB435-7A60-4B33-8CE2-269460F4175D}" uniqueName="47" name="ABORDA AL SHOPPER CON EL VERBATIM Y MANEJA LAS OBJECIONES SEGÚN COMUNICADO ENVIADO." queryTableFieldId="279" dataDxfId="2471"/>
    <tableColumn id="46" xr3:uid="{933E5AC2-5C37-4A36-9437-F8DED8244B0F}" uniqueName="46" name="(OFRECE EL OBSEQUIO APLICA VIERNES, SABADO Y DOMINGO) Y EXPLICA COMO HACER LA TRANSICIÓN  DEL PRODUCTO Y BENEFICIOS?" queryTableFieldId="264" dataDxfId="2470"/>
    <tableColumn id="39" xr3:uid="{19363317-D630-4B2A-A739-FB2312B34506}" uniqueName="39" name="CM - OFRECE DOG CHOW O CAT CHOW COMO PRIMERA OPCION &quot;SI EL PDV CUENTA CON LA REFERENCIA DE PURINA ONE ESTA DEBE SER LA PRIMERA OPCION&quot;" queryTableFieldId="338" dataDxfId="2469"/>
    <tableColumn id="28" xr3:uid="{F0FF3AAF-CFCD-4274-8C64-67AB149C88C0}" uniqueName="28" name="CM - OFRECE ALIMENTO HUMEDO DE DOG CHOW Y FELIX" queryTableFieldId="209" dataDxfId="2468"/>
    <tableColumn id="30" xr3:uid="{099B029B-CFA1-4EB0-8B6D-735DE6221749}" uniqueName="30" name="CM - CONOCE LAS DINAMICAS COMERCIALES DEL PDV" queryTableFieldId="210" dataDxfId="2467"/>
    <tableColumn id="40" xr3:uid="{4347183C-8A22-4A7C-B369-AF02E8779DD2}" uniqueName="40" name="CE - LO PRIMERO QUE OFRECE EL ASESOR ES LA MARCA PRO PLAN? (ENFOQUE EN GATOS)" queryTableFieldId="356" dataDxfId="2466"/>
    <tableColumn id="41" xr3:uid="{FCD5A682-D311-4B51-B7AF-98ABBD01877C}" uniqueName="41" name="CE - EL ASESOR COMUNICA LOS BENEFICIOS Y CARACTERISTICAS DE LA MARCA PRO PLAN? (ENFOQUE EN GATOS)" queryTableFieldId="357" dataDxfId="2465"/>
    <tableColumn id="45" xr3:uid="{BBC98484-4F37-4075-9CC4-924F22DB812A}" uniqueName="45" name="CE - LUEGO DE REALIZAR LA OBJECIÓN DE PRECIO, OFRECE LA MARCA EXCELLENT? (ENFOQUE EN GATOS)" queryTableFieldId="358" dataDxfId="2464"/>
    <tableColumn id="48" xr3:uid="{37D07BCE-1991-4326-9B9D-F0F15162DD99}" uniqueName="48" name="CE - EL ASESOR COMUNICA QUE LA MARCA EXCELLENT ESTA DENTRO DE LA CATEGORIA SUPERPREMIUM PERO A UN COSTO MAS ACCESIBLE." queryTableFieldId="359" dataDxfId="2463"/>
    <tableColumn id="49" xr3:uid="{688B9466-3298-4E1D-BC1E-80531299CD4B}" uniqueName="49" name="CE - EL ASESOR COMUNICA LOS BENEFICIOS Y CARACTERISTICAS DEL PRODUCTO EXCELLENT? (ENFOQUE EN GATOS)" queryTableFieldId="360" dataDxfId="2462"/>
    <tableColumn id="50" xr3:uid="{0D0C0DB9-A3B6-4EC1-9BC4-8553A29E7A0B}" uniqueName="50" name="CE - OFRECE LOS  SUPLEMENTOS Y LA CAMPAÑA &quot;SOBRE AL DÍA&quot; (INDAGAR AL ASESOR O ACTIVADOR ACERCA DE LOS SUPLEMENTOS)" queryTableFieldId="361" dataDxfId="2461"/>
    <tableColumn id="51" xr3:uid="{33703AFD-78B4-4EB1-9367-FB7CBBB17F35}" uniqueName="51" name="CE - OFRECE PRODUCTO HUMEDO Y OFRECE LAS DIFERENTES VARIEDADES? (GATOS Y PERROS)" queryTableFieldId="362" dataDxfId="246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097FD5-2AE4-4313-BF77-CBF36E66D478}" name="Tabla2" displayName="Tabla2" ref="A1:AC200" totalsRowShown="0" dataDxfId="2459">
  <tableColumns count="29">
    <tableColumn id="1" xr3:uid="{EEAB5D40-1395-44AC-989B-7BEBDB594890}" name="ACTIVIDAD" dataDxfId="2458"/>
    <tableColumn id="2" xr3:uid="{7135FC02-E21A-4459-956C-B095998917BA}" name="REGIONAL" dataDxfId="2457"/>
    <tableColumn id="3" xr3:uid="{A676BE8F-9D25-4608-AFA9-335EE953599F}" name="CIUDAD" dataDxfId="2456"/>
    <tableColumn id="4" xr3:uid="{8C438510-9FA2-4A67-81E2-F5A249D8C2D8}" name="CANAL" dataDxfId="2455"/>
    <tableColumn id="5" xr3:uid="{55468C83-E61B-4AC3-8AB6-7842CA8A8685}" name="CADENA" dataDxfId="2454"/>
    <tableColumn id="6" xr3:uid="{319677CB-3518-4692-9804-576A90B637C6}" name="SUBCADENA" dataDxfId="2453"/>
    <tableColumn id="7" xr3:uid="{280B06EB-BEEB-41FF-BD4D-C86267C96B51}" name="ZONA" dataDxfId="2452"/>
    <tableColumn id="8" xr3:uid="{38318117-E4E5-4BBD-BCB8-A0CF5740AD2E}" name="RV" dataDxfId="2451"/>
    <tableColumn id="9" xr3:uid="{AE249958-DA07-4D5E-8893-DA47B2F89DBB}" name="CODIGO PDV" dataDxfId="2450"/>
    <tableColumn id="10" xr3:uid="{5063BA25-7363-4804-9209-6EF1C7FD9552}" name="NOMBRE COMERCIAL" dataDxfId="2449"/>
    <tableColumn id="11" xr3:uid="{1CA31434-5FCA-4588-9EF7-31A85DF89C42}" name="CODIGO EAN" dataDxfId="2448"/>
    <tableColumn id="12" xr3:uid="{F4C77DD5-927D-43C6-A19F-C551C82B3D0D}" name="TIPO PUNTO VENTA" dataDxfId="2447"/>
    <tableColumn id="13" xr3:uid="{EF48160A-97DF-4C9A-9BBF-2ECC73BF528F}" name="CONSECUTIVO ENCUESTA" dataDxfId="2446"/>
    <tableColumn id="14" xr3:uid="{6FA0BAC5-63D5-4D95-B588-F0B164135E47}" name="NOMBRE ENCUESTA" dataDxfId="2445"/>
    <tableColumn id="15" xr3:uid="{7C6BC3DB-B9BC-4C72-ADB7-0BB7A62378BB}" name="PREGUNTA" dataDxfId="2444"/>
    <tableColumn id="16" xr3:uid="{AB325775-AFD1-4793-A618-BF02FE3029AE}" name="RESPUESTA" dataDxfId="2443"/>
    <tableColumn id="17" xr3:uid="{85D12482-E7F3-4879-B4F0-D80F64421259}" name="CODIGO FOTO" dataDxfId="2442"/>
    <tableColumn id="18" xr3:uid="{01036A0B-7510-4B37-96FC-1C395DEDC179}" name="OBSERVACION" dataDxfId="2441"/>
    <tableColumn id="19" xr3:uid="{2F24E07E-80CB-4EA2-9555-9AEB9E02C9EF}" name="FECHA VISITA" dataDxfId="2440"/>
    <tableColumn id="20" xr3:uid="{DC9D56CE-D3BF-4EEF-90B5-C3152AB2A8A8}" name="FECHA INICIO VISITA" dataDxfId="2439"/>
    <tableColumn id="21" xr3:uid="{8DDE28A9-EDD9-412B-B7A2-DF2644A996E9}" name="FECHA CREACIÓN RESPUESTA" dataDxfId="2438"/>
    <tableColumn id="22" xr3:uid="{3A74E72D-F4BF-4E54-8634-EEEC35A8C032}" name="CODIGO RUTA" dataDxfId="2437"/>
    <tableColumn id="23" xr3:uid="{0ADFC93D-A4B4-4C17-8A6B-A6D563B99FCD}" name="CLIENTE" dataDxfId="2436"/>
    <tableColumn id="24" xr3:uid="{6908F565-FB85-4368-B2F7-297DF2BEFBCD}" name="CODIGO EXHIBICION" dataDxfId="2435"/>
    <tableColumn id="25" xr3:uid="{AA5CE162-90D2-43B1-96A0-970F0C412A96}" name="NOMBRE EXHIBICION" dataDxfId="2434"/>
    <tableColumn id="26" xr3:uid="{D2023860-446B-430D-8595-9C2C1438BED3}" name="NOMBRE USUARIO" dataDxfId="2433"/>
    <tableColumn id="27" xr3:uid="{F11E0B94-0622-411D-9CA7-B259829B8A9F}" name="USUARIO" dataDxfId="2432"/>
    <tableColumn id="28" xr3:uid="{E1B013E5-0581-4476-9D6C-3AFBAC21C681}" name="NOMBRE SUPERVISOR " dataDxfId="2431"/>
    <tableColumn id="29" xr3:uid="{B64E6504-C110-44E6-B203-6C06A1F0FFB1}" name="USUARIO SUPERVISOR" dataDxfId="2430"/>
  </tableColumns>
  <tableStyleInfo name="TableStyleLight1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xrt4EMFWTlariN8O2b5CJs8i1oCnUinT/view?usp=sharing" TargetMode="External"/><Relationship Id="rId7" Type="http://schemas.openxmlformats.org/officeDocument/2006/relationships/hyperlink" Target="https://drive.google.com/file/d/1v6cWztMDTPzIzRmSPZ5-Uvd5iUlXJ5c2/view?usp=sharing" TargetMode="External"/><Relationship Id="rId2" Type="http://schemas.openxmlformats.org/officeDocument/2006/relationships/hyperlink" Target="https://drive.google.com/file/d/1aiQ47vrWogHk6OjlzXHaht0fZ3H_v69z/view?usp=sharing" TargetMode="External"/><Relationship Id="rId1" Type="http://schemas.openxmlformats.org/officeDocument/2006/relationships/hyperlink" Target="https://drive.google.com/file/d/1CqfCrK-V3z7UEvLvWiKUuNIVZUNHi8Kt/view?usp=sharing" TargetMode="External"/><Relationship Id="rId6" Type="http://schemas.openxmlformats.org/officeDocument/2006/relationships/hyperlink" Target="https://drive.google.com/file/d/1uHOn068uEo5bc8Vkr8_xKvoF2BlUtZis/view?usp=sharing" TargetMode="External"/><Relationship Id="rId5" Type="http://schemas.openxmlformats.org/officeDocument/2006/relationships/hyperlink" Target="https://drive.google.com/file/d/1He589fBQvxkbbuME3taddoSL6Mmqjnc7/view?usp=sharing" TargetMode="External"/><Relationship Id="rId4" Type="http://schemas.openxmlformats.org/officeDocument/2006/relationships/hyperlink" Target="https://drive.google.com/file/d/1rzkIOTN5F-zLHupQnKRqaxzJUHDZkmYx/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CE70-CB0C-4295-95CE-F28AA71E4DBA}">
  <dimension ref="A1:U77"/>
  <sheetViews>
    <sheetView tabSelected="1" workbookViewId="0">
      <selection activeCell="F26" sqref="F26"/>
    </sheetView>
  </sheetViews>
  <sheetFormatPr baseColWidth="10" defaultColWidth="11.453125" defaultRowHeight="14.5" x14ac:dyDescent="0.35"/>
  <cols>
    <col min="1" max="1" width="38.1796875" customWidth="1"/>
    <col min="2" max="2" width="1.81640625" style="61" customWidth="1"/>
    <col min="3" max="3" width="8.54296875" customWidth="1"/>
    <col min="4" max="4" width="34.453125" customWidth="1"/>
    <col min="5" max="5" width="16.7265625" customWidth="1"/>
    <col min="6" max="6" width="16.36328125" customWidth="1"/>
    <col min="7" max="7" width="14.26953125" customWidth="1"/>
    <col min="8" max="8" width="14.6328125" customWidth="1"/>
    <col min="9" max="9" width="11" customWidth="1"/>
    <col min="10" max="10" width="15" customWidth="1"/>
    <col min="11" max="11" width="14" customWidth="1"/>
    <col min="12" max="12" width="16.453125" customWidth="1"/>
    <col min="13" max="13" width="18.453125" customWidth="1"/>
    <col min="14" max="14" width="11.81640625" customWidth="1"/>
  </cols>
  <sheetData>
    <row r="1" spans="1:10" ht="23.5" customHeight="1" x14ac:dyDescent="0.35">
      <c r="A1" s="78" t="s">
        <v>184</v>
      </c>
    </row>
    <row r="2" spans="1:10" x14ac:dyDescent="0.35">
      <c r="A2" s="79"/>
    </row>
    <row r="3" spans="1:10" ht="20" x14ac:dyDescent="0.4">
      <c r="A3" s="79"/>
      <c r="D3" s="7" t="s">
        <v>0</v>
      </c>
      <c r="E3" s="3"/>
      <c r="F3" s="3"/>
      <c r="G3" s="3"/>
      <c r="H3" s="3"/>
      <c r="I3" s="3"/>
      <c r="J3" s="3"/>
    </row>
    <row r="4" spans="1:10" x14ac:dyDescent="0.35">
      <c r="D4" s="13" t="s">
        <v>1</v>
      </c>
      <c r="E4" s="14" t="s">
        <v>2</v>
      </c>
      <c r="F4" s="14" t="s">
        <v>3</v>
      </c>
      <c r="G4" s="15" t="s">
        <v>4</v>
      </c>
      <c r="H4" s="14" t="s">
        <v>5</v>
      </c>
      <c r="I4" s="14" t="s">
        <v>6</v>
      </c>
      <c r="J4" s="15" t="s">
        <v>7</v>
      </c>
    </row>
    <row r="5" spans="1:10" x14ac:dyDescent="0.35">
      <c r="D5" s="2" t="s">
        <v>131</v>
      </c>
      <c r="E5" s="81">
        <v>1</v>
      </c>
      <c r="F5" s="81">
        <v>1</v>
      </c>
      <c r="G5" s="4">
        <v>1</v>
      </c>
      <c r="H5" s="81">
        <v>1</v>
      </c>
      <c r="I5" s="81">
        <v>1</v>
      </c>
      <c r="J5" s="4">
        <v>1</v>
      </c>
    </row>
    <row r="6" spans="1:10" x14ac:dyDescent="0.35">
      <c r="D6" s="2" t="s">
        <v>178</v>
      </c>
      <c r="E6" s="81">
        <v>2</v>
      </c>
      <c r="F6" s="81">
        <v>2</v>
      </c>
      <c r="G6" s="4">
        <v>1</v>
      </c>
      <c r="H6" s="81">
        <v>2</v>
      </c>
      <c r="I6" s="81">
        <v>2</v>
      </c>
      <c r="J6" s="4">
        <v>1</v>
      </c>
    </row>
    <row r="7" spans="1:10" x14ac:dyDescent="0.35">
      <c r="D7" s="2" t="s">
        <v>152</v>
      </c>
      <c r="E7" s="81">
        <v>2</v>
      </c>
      <c r="F7" s="81">
        <v>2</v>
      </c>
      <c r="G7" s="4">
        <v>1</v>
      </c>
      <c r="H7" s="81">
        <v>2</v>
      </c>
      <c r="I7" s="81">
        <v>2</v>
      </c>
      <c r="J7" s="4">
        <v>1</v>
      </c>
    </row>
    <row r="8" spans="1:10" x14ac:dyDescent="0.35">
      <c r="D8" s="2" t="s">
        <v>8</v>
      </c>
      <c r="E8" s="81">
        <v>2</v>
      </c>
      <c r="F8" s="81">
        <v>2</v>
      </c>
      <c r="G8" s="4">
        <v>1</v>
      </c>
      <c r="H8" s="81">
        <v>2</v>
      </c>
      <c r="I8" s="81">
        <v>1</v>
      </c>
      <c r="J8" s="4">
        <v>0.5</v>
      </c>
    </row>
    <row r="9" spans="1:10" x14ac:dyDescent="0.35">
      <c r="D9" s="16" t="s">
        <v>9</v>
      </c>
      <c r="E9" s="82">
        <v>7</v>
      </c>
      <c r="F9" s="82">
        <v>7</v>
      </c>
      <c r="G9" s="12">
        <v>1</v>
      </c>
      <c r="H9" s="82">
        <v>7</v>
      </c>
      <c r="I9" s="82">
        <v>6</v>
      </c>
      <c r="J9" s="66">
        <v>0.8571428571428571</v>
      </c>
    </row>
    <row r="15" spans="1:10" ht="20" x14ac:dyDescent="0.4">
      <c r="D15" s="7" t="s">
        <v>10</v>
      </c>
      <c r="E15" s="3"/>
      <c r="F15" s="3"/>
    </row>
    <row r="16" spans="1:10" ht="12.5" hidden="1" customHeight="1" x14ac:dyDescent="0.35">
      <c r="D16" s="1" t="s">
        <v>11</v>
      </c>
      <c r="E16" s="27" t="s">
        <v>12</v>
      </c>
      <c r="F16" s="3"/>
      <c r="G16" s="3"/>
      <c r="H16" s="3"/>
    </row>
    <row r="17" spans="4:9" x14ac:dyDescent="0.35">
      <c r="D17" s="1" t="s">
        <v>13</v>
      </c>
      <c r="E17" s="3" t="s">
        <v>15</v>
      </c>
      <c r="F17" s="3" t="s">
        <v>14</v>
      </c>
      <c r="G17" s="3" t="s">
        <v>41</v>
      </c>
      <c r="H17" s="5" t="s">
        <v>16</v>
      </c>
    </row>
    <row r="18" spans="4:9" x14ac:dyDescent="0.35">
      <c r="D18" s="2" t="s">
        <v>98</v>
      </c>
      <c r="E18" s="4">
        <v>1</v>
      </c>
      <c r="F18" s="4">
        <v>1</v>
      </c>
      <c r="G18" s="4">
        <v>1</v>
      </c>
      <c r="H18" s="4">
        <v>1</v>
      </c>
    </row>
    <row r="19" spans="4:9" x14ac:dyDescent="0.35">
      <c r="D19" s="2" t="s">
        <v>17</v>
      </c>
      <c r="E19" s="4">
        <v>1</v>
      </c>
      <c r="F19" s="4">
        <v>1</v>
      </c>
      <c r="G19" s="4">
        <v>1</v>
      </c>
      <c r="H19" s="4">
        <v>1</v>
      </c>
    </row>
    <row r="20" spans="4:9" x14ac:dyDescent="0.35">
      <c r="D20" s="2" t="s">
        <v>95</v>
      </c>
      <c r="E20" s="4">
        <v>1</v>
      </c>
      <c r="F20" s="4">
        <v>1</v>
      </c>
      <c r="G20" s="4">
        <v>1</v>
      </c>
      <c r="H20" s="4">
        <v>1</v>
      </c>
    </row>
    <row r="21" spans="4:9" x14ac:dyDescent="0.35">
      <c r="D21" s="2" t="s">
        <v>96</v>
      </c>
      <c r="E21" s="4">
        <v>1</v>
      </c>
      <c r="F21" s="4">
        <v>1</v>
      </c>
      <c r="G21" s="4">
        <v>1</v>
      </c>
      <c r="H21" s="4">
        <v>1</v>
      </c>
    </row>
    <row r="22" spans="4:9" x14ac:dyDescent="0.35">
      <c r="D22" s="2" t="s">
        <v>97</v>
      </c>
      <c r="E22" s="4">
        <v>0.97619047619047616</v>
      </c>
      <c r="F22" s="4">
        <v>0.89743589743589747</v>
      </c>
      <c r="G22" s="4">
        <v>1</v>
      </c>
      <c r="H22" s="4">
        <v>0.93539793539793503</v>
      </c>
    </row>
    <row r="23" spans="4:9" x14ac:dyDescent="0.35">
      <c r="D23" s="2" t="s">
        <v>16</v>
      </c>
      <c r="E23" s="9">
        <v>0.99285714285714288</v>
      </c>
      <c r="F23" s="9">
        <v>0.96923076923076912</v>
      </c>
      <c r="G23" s="9">
        <v>1</v>
      </c>
      <c r="H23" s="11">
        <v>0.98177890485582786</v>
      </c>
    </row>
    <row r="29" spans="4:9" ht="20" x14ac:dyDescent="0.35">
      <c r="D29" s="8" t="s">
        <v>18</v>
      </c>
      <c r="E29" s="3"/>
      <c r="F29" s="3"/>
      <c r="G29" s="3"/>
      <c r="H29" s="3"/>
    </row>
    <row r="30" spans="4:9" hidden="1" x14ac:dyDescent="0.35">
      <c r="D30" s="1" t="s">
        <v>11</v>
      </c>
      <c r="E30" s="27" t="s">
        <v>12</v>
      </c>
      <c r="F30" s="3"/>
      <c r="G30" s="3"/>
      <c r="H30" s="3"/>
      <c r="I30" s="3"/>
    </row>
    <row r="31" spans="4:9" x14ac:dyDescent="0.35">
      <c r="D31" s="1" t="s">
        <v>13</v>
      </c>
      <c r="E31" s="3" t="s">
        <v>8</v>
      </c>
      <c r="F31" s="3" t="s">
        <v>178</v>
      </c>
      <c r="G31" s="3" t="s">
        <v>152</v>
      </c>
      <c r="H31" s="3" t="s">
        <v>131</v>
      </c>
      <c r="I31" s="5" t="s">
        <v>16</v>
      </c>
    </row>
    <row r="32" spans="4:9" x14ac:dyDescent="0.35">
      <c r="D32" s="2" t="s">
        <v>98</v>
      </c>
      <c r="E32" s="4">
        <v>1</v>
      </c>
      <c r="F32" s="4">
        <v>1</v>
      </c>
      <c r="G32" s="4">
        <v>1</v>
      </c>
      <c r="H32" s="4">
        <v>1</v>
      </c>
      <c r="I32" s="4">
        <v>1</v>
      </c>
    </row>
    <row r="33" spans="4:12" x14ac:dyDescent="0.35">
      <c r="D33" s="2" t="s">
        <v>17</v>
      </c>
      <c r="E33" s="4">
        <v>1</v>
      </c>
      <c r="F33" s="4">
        <v>1</v>
      </c>
      <c r="G33" s="4">
        <v>1</v>
      </c>
      <c r="H33" s="4">
        <v>1</v>
      </c>
      <c r="I33" s="4">
        <v>1</v>
      </c>
    </row>
    <row r="34" spans="4:12" x14ac:dyDescent="0.35">
      <c r="D34" s="2" t="s">
        <v>95</v>
      </c>
      <c r="E34" s="4">
        <v>1</v>
      </c>
      <c r="F34" s="4">
        <v>1</v>
      </c>
      <c r="G34" s="4">
        <v>1</v>
      </c>
      <c r="H34" s="4">
        <v>1</v>
      </c>
      <c r="I34" s="4">
        <v>1</v>
      </c>
    </row>
    <row r="35" spans="4:12" x14ac:dyDescent="0.35">
      <c r="D35" s="2" t="s">
        <v>96</v>
      </c>
      <c r="E35" s="4">
        <v>1</v>
      </c>
      <c r="F35" s="4">
        <v>1</v>
      </c>
      <c r="G35" s="4">
        <v>1</v>
      </c>
      <c r="H35" s="4">
        <v>1</v>
      </c>
      <c r="I35" s="4">
        <v>1</v>
      </c>
    </row>
    <row r="36" spans="4:12" x14ac:dyDescent="0.35">
      <c r="D36" s="2" t="s">
        <v>97</v>
      </c>
      <c r="E36" s="4">
        <v>1</v>
      </c>
      <c r="F36" s="4">
        <v>0.96153846153846156</v>
      </c>
      <c r="G36" s="4">
        <v>0.93772893772893762</v>
      </c>
      <c r="H36" s="4">
        <v>0.84615384615384615</v>
      </c>
      <c r="I36" s="4">
        <v>0.93539793539793537</v>
      </c>
    </row>
    <row r="37" spans="4:12" x14ac:dyDescent="0.35">
      <c r="D37" s="2" t="s">
        <v>16</v>
      </c>
      <c r="E37" s="9">
        <v>1</v>
      </c>
      <c r="F37" s="9">
        <v>0.98846153846153839</v>
      </c>
      <c r="G37" s="9">
        <v>0.98131868131868127</v>
      </c>
      <c r="H37" s="9">
        <v>0.9538461538461539</v>
      </c>
      <c r="I37" s="11">
        <v>0.98177890485582786</v>
      </c>
    </row>
    <row r="41" spans="4:12" x14ac:dyDescent="0.35">
      <c r="E41" s="3"/>
      <c r="F41" s="3"/>
      <c r="G41" s="3"/>
      <c r="H41" s="3"/>
    </row>
    <row r="42" spans="4:12" x14ac:dyDescent="0.35">
      <c r="F42" s="3"/>
      <c r="G42" s="3"/>
      <c r="H42" s="3"/>
    </row>
    <row r="43" spans="4:12" hidden="1" x14ac:dyDescent="0.35">
      <c r="D43" s="13" t="s">
        <v>19</v>
      </c>
      <c r="E43" t="s">
        <v>133</v>
      </c>
    </row>
    <row r="44" spans="4:12" ht="20" x14ac:dyDescent="0.4">
      <c r="D44" s="7" t="s">
        <v>21</v>
      </c>
    </row>
    <row r="45" spans="4:12" hidden="1" x14ac:dyDescent="0.35">
      <c r="D45" s="1" t="s">
        <v>11</v>
      </c>
      <c r="G45" s="1" t="s">
        <v>13</v>
      </c>
    </row>
    <row r="46" spans="4:12" ht="43.5" x14ac:dyDescent="0.35">
      <c r="D46" s="18" t="s">
        <v>1</v>
      </c>
      <c r="E46" s="18" t="s">
        <v>22</v>
      </c>
      <c r="F46" s="18" t="s">
        <v>23</v>
      </c>
      <c r="G46" s="33" t="s">
        <v>96</v>
      </c>
      <c r="H46" s="33" t="s">
        <v>17</v>
      </c>
      <c r="I46" s="33" t="s">
        <v>98</v>
      </c>
      <c r="J46" s="33" t="s">
        <v>97</v>
      </c>
      <c r="K46" s="33" t="s">
        <v>95</v>
      </c>
      <c r="L46" s="17" t="s">
        <v>16</v>
      </c>
    </row>
    <row r="47" spans="4:12" x14ac:dyDescent="0.35">
      <c r="D47" s="10" t="s">
        <v>8</v>
      </c>
      <c r="E47" t="s">
        <v>41</v>
      </c>
      <c r="F47" t="s">
        <v>141</v>
      </c>
      <c r="G47" s="4">
        <v>1</v>
      </c>
      <c r="H47" s="4">
        <v>1</v>
      </c>
      <c r="I47" s="4">
        <v>1</v>
      </c>
      <c r="J47" s="4">
        <v>1</v>
      </c>
      <c r="K47" s="4">
        <v>1</v>
      </c>
      <c r="L47" s="4">
        <v>1</v>
      </c>
    </row>
    <row r="48" spans="4:12" x14ac:dyDescent="0.35">
      <c r="D48" t="s">
        <v>178</v>
      </c>
      <c r="E48" t="s">
        <v>15</v>
      </c>
      <c r="F48" t="s">
        <v>179</v>
      </c>
      <c r="G48" s="4">
        <v>1</v>
      </c>
      <c r="H48" s="4">
        <v>1</v>
      </c>
      <c r="I48" s="4">
        <v>1</v>
      </c>
      <c r="J48" s="4">
        <v>1</v>
      </c>
      <c r="K48" s="4">
        <v>1</v>
      </c>
      <c r="L48" s="4">
        <v>1</v>
      </c>
    </row>
    <row r="49" spans="4:12" x14ac:dyDescent="0.35">
      <c r="D49" t="s">
        <v>178</v>
      </c>
      <c r="E49" t="s">
        <v>14</v>
      </c>
      <c r="F49" t="s">
        <v>186</v>
      </c>
      <c r="G49" s="4">
        <v>1</v>
      </c>
      <c r="H49" s="4">
        <v>1</v>
      </c>
      <c r="I49" s="4">
        <v>1</v>
      </c>
      <c r="J49" s="4">
        <v>0.92307692307692313</v>
      </c>
      <c r="K49" s="4">
        <v>1</v>
      </c>
      <c r="L49" s="4">
        <v>0.97692307692307689</v>
      </c>
    </row>
    <row r="50" spans="4:12" x14ac:dyDescent="0.35">
      <c r="D50" t="s">
        <v>152</v>
      </c>
      <c r="E50" t="s">
        <v>15</v>
      </c>
      <c r="F50" t="s">
        <v>154</v>
      </c>
      <c r="G50" s="4">
        <v>1</v>
      </c>
      <c r="H50" s="4">
        <v>1</v>
      </c>
      <c r="I50" s="4">
        <v>1</v>
      </c>
      <c r="J50" s="4">
        <v>0.95238095238095233</v>
      </c>
      <c r="K50" s="4">
        <v>1</v>
      </c>
      <c r="L50" s="4">
        <v>0.98571428571428565</v>
      </c>
    </row>
    <row r="51" spans="4:12" x14ac:dyDescent="0.35">
      <c r="D51" t="s">
        <v>152</v>
      </c>
      <c r="E51" t="s">
        <v>14</v>
      </c>
      <c r="F51" t="s">
        <v>194</v>
      </c>
      <c r="G51" s="4">
        <v>1</v>
      </c>
      <c r="H51" s="4">
        <v>1</v>
      </c>
      <c r="I51" s="4">
        <v>1</v>
      </c>
      <c r="J51" s="4">
        <v>0.92307692307692313</v>
      </c>
      <c r="K51" s="4">
        <v>1</v>
      </c>
      <c r="L51" s="4">
        <v>0.97692307692307689</v>
      </c>
    </row>
    <row r="52" spans="4:12" x14ac:dyDescent="0.35">
      <c r="D52" t="s">
        <v>131</v>
      </c>
      <c r="E52" t="s">
        <v>14</v>
      </c>
      <c r="F52" t="s">
        <v>164</v>
      </c>
      <c r="G52" s="4">
        <v>1</v>
      </c>
      <c r="H52" s="4">
        <v>1</v>
      </c>
      <c r="I52" s="4">
        <v>1</v>
      </c>
      <c r="J52" s="4">
        <v>0.84615384615384615</v>
      </c>
      <c r="K52" s="4">
        <v>1</v>
      </c>
      <c r="L52" s="4">
        <v>0.9538461538461539</v>
      </c>
    </row>
    <row r="53" spans="4:12" x14ac:dyDescent="0.35">
      <c r="D53" s="10" t="s">
        <v>16</v>
      </c>
      <c r="E53" s="10"/>
      <c r="F53" s="10"/>
      <c r="G53" s="65">
        <v>1</v>
      </c>
      <c r="H53" s="65">
        <v>1</v>
      </c>
      <c r="I53" s="65">
        <v>1</v>
      </c>
      <c r="J53" s="65">
        <v>0.93539793539793503</v>
      </c>
      <c r="K53" s="65">
        <v>1</v>
      </c>
      <c r="L53" s="11">
        <v>0.98177890485582797</v>
      </c>
    </row>
    <row r="59" spans="4:12" x14ac:dyDescent="0.35">
      <c r="K59" s="4"/>
    </row>
    <row r="77" spans="21:21" x14ac:dyDescent="0.35">
      <c r="U77" s="4"/>
    </row>
  </sheetData>
  <mergeCells count="1">
    <mergeCell ref="A1:A3"/>
  </mergeCells>
  <pageMargins left="0.7" right="0.7" top="0.75" bottom="0.75" header="0.3" footer="0.3"/>
  <pageSetup orientation="portrait" r:id="rId5"/>
  <drawing r:id="rId6"/>
  <extLst>
    <ext xmlns:x14="http://schemas.microsoft.com/office/spreadsheetml/2009/9/main" uri="{78C0D931-6437-407d-A8EE-F0AAD7539E65}">
      <x14:conditionalFormattings>
        <x14:conditionalFormatting xmlns:xm="http://schemas.microsoft.com/office/excel/2006/main" pivot="1">
          <x14:cfRule type="iconSet" priority="102" id="{A7410DC0-EE9E-4584-A866-672877DBC4E6}">
            <x14:iconSet iconSet="3Triangles">
              <x14:cfvo type="percent">
                <xm:f>0</xm:f>
              </x14:cfvo>
              <x14:cfvo type="percent">
                <xm:f>33</xm:f>
              </x14:cfvo>
              <x14:cfvo type="percent">
                <xm:f>67</xm:f>
              </x14:cfvo>
            </x14:iconSet>
          </x14:cfRule>
          <xm:sqref>H18:H23</xm:sqref>
        </x14:conditionalFormatting>
        <x14:conditionalFormatting xmlns:xm="http://schemas.microsoft.com/office/excel/2006/main" pivot="1">
          <x14:cfRule type="iconSet" priority="99" id="{578A6BBE-0746-49B8-A379-5CA92DEB79AA}">
            <x14:iconSet iconSet="3Triangles">
              <x14:cfvo type="percent">
                <xm:f>0</xm:f>
              </x14:cfvo>
              <x14:cfvo type="percent">
                <xm:f>33</xm:f>
              </x14:cfvo>
              <x14:cfvo type="percent">
                <xm:f>67</xm:f>
              </x14:cfvo>
            </x14:iconSet>
          </x14:cfRule>
          <xm:sqref>I32:I36</xm:sqref>
        </x14:conditionalFormatting>
        <x14:conditionalFormatting xmlns:xm="http://schemas.microsoft.com/office/excel/2006/main">
          <x14:cfRule type="iconSet" priority="90" id="{1E271CF6-3828-4F00-8A64-93CE6C10607A}">
            <x14:iconSet iconSet="3Triangles">
              <x14:cfvo type="percent">
                <xm:f>0</xm:f>
              </x14:cfvo>
              <x14:cfvo type="percent">
                <xm:f>33</xm:f>
              </x14:cfvo>
              <x14:cfvo type="percent">
                <xm:f>67</xm:f>
              </x14:cfvo>
            </x14:iconSet>
          </x14:cfRule>
          <xm:sqref>U77</xm:sqref>
        </x14:conditionalFormatting>
        <x14:conditionalFormatting xmlns:xm="http://schemas.microsoft.com/office/excel/2006/main" pivot="1">
          <x14:cfRule type="iconSet" priority="21" id="{89AB2A6D-6E46-4627-BFDD-62ACB8214849}">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20" id="{84DE4F07-E727-4C73-AE29-1D4C44E1922B}">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15" id="{77DEA58D-9E99-425A-9445-E00F5EBBE714}">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12" id="{FEDEA57B-B43C-4ADF-B15A-40144AAD63D3}">
            <x14:iconSet iconSet="3Triangles">
              <x14:cfvo type="percent">
                <xm:f>0</xm:f>
              </x14:cfvo>
              <x14:cfvo type="percent">
                <xm:f>33</xm:f>
              </x14:cfvo>
              <x14:cfvo type="percent">
                <xm:f>67</xm:f>
              </x14:cfvo>
            </x14:iconSet>
          </x14:cfRule>
          <xm:sqref>L47:L53</xm:sqref>
        </x14:conditionalFormatting>
        <x14:conditionalFormatting xmlns:xm="http://schemas.microsoft.com/office/excel/2006/main" pivot="1">
          <x14:cfRule type="iconSet" priority="11" id="{DB7AD4AB-F70F-4909-883A-90C1B83D84EE}">
            <x14:iconSet iconSet="3Triangles">
              <x14:cfvo type="percent">
                <xm:f>0</xm:f>
              </x14:cfvo>
              <x14:cfvo type="percent">
                <xm:f>33</xm:f>
              </x14:cfvo>
              <x14:cfvo type="percent">
                <xm:f>67</xm:f>
              </x14:cfvo>
            </x14:iconSet>
          </x14:cfRule>
          <xm:sqref>E18:F23</xm:sqref>
        </x14:conditionalFormatting>
        <x14:conditionalFormatting xmlns:xm="http://schemas.microsoft.com/office/excel/2006/main" pivot="1">
          <x14:cfRule type="iconSet" priority="10" id="{D07F4ABB-167C-4C29-B4DC-F2C854E5FF8F}">
            <x14:iconSet iconSet="3Triangles">
              <x14:cfvo type="percent">
                <xm:f>0</xm:f>
              </x14:cfvo>
              <x14:cfvo type="percent">
                <xm:f>33</xm:f>
              </x14:cfvo>
              <x14:cfvo type="percent">
                <xm:f>67</xm:f>
              </x14:cfvo>
            </x14:iconSet>
          </x14:cfRule>
          <xm:sqref>E32:E37 G32:G37</xm:sqref>
        </x14:conditionalFormatting>
        <x14:conditionalFormatting xmlns:xm="http://schemas.microsoft.com/office/excel/2006/main" pivot="1">
          <x14:cfRule type="iconSet" priority="8" id="{FD37CB4B-EA35-45C1-B033-CBB122F3F452}">
            <x14:iconSet iconSet="3Triangles">
              <x14:cfvo type="percent">
                <xm:f>0</xm:f>
              </x14:cfvo>
              <x14:cfvo type="percent">
                <xm:f>33</xm:f>
              </x14:cfvo>
              <x14:cfvo type="percent">
                <xm:f>67</xm:f>
              </x14:cfvo>
            </x14:iconSet>
          </x14:cfRule>
          <xm:sqref>F32:F37</xm:sqref>
        </x14:conditionalFormatting>
        <x14:conditionalFormatting xmlns:xm="http://schemas.microsoft.com/office/excel/2006/main">
          <x14:cfRule type="iconSet" priority="7" id="{AE18C136-24F2-4062-912A-92E3FD4B42F4}">
            <x14:iconSet iconSet="3Triangles">
              <x14:cfvo type="percent">
                <xm:f>0</xm:f>
              </x14:cfvo>
              <x14:cfvo type="percent">
                <xm:f>33</xm:f>
              </x14:cfvo>
              <x14:cfvo type="percent">
                <xm:f>67</xm:f>
              </x14:cfvo>
            </x14:iconSet>
          </x14:cfRule>
          <xm:sqref>K59</xm:sqref>
        </x14:conditionalFormatting>
        <x14:conditionalFormatting xmlns:xm="http://schemas.microsoft.com/office/excel/2006/main" pivot="1">
          <x14:cfRule type="iconSet" priority="6" id="{BAE3BAAD-2855-4541-9A0D-5874056A0CCE}">
            <x14:iconSet iconSet="3Triangles">
              <x14:cfvo type="percent">
                <xm:f>0</xm:f>
              </x14:cfvo>
              <x14:cfvo type="percent">
                <xm:f>33</xm:f>
              </x14:cfvo>
              <x14:cfvo type="percent">
                <xm:f>67</xm:f>
              </x14:cfvo>
            </x14:iconSet>
          </x14:cfRule>
          <xm:sqref>G47:J53</xm:sqref>
        </x14:conditionalFormatting>
        <x14:conditionalFormatting xmlns:xm="http://schemas.microsoft.com/office/excel/2006/main" pivot="1">
          <x14:cfRule type="iconSet" priority="4" id="{793DEEDE-EB15-454C-9A1A-47BBA1A3B90B}">
            <x14:iconSet iconSet="3Triangles">
              <x14:cfvo type="percent">
                <xm:f>0</xm:f>
              </x14:cfvo>
              <x14:cfvo type="percent">
                <xm:f>33</xm:f>
              </x14:cfvo>
              <x14:cfvo type="percent">
                <xm:f>67</xm:f>
              </x14:cfvo>
            </x14:iconSet>
          </x14:cfRule>
          <xm:sqref>K47:K53</xm:sqref>
        </x14:conditionalFormatting>
        <x14:conditionalFormatting xmlns:xm="http://schemas.microsoft.com/office/excel/2006/main" pivot="1">
          <x14:cfRule type="iconSet" priority="3" id="{79EF4831-482A-49D1-9743-8F2E35D01FCC}">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2" id="{1A50011A-7144-4BA5-9551-74A12994C23A}">
            <x14:iconSet iconSet="3Triangles">
              <x14:cfvo type="percent">
                <xm:f>0</xm:f>
              </x14:cfvo>
              <x14:cfvo type="percent">
                <xm:f>33</xm:f>
              </x14:cfvo>
              <x14:cfvo type="percent">
                <xm:f>67</xm:f>
              </x14:cfvo>
            </x14:iconSet>
          </x14:cfRule>
          <xm:sqref>I37</xm:sqref>
        </x14:conditionalFormatting>
        <x14:conditionalFormatting xmlns:xm="http://schemas.microsoft.com/office/excel/2006/main" pivot="1">
          <x14:cfRule type="iconSet" priority="1" id="{2B5C1FB9-92FD-4770-9D69-94FED7A884CD}">
            <x14:iconSet iconSet="3Triangles">
              <x14:cfvo type="percent">
                <xm:f>0</xm:f>
              </x14:cfvo>
              <x14:cfvo type="percent">
                <xm:f>33</xm:f>
              </x14:cfvo>
              <x14:cfvo type="percent">
                <xm:f>67</xm:f>
              </x14:cfvo>
            </x14:iconSet>
          </x14:cfRule>
          <xm:sqref>G18:G23</xm:sqref>
        </x14:conditionalFormatting>
      </x14:conditionalFormattings>
    </ex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8C9D-50A1-466F-A4CF-A3BF379C3F7F}">
  <dimension ref="A1:J8"/>
  <sheetViews>
    <sheetView workbookViewId="0">
      <selection activeCell="C14" sqref="C14"/>
    </sheetView>
  </sheetViews>
  <sheetFormatPr baseColWidth="10" defaultRowHeight="14.5" x14ac:dyDescent="0.35"/>
  <cols>
    <col min="1" max="1" width="14.26953125" bestFit="1" customWidth="1"/>
    <col min="2" max="2" width="14.26953125" customWidth="1"/>
    <col min="3" max="3" width="54.1796875" bestFit="1" customWidth="1"/>
    <col min="4" max="9" width="13.26953125" customWidth="1"/>
  </cols>
  <sheetData>
    <row r="1" spans="1:10" x14ac:dyDescent="0.35">
      <c r="A1" s="62" t="s">
        <v>1</v>
      </c>
      <c r="B1" s="62"/>
      <c r="C1" s="62" t="s">
        <v>23</v>
      </c>
      <c r="D1" s="63" t="s">
        <v>76</v>
      </c>
      <c r="E1" s="63" t="s">
        <v>77</v>
      </c>
      <c r="F1" s="63" t="s">
        <v>78</v>
      </c>
      <c r="G1" s="64" t="s">
        <v>81</v>
      </c>
      <c r="H1" s="64" t="s">
        <v>82</v>
      </c>
      <c r="I1" s="63" t="s">
        <v>109</v>
      </c>
    </row>
    <row r="2" spans="1:10" x14ac:dyDescent="0.35">
      <c r="A2" s="52" t="s">
        <v>15</v>
      </c>
      <c r="B2" s="52" t="s">
        <v>8</v>
      </c>
      <c r="C2" s="52" t="s">
        <v>171</v>
      </c>
      <c r="D2" s="53" t="s">
        <v>181</v>
      </c>
      <c r="E2" s="20"/>
      <c r="F2" s="20" t="s">
        <v>79</v>
      </c>
      <c r="G2" s="20" t="s">
        <v>79</v>
      </c>
      <c r="H2" s="20" t="s">
        <v>79</v>
      </c>
      <c r="I2" s="20" t="s">
        <v>79</v>
      </c>
    </row>
    <row r="3" spans="1:10" x14ac:dyDescent="0.35">
      <c r="A3" s="52" t="s">
        <v>41</v>
      </c>
      <c r="B3" s="52" t="s">
        <v>8</v>
      </c>
      <c r="C3" s="52" t="s">
        <v>141</v>
      </c>
      <c r="D3" s="53" t="s">
        <v>182</v>
      </c>
      <c r="E3" s="20" t="s">
        <v>79</v>
      </c>
      <c r="F3" s="20" t="s">
        <v>79</v>
      </c>
      <c r="G3" s="20" t="s">
        <v>79</v>
      </c>
      <c r="H3" s="20" t="s">
        <v>79</v>
      </c>
      <c r="I3" s="20" t="s">
        <v>79</v>
      </c>
    </row>
    <row r="4" spans="1:10" x14ac:dyDescent="0.35">
      <c r="A4" s="52" t="s">
        <v>14</v>
      </c>
      <c r="B4" s="52" t="s">
        <v>131</v>
      </c>
      <c r="C4" s="52" t="s">
        <v>164</v>
      </c>
      <c r="D4" s="53" t="s">
        <v>183</v>
      </c>
      <c r="E4" s="20" t="s">
        <v>79</v>
      </c>
      <c r="F4" s="20" t="s">
        <v>79</v>
      </c>
      <c r="G4" s="20" t="s">
        <v>79</v>
      </c>
      <c r="H4" s="20" t="s">
        <v>79</v>
      </c>
      <c r="I4" s="20" t="s">
        <v>79</v>
      </c>
    </row>
    <row r="5" spans="1:10" x14ac:dyDescent="0.35">
      <c r="A5" s="52" t="s">
        <v>15</v>
      </c>
      <c r="B5" s="52" t="s">
        <v>152</v>
      </c>
      <c r="C5" s="52" t="s">
        <v>154</v>
      </c>
      <c r="D5" s="53" t="s">
        <v>205</v>
      </c>
      <c r="E5" s="20" t="s">
        <v>79</v>
      </c>
      <c r="F5" s="20" t="s">
        <v>79</v>
      </c>
      <c r="G5" s="20" t="s">
        <v>79</v>
      </c>
      <c r="H5" s="20" t="s">
        <v>79</v>
      </c>
      <c r="I5" s="20" t="s">
        <v>79</v>
      </c>
      <c r="J5" s="75"/>
    </row>
    <row r="6" spans="1:10" x14ac:dyDescent="0.35">
      <c r="A6" s="52" t="s">
        <v>14</v>
      </c>
      <c r="B6" s="52" t="s">
        <v>152</v>
      </c>
      <c r="C6" s="52" t="s">
        <v>177</v>
      </c>
      <c r="D6" s="53" t="s">
        <v>206</v>
      </c>
      <c r="E6" s="20"/>
      <c r="F6" s="20"/>
      <c r="G6" s="20"/>
      <c r="H6" s="20"/>
      <c r="I6" s="20"/>
    </row>
    <row r="7" spans="1:10" x14ac:dyDescent="0.35">
      <c r="A7" s="52" t="s">
        <v>14</v>
      </c>
      <c r="B7" s="52" t="s">
        <v>178</v>
      </c>
      <c r="C7" s="52" t="s">
        <v>180</v>
      </c>
      <c r="D7" s="53" t="s">
        <v>207</v>
      </c>
      <c r="E7" s="20"/>
      <c r="F7" s="20"/>
      <c r="G7" s="20"/>
      <c r="H7" s="20"/>
      <c r="I7" s="20"/>
    </row>
    <row r="8" spans="1:10" x14ac:dyDescent="0.35">
      <c r="A8" s="52" t="s">
        <v>15</v>
      </c>
      <c r="B8" s="52" t="s">
        <v>178</v>
      </c>
      <c r="C8" s="52" t="s">
        <v>179</v>
      </c>
      <c r="D8" s="53" t="s">
        <v>208</v>
      </c>
      <c r="E8" s="20"/>
      <c r="F8" s="20"/>
      <c r="G8" s="20"/>
      <c r="H8" s="20"/>
      <c r="I8" s="20"/>
    </row>
  </sheetData>
  <phoneticPr fontId="3" type="noConversion"/>
  <hyperlinks>
    <hyperlink ref="D2" r:id="rId1" xr:uid="{C99AEC47-1BA4-4684-8CDD-894274E5FF63}"/>
    <hyperlink ref="D3" r:id="rId2" xr:uid="{B8A9FECA-9CE0-4898-9452-69C7B42B71B9}"/>
    <hyperlink ref="D4" r:id="rId3" xr:uid="{92C45646-33BC-48D6-B0B8-1276253A279B}"/>
    <hyperlink ref="D5" r:id="rId4" xr:uid="{08590D9F-EB70-48F9-8E5A-1AC0C081789F}"/>
    <hyperlink ref="D6" r:id="rId5" xr:uid="{E6F78482-EF22-4F20-BADC-186ED4725E36}"/>
    <hyperlink ref="D7" r:id="rId6" xr:uid="{F606E68A-1654-4CEA-9C99-9596916187C9}"/>
    <hyperlink ref="D8" r:id="rId7" xr:uid="{CE2E1C5D-F02B-4C14-8CED-EAF92E3622D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1F0BD-742A-41AE-BD3F-AF74EF63A4DA}">
  <dimension ref="A1:W386"/>
  <sheetViews>
    <sheetView topLeftCell="A173" zoomScale="90" zoomScaleNormal="90" workbookViewId="0">
      <selection activeCell="G200" sqref="G200"/>
    </sheetView>
  </sheetViews>
  <sheetFormatPr baseColWidth="10" defaultColWidth="11.453125" defaultRowHeight="14.5" x14ac:dyDescent="0.35"/>
  <cols>
    <col min="1" max="1" width="13.81640625" bestFit="1" customWidth="1"/>
    <col min="2" max="2" width="13.7265625" bestFit="1" customWidth="1"/>
    <col min="3" max="4" width="14" bestFit="1" customWidth="1"/>
    <col min="5" max="5" width="14.453125" bestFit="1" customWidth="1"/>
    <col min="6" max="6" width="39.90625" bestFit="1" customWidth="1"/>
    <col min="7" max="8" width="80.7265625" bestFit="1" customWidth="1"/>
    <col min="9" max="9" width="21" hidden="1" customWidth="1"/>
    <col min="10" max="10" width="15.26953125" bestFit="1" customWidth="1"/>
    <col min="11" max="11" width="11" bestFit="1" customWidth="1"/>
    <col min="12" max="12" width="20" bestFit="1" customWidth="1"/>
    <col min="13" max="13" width="34.08984375" bestFit="1" customWidth="1"/>
    <col min="14" max="14" width="16.36328125" bestFit="1" customWidth="1"/>
    <col min="15" max="15" width="16.1796875" bestFit="1" customWidth="1"/>
    <col min="16" max="16" width="20.08984375" bestFit="1" customWidth="1"/>
    <col min="17" max="17" width="12.453125" hidden="1" customWidth="1"/>
    <col min="18" max="18" width="12.08984375" bestFit="1" customWidth="1" collapsed="1"/>
    <col min="19" max="19" width="12.453125" bestFit="1" customWidth="1"/>
    <col min="22" max="23" width="0" hidden="1" customWidth="1"/>
  </cols>
  <sheetData>
    <row r="1" spans="1:21" x14ac:dyDescent="0.35">
      <c r="A1" t="s">
        <v>24</v>
      </c>
      <c r="B1" t="s">
        <v>1</v>
      </c>
      <c r="C1" t="s">
        <v>22</v>
      </c>
      <c r="D1" t="s">
        <v>25</v>
      </c>
      <c r="E1" t="s">
        <v>26</v>
      </c>
      <c r="F1" t="s">
        <v>23</v>
      </c>
      <c r="G1" t="s">
        <v>27</v>
      </c>
      <c r="H1" t="s">
        <v>28</v>
      </c>
      <c r="I1" t="s">
        <v>29</v>
      </c>
      <c r="J1" t="s">
        <v>30</v>
      </c>
      <c r="K1" t="s">
        <v>31</v>
      </c>
      <c r="L1" s="22" t="s">
        <v>19</v>
      </c>
      <c r="M1" t="s">
        <v>13</v>
      </c>
      <c r="N1" t="s">
        <v>32</v>
      </c>
      <c r="O1" s="23" t="s">
        <v>33</v>
      </c>
      <c r="P1" t="s">
        <v>34</v>
      </c>
      <c r="Q1" t="s">
        <v>72</v>
      </c>
      <c r="R1" t="s">
        <v>80</v>
      </c>
      <c r="T1" t="s">
        <v>73</v>
      </c>
      <c r="U1" t="s">
        <v>74</v>
      </c>
    </row>
    <row r="2" spans="1:21" hidden="1" x14ac:dyDescent="0.35">
      <c r="A2" s="86" t="s">
        <v>91</v>
      </c>
      <c r="B2" s="86" t="s">
        <v>8</v>
      </c>
      <c r="C2" s="85" t="s">
        <v>41</v>
      </c>
      <c r="D2" s="86" t="s">
        <v>41</v>
      </c>
      <c r="E2" s="87">
        <v>355912</v>
      </c>
      <c r="F2" s="86" t="s">
        <v>141</v>
      </c>
      <c r="G2" s="86" t="s">
        <v>99</v>
      </c>
      <c r="H2" s="86" t="s">
        <v>20</v>
      </c>
      <c r="I2" s="88"/>
      <c r="J2" s="87">
        <v>31343424</v>
      </c>
      <c r="K2" s="86" t="s">
        <v>94</v>
      </c>
      <c r="L2" s="86" t="str">
        <f>_xlfn.XLOOKUP(Tabla2__2[[#This Row],[CODIGO RUTA]],'DATA INFORME'!I:I,'DATA INFORME'!K:K)</f>
        <v>SI</v>
      </c>
      <c r="M2" s="86" t="str">
        <f>IF(Tabla2__2[[#This Row],[MYSTERY EFECTIVO]]="SI",_xlfn.XLOOKUP(Tabla2__2[[#This Row],[PREGUNTA]],ENCUESTA!G:G,ENCUESTA!D:D),"N/A")</f>
        <v>N/A</v>
      </c>
      <c r="N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 s="86">
        <f>_xlfn.XLOOKUP(Tabla2__2[[#This Row],[PREGUNTA]],ENCUESTA!G:G,ENCUESTA!H:H)</f>
        <v>0</v>
      </c>
      <c r="P2" s="86">
        <f>IF(Tabla2__2[[#This Row],[RTA]]=Tabla2__2[[#This Row],[RTA CORRECTA]],Tabla2__2[[#This Row],[TOTAL PUNTAJE]],0)</f>
        <v>0</v>
      </c>
      <c r="Q2" s="86">
        <f>IF(OR(H2="Dog Chow húmedo",H2="Cat Chow húmedo",H2="Fancy Feast",H2="Felix",H2="Proplan húmedo",H2="One húmedo",H2="Snack Abrazzos",H2="Snak Dentalife",H2="Arenilla Tidy Cat"),N2,0)</f>
        <v>0</v>
      </c>
      <c r="R2" s="86"/>
    </row>
    <row r="3" spans="1:21" hidden="1" x14ac:dyDescent="0.35">
      <c r="A3" s="86" t="s">
        <v>91</v>
      </c>
      <c r="B3" s="86" t="s">
        <v>8</v>
      </c>
      <c r="C3" s="85" t="s">
        <v>41</v>
      </c>
      <c r="D3" s="86" t="s">
        <v>41</v>
      </c>
      <c r="E3" s="87">
        <v>355912</v>
      </c>
      <c r="F3" s="86" t="s">
        <v>141</v>
      </c>
      <c r="G3" s="86" t="s">
        <v>108</v>
      </c>
      <c r="H3" s="86" t="s">
        <v>150</v>
      </c>
      <c r="I3" s="88"/>
      <c r="J3" s="87">
        <v>31343424</v>
      </c>
      <c r="K3" s="86" t="s">
        <v>94</v>
      </c>
      <c r="L3" s="86" t="str">
        <f>_xlfn.XLOOKUP(Tabla2__2[[#This Row],[CODIGO RUTA]],'DATA INFORME'!I:I,'DATA INFORME'!K:K)</f>
        <v>SI</v>
      </c>
      <c r="M3" s="86" t="str">
        <f>IF(Tabla2__2[[#This Row],[MYSTERY EFECTIVO]]="SI",_xlfn.XLOOKUP(Tabla2__2[[#This Row],[PREGUNTA]],ENCUESTA!G:G,ENCUESTA!D:D),"N/A")</f>
        <v>N/A</v>
      </c>
      <c r="N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 s="86">
        <f>_xlfn.XLOOKUP(Tabla2__2[[#This Row],[PREGUNTA]],ENCUESTA!G:G,ENCUESTA!H:H)</f>
        <v>0</v>
      </c>
      <c r="P3" s="86">
        <f>IF(Tabla2__2[[#This Row],[RTA]]=Tabla2__2[[#This Row],[RTA CORRECTA]],Tabla2__2[[#This Row],[TOTAL PUNTAJE]],0)</f>
        <v>0</v>
      </c>
      <c r="Q3" s="86">
        <f>IF(OR(H3="Dog Chow húmedo",H3="Cat Chow húmedo",H3="Fancy Feast",H3="Felix",H3="Proplan húmedo",H3="One húmedo",H3="Snack Abrazzos",H3="Snak Dentalife",H3="Arenilla Tidy Cat"),N3,0)</f>
        <v>0</v>
      </c>
      <c r="R3" s="86"/>
    </row>
    <row r="4" spans="1:21" hidden="1" x14ac:dyDescent="0.35">
      <c r="A4" s="86" t="s">
        <v>91</v>
      </c>
      <c r="B4" s="86" t="s">
        <v>8</v>
      </c>
      <c r="C4" s="85" t="s">
        <v>41</v>
      </c>
      <c r="D4" s="86" t="s">
        <v>41</v>
      </c>
      <c r="E4" s="87">
        <v>355912</v>
      </c>
      <c r="F4" s="86" t="s">
        <v>141</v>
      </c>
      <c r="G4" s="86" t="s">
        <v>107</v>
      </c>
      <c r="H4" s="86" t="s">
        <v>147</v>
      </c>
      <c r="I4" s="88"/>
      <c r="J4" s="87">
        <v>31343424</v>
      </c>
      <c r="K4" s="86" t="s">
        <v>94</v>
      </c>
      <c r="L4" s="86" t="str">
        <f>_xlfn.XLOOKUP(Tabla2__2[[#This Row],[CODIGO RUTA]],'DATA INFORME'!I:I,'DATA INFORME'!K:K)</f>
        <v>SI</v>
      </c>
      <c r="M4" s="86" t="str">
        <f>IF(Tabla2__2[[#This Row],[MYSTERY EFECTIVO]]="SI",_xlfn.XLOOKUP(Tabla2__2[[#This Row],[PREGUNTA]],ENCUESTA!G:G,ENCUESTA!D:D),"N/A")</f>
        <v>N/A</v>
      </c>
      <c r="N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 s="86">
        <f>_xlfn.XLOOKUP(Tabla2__2[[#This Row],[PREGUNTA]],ENCUESTA!G:G,ENCUESTA!H:H)</f>
        <v>0</v>
      </c>
      <c r="P4" s="86">
        <f>IF(Tabla2__2[[#This Row],[RTA]]=Tabla2__2[[#This Row],[RTA CORRECTA]],Tabla2__2[[#This Row],[TOTAL PUNTAJE]],0)</f>
        <v>0</v>
      </c>
      <c r="Q4" s="86">
        <f>IF(OR(H4="Dog Chow húmedo",H4="Cat Chow húmedo",H4="Fancy Feast",H4="Felix",H4="Proplan húmedo",H4="One húmedo",H4="Snack Abrazzos",H4="Snak Dentalife",H4="Arenilla Tidy Cat"),N4,0)</f>
        <v>0</v>
      </c>
      <c r="R4" s="86"/>
    </row>
    <row r="5" spans="1:21" hidden="1" x14ac:dyDescent="0.35">
      <c r="A5" s="86" t="s">
        <v>91</v>
      </c>
      <c r="B5" s="86" t="s">
        <v>8</v>
      </c>
      <c r="C5" s="85" t="s">
        <v>41</v>
      </c>
      <c r="D5" s="86" t="s">
        <v>41</v>
      </c>
      <c r="E5" s="87">
        <v>355912</v>
      </c>
      <c r="F5" s="86" t="s">
        <v>141</v>
      </c>
      <c r="G5" s="86" t="s">
        <v>106</v>
      </c>
      <c r="H5" s="86" t="s">
        <v>20</v>
      </c>
      <c r="I5" s="88"/>
      <c r="J5" s="87">
        <v>31343424</v>
      </c>
      <c r="K5" s="86" t="s">
        <v>94</v>
      </c>
      <c r="L5" s="86" t="str">
        <f>_xlfn.XLOOKUP(Tabla2__2[[#This Row],[CODIGO RUTA]],'DATA INFORME'!I:I,'DATA INFORME'!K:K)</f>
        <v>SI</v>
      </c>
      <c r="M5" s="86" t="str">
        <f>IF(Tabla2__2[[#This Row],[MYSTERY EFECTIVO]]="SI",_xlfn.XLOOKUP(Tabla2__2[[#This Row],[PREGUNTA]],ENCUESTA!G:G,ENCUESTA!D:D),"N/A")</f>
        <v>LABOR DE VENTA</v>
      </c>
      <c r="N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5" s="86" t="str">
        <f>_xlfn.XLOOKUP(Tabla2__2[[#This Row],[PREGUNTA]],ENCUESTA!G:G,ENCUESTA!H:H)</f>
        <v>SI</v>
      </c>
      <c r="P5" s="86">
        <f>IF(Tabla2__2[[#This Row],[RTA]]=Tabla2__2[[#This Row],[RTA CORRECTA]],Tabla2__2[[#This Row],[TOTAL PUNTAJE]],0)</f>
        <v>3.75</v>
      </c>
      <c r="Q5" s="86">
        <f>IF(OR(H5="Dog Chow húmedo",H5="Cat Chow húmedo",H5="Fancy Feast",H5="Felix",H5="Proplan húmedo",H5="One húmedo",H5="Snack Abrazzos",H5="Snak Dentalife",H5="Arenilla Tidy Cat"),N5,0)</f>
        <v>0</v>
      </c>
      <c r="R5" s="86"/>
    </row>
    <row r="6" spans="1:21" hidden="1" x14ac:dyDescent="0.35">
      <c r="A6" s="86" t="s">
        <v>91</v>
      </c>
      <c r="B6" s="86" t="s">
        <v>8</v>
      </c>
      <c r="C6" s="85" t="s">
        <v>41</v>
      </c>
      <c r="D6" s="86" t="s">
        <v>41</v>
      </c>
      <c r="E6" s="87">
        <v>355912</v>
      </c>
      <c r="F6" s="86" t="s">
        <v>141</v>
      </c>
      <c r="G6" s="86" t="s">
        <v>116</v>
      </c>
      <c r="H6" s="86" t="s">
        <v>20</v>
      </c>
      <c r="I6" s="88"/>
      <c r="J6" s="87">
        <v>31343424</v>
      </c>
      <c r="K6" s="86" t="s">
        <v>94</v>
      </c>
      <c r="L6" s="86" t="str">
        <f>_xlfn.XLOOKUP(Tabla2__2[[#This Row],[CODIGO RUTA]],'DATA INFORME'!I:I,'DATA INFORME'!K:K)</f>
        <v>SI</v>
      </c>
      <c r="M6" s="86" t="str">
        <f>IF(Tabla2__2[[#This Row],[MYSTERY EFECTIVO]]="SI",_xlfn.XLOOKUP(Tabla2__2[[#This Row],[PREGUNTA]],ENCUESTA!G:G,ENCUESTA!D:D),"N/A")</f>
        <v>LABOR DE VENTA</v>
      </c>
      <c r="N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6" s="86" t="str">
        <f>_xlfn.XLOOKUP(Tabla2__2[[#This Row],[PREGUNTA]],ENCUESTA!G:G,ENCUESTA!H:H)</f>
        <v>SI</v>
      </c>
      <c r="P6" s="86">
        <f>IF(Tabla2__2[[#This Row],[RTA]]=Tabla2__2[[#This Row],[RTA CORRECTA]],Tabla2__2[[#This Row],[TOTAL PUNTAJE]],0)</f>
        <v>3.75</v>
      </c>
      <c r="Q6" s="86">
        <f>IF(OR(H6="Dog Chow húmedo",H6="Cat Chow húmedo",H6="Fancy Feast",H6="Felix",H6="Proplan húmedo",H6="One húmedo",H6="Snack Abrazzos",H6="Snak Dentalife",H6="Arenilla Tidy Cat"),N6,0)</f>
        <v>0</v>
      </c>
      <c r="R6" s="86"/>
    </row>
    <row r="7" spans="1:21" hidden="1" x14ac:dyDescent="0.35">
      <c r="A7" s="86" t="s">
        <v>91</v>
      </c>
      <c r="B7" s="86" t="s">
        <v>8</v>
      </c>
      <c r="C7" s="85" t="s">
        <v>41</v>
      </c>
      <c r="D7" s="86" t="s">
        <v>41</v>
      </c>
      <c r="E7" s="87">
        <v>355912</v>
      </c>
      <c r="F7" s="86" t="s">
        <v>141</v>
      </c>
      <c r="G7" s="86" t="s">
        <v>83</v>
      </c>
      <c r="H7" s="86" t="s">
        <v>20</v>
      </c>
      <c r="I7" s="88"/>
      <c r="J7" s="87">
        <v>31343424</v>
      </c>
      <c r="K7" s="86" t="s">
        <v>94</v>
      </c>
      <c r="L7" s="86" t="str">
        <f>_xlfn.XLOOKUP(Tabla2__2[[#This Row],[CODIGO RUTA]],'DATA INFORME'!I:I,'DATA INFORME'!K:K)</f>
        <v>SI</v>
      </c>
      <c r="M7" s="86" t="str">
        <f>IF(Tabla2__2[[#This Row],[MYSTERY EFECTIVO]]="SI",_xlfn.XLOOKUP(Tabla2__2[[#This Row],[PREGUNTA]],ENCUESTA!G:G,ENCUESTA!D:D),"N/A")</f>
        <v>HORARIO</v>
      </c>
      <c r="N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7" s="86" t="str">
        <f>_xlfn.XLOOKUP(Tabla2__2[[#This Row],[PREGUNTA]],ENCUESTA!G:G,ENCUESTA!H:H)</f>
        <v>SI</v>
      </c>
      <c r="P7" s="86">
        <f>IF(Tabla2__2[[#This Row],[RTA]]=Tabla2__2[[#This Row],[RTA CORRECTA]],Tabla2__2[[#This Row],[TOTAL PUNTAJE]],0)</f>
        <v>20</v>
      </c>
      <c r="Q7" s="86">
        <f>IF(OR(H7="Dog Chow húmedo",H7="Cat Chow húmedo",H7="Fancy Feast",H7="Felix",H7="Proplan húmedo",H7="One húmedo",H7="Snack Abrazzos",H7="Snak Dentalife",H7="Arenilla Tidy Cat"),N7,0)</f>
        <v>0</v>
      </c>
      <c r="R7" s="86"/>
    </row>
    <row r="8" spans="1:21" hidden="1" x14ac:dyDescent="0.35">
      <c r="A8" s="86" t="s">
        <v>91</v>
      </c>
      <c r="B8" s="86" t="s">
        <v>8</v>
      </c>
      <c r="C8" s="85" t="s">
        <v>41</v>
      </c>
      <c r="D8" s="86" t="s">
        <v>41</v>
      </c>
      <c r="E8" s="87">
        <v>355912</v>
      </c>
      <c r="F8" s="86" t="s">
        <v>141</v>
      </c>
      <c r="G8" s="86" t="s">
        <v>84</v>
      </c>
      <c r="H8" s="86" t="s">
        <v>20</v>
      </c>
      <c r="I8" s="88"/>
      <c r="J8" s="87">
        <v>31343424</v>
      </c>
      <c r="K8" s="86" t="s">
        <v>94</v>
      </c>
      <c r="L8" s="86" t="str">
        <f>_xlfn.XLOOKUP(Tabla2__2[[#This Row],[CODIGO RUTA]],'DATA INFORME'!I:I,'DATA INFORME'!K:K)</f>
        <v>SI</v>
      </c>
      <c r="M8" s="86" t="str">
        <f>IF(Tabla2__2[[#This Row],[MYSTERY EFECTIVO]]="SI",_xlfn.XLOOKUP(Tabla2__2[[#This Row],[PREGUNTA]],ENCUESTA!G:G,ENCUESTA!D:D),"N/A")</f>
        <v>UNIFORME</v>
      </c>
      <c r="N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 s="86" t="str">
        <f>_xlfn.XLOOKUP(Tabla2__2[[#This Row],[PREGUNTA]],ENCUESTA!G:G,ENCUESTA!H:H)</f>
        <v>SI</v>
      </c>
      <c r="P8" s="86">
        <f>IF(Tabla2__2[[#This Row],[RTA]]=Tabla2__2[[#This Row],[RTA CORRECTA]],Tabla2__2[[#This Row],[TOTAL PUNTAJE]],0)</f>
        <v>1.5</v>
      </c>
      <c r="Q8" s="86">
        <f>IF(OR(H8="Dog Chow húmedo",H8="Cat Chow húmedo",H8="Fancy Feast",H8="Felix",H8="Proplan húmedo",H8="One húmedo",H8="Snack Abrazzos",H8="Snak Dentalife",H8="Arenilla Tidy Cat"),N8,0)</f>
        <v>0</v>
      </c>
      <c r="R8" s="86"/>
    </row>
    <row r="9" spans="1:21" hidden="1" x14ac:dyDescent="0.35">
      <c r="A9" s="86" t="s">
        <v>91</v>
      </c>
      <c r="B9" s="86" t="s">
        <v>8</v>
      </c>
      <c r="C9" s="85" t="s">
        <v>41</v>
      </c>
      <c r="D9" s="86" t="s">
        <v>41</v>
      </c>
      <c r="E9" s="87">
        <v>355912</v>
      </c>
      <c r="F9" s="86" t="s">
        <v>141</v>
      </c>
      <c r="G9" s="86" t="s">
        <v>100</v>
      </c>
      <c r="H9" s="86" t="s">
        <v>20</v>
      </c>
      <c r="I9" s="88"/>
      <c r="J9" s="87">
        <v>31343424</v>
      </c>
      <c r="K9" s="86" t="s">
        <v>94</v>
      </c>
      <c r="L9" s="86" t="str">
        <f>_xlfn.XLOOKUP(Tabla2__2[[#This Row],[CODIGO RUTA]],'DATA INFORME'!I:I,'DATA INFORME'!K:K)</f>
        <v>SI</v>
      </c>
      <c r="M9" s="86" t="str">
        <f>IF(Tabla2__2[[#This Row],[MYSTERY EFECTIVO]]="SI",_xlfn.XLOOKUP(Tabla2__2[[#This Row],[PREGUNTA]],ENCUESTA!G:G,ENCUESTA!D:D),"N/A")</f>
        <v>UNIFORME</v>
      </c>
      <c r="N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 s="86" t="str">
        <f>_xlfn.XLOOKUP(Tabla2__2[[#This Row],[PREGUNTA]],ENCUESTA!G:G,ENCUESTA!H:H)</f>
        <v>SI</v>
      </c>
      <c r="P9" s="86">
        <f>IF(Tabla2__2[[#This Row],[RTA]]=Tabla2__2[[#This Row],[RTA CORRECTA]],Tabla2__2[[#This Row],[TOTAL PUNTAJE]],0)</f>
        <v>1.5</v>
      </c>
      <c r="Q9" s="86">
        <f>IF(OR(H9="Dog Chow húmedo",H9="Cat Chow húmedo",H9="Fancy Feast",H9="Felix",H9="Proplan húmedo",H9="One húmedo",H9="Snack Abrazzos",H9="Snak Dentalife",H9="Arenilla Tidy Cat"),N9,0)</f>
        <v>0</v>
      </c>
      <c r="R9" s="86"/>
    </row>
    <row r="10" spans="1:21" hidden="1" x14ac:dyDescent="0.35">
      <c r="A10" s="86" t="s">
        <v>91</v>
      </c>
      <c r="B10" s="86" t="s">
        <v>8</v>
      </c>
      <c r="C10" s="85" t="s">
        <v>41</v>
      </c>
      <c r="D10" s="86" t="s">
        <v>41</v>
      </c>
      <c r="E10" s="87">
        <v>355912</v>
      </c>
      <c r="F10" s="86" t="s">
        <v>141</v>
      </c>
      <c r="G10" s="86" t="s">
        <v>35</v>
      </c>
      <c r="H10" s="86" t="s">
        <v>20</v>
      </c>
      <c r="I10" s="88"/>
      <c r="J10" s="87">
        <v>31343424</v>
      </c>
      <c r="K10" s="86" t="s">
        <v>94</v>
      </c>
      <c r="L10" s="86" t="str">
        <f>_xlfn.XLOOKUP(Tabla2__2[[#This Row],[CODIGO RUTA]],'DATA INFORME'!I:I,'DATA INFORME'!K:K)</f>
        <v>SI</v>
      </c>
      <c r="M10" s="86" t="str">
        <f>IF(Tabla2__2[[#This Row],[MYSTERY EFECTIVO]]="SI",_xlfn.XLOOKUP(Tabla2__2[[#This Row],[PREGUNTA]],ENCUESTA!G:G,ENCUESTA!D:D),"N/A")</f>
        <v>UNIFORME</v>
      </c>
      <c r="N1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 s="86" t="str">
        <f>_xlfn.XLOOKUP(Tabla2__2[[#This Row],[PREGUNTA]],ENCUESTA!G:G,ENCUESTA!H:H)</f>
        <v>SI</v>
      </c>
      <c r="P10" s="86">
        <f>IF(Tabla2__2[[#This Row],[RTA]]=Tabla2__2[[#This Row],[RTA CORRECTA]],Tabla2__2[[#This Row],[TOTAL PUNTAJE]],0)</f>
        <v>1.5</v>
      </c>
      <c r="Q10" s="86">
        <f>IF(OR(H10="Dog Chow húmedo",H10="Cat Chow húmedo",H10="Fancy Feast",H10="Felix",H10="Proplan húmedo",H10="One húmedo",H10="Snack Abrazzos",H10="Snak Dentalife",H10="Arenilla Tidy Cat"),N10,0)</f>
        <v>0</v>
      </c>
      <c r="R10" s="86"/>
    </row>
    <row r="11" spans="1:21" hidden="1" x14ac:dyDescent="0.35">
      <c r="A11" s="86" t="s">
        <v>91</v>
      </c>
      <c r="B11" s="86" t="s">
        <v>8</v>
      </c>
      <c r="C11" s="85" t="s">
        <v>41</v>
      </c>
      <c r="D11" s="86" t="s">
        <v>41</v>
      </c>
      <c r="E11" s="87">
        <v>355912</v>
      </c>
      <c r="F11" s="86" t="s">
        <v>141</v>
      </c>
      <c r="G11" s="86" t="s">
        <v>101</v>
      </c>
      <c r="H11" s="86" t="s">
        <v>147</v>
      </c>
      <c r="I11" s="88"/>
      <c r="J11" s="87">
        <v>31343424</v>
      </c>
      <c r="K11" s="86" t="s">
        <v>94</v>
      </c>
      <c r="L11" s="86" t="str">
        <f>_xlfn.XLOOKUP(Tabla2__2[[#This Row],[CODIGO RUTA]],'DATA INFORME'!I:I,'DATA INFORME'!K:K)</f>
        <v>SI</v>
      </c>
      <c r="M11" s="86" t="str">
        <f>IF(Tabla2__2[[#This Row],[MYSTERY EFECTIVO]]="SI",_xlfn.XLOOKUP(Tabla2__2[[#This Row],[PREGUNTA]],ENCUESTA!G:G,ENCUESTA!D:D),"N/A")</f>
        <v>UNIFORME</v>
      </c>
      <c r="N1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 s="86" t="str">
        <f>_xlfn.XLOOKUP(Tabla2__2[[#This Row],[PREGUNTA]],ENCUESTA!G:G,ENCUESTA!H:H)</f>
        <v xml:space="preserve"> NO</v>
      </c>
      <c r="P11" s="86">
        <f>IF(Tabla2__2[[#This Row],[RTA]]=Tabla2__2[[#This Row],[RTA CORRECTA]],Tabla2__2[[#This Row],[TOTAL PUNTAJE]],0)</f>
        <v>1.5</v>
      </c>
      <c r="Q11" s="86">
        <f>IF(OR(H11="Dog Chow húmedo",H11="Cat Chow húmedo",H11="Fancy Feast",H11="Felix",H11="Proplan húmedo",H11="One húmedo",H11="Snack Abrazzos",H11="Snak Dentalife",H11="Arenilla Tidy Cat"),N11,0)</f>
        <v>0</v>
      </c>
      <c r="R11" s="86"/>
    </row>
    <row r="12" spans="1:21" hidden="1" x14ac:dyDescent="0.35">
      <c r="A12" s="86" t="s">
        <v>91</v>
      </c>
      <c r="B12" s="86" t="s">
        <v>8</v>
      </c>
      <c r="C12" s="85" t="s">
        <v>41</v>
      </c>
      <c r="D12" s="86" t="s">
        <v>41</v>
      </c>
      <c r="E12" s="87">
        <v>355912</v>
      </c>
      <c r="F12" s="86" t="s">
        <v>141</v>
      </c>
      <c r="G12" s="86" t="s">
        <v>85</v>
      </c>
      <c r="H12" s="86" t="s">
        <v>20</v>
      </c>
      <c r="I12" s="88"/>
      <c r="J12" s="87">
        <v>31343424</v>
      </c>
      <c r="K12" s="86" t="s">
        <v>94</v>
      </c>
      <c r="L12" s="86" t="str">
        <f>_xlfn.XLOOKUP(Tabla2__2[[#This Row],[CODIGO RUTA]],'DATA INFORME'!I:I,'DATA INFORME'!K:K)</f>
        <v>SI</v>
      </c>
      <c r="M12" s="86" t="str">
        <f>IF(Tabla2__2[[#This Row],[MYSTERY EFECTIVO]]="SI",_xlfn.XLOOKUP(Tabla2__2[[#This Row],[PREGUNTA]],ENCUESTA!G:G,ENCUESTA!D:D),"N/A")</f>
        <v>UNIFORME</v>
      </c>
      <c r="N1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 s="86" t="str">
        <f>_xlfn.XLOOKUP(Tabla2__2[[#This Row],[PREGUNTA]],ENCUESTA!G:G,ENCUESTA!H:H)</f>
        <v>SI</v>
      </c>
      <c r="P12" s="86">
        <f>IF(Tabla2__2[[#This Row],[RTA]]=Tabla2__2[[#This Row],[RTA CORRECTA]],Tabla2__2[[#This Row],[TOTAL PUNTAJE]],0)</f>
        <v>1.5</v>
      </c>
      <c r="Q12" s="86">
        <f>IF(OR(H12="Dog Chow húmedo",H12="Cat Chow húmedo",H12="Fancy Feast",H12="Felix",H12="Proplan húmedo",H12="One húmedo",H12="Snack Abrazzos",H12="Snak Dentalife",H12="Arenilla Tidy Cat"),N12,0)</f>
        <v>0</v>
      </c>
      <c r="R12" s="86"/>
    </row>
    <row r="13" spans="1:21" hidden="1" x14ac:dyDescent="0.35">
      <c r="A13" s="86" t="s">
        <v>91</v>
      </c>
      <c r="B13" s="86" t="s">
        <v>8</v>
      </c>
      <c r="C13" s="85" t="s">
        <v>41</v>
      </c>
      <c r="D13" s="86" t="s">
        <v>41</v>
      </c>
      <c r="E13" s="87">
        <v>355912</v>
      </c>
      <c r="F13" s="86" t="s">
        <v>141</v>
      </c>
      <c r="G13" s="86" t="s">
        <v>86</v>
      </c>
      <c r="H13" s="86" t="s">
        <v>20</v>
      </c>
      <c r="I13" s="88"/>
      <c r="J13" s="87">
        <v>31343424</v>
      </c>
      <c r="K13" s="86" t="s">
        <v>94</v>
      </c>
      <c r="L13" s="86" t="str">
        <f>_xlfn.XLOOKUP(Tabla2__2[[#This Row],[CODIGO RUTA]],'DATA INFORME'!I:I,'DATA INFORME'!K:K)</f>
        <v>SI</v>
      </c>
      <c r="M13" s="86" t="str">
        <f>IF(Tabla2__2[[#This Row],[MYSTERY EFECTIVO]]="SI",_xlfn.XLOOKUP(Tabla2__2[[#This Row],[PREGUNTA]],ENCUESTA!G:G,ENCUESTA!D:D),"N/A")</f>
        <v>UNIFORME</v>
      </c>
      <c r="N1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 s="86" t="str">
        <f>_xlfn.XLOOKUP(Tabla2__2[[#This Row],[PREGUNTA]],ENCUESTA!G:G,ENCUESTA!H:H)</f>
        <v>SI</v>
      </c>
      <c r="P13" s="86">
        <f>IF(Tabla2__2[[#This Row],[RTA]]=Tabla2__2[[#This Row],[RTA CORRECTA]],Tabla2__2[[#This Row],[TOTAL PUNTAJE]],0)</f>
        <v>1.5</v>
      </c>
      <c r="Q13" s="86">
        <f>IF(OR(H13="Dog Chow húmedo",H13="Cat Chow húmedo",H13="Fancy Feast",H13="Felix",H13="Proplan húmedo",H13="One húmedo",H13="Snack Abrazzos",H13="Snak Dentalife",H13="Arenilla Tidy Cat"),N13,0)</f>
        <v>0</v>
      </c>
      <c r="R13" s="86"/>
    </row>
    <row r="14" spans="1:21" hidden="1" x14ac:dyDescent="0.35">
      <c r="A14" s="86" t="s">
        <v>91</v>
      </c>
      <c r="B14" s="86" t="s">
        <v>8</v>
      </c>
      <c r="C14" s="85" t="s">
        <v>41</v>
      </c>
      <c r="D14" s="86" t="s">
        <v>41</v>
      </c>
      <c r="E14" s="87">
        <v>355912</v>
      </c>
      <c r="F14" s="86" t="s">
        <v>141</v>
      </c>
      <c r="G14" s="86" t="s">
        <v>87</v>
      </c>
      <c r="H14" s="86" t="s">
        <v>147</v>
      </c>
      <c r="I14" s="88"/>
      <c r="J14" s="87">
        <v>31343424</v>
      </c>
      <c r="K14" s="86" t="s">
        <v>94</v>
      </c>
      <c r="L14" s="86" t="str">
        <f>_xlfn.XLOOKUP(Tabla2__2[[#This Row],[CODIGO RUTA]],'DATA INFORME'!I:I,'DATA INFORME'!K:K)</f>
        <v>SI</v>
      </c>
      <c r="M14" s="86" t="str">
        <f>IF(Tabla2__2[[#This Row],[MYSTERY EFECTIVO]]="SI",_xlfn.XLOOKUP(Tabla2__2[[#This Row],[PREGUNTA]],ENCUESTA!G:G,ENCUESTA!D:D),"N/A")</f>
        <v>UNIFORME</v>
      </c>
      <c r="N1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 s="86" t="str">
        <f>_xlfn.XLOOKUP(Tabla2__2[[#This Row],[PREGUNTA]],ENCUESTA!G:G,ENCUESTA!H:H)</f>
        <v xml:space="preserve"> NO</v>
      </c>
      <c r="P14" s="86">
        <f>IF(Tabla2__2[[#This Row],[RTA]]=Tabla2__2[[#This Row],[RTA CORRECTA]],Tabla2__2[[#This Row],[TOTAL PUNTAJE]],0)</f>
        <v>1.5</v>
      </c>
      <c r="Q14" s="86">
        <f>IF(OR(H14="Dog Chow húmedo",H14="Cat Chow húmedo",H14="Fancy Feast",H14="Felix",H14="Proplan húmedo",H14="One húmedo",H14="Snack Abrazzos",H14="Snak Dentalife",H14="Arenilla Tidy Cat"),N14,0)</f>
        <v>0</v>
      </c>
      <c r="R14" s="86"/>
    </row>
    <row r="15" spans="1:21" hidden="1" x14ac:dyDescent="0.35">
      <c r="A15" s="86" t="s">
        <v>91</v>
      </c>
      <c r="B15" s="86" t="s">
        <v>8</v>
      </c>
      <c r="C15" s="85" t="s">
        <v>41</v>
      </c>
      <c r="D15" s="86" t="s">
        <v>41</v>
      </c>
      <c r="E15" s="87">
        <v>355912</v>
      </c>
      <c r="F15" s="86" t="s">
        <v>141</v>
      </c>
      <c r="G15" s="86" t="s">
        <v>88</v>
      </c>
      <c r="H15" s="86" t="s">
        <v>147</v>
      </c>
      <c r="I15" s="88"/>
      <c r="J15" s="87">
        <v>31343424</v>
      </c>
      <c r="K15" s="86" t="s">
        <v>94</v>
      </c>
      <c r="L15" s="86" t="str">
        <f>_xlfn.XLOOKUP(Tabla2__2[[#This Row],[CODIGO RUTA]],'DATA INFORME'!I:I,'DATA INFORME'!K:K)</f>
        <v>SI</v>
      </c>
      <c r="M15" s="86" t="str">
        <f>IF(Tabla2__2[[#This Row],[MYSTERY EFECTIVO]]="SI",_xlfn.XLOOKUP(Tabla2__2[[#This Row],[PREGUNTA]],ENCUESTA!G:G,ENCUESTA!D:D),"N/A")</f>
        <v>UNIFORME</v>
      </c>
      <c r="N1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5" s="86" t="str">
        <f>_xlfn.XLOOKUP(Tabla2__2[[#This Row],[PREGUNTA]],ENCUESTA!G:G,ENCUESTA!H:H)</f>
        <v xml:space="preserve"> NO</v>
      </c>
      <c r="P15" s="86">
        <f>IF(Tabla2__2[[#This Row],[RTA]]=Tabla2__2[[#This Row],[RTA CORRECTA]],Tabla2__2[[#This Row],[TOTAL PUNTAJE]],0)</f>
        <v>1.5</v>
      </c>
      <c r="Q15" s="86">
        <f>IF(OR(H15="Dog Chow húmedo",H15="Cat Chow húmedo",H15="Fancy Feast",H15="Felix",H15="Proplan húmedo",H15="One húmedo",H15="Snack Abrazzos",H15="Snak Dentalife",H15="Arenilla Tidy Cat"),N15,0)</f>
        <v>0</v>
      </c>
      <c r="R15" s="86"/>
    </row>
    <row r="16" spans="1:21" hidden="1" x14ac:dyDescent="0.35">
      <c r="A16" s="86" t="s">
        <v>91</v>
      </c>
      <c r="B16" s="86" t="s">
        <v>8</v>
      </c>
      <c r="C16" s="85" t="s">
        <v>41</v>
      </c>
      <c r="D16" s="86" t="s">
        <v>41</v>
      </c>
      <c r="E16" s="87">
        <v>355912</v>
      </c>
      <c r="F16" s="86" t="s">
        <v>141</v>
      </c>
      <c r="G16" s="86" t="s">
        <v>89</v>
      </c>
      <c r="H16" s="86" t="s">
        <v>147</v>
      </c>
      <c r="I16" s="88"/>
      <c r="J16" s="87">
        <v>31343424</v>
      </c>
      <c r="K16" s="86" t="s">
        <v>94</v>
      </c>
      <c r="L16" s="86" t="str">
        <f>_xlfn.XLOOKUP(Tabla2__2[[#This Row],[CODIGO RUTA]],'DATA INFORME'!I:I,'DATA INFORME'!K:K)</f>
        <v>SI</v>
      </c>
      <c r="M16" s="86" t="str">
        <f>IF(Tabla2__2[[#This Row],[MYSTERY EFECTIVO]]="SI",_xlfn.XLOOKUP(Tabla2__2[[#This Row],[PREGUNTA]],ENCUESTA!G:G,ENCUESTA!D:D),"N/A")</f>
        <v>UNIFORME</v>
      </c>
      <c r="N1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6" s="86" t="str">
        <f>_xlfn.XLOOKUP(Tabla2__2[[#This Row],[PREGUNTA]],ENCUESTA!G:G,ENCUESTA!H:H)</f>
        <v xml:space="preserve"> NO</v>
      </c>
      <c r="P16" s="86">
        <f>IF(Tabla2__2[[#This Row],[RTA]]=Tabla2__2[[#This Row],[RTA CORRECTA]],Tabla2__2[[#This Row],[TOTAL PUNTAJE]],0)</f>
        <v>1.5</v>
      </c>
      <c r="Q16" s="86">
        <f>IF(OR(H16="Dog Chow húmedo",H16="Cat Chow húmedo",H16="Fancy Feast",H16="Felix",H16="Proplan húmedo",H16="One húmedo",H16="Snack Abrazzos",H16="Snak Dentalife",H16="Arenilla Tidy Cat"),N16,0)</f>
        <v>0</v>
      </c>
      <c r="R16" s="86"/>
    </row>
    <row r="17" spans="1:18" hidden="1" x14ac:dyDescent="0.35">
      <c r="A17" s="86" t="s">
        <v>91</v>
      </c>
      <c r="B17" s="86" t="s">
        <v>8</v>
      </c>
      <c r="C17" s="85" t="s">
        <v>41</v>
      </c>
      <c r="D17" s="86" t="s">
        <v>41</v>
      </c>
      <c r="E17" s="87">
        <v>355912</v>
      </c>
      <c r="F17" s="86" t="s">
        <v>141</v>
      </c>
      <c r="G17" s="86" t="s">
        <v>90</v>
      </c>
      <c r="H17" s="86" t="s">
        <v>147</v>
      </c>
      <c r="I17" s="88"/>
      <c r="J17" s="87">
        <v>31343424</v>
      </c>
      <c r="K17" s="86" t="s">
        <v>94</v>
      </c>
      <c r="L17" s="86" t="str">
        <f>_xlfn.XLOOKUP(Tabla2__2[[#This Row],[CODIGO RUTA]],'DATA INFORME'!I:I,'DATA INFORME'!K:K)</f>
        <v>SI</v>
      </c>
      <c r="M17" s="86" t="str">
        <f>IF(Tabla2__2[[#This Row],[MYSTERY EFECTIVO]]="SI",_xlfn.XLOOKUP(Tabla2__2[[#This Row],[PREGUNTA]],ENCUESTA!G:G,ENCUESTA!D:D),"N/A")</f>
        <v>UNIFORME</v>
      </c>
      <c r="N1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 s="86" t="str">
        <f>_xlfn.XLOOKUP(Tabla2__2[[#This Row],[PREGUNTA]],ENCUESTA!G:G,ENCUESTA!H:H)</f>
        <v xml:space="preserve"> NO</v>
      </c>
      <c r="P17" s="86">
        <f>IF(Tabla2__2[[#This Row],[RTA]]=Tabla2__2[[#This Row],[RTA CORRECTA]],Tabla2__2[[#This Row],[TOTAL PUNTAJE]],0)</f>
        <v>1.5</v>
      </c>
      <c r="Q17" s="86">
        <f>IF(OR(H17="Dog Chow húmedo",H17="Cat Chow húmedo",H17="Fancy Feast",H17="Felix",H17="Proplan húmedo",H17="One húmedo",H17="Snack Abrazzos",H17="Snak Dentalife",H17="Arenilla Tidy Cat"),N17,0)</f>
        <v>0</v>
      </c>
      <c r="R17" s="86"/>
    </row>
    <row r="18" spans="1:18" hidden="1" x14ac:dyDescent="0.35">
      <c r="A18" s="86" t="s">
        <v>91</v>
      </c>
      <c r="B18" s="86" t="s">
        <v>8</v>
      </c>
      <c r="C18" s="85" t="s">
        <v>41</v>
      </c>
      <c r="D18" s="86" t="s">
        <v>41</v>
      </c>
      <c r="E18" s="87">
        <v>355912</v>
      </c>
      <c r="F18" s="86" t="s">
        <v>141</v>
      </c>
      <c r="G18" s="86" t="s">
        <v>117</v>
      </c>
      <c r="H18" s="86" t="s">
        <v>20</v>
      </c>
      <c r="I18" s="88"/>
      <c r="J18" s="87">
        <v>31343424</v>
      </c>
      <c r="K18" s="86" t="s">
        <v>94</v>
      </c>
      <c r="L18" s="86" t="str">
        <f>_xlfn.XLOOKUP(Tabla2__2[[#This Row],[CODIGO RUTA]],'DATA INFORME'!I:I,'DATA INFORME'!K:K)</f>
        <v>SI</v>
      </c>
      <c r="M18" s="86" t="str">
        <f>IF(Tabla2__2[[#This Row],[MYSTERY EFECTIVO]]="SI",_xlfn.XLOOKUP(Tabla2__2[[#This Row],[PREGUNTA]],ENCUESTA!G:G,ENCUESTA!D:D),"N/A")</f>
        <v>ABORDAJE</v>
      </c>
      <c r="N1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8" s="86" t="str">
        <f>_xlfn.XLOOKUP(Tabla2__2[[#This Row],[PREGUNTA]],ENCUESTA!G:G,ENCUESTA!H:H)</f>
        <v>SI</v>
      </c>
      <c r="P18" s="86">
        <f>IF(Tabla2__2[[#This Row],[RTA]]=Tabla2__2[[#This Row],[RTA CORRECTA]],Tabla2__2[[#This Row],[TOTAL PUNTAJE]],0)</f>
        <v>20</v>
      </c>
      <c r="Q18" s="86">
        <f>IF(OR(H18="Dog Chow húmedo",H18="Cat Chow húmedo",H18="Fancy Feast",H18="Felix",H18="Proplan húmedo",H18="One húmedo",H18="Snack Abrazzos",H18="Snak Dentalife",H18="Arenilla Tidy Cat"),N18,0)</f>
        <v>0</v>
      </c>
      <c r="R18" s="86"/>
    </row>
    <row r="19" spans="1:18" hidden="1" x14ac:dyDescent="0.35">
      <c r="A19" s="86" t="s">
        <v>91</v>
      </c>
      <c r="B19" s="86" t="s">
        <v>8</v>
      </c>
      <c r="C19" s="85" t="s">
        <v>41</v>
      </c>
      <c r="D19" s="86" t="s">
        <v>41</v>
      </c>
      <c r="E19" s="87">
        <v>355912</v>
      </c>
      <c r="F19" s="86" t="s">
        <v>141</v>
      </c>
      <c r="G19" s="86" t="s">
        <v>110</v>
      </c>
      <c r="H19" s="86" t="s">
        <v>20</v>
      </c>
      <c r="I19" s="88"/>
      <c r="J19" s="87">
        <v>31343424</v>
      </c>
      <c r="K19" s="86" t="s">
        <v>94</v>
      </c>
      <c r="L19" s="86" t="str">
        <f>_xlfn.XLOOKUP(Tabla2__2[[#This Row],[CODIGO RUTA]],'DATA INFORME'!I:I,'DATA INFORME'!K:K)</f>
        <v>SI</v>
      </c>
      <c r="M19" s="86" t="str">
        <f>IF(Tabla2__2[[#This Row],[MYSTERY EFECTIVO]]="SI",_xlfn.XLOOKUP(Tabla2__2[[#This Row],[PREGUNTA]],ENCUESTA!G:G,ENCUESTA!D:D),"N/A")</f>
        <v>PORTAFOLIO Y MANEJO DE OBJECIONES</v>
      </c>
      <c r="N1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9" s="86" t="str">
        <f>_xlfn.XLOOKUP(Tabla2__2[[#This Row],[PREGUNTA]],ENCUESTA!G:G,ENCUESTA!H:H)</f>
        <v>SI</v>
      </c>
      <c r="P19" s="86">
        <f>IF(Tabla2__2[[#This Row],[RTA]]=Tabla2__2[[#This Row],[RTA CORRECTA]],Tabla2__2[[#This Row],[TOTAL PUNTAJE]],0)</f>
        <v>3</v>
      </c>
      <c r="Q19" s="86">
        <f>IF(OR(H19="Dog Chow húmedo",H19="Cat Chow húmedo",H19="Fancy Feast",H19="Felix",H19="Proplan húmedo",H19="One húmedo",H19="Snack Abrazzos",H19="Snak Dentalife",H19="Arenilla Tidy Cat"),N19,0)</f>
        <v>0</v>
      </c>
      <c r="R19" s="86"/>
    </row>
    <row r="20" spans="1:18" hidden="1" x14ac:dyDescent="0.35">
      <c r="A20" s="86" t="s">
        <v>91</v>
      </c>
      <c r="B20" s="86" t="s">
        <v>8</v>
      </c>
      <c r="C20" s="85" t="s">
        <v>41</v>
      </c>
      <c r="D20" s="86" t="s">
        <v>41</v>
      </c>
      <c r="E20" s="87">
        <v>355912</v>
      </c>
      <c r="F20" s="86" t="s">
        <v>141</v>
      </c>
      <c r="G20" s="86" t="s">
        <v>118</v>
      </c>
      <c r="H20" s="86" t="s">
        <v>20</v>
      </c>
      <c r="I20" s="88"/>
      <c r="J20" s="87">
        <v>31343424</v>
      </c>
      <c r="K20" s="86" t="s">
        <v>94</v>
      </c>
      <c r="L20" s="86" t="str">
        <f>_xlfn.XLOOKUP(Tabla2__2[[#This Row],[CODIGO RUTA]],'DATA INFORME'!I:I,'DATA INFORME'!K:K)</f>
        <v>SI</v>
      </c>
      <c r="M20" s="86" t="str">
        <f>IF(Tabla2__2[[#This Row],[MYSTERY EFECTIVO]]="SI",_xlfn.XLOOKUP(Tabla2__2[[#This Row],[PREGUNTA]],ENCUESTA!G:G,ENCUESTA!D:D),"N/A")</f>
        <v>PORTAFOLIO Y MANEJO DE OBJECIONES</v>
      </c>
      <c r="N2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 s="86" t="str">
        <f>_xlfn.XLOOKUP(Tabla2__2[[#This Row],[PREGUNTA]],ENCUESTA!G:G,ENCUESTA!H:H)</f>
        <v>SI</v>
      </c>
      <c r="P20" s="86">
        <f>IF(Tabla2__2[[#This Row],[RTA]]=Tabla2__2[[#This Row],[RTA CORRECTA]],Tabla2__2[[#This Row],[TOTAL PUNTAJE]],0)</f>
        <v>0</v>
      </c>
      <c r="Q20" s="86">
        <f>IF(OR(H20="Dog Chow húmedo",H20="Cat Chow húmedo",H20="Fancy Feast",H20="Felix",H20="Proplan húmedo",H20="One húmedo",H20="Snack Abrazzos",H20="Snak Dentalife",H20="Arenilla Tidy Cat"),N20,0)</f>
        <v>0</v>
      </c>
      <c r="R20" s="86"/>
    </row>
    <row r="21" spans="1:18" hidden="1" x14ac:dyDescent="0.35">
      <c r="A21" s="86" t="s">
        <v>91</v>
      </c>
      <c r="B21" s="86" t="s">
        <v>8</v>
      </c>
      <c r="C21" s="85" t="s">
        <v>41</v>
      </c>
      <c r="D21" s="86" t="s">
        <v>41</v>
      </c>
      <c r="E21" s="87">
        <v>355912</v>
      </c>
      <c r="F21" s="86" t="s">
        <v>141</v>
      </c>
      <c r="G21" s="86" t="s">
        <v>102</v>
      </c>
      <c r="H21" s="86" t="s">
        <v>148</v>
      </c>
      <c r="I21" s="88"/>
      <c r="J21" s="87">
        <v>31343424</v>
      </c>
      <c r="K21" s="86" t="s">
        <v>94</v>
      </c>
      <c r="L21" s="86" t="str">
        <f>_xlfn.XLOOKUP(Tabla2__2[[#This Row],[CODIGO RUTA]],'DATA INFORME'!I:I,'DATA INFORME'!K:K)</f>
        <v>SI</v>
      </c>
      <c r="M21" s="86" t="str">
        <f>IF(Tabla2__2[[#This Row],[MYSTERY EFECTIVO]]="SI",_xlfn.XLOOKUP(Tabla2__2[[#This Row],[PREGUNTA]],ENCUESTA!G:G,ENCUESTA!D:D),"N/A")</f>
        <v>N/A</v>
      </c>
      <c r="N2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 s="86">
        <f>_xlfn.XLOOKUP(Tabla2__2[[#This Row],[PREGUNTA]],ENCUESTA!G:G,ENCUESTA!H:H)</f>
        <v>0</v>
      </c>
      <c r="P21" s="86">
        <f>IF(Tabla2__2[[#This Row],[RTA]]=Tabla2__2[[#This Row],[RTA CORRECTA]],Tabla2__2[[#This Row],[TOTAL PUNTAJE]],0)</f>
        <v>0</v>
      </c>
      <c r="Q21" s="86">
        <f>IF(OR(H21="Dog Chow húmedo",H21="Cat Chow húmedo",H21="Fancy Feast",H21="Felix",H21="Proplan húmedo",H21="One húmedo",H21="Snack Abrazzos",H21="Snak Dentalife",H21="Arenilla Tidy Cat"),N21,0)</f>
        <v>0</v>
      </c>
      <c r="R21" s="86"/>
    </row>
    <row r="22" spans="1:18" hidden="1" x14ac:dyDescent="0.35">
      <c r="A22" s="86" t="s">
        <v>91</v>
      </c>
      <c r="B22" s="86" t="s">
        <v>8</v>
      </c>
      <c r="C22" s="85" t="s">
        <v>41</v>
      </c>
      <c r="D22" s="86" t="s">
        <v>41</v>
      </c>
      <c r="E22" s="87">
        <v>355912</v>
      </c>
      <c r="F22" s="86" t="s">
        <v>141</v>
      </c>
      <c r="G22" s="86" t="s">
        <v>113</v>
      </c>
      <c r="H22" s="86" t="s">
        <v>20</v>
      </c>
      <c r="I22" s="88"/>
      <c r="J22" s="87">
        <v>31343424</v>
      </c>
      <c r="K22" s="86" t="s">
        <v>94</v>
      </c>
      <c r="L22" s="86" t="str">
        <f>_xlfn.XLOOKUP(Tabla2__2[[#This Row],[CODIGO RUTA]],'DATA INFORME'!I:I,'DATA INFORME'!K:K)</f>
        <v>SI</v>
      </c>
      <c r="M22" s="86" t="str">
        <f>IF(Tabla2__2[[#This Row],[MYSTERY EFECTIVO]]="SI",_xlfn.XLOOKUP(Tabla2__2[[#This Row],[PREGUNTA]],ENCUESTA!G:G,ENCUESTA!D:D),"N/A")</f>
        <v>PORTAFOLIO Y MANEJO DE OBJECIONES</v>
      </c>
      <c r="N2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22" s="86" t="str">
        <f>_xlfn.XLOOKUP(Tabla2__2[[#This Row],[PREGUNTA]],ENCUESTA!G:G,ENCUESTA!H:H)</f>
        <v>SI</v>
      </c>
      <c r="P22" s="86">
        <f>IF(Tabla2__2[[#This Row],[RTA]]=Tabla2__2[[#This Row],[RTA CORRECTA]],Tabla2__2[[#This Row],[TOTAL PUNTAJE]],0)</f>
        <v>3</v>
      </c>
      <c r="Q22" s="86">
        <f>IF(OR(H22="Dog Chow húmedo",H22="Cat Chow húmedo",H22="Fancy Feast",H22="Felix",H22="Proplan húmedo",H22="One húmedo",H22="Snack Abrazzos",H22="Snak Dentalife",H22="Arenilla Tidy Cat"),N22,0)</f>
        <v>0</v>
      </c>
      <c r="R22" s="86"/>
    </row>
    <row r="23" spans="1:18" hidden="1" x14ac:dyDescent="0.35">
      <c r="A23" s="86" t="s">
        <v>91</v>
      </c>
      <c r="B23" s="86" t="s">
        <v>8</v>
      </c>
      <c r="C23" s="85" t="s">
        <v>41</v>
      </c>
      <c r="D23" s="86" t="s">
        <v>41</v>
      </c>
      <c r="E23" s="87">
        <v>355912</v>
      </c>
      <c r="F23" s="86" t="s">
        <v>141</v>
      </c>
      <c r="G23" s="86" t="s">
        <v>138</v>
      </c>
      <c r="H23" s="86" t="s">
        <v>20</v>
      </c>
      <c r="I23" s="88"/>
      <c r="J23" s="87">
        <v>31343424</v>
      </c>
      <c r="K23" s="86" t="s">
        <v>94</v>
      </c>
      <c r="L23" s="86" t="str">
        <f>_xlfn.XLOOKUP(Tabla2__2[[#This Row],[CODIGO RUTA]],'DATA INFORME'!I:I,'DATA INFORME'!K:K)</f>
        <v>SI</v>
      </c>
      <c r="M23" s="86" t="str">
        <f>IF(Tabla2__2[[#This Row],[MYSTERY EFECTIVO]]="SI",_xlfn.XLOOKUP(Tabla2__2[[#This Row],[PREGUNTA]],ENCUESTA!G:G,ENCUESTA!D:D),"N/A")</f>
        <v>PORTAFOLIO Y MANEJO DE OBJECIONES</v>
      </c>
      <c r="N2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23" s="86" t="str">
        <f>_xlfn.XLOOKUP(Tabla2__2[[#This Row],[PREGUNTA]],ENCUESTA!G:G,ENCUESTA!H:H)</f>
        <v>SI</v>
      </c>
      <c r="P23" s="86">
        <f>IF(Tabla2__2[[#This Row],[RTA]]=Tabla2__2[[#This Row],[RTA CORRECTA]],Tabla2__2[[#This Row],[TOTAL PUNTAJE]],0)</f>
        <v>3</v>
      </c>
      <c r="Q23" s="86">
        <f>IF(OR(H23="Dog Chow húmedo",H23="Cat Chow húmedo",H23="Fancy Feast",H23="Felix",H23="Proplan húmedo",H23="One húmedo",H23="Snack Abrazzos",H23="Snak Dentalife",H23="Arenilla Tidy Cat"),N23,0)</f>
        <v>0</v>
      </c>
      <c r="R23" s="86"/>
    </row>
    <row r="24" spans="1:18" hidden="1" x14ac:dyDescent="0.35">
      <c r="A24" s="86" t="s">
        <v>91</v>
      </c>
      <c r="B24" s="86" t="s">
        <v>8</v>
      </c>
      <c r="C24" s="85" t="s">
        <v>41</v>
      </c>
      <c r="D24" s="86" t="s">
        <v>41</v>
      </c>
      <c r="E24" s="87">
        <v>355912</v>
      </c>
      <c r="F24" s="86" t="s">
        <v>141</v>
      </c>
      <c r="G24" s="86" t="s">
        <v>114</v>
      </c>
      <c r="H24" s="86" t="s">
        <v>20</v>
      </c>
      <c r="I24" s="88"/>
      <c r="J24" s="87">
        <v>31343424</v>
      </c>
      <c r="K24" s="86" t="s">
        <v>94</v>
      </c>
      <c r="L24" s="86" t="str">
        <f>_xlfn.XLOOKUP(Tabla2__2[[#This Row],[CODIGO RUTA]],'DATA INFORME'!I:I,'DATA INFORME'!K:K)</f>
        <v>SI</v>
      </c>
      <c r="M24" s="86" t="str">
        <f>IF(Tabla2__2[[#This Row],[MYSTERY EFECTIVO]]="SI",_xlfn.XLOOKUP(Tabla2__2[[#This Row],[PREGUNTA]],ENCUESTA!G:G,ENCUESTA!D:D),"N/A")</f>
        <v>PORTAFOLIO Y MANEJO DE OBJECIONES</v>
      </c>
      <c r="N2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24" s="86" t="str">
        <f>_xlfn.XLOOKUP(Tabla2__2[[#This Row],[PREGUNTA]],ENCUESTA!G:G,ENCUESTA!H:H)</f>
        <v>SI</v>
      </c>
      <c r="P24" s="86">
        <f>IF(Tabla2__2[[#This Row],[RTA]]=Tabla2__2[[#This Row],[RTA CORRECTA]],Tabla2__2[[#This Row],[TOTAL PUNTAJE]],0)</f>
        <v>3</v>
      </c>
      <c r="Q24" s="86">
        <f>IF(OR(H24="Dog Chow húmedo",H24="Cat Chow húmedo",H24="Fancy Feast",H24="Felix",H24="Proplan húmedo",H24="One húmedo",H24="Snack Abrazzos",H24="Snak Dentalife",H24="Arenilla Tidy Cat"),N24,0)</f>
        <v>0</v>
      </c>
      <c r="R24" s="86"/>
    </row>
    <row r="25" spans="1:18" hidden="1" x14ac:dyDescent="0.35">
      <c r="A25" s="86" t="s">
        <v>91</v>
      </c>
      <c r="B25" s="86" t="s">
        <v>8</v>
      </c>
      <c r="C25" s="85" t="s">
        <v>41</v>
      </c>
      <c r="D25" s="86" t="s">
        <v>41</v>
      </c>
      <c r="E25" s="87">
        <v>355912</v>
      </c>
      <c r="F25" s="86" t="s">
        <v>141</v>
      </c>
      <c r="G25" s="86" t="s">
        <v>115</v>
      </c>
      <c r="H25" s="86" t="s">
        <v>20</v>
      </c>
      <c r="I25" s="88"/>
      <c r="J25" s="87">
        <v>31343424</v>
      </c>
      <c r="K25" s="86" t="s">
        <v>94</v>
      </c>
      <c r="L25" s="86" t="str">
        <f>_xlfn.XLOOKUP(Tabla2__2[[#This Row],[CODIGO RUTA]],'DATA INFORME'!I:I,'DATA INFORME'!K:K)</f>
        <v>SI</v>
      </c>
      <c r="M25" s="86" t="str">
        <f>IF(Tabla2__2[[#This Row],[MYSTERY EFECTIVO]]="SI",_xlfn.XLOOKUP(Tabla2__2[[#This Row],[PREGUNTA]],ENCUESTA!G:G,ENCUESTA!D:D),"N/A")</f>
        <v>PORTAFOLIO Y MANEJO DE OBJECIONES</v>
      </c>
      <c r="N2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25" s="86" t="str">
        <f>_xlfn.XLOOKUP(Tabla2__2[[#This Row],[PREGUNTA]],ENCUESTA!G:G,ENCUESTA!H:H)</f>
        <v>SI</v>
      </c>
      <c r="P25" s="86">
        <f>IF(Tabla2__2[[#This Row],[RTA]]=Tabla2__2[[#This Row],[RTA CORRECTA]],Tabla2__2[[#This Row],[TOTAL PUNTAJE]],0)</f>
        <v>3</v>
      </c>
      <c r="Q25" s="86">
        <f>IF(OR(H25="Dog Chow húmedo",H25="Cat Chow húmedo",H25="Fancy Feast",H25="Felix",H25="Proplan húmedo",H25="One húmedo",H25="Snack Abrazzos",H25="Snak Dentalife",H25="Arenilla Tidy Cat"),N25,0)</f>
        <v>0</v>
      </c>
      <c r="R25" s="86"/>
    </row>
    <row r="26" spans="1:18" hidden="1" x14ac:dyDescent="0.35">
      <c r="A26" s="86" t="s">
        <v>91</v>
      </c>
      <c r="B26" s="86" t="s">
        <v>8</v>
      </c>
      <c r="C26" s="85" t="s">
        <v>41</v>
      </c>
      <c r="D26" s="86" t="s">
        <v>41</v>
      </c>
      <c r="E26" s="87">
        <v>355912</v>
      </c>
      <c r="F26" s="86" t="s">
        <v>141</v>
      </c>
      <c r="G26" s="86" t="s">
        <v>103</v>
      </c>
      <c r="H26" s="86" t="s">
        <v>149</v>
      </c>
      <c r="I26" s="88"/>
      <c r="J26" s="87">
        <v>31343424</v>
      </c>
      <c r="K26" s="86" t="s">
        <v>94</v>
      </c>
      <c r="L26" s="86" t="str">
        <f>_xlfn.XLOOKUP(Tabla2__2[[#This Row],[CODIGO RUTA]],'DATA INFORME'!I:I,'DATA INFORME'!K:K)</f>
        <v>SI</v>
      </c>
      <c r="M26" s="86" t="str">
        <f>IF(Tabla2__2[[#This Row],[MYSTERY EFECTIVO]]="SI",_xlfn.XLOOKUP(Tabla2__2[[#This Row],[PREGUNTA]],ENCUESTA!G:G,ENCUESTA!D:D),"N/A")</f>
        <v>N/A</v>
      </c>
      <c r="N2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 s="86">
        <f>_xlfn.XLOOKUP(Tabla2__2[[#This Row],[PREGUNTA]],ENCUESTA!G:G,ENCUESTA!H:H)</f>
        <v>0</v>
      </c>
      <c r="P26" s="86">
        <f>IF(Tabla2__2[[#This Row],[RTA]]=Tabla2__2[[#This Row],[RTA CORRECTA]],Tabla2__2[[#This Row],[TOTAL PUNTAJE]],0)</f>
        <v>0</v>
      </c>
      <c r="Q26" s="86">
        <f>IF(OR(H26="Dog Chow húmedo",H26="Cat Chow húmedo",H26="Fancy Feast",H26="Felix",H26="Proplan húmedo",H26="One húmedo",H26="Snack Abrazzos",H26="Snak Dentalife",H26="Arenilla Tidy Cat"),N26,0)</f>
        <v>0</v>
      </c>
      <c r="R26" s="86"/>
    </row>
    <row r="27" spans="1:18" hidden="1" x14ac:dyDescent="0.35">
      <c r="A27" s="86" t="s">
        <v>91</v>
      </c>
      <c r="B27" s="86" t="s">
        <v>8</v>
      </c>
      <c r="C27" s="85" t="s">
        <v>41</v>
      </c>
      <c r="D27" s="86" t="s">
        <v>41</v>
      </c>
      <c r="E27" s="87">
        <v>355912</v>
      </c>
      <c r="F27" s="86" t="s">
        <v>141</v>
      </c>
      <c r="G27" s="86" t="s">
        <v>104</v>
      </c>
      <c r="H27" s="86" t="s">
        <v>20</v>
      </c>
      <c r="I27" s="88"/>
      <c r="J27" s="87">
        <v>31343424</v>
      </c>
      <c r="K27" s="86" t="s">
        <v>94</v>
      </c>
      <c r="L27" s="86" t="str">
        <f>_xlfn.XLOOKUP(Tabla2__2[[#This Row],[CODIGO RUTA]],'DATA INFORME'!I:I,'DATA INFORME'!K:K)</f>
        <v>SI</v>
      </c>
      <c r="M27" s="86" t="str">
        <f>IF(Tabla2__2[[#This Row],[MYSTERY EFECTIVO]]="SI",_xlfn.XLOOKUP(Tabla2__2[[#This Row],[PREGUNTA]],ENCUESTA!G:G,ENCUESTA!D:D),"N/A")</f>
        <v>LABOR DE VENTA</v>
      </c>
      <c r="N2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7" s="86" t="str">
        <f>_xlfn.XLOOKUP(Tabla2__2[[#This Row],[PREGUNTA]],ENCUESTA!G:G,ENCUESTA!H:H)</f>
        <v>SI</v>
      </c>
      <c r="P27" s="86">
        <f>IF(Tabla2__2[[#This Row],[RTA]]=Tabla2__2[[#This Row],[RTA CORRECTA]],Tabla2__2[[#This Row],[TOTAL PUNTAJE]],0)</f>
        <v>3.75</v>
      </c>
      <c r="Q27" s="86">
        <f>IF(OR(H27="Dog Chow húmedo",H27="Cat Chow húmedo",H27="Fancy Feast",H27="Felix",H27="Proplan húmedo",H27="One húmedo",H27="Snack Abrazzos",H27="Snak Dentalife",H27="Arenilla Tidy Cat"),N27,0)</f>
        <v>0</v>
      </c>
      <c r="R27" s="86"/>
    </row>
    <row r="28" spans="1:18" hidden="1" x14ac:dyDescent="0.35">
      <c r="A28" s="86" t="s">
        <v>91</v>
      </c>
      <c r="B28" s="86" t="s">
        <v>8</v>
      </c>
      <c r="C28" s="85" t="s">
        <v>41</v>
      </c>
      <c r="D28" s="86" t="s">
        <v>41</v>
      </c>
      <c r="E28" s="87">
        <v>355912</v>
      </c>
      <c r="F28" s="86" t="s">
        <v>141</v>
      </c>
      <c r="G28" s="86" t="s">
        <v>105</v>
      </c>
      <c r="H28" s="86" t="s">
        <v>20</v>
      </c>
      <c r="I28" s="88"/>
      <c r="J28" s="87">
        <v>31343424</v>
      </c>
      <c r="K28" s="86" t="s">
        <v>94</v>
      </c>
      <c r="L28" s="86" t="str">
        <f>_xlfn.XLOOKUP(Tabla2__2[[#This Row],[CODIGO RUTA]],'DATA INFORME'!I:I,'DATA INFORME'!K:K)</f>
        <v>SI</v>
      </c>
      <c r="M28" s="86" t="str">
        <f>IF(Tabla2__2[[#This Row],[MYSTERY EFECTIVO]]="SI",_xlfn.XLOOKUP(Tabla2__2[[#This Row],[PREGUNTA]],ENCUESTA!G:G,ENCUESTA!D:D),"N/A")</f>
        <v>LABOR DE VENTA</v>
      </c>
      <c r="N2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8" s="86" t="str">
        <f>_xlfn.XLOOKUP(Tabla2__2[[#This Row],[PREGUNTA]],ENCUESTA!G:G,ENCUESTA!H:H)</f>
        <v>SI</v>
      </c>
      <c r="P28" s="86">
        <f>IF(Tabla2__2[[#This Row],[RTA]]=Tabla2__2[[#This Row],[RTA CORRECTA]],Tabla2__2[[#This Row],[TOTAL PUNTAJE]],0)</f>
        <v>3.75</v>
      </c>
      <c r="Q28" s="86">
        <f>IF(OR(H28="Dog Chow húmedo",H28="Cat Chow húmedo",H28="Fancy Feast",H28="Felix",H28="Proplan húmedo",H28="One húmedo",H28="Snack Abrazzos",H28="Snak Dentalife",H28="Arenilla Tidy Cat"),N28,0)</f>
        <v>0</v>
      </c>
      <c r="R28" s="86"/>
    </row>
    <row r="29" spans="1:18" hidden="1" x14ac:dyDescent="0.35">
      <c r="A29" s="86" t="s">
        <v>91</v>
      </c>
      <c r="B29" s="86" t="s">
        <v>152</v>
      </c>
      <c r="C29" s="85" t="s">
        <v>14</v>
      </c>
      <c r="D29" s="86" t="s">
        <v>14</v>
      </c>
      <c r="E29" s="87">
        <v>421657</v>
      </c>
      <c r="F29" s="86" t="s">
        <v>194</v>
      </c>
      <c r="G29" s="86" t="s">
        <v>104</v>
      </c>
      <c r="H29" s="86" t="s">
        <v>20</v>
      </c>
      <c r="I29" s="88"/>
      <c r="J29" s="87">
        <v>31467203</v>
      </c>
      <c r="K29" s="86" t="s">
        <v>160</v>
      </c>
      <c r="L29" s="86" t="str">
        <f>_xlfn.XLOOKUP(Tabla2__2[[#This Row],[CODIGO RUTA]],'DATA INFORME'!I:I,'DATA INFORME'!K:K)</f>
        <v>SI</v>
      </c>
      <c r="M29" s="86" t="str">
        <f>IF(Tabla2__2[[#This Row],[MYSTERY EFECTIVO]]="SI",_xlfn.XLOOKUP(Tabla2__2[[#This Row],[PREGUNTA]],ENCUESTA!G:G,ENCUESTA!D:D),"N/A")</f>
        <v>LABOR DE VENTA</v>
      </c>
      <c r="N2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9" s="86" t="str">
        <f>_xlfn.XLOOKUP(Tabla2__2[[#This Row],[PREGUNTA]],ENCUESTA!G:G,ENCUESTA!H:H)</f>
        <v>SI</v>
      </c>
      <c r="P29" s="86">
        <f>IF(Tabla2__2[[#This Row],[RTA]]=Tabla2__2[[#This Row],[RTA CORRECTA]],Tabla2__2[[#This Row],[TOTAL PUNTAJE]],0)</f>
        <v>3.75</v>
      </c>
      <c r="Q29" s="86">
        <f>IF(OR(H29="Dog Chow húmedo",H29="Cat Chow húmedo",H29="Fancy Feast",H29="Felix",H29="Proplan húmedo",H29="One húmedo",H29="Snack Abrazzos",H29="Snak Dentalife",H29="Arenilla Tidy Cat"),N29,0)</f>
        <v>0</v>
      </c>
      <c r="R29" s="86"/>
    </row>
    <row r="30" spans="1:18" hidden="1" x14ac:dyDescent="0.35">
      <c r="A30" s="86" t="s">
        <v>91</v>
      </c>
      <c r="B30" s="86" t="s">
        <v>152</v>
      </c>
      <c r="C30" s="85" t="s">
        <v>14</v>
      </c>
      <c r="D30" s="86" t="s">
        <v>14</v>
      </c>
      <c r="E30" s="87">
        <v>421657</v>
      </c>
      <c r="F30" s="86" t="s">
        <v>194</v>
      </c>
      <c r="G30" s="86" t="s">
        <v>116</v>
      </c>
      <c r="H30" s="86" t="s">
        <v>20</v>
      </c>
      <c r="I30" s="88"/>
      <c r="J30" s="87">
        <v>31467203</v>
      </c>
      <c r="K30" s="86" t="s">
        <v>160</v>
      </c>
      <c r="L30" s="86" t="str">
        <f>_xlfn.XLOOKUP(Tabla2__2[[#This Row],[CODIGO RUTA]],'DATA INFORME'!I:I,'DATA INFORME'!K:K)</f>
        <v>SI</v>
      </c>
      <c r="M30" s="86" t="str">
        <f>IF(Tabla2__2[[#This Row],[MYSTERY EFECTIVO]]="SI",_xlfn.XLOOKUP(Tabla2__2[[#This Row],[PREGUNTA]],ENCUESTA!G:G,ENCUESTA!D:D),"N/A")</f>
        <v>LABOR DE VENTA</v>
      </c>
      <c r="N3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0" s="86" t="str">
        <f>_xlfn.XLOOKUP(Tabla2__2[[#This Row],[PREGUNTA]],ENCUESTA!G:G,ENCUESTA!H:H)</f>
        <v>SI</v>
      </c>
      <c r="P30" s="86">
        <f>IF(Tabla2__2[[#This Row],[RTA]]=Tabla2__2[[#This Row],[RTA CORRECTA]],Tabla2__2[[#This Row],[TOTAL PUNTAJE]],0)</f>
        <v>3.75</v>
      </c>
      <c r="Q30" s="86">
        <f>IF(OR(H30="Dog Chow húmedo",H30="Cat Chow húmedo",H30="Fancy Feast",H30="Felix",H30="Proplan húmedo",H30="One húmedo",H30="Snack Abrazzos",H30="Snak Dentalife",H30="Arenilla Tidy Cat"),N30,0)</f>
        <v>0</v>
      </c>
      <c r="R30" s="86"/>
    </row>
    <row r="31" spans="1:18" hidden="1" x14ac:dyDescent="0.35">
      <c r="A31" s="86" t="s">
        <v>91</v>
      </c>
      <c r="B31" s="86" t="s">
        <v>152</v>
      </c>
      <c r="C31" s="85" t="s">
        <v>14</v>
      </c>
      <c r="D31" s="86" t="s">
        <v>14</v>
      </c>
      <c r="E31" s="87">
        <v>421657</v>
      </c>
      <c r="F31" s="86" t="s">
        <v>194</v>
      </c>
      <c r="G31" s="86" t="s">
        <v>105</v>
      </c>
      <c r="H31" s="86" t="s">
        <v>20</v>
      </c>
      <c r="I31" s="88"/>
      <c r="J31" s="87">
        <v>31467203</v>
      </c>
      <c r="K31" s="86" t="s">
        <v>160</v>
      </c>
      <c r="L31" s="86" t="str">
        <f>_xlfn.XLOOKUP(Tabla2__2[[#This Row],[CODIGO RUTA]],'DATA INFORME'!I:I,'DATA INFORME'!K:K)</f>
        <v>SI</v>
      </c>
      <c r="M31" s="86" t="str">
        <f>IF(Tabla2__2[[#This Row],[MYSTERY EFECTIVO]]="SI",_xlfn.XLOOKUP(Tabla2__2[[#This Row],[PREGUNTA]],ENCUESTA!G:G,ENCUESTA!D:D),"N/A")</f>
        <v>LABOR DE VENTA</v>
      </c>
      <c r="N3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1" s="86" t="str">
        <f>_xlfn.XLOOKUP(Tabla2__2[[#This Row],[PREGUNTA]],ENCUESTA!G:G,ENCUESTA!H:H)</f>
        <v>SI</v>
      </c>
      <c r="P31" s="86">
        <f>IF(Tabla2__2[[#This Row],[RTA]]=Tabla2__2[[#This Row],[RTA CORRECTA]],Tabla2__2[[#This Row],[TOTAL PUNTAJE]],0)</f>
        <v>3.75</v>
      </c>
      <c r="Q31" s="86">
        <f>IF(OR(H31="Dog Chow húmedo",H31="Cat Chow húmedo",H31="Fancy Feast",H31="Felix",H31="Proplan húmedo",H31="One húmedo",H31="Snack Abrazzos",H31="Snak Dentalife",H31="Arenilla Tidy Cat"),N31,0)</f>
        <v>0</v>
      </c>
      <c r="R31" s="86"/>
    </row>
    <row r="32" spans="1:18" hidden="1" x14ac:dyDescent="0.35">
      <c r="A32" s="86" t="s">
        <v>91</v>
      </c>
      <c r="B32" s="86" t="s">
        <v>152</v>
      </c>
      <c r="C32" s="85" t="s">
        <v>14</v>
      </c>
      <c r="D32" s="86" t="s">
        <v>14</v>
      </c>
      <c r="E32" s="87">
        <v>421657</v>
      </c>
      <c r="F32" s="86" t="s">
        <v>194</v>
      </c>
      <c r="G32" s="86" t="s">
        <v>106</v>
      </c>
      <c r="H32" s="86" t="s">
        <v>20</v>
      </c>
      <c r="I32" s="88"/>
      <c r="J32" s="87">
        <v>31467203</v>
      </c>
      <c r="K32" s="86" t="s">
        <v>160</v>
      </c>
      <c r="L32" s="86" t="str">
        <f>_xlfn.XLOOKUP(Tabla2__2[[#This Row],[CODIGO RUTA]],'DATA INFORME'!I:I,'DATA INFORME'!K:K)</f>
        <v>SI</v>
      </c>
      <c r="M32" s="86" t="str">
        <f>IF(Tabla2__2[[#This Row],[MYSTERY EFECTIVO]]="SI",_xlfn.XLOOKUP(Tabla2__2[[#This Row],[PREGUNTA]],ENCUESTA!G:G,ENCUESTA!D:D),"N/A")</f>
        <v>LABOR DE VENTA</v>
      </c>
      <c r="N3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2" s="86" t="str">
        <f>_xlfn.XLOOKUP(Tabla2__2[[#This Row],[PREGUNTA]],ENCUESTA!G:G,ENCUESTA!H:H)</f>
        <v>SI</v>
      </c>
      <c r="P32" s="86">
        <f>IF(Tabla2__2[[#This Row],[RTA]]=Tabla2__2[[#This Row],[RTA CORRECTA]],Tabla2__2[[#This Row],[TOTAL PUNTAJE]],0)</f>
        <v>3.75</v>
      </c>
      <c r="Q32" s="86">
        <f>IF(OR(H32="Dog Chow húmedo",H32="Cat Chow húmedo",H32="Fancy Feast",H32="Felix",H32="Proplan húmedo",H32="One húmedo",H32="Snack Abrazzos",H32="Snak Dentalife",H32="Arenilla Tidy Cat"),N32,0)</f>
        <v>0</v>
      </c>
      <c r="R32" s="86"/>
    </row>
    <row r="33" spans="1:18" hidden="1" x14ac:dyDescent="0.35">
      <c r="A33" s="86" t="s">
        <v>91</v>
      </c>
      <c r="B33" s="86" t="s">
        <v>152</v>
      </c>
      <c r="C33" s="85" t="s">
        <v>14</v>
      </c>
      <c r="D33" s="86" t="s">
        <v>14</v>
      </c>
      <c r="E33" s="87">
        <v>421657</v>
      </c>
      <c r="F33" s="86" t="s">
        <v>194</v>
      </c>
      <c r="G33" s="86" t="s">
        <v>107</v>
      </c>
      <c r="H33" s="86" t="s">
        <v>147</v>
      </c>
      <c r="I33" s="88"/>
      <c r="J33" s="87">
        <v>31467203</v>
      </c>
      <c r="K33" s="86" t="s">
        <v>160</v>
      </c>
      <c r="L33" s="86" t="str">
        <f>_xlfn.XLOOKUP(Tabla2__2[[#This Row],[CODIGO RUTA]],'DATA INFORME'!I:I,'DATA INFORME'!K:K)</f>
        <v>SI</v>
      </c>
      <c r="M33" s="86" t="str">
        <f>IF(Tabla2__2[[#This Row],[MYSTERY EFECTIVO]]="SI",_xlfn.XLOOKUP(Tabla2__2[[#This Row],[PREGUNTA]],ENCUESTA!G:G,ENCUESTA!D:D),"N/A")</f>
        <v>N/A</v>
      </c>
      <c r="N3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3" s="86">
        <f>_xlfn.XLOOKUP(Tabla2__2[[#This Row],[PREGUNTA]],ENCUESTA!G:G,ENCUESTA!H:H)</f>
        <v>0</v>
      </c>
      <c r="P33" s="86">
        <f>IF(Tabla2__2[[#This Row],[RTA]]=Tabla2__2[[#This Row],[RTA CORRECTA]],Tabla2__2[[#This Row],[TOTAL PUNTAJE]],0)</f>
        <v>0</v>
      </c>
      <c r="Q33" s="86">
        <f>IF(OR(H33="Dog Chow húmedo",H33="Cat Chow húmedo",H33="Fancy Feast",H33="Felix",H33="Proplan húmedo",H33="One húmedo",H33="Snack Abrazzos",H33="Snak Dentalife",H33="Arenilla Tidy Cat"),N33,0)</f>
        <v>0</v>
      </c>
      <c r="R33" s="86"/>
    </row>
    <row r="34" spans="1:18" hidden="1" x14ac:dyDescent="0.35">
      <c r="A34" s="86" t="s">
        <v>91</v>
      </c>
      <c r="B34" s="86" t="s">
        <v>152</v>
      </c>
      <c r="C34" s="85" t="s">
        <v>14</v>
      </c>
      <c r="D34" s="86" t="s">
        <v>14</v>
      </c>
      <c r="E34" s="87">
        <v>421657</v>
      </c>
      <c r="F34" s="86" t="s">
        <v>194</v>
      </c>
      <c r="G34" s="86" t="s">
        <v>108</v>
      </c>
      <c r="H34" s="86" t="s">
        <v>162</v>
      </c>
      <c r="I34" s="88"/>
      <c r="J34" s="87">
        <v>31467203</v>
      </c>
      <c r="K34" s="86" t="s">
        <v>160</v>
      </c>
      <c r="L34" s="86" t="str">
        <f>_xlfn.XLOOKUP(Tabla2__2[[#This Row],[CODIGO RUTA]],'DATA INFORME'!I:I,'DATA INFORME'!K:K)</f>
        <v>SI</v>
      </c>
      <c r="M34" s="86" t="str">
        <f>IF(Tabla2__2[[#This Row],[MYSTERY EFECTIVO]]="SI",_xlfn.XLOOKUP(Tabla2__2[[#This Row],[PREGUNTA]],ENCUESTA!G:G,ENCUESTA!D:D),"N/A")</f>
        <v>N/A</v>
      </c>
      <c r="N3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4" s="86">
        <f>_xlfn.XLOOKUP(Tabla2__2[[#This Row],[PREGUNTA]],ENCUESTA!G:G,ENCUESTA!H:H)</f>
        <v>0</v>
      </c>
      <c r="P34" s="86">
        <f>IF(Tabla2__2[[#This Row],[RTA]]=Tabla2__2[[#This Row],[RTA CORRECTA]],Tabla2__2[[#This Row],[TOTAL PUNTAJE]],0)</f>
        <v>0</v>
      </c>
      <c r="Q34" s="86">
        <f>IF(OR(H34="Dog Chow húmedo",H34="Cat Chow húmedo",H34="Fancy Feast",H34="Felix",H34="Proplan húmedo",H34="One húmedo",H34="Snack Abrazzos",H34="Snak Dentalife",H34="Arenilla Tidy Cat"),N34,0)</f>
        <v>0</v>
      </c>
      <c r="R34" s="86"/>
    </row>
    <row r="35" spans="1:18" hidden="1" x14ac:dyDescent="0.35">
      <c r="A35" s="86" t="s">
        <v>91</v>
      </c>
      <c r="B35" s="86" t="s">
        <v>152</v>
      </c>
      <c r="C35" s="85" t="s">
        <v>14</v>
      </c>
      <c r="D35" s="86" t="s">
        <v>14</v>
      </c>
      <c r="E35" s="87">
        <v>421657</v>
      </c>
      <c r="F35" s="86" t="s">
        <v>194</v>
      </c>
      <c r="G35" s="86" t="s">
        <v>103</v>
      </c>
      <c r="H35" s="86" t="s">
        <v>149</v>
      </c>
      <c r="I35" s="88"/>
      <c r="J35" s="87">
        <v>31467203</v>
      </c>
      <c r="K35" s="86" t="s">
        <v>160</v>
      </c>
      <c r="L35" s="86" t="str">
        <f>_xlfn.XLOOKUP(Tabla2__2[[#This Row],[CODIGO RUTA]],'DATA INFORME'!I:I,'DATA INFORME'!K:K)</f>
        <v>SI</v>
      </c>
      <c r="M35" s="86" t="str">
        <f>IF(Tabla2__2[[#This Row],[MYSTERY EFECTIVO]]="SI",_xlfn.XLOOKUP(Tabla2__2[[#This Row],[PREGUNTA]],ENCUESTA!G:G,ENCUESTA!D:D),"N/A")</f>
        <v>N/A</v>
      </c>
      <c r="N3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5" s="86">
        <f>_xlfn.XLOOKUP(Tabla2__2[[#This Row],[PREGUNTA]],ENCUESTA!G:G,ENCUESTA!H:H)</f>
        <v>0</v>
      </c>
      <c r="P35" s="86">
        <f>IF(Tabla2__2[[#This Row],[RTA]]=Tabla2__2[[#This Row],[RTA CORRECTA]],Tabla2__2[[#This Row],[TOTAL PUNTAJE]],0)</f>
        <v>0</v>
      </c>
      <c r="Q35" s="86">
        <f>IF(OR(H35="Dog Chow húmedo",H35="Cat Chow húmedo",H35="Fancy Feast",H35="Felix",H35="Proplan húmedo",H35="One húmedo",H35="Snack Abrazzos",H35="Snak Dentalife",H35="Arenilla Tidy Cat"),N35,0)</f>
        <v>0</v>
      </c>
      <c r="R35" s="86"/>
    </row>
    <row r="36" spans="1:18" hidden="1" x14ac:dyDescent="0.35">
      <c r="A36" s="86" t="s">
        <v>91</v>
      </c>
      <c r="B36" s="86" t="s">
        <v>152</v>
      </c>
      <c r="C36" s="85" t="s">
        <v>14</v>
      </c>
      <c r="D36" s="86" t="s">
        <v>14</v>
      </c>
      <c r="E36" s="87">
        <v>421657</v>
      </c>
      <c r="F36" s="86" t="s">
        <v>194</v>
      </c>
      <c r="G36" s="86" t="s">
        <v>129</v>
      </c>
      <c r="H36" s="86" t="s">
        <v>20</v>
      </c>
      <c r="I36" s="88"/>
      <c r="J36" s="87">
        <v>31467203</v>
      </c>
      <c r="K36" s="86" t="s">
        <v>160</v>
      </c>
      <c r="L36" s="86" t="str">
        <f>_xlfn.XLOOKUP(Tabla2__2[[#This Row],[CODIGO RUTA]],'DATA INFORME'!I:I,'DATA INFORME'!K:K)</f>
        <v>SI</v>
      </c>
      <c r="M36" s="86" t="str">
        <f>IF(Tabla2__2[[#This Row],[MYSTERY EFECTIVO]]="SI",_xlfn.XLOOKUP(Tabla2__2[[#This Row],[PREGUNTA]],ENCUESTA!G:G,ENCUESTA!D:D),"N/A")</f>
        <v>PORTAFOLIO Y MANEJO DE OBJECIONES</v>
      </c>
      <c r="N3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36" s="86" t="str">
        <f>_xlfn.XLOOKUP(Tabla2__2[[#This Row],[PREGUNTA]],ENCUESTA!G:G,ENCUESTA!H:H)</f>
        <v>SI</v>
      </c>
      <c r="P36" s="86">
        <f>IF(Tabla2__2[[#This Row],[RTA]]=Tabla2__2[[#This Row],[RTA CORRECTA]],Tabla2__2[[#This Row],[TOTAL PUNTAJE]],0)</f>
        <v>2.3076923076923075</v>
      </c>
      <c r="Q36" s="86">
        <f>IF(OR(H36="Dog Chow húmedo",H36="Cat Chow húmedo",H36="Fancy Feast",H36="Felix",H36="Proplan húmedo",H36="One húmedo",H36="Snack Abrazzos",H36="Snak Dentalife",H36="Arenilla Tidy Cat"),N36,0)</f>
        <v>0</v>
      </c>
      <c r="R36" s="86"/>
    </row>
    <row r="37" spans="1:18" hidden="1" x14ac:dyDescent="0.35">
      <c r="A37" s="86" t="s">
        <v>91</v>
      </c>
      <c r="B37" s="86" t="s">
        <v>152</v>
      </c>
      <c r="C37" s="85" t="s">
        <v>14</v>
      </c>
      <c r="D37" s="86" t="s">
        <v>14</v>
      </c>
      <c r="E37" s="87">
        <v>421657</v>
      </c>
      <c r="F37" s="86" t="s">
        <v>194</v>
      </c>
      <c r="G37" s="86" t="s">
        <v>127</v>
      </c>
      <c r="H37" s="86" t="s">
        <v>20</v>
      </c>
      <c r="I37" s="88"/>
      <c r="J37" s="87">
        <v>31467203</v>
      </c>
      <c r="K37" s="86" t="s">
        <v>160</v>
      </c>
      <c r="L37" s="86" t="str">
        <f>_xlfn.XLOOKUP(Tabla2__2[[#This Row],[CODIGO RUTA]],'DATA INFORME'!I:I,'DATA INFORME'!K:K)</f>
        <v>SI</v>
      </c>
      <c r="M37" s="86" t="str">
        <f>IF(Tabla2__2[[#This Row],[MYSTERY EFECTIVO]]="SI",_xlfn.XLOOKUP(Tabla2__2[[#This Row],[PREGUNTA]],ENCUESTA!G:G,ENCUESTA!D:D),"N/A")</f>
        <v>PORTAFOLIO Y MANEJO DE OBJECIONES</v>
      </c>
      <c r="N3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37" s="86" t="str">
        <f>_xlfn.XLOOKUP(Tabla2__2[[#This Row],[PREGUNTA]],ENCUESTA!G:G,ENCUESTA!H:H)</f>
        <v>SI</v>
      </c>
      <c r="P37" s="86">
        <f>IF(Tabla2__2[[#This Row],[RTA]]=Tabla2__2[[#This Row],[RTA CORRECTA]],Tabla2__2[[#This Row],[TOTAL PUNTAJE]],0)</f>
        <v>2.3076923076923075</v>
      </c>
      <c r="Q37" s="86">
        <f>IF(OR(H37="Dog Chow húmedo",H37="Cat Chow húmedo",H37="Fancy Feast",H37="Felix",H37="Proplan húmedo",H37="One húmedo",H37="Snack Abrazzos",H37="Snak Dentalife",H37="Arenilla Tidy Cat"),N37,0)</f>
        <v>0</v>
      </c>
      <c r="R37" s="86"/>
    </row>
    <row r="38" spans="1:18" hidden="1" x14ac:dyDescent="0.35">
      <c r="A38" s="86" t="s">
        <v>91</v>
      </c>
      <c r="B38" s="86" t="s">
        <v>152</v>
      </c>
      <c r="C38" s="85" t="s">
        <v>14</v>
      </c>
      <c r="D38" s="86" t="s">
        <v>14</v>
      </c>
      <c r="E38" s="87">
        <v>421657</v>
      </c>
      <c r="F38" s="86" t="s">
        <v>194</v>
      </c>
      <c r="G38" s="86" t="s">
        <v>101</v>
      </c>
      <c r="H38" s="86" t="s">
        <v>147</v>
      </c>
      <c r="I38" s="88"/>
      <c r="J38" s="87">
        <v>31467203</v>
      </c>
      <c r="K38" s="86" t="s">
        <v>160</v>
      </c>
      <c r="L38" s="86" t="str">
        <f>_xlfn.XLOOKUP(Tabla2__2[[#This Row],[CODIGO RUTA]],'DATA INFORME'!I:I,'DATA INFORME'!K:K)</f>
        <v>SI</v>
      </c>
      <c r="M38" s="86" t="str">
        <f>IF(Tabla2__2[[#This Row],[MYSTERY EFECTIVO]]="SI",_xlfn.XLOOKUP(Tabla2__2[[#This Row],[PREGUNTA]],ENCUESTA!G:G,ENCUESTA!D:D),"N/A")</f>
        <v>UNIFORME</v>
      </c>
      <c r="N3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8" s="86" t="str">
        <f>_xlfn.XLOOKUP(Tabla2__2[[#This Row],[PREGUNTA]],ENCUESTA!G:G,ENCUESTA!H:H)</f>
        <v xml:space="preserve"> NO</v>
      </c>
      <c r="P38" s="86">
        <f>IF(Tabla2__2[[#This Row],[RTA]]=Tabla2__2[[#This Row],[RTA CORRECTA]],Tabla2__2[[#This Row],[TOTAL PUNTAJE]],0)</f>
        <v>1.5</v>
      </c>
      <c r="Q38" s="86">
        <f>IF(OR(H38="Dog Chow húmedo",H38="Cat Chow húmedo",H38="Fancy Feast",H38="Felix",H38="Proplan húmedo",H38="One húmedo",H38="Snack Abrazzos",H38="Snak Dentalife",H38="Arenilla Tidy Cat"),N38,0)</f>
        <v>0</v>
      </c>
      <c r="R38" s="86"/>
    </row>
    <row r="39" spans="1:18" hidden="1" x14ac:dyDescent="0.35">
      <c r="A39" s="86" t="s">
        <v>91</v>
      </c>
      <c r="B39" s="86" t="s">
        <v>152</v>
      </c>
      <c r="C39" s="85" t="s">
        <v>14</v>
      </c>
      <c r="D39" s="86" t="s">
        <v>14</v>
      </c>
      <c r="E39" s="87">
        <v>421657</v>
      </c>
      <c r="F39" s="86" t="s">
        <v>194</v>
      </c>
      <c r="G39" s="86" t="s">
        <v>85</v>
      </c>
      <c r="H39" s="86" t="s">
        <v>20</v>
      </c>
      <c r="I39" s="88"/>
      <c r="J39" s="87">
        <v>31467203</v>
      </c>
      <c r="K39" s="86" t="s">
        <v>160</v>
      </c>
      <c r="L39" s="86" t="str">
        <f>_xlfn.XLOOKUP(Tabla2__2[[#This Row],[CODIGO RUTA]],'DATA INFORME'!I:I,'DATA INFORME'!K:K)</f>
        <v>SI</v>
      </c>
      <c r="M39" s="86" t="str">
        <f>IF(Tabla2__2[[#This Row],[MYSTERY EFECTIVO]]="SI",_xlfn.XLOOKUP(Tabla2__2[[#This Row],[PREGUNTA]],ENCUESTA!G:G,ENCUESTA!D:D),"N/A")</f>
        <v>UNIFORME</v>
      </c>
      <c r="N3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9" s="86" t="str">
        <f>_xlfn.XLOOKUP(Tabla2__2[[#This Row],[PREGUNTA]],ENCUESTA!G:G,ENCUESTA!H:H)</f>
        <v>SI</v>
      </c>
      <c r="P39" s="86">
        <f>IF(Tabla2__2[[#This Row],[RTA]]=Tabla2__2[[#This Row],[RTA CORRECTA]],Tabla2__2[[#This Row],[TOTAL PUNTAJE]],0)</f>
        <v>1.5</v>
      </c>
      <c r="Q39" s="86">
        <f>IF(OR(H39="Dog Chow húmedo",H39="Cat Chow húmedo",H39="Fancy Feast",H39="Felix",H39="Proplan húmedo",H39="One húmedo",H39="Snack Abrazzos",H39="Snak Dentalife",H39="Arenilla Tidy Cat"),N39,0)</f>
        <v>0</v>
      </c>
      <c r="R39" s="86"/>
    </row>
    <row r="40" spans="1:18" hidden="1" x14ac:dyDescent="0.35">
      <c r="A40" s="86" t="s">
        <v>91</v>
      </c>
      <c r="B40" s="86" t="s">
        <v>152</v>
      </c>
      <c r="C40" s="85" t="s">
        <v>14</v>
      </c>
      <c r="D40" s="86" t="s">
        <v>14</v>
      </c>
      <c r="E40" s="87">
        <v>421657</v>
      </c>
      <c r="F40" s="86" t="s">
        <v>194</v>
      </c>
      <c r="G40" s="86" t="s">
        <v>86</v>
      </c>
      <c r="H40" s="86" t="s">
        <v>20</v>
      </c>
      <c r="I40" s="88"/>
      <c r="J40" s="87">
        <v>31467203</v>
      </c>
      <c r="K40" s="86" t="s">
        <v>160</v>
      </c>
      <c r="L40" s="86" t="str">
        <f>_xlfn.XLOOKUP(Tabla2__2[[#This Row],[CODIGO RUTA]],'DATA INFORME'!I:I,'DATA INFORME'!K:K)</f>
        <v>SI</v>
      </c>
      <c r="M40" s="86" t="str">
        <f>IF(Tabla2__2[[#This Row],[MYSTERY EFECTIVO]]="SI",_xlfn.XLOOKUP(Tabla2__2[[#This Row],[PREGUNTA]],ENCUESTA!G:G,ENCUESTA!D:D),"N/A")</f>
        <v>UNIFORME</v>
      </c>
      <c r="N4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0" s="86" t="str">
        <f>_xlfn.XLOOKUP(Tabla2__2[[#This Row],[PREGUNTA]],ENCUESTA!G:G,ENCUESTA!H:H)</f>
        <v>SI</v>
      </c>
      <c r="P40" s="86">
        <f>IF(Tabla2__2[[#This Row],[RTA]]=Tabla2__2[[#This Row],[RTA CORRECTA]],Tabla2__2[[#This Row],[TOTAL PUNTAJE]],0)</f>
        <v>1.5</v>
      </c>
      <c r="Q40" s="86">
        <f>IF(OR(H40="Dog Chow húmedo",H40="Cat Chow húmedo",H40="Fancy Feast",H40="Felix",H40="Proplan húmedo",H40="One húmedo",H40="Snack Abrazzos",H40="Snak Dentalife",H40="Arenilla Tidy Cat"),N40,0)</f>
        <v>0</v>
      </c>
      <c r="R40" s="86"/>
    </row>
    <row r="41" spans="1:18" hidden="1" x14ac:dyDescent="0.35">
      <c r="A41" s="86" t="s">
        <v>91</v>
      </c>
      <c r="B41" s="86" t="s">
        <v>152</v>
      </c>
      <c r="C41" s="85" t="s">
        <v>14</v>
      </c>
      <c r="D41" s="86" t="s">
        <v>14</v>
      </c>
      <c r="E41" s="87">
        <v>421657</v>
      </c>
      <c r="F41" s="86" t="s">
        <v>194</v>
      </c>
      <c r="G41" s="86" t="s">
        <v>87</v>
      </c>
      <c r="H41" s="86" t="s">
        <v>147</v>
      </c>
      <c r="I41" s="88"/>
      <c r="J41" s="87">
        <v>31467203</v>
      </c>
      <c r="K41" s="86" t="s">
        <v>160</v>
      </c>
      <c r="L41" s="86" t="str">
        <f>_xlfn.XLOOKUP(Tabla2__2[[#This Row],[CODIGO RUTA]],'DATA INFORME'!I:I,'DATA INFORME'!K:K)</f>
        <v>SI</v>
      </c>
      <c r="M41" s="86" t="str">
        <f>IF(Tabla2__2[[#This Row],[MYSTERY EFECTIVO]]="SI",_xlfn.XLOOKUP(Tabla2__2[[#This Row],[PREGUNTA]],ENCUESTA!G:G,ENCUESTA!D:D),"N/A")</f>
        <v>UNIFORME</v>
      </c>
      <c r="N4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1" s="86" t="str">
        <f>_xlfn.XLOOKUP(Tabla2__2[[#This Row],[PREGUNTA]],ENCUESTA!G:G,ENCUESTA!H:H)</f>
        <v xml:space="preserve"> NO</v>
      </c>
      <c r="P41" s="86">
        <f>IF(Tabla2__2[[#This Row],[RTA]]=Tabla2__2[[#This Row],[RTA CORRECTA]],Tabla2__2[[#This Row],[TOTAL PUNTAJE]],0)</f>
        <v>1.5</v>
      </c>
      <c r="Q41" s="86">
        <f>IF(OR(H41="Dog Chow húmedo",H41="Cat Chow húmedo",H41="Fancy Feast",H41="Felix",H41="Proplan húmedo",H41="One húmedo",H41="Snack Abrazzos",H41="Snak Dentalife",H41="Arenilla Tidy Cat"),N41,0)</f>
        <v>0</v>
      </c>
      <c r="R41" s="86"/>
    </row>
    <row r="42" spans="1:18" hidden="1" x14ac:dyDescent="0.35">
      <c r="A42" s="86" t="s">
        <v>91</v>
      </c>
      <c r="B42" s="86" t="s">
        <v>152</v>
      </c>
      <c r="C42" s="85" t="s">
        <v>14</v>
      </c>
      <c r="D42" s="86" t="s">
        <v>14</v>
      </c>
      <c r="E42" s="87">
        <v>421657</v>
      </c>
      <c r="F42" s="86" t="s">
        <v>194</v>
      </c>
      <c r="G42" s="86" t="s">
        <v>88</v>
      </c>
      <c r="H42" s="86" t="s">
        <v>147</v>
      </c>
      <c r="I42" s="88"/>
      <c r="J42" s="87">
        <v>31467203</v>
      </c>
      <c r="K42" s="86" t="s">
        <v>160</v>
      </c>
      <c r="L42" s="86" t="str">
        <f>_xlfn.XLOOKUP(Tabla2__2[[#This Row],[CODIGO RUTA]],'DATA INFORME'!I:I,'DATA INFORME'!K:K)</f>
        <v>SI</v>
      </c>
      <c r="M42" s="86" t="str">
        <f>IF(Tabla2__2[[#This Row],[MYSTERY EFECTIVO]]="SI",_xlfn.XLOOKUP(Tabla2__2[[#This Row],[PREGUNTA]],ENCUESTA!G:G,ENCUESTA!D:D),"N/A")</f>
        <v>UNIFORME</v>
      </c>
      <c r="N4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2" s="86" t="str">
        <f>_xlfn.XLOOKUP(Tabla2__2[[#This Row],[PREGUNTA]],ENCUESTA!G:G,ENCUESTA!H:H)</f>
        <v xml:space="preserve"> NO</v>
      </c>
      <c r="P42" s="86">
        <f>IF(Tabla2__2[[#This Row],[RTA]]=Tabla2__2[[#This Row],[RTA CORRECTA]],Tabla2__2[[#This Row],[TOTAL PUNTAJE]],0)</f>
        <v>1.5</v>
      </c>
      <c r="Q42" s="86">
        <f>IF(OR(H42="Dog Chow húmedo",H42="Cat Chow húmedo",H42="Fancy Feast",H42="Felix",H42="Proplan húmedo",H42="One húmedo",H42="Snack Abrazzos",H42="Snak Dentalife",H42="Arenilla Tidy Cat"),N42,0)</f>
        <v>0</v>
      </c>
      <c r="R42" s="86"/>
    </row>
    <row r="43" spans="1:18" hidden="1" x14ac:dyDescent="0.35">
      <c r="A43" s="86" t="s">
        <v>91</v>
      </c>
      <c r="B43" s="86" t="s">
        <v>152</v>
      </c>
      <c r="C43" s="85" t="s">
        <v>14</v>
      </c>
      <c r="D43" s="86" t="s">
        <v>14</v>
      </c>
      <c r="E43" s="87">
        <v>421657</v>
      </c>
      <c r="F43" s="86" t="s">
        <v>194</v>
      </c>
      <c r="G43" s="86" t="s">
        <v>89</v>
      </c>
      <c r="H43" s="86" t="s">
        <v>147</v>
      </c>
      <c r="I43" s="88"/>
      <c r="J43" s="87">
        <v>31467203</v>
      </c>
      <c r="K43" s="86" t="s">
        <v>160</v>
      </c>
      <c r="L43" s="86" t="str">
        <f>_xlfn.XLOOKUP(Tabla2__2[[#This Row],[CODIGO RUTA]],'DATA INFORME'!I:I,'DATA INFORME'!K:K)</f>
        <v>SI</v>
      </c>
      <c r="M43" s="86" t="str">
        <f>IF(Tabla2__2[[#This Row],[MYSTERY EFECTIVO]]="SI",_xlfn.XLOOKUP(Tabla2__2[[#This Row],[PREGUNTA]],ENCUESTA!G:G,ENCUESTA!D:D),"N/A")</f>
        <v>UNIFORME</v>
      </c>
      <c r="N4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3" s="86" t="str">
        <f>_xlfn.XLOOKUP(Tabla2__2[[#This Row],[PREGUNTA]],ENCUESTA!G:G,ENCUESTA!H:H)</f>
        <v xml:space="preserve"> NO</v>
      </c>
      <c r="P43" s="86">
        <f>IF(Tabla2__2[[#This Row],[RTA]]=Tabla2__2[[#This Row],[RTA CORRECTA]],Tabla2__2[[#This Row],[TOTAL PUNTAJE]],0)</f>
        <v>1.5</v>
      </c>
      <c r="Q43" s="86">
        <f>IF(OR(H43="Dog Chow húmedo",H43="Cat Chow húmedo",H43="Fancy Feast",H43="Felix",H43="Proplan húmedo",H43="One húmedo",H43="Snack Abrazzos",H43="Snak Dentalife",H43="Arenilla Tidy Cat"),N43,0)</f>
        <v>0</v>
      </c>
      <c r="R43" s="86"/>
    </row>
    <row r="44" spans="1:18" hidden="1" x14ac:dyDescent="0.35">
      <c r="A44" s="86" t="s">
        <v>91</v>
      </c>
      <c r="B44" s="86" t="s">
        <v>152</v>
      </c>
      <c r="C44" s="85" t="s">
        <v>14</v>
      </c>
      <c r="D44" s="86" t="s">
        <v>14</v>
      </c>
      <c r="E44" s="87">
        <v>421657</v>
      </c>
      <c r="F44" s="86" t="s">
        <v>194</v>
      </c>
      <c r="G44" s="86" t="s">
        <v>90</v>
      </c>
      <c r="H44" s="86" t="s">
        <v>147</v>
      </c>
      <c r="I44" s="88"/>
      <c r="J44" s="87">
        <v>31467203</v>
      </c>
      <c r="K44" s="86" t="s">
        <v>160</v>
      </c>
      <c r="L44" s="86" t="str">
        <f>_xlfn.XLOOKUP(Tabla2__2[[#This Row],[CODIGO RUTA]],'DATA INFORME'!I:I,'DATA INFORME'!K:K)</f>
        <v>SI</v>
      </c>
      <c r="M44" s="86" t="str">
        <f>IF(Tabla2__2[[#This Row],[MYSTERY EFECTIVO]]="SI",_xlfn.XLOOKUP(Tabla2__2[[#This Row],[PREGUNTA]],ENCUESTA!G:G,ENCUESTA!D:D),"N/A")</f>
        <v>UNIFORME</v>
      </c>
      <c r="N4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4" s="86" t="str">
        <f>_xlfn.XLOOKUP(Tabla2__2[[#This Row],[PREGUNTA]],ENCUESTA!G:G,ENCUESTA!H:H)</f>
        <v xml:space="preserve"> NO</v>
      </c>
      <c r="P44" s="86">
        <f>IF(Tabla2__2[[#This Row],[RTA]]=Tabla2__2[[#This Row],[RTA CORRECTA]],Tabla2__2[[#This Row],[TOTAL PUNTAJE]],0)</f>
        <v>1.5</v>
      </c>
      <c r="Q44" s="86">
        <f>IF(OR(H44="Dog Chow húmedo",H44="Cat Chow húmedo",H44="Fancy Feast",H44="Felix",H44="Proplan húmedo",H44="One húmedo",H44="Snack Abrazzos",H44="Snak Dentalife",H44="Arenilla Tidy Cat"),N44,0)</f>
        <v>0</v>
      </c>
      <c r="R44" s="86"/>
    </row>
    <row r="45" spans="1:18" hidden="1" x14ac:dyDescent="0.35">
      <c r="A45" s="86" t="s">
        <v>91</v>
      </c>
      <c r="B45" s="86" t="s">
        <v>152</v>
      </c>
      <c r="C45" s="85" t="s">
        <v>14</v>
      </c>
      <c r="D45" s="86" t="s">
        <v>14</v>
      </c>
      <c r="E45" s="87">
        <v>421657</v>
      </c>
      <c r="F45" s="86" t="s">
        <v>194</v>
      </c>
      <c r="G45" s="86" t="s">
        <v>117</v>
      </c>
      <c r="H45" s="86" t="s">
        <v>20</v>
      </c>
      <c r="I45" s="88"/>
      <c r="J45" s="87">
        <v>31467203</v>
      </c>
      <c r="K45" s="86" t="s">
        <v>160</v>
      </c>
      <c r="L45" s="86" t="str">
        <f>_xlfn.XLOOKUP(Tabla2__2[[#This Row],[CODIGO RUTA]],'DATA INFORME'!I:I,'DATA INFORME'!K:K)</f>
        <v>SI</v>
      </c>
      <c r="M45" s="86" t="str">
        <f>IF(Tabla2__2[[#This Row],[MYSTERY EFECTIVO]]="SI",_xlfn.XLOOKUP(Tabla2__2[[#This Row],[PREGUNTA]],ENCUESTA!G:G,ENCUESTA!D:D),"N/A")</f>
        <v>ABORDAJE</v>
      </c>
      <c r="N4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5" s="86" t="str">
        <f>_xlfn.XLOOKUP(Tabla2__2[[#This Row],[PREGUNTA]],ENCUESTA!G:G,ENCUESTA!H:H)</f>
        <v>SI</v>
      </c>
      <c r="P45" s="86">
        <f>IF(Tabla2__2[[#This Row],[RTA]]=Tabla2__2[[#This Row],[RTA CORRECTA]],Tabla2__2[[#This Row],[TOTAL PUNTAJE]],0)</f>
        <v>20</v>
      </c>
      <c r="Q45" s="86">
        <f>IF(OR(H45="Dog Chow húmedo",H45="Cat Chow húmedo",H45="Fancy Feast",H45="Felix",H45="Proplan húmedo",H45="One húmedo",H45="Snack Abrazzos",H45="Snak Dentalife",H45="Arenilla Tidy Cat"),N45,0)</f>
        <v>0</v>
      </c>
      <c r="R45" s="86"/>
    </row>
    <row r="46" spans="1:18" hidden="1" x14ac:dyDescent="0.35">
      <c r="A46" s="86" t="s">
        <v>91</v>
      </c>
      <c r="B46" s="86" t="s">
        <v>152</v>
      </c>
      <c r="C46" s="85" t="s">
        <v>14</v>
      </c>
      <c r="D46" s="86" t="s">
        <v>14</v>
      </c>
      <c r="E46" s="87">
        <v>421657</v>
      </c>
      <c r="F46" s="86" t="s">
        <v>194</v>
      </c>
      <c r="G46" s="86" t="s">
        <v>110</v>
      </c>
      <c r="H46" s="86" t="s">
        <v>20</v>
      </c>
      <c r="I46" s="88"/>
      <c r="J46" s="87">
        <v>31467203</v>
      </c>
      <c r="K46" s="86" t="s">
        <v>160</v>
      </c>
      <c r="L46" s="86" t="str">
        <f>_xlfn.XLOOKUP(Tabla2__2[[#This Row],[CODIGO RUTA]],'DATA INFORME'!I:I,'DATA INFORME'!K:K)</f>
        <v>SI</v>
      </c>
      <c r="M46" s="86" t="str">
        <f>IF(Tabla2__2[[#This Row],[MYSTERY EFECTIVO]]="SI",_xlfn.XLOOKUP(Tabla2__2[[#This Row],[PREGUNTA]],ENCUESTA!G:G,ENCUESTA!D:D),"N/A")</f>
        <v>PORTAFOLIO Y MANEJO DE OBJECIONES</v>
      </c>
      <c r="N4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46" s="86" t="str">
        <f>_xlfn.XLOOKUP(Tabla2__2[[#This Row],[PREGUNTA]],ENCUESTA!G:G,ENCUESTA!H:H)</f>
        <v>SI</v>
      </c>
      <c r="P46" s="86">
        <f>IF(Tabla2__2[[#This Row],[RTA]]=Tabla2__2[[#This Row],[RTA CORRECTA]],Tabla2__2[[#This Row],[TOTAL PUNTAJE]],0)</f>
        <v>2.3076923076923075</v>
      </c>
      <c r="Q46" s="86">
        <f>IF(OR(H46="Dog Chow húmedo",H46="Cat Chow húmedo",H46="Fancy Feast",H46="Felix",H46="Proplan húmedo",H46="One húmedo",H46="Snack Abrazzos",H46="Snak Dentalife",H46="Arenilla Tidy Cat"),N46,0)</f>
        <v>0</v>
      </c>
      <c r="R46" s="86"/>
    </row>
    <row r="47" spans="1:18" hidden="1" x14ac:dyDescent="0.35">
      <c r="A47" s="86" t="s">
        <v>91</v>
      </c>
      <c r="B47" s="86" t="s">
        <v>152</v>
      </c>
      <c r="C47" s="85" t="s">
        <v>14</v>
      </c>
      <c r="D47" s="86" t="s">
        <v>14</v>
      </c>
      <c r="E47" s="87">
        <v>421657</v>
      </c>
      <c r="F47" s="86" t="s">
        <v>194</v>
      </c>
      <c r="G47" s="86" t="s">
        <v>118</v>
      </c>
      <c r="H47" s="86" t="s">
        <v>20</v>
      </c>
      <c r="I47" s="88"/>
      <c r="J47" s="87">
        <v>31467203</v>
      </c>
      <c r="K47" s="86" t="s">
        <v>160</v>
      </c>
      <c r="L47" s="86" t="str">
        <f>_xlfn.XLOOKUP(Tabla2__2[[#This Row],[CODIGO RUTA]],'DATA INFORME'!I:I,'DATA INFORME'!K:K)</f>
        <v>SI</v>
      </c>
      <c r="M47" s="86" t="str">
        <f>IF(Tabla2__2[[#This Row],[MYSTERY EFECTIVO]]="SI",_xlfn.XLOOKUP(Tabla2__2[[#This Row],[PREGUNTA]],ENCUESTA!G:G,ENCUESTA!D:D),"N/A")</f>
        <v>PORTAFOLIO Y MANEJO DE OBJECIONES</v>
      </c>
      <c r="N4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 s="86" t="str">
        <f>_xlfn.XLOOKUP(Tabla2__2[[#This Row],[PREGUNTA]],ENCUESTA!G:G,ENCUESTA!H:H)</f>
        <v>SI</v>
      </c>
      <c r="P47" s="86">
        <f>IF(Tabla2__2[[#This Row],[RTA]]=Tabla2__2[[#This Row],[RTA CORRECTA]],Tabla2__2[[#This Row],[TOTAL PUNTAJE]],0)</f>
        <v>0</v>
      </c>
      <c r="Q47" s="86">
        <f>IF(OR(H47="Dog Chow húmedo",H47="Cat Chow húmedo",H47="Fancy Feast",H47="Felix",H47="Proplan húmedo",H47="One húmedo",H47="Snack Abrazzos",H47="Snak Dentalife",H47="Arenilla Tidy Cat"),N47,0)</f>
        <v>0</v>
      </c>
      <c r="R47" s="86"/>
    </row>
    <row r="48" spans="1:18" hidden="1" x14ac:dyDescent="0.35">
      <c r="A48" s="86" t="s">
        <v>91</v>
      </c>
      <c r="B48" s="86" t="s">
        <v>152</v>
      </c>
      <c r="C48" s="85" t="s">
        <v>14</v>
      </c>
      <c r="D48" s="86" t="s">
        <v>14</v>
      </c>
      <c r="E48" s="87">
        <v>421657</v>
      </c>
      <c r="F48" s="86" t="s">
        <v>194</v>
      </c>
      <c r="G48" s="86" t="s">
        <v>119</v>
      </c>
      <c r="H48" s="86" t="s">
        <v>20</v>
      </c>
      <c r="I48" s="88"/>
      <c r="J48" s="87">
        <v>31467203</v>
      </c>
      <c r="K48" s="86" t="s">
        <v>160</v>
      </c>
      <c r="L48" s="86" t="str">
        <f>_xlfn.XLOOKUP(Tabla2__2[[#This Row],[CODIGO RUTA]],'DATA INFORME'!I:I,'DATA INFORME'!K:K)</f>
        <v>SI</v>
      </c>
      <c r="M48" s="86" t="str">
        <f>IF(Tabla2__2[[#This Row],[MYSTERY EFECTIVO]]="SI",_xlfn.XLOOKUP(Tabla2__2[[#This Row],[PREGUNTA]],ENCUESTA!G:G,ENCUESTA!D:D),"N/A")</f>
        <v>PORTAFOLIO Y MANEJO DE OBJECIONES</v>
      </c>
      <c r="N4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48" s="86" t="str">
        <f>_xlfn.XLOOKUP(Tabla2__2[[#This Row],[PREGUNTA]],ENCUESTA!G:G,ENCUESTA!H:H)</f>
        <v>SI</v>
      </c>
      <c r="P48" s="86">
        <f>IF(Tabla2__2[[#This Row],[RTA]]=Tabla2__2[[#This Row],[RTA CORRECTA]],Tabla2__2[[#This Row],[TOTAL PUNTAJE]],0)</f>
        <v>2.3076923076923075</v>
      </c>
      <c r="Q48" s="86">
        <f>IF(OR(H48="Dog Chow húmedo",H48="Cat Chow húmedo",H48="Fancy Feast",H48="Felix",H48="Proplan húmedo",H48="One húmedo",H48="Snack Abrazzos",H48="Snak Dentalife",H48="Arenilla Tidy Cat"),N48,0)</f>
        <v>0</v>
      </c>
      <c r="R48" s="86"/>
    </row>
    <row r="49" spans="1:18" hidden="1" x14ac:dyDescent="0.35">
      <c r="A49" s="86" t="s">
        <v>91</v>
      </c>
      <c r="B49" s="86" t="s">
        <v>152</v>
      </c>
      <c r="C49" s="85" t="s">
        <v>14</v>
      </c>
      <c r="D49" s="86" t="s">
        <v>14</v>
      </c>
      <c r="E49" s="87">
        <v>421657</v>
      </c>
      <c r="F49" s="86" t="s">
        <v>194</v>
      </c>
      <c r="G49" s="86" t="s">
        <v>120</v>
      </c>
      <c r="H49" s="86" t="s">
        <v>20</v>
      </c>
      <c r="I49" s="88"/>
      <c r="J49" s="87">
        <v>31467203</v>
      </c>
      <c r="K49" s="86" t="s">
        <v>160</v>
      </c>
      <c r="L49" s="86" t="str">
        <f>_xlfn.XLOOKUP(Tabla2__2[[#This Row],[CODIGO RUTA]],'DATA INFORME'!I:I,'DATA INFORME'!K:K)</f>
        <v>SI</v>
      </c>
      <c r="M49" s="86" t="str">
        <f>IF(Tabla2__2[[#This Row],[MYSTERY EFECTIVO]]="SI",_xlfn.XLOOKUP(Tabla2__2[[#This Row],[PREGUNTA]],ENCUESTA!G:G,ENCUESTA!D:D),"N/A")</f>
        <v>PORTAFOLIO Y MANEJO DE OBJECIONES</v>
      </c>
      <c r="N4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49" s="86" t="str">
        <f>_xlfn.XLOOKUP(Tabla2__2[[#This Row],[PREGUNTA]],ENCUESTA!G:G,ENCUESTA!H:H)</f>
        <v>SI</v>
      </c>
      <c r="P49" s="86">
        <f>IF(Tabla2__2[[#This Row],[RTA]]=Tabla2__2[[#This Row],[RTA CORRECTA]],Tabla2__2[[#This Row],[TOTAL PUNTAJE]],0)</f>
        <v>2.3076923076923075</v>
      </c>
      <c r="Q49" s="86">
        <f>IF(OR(H49="Dog Chow húmedo",H49="Cat Chow húmedo",H49="Fancy Feast",H49="Felix",H49="Proplan húmedo",H49="One húmedo",H49="Snack Abrazzos",H49="Snak Dentalife",H49="Arenilla Tidy Cat"),N49,0)</f>
        <v>0</v>
      </c>
      <c r="R49" s="86"/>
    </row>
    <row r="50" spans="1:18" hidden="1" x14ac:dyDescent="0.35">
      <c r="A50" s="86" t="s">
        <v>91</v>
      </c>
      <c r="B50" s="86" t="s">
        <v>152</v>
      </c>
      <c r="C50" s="85" t="s">
        <v>14</v>
      </c>
      <c r="D50" s="86" t="s">
        <v>14</v>
      </c>
      <c r="E50" s="87">
        <v>421657</v>
      </c>
      <c r="F50" s="86" t="s">
        <v>194</v>
      </c>
      <c r="G50" s="86" t="s">
        <v>121</v>
      </c>
      <c r="H50" s="86" t="s">
        <v>20</v>
      </c>
      <c r="I50" s="88"/>
      <c r="J50" s="87">
        <v>31467203</v>
      </c>
      <c r="K50" s="86" t="s">
        <v>160</v>
      </c>
      <c r="L50" s="86" t="str">
        <f>_xlfn.XLOOKUP(Tabla2__2[[#This Row],[CODIGO RUTA]],'DATA INFORME'!I:I,'DATA INFORME'!K:K)</f>
        <v>SI</v>
      </c>
      <c r="M50" s="86" t="str">
        <f>IF(Tabla2__2[[#This Row],[MYSTERY EFECTIVO]]="SI",_xlfn.XLOOKUP(Tabla2__2[[#This Row],[PREGUNTA]],ENCUESTA!G:G,ENCUESTA!D:D),"N/A")</f>
        <v>PORTAFOLIO Y MANEJO DE OBJECIONES</v>
      </c>
      <c r="N5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50" s="86" t="str">
        <f>_xlfn.XLOOKUP(Tabla2__2[[#This Row],[PREGUNTA]],ENCUESTA!G:G,ENCUESTA!H:H)</f>
        <v>SI</v>
      </c>
      <c r="P50" s="86">
        <f>IF(Tabla2__2[[#This Row],[RTA]]=Tabla2__2[[#This Row],[RTA CORRECTA]],Tabla2__2[[#This Row],[TOTAL PUNTAJE]],0)</f>
        <v>2.3076923076923075</v>
      </c>
      <c r="Q50" s="86">
        <f>IF(OR(H50="Dog Chow húmedo",H50="Cat Chow húmedo",H50="Fancy Feast",H50="Felix",H50="Proplan húmedo",H50="One húmedo",H50="Snack Abrazzos",H50="Snak Dentalife",H50="Arenilla Tidy Cat"),N50,0)</f>
        <v>0</v>
      </c>
      <c r="R50" s="86"/>
    </row>
    <row r="51" spans="1:18" hidden="1" x14ac:dyDescent="0.35">
      <c r="A51" s="86" t="s">
        <v>91</v>
      </c>
      <c r="B51" s="86" t="s">
        <v>152</v>
      </c>
      <c r="C51" s="85" t="s">
        <v>14</v>
      </c>
      <c r="D51" s="86" t="s">
        <v>14</v>
      </c>
      <c r="E51" s="87">
        <v>421657</v>
      </c>
      <c r="F51" s="86" t="s">
        <v>194</v>
      </c>
      <c r="G51" s="86" t="s">
        <v>128</v>
      </c>
      <c r="H51" s="86" t="s">
        <v>20</v>
      </c>
      <c r="I51" s="88"/>
      <c r="J51" s="87">
        <v>31467203</v>
      </c>
      <c r="K51" s="86" t="s">
        <v>160</v>
      </c>
      <c r="L51" s="86" t="str">
        <f>_xlfn.XLOOKUP(Tabla2__2[[#This Row],[CODIGO RUTA]],'DATA INFORME'!I:I,'DATA INFORME'!K:K)</f>
        <v>SI</v>
      </c>
      <c r="M51" s="86" t="str">
        <f>IF(Tabla2__2[[#This Row],[MYSTERY EFECTIVO]]="SI",_xlfn.XLOOKUP(Tabla2__2[[#This Row],[PREGUNTA]],ENCUESTA!G:G,ENCUESTA!D:D),"N/A")</f>
        <v>PORTAFOLIO Y MANEJO DE OBJECIONES</v>
      </c>
      <c r="N5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51" s="86" t="str">
        <f>_xlfn.XLOOKUP(Tabla2__2[[#This Row],[PREGUNTA]],ENCUESTA!G:G,ENCUESTA!H:H)</f>
        <v>SI</v>
      </c>
      <c r="P51" s="86">
        <f>IF(Tabla2__2[[#This Row],[RTA]]=Tabla2__2[[#This Row],[RTA CORRECTA]],Tabla2__2[[#This Row],[TOTAL PUNTAJE]],0)</f>
        <v>2.3076923076923075</v>
      </c>
      <c r="Q51" s="86">
        <f>IF(OR(H51="Dog Chow húmedo",H51="Cat Chow húmedo",H51="Fancy Feast",H51="Felix",H51="Proplan húmedo",H51="One húmedo",H51="Snack Abrazzos",H51="Snak Dentalife",H51="Arenilla Tidy Cat"),N51,0)</f>
        <v>0</v>
      </c>
      <c r="R51" s="86"/>
    </row>
    <row r="52" spans="1:18" hidden="1" x14ac:dyDescent="0.35">
      <c r="A52" s="86" t="s">
        <v>91</v>
      </c>
      <c r="B52" s="86" t="s">
        <v>152</v>
      </c>
      <c r="C52" s="85" t="s">
        <v>14</v>
      </c>
      <c r="D52" s="86" t="s">
        <v>14</v>
      </c>
      <c r="E52" s="87">
        <v>421657</v>
      </c>
      <c r="F52" s="86" t="s">
        <v>194</v>
      </c>
      <c r="G52" s="86" t="s">
        <v>122</v>
      </c>
      <c r="H52" s="86" t="s">
        <v>20</v>
      </c>
      <c r="I52" s="88"/>
      <c r="J52" s="87">
        <v>31467203</v>
      </c>
      <c r="K52" s="86" t="s">
        <v>160</v>
      </c>
      <c r="L52" s="86" t="str">
        <f>_xlfn.XLOOKUP(Tabla2__2[[#This Row],[CODIGO RUTA]],'DATA INFORME'!I:I,'DATA INFORME'!K:K)</f>
        <v>SI</v>
      </c>
      <c r="M52" s="86" t="str">
        <f>IF(Tabla2__2[[#This Row],[MYSTERY EFECTIVO]]="SI",_xlfn.XLOOKUP(Tabla2__2[[#This Row],[PREGUNTA]],ENCUESTA!G:G,ENCUESTA!D:D),"N/A")</f>
        <v>PORTAFOLIO Y MANEJO DE OBJECIONES</v>
      </c>
      <c r="N5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52" s="86" t="str">
        <f>_xlfn.XLOOKUP(Tabla2__2[[#This Row],[PREGUNTA]],ENCUESTA!G:G,ENCUESTA!H:H)</f>
        <v>SI</v>
      </c>
      <c r="P52" s="86">
        <f>IF(Tabla2__2[[#This Row],[RTA]]=Tabla2__2[[#This Row],[RTA CORRECTA]],Tabla2__2[[#This Row],[TOTAL PUNTAJE]],0)</f>
        <v>2.3076923076923075</v>
      </c>
      <c r="Q52" s="86">
        <f>IF(OR(H52="Dog Chow húmedo",H52="Cat Chow húmedo",H52="Fancy Feast",H52="Felix",H52="Proplan húmedo",H52="One húmedo",H52="Snack Abrazzos",H52="Snak Dentalife",H52="Arenilla Tidy Cat"),N52,0)</f>
        <v>0</v>
      </c>
      <c r="R52" s="86"/>
    </row>
    <row r="53" spans="1:18" hidden="1" x14ac:dyDescent="0.35">
      <c r="A53" s="86" t="s">
        <v>91</v>
      </c>
      <c r="B53" s="86" t="s">
        <v>152</v>
      </c>
      <c r="C53" s="85" t="s">
        <v>14</v>
      </c>
      <c r="D53" s="86" t="s">
        <v>14</v>
      </c>
      <c r="E53" s="87">
        <v>421657</v>
      </c>
      <c r="F53" s="86" t="s">
        <v>194</v>
      </c>
      <c r="G53" s="86" t="s">
        <v>102</v>
      </c>
      <c r="H53" s="86" t="s">
        <v>191</v>
      </c>
      <c r="I53" s="88"/>
      <c r="J53" s="87">
        <v>31467203</v>
      </c>
      <c r="K53" s="86" t="s">
        <v>160</v>
      </c>
      <c r="L53" s="86" t="str">
        <f>_xlfn.XLOOKUP(Tabla2__2[[#This Row],[CODIGO RUTA]],'DATA INFORME'!I:I,'DATA INFORME'!K:K)</f>
        <v>SI</v>
      </c>
      <c r="M53" s="86" t="str">
        <f>IF(Tabla2__2[[#This Row],[MYSTERY EFECTIVO]]="SI",_xlfn.XLOOKUP(Tabla2__2[[#This Row],[PREGUNTA]],ENCUESTA!G:G,ENCUESTA!D:D),"N/A")</f>
        <v>N/A</v>
      </c>
      <c r="N5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3" s="86">
        <f>_xlfn.XLOOKUP(Tabla2__2[[#This Row],[PREGUNTA]],ENCUESTA!G:G,ENCUESTA!H:H)</f>
        <v>0</v>
      </c>
      <c r="P53" s="86">
        <f>IF(Tabla2__2[[#This Row],[RTA]]=Tabla2__2[[#This Row],[RTA CORRECTA]],Tabla2__2[[#This Row],[TOTAL PUNTAJE]],0)</f>
        <v>0</v>
      </c>
      <c r="Q53" s="86">
        <f>IF(OR(H53="Dog Chow húmedo",H53="Cat Chow húmedo",H53="Fancy Feast",H53="Felix",H53="Proplan húmedo",H53="One húmedo",H53="Snack Abrazzos",H53="Snak Dentalife",H53="Arenilla Tidy Cat"),N53,0)</f>
        <v>0</v>
      </c>
      <c r="R53" s="86"/>
    </row>
    <row r="54" spans="1:18" hidden="1" x14ac:dyDescent="0.35">
      <c r="A54" s="86" t="s">
        <v>91</v>
      </c>
      <c r="B54" s="86" t="s">
        <v>152</v>
      </c>
      <c r="C54" s="85" t="s">
        <v>14</v>
      </c>
      <c r="D54" s="86" t="s">
        <v>14</v>
      </c>
      <c r="E54" s="87">
        <v>421657</v>
      </c>
      <c r="F54" s="86" t="s">
        <v>194</v>
      </c>
      <c r="G54" s="86" t="s">
        <v>123</v>
      </c>
      <c r="H54" s="86" t="s">
        <v>20</v>
      </c>
      <c r="I54" s="88"/>
      <c r="J54" s="87">
        <v>31467203</v>
      </c>
      <c r="K54" s="86" t="s">
        <v>160</v>
      </c>
      <c r="L54" s="86" t="str">
        <f>_xlfn.XLOOKUP(Tabla2__2[[#This Row],[CODIGO RUTA]],'DATA INFORME'!I:I,'DATA INFORME'!K:K)</f>
        <v>SI</v>
      </c>
      <c r="M54" s="86" t="str">
        <f>IF(Tabla2__2[[#This Row],[MYSTERY EFECTIVO]]="SI",_xlfn.XLOOKUP(Tabla2__2[[#This Row],[PREGUNTA]],ENCUESTA!G:G,ENCUESTA!D:D),"N/A")</f>
        <v>PORTAFOLIO Y MANEJO DE OBJECIONES</v>
      </c>
      <c r="N5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54" s="86" t="str">
        <f>_xlfn.XLOOKUP(Tabla2__2[[#This Row],[PREGUNTA]],ENCUESTA!G:G,ENCUESTA!H:H)</f>
        <v>SI</v>
      </c>
      <c r="P54" s="86">
        <f>IF(Tabla2__2[[#This Row],[RTA]]=Tabla2__2[[#This Row],[RTA CORRECTA]],Tabla2__2[[#This Row],[TOTAL PUNTAJE]],0)</f>
        <v>2.3076923076923075</v>
      </c>
      <c r="Q54" s="86">
        <f>IF(OR(H54="Dog Chow húmedo",H54="Cat Chow húmedo",H54="Fancy Feast",H54="Felix",H54="Proplan húmedo",H54="One húmedo",H54="Snack Abrazzos",H54="Snak Dentalife",H54="Arenilla Tidy Cat"),N54,0)</f>
        <v>0</v>
      </c>
      <c r="R54" s="86"/>
    </row>
    <row r="55" spans="1:18" hidden="1" x14ac:dyDescent="0.35">
      <c r="A55" s="86" t="s">
        <v>91</v>
      </c>
      <c r="B55" s="86" t="s">
        <v>152</v>
      </c>
      <c r="C55" s="85" t="s">
        <v>14</v>
      </c>
      <c r="D55" s="86" t="s">
        <v>14</v>
      </c>
      <c r="E55" s="87">
        <v>421657</v>
      </c>
      <c r="F55" s="86" t="s">
        <v>194</v>
      </c>
      <c r="G55" s="86" t="s">
        <v>124</v>
      </c>
      <c r="H55" s="86" t="s">
        <v>20</v>
      </c>
      <c r="I55" s="88"/>
      <c r="J55" s="87">
        <v>31467203</v>
      </c>
      <c r="K55" s="86" t="s">
        <v>160</v>
      </c>
      <c r="L55" s="86" t="str">
        <f>_xlfn.XLOOKUP(Tabla2__2[[#This Row],[CODIGO RUTA]],'DATA INFORME'!I:I,'DATA INFORME'!K:K)</f>
        <v>SI</v>
      </c>
      <c r="M55" s="86" t="str">
        <f>IF(Tabla2__2[[#This Row],[MYSTERY EFECTIVO]]="SI",_xlfn.XLOOKUP(Tabla2__2[[#This Row],[PREGUNTA]],ENCUESTA!G:G,ENCUESTA!D:D),"N/A")</f>
        <v>PORTAFOLIO Y MANEJO DE OBJECIONES</v>
      </c>
      <c r="N5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55" s="86" t="str">
        <f>_xlfn.XLOOKUP(Tabla2__2[[#This Row],[PREGUNTA]],ENCUESTA!G:G,ENCUESTA!H:H)</f>
        <v>SI</v>
      </c>
      <c r="P55" s="86">
        <f>IF(Tabla2__2[[#This Row],[RTA]]=Tabla2__2[[#This Row],[RTA CORRECTA]],Tabla2__2[[#This Row],[TOTAL PUNTAJE]],0)</f>
        <v>2.3076923076923075</v>
      </c>
      <c r="Q55" s="86">
        <f>IF(OR(H55="Dog Chow húmedo",H55="Cat Chow húmedo",H55="Fancy Feast",H55="Felix",H55="Proplan húmedo",H55="One húmedo",H55="Snack Abrazzos",H55="Snak Dentalife",H55="Arenilla Tidy Cat"),N55,0)</f>
        <v>0</v>
      </c>
      <c r="R55" s="86"/>
    </row>
    <row r="56" spans="1:18" hidden="1" x14ac:dyDescent="0.35">
      <c r="A56" s="86" t="s">
        <v>91</v>
      </c>
      <c r="B56" s="86" t="s">
        <v>152</v>
      </c>
      <c r="C56" s="85" t="s">
        <v>14</v>
      </c>
      <c r="D56" s="86" t="s">
        <v>14</v>
      </c>
      <c r="E56" s="87">
        <v>421657</v>
      </c>
      <c r="F56" s="86" t="s">
        <v>194</v>
      </c>
      <c r="G56" s="86" t="s">
        <v>125</v>
      </c>
      <c r="H56" s="86" t="s">
        <v>20</v>
      </c>
      <c r="I56" s="88"/>
      <c r="J56" s="87">
        <v>31467203</v>
      </c>
      <c r="K56" s="86" t="s">
        <v>160</v>
      </c>
      <c r="L56" s="86" t="str">
        <f>_xlfn.XLOOKUP(Tabla2__2[[#This Row],[CODIGO RUTA]],'DATA INFORME'!I:I,'DATA INFORME'!K:K)</f>
        <v>SI</v>
      </c>
      <c r="M56" s="86" t="str">
        <f>IF(Tabla2__2[[#This Row],[MYSTERY EFECTIVO]]="SI",_xlfn.XLOOKUP(Tabla2__2[[#This Row],[PREGUNTA]],ENCUESTA!G:G,ENCUESTA!D:D),"N/A")</f>
        <v>PORTAFOLIO Y MANEJO DE OBJECIONES</v>
      </c>
      <c r="N5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56" s="86" t="str">
        <f>_xlfn.XLOOKUP(Tabla2__2[[#This Row],[PREGUNTA]],ENCUESTA!G:G,ENCUESTA!H:H)</f>
        <v>SI</v>
      </c>
      <c r="P56" s="86">
        <f>IF(Tabla2__2[[#This Row],[RTA]]=Tabla2__2[[#This Row],[RTA CORRECTA]],Tabla2__2[[#This Row],[TOTAL PUNTAJE]],0)</f>
        <v>2.3076923076923075</v>
      </c>
      <c r="Q56" s="86">
        <f>IF(OR(H56="Dog Chow húmedo",H56="Cat Chow húmedo",H56="Fancy Feast",H56="Felix",H56="Proplan húmedo",H56="One húmedo",H56="Snack Abrazzos",H56="Snak Dentalife",H56="Arenilla Tidy Cat"),N56,0)</f>
        <v>0</v>
      </c>
      <c r="R56" s="86"/>
    </row>
    <row r="57" spans="1:18" hidden="1" x14ac:dyDescent="0.35">
      <c r="A57" s="86" t="s">
        <v>91</v>
      </c>
      <c r="B57" s="86" t="s">
        <v>152</v>
      </c>
      <c r="C57" s="85" t="s">
        <v>14</v>
      </c>
      <c r="D57" s="86" t="s">
        <v>14</v>
      </c>
      <c r="E57" s="87">
        <v>421657</v>
      </c>
      <c r="F57" s="86" t="s">
        <v>194</v>
      </c>
      <c r="G57" s="86" t="s">
        <v>126</v>
      </c>
      <c r="H57" s="86" t="s">
        <v>20</v>
      </c>
      <c r="I57" s="88"/>
      <c r="J57" s="87">
        <v>31467203</v>
      </c>
      <c r="K57" s="86" t="s">
        <v>160</v>
      </c>
      <c r="L57" s="86" t="str">
        <f>_xlfn.XLOOKUP(Tabla2__2[[#This Row],[CODIGO RUTA]],'DATA INFORME'!I:I,'DATA INFORME'!K:K)</f>
        <v>SI</v>
      </c>
      <c r="M57" s="86" t="str">
        <f>IF(Tabla2__2[[#This Row],[MYSTERY EFECTIVO]]="SI",_xlfn.XLOOKUP(Tabla2__2[[#This Row],[PREGUNTA]],ENCUESTA!G:G,ENCUESTA!D:D),"N/A")</f>
        <v>PORTAFOLIO Y MANEJO DE OBJECIONES</v>
      </c>
      <c r="N5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57" s="86" t="str">
        <f>_xlfn.XLOOKUP(Tabla2__2[[#This Row],[PREGUNTA]],ENCUESTA!G:G,ENCUESTA!H:H)</f>
        <v>SI</v>
      </c>
      <c r="P57" s="86">
        <f>IF(Tabla2__2[[#This Row],[RTA]]=Tabla2__2[[#This Row],[RTA CORRECTA]],Tabla2__2[[#This Row],[TOTAL PUNTAJE]],0)</f>
        <v>2.3076923076923075</v>
      </c>
      <c r="Q57" s="86">
        <f>IF(OR(H57="Dog Chow húmedo",H57="Cat Chow húmedo",H57="Fancy Feast",H57="Felix",H57="Proplan húmedo",H57="One húmedo",H57="Snack Abrazzos",H57="Snak Dentalife",H57="Arenilla Tidy Cat"),N57,0)</f>
        <v>0</v>
      </c>
      <c r="R57" s="86"/>
    </row>
    <row r="58" spans="1:18" hidden="1" x14ac:dyDescent="0.35">
      <c r="A58" s="86" t="s">
        <v>91</v>
      </c>
      <c r="B58" s="86" t="s">
        <v>152</v>
      </c>
      <c r="C58" s="85" t="s">
        <v>14</v>
      </c>
      <c r="D58" s="86" t="s">
        <v>14</v>
      </c>
      <c r="E58" s="87">
        <v>421657</v>
      </c>
      <c r="F58" s="86" t="s">
        <v>194</v>
      </c>
      <c r="G58" s="86" t="s">
        <v>139</v>
      </c>
      <c r="H58" s="86" t="s">
        <v>209</v>
      </c>
      <c r="I58" s="88"/>
      <c r="J58" s="87">
        <v>31467203</v>
      </c>
      <c r="K58" s="86" t="s">
        <v>160</v>
      </c>
      <c r="L58" s="86" t="str">
        <f>_xlfn.XLOOKUP(Tabla2__2[[#This Row],[CODIGO RUTA]],'DATA INFORME'!I:I,'DATA INFORME'!K:K)</f>
        <v>SI</v>
      </c>
      <c r="M58" s="86" t="str">
        <f>IF(Tabla2__2[[#This Row],[MYSTERY EFECTIVO]]="SI",_xlfn.XLOOKUP(Tabla2__2[[#This Row],[PREGUNTA]],ENCUESTA!G:G,ENCUESTA!D:D),"N/A")</f>
        <v>PORTAFOLIO Y MANEJO DE OBJECIONES</v>
      </c>
      <c r="N5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58" s="86" t="str">
        <f>_xlfn.XLOOKUP(Tabla2__2[[#This Row],[PREGUNTA]],ENCUESTA!G:G,ENCUESTA!H:H)</f>
        <v>SI</v>
      </c>
      <c r="P58" s="86">
        <f>IF(Tabla2__2[[#This Row],[RTA]]=Tabla2__2[[#This Row],[RTA CORRECTA]],Tabla2__2[[#This Row],[TOTAL PUNTAJE]],0)</f>
        <v>0</v>
      </c>
      <c r="Q58" s="86">
        <f>IF(OR(H58="Dog Chow húmedo",H58="Cat Chow húmedo",H58="Fancy Feast",H58="Felix",H58="Proplan húmedo",H58="One húmedo",H58="Snack Abrazzos",H58="Snak Dentalife",H58="Arenilla Tidy Cat"),N58,0)</f>
        <v>0</v>
      </c>
      <c r="R58" s="86"/>
    </row>
    <row r="59" spans="1:18" hidden="1" x14ac:dyDescent="0.35">
      <c r="A59" s="86" t="s">
        <v>91</v>
      </c>
      <c r="B59" s="86" t="s">
        <v>152</v>
      </c>
      <c r="C59" s="85" t="s">
        <v>14</v>
      </c>
      <c r="D59" s="86" t="s">
        <v>14</v>
      </c>
      <c r="E59" s="87">
        <v>421657</v>
      </c>
      <c r="F59" s="86" t="s">
        <v>194</v>
      </c>
      <c r="G59" s="86" t="s">
        <v>35</v>
      </c>
      <c r="H59" s="86" t="s">
        <v>20</v>
      </c>
      <c r="I59" s="88"/>
      <c r="J59" s="87">
        <v>31467203</v>
      </c>
      <c r="K59" s="86" t="s">
        <v>160</v>
      </c>
      <c r="L59" s="86" t="str">
        <f>_xlfn.XLOOKUP(Tabla2__2[[#This Row],[CODIGO RUTA]],'DATA INFORME'!I:I,'DATA INFORME'!K:K)</f>
        <v>SI</v>
      </c>
      <c r="M59" s="86" t="str">
        <f>IF(Tabla2__2[[#This Row],[MYSTERY EFECTIVO]]="SI",_xlfn.XLOOKUP(Tabla2__2[[#This Row],[PREGUNTA]],ENCUESTA!G:G,ENCUESTA!D:D),"N/A")</f>
        <v>UNIFORME</v>
      </c>
      <c r="N5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9" s="86" t="str">
        <f>_xlfn.XLOOKUP(Tabla2__2[[#This Row],[PREGUNTA]],ENCUESTA!G:G,ENCUESTA!H:H)</f>
        <v>SI</v>
      </c>
      <c r="P59" s="86">
        <f>IF(Tabla2__2[[#This Row],[RTA]]=Tabla2__2[[#This Row],[RTA CORRECTA]],Tabla2__2[[#This Row],[TOTAL PUNTAJE]],0)</f>
        <v>1.5</v>
      </c>
      <c r="Q59" s="86">
        <f>IF(OR(H59="Dog Chow húmedo",H59="Cat Chow húmedo",H59="Fancy Feast",H59="Felix",H59="Proplan húmedo",H59="One húmedo",H59="Snack Abrazzos",H59="Snak Dentalife",H59="Arenilla Tidy Cat"),N59,0)</f>
        <v>0</v>
      </c>
      <c r="R59" s="86"/>
    </row>
    <row r="60" spans="1:18" hidden="1" x14ac:dyDescent="0.35">
      <c r="A60" s="86" t="s">
        <v>91</v>
      </c>
      <c r="B60" s="86" t="s">
        <v>152</v>
      </c>
      <c r="C60" s="85" t="s">
        <v>14</v>
      </c>
      <c r="D60" s="86" t="s">
        <v>14</v>
      </c>
      <c r="E60" s="87">
        <v>421657</v>
      </c>
      <c r="F60" s="86" t="s">
        <v>194</v>
      </c>
      <c r="G60" s="86" t="s">
        <v>100</v>
      </c>
      <c r="H60" s="86" t="s">
        <v>20</v>
      </c>
      <c r="I60" s="88"/>
      <c r="J60" s="87">
        <v>31467203</v>
      </c>
      <c r="K60" s="86" t="s">
        <v>160</v>
      </c>
      <c r="L60" s="86" t="str">
        <f>_xlfn.XLOOKUP(Tabla2__2[[#This Row],[CODIGO RUTA]],'DATA INFORME'!I:I,'DATA INFORME'!K:K)</f>
        <v>SI</v>
      </c>
      <c r="M60" s="86" t="str">
        <f>IF(Tabla2__2[[#This Row],[MYSTERY EFECTIVO]]="SI",_xlfn.XLOOKUP(Tabla2__2[[#This Row],[PREGUNTA]],ENCUESTA!G:G,ENCUESTA!D:D),"N/A")</f>
        <v>UNIFORME</v>
      </c>
      <c r="N6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0" s="86" t="str">
        <f>_xlfn.XLOOKUP(Tabla2__2[[#This Row],[PREGUNTA]],ENCUESTA!G:G,ENCUESTA!H:H)</f>
        <v>SI</v>
      </c>
      <c r="P60" s="86">
        <f>IF(Tabla2__2[[#This Row],[RTA]]=Tabla2__2[[#This Row],[RTA CORRECTA]],Tabla2__2[[#This Row],[TOTAL PUNTAJE]],0)</f>
        <v>1.5</v>
      </c>
      <c r="Q60" s="86">
        <f>IF(OR(H60="Dog Chow húmedo",H60="Cat Chow húmedo",H60="Fancy Feast",H60="Felix",H60="Proplan húmedo",H60="One húmedo",H60="Snack Abrazzos",H60="Snak Dentalife",H60="Arenilla Tidy Cat"),N60,0)</f>
        <v>0</v>
      </c>
      <c r="R60" s="86"/>
    </row>
    <row r="61" spans="1:18" hidden="1" x14ac:dyDescent="0.35">
      <c r="A61" s="86" t="s">
        <v>91</v>
      </c>
      <c r="B61" s="86" t="s">
        <v>152</v>
      </c>
      <c r="C61" s="85" t="s">
        <v>14</v>
      </c>
      <c r="D61" s="86" t="s">
        <v>14</v>
      </c>
      <c r="E61" s="87">
        <v>421657</v>
      </c>
      <c r="F61" s="86" t="s">
        <v>194</v>
      </c>
      <c r="G61" s="86" t="s">
        <v>83</v>
      </c>
      <c r="H61" s="86" t="s">
        <v>20</v>
      </c>
      <c r="I61" s="88"/>
      <c r="J61" s="87">
        <v>31467203</v>
      </c>
      <c r="K61" s="86" t="s">
        <v>160</v>
      </c>
      <c r="L61" s="86" t="str">
        <f>_xlfn.XLOOKUP(Tabla2__2[[#This Row],[CODIGO RUTA]],'DATA INFORME'!I:I,'DATA INFORME'!K:K)</f>
        <v>SI</v>
      </c>
      <c r="M61" s="86" t="str">
        <f>IF(Tabla2__2[[#This Row],[MYSTERY EFECTIVO]]="SI",_xlfn.XLOOKUP(Tabla2__2[[#This Row],[PREGUNTA]],ENCUESTA!G:G,ENCUESTA!D:D),"N/A")</f>
        <v>HORARIO</v>
      </c>
      <c r="N6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61" s="86" t="str">
        <f>_xlfn.XLOOKUP(Tabla2__2[[#This Row],[PREGUNTA]],ENCUESTA!G:G,ENCUESTA!H:H)</f>
        <v>SI</v>
      </c>
      <c r="P61" s="86">
        <f>IF(Tabla2__2[[#This Row],[RTA]]=Tabla2__2[[#This Row],[RTA CORRECTA]],Tabla2__2[[#This Row],[TOTAL PUNTAJE]],0)</f>
        <v>20</v>
      </c>
      <c r="Q61" s="86">
        <f>IF(OR(H61="Dog Chow húmedo",H61="Cat Chow húmedo",H61="Fancy Feast",H61="Felix",H61="Proplan húmedo",H61="One húmedo",H61="Snack Abrazzos",H61="Snak Dentalife",H61="Arenilla Tidy Cat"),N61,0)</f>
        <v>0</v>
      </c>
      <c r="R61" s="86"/>
    </row>
    <row r="62" spans="1:18" hidden="1" x14ac:dyDescent="0.35">
      <c r="A62" s="86" t="s">
        <v>91</v>
      </c>
      <c r="B62" s="86" t="s">
        <v>152</v>
      </c>
      <c r="C62" s="85" t="s">
        <v>14</v>
      </c>
      <c r="D62" s="86" t="s">
        <v>14</v>
      </c>
      <c r="E62" s="87">
        <v>421657</v>
      </c>
      <c r="F62" s="86" t="s">
        <v>194</v>
      </c>
      <c r="G62" s="86" t="s">
        <v>84</v>
      </c>
      <c r="H62" s="86" t="s">
        <v>20</v>
      </c>
      <c r="I62" s="88"/>
      <c r="J62" s="87">
        <v>31467203</v>
      </c>
      <c r="K62" s="86" t="s">
        <v>160</v>
      </c>
      <c r="L62" s="86" t="str">
        <f>_xlfn.XLOOKUP(Tabla2__2[[#This Row],[CODIGO RUTA]],'DATA INFORME'!I:I,'DATA INFORME'!K:K)</f>
        <v>SI</v>
      </c>
      <c r="M62" s="86" t="str">
        <f>IF(Tabla2__2[[#This Row],[MYSTERY EFECTIVO]]="SI",_xlfn.XLOOKUP(Tabla2__2[[#This Row],[PREGUNTA]],ENCUESTA!G:G,ENCUESTA!D:D),"N/A")</f>
        <v>UNIFORME</v>
      </c>
      <c r="N6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2" s="86" t="str">
        <f>_xlfn.XLOOKUP(Tabla2__2[[#This Row],[PREGUNTA]],ENCUESTA!G:G,ENCUESTA!H:H)</f>
        <v>SI</v>
      </c>
      <c r="P62" s="86">
        <f>IF(Tabla2__2[[#This Row],[RTA]]=Tabla2__2[[#This Row],[RTA CORRECTA]],Tabla2__2[[#This Row],[TOTAL PUNTAJE]],0)</f>
        <v>1.5</v>
      </c>
      <c r="Q62" s="86">
        <f>IF(OR(H62="Dog Chow húmedo",H62="Cat Chow húmedo",H62="Fancy Feast",H62="Felix",H62="Proplan húmedo",H62="One húmedo",H62="Snack Abrazzos",H62="Snak Dentalife",H62="Arenilla Tidy Cat"),N62,0)</f>
        <v>0</v>
      </c>
      <c r="R62" s="86"/>
    </row>
    <row r="63" spans="1:18" hidden="1" x14ac:dyDescent="0.35">
      <c r="A63" s="86" t="s">
        <v>91</v>
      </c>
      <c r="B63" s="86" t="s">
        <v>152</v>
      </c>
      <c r="C63" s="85" t="s">
        <v>14</v>
      </c>
      <c r="D63" s="86" t="s">
        <v>14</v>
      </c>
      <c r="E63" s="87">
        <v>421657</v>
      </c>
      <c r="F63" s="86" t="s">
        <v>194</v>
      </c>
      <c r="G63" s="86" t="s">
        <v>99</v>
      </c>
      <c r="H63" s="86" t="s">
        <v>20</v>
      </c>
      <c r="I63" s="88"/>
      <c r="J63" s="87">
        <v>31467203</v>
      </c>
      <c r="K63" s="86" t="s">
        <v>160</v>
      </c>
      <c r="L63" s="86" t="str">
        <f>_xlfn.XLOOKUP(Tabla2__2[[#This Row],[CODIGO RUTA]],'DATA INFORME'!I:I,'DATA INFORME'!K:K)</f>
        <v>SI</v>
      </c>
      <c r="M63" s="86" t="str">
        <f>IF(Tabla2__2[[#This Row],[MYSTERY EFECTIVO]]="SI",_xlfn.XLOOKUP(Tabla2__2[[#This Row],[PREGUNTA]],ENCUESTA!G:G,ENCUESTA!D:D),"N/A")</f>
        <v>N/A</v>
      </c>
      <c r="N6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3" s="86">
        <f>_xlfn.XLOOKUP(Tabla2__2[[#This Row],[PREGUNTA]],ENCUESTA!G:G,ENCUESTA!H:H)</f>
        <v>0</v>
      </c>
      <c r="P63" s="86">
        <f>IF(Tabla2__2[[#This Row],[RTA]]=Tabla2__2[[#This Row],[RTA CORRECTA]],Tabla2__2[[#This Row],[TOTAL PUNTAJE]],0)</f>
        <v>0</v>
      </c>
      <c r="Q63" s="86">
        <f>IF(OR(H63="Dog Chow húmedo",H63="Cat Chow húmedo",H63="Fancy Feast",H63="Felix",H63="Proplan húmedo",H63="One húmedo",H63="Snack Abrazzos",H63="Snak Dentalife",H63="Arenilla Tidy Cat"),N63,0)</f>
        <v>0</v>
      </c>
      <c r="R63" s="86"/>
    </row>
    <row r="64" spans="1:18" hidden="1" x14ac:dyDescent="0.35">
      <c r="A64" s="86" t="s">
        <v>91</v>
      </c>
      <c r="B64" s="86" t="s">
        <v>178</v>
      </c>
      <c r="C64" s="85" t="s">
        <v>14</v>
      </c>
      <c r="D64" s="86" t="s">
        <v>14</v>
      </c>
      <c r="E64" s="87">
        <v>426071</v>
      </c>
      <c r="F64" s="86" t="s">
        <v>186</v>
      </c>
      <c r="G64" s="86" t="s">
        <v>110</v>
      </c>
      <c r="H64" s="86" t="s">
        <v>20</v>
      </c>
      <c r="I64" s="88"/>
      <c r="J64" s="87">
        <v>31465920</v>
      </c>
      <c r="K64" s="86" t="s">
        <v>160</v>
      </c>
      <c r="L64" s="86" t="str">
        <f>_xlfn.XLOOKUP(Tabla2__2[[#This Row],[CODIGO RUTA]],'DATA INFORME'!I:I,'DATA INFORME'!K:K)</f>
        <v>SI</v>
      </c>
      <c r="M64" s="86" t="str">
        <f>IF(Tabla2__2[[#This Row],[MYSTERY EFECTIVO]]="SI",_xlfn.XLOOKUP(Tabla2__2[[#This Row],[PREGUNTA]],ENCUESTA!G:G,ENCUESTA!D:D),"N/A")</f>
        <v>PORTAFOLIO Y MANEJO DE OBJECIONES</v>
      </c>
      <c r="N6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64" s="86" t="str">
        <f>_xlfn.XLOOKUP(Tabla2__2[[#This Row],[PREGUNTA]],ENCUESTA!G:G,ENCUESTA!H:H)</f>
        <v>SI</v>
      </c>
      <c r="P64" s="86">
        <f>IF(Tabla2__2[[#This Row],[RTA]]=Tabla2__2[[#This Row],[RTA CORRECTA]],Tabla2__2[[#This Row],[TOTAL PUNTAJE]],0)</f>
        <v>2.3076923076923075</v>
      </c>
      <c r="Q64" s="86">
        <f>IF(OR(H64="Dog Chow húmedo",H64="Cat Chow húmedo",H64="Fancy Feast",H64="Felix",H64="Proplan húmedo",H64="One húmedo",H64="Snack Abrazzos",H64="Snak Dentalife",H64="Arenilla Tidy Cat"),N64,0)</f>
        <v>0</v>
      </c>
      <c r="R64" s="86"/>
    </row>
    <row r="65" spans="1:18" hidden="1" x14ac:dyDescent="0.35">
      <c r="A65" s="86" t="s">
        <v>91</v>
      </c>
      <c r="B65" s="86" t="s">
        <v>178</v>
      </c>
      <c r="C65" s="85" t="s">
        <v>14</v>
      </c>
      <c r="D65" s="86" t="s">
        <v>14</v>
      </c>
      <c r="E65" s="87">
        <v>426071</v>
      </c>
      <c r="F65" s="86" t="s">
        <v>186</v>
      </c>
      <c r="G65" s="86" t="s">
        <v>118</v>
      </c>
      <c r="H65" s="86" t="s">
        <v>20</v>
      </c>
      <c r="I65" s="88"/>
      <c r="J65" s="87">
        <v>31465920</v>
      </c>
      <c r="K65" s="86" t="s">
        <v>160</v>
      </c>
      <c r="L65" s="86" t="str">
        <f>_xlfn.XLOOKUP(Tabla2__2[[#This Row],[CODIGO RUTA]],'DATA INFORME'!I:I,'DATA INFORME'!K:K)</f>
        <v>SI</v>
      </c>
      <c r="M65" s="86" t="str">
        <f>IF(Tabla2__2[[#This Row],[MYSTERY EFECTIVO]]="SI",_xlfn.XLOOKUP(Tabla2__2[[#This Row],[PREGUNTA]],ENCUESTA!G:G,ENCUESTA!D:D),"N/A")</f>
        <v>PORTAFOLIO Y MANEJO DE OBJECIONES</v>
      </c>
      <c r="N6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5" s="86" t="str">
        <f>_xlfn.XLOOKUP(Tabla2__2[[#This Row],[PREGUNTA]],ENCUESTA!G:G,ENCUESTA!H:H)</f>
        <v>SI</v>
      </c>
      <c r="P65" s="86">
        <f>IF(Tabla2__2[[#This Row],[RTA]]=Tabla2__2[[#This Row],[RTA CORRECTA]],Tabla2__2[[#This Row],[TOTAL PUNTAJE]],0)</f>
        <v>0</v>
      </c>
      <c r="Q65" s="86">
        <f>IF(OR(H65="Dog Chow húmedo",H65="Cat Chow húmedo",H65="Fancy Feast",H65="Felix",H65="Proplan húmedo",H65="One húmedo",H65="Snack Abrazzos",H65="Snak Dentalife",H65="Arenilla Tidy Cat"),N65,0)</f>
        <v>0</v>
      </c>
      <c r="R65" s="86"/>
    </row>
    <row r="66" spans="1:18" hidden="1" x14ac:dyDescent="0.35">
      <c r="A66" s="86" t="s">
        <v>91</v>
      </c>
      <c r="B66" s="86" t="s">
        <v>178</v>
      </c>
      <c r="C66" s="85" t="s">
        <v>14</v>
      </c>
      <c r="D66" s="86" t="s">
        <v>14</v>
      </c>
      <c r="E66" s="87">
        <v>426071</v>
      </c>
      <c r="F66" s="86" t="s">
        <v>186</v>
      </c>
      <c r="G66" s="86" t="s">
        <v>119</v>
      </c>
      <c r="H66" s="86" t="s">
        <v>20</v>
      </c>
      <c r="I66" s="88"/>
      <c r="J66" s="87">
        <v>31465920</v>
      </c>
      <c r="K66" s="86" t="s">
        <v>160</v>
      </c>
      <c r="L66" s="86" t="str">
        <f>_xlfn.XLOOKUP(Tabla2__2[[#This Row],[CODIGO RUTA]],'DATA INFORME'!I:I,'DATA INFORME'!K:K)</f>
        <v>SI</v>
      </c>
      <c r="M66" s="86" t="str">
        <f>IF(Tabla2__2[[#This Row],[MYSTERY EFECTIVO]]="SI",_xlfn.XLOOKUP(Tabla2__2[[#This Row],[PREGUNTA]],ENCUESTA!G:G,ENCUESTA!D:D),"N/A")</f>
        <v>PORTAFOLIO Y MANEJO DE OBJECIONES</v>
      </c>
      <c r="N6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66" s="86" t="str">
        <f>_xlfn.XLOOKUP(Tabla2__2[[#This Row],[PREGUNTA]],ENCUESTA!G:G,ENCUESTA!H:H)</f>
        <v>SI</v>
      </c>
      <c r="P66" s="86">
        <f>IF(Tabla2__2[[#This Row],[RTA]]=Tabla2__2[[#This Row],[RTA CORRECTA]],Tabla2__2[[#This Row],[TOTAL PUNTAJE]],0)</f>
        <v>2.3076923076923075</v>
      </c>
      <c r="Q66" s="86">
        <f>IF(OR(H66="Dog Chow húmedo",H66="Cat Chow húmedo",H66="Fancy Feast",H66="Felix",H66="Proplan húmedo",H66="One húmedo",H66="Snack Abrazzos",H66="Snak Dentalife",H66="Arenilla Tidy Cat"),N66,0)</f>
        <v>0</v>
      </c>
      <c r="R66" s="86"/>
    </row>
    <row r="67" spans="1:18" hidden="1" x14ac:dyDescent="0.35">
      <c r="A67" s="86" t="s">
        <v>91</v>
      </c>
      <c r="B67" s="86" t="s">
        <v>178</v>
      </c>
      <c r="C67" s="85" t="s">
        <v>14</v>
      </c>
      <c r="D67" s="86" t="s">
        <v>14</v>
      </c>
      <c r="E67" s="87">
        <v>426071</v>
      </c>
      <c r="F67" s="86" t="s">
        <v>186</v>
      </c>
      <c r="G67" s="86" t="s">
        <v>120</v>
      </c>
      <c r="H67" s="86" t="s">
        <v>20</v>
      </c>
      <c r="I67" s="88"/>
      <c r="J67" s="87">
        <v>31465920</v>
      </c>
      <c r="K67" s="86" t="s">
        <v>160</v>
      </c>
      <c r="L67" s="86" t="str">
        <f>_xlfn.XLOOKUP(Tabla2__2[[#This Row],[CODIGO RUTA]],'DATA INFORME'!I:I,'DATA INFORME'!K:K)</f>
        <v>SI</v>
      </c>
      <c r="M67" s="86" t="str">
        <f>IF(Tabla2__2[[#This Row],[MYSTERY EFECTIVO]]="SI",_xlfn.XLOOKUP(Tabla2__2[[#This Row],[PREGUNTA]],ENCUESTA!G:G,ENCUESTA!D:D),"N/A")</f>
        <v>PORTAFOLIO Y MANEJO DE OBJECIONES</v>
      </c>
      <c r="N6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67" s="86" t="str">
        <f>_xlfn.XLOOKUP(Tabla2__2[[#This Row],[PREGUNTA]],ENCUESTA!G:G,ENCUESTA!H:H)</f>
        <v>SI</v>
      </c>
      <c r="P67" s="86">
        <f>IF(Tabla2__2[[#This Row],[RTA]]=Tabla2__2[[#This Row],[RTA CORRECTA]],Tabla2__2[[#This Row],[TOTAL PUNTAJE]],0)</f>
        <v>2.3076923076923075</v>
      </c>
      <c r="Q67" s="86">
        <f>IF(OR(H67="Dog Chow húmedo",H67="Cat Chow húmedo",H67="Fancy Feast",H67="Felix",H67="Proplan húmedo",H67="One húmedo",H67="Snack Abrazzos",H67="Snak Dentalife",H67="Arenilla Tidy Cat"),N67,0)</f>
        <v>0</v>
      </c>
      <c r="R67" s="86"/>
    </row>
    <row r="68" spans="1:18" hidden="1" x14ac:dyDescent="0.35">
      <c r="A68" s="86" t="s">
        <v>91</v>
      </c>
      <c r="B68" s="86" t="s">
        <v>178</v>
      </c>
      <c r="C68" s="85" t="s">
        <v>14</v>
      </c>
      <c r="D68" s="86" t="s">
        <v>14</v>
      </c>
      <c r="E68" s="87">
        <v>426071</v>
      </c>
      <c r="F68" s="86" t="s">
        <v>186</v>
      </c>
      <c r="G68" s="86" t="s">
        <v>121</v>
      </c>
      <c r="H68" s="86" t="s">
        <v>20</v>
      </c>
      <c r="I68" s="88"/>
      <c r="J68" s="87">
        <v>31465920</v>
      </c>
      <c r="K68" s="86" t="s">
        <v>160</v>
      </c>
      <c r="L68" s="86" t="str">
        <f>_xlfn.XLOOKUP(Tabla2__2[[#This Row],[CODIGO RUTA]],'DATA INFORME'!I:I,'DATA INFORME'!K:K)</f>
        <v>SI</v>
      </c>
      <c r="M68" s="86" t="str">
        <f>IF(Tabla2__2[[#This Row],[MYSTERY EFECTIVO]]="SI",_xlfn.XLOOKUP(Tabla2__2[[#This Row],[PREGUNTA]],ENCUESTA!G:G,ENCUESTA!D:D),"N/A")</f>
        <v>PORTAFOLIO Y MANEJO DE OBJECIONES</v>
      </c>
      <c r="N6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68" s="86" t="str">
        <f>_xlfn.XLOOKUP(Tabla2__2[[#This Row],[PREGUNTA]],ENCUESTA!G:G,ENCUESTA!H:H)</f>
        <v>SI</v>
      </c>
      <c r="P68" s="86">
        <f>IF(Tabla2__2[[#This Row],[RTA]]=Tabla2__2[[#This Row],[RTA CORRECTA]],Tabla2__2[[#This Row],[TOTAL PUNTAJE]],0)</f>
        <v>2.3076923076923075</v>
      </c>
      <c r="Q68" s="86">
        <f>IF(OR(H68="Dog Chow húmedo",H68="Cat Chow húmedo",H68="Fancy Feast",H68="Felix",H68="Proplan húmedo",H68="One húmedo",H68="Snack Abrazzos",H68="Snak Dentalife",H68="Arenilla Tidy Cat"),N68,0)</f>
        <v>0</v>
      </c>
      <c r="R68" s="86"/>
    </row>
    <row r="69" spans="1:18" hidden="1" x14ac:dyDescent="0.35">
      <c r="A69" s="86" t="s">
        <v>91</v>
      </c>
      <c r="B69" s="86" t="s">
        <v>178</v>
      </c>
      <c r="C69" s="85" t="s">
        <v>14</v>
      </c>
      <c r="D69" s="86" t="s">
        <v>14</v>
      </c>
      <c r="E69" s="87">
        <v>426071</v>
      </c>
      <c r="F69" s="86" t="s">
        <v>186</v>
      </c>
      <c r="G69" s="86" t="s">
        <v>128</v>
      </c>
      <c r="H69" s="86" t="s">
        <v>20</v>
      </c>
      <c r="I69" s="88"/>
      <c r="J69" s="87">
        <v>31465920</v>
      </c>
      <c r="K69" s="86" t="s">
        <v>160</v>
      </c>
      <c r="L69" s="86" t="str">
        <f>_xlfn.XLOOKUP(Tabla2__2[[#This Row],[CODIGO RUTA]],'DATA INFORME'!I:I,'DATA INFORME'!K:K)</f>
        <v>SI</v>
      </c>
      <c r="M69" s="86" t="str">
        <f>IF(Tabla2__2[[#This Row],[MYSTERY EFECTIVO]]="SI",_xlfn.XLOOKUP(Tabla2__2[[#This Row],[PREGUNTA]],ENCUESTA!G:G,ENCUESTA!D:D),"N/A")</f>
        <v>PORTAFOLIO Y MANEJO DE OBJECIONES</v>
      </c>
      <c r="N6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69" s="86" t="str">
        <f>_xlfn.XLOOKUP(Tabla2__2[[#This Row],[PREGUNTA]],ENCUESTA!G:G,ENCUESTA!H:H)</f>
        <v>SI</v>
      </c>
      <c r="P69" s="86">
        <f>IF(Tabla2__2[[#This Row],[RTA]]=Tabla2__2[[#This Row],[RTA CORRECTA]],Tabla2__2[[#This Row],[TOTAL PUNTAJE]],0)</f>
        <v>2.3076923076923075</v>
      </c>
      <c r="Q69" s="86">
        <f>IF(OR(H69="Dog Chow húmedo",H69="Cat Chow húmedo",H69="Fancy Feast",H69="Felix",H69="Proplan húmedo",H69="One húmedo",H69="Snack Abrazzos",H69="Snak Dentalife",H69="Arenilla Tidy Cat"),N69,0)</f>
        <v>0</v>
      </c>
      <c r="R69" s="86"/>
    </row>
    <row r="70" spans="1:18" hidden="1" x14ac:dyDescent="0.35">
      <c r="A70" s="86" t="s">
        <v>91</v>
      </c>
      <c r="B70" s="86" t="s">
        <v>178</v>
      </c>
      <c r="C70" s="85" t="s">
        <v>14</v>
      </c>
      <c r="D70" s="86" t="s">
        <v>14</v>
      </c>
      <c r="E70" s="87">
        <v>426071</v>
      </c>
      <c r="F70" s="86" t="s">
        <v>186</v>
      </c>
      <c r="G70" s="86" t="s">
        <v>122</v>
      </c>
      <c r="H70" s="86" t="s">
        <v>20</v>
      </c>
      <c r="I70" s="88"/>
      <c r="J70" s="87">
        <v>31465920</v>
      </c>
      <c r="K70" s="86" t="s">
        <v>160</v>
      </c>
      <c r="L70" s="86" t="str">
        <f>_xlfn.XLOOKUP(Tabla2__2[[#This Row],[CODIGO RUTA]],'DATA INFORME'!I:I,'DATA INFORME'!K:K)</f>
        <v>SI</v>
      </c>
      <c r="M70" s="86" t="str">
        <f>IF(Tabla2__2[[#This Row],[MYSTERY EFECTIVO]]="SI",_xlfn.XLOOKUP(Tabla2__2[[#This Row],[PREGUNTA]],ENCUESTA!G:G,ENCUESTA!D:D),"N/A")</f>
        <v>PORTAFOLIO Y MANEJO DE OBJECIONES</v>
      </c>
      <c r="N7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70" s="86" t="str">
        <f>_xlfn.XLOOKUP(Tabla2__2[[#This Row],[PREGUNTA]],ENCUESTA!G:G,ENCUESTA!H:H)</f>
        <v>SI</v>
      </c>
      <c r="P70" s="86">
        <f>IF(Tabla2__2[[#This Row],[RTA]]=Tabla2__2[[#This Row],[RTA CORRECTA]],Tabla2__2[[#This Row],[TOTAL PUNTAJE]],0)</f>
        <v>2.3076923076923075</v>
      </c>
      <c r="Q70" s="86">
        <f>IF(OR(H70="Dog Chow húmedo",H70="Cat Chow húmedo",H70="Fancy Feast",H70="Felix",H70="Proplan húmedo",H70="One húmedo",H70="Snack Abrazzos",H70="Snak Dentalife",H70="Arenilla Tidy Cat"),N70,0)</f>
        <v>0</v>
      </c>
      <c r="R70" s="86"/>
    </row>
    <row r="71" spans="1:18" hidden="1" x14ac:dyDescent="0.35">
      <c r="A71" s="86" t="s">
        <v>91</v>
      </c>
      <c r="B71" s="86" t="s">
        <v>178</v>
      </c>
      <c r="C71" s="85" t="s">
        <v>14</v>
      </c>
      <c r="D71" s="86" t="s">
        <v>14</v>
      </c>
      <c r="E71" s="87">
        <v>426071</v>
      </c>
      <c r="F71" s="86" t="s">
        <v>186</v>
      </c>
      <c r="G71" s="86" t="s">
        <v>102</v>
      </c>
      <c r="H71" s="86" t="s">
        <v>191</v>
      </c>
      <c r="I71" s="88"/>
      <c r="J71" s="87">
        <v>31465920</v>
      </c>
      <c r="K71" s="86" t="s">
        <v>160</v>
      </c>
      <c r="L71" s="86" t="str">
        <f>_xlfn.XLOOKUP(Tabla2__2[[#This Row],[CODIGO RUTA]],'DATA INFORME'!I:I,'DATA INFORME'!K:K)</f>
        <v>SI</v>
      </c>
      <c r="M71" s="86" t="str">
        <f>IF(Tabla2__2[[#This Row],[MYSTERY EFECTIVO]]="SI",_xlfn.XLOOKUP(Tabla2__2[[#This Row],[PREGUNTA]],ENCUESTA!G:G,ENCUESTA!D:D),"N/A")</f>
        <v>N/A</v>
      </c>
      <c r="N7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1" s="86">
        <f>_xlfn.XLOOKUP(Tabla2__2[[#This Row],[PREGUNTA]],ENCUESTA!G:G,ENCUESTA!H:H)</f>
        <v>0</v>
      </c>
      <c r="P71" s="86">
        <f>IF(Tabla2__2[[#This Row],[RTA]]=Tabla2__2[[#This Row],[RTA CORRECTA]],Tabla2__2[[#This Row],[TOTAL PUNTAJE]],0)</f>
        <v>0</v>
      </c>
      <c r="Q71" s="86">
        <f>IF(OR(H71="Dog Chow húmedo",H71="Cat Chow húmedo",H71="Fancy Feast",H71="Felix",H71="Proplan húmedo",H71="One húmedo",H71="Snack Abrazzos",H71="Snak Dentalife",H71="Arenilla Tidy Cat"),N71,0)</f>
        <v>0</v>
      </c>
      <c r="R71" s="86"/>
    </row>
    <row r="72" spans="1:18" hidden="1" x14ac:dyDescent="0.35">
      <c r="A72" s="86" t="s">
        <v>91</v>
      </c>
      <c r="B72" s="86" t="s">
        <v>178</v>
      </c>
      <c r="C72" s="85" t="s">
        <v>14</v>
      </c>
      <c r="D72" s="86" t="s">
        <v>14</v>
      </c>
      <c r="E72" s="87">
        <v>426071</v>
      </c>
      <c r="F72" s="86" t="s">
        <v>186</v>
      </c>
      <c r="G72" s="86" t="s">
        <v>123</v>
      </c>
      <c r="H72" s="86" t="s">
        <v>20</v>
      </c>
      <c r="I72" s="88"/>
      <c r="J72" s="87">
        <v>31465920</v>
      </c>
      <c r="K72" s="86" t="s">
        <v>160</v>
      </c>
      <c r="L72" s="86" t="str">
        <f>_xlfn.XLOOKUP(Tabla2__2[[#This Row],[CODIGO RUTA]],'DATA INFORME'!I:I,'DATA INFORME'!K:K)</f>
        <v>SI</v>
      </c>
      <c r="M72" s="86" t="str">
        <f>IF(Tabla2__2[[#This Row],[MYSTERY EFECTIVO]]="SI",_xlfn.XLOOKUP(Tabla2__2[[#This Row],[PREGUNTA]],ENCUESTA!G:G,ENCUESTA!D:D),"N/A")</f>
        <v>PORTAFOLIO Y MANEJO DE OBJECIONES</v>
      </c>
      <c r="N7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72" s="86" t="str">
        <f>_xlfn.XLOOKUP(Tabla2__2[[#This Row],[PREGUNTA]],ENCUESTA!G:G,ENCUESTA!H:H)</f>
        <v>SI</v>
      </c>
      <c r="P72" s="86">
        <f>IF(Tabla2__2[[#This Row],[RTA]]=Tabla2__2[[#This Row],[RTA CORRECTA]],Tabla2__2[[#This Row],[TOTAL PUNTAJE]],0)</f>
        <v>2.3076923076923075</v>
      </c>
      <c r="Q72" s="86">
        <f>IF(OR(H72="Dog Chow húmedo",H72="Cat Chow húmedo",H72="Fancy Feast",H72="Felix",H72="Proplan húmedo",H72="One húmedo",H72="Snack Abrazzos",H72="Snak Dentalife",H72="Arenilla Tidy Cat"),N72,0)</f>
        <v>0</v>
      </c>
      <c r="R72" s="86"/>
    </row>
    <row r="73" spans="1:18" hidden="1" x14ac:dyDescent="0.35">
      <c r="A73" s="86" t="s">
        <v>91</v>
      </c>
      <c r="B73" s="86" t="s">
        <v>178</v>
      </c>
      <c r="C73" s="85" t="s">
        <v>14</v>
      </c>
      <c r="D73" s="86" t="s">
        <v>14</v>
      </c>
      <c r="E73" s="87">
        <v>426071</v>
      </c>
      <c r="F73" s="86" t="s">
        <v>186</v>
      </c>
      <c r="G73" s="86" t="s">
        <v>124</v>
      </c>
      <c r="H73" s="86" t="s">
        <v>20</v>
      </c>
      <c r="I73" s="88"/>
      <c r="J73" s="87">
        <v>31465920</v>
      </c>
      <c r="K73" s="86" t="s">
        <v>160</v>
      </c>
      <c r="L73" s="86" t="str">
        <f>_xlfn.XLOOKUP(Tabla2__2[[#This Row],[CODIGO RUTA]],'DATA INFORME'!I:I,'DATA INFORME'!K:K)</f>
        <v>SI</v>
      </c>
      <c r="M73" s="86" t="str">
        <f>IF(Tabla2__2[[#This Row],[MYSTERY EFECTIVO]]="SI",_xlfn.XLOOKUP(Tabla2__2[[#This Row],[PREGUNTA]],ENCUESTA!G:G,ENCUESTA!D:D),"N/A")</f>
        <v>PORTAFOLIO Y MANEJO DE OBJECIONES</v>
      </c>
      <c r="N7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73" s="86" t="str">
        <f>_xlfn.XLOOKUP(Tabla2__2[[#This Row],[PREGUNTA]],ENCUESTA!G:G,ENCUESTA!H:H)</f>
        <v>SI</v>
      </c>
      <c r="P73" s="86">
        <f>IF(Tabla2__2[[#This Row],[RTA]]=Tabla2__2[[#This Row],[RTA CORRECTA]],Tabla2__2[[#This Row],[TOTAL PUNTAJE]],0)</f>
        <v>2.3076923076923075</v>
      </c>
      <c r="Q73" s="86">
        <f>IF(OR(H73="Dog Chow húmedo",H73="Cat Chow húmedo",H73="Fancy Feast",H73="Felix",H73="Proplan húmedo",H73="One húmedo",H73="Snack Abrazzos",H73="Snak Dentalife",H73="Arenilla Tidy Cat"),N73,0)</f>
        <v>0</v>
      </c>
      <c r="R73" s="86"/>
    </row>
    <row r="74" spans="1:18" hidden="1" x14ac:dyDescent="0.35">
      <c r="A74" s="86" t="s">
        <v>91</v>
      </c>
      <c r="B74" s="86" t="s">
        <v>178</v>
      </c>
      <c r="C74" s="85" t="s">
        <v>14</v>
      </c>
      <c r="D74" s="86" t="s">
        <v>14</v>
      </c>
      <c r="E74" s="87">
        <v>426071</v>
      </c>
      <c r="F74" s="86" t="s">
        <v>186</v>
      </c>
      <c r="G74" s="86" t="s">
        <v>125</v>
      </c>
      <c r="H74" s="86" t="s">
        <v>20</v>
      </c>
      <c r="I74" s="88"/>
      <c r="J74" s="87">
        <v>31465920</v>
      </c>
      <c r="K74" s="86" t="s">
        <v>160</v>
      </c>
      <c r="L74" s="86" t="str">
        <f>_xlfn.XLOOKUP(Tabla2__2[[#This Row],[CODIGO RUTA]],'DATA INFORME'!I:I,'DATA INFORME'!K:K)</f>
        <v>SI</v>
      </c>
      <c r="M74" s="86" t="str">
        <f>IF(Tabla2__2[[#This Row],[MYSTERY EFECTIVO]]="SI",_xlfn.XLOOKUP(Tabla2__2[[#This Row],[PREGUNTA]],ENCUESTA!G:G,ENCUESTA!D:D),"N/A")</f>
        <v>PORTAFOLIO Y MANEJO DE OBJECIONES</v>
      </c>
      <c r="N7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74" s="86" t="str">
        <f>_xlfn.XLOOKUP(Tabla2__2[[#This Row],[PREGUNTA]],ENCUESTA!G:G,ENCUESTA!H:H)</f>
        <v>SI</v>
      </c>
      <c r="P74" s="86">
        <f>IF(Tabla2__2[[#This Row],[RTA]]=Tabla2__2[[#This Row],[RTA CORRECTA]],Tabla2__2[[#This Row],[TOTAL PUNTAJE]],0)</f>
        <v>2.3076923076923075</v>
      </c>
      <c r="Q74" s="86">
        <f>IF(OR(H74="Dog Chow húmedo",H74="Cat Chow húmedo",H74="Fancy Feast",H74="Felix",H74="Proplan húmedo",H74="One húmedo",H74="Snack Abrazzos",H74="Snak Dentalife",H74="Arenilla Tidy Cat"),N74,0)</f>
        <v>0</v>
      </c>
      <c r="R74" s="86"/>
    </row>
    <row r="75" spans="1:18" hidden="1" x14ac:dyDescent="0.35">
      <c r="A75" s="86" t="s">
        <v>91</v>
      </c>
      <c r="B75" s="86" t="s">
        <v>178</v>
      </c>
      <c r="C75" s="85" t="s">
        <v>14</v>
      </c>
      <c r="D75" s="86" t="s">
        <v>14</v>
      </c>
      <c r="E75" s="87">
        <v>426071</v>
      </c>
      <c r="F75" s="86" t="s">
        <v>186</v>
      </c>
      <c r="G75" s="86" t="s">
        <v>126</v>
      </c>
      <c r="H75" s="86" t="s">
        <v>20</v>
      </c>
      <c r="I75" s="88"/>
      <c r="J75" s="87">
        <v>31465920</v>
      </c>
      <c r="K75" s="86" t="s">
        <v>160</v>
      </c>
      <c r="L75" s="86" t="str">
        <f>_xlfn.XLOOKUP(Tabla2__2[[#This Row],[CODIGO RUTA]],'DATA INFORME'!I:I,'DATA INFORME'!K:K)</f>
        <v>SI</v>
      </c>
      <c r="M75" s="86" t="str">
        <f>IF(Tabla2__2[[#This Row],[MYSTERY EFECTIVO]]="SI",_xlfn.XLOOKUP(Tabla2__2[[#This Row],[PREGUNTA]],ENCUESTA!G:G,ENCUESTA!D:D),"N/A")</f>
        <v>PORTAFOLIO Y MANEJO DE OBJECIONES</v>
      </c>
      <c r="N7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75" s="86" t="str">
        <f>_xlfn.XLOOKUP(Tabla2__2[[#This Row],[PREGUNTA]],ENCUESTA!G:G,ENCUESTA!H:H)</f>
        <v>SI</v>
      </c>
      <c r="P75" s="86">
        <f>IF(Tabla2__2[[#This Row],[RTA]]=Tabla2__2[[#This Row],[RTA CORRECTA]],Tabla2__2[[#This Row],[TOTAL PUNTAJE]],0)</f>
        <v>2.3076923076923075</v>
      </c>
      <c r="Q75" s="86">
        <f>IF(OR(H75="Dog Chow húmedo",H75="Cat Chow húmedo",H75="Fancy Feast",H75="Felix",H75="Proplan húmedo",H75="One húmedo",H75="Snack Abrazzos",H75="Snak Dentalife",H75="Arenilla Tidy Cat"),N75,0)</f>
        <v>0</v>
      </c>
      <c r="R75" s="86"/>
    </row>
    <row r="76" spans="1:18" hidden="1" x14ac:dyDescent="0.35">
      <c r="A76" s="86" t="s">
        <v>91</v>
      </c>
      <c r="B76" s="86" t="s">
        <v>178</v>
      </c>
      <c r="C76" s="85" t="s">
        <v>14</v>
      </c>
      <c r="D76" s="86" t="s">
        <v>14</v>
      </c>
      <c r="E76" s="87">
        <v>426071</v>
      </c>
      <c r="F76" s="86" t="s">
        <v>186</v>
      </c>
      <c r="G76" s="86" t="s">
        <v>127</v>
      </c>
      <c r="H76" s="86" t="s">
        <v>20</v>
      </c>
      <c r="I76" s="88"/>
      <c r="J76" s="87">
        <v>31465920</v>
      </c>
      <c r="K76" s="86" t="s">
        <v>160</v>
      </c>
      <c r="L76" s="86" t="str">
        <f>_xlfn.XLOOKUP(Tabla2__2[[#This Row],[CODIGO RUTA]],'DATA INFORME'!I:I,'DATA INFORME'!K:K)</f>
        <v>SI</v>
      </c>
      <c r="M76" s="86" t="str">
        <f>IF(Tabla2__2[[#This Row],[MYSTERY EFECTIVO]]="SI",_xlfn.XLOOKUP(Tabla2__2[[#This Row],[PREGUNTA]],ENCUESTA!G:G,ENCUESTA!D:D),"N/A")</f>
        <v>PORTAFOLIO Y MANEJO DE OBJECIONES</v>
      </c>
      <c r="N7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76" s="86" t="str">
        <f>_xlfn.XLOOKUP(Tabla2__2[[#This Row],[PREGUNTA]],ENCUESTA!G:G,ENCUESTA!H:H)</f>
        <v>SI</v>
      </c>
      <c r="P76" s="86">
        <f>IF(Tabla2__2[[#This Row],[RTA]]=Tabla2__2[[#This Row],[RTA CORRECTA]],Tabla2__2[[#This Row],[TOTAL PUNTAJE]],0)</f>
        <v>2.3076923076923075</v>
      </c>
      <c r="Q76" s="86">
        <f>IF(OR(H76="Dog Chow húmedo",H76="Cat Chow húmedo",H76="Fancy Feast",H76="Felix",H76="Proplan húmedo",H76="One húmedo",H76="Snack Abrazzos",H76="Snak Dentalife",H76="Arenilla Tidy Cat"),N76,0)</f>
        <v>0</v>
      </c>
      <c r="R76" s="86"/>
    </row>
    <row r="77" spans="1:18" hidden="1" x14ac:dyDescent="0.35">
      <c r="A77" s="86" t="s">
        <v>91</v>
      </c>
      <c r="B77" s="86" t="s">
        <v>178</v>
      </c>
      <c r="C77" s="85" t="s">
        <v>14</v>
      </c>
      <c r="D77" s="86" t="s">
        <v>14</v>
      </c>
      <c r="E77" s="87">
        <v>426071</v>
      </c>
      <c r="F77" s="86" t="s">
        <v>186</v>
      </c>
      <c r="G77" s="86" t="s">
        <v>139</v>
      </c>
      <c r="H77" s="86" t="s">
        <v>209</v>
      </c>
      <c r="I77" s="88"/>
      <c r="J77" s="87">
        <v>31465920</v>
      </c>
      <c r="K77" s="86" t="s">
        <v>160</v>
      </c>
      <c r="L77" s="86" t="str">
        <f>_xlfn.XLOOKUP(Tabla2__2[[#This Row],[CODIGO RUTA]],'DATA INFORME'!I:I,'DATA INFORME'!K:K)</f>
        <v>SI</v>
      </c>
      <c r="M77" s="86" t="str">
        <f>IF(Tabla2__2[[#This Row],[MYSTERY EFECTIVO]]="SI",_xlfn.XLOOKUP(Tabla2__2[[#This Row],[PREGUNTA]],ENCUESTA!G:G,ENCUESTA!D:D),"N/A")</f>
        <v>PORTAFOLIO Y MANEJO DE OBJECIONES</v>
      </c>
      <c r="N7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77" s="86" t="str">
        <f>_xlfn.XLOOKUP(Tabla2__2[[#This Row],[PREGUNTA]],ENCUESTA!G:G,ENCUESTA!H:H)</f>
        <v>SI</v>
      </c>
      <c r="P77" s="86">
        <f>IF(Tabla2__2[[#This Row],[RTA]]=Tabla2__2[[#This Row],[RTA CORRECTA]],Tabla2__2[[#This Row],[TOTAL PUNTAJE]],0)</f>
        <v>0</v>
      </c>
      <c r="Q77" s="86">
        <f>IF(OR(H77="Dog Chow húmedo",H77="Cat Chow húmedo",H77="Fancy Feast",H77="Felix",H77="Proplan húmedo",H77="One húmedo",H77="Snack Abrazzos",H77="Snak Dentalife",H77="Arenilla Tidy Cat"),N77,0)</f>
        <v>0</v>
      </c>
      <c r="R77" s="86"/>
    </row>
    <row r="78" spans="1:18" hidden="1" x14ac:dyDescent="0.35">
      <c r="A78" s="86" t="s">
        <v>91</v>
      </c>
      <c r="B78" s="86" t="s">
        <v>178</v>
      </c>
      <c r="C78" s="85" t="s">
        <v>14</v>
      </c>
      <c r="D78" s="86" t="s">
        <v>14</v>
      </c>
      <c r="E78" s="87">
        <v>426071</v>
      </c>
      <c r="F78" s="86" t="s">
        <v>186</v>
      </c>
      <c r="G78" s="86" t="s">
        <v>129</v>
      </c>
      <c r="H78" s="86" t="s">
        <v>20</v>
      </c>
      <c r="I78" s="88"/>
      <c r="J78" s="87">
        <v>31465920</v>
      </c>
      <c r="K78" s="86" t="s">
        <v>160</v>
      </c>
      <c r="L78" s="86" t="str">
        <f>_xlfn.XLOOKUP(Tabla2__2[[#This Row],[CODIGO RUTA]],'DATA INFORME'!I:I,'DATA INFORME'!K:K)</f>
        <v>SI</v>
      </c>
      <c r="M78" s="86" t="str">
        <f>IF(Tabla2__2[[#This Row],[MYSTERY EFECTIVO]]="SI",_xlfn.XLOOKUP(Tabla2__2[[#This Row],[PREGUNTA]],ENCUESTA!G:G,ENCUESTA!D:D),"N/A")</f>
        <v>PORTAFOLIO Y MANEJO DE OBJECIONES</v>
      </c>
      <c r="N7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78" s="86" t="str">
        <f>_xlfn.XLOOKUP(Tabla2__2[[#This Row],[PREGUNTA]],ENCUESTA!G:G,ENCUESTA!H:H)</f>
        <v>SI</v>
      </c>
      <c r="P78" s="86">
        <f>IF(Tabla2__2[[#This Row],[RTA]]=Tabla2__2[[#This Row],[RTA CORRECTA]],Tabla2__2[[#This Row],[TOTAL PUNTAJE]],0)</f>
        <v>2.3076923076923075</v>
      </c>
      <c r="Q78" s="86">
        <f>IF(OR(H78="Dog Chow húmedo",H78="Cat Chow húmedo",H78="Fancy Feast",H78="Felix",H78="Proplan húmedo",H78="One húmedo",H78="Snack Abrazzos",H78="Snak Dentalife",H78="Arenilla Tidy Cat"),N78,0)</f>
        <v>0</v>
      </c>
      <c r="R78" s="86"/>
    </row>
    <row r="79" spans="1:18" hidden="1" x14ac:dyDescent="0.35">
      <c r="A79" s="86" t="s">
        <v>91</v>
      </c>
      <c r="B79" s="86" t="s">
        <v>178</v>
      </c>
      <c r="C79" s="85" t="s">
        <v>14</v>
      </c>
      <c r="D79" s="86" t="s">
        <v>14</v>
      </c>
      <c r="E79" s="87">
        <v>426071</v>
      </c>
      <c r="F79" s="86" t="s">
        <v>186</v>
      </c>
      <c r="G79" s="86" t="s">
        <v>103</v>
      </c>
      <c r="H79" s="86" t="s">
        <v>149</v>
      </c>
      <c r="I79" s="88"/>
      <c r="J79" s="87">
        <v>31465920</v>
      </c>
      <c r="K79" s="86" t="s">
        <v>160</v>
      </c>
      <c r="L79" s="86" t="str">
        <f>_xlfn.XLOOKUP(Tabla2__2[[#This Row],[CODIGO RUTA]],'DATA INFORME'!I:I,'DATA INFORME'!K:K)</f>
        <v>SI</v>
      </c>
      <c r="M79" s="86" t="str">
        <f>IF(Tabla2__2[[#This Row],[MYSTERY EFECTIVO]]="SI",_xlfn.XLOOKUP(Tabla2__2[[#This Row],[PREGUNTA]],ENCUESTA!G:G,ENCUESTA!D:D),"N/A")</f>
        <v>N/A</v>
      </c>
      <c r="N7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9" s="86">
        <f>_xlfn.XLOOKUP(Tabla2__2[[#This Row],[PREGUNTA]],ENCUESTA!G:G,ENCUESTA!H:H)</f>
        <v>0</v>
      </c>
      <c r="P79" s="86">
        <f>IF(Tabla2__2[[#This Row],[RTA]]=Tabla2__2[[#This Row],[RTA CORRECTA]],Tabla2__2[[#This Row],[TOTAL PUNTAJE]],0)</f>
        <v>0</v>
      </c>
      <c r="Q79" s="86">
        <f>IF(OR(H79="Dog Chow húmedo",H79="Cat Chow húmedo",H79="Fancy Feast",H79="Felix",H79="Proplan húmedo",H79="One húmedo",H79="Snack Abrazzos",H79="Snak Dentalife",H79="Arenilla Tidy Cat"),N79,0)</f>
        <v>0</v>
      </c>
      <c r="R79" s="86"/>
    </row>
    <row r="80" spans="1:18" hidden="1" x14ac:dyDescent="0.35">
      <c r="A80" s="86" t="s">
        <v>91</v>
      </c>
      <c r="B80" s="86" t="s">
        <v>178</v>
      </c>
      <c r="C80" s="85" t="s">
        <v>14</v>
      </c>
      <c r="D80" s="86" t="s">
        <v>14</v>
      </c>
      <c r="E80" s="87">
        <v>426071</v>
      </c>
      <c r="F80" s="86" t="s">
        <v>186</v>
      </c>
      <c r="G80" s="86" t="s">
        <v>104</v>
      </c>
      <c r="H80" s="86" t="s">
        <v>20</v>
      </c>
      <c r="I80" s="88"/>
      <c r="J80" s="87">
        <v>31465920</v>
      </c>
      <c r="K80" s="86" t="s">
        <v>160</v>
      </c>
      <c r="L80" s="86" t="str">
        <f>_xlfn.XLOOKUP(Tabla2__2[[#This Row],[CODIGO RUTA]],'DATA INFORME'!I:I,'DATA INFORME'!K:K)</f>
        <v>SI</v>
      </c>
      <c r="M80" s="86" t="str">
        <f>IF(Tabla2__2[[#This Row],[MYSTERY EFECTIVO]]="SI",_xlfn.XLOOKUP(Tabla2__2[[#This Row],[PREGUNTA]],ENCUESTA!G:G,ENCUESTA!D:D),"N/A")</f>
        <v>LABOR DE VENTA</v>
      </c>
      <c r="N8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0" s="86" t="str">
        <f>_xlfn.XLOOKUP(Tabla2__2[[#This Row],[PREGUNTA]],ENCUESTA!G:G,ENCUESTA!H:H)</f>
        <v>SI</v>
      </c>
      <c r="P80" s="86">
        <f>IF(Tabla2__2[[#This Row],[RTA]]=Tabla2__2[[#This Row],[RTA CORRECTA]],Tabla2__2[[#This Row],[TOTAL PUNTAJE]],0)</f>
        <v>3.75</v>
      </c>
      <c r="Q80" s="86">
        <f>IF(OR(H80="Dog Chow húmedo",H80="Cat Chow húmedo",H80="Fancy Feast",H80="Felix",H80="Proplan húmedo",H80="One húmedo",H80="Snack Abrazzos",H80="Snak Dentalife",H80="Arenilla Tidy Cat"),N80,0)</f>
        <v>0</v>
      </c>
      <c r="R80" s="86"/>
    </row>
    <row r="81" spans="1:18" hidden="1" x14ac:dyDescent="0.35">
      <c r="A81" s="86" t="s">
        <v>91</v>
      </c>
      <c r="B81" s="86" t="s">
        <v>178</v>
      </c>
      <c r="C81" s="85" t="s">
        <v>14</v>
      </c>
      <c r="D81" s="86" t="s">
        <v>14</v>
      </c>
      <c r="E81" s="87">
        <v>426071</v>
      </c>
      <c r="F81" s="86" t="s">
        <v>186</v>
      </c>
      <c r="G81" s="86" t="s">
        <v>116</v>
      </c>
      <c r="H81" s="86" t="s">
        <v>20</v>
      </c>
      <c r="I81" s="88"/>
      <c r="J81" s="87">
        <v>31465920</v>
      </c>
      <c r="K81" s="86" t="s">
        <v>160</v>
      </c>
      <c r="L81" s="86" t="str">
        <f>_xlfn.XLOOKUP(Tabla2__2[[#This Row],[CODIGO RUTA]],'DATA INFORME'!I:I,'DATA INFORME'!K:K)</f>
        <v>SI</v>
      </c>
      <c r="M81" s="86" t="str">
        <f>IF(Tabla2__2[[#This Row],[MYSTERY EFECTIVO]]="SI",_xlfn.XLOOKUP(Tabla2__2[[#This Row],[PREGUNTA]],ENCUESTA!G:G,ENCUESTA!D:D),"N/A")</f>
        <v>LABOR DE VENTA</v>
      </c>
      <c r="N8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1" s="86" t="str">
        <f>_xlfn.XLOOKUP(Tabla2__2[[#This Row],[PREGUNTA]],ENCUESTA!G:G,ENCUESTA!H:H)</f>
        <v>SI</v>
      </c>
      <c r="P81" s="86">
        <f>IF(Tabla2__2[[#This Row],[RTA]]=Tabla2__2[[#This Row],[RTA CORRECTA]],Tabla2__2[[#This Row],[TOTAL PUNTAJE]],0)</f>
        <v>3.75</v>
      </c>
      <c r="Q81" s="86">
        <f>IF(OR(H81="Dog Chow húmedo",H81="Cat Chow húmedo",H81="Fancy Feast",H81="Felix",H81="Proplan húmedo",H81="One húmedo",H81="Snack Abrazzos",H81="Snak Dentalife",H81="Arenilla Tidy Cat"),N81,0)</f>
        <v>0</v>
      </c>
      <c r="R81" s="86"/>
    </row>
    <row r="82" spans="1:18" hidden="1" x14ac:dyDescent="0.35">
      <c r="A82" s="86" t="s">
        <v>91</v>
      </c>
      <c r="B82" s="86" t="s">
        <v>178</v>
      </c>
      <c r="C82" s="85" t="s">
        <v>14</v>
      </c>
      <c r="D82" s="86" t="s">
        <v>14</v>
      </c>
      <c r="E82" s="87">
        <v>426071</v>
      </c>
      <c r="F82" s="86" t="s">
        <v>186</v>
      </c>
      <c r="G82" s="86" t="s">
        <v>105</v>
      </c>
      <c r="H82" s="86" t="s">
        <v>20</v>
      </c>
      <c r="I82" s="88"/>
      <c r="J82" s="87">
        <v>31465920</v>
      </c>
      <c r="K82" s="86" t="s">
        <v>160</v>
      </c>
      <c r="L82" s="86" t="str">
        <f>_xlfn.XLOOKUP(Tabla2__2[[#This Row],[CODIGO RUTA]],'DATA INFORME'!I:I,'DATA INFORME'!K:K)</f>
        <v>SI</v>
      </c>
      <c r="M82" s="86" t="str">
        <f>IF(Tabla2__2[[#This Row],[MYSTERY EFECTIVO]]="SI",_xlfn.XLOOKUP(Tabla2__2[[#This Row],[PREGUNTA]],ENCUESTA!G:G,ENCUESTA!D:D),"N/A")</f>
        <v>LABOR DE VENTA</v>
      </c>
      <c r="N8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2" s="86" t="str">
        <f>_xlfn.XLOOKUP(Tabla2__2[[#This Row],[PREGUNTA]],ENCUESTA!G:G,ENCUESTA!H:H)</f>
        <v>SI</v>
      </c>
      <c r="P82" s="86">
        <f>IF(Tabla2__2[[#This Row],[RTA]]=Tabla2__2[[#This Row],[RTA CORRECTA]],Tabla2__2[[#This Row],[TOTAL PUNTAJE]],0)</f>
        <v>3.75</v>
      </c>
      <c r="Q82" s="86">
        <f>IF(OR(H82="Dog Chow húmedo",H82="Cat Chow húmedo",H82="Fancy Feast",H82="Felix",H82="Proplan húmedo",H82="One húmedo",H82="Snack Abrazzos",H82="Snak Dentalife",H82="Arenilla Tidy Cat"),N82,0)</f>
        <v>0</v>
      </c>
      <c r="R82" s="86"/>
    </row>
    <row r="83" spans="1:18" hidden="1" x14ac:dyDescent="0.35">
      <c r="A83" s="86" t="s">
        <v>91</v>
      </c>
      <c r="B83" s="86" t="s">
        <v>178</v>
      </c>
      <c r="C83" s="85" t="s">
        <v>14</v>
      </c>
      <c r="D83" s="86" t="s">
        <v>14</v>
      </c>
      <c r="E83" s="87">
        <v>426071</v>
      </c>
      <c r="F83" s="86" t="s">
        <v>186</v>
      </c>
      <c r="G83" s="86" t="s">
        <v>106</v>
      </c>
      <c r="H83" s="86" t="s">
        <v>20</v>
      </c>
      <c r="I83" s="88"/>
      <c r="J83" s="87">
        <v>31465920</v>
      </c>
      <c r="K83" s="86" t="s">
        <v>160</v>
      </c>
      <c r="L83" s="86" t="str">
        <f>_xlfn.XLOOKUP(Tabla2__2[[#This Row],[CODIGO RUTA]],'DATA INFORME'!I:I,'DATA INFORME'!K:K)</f>
        <v>SI</v>
      </c>
      <c r="M83" s="86" t="str">
        <f>IF(Tabla2__2[[#This Row],[MYSTERY EFECTIVO]]="SI",_xlfn.XLOOKUP(Tabla2__2[[#This Row],[PREGUNTA]],ENCUESTA!G:G,ENCUESTA!D:D),"N/A")</f>
        <v>LABOR DE VENTA</v>
      </c>
      <c r="N8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3" s="86" t="str">
        <f>_xlfn.XLOOKUP(Tabla2__2[[#This Row],[PREGUNTA]],ENCUESTA!G:G,ENCUESTA!H:H)</f>
        <v>SI</v>
      </c>
      <c r="P83" s="86">
        <f>IF(Tabla2__2[[#This Row],[RTA]]=Tabla2__2[[#This Row],[RTA CORRECTA]],Tabla2__2[[#This Row],[TOTAL PUNTAJE]],0)</f>
        <v>3.75</v>
      </c>
      <c r="Q83" s="86">
        <f>IF(OR(H83="Dog Chow húmedo",H83="Cat Chow húmedo",H83="Fancy Feast",H83="Felix",H83="Proplan húmedo",H83="One húmedo",H83="Snack Abrazzos",H83="Snak Dentalife",H83="Arenilla Tidy Cat"),N83,0)</f>
        <v>0</v>
      </c>
      <c r="R83" s="86"/>
    </row>
    <row r="84" spans="1:18" hidden="1" x14ac:dyDescent="0.35">
      <c r="A84" s="86" t="s">
        <v>91</v>
      </c>
      <c r="B84" s="86" t="s">
        <v>178</v>
      </c>
      <c r="C84" s="85" t="s">
        <v>14</v>
      </c>
      <c r="D84" s="86" t="s">
        <v>14</v>
      </c>
      <c r="E84" s="87">
        <v>426071</v>
      </c>
      <c r="F84" s="86" t="s">
        <v>186</v>
      </c>
      <c r="G84" s="86" t="s">
        <v>117</v>
      </c>
      <c r="H84" s="86" t="s">
        <v>20</v>
      </c>
      <c r="I84" s="88"/>
      <c r="J84" s="87">
        <v>31465920</v>
      </c>
      <c r="K84" s="86" t="s">
        <v>160</v>
      </c>
      <c r="L84" s="86" t="str">
        <f>_xlfn.XLOOKUP(Tabla2__2[[#This Row],[CODIGO RUTA]],'DATA INFORME'!I:I,'DATA INFORME'!K:K)</f>
        <v>SI</v>
      </c>
      <c r="M84" s="86" t="str">
        <f>IF(Tabla2__2[[#This Row],[MYSTERY EFECTIVO]]="SI",_xlfn.XLOOKUP(Tabla2__2[[#This Row],[PREGUNTA]],ENCUESTA!G:G,ENCUESTA!D:D),"N/A")</f>
        <v>ABORDAJE</v>
      </c>
      <c r="N8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84" s="86" t="str">
        <f>_xlfn.XLOOKUP(Tabla2__2[[#This Row],[PREGUNTA]],ENCUESTA!G:G,ENCUESTA!H:H)</f>
        <v>SI</v>
      </c>
      <c r="P84" s="86">
        <f>IF(Tabla2__2[[#This Row],[RTA]]=Tabla2__2[[#This Row],[RTA CORRECTA]],Tabla2__2[[#This Row],[TOTAL PUNTAJE]],0)</f>
        <v>20</v>
      </c>
      <c r="Q84" s="86">
        <f>IF(OR(H84="Dog Chow húmedo",H84="Cat Chow húmedo",H84="Fancy Feast",H84="Felix",H84="Proplan húmedo",H84="One húmedo",H84="Snack Abrazzos",H84="Snak Dentalife",H84="Arenilla Tidy Cat"),N84,0)</f>
        <v>0</v>
      </c>
      <c r="R84" s="86"/>
    </row>
    <row r="85" spans="1:18" hidden="1" x14ac:dyDescent="0.35">
      <c r="A85" s="86" t="s">
        <v>91</v>
      </c>
      <c r="B85" s="86" t="s">
        <v>178</v>
      </c>
      <c r="C85" s="85" t="s">
        <v>14</v>
      </c>
      <c r="D85" s="86" t="s">
        <v>14</v>
      </c>
      <c r="E85" s="87">
        <v>426071</v>
      </c>
      <c r="F85" s="86" t="s">
        <v>186</v>
      </c>
      <c r="G85" s="86" t="s">
        <v>90</v>
      </c>
      <c r="H85" s="86" t="s">
        <v>147</v>
      </c>
      <c r="I85" s="88"/>
      <c r="J85" s="87">
        <v>31465920</v>
      </c>
      <c r="K85" s="86" t="s">
        <v>160</v>
      </c>
      <c r="L85" s="86" t="str">
        <f>_xlfn.XLOOKUP(Tabla2__2[[#This Row],[CODIGO RUTA]],'DATA INFORME'!I:I,'DATA INFORME'!K:K)</f>
        <v>SI</v>
      </c>
      <c r="M85" s="86" t="str">
        <f>IF(Tabla2__2[[#This Row],[MYSTERY EFECTIVO]]="SI",_xlfn.XLOOKUP(Tabla2__2[[#This Row],[PREGUNTA]],ENCUESTA!G:G,ENCUESTA!D:D),"N/A")</f>
        <v>UNIFORME</v>
      </c>
      <c r="N8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5" s="86" t="str">
        <f>_xlfn.XLOOKUP(Tabla2__2[[#This Row],[PREGUNTA]],ENCUESTA!G:G,ENCUESTA!H:H)</f>
        <v xml:space="preserve"> NO</v>
      </c>
      <c r="P85" s="86">
        <f>IF(Tabla2__2[[#This Row],[RTA]]=Tabla2__2[[#This Row],[RTA CORRECTA]],Tabla2__2[[#This Row],[TOTAL PUNTAJE]],0)</f>
        <v>1.5</v>
      </c>
      <c r="Q85" s="86">
        <f>IF(OR(H85="Dog Chow húmedo",H85="Cat Chow húmedo",H85="Fancy Feast",H85="Felix",H85="Proplan húmedo",H85="One húmedo",H85="Snack Abrazzos",H85="Snak Dentalife",H85="Arenilla Tidy Cat"),N85,0)</f>
        <v>0</v>
      </c>
      <c r="R85" s="86"/>
    </row>
    <row r="86" spans="1:18" hidden="1" x14ac:dyDescent="0.35">
      <c r="A86" s="86" t="s">
        <v>91</v>
      </c>
      <c r="B86" s="86" t="s">
        <v>178</v>
      </c>
      <c r="C86" s="85" t="s">
        <v>14</v>
      </c>
      <c r="D86" s="86" t="s">
        <v>14</v>
      </c>
      <c r="E86" s="87">
        <v>426071</v>
      </c>
      <c r="F86" s="86" t="s">
        <v>186</v>
      </c>
      <c r="G86" s="86" t="s">
        <v>88</v>
      </c>
      <c r="H86" s="86" t="s">
        <v>147</v>
      </c>
      <c r="I86" s="88"/>
      <c r="J86" s="87">
        <v>31465920</v>
      </c>
      <c r="K86" s="86" t="s">
        <v>160</v>
      </c>
      <c r="L86" s="86" t="str">
        <f>_xlfn.XLOOKUP(Tabla2__2[[#This Row],[CODIGO RUTA]],'DATA INFORME'!I:I,'DATA INFORME'!K:K)</f>
        <v>SI</v>
      </c>
      <c r="M86" s="86" t="str">
        <f>IF(Tabla2__2[[#This Row],[MYSTERY EFECTIVO]]="SI",_xlfn.XLOOKUP(Tabla2__2[[#This Row],[PREGUNTA]],ENCUESTA!G:G,ENCUESTA!D:D),"N/A")</f>
        <v>UNIFORME</v>
      </c>
      <c r="N8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6" s="86" t="str">
        <f>_xlfn.XLOOKUP(Tabla2__2[[#This Row],[PREGUNTA]],ENCUESTA!G:G,ENCUESTA!H:H)</f>
        <v xml:space="preserve"> NO</v>
      </c>
      <c r="P86" s="86">
        <f>IF(Tabla2__2[[#This Row],[RTA]]=Tabla2__2[[#This Row],[RTA CORRECTA]],Tabla2__2[[#This Row],[TOTAL PUNTAJE]],0)</f>
        <v>1.5</v>
      </c>
      <c r="Q86" s="86">
        <f>IF(OR(H86="Dog Chow húmedo",H86="Cat Chow húmedo",H86="Fancy Feast",H86="Felix",H86="Proplan húmedo",H86="One húmedo",H86="Snack Abrazzos",H86="Snak Dentalife",H86="Arenilla Tidy Cat"),N86,0)</f>
        <v>0</v>
      </c>
      <c r="R86" s="86"/>
    </row>
    <row r="87" spans="1:18" hidden="1" x14ac:dyDescent="0.35">
      <c r="A87" s="86" t="s">
        <v>91</v>
      </c>
      <c r="B87" s="86" t="s">
        <v>178</v>
      </c>
      <c r="C87" s="85" t="s">
        <v>14</v>
      </c>
      <c r="D87" s="86" t="s">
        <v>14</v>
      </c>
      <c r="E87" s="87">
        <v>426071</v>
      </c>
      <c r="F87" s="86" t="s">
        <v>186</v>
      </c>
      <c r="G87" s="86" t="s">
        <v>99</v>
      </c>
      <c r="H87" s="86" t="s">
        <v>20</v>
      </c>
      <c r="I87" s="88"/>
      <c r="J87" s="87">
        <v>31465920</v>
      </c>
      <c r="K87" s="86" t="s">
        <v>160</v>
      </c>
      <c r="L87" s="86" t="str">
        <f>_xlfn.XLOOKUP(Tabla2__2[[#This Row],[CODIGO RUTA]],'DATA INFORME'!I:I,'DATA INFORME'!K:K)</f>
        <v>SI</v>
      </c>
      <c r="M87" s="86" t="str">
        <f>IF(Tabla2__2[[#This Row],[MYSTERY EFECTIVO]]="SI",_xlfn.XLOOKUP(Tabla2__2[[#This Row],[PREGUNTA]],ENCUESTA!G:G,ENCUESTA!D:D),"N/A")</f>
        <v>N/A</v>
      </c>
      <c r="N8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7" s="86">
        <f>_xlfn.XLOOKUP(Tabla2__2[[#This Row],[PREGUNTA]],ENCUESTA!G:G,ENCUESTA!H:H)</f>
        <v>0</v>
      </c>
      <c r="P87" s="86">
        <f>IF(Tabla2__2[[#This Row],[RTA]]=Tabla2__2[[#This Row],[RTA CORRECTA]],Tabla2__2[[#This Row],[TOTAL PUNTAJE]],0)</f>
        <v>0</v>
      </c>
      <c r="Q87" s="86">
        <f>IF(OR(H87="Dog Chow húmedo",H87="Cat Chow húmedo",H87="Fancy Feast",H87="Felix",H87="Proplan húmedo",H87="One húmedo",H87="Snack Abrazzos",H87="Snak Dentalife",H87="Arenilla Tidy Cat"),N87,0)</f>
        <v>0</v>
      </c>
      <c r="R87" s="86"/>
    </row>
    <row r="88" spans="1:18" hidden="1" x14ac:dyDescent="0.35">
      <c r="A88" s="86" t="s">
        <v>91</v>
      </c>
      <c r="B88" s="86" t="s">
        <v>178</v>
      </c>
      <c r="C88" s="85" t="s">
        <v>14</v>
      </c>
      <c r="D88" s="86" t="s">
        <v>14</v>
      </c>
      <c r="E88" s="87">
        <v>426071</v>
      </c>
      <c r="F88" s="86" t="s">
        <v>186</v>
      </c>
      <c r="G88" s="86" t="s">
        <v>83</v>
      </c>
      <c r="H88" s="86" t="s">
        <v>20</v>
      </c>
      <c r="I88" s="88"/>
      <c r="J88" s="87">
        <v>31465920</v>
      </c>
      <c r="K88" s="86" t="s">
        <v>160</v>
      </c>
      <c r="L88" s="86" t="str">
        <f>_xlfn.XLOOKUP(Tabla2__2[[#This Row],[CODIGO RUTA]],'DATA INFORME'!I:I,'DATA INFORME'!K:K)</f>
        <v>SI</v>
      </c>
      <c r="M88" s="86" t="str">
        <f>IF(Tabla2__2[[#This Row],[MYSTERY EFECTIVO]]="SI",_xlfn.XLOOKUP(Tabla2__2[[#This Row],[PREGUNTA]],ENCUESTA!G:G,ENCUESTA!D:D),"N/A")</f>
        <v>HORARIO</v>
      </c>
      <c r="N8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88" s="86" t="str">
        <f>_xlfn.XLOOKUP(Tabla2__2[[#This Row],[PREGUNTA]],ENCUESTA!G:G,ENCUESTA!H:H)</f>
        <v>SI</v>
      </c>
      <c r="P88" s="86">
        <f>IF(Tabla2__2[[#This Row],[RTA]]=Tabla2__2[[#This Row],[RTA CORRECTA]],Tabla2__2[[#This Row],[TOTAL PUNTAJE]],0)</f>
        <v>20</v>
      </c>
      <c r="Q88" s="86">
        <f>IF(OR(H88="Dog Chow húmedo",H88="Cat Chow húmedo",H88="Fancy Feast",H88="Felix",H88="Proplan húmedo",H88="One húmedo",H88="Snack Abrazzos",H88="Snak Dentalife",H88="Arenilla Tidy Cat"),N88,0)</f>
        <v>0</v>
      </c>
      <c r="R88" s="86"/>
    </row>
    <row r="89" spans="1:18" hidden="1" x14ac:dyDescent="0.35">
      <c r="A89" s="86" t="s">
        <v>91</v>
      </c>
      <c r="B89" s="86" t="s">
        <v>178</v>
      </c>
      <c r="C89" s="85" t="s">
        <v>14</v>
      </c>
      <c r="D89" s="86" t="s">
        <v>14</v>
      </c>
      <c r="E89" s="87">
        <v>426071</v>
      </c>
      <c r="F89" s="86" t="s">
        <v>186</v>
      </c>
      <c r="G89" s="86" t="s">
        <v>84</v>
      </c>
      <c r="H89" s="86" t="s">
        <v>20</v>
      </c>
      <c r="I89" s="88"/>
      <c r="J89" s="87">
        <v>31465920</v>
      </c>
      <c r="K89" s="86" t="s">
        <v>160</v>
      </c>
      <c r="L89" s="86" t="str">
        <f>_xlfn.XLOOKUP(Tabla2__2[[#This Row],[CODIGO RUTA]],'DATA INFORME'!I:I,'DATA INFORME'!K:K)</f>
        <v>SI</v>
      </c>
      <c r="M89" s="86" t="str">
        <f>IF(Tabla2__2[[#This Row],[MYSTERY EFECTIVO]]="SI",_xlfn.XLOOKUP(Tabla2__2[[#This Row],[PREGUNTA]],ENCUESTA!G:G,ENCUESTA!D:D),"N/A")</f>
        <v>UNIFORME</v>
      </c>
      <c r="N8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9" s="86" t="str">
        <f>_xlfn.XLOOKUP(Tabla2__2[[#This Row],[PREGUNTA]],ENCUESTA!G:G,ENCUESTA!H:H)</f>
        <v>SI</v>
      </c>
      <c r="P89" s="86">
        <f>IF(Tabla2__2[[#This Row],[RTA]]=Tabla2__2[[#This Row],[RTA CORRECTA]],Tabla2__2[[#This Row],[TOTAL PUNTAJE]],0)</f>
        <v>1.5</v>
      </c>
      <c r="Q89" s="86">
        <f>IF(OR(H89="Dog Chow húmedo",H89="Cat Chow húmedo",H89="Fancy Feast",H89="Felix",H89="Proplan húmedo",H89="One húmedo",H89="Snack Abrazzos",H89="Snak Dentalife",H89="Arenilla Tidy Cat"),N89,0)</f>
        <v>0</v>
      </c>
      <c r="R89" s="86"/>
    </row>
    <row r="90" spans="1:18" hidden="1" x14ac:dyDescent="0.35">
      <c r="A90" s="86" t="s">
        <v>91</v>
      </c>
      <c r="B90" s="86" t="s">
        <v>178</v>
      </c>
      <c r="C90" s="85" t="s">
        <v>14</v>
      </c>
      <c r="D90" s="86" t="s">
        <v>14</v>
      </c>
      <c r="E90" s="87">
        <v>426071</v>
      </c>
      <c r="F90" s="86" t="s">
        <v>186</v>
      </c>
      <c r="G90" s="86" t="s">
        <v>100</v>
      </c>
      <c r="H90" s="86" t="s">
        <v>20</v>
      </c>
      <c r="I90" s="88"/>
      <c r="J90" s="87">
        <v>31465920</v>
      </c>
      <c r="K90" s="86" t="s">
        <v>160</v>
      </c>
      <c r="L90" s="86" t="str">
        <f>_xlfn.XLOOKUP(Tabla2__2[[#This Row],[CODIGO RUTA]],'DATA INFORME'!I:I,'DATA INFORME'!K:K)</f>
        <v>SI</v>
      </c>
      <c r="M90" s="86" t="str">
        <f>IF(Tabla2__2[[#This Row],[MYSTERY EFECTIVO]]="SI",_xlfn.XLOOKUP(Tabla2__2[[#This Row],[PREGUNTA]],ENCUESTA!G:G,ENCUESTA!D:D),"N/A")</f>
        <v>UNIFORME</v>
      </c>
      <c r="N9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0" s="86" t="str">
        <f>_xlfn.XLOOKUP(Tabla2__2[[#This Row],[PREGUNTA]],ENCUESTA!G:G,ENCUESTA!H:H)</f>
        <v>SI</v>
      </c>
      <c r="P90" s="86">
        <f>IF(Tabla2__2[[#This Row],[RTA]]=Tabla2__2[[#This Row],[RTA CORRECTA]],Tabla2__2[[#This Row],[TOTAL PUNTAJE]],0)</f>
        <v>1.5</v>
      </c>
      <c r="Q90" s="86">
        <f>IF(OR(H90="Dog Chow húmedo",H90="Cat Chow húmedo",H90="Fancy Feast",H90="Felix",H90="Proplan húmedo",H90="One húmedo",H90="Snack Abrazzos",H90="Snak Dentalife",H90="Arenilla Tidy Cat"),N90,0)</f>
        <v>0</v>
      </c>
      <c r="R90" s="86"/>
    </row>
    <row r="91" spans="1:18" hidden="1" x14ac:dyDescent="0.35">
      <c r="A91" s="86" t="s">
        <v>91</v>
      </c>
      <c r="B91" s="86" t="s">
        <v>178</v>
      </c>
      <c r="C91" s="85" t="s">
        <v>14</v>
      </c>
      <c r="D91" s="86" t="s">
        <v>14</v>
      </c>
      <c r="E91" s="87">
        <v>426071</v>
      </c>
      <c r="F91" s="86" t="s">
        <v>186</v>
      </c>
      <c r="G91" s="86" t="s">
        <v>35</v>
      </c>
      <c r="H91" s="86" t="s">
        <v>20</v>
      </c>
      <c r="I91" s="88"/>
      <c r="J91" s="87">
        <v>31465920</v>
      </c>
      <c r="K91" s="86" t="s">
        <v>160</v>
      </c>
      <c r="L91" s="86" t="str">
        <f>_xlfn.XLOOKUP(Tabla2__2[[#This Row],[CODIGO RUTA]],'DATA INFORME'!I:I,'DATA INFORME'!K:K)</f>
        <v>SI</v>
      </c>
      <c r="M91" s="86" t="str">
        <f>IF(Tabla2__2[[#This Row],[MYSTERY EFECTIVO]]="SI",_xlfn.XLOOKUP(Tabla2__2[[#This Row],[PREGUNTA]],ENCUESTA!G:G,ENCUESTA!D:D),"N/A")</f>
        <v>UNIFORME</v>
      </c>
      <c r="N9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1" s="86" t="str">
        <f>_xlfn.XLOOKUP(Tabla2__2[[#This Row],[PREGUNTA]],ENCUESTA!G:G,ENCUESTA!H:H)</f>
        <v>SI</v>
      </c>
      <c r="P91" s="86">
        <f>IF(Tabla2__2[[#This Row],[RTA]]=Tabla2__2[[#This Row],[RTA CORRECTA]],Tabla2__2[[#This Row],[TOTAL PUNTAJE]],0)</f>
        <v>1.5</v>
      </c>
      <c r="Q91" s="86">
        <f>IF(OR(H91="Dog Chow húmedo",H91="Cat Chow húmedo",H91="Fancy Feast",H91="Felix",H91="Proplan húmedo",H91="One húmedo",H91="Snack Abrazzos",H91="Snak Dentalife",H91="Arenilla Tidy Cat"),N91,0)</f>
        <v>0</v>
      </c>
      <c r="R91" s="86"/>
    </row>
    <row r="92" spans="1:18" hidden="1" x14ac:dyDescent="0.35">
      <c r="A92" s="86" t="s">
        <v>91</v>
      </c>
      <c r="B92" s="86" t="s">
        <v>178</v>
      </c>
      <c r="C92" s="85" t="s">
        <v>14</v>
      </c>
      <c r="D92" s="86" t="s">
        <v>14</v>
      </c>
      <c r="E92" s="87">
        <v>426071</v>
      </c>
      <c r="F92" s="86" t="s">
        <v>186</v>
      </c>
      <c r="G92" s="86" t="s">
        <v>101</v>
      </c>
      <c r="H92" s="86" t="s">
        <v>147</v>
      </c>
      <c r="I92" s="88"/>
      <c r="J92" s="87">
        <v>31465920</v>
      </c>
      <c r="K92" s="86" t="s">
        <v>160</v>
      </c>
      <c r="L92" s="86" t="str">
        <f>_xlfn.XLOOKUP(Tabla2__2[[#This Row],[CODIGO RUTA]],'DATA INFORME'!I:I,'DATA INFORME'!K:K)</f>
        <v>SI</v>
      </c>
      <c r="M92" s="86" t="str">
        <f>IF(Tabla2__2[[#This Row],[MYSTERY EFECTIVO]]="SI",_xlfn.XLOOKUP(Tabla2__2[[#This Row],[PREGUNTA]],ENCUESTA!G:G,ENCUESTA!D:D),"N/A")</f>
        <v>UNIFORME</v>
      </c>
      <c r="N9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2" s="86" t="str">
        <f>_xlfn.XLOOKUP(Tabla2__2[[#This Row],[PREGUNTA]],ENCUESTA!G:G,ENCUESTA!H:H)</f>
        <v xml:space="preserve"> NO</v>
      </c>
      <c r="P92" s="86">
        <f>IF(Tabla2__2[[#This Row],[RTA]]=Tabla2__2[[#This Row],[RTA CORRECTA]],Tabla2__2[[#This Row],[TOTAL PUNTAJE]],0)</f>
        <v>1.5</v>
      </c>
      <c r="Q92" s="86">
        <f>IF(OR(H92="Dog Chow húmedo",H92="Cat Chow húmedo",H92="Fancy Feast",H92="Felix",H92="Proplan húmedo",H92="One húmedo",H92="Snack Abrazzos",H92="Snak Dentalife",H92="Arenilla Tidy Cat"),N92,0)</f>
        <v>0</v>
      </c>
      <c r="R92" s="86"/>
    </row>
    <row r="93" spans="1:18" hidden="1" x14ac:dyDescent="0.35">
      <c r="A93" s="86" t="s">
        <v>91</v>
      </c>
      <c r="B93" s="86" t="s">
        <v>178</v>
      </c>
      <c r="C93" s="85" t="s">
        <v>14</v>
      </c>
      <c r="D93" s="86" t="s">
        <v>14</v>
      </c>
      <c r="E93" s="87">
        <v>426071</v>
      </c>
      <c r="F93" s="86" t="s">
        <v>186</v>
      </c>
      <c r="G93" s="86" t="s">
        <v>85</v>
      </c>
      <c r="H93" s="86" t="s">
        <v>20</v>
      </c>
      <c r="I93" s="88"/>
      <c r="J93" s="87">
        <v>31465920</v>
      </c>
      <c r="K93" s="86" t="s">
        <v>160</v>
      </c>
      <c r="L93" s="86" t="str">
        <f>_xlfn.XLOOKUP(Tabla2__2[[#This Row],[CODIGO RUTA]],'DATA INFORME'!I:I,'DATA INFORME'!K:K)</f>
        <v>SI</v>
      </c>
      <c r="M93" s="86" t="str">
        <f>IF(Tabla2__2[[#This Row],[MYSTERY EFECTIVO]]="SI",_xlfn.XLOOKUP(Tabla2__2[[#This Row],[PREGUNTA]],ENCUESTA!G:G,ENCUESTA!D:D),"N/A")</f>
        <v>UNIFORME</v>
      </c>
      <c r="N9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3" s="86" t="str">
        <f>_xlfn.XLOOKUP(Tabla2__2[[#This Row],[PREGUNTA]],ENCUESTA!G:G,ENCUESTA!H:H)</f>
        <v>SI</v>
      </c>
      <c r="P93" s="86">
        <f>IF(Tabla2__2[[#This Row],[RTA]]=Tabla2__2[[#This Row],[RTA CORRECTA]],Tabla2__2[[#This Row],[TOTAL PUNTAJE]],0)</f>
        <v>1.5</v>
      </c>
      <c r="Q93" s="86">
        <f>IF(OR(H93="Dog Chow húmedo",H93="Cat Chow húmedo",H93="Fancy Feast",H93="Felix",H93="Proplan húmedo",H93="One húmedo",H93="Snack Abrazzos",H93="Snak Dentalife",H93="Arenilla Tidy Cat"),N93,0)</f>
        <v>0</v>
      </c>
      <c r="R93" s="86"/>
    </row>
    <row r="94" spans="1:18" hidden="1" x14ac:dyDescent="0.35">
      <c r="A94" s="86" t="s">
        <v>91</v>
      </c>
      <c r="B94" s="86" t="s">
        <v>178</v>
      </c>
      <c r="C94" s="85" t="s">
        <v>14</v>
      </c>
      <c r="D94" s="86" t="s">
        <v>14</v>
      </c>
      <c r="E94" s="87">
        <v>426071</v>
      </c>
      <c r="F94" s="86" t="s">
        <v>186</v>
      </c>
      <c r="G94" s="86" t="s">
        <v>86</v>
      </c>
      <c r="H94" s="86" t="s">
        <v>20</v>
      </c>
      <c r="I94" s="88"/>
      <c r="J94" s="87">
        <v>31465920</v>
      </c>
      <c r="K94" s="86" t="s">
        <v>160</v>
      </c>
      <c r="L94" s="86" t="str">
        <f>_xlfn.XLOOKUP(Tabla2__2[[#This Row],[CODIGO RUTA]],'DATA INFORME'!I:I,'DATA INFORME'!K:K)</f>
        <v>SI</v>
      </c>
      <c r="M94" s="86" t="str">
        <f>IF(Tabla2__2[[#This Row],[MYSTERY EFECTIVO]]="SI",_xlfn.XLOOKUP(Tabla2__2[[#This Row],[PREGUNTA]],ENCUESTA!G:G,ENCUESTA!D:D),"N/A")</f>
        <v>UNIFORME</v>
      </c>
      <c r="N9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4" s="86" t="str">
        <f>_xlfn.XLOOKUP(Tabla2__2[[#This Row],[PREGUNTA]],ENCUESTA!G:G,ENCUESTA!H:H)</f>
        <v>SI</v>
      </c>
      <c r="P94" s="86">
        <f>IF(Tabla2__2[[#This Row],[RTA]]=Tabla2__2[[#This Row],[RTA CORRECTA]],Tabla2__2[[#This Row],[TOTAL PUNTAJE]],0)</f>
        <v>1.5</v>
      </c>
      <c r="Q94" s="86">
        <f>IF(OR(H94="Dog Chow húmedo",H94="Cat Chow húmedo",H94="Fancy Feast",H94="Felix",H94="Proplan húmedo",H94="One húmedo",H94="Snack Abrazzos",H94="Snak Dentalife",H94="Arenilla Tidy Cat"),N94,0)</f>
        <v>0</v>
      </c>
      <c r="R94" s="86"/>
    </row>
    <row r="95" spans="1:18" hidden="1" x14ac:dyDescent="0.35">
      <c r="A95" s="86" t="s">
        <v>91</v>
      </c>
      <c r="B95" s="86" t="s">
        <v>178</v>
      </c>
      <c r="C95" s="85" t="s">
        <v>14</v>
      </c>
      <c r="D95" s="86" t="s">
        <v>14</v>
      </c>
      <c r="E95" s="87">
        <v>426071</v>
      </c>
      <c r="F95" s="86" t="s">
        <v>186</v>
      </c>
      <c r="G95" s="86" t="s">
        <v>87</v>
      </c>
      <c r="H95" s="86" t="s">
        <v>147</v>
      </c>
      <c r="I95" s="88"/>
      <c r="J95" s="87">
        <v>31465920</v>
      </c>
      <c r="K95" s="86" t="s">
        <v>160</v>
      </c>
      <c r="L95" s="86" t="str">
        <f>_xlfn.XLOOKUP(Tabla2__2[[#This Row],[CODIGO RUTA]],'DATA INFORME'!I:I,'DATA INFORME'!K:K)</f>
        <v>SI</v>
      </c>
      <c r="M95" s="86" t="str">
        <f>IF(Tabla2__2[[#This Row],[MYSTERY EFECTIVO]]="SI",_xlfn.XLOOKUP(Tabla2__2[[#This Row],[PREGUNTA]],ENCUESTA!G:G,ENCUESTA!D:D),"N/A")</f>
        <v>UNIFORME</v>
      </c>
      <c r="N9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5" s="86" t="str">
        <f>_xlfn.XLOOKUP(Tabla2__2[[#This Row],[PREGUNTA]],ENCUESTA!G:G,ENCUESTA!H:H)</f>
        <v xml:space="preserve"> NO</v>
      </c>
      <c r="P95" s="86">
        <f>IF(Tabla2__2[[#This Row],[RTA]]=Tabla2__2[[#This Row],[RTA CORRECTA]],Tabla2__2[[#This Row],[TOTAL PUNTAJE]],0)</f>
        <v>1.5</v>
      </c>
      <c r="Q95" s="86">
        <f>IF(OR(H95="Dog Chow húmedo",H95="Cat Chow húmedo",H95="Fancy Feast",H95="Felix",H95="Proplan húmedo",H95="One húmedo",H95="Snack Abrazzos",H95="Snak Dentalife",H95="Arenilla Tidy Cat"),N95,0)</f>
        <v>0</v>
      </c>
      <c r="R95" s="86"/>
    </row>
    <row r="96" spans="1:18" hidden="1" x14ac:dyDescent="0.35">
      <c r="A96" s="86" t="s">
        <v>91</v>
      </c>
      <c r="B96" s="86" t="s">
        <v>178</v>
      </c>
      <c r="C96" s="85" t="s">
        <v>14</v>
      </c>
      <c r="D96" s="86" t="s">
        <v>14</v>
      </c>
      <c r="E96" s="87">
        <v>426071</v>
      </c>
      <c r="F96" s="86" t="s">
        <v>186</v>
      </c>
      <c r="G96" s="86" t="s">
        <v>89</v>
      </c>
      <c r="H96" s="86" t="s">
        <v>147</v>
      </c>
      <c r="I96" s="88"/>
      <c r="J96" s="87">
        <v>31465920</v>
      </c>
      <c r="K96" s="86" t="s">
        <v>160</v>
      </c>
      <c r="L96" s="86" t="str">
        <f>_xlfn.XLOOKUP(Tabla2__2[[#This Row],[CODIGO RUTA]],'DATA INFORME'!I:I,'DATA INFORME'!K:K)</f>
        <v>SI</v>
      </c>
      <c r="M96" s="86" t="str">
        <f>IF(Tabla2__2[[#This Row],[MYSTERY EFECTIVO]]="SI",_xlfn.XLOOKUP(Tabla2__2[[#This Row],[PREGUNTA]],ENCUESTA!G:G,ENCUESTA!D:D),"N/A")</f>
        <v>UNIFORME</v>
      </c>
      <c r="N9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6" s="86" t="str">
        <f>_xlfn.XLOOKUP(Tabla2__2[[#This Row],[PREGUNTA]],ENCUESTA!G:G,ENCUESTA!H:H)</f>
        <v xml:space="preserve"> NO</v>
      </c>
      <c r="P96" s="86">
        <f>IF(Tabla2__2[[#This Row],[RTA]]=Tabla2__2[[#This Row],[RTA CORRECTA]],Tabla2__2[[#This Row],[TOTAL PUNTAJE]],0)</f>
        <v>1.5</v>
      </c>
      <c r="Q96" s="86">
        <f>IF(OR(H96="Dog Chow húmedo",H96="Cat Chow húmedo",H96="Fancy Feast",H96="Felix",H96="Proplan húmedo",H96="One húmedo",H96="Snack Abrazzos",H96="Snak Dentalife",H96="Arenilla Tidy Cat"),N96,0)</f>
        <v>0</v>
      </c>
      <c r="R96" s="86"/>
    </row>
    <row r="97" spans="1:18" hidden="1" x14ac:dyDescent="0.35">
      <c r="A97" s="86" t="s">
        <v>91</v>
      </c>
      <c r="B97" s="86" t="s">
        <v>178</v>
      </c>
      <c r="C97" s="85" t="s">
        <v>14</v>
      </c>
      <c r="D97" s="86" t="s">
        <v>14</v>
      </c>
      <c r="E97" s="87">
        <v>426071</v>
      </c>
      <c r="F97" s="86" t="s">
        <v>186</v>
      </c>
      <c r="G97" s="86" t="s">
        <v>107</v>
      </c>
      <c r="H97" s="86" t="s">
        <v>147</v>
      </c>
      <c r="I97" s="88"/>
      <c r="J97" s="87">
        <v>31465920</v>
      </c>
      <c r="K97" s="86" t="s">
        <v>160</v>
      </c>
      <c r="L97" s="86" t="str">
        <f>_xlfn.XLOOKUP(Tabla2__2[[#This Row],[CODIGO RUTA]],'DATA INFORME'!I:I,'DATA INFORME'!K:K)</f>
        <v>SI</v>
      </c>
      <c r="M97" s="86" t="str">
        <f>IF(Tabla2__2[[#This Row],[MYSTERY EFECTIVO]]="SI",_xlfn.XLOOKUP(Tabla2__2[[#This Row],[PREGUNTA]],ENCUESTA!G:G,ENCUESTA!D:D),"N/A")</f>
        <v>N/A</v>
      </c>
      <c r="N9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7" s="86">
        <f>_xlfn.XLOOKUP(Tabla2__2[[#This Row],[PREGUNTA]],ENCUESTA!G:G,ENCUESTA!H:H)</f>
        <v>0</v>
      </c>
      <c r="P97" s="86">
        <f>IF(Tabla2__2[[#This Row],[RTA]]=Tabla2__2[[#This Row],[RTA CORRECTA]],Tabla2__2[[#This Row],[TOTAL PUNTAJE]],0)</f>
        <v>0</v>
      </c>
      <c r="Q97" s="86">
        <f>IF(OR(H97="Dog Chow húmedo",H97="Cat Chow húmedo",H97="Fancy Feast",H97="Felix",H97="Proplan húmedo",H97="One húmedo",H97="Snack Abrazzos",H97="Snak Dentalife",H97="Arenilla Tidy Cat"),N97,0)</f>
        <v>0</v>
      </c>
      <c r="R97" s="86"/>
    </row>
    <row r="98" spans="1:18" hidden="1" x14ac:dyDescent="0.35">
      <c r="A98" s="86" t="s">
        <v>91</v>
      </c>
      <c r="B98" s="86" t="s">
        <v>178</v>
      </c>
      <c r="C98" s="85" t="s">
        <v>14</v>
      </c>
      <c r="D98" s="86" t="s">
        <v>14</v>
      </c>
      <c r="E98" s="87">
        <v>426071</v>
      </c>
      <c r="F98" s="86" t="s">
        <v>186</v>
      </c>
      <c r="G98" s="86" t="s">
        <v>108</v>
      </c>
      <c r="H98" s="86" t="s">
        <v>162</v>
      </c>
      <c r="I98" s="88"/>
      <c r="J98" s="87">
        <v>31465920</v>
      </c>
      <c r="K98" s="86" t="s">
        <v>160</v>
      </c>
      <c r="L98" s="86" t="str">
        <f>_xlfn.XLOOKUP(Tabla2__2[[#This Row],[CODIGO RUTA]],'DATA INFORME'!I:I,'DATA INFORME'!K:K)</f>
        <v>SI</v>
      </c>
      <c r="M98" s="86" t="str">
        <f>IF(Tabla2__2[[#This Row],[MYSTERY EFECTIVO]]="SI",_xlfn.XLOOKUP(Tabla2__2[[#This Row],[PREGUNTA]],ENCUESTA!G:G,ENCUESTA!D:D),"N/A")</f>
        <v>N/A</v>
      </c>
      <c r="N9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8" s="86">
        <f>_xlfn.XLOOKUP(Tabla2__2[[#This Row],[PREGUNTA]],ENCUESTA!G:G,ENCUESTA!H:H)</f>
        <v>0</v>
      </c>
      <c r="P98" s="86">
        <f>IF(Tabla2__2[[#This Row],[RTA]]=Tabla2__2[[#This Row],[RTA CORRECTA]],Tabla2__2[[#This Row],[TOTAL PUNTAJE]],0)</f>
        <v>0</v>
      </c>
      <c r="Q98" s="86">
        <f>IF(OR(H98="Dog Chow húmedo",H98="Cat Chow húmedo",H98="Fancy Feast",H98="Felix",H98="Proplan húmedo",H98="One húmedo",H98="Snack Abrazzos",H98="Snak Dentalife",H98="Arenilla Tidy Cat"),N98,0)</f>
        <v>0</v>
      </c>
      <c r="R98" s="86"/>
    </row>
    <row r="99" spans="1:18" hidden="1" x14ac:dyDescent="0.35">
      <c r="A99" s="86" t="s">
        <v>91</v>
      </c>
      <c r="B99" s="86" t="s">
        <v>152</v>
      </c>
      <c r="C99" s="85" t="s">
        <v>15</v>
      </c>
      <c r="D99" s="86" t="s">
        <v>15</v>
      </c>
      <c r="E99" s="87">
        <v>455609</v>
      </c>
      <c r="F99" s="86" t="s">
        <v>154</v>
      </c>
      <c r="G99" s="86" t="s">
        <v>99</v>
      </c>
      <c r="H99" s="86" t="s">
        <v>20</v>
      </c>
      <c r="I99" s="88"/>
      <c r="J99" s="87">
        <v>31364139</v>
      </c>
      <c r="K99" s="86" t="s">
        <v>160</v>
      </c>
      <c r="L99" s="86" t="str">
        <f>_xlfn.XLOOKUP(Tabla2__2[[#This Row],[CODIGO RUTA]],'DATA INFORME'!I:I,'DATA INFORME'!K:K)</f>
        <v>SI</v>
      </c>
      <c r="M99" s="86" t="str">
        <f>IF(Tabla2__2[[#This Row],[MYSTERY EFECTIVO]]="SI",_xlfn.XLOOKUP(Tabla2__2[[#This Row],[PREGUNTA]],ENCUESTA!G:G,ENCUESTA!D:D),"N/A")</f>
        <v>N/A</v>
      </c>
      <c r="N9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9" s="86">
        <f>_xlfn.XLOOKUP(Tabla2__2[[#This Row],[PREGUNTA]],ENCUESTA!G:G,ENCUESTA!H:H)</f>
        <v>0</v>
      </c>
      <c r="P99" s="86">
        <f>IF(Tabla2__2[[#This Row],[RTA]]=Tabla2__2[[#This Row],[RTA CORRECTA]],Tabla2__2[[#This Row],[TOTAL PUNTAJE]],0)</f>
        <v>0</v>
      </c>
      <c r="Q99" s="86">
        <f>IF(OR(H99="Dog Chow húmedo",H99="Cat Chow húmedo",H99="Fancy Feast",H99="Felix",H99="Proplan húmedo",H99="One húmedo",H99="Snack Abrazzos",H99="Snak Dentalife",H99="Arenilla Tidy Cat"),N99,0)</f>
        <v>0</v>
      </c>
      <c r="R99" s="86"/>
    </row>
    <row r="100" spans="1:18" hidden="1" x14ac:dyDescent="0.35">
      <c r="A100" s="86" t="s">
        <v>91</v>
      </c>
      <c r="B100" s="86" t="s">
        <v>152</v>
      </c>
      <c r="C100" s="85" t="s">
        <v>15</v>
      </c>
      <c r="D100" s="86" t="s">
        <v>15</v>
      </c>
      <c r="E100" s="87">
        <v>455609</v>
      </c>
      <c r="F100" s="86" t="s">
        <v>154</v>
      </c>
      <c r="G100" s="86" t="s">
        <v>83</v>
      </c>
      <c r="H100" s="86" t="s">
        <v>20</v>
      </c>
      <c r="I100" s="88"/>
      <c r="J100" s="87">
        <v>31364139</v>
      </c>
      <c r="K100" s="86" t="s">
        <v>160</v>
      </c>
      <c r="L100" s="86" t="str">
        <f>_xlfn.XLOOKUP(Tabla2__2[[#This Row],[CODIGO RUTA]],'DATA INFORME'!I:I,'DATA INFORME'!K:K)</f>
        <v>SI</v>
      </c>
      <c r="M100" s="86" t="str">
        <f>IF(Tabla2__2[[#This Row],[MYSTERY EFECTIVO]]="SI",_xlfn.XLOOKUP(Tabla2__2[[#This Row],[PREGUNTA]],ENCUESTA!G:G,ENCUESTA!D:D),"N/A")</f>
        <v>HORARIO</v>
      </c>
      <c r="N10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00" s="86" t="str">
        <f>_xlfn.XLOOKUP(Tabla2__2[[#This Row],[PREGUNTA]],ENCUESTA!G:G,ENCUESTA!H:H)</f>
        <v>SI</v>
      </c>
      <c r="P100" s="86">
        <f>IF(Tabla2__2[[#This Row],[RTA]]=Tabla2__2[[#This Row],[RTA CORRECTA]],Tabla2__2[[#This Row],[TOTAL PUNTAJE]],0)</f>
        <v>20</v>
      </c>
      <c r="Q100" s="86">
        <f>IF(OR(H100="Dog Chow húmedo",H100="Cat Chow húmedo",H100="Fancy Feast",H100="Felix",H100="Proplan húmedo",H100="One húmedo",H100="Snack Abrazzos",H100="Snak Dentalife",H100="Arenilla Tidy Cat"),N100,0)</f>
        <v>0</v>
      </c>
      <c r="R100" s="86"/>
    </row>
    <row r="101" spans="1:18" hidden="1" x14ac:dyDescent="0.35">
      <c r="A101" s="86" t="s">
        <v>91</v>
      </c>
      <c r="B101" s="86" t="s">
        <v>152</v>
      </c>
      <c r="C101" s="85" t="s">
        <v>15</v>
      </c>
      <c r="D101" s="86" t="s">
        <v>15</v>
      </c>
      <c r="E101" s="87">
        <v>455609</v>
      </c>
      <c r="F101" s="86" t="s">
        <v>154</v>
      </c>
      <c r="G101" s="86" t="s">
        <v>84</v>
      </c>
      <c r="H101" s="86" t="s">
        <v>20</v>
      </c>
      <c r="I101" s="88"/>
      <c r="J101" s="87">
        <v>31364139</v>
      </c>
      <c r="K101" s="86" t="s">
        <v>160</v>
      </c>
      <c r="L101" s="86" t="str">
        <f>_xlfn.XLOOKUP(Tabla2__2[[#This Row],[CODIGO RUTA]],'DATA INFORME'!I:I,'DATA INFORME'!K:K)</f>
        <v>SI</v>
      </c>
      <c r="M101" s="86" t="str">
        <f>IF(Tabla2__2[[#This Row],[MYSTERY EFECTIVO]]="SI",_xlfn.XLOOKUP(Tabla2__2[[#This Row],[PREGUNTA]],ENCUESTA!G:G,ENCUESTA!D:D),"N/A")</f>
        <v>UNIFORME</v>
      </c>
      <c r="N10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1" s="86" t="str">
        <f>_xlfn.XLOOKUP(Tabla2__2[[#This Row],[PREGUNTA]],ENCUESTA!G:G,ENCUESTA!H:H)</f>
        <v>SI</v>
      </c>
      <c r="P101" s="86">
        <f>IF(Tabla2__2[[#This Row],[RTA]]=Tabla2__2[[#This Row],[RTA CORRECTA]],Tabla2__2[[#This Row],[TOTAL PUNTAJE]],0)</f>
        <v>1.5</v>
      </c>
      <c r="Q101" s="86">
        <f>IF(OR(H101="Dog Chow húmedo",H101="Cat Chow húmedo",H101="Fancy Feast",H101="Felix",H101="Proplan húmedo",H101="One húmedo",H101="Snack Abrazzos",H101="Snak Dentalife",H101="Arenilla Tidy Cat"),N101,0)</f>
        <v>0</v>
      </c>
      <c r="R101" s="86"/>
    </row>
    <row r="102" spans="1:18" hidden="1" x14ac:dyDescent="0.35">
      <c r="A102" s="86" t="s">
        <v>91</v>
      </c>
      <c r="B102" s="86" t="s">
        <v>152</v>
      </c>
      <c r="C102" s="85" t="s">
        <v>15</v>
      </c>
      <c r="D102" s="86" t="s">
        <v>15</v>
      </c>
      <c r="E102" s="87">
        <v>455609</v>
      </c>
      <c r="F102" s="86" t="s">
        <v>154</v>
      </c>
      <c r="G102" s="86" t="s">
        <v>100</v>
      </c>
      <c r="H102" s="86" t="s">
        <v>20</v>
      </c>
      <c r="I102" s="88"/>
      <c r="J102" s="87">
        <v>31364139</v>
      </c>
      <c r="K102" s="86" t="s">
        <v>160</v>
      </c>
      <c r="L102" s="86" t="str">
        <f>_xlfn.XLOOKUP(Tabla2__2[[#This Row],[CODIGO RUTA]],'DATA INFORME'!I:I,'DATA INFORME'!K:K)</f>
        <v>SI</v>
      </c>
      <c r="M102" s="86" t="str">
        <f>IF(Tabla2__2[[#This Row],[MYSTERY EFECTIVO]]="SI",_xlfn.XLOOKUP(Tabla2__2[[#This Row],[PREGUNTA]],ENCUESTA!G:G,ENCUESTA!D:D),"N/A")</f>
        <v>UNIFORME</v>
      </c>
      <c r="N10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2" s="86" t="str">
        <f>_xlfn.XLOOKUP(Tabla2__2[[#This Row],[PREGUNTA]],ENCUESTA!G:G,ENCUESTA!H:H)</f>
        <v>SI</v>
      </c>
      <c r="P102" s="86">
        <f>IF(Tabla2__2[[#This Row],[RTA]]=Tabla2__2[[#This Row],[RTA CORRECTA]],Tabla2__2[[#This Row],[TOTAL PUNTAJE]],0)</f>
        <v>1.5</v>
      </c>
      <c r="Q102" s="86">
        <f>IF(OR(H102="Dog Chow húmedo",H102="Cat Chow húmedo",H102="Fancy Feast",H102="Felix",H102="Proplan húmedo",H102="One húmedo",H102="Snack Abrazzos",H102="Snak Dentalife",H102="Arenilla Tidy Cat"),N102,0)</f>
        <v>0</v>
      </c>
      <c r="R102" s="86"/>
    </row>
    <row r="103" spans="1:18" hidden="1" x14ac:dyDescent="0.35">
      <c r="A103" s="86" t="s">
        <v>91</v>
      </c>
      <c r="B103" s="86" t="s">
        <v>152</v>
      </c>
      <c r="C103" s="85" t="s">
        <v>15</v>
      </c>
      <c r="D103" s="86" t="s">
        <v>15</v>
      </c>
      <c r="E103" s="87">
        <v>455609</v>
      </c>
      <c r="F103" s="86" t="s">
        <v>154</v>
      </c>
      <c r="G103" s="86" t="s">
        <v>35</v>
      </c>
      <c r="H103" s="86" t="s">
        <v>20</v>
      </c>
      <c r="I103" s="88"/>
      <c r="J103" s="87">
        <v>31364139</v>
      </c>
      <c r="K103" s="86" t="s">
        <v>160</v>
      </c>
      <c r="L103" s="86" t="str">
        <f>_xlfn.XLOOKUP(Tabla2__2[[#This Row],[CODIGO RUTA]],'DATA INFORME'!I:I,'DATA INFORME'!K:K)</f>
        <v>SI</v>
      </c>
      <c r="M103" s="86" t="str">
        <f>IF(Tabla2__2[[#This Row],[MYSTERY EFECTIVO]]="SI",_xlfn.XLOOKUP(Tabla2__2[[#This Row],[PREGUNTA]],ENCUESTA!G:G,ENCUESTA!D:D),"N/A")</f>
        <v>UNIFORME</v>
      </c>
      <c r="N10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3" s="86" t="str">
        <f>_xlfn.XLOOKUP(Tabla2__2[[#This Row],[PREGUNTA]],ENCUESTA!G:G,ENCUESTA!H:H)</f>
        <v>SI</v>
      </c>
      <c r="P103" s="86">
        <f>IF(Tabla2__2[[#This Row],[RTA]]=Tabla2__2[[#This Row],[RTA CORRECTA]],Tabla2__2[[#This Row],[TOTAL PUNTAJE]],0)</f>
        <v>1.5</v>
      </c>
      <c r="Q103" s="86">
        <f>IF(OR(H103="Dog Chow húmedo",H103="Cat Chow húmedo",H103="Fancy Feast",H103="Felix",H103="Proplan húmedo",H103="One húmedo",H103="Snack Abrazzos",H103="Snak Dentalife",H103="Arenilla Tidy Cat"),N103,0)</f>
        <v>0</v>
      </c>
      <c r="R103" s="86"/>
    </row>
    <row r="104" spans="1:18" hidden="1" x14ac:dyDescent="0.35">
      <c r="A104" s="86" t="s">
        <v>91</v>
      </c>
      <c r="B104" s="86" t="s">
        <v>152</v>
      </c>
      <c r="C104" s="85" t="s">
        <v>15</v>
      </c>
      <c r="D104" s="86" t="s">
        <v>15</v>
      </c>
      <c r="E104" s="87">
        <v>455609</v>
      </c>
      <c r="F104" s="86" t="s">
        <v>154</v>
      </c>
      <c r="G104" s="86" t="s">
        <v>101</v>
      </c>
      <c r="H104" s="86" t="s">
        <v>147</v>
      </c>
      <c r="I104" s="88"/>
      <c r="J104" s="87">
        <v>31364139</v>
      </c>
      <c r="K104" s="86" t="s">
        <v>160</v>
      </c>
      <c r="L104" s="86" t="str">
        <f>_xlfn.XLOOKUP(Tabla2__2[[#This Row],[CODIGO RUTA]],'DATA INFORME'!I:I,'DATA INFORME'!K:K)</f>
        <v>SI</v>
      </c>
      <c r="M104" s="86" t="str">
        <f>IF(Tabla2__2[[#This Row],[MYSTERY EFECTIVO]]="SI",_xlfn.XLOOKUP(Tabla2__2[[#This Row],[PREGUNTA]],ENCUESTA!G:G,ENCUESTA!D:D),"N/A")</f>
        <v>UNIFORME</v>
      </c>
      <c r="N10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4" s="86" t="str">
        <f>_xlfn.XLOOKUP(Tabla2__2[[#This Row],[PREGUNTA]],ENCUESTA!G:G,ENCUESTA!H:H)</f>
        <v xml:space="preserve"> NO</v>
      </c>
      <c r="P104" s="86">
        <f>IF(Tabla2__2[[#This Row],[RTA]]=Tabla2__2[[#This Row],[RTA CORRECTA]],Tabla2__2[[#This Row],[TOTAL PUNTAJE]],0)</f>
        <v>1.5</v>
      </c>
      <c r="Q104" s="86">
        <f>IF(OR(H104="Dog Chow húmedo",H104="Cat Chow húmedo",H104="Fancy Feast",H104="Felix",H104="Proplan húmedo",H104="One húmedo",H104="Snack Abrazzos",H104="Snak Dentalife",H104="Arenilla Tidy Cat"),N104,0)</f>
        <v>0</v>
      </c>
      <c r="R104" s="86"/>
    </row>
    <row r="105" spans="1:18" hidden="1" x14ac:dyDescent="0.35">
      <c r="A105" s="86" t="s">
        <v>91</v>
      </c>
      <c r="B105" s="86" t="s">
        <v>152</v>
      </c>
      <c r="C105" s="85" t="s">
        <v>15</v>
      </c>
      <c r="D105" s="86" t="s">
        <v>15</v>
      </c>
      <c r="E105" s="87">
        <v>455609</v>
      </c>
      <c r="F105" s="86" t="s">
        <v>154</v>
      </c>
      <c r="G105" s="86" t="s">
        <v>85</v>
      </c>
      <c r="H105" s="86" t="s">
        <v>20</v>
      </c>
      <c r="I105" s="88"/>
      <c r="J105" s="87">
        <v>31364139</v>
      </c>
      <c r="K105" s="86" t="s">
        <v>160</v>
      </c>
      <c r="L105" s="86" t="str">
        <f>_xlfn.XLOOKUP(Tabla2__2[[#This Row],[CODIGO RUTA]],'DATA INFORME'!I:I,'DATA INFORME'!K:K)</f>
        <v>SI</v>
      </c>
      <c r="M105" s="86" t="str">
        <f>IF(Tabla2__2[[#This Row],[MYSTERY EFECTIVO]]="SI",_xlfn.XLOOKUP(Tabla2__2[[#This Row],[PREGUNTA]],ENCUESTA!G:G,ENCUESTA!D:D),"N/A")</f>
        <v>UNIFORME</v>
      </c>
      <c r="N10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5" s="86" t="str">
        <f>_xlfn.XLOOKUP(Tabla2__2[[#This Row],[PREGUNTA]],ENCUESTA!G:G,ENCUESTA!H:H)</f>
        <v>SI</v>
      </c>
      <c r="P105" s="86">
        <f>IF(Tabla2__2[[#This Row],[RTA]]=Tabla2__2[[#This Row],[RTA CORRECTA]],Tabla2__2[[#This Row],[TOTAL PUNTAJE]],0)</f>
        <v>1.5</v>
      </c>
      <c r="Q105" s="86">
        <f>IF(OR(H105="Dog Chow húmedo",H105="Cat Chow húmedo",H105="Fancy Feast",H105="Felix",H105="Proplan húmedo",H105="One húmedo",H105="Snack Abrazzos",H105="Snak Dentalife",H105="Arenilla Tidy Cat"),N105,0)</f>
        <v>0</v>
      </c>
      <c r="R105" s="86"/>
    </row>
    <row r="106" spans="1:18" hidden="1" x14ac:dyDescent="0.35">
      <c r="A106" s="86" t="s">
        <v>91</v>
      </c>
      <c r="B106" s="86" t="s">
        <v>152</v>
      </c>
      <c r="C106" s="85" t="s">
        <v>15</v>
      </c>
      <c r="D106" s="86" t="s">
        <v>15</v>
      </c>
      <c r="E106" s="87">
        <v>455609</v>
      </c>
      <c r="F106" s="86" t="s">
        <v>154</v>
      </c>
      <c r="G106" s="86" t="s">
        <v>86</v>
      </c>
      <c r="H106" s="86" t="s">
        <v>20</v>
      </c>
      <c r="I106" s="88"/>
      <c r="J106" s="87">
        <v>31364139</v>
      </c>
      <c r="K106" s="86" t="s">
        <v>160</v>
      </c>
      <c r="L106" s="86" t="str">
        <f>_xlfn.XLOOKUP(Tabla2__2[[#This Row],[CODIGO RUTA]],'DATA INFORME'!I:I,'DATA INFORME'!K:K)</f>
        <v>SI</v>
      </c>
      <c r="M106" s="86" t="str">
        <f>IF(Tabla2__2[[#This Row],[MYSTERY EFECTIVO]]="SI",_xlfn.XLOOKUP(Tabla2__2[[#This Row],[PREGUNTA]],ENCUESTA!G:G,ENCUESTA!D:D),"N/A")</f>
        <v>UNIFORME</v>
      </c>
      <c r="N10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6" s="86" t="str">
        <f>_xlfn.XLOOKUP(Tabla2__2[[#This Row],[PREGUNTA]],ENCUESTA!G:G,ENCUESTA!H:H)</f>
        <v>SI</v>
      </c>
      <c r="P106" s="86">
        <f>IF(Tabla2__2[[#This Row],[RTA]]=Tabla2__2[[#This Row],[RTA CORRECTA]],Tabla2__2[[#This Row],[TOTAL PUNTAJE]],0)</f>
        <v>1.5</v>
      </c>
      <c r="Q106" s="86">
        <f>IF(OR(H106="Dog Chow húmedo",H106="Cat Chow húmedo",H106="Fancy Feast",H106="Felix",H106="Proplan húmedo",H106="One húmedo",H106="Snack Abrazzos",H106="Snak Dentalife",H106="Arenilla Tidy Cat"),N106,0)</f>
        <v>0</v>
      </c>
      <c r="R106" s="86"/>
    </row>
    <row r="107" spans="1:18" hidden="1" x14ac:dyDescent="0.35">
      <c r="A107" s="86" t="s">
        <v>91</v>
      </c>
      <c r="B107" s="86" t="s">
        <v>152</v>
      </c>
      <c r="C107" s="85" t="s">
        <v>15</v>
      </c>
      <c r="D107" s="86" t="s">
        <v>15</v>
      </c>
      <c r="E107" s="87">
        <v>455609</v>
      </c>
      <c r="F107" s="86" t="s">
        <v>154</v>
      </c>
      <c r="G107" s="86" t="s">
        <v>87</v>
      </c>
      <c r="H107" s="86" t="s">
        <v>147</v>
      </c>
      <c r="I107" s="88"/>
      <c r="J107" s="87">
        <v>31364139</v>
      </c>
      <c r="K107" s="86" t="s">
        <v>160</v>
      </c>
      <c r="L107" s="86" t="str">
        <f>_xlfn.XLOOKUP(Tabla2__2[[#This Row],[CODIGO RUTA]],'DATA INFORME'!I:I,'DATA INFORME'!K:K)</f>
        <v>SI</v>
      </c>
      <c r="M107" s="86" t="str">
        <f>IF(Tabla2__2[[#This Row],[MYSTERY EFECTIVO]]="SI",_xlfn.XLOOKUP(Tabla2__2[[#This Row],[PREGUNTA]],ENCUESTA!G:G,ENCUESTA!D:D),"N/A")</f>
        <v>UNIFORME</v>
      </c>
      <c r="N10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7" s="86" t="str">
        <f>_xlfn.XLOOKUP(Tabla2__2[[#This Row],[PREGUNTA]],ENCUESTA!G:G,ENCUESTA!H:H)</f>
        <v xml:space="preserve"> NO</v>
      </c>
      <c r="P107" s="86">
        <f>IF(Tabla2__2[[#This Row],[RTA]]=Tabla2__2[[#This Row],[RTA CORRECTA]],Tabla2__2[[#This Row],[TOTAL PUNTAJE]],0)</f>
        <v>1.5</v>
      </c>
      <c r="Q107" s="86">
        <f>IF(OR(H107="Dog Chow húmedo",H107="Cat Chow húmedo",H107="Fancy Feast",H107="Felix",H107="Proplan húmedo",H107="One húmedo",H107="Snack Abrazzos",H107="Snak Dentalife",H107="Arenilla Tidy Cat"),N107,0)</f>
        <v>0</v>
      </c>
      <c r="R107" s="86"/>
    </row>
    <row r="108" spans="1:18" hidden="1" x14ac:dyDescent="0.35">
      <c r="A108" s="86" t="s">
        <v>91</v>
      </c>
      <c r="B108" s="86" t="s">
        <v>152</v>
      </c>
      <c r="C108" s="85" t="s">
        <v>15</v>
      </c>
      <c r="D108" s="86" t="s">
        <v>15</v>
      </c>
      <c r="E108" s="87">
        <v>455609</v>
      </c>
      <c r="F108" s="86" t="s">
        <v>154</v>
      </c>
      <c r="G108" s="86" t="s">
        <v>88</v>
      </c>
      <c r="H108" s="86" t="s">
        <v>147</v>
      </c>
      <c r="I108" s="88"/>
      <c r="J108" s="87">
        <v>31364139</v>
      </c>
      <c r="K108" s="86" t="s">
        <v>160</v>
      </c>
      <c r="L108" s="86" t="str">
        <f>_xlfn.XLOOKUP(Tabla2__2[[#This Row],[CODIGO RUTA]],'DATA INFORME'!I:I,'DATA INFORME'!K:K)</f>
        <v>SI</v>
      </c>
      <c r="M108" s="86" t="str">
        <f>IF(Tabla2__2[[#This Row],[MYSTERY EFECTIVO]]="SI",_xlfn.XLOOKUP(Tabla2__2[[#This Row],[PREGUNTA]],ENCUESTA!G:G,ENCUESTA!D:D),"N/A")</f>
        <v>UNIFORME</v>
      </c>
      <c r="N10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8" s="86" t="str">
        <f>_xlfn.XLOOKUP(Tabla2__2[[#This Row],[PREGUNTA]],ENCUESTA!G:G,ENCUESTA!H:H)</f>
        <v xml:space="preserve"> NO</v>
      </c>
      <c r="P108" s="86">
        <f>IF(Tabla2__2[[#This Row],[RTA]]=Tabla2__2[[#This Row],[RTA CORRECTA]],Tabla2__2[[#This Row],[TOTAL PUNTAJE]],0)</f>
        <v>1.5</v>
      </c>
      <c r="Q108" s="86">
        <f>IF(OR(H108="Dog Chow húmedo",H108="Cat Chow húmedo",H108="Fancy Feast",H108="Felix",H108="Proplan húmedo",H108="One húmedo",H108="Snack Abrazzos",H108="Snak Dentalife",H108="Arenilla Tidy Cat"),N108,0)</f>
        <v>0</v>
      </c>
      <c r="R108" s="86"/>
    </row>
    <row r="109" spans="1:18" hidden="1" x14ac:dyDescent="0.35">
      <c r="A109" s="86" t="s">
        <v>91</v>
      </c>
      <c r="B109" s="86" t="s">
        <v>152</v>
      </c>
      <c r="C109" s="85" t="s">
        <v>15</v>
      </c>
      <c r="D109" s="86" t="s">
        <v>15</v>
      </c>
      <c r="E109" s="87">
        <v>455609</v>
      </c>
      <c r="F109" s="86" t="s">
        <v>154</v>
      </c>
      <c r="G109" s="86" t="s">
        <v>89</v>
      </c>
      <c r="H109" s="86" t="s">
        <v>147</v>
      </c>
      <c r="I109" s="88"/>
      <c r="J109" s="87">
        <v>31364139</v>
      </c>
      <c r="K109" s="86" t="s">
        <v>160</v>
      </c>
      <c r="L109" s="86" t="str">
        <f>_xlfn.XLOOKUP(Tabla2__2[[#This Row],[CODIGO RUTA]],'DATA INFORME'!I:I,'DATA INFORME'!K:K)</f>
        <v>SI</v>
      </c>
      <c r="M109" s="86" t="str">
        <f>IF(Tabla2__2[[#This Row],[MYSTERY EFECTIVO]]="SI",_xlfn.XLOOKUP(Tabla2__2[[#This Row],[PREGUNTA]],ENCUESTA!G:G,ENCUESTA!D:D),"N/A")</f>
        <v>UNIFORME</v>
      </c>
      <c r="N10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9" s="86" t="str">
        <f>_xlfn.XLOOKUP(Tabla2__2[[#This Row],[PREGUNTA]],ENCUESTA!G:G,ENCUESTA!H:H)</f>
        <v xml:space="preserve"> NO</v>
      </c>
      <c r="P109" s="86">
        <f>IF(Tabla2__2[[#This Row],[RTA]]=Tabla2__2[[#This Row],[RTA CORRECTA]],Tabla2__2[[#This Row],[TOTAL PUNTAJE]],0)</f>
        <v>1.5</v>
      </c>
      <c r="Q109" s="86">
        <f>IF(OR(H109="Dog Chow húmedo",H109="Cat Chow húmedo",H109="Fancy Feast",H109="Felix",H109="Proplan húmedo",H109="One húmedo",H109="Snack Abrazzos",H109="Snak Dentalife",H109="Arenilla Tidy Cat"),N109,0)</f>
        <v>0</v>
      </c>
      <c r="R109" s="86"/>
    </row>
    <row r="110" spans="1:18" hidden="1" x14ac:dyDescent="0.35">
      <c r="A110" s="86" t="s">
        <v>91</v>
      </c>
      <c r="B110" s="86" t="s">
        <v>152</v>
      </c>
      <c r="C110" s="85" t="s">
        <v>15</v>
      </c>
      <c r="D110" s="86" t="s">
        <v>15</v>
      </c>
      <c r="E110" s="87">
        <v>455609</v>
      </c>
      <c r="F110" s="86" t="s">
        <v>154</v>
      </c>
      <c r="G110" s="86" t="s">
        <v>90</v>
      </c>
      <c r="H110" s="86" t="s">
        <v>147</v>
      </c>
      <c r="I110" s="88"/>
      <c r="J110" s="87">
        <v>31364139</v>
      </c>
      <c r="K110" s="86" t="s">
        <v>160</v>
      </c>
      <c r="L110" s="86" t="str">
        <f>_xlfn.XLOOKUP(Tabla2__2[[#This Row],[CODIGO RUTA]],'DATA INFORME'!I:I,'DATA INFORME'!K:K)</f>
        <v>SI</v>
      </c>
      <c r="M110" s="86" t="str">
        <f>IF(Tabla2__2[[#This Row],[MYSTERY EFECTIVO]]="SI",_xlfn.XLOOKUP(Tabla2__2[[#This Row],[PREGUNTA]],ENCUESTA!G:G,ENCUESTA!D:D),"N/A")</f>
        <v>UNIFORME</v>
      </c>
      <c r="N11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0" s="86" t="str">
        <f>_xlfn.XLOOKUP(Tabla2__2[[#This Row],[PREGUNTA]],ENCUESTA!G:G,ENCUESTA!H:H)</f>
        <v xml:space="preserve"> NO</v>
      </c>
      <c r="P110" s="86">
        <f>IF(Tabla2__2[[#This Row],[RTA]]=Tabla2__2[[#This Row],[RTA CORRECTA]],Tabla2__2[[#This Row],[TOTAL PUNTAJE]],0)</f>
        <v>1.5</v>
      </c>
      <c r="Q110" s="86">
        <f>IF(OR(H110="Dog Chow húmedo",H110="Cat Chow húmedo",H110="Fancy Feast",H110="Felix",H110="Proplan húmedo",H110="One húmedo",H110="Snack Abrazzos",H110="Snak Dentalife",H110="Arenilla Tidy Cat"),N110,0)</f>
        <v>0</v>
      </c>
      <c r="R110" s="86"/>
    </row>
    <row r="111" spans="1:18" hidden="1" x14ac:dyDescent="0.35">
      <c r="A111" s="86" t="s">
        <v>91</v>
      </c>
      <c r="B111" s="86" t="s">
        <v>152</v>
      </c>
      <c r="C111" s="85" t="s">
        <v>15</v>
      </c>
      <c r="D111" s="86" t="s">
        <v>15</v>
      </c>
      <c r="E111" s="87">
        <v>455609</v>
      </c>
      <c r="F111" s="86" t="s">
        <v>154</v>
      </c>
      <c r="G111" s="86" t="s">
        <v>117</v>
      </c>
      <c r="H111" s="86" t="s">
        <v>20</v>
      </c>
      <c r="I111" s="88"/>
      <c r="J111" s="87">
        <v>31364139</v>
      </c>
      <c r="K111" s="86" t="s">
        <v>160</v>
      </c>
      <c r="L111" s="86" t="str">
        <f>_xlfn.XLOOKUP(Tabla2__2[[#This Row],[CODIGO RUTA]],'DATA INFORME'!I:I,'DATA INFORME'!K:K)</f>
        <v>SI</v>
      </c>
      <c r="M111" s="86" t="str">
        <f>IF(Tabla2__2[[#This Row],[MYSTERY EFECTIVO]]="SI",_xlfn.XLOOKUP(Tabla2__2[[#This Row],[PREGUNTA]],ENCUESTA!G:G,ENCUESTA!D:D),"N/A")</f>
        <v>ABORDAJE</v>
      </c>
      <c r="N11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11" s="86" t="str">
        <f>_xlfn.XLOOKUP(Tabla2__2[[#This Row],[PREGUNTA]],ENCUESTA!G:G,ENCUESTA!H:H)</f>
        <v>SI</v>
      </c>
      <c r="P111" s="86">
        <f>IF(Tabla2__2[[#This Row],[RTA]]=Tabla2__2[[#This Row],[RTA CORRECTA]],Tabla2__2[[#This Row],[TOTAL PUNTAJE]],0)</f>
        <v>20</v>
      </c>
      <c r="Q111" s="86">
        <f>IF(OR(H111="Dog Chow húmedo",H111="Cat Chow húmedo",H111="Fancy Feast",H111="Felix",H111="Proplan húmedo",H111="One húmedo",H111="Snack Abrazzos",H111="Snak Dentalife",H111="Arenilla Tidy Cat"),N111,0)</f>
        <v>0</v>
      </c>
      <c r="R111" s="86"/>
    </row>
    <row r="112" spans="1:18" hidden="1" x14ac:dyDescent="0.35">
      <c r="A112" s="86" t="s">
        <v>91</v>
      </c>
      <c r="B112" s="86" t="s">
        <v>152</v>
      </c>
      <c r="C112" s="85" t="s">
        <v>15</v>
      </c>
      <c r="D112" s="86" t="s">
        <v>15</v>
      </c>
      <c r="E112" s="87">
        <v>455609</v>
      </c>
      <c r="F112" s="86" t="s">
        <v>154</v>
      </c>
      <c r="G112" s="86" t="s">
        <v>110</v>
      </c>
      <c r="H112" s="86" t="s">
        <v>20</v>
      </c>
      <c r="I112" s="88"/>
      <c r="J112" s="87">
        <v>31364139</v>
      </c>
      <c r="K112" s="86" t="s">
        <v>160</v>
      </c>
      <c r="L112" s="86" t="str">
        <f>_xlfn.XLOOKUP(Tabla2__2[[#This Row],[CODIGO RUTA]],'DATA INFORME'!I:I,'DATA INFORME'!K:K)</f>
        <v>SI</v>
      </c>
      <c r="M112" s="86" t="str">
        <f>IF(Tabla2__2[[#This Row],[MYSTERY EFECTIVO]]="SI",_xlfn.XLOOKUP(Tabla2__2[[#This Row],[PREGUNTA]],ENCUESTA!G:G,ENCUESTA!D:D),"N/A")</f>
        <v>PORTAFOLIO Y MANEJO DE OBJECIONES</v>
      </c>
      <c r="N11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1.4285714285714286</v>
      </c>
      <c r="O112" s="86" t="str">
        <f>_xlfn.XLOOKUP(Tabla2__2[[#This Row],[PREGUNTA]],ENCUESTA!G:G,ENCUESTA!H:H)</f>
        <v>SI</v>
      </c>
      <c r="P112" s="86">
        <f>IF(Tabla2__2[[#This Row],[RTA]]=Tabla2__2[[#This Row],[RTA CORRECTA]],Tabla2__2[[#This Row],[TOTAL PUNTAJE]],0)</f>
        <v>1.4285714285714286</v>
      </c>
      <c r="Q112" s="86">
        <f>IF(OR(H112="Dog Chow húmedo",H112="Cat Chow húmedo",H112="Fancy Feast",H112="Felix",H112="Proplan húmedo",H112="One húmedo",H112="Snack Abrazzos",H112="Snak Dentalife",H112="Arenilla Tidy Cat"),N112,0)</f>
        <v>0</v>
      </c>
      <c r="R112" s="86"/>
    </row>
    <row r="113" spans="1:23" hidden="1" x14ac:dyDescent="0.35">
      <c r="A113" s="86" t="s">
        <v>91</v>
      </c>
      <c r="B113" s="86" t="s">
        <v>152</v>
      </c>
      <c r="C113" s="85" t="s">
        <v>15</v>
      </c>
      <c r="D113" s="86" t="s">
        <v>15</v>
      </c>
      <c r="E113" s="87">
        <v>455609</v>
      </c>
      <c r="F113" s="86" t="s">
        <v>154</v>
      </c>
      <c r="G113" s="86" t="s">
        <v>118</v>
      </c>
      <c r="H113" s="86" t="s">
        <v>20</v>
      </c>
      <c r="I113" s="88"/>
      <c r="J113" s="87">
        <v>31364139</v>
      </c>
      <c r="K113" s="86" t="s">
        <v>160</v>
      </c>
      <c r="L113" s="86" t="str">
        <f>_xlfn.XLOOKUP(Tabla2__2[[#This Row],[CODIGO RUTA]],'DATA INFORME'!I:I,'DATA INFORME'!K:K)</f>
        <v>SI</v>
      </c>
      <c r="M113" s="86" t="str">
        <f>IF(Tabla2__2[[#This Row],[MYSTERY EFECTIVO]]="SI",_xlfn.XLOOKUP(Tabla2__2[[#This Row],[PREGUNTA]],ENCUESTA!G:G,ENCUESTA!D:D),"N/A")</f>
        <v>PORTAFOLIO Y MANEJO DE OBJECIONES</v>
      </c>
      <c r="N11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1.4285714285714286</v>
      </c>
      <c r="O113" s="86" t="str">
        <f>_xlfn.XLOOKUP(Tabla2__2[[#This Row],[PREGUNTA]],ENCUESTA!G:G,ENCUESTA!H:H)</f>
        <v>SI</v>
      </c>
      <c r="P113" s="86">
        <f>IF(Tabla2__2[[#This Row],[RTA]]=Tabla2__2[[#This Row],[RTA CORRECTA]],Tabla2__2[[#This Row],[TOTAL PUNTAJE]],0)</f>
        <v>1.4285714285714286</v>
      </c>
      <c r="Q113" s="86">
        <f>IF(OR(H113="Dog Chow húmedo",H113="Cat Chow húmedo",H113="Fancy Feast",H113="Felix",H113="Proplan húmedo",H113="One húmedo",H113="Snack Abrazzos",H113="Snak Dentalife",H113="Arenilla Tidy Cat"),N113,0)</f>
        <v>0</v>
      </c>
      <c r="R113" s="86"/>
    </row>
    <row r="114" spans="1:23" hidden="1" x14ac:dyDescent="0.35">
      <c r="A114" s="86" t="s">
        <v>91</v>
      </c>
      <c r="B114" s="86" t="s">
        <v>152</v>
      </c>
      <c r="C114" s="85" t="s">
        <v>15</v>
      </c>
      <c r="D114" s="86" t="s">
        <v>15</v>
      </c>
      <c r="E114" s="87">
        <v>455609</v>
      </c>
      <c r="F114" s="86" t="s">
        <v>154</v>
      </c>
      <c r="G114" s="86" t="s">
        <v>119</v>
      </c>
      <c r="H114" s="86" t="s">
        <v>209</v>
      </c>
      <c r="I114" s="88"/>
      <c r="J114" s="87">
        <v>31364139</v>
      </c>
      <c r="K114" s="86" t="s">
        <v>160</v>
      </c>
      <c r="L114" s="86" t="str">
        <f>_xlfn.XLOOKUP(Tabla2__2[[#This Row],[CODIGO RUTA]],'DATA INFORME'!I:I,'DATA INFORME'!K:K)</f>
        <v>SI</v>
      </c>
      <c r="M114" s="86" t="str">
        <f>IF(Tabla2__2[[#This Row],[MYSTERY EFECTIVO]]="SI",_xlfn.XLOOKUP(Tabla2__2[[#This Row],[PREGUNTA]],ENCUESTA!G:G,ENCUESTA!D:D),"N/A")</f>
        <v>PORTAFOLIO Y MANEJO DE OBJECIONES</v>
      </c>
      <c r="N11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1.4285714285714286</v>
      </c>
      <c r="O114" s="86" t="str">
        <f>_xlfn.XLOOKUP(Tabla2__2[[#This Row],[PREGUNTA]],ENCUESTA!G:G,ENCUESTA!H:H)</f>
        <v>SI</v>
      </c>
      <c r="P114" s="86">
        <f>IF(Tabla2__2[[#This Row],[RTA]]=Tabla2__2[[#This Row],[RTA CORRECTA]],Tabla2__2[[#This Row],[TOTAL PUNTAJE]],0)</f>
        <v>0</v>
      </c>
      <c r="Q114" s="86">
        <f>IF(OR(H114="Dog Chow húmedo",H114="Cat Chow húmedo",H114="Fancy Feast",H114="Felix",H114="Proplan húmedo",H114="One húmedo",H114="Snack Abrazzos",H114="Snak Dentalife",H114="Arenilla Tidy Cat"),N114,0)</f>
        <v>0</v>
      </c>
      <c r="R114" s="86"/>
    </row>
    <row r="115" spans="1:23" hidden="1" x14ac:dyDescent="0.35">
      <c r="A115" s="86" t="s">
        <v>91</v>
      </c>
      <c r="B115" s="86" t="s">
        <v>152</v>
      </c>
      <c r="C115" s="85" t="s">
        <v>15</v>
      </c>
      <c r="D115" s="86" t="s">
        <v>15</v>
      </c>
      <c r="E115" s="87">
        <v>455609</v>
      </c>
      <c r="F115" s="86" t="s">
        <v>154</v>
      </c>
      <c r="G115" s="86" t="s">
        <v>120</v>
      </c>
      <c r="H115" s="86" t="s">
        <v>20</v>
      </c>
      <c r="I115" s="88"/>
      <c r="J115" s="87">
        <v>31364139</v>
      </c>
      <c r="K115" s="86" t="s">
        <v>160</v>
      </c>
      <c r="L115" s="86" t="str">
        <f>_xlfn.XLOOKUP(Tabla2__2[[#This Row],[CODIGO RUTA]],'DATA INFORME'!I:I,'DATA INFORME'!K:K)</f>
        <v>SI</v>
      </c>
      <c r="M115" s="86" t="str">
        <f>IF(Tabla2__2[[#This Row],[MYSTERY EFECTIVO]]="SI",_xlfn.XLOOKUP(Tabla2__2[[#This Row],[PREGUNTA]],ENCUESTA!G:G,ENCUESTA!D:D),"N/A")</f>
        <v>PORTAFOLIO Y MANEJO DE OBJECIONES</v>
      </c>
      <c r="N11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1.4285714285714286</v>
      </c>
      <c r="O115" s="86" t="str">
        <f>_xlfn.XLOOKUP(Tabla2__2[[#This Row],[PREGUNTA]],ENCUESTA!G:G,ENCUESTA!H:H)</f>
        <v>SI</v>
      </c>
      <c r="P115" s="86">
        <f>IF(Tabla2__2[[#This Row],[RTA]]=Tabla2__2[[#This Row],[RTA CORRECTA]],Tabla2__2[[#This Row],[TOTAL PUNTAJE]],0)</f>
        <v>1.4285714285714286</v>
      </c>
      <c r="Q115" s="86">
        <f>IF(OR(H115="Dog Chow húmedo",H115="Cat Chow húmedo",H115="Fancy Feast",H115="Felix",H115="Proplan húmedo",H115="One húmedo",H115="Snack Abrazzos",H115="Snak Dentalife",H115="Arenilla Tidy Cat"),N115,0)</f>
        <v>0</v>
      </c>
      <c r="R115" s="86"/>
    </row>
    <row r="116" spans="1:23" hidden="1" x14ac:dyDescent="0.35">
      <c r="A116" s="86" t="s">
        <v>91</v>
      </c>
      <c r="B116" s="86" t="s">
        <v>152</v>
      </c>
      <c r="C116" s="85" t="s">
        <v>15</v>
      </c>
      <c r="D116" s="86" t="s">
        <v>15</v>
      </c>
      <c r="E116" s="87">
        <v>455609</v>
      </c>
      <c r="F116" s="86" t="s">
        <v>154</v>
      </c>
      <c r="G116" s="86" t="s">
        <v>121</v>
      </c>
      <c r="H116" s="86" t="s">
        <v>20</v>
      </c>
      <c r="I116" s="88"/>
      <c r="J116" s="87">
        <v>31364139</v>
      </c>
      <c r="K116" s="86" t="s">
        <v>160</v>
      </c>
      <c r="L116" s="86" t="str">
        <f>_xlfn.XLOOKUP(Tabla2__2[[#This Row],[CODIGO RUTA]],'DATA INFORME'!I:I,'DATA INFORME'!K:K)</f>
        <v>SI</v>
      </c>
      <c r="M116" s="86" t="str">
        <f>IF(Tabla2__2[[#This Row],[MYSTERY EFECTIVO]]="SI",_xlfn.XLOOKUP(Tabla2__2[[#This Row],[PREGUNTA]],ENCUESTA!G:G,ENCUESTA!D:D),"N/A")</f>
        <v>PORTAFOLIO Y MANEJO DE OBJECIONES</v>
      </c>
      <c r="N11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1.4285714285714286</v>
      </c>
      <c r="O116" s="86" t="str">
        <f>_xlfn.XLOOKUP(Tabla2__2[[#This Row],[PREGUNTA]],ENCUESTA!G:G,ENCUESTA!H:H)</f>
        <v>SI</v>
      </c>
      <c r="P116" s="86">
        <f>IF(Tabla2__2[[#This Row],[RTA]]=Tabla2__2[[#This Row],[RTA CORRECTA]],Tabla2__2[[#This Row],[TOTAL PUNTAJE]],0)</f>
        <v>1.4285714285714286</v>
      </c>
      <c r="Q116" s="86">
        <f>IF(OR(H116="Dog Chow húmedo",H116="Cat Chow húmedo",H116="Fancy Feast",H116="Felix",H116="Proplan húmedo",H116="One húmedo",H116="Snack Abrazzos",H116="Snak Dentalife",H116="Arenilla Tidy Cat"),N116,0)</f>
        <v>0</v>
      </c>
      <c r="R116" s="86"/>
    </row>
    <row r="117" spans="1:23" hidden="1" x14ac:dyDescent="0.35">
      <c r="A117" s="86" t="s">
        <v>91</v>
      </c>
      <c r="B117" s="86" t="s">
        <v>152</v>
      </c>
      <c r="C117" s="85" t="s">
        <v>15</v>
      </c>
      <c r="D117" s="86" t="s">
        <v>15</v>
      </c>
      <c r="E117" s="87">
        <v>455609</v>
      </c>
      <c r="F117" s="86" t="s">
        <v>154</v>
      </c>
      <c r="G117" s="86" t="s">
        <v>128</v>
      </c>
      <c r="H117" s="86" t="s">
        <v>20</v>
      </c>
      <c r="I117" s="88"/>
      <c r="J117" s="87">
        <v>31364139</v>
      </c>
      <c r="K117" s="86" t="s">
        <v>160</v>
      </c>
      <c r="L117" s="86" t="str">
        <f>_xlfn.XLOOKUP(Tabla2__2[[#This Row],[CODIGO RUTA]],'DATA INFORME'!I:I,'DATA INFORME'!K:K)</f>
        <v>SI</v>
      </c>
      <c r="M117" s="86" t="str">
        <f>IF(Tabla2__2[[#This Row],[MYSTERY EFECTIVO]]="SI",_xlfn.XLOOKUP(Tabla2__2[[#This Row],[PREGUNTA]],ENCUESTA!G:G,ENCUESTA!D:D),"N/A")</f>
        <v>PORTAFOLIO Y MANEJO DE OBJECIONES</v>
      </c>
      <c r="N11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1.4285714285714286</v>
      </c>
      <c r="O117" s="86" t="str">
        <f>_xlfn.XLOOKUP(Tabla2__2[[#This Row],[PREGUNTA]],ENCUESTA!G:G,ENCUESTA!H:H)</f>
        <v>SI</v>
      </c>
      <c r="P117" s="86">
        <f>IF(Tabla2__2[[#This Row],[RTA]]=Tabla2__2[[#This Row],[RTA CORRECTA]],Tabla2__2[[#This Row],[TOTAL PUNTAJE]],0)</f>
        <v>1.4285714285714286</v>
      </c>
      <c r="Q117" s="86">
        <f>IF(OR(H117="Dog Chow húmedo",H117="Cat Chow húmedo",H117="Fancy Feast",H117="Felix",H117="Proplan húmedo",H117="One húmedo",H117="Snack Abrazzos",H117="Snak Dentalife",H117="Arenilla Tidy Cat"),N117,0)</f>
        <v>0</v>
      </c>
      <c r="R117" s="86"/>
    </row>
    <row r="118" spans="1:23" hidden="1" x14ac:dyDescent="0.35">
      <c r="A118" s="86" t="s">
        <v>91</v>
      </c>
      <c r="B118" s="86" t="s">
        <v>152</v>
      </c>
      <c r="C118" s="85" t="s">
        <v>15</v>
      </c>
      <c r="D118" s="86" t="s">
        <v>15</v>
      </c>
      <c r="E118" s="87">
        <v>455609</v>
      </c>
      <c r="F118" s="86" t="s">
        <v>154</v>
      </c>
      <c r="G118" s="86" t="s">
        <v>122</v>
      </c>
      <c r="H118" s="86" t="s">
        <v>20</v>
      </c>
      <c r="I118" s="88"/>
      <c r="J118" s="87">
        <v>31364139</v>
      </c>
      <c r="K118" s="86" t="s">
        <v>160</v>
      </c>
      <c r="L118" s="86" t="str">
        <f>_xlfn.XLOOKUP(Tabla2__2[[#This Row],[CODIGO RUTA]],'DATA INFORME'!I:I,'DATA INFORME'!K:K)</f>
        <v>SI</v>
      </c>
      <c r="M118" s="86" t="str">
        <f>IF(Tabla2__2[[#This Row],[MYSTERY EFECTIVO]]="SI",_xlfn.XLOOKUP(Tabla2__2[[#This Row],[PREGUNTA]],ENCUESTA!G:G,ENCUESTA!D:D),"N/A")</f>
        <v>PORTAFOLIO Y MANEJO DE OBJECIONES</v>
      </c>
      <c r="N11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1.4285714285714286</v>
      </c>
      <c r="O118" s="86" t="str">
        <f>_xlfn.XLOOKUP(Tabla2__2[[#This Row],[PREGUNTA]],ENCUESTA!G:G,ENCUESTA!H:H)</f>
        <v>SI</v>
      </c>
      <c r="P118" s="86">
        <f>IF(Tabla2__2[[#This Row],[RTA]]=Tabla2__2[[#This Row],[RTA CORRECTA]],Tabla2__2[[#This Row],[TOTAL PUNTAJE]],0)</f>
        <v>1.4285714285714286</v>
      </c>
      <c r="Q118" s="86">
        <f>IF(OR(H118="Dog Chow húmedo",H118="Cat Chow húmedo",H118="Fancy Feast",H118="Felix",H118="Proplan húmedo",H118="One húmedo",H118="Snack Abrazzos",H118="Snak Dentalife",H118="Arenilla Tidy Cat"),N118,0)</f>
        <v>0</v>
      </c>
      <c r="R118" s="86"/>
    </row>
    <row r="119" spans="1:23" hidden="1" x14ac:dyDescent="0.35">
      <c r="A119" s="86" t="s">
        <v>91</v>
      </c>
      <c r="B119" s="86" t="s">
        <v>152</v>
      </c>
      <c r="C119" s="85" t="s">
        <v>15</v>
      </c>
      <c r="D119" s="86" t="s">
        <v>15</v>
      </c>
      <c r="E119" s="87">
        <v>455609</v>
      </c>
      <c r="F119" s="86" t="s">
        <v>154</v>
      </c>
      <c r="G119" s="86" t="s">
        <v>102</v>
      </c>
      <c r="H119" s="86" t="s">
        <v>15</v>
      </c>
      <c r="I119" s="88"/>
      <c r="J119" s="87">
        <v>31364139</v>
      </c>
      <c r="K119" s="86" t="s">
        <v>160</v>
      </c>
      <c r="L119" s="86" t="str">
        <f>_xlfn.XLOOKUP(Tabla2__2[[#This Row],[CODIGO RUTA]],'DATA INFORME'!I:I,'DATA INFORME'!K:K)</f>
        <v>SI</v>
      </c>
      <c r="M119" s="86" t="str">
        <f>IF(Tabla2__2[[#This Row],[MYSTERY EFECTIVO]]="SI",_xlfn.XLOOKUP(Tabla2__2[[#This Row],[PREGUNTA]],ENCUESTA!G:G,ENCUESTA!D:D),"N/A")</f>
        <v>N/A</v>
      </c>
      <c r="N11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9" s="86">
        <f>_xlfn.XLOOKUP(Tabla2__2[[#This Row],[PREGUNTA]],ENCUESTA!G:G,ENCUESTA!H:H)</f>
        <v>0</v>
      </c>
      <c r="P119" s="86">
        <f>IF(Tabla2__2[[#This Row],[RTA]]=Tabla2__2[[#This Row],[RTA CORRECTA]],Tabla2__2[[#This Row],[TOTAL PUNTAJE]],0)</f>
        <v>0</v>
      </c>
      <c r="Q119" s="86">
        <f>IF(OR(H119="Dog Chow húmedo",H119="Cat Chow húmedo",H119="Fancy Feast",H119="Felix",H119="Proplan húmedo",H119="One húmedo",H119="Snack Abrazzos",H119="Snak Dentalife",H119="Arenilla Tidy Cat"),N119,0)</f>
        <v>0</v>
      </c>
      <c r="R119" s="86"/>
    </row>
    <row r="120" spans="1:23" hidden="1" x14ac:dyDescent="0.35">
      <c r="A120" s="86" t="s">
        <v>91</v>
      </c>
      <c r="B120" s="86" t="s">
        <v>152</v>
      </c>
      <c r="C120" s="85" t="s">
        <v>15</v>
      </c>
      <c r="D120" s="86" t="s">
        <v>15</v>
      </c>
      <c r="E120" s="87">
        <v>455609</v>
      </c>
      <c r="F120" s="86" t="s">
        <v>154</v>
      </c>
      <c r="G120" s="86" t="s">
        <v>161</v>
      </c>
      <c r="H120" s="86" t="s">
        <v>20</v>
      </c>
      <c r="I120" s="88"/>
      <c r="J120" s="87">
        <v>31364139</v>
      </c>
      <c r="K120" s="86" t="s">
        <v>160</v>
      </c>
      <c r="L120" s="86" t="str">
        <f>_xlfn.XLOOKUP(Tabla2__2[[#This Row],[CODIGO RUTA]],'DATA INFORME'!I:I,'DATA INFORME'!K:K)</f>
        <v>SI</v>
      </c>
      <c r="M120" s="86" t="str">
        <f>IF(Tabla2__2[[#This Row],[MYSTERY EFECTIVO]]="SI",_xlfn.XLOOKUP(Tabla2__2[[#This Row],[PREGUNTA]],ENCUESTA!G:G,ENCUESTA!D:D),"N/A")</f>
        <v>PORTAFOLIO Y MANEJO DE OBJECIONES</v>
      </c>
      <c r="N12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120" s="86" t="str">
        <f>_xlfn.XLOOKUP(Tabla2__2[[#This Row],[PREGUNTA]],ENCUESTA!G:G,ENCUESTA!H:H)</f>
        <v>SI</v>
      </c>
      <c r="P120" s="86">
        <f>IF(Tabla2__2[[#This Row],[RTA]]=Tabla2__2[[#This Row],[RTA CORRECTA]],Tabla2__2[[#This Row],[TOTAL PUNTAJE]],0)</f>
        <v>6.666666666666667</v>
      </c>
      <c r="Q120" s="86">
        <f>IF(OR(H120="Dog Chow húmedo",H120="Cat Chow húmedo",H120="Fancy Feast",H120="Felix",H120="Proplan húmedo",H120="One húmedo",H120="Snack Abrazzos",H120="Snak Dentalife",H120="Arenilla Tidy Cat"),N120,0)</f>
        <v>0</v>
      </c>
      <c r="R120" s="86"/>
    </row>
    <row r="121" spans="1:23" hidden="1" x14ac:dyDescent="0.35">
      <c r="A121" s="86" t="s">
        <v>91</v>
      </c>
      <c r="B121" s="86" t="s">
        <v>152</v>
      </c>
      <c r="C121" s="85" t="s">
        <v>15</v>
      </c>
      <c r="D121" s="86" t="s">
        <v>15</v>
      </c>
      <c r="E121" s="87">
        <v>455609</v>
      </c>
      <c r="F121" s="86" t="s">
        <v>154</v>
      </c>
      <c r="G121" s="86" t="s">
        <v>112</v>
      </c>
      <c r="H121" s="86" t="s">
        <v>20</v>
      </c>
      <c r="I121" s="88"/>
      <c r="J121" s="87">
        <v>31364139</v>
      </c>
      <c r="K121" s="86" t="s">
        <v>160</v>
      </c>
      <c r="L121" s="86" t="str">
        <f>_xlfn.XLOOKUP(Tabla2__2[[#This Row],[CODIGO RUTA]],'DATA INFORME'!I:I,'DATA INFORME'!K:K)</f>
        <v>SI</v>
      </c>
      <c r="M121" s="86" t="str">
        <f>IF(Tabla2__2[[#This Row],[MYSTERY EFECTIVO]]="SI",_xlfn.XLOOKUP(Tabla2__2[[#This Row],[PREGUNTA]],ENCUESTA!G:G,ENCUESTA!D:D),"N/A")</f>
        <v>PORTAFOLIO Y MANEJO DE OBJECIONES</v>
      </c>
      <c r="N12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121" s="86" t="str">
        <f>_xlfn.XLOOKUP(Tabla2__2[[#This Row],[PREGUNTA]],ENCUESTA!G:G,ENCUESTA!H:H)</f>
        <v>SI</v>
      </c>
      <c r="P121" s="86">
        <f>IF(Tabla2__2[[#This Row],[RTA]]=Tabla2__2[[#This Row],[RTA CORRECTA]],Tabla2__2[[#This Row],[TOTAL PUNTAJE]],0)</f>
        <v>6.666666666666667</v>
      </c>
      <c r="Q121" s="86">
        <f>IF(OR(H121="Dog Chow húmedo",H121="Cat Chow húmedo",H121="Fancy Feast",H121="Felix",H121="Proplan húmedo",H121="One húmedo",H121="Snack Abrazzos",H121="Snak Dentalife",H121="Arenilla Tidy Cat"),N121,0)</f>
        <v>0</v>
      </c>
      <c r="R121" s="86"/>
    </row>
    <row r="122" spans="1:23" hidden="1" x14ac:dyDescent="0.35">
      <c r="A122" s="86" t="s">
        <v>91</v>
      </c>
      <c r="B122" s="86" t="s">
        <v>152</v>
      </c>
      <c r="C122" s="85" t="s">
        <v>15</v>
      </c>
      <c r="D122" s="86" t="s">
        <v>15</v>
      </c>
      <c r="E122" s="87">
        <v>455609</v>
      </c>
      <c r="F122" s="86" t="s">
        <v>154</v>
      </c>
      <c r="G122" s="86" t="s">
        <v>111</v>
      </c>
      <c r="H122" s="86" t="s">
        <v>20</v>
      </c>
      <c r="I122" s="88"/>
      <c r="J122" s="87">
        <v>31364139</v>
      </c>
      <c r="K122" s="86" t="s">
        <v>160</v>
      </c>
      <c r="L122" s="86" t="str">
        <f>_xlfn.XLOOKUP(Tabla2__2[[#This Row],[CODIGO RUTA]],'DATA INFORME'!I:I,'DATA INFORME'!K:K)</f>
        <v>SI</v>
      </c>
      <c r="M122" s="86" t="str">
        <f>IF(Tabla2__2[[#This Row],[MYSTERY EFECTIVO]]="SI",_xlfn.XLOOKUP(Tabla2__2[[#This Row],[PREGUNTA]],ENCUESTA!G:G,ENCUESTA!D:D),"N/A")</f>
        <v>PORTAFOLIO Y MANEJO DE OBJECIONES</v>
      </c>
      <c r="N12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122" s="86" t="str">
        <f>_xlfn.XLOOKUP(Tabla2__2[[#This Row],[PREGUNTA]],ENCUESTA!G:G,ENCUESTA!H:H)</f>
        <v>SI</v>
      </c>
      <c r="P122" s="86">
        <f>IF(Tabla2__2[[#This Row],[RTA]]=Tabla2__2[[#This Row],[RTA CORRECTA]],Tabla2__2[[#This Row],[TOTAL PUNTAJE]],0)</f>
        <v>6.666666666666667</v>
      </c>
      <c r="Q122" s="86">
        <f>IF(OR(H122="Dog Chow húmedo",H122="Cat Chow húmedo",H122="Fancy Feast",H122="Felix",H122="Proplan húmedo",H122="One húmedo",H122="Snack Abrazzos",H122="Snak Dentalife",H122="Arenilla Tidy Cat"),N122,0)</f>
        <v>0</v>
      </c>
      <c r="R122" s="86"/>
    </row>
    <row r="123" spans="1:23" hidden="1" x14ac:dyDescent="0.35">
      <c r="A123" s="86" t="s">
        <v>91</v>
      </c>
      <c r="B123" s="86" t="s">
        <v>152</v>
      </c>
      <c r="C123" s="85" t="s">
        <v>15</v>
      </c>
      <c r="D123" s="86" t="s">
        <v>15</v>
      </c>
      <c r="E123" s="87">
        <v>455609</v>
      </c>
      <c r="F123" s="86" t="s">
        <v>154</v>
      </c>
      <c r="G123" s="86" t="s">
        <v>103</v>
      </c>
      <c r="H123" s="86" t="s">
        <v>149</v>
      </c>
      <c r="I123" s="88"/>
      <c r="J123" s="87">
        <v>31364139</v>
      </c>
      <c r="K123" s="86" t="s">
        <v>160</v>
      </c>
      <c r="L123" s="86" t="str">
        <f>_xlfn.XLOOKUP(Tabla2__2[[#This Row],[CODIGO RUTA]],'DATA INFORME'!I:I,'DATA INFORME'!K:K)</f>
        <v>SI</v>
      </c>
      <c r="M123" s="86" t="str">
        <f>IF(Tabla2__2[[#This Row],[MYSTERY EFECTIVO]]="SI",_xlfn.XLOOKUP(Tabla2__2[[#This Row],[PREGUNTA]],ENCUESTA!G:G,ENCUESTA!D:D),"N/A")</f>
        <v>N/A</v>
      </c>
      <c r="N12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3" s="86">
        <f>_xlfn.XLOOKUP(Tabla2__2[[#This Row],[PREGUNTA]],ENCUESTA!G:G,ENCUESTA!H:H)</f>
        <v>0</v>
      </c>
      <c r="P123" s="86">
        <f>IF(Tabla2__2[[#This Row],[RTA]]=Tabla2__2[[#This Row],[RTA CORRECTA]],Tabla2__2[[#This Row],[TOTAL PUNTAJE]],0)</f>
        <v>0</v>
      </c>
      <c r="Q123" s="86">
        <f>IF(OR(H123="Dog Chow húmedo",H123="Cat Chow húmedo",H123="Fancy Feast",H123="Felix",H123="Proplan húmedo",H123="One húmedo",H123="Snack Abrazzos",H123="Snak Dentalife",H123="Arenilla Tidy Cat"),N123,0)</f>
        <v>0</v>
      </c>
      <c r="R123" s="86"/>
    </row>
    <row r="124" spans="1:23" hidden="1" x14ac:dyDescent="0.35">
      <c r="A124" s="86" t="s">
        <v>91</v>
      </c>
      <c r="B124" s="86" t="s">
        <v>152</v>
      </c>
      <c r="C124" s="85" t="s">
        <v>15</v>
      </c>
      <c r="D124" s="86" t="s">
        <v>15</v>
      </c>
      <c r="E124" s="87">
        <v>455609</v>
      </c>
      <c r="F124" s="86" t="s">
        <v>154</v>
      </c>
      <c r="G124" s="86" t="s">
        <v>104</v>
      </c>
      <c r="H124" s="86" t="s">
        <v>20</v>
      </c>
      <c r="I124" s="88"/>
      <c r="J124" s="87">
        <v>31364139</v>
      </c>
      <c r="K124" s="86" t="s">
        <v>160</v>
      </c>
      <c r="L124" s="86" t="str">
        <f>_xlfn.XLOOKUP(Tabla2__2[[#This Row],[CODIGO RUTA]],'DATA INFORME'!I:I,'DATA INFORME'!K:K)</f>
        <v>SI</v>
      </c>
      <c r="M124" s="86" t="str">
        <f>IF(Tabla2__2[[#This Row],[MYSTERY EFECTIVO]]="SI",_xlfn.XLOOKUP(Tabla2__2[[#This Row],[PREGUNTA]],ENCUESTA!G:G,ENCUESTA!D:D),"N/A")</f>
        <v>LABOR DE VENTA</v>
      </c>
      <c r="N12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24" s="86" t="str">
        <f>_xlfn.XLOOKUP(Tabla2__2[[#This Row],[PREGUNTA]],ENCUESTA!G:G,ENCUESTA!H:H)</f>
        <v>SI</v>
      </c>
      <c r="P124" s="86">
        <f>IF(Tabla2__2[[#This Row],[RTA]]=Tabla2__2[[#This Row],[RTA CORRECTA]],Tabla2__2[[#This Row],[TOTAL PUNTAJE]],0)</f>
        <v>3.75</v>
      </c>
      <c r="Q124" s="86">
        <f>IF(OR(H124="Dog Chow húmedo",H124="Cat Chow húmedo",H124="Fancy Feast",H124="Felix",H124="Proplan húmedo",H124="One húmedo",H124="Snack Abrazzos",H124="Snak Dentalife",H124="Arenilla Tidy Cat"),N124,0)</f>
        <v>0</v>
      </c>
      <c r="R124" s="86"/>
    </row>
    <row r="125" spans="1:23" s="83" customFormat="1" hidden="1" x14ac:dyDescent="0.35">
      <c r="A125" s="86" t="s">
        <v>91</v>
      </c>
      <c r="B125" s="86" t="s">
        <v>152</v>
      </c>
      <c r="C125" s="85" t="s">
        <v>15</v>
      </c>
      <c r="D125" s="86" t="s">
        <v>15</v>
      </c>
      <c r="E125" s="87">
        <v>455609</v>
      </c>
      <c r="F125" s="86" t="s">
        <v>154</v>
      </c>
      <c r="G125" s="86" t="s">
        <v>116</v>
      </c>
      <c r="H125" s="86" t="s">
        <v>20</v>
      </c>
      <c r="I125" s="88"/>
      <c r="J125" s="87">
        <v>31364139</v>
      </c>
      <c r="K125" s="86" t="s">
        <v>160</v>
      </c>
      <c r="L125" s="86" t="str">
        <f>_xlfn.XLOOKUP(Tabla2__2[[#This Row],[CODIGO RUTA]],'DATA INFORME'!I:I,'DATA INFORME'!K:K)</f>
        <v>SI</v>
      </c>
      <c r="M125" s="86" t="str">
        <f>IF(Tabla2__2[[#This Row],[MYSTERY EFECTIVO]]="SI",_xlfn.XLOOKUP(Tabla2__2[[#This Row],[PREGUNTA]],ENCUESTA!G:G,ENCUESTA!D:D),"N/A")</f>
        <v>LABOR DE VENTA</v>
      </c>
      <c r="N12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25" s="86" t="str">
        <f>_xlfn.XLOOKUP(Tabla2__2[[#This Row],[PREGUNTA]],ENCUESTA!G:G,ENCUESTA!H:H)</f>
        <v>SI</v>
      </c>
      <c r="P125" s="86">
        <f>IF(Tabla2__2[[#This Row],[RTA]]=Tabla2__2[[#This Row],[RTA CORRECTA]],Tabla2__2[[#This Row],[TOTAL PUNTAJE]],0)</f>
        <v>3.75</v>
      </c>
      <c r="Q125" s="86">
        <f>IF(OR(H125="Dog Chow húmedo",H125="Cat Chow húmedo",H125="Fancy Feast",H125="Felix",H125="Proplan húmedo",H125="One húmedo",H125="Snack Abrazzos",H125="Snak Dentalife",H125="Arenilla Tidy Cat"),N125,0)</f>
        <v>0</v>
      </c>
      <c r="R125" s="86"/>
      <c r="V125"/>
      <c r="W125"/>
    </row>
    <row r="126" spans="1:23" s="83" customFormat="1" hidden="1" x14ac:dyDescent="0.35">
      <c r="A126" s="86" t="s">
        <v>91</v>
      </c>
      <c r="B126" s="86" t="s">
        <v>152</v>
      </c>
      <c r="C126" s="85" t="s">
        <v>15</v>
      </c>
      <c r="D126" s="86" t="s">
        <v>15</v>
      </c>
      <c r="E126" s="87">
        <v>455609</v>
      </c>
      <c r="F126" s="86" t="s">
        <v>154</v>
      </c>
      <c r="G126" s="86" t="s">
        <v>105</v>
      </c>
      <c r="H126" s="86" t="s">
        <v>20</v>
      </c>
      <c r="I126" s="88"/>
      <c r="J126" s="87">
        <v>31364139</v>
      </c>
      <c r="K126" s="86" t="s">
        <v>160</v>
      </c>
      <c r="L126" s="86" t="str">
        <f>_xlfn.XLOOKUP(Tabla2__2[[#This Row],[CODIGO RUTA]],'DATA INFORME'!I:I,'DATA INFORME'!K:K)</f>
        <v>SI</v>
      </c>
      <c r="M126" s="86" t="str">
        <f>IF(Tabla2__2[[#This Row],[MYSTERY EFECTIVO]]="SI",_xlfn.XLOOKUP(Tabla2__2[[#This Row],[PREGUNTA]],ENCUESTA!G:G,ENCUESTA!D:D),"N/A")</f>
        <v>LABOR DE VENTA</v>
      </c>
      <c r="N12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26" s="86" t="str">
        <f>_xlfn.XLOOKUP(Tabla2__2[[#This Row],[PREGUNTA]],ENCUESTA!G:G,ENCUESTA!H:H)</f>
        <v>SI</v>
      </c>
      <c r="P126" s="86">
        <f>IF(Tabla2__2[[#This Row],[RTA]]=Tabla2__2[[#This Row],[RTA CORRECTA]],Tabla2__2[[#This Row],[TOTAL PUNTAJE]],0)</f>
        <v>3.75</v>
      </c>
      <c r="Q126" s="86">
        <f>IF(OR(H126="Dog Chow húmedo",H126="Cat Chow húmedo",H126="Fancy Feast",H126="Felix",H126="Proplan húmedo",H126="One húmedo",H126="Snack Abrazzos",H126="Snak Dentalife",H126="Arenilla Tidy Cat"),N126,0)</f>
        <v>0</v>
      </c>
      <c r="R126" s="86"/>
      <c r="V126"/>
      <c r="W126"/>
    </row>
    <row r="127" spans="1:23" s="83" customFormat="1" hidden="1" x14ac:dyDescent="0.35">
      <c r="A127" s="86" t="s">
        <v>91</v>
      </c>
      <c r="B127" s="86" t="s">
        <v>152</v>
      </c>
      <c r="C127" s="85" t="s">
        <v>15</v>
      </c>
      <c r="D127" s="86" t="s">
        <v>15</v>
      </c>
      <c r="E127" s="87">
        <v>455609</v>
      </c>
      <c r="F127" s="86" t="s">
        <v>154</v>
      </c>
      <c r="G127" s="86" t="s">
        <v>106</v>
      </c>
      <c r="H127" s="86" t="s">
        <v>20</v>
      </c>
      <c r="I127" s="88"/>
      <c r="J127" s="87">
        <v>31364139</v>
      </c>
      <c r="K127" s="86" t="s">
        <v>160</v>
      </c>
      <c r="L127" s="86" t="str">
        <f>_xlfn.XLOOKUP(Tabla2__2[[#This Row],[CODIGO RUTA]],'DATA INFORME'!I:I,'DATA INFORME'!K:K)</f>
        <v>SI</v>
      </c>
      <c r="M127" s="86" t="str">
        <f>IF(Tabla2__2[[#This Row],[MYSTERY EFECTIVO]]="SI",_xlfn.XLOOKUP(Tabla2__2[[#This Row],[PREGUNTA]],ENCUESTA!G:G,ENCUESTA!D:D),"N/A")</f>
        <v>LABOR DE VENTA</v>
      </c>
      <c r="N12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27" s="86" t="str">
        <f>_xlfn.XLOOKUP(Tabla2__2[[#This Row],[PREGUNTA]],ENCUESTA!G:G,ENCUESTA!H:H)</f>
        <v>SI</v>
      </c>
      <c r="P127" s="86">
        <f>IF(Tabla2__2[[#This Row],[RTA]]=Tabla2__2[[#This Row],[RTA CORRECTA]],Tabla2__2[[#This Row],[TOTAL PUNTAJE]],0)</f>
        <v>3.75</v>
      </c>
      <c r="Q127" s="86">
        <f>IF(OR(H127="Dog Chow húmedo",H127="Cat Chow húmedo",H127="Fancy Feast",H127="Felix",H127="Proplan húmedo",H127="One húmedo",H127="Snack Abrazzos",H127="Snak Dentalife",H127="Arenilla Tidy Cat"),N127,0)</f>
        <v>0</v>
      </c>
      <c r="R127" s="86"/>
      <c r="V127"/>
      <c r="W127"/>
    </row>
    <row r="128" spans="1:23" s="83" customFormat="1" hidden="1" x14ac:dyDescent="0.35">
      <c r="A128" s="86" t="s">
        <v>91</v>
      </c>
      <c r="B128" s="86" t="s">
        <v>152</v>
      </c>
      <c r="C128" s="85" t="s">
        <v>15</v>
      </c>
      <c r="D128" s="86" t="s">
        <v>15</v>
      </c>
      <c r="E128" s="87">
        <v>455609</v>
      </c>
      <c r="F128" s="86" t="s">
        <v>154</v>
      </c>
      <c r="G128" s="86" t="s">
        <v>107</v>
      </c>
      <c r="H128" s="86" t="s">
        <v>147</v>
      </c>
      <c r="I128" s="88"/>
      <c r="J128" s="87">
        <v>31364139</v>
      </c>
      <c r="K128" s="86" t="s">
        <v>160</v>
      </c>
      <c r="L128" s="86" t="str">
        <f>_xlfn.XLOOKUP(Tabla2__2[[#This Row],[CODIGO RUTA]],'DATA INFORME'!I:I,'DATA INFORME'!K:K)</f>
        <v>SI</v>
      </c>
      <c r="M128" s="86" t="str">
        <f>IF(Tabla2__2[[#This Row],[MYSTERY EFECTIVO]]="SI",_xlfn.XLOOKUP(Tabla2__2[[#This Row],[PREGUNTA]],ENCUESTA!G:G,ENCUESTA!D:D),"N/A")</f>
        <v>N/A</v>
      </c>
      <c r="N12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8" s="86">
        <f>_xlfn.XLOOKUP(Tabla2__2[[#This Row],[PREGUNTA]],ENCUESTA!G:G,ENCUESTA!H:H)</f>
        <v>0</v>
      </c>
      <c r="P128" s="86">
        <f>IF(Tabla2__2[[#This Row],[RTA]]=Tabla2__2[[#This Row],[RTA CORRECTA]],Tabla2__2[[#This Row],[TOTAL PUNTAJE]],0)</f>
        <v>0</v>
      </c>
      <c r="Q128" s="86">
        <f>IF(OR(H128="Dog Chow húmedo",H128="Cat Chow húmedo",H128="Fancy Feast",H128="Felix",H128="Proplan húmedo",H128="One húmedo",H128="Snack Abrazzos",H128="Snak Dentalife",H128="Arenilla Tidy Cat"),N128,0)</f>
        <v>0</v>
      </c>
      <c r="R128" s="86"/>
      <c r="V128"/>
      <c r="W128"/>
    </row>
    <row r="129" spans="1:23" s="83" customFormat="1" hidden="1" x14ac:dyDescent="0.35">
      <c r="A129" s="86" t="s">
        <v>91</v>
      </c>
      <c r="B129" s="86" t="s">
        <v>152</v>
      </c>
      <c r="C129" s="85" t="s">
        <v>15</v>
      </c>
      <c r="D129" s="86" t="s">
        <v>15</v>
      </c>
      <c r="E129" s="87">
        <v>455609</v>
      </c>
      <c r="F129" s="86" t="s">
        <v>154</v>
      </c>
      <c r="G129" s="86" t="s">
        <v>108</v>
      </c>
      <c r="H129" s="86" t="s">
        <v>162</v>
      </c>
      <c r="I129" s="88"/>
      <c r="J129" s="87">
        <v>31364139</v>
      </c>
      <c r="K129" s="86" t="s">
        <v>160</v>
      </c>
      <c r="L129" s="86" t="str">
        <f>_xlfn.XLOOKUP(Tabla2__2[[#This Row],[CODIGO RUTA]],'DATA INFORME'!I:I,'DATA INFORME'!K:K)</f>
        <v>SI</v>
      </c>
      <c r="M129" s="86" t="str">
        <f>IF(Tabla2__2[[#This Row],[MYSTERY EFECTIVO]]="SI",_xlfn.XLOOKUP(Tabla2__2[[#This Row],[PREGUNTA]],ENCUESTA!G:G,ENCUESTA!D:D),"N/A")</f>
        <v>N/A</v>
      </c>
      <c r="N12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9" s="86">
        <f>_xlfn.XLOOKUP(Tabla2__2[[#This Row],[PREGUNTA]],ENCUESTA!G:G,ENCUESTA!H:H)</f>
        <v>0</v>
      </c>
      <c r="P129" s="86">
        <f>IF(Tabla2__2[[#This Row],[RTA]]=Tabla2__2[[#This Row],[RTA CORRECTA]],Tabla2__2[[#This Row],[TOTAL PUNTAJE]],0)</f>
        <v>0</v>
      </c>
      <c r="Q129" s="86">
        <f>IF(OR(H129="Dog Chow húmedo",H129="Cat Chow húmedo",H129="Fancy Feast",H129="Felix",H129="Proplan húmedo",H129="One húmedo",H129="Snack Abrazzos",H129="Snak Dentalife",H129="Arenilla Tidy Cat"),N129,0)</f>
        <v>0</v>
      </c>
      <c r="R129" s="86"/>
      <c r="V129"/>
      <c r="W129"/>
    </row>
    <row r="130" spans="1:23" s="83" customFormat="1" hidden="1" x14ac:dyDescent="0.35">
      <c r="A130" s="86" t="s">
        <v>91</v>
      </c>
      <c r="B130" s="86" t="s">
        <v>131</v>
      </c>
      <c r="C130" s="85" t="s">
        <v>14</v>
      </c>
      <c r="D130" s="86" t="s">
        <v>14</v>
      </c>
      <c r="E130" s="87">
        <v>424803</v>
      </c>
      <c r="F130" s="86" t="s">
        <v>164</v>
      </c>
      <c r="G130" s="86" t="s">
        <v>128</v>
      </c>
      <c r="H130" s="86" t="s">
        <v>20</v>
      </c>
      <c r="I130" s="88"/>
      <c r="J130" s="87">
        <v>31427785</v>
      </c>
      <c r="K130" s="86" t="s">
        <v>94</v>
      </c>
      <c r="L130" s="86" t="str">
        <f>_xlfn.XLOOKUP(Tabla2__2[[#This Row],[CODIGO RUTA]],'DATA INFORME'!I:I,'DATA INFORME'!K:K)</f>
        <v>SI</v>
      </c>
      <c r="M130" s="86" t="str">
        <f>IF(Tabla2__2[[#This Row],[MYSTERY EFECTIVO]]="SI",_xlfn.XLOOKUP(Tabla2__2[[#This Row],[PREGUNTA]],ENCUESTA!G:G,ENCUESTA!D:D),"N/A")</f>
        <v>PORTAFOLIO Y MANEJO DE OBJECIONES</v>
      </c>
      <c r="N13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130" s="86" t="str">
        <f>_xlfn.XLOOKUP(Tabla2__2[[#This Row],[PREGUNTA]],ENCUESTA!G:G,ENCUESTA!H:H)</f>
        <v>SI</v>
      </c>
      <c r="P130" s="86">
        <f>IF(Tabla2__2[[#This Row],[RTA]]=Tabla2__2[[#This Row],[RTA CORRECTA]],Tabla2__2[[#This Row],[TOTAL PUNTAJE]],0)</f>
        <v>2.3076923076923075</v>
      </c>
      <c r="Q130" s="86">
        <f>IF(OR(H130="Dog Chow húmedo",H130="Cat Chow húmedo",H130="Fancy Feast",H130="Felix",H130="Proplan húmedo",H130="One húmedo",H130="Snack Abrazzos",H130="Snak Dentalife",H130="Arenilla Tidy Cat"),N130,0)</f>
        <v>0</v>
      </c>
      <c r="R130" s="86"/>
      <c r="V130"/>
      <c r="W130"/>
    </row>
    <row r="131" spans="1:23" s="83" customFormat="1" hidden="1" x14ac:dyDescent="0.35">
      <c r="A131" s="86" t="s">
        <v>91</v>
      </c>
      <c r="B131" s="86" t="s">
        <v>131</v>
      </c>
      <c r="C131" s="85" t="s">
        <v>14</v>
      </c>
      <c r="D131" s="86" t="s">
        <v>14</v>
      </c>
      <c r="E131" s="87">
        <v>424803</v>
      </c>
      <c r="F131" s="86" t="s">
        <v>164</v>
      </c>
      <c r="G131" s="86" t="s">
        <v>122</v>
      </c>
      <c r="H131" s="86" t="s">
        <v>20</v>
      </c>
      <c r="I131" s="88"/>
      <c r="J131" s="87">
        <v>31427785</v>
      </c>
      <c r="K131" s="86" t="s">
        <v>94</v>
      </c>
      <c r="L131" s="86" t="str">
        <f>_xlfn.XLOOKUP(Tabla2__2[[#This Row],[CODIGO RUTA]],'DATA INFORME'!I:I,'DATA INFORME'!K:K)</f>
        <v>SI</v>
      </c>
      <c r="M131" s="86" t="str">
        <f>IF(Tabla2__2[[#This Row],[MYSTERY EFECTIVO]]="SI",_xlfn.XLOOKUP(Tabla2__2[[#This Row],[PREGUNTA]],ENCUESTA!G:G,ENCUESTA!D:D),"N/A")</f>
        <v>PORTAFOLIO Y MANEJO DE OBJECIONES</v>
      </c>
      <c r="N13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131" s="86" t="str">
        <f>_xlfn.XLOOKUP(Tabla2__2[[#This Row],[PREGUNTA]],ENCUESTA!G:G,ENCUESTA!H:H)</f>
        <v>SI</v>
      </c>
      <c r="P131" s="86">
        <f>IF(Tabla2__2[[#This Row],[RTA]]=Tabla2__2[[#This Row],[RTA CORRECTA]],Tabla2__2[[#This Row],[TOTAL PUNTAJE]],0)</f>
        <v>2.3076923076923075</v>
      </c>
      <c r="Q131" s="86">
        <f>IF(OR(H131="Dog Chow húmedo",H131="Cat Chow húmedo",H131="Fancy Feast",H131="Felix",H131="Proplan húmedo",H131="One húmedo",H131="Snack Abrazzos",H131="Snak Dentalife",H131="Arenilla Tidy Cat"),N131,0)</f>
        <v>0</v>
      </c>
      <c r="R131" s="86"/>
      <c r="V131"/>
      <c r="W131"/>
    </row>
    <row r="132" spans="1:23" s="83" customFormat="1" hidden="1" x14ac:dyDescent="0.35">
      <c r="A132" s="86" t="s">
        <v>91</v>
      </c>
      <c r="B132" s="86" t="s">
        <v>131</v>
      </c>
      <c r="C132" s="85" t="s">
        <v>14</v>
      </c>
      <c r="D132" s="86" t="s">
        <v>14</v>
      </c>
      <c r="E132" s="87">
        <v>424803</v>
      </c>
      <c r="F132" s="86" t="s">
        <v>164</v>
      </c>
      <c r="G132" s="86" t="s">
        <v>102</v>
      </c>
      <c r="H132" s="86" t="s">
        <v>14</v>
      </c>
      <c r="I132" s="88"/>
      <c r="J132" s="87">
        <v>31427785</v>
      </c>
      <c r="K132" s="86" t="s">
        <v>94</v>
      </c>
      <c r="L132" s="86" t="str">
        <f>_xlfn.XLOOKUP(Tabla2__2[[#This Row],[CODIGO RUTA]],'DATA INFORME'!I:I,'DATA INFORME'!K:K)</f>
        <v>SI</v>
      </c>
      <c r="M132" s="86" t="str">
        <f>IF(Tabla2__2[[#This Row],[MYSTERY EFECTIVO]]="SI",_xlfn.XLOOKUP(Tabla2__2[[#This Row],[PREGUNTA]],ENCUESTA!G:G,ENCUESTA!D:D),"N/A")</f>
        <v>N/A</v>
      </c>
      <c r="N13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2" s="86">
        <f>_xlfn.XLOOKUP(Tabla2__2[[#This Row],[PREGUNTA]],ENCUESTA!G:G,ENCUESTA!H:H)</f>
        <v>0</v>
      </c>
      <c r="P132" s="86">
        <f>IF(Tabla2__2[[#This Row],[RTA]]=Tabla2__2[[#This Row],[RTA CORRECTA]],Tabla2__2[[#This Row],[TOTAL PUNTAJE]],0)</f>
        <v>0</v>
      </c>
      <c r="Q132" s="86">
        <f>IF(OR(H132="Dog Chow húmedo",H132="Cat Chow húmedo",H132="Fancy Feast",H132="Felix",H132="Proplan húmedo",H132="One húmedo",H132="Snack Abrazzos",H132="Snak Dentalife",H132="Arenilla Tidy Cat"),N132,0)</f>
        <v>0</v>
      </c>
      <c r="R132" s="86"/>
      <c r="V132"/>
      <c r="W132"/>
    </row>
    <row r="133" spans="1:23" s="83" customFormat="1" hidden="1" x14ac:dyDescent="0.35">
      <c r="A133" s="86" t="s">
        <v>91</v>
      </c>
      <c r="B133" s="86" t="s">
        <v>131</v>
      </c>
      <c r="C133" s="85" t="s">
        <v>14</v>
      </c>
      <c r="D133" s="86" t="s">
        <v>14</v>
      </c>
      <c r="E133" s="87">
        <v>424803</v>
      </c>
      <c r="F133" s="86" t="s">
        <v>164</v>
      </c>
      <c r="G133" s="86" t="s">
        <v>103</v>
      </c>
      <c r="H133" s="86" t="s">
        <v>169</v>
      </c>
      <c r="I133" s="88"/>
      <c r="J133" s="87">
        <v>31427785</v>
      </c>
      <c r="K133" s="86" t="s">
        <v>94</v>
      </c>
      <c r="L133" s="86" t="str">
        <f>_xlfn.XLOOKUP(Tabla2__2[[#This Row],[CODIGO RUTA]],'DATA INFORME'!I:I,'DATA INFORME'!K:K)</f>
        <v>SI</v>
      </c>
      <c r="M133" s="86" t="str">
        <f>IF(Tabla2__2[[#This Row],[MYSTERY EFECTIVO]]="SI",_xlfn.XLOOKUP(Tabla2__2[[#This Row],[PREGUNTA]],ENCUESTA!G:G,ENCUESTA!D:D),"N/A")</f>
        <v>N/A</v>
      </c>
      <c r="N13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3" s="86">
        <f>_xlfn.XLOOKUP(Tabla2__2[[#This Row],[PREGUNTA]],ENCUESTA!G:G,ENCUESTA!H:H)</f>
        <v>0</v>
      </c>
      <c r="P133" s="86">
        <f>IF(Tabla2__2[[#This Row],[RTA]]=Tabla2__2[[#This Row],[RTA CORRECTA]],Tabla2__2[[#This Row],[TOTAL PUNTAJE]],0)</f>
        <v>0</v>
      </c>
      <c r="Q133" s="86">
        <f>IF(OR(H133="Dog Chow húmedo",H133="Cat Chow húmedo",H133="Fancy Feast",H133="Felix",H133="Proplan húmedo",H133="One húmedo",H133="Snack Abrazzos",H133="Snak Dentalife",H133="Arenilla Tidy Cat"),N133,0)</f>
        <v>0</v>
      </c>
      <c r="R133" s="86"/>
      <c r="V133"/>
      <c r="W133"/>
    </row>
    <row r="134" spans="1:23" s="83" customFormat="1" hidden="1" x14ac:dyDescent="0.35">
      <c r="A134" s="86" t="s">
        <v>91</v>
      </c>
      <c r="B134" s="86" t="s">
        <v>131</v>
      </c>
      <c r="C134" s="85" t="s">
        <v>14</v>
      </c>
      <c r="D134" s="86" t="s">
        <v>14</v>
      </c>
      <c r="E134" s="87">
        <v>424803</v>
      </c>
      <c r="F134" s="86" t="s">
        <v>164</v>
      </c>
      <c r="G134" s="86" t="s">
        <v>104</v>
      </c>
      <c r="H134" s="86" t="s">
        <v>20</v>
      </c>
      <c r="I134" s="88"/>
      <c r="J134" s="87">
        <v>31427785</v>
      </c>
      <c r="K134" s="86" t="s">
        <v>94</v>
      </c>
      <c r="L134" s="86" t="str">
        <f>_xlfn.XLOOKUP(Tabla2__2[[#This Row],[CODIGO RUTA]],'DATA INFORME'!I:I,'DATA INFORME'!K:K)</f>
        <v>SI</v>
      </c>
      <c r="M134" s="86" t="str">
        <f>IF(Tabla2__2[[#This Row],[MYSTERY EFECTIVO]]="SI",_xlfn.XLOOKUP(Tabla2__2[[#This Row],[PREGUNTA]],ENCUESTA!G:G,ENCUESTA!D:D),"N/A")</f>
        <v>LABOR DE VENTA</v>
      </c>
      <c r="N13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34" s="86" t="str">
        <f>_xlfn.XLOOKUP(Tabla2__2[[#This Row],[PREGUNTA]],ENCUESTA!G:G,ENCUESTA!H:H)</f>
        <v>SI</v>
      </c>
      <c r="P134" s="86">
        <f>IF(Tabla2__2[[#This Row],[RTA]]=Tabla2__2[[#This Row],[RTA CORRECTA]],Tabla2__2[[#This Row],[TOTAL PUNTAJE]],0)</f>
        <v>3.75</v>
      </c>
      <c r="Q134" s="86">
        <f>IF(OR(H134="Dog Chow húmedo",H134="Cat Chow húmedo",H134="Fancy Feast",H134="Felix",H134="Proplan húmedo",H134="One húmedo",H134="Snack Abrazzos",H134="Snak Dentalife",H134="Arenilla Tidy Cat"),N134,0)</f>
        <v>0</v>
      </c>
      <c r="R134" s="86"/>
      <c r="V134"/>
      <c r="W134"/>
    </row>
    <row r="135" spans="1:23" s="83" customFormat="1" hidden="1" x14ac:dyDescent="0.35">
      <c r="A135" s="86" t="s">
        <v>91</v>
      </c>
      <c r="B135" s="86" t="s">
        <v>131</v>
      </c>
      <c r="C135" s="85" t="s">
        <v>14</v>
      </c>
      <c r="D135" s="86" t="s">
        <v>14</v>
      </c>
      <c r="E135" s="87">
        <v>424803</v>
      </c>
      <c r="F135" s="86" t="s">
        <v>164</v>
      </c>
      <c r="G135" s="86" t="s">
        <v>116</v>
      </c>
      <c r="H135" s="86" t="s">
        <v>20</v>
      </c>
      <c r="I135" s="88"/>
      <c r="J135" s="87">
        <v>31427785</v>
      </c>
      <c r="K135" s="86" t="s">
        <v>94</v>
      </c>
      <c r="L135" s="86" t="str">
        <f>_xlfn.XLOOKUP(Tabla2__2[[#This Row],[CODIGO RUTA]],'DATA INFORME'!I:I,'DATA INFORME'!K:K)</f>
        <v>SI</v>
      </c>
      <c r="M135" s="86" t="str">
        <f>IF(Tabla2__2[[#This Row],[MYSTERY EFECTIVO]]="SI",_xlfn.XLOOKUP(Tabla2__2[[#This Row],[PREGUNTA]],ENCUESTA!G:G,ENCUESTA!D:D),"N/A")</f>
        <v>LABOR DE VENTA</v>
      </c>
      <c r="N13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35" s="86" t="str">
        <f>_xlfn.XLOOKUP(Tabla2__2[[#This Row],[PREGUNTA]],ENCUESTA!G:G,ENCUESTA!H:H)</f>
        <v>SI</v>
      </c>
      <c r="P135" s="86">
        <f>IF(Tabla2__2[[#This Row],[RTA]]=Tabla2__2[[#This Row],[RTA CORRECTA]],Tabla2__2[[#This Row],[TOTAL PUNTAJE]],0)</f>
        <v>3.75</v>
      </c>
      <c r="Q135" s="86">
        <f>IF(OR(H135="Dog Chow húmedo",H135="Cat Chow húmedo",H135="Fancy Feast",H135="Felix",H135="Proplan húmedo",H135="One húmedo",H135="Snack Abrazzos",H135="Snak Dentalife",H135="Arenilla Tidy Cat"),N135,0)</f>
        <v>0</v>
      </c>
      <c r="R135" s="86"/>
      <c r="V135"/>
      <c r="W135"/>
    </row>
    <row r="136" spans="1:23" s="83" customFormat="1" hidden="1" x14ac:dyDescent="0.35">
      <c r="A136" s="86" t="s">
        <v>91</v>
      </c>
      <c r="B136" s="86" t="s">
        <v>131</v>
      </c>
      <c r="C136" s="85" t="s">
        <v>14</v>
      </c>
      <c r="D136" s="86" t="s">
        <v>14</v>
      </c>
      <c r="E136" s="87">
        <v>424803</v>
      </c>
      <c r="F136" s="86" t="s">
        <v>164</v>
      </c>
      <c r="G136" s="86" t="s">
        <v>105</v>
      </c>
      <c r="H136" s="86" t="s">
        <v>20</v>
      </c>
      <c r="I136" s="88"/>
      <c r="J136" s="87">
        <v>31427785</v>
      </c>
      <c r="K136" s="86" t="s">
        <v>94</v>
      </c>
      <c r="L136" s="86" t="str">
        <f>_xlfn.XLOOKUP(Tabla2__2[[#This Row],[CODIGO RUTA]],'DATA INFORME'!I:I,'DATA INFORME'!K:K)</f>
        <v>SI</v>
      </c>
      <c r="M136" s="86" t="str">
        <f>IF(Tabla2__2[[#This Row],[MYSTERY EFECTIVO]]="SI",_xlfn.XLOOKUP(Tabla2__2[[#This Row],[PREGUNTA]],ENCUESTA!G:G,ENCUESTA!D:D),"N/A")</f>
        <v>LABOR DE VENTA</v>
      </c>
      <c r="N13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36" s="86" t="str">
        <f>_xlfn.XLOOKUP(Tabla2__2[[#This Row],[PREGUNTA]],ENCUESTA!G:G,ENCUESTA!H:H)</f>
        <v>SI</v>
      </c>
      <c r="P136" s="86">
        <f>IF(Tabla2__2[[#This Row],[RTA]]=Tabla2__2[[#This Row],[RTA CORRECTA]],Tabla2__2[[#This Row],[TOTAL PUNTAJE]],0)</f>
        <v>3.75</v>
      </c>
      <c r="Q136" s="86">
        <f>IF(OR(H136="Dog Chow húmedo",H136="Cat Chow húmedo",H136="Fancy Feast",H136="Felix",H136="Proplan húmedo",H136="One húmedo",H136="Snack Abrazzos",H136="Snak Dentalife",H136="Arenilla Tidy Cat"),N136,0)</f>
        <v>0</v>
      </c>
      <c r="R136" s="86"/>
      <c r="V136"/>
      <c r="W136"/>
    </row>
    <row r="137" spans="1:23" s="83" customFormat="1" hidden="1" x14ac:dyDescent="0.35">
      <c r="A137" s="86" t="s">
        <v>91</v>
      </c>
      <c r="B137" s="86" t="s">
        <v>131</v>
      </c>
      <c r="C137" s="85" t="s">
        <v>14</v>
      </c>
      <c r="D137" s="86" t="s">
        <v>14</v>
      </c>
      <c r="E137" s="87">
        <v>424803</v>
      </c>
      <c r="F137" s="86" t="s">
        <v>164</v>
      </c>
      <c r="G137" s="86" t="s">
        <v>106</v>
      </c>
      <c r="H137" s="86" t="s">
        <v>20</v>
      </c>
      <c r="I137" s="88"/>
      <c r="J137" s="87">
        <v>31427785</v>
      </c>
      <c r="K137" s="86" t="s">
        <v>94</v>
      </c>
      <c r="L137" s="86" t="str">
        <f>_xlfn.XLOOKUP(Tabla2__2[[#This Row],[CODIGO RUTA]],'DATA INFORME'!I:I,'DATA INFORME'!K:K)</f>
        <v>SI</v>
      </c>
      <c r="M137" s="86" t="str">
        <f>IF(Tabla2__2[[#This Row],[MYSTERY EFECTIVO]]="SI",_xlfn.XLOOKUP(Tabla2__2[[#This Row],[PREGUNTA]],ENCUESTA!G:G,ENCUESTA!D:D),"N/A")</f>
        <v>LABOR DE VENTA</v>
      </c>
      <c r="N13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37" s="86" t="str">
        <f>_xlfn.XLOOKUP(Tabla2__2[[#This Row],[PREGUNTA]],ENCUESTA!G:G,ENCUESTA!H:H)</f>
        <v>SI</v>
      </c>
      <c r="P137" s="86">
        <f>IF(Tabla2__2[[#This Row],[RTA]]=Tabla2__2[[#This Row],[RTA CORRECTA]],Tabla2__2[[#This Row],[TOTAL PUNTAJE]],0)</f>
        <v>3.75</v>
      </c>
      <c r="Q137" s="86">
        <f>IF(OR(H137="Dog Chow húmedo",H137="Cat Chow húmedo",H137="Fancy Feast",H137="Felix",H137="Proplan húmedo",H137="One húmedo",H137="Snack Abrazzos",H137="Snak Dentalife",H137="Arenilla Tidy Cat"),N137,0)</f>
        <v>0</v>
      </c>
      <c r="R137" s="86"/>
      <c r="V137"/>
      <c r="W137"/>
    </row>
    <row r="138" spans="1:23" s="83" customFormat="1" hidden="1" x14ac:dyDescent="0.35">
      <c r="A138" s="86" t="s">
        <v>91</v>
      </c>
      <c r="B138" s="86" t="s">
        <v>131</v>
      </c>
      <c r="C138" s="85" t="s">
        <v>14</v>
      </c>
      <c r="D138" s="86" t="s">
        <v>14</v>
      </c>
      <c r="E138" s="87">
        <v>424803</v>
      </c>
      <c r="F138" s="86" t="s">
        <v>164</v>
      </c>
      <c r="G138" s="86" t="s">
        <v>107</v>
      </c>
      <c r="H138" s="86" t="s">
        <v>147</v>
      </c>
      <c r="I138" s="88"/>
      <c r="J138" s="87">
        <v>31427785</v>
      </c>
      <c r="K138" s="86" t="s">
        <v>94</v>
      </c>
      <c r="L138" s="86" t="str">
        <f>_xlfn.XLOOKUP(Tabla2__2[[#This Row],[CODIGO RUTA]],'DATA INFORME'!I:I,'DATA INFORME'!K:K)</f>
        <v>SI</v>
      </c>
      <c r="M138" s="86" t="str">
        <f>IF(Tabla2__2[[#This Row],[MYSTERY EFECTIVO]]="SI",_xlfn.XLOOKUP(Tabla2__2[[#This Row],[PREGUNTA]],ENCUESTA!G:G,ENCUESTA!D:D),"N/A")</f>
        <v>N/A</v>
      </c>
      <c r="N13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8" s="86">
        <f>_xlfn.XLOOKUP(Tabla2__2[[#This Row],[PREGUNTA]],ENCUESTA!G:G,ENCUESTA!H:H)</f>
        <v>0</v>
      </c>
      <c r="P138" s="86">
        <f>IF(Tabla2__2[[#This Row],[RTA]]=Tabla2__2[[#This Row],[RTA CORRECTA]],Tabla2__2[[#This Row],[TOTAL PUNTAJE]],0)</f>
        <v>0</v>
      </c>
      <c r="Q138" s="86">
        <f>IF(OR(H138="Dog Chow húmedo",H138="Cat Chow húmedo",H138="Fancy Feast",H138="Felix",H138="Proplan húmedo",H138="One húmedo",H138="Snack Abrazzos",H138="Snak Dentalife",H138="Arenilla Tidy Cat"),N138,0)</f>
        <v>0</v>
      </c>
      <c r="R138" s="86"/>
      <c r="V138"/>
      <c r="W138"/>
    </row>
    <row r="139" spans="1:23" s="83" customFormat="1" hidden="1" x14ac:dyDescent="0.35">
      <c r="A139" s="86" t="s">
        <v>91</v>
      </c>
      <c r="B139" s="86" t="s">
        <v>131</v>
      </c>
      <c r="C139" s="85" t="s">
        <v>14</v>
      </c>
      <c r="D139" s="86" t="s">
        <v>14</v>
      </c>
      <c r="E139" s="87">
        <v>424803</v>
      </c>
      <c r="F139" s="86" t="s">
        <v>164</v>
      </c>
      <c r="G139" s="86" t="s">
        <v>108</v>
      </c>
      <c r="H139" s="86" t="s">
        <v>162</v>
      </c>
      <c r="I139" s="88"/>
      <c r="J139" s="87">
        <v>31427785</v>
      </c>
      <c r="K139" s="86" t="s">
        <v>94</v>
      </c>
      <c r="L139" s="86" t="str">
        <f>_xlfn.XLOOKUP(Tabla2__2[[#This Row],[CODIGO RUTA]],'DATA INFORME'!I:I,'DATA INFORME'!K:K)</f>
        <v>SI</v>
      </c>
      <c r="M139" s="86" t="str">
        <f>IF(Tabla2__2[[#This Row],[MYSTERY EFECTIVO]]="SI",_xlfn.XLOOKUP(Tabla2__2[[#This Row],[PREGUNTA]],ENCUESTA!G:G,ENCUESTA!D:D),"N/A")</f>
        <v>N/A</v>
      </c>
      <c r="N13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9" s="86">
        <f>_xlfn.XLOOKUP(Tabla2__2[[#This Row],[PREGUNTA]],ENCUESTA!G:G,ENCUESTA!H:H)</f>
        <v>0</v>
      </c>
      <c r="P139" s="86">
        <f>IF(Tabla2__2[[#This Row],[RTA]]=Tabla2__2[[#This Row],[RTA CORRECTA]],Tabla2__2[[#This Row],[TOTAL PUNTAJE]],0)</f>
        <v>0</v>
      </c>
      <c r="Q139" s="86">
        <f>IF(OR(H139="Dog Chow húmedo",H139="Cat Chow húmedo",H139="Fancy Feast",H139="Felix",H139="Proplan húmedo",H139="One húmedo",H139="Snack Abrazzos",H139="Snak Dentalife",H139="Arenilla Tidy Cat"),N139,0)</f>
        <v>0</v>
      </c>
      <c r="R139" s="86"/>
      <c r="V139"/>
      <c r="W139"/>
    </row>
    <row r="140" spans="1:23" s="83" customFormat="1" hidden="1" x14ac:dyDescent="0.35">
      <c r="A140" s="86" t="s">
        <v>91</v>
      </c>
      <c r="B140" s="86" t="s">
        <v>131</v>
      </c>
      <c r="C140" s="85" t="s">
        <v>14</v>
      </c>
      <c r="D140" s="86" t="s">
        <v>14</v>
      </c>
      <c r="E140" s="87">
        <v>424803</v>
      </c>
      <c r="F140" s="86" t="s">
        <v>164</v>
      </c>
      <c r="G140" s="86" t="s">
        <v>123</v>
      </c>
      <c r="H140" s="86" t="s">
        <v>20</v>
      </c>
      <c r="I140" s="88"/>
      <c r="J140" s="87">
        <v>31427785</v>
      </c>
      <c r="K140" s="86" t="s">
        <v>94</v>
      </c>
      <c r="L140" s="86" t="str">
        <f>_xlfn.XLOOKUP(Tabla2__2[[#This Row],[CODIGO RUTA]],'DATA INFORME'!I:I,'DATA INFORME'!K:K)</f>
        <v>SI</v>
      </c>
      <c r="M140" s="86" t="str">
        <f>IF(Tabla2__2[[#This Row],[MYSTERY EFECTIVO]]="SI",_xlfn.XLOOKUP(Tabla2__2[[#This Row],[PREGUNTA]],ENCUESTA!G:G,ENCUESTA!D:D),"N/A")</f>
        <v>PORTAFOLIO Y MANEJO DE OBJECIONES</v>
      </c>
      <c r="N14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140" s="86" t="str">
        <f>_xlfn.XLOOKUP(Tabla2__2[[#This Row],[PREGUNTA]],ENCUESTA!G:G,ENCUESTA!H:H)</f>
        <v>SI</v>
      </c>
      <c r="P140" s="86">
        <f>IF(Tabla2__2[[#This Row],[RTA]]=Tabla2__2[[#This Row],[RTA CORRECTA]],Tabla2__2[[#This Row],[TOTAL PUNTAJE]],0)</f>
        <v>2.3076923076923075</v>
      </c>
      <c r="Q140" s="86">
        <f>IF(OR(H140="Dog Chow húmedo",H140="Cat Chow húmedo",H140="Fancy Feast",H140="Felix",H140="Proplan húmedo",H140="One húmedo",H140="Snack Abrazzos",H140="Snak Dentalife",H140="Arenilla Tidy Cat"),N140,0)</f>
        <v>0</v>
      </c>
      <c r="R140" s="86"/>
      <c r="V140"/>
      <c r="W140"/>
    </row>
    <row r="141" spans="1:23" s="83" customFormat="1" hidden="1" x14ac:dyDescent="0.35">
      <c r="A141" s="86" t="s">
        <v>91</v>
      </c>
      <c r="B141" s="86" t="s">
        <v>131</v>
      </c>
      <c r="C141" s="85" t="s">
        <v>14</v>
      </c>
      <c r="D141" s="86" t="s">
        <v>14</v>
      </c>
      <c r="E141" s="87">
        <v>424803</v>
      </c>
      <c r="F141" s="86" t="s">
        <v>164</v>
      </c>
      <c r="G141" s="86" t="s">
        <v>124</v>
      </c>
      <c r="H141" s="86" t="s">
        <v>20</v>
      </c>
      <c r="I141" s="88"/>
      <c r="J141" s="87">
        <v>31427785</v>
      </c>
      <c r="K141" s="86" t="s">
        <v>94</v>
      </c>
      <c r="L141" s="86" t="str">
        <f>_xlfn.XLOOKUP(Tabla2__2[[#This Row],[CODIGO RUTA]],'DATA INFORME'!I:I,'DATA INFORME'!K:K)</f>
        <v>SI</v>
      </c>
      <c r="M141" s="86" t="str">
        <f>IF(Tabla2__2[[#This Row],[MYSTERY EFECTIVO]]="SI",_xlfn.XLOOKUP(Tabla2__2[[#This Row],[PREGUNTA]],ENCUESTA!G:G,ENCUESTA!D:D),"N/A")</f>
        <v>PORTAFOLIO Y MANEJO DE OBJECIONES</v>
      </c>
      <c r="N14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141" s="86" t="str">
        <f>_xlfn.XLOOKUP(Tabla2__2[[#This Row],[PREGUNTA]],ENCUESTA!G:G,ENCUESTA!H:H)</f>
        <v>SI</v>
      </c>
      <c r="P141" s="86">
        <f>IF(Tabla2__2[[#This Row],[RTA]]=Tabla2__2[[#This Row],[RTA CORRECTA]],Tabla2__2[[#This Row],[TOTAL PUNTAJE]],0)</f>
        <v>2.3076923076923075</v>
      </c>
      <c r="Q141" s="86">
        <f>IF(OR(H141="Dog Chow húmedo",H141="Cat Chow húmedo",H141="Fancy Feast",H141="Felix",H141="Proplan húmedo",H141="One húmedo",H141="Snack Abrazzos",H141="Snak Dentalife",H141="Arenilla Tidy Cat"),N141,0)</f>
        <v>0</v>
      </c>
      <c r="R141" s="86"/>
      <c r="V141"/>
      <c r="W141"/>
    </row>
    <row r="142" spans="1:23" s="83" customFormat="1" hidden="1" x14ac:dyDescent="0.35">
      <c r="A142" s="86" t="s">
        <v>91</v>
      </c>
      <c r="B142" s="86" t="s">
        <v>131</v>
      </c>
      <c r="C142" s="85" t="s">
        <v>14</v>
      </c>
      <c r="D142" s="86" t="s">
        <v>14</v>
      </c>
      <c r="E142" s="87">
        <v>424803</v>
      </c>
      <c r="F142" s="86" t="s">
        <v>164</v>
      </c>
      <c r="G142" s="86" t="s">
        <v>125</v>
      </c>
      <c r="H142" s="86" t="s">
        <v>20</v>
      </c>
      <c r="I142" s="88"/>
      <c r="J142" s="87">
        <v>31427785</v>
      </c>
      <c r="K142" s="86" t="s">
        <v>94</v>
      </c>
      <c r="L142" s="86" t="str">
        <f>_xlfn.XLOOKUP(Tabla2__2[[#This Row],[CODIGO RUTA]],'DATA INFORME'!I:I,'DATA INFORME'!K:K)</f>
        <v>SI</v>
      </c>
      <c r="M142" s="86" t="str">
        <f>IF(Tabla2__2[[#This Row],[MYSTERY EFECTIVO]]="SI",_xlfn.XLOOKUP(Tabla2__2[[#This Row],[PREGUNTA]],ENCUESTA!G:G,ENCUESTA!D:D),"N/A")</f>
        <v>PORTAFOLIO Y MANEJO DE OBJECIONES</v>
      </c>
      <c r="N14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142" s="86" t="str">
        <f>_xlfn.XLOOKUP(Tabla2__2[[#This Row],[PREGUNTA]],ENCUESTA!G:G,ENCUESTA!H:H)</f>
        <v>SI</v>
      </c>
      <c r="P142" s="86">
        <f>IF(Tabla2__2[[#This Row],[RTA]]=Tabla2__2[[#This Row],[RTA CORRECTA]],Tabla2__2[[#This Row],[TOTAL PUNTAJE]],0)</f>
        <v>2.3076923076923075</v>
      </c>
      <c r="Q142" s="86">
        <f>IF(OR(H142="Dog Chow húmedo",H142="Cat Chow húmedo",H142="Fancy Feast",H142="Felix",H142="Proplan húmedo",H142="One húmedo",H142="Snack Abrazzos",H142="Snak Dentalife",H142="Arenilla Tidy Cat"),N142,0)</f>
        <v>0</v>
      </c>
      <c r="R142" s="86"/>
      <c r="V142"/>
      <c r="W142"/>
    </row>
    <row r="143" spans="1:23" s="83" customFormat="1" hidden="1" x14ac:dyDescent="0.35">
      <c r="A143" s="86" t="s">
        <v>91</v>
      </c>
      <c r="B143" s="86" t="s">
        <v>131</v>
      </c>
      <c r="C143" s="85" t="s">
        <v>14</v>
      </c>
      <c r="D143" s="86" t="s">
        <v>14</v>
      </c>
      <c r="E143" s="87">
        <v>424803</v>
      </c>
      <c r="F143" s="86" t="s">
        <v>164</v>
      </c>
      <c r="G143" s="86" t="s">
        <v>126</v>
      </c>
      <c r="H143" s="86" t="s">
        <v>20</v>
      </c>
      <c r="I143" s="88"/>
      <c r="J143" s="87">
        <v>31427785</v>
      </c>
      <c r="K143" s="86" t="s">
        <v>94</v>
      </c>
      <c r="L143" s="86" t="str">
        <f>_xlfn.XLOOKUP(Tabla2__2[[#This Row],[CODIGO RUTA]],'DATA INFORME'!I:I,'DATA INFORME'!K:K)</f>
        <v>SI</v>
      </c>
      <c r="M143" s="86" t="str">
        <f>IF(Tabla2__2[[#This Row],[MYSTERY EFECTIVO]]="SI",_xlfn.XLOOKUP(Tabla2__2[[#This Row],[PREGUNTA]],ENCUESTA!G:G,ENCUESTA!D:D),"N/A")</f>
        <v>PORTAFOLIO Y MANEJO DE OBJECIONES</v>
      </c>
      <c r="N14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143" s="86" t="str">
        <f>_xlfn.XLOOKUP(Tabla2__2[[#This Row],[PREGUNTA]],ENCUESTA!G:G,ENCUESTA!H:H)</f>
        <v>SI</v>
      </c>
      <c r="P143" s="86">
        <f>IF(Tabla2__2[[#This Row],[RTA]]=Tabla2__2[[#This Row],[RTA CORRECTA]],Tabla2__2[[#This Row],[TOTAL PUNTAJE]],0)</f>
        <v>2.3076923076923075</v>
      </c>
      <c r="Q143" s="86">
        <f>IF(OR(H143="Dog Chow húmedo",H143="Cat Chow húmedo",H143="Fancy Feast",H143="Felix",H143="Proplan húmedo",H143="One húmedo",H143="Snack Abrazzos",H143="Snak Dentalife",H143="Arenilla Tidy Cat"),N143,0)</f>
        <v>0</v>
      </c>
      <c r="R143" s="86"/>
      <c r="V143"/>
      <c r="W143"/>
    </row>
    <row r="144" spans="1:23" s="83" customFormat="1" hidden="1" x14ac:dyDescent="0.35">
      <c r="A144" s="86" t="s">
        <v>91</v>
      </c>
      <c r="B144" s="86" t="s">
        <v>131</v>
      </c>
      <c r="C144" s="85" t="s">
        <v>14</v>
      </c>
      <c r="D144" s="86" t="s">
        <v>14</v>
      </c>
      <c r="E144" s="87">
        <v>424803</v>
      </c>
      <c r="F144" s="86" t="s">
        <v>164</v>
      </c>
      <c r="G144" s="86" t="s">
        <v>127</v>
      </c>
      <c r="H144" s="86" t="s">
        <v>20</v>
      </c>
      <c r="I144" s="88"/>
      <c r="J144" s="87">
        <v>31427785</v>
      </c>
      <c r="K144" s="86" t="s">
        <v>94</v>
      </c>
      <c r="L144" s="86" t="str">
        <f>_xlfn.XLOOKUP(Tabla2__2[[#This Row],[CODIGO RUTA]],'DATA INFORME'!I:I,'DATA INFORME'!K:K)</f>
        <v>SI</v>
      </c>
      <c r="M144" s="86" t="str">
        <f>IF(Tabla2__2[[#This Row],[MYSTERY EFECTIVO]]="SI",_xlfn.XLOOKUP(Tabla2__2[[#This Row],[PREGUNTA]],ENCUESTA!G:G,ENCUESTA!D:D),"N/A")</f>
        <v>PORTAFOLIO Y MANEJO DE OBJECIONES</v>
      </c>
      <c r="N14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144" s="86" t="str">
        <f>_xlfn.XLOOKUP(Tabla2__2[[#This Row],[PREGUNTA]],ENCUESTA!G:G,ENCUESTA!H:H)</f>
        <v>SI</v>
      </c>
      <c r="P144" s="86">
        <f>IF(Tabla2__2[[#This Row],[RTA]]=Tabla2__2[[#This Row],[RTA CORRECTA]],Tabla2__2[[#This Row],[TOTAL PUNTAJE]],0)</f>
        <v>2.3076923076923075</v>
      </c>
      <c r="Q144" s="86">
        <f>IF(OR(H144="Dog Chow húmedo",H144="Cat Chow húmedo",H144="Fancy Feast",H144="Felix",H144="Proplan húmedo",H144="One húmedo",H144="Snack Abrazzos",H144="Snak Dentalife",H144="Arenilla Tidy Cat"),N144,0)</f>
        <v>0</v>
      </c>
      <c r="R144" s="86"/>
      <c r="V144"/>
      <c r="W144"/>
    </row>
    <row r="145" spans="1:23" s="83" customFormat="1" hidden="1" x14ac:dyDescent="0.35">
      <c r="A145" s="86" t="s">
        <v>91</v>
      </c>
      <c r="B145" s="86" t="s">
        <v>131</v>
      </c>
      <c r="C145" s="85" t="s">
        <v>14</v>
      </c>
      <c r="D145" s="86" t="s">
        <v>14</v>
      </c>
      <c r="E145" s="87">
        <v>424803</v>
      </c>
      <c r="F145" s="86" t="s">
        <v>164</v>
      </c>
      <c r="G145" s="86" t="s">
        <v>139</v>
      </c>
      <c r="H145" s="86" t="s">
        <v>147</v>
      </c>
      <c r="I145" s="88"/>
      <c r="J145" s="87">
        <v>31427785</v>
      </c>
      <c r="K145" s="86" t="s">
        <v>94</v>
      </c>
      <c r="L145" s="86" t="str">
        <f>_xlfn.XLOOKUP(Tabla2__2[[#This Row],[CODIGO RUTA]],'DATA INFORME'!I:I,'DATA INFORME'!K:K)</f>
        <v>SI</v>
      </c>
      <c r="M145" s="86" t="str">
        <f>IF(Tabla2__2[[#This Row],[MYSTERY EFECTIVO]]="SI",_xlfn.XLOOKUP(Tabla2__2[[#This Row],[PREGUNTA]],ENCUESTA!G:G,ENCUESTA!D:D),"N/A")</f>
        <v>PORTAFOLIO Y MANEJO DE OBJECIONES</v>
      </c>
      <c r="N14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145" s="86" t="str">
        <f>_xlfn.XLOOKUP(Tabla2__2[[#This Row],[PREGUNTA]],ENCUESTA!G:G,ENCUESTA!H:H)</f>
        <v>SI</v>
      </c>
      <c r="P145" s="86">
        <f>IF(Tabla2__2[[#This Row],[RTA]]=Tabla2__2[[#This Row],[RTA CORRECTA]],Tabla2__2[[#This Row],[TOTAL PUNTAJE]],0)</f>
        <v>0</v>
      </c>
      <c r="Q145" s="86">
        <f>IF(OR(H145="Dog Chow húmedo",H145="Cat Chow húmedo",H145="Fancy Feast",H145="Felix",H145="Proplan húmedo",H145="One húmedo",H145="Snack Abrazzos",H145="Snak Dentalife",H145="Arenilla Tidy Cat"),N145,0)</f>
        <v>0</v>
      </c>
      <c r="R145" s="86"/>
      <c r="V145"/>
      <c r="W145"/>
    </row>
    <row r="146" spans="1:23" s="83" customFormat="1" hidden="1" x14ac:dyDescent="0.35">
      <c r="A146" s="86" t="s">
        <v>91</v>
      </c>
      <c r="B146" s="86" t="s">
        <v>131</v>
      </c>
      <c r="C146" s="85" t="s">
        <v>14</v>
      </c>
      <c r="D146" s="86" t="s">
        <v>14</v>
      </c>
      <c r="E146" s="87">
        <v>424803</v>
      </c>
      <c r="F146" s="86" t="s">
        <v>164</v>
      </c>
      <c r="G146" s="86" t="s">
        <v>129</v>
      </c>
      <c r="H146" s="86" t="s">
        <v>147</v>
      </c>
      <c r="I146" s="88"/>
      <c r="J146" s="87">
        <v>31427785</v>
      </c>
      <c r="K146" s="86" t="s">
        <v>94</v>
      </c>
      <c r="L146" s="86" t="str">
        <f>_xlfn.XLOOKUP(Tabla2__2[[#This Row],[CODIGO RUTA]],'DATA INFORME'!I:I,'DATA INFORME'!K:K)</f>
        <v>SI</v>
      </c>
      <c r="M146" s="86" t="str">
        <f>IF(Tabla2__2[[#This Row],[MYSTERY EFECTIVO]]="SI",_xlfn.XLOOKUP(Tabla2__2[[#This Row],[PREGUNTA]],ENCUESTA!G:G,ENCUESTA!D:D),"N/A")</f>
        <v>PORTAFOLIO Y MANEJO DE OBJECIONES</v>
      </c>
      <c r="N14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146" s="86" t="str">
        <f>_xlfn.XLOOKUP(Tabla2__2[[#This Row],[PREGUNTA]],ENCUESTA!G:G,ENCUESTA!H:H)</f>
        <v>SI</v>
      </c>
      <c r="P146" s="86">
        <f>IF(Tabla2__2[[#This Row],[RTA]]=Tabla2__2[[#This Row],[RTA CORRECTA]],Tabla2__2[[#This Row],[TOTAL PUNTAJE]],0)</f>
        <v>0</v>
      </c>
      <c r="Q146" s="86">
        <f>IF(OR(H146="Dog Chow húmedo",H146="Cat Chow húmedo",H146="Fancy Feast",H146="Felix",H146="Proplan húmedo",H146="One húmedo",H146="Snack Abrazzos",H146="Snak Dentalife",H146="Arenilla Tidy Cat"),N146,0)</f>
        <v>0</v>
      </c>
      <c r="R146" s="86"/>
      <c r="V146"/>
      <c r="W146"/>
    </row>
    <row r="147" spans="1:23" s="83" customFormat="1" hidden="1" x14ac:dyDescent="0.35">
      <c r="A147" s="86" t="s">
        <v>91</v>
      </c>
      <c r="B147" s="86" t="s">
        <v>131</v>
      </c>
      <c r="C147" s="85" t="s">
        <v>14</v>
      </c>
      <c r="D147" s="86" t="s">
        <v>14</v>
      </c>
      <c r="E147" s="87">
        <v>424803</v>
      </c>
      <c r="F147" s="86" t="s">
        <v>164</v>
      </c>
      <c r="G147" s="86" t="s">
        <v>121</v>
      </c>
      <c r="H147" s="86" t="s">
        <v>20</v>
      </c>
      <c r="I147" s="88"/>
      <c r="J147" s="87">
        <v>31427785</v>
      </c>
      <c r="K147" s="86" t="s">
        <v>94</v>
      </c>
      <c r="L147" s="86" t="str">
        <f>_xlfn.XLOOKUP(Tabla2__2[[#This Row],[CODIGO RUTA]],'DATA INFORME'!I:I,'DATA INFORME'!K:K)</f>
        <v>SI</v>
      </c>
      <c r="M147" s="86" t="str">
        <f>IF(Tabla2__2[[#This Row],[MYSTERY EFECTIVO]]="SI",_xlfn.XLOOKUP(Tabla2__2[[#This Row],[PREGUNTA]],ENCUESTA!G:G,ENCUESTA!D:D),"N/A")</f>
        <v>PORTAFOLIO Y MANEJO DE OBJECIONES</v>
      </c>
      <c r="N14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147" s="86" t="str">
        <f>_xlfn.XLOOKUP(Tabla2__2[[#This Row],[PREGUNTA]],ENCUESTA!G:G,ENCUESTA!H:H)</f>
        <v>SI</v>
      </c>
      <c r="P147" s="86">
        <f>IF(Tabla2__2[[#This Row],[RTA]]=Tabla2__2[[#This Row],[RTA CORRECTA]],Tabla2__2[[#This Row],[TOTAL PUNTAJE]],0)</f>
        <v>2.3076923076923075</v>
      </c>
      <c r="Q147" s="86">
        <f>IF(OR(H147="Dog Chow húmedo",H147="Cat Chow húmedo",H147="Fancy Feast",H147="Felix",H147="Proplan húmedo",H147="One húmedo",H147="Snack Abrazzos",H147="Snak Dentalife",H147="Arenilla Tidy Cat"),N147,0)</f>
        <v>0</v>
      </c>
      <c r="R147" s="86"/>
      <c r="V147"/>
      <c r="W147"/>
    </row>
    <row r="148" spans="1:23" s="83" customFormat="1" hidden="1" x14ac:dyDescent="0.35">
      <c r="A148" s="86" t="s">
        <v>91</v>
      </c>
      <c r="B148" s="86" t="s">
        <v>131</v>
      </c>
      <c r="C148" s="85" t="s">
        <v>14</v>
      </c>
      <c r="D148" s="86" t="s">
        <v>14</v>
      </c>
      <c r="E148" s="87">
        <v>424803</v>
      </c>
      <c r="F148" s="86" t="s">
        <v>164</v>
      </c>
      <c r="G148" s="86" t="s">
        <v>120</v>
      </c>
      <c r="H148" s="86" t="s">
        <v>20</v>
      </c>
      <c r="I148" s="88"/>
      <c r="J148" s="87">
        <v>31427785</v>
      </c>
      <c r="K148" s="86" t="s">
        <v>94</v>
      </c>
      <c r="L148" s="86" t="str">
        <f>_xlfn.XLOOKUP(Tabla2__2[[#This Row],[CODIGO RUTA]],'DATA INFORME'!I:I,'DATA INFORME'!K:K)</f>
        <v>SI</v>
      </c>
      <c r="M148" s="86" t="str">
        <f>IF(Tabla2__2[[#This Row],[MYSTERY EFECTIVO]]="SI",_xlfn.XLOOKUP(Tabla2__2[[#This Row],[PREGUNTA]],ENCUESTA!G:G,ENCUESTA!D:D),"N/A")</f>
        <v>PORTAFOLIO Y MANEJO DE OBJECIONES</v>
      </c>
      <c r="N14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148" s="86" t="str">
        <f>_xlfn.XLOOKUP(Tabla2__2[[#This Row],[PREGUNTA]],ENCUESTA!G:G,ENCUESTA!H:H)</f>
        <v>SI</v>
      </c>
      <c r="P148" s="86">
        <f>IF(Tabla2__2[[#This Row],[RTA]]=Tabla2__2[[#This Row],[RTA CORRECTA]],Tabla2__2[[#This Row],[TOTAL PUNTAJE]],0)</f>
        <v>2.3076923076923075</v>
      </c>
      <c r="Q148" s="86">
        <f>IF(OR(H148="Dog Chow húmedo",H148="Cat Chow húmedo",H148="Fancy Feast",H148="Felix",H148="Proplan húmedo",H148="One húmedo",H148="Snack Abrazzos",H148="Snak Dentalife",H148="Arenilla Tidy Cat"),N148,0)</f>
        <v>0</v>
      </c>
      <c r="R148" s="86"/>
      <c r="V148"/>
      <c r="W148"/>
    </row>
    <row r="149" spans="1:23" s="83" customFormat="1" hidden="1" x14ac:dyDescent="0.35">
      <c r="A149" s="86" t="s">
        <v>91</v>
      </c>
      <c r="B149" s="86" t="s">
        <v>131</v>
      </c>
      <c r="C149" s="85" t="s">
        <v>14</v>
      </c>
      <c r="D149" s="86" t="s">
        <v>14</v>
      </c>
      <c r="E149" s="87">
        <v>424803</v>
      </c>
      <c r="F149" s="86" t="s">
        <v>164</v>
      </c>
      <c r="G149" s="86" t="s">
        <v>118</v>
      </c>
      <c r="H149" s="86" t="s">
        <v>20</v>
      </c>
      <c r="I149" s="88"/>
      <c r="J149" s="87">
        <v>31427785</v>
      </c>
      <c r="K149" s="86" t="s">
        <v>94</v>
      </c>
      <c r="L149" s="86" t="str">
        <f>_xlfn.XLOOKUP(Tabla2__2[[#This Row],[CODIGO RUTA]],'DATA INFORME'!I:I,'DATA INFORME'!K:K)</f>
        <v>SI</v>
      </c>
      <c r="M149" s="86" t="str">
        <f>IF(Tabla2__2[[#This Row],[MYSTERY EFECTIVO]]="SI",_xlfn.XLOOKUP(Tabla2__2[[#This Row],[PREGUNTA]],ENCUESTA!G:G,ENCUESTA!D:D),"N/A")</f>
        <v>PORTAFOLIO Y MANEJO DE OBJECIONES</v>
      </c>
      <c r="N14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9" s="86" t="str">
        <f>_xlfn.XLOOKUP(Tabla2__2[[#This Row],[PREGUNTA]],ENCUESTA!G:G,ENCUESTA!H:H)</f>
        <v>SI</v>
      </c>
      <c r="P149" s="86">
        <f>IF(Tabla2__2[[#This Row],[RTA]]=Tabla2__2[[#This Row],[RTA CORRECTA]],Tabla2__2[[#This Row],[TOTAL PUNTAJE]],0)</f>
        <v>0</v>
      </c>
      <c r="Q149" s="86">
        <f>IF(OR(H149="Dog Chow húmedo",H149="Cat Chow húmedo",H149="Fancy Feast",H149="Felix",H149="Proplan húmedo",H149="One húmedo",H149="Snack Abrazzos",H149="Snak Dentalife",H149="Arenilla Tidy Cat"),N149,0)</f>
        <v>0</v>
      </c>
      <c r="R149" s="86"/>
      <c r="V149"/>
      <c r="W149"/>
    </row>
    <row r="150" spans="1:23" s="83" customFormat="1" hidden="1" x14ac:dyDescent="0.35">
      <c r="A150" s="86" t="s">
        <v>91</v>
      </c>
      <c r="B150" s="86" t="s">
        <v>131</v>
      </c>
      <c r="C150" s="85" t="s">
        <v>14</v>
      </c>
      <c r="D150" s="86" t="s">
        <v>14</v>
      </c>
      <c r="E150" s="87">
        <v>424803</v>
      </c>
      <c r="F150" s="86" t="s">
        <v>164</v>
      </c>
      <c r="G150" s="86" t="s">
        <v>99</v>
      </c>
      <c r="H150" s="86" t="s">
        <v>20</v>
      </c>
      <c r="I150" s="88"/>
      <c r="J150" s="87">
        <v>31427785</v>
      </c>
      <c r="K150" s="86" t="s">
        <v>94</v>
      </c>
      <c r="L150" s="86" t="str">
        <f>_xlfn.XLOOKUP(Tabla2__2[[#This Row],[CODIGO RUTA]],'DATA INFORME'!I:I,'DATA INFORME'!K:K)</f>
        <v>SI</v>
      </c>
      <c r="M150" s="86" t="str">
        <f>IF(Tabla2__2[[#This Row],[MYSTERY EFECTIVO]]="SI",_xlfn.XLOOKUP(Tabla2__2[[#This Row],[PREGUNTA]],ENCUESTA!G:G,ENCUESTA!D:D),"N/A")</f>
        <v>N/A</v>
      </c>
      <c r="N15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0" s="86">
        <f>_xlfn.XLOOKUP(Tabla2__2[[#This Row],[PREGUNTA]],ENCUESTA!G:G,ENCUESTA!H:H)</f>
        <v>0</v>
      </c>
      <c r="P150" s="86">
        <f>IF(Tabla2__2[[#This Row],[RTA]]=Tabla2__2[[#This Row],[RTA CORRECTA]],Tabla2__2[[#This Row],[TOTAL PUNTAJE]],0)</f>
        <v>0</v>
      </c>
      <c r="Q150" s="86">
        <f>IF(OR(H150="Dog Chow húmedo",H150="Cat Chow húmedo",H150="Fancy Feast",H150="Felix",H150="Proplan húmedo",H150="One húmedo",H150="Snack Abrazzos",H150="Snak Dentalife",H150="Arenilla Tidy Cat"),N150,0)</f>
        <v>0</v>
      </c>
      <c r="R150" s="86"/>
      <c r="V150"/>
      <c r="W150"/>
    </row>
    <row r="151" spans="1:23" s="83" customFormat="1" hidden="1" x14ac:dyDescent="0.35">
      <c r="A151" s="86" t="s">
        <v>91</v>
      </c>
      <c r="B151" s="86" t="s">
        <v>131</v>
      </c>
      <c r="C151" s="85" t="s">
        <v>14</v>
      </c>
      <c r="D151" s="86" t="s">
        <v>14</v>
      </c>
      <c r="E151" s="87">
        <v>424803</v>
      </c>
      <c r="F151" s="86" t="s">
        <v>164</v>
      </c>
      <c r="G151" s="86" t="s">
        <v>83</v>
      </c>
      <c r="H151" s="86" t="s">
        <v>20</v>
      </c>
      <c r="I151" s="88"/>
      <c r="J151" s="87">
        <v>31427785</v>
      </c>
      <c r="K151" s="86" t="s">
        <v>94</v>
      </c>
      <c r="L151" s="86" t="str">
        <f>_xlfn.XLOOKUP(Tabla2__2[[#This Row],[CODIGO RUTA]],'DATA INFORME'!I:I,'DATA INFORME'!K:K)</f>
        <v>SI</v>
      </c>
      <c r="M151" s="86" t="str">
        <f>IF(Tabla2__2[[#This Row],[MYSTERY EFECTIVO]]="SI",_xlfn.XLOOKUP(Tabla2__2[[#This Row],[PREGUNTA]],ENCUESTA!G:G,ENCUESTA!D:D),"N/A")</f>
        <v>HORARIO</v>
      </c>
      <c r="N15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51" s="86" t="str">
        <f>_xlfn.XLOOKUP(Tabla2__2[[#This Row],[PREGUNTA]],ENCUESTA!G:G,ENCUESTA!H:H)</f>
        <v>SI</v>
      </c>
      <c r="P151" s="86">
        <f>IF(Tabla2__2[[#This Row],[RTA]]=Tabla2__2[[#This Row],[RTA CORRECTA]],Tabla2__2[[#This Row],[TOTAL PUNTAJE]],0)</f>
        <v>20</v>
      </c>
      <c r="Q151" s="86">
        <f>IF(OR(H151="Dog Chow húmedo",H151="Cat Chow húmedo",H151="Fancy Feast",H151="Felix",H151="Proplan húmedo",H151="One húmedo",H151="Snack Abrazzos",H151="Snak Dentalife",H151="Arenilla Tidy Cat"),N151,0)</f>
        <v>0</v>
      </c>
      <c r="R151" s="86"/>
      <c r="V151"/>
      <c r="W151"/>
    </row>
    <row r="152" spans="1:23" s="83" customFormat="1" hidden="1" x14ac:dyDescent="0.35">
      <c r="A152" s="86" t="s">
        <v>91</v>
      </c>
      <c r="B152" s="86" t="s">
        <v>131</v>
      </c>
      <c r="C152" s="85" t="s">
        <v>14</v>
      </c>
      <c r="D152" s="86" t="s">
        <v>14</v>
      </c>
      <c r="E152" s="87">
        <v>424803</v>
      </c>
      <c r="F152" s="86" t="s">
        <v>164</v>
      </c>
      <c r="G152" s="86" t="s">
        <v>84</v>
      </c>
      <c r="H152" s="86" t="s">
        <v>20</v>
      </c>
      <c r="I152" s="88"/>
      <c r="J152" s="87">
        <v>31427785</v>
      </c>
      <c r="K152" s="86" t="s">
        <v>94</v>
      </c>
      <c r="L152" s="86" t="str">
        <f>_xlfn.XLOOKUP(Tabla2__2[[#This Row],[CODIGO RUTA]],'DATA INFORME'!I:I,'DATA INFORME'!K:K)</f>
        <v>SI</v>
      </c>
      <c r="M152" s="86" t="str">
        <f>IF(Tabla2__2[[#This Row],[MYSTERY EFECTIVO]]="SI",_xlfn.XLOOKUP(Tabla2__2[[#This Row],[PREGUNTA]],ENCUESTA!G:G,ENCUESTA!D:D),"N/A")</f>
        <v>UNIFORME</v>
      </c>
      <c r="N15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52" s="86" t="str">
        <f>_xlfn.XLOOKUP(Tabla2__2[[#This Row],[PREGUNTA]],ENCUESTA!G:G,ENCUESTA!H:H)</f>
        <v>SI</v>
      </c>
      <c r="P152" s="86">
        <f>IF(Tabla2__2[[#This Row],[RTA]]=Tabla2__2[[#This Row],[RTA CORRECTA]],Tabla2__2[[#This Row],[TOTAL PUNTAJE]],0)</f>
        <v>1.5</v>
      </c>
      <c r="Q152" s="86">
        <f>IF(OR(H152="Dog Chow húmedo",H152="Cat Chow húmedo",H152="Fancy Feast",H152="Felix",H152="Proplan húmedo",H152="One húmedo",H152="Snack Abrazzos",H152="Snak Dentalife",H152="Arenilla Tidy Cat"),N152,0)</f>
        <v>0</v>
      </c>
      <c r="R152" s="86"/>
      <c r="V152"/>
      <c r="W152"/>
    </row>
    <row r="153" spans="1:23" s="83" customFormat="1" hidden="1" x14ac:dyDescent="0.35">
      <c r="A153" s="86" t="s">
        <v>91</v>
      </c>
      <c r="B153" s="86" t="s">
        <v>131</v>
      </c>
      <c r="C153" s="85" t="s">
        <v>14</v>
      </c>
      <c r="D153" s="86" t="s">
        <v>14</v>
      </c>
      <c r="E153" s="87">
        <v>424803</v>
      </c>
      <c r="F153" s="86" t="s">
        <v>164</v>
      </c>
      <c r="G153" s="86" t="s">
        <v>100</v>
      </c>
      <c r="H153" s="86" t="s">
        <v>20</v>
      </c>
      <c r="I153" s="88"/>
      <c r="J153" s="87">
        <v>31427785</v>
      </c>
      <c r="K153" s="86" t="s">
        <v>94</v>
      </c>
      <c r="L153" s="86" t="str">
        <f>_xlfn.XLOOKUP(Tabla2__2[[#This Row],[CODIGO RUTA]],'DATA INFORME'!I:I,'DATA INFORME'!K:K)</f>
        <v>SI</v>
      </c>
      <c r="M153" s="86" t="str">
        <f>IF(Tabla2__2[[#This Row],[MYSTERY EFECTIVO]]="SI",_xlfn.XLOOKUP(Tabla2__2[[#This Row],[PREGUNTA]],ENCUESTA!G:G,ENCUESTA!D:D),"N/A")</f>
        <v>UNIFORME</v>
      </c>
      <c r="N15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53" s="86" t="str">
        <f>_xlfn.XLOOKUP(Tabla2__2[[#This Row],[PREGUNTA]],ENCUESTA!G:G,ENCUESTA!H:H)</f>
        <v>SI</v>
      </c>
      <c r="P153" s="86">
        <f>IF(Tabla2__2[[#This Row],[RTA]]=Tabla2__2[[#This Row],[RTA CORRECTA]],Tabla2__2[[#This Row],[TOTAL PUNTAJE]],0)</f>
        <v>1.5</v>
      </c>
      <c r="Q153" s="86">
        <f>IF(OR(H153="Dog Chow húmedo",H153="Cat Chow húmedo",H153="Fancy Feast",H153="Felix",H153="Proplan húmedo",H153="One húmedo",H153="Snack Abrazzos",H153="Snak Dentalife",H153="Arenilla Tidy Cat"),N153,0)</f>
        <v>0</v>
      </c>
      <c r="R153" s="86"/>
      <c r="V153"/>
      <c r="W153"/>
    </row>
    <row r="154" spans="1:23" s="83" customFormat="1" hidden="1" x14ac:dyDescent="0.35">
      <c r="A154" s="86" t="s">
        <v>91</v>
      </c>
      <c r="B154" s="86" t="s">
        <v>131</v>
      </c>
      <c r="C154" s="85" t="s">
        <v>14</v>
      </c>
      <c r="D154" s="86" t="s">
        <v>14</v>
      </c>
      <c r="E154" s="87">
        <v>424803</v>
      </c>
      <c r="F154" s="86" t="s">
        <v>164</v>
      </c>
      <c r="G154" s="86" t="s">
        <v>35</v>
      </c>
      <c r="H154" s="86" t="s">
        <v>20</v>
      </c>
      <c r="I154" s="88"/>
      <c r="J154" s="87">
        <v>31427785</v>
      </c>
      <c r="K154" s="86" t="s">
        <v>94</v>
      </c>
      <c r="L154" s="86" t="str">
        <f>_xlfn.XLOOKUP(Tabla2__2[[#This Row],[CODIGO RUTA]],'DATA INFORME'!I:I,'DATA INFORME'!K:K)</f>
        <v>SI</v>
      </c>
      <c r="M154" s="86" t="str">
        <f>IF(Tabla2__2[[#This Row],[MYSTERY EFECTIVO]]="SI",_xlfn.XLOOKUP(Tabla2__2[[#This Row],[PREGUNTA]],ENCUESTA!G:G,ENCUESTA!D:D),"N/A")</f>
        <v>UNIFORME</v>
      </c>
      <c r="N15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54" s="86" t="str">
        <f>_xlfn.XLOOKUP(Tabla2__2[[#This Row],[PREGUNTA]],ENCUESTA!G:G,ENCUESTA!H:H)</f>
        <v>SI</v>
      </c>
      <c r="P154" s="86">
        <f>IF(Tabla2__2[[#This Row],[RTA]]=Tabla2__2[[#This Row],[RTA CORRECTA]],Tabla2__2[[#This Row],[TOTAL PUNTAJE]],0)</f>
        <v>1.5</v>
      </c>
      <c r="Q154" s="86">
        <f>IF(OR(H154="Dog Chow húmedo",H154="Cat Chow húmedo",H154="Fancy Feast",H154="Felix",H154="Proplan húmedo",H154="One húmedo",H154="Snack Abrazzos",H154="Snak Dentalife",H154="Arenilla Tidy Cat"),N154,0)</f>
        <v>0</v>
      </c>
      <c r="R154" s="86"/>
      <c r="V154"/>
      <c r="W154"/>
    </row>
    <row r="155" spans="1:23" s="83" customFormat="1" hidden="1" x14ac:dyDescent="0.35">
      <c r="A155" s="86" t="s">
        <v>91</v>
      </c>
      <c r="B155" s="86" t="s">
        <v>131</v>
      </c>
      <c r="C155" s="85" t="s">
        <v>14</v>
      </c>
      <c r="D155" s="86" t="s">
        <v>14</v>
      </c>
      <c r="E155" s="87">
        <v>424803</v>
      </c>
      <c r="F155" s="86" t="s">
        <v>164</v>
      </c>
      <c r="G155" s="86" t="s">
        <v>101</v>
      </c>
      <c r="H155" s="86" t="s">
        <v>147</v>
      </c>
      <c r="I155" s="88"/>
      <c r="J155" s="87">
        <v>31427785</v>
      </c>
      <c r="K155" s="86" t="s">
        <v>94</v>
      </c>
      <c r="L155" s="86" t="str">
        <f>_xlfn.XLOOKUP(Tabla2__2[[#This Row],[CODIGO RUTA]],'DATA INFORME'!I:I,'DATA INFORME'!K:K)</f>
        <v>SI</v>
      </c>
      <c r="M155" s="86" t="str">
        <f>IF(Tabla2__2[[#This Row],[MYSTERY EFECTIVO]]="SI",_xlfn.XLOOKUP(Tabla2__2[[#This Row],[PREGUNTA]],ENCUESTA!G:G,ENCUESTA!D:D),"N/A")</f>
        <v>UNIFORME</v>
      </c>
      <c r="N15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55" s="86" t="str">
        <f>_xlfn.XLOOKUP(Tabla2__2[[#This Row],[PREGUNTA]],ENCUESTA!G:G,ENCUESTA!H:H)</f>
        <v xml:space="preserve"> NO</v>
      </c>
      <c r="P155" s="86">
        <f>IF(Tabla2__2[[#This Row],[RTA]]=Tabla2__2[[#This Row],[RTA CORRECTA]],Tabla2__2[[#This Row],[TOTAL PUNTAJE]],0)</f>
        <v>1.5</v>
      </c>
      <c r="Q155" s="86">
        <f>IF(OR(H155="Dog Chow húmedo",H155="Cat Chow húmedo",H155="Fancy Feast",H155="Felix",H155="Proplan húmedo",H155="One húmedo",H155="Snack Abrazzos",H155="Snak Dentalife",H155="Arenilla Tidy Cat"),N155,0)</f>
        <v>0</v>
      </c>
      <c r="R155" s="86"/>
      <c r="V155"/>
      <c r="W155"/>
    </row>
    <row r="156" spans="1:23" s="83" customFormat="1" hidden="1" x14ac:dyDescent="0.35">
      <c r="A156" s="86" t="s">
        <v>91</v>
      </c>
      <c r="B156" s="86" t="s">
        <v>131</v>
      </c>
      <c r="C156" s="85" t="s">
        <v>14</v>
      </c>
      <c r="D156" s="86" t="s">
        <v>14</v>
      </c>
      <c r="E156" s="87">
        <v>424803</v>
      </c>
      <c r="F156" s="86" t="s">
        <v>164</v>
      </c>
      <c r="G156" s="86" t="s">
        <v>85</v>
      </c>
      <c r="H156" s="86" t="s">
        <v>20</v>
      </c>
      <c r="I156" s="88"/>
      <c r="J156" s="87">
        <v>31427785</v>
      </c>
      <c r="K156" s="86" t="s">
        <v>94</v>
      </c>
      <c r="L156" s="86" t="str">
        <f>_xlfn.XLOOKUP(Tabla2__2[[#This Row],[CODIGO RUTA]],'DATA INFORME'!I:I,'DATA INFORME'!K:K)</f>
        <v>SI</v>
      </c>
      <c r="M156" s="86" t="str">
        <f>IF(Tabla2__2[[#This Row],[MYSTERY EFECTIVO]]="SI",_xlfn.XLOOKUP(Tabla2__2[[#This Row],[PREGUNTA]],ENCUESTA!G:G,ENCUESTA!D:D),"N/A")</f>
        <v>UNIFORME</v>
      </c>
      <c r="N15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56" s="86" t="str">
        <f>_xlfn.XLOOKUP(Tabla2__2[[#This Row],[PREGUNTA]],ENCUESTA!G:G,ENCUESTA!H:H)</f>
        <v>SI</v>
      </c>
      <c r="P156" s="86">
        <f>IF(Tabla2__2[[#This Row],[RTA]]=Tabla2__2[[#This Row],[RTA CORRECTA]],Tabla2__2[[#This Row],[TOTAL PUNTAJE]],0)</f>
        <v>1.5</v>
      </c>
      <c r="Q156" s="86">
        <f>IF(OR(H156="Dog Chow húmedo",H156="Cat Chow húmedo",H156="Fancy Feast",H156="Felix",H156="Proplan húmedo",H156="One húmedo",H156="Snack Abrazzos",H156="Snak Dentalife",H156="Arenilla Tidy Cat"),N156,0)</f>
        <v>0</v>
      </c>
      <c r="R156" s="86"/>
      <c r="V156"/>
      <c r="W156"/>
    </row>
    <row r="157" spans="1:23" s="83" customFormat="1" hidden="1" x14ac:dyDescent="0.35">
      <c r="A157" s="86" t="s">
        <v>91</v>
      </c>
      <c r="B157" s="86" t="s">
        <v>131</v>
      </c>
      <c r="C157" s="85" t="s">
        <v>14</v>
      </c>
      <c r="D157" s="86" t="s">
        <v>14</v>
      </c>
      <c r="E157" s="87">
        <v>424803</v>
      </c>
      <c r="F157" s="86" t="s">
        <v>164</v>
      </c>
      <c r="G157" s="86" t="s">
        <v>86</v>
      </c>
      <c r="H157" s="86" t="s">
        <v>20</v>
      </c>
      <c r="I157" s="88"/>
      <c r="J157" s="87">
        <v>31427785</v>
      </c>
      <c r="K157" s="86" t="s">
        <v>94</v>
      </c>
      <c r="L157" s="86" t="str">
        <f>_xlfn.XLOOKUP(Tabla2__2[[#This Row],[CODIGO RUTA]],'DATA INFORME'!I:I,'DATA INFORME'!K:K)</f>
        <v>SI</v>
      </c>
      <c r="M157" s="86" t="str">
        <f>IF(Tabla2__2[[#This Row],[MYSTERY EFECTIVO]]="SI",_xlfn.XLOOKUP(Tabla2__2[[#This Row],[PREGUNTA]],ENCUESTA!G:G,ENCUESTA!D:D),"N/A")</f>
        <v>UNIFORME</v>
      </c>
      <c r="N15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57" s="86" t="str">
        <f>_xlfn.XLOOKUP(Tabla2__2[[#This Row],[PREGUNTA]],ENCUESTA!G:G,ENCUESTA!H:H)</f>
        <v>SI</v>
      </c>
      <c r="P157" s="86">
        <f>IF(Tabla2__2[[#This Row],[RTA]]=Tabla2__2[[#This Row],[RTA CORRECTA]],Tabla2__2[[#This Row],[TOTAL PUNTAJE]],0)</f>
        <v>1.5</v>
      </c>
      <c r="Q157" s="86">
        <f>IF(OR(H157="Dog Chow húmedo",H157="Cat Chow húmedo",H157="Fancy Feast",H157="Felix",H157="Proplan húmedo",H157="One húmedo",H157="Snack Abrazzos",H157="Snak Dentalife",H157="Arenilla Tidy Cat"),N157,0)</f>
        <v>0</v>
      </c>
      <c r="R157" s="86"/>
      <c r="V157"/>
      <c r="W157"/>
    </row>
    <row r="158" spans="1:23" s="83" customFormat="1" hidden="1" x14ac:dyDescent="0.35">
      <c r="A158" s="86" t="s">
        <v>91</v>
      </c>
      <c r="B158" s="86" t="s">
        <v>131</v>
      </c>
      <c r="C158" s="85" t="s">
        <v>14</v>
      </c>
      <c r="D158" s="86" t="s">
        <v>14</v>
      </c>
      <c r="E158" s="87">
        <v>424803</v>
      </c>
      <c r="F158" s="86" t="s">
        <v>164</v>
      </c>
      <c r="G158" s="86" t="s">
        <v>87</v>
      </c>
      <c r="H158" s="86" t="s">
        <v>147</v>
      </c>
      <c r="I158" s="88"/>
      <c r="J158" s="87">
        <v>31427785</v>
      </c>
      <c r="K158" s="86" t="s">
        <v>94</v>
      </c>
      <c r="L158" s="86" t="str">
        <f>_xlfn.XLOOKUP(Tabla2__2[[#This Row],[CODIGO RUTA]],'DATA INFORME'!I:I,'DATA INFORME'!K:K)</f>
        <v>SI</v>
      </c>
      <c r="M158" s="86" t="str">
        <f>IF(Tabla2__2[[#This Row],[MYSTERY EFECTIVO]]="SI",_xlfn.XLOOKUP(Tabla2__2[[#This Row],[PREGUNTA]],ENCUESTA!G:G,ENCUESTA!D:D),"N/A")</f>
        <v>UNIFORME</v>
      </c>
      <c r="N15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58" s="86" t="str">
        <f>_xlfn.XLOOKUP(Tabla2__2[[#This Row],[PREGUNTA]],ENCUESTA!G:G,ENCUESTA!H:H)</f>
        <v xml:space="preserve"> NO</v>
      </c>
      <c r="P158" s="86">
        <f>IF(Tabla2__2[[#This Row],[RTA]]=Tabla2__2[[#This Row],[RTA CORRECTA]],Tabla2__2[[#This Row],[TOTAL PUNTAJE]],0)</f>
        <v>1.5</v>
      </c>
      <c r="Q158" s="86">
        <f>IF(OR(H158="Dog Chow húmedo",H158="Cat Chow húmedo",H158="Fancy Feast",H158="Felix",H158="Proplan húmedo",H158="One húmedo",H158="Snack Abrazzos",H158="Snak Dentalife",H158="Arenilla Tidy Cat"),N158,0)</f>
        <v>0</v>
      </c>
      <c r="R158" s="86"/>
      <c r="V158"/>
      <c r="W158"/>
    </row>
    <row r="159" spans="1:23" s="83" customFormat="1" hidden="1" x14ac:dyDescent="0.35">
      <c r="A159" s="86" t="s">
        <v>91</v>
      </c>
      <c r="B159" s="86" t="s">
        <v>131</v>
      </c>
      <c r="C159" s="85" t="s">
        <v>14</v>
      </c>
      <c r="D159" s="86" t="s">
        <v>14</v>
      </c>
      <c r="E159" s="87">
        <v>424803</v>
      </c>
      <c r="F159" s="86" t="s">
        <v>164</v>
      </c>
      <c r="G159" s="86" t="s">
        <v>88</v>
      </c>
      <c r="H159" s="86" t="s">
        <v>147</v>
      </c>
      <c r="I159" s="88"/>
      <c r="J159" s="87">
        <v>31427785</v>
      </c>
      <c r="K159" s="86" t="s">
        <v>94</v>
      </c>
      <c r="L159" s="86" t="str">
        <f>_xlfn.XLOOKUP(Tabla2__2[[#This Row],[CODIGO RUTA]],'DATA INFORME'!I:I,'DATA INFORME'!K:K)</f>
        <v>SI</v>
      </c>
      <c r="M159" s="86" t="str">
        <f>IF(Tabla2__2[[#This Row],[MYSTERY EFECTIVO]]="SI",_xlfn.XLOOKUP(Tabla2__2[[#This Row],[PREGUNTA]],ENCUESTA!G:G,ENCUESTA!D:D),"N/A")</f>
        <v>UNIFORME</v>
      </c>
      <c r="N15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59" s="86" t="str">
        <f>_xlfn.XLOOKUP(Tabla2__2[[#This Row],[PREGUNTA]],ENCUESTA!G:G,ENCUESTA!H:H)</f>
        <v xml:space="preserve"> NO</v>
      </c>
      <c r="P159" s="86">
        <f>IF(Tabla2__2[[#This Row],[RTA]]=Tabla2__2[[#This Row],[RTA CORRECTA]],Tabla2__2[[#This Row],[TOTAL PUNTAJE]],0)</f>
        <v>1.5</v>
      </c>
      <c r="Q159" s="86">
        <f>IF(OR(H159="Dog Chow húmedo",H159="Cat Chow húmedo",H159="Fancy Feast",H159="Felix",H159="Proplan húmedo",H159="One húmedo",H159="Snack Abrazzos",H159="Snak Dentalife",H159="Arenilla Tidy Cat"),N159,0)</f>
        <v>0</v>
      </c>
      <c r="R159" s="86"/>
      <c r="V159"/>
      <c r="W159"/>
    </row>
    <row r="160" spans="1:23" hidden="1" x14ac:dyDescent="0.35">
      <c r="A160" s="86" t="s">
        <v>91</v>
      </c>
      <c r="B160" s="86" t="s">
        <v>131</v>
      </c>
      <c r="C160" s="85" t="s">
        <v>14</v>
      </c>
      <c r="D160" s="86" t="s">
        <v>14</v>
      </c>
      <c r="E160" s="87">
        <v>424803</v>
      </c>
      <c r="F160" s="86" t="s">
        <v>164</v>
      </c>
      <c r="G160" s="86" t="s">
        <v>89</v>
      </c>
      <c r="H160" s="86" t="s">
        <v>147</v>
      </c>
      <c r="I160" s="88"/>
      <c r="J160" s="87">
        <v>31427785</v>
      </c>
      <c r="K160" s="86" t="s">
        <v>94</v>
      </c>
      <c r="L160" s="86" t="str">
        <f>_xlfn.XLOOKUP(Tabla2__2[[#This Row],[CODIGO RUTA]],'DATA INFORME'!I:I,'DATA INFORME'!K:K)</f>
        <v>SI</v>
      </c>
      <c r="M160" s="86" t="str">
        <f>IF(Tabla2__2[[#This Row],[MYSTERY EFECTIVO]]="SI",_xlfn.XLOOKUP(Tabla2__2[[#This Row],[PREGUNTA]],ENCUESTA!G:G,ENCUESTA!D:D),"N/A")</f>
        <v>UNIFORME</v>
      </c>
      <c r="N16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60" s="86" t="str">
        <f>_xlfn.XLOOKUP(Tabla2__2[[#This Row],[PREGUNTA]],ENCUESTA!G:G,ENCUESTA!H:H)</f>
        <v xml:space="preserve"> NO</v>
      </c>
      <c r="P160" s="86">
        <f>IF(Tabla2__2[[#This Row],[RTA]]=Tabla2__2[[#This Row],[RTA CORRECTA]],Tabla2__2[[#This Row],[TOTAL PUNTAJE]],0)</f>
        <v>1.5</v>
      </c>
      <c r="Q160" s="86">
        <f>IF(OR(H160="Dog Chow húmedo",H160="Cat Chow húmedo",H160="Fancy Feast",H160="Felix",H160="Proplan húmedo",H160="One húmedo",H160="Snack Abrazzos",H160="Snak Dentalife",H160="Arenilla Tidy Cat"),N160,0)</f>
        <v>0</v>
      </c>
      <c r="R160" s="86"/>
    </row>
    <row r="161" spans="1:18" hidden="1" x14ac:dyDescent="0.35">
      <c r="A161" s="86" t="s">
        <v>91</v>
      </c>
      <c r="B161" s="86" t="s">
        <v>131</v>
      </c>
      <c r="C161" s="85" t="s">
        <v>14</v>
      </c>
      <c r="D161" s="86" t="s">
        <v>14</v>
      </c>
      <c r="E161" s="87">
        <v>424803</v>
      </c>
      <c r="F161" s="86" t="s">
        <v>164</v>
      </c>
      <c r="G161" s="86" t="s">
        <v>90</v>
      </c>
      <c r="H161" s="86" t="s">
        <v>147</v>
      </c>
      <c r="I161" s="88"/>
      <c r="J161" s="87">
        <v>31427785</v>
      </c>
      <c r="K161" s="86" t="s">
        <v>94</v>
      </c>
      <c r="L161" s="86" t="str">
        <f>_xlfn.XLOOKUP(Tabla2__2[[#This Row],[CODIGO RUTA]],'DATA INFORME'!I:I,'DATA INFORME'!K:K)</f>
        <v>SI</v>
      </c>
      <c r="M161" s="86" t="str">
        <f>IF(Tabla2__2[[#This Row],[MYSTERY EFECTIVO]]="SI",_xlfn.XLOOKUP(Tabla2__2[[#This Row],[PREGUNTA]],ENCUESTA!G:G,ENCUESTA!D:D),"N/A")</f>
        <v>UNIFORME</v>
      </c>
      <c r="N16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61" s="86" t="str">
        <f>_xlfn.XLOOKUP(Tabla2__2[[#This Row],[PREGUNTA]],ENCUESTA!G:G,ENCUESTA!H:H)</f>
        <v xml:space="preserve"> NO</v>
      </c>
      <c r="P161" s="86">
        <f>IF(Tabla2__2[[#This Row],[RTA]]=Tabla2__2[[#This Row],[RTA CORRECTA]],Tabla2__2[[#This Row],[TOTAL PUNTAJE]],0)</f>
        <v>1.5</v>
      </c>
      <c r="Q161" s="86">
        <f>IF(OR(H161="Dog Chow húmedo",H161="Cat Chow húmedo",H161="Fancy Feast",H161="Felix",H161="Proplan húmedo",H161="One húmedo",H161="Snack Abrazzos",H161="Snak Dentalife",H161="Arenilla Tidy Cat"),N161,0)</f>
        <v>0</v>
      </c>
      <c r="R161" s="86"/>
    </row>
    <row r="162" spans="1:18" hidden="1" x14ac:dyDescent="0.35">
      <c r="A162" s="86" t="s">
        <v>91</v>
      </c>
      <c r="B162" s="86" t="s">
        <v>131</v>
      </c>
      <c r="C162" s="85" t="s">
        <v>14</v>
      </c>
      <c r="D162" s="86" t="s">
        <v>14</v>
      </c>
      <c r="E162" s="87">
        <v>424803</v>
      </c>
      <c r="F162" s="86" t="s">
        <v>164</v>
      </c>
      <c r="G162" s="86" t="s">
        <v>117</v>
      </c>
      <c r="H162" s="86" t="s">
        <v>20</v>
      </c>
      <c r="I162" s="88"/>
      <c r="J162" s="87">
        <v>31427785</v>
      </c>
      <c r="K162" s="86" t="s">
        <v>94</v>
      </c>
      <c r="L162" s="86" t="str">
        <f>_xlfn.XLOOKUP(Tabla2__2[[#This Row],[CODIGO RUTA]],'DATA INFORME'!I:I,'DATA INFORME'!K:K)</f>
        <v>SI</v>
      </c>
      <c r="M162" s="86" t="str">
        <f>IF(Tabla2__2[[#This Row],[MYSTERY EFECTIVO]]="SI",_xlfn.XLOOKUP(Tabla2__2[[#This Row],[PREGUNTA]],ENCUESTA!G:G,ENCUESTA!D:D),"N/A")</f>
        <v>ABORDAJE</v>
      </c>
      <c r="N16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62" s="86" t="str">
        <f>_xlfn.XLOOKUP(Tabla2__2[[#This Row],[PREGUNTA]],ENCUESTA!G:G,ENCUESTA!H:H)</f>
        <v>SI</v>
      </c>
      <c r="P162" s="86">
        <f>IF(Tabla2__2[[#This Row],[RTA]]=Tabla2__2[[#This Row],[RTA CORRECTA]],Tabla2__2[[#This Row],[TOTAL PUNTAJE]],0)</f>
        <v>20</v>
      </c>
      <c r="Q162" s="86">
        <f>IF(OR(H162="Dog Chow húmedo",H162="Cat Chow húmedo",H162="Fancy Feast",H162="Felix",H162="Proplan húmedo",H162="One húmedo",H162="Snack Abrazzos",H162="Snak Dentalife",H162="Arenilla Tidy Cat"),N162,0)</f>
        <v>0</v>
      </c>
      <c r="R162" s="86"/>
    </row>
    <row r="163" spans="1:18" hidden="1" x14ac:dyDescent="0.35">
      <c r="A163" s="86" t="s">
        <v>91</v>
      </c>
      <c r="B163" s="86" t="s">
        <v>131</v>
      </c>
      <c r="C163" s="85" t="s">
        <v>14</v>
      </c>
      <c r="D163" s="86" t="s">
        <v>14</v>
      </c>
      <c r="E163" s="87">
        <v>424803</v>
      </c>
      <c r="F163" s="86" t="s">
        <v>164</v>
      </c>
      <c r="G163" s="86" t="s">
        <v>110</v>
      </c>
      <c r="H163" s="86" t="s">
        <v>20</v>
      </c>
      <c r="I163" s="88"/>
      <c r="J163" s="87">
        <v>31427785</v>
      </c>
      <c r="K163" s="86" t="s">
        <v>94</v>
      </c>
      <c r="L163" s="86" t="str">
        <f>_xlfn.XLOOKUP(Tabla2__2[[#This Row],[CODIGO RUTA]],'DATA INFORME'!I:I,'DATA INFORME'!K:K)</f>
        <v>SI</v>
      </c>
      <c r="M163" s="86" t="str">
        <f>IF(Tabla2__2[[#This Row],[MYSTERY EFECTIVO]]="SI",_xlfn.XLOOKUP(Tabla2__2[[#This Row],[PREGUNTA]],ENCUESTA!G:G,ENCUESTA!D:D),"N/A")</f>
        <v>PORTAFOLIO Y MANEJO DE OBJECIONES</v>
      </c>
      <c r="N16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163" s="86" t="str">
        <f>_xlfn.XLOOKUP(Tabla2__2[[#This Row],[PREGUNTA]],ENCUESTA!G:G,ENCUESTA!H:H)</f>
        <v>SI</v>
      </c>
      <c r="P163" s="86">
        <f>IF(Tabla2__2[[#This Row],[RTA]]=Tabla2__2[[#This Row],[RTA CORRECTA]],Tabla2__2[[#This Row],[TOTAL PUNTAJE]],0)</f>
        <v>2.3076923076923075</v>
      </c>
      <c r="Q163" s="86">
        <f>IF(OR(H163="Dog Chow húmedo",H163="Cat Chow húmedo",H163="Fancy Feast",H163="Felix",H163="Proplan húmedo",H163="One húmedo",H163="Snack Abrazzos",H163="Snak Dentalife",H163="Arenilla Tidy Cat"),N163,0)</f>
        <v>0</v>
      </c>
      <c r="R163" s="86"/>
    </row>
    <row r="164" spans="1:18" hidden="1" x14ac:dyDescent="0.35">
      <c r="A164" s="86" t="s">
        <v>91</v>
      </c>
      <c r="B164" s="86" t="s">
        <v>131</v>
      </c>
      <c r="C164" s="85" t="s">
        <v>14</v>
      </c>
      <c r="D164" s="86" t="s">
        <v>14</v>
      </c>
      <c r="E164" s="87">
        <v>424803</v>
      </c>
      <c r="F164" s="86" t="s">
        <v>164</v>
      </c>
      <c r="G164" s="86" t="s">
        <v>119</v>
      </c>
      <c r="H164" s="86" t="s">
        <v>20</v>
      </c>
      <c r="I164" s="88"/>
      <c r="J164" s="87">
        <v>31427785</v>
      </c>
      <c r="K164" s="86" t="s">
        <v>94</v>
      </c>
      <c r="L164" s="86" t="str">
        <f>_xlfn.XLOOKUP(Tabla2__2[[#This Row],[CODIGO RUTA]],'DATA INFORME'!I:I,'DATA INFORME'!K:K)</f>
        <v>SI</v>
      </c>
      <c r="M164" s="86" t="str">
        <f>IF(Tabla2__2[[#This Row],[MYSTERY EFECTIVO]]="SI",_xlfn.XLOOKUP(Tabla2__2[[#This Row],[PREGUNTA]],ENCUESTA!G:G,ENCUESTA!D:D),"N/A")</f>
        <v>PORTAFOLIO Y MANEJO DE OBJECIONES</v>
      </c>
      <c r="N16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2.3076923076923075</v>
      </c>
      <c r="O164" s="86" t="str">
        <f>_xlfn.XLOOKUP(Tabla2__2[[#This Row],[PREGUNTA]],ENCUESTA!G:G,ENCUESTA!H:H)</f>
        <v>SI</v>
      </c>
      <c r="P164" s="86">
        <f>IF(Tabla2__2[[#This Row],[RTA]]=Tabla2__2[[#This Row],[RTA CORRECTA]],Tabla2__2[[#This Row],[TOTAL PUNTAJE]],0)</f>
        <v>2.3076923076923075</v>
      </c>
      <c r="Q164" s="86">
        <f>IF(OR(H164="Dog Chow húmedo",H164="Cat Chow húmedo",H164="Fancy Feast",H164="Felix",H164="Proplan húmedo",H164="One húmedo",H164="Snack Abrazzos",H164="Snak Dentalife",H164="Arenilla Tidy Cat"),N164,0)</f>
        <v>0</v>
      </c>
      <c r="R164" s="86"/>
    </row>
    <row r="165" spans="1:18" x14ac:dyDescent="0.35">
      <c r="A165" s="86" t="s">
        <v>91</v>
      </c>
      <c r="B165" s="86" t="s">
        <v>178</v>
      </c>
      <c r="C165" s="85" t="s">
        <v>15</v>
      </c>
      <c r="D165" s="86" t="s">
        <v>15</v>
      </c>
      <c r="E165" s="87">
        <v>12329</v>
      </c>
      <c r="F165" s="86" t="s">
        <v>179</v>
      </c>
      <c r="G165" s="86" t="s">
        <v>99</v>
      </c>
      <c r="H165" s="86" t="s">
        <v>20</v>
      </c>
      <c r="I165" s="88"/>
      <c r="J165" s="87">
        <v>31528799</v>
      </c>
      <c r="K165" s="86" t="s">
        <v>160</v>
      </c>
      <c r="L165" s="86" t="str">
        <f>_xlfn.XLOOKUP(Tabla2__2[[#This Row],[CODIGO RUTA]],'DATA INFORME'!I:I,'DATA INFORME'!K:K)</f>
        <v>SI</v>
      </c>
      <c r="M165" s="86" t="str">
        <f>IF(Tabla2__2[[#This Row],[MYSTERY EFECTIVO]]="SI",_xlfn.XLOOKUP(Tabla2__2[[#This Row],[PREGUNTA]],ENCUESTA!G:G,ENCUESTA!D:D),"N/A")</f>
        <v>N/A</v>
      </c>
      <c r="N16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5" s="86">
        <f>_xlfn.XLOOKUP(Tabla2__2[[#This Row],[PREGUNTA]],ENCUESTA!G:G,ENCUESTA!H:H)</f>
        <v>0</v>
      </c>
      <c r="P165" s="86">
        <f>IF(Tabla2__2[[#This Row],[RTA]]=Tabla2__2[[#This Row],[RTA CORRECTA]],Tabla2__2[[#This Row],[TOTAL PUNTAJE]],0)</f>
        <v>0</v>
      </c>
      <c r="Q165" s="86">
        <f>IF(OR(H165="Dog Chow húmedo",H165="Cat Chow húmedo",H165="Fancy Feast",H165="Felix",H165="Proplan húmedo",H165="One húmedo",H165="Snack Abrazzos",H165="Snak Dentalife",H165="Arenilla Tidy Cat"),N165,0)</f>
        <v>0</v>
      </c>
      <c r="R165" s="86"/>
    </row>
    <row r="166" spans="1:18" x14ac:dyDescent="0.35">
      <c r="A166" s="86" t="s">
        <v>91</v>
      </c>
      <c r="B166" s="86" t="s">
        <v>178</v>
      </c>
      <c r="C166" s="85" t="s">
        <v>15</v>
      </c>
      <c r="D166" s="86" t="s">
        <v>15</v>
      </c>
      <c r="E166" s="87">
        <v>12329</v>
      </c>
      <c r="F166" s="86" t="s">
        <v>179</v>
      </c>
      <c r="G166" s="86" t="s">
        <v>83</v>
      </c>
      <c r="H166" s="86" t="s">
        <v>20</v>
      </c>
      <c r="I166" s="88"/>
      <c r="J166" s="87">
        <v>31528799</v>
      </c>
      <c r="K166" s="86" t="s">
        <v>160</v>
      </c>
      <c r="L166" s="86" t="str">
        <f>_xlfn.XLOOKUP(Tabla2__2[[#This Row],[CODIGO RUTA]],'DATA INFORME'!I:I,'DATA INFORME'!K:K)</f>
        <v>SI</v>
      </c>
      <c r="M166" s="86" t="str">
        <f>IF(Tabla2__2[[#This Row],[MYSTERY EFECTIVO]]="SI",_xlfn.XLOOKUP(Tabla2__2[[#This Row],[PREGUNTA]],ENCUESTA!G:G,ENCUESTA!D:D),"N/A")</f>
        <v>HORARIO</v>
      </c>
      <c r="N16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66" s="86" t="str">
        <f>_xlfn.XLOOKUP(Tabla2__2[[#This Row],[PREGUNTA]],ENCUESTA!G:G,ENCUESTA!H:H)</f>
        <v>SI</v>
      </c>
      <c r="P166" s="86">
        <f>IF(Tabla2__2[[#This Row],[RTA]]=Tabla2__2[[#This Row],[RTA CORRECTA]],Tabla2__2[[#This Row],[TOTAL PUNTAJE]],0)</f>
        <v>20</v>
      </c>
      <c r="Q166" s="86">
        <f>IF(OR(H166="Dog Chow húmedo",H166="Cat Chow húmedo",H166="Fancy Feast",H166="Felix",H166="Proplan húmedo",H166="One húmedo",H166="Snack Abrazzos",H166="Snak Dentalife",H166="Arenilla Tidy Cat"),N166,0)</f>
        <v>0</v>
      </c>
      <c r="R166" s="86"/>
    </row>
    <row r="167" spans="1:18" x14ac:dyDescent="0.35">
      <c r="A167" s="86" t="s">
        <v>91</v>
      </c>
      <c r="B167" s="86" t="s">
        <v>178</v>
      </c>
      <c r="C167" s="85" t="s">
        <v>15</v>
      </c>
      <c r="D167" s="86" t="s">
        <v>15</v>
      </c>
      <c r="E167" s="87">
        <v>12329</v>
      </c>
      <c r="F167" s="86" t="s">
        <v>179</v>
      </c>
      <c r="G167" s="86" t="s">
        <v>84</v>
      </c>
      <c r="H167" s="86" t="s">
        <v>20</v>
      </c>
      <c r="I167" s="88"/>
      <c r="J167" s="87">
        <v>31528799</v>
      </c>
      <c r="K167" s="86" t="s">
        <v>160</v>
      </c>
      <c r="L167" s="86" t="str">
        <f>_xlfn.XLOOKUP(Tabla2__2[[#This Row],[CODIGO RUTA]],'DATA INFORME'!I:I,'DATA INFORME'!K:K)</f>
        <v>SI</v>
      </c>
      <c r="M167" s="86" t="str">
        <f>IF(Tabla2__2[[#This Row],[MYSTERY EFECTIVO]]="SI",_xlfn.XLOOKUP(Tabla2__2[[#This Row],[PREGUNTA]],ENCUESTA!G:G,ENCUESTA!D:D),"N/A")</f>
        <v>UNIFORME</v>
      </c>
      <c r="N16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67" s="86" t="str">
        <f>_xlfn.XLOOKUP(Tabla2__2[[#This Row],[PREGUNTA]],ENCUESTA!G:G,ENCUESTA!H:H)</f>
        <v>SI</v>
      </c>
      <c r="P167" s="86">
        <f>IF(Tabla2__2[[#This Row],[RTA]]=Tabla2__2[[#This Row],[RTA CORRECTA]],Tabla2__2[[#This Row],[TOTAL PUNTAJE]],0)</f>
        <v>1.5</v>
      </c>
      <c r="Q167" s="86">
        <f>IF(OR(H167="Dog Chow húmedo",H167="Cat Chow húmedo",H167="Fancy Feast",H167="Felix",H167="Proplan húmedo",H167="One húmedo",H167="Snack Abrazzos",H167="Snak Dentalife",H167="Arenilla Tidy Cat"),N167,0)</f>
        <v>0</v>
      </c>
      <c r="R167" s="86"/>
    </row>
    <row r="168" spans="1:18" x14ac:dyDescent="0.35">
      <c r="A168" s="86" t="s">
        <v>91</v>
      </c>
      <c r="B168" s="86" t="s">
        <v>178</v>
      </c>
      <c r="C168" s="85" t="s">
        <v>15</v>
      </c>
      <c r="D168" s="86" t="s">
        <v>15</v>
      </c>
      <c r="E168" s="87">
        <v>12329</v>
      </c>
      <c r="F168" s="86" t="s">
        <v>179</v>
      </c>
      <c r="G168" s="86" t="s">
        <v>100</v>
      </c>
      <c r="H168" s="86" t="s">
        <v>20</v>
      </c>
      <c r="I168" s="88"/>
      <c r="J168" s="87">
        <v>31528799</v>
      </c>
      <c r="K168" s="86" t="s">
        <v>160</v>
      </c>
      <c r="L168" s="86" t="str">
        <f>_xlfn.XLOOKUP(Tabla2__2[[#This Row],[CODIGO RUTA]],'DATA INFORME'!I:I,'DATA INFORME'!K:K)</f>
        <v>SI</v>
      </c>
      <c r="M168" s="86" t="str">
        <f>IF(Tabla2__2[[#This Row],[MYSTERY EFECTIVO]]="SI",_xlfn.XLOOKUP(Tabla2__2[[#This Row],[PREGUNTA]],ENCUESTA!G:G,ENCUESTA!D:D),"N/A")</f>
        <v>UNIFORME</v>
      </c>
      <c r="N16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68" s="86" t="str">
        <f>_xlfn.XLOOKUP(Tabla2__2[[#This Row],[PREGUNTA]],ENCUESTA!G:G,ENCUESTA!H:H)</f>
        <v>SI</v>
      </c>
      <c r="P168" s="86">
        <f>IF(Tabla2__2[[#This Row],[RTA]]=Tabla2__2[[#This Row],[RTA CORRECTA]],Tabla2__2[[#This Row],[TOTAL PUNTAJE]],0)</f>
        <v>1.5</v>
      </c>
      <c r="Q168" s="86">
        <f>IF(OR(H168="Dog Chow húmedo",H168="Cat Chow húmedo",H168="Fancy Feast",H168="Felix",H168="Proplan húmedo",H168="One húmedo",H168="Snack Abrazzos",H168="Snak Dentalife",H168="Arenilla Tidy Cat"),N168,0)</f>
        <v>0</v>
      </c>
      <c r="R168" s="86"/>
    </row>
    <row r="169" spans="1:18" x14ac:dyDescent="0.35">
      <c r="A169" s="86" t="s">
        <v>91</v>
      </c>
      <c r="B169" s="86" t="s">
        <v>178</v>
      </c>
      <c r="C169" s="85" t="s">
        <v>15</v>
      </c>
      <c r="D169" s="86" t="s">
        <v>15</v>
      </c>
      <c r="E169" s="87">
        <v>12329</v>
      </c>
      <c r="F169" s="86" t="s">
        <v>179</v>
      </c>
      <c r="G169" s="86" t="s">
        <v>35</v>
      </c>
      <c r="H169" s="86" t="s">
        <v>20</v>
      </c>
      <c r="I169" s="88"/>
      <c r="J169" s="87">
        <v>31528799</v>
      </c>
      <c r="K169" s="86" t="s">
        <v>160</v>
      </c>
      <c r="L169" s="86" t="str">
        <f>_xlfn.XLOOKUP(Tabla2__2[[#This Row],[CODIGO RUTA]],'DATA INFORME'!I:I,'DATA INFORME'!K:K)</f>
        <v>SI</v>
      </c>
      <c r="M169" s="86" t="str">
        <f>IF(Tabla2__2[[#This Row],[MYSTERY EFECTIVO]]="SI",_xlfn.XLOOKUP(Tabla2__2[[#This Row],[PREGUNTA]],ENCUESTA!G:G,ENCUESTA!D:D),"N/A")</f>
        <v>UNIFORME</v>
      </c>
      <c r="N16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69" s="86" t="str">
        <f>_xlfn.XLOOKUP(Tabla2__2[[#This Row],[PREGUNTA]],ENCUESTA!G:G,ENCUESTA!H:H)</f>
        <v>SI</v>
      </c>
      <c r="P169" s="86">
        <f>IF(Tabla2__2[[#This Row],[RTA]]=Tabla2__2[[#This Row],[RTA CORRECTA]],Tabla2__2[[#This Row],[TOTAL PUNTAJE]],0)</f>
        <v>1.5</v>
      </c>
      <c r="Q169" s="86">
        <f>IF(OR(H169="Dog Chow húmedo",H169="Cat Chow húmedo",H169="Fancy Feast",H169="Felix",H169="Proplan húmedo",H169="One húmedo",H169="Snack Abrazzos",H169="Snak Dentalife",H169="Arenilla Tidy Cat"),N169,0)</f>
        <v>0</v>
      </c>
      <c r="R169" s="86"/>
    </row>
    <row r="170" spans="1:18" x14ac:dyDescent="0.35">
      <c r="A170" s="86" t="s">
        <v>91</v>
      </c>
      <c r="B170" s="86" t="s">
        <v>178</v>
      </c>
      <c r="C170" s="85" t="s">
        <v>15</v>
      </c>
      <c r="D170" s="86" t="s">
        <v>15</v>
      </c>
      <c r="E170" s="87">
        <v>12329</v>
      </c>
      <c r="F170" s="86" t="s">
        <v>179</v>
      </c>
      <c r="G170" s="86" t="s">
        <v>101</v>
      </c>
      <c r="H170" s="86" t="s">
        <v>147</v>
      </c>
      <c r="I170" s="88"/>
      <c r="J170" s="87">
        <v>31528799</v>
      </c>
      <c r="K170" s="86" t="s">
        <v>160</v>
      </c>
      <c r="L170" s="86" t="str">
        <f>_xlfn.XLOOKUP(Tabla2__2[[#This Row],[CODIGO RUTA]],'DATA INFORME'!I:I,'DATA INFORME'!K:K)</f>
        <v>SI</v>
      </c>
      <c r="M170" s="86" t="str">
        <f>IF(Tabla2__2[[#This Row],[MYSTERY EFECTIVO]]="SI",_xlfn.XLOOKUP(Tabla2__2[[#This Row],[PREGUNTA]],ENCUESTA!G:G,ENCUESTA!D:D),"N/A")</f>
        <v>UNIFORME</v>
      </c>
      <c r="N17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0" s="86" t="str">
        <f>_xlfn.XLOOKUP(Tabla2__2[[#This Row],[PREGUNTA]],ENCUESTA!G:G,ENCUESTA!H:H)</f>
        <v xml:space="preserve"> NO</v>
      </c>
      <c r="P170" s="86">
        <f>IF(Tabla2__2[[#This Row],[RTA]]=Tabla2__2[[#This Row],[RTA CORRECTA]],Tabla2__2[[#This Row],[TOTAL PUNTAJE]],0)</f>
        <v>1.5</v>
      </c>
      <c r="Q170" s="86">
        <f>IF(OR(H170="Dog Chow húmedo",H170="Cat Chow húmedo",H170="Fancy Feast",H170="Felix",H170="Proplan húmedo",H170="One húmedo",H170="Snack Abrazzos",H170="Snak Dentalife",H170="Arenilla Tidy Cat"),N170,0)</f>
        <v>0</v>
      </c>
      <c r="R170" s="86"/>
    </row>
    <row r="171" spans="1:18" x14ac:dyDescent="0.35">
      <c r="A171" s="86" t="s">
        <v>91</v>
      </c>
      <c r="B171" s="86" t="s">
        <v>178</v>
      </c>
      <c r="C171" s="85" t="s">
        <v>15</v>
      </c>
      <c r="D171" s="86" t="s">
        <v>15</v>
      </c>
      <c r="E171" s="87">
        <v>12329</v>
      </c>
      <c r="F171" s="86" t="s">
        <v>179</v>
      </c>
      <c r="G171" s="86" t="s">
        <v>85</v>
      </c>
      <c r="H171" s="86" t="s">
        <v>20</v>
      </c>
      <c r="I171" s="88"/>
      <c r="J171" s="87">
        <v>31528799</v>
      </c>
      <c r="K171" s="86" t="s">
        <v>160</v>
      </c>
      <c r="L171" s="86" t="str">
        <f>_xlfn.XLOOKUP(Tabla2__2[[#This Row],[CODIGO RUTA]],'DATA INFORME'!I:I,'DATA INFORME'!K:K)</f>
        <v>SI</v>
      </c>
      <c r="M171" s="86" t="str">
        <f>IF(Tabla2__2[[#This Row],[MYSTERY EFECTIVO]]="SI",_xlfn.XLOOKUP(Tabla2__2[[#This Row],[PREGUNTA]],ENCUESTA!G:G,ENCUESTA!D:D),"N/A")</f>
        <v>UNIFORME</v>
      </c>
      <c r="N17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1" s="86" t="str">
        <f>_xlfn.XLOOKUP(Tabla2__2[[#This Row],[PREGUNTA]],ENCUESTA!G:G,ENCUESTA!H:H)</f>
        <v>SI</v>
      </c>
      <c r="P171" s="86">
        <f>IF(Tabla2__2[[#This Row],[RTA]]=Tabla2__2[[#This Row],[RTA CORRECTA]],Tabla2__2[[#This Row],[TOTAL PUNTAJE]],0)</f>
        <v>1.5</v>
      </c>
      <c r="Q171" s="86">
        <f>IF(OR(H171="Dog Chow húmedo",H171="Cat Chow húmedo",H171="Fancy Feast",H171="Felix",H171="Proplan húmedo",H171="One húmedo",H171="Snack Abrazzos",H171="Snak Dentalife",H171="Arenilla Tidy Cat"),N171,0)</f>
        <v>0</v>
      </c>
      <c r="R171" s="86"/>
    </row>
    <row r="172" spans="1:18" x14ac:dyDescent="0.35">
      <c r="A172" s="86" t="s">
        <v>91</v>
      </c>
      <c r="B172" s="86" t="s">
        <v>178</v>
      </c>
      <c r="C172" s="85" t="s">
        <v>15</v>
      </c>
      <c r="D172" s="86" t="s">
        <v>15</v>
      </c>
      <c r="E172" s="87">
        <v>12329</v>
      </c>
      <c r="F172" s="86" t="s">
        <v>179</v>
      </c>
      <c r="G172" s="86" t="s">
        <v>86</v>
      </c>
      <c r="H172" s="86" t="s">
        <v>20</v>
      </c>
      <c r="I172" s="88"/>
      <c r="J172" s="87">
        <v>31528799</v>
      </c>
      <c r="K172" s="86" t="s">
        <v>160</v>
      </c>
      <c r="L172" s="86" t="str">
        <f>_xlfn.XLOOKUP(Tabla2__2[[#This Row],[CODIGO RUTA]],'DATA INFORME'!I:I,'DATA INFORME'!K:K)</f>
        <v>SI</v>
      </c>
      <c r="M172" s="86" t="str">
        <f>IF(Tabla2__2[[#This Row],[MYSTERY EFECTIVO]]="SI",_xlfn.XLOOKUP(Tabla2__2[[#This Row],[PREGUNTA]],ENCUESTA!G:G,ENCUESTA!D:D),"N/A")</f>
        <v>UNIFORME</v>
      </c>
      <c r="N17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2" s="86" t="str">
        <f>_xlfn.XLOOKUP(Tabla2__2[[#This Row],[PREGUNTA]],ENCUESTA!G:G,ENCUESTA!H:H)</f>
        <v>SI</v>
      </c>
      <c r="P172" s="86">
        <f>IF(Tabla2__2[[#This Row],[RTA]]=Tabla2__2[[#This Row],[RTA CORRECTA]],Tabla2__2[[#This Row],[TOTAL PUNTAJE]],0)</f>
        <v>1.5</v>
      </c>
      <c r="Q172" s="86">
        <f>IF(OR(H172="Dog Chow húmedo",H172="Cat Chow húmedo",H172="Fancy Feast",H172="Felix",H172="Proplan húmedo",H172="One húmedo",H172="Snack Abrazzos",H172="Snak Dentalife",H172="Arenilla Tidy Cat"),N172,0)</f>
        <v>0</v>
      </c>
      <c r="R172" s="86"/>
    </row>
    <row r="173" spans="1:18" x14ac:dyDescent="0.35">
      <c r="A173" s="86" t="s">
        <v>91</v>
      </c>
      <c r="B173" s="86" t="s">
        <v>178</v>
      </c>
      <c r="C173" s="85" t="s">
        <v>15</v>
      </c>
      <c r="D173" s="86" t="s">
        <v>15</v>
      </c>
      <c r="E173" s="87">
        <v>12329</v>
      </c>
      <c r="F173" s="86" t="s">
        <v>179</v>
      </c>
      <c r="G173" s="86" t="s">
        <v>87</v>
      </c>
      <c r="H173" s="86" t="s">
        <v>147</v>
      </c>
      <c r="I173" s="88"/>
      <c r="J173" s="87">
        <v>31528799</v>
      </c>
      <c r="K173" s="86" t="s">
        <v>160</v>
      </c>
      <c r="L173" s="86" t="str">
        <f>_xlfn.XLOOKUP(Tabla2__2[[#This Row],[CODIGO RUTA]],'DATA INFORME'!I:I,'DATA INFORME'!K:K)</f>
        <v>SI</v>
      </c>
      <c r="M173" s="86" t="str">
        <f>IF(Tabla2__2[[#This Row],[MYSTERY EFECTIVO]]="SI",_xlfn.XLOOKUP(Tabla2__2[[#This Row],[PREGUNTA]],ENCUESTA!G:G,ENCUESTA!D:D),"N/A")</f>
        <v>UNIFORME</v>
      </c>
      <c r="N17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3" s="86" t="str">
        <f>_xlfn.XLOOKUP(Tabla2__2[[#This Row],[PREGUNTA]],ENCUESTA!G:G,ENCUESTA!H:H)</f>
        <v xml:space="preserve"> NO</v>
      </c>
      <c r="P173" s="86">
        <f>IF(Tabla2__2[[#This Row],[RTA]]=Tabla2__2[[#This Row],[RTA CORRECTA]],Tabla2__2[[#This Row],[TOTAL PUNTAJE]],0)</f>
        <v>1.5</v>
      </c>
      <c r="Q173" s="86">
        <f>IF(OR(H173="Dog Chow húmedo",H173="Cat Chow húmedo",H173="Fancy Feast",H173="Felix",H173="Proplan húmedo",H173="One húmedo",H173="Snack Abrazzos",H173="Snak Dentalife",H173="Arenilla Tidy Cat"),N173,0)</f>
        <v>0</v>
      </c>
      <c r="R173" s="86"/>
    </row>
    <row r="174" spans="1:18" x14ac:dyDescent="0.35">
      <c r="A174" s="86" t="s">
        <v>91</v>
      </c>
      <c r="B174" s="86" t="s">
        <v>178</v>
      </c>
      <c r="C174" s="85" t="s">
        <v>15</v>
      </c>
      <c r="D174" s="86" t="s">
        <v>15</v>
      </c>
      <c r="E174" s="87">
        <v>12329</v>
      </c>
      <c r="F174" s="86" t="s">
        <v>179</v>
      </c>
      <c r="G174" s="86" t="s">
        <v>88</v>
      </c>
      <c r="H174" s="86" t="s">
        <v>147</v>
      </c>
      <c r="I174" s="88"/>
      <c r="J174" s="87">
        <v>31528799</v>
      </c>
      <c r="K174" s="86" t="s">
        <v>160</v>
      </c>
      <c r="L174" s="86" t="str">
        <f>_xlfn.XLOOKUP(Tabla2__2[[#This Row],[CODIGO RUTA]],'DATA INFORME'!I:I,'DATA INFORME'!K:K)</f>
        <v>SI</v>
      </c>
      <c r="M174" s="86" t="str">
        <f>IF(Tabla2__2[[#This Row],[MYSTERY EFECTIVO]]="SI",_xlfn.XLOOKUP(Tabla2__2[[#This Row],[PREGUNTA]],ENCUESTA!G:G,ENCUESTA!D:D),"N/A")</f>
        <v>UNIFORME</v>
      </c>
      <c r="N17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4" s="86" t="str">
        <f>_xlfn.XLOOKUP(Tabla2__2[[#This Row],[PREGUNTA]],ENCUESTA!G:G,ENCUESTA!H:H)</f>
        <v xml:space="preserve"> NO</v>
      </c>
      <c r="P174" s="86">
        <f>IF(Tabla2__2[[#This Row],[RTA]]=Tabla2__2[[#This Row],[RTA CORRECTA]],Tabla2__2[[#This Row],[TOTAL PUNTAJE]],0)</f>
        <v>1.5</v>
      </c>
      <c r="Q174" s="86">
        <f>IF(OR(H174="Dog Chow húmedo",H174="Cat Chow húmedo",H174="Fancy Feast",H174="Felix",H174="Proplan húmedo",H174="One húmedo",H174="Snack Abrazzos",H174="Snak Dentalife",H174="Arenilla Tidy Cat"),N174,0)</f>
        <v>0</v>
      </c>
      <c r="R174" s="86"/>
    </row>
    <row r="175" spans="1:18" x14ac:dyDescent="0.35">
      <c r="A175" s="86" t="s">
        <v>91</v>
      </c>
      <c r="B175" s="86" t="s">
        <v>178</v>
      </c>
      <c r="C175" s="85" t="s">
        <v>15</v>
      </c>
      <c r="D175" s="86" t="s">
        <v>15</v>
      </c>
      <c r="E175" s="87">
        <v>12329</v>
      </c>
      <c r="F175" s="86" t="s">
        <v>179</v>
      </c>
      <c r="G175" s="86" t="s">
        <v>89</v>
      </c>
      <c r="H175" s="86" t="s">
        <v>147</v>
      </c>
      <c r="I175" s="88"/>
      <c r="J175" s="87">
        <v>31528799</v>
      </c>
      <c r="K175" s="86" t="s">
        <v>160</v>
      </c>
      <c r="L175" s="86" t="str">
        <f>_xlfn.XLOOKUP(Tabla2__2[[#This Row],[CODIGO RUTA]],'DATA INFORME'!I:I,'DATA INFORME'!K:K)</f>
        <v>SI</v>
      </c>
      <c r="M175" s="86" t="str">
        <f>IF(Tabla2__2[[#This Row],[MYSTERY EFECTIVO]]="SI",_xlfn.XLOOKUP(Tabla2__2[[#This Row],[PREGUNTA]],ENCUESTA!G:G,ENCUESTA!D:D),"N/A")</f>
        <v>UNIFORME</v>
      </c>
      <c r="N17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5" s="86" t="str">
        <f>_xlfn.XLOOKUP(Tabla2__2[[#This Row],[PREGUNTA]],ENCUESTA!G:G,ENCUESTA!H:H)</f>
        <v xml:space="preserve"> NO</v>
      </c>
      <c r="P175" s="86">
        <f>IF(Tabla2__2[[#This Row],[RTA]]=Tabla2__2[[#This Row],[RTA CORRECTA]],Tabla2__2[[#This Row],[TOTAL PUNTAJE]],0)</f>
        <v>1.5</v>
      </c>
      <c r="Q175" s="86">
        <f>IF(OR(H175="Dog Chow húmedo",H175="Cat Chow húmedo",H175="Fancy Feast",H175="Felix",H175="Proplan húmedo",H175="One húmedo",H175="Snack Abrazzos",H175="Snak Dentalife",H175="Arenilla Tidy Cat"),N175,0)</f>
        <v>0</v>
      </c>
      <c r="R175" s="86"/>
    </row>
    <row r="176" spans="1:18" x14ac:dyDescent="0.35">
      <c r="A176" s="86" t="s">
        <v>91</v>
      </c>
      <c r="B176" s="86" t="s">
        <v>178</v>
      </c>
      <c r="C176" s="85" t="s">
        <v>15</v>
      </c>
      <c r="D176" s="86" t="s">
        <v>15</v>
      </c>
      <c r="E176" s="87">
        <v>12329</v>
      </c>
      <c r="F176" s="86" t="s">
        <v>179</v>
      </c>
      <c r="G176" s="86" t="s">
        <v>90</v>
      </c>
      <c r="H176" s="86" t="s">
        <v>147</v>
      </c>
      <c r="I176" s="88"/>
      <c r="J176" s="87">
        <v>31528799</v>
      </c>
      <c r="K176" s="86" t="s">
        <v>160</v>
      </c>
      <c r="L176" s="86" t="str">
        <f>_xlfn.XLOOKUP(Tabla2__2[[#This Row],[CODIGO RUTA]],'DATA INFORME'!I:I,'DATA INFORME'!K:K)</f>
        <v>SI</v>
      </c>
      <c r="M176" s="86" t="str">
        <f>IF(Tabla2__2[[#This Row],[MYSTERY EFECTIVO]]="SI",_xlfn.XLOOKUP(Tabla2__2[[#This Row],[PREGUNTA]],ENCUESTA!G:G,ENCUESTA!D:D),"N/A")</f>
        <v>UNIFORME</v>
      </c>
      <c r="N17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6" s="86" t="str">
        <f>_xlfn.XLOOKUP(Tabla2__2[[#This Row],[PREGUNTA]],ENCUESTA!G:G,ENCUESTA!H:H)</f>
        <v xml:space="preserve"> NO</v>
      </c>
      <c r="P176" s="86">
        <f>IF(Tabla2__2[[#This Row],[RTA]]=Tabla2__2[[#This Row],[RTA CORRECTA]],Tabla2__2[[#This Row],[TOTAL PUNTAJE]],0)</f>
        <v>1.5</v>
      </c>
      <c r="Q176" s="86">
        <f>IF(OR(H176="Dog Chow húmedo",H176="Cat Chow húmedo",H176="Fancy Feast",H176="Felix",H176="Proplan húmedo",H176="One húmedo",H176="Snack Abrazzos",H176="Snak Dentalife",H176="Arenilla Tidy Cat"),N176,0)</f>
        <v>0</v>
      </c>
      <c r="R176" s="86"/>
    </row>
    <row r="177" spans="1:18" x14ac:dyDescent="0.35">
      <c r="A177" s="86" t="s">
        <v>91</v>
      </c>
      <c r="B177" s="86" t="s">
        <v>178</v>
      </c>
      <c r="C177" s="85" t="s">
        <v>15</v>
      </c>
      <c r="D177" s="86" t="s">
        <v>15</v>
      </c>
      <c r="E177" s="87">
        <v>12329</v>
      </c>
      <c r="F177" s="86" t="s">
        <v>179</v>
      </c>
      <c r="G177" s="86" t="s">
        <v>117</v>
      </c>
      <c r="H177" s="86" t="s">
        <v>20</v>
      </c>
      <c r="I177" s="88"/>
      <c r="J177" s="87">
        <v>31528799</v>
      </c>
      <c r="K177" s="86" t="s">
        <v>160</v>
      </c>
      <c r="L177" s="86" t="str">
        <f>_xlfn.XLOOKUP(Tabla2__2[[#This Row],[CODIGO RUTA]],'DATA INFORME'!I:I,'DATA INFORME'!K:K)</f>
        <v>SI</v>
      </c>
      <c r="M177" s="86" t="str">
        <f>IF(Tabla2__2[[#This Row],[MYSTERY EFECTIVO]]="SI",_xlfn.XLOOKUP(Tabla2__2[[#This Row],[PREGUNTA]],ENCUESTA!G:G,ENCUESTA!D:D),"N/A")</f>
        <v>ABORDAJE</v>
      </c>
      <c r="N17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77" s="86" t="str">
        <f>_xlfn.XLOOKUP(Tabla2__2[[#This Row],[PREGUNTA]],ENCUESTA!G:G,ENCUESTA!H:H)</f>
        <v>SI</v>
      </c>
      <c r="P177" s="86">
        <f>IF(Tabla2__2[[#This Row],[RTA]]=Tabla2__2[[#This Row],[RTA CORRECTA]],Tabla2__2[[#This Row],[TOTAL PUNTAJE]],0)</f>
        <v>20</v>
      </c>
      <c r="Q177" s="86">
        <f>IF(OR(H177="Dog Chow húmedo",H177="Cat Chow húmedo",H177="Fancy Feast",H177="Felix",H177="Proplan húmedo",H177="One húmedo",H177="Snack Abrazzos",H177="Snak Dentalife",H177="Arenilla Tidy Cat"),N177,0)</f>
        <v>0</v>
      </c>
      <c r="R177" s="86"/>
    </row>
    <row r="178" spans="1:18" x14ac:dyDescent="0.35">
      <c r="A178" s="86" t="s">
        <v>91</v>
      </c>
      <c r="B178" s="86" t="s">
        <v>178</v>
      </c>
      <c r="C178" s="85" t="s">
        <v>15</v>
      </c>
      <c r="D178" s="86" t="s">
        <v>15</v>
      </c>
      <c r="E178" s="87">
        <v>12329</v>
      </c>
      <c r="F178" s="86" t="s">
        <v>179</v>
      </c>
      <c r="G178" s="86" t="s">
        <v>110</v>
      </c>
      <c r="H178" s="86" t="s">
        <v>20</v>
      </c>
      <c r="I178" s="88"/>
      <c r="J178" s="87">
        <v>31528799</v>
      </c>
      <c r="K178" s="86" t="s">
        <v>160</v>
      </c>
      <c r="L178" s="86" t="str">
        <f>_xlfn.XLOOKUP(Tabla2__2[[#This Row],[CODIGO RUTA]],'DATA INFORME'!I:I,'DATA INFORME'!K:K)</f>
        <v>SI</v>
      </c>
      <c r="M178" s="86" t="str">
        <f>IF(Tabla2__2[[#This Row],[MYSTERY EFECTIVO]]="SI",_xlfn.XLOOKUP(Tabla2__2[[#This Row],[PREGUNTA]],ENCUESTA!G:G,ENCUESTA!D:D),"N/A")</f>
        <v>PORTAFOLIO Y MANEJO DE OBJECIONES</v>
      </c>
      <c r="N17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1.4285714285714286</v>
      </c>
      <c r="O178" s="86" t="str">
        <f>_xlfn.XLOOKUP(Tabla2__2[[#This Row],[PREGUNTA]],ENCUESTA!G:G,ENCUESTA!H:H)</f>
        <v>SI</v>
      </c>
      <c r="P178" s="86">
        <f>IF(Tabla2__2[[#This Row],[RTA]]=Tabla2__2[[#This Row],[RTA CORRECTA]],Tabla2__2[[#This Row],[TOTAL PUNTAJE]],0)</f>
        <v>1.4285714285714286</v>
      </c>
      <c r="Q178" s="86">
        <f>IF(OR(H178="Dog Chow húmedo",H178="Cat Chow húmedo",H178="Fancy Feast",H178="Felix",H178="Proplan húmedo",H178="One húmedo",H178="Snack Abrazzos",H178="Snak Dentalife",H178="Arenilla Tidy Cat"),N178,0)</f>
        <v>0</v>
      </c>
      <c r="R178" s="86"/>
    </row>
    <row r="179" spans="1:18" x14ac:dyDescent="0.35">
      <c r="A179" s="86" t="s">
        <v>91</v>
      </c>
      <c r="B179" s="86" t="s">
        <v>178</v>
      </c>
      <c r="C179" s="85" t="s">
        <v>15</v>
      </c>
      <c r="D179" s="86" t="s">
        <v>15</v>
      </c>
      <c r="E179" s="87">
        <v>12329</v>
      </c>
      <c r="F179" s="86" t="s">
        <v>179</v>
      </c>
      <c r="G179" s="86" t="s">
        <v>118</v>
      </c>
      <c r="H179" s="86" t="s">
        <v>20</v>
      </c>
      <c r="I179" s="88"/>
      <c r="J179" s="87">
        <v>31528799</v>
      </c>
      <c r="K179" s="86" t="s">
        <v>160</v>
      </c>
      <c r="L179" s="86" t="str">
        <f>_xlfn.XLOOKUP(Tabla2__2[[#This Row],[CODIGO RUTA]],'DATA INFORME'!I:I,'DATA INFORME'!K:K)</f>
        <v>SI</v>
      </c>
      <c r="M179" s="86" t="str">
        <f>IF(Tabla2__2[[#This Row],[MYSTERY EFECTIVO]]="SI",_xlfn.XLOOKUP(Tabla2__2[[#This Row],[PREGUNTA]],ENCUESTA!G:G,ENCUESTA!D:D),"N/A")</f>
        <v>PORTAFOLIO Y MANEJO DE OBJECIONES</v>
      </c>
      <c r="N17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1.4285714285714286</v>
      </c>
      <c r="O179" s="86" t="str">
        <f>_xlfn.XLOOKUP(Tabla2__2[[#This Row],[PREGUNTA]],ENCUESTA!G:G,ENCUESTA!H:H)</f>
        <v>SI</v>
      </c>
      <c r="P179" s="86">
        <f>IF(Tabla2__2[[#This Row],[RTA]]=Tabla2__2[[#This Row],[RTA CORRECTA]],Tabla2__2[[#This Row],[TOTAL PUNTAJE]],0)</f>
        <v>1.4285714285714286</v>
      </c>
      <c r="Q179" s="86">
        <f>IF(OR(H179="Dog Chow húmedo",H179="Cat Chow húmedo",H179="Fancy Feast",H179="Felix",H179="Proplan húmedo",H179="One húmedo",H179="Snack Abrazzos",H179="Snak Dentalife",H179="Arenilla Tidy Cat"),N179,0)</f>
        <v>0</v>
      </c>
      <c r="R179" s="86"/>
    </row>
    <row r="180" spans="1:18" x14ac:dyDescent="0.35">
      <c r="A180" s="86" t="s">
        <v>91</v>
      </c>
      <c r="B180" s="86" t="s">
        <v>178</v>
      </c>
      <c r="C180" s="85" t="s">
        <v>15</v>
      </c>
      <c r="D180" s="86" t="s">
        <v>15</v>
      </c>
      <c r="E180" s="87">
        <v>12329</v>
      </c>
      <c r="F180" s="86" t="s">
        <v>179</v>
      </c>
      <c r="G180" s="86" t="s">
        <v>119</v>
      </c>
      <c r="H180" s="86" t="s">
        <v>20</v>
      </c>
      <c r="I180" s="88"/>
      <c r="J180" s="87">
        <v>31528799</v>
      </c>
      <c r="K180" s="86" t="s">
        <v>160</v>
      </c>
      <c r="L180" s="86" t="str">
        <f>_xlfn.XLOOKUP(Tabla2__2[[#This Row],[CODIGO RUTA]],'DATA INFORME'!I:I,'DATA INFORME'!K:K)</f>
        <v>SI</v>
      </c>
      <c r="M180" s="86" t="str">
        <f>IF(Tabla2__2[[#This Row],[MYSTERY EFECTIVO]]="SI",_xlfn.XLOOKUP(Tabla2__2[[#This Row],[PREGUNTA]],ENCUESTA!G:G,ENCUESTA!D:D),"N/A")</f>
        <v>PORTAFOLIO Y MANEJO DE OBJECIONES</v>
      </c>
      <c r="N18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1.4285714285714286</v>
      </c>
      <c r="O180" s="86" t="str">
        <f>_xlfn.XLOOKUP(Tabla2__2[[#This Row],[PREGUNTA]],ENCUESTA!G:G,ENCUESTA!H:H)</f>
        <v>SI</v>
      </c>
      <c r="P180" s="86">
        <f>IF(Tabla2__2[[#This Row],[RTA]]=Tabla2__2[[#This Row],[RTA CORRECTA]],Tabla2__2[[#This Row],[TOTAL PUNTAJE]],0)</f>
        <v>1.4285714285714286</v>
      </c>
      <c r="Q180" s="86">
        <f>IF(OR(H180="Dog Chow húmedo",H180="Cat Chow húmedo",H180="Fancy Feast",H180="Felix",H180="Proplan húmedo",H180="One húmedo",H180="Snack Abrazzos",H180="Snak Dentalife",H180="Arenilla Tidy Cat"),N180,0)</f>
        <v>0</v>
      </c>
      <c r="R180" s="86"/>
    </row>
    <row r="181" spans="1:18" x14ac:dyDescent="0.35">
      <c r="A181" s="86" t="s">
        <v>91</v>
      </c>
      <c r="B181" s="86" t="s">
        <v>178</v>
      </c>
      <c r="C181" s="85" t="s">
        <v>15</v>
      </c>
      <c r="D181" s="86" t="s">
        <v>15</v>
      </c>
      <c r="E181" s="87">
        <v>12329</v>
      </c>
      <c r="F181" s="86" t="s">
        <v>179</v>
      </c>
      <c r="G181" s="86" t="s">
        <v>120</v>
      </c>
      <c r="H181" s="86" t="s">
        <v>20</v>
      </c>
      <c r="I181" s="88"/>
      <c r="J181" s="87">
        <v>31528799</v>
      </c>
      <c r="K181" s="86" t="s">
        <v>160</v>
      </c>
      <c r="L181" s="86" t="str">
        <f>_xlfn.XLOOKUP(Tabla2__2[[#This Row],[CODIGO RUTA]],'DATA INFORME'!I:I,'DATA INFORME'!K:K)</f>
        <v>SI</v>
      </c>
      <c r="M181" s="86" t="str">
        <f>IF(Tabla2__2[[#This Row],[MYSTERY EFECTIVO]]="SI",_xlfn.XLOOKUP(Tabla2__2[[#This Row],[PREGUNTA]],ENCUESTA!G:G,ENCUESTA!D:D),"N/A")</f>
        <v>PORTAFOLIO Y MANEJO DE OBJECIONES</v>
      </c>
      <c r="N18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1.4285714285714286</v>
      </c>
      <c r="O181" s="86" t="str">
        <f>_xlfn.XLOOKUP(Tabla2__2[[#This Row],[PREGUNTA]],ENCUESTA!G:G,ENCUESTA!H:H)</f>
        <v>SI</v>
      </c>
      <c r="P181" s="86">
        <f>IF(Tabla2__2[[#This Row],[RTA]]=Tabla2__2[[#This Row],[RTA CORRECTA]],Tabla2__2[[#This Row],[TOTAL PUNTAJE]],0)</f>
        <v>1.4285714285714286</v>
      </c>
      <c r="Q181" s="86">
        <f>IF(OR(H181="Dog Chow húmedo",H181="Cat Chow húmedo",H181="Fancy Feast",H181="Felix",H181="Proplan húmedo",H181="One húmedo",H181="Snack Abrazzos",H181="Snak Dentalife",H181="Arenilla Tidy Cat"),N181,0)</f>
        <v>0</v>
      </c>
      <c r="R181" s="86"/>
    </row>
    <row r="182" spans="1:18" x14ac:dyDescent="0.35">
      <c r="A182" s="86" t="s">
        <v>91</v>
      </c>
      <c r="B182" s="86" t="s">
        <v>178</v>
      </c>
      <c r="C182" s="85" t="s">
        <v>15</v>
      </c>
      <c r="D182" s="86" t="s">
        <v>15</v>
      </c>
      <c r="E182" s="87">
        <v>12329</v>
      </c>
      <c r="F182" s="86" t="s">
        <v>179</v>
      </c>
      <c r="G182" s="86" t="s">
        <v>128</v>
      </c>
      <c r="H182" s="86" t="s">
        <v>20</v>
      </c>
      <c r="I182" s="88"/>
      <c r="J182" s="87">
        <v>31528799</v>
      </c>
      <c r="K182" s="86" t="s">
        <v>160</v>
      </c>
      <c r="L182" s="86" t="str">
        <f>_xlfn.XLOOKUP(Tabla2__2[[#This Row],[CODIGO RUTA]],'DATA INFORME'!I:I,'DATA INFORME'!K:K)</f>
        <v>SI</v>
      </c>
      <c r="M182" s="86" t="str">
        <f>IF(Tabla2__2[[#This Row],[MYSTERY EFECTIVO]]="SI",_xlfn.XLOOKUP(Tabla2__2[[#This Row],[PREGUNTA]],ENCUESTA!G:G,ENCUESTA!D:D),"N/A")</f>
        <v>PORTAFOLIO Y MANEJO DE OBJECIONES</v>
      </c>
      <c r="N18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1.4285714285714286</v>
      </c>
      <c r="O182" s="86" t="str">
        <f>_xlfn.XLOOKUP(Tabla2__2[[#This Row],[PREGUNTA]],ENCUESTA!G:G,ENCUESTA!H:H)</f>
        <v>SI</v>
      </c>
      <c r="P182" s="86">
        <f>IF(Tabla2__2[[#This Row],[RTA]]=Tabla2__2[[#This Row],[RTA CORRECTA]],Tabla2__2[[#This Row],[TOTAL PUNTAJE]],0)</f>
        <v>1.4285714285714286</v>
      </c>
      <c r="Q182" s="86">
        <f>IF(OR(H182="Dog Chow húmedo",H182="Cat Chow húmedo",H182="Fancy Feast",H182="Felix",H182="Proplan húmedo",H182="One húmedo",H182="Snack Abrazzos",H182="Snak Dentalife",H182="Arenilla Tidy Cat"),N182,0)</f>
        <v>0</v>
      </c>
      <c r="R182" s="86"/>
    </row>
    <row r="183" spans="1:18" x14ac:dyDescent="0.35">
      <c r="A183" s="86" t="s">
        <v>91</v>
      </c>
      <c r="B183" s="86" t="s">
        <v>178</v>
      </c>
      <c r="C183" s="85" t="s">
        <v>15</v>
      </c>
      <c r="D183" s="86" t="s">
        <v>15</v>
      </c>
      <c r="E183" s="87">
        <v>12329</v>
      </c>
      <c r="F183" s="86" t="s">
        <v>179</v>
      </c>
      <c r="G183" s="86" t="s">
        <v>121</v>
      </c>
      <c r="H183" s="86" t="s">
        <v>20</v>
      </c>
      <c r="I183" s="88"/>
      <c r="J183" s="87">
        <v>31528799</v>
      </c>
      <c r="K183" s="86" t="s">
        <v>160</v>
      </c>
      <c r="L183" s="86" t="str">
        <f>_xlfn.XLOOKUP(Tabla2__2[[#This Row],[CODIGO RUTA]],'DATA INFORME'!I:I,'DATA INFORME'!K:K)</f>
        <v>SI</v>
      </c>
      <c r="M183" s="86" t="str">
        <f>IF(Tabla2__2[[#This Row],[MYSTERY EFECTIVO]]="SI",_xlfn.XLOOKUP(Tabla2__2[[#This Row],[PREGUNTA]],ENCUESTA!G:G,ENCUESTA!D:D),"N/A")</f>
        <v>PORTAFOLIO Y MANEJO DE OBJECIONES</v>
      </c>
      <c r="N18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1.4285714285714286</v>
      </c>
      <c r="O183" s="86" t="str">
        <f>_xlfn.XLOOKUP(Tabla2__2[[#This Row],[PREGUNTA]],ENCUESTA!G:G,ENCUESTA!H:H)</f>
        <v>SI</v>
      </c>
      <c r="P183" s="86">
        <f>IF(Tabla2__2[[#This Row],[RTA]]=Tabla2__2[[#This Row],[RTA CORRECTA]],Tabla2__2[[#This Row],[TOTAL PUNTAJE]],0)</f>
        <v>1.4285714285714286</v>
      </c>
      <c r="Q183" s="86">
        <f>IF(OR(H183="Dog Chow húmedo",H183="Cat Chow húmedo",H183="Fancy Feast",H183="Felix",H183="Proplan húmedo",H183="One húmedo",H183="Snack Abrazzos",H183="Snak Dentalife",H183="Arenilla Tidy Cat"),N183,0)</f>
        <v>0</v>
      </c>
      <c r="R183" s="86"/>
    </row>
    <row r="184" spans="1:18" x14ac:dyDescent="0.35">
      <c r="A184" s="86" t="s">
        <v>91</v>
      </c>
      <c r="B184" s="86" t="s">
        <v>178</v>
      </c>
      <c r="C184" s="85" t="s">
        <v>15</v>
      </c>
      <c r="D184" s="86" t="s">
        <v>15</v>
      </c>
      <c r="E184" s="87">
        <v>12329</v>
      </c>
      <c r="F184" s="86" t="s">
        <v>179</v>
      </c>
      <c r="G184" s="86" t="s">
        <v>122</v>
      </c>
      <c r="H184" s="86" t="s">
        <v>20</v>
      </c>
      <c r="I184" s="88"/>
      <c r="J184" s="87">
        <v>31528799</v>
      </c>
      <c r="K184" s="86" t="s">
        <v>160</v>
      </c>
      <c r="L184" s="86" t="str">
        <f>_xlfn.XLOOKUP(Tabla2__2[[#This Row],[CODIGO RUTA]],'DATA INFORME'!I:I,'DATA INFORME'!K:K)</f>
        <v>SI</v>
      </c>
      <c r="M184" s="86" t="str">
        <f>IF(Tabla2__2[[#This Row],[MYSTERY EFECTIVO]]="SI",_xlfn.XLOOKUP(Tabla2__2[[#This Row],[PREGUNTA]],ENCUESTA!G:G,ENCUESTA!D:D),"N/A")</f>
        <v>PORTAFOLIO Y MANEJO DE OBJECIONES</v>
      </c>
      <c r="N18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1.4285714285714286</v>
      </c>
      <c r="O184" s="86" t="str">
        <f>_xlfn.XLOOKUP(Tabla2__2[[#This Row],[PREGUNTA]],ENCUESTA!G:G,ENCUESTA!H:H)</f>
        <v>SI</v>
      </c>
      <c r="P184" s="86">
        <f>IF(Tabla2__2[[#This Row],[RTA]]=Tabla2__2[[#This Row],[RTA CORRECTA]],Tabla2__2[[#This Row],[TOTAL PUNTAJE]],0)</f>
        <v>1.4285714285714286</v>
      </c>
      <c r="Q184" s="86">
        <f>IF(OR(H184="Dog Chow húmedo",H184="Cat Chow húmedo",H184="Fancy Feast",H184="Felix",H184="Proplan húmedo",H184="One húmedo",H184="Snack Abrazzos",H184="Snak Dentalife",H184="Arenilla Tidy Cat"),N184,0)</f>
        <v>0</v>
      </c>
      <c r="R184" s="86"/>
    </row>
    <row r="185" spans="1:18" x14ac:dyDescent="0.35">
      <c r="A185" s="86" t="s">
        <v>91</v>
      </c>
      <c r="B185" s="86" t="s">
        <v>178</v>
      </c>
      <c r="C185" s="85" t="s">
        <v>15</v>
      </c>
      <c r="D185" s="86" t="s">
        <v>15</v>
      </c>
      <c r="E185" s="87">
        <v>12329</v>
      </c>
      <c r="F185" s="86" t="s">
        <v>179</v>
      </c>
      <c r="G185" s="86" t="s">
        <v>102</v>
      </c>
      <c r="H185" s="86" t="s">
        <v>15</v>
      </c>
      <c r="I185" s="88"/>
      <c r="J185" s="87">
        <v>31528799</v>
      </c>
      <c r="K185" s="86" t="s">
        <v>160</v>
      </c>
      <c r="L185" s="86" t="str">
        <f>_xlfn.XLOOKUP(Tabla2__2[[#This Row],[CODIGO RUTA]],'DATA INFORME'!I:I,'DATA INFORME'!K:K)</f>
        <v>SI</v>
      </c>
      <c r="M185" s="86" t="str">
        <f>IF(Tabla2__2[[#This Row],[MYSTERY EFECTIVO]]="SI",_xlfn.XLOOKUP(Tabla2__2[[#This Row],[PREGUNTA]],ENCUESTA!G:G,ENCUESTA!D:D),"N/A")</f>
        <v>N/A</v>
      </c>
      <c r="N18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5" s="86">
        <f>_xlfn.XLOOKUP(Tabla2__2[[#This Row],[PREGUNTA]],ENCUESTA!G:G,ENCUESTA!H:H)</f>
        <v>0</v>
      </c>
      <c r="P185" s="86">
        <f>IF(Tabla2__2[[#This Row],[RTA]]=Tabla2__2[[#This Row],[RTA CORRECTA]],Tabla2__2[[#This Row],[TOTAL PUNTAJE]],0)</f>
        <v>0</v>
      </c>
      <c r="Q185" s="86">
        <f>IF(OR(H185="Dog Chow húmedo",H185="Cat Chow húmedo",H185="Fancy Feast",H185="Felix",H185="Proplan húmedo",H185="One húmedo",H185="Snack Abrazzos",H185="Snak Dentalife",H185="Arenilla Tidy Cat"),N185,0)</f>
        <v>0</v>
      </c>
      <c r="R185" s="86"/>
    </row>
    <row r="186" spans="1:18" x14ac:dyDescent="0.35">
      <c r="A186" s="86" t="s">
        <v>91</v>
      </c>
      <c r="B186" s="86" t="s">
        <v>178</v>
      </c>
      <c r="C186" s="85" t="s">
        <v>15</v>
      </c>
      <c r="D186" s="86" t="s">
        <v>15</v>
      </c>
      <c r="E186" s="87">
        <v>12329</v>
      </c>
      <c r="F186" s="86" t="s">
        <v>179</v>
      </c>
      <c r="G186" s="86" t="s">
        <v>161</v>
      </c>
      <c r="H186" s="86" t="s">
        <v>20</v>
      </c>
      <c r="I186" s="88"/>
      <c r="J186" s="87">
        <v>31528799</v>
      </c>
      <c r="K186" s="86" t="s">
        <v>160</v>
      </c>
      <c r="L186" s="86" t="str">
        <f>_xlfn.XLOOKUP(Tabla2__2[[#This Row],[CODIGO RUTA]],'DATA INFORME'!I:I,'DATA INFORME'!K:K)</f>
        <v>SI</v>
      </c>
      <c r="M186" s="86" t="str">
        <f>IF(Tabla2__2[[#This Row],[MYSTERY EFECTIVO]]="SI",_xlfn.XLOOKUP(Tabla2__2[[#This Row],[PREGUNTA]],ENCUESTA!G:G,ENCUESTA!D:D),"N/A")</f>
        <v>PORTAFOLIO Y MANEJO DE OBJECIONES</v>
      </c>
      <c r="N18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186" s="86" t="str">
        <f>_xlfn.XLOOKUP(Tabla2__2[[#This Row],[PREGUNTA]],ENCUESTA!G:G,ENCUESTA!H:H)</f>
        <v>SI</v>
      </c>
      <c r="P186" s="86">
        <f>IF(Tabla2__2[[#This Row],[RTA]]=Tabla2__2[[#This Row],[RTA CORRECTA]],Tabla2__2[[#This Row],[TOTAL PUNTAJE]],0)</f>
        <v>6.666666666666667</v>
      </c>
      <c r="Q186" s="86">
        <f>IF(OR(H186="Dog Chow húmedo",H186="Cat Chow húmedo",H186="Fancy Feast",H186="Felix",H186="Proplan húmedo",H186="One húmedo",H186="Snack Abrazzos",H186="Snak Dentalife",H186="Arenilla Tidy Cat"),N186,0)</f>
        <v>0</v>
      </c>
      <c r="R186" s="86"/>
    </row>
    <row r="187" spans="1:18" x14ac:dyDescent="0.35">
      <c r="A187" s="86" t="s">
        <v>91</v>
      </c>
      <c r="B187" s="86" t="s">
        <v>178</v>
      </c>
      <c r="C187" s="85" t="s">
        <v>15</v>
      </c>
      <c r="D187" s="86" t="s">
        <v>15</v>
      </c>
      <c r="E187" s="87">
        <v>12329</v>
      </c>
      <c r="F187" s="86" t="s">
        <v>179</v>
      </c>
      <c r="G187" s="86" t="s">
        <v>111</v>
      </c>
      <c r="H187" s="86" t="s">
        <v>20</v>
      </c>
      <c r="I187" s="88"/>
      <c r="J187" s="87">
        <v>31528799</v>
      </c>
      <c r="K187" s="86" t="s">
        <v>160</v>
      </c>
      <c r="L187" s="86" t="str">
        <f>_xlfn.XLOOKUP(Tabla2__2[[#This Row],[CODIGO RUTA]],'DATA INFORME'!I:I,'DATA INFORME'!K:K)</f>
        <v>SI</v>
      </c>
      <c r="M187" s="86" t="str">
        <f>IF(Tabla2__2[[#This Row],[MYSTERY EFECTIVO]]="SI",_xlfn.XLOOKUP(Tabla2__2[[#This Row],[PREGUNTA]],ENCUESTA!G:G,ENCUESTA!D:D),"N/A")</f>
        <v>PORTAFOLIO Y MANEJO DE OBJECIONES</v>
      </c>
      <c r="N18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187" s="86" t="str">
        <f>_xlfn.XLOOKUP(Tabla2__2[[#This Row],[PREGUNTA]],ENCUESTA!G:G,ENCUESTA!H:H)</f>
        <v>SI</v>
      </c>
      <c r="P187" s="86">
        <f>IF(Tabla2__2[[#This Row],[RTA]]=Tabla2__2[[#This Row],[RTA CORRECTA]],Tabla2__2[[#This Row],[TOTAL PUNTAJE]],0)</f>
        <v>6.666666666666667</v>
      </c>
      <c r="Q187" s="86">
        <f>IF(OR(H187="Dog Chow húmedo",H187="Cat Chow húmedo",H187="Fancy Feast",H187="Felix",H187="Proplan húmedo",H187="One húmedo",H187="Snack Abrazzos",H187="Snak Dentalife",H187="Arenilla Tidy Cat"),N187,0)</f>
        <v>0</v>
      </c>
      <c r="R187" s="86"/>
    </row>
    <row r="188" spans="1:18" x14ac:dyDescent="0.35">
      <c r="A188" s="86" t="s">
        <v>91</v>
      </c>
      <c r="B188" s="86" t="s">
        <v>178</v>
      </c>
      <c r="C188" s="85" t="s">
        <v>15</v>
      </c>
      <c r="D188" s="86" t="s">
        <v>15</v>
      </c>
      <c r="E188" s="87">
        <v>12329</v>
      </c>
      <c r="F188" s="86" t="s">
        <v>179</v>
      </c>
      <c r="G188" s="86" t="s">
        <v>112</v>
      </c>
      <c r="H188" s="86" t="s">
        <v>20</v>
      </c>
      <c r="I188" s="88"/>
      <c r="J188" s="87">
        <v>31528799</v>
      </c>
      <c r="K188" s="86" t="s">
        <v>160</v>
      </c>
      <c r="L188" s="86" t="str">
        <f>_xlfn.XLOOKUP(Tabla2__2[[#This Row],[CODIGO RUTA]],'DATA INFORME'!I:I,'DATA INFORME'!K:K)</f>
        <v>SI</v>
      </c>
      <c r="M188" s="86" t="str">
        <f>IF(Tabla2__2[[#This Row],[MYSTERY EFECTIVO]]="SI",_xlfn.XLOOKUP(Tabla2__2[[#This Row],[PREGUNTA]],ENCUESTA!G:G,ENCUESTA!D:D),"N/A")</f>
        <v>PORTAFOLIO Y MANEJO DE OBJECIONES</v>
      </c>
      <c r="N18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188" s="86" t="str">
        <f>_xlfn.XLOOKUP(Tabla2__2[[#This Row],[PREGUNTA]],ENCUESTA!G:G,ENCUESTA!H:H)</f>
        <v>SI</v>
      </c>
      <c r="P188" s="86">
        <f>IF(Tabla2__2[[#This Row],[RTA]]=Tabla2__2[[#This Row],[RTA CORRECTA]],Tabla2__2[[#This Row],[TOTAL PUNTAJE]],0)</f>
        <v>6.666666666666667</v>
      </c>
      <c r="Q188" s="86">
        <f>IF(OR(H188="Dog Chow húmedo",H188="Cat Chow húmedo",H188="Fancy Feast",H188="Felix",H188="Proplan húmedo",H188="One húmedo",H188="Snack Abrazzos",H188="Snak Dentalife",H188="Arenilla Tidy Cat"),N188,0)</f>
        <v>0</v>
      </c>
      <c r="R188" s="86"/>
    </row>
    <row r="189" spans="1:18" x14ac:dyDescent="0.35">
      <c r="A189" s="86" t="s">
        <v>91</v>
      </c>
      <c r="B189" s="86" t="s">
        <v>178</v>
      </c>
      <c r="C189" s="85" t="s">
        <v>15</v>
      </c>
      <c r="D189" s="86" t="s">
        <v>15</v>
      </c>
      <c r="E189" s="87">
        <v>12329</v>
      </c>
      <c r="F189" s="86" t="s">
        <v>179</v>
      </c>
      <c r="G189" s="86" t="s">
        <v>103</v>
      </c>
      <c r="H189" s="86" t="s">
        <v>204</v>
      </c>
      <c r="I189" s="88"/>
      <c r="J189" s="87">
        <v>31528799</v>
      </c>
      <c r="K189" s="86" t="s">
        <v>160</v>
      </c>
      <c r="L189" s="86" t="str">
        <f>_xlfn.XLOOKUP(Tabla2__2[[#This Row],[CODIGO RUTA]],'DATA INFORME'!I:I,'DATA INFORME'!K:K)</f>
        <v>SI</v>
      </c>
      <c r="M189" s="86" t="str">
        <f>IF(Tabla2__2[[#This Row],[MYSTERY EFECTIVO]]="SI",_xlfn.XLOOKUP(Tabla2__2[[#This Row],[PREGUNTA]],ENCUESTA!G:G,ENCUESTA!D:D),"N/A")</f>
        <v>N/A</v>
      </c>
      <c r="N189"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9" s="86">
        <f>_xlfn.XLOOKUP(Tabla2__2[[#This Row],[PREGUNTA]],ENCUESTA!G:G,ENCUESTA!H:H)</f>
        <v>0</v>
      </c>
      <c r="P189" s="86">
        <f>IF(Tabla2__2[[#This Row],[RTA]]=Tabla2__2[[#This Row],[RTA CORRECTA]],Tabla2__2[[#This Row],[TOTAL PUNTAJE]],0)</f>
        <v>0</v>
      </c>
      <c r="Q189" s="86">
        <f>IF(OR(H189="Dog Chow húmedo",H189="Cat Chow húmedo",H189="Fancy Feast",H189="Felix",H189="Proplan húmedo",H189="One húmedo",H189="Snack Abrazzos",H189="Snak Dentalife",H189="Arenilla Tidy Cat"),N189,0)</f>
        <v>0</v>
      </c>
      <c r="R189" s="86"/>
    </row>
    <row r="190" spans="1:18" x14ac:dyDescent="0.35">
      <c r="A190" s="86" t="s">
        <v>91</v>
      </c>
      <c r="B190" s="86" t="s">
        <v>178</v>
      </c>
      <c r="C190" s="85" t="s">
        <v>15</v>
      </c>
      <c r="D190" s="86" t="s">
        <v>15</v>
      </c>
      <c r="E190" s="87">
        <v>12329</v>
      </c>
      <c r="F190" s="86" t="s">
        <v>179</v>
      </c>
      <c r="G190" s="86" t="s">
        <v>104</v>
      </c>
      <c r="H190" s="86" t="s">
        <v>20</v>
      </c>
      <c r="I190" s="88"/>
      <c r="J190" s="87">
        <v>31528799</v>
      </c>
      <c r="K190" s="86" t="s">
        <v>160</v>
      </c>
      <c r="L190" s="86" t="str">
        <f>_xlfn.XLOOKUP(Tabla2__2[[#This Row],[CODIGO RUTA]],'DATA INFORME'!I:I,'DATA INFORME'!K:K)</f>
        <v>SI</v>
      </c>
      <c r="M190" s="86" t="str">
        <f>IF(Tabla2__2[[#This Row],[MYSTERY EFECTIVO]]="SI",_xlfn.XLOOKUP(Tabla2__2[[#This Row],[PREGUNTA]],ENCUESTA!G:G,ENCUESTA!D:D),"N/A")</f>
        <v>LABOR DE VENTA</v>
      </c>
      <c r="N190"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0" s="86" t="str">
        <f>_xlfn.XLOOKUP(Tabla2__2[[#This Row],[PREGUNTA]],ENCUESTA!G:G,ENCUESTA!H:H)</f>
        <v>SI</v>
      </c>
      <c r="P190" s="86">
        <f>IF(Tabla2__2[[#This Row],[RTA]]=Tabla2__2[[#This Row],[RTA CORRECTA]],Tabla2__2[[#This Row],[TOTAL PUNTAJE]],0)</f>
        <v>3.75</v>
      </c>
      <c r="Q190" s="86">
        <f>IF(OR(H190="Dog Chow húmedo",H190="Cat Chow húmedo",H190="Fancy Feast",H190="Felix",H190="Proplan húmedo",H190="One húmedo",H190="Snack Abrazzos",H190="Snak Dentalife",H190="Arenilla Tidy Cat"),N190,0)</f>
        <v>0</v>
      </c>
      <c r="R190" s="86"/>
    </row>
    <row r="191" spans="1:18" x14ac:dyDescent="0.35">
      <c r="A191" s="86" t="s">
        <v>91</v>
      </c>
      <c r="B191" s="86" t="s">
        <v>178</v>
      </c>
      <c r="C191" s="85" t="s">
        <v>15</v>
      </c>
      <c r="D191" s="86" t="s">
        <v>15</v>
      </c>
      <c r="E191" s="87">
        <v>12329</v>
      </c>
      <c r="F191" s="86" t="s">
        <v>179</v>
      </c>
      <c r="G191" s="86" t="s">
        <v>116</v>
      </c>
      <c r="H191" s="86" t="s">
        <v>20</v>
      </c>
      <c r="I191" s="88"/>
      <c r="J191" s="87">
        <v>31528799</v>
      </c>
      <c r="K191" s="86" t="s">
        <v>160</v>
      </c>
      <c r="L191" s="86" t="str">
        <f>_xlfn.XLOOKUP(Tabla2__2[[#This Row],[CODIGO RUTA]],'DATA INFORME'!I:I,'DATA INFORME'!K:K)</f>
        <v>SI</v>
      </c>
      <c r="M191" s="86" t="str">
        <f>IF(Tabla2__2[[#This Row],[MYSTERY EFECTIVO]]="SI",_xlfn.XLOOKUP(Tabla2__2[[#This Row],[PREGUNTA]],ENCUESTA!G:G,ENCUESTA!D:D),"N/A")</f>
        <v>LABOR DE VENTA</v>
      </c>
      <c r="N191"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1" s="86" t="str">
        <f>_xlfn.XLOOKUP(Tabla2__2[[#This Row],[PREGUNTA]],ENCUESTA!G:G,ENCUESTA!H:H)</f>
        <v>SI</v>
      </c>
      <c r="P191" s="86">
        <f>IF(Tabla2__2[[#This Row],[RTA]]=Tabla2__2[[#This Row],[RTA CORRECTA]],Tabla2__2[[#This Row],[TOTAL PUNTAJE]],0)</f>
        <v>3.75</v>
      </c>
      <c r="Q191" s="86">
        <f>IF(OR(H191="Dog Chow húmedo",H191="Cat Chow húmedo",H191="Fancy Feast",H191="Felix",H191="Proplan húmedo",H191="One húmedo",H191="Snack Abrazzos",H191="Snak Dentalife",H191="Arenilla Tidy Cat"),N191,0)</f>
        <v>0</v>
      </c>
      <c r="R191" s="86"/>
    </row>
    <row r="192" spans="1:18" x14ac:dyDescent="0.35">
      <c r="A192" s="86" t="s">
        <v>91</v>
      </c>
      <c r="B192" s="86" t="s">
        <v>178</v>
      </c>
      <c r="C192" s="85" t="s">
        <v>15</v>
      </c>
      <c r="D192" s="86" t="s">
        <v>15</v>
      </c>
      <c r="E192" s="87">
        <v>12329</v>
      </c>
      <c r="F192" s="86" t="s">
        <v>179</v>
      </c>
      <c r="G192" s="86" t="s">
        <v>105</v>
      </c>
      <c r="H192" s="86" t="s">
        <v>20</v>
      </c>
      <c r="I192" s="88"/>
      <c r="J192" s="87">
        <v>31528799</v>
      </c>
      <c r="K192" s="86" t="s">
        <v>160</v>
      </c>
      <c r="L192" s="86" t="str">
        <f>_xlfn.XLOOKUP(Tabla2__2[[#This Row],[CODIGO RUTA]],'DATA INFORME'!I:I,'DATA INFORME'!K:K)</f>
        <v>SI</v>
      </c>
      <c r="M192" s="86" t="str">
        <f>IF(Tabla2__2[[#This Row],[MYSTERY EFECTIVO]]="SI",_xlfn.XLOOKUP(Tabla2__2[[#This Row],[PREGUNTA]],ENCUESTA!G:G,ENCUESTA!D:D),"N/A")</f>
        <v>LABOR DE VENTA</v>
      </c>
      <c r="N192"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2" s="86" t="str">
        <f>_xlfn.XLOOKUP(Tabla2__2[[#This Row],[PREGUNTA]],ENCUESTA!G:G,ENCUESTA!H:H)</f>
        <v>SI</v>
      </c>
      <c r="P192" s="86">
        <f>IF(Tabla2__2[[#This Row],[RTA]]=Tabla2__2[[#This Row],[RTA CORRECTA]],Tabla2__2[[#This Row],[TOTAL PUNTAJE]],0)</f>
        <v>3.75</v>
      </c>
      <c r="Q192" s="86">
        <f>IF(OR(H192="Dog Chow húmedo",H192="Cat Chow húmedo",H192="Fancy Feast",H192="Felix",H192="Proplan húmedo",H192="One húmedo",H192="Snack Abrazzos",H192="Snak Dentalife",H192="Arenilla Tidy Cat"),N192,0)</f>
        <v>0</v>
      </c>
      <c r="R192" s="86"/>
    </row>
    <row r="193" spans="1:18" x14ac:dyDescent="0.35">
      <c r="A193" s="86" t="s">
        <v>91</v>
      </c>
      <c r="B193" s="86" t="s">
        <v>178</v>
      </c>
      <c r="C193" s="85" t="s">
        <v>15</v>
      </c>
      <c r="D193" s="86" t="s">
        <v>15</v>
      </c>
      <c r="E193" s="87">
        <v>12329</v>
      </c>
      <c r="F193" s="86" t="s">
        <v>179</v>
      </c>
      <c r="G193" s="86" t="s">
        <v>106</v>
      </c>
      <c r="H193" s="86" t="s">
        <v>20</v>
      </c>
      <c r="I193" s="88"/>
      <c r="J193" s="87">
        <v>31528799</v>
      </c>
      <c r="K193" s="86" t="s">
        <v>160</v>
      </c>
      <c r="L193" s="86" t="str">
        <f>_xlfn.XLOOKUP(Tabla2__2[[#This Row],[CODIGO RUTA]],'DATA INFORME'!I:I,'DATA INFORME'!K:K)</f>
        <v>SI</v>
      </c>
      <c r="M193" s="86" t="str">
        <f>IF(Tabla2__2[[#This Row],[MYSTERY EFECTIVO]]="SI",_xlfn.XLOOKUP(Tabla2__2[[#This Row],[PREGUNTA]],ENCUESTA!G:G,ENCUESTA!D:D),"N/A")</f>
        <v>LABOR DE VENTA</v>
      </c>
      <c r="N193"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3" s="86" t="str">
        <f>_xlfn.XLOOKUP(Tabla2__2[[#This Row],[PREGUNTA]],ENCUESTA!G:G,ENCUESTA!H:H)</f>
        <v>SI</v>
      </c>
      <c r="P193" s="86">
        <f>IF(Tabla2__2[[#This Row],[RTA]]=Tabla2__2[[#This Row],[RTA CORRECTA]],Tabla2__2[[#This Row],[TOTAL PUNTAJE]],0)</f>
        <v>3.75</v>
      </c>
      <c r="Q193" s="86">
        <f>IF(OR(H193="Dog Chow húmedo",H193="Cat Chow húmedo",H193="Fancy Feast",H193="Felix",H193="Proplan húmedo",H193="One húmedo",H193="Snack Abrazzos",H193="Snak Dentalife",H193="Arenilla Tidy Cat"),N193,0)</f>
        <v>0</v>
      </c>
      <c r="R193" s="86"/>
    </row>
    <row r="194" spans="1:18" x14ac:dyDescent="0.35">
      <c r="A194" s="86" t="s">
        <v>91</v>
      </c>
      <c r="B194" s="86" t="s">
        <v>178</v>
      </c>
      <c r="C194" s="85" t="s">
        <v>15</v>
      </c>
      <c r="D194" s="86" t="s">
        <v>15</v>
      </c>
      <c r="E194" s="87">
        <v>12329</v>
      </c>
      <c r="F194" s="86" t="s">
        <v>179</v>
      </c>
      <c r="G194" s="86" t="s">
        <v>107</v>
      </c>
      <c r="H194" s="86" t="s">
        <v>147</v>
      </c>
      <c r="I194" s="88"/>
      <c r="J194" s="87">
        <v>31528799</v>
      </c>
      <c r="K194" s="86" t="s">
        <v>160</v>
      </c>
      <c r="L194" s="86" t="str">
        <f>_xlfn.XLOOKUP(Tabla2__2[[#This Row],[CODIGO RUTA]],'DATA INFORME'!I:I,'DATA INFORME'!K:K)</f>
        <v>SI</v>
      </c>
      <c r="M194" s="86" t="str">
        <f>IF(Tabla2__2[[#This Row],[MYSTERY EFECTIVO]]="SI",_xlfn.XLOOKUP(Tabla2__2[[#This Row],[PREGUNTA]],ENCUESTA!G:G,ENCUESTA!D:D),"N/A")</f>
        <v>N/A</v>
      </c>
      <c r="N194"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4" s="86">
        <f>_xlfn.XLOOKUP(Tabla2__2[[#This Row],[PREGUNTA]],ENCUESTA!G:G,ENCUESTA!H:H)</f>
        <v>0</v>
      </c>
      <c r="P194" s="86">
        <f>IF(Tabla2__2[[#This Row],[RTA]]=Tabla2__2[[#This Row],[RTA CORRECTA]],Tabla2__2[[#This Row],[TOTAL PUNTAJE]],0)</f>
        <v>0</v>
      </c>
      <c r="Q194" s="86">
        <f>IF(OR(H194="Dog Chow húmedo",H194="Cat Chow húmedo",H194="Fancy Feast",H194="Felix",H194="Proplan húmedo",H194="One húmedo",H194="Snack Abrazzos",H194="Snak Dentalife",H194="Arenilla Tidy Cat"),N194,0)</f>
        <v>0</v>
      </c>
      <c r="R194" s="86"/>
    </row>
    <row r="195" spans="1:18" x14ac:dyDescent="0.35">
      <c r="A195" s="86" t="s">
        <v>91</v>
      </c>
      <c r="B195" s="86" t="s">
        <v>178</v>
      </c>
      <c r="C195" s="85" t="s">
        <v>15</v>
      </c>
      <c r="D195" s="86" t="s">
        <v>15</v>
      </c>
      <c r="E195" s="87">
        <v>12329</v>
      </c>
      <c r="F195" s="86" t="s">
        <v>179</v>
      </c>
      <c r="G195" s="86" t="s">
        <v>108</v>
      </c>
      <c r="H195" s="86" t="s">
        <v>192</v>
      </c>
      <c r="I195" s="88"/>
      <c r="J195" s="87">
        <v>31528799</v>
      </c>
      <c r="K195" s="86" t="s">
        <v>160</v>
      </c>
      <c r="L195" s="86" t="str">
        <f>_xlfn.XLOOKUP(Tabla2__2[[#This Row],[CODIGO RUTA]],'DATA INFORME'!I:I,'DATA INFORME'!K:K)</f>
        <v>SI</v>
      </c>
      <c r="M195" s="86" t="str">
        <f>IF(Tabla2__2[[#This Row],[MYSTERY EFECTIVO]]="SI",_xlfn.XLOOKUP(Tabla2__2[[#This Row],[PREGUNTA]],ENCUESTA!G:G,ENCUESTA!D:D),"N/A")</f>
        <v>N/A</v>
      </c>
      <c r="N195"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5" s="86">
        <f>_xlfn.XLOOKUP(Tabla2__2[[#This Row],[PREGUNTA]],ENCUESTA!G:G,ENCUESTA!H:H)</f>
        <v>0</v>
      </c>
      <c r="P195" s="86">
        <f>IF(Tabla2__2[[#This Row],[RTA]]=Tabla2__2[[#This Row],[RTA CORRECTA]],Tabla2__2[[#This Row],[TOTAL PUNTAJE]],0)</f>
        <v>0</v>
      </c>
      <c r="Q195" s="86">
        <f>IF(OR(H195="Dog Chow húmedo",H195="Cat Chow húmedo",H195="Fancy Feast",H195="Felix",H195="Proplan húmedo",H195="One húmedo",H195="Snack Abrazzos",H195="Snak Dentalife",H195="Arenilla Tidy Cat"),N195,0)</f>
        <v>0</v>
      </c>
      <c r="R195" s="86"/>
    </row>
    <row r="196" spans="1:18" hidden="1" x14ac:dyDescent="0.35">
      <c r="A196" s="86" t="s">
        <v>91</v>
      </c>
      <c r="B196" s="86" t="s">
        <v>8</v>
      </c>
      <c r="C196" s="85" t="s">
        <v>15</v>
      </c>
      <c r="D196" s="86" t="s">
        <v>15</v>
      </c>
      <c r="E196" s="87">
        <v>122880</v>
      </c>
      <c r="F196" s="86" t="s">
        <v>171</v>
      </c>
      <c r="G196" s="86" t="s">
        <v>99</v>
      </c>
      <c r="H196" s="86" t="s">
        <v>147</v>
      </c>
      <c r="I196" s="88"/>
      <c r="J196" s="87">
        <v>31379286</v>
      </c>
      <c r="K196" s="86" t="s">
        <v>94</v>
      </c>
      <c r="L196" s="86" t="str">
        <f>_xlfn.XLOOKUP(Tabla2__2[[#This Row],[CODIGO RUTA]],'DATA INFORME'!I:I,'DATA INFORME'!K:K)</f>
        <v xml:space="preserve"> NO</v>
      </c>
      <c r="M196" s="86" t="str">
        <f>IF(Tabla2__2[[#This Row],[MYSTERY EFECTIVO]]="SI",_xlfn.XLOOKUP(Tabla2__2[[#This Row],[PREGUNTA]],ENCUESTA!G:G,ENCUESTA!D:D),"N/A")</f>
        <v>N/A</v>
      </c>
      <c r="N196"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6" s="86">
        <f>_xlfn.XLOOKUP(Tabla2__2[[#This Row],[PREGUNTA]],ENCUESTA!G:G,ENCUESTA!H:H)</f>
        <v>0</v>
      </c>
      <c r="P196" s="86">
        <f>IF(Tabla2__2[[#This Row],[RTA]]=Tabla2__2[[#This Row],[RTA CORRECTA]],Tabla2__2[[#This Row],[TOTAL PUNTAJE]],0)</f>
        <v>0</v>
      </c>
      <c r="Q196" s="86">
        <f>IF(OR(H196="Dog Chow húmedo",H196="Cat Chow húmedo",H196="Fancy Feast",H196="Felix",H196="Proplan húmedo",H196="One húmedo",H196="Snack Abrazzos",H196="Snak Dentalife",H196="Arenilla Tidy Cat"),N196,0)</f>
        <v>0</v>
      </c>
      <c r="R196" s="86"/>
    </row>
    <row r="197" spans="1:18" hidden="1" x14ac:dyDescent="0.35">
      <c r="A197" s="86" t="s">
        <v>91</v>
      </c>
      <c r="B197" s="86" t="s">
        <v>8</v>
      </c>
      <c r="C197" s="85" t="s">
        <v>15</v>
      </c>
      <c r="D197" s="86" t="s">
        <v>15</v>
      </c>
      <c r="E197" s="87">
        <v>122880</v>
      </c>
      <c r="F197" s="86" t="s">
        <v>171</v>
      </c>
      <c r="G197" s="86" t="s">
        <v>107</v>
      </c>
      <c r="H197" s="86" t="s">
        <v>20</v>
      </c>
      <c r="I197" s="88"/>
      <c r="J197" s="87">
        <v>31379286</v>
      </c>
      <c r="K197" s="86" t="s">
        <v>94</v>
      </c>
      <c r="L197" s="86" t="str">
        <f>_xlfn.XLOOKUP(Tabla2__2[[#This Row],[CODIGO RUTA]],'DATA INFORME'!I:I,'DATA INFORME'!K:K)</f>
        <v xml:space="preserve"> NO</v>
      </c>
      <c r="M197" s="86" t="str">
        <f>IF(Tabla2__2[[#This Row],[MYSTERY EFECTIVO]]="SI",_xlfn.XLOOKUP(Tabla2__2[[#This Row],[PREGUNTA]],ENCUESTA!G:G,ENCUESTA!D:D),"N/A")</f>
        <v>N/A</v>
      </c>
      <c r="N197"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7" s="86">
        <f>_xlfn.XLOOKUP(Tabla2__2[[#This Row],[PREGUNTA]],ENCUESTA!G:G,ENCUESTA!H:H)</f>
        <v>0</v>
      </c>
      <c r="P197" s="86">
        <f>IF(Tabla2__2[[#This Row],[RTA]]=Tabla2__2[[#This Row],[RTA CORRECTA]],Tabla2__2[[#This Row],[TOTAL PUNTAJE]],0)</f>
        <v>0</v>
      </c>
      <c r="Q197" s="86">
        <f>IF(OR(H197="Dog Chow húmedo",H197="Cat Chow húmedo",H197="Fancy Feast",H197="Felix",H197="Proplan húmedo",H197="One húmedo",H197="Snack Abrazzos",H197="Snak Dentalife",H197="Arenilla Tidy Cat"),N197,0)</f>
        <v>0</v>
      </c>
      <c r="R197" s="86"/>
    </row>
    <row r="198" spans="1:18" hidden="1" x14ac:dyDescent="0.35">
      <c r="A198" s="86" t="s">
        <v>91</v>
      </c>
      <c r="B198" s="86" t="s">
        <v>8</v>
      </c>
      <c r="C198" s="85" t="s">
        <v>15</v>
      </c>
      <c r="D198" s="86" t="s">
        <v>15</v>
      </c>
      <c r="E198" s="87">
        <v>122880</v>
      </c>
      <c r="F198" s="86" t="s">
        <v>171</v>
      </c>
      <c r="G198" s="86" t="s">
        <v>108</v>
      </c>
      <c r="H198" s="86" t="s">
        <v>176</v>
      </c>
      <c r="I198" s="88"/>
      <c r="J198" s="87">
        <v>31379286</v>
      </c>
      <c r="K198" s="86" t="s">
        <v>94</v>
      </c>
      <c r="L198" s="86" t="str">
        <f>_xlfn.XLOOKUP(Tabla2__2[[#This Row],[CODIGO RUTA]],'DATA INFORME'!I:I,'DATA INFORME'!K:K)</f>
        <v xml:space="preserve"> NO</v>
      </c>
      <c r="M198" s="86" t="str">
        <f>IF(Tabla2__2[[#This Row],[MYSTERY EFECTIVO]]="SI",_xlfn.XLOOKUP(Tabla2__2[[#This Row],[PREGUNTA]],ENCUESTA!G:G,ENCUESTA!D:D),"N/A")</f>
        <v>N/A</v>
      </c>
      <c r="N198" s="8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8" s="86">
        <f>_xlfn.XLOOKUP(Tabla2__2[[#This Row],[PREGUNTA]],ENCUESTA!G:G,ENCUESTA!H:H)</f>
        <v>0</v>
      </c>
      <c r="P198" s="86">
        <f>IF(Tabla2__2[[#This Row],[RTA]]=Tabla2__2[[#This Row],[RTA CORRECTA]],Tabla2__2[[#This Row],[TOTAL PUNTAJE]],0)</f>
        <v>0</v>
      </c>
      <c r="Q198" s="86">
        <f>IF(OR(H198="Dog Chow húmedo",H198="Cat Chow húmedo",H198="Fancy Feast",H198="Felix",H198="Proplan húmedo",H198="One húmedo",H198="Snack Abrazzos",H198="Snak Dentalife",H198="Arenilla Tidy Cat"),N198,0)</f>
        <v>0</v>
      </c>
      <c r="R198" s="86"/>
    </row>
    <row r="199" spans="1:18" x14ac:dyDescent="0.35">
      <c r="A199" s="35"/>
      <c r="B199" s="35"/>
      <c r="C199" s="35"/>
      <c r="D199" s="35"/>
      <c r="E199" s="35"/>
      <c r="F199" s="35"/>
      <c r="G199" s="35"/>
      <c r="H199" s="36"/>
      <c r="I199" s="35"/>
      <c r="J199" s="35"/>
      <c r="K199" s="35"/>
      <c r="L199" s="35"/>
      <c r="M199" s="35"/>
      <c r="N199" s="35"/>
      <c r="O199" s="35"/>
      <c r="P199" s="35"/>
      <c r="Q199" s="35"/>
    </row>
    <row r="386" spans="18:18" x14ac:dyDescent="0.35">
      <c r="R386" s="35"/>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178B-F304-431E-B383-B38CC465224C}">
  <dimension ref="A1:I17"/>
  <sheetViews>
    <sheetView workbookViewId="0">
      <selection activeCell="D14" sqref="D14"/>
    </sheetView>
  </sheetViews>
  <sheetFormatPr baseColWidth="10" defaultColWidth="11.453125" defaultRowHeight="14.5" x14ac:dyDescent="0.35"/>
  <cols>
    <col min="1" max="1" width="17.453125" style="48" customWidth="1"/>
    <col min="2" max="2" width="18.26953125" style="48" bestFit="1" customWidth="1"/>
    <col min="3" max="3" width="14" style="49" customWidth="1"/>
    <col min="4" max="4" width="45.54296875" style="41" bestFit="1" customWidth="1"/>
    <col min="5" max="5" width="35.1796875" style="48" customWidth="1"/>
    <col min="6" max="6" width="12.453125" style="47" bestFit="1" customWidth="1"/>
    <col min="7" max="7" width="13.54296875" style="47" bestFit="1" customWidth="1"/>
    <col min="8" max="8" width="11.54296875" style="47" bestFit="1" customWidth="1"/>
    <col min="9" max="9" width="12.81640625" style="47" bestFit="1" customWidth="1"/>
    <col min="10" max="16384" width="11.453125" style="47"/>
  </cols>
  <sheetData>
    <row r="1" spans="1:9" ht="24" x14ac:dyDescent="0.35">
      <c r="A1" s="42" t="s">
        <v>22</v>
      </c>
      <c r="B1" s="42" t="s">
        <v>1</v>
      </c>
      <c r="C1" s="42" t="s">
        <v>26</v>
      </c>
      <c r="D1" s="42" t="s">
        <v>23</v>
      </c>
      <c r="E1" s="39" t="s">
        <v>36</v>
      </c>
      <c r="F1" s="6" t="s">
        <v>37</v>
      </c>
      <c r="G1" s="6" t="s">
        <v>38</v>
      </c>
      <c r="H1" s="6" t="s">
        <v>39</v>
      </c>
      <c r="I1" s="19" t="s">
        <v>40</v>
      </c>
    </row>
    <row r="2" spans="1:9" s="60" customFormat="1" x14ac:dyDescent="0.35">
      <c r="A2" s="89" t="str">
        <f>_xlfn.XLOOKUP(Tabla1[[#This Row],[CODIGO PDV]],Export!H:H,Export!D:D,0)</f>
        <v>MODERNO</v>
      </c>
      <c r="B2" s="89" t="s">
        <v>8</v>
      </c>
      <c r="C2" s="89">
        <v>122880</v>
      </c>
      <c r="D2" s="89" t="s">
        <v>171</v>
      </c>
      <c r="E2" s="40">
        <v>1</v>
      </c>
      <c r="F2" s="45">
        <v>1</v>
      </c>
      <c r="G2" s="45">
        <f>IF(COUNTIFS(Export!I:I,Tabla1[[#This Row],[CODIGO PDV]])&gt;0,1,0)</f>
        <v>1</v>
      </c>
      <c r="H2" s="21">
        <f>COUNTIFS('DATA INFORME'!D:D,Tabla1[[#This Row],[CODIGO PDV]])</f>
        <v>1</v>
      </c>
      <c r="I2" s="46">
        <f>COUNTIFS('DATA INFORME'!D:D,Tabla1[[#This Row],[CODIGO PDV]],'DATA INFORME'!K:K,"SI")</f>
        <v>0</v>
      </c>
    </row>
    <row r="3" spans="1:9" s="60" customFormat="1" x14ac:dyDescent="0.35">
      <c r="A3" s="90" t="str">
        <f>_xlfn.XLOOKUP(Tabla1[[#This Row],[CODIGO PDV]],Export!H:H,Export!D:D,0)</f>
        <v>TRADICIONAL</v>
      </c>
      <c r="B3" s="89" t="s">
        <v>8</v>
      </c>
      <c r="C3" s="89">
        <v>355912</v>
      </c>
      <c r="D3" s="89" t="s">
        <v>141</v>
      </c>
      <c r="E3" s="21">
        <v>1</v>
      </c>
      <c r="F3" s="45">
        <v>1</v>
      </c>
      <c r="G3" s="45">
        <f>IF(COUNTIFS(Export!I:I,Tabla1[[#This Row],[CODIGO PDV]])&gt;0,1,0)</f>
        <v>1</v>
      </c>
      <c r="H3" s="21">
        <f>COUNTIFS('DATA INFORME'!D:D,Tabla1[[#This Row],[CODIGO PDV]])</f>
        <v>1</v>
      </c>
      <c r="I3" s="46">
        <f>COUNTIFS('DATA INFORME'!D:D,Tabla1[[#This Row],[CODIGO PDV]],'DATA INFORME'!K:K,"SI")</f>
        <v>1</v>
      </c>
    </row>
    <row r="4" spans="1:9" s="60" customFormat="1" x14ac:dyDescent="0.35">
      <c r="A4" s="90" t="str">
        <f>_xlfn.XLOOKUP(Tabla1[[#This Row],[CODIGO PDV]],Export!H:H,Export!D:D,0)</f>
        <v>ESPECIALIZADO</v>
      </c>
      <c r="B4" s="89" t="s">
        <v>131</v>
      </c>
      <c r="C4" s="89">
        <v>424803</v>
      </c>
      <c r="D4" s="89" t="s">
        <v>164</v>
      </c>
      <c r="E4" s="21">
        <v>1</v>
      </c>
      <c r="F4" s="45">
        <v>1</v>
      </c>
      <c r="G4" s="45">
        <f>IF(COUNTIFS(Export!I:I,Tabla1[[#This Row],[CODIGO PDV]])&gt;0,1,0)</f>
        <v>1</v>
      </c>
      <c r="H4" s="21">
        <f>COUNTIFS('DATA INFORME'!D:D,Tabla1[[#This Row],[CODIGO PDV]])</f>
        <v>1</v>
      </c>
      <c r="I4" s="46">
        <f>COUNTIFS('DATA INFORME'!D:D,Tabla1[[#This Row],[CODIGO PDV]],'DATA INFORME'!K:K,"SI")</f>
        <v>1</v>
      </c>
    </row>
    <row r="5" spans="1:9" s="60" customFormat="1" x14ac:dyDescent="0.35">
      <c r="A5" s="89" t="str">
        <f>_xlfn.XLOOKUP(Tabla1[[#This Row],[CODIGO PDV]],Export!H:H,Export!D:D,0)</f>
        <v>MODERNO</v>
      </c>
      <c r="B5" s="89" t="s">
        <v>152</v>
      </c>
      <c r="C5" s="89">
        <v>455609</v>
      </c>
      <c r="D5" s="89" t="s">
        <v>154</v>
      </c>
      <c r="E5" s="21">
        <v>1</v>
      </c>
      <c r="F5" s="45">
        <v>1</v>
      </c>
      <c r="G5" s="45">
        <f>IF(COUNTIFS(Export!I:I,Tabla1[[#This Row],[CODIGO PDV]])&gt;0,1,0)</f>
        <v>1</v>
      </c>
      <c r="H5" s="21">
        <f>COUNTIFS('DATA INFORME'!D:D,Tabla1[[#This Row],[CODIGO PDV]])</f>
        <v>1</v>
      </c>
      <c r="I5" s="46">
        <f>COUNTIFS('DATA INFORME'!D:D,Tabla1[[#This Row],[CODIGO PDV]],'DATA INFORME'!K:K,"SI")</f>
        <v>1</v>
      </c>
    </row>
    <row r="6" spans="1:9" s="60" customFormat="1" x14ac:dyDescent="0.35">
      <c r="A6" s="89" t="s">
        <v>14</v>
      </c>
      <c r="B6" s="89" t="s">
        <v>152</v>
      </c>
      <c r="C6" s="89">
        <v>421657</v>
      </c>
      <c r="D6" s="89" t="s">
        <v>177</v>
      </c>
      <c r="E6" s="21">
        <v>1</v>
      </c>
      <c r="F6" s="45">
        <v>1</v>
      </c>
      <c r="G6" s="45">
        <f>IF(COUNTIFS(Export!I:I,Tabla1[[#This Row],[CODIGO PDV]])&gt;0,1,0)</f>
        <v>1</v>
      </c>
      <c r="H6" s="21">
        <f>COUNTIFS('DATA INFORME'!D:D,Tabla1[[#This Row],[CODIGO PDV]])</f>
        <v>1</v>
      </c>
      <c r="I6" s="46">
        <f>COUNTIFS('DATA INFORME'!D:D,Tabla1[[#This Row],[CODIGO PDV]],'DATA INFORME'!K:K,"SI")</f>
        <v>1</v>
      </c>
    </row>
    <row r="7" spans="1:9" s="60" customFormat="1" x14ac:dyDescent="0.35">
      <c r="A7" s="91" t="s">
        <v>14</v>
      </c>
      <c r="B7" s="92" t="s">
        <v>178</v>
      </c>
      <c r="C7" s="93">
        <v>426071</v>
      </c>
      <c r="D7" s="94" t="s">
        <v>180</v>
      </c>
      <c r="E7" s="21">
        <v>1</v>
      </c>
      <c r="F7" s="45">
        <v>1</v>
      </c>
      <c r="G7" s="45">
        <f>IF(COUNTIFS(Export!I:I,Tabla1[[#This Row],[CODIGO PDV]])&gt;0,1,0)</f>
        <v>1</v>
      </c>
      <c r="H7" s="21">
        <f>COUNTIFS('DATA INFORME'!D:D,Tabla1[[#This Row],[CODIGO PDV]])</f>
        <v>1</v>
      </c>
      <c r="I7" s="46">
        <f>COUNTIFS('DATA INFORME'!D:D,Tabla1[[#This Row],[CODIGO PDV]],'DATA INFORME'!K:K,"SI")</f>
        <v>1</v>
      </c>
    </row>
    <row r="8" spans="1:9" s="60" customFormat="1" x14ac:dyDescent="0.35">
      <c r="A8" s="95" t="s">
        <v>15</v>
      </c>
      <c r="B8" s="96" t="s">
        <v>178</v>
      </c>
      <c r="C8" s="97">
        <v>12329</v>
      </c>
      <c r="D8" s="98" t="s">
        <v>179</v>
      </c>
      <c r="E8" s="21">
        <v>1</v>
      </c>
      <c r="F8" s="45">
        <v>1</v>
      </c>
      <c r="G8" s="73">
        <f>IF(COUNTIFS(Export!I:I,Tabla1[[#This Row],[CODIGO PDV]])&gt;0,1,0)</f>
        <v>1</v>
      </c>
      <c r="H8" s="72">
        <f>COUNTIFS('DATA INFORME'!D:D,Tabla1[[#This Row],[CODIGO PDV]])</f>
        <v>1</v>
      </c>
      <c r="I8" s="74">
        <f>COUNTIFS('DATA INFORME'!D:D,Tabla1[[#This Row],[CODIGO PDV]],'DATA INFORME'!K:K,"SI")</f>
        <v>1</v>
      </c>
    </row>
    <row r="9" spans="1:9" x14ac:dyDescent="0.35">
      <c r="A9" s="59"/>
      <c r="B9" s="54"/>
      <c r="C9" s="55"/>
      <c r="D9" s="56"/>
      <c r="E9" s="51"/>
      <c r="F9" s="50"/>
      <c r="G9" s="50"/>
      <c r="H9" s="51"/>
      <c r="I9" s="51"/>
    </row>
    <row r="10" spans="1:9" x14ac:dyDescent="0.35">
      <c r="A10" s="70" t="s">
        <v>22</v>
      </c>
      <c r="B10" s="70" t="s">
        <v>1</v>
      </c>
      <c r="C10" s="70" t="s">
        <v>134</v>
      </c>
      <c r="D10" s="70" t="s">
        <v>135</v>
      </c>
      <c r="E10" s="71" t="s">
        <v>136</v>
      </c>
      <c r="F10" s="44"/>
      <c r="G10" s="44"/>
      <c r="H10" s="44"/>
      <c r="I10" s="44"/>
    </row>
    <row r="11" spans="1:9" ht="43.5" x14ac:dyDescent="0.35">
      <c r="A11" s="52" t="s">
        <v>15</v>
      </c>
      <c r="B11" s="52" t="s">
        <v>8</v>
      </c>
      <c r="C11" s="52">
        <v>122880</v>
      </c>
      <c r="D11" s="52" t="s">
        <v>171</v>
      </c>
      <c r="E11" s="52" t="s">
        <v>210</v>
      </c>
    </row>
    <row r="13" spans="1:9" x14ac:dyDescent="0.35">
      <c r="B13"/>
    </row>
    <row r="14" spans="1:9" x14ac:dyDescent="0.35">
      <c r="B14"/>
    </row>
    <row r="15" spans="1:9" x14ac:dyDescent="0.35">
      <c r="B15"/>
    </row>
    <row r="16" spans="1:9" x14ac:dyDescent="0.35">
      <c r="B16"/>
    </row>
    <row r="17" spans="2:2" x14ac:dyDescent="0.35">
      <c r="B17"/>
    </row>
  </sheetData>
  <phoneticPr fontId="3" type="noConversion"/>
  <conditionalFormatting sqref="C9">
    <cfRule type="duplicateValues" dxfId="1919" priority="225"/>
  </conditionalFormatting>
  <conditionalFormatting sqref="D1">
    <cfRule type="duplicateValues" dxfId="1918" priority="41"/>
  </conditionalFormatting>
  <conditionalFormatting sqref="D10">
    <cfRule type="duplicateValues" dxfId="1917" priority="1"/>
  </conditionalFormatting>
  <pageMargins left="0.7" right="0.7" top="0.75" bottom="0.75" header="0.3" footer="0.3"/>
  <pageSetup orientation="portrait" horizontalDpi="200" verticalDpi="200" r:id="rId1"/>
  <ignoredErrors>
    <ignoredError sqref="A6:A8" calculatedColumn="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8DAD-F1CE-4E4C-BF86-A78BF80D79A3}">
  <dimension ref="A1:AZ8"/>
  <sheetViews>
    <sheetView workbookViewId="0"/>
  </sheetViews>
  <sheetFormatPr baseColWidth="10" defaultRowHeight="14.5" x14ac:dyDescent="0.35"/>
  <cols>
    <col min="1" max="2" width="13.54296875" bestFit="1" customWidth="1"/>
    <col min="3" max="3" width="13.7265625" bestFit="1" customWidth="1"/>
    <col min="4" max="4" width="11.54296875" bestFit="1" customWidth="1"/>
    <col min="5" max="5" width="39.36328125" bestFit="1" customWidth="1"/>
    <col min="6" max="6" width="22.54296875" bestFit="1" customWidth="1"/>
    <col min="7" max="7" width="18" bestFit="1" customWidth="1"/>
    <col min="8" max="8" width="14" bestFit="1" customWidth="1"/>
    <col min="9" max="9" width="12.54296875" bestFit="1" customWidth="1"/>
    <col min="10" max="10" width="8.7265625" bestFit="1" customWidth="1"/>
    <col min="11" max="11" width="29" bestFit="1" customWidth="1"/>
    <col min="12" max="12" width="48.7265625" bestFit="1" customWidth="1"/>
    <col min="13" max="13" width="79.6328125" bestFit="1" customWidth="1"/>
    <col min="14" max="14" width="80.7265625" bestFit="1" customWidth="1"/>
    <col min="15" max="15" width="43.7265625" bestFit="1" customWidth="1"/>
    <col min="16" max="16" width="80.7265625" bestFit="1" customWidth="1"/>
    <col min="17" max="17" width="60" bestFit="1" customWidth="1"/>
    <col min="18" max="18" width="45.90625" bestFit="1" customWidth="1"/>
    <col min="19" max="19" width="72.08984375" bestFit="1" customWidth="1"/>
    <col min="20" max="20" width="75.26953125" bestFit="1" customWidth="1"/>
    <col min="21" max="21" width="74" bestFit="1" customWidth="1"/>
    <col min="22" max="22" width="57.81640625" bestFit="1" customWidth="1"/>
    <col min="23" max="23" width="45" bestFit="1" customWidth="1"/>
    <col min="24" max="25" width="80.7265625" bestFit="1" customWidth="1"/>
    <col min="26" max="26" width="38.26953125" bestFit="1" customWidth="1"/>
    <col min="27" max="30" width="80.7265625" bestFit="1" customWidth="1"/>
    <col min="31" max="31" width="44.36328125" bestFit="1" customWidth="1"/>
    <col min="32" max="32" width="40.90625" bestFit="1" customWidth="1"/>
    <col min="33" max="33" width="80.7265625" bestFit="1" customWidth="1"/>
    <col min="34" max="34" width="22.7265625" bestFit="1" customWidth="1"/>
    <col min="35" max="35" width="71.7265625" bestFit="1" customWidth="1"/>
    <col min="36" max="36" width="68.36328125" bestFit="1" customWidth="1"/>
    <col min="37" max="37" width="80.7265625" bestFit="1" customWidth="1"/>
    <col min="38" max="38" width="51.7265625" bestFit="1" customWidth="1"/>
    <col min="39" max="43" width="80.7265625" bestFit="1" customWidth="1"/>
    <col min="44" max="44" width="48" bestFit="1" customWidth="1"/>
    <col min="45" max="45" width="46.08984375" bestFit="1" customWidth="1"/>
    <col min="46" max="46" width="75.36328125" bestFit="1" customWidth="1"/>
    <col min="47" max="51" width="80.7265625" bestFit="1" customWidth="1"/>
    <col min="52" max="52" width="80.6328125" bestFit="1" customWidth="1"/>
    <col min="53" max="53" width="80.7265625" bestFit="1" customWidth="1"/>
    <col min="54" max="54" width="77.36328125" bestFit="1" customWidth="1"/>
    <col min="55" max="60" width="80.7265625" bestFit="1" customWidth="1"/>
    <col min="61" max="61" width="80.7265625" customWidth="1"/>
    <col min="62" max="62" width="80.7265625" bestFit="1" customWidth="1"/>
    <col min="63" max="63" width="58.6328125" bestFit="1" customWidth="1"/>
    <col min="64" max="64" width="52.08984375" bestFit="1" customWidth="1"/>
    <col min="65" max="66" width="50.08984375" bestFit="1" customWidth="1"/>
    <col min="67" max="69" width="81.1796875" bestFit="1" customWidth="1"/>
    <col min="70" max="70" width="63.1796875" bestFit="1" customWidth="1"/>
    <col min="71" max="71" width="56.1796875" bestFit="1" customWidth="1"/>
    <col min="72" max="72" width="53.7265625" bestFit="1" customWidth="1"/>
    <col min="73" max="73" width="81.1796875" bestFit="1" customWidth="1"/>
    <col min="74" max="80" width="81.1796875" customWidth="1"/>
    <col min="81" max="81" width="51.54296875" bestFit="1" customWidth="1"/>
    <col min="82" max="82" width="47.54296875" bestFit="1" customWidth="1"/>
    <col min="83" max="83" width="51" bestFit="1" customWidth="1"/>
    <col min="84" max="84" width="27.54296875" bestFit="1" customWidth="1"/>
    <col min="85" max="85" width="81.1796875" customWidth="1"/>
    <col min="86" max="86" width="77.81640625" bestFit="1" customWidth="1"/>
    <col min="87" max="87" width="28.453125" bestFit="1" customWidth="1"/>
    <col min="88" max="88" width="79.1796875" bestFit="1" customWidth="1"/>
    <col min="89" max="94" width="81.1796875" customWidth="1"/>
    <col min="95" max="95" width="66.7265625" bestFit="1" customWidth="1"/>
    <col min="96" max="96" width="48.54296875" bestFit="1" customWidth="1"/>
    <col min="97" max="102" width="81.1796875" bestFit="1" customWidth="1"/>
    <col min="103" max="103" width="44.26953125" bestFit="1" customWidth="1"/>
    <col min="104" max="104" width="81.1796875" bestFit="1" customWidth="1"/>
    <col min="105" max="105" width="60.1796875" bestFit="1" customWidth="1"/>
    <col min="106" max="106" width="79.7265625" bestFit="1" customWidth="1"/>
    <col min="107" max="108" width="81.1796875" bestFit="1" customWidth="1"/>
    <col min="109" max="109" width="54.81640625" bestFit="1" customWidth="1"/>
    <col min="110" max="110" width="57.54296875" bestFit="1" customWidth="1"/>
    <col min="111" max="111" width="50.81640625" bestFit="1" customWidth="1"/>
    <col min="112" max="112" width="50.453125" bestFit="1" customWidth="1"/>
    <col min="113" max="113" width="41.54296875" bestFit="1" customWidth="1"/>
    <col min="114" max="114" width="78.54296875" bestFit="1" customWidth="1"/>
    <col min="115" max="115" width="81.1796875" bestFit="1" customWidth="1"/>
    <col min="116" max="116" width="78.26953125" bestFit="1" customWidth="1"/>
    <col min="117" max="117" width="70.453125" bestFit="1" customWidth="1"/>
    <col min="118" max="118" width="81.1796875" bestFit="1" customWidth="1"/>
    <col min="119" max="119" width="46.54296875" bestFit="1" customWidth="1"/>
    <col min="120" max="120" width="50.453125" bestFit="1" customWidth="1"/>
    <col min="121" max="121" width="25" bestFit="1" customWidth="1"/>
    <col min="122" max="122" width="38.54296875" bestFit="1" customWidth="1"/>
    <col min="123" max="123" width="37.7265625" bestFit="1" customWidth="1"/>
    <col min="124" max="124" width="33" bestFit="1" customWidth="1"/>
    <col min="125" max="125" width="24.54296875" bestFit="1" customWidth="1"/>
    <col min="126" max="126" width="38" bestFit="1" customWidth="1"/>
    <col min="127" max="127" width="81.1796875" bestFit="1" customWidth="1"/>
    <col min="128" max="128" width="62.81640625" bestFit="1" customWidth="1"/>
    <col min="129" max="129" width="36.453125" bestFit="1" customWidth="1"/>
    <col min="130" max="131" width="17.54296875" bestFit="1" customWidth="1"/>
    <col min="132" max="132" width="42.453125" bestFit="1" customWidth="1"/>
    <col min="133" max="134" width="81.1796875" bestFit="1" customWidth="1"/>
    <col min="135" max="135" width="50.81640625" bestFit="1" customWidth="1"/>
    <col min="136" max="136" width="81.1796875" bestFit="1" customWidth="1"/>
    <col min="137" max="137" width="68.54296875" bestFit="1" customWidth="1"/>
    <col min="138" max="138" width="53.26953125" bestFit="1" customWidth="1"/>
    <col min="139" max="141" width="81.1796875" bestFit="1" customWidth="1"/>
    <col min="142" max="142" width="66.7265625" bestFit="1" customWidth="1"/>
    <col min="143" max="143" width="55.81640625" bestFit="1" customWidth="1"/>
    <col min="144" max="145" width="81.1796875" bestFit="1" customWidth="1"/>
    <col min="146" max="146" width="27.453125" bestFit="1" customWidth="1"/>
    <col min="147" max="147" width="81.1796875" bestFit="1" customWidth="1"/>
    <col min="148" max="148" width="77.1796875" bestFit="1" customWidth="1"/>
    <col min="149" max="152" width="81.1796875" bestFit="1" customWidth="1"/>
    <col min="153" max="153" width="77.26953125" bestFit="1" customWidth="1"/>
    <col min="154" max="154" width="70" bestFit="1" customWidth="1"/>
    <col min="155" max="155" width="32.1796875" bestFit="1" customWidth="1"/>
    <col min="156" max="156" width="30.26953125" bestFit="1" customWidth="1"/>
    <col min="157" max="157" width="46.54296875" bestFit="1" customWidth="1"/>
    <col min="158" max="158" width="51" bestFit="1" customWidth="1"/>
    <col min="159" max="159" width="81.1796875" bestFit="1" customWidth="1"/>
    <col min="160" max="160" width="81.1796875" customWidth="1"/>
    <col min="161" max="161" width="73.1796875" bestFit="1" customWidth="1"/>
    <col min="162" max="162" width="81.1796875" bestFit="1" customWidth="1"/>
    <col min="163" max="167" width="81.1796875" customWidth="1"/>
    <col min="168" max="168" width="31.7265625" bestFit="1" customWidth="1"/>
    <col min="169" max="169" width="81.1796875" bestFit="1" customWidth="1"/>
    <col min="170" max="170" width="81.1796875" customWidth="1"/>
    <col min="171" max="171" width="10.453125" bestFit="1" customWidth="1"/>
    <col min="172" max="172" width="12.26953125" bestFit="1" customWidth="1"/>
    <col min="173" max="173" width="12.54296875" bestFit="1" customWidth="1"/>
    <col min="174" max="174" width="67.54296875" customWidth="1"/>
    <col min="175" max="179" width="80.7265625" customWidth="1"/>
    <col min="180" max="180" width="29.1796875" customWidth="1"/>
    <col min="181" max="181" width="27.26953125" customWidth="1"/>
    <col min="182" max="182" width="9.7265625" customWidth="1"/>
    <col min="183" max="183" width="11.453125" bestFit="1" customWidth="1"/>
    <col min="184" max="184" width="11.7265625" bestFit="1" customWidth="1"/>
    <col min="185" max="185" width="11.453125" bestFit="1" customWidth="1"/>
    <col min="186" max="186" width="56" bestFit="1" customWidth="1"/>
    <col min="187" max="187" width="46.1796875" bestFit="1" customWidth="1"/>
    <col min="188" max="189" width="56" bestFit="1" customWidth="1"/>
    <col min="190" max="190" width="48.26953125" bestFit="1" customWidth="1"/>
    <col min="191" max="194" width="56" bestFit="1" customWidth="1"/>
    <col min="195" max="195" width="48.81640625" bestFit="1" customWidth="1"/>
    <col min="196" max="197" width="56" bestFit="1" customWidth="1"/>
    <col min="198" max="198" width="25.26953125" bestFit="1" customWidth="1"/>
    <col min="199" max="203" width="56" bestFit="1" customWidth="1"/>
    <col min="204" max="204" width="42.453125" bestFit="1" customWidth="1"/>
    <col min="205" max="205" width="46.1796875" bestFit="1" customWidth="1"/>
    <col min="206" max="206" width="25.1796875" bestFit="1" customWidth="1"/>
    <col min="207" max="214" width="56" bestFit="1" customWidth="1"/>
    <col min="215" max="215" width="29.1796875" bestFit="1" customWidth="1"/>
    <col min="216" max="216" width="9.81640625" bestFit="1" customWidth="1"/>
    <col min="217" max="217" width="11.453125" bestFit="1" customWidth="1"/>
  </cols>
  <sheetData>
    <row r="1" spans="1:52" x14ac:dyDescent="0.35">
      <c r="A1" t="s">
        <v>24</v>
      </c>
      <c r="B1" t="s">
        <v>1</v>
      </c>
      <c r="C1" t="s">
        <v>25</v>
      </c>
      <c r="D1" t="s">
        <v>26</v>
      </c>
      <c r="E1" t="s">
        <v>23</v>
      </c>
      <c r="F1" t="s">
        <v>48</v>
      </c>
      <c r="G1" t="s">
        <v>49</v>
      </c>
      <c r="H1" t="s">
        <v>29</v>
      </c>
      <c r="I1" t="s">
        <v>30</v>
      </c>
      <c r="J1" t="s">
        <v>31</v>
      </c>
      <c r="K1" t="s">
        <v>99</v>
      </c>
      <c r="L1" t="s">
        <v>83</v>
      </c>
      <c r="M1" t="s">
        <v>84</v>
      </c>
      <c r="N1" t="s">
        <v>100</v>
      </c>
      <c r="O1" t="s">
        <v>35</v>
      </c>
      <c r="P1" t="s">
        <v>101</v>
      </c>
      <c r="Q1" t="s">
        <v>85</v>
      </c>
      <c r="R1" t="s">
        <v>86</v>
      </c>
      <c r="S1" t="s">
        <v>87</v>
      </c>
      <c r="T1" t="s">
        <v>88</v>
      </c>
      <c r="U1" t="s">
        <v>89</v>
      </c>
      <c r="V1" t="s">
        <v>90</v>
      </c>
      <c r="W1" t="s">
        <v>117</v>
      </c>
      <c r="X1" t="s">
        <v>110</v>
      </c>
      <c r="Y1" t="s">
        <v>118</v>
      </c>
      <c r="Z1" t="s">
        <v>102</v>
      </c>
      <c r="AA1" t="s">
        <v>113</v>
      </c>
      <c r="AB1" t="s">
        <v>138</v>
      </c>
      <c r="AC1" t="s">
        <v>114</v>
      </c>
      <c r="AD1" t="s">
        <v>115</v>
      </c>
      <c r="AE1" t="s">
        <v>103</v>
      </c>
      <c r="AF1" t="s">
        <v>104</v>
      </c>
      <c r="AG1" t="s">
        <v>116</v>
      </c>
      <c r="AH1" t="s">
        <v>105</v>
      </c>
      <c r="AI1" t="s">
        <v>106</v>
      </c>
      <c r="AJ1" t="s">
        <v>107</v>
      </c>
      <c r="AK1" t="s">
        <v>108</v>
      </c>
      <c r="AL1" t="s">
        <v>119</v>
      </c>
      <c r="AM1" t="s">
        <v>120</v>
      </c>
      <c r="AN1" t="s">
        <v>121</v>
      </c>
      <c r="AO1" t="s">
        <v>128</v>
      </c>
      <c r="AP1" t="s">
        <v>122</v>
      </c>
      <c r="AQ1" t="s">
        <v>161</v>
      </c>
      <c r="AR1" t="s">
        <v>111</v>
      </c>
      <c r="AS1" t="s">
        <v>112</v>
      </c>
      <c r="AT1" t="s">
        <v>123</v>
      </c>
      <c r="AU1" t="s">
        <v>124</v>
      </c>
      <c r="AV1" t="s">
        <v>125</v>
      </c>
      <c r="AW1" t="s">
        <v>126</v>
      </c>
      <c r="AX1" t="s">
        <v>127</v>
      </c>
      <c r="AY1" t="s">
        <v>139</v>
      </c>
      <c r="AZ1" t="s">
        <v>129</v>
      </c>
    </row>
    <row r="2" spans="1:52" x14ac:dyDescent="0.35">
      <c r="A2" t="s">
        <v>91</v>
      </c>
      <c r="B2" t="s">
        <v>152</v>
      </c>
      <c r="C2" t="s">
        <v>14</v>
      </c>
      <c r="D2">
        <v>421657</v>
      </c>
      <c r="E2" t="s">
        <v>194</v>
      </c>
      <c r="F2">
        <v>1</v>
      </c>
      <c r="G2" t="s">
        <v>142</v>
      </c>
      <c r="H2" s="76">
        <v>46172</v>
      </c>
      <c r="I2">
        <v>31467203</v>
      </c>
      <c r="J2" t="s">
        <v>160</v>
      </c>
      <c r="K2" t="s">
        <v>20</v>
      </c>
      <c r="L2" t="s">
        <v>20</v>
      </c>
      <c r="M2" t="s">
        <v>20</v>
      </c>
      <c r="N2" t="s">
        <v>20</v>
      </c>
      <c r="O2" t="s">
        <v>20</v>
      </c>
      <c r="P2" t="s">
        <v>147</v>
      </c>
      <c r="Q2" t="s">
        <v>20</v>
      </c>
      <c r="R2" t="s">
        <v>20</v>
      </c>
      <c r="S2" t="s">
        <v>147</v>
      </c>
      <c r="T2" t="s">
        <v>147</v>
      </c>
      <c r="U2" t="s">
        <v>147</v>
      </c>
      <c r="V2" t="s">
        <v>147</v>
      </c>
      <c r="W2" t="s">
        <v>20</v>
      </c>
      <c r="X2" t="s">
        <v>20</v>
      </c>
      <c r="Y2" t="s">
        <v>20</v>
      </c>
      <c r="Z2" t="s">
        <v>191</v>
      </c>
      <c r="AE2" t="s">
        <v>149</v>
      </c>
      <c r="AF2" t="s">
        <v>20</v>
      </c>
      <c r="AG2" t="s">
        <v>20</v>
      </c>
      <c r="AH2" t="s">
        <v>20</v>
      </c>
      <c r="AI2" t="s">
        <v>20</v>
      </c>
      <c r="AJ2" t="s">
        <v>147</v>
      </c>
      <c r="AK2" t="s">
        <v>162</v>
      </c>
      <c r="AL2" t="s">
        <v>20</v>
      </c>
      <c r="AM2" t="s">
        <v>20</v>
      </c>
      <c r="AN2" t="s">
        <v>20</v>
      </c>
      <c r="AO2" t="s">
        <v>20</v>
      </c>
      <c r="AP2" t="s">
        <v>20</v>
      </c>
      <c r="AT2" t="s">
        <v>20</v>
      </c>
      <c r="AV2" t="s">
        <v>20</v>
      </c>
      <c r="AW2" t="s">
        <v>20</v>
      </c>
      <c r="AX2" t="s">
        <v>20</v>
      </c>
      <c r="AY2" t="s">
        <v>209</v>
      </c>
      <c r="AZ2" t="s">
        <v>20</v>
      </c>
    </row>
    <row r="3" spans="1:52" x14ac:dyDescent="0.35">
      <c r="A3" t="s">
        <v>91</v>
      </c>
      <c r="B3" t="s">
        <v>152</v>
      </c>
      <c r="C3" t="s">
        <v>15</v>
      </c>
      <c r="D3">
        <v>455609</v>
      </c>
      <c r="E3" t="s">
        <v>154</v>
      </c>
      <c r="F3">
        <v>1</v>
      </c>
      <c r="G3" t="s">
        <v>142</v>
      </c>
      <c r="H3" s="76">
        <v>46163</v>
      </c>
      <c r="I3">
        <v>31364139</v>
      </c>
      <c r="J3" t="s">
        <v>160</v>
      </c>
      <c r="K3" t="s">
        <v>20</v>
      </c>
      <c r="L3" t="s">
        <v>20</v>
      </c>
      <c r="M3" t="s">
        <v>20</v>
      </c>
      <c r="N3" t="s">
        <v>20</v>
      </c>
      <c r="O3" t="s">
        <v>20</v>
      </c>
      <c r="P3" t="s">
        <v>147</v>
      </c>
      <c r="Q3" t="s">
        <v>20</v>
      </c>
      <c r="R3" t="s">
        <v>20</v>
      </c>
      <c r="S3" t="s">
        <v>147</v>
      </c>
      <c r="T3" t="s">
        <v>147</v>
      </c>
      <c r="U3" t="s">
        <v>147</v>
      </c>
      <c r="V3" t="s">
        <v>147</v>
      </c>
      <c r="W3" t="s">
        <v>20</v>
      </c>
      <c r="X3" t="s">
        <v>20</v>
      </c>
      <c r="Y3" t="s">
        <v>20</v>
      </c>
      <c r="Z3" t="s">
        <v>15</v>
      </c>
      <c r="AE3" t="s">
        <v>149</v>
      </c>
      <c r="AF3" t="s">
        <v>20</v>
      </c>
      <c r="AG3" t="s">
        <v>20</v>
      </c>
      <c r="AH3" t="s">
        <v>20</v>
      </c>
      <c r="AI3" t="s">
        <v>20</v>
      </c>
      <c r="AJ3" t="s">
        <v>147</v>
      </c>
      <c r="AK3" t="s">
        <v>162</v>
      </c>
      <c r="AL3" t="s">
        <v>209</v>
      </c>
      <c r="AM3" t="s">
        <v>20</v>
      </c>
      <c r="AN3" t="s">
        <v>20</v>
      </c>
      <c r="AO3" t="s">
        <v>20</v>
      </c>
      <c r="AP3" t="s">
        <v>20</v>
      </c>
      <c r="AQ3" t="s">
        <v>20</v>
      </c>
      <c r="AR3" t="s">
        <v>20</v>
      </c>
      <c r="AS3" t="s">
        <v>20</v>
      </c>
    </row>
    <row r="4" spans="1:52" x14ac:dyDescent="0.35">
      <c r="A4" t="s">
        <v>91</v>
      </c>
      <c r="B4" t="s">
        <v>8</v>
      </c>
      <c r="C4" t="s">
        <v>15</v>
      </c>
      <c r="D4">
        <v>122880</v>
      </c>
      <c r="E4" t="s">
        <v>171</v>
      </c>
      <c r="F4">
        <v>1</v>
      </c>
      <c r="G4" t="s">
        <v>142</v>
      </c>
      <c r="H4" s="76">
        <v>46165</v>
      </c>
      <c r="I4">
        <v>31379286</v>
      </c>
      <c r="J4" t="s">
        <v>94</v>
      </c>
      <c r="K4" t="s">
        <v>147</v>
      </c>
      <c r="AJ4" t="s">
        <v>20</v>
      </c>
      <c r="AK4" t="s">
        <v>176</v>
      </c>
    </row>
    <row r="5" spans="1:52" x14ac:dyDescent="0.35">
      <c r="A5" t="s">
        <v>91</v>
      </c>
      <c r="B5" t="s">
        <v>8</v>
      </c>
      <c r="C5" t="s">
        <v>41</v>
      </c>
      <c r="D5">
        <v>355912</v>
      </c>
      <c r="E5" t="s">
        <v>141</v>
      </c>
      <c r="F5">
        <v>1</v>
      </c>
      <c r="G5" t="s">
        <v>142</v>
      </c>
      <c r="H5" s="76">
        <v>46156</v>
      </c>
      <c r="I5">
        <v>31343424</v>
      </c>
      <c r="J5" t="s">
        <v>94</v>
      </c>
      <c r="K5" t="s">
        <v>20</v>
      </c>
      <c r="L5" t="s">
        <v>20</v>
      </c>
      <c r="M5" t="s">
        <v>20</v>
      </c>
      <c r="N5" t="s">
        <v>20</v>
      </c>
      <c r="O5" t="s">
        <v>20</v>
      </c>
      <c r="P5" t="s">
        <v>147</v>
      </c>
      <c r="Q5" t="s">
        <v>20</v>
      </c>
      <c r="R5" t="s">
        <v>20</v>
      </c>
      <c r="S5" t="s">
        <v>147</v>
      </c>
      <c r="T5" t="s">
        <v>147</v>
      </c>
      <c r="U5" t="s">
        <v>147</v>
      </c>
      <c r="V5" t="s">
        <v>147</v>
      </c>
      <c r="W5" t="s">
        <v>20</v>
      </c>
      <c r="X5" t="s">
        <v>20</v>
      </c>
      <c r="Y5" t="s">
        <v>20</v>
      </c>
      <c r="Z5" t="s">
        <v>148</v>
      </c>
      <c r="AA5" t="s">
        <v>20</v>
      </c>
      <c r="AB5" t="s">
        <v>20</v>
      </c>
      <c r="AC5" t="s">
        <v>20</v>
      </c>
      <c r="AD5" t="s">
        <v>20</v>
      </c>
      <c r="AE5" t="s">
        <v>149</v>
      </c>
      <c r="AF5" t="s">
        <v>20</v>
      </c>
      <c r="AG5" t="s">
        <v>20</v>
      </c>
      <c r="AH5" t="s">
        <v>20</v>
      </c>
      <c r="AI5" t="s">
        <v>20</v>
      </c>
      <c r="AJ5" t="s">
        <v>147</v>
      </c>
      <c r="AK5" t="s">
        <v>150</v>
      </c>
    </row>
    <row r="6" spans="1:52" x14ac:dyDescent="0.35">
      <c r="A6" t="s">
        <v>91</v>
      </c>
      <c r="B6" t="s">
        <v>178</v>
      </c>
      <c r="C6" t="s">
        <v>14</v>
      </c>
      <c r="D6">
        <v>426071</v>
      </c>
      <c r="E6" t="s">
        <v>186</v>
      </c>
      <c r="F6">
        <v>1</v>
      </c>
      <c r="G6" t="s">
        <v>142</v>
      </c>
      <c r="H6" s="76">
        <v>46172</v>
      </c>
      <c r="I6">
        <v>31465920</v>
      </c>
      <c r="J6" t="s">
        <v>160</v>
      </c>
      <c r="K6" t="s">
        <v>20</v>
      </c>
      <c r="L6" t="s">
        <v>20</v>
      </c>
      <c r="M6" t="s">
        <v>20</v>
      </c>
      <c r="N6" t="s">
        <v>20</v>
      </c>
      <c r="O6" t="s">
        <v>20</v>
      </c>
      <c r="P6" t="s">
        <v>147</v>
      </c>
      <c r="Q6" t="s">
        <v>20</v>
      </c>
      <c r="R6" t="s">
        <v>20</v>
      </c>
      <c r="S6" t="s">
        <v>147</v>
      </c>
      <c r="T6" t="s">
        <v>147</v>
      </c>
      <c r="U6" t="s">
        <v>147</v>
      </c>
      <c r="V6" t="s">
        <v>147</v>
      </c>
      <c r="W6" t="s">
        <v>20</v>
      </c>
      <c r="X6" t="s">
        <v>20</v>
      </c>
      <c r="Y6" t="s">
        <v>20</v>
      </c>
      <c r="Z6" t="s">
        <v>191</v>
      </c>
      <c r="AE6" t="s">
        <v>149</v>
      </c>
      <c r="AF6" t="s">
        <v>20</v>
      </c>
      <c r="AG6" t="s">
        <v>20</v>
      </c>
      <c r="AH6" t="s">
        <v>20</v>
      </c>
      <c r="AI6" t="s">
        <v>20</v>
      </c>
      <c r="AJ6" t="s">
        <v>147</v>
      </c>
      <c r="AK6" t="s">
        <v>162</v>
      </c>
      <c r="AL6" t="s">
        <v>20</v>
      </c>
      <c r="AM6" t="s">
        <v>20</v>
      </c>
      <c r="AN6" t="s">
        <v>20</v>
      </c>
      <c r="AO6" t="s">
        <v>20</v>
      </c>
      <c r="AP6" t="s">
        <v>20</v>
      </c>
      <c r="AT6" t="s">
        <v>20</v>
      </c>
      <c r="AV6" t="s">
        <v>20</v>
      </c>
      <c r="AW6" t="s">
        <v>20</v>
      </c>
      <c r="AX6" t="s">
        <v>20</v>
      </c>
      <c r="AY6" t="s">
        <v>209</v>
      </c>
      <c r="AZ6" t="s">
        <v>20</v>
      </c>
    </row>
    <row r="7" spans="1:52" x14ac:dyDescent="0.35">
      <c r="A7" t="s">
        <v>91</v>
      </c>
      <c r="B7" t="s">
        <v>178</v>
      </c>
      <c r="C7" t="s">
        <v>15</v>
      </c>
      <c r="D7">
        <v>12329</v>
      </c>
      <c r="E7" t="s">
        <v>179</v>
      </c>
      <c r="F7">
        <v>1</v>
      </c>
      <c r="G7" t="s">
        <v>142</v>
      </c>
      <c r="H7" s="76">
        <v>46169</v>
      </c>
      <c r="I7">
        <v>31528799</v>
      </c>
      <c r="J7" t="s">
        <v>160</v>
      </c>
      <c r="K7" t="s">
        <v>20</v>
      </c>
      <c r="L7" t="s">
        <v>20</v>
      </c>
      <c r="M7" t="s">
        <v>20</v>
      </c>
      <c r="N7" t="s">
        <v>20</v>
      </c>
      <c r="O7" t="s">
        <v>20</v>
      </c>
      <c r="P7" t="s">
        <v>147</v>
      </c>
      <c r="Q7" t="s">
        <v>20</v>
      </c>
      <c r="R7" t="s">
        <v>20</v>
      </c>
      <c r="S7" t="s">
        <v>147</v>
      </c>
      <c r="T7" t="s">
        <v>147</v>
      </c>
      <c r="U7" t="s">
        <v>147</v>
      </c>
      <c r="V7" t="s">
        <v>147</v>
      </c>
      <c r="W7" t="s">
        <v>20</v>
      </c>
      <c r="X7" t="s">
        <v>20</v>
      </c>
      <c r="Y7" t="s">
        <v>20</v>
      </c>
      <c r="Z7" t="s">
        <v>15</v>
      </c>
      <c r="AE7" t="s">
        <v>204</v>
      </c>
      <c r="AF7" t="s">
        <v>20</v>
      </c>
      <c r="AG7" t="s">
        <v>20</v>
      </c>
      <c r="AH7" t="s">
        <v>20</v>
      </c>
      <c r="AI7" t="s">
        <v>20</v>
      </c>
      <c r="AJ7" t="s">
        <v>147</v>
      </c>
      <c r="AK7" t="s">
        <v>192</v>
      </c>
      <c r="AL7" t="s">
        <v>20</v>
      </c>
      <c r="AM7" t="s">
        <v>20</v>
      </c>
      <c r="AN7" t="s">
        <v>20</v>
      </c>
      <c r="AO7" t="s">
        <v>20</v>
      </c>
      <c r="AP7" t="s">
        <v>20</v>
      </c>
      <c r="AQ7" t="s">
        <v>20</v>
      </c>
      <c r="AR7" t="s">
        <v>20</v>
      </c>
      <c r="AS7" t="s">
        <v>20</v>
      </c>
    </row>
    <row r="8" spans="1:52" x14ac:dyDescent="0.35">
      <c r="A8" t="s">
        <v>91</v>
      </c>
      <c r="B8" t="s">
        <v>131</v>
      </c>
      <c r="C8" t="s">
        <v>14</v>
      </c>
      <c r="D8">
        <v>424803</v>
      </c>
      <c r="E8" t="s">
        <v>164</v>
      </c>
      <c r="F8">
        <v>1</v>
      </c>
      <c r="G8" t="s">
        <v>142</v>
      </c>
      <c r="H8" s="76">
        <v>46168</v>
      </c>
      <c r="I8">
        <v>31427785</v>
      </c>
      <c r="J8" t="s">
        <v>94</v>
      </c>
      <c r="K8" t="s">
        <v>20</v>
      </c>
      <c r="L8" t="s">
        <v>20</v>
      </c>
      <c r="M8" t="s">
        <v>20</v>
      </c>
      <c r="N8" t="s">
        <v>20</v>
      </c>
      <c r="O8" t="s">
        <v>20</v>
      </c>
      <c r="P8" t="s">
        <v>147</v>
      </c>
      <c r="Q8" t="s">
        <v>20</v>
      </c>
      <c r="R8" t="s">
        <v>20</v>
      </c>
      <c r="S8" t="s">
        <v>147</v>
      </c>
      <c r="T8" t="s">
        <v>147</v>
      </c>
      <c r="U8" t="s">
        <v>147</v>
      </c>
      <c r="V8" t="s">
        <v>147</v>
      </c>
      <c r="W8" t="s">
        <v>20</v>
      </c>
      <c r="X8" t="s">
        <v>20</v>
      </c>
      <c r="Y8" t="s">
        <v>20</v>
      </c>
      <c r="Z8" t="s">
        <v>14</v>
      </c>
      <c r="AE8" t="s">
        <v>169</v>
      </c>
      <c r="AF8" t="s">
        <v>20</v>
      </c>
      <c r="AG8" t="s">
        <v>20</v>
      </c>
      <c r="AH8" t="s">
        <v>20</v>
      </c>
      <c r="AI8" t="s">
        <v>20</v>
      </c>
      <c r="AJ8" t="s">
        <v>147</v>
      </c>
      <c r="AK8" t="s">
        <v>162</v>
      </c>
      <c r="AL8" t="s">
        <v>20</v>
      </c>
      <c r="AM8" t="s">
        <v>20</v>
      </c>
      <c r="AN8" t="s">
        <v>20</v>
      </c>
      <c r="AO8" t="s">
        <v>20</v>
      </c>
      <c r="AP8" t="s">
        <v>20</v>
      </c>
      <c r="AT8" t="s">
        <v>20</v>
      </c>
      <c r="AU8" t="s">
        <v>20</v>
      </c>
      <c r="AV8" t="s">
        <v>20</v>
      </c>
      <c r="AW8" t="s">
        <v>20</v>
      </c>
      <c r="AX8" t="s">
        <v>20</v>
      </c>
      <c r="AY8" t="s">
        <v>147</v>
      </c>
      <c r="AZ8" t="s">
        <v>147</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24B1-EB2D-4C25-9AAD-4F1C0994C034}">
  <dimension ref="A1:AC200"/>
  <sheetViews>
    <sheetView topLeftCell="N1" workbookViewId="0">
      <selection activeCell="O1" sqref="O1"/>
    </sheetView>
  </sheetViews>
  <sheetFormatPr baseColWidth="10" defaultColWidth="11.453125" defaultRowHeight="14.5" x14ac:dyDescent="0.35"/>
  <cols>
    <col min="1" max="1" width="11.81640625" customWidth="1"/>
    <col min="2" max="2" width="11.453125" customWidth="1"/>
    <col min="4" max="5" width="11.453125" customWidth="1"/>
    <col min="6" max="6" width="13.1796875" customWidth="1"/>
    <col min="7" max="7" width="11.453125" style="2" customWidth="1"/>
    <col min="8" max="8" width="11.453125" customWidth="1"/>
    <col min="9" max="9" width="13.54296875" style="32" customWidth="1"/>
    <col min="10" max="10" width="32.453125" style="2" customWidth="1"/>
    <col min="11" max="11" width="13.453125" customWidth="1"/>
    <col min="12" max="12" width="18.54296875" customWidth="1"/>
    <col min="13" max="13" width="9.1796875" style="2" customWidth="1"/>
    <col min="14" max="14" width="32.1796875" customWidth="1"/>
    <col min="15" max="15" width="91.26953125" customWidth="1"/>
    <col min="16" max="16" width="30.26953125" customWidth="1"/>
    <col min="17" max="17" width="14.54296875" customWidth="1"/>
    <col min="18" max="18" width="15" customWidth="1"/>
    <col min="19" max="19" width="18.7265625" style="34" customWidth="1"/>
    <col min="20" max="20" width="18.26953125" style="2" customWidth="1"/>
    <col min="21" max="21" width="24.453125" style="2" customWidth="1"/>
    <col min="22" max="22" width="14.54296875" style="2" customWidth="1"/>
    <col min="23" max="23" width="11.453125" style="2"/>
    <col min="24" max="24" width="20" style="2" customWidth="1"/>
    <col min="25" max="25" width="20.453125" style="2" customWidth="1"/>
    <col min="26" max="26" width="18.1796875" style="2" customWidth="1"/>
    <col min="27" max="27" width="11.453125" style="2"/>
    <col min="28" max="28" width="21.54296875" style="2" customWidth="1"/>
    <col min="29" max="29" width="21.81640625" style="2" customWidth="1"/>
  </cols>
  <sheetData>
    <row r="1" spans="1:29" x14ac:dyDescent="0.35">
      <c r="A1" t="s">
        <v>24</v>
      </c>
      <c r="B1" t="s">
        <v>42</v>
      </c>
      <c r="C1" t="s">
        <v>1</v>
      </c>
      <c r="D1" t="s">
        <v>22</v>
      </c>
      <c r="E1" t="s">
        <v>25</v>
      </c>
      <c r="F1" t="s">
        <v>43</v>
      </c>
      <c r="G1" s="2" t="s">
        <v>44</v>
      </c>
      <c r="H1" t="s">
        <v>45</v>
      </c>
      <c r="I1" s="32" t="s">
        <v>26</v>
      </c>
      <c r="J1" s="2" t="s">
        <v>23</v>
      </c>
      <c r="K1" t="s">
        <v>46</v>
      </c>
      <c r="L1" t="s">
        <v>47</v>
      </c>
      <c r="M1" s="2" t="s">
        <v>48</v>
      </c>
      <c r="N1" t="s">
        <v>49</v>
      </c>
      <c r="O1" t="s">
        <v>27</v>
      </c>
      <c r="P1" t="s">
        <v>50</v>
      </c>
      <c r="Q1" t="s">
        <v>51</v>
      </c>
      <c r="R1" t="s">
        <v>52</v>
      </c>
      <c r="S1" s="34" t="s">
        <v>29</v>
      </c>
      <c r="T1" s="2" t="s">
        <v>53</v>
      </c>
      <c r="U1" s="2" t="s">
        <v>54</v>
      </c>
      <c r="V1" s="2" t="s">
        <v>30</v>
      </c>
      <c r="W1" s="2" t="s">
        <v>55</v>
      </c>
      <c r="X1" s="2" t="s">
        <v>56</v>
      </c>
      <c r="Y1" s="2" t="s">
        <v>57</v>
      </c>
      <c r="Z1" s="2" t="s">
        <v>58</v>
      </c>
      <c r="AA1" s="2" t="s">
        <v>31</v>
      </c>
      <c r="AB1" s="2" t="s">
        <v>59</v>
      </c>
      <c r="AC1" s="2" t="s">
        <v>60</v>
      </c>
    </row>
    <row r="2" spans="1:29" x14ac:dyDescent="0.35">
      <c r="A2" t="s">
        <v>91</v>
      </c>
      <c r="B2" t="s">
        <v>66</v>
      </c>
      <c r="C2" t="s">
        <v>8</v>
      </c>
      <c r="D2" t="s">
        <v>41</v>
      </c>
      <c r="E2" t="s">
        <v>41</v>
      </c>
      <c r="F2" t="s">
        <v>41</v>
      </c>
      <c r="G2" s="2" t="s">
        <v>8</v>
      </c>
      <c r="H2">
        <v>355912</v>
      </c>
      <c r="I2" s="32" t="s">
        <v>140</v>
      </c>
      <c r="J2" s="2" t="s">
        <v>141</v>
      </c>
      <c r="K2" t="s">
        <v>61</v>
      </c>
      <c r="L2" t="s">
        <v>141</v>
      </c>
      <c r="M2" s="2" t="s">
        <v>75</v>
      </c>
      <c r="N2" t="s">
        <v>142</v>
      </c>
      <c r="O2" t="s">
        <v>99</v>
      </c>
      <c r="P2" s="2" t="s">
        <v>20</v>
      </c>
      <c r="Q2" t="s">
        <v>61</v>
      </c>
      <c r="R2" t="s">
        <v>61</v>
      </c>
      <c r="S2" s="67" t="s">
        <v>143</v>
      </c>
      <c r="T2" t="s">
        <v>144</v>
      </c>
      <c r="U2" t="s">
        <v>145</v>
      </c>
      <c r="V2" s="2" t="s">
        <v>146</v>
      </c>
      <c r="W2" s="2" t="s">
        <v>62</v>
      </c>
      <c r="Z2" s="2" t="s">
        <v>93</v>
      </c>
      <c r="AA2" s="2" t="s">
        <v>94</v>
      </c>
      <c r="AB2" s="2" t="s">
        <v>63</v>
      </c>
      <c r="AC2" s="2" t="s">
        <v>64</v>
      </c>
    </row>
    <row r="3" spans="1:29" x14ac:dyDescent="0.35">
      <c r="A3" t="s">
        <v>91</v>
      </c>
      <c r="B3" t="s">
        <v>66</v>
      </c>
      <c r="C3" t="s">
        <v>8</v>
      </c>
      <c r="D3" t="s">
        <v>41</v>
      </c>
      <c r="E3" t="s">
        <v>41</v>
      </c>
      <c r="F3" t="s">
        <v>41</v>
      </c>
      <c r="G3" s="2" t="s">
        <v>8</v>
      </c>
      <c r="H3">
        <v>355912</v>
      </c>
      <c r="I3" s="32" t="s">
        <v>140</v>
      </c>
      <c r="J3" s="2" t="s">
        <v>141</v>
      </c>
      <c r="K3" t="s">
        <v>61</v>
      </c>
      <c r="L3" t="s">
        <v>141</v>
      </c>
      <c r="M3" s="2" t="s">
        <v>75</v>
      </c>
      <c r="N3" t="s">
        <v>142</v>
      </c>
      <c r="O3" t="s">
        <v>83</v>
      </c>
      <c r="P3" s="2" t="s">
        <v>20</v>
      </c>
      <c r="Q3" t="s">
        <v>61</v>
      </c>
      <c r="R3" t="s">
        <v>61</v>
      </c>
      <c r="S3" s="67" t="s">
        <v>143</v>
      </c>
      <c r="T3" t="s">
        <v>144</v>
      </c>
      <c r="U3" t="s">
        <v>145</v>
      </c>
      <c r="V3" s="2" t="s">
        <v>146</v>
      </c>
      <c r="W3" s="2" t="s">
        <v>62</v>
      </c>
      <c r="Z3" s="2" t="s">
        <v>93</v>
      </c>
      <c r="AA3" s="2" t="s">
        <v>94</v>
      </c>
      <c r="AB3" s="2" t="s">
        <v>63</v>
      </c>
      <c r="AC3" s="2" t="s">
        <v>64</v>
      </c>
    </row>
    <row r="4" spans="1:29" x14ac:dyDescent="0.35">
      <c r="A4" t="s">
        <v>91</v>
      </c>
      <c r="B4" t="s">
        <v>66</v>
      </c>
      <c r="C4" t="s">
        <v>8</v>
      </c>
      <c r="D4" t="s">
        <v>41</v>
      </c>
      <c r="E4" t="s">
        <v>41</v>
      </c>
      <c r="F4" t="s">
        <v>41</v>
      </c>
      <c r="G4" s="2" t="s">
        <v>8</v>
      </c>
      <c r="H4">
        <v>355912</v>
      </c>
      <c r="I4" s="32" t="s">
        <v>140</v>
      </c>
      <c r="J4" s="2" t="s">
        <v>141</v>
      </c>
      <c r="K4" t="s">
        <v>61</v>
      </c>
      <c r="L4" t="s">
        <v>141</v>
      </c>
      <c r="M4" s="2" t="s">
        <v>75</v>
      </c>
      <c r="N4" t="s">
        <v>142</v>
      </c>
      <c r="O4" t="s">
        <v>84</v>
      </c>
      <c r="P4" s="2" t="s">
        <v>20</v>
      </c>
      <c r="Q4" t="s">
        <v>61</v>
      </c>
      <c r="R4" t="s">
        <v>61</v>
      </c>
      <c r="S4" s="67" t="s">
        <v>143</v>
      </c>
      <c r="T4" t="s">
        <v>144</v>
      </c>
      <c r="U4" t="s">
        <v>145</v>
      </c>
      <c r="V4" s="2" t="s">
        <v>146</v>
      </c>
      <c r="W4" s="2" t="s">
        <v>62</v>
      </c>
      <c r="Z4" s="2" t="s">
        <v>93</v>
      </c>
      <c r="AA4" s="2" t="s">
        <v>94</v>
      </c>
      <c r="AB4" s="2" t="s">
        <v>63</v>
      </c>
      <c r="AC4" s="2" t="s">
        <v>64</v>
      </c>
    </row>
    <row r="5" spans="1:29" x14ac:dyDescent="0.35">
      <c r="A5" t="s">
        <v>91</v>
      </c>
      <c r="B5" t="s">
        <v>66</v>
      </c>
      <c r="C5" t="s">
        <v>8</v>
      </c>
      <c r="D5" t="s">
        <v>41</v>
      </c>
      <c r="E5" t="s">
        <v>41</v>
      </c>
      <c r="F5" t="s">
        <v>41</v>
      </c>
      <c r="G5" s="2" t="s">
        <v>8</v>
      </c>
      <c r="H5">
        <v>355912</v>
      </c>
      <c r="I5" s="32" t="s">
        <v>140</v>
      </c>
      <c r="J5" s="2" t="s">
        <v>141</v>
      </c>
      <c r="K5" t="s">
        <v>61</v>
      </c>
      <c r="L5" t="s">
        <v>141</v>
      </c>
      <c r="M5" s="2" t="s">
        <v>75</v>
      </c>
      <c r="N5" t="s">
        <v>142</v>
      </c>
      <c r="O5" t="s">
        <v>100</v>
      </c>
      <c r="P5" s="2" t="s">
        <v>20</v>
      </c>
      <c r="Q5" t="s">
        <v>61</v>
      </c>
      <c r="R5" t="s">
        <v>61</v>
      </c>
      <c r="S5" s="67" t="s">
        <v>143</v>
      </c>
      <c r="T5" t="s">
        <v>144</v>
      </c>
      <c r="U5" t="s">
        <v>145</v>
      </c>
      <c r="V5" s="2" t="s">
        <v>146</v>
      </c>
      <c r="W5" s="2" t="s">
        <v>62</v>
      </c>
      <c r="Z5" s="2" t="s">
        <v>93</v>
      </c>
      <c r="AA5" s="2" t="s">
        <v>94</v>
      </c>
      <c r="AB5" s="2" t="s">
        <v>63</v>
      </c>
      <c r="AC5" s="2" t="s">
        <v>64</v>
      </c>
    </row>
    <row r="6" spans="1:29" x14ac:dyDescent="0.35">
      <c r="A6" t="s">
        <v>91</v>
      </c>
      <c r="B6" t="s">
        <v>66</v>
      </c>
      <c r="C6" t="s">
        <v>8</v>
      </c>
      <c r="D6" t="s">
        <v>41</v>
      </c>
      <c r="E6" t="s">
        <v>41</v>
      </c>
      <c r="F6" t="s">
        <v>41</v>
      </c>
      <c r="G6" s="2" t="s">
        <v>8</v>
      </c>
      <c r="H6">
        <v>355912</v>
      </c>
      <c r="I6" s="32" t="s">
        <v>140</v>
      </c>
      <c r="J6" s="2" t="s">
        <v>141</v>
      </c>
      <c r="K6" t="s">
        <v>61</v>
      </c>
      <c r="L6" t="s">
        <v>141</v>
      </c>
      <c r="M6" s="2" t="s">
        <v>75</v>
      </c>
      <c r="N6" t="s">
        <v>142</v>
      </c>
      <c r="O6" t="s">
        <v>35</v>
      </c>
      <c r="P6" s="2" t="s">
        <v>20</v>
      </c>
      <c r="Q6" t="s">
        <v>61</v>
      </c>
      <c r="R6" t="s">
        <v>61</v>
      </c>
      <c r="S6" s="67" t="s">
        <v>143</v>
      </c>
      <c r="T6" t="s">
        <v>144</v>
      </c>
      <c r="U6" t="s">
        <v>145</v>
      </c>
      <c r="V6" s="2" t="s">
        <v>146</v>
      </c>
      <c r="W6" s="2" t="s">
        <v>62</v>
      </c>
      <c r="Z6" s="2" t="s">
        <v>93</v>
      </c>
      <c r="AA6" s="2" t="s">
        <v>94</v>
      </c>
      <c r="AB6" s="2" t="s">
        <v>63</v>
      </c>
      <c r="AC6" s="2" t="s">
        <v>64</v>
      </c>
    </row>
    <row r="7" spans="1:29" x14ac:dyDescent="0.35">
      <c r="A7" t="s">
        <v>91</v>
      </c>
      <c r="B7" t="s">
        <v>66</v>
      </c>
      <c r="C7" t="s">
        <v>8</v>
      </c>
      <c r="D7" t="s">
        <v>41</v>
      </c>
      <c r="E7" t="s">
        <v>41</v>
      </c>
      <c r="F7" t="s">
        <v>41</v>
      </c>
      <c r="G7" s="2" t="s">
        <v>8</v>
      </c>
      <c r="H7">
        <v>355912</v>
      </c>
      <c r="I7" s="32" t="s">
        <v>140</v>
      </c>
      <c r="J7" s="2" t="s">
        <v>141</v>
      </c>
      <c r="K7" t="s">
        <v>61</v>
      </c>
      <c r="L7" t="s">
        <v>141</v>
      </c>
      <c r="M7" s="2" t="s">
        <v>75</v>
      </c>
      <c r="N7" t="s">
        <v>142</v>
      </c>
      <c r="O7" t="s">
        <v>101</v>
      </c>
      <c r="P7" s="2" t="s">
        <v>147</v>
      </c>
      <c r="Q7" t="s">
        <v>61</v>
      </c>
      <c r="R7" t="s">
        <v>61</v>
      </c>
      <c r="S7" s="67" t="s">
        <v>143</v>
      </c>
      <c r="T7" t="s">
        <v>144</v>
      </c>
      <c r="U7" t="s">
        <v>145</v>
      </c>
      <c r="V7" s="2" t="s">
        <v>146</v>
      </c>
      <c r="W7" s="2" t="s">
        <v>62</v>
      </c>
      <c r="Z7" s="2" t="s">
        <v>93</v>
      </c>
      <c r="AA7" s="2" t="s">
        <v>94</v>
      </c>
      <c r="AB7" s="2" t="s">
        <v>63</v>
      </c>
      <c r="AC7" s="2" t="s">
        <v>64</v>
      </c>
    </row>
    <row r="8" spans="1:29" x14ac:dyDescent="0.35">
      <c r="A8" t="s">
        <v>91</v>
      </c>
      <c r="B8" t="s">
        <v>66</v>
      </c>
      <c r="C8" t="s">
        <v>8</v>
      </c>
      <c r="D8" t="s">
        <v>41</v>
      </c>
      <c r="E8" t="s">
        <v>41</v>
      </c>
      <c r="F8" t="s">
        <v>41</v>
      </c>
      <c r="G8" s="2" t="s">
        <v>8</v>
      </c>
      <c r="H8">
        <v>355912</v>
      </c>
      <c r="I8" s="32" t="s">
        <v>140</v>
      </c>
      <c r="J8" s="2" t="s">
        <v>141</v>
      </c>
      <c r="K8" t="s">
        <v>61</v>
      </c>
      <c r="L8" t="s">
        <v>141</v>
      </c>
      <c r="M8" s="2" t="s">
        <v>75</v>
      </c>
      <c r="N8" t="s">
        <v>142</v>
      </c>
      <c r="O8" t="s">
        <v>85</v>
      </c>
      <c r="P8" s="2" t="s">
        <v>20</v>
      </c>
      <c r="Q8" t="s">
        <v>61</v>
      </c>
      <c r="R8" t="s">
        <v>61</v>
      </c>
      <c r="S8" s="67" t="s">
        <v>143</v>
      </c>
      <c r="T8" t="s">
        <v>144</v>
      </c>
      <c r="U8" t="s">
        <v>145</v>
      </c>
      <c r="V8" s="2" t="s">
        <v>146</v>
      </c>
      <c r="W8" s="2" t="s">
        <v>62</v>
      </c>
      <c r="Z8" s="2" t="s">
        <v>93</v>
      </c>
      <c r="AA8" s="2" t="s">
        <v>94</v>
      </c>
      <c r="AB8" s="2" t="s">
        <v>63</v>
      </c>
      <c r="AC8" s="2" t="s">
        <v>64</v>
      </c>
    </row>
    <row r="9" spans="1:29" x14ac:dyDescent="0.35">
      <c r="A9" t="s">
        <v>91</v>
      </c>
      <c r="B9" t="s">
        <v>66</v>
      </c>
      <c r="C9" t="s">
        <v>8</v>
      </c>
      <c r="D9" t="s">
        <v>41</v>
      </c>
      <c r="E9" t="s">
        <v>41</v>
      </c>
      <c r="F9" t="s">
        <v>41</v>
      </c>
      <c r="G9" s="2" t="s">
        <v>8</v>
      </c>
      <c r="H9">
        <v>355912</v>
      </c>
      <c r="I9" s="32" t="s">
        <v>140</v>
      </c>
      <c r="J9" s="2" t="s">
        <v>141</v>
      </c>
      <c r="K9" t="s">
        <v>61</v>
      </c>
      <c r="L9" t="s">
        <v>141</v>
      </c>
      <c r="M9" s="2" t="s">
        <v>75</v>
      </c>
      <c r="N9" t="s">
        <v>142</v>
      </c>
      <c r="O9" t="s">
        <v>86</v>
      </c>
      <c r="P9" s="2" t="s">
        <v>20</v>
      </c>
      <c r="Q9" t="s">
        <v>61</v>
      </c>
      <c r="R9" t="s">
        <v>61</v>
      </c>
      <c r="S9" s="67" t="s">
        <v>143</v>
      </c>
      <c r="T9" t="s">
        <v>144</v>
      </c>
      <c r="U9" t="s">
        <v>145</v>
      </c>
      <c r="V9" s="2" t="s">
        <v>146</v>
      </c>
      <c r="W9" s="2" t="s">
        <v>62</v>
      </c>
      <c r="Z9" s="2" t="s">
        <v>93</v>
      </c>
      <c r="AA9" s="2" t="s">
        <v>94</v>
      </c>
      <c r="AB9" s="2" t="s">
        <v>63</v>
      </c>
      <c r="AC9" s="2" t="s">
        <v>64</v>
      </c>
    </row>
    <row r="10" spans="1:29" x14ac:dyDescent="0.35">
      <c r="A10" t="s">
        <v>91</v>
      </c>
      <c r="B10" t="s">
        <v>66</v>
      </c>
      <c r="C10" t="s">
        <v>8</v>
      </c>
      <c r="D10" t="s">
        <v>41</v>
      </c>
      <c r="E10" t="s">
        <v>41</v>
      </c>
      <c r="F10" t="s">
        <v>41</v>
      </c>
      <c r="G10" s="2" t="s">
        <v>8</v>
      </c>
      <c r="H10">
        <v>355912</v>
      </c>
      <c r="I10" s="32" t="s">
        <v>140</v>
      </c>
      <c r="J10" s="2" t="s">
        <v>141</v>
      </c>
      <c r="K10" t="s">
        <v>61</v>
      </c>
      <c r="L10" t="s">
        <v>141</v>
      </c>
      <c r="M10" s="2" t="s">
        <v>75</v>
      </c>
      <c r="N10" t="s">
        <v>142</v>
      </c>
      <c r="O10" t="s">
        <v>87</v>
      </c>
      <c r="P10" s="2" t="s">
        <v>147</v>
      </c>
      <c r="Q10" t="s">
        <v>61</v>
      </c>
      <c r="R10" t="s">
        <v>61</v>
      </c>
      <c r="S10" s="67" t="s">
        <v>143</v>
      </c>
      <c r="T10" t="s">
        <v>144</v>
      </c>
      <c r="U10" t="s">
        <v>145</v>
      </c>
      <c r="V10" s="2" t="s">
        <v>146</v>
      </c>
      <c r="W10" s="2" t="s">
        <v>62</v>
      </c>
      <c r="Z10" s="2" t="s">
        <v>93</v>
      </c>
      <c r="AA10" s="2" t="s">
        <v>94</v>
      </c>
      <c r="AB10" s="2" t="s">
        <v>63</v>
      </c>
      <c r="AC10" s="2" t="s">
        <v>64</v>
      </c>
    </row>
    <row r="11" spans="1:29" x14ac:dyDescent="0.35">
      <c r="A11" t="s">
        <v>91</v>
      </c>
      <c r="B11" t="s">
        <v>66</v>
      </c>
      <c r="C11" t="s">
        <v>8</v>
      </c>
      <c r="D11" t="s">
        <v>41</v>
      </c>
      <c r="E11" t="s">
        <v>41</v>
      </c>
      <c r="F11" t="s">
        <v>41</v>
      </c>
      <c r="G11" s="2" t="s">
        <v>8</v>
      </c>
      <c r="H11">
        <v>355912</v>
      </c>
      <c r="I11" s="32" t="s">
        <v>140</v>
      </c>
      <c r="J11" s="2" t="s">
        <v>141</v>
      </c>
      <c r="K11" t="s">
        <v>61</v>
      </c>
      <c r="L11" t="s">
        <v>141</v>
      </c>
      <c r="M11" s="2" t="s">
        <v>75</v>
      </c>
      <c r="N11" t="s">
        <v>142</v>
      </c>
      <c r="O11" t="s">
        <v>88</v>
      </c>
      <c r="P11" s="2" t="s">
        <v>147</v>
      </c>
      <c r="Q11" t="s">
        <v>61</v>
      </c>
      <c r="R11" t="s">
        <v>61</v>
      </c>
      <c r="S11" s="67" t="s">
        <v>143</v>
      </c>
      <c r="T11" t="s">
        <v>144</v>
      </c>
      <c r="U11" t="s">
        <v>145</v>
      </c>
      <c r="V11" s="2" t="s">
        <v>146</v>
      </c>
      <c r="W11" s="2" t="s">
        <v>62</v>
      </c>
      <c r="Z11" s="2" t="s">
        <v>93</v>
      </c>
      <c r="AA11" s="2" t="s">
        <v>94</v>
      </c>
      <c r="AB11" s="2" t="s">
        <v>63</v>
      </c>
      <c r="AC11" s="2" t="s">
        <v>64</v>
      </c>
    </row>
    <row r="12" spans="1:29" x14ac:dyDescent="0.35">
      <c r="A12" t="s">
        <v>91</v>
      </c>
      <c r="B12" t="s">
        <v>66</v>
      </c>
      <c r="C12" t="s">
        <v>8</v>
      </c>
      <c r="D12" t="s">
        <v>41</v>
      </c>
      <c r="E12" t="s">
        <v>41</v>
      </c>
      <c r="F12" t="s">
        <v>41</v>
      </c>
      <c r="G12" s="2" t="s">
        <v>8</v>
      </c>
      <c r="H12">
        <v>355912</v>
      </c>
      <c r="I12" s="32" t="s">
        <v>140</v>
      </c>
      <c r="J12" s="2" t="s">
        <v>141</v>
      </c>
      <c r="K12" t="s">
        <v>61</v>
      </c>
      <c r="L12" t="s">
        <v>141</v>
      </c>
      <c r="M12" s="2" t="s">
        <v>75</v>
      </c>
      <c r="N12" t="s">
        <v>142</v>
      </c>
      <c r="O12" t="s">
        <v>89</v>
      </c>
      <c r="P12" s="2" t="s">
        <v>147</v>
      </c>
      <c r="Q12" t="s">
        <v>61</v>
      </c>
      <c r="R12" t="s">
        <v>61</v>
      </c>
      <c r="S12" s="67" t="s">
        <v>143</v>
      </c>
      <c r="T12" t="s">
        <v>144</v>
      </c>
      <c r="U12" t="s">
        <v>145</v>
      </c>
      <c r="V12" s="2" t="s">
        <v>146</v>
      </c>
      <c r="W12" s="2" t="s">
        <v>62</v>
      </c>
      <c r="Z12" s="2" t="s">
        <v>93</v>
      </c>
      <c r="AA12" s="2" t="s">
        <v>94</v>
      </c>
      <c r="AB12" s="2" t="s">
        <v>63</v>
      </c>
      <c r="AC12" s="2" t="s">
        <v>64</v>
      </c>
    </row>
    <row r="13" spans="1:29" x14ac:dyDescent="0.35">
      <c r="A13" t="s">
        <v>91</v>
      </c>
      <c r="B13" t="s">
        <v>66</v>
      </c>
      <c r="C13" t="s">
        <v>8</v>
      </c>
      <c r="D13" t="s">
        <v>41</v>
      </c>
      <c r="E13" t="s">
        <v>41</v>
      </c>
      <c r="F13" t="s">
        <v>41</v>
      </c>
      <c r="G13" s="2" t="s">
        <v>8</v>
      </c>
      <c r="H13">
        <v>355912</v>
      </c>
      <c r="I13" s="32" t="s">
        <v>140</v>
      </c>
      <c r="J13" s="2" t="s">
        <v>141</v>
      </c>
      <c r="K13" t="s">
        <v>61</v>
      </c>
      <c r="L13" t="s">
        <v>141</v>
      </c>
      <c r="M13" s="2" t="s">
        <v>75</v>
      </c>
      <c r="N13" t="s">
        <v>142</v>
      </c>
      <c r="O13" t="s">
        <v>90</v>
      </c>
      <c r="P13" s="2" t="s">
        <v>147</v>
      </c>
      <c r="Q13" t="s">
        <v>61</v>
      </c>
      <c r="R13" t="s">
        <v>61</v>
      </c>
      <c r="S13" s="67" t="s">
        <v>143</v>
      </c>
      <c r="T13" t="s">
        <v>144</v>
      </c>
      <c r="U13" t="s">
        <v>145</v>
      </c>
      <c r="V13" s="2" t="s">
        <v>146</v>
      </c>
      <c r="W13" s="2" t="s">
        <v>62</v>
      </c>
      <c r="Z13" s="2" t="s">
        <v>93</v>
      </c>
      <c r="AA13" s="2" t="s">
        <v>94</v>
      </c>
      <c r="AB13" s="2" t="s">
        <v>63</v>
      </c>
      <c r="AC13" s="2" t="s">
        <v>64</v>
      </c>
    </row>
    <row r="14" spans="1:29" x14ac:dyDescent="0.35">
      <c r="A14" t="s">
        <v>91</v>
      </c>
      <c r="B14" t="s">
        <v>66</v>
      </c>
      <c r="C14" t="s">
        <v>8</v>
      </c>
      <c r="D14" t="s">
        <v>41</v>
      </c>
      <c r="E14" t="s">
        <v>41</v>
      </c>
      <c r="F14" t="s">
        <v>41</v>
      </c>
      <c r="G14" s="2" t="s">
        <v>8</v>
      </c>
      <c r="H14">
        <v>355912</v>
      </c>
      <c r="I14" s="32" t="s">
        <v>140</v>
      </c>
      <c r="J14" s="2" t="s">
        <v>141</v>
      </c>
      <c r="K14" t="s">
        <v>61</v>
      </c>
      <c r="L14" t="s">
        <v>141</v>
      </c>
      <c r="M14" s="2" t="s">
        <v>75</v>
      </c>
      <c r="N14" t="s">
        <v>142</v>
      </c>
      <c r="O14" t="s">
        <v>117</v>
      </c>
      <c r="P14" s="2" t="s">
        <v>20</v>
      </c>
      <c r="Q14" t="s">
        <v>61</v>
      </c>
      <c r="R14" t="s">
        <v>61</v>
      </c>
      <c r="S14" s="67" t="s">
        <v>143</v>
      </c>
      <c r="T14" t="s">
        <v>144</v>
      </c>
      <c r="U14" t="s">
        <v>145</v>
      </c>
      <c r="V14" s="2" t="s">
        <v>146</v>
      </c>
      <c r="W14" s="2" t="s">
        <v>62</v>
      </c>
      <c r="Z14" s="2" t="s">
        <v>93</v>
      </c>
      <c r="AA14" s="2" t="s">
        <v>94</v>
      </c>
      <c r="AB14" s="2" t="s">
        <v>63</v>
      </c>
      <c r="AC14" s="2" t="s">
        <v>64</v>
      </c>
    </row>
    <row r="15" spans="1:29" x14ac:dyDescent="0.35">
      <c r="A15" t="s">
        <v>91</v>
      </c>
      <c r="B15" t="s">
        <v>66</v>
      </c>
      <c r="C15" t="s">
        <v>8</v>
      </c>
      <c r="D15" t="s">
        <v>41</v>
      </c>
      <c r="E15" t="s">
        <v>41</v>
      </c>
      <c r="F15" t="s">
        <v>41</v>
      </c>
      <c r="G15" s="2" t="s">
        <v>8</v>
      </c>
      <c r="H15">
        <v>355912</v>
      </c>
      <c r="I15" s="32" t="s">
        <v>140</v>
      </c>
      <c r="J15" s="2" t="s">
        <v>141</v>
      </c>
      <c r="K15" t="s">
        <v>61</v>
      </c>
      <c r="L15" t="s">
        <v>141</v>
      </c>
      <c r="M15" s="2" t="s">
        <v>75</v>
      </c>
      <c r="N15" t="s">
        <v>142</v>
      </c>
      <c r="O15" t="s">
        <v>110</v>
      </c>
      <c r="P15" s="2" t="s">
        <v>20</v>
      </c>
      <c r="Q15" t="s">
        <v>61</v>
      </c>
      <c r="R15" t="s">
        <v>61</v>
      </c>
      <c r="S15" s="67" t="s">
        <v>143</v>
      </c>
      <c r="T15" t="s">
        <v>144</v>
      </c>
      <c r="U15" t="s">
        <v>145</v>
      </c>
      <c r="V15" s="2" t="s">
        <v>146</v>
      </c>
      <c r="W15" s="2" t="s">
        <v>62</v>
      </c>
      <c r="Z15" s="2" t="s">
        <v>93</v>
      </c>
      <c r="AA15" s="2" t="s">
        <v>94</v>
      </c>
      <c r="AB15" s="2" t="s">
        <v>63</v>
      </c>
      <c r="AC15" s="2" t="s">
        <v>64</v>
      </c>
    </row>
    <row r="16" spans="1:29" x14ac:dyDescent="0.35">
      <c r="A16" t="s">
        <v>91</v>
      </c>
      <c r="B16" t="s">
        <v>66</v>
      </c>
      <c r="C16" t="s">
        <v>8</v>
      </c>
      <c r="D16" t="s">
        <v>41</v>
      </c>
      <c r="E16" t="s">
        <v>41</v>
      </c>
      <c r="F16" t="s">
        <v>41</v>
      </c>
      <c r="G16" s="2" t="s">
        <v>8</v>
      </c>
      <c r="H16">
        <v>355912</v>
      </c>
      <c r="I16" s="32" t="s">
        <v>140</v>
      </c>
      <c r="J16" s="2" t="s">
        <v>141</v>
      </c>
      <c r="K16" t="s">
        <v>61</v>
      </c>
      <c r="L16" t="s">
        <v>141</v>
      </c>
      <c r="M16" s="2" t="s">
        <v>75</v>
      </c>
      <c r="N16" t="s">
        <v>142</v>
      </c>
      <c r="O16" t="s">
        <v>118</v>
      </c>
      <c r="P16" s="2" t="s">
        <v>20</v>
      </c>
      <c r="Q16" t="s">
        <v>61</v>
      </c>
      <c r="R16" t="s">
        <v>61</v>
      </c>
      <c r="S16" s="67" t="s">
        <v>143</v>
      </c>
      <c r="T16" t="s">
        <v>144</v>
      </c>
      <c r="U16" t="s">
        <v>145</v>
      </c>
      <c r="V16" s="2" t="s">
        <v>146</v>
      </c>
      <c r="W16" s="2" t="s">
        <v>62</v>
      </c>
      <c r="Z16" s="2" t="s">
        <v>93</v>
      </c>
      <c r="AA16" s="2" t="s">
        <v>94</v>
      </c>
      <c r="AB16" s="2" t="s">
        <v>63</v>
      </c>
      <c r="AC16" s="2" t="s">
        <v>64</v>
      </c>
    </row>
    <row r="17" spans="1:29" x14ac:dyDescent="0.35">
      <c r="A17" t="s">
        <v>91</v>
      </c>
      <c r="B17" t="s">
        <v>66</v>
      </c>
      <c r="C17" t="s">
        <v>8</v>
      </c>
      <c r="D17" t="s">
        <v>41</v>
      </c>
      <c r="E17" t="s">
        <v>41</v>
      </c>
      <c r="F17" t="s">
        <v>41</v>
      </c>
      <c r="G17" s="2" t="s">
        <v>8</v>
      </c>
      <c r="H17">
        <v>355912</v>
      </c>
      <c r="I17" s="32" t="s">
        <v>140</v>
      </c>
      <c r="J17" s="2" t="s">
        <v>141</v>
      </c>
      <c r="K17" t="s">
        <v>61</v>
      </c>
      <c r="L17" t="s">
        <v>141</v>
      </c>
      <c r="M17" s="2" t="s">
        <v>75</v>
      </c>
      <c r="N17" t="s">
        <v>142</v>
      </c>
      <c r="O17" t="s">
        <v>102</v>
      </c>
      <c r="P17" s="2" t="s">
        <v>148</v>
      </c>
      <c r="Q17" t="s">
        <v>61</v>
      </c>
      <c r="R17" t="s">
        <v>61</v>
      </c>
      <c r="S17" s="67" t="s">
        <v>143</v>
      </c>
      <c r="T17" t="s">
        <v>144</v>
      </c>
      <c r="U17" t="s">
        <v>145</v>
      </c>
      <c r="V17" s="2" t="s">
        <v>146</v>
      </c>
      <c r="W17" s="2" t="s">
        <v>62</v>
      </c>
      <c r="Z17" s="2" t="s">
        <v>93</v>
      </c>
      <c r="AA17" s="2" t="s">
        <v>94</v>
      </c>
      <c r="AB17" s="2" t="s">
        <v>63</v>
      </c>
      <c r="AC17" s="2" t="s">
        <v>64</v>
      </c>
    </row>
    <row r="18" spans="1:29" x14ac:dyDescent="0.35">
      <c r="A18" t="s">
        <v>91</v>
      </c>
      <c r="B18" t="s">
        <v>66</v>
      </c>
      <c r="C18" t="s">
        <v>8</v>
      </c>
      <c r="D18" t="s">
        <v>41</v>
      </c>
      <c r="E18" t="s">
        <v>41</v>
      </c>
      <c r="F18" t="s">
        <v>41</v>
      </c>
      <c r="G18" s="2" t="s">
        <v>8</v>
      </c>
      <c r="H18">
        <v>355912</v>
      </c>
      <c r="I18" s="32" t="s">
        <v>140</v>
      </c>
      <c r="J18" s="2" t="s">
        <v>141</v>
      </c>
      <c r="K18" t="s">
        <v>61</v>
      </c>
      <c r="L18" t="s">
        <v>141</v>
      </c>
      <c r="M18" s="2" t="s">
        <v>75</v>
      </c>
      <c r="N18" t="s">
        <v>142</v>
      </c>
      <c r="O18" t="s">
        <v>113</v>
      </c>
      <c r="P18" s="2" t="s">
        <v>20</v>
      </c>
      <c r="Q18" t="s">
        <v>61</v>
      </c>
      <c r="R18" t="s">
        <v>61</v>
      </c>
      <c r="S18" s="67" t="s">
        <v>143</v>
      </c>
      <c r="T18" t="s">
        <v>144</v>
      </c>
      <c r="U18" t="s">
        <v>145</v>
      </c>
      <c r="V18" s="2" t="s">
        <v>146</v>
      </c>
      <c r="W18" s="2" t="s">
        <v>62</v>
      </c>
      <c r="Z18" s="2" t="s">
        <v>93</v>
      </c>
      <c r="AA18" s="2" t="s">
        <v>94</v>
      </c>
      <c r="AB18" s="2" t="s">
        <v>63</v>
      </c>
      <c r="AC18" s="2" t="s">
        <v>64</v>
      </c>
    </row>
    <row r="19" spans="1:29" x14ac:dyDescent="0.35">
      <c r="A19" t="s">
        <v>91</v>
      </c>
      <c r="B19" t="s">
        <v>66</v>
      </c>
      <c r="C19" t="s">
        <v>8</v>
      </c>
      <c r="D19" t="s">
        <v>41</v>
      </c>
      <c r="E19" t="s">
        <v>41</v>
      </c>
      <c r="F19" t="s">
        <v>41</v>
      </c>
      <c r="G19" s="2" t="s">
        <v>8</v>
      </c>
      <c r="H19">
        <v>355912</v>
      </c>
      <c r="I19" s="32" t="s">
        <v>140</v>
      </c>
      <c r="J19" s="2" t="s">
        <v>141</v>
      </c>
      <c r="K19" t="s">
        <v>61</v>
      </c>
      <c r="L19" t="s">
        <v>141</v>
      </c>
      <c r="M19" s="2" t="s">
        <v>75</v>
      </c>
      <c r="N19" t="s">
        <v>142</v>
      </c>
      <c r="O19" t="s">
        <v>138</v>
      </c>
      <c r="P19" s="2" t="s">
        <v>20</v>
      </c>
      <c r="Q19" t="s">
        <v>61</v>
      </c>
      <c r="R19" t="s">
        <v>61</v>
      </c>
      <c r="S19" s="67" t="s">
        <v>143</v>
      </c>
      <c r="T19" t="s">
        <v>144</v>
      </c>
      <c r="U19" t="s">
        <v>145</v>
      </c>
      <c r="V19" s="2" t="s">
        <v>146</v>
      </c>
      <c r="W19" s="2" t="s">
        <v>62</v>
      </c>
      <c r="Z19" s="2" t="s">
        <v>93</v>
      </c>
      <c r="AA19" s="2" t="s">
        <v>94</v>
      </c>
      <c r="AB19" s="2" t="s">
        <v>63</v>
      </c>
      <c r="AC19" s="2" t="s">
        <v>64</v>
      </c>
    </row>
    <row r="20" spans="1:29" x14ac:dyDescent="0.35">
      <c r="A20" t="s">
        <v>91</v>
      </c>
      <c r="B20" t="s">
        <v>66</v>
      </c>
      <c r="C20" t="s">
        <v>8</v>
      </c>
      <c r="D20" t="s">
        <v>41</v>
      </c>
      <c r="E20" t="s">
        <v>41</v>
      </c>
      <c r="F20" t="s">
        <v>41</v>
      </c>
      <c r="G20" s="2" t="s">
        <v>8</v>
      </c>
      <c r="H20">
        <v>355912</v>
      </c>
      <c r="I20" s="32" t="s">
        <v>140</v>
      </c>
      <c r="J20" s="2" t="s">
        <v>141</v>
      </c>
      <c r="K20" t="s">
        <v>61</v>
      </c>
      <c r="L20" t="s">
        <v>141</v>
      </c>
      <c r="M20" s="2" t="s">
        <v>75</v>
      </c>
      <c r="N20" t="s">
        <v>142</v>
      </c>
      <c r="O20" t="s">
        <v>114</v>
      </c>
      <c r="P20" s="2" t="s">
        <v>20</v>
      </c>
      <c r="Q20" t="s">
        <v>61</v>
      </c>
      <c r="R20" t="s">
        <v>61</v>
      </c>
      <c r="S20" s="67" t="s">
        <v>143</v>
      </c>
      <c r="T20" t="s">
        <v>144</v>
      </c>
      <c r="U20" t="s">
        <v>145</v>
      </c>
      <c r="V20" s="2" t="s">
        <v>146</v>
      </c>
      <c r="W20" s="2" t="s">
        <v>62</v>
      </c>
      <c r="Z20" s="2" t="s">
        <v>93</v>
      </c>
      <c r="AA20" s="2" t="s">
        <v>94</v>
      </c>
      <c r="AB20" s="2" t="s">
        <v>63</v>
      </c>
      <c r="AC20" s="2" t="s">
        <v>64</v>
      </c>
    </row>
    <row r="21" spans="1:29" x14ac:dyDescent="0.35">
      <c r="A21" t="s">
        <v>91</v>
      </c>
      <c r="B21" t="s">
        <v>66</v>
      </c>
      <c r="C21" t="s">
        <v>8</v>
      </c>
      <c r="D21" t="s">
        <v>41</v>
      </c>
      <c r="E21" t="s">
        <v>41</v>
      </c>
      <c r="F21" t="s">
        <v>41</v>
      </c>
      <c r="G21" s="2" t="s">
        <v>8</v>
      </c>
      <c r="H21">
        <v>355912</v>
      </c>
      <c r="I21" s="32" t="s">
        <v>140</v>
      </c>
      <c r="J21" s="2" t="s">
        <v>141</v>
      </c>
      <c r="K21" t="s">
        <v>61</v>
      </c>
      <c r="L21" t="s">
        <v>141</v>
      </c>
      <c r="M21" s="2" t="s">
        <v>75</v>
      </c>
      <c r="N21" t="s">
        <v>142</v>
      </c>
      <c r="O21" t="s">
        <v>115</v>
      </c>
      <c r="P21" s="2" t="s">
        <v>20</v>
      </c>
      <c r="Q21" t="s">
        <v>61</v>
      </c>
      <c r="R21" t="s">
        <v>61</v>
      </c>
      <c r="S21" s="67" t="s">
        <v>143</v>
      </c>
      <c r="T21" t="s">
        <v>144</v>
      </c>
      <c r="U21" t="s">
        <v>145</v>
      </c>
      <c r="V21" s="2" t="s">
        <v>146</v>
      </c>
      <c r="W21" s="2" t="s">
        <v>62</v>
      </c>
      <c r="Z21" s="2" t="s">
        <v>93</v>
      </c>
      <c r="AA21" s="2" t="s">
        <v>94</v>
      </c>
      <c r="AB21" s="2" t="s">
        <v>63</v>
      </c>
      <c r="AC21" s="2" t="s">
        <v>64</v>
      </c>
    </row>
    <row r="22" spans="1:29" x14ac:dyDescent="0.35">
      <c r="A22" t="s">
        <v>91</v>
      </c>
      <c r="B22" t="s">
        <v>66</v>
      </c>
      <c r="C22" t="s">
        <v>8</v>
      </c>
      <c r="D22" t="s">
        <v>41</v>
      </c>
      <c r="E22" t="s">
        <v>41</v>
      </c>
      <c r="F22" t="s">
        <v>41</v>
      </c>
      <c r="G22" s="2" t="s">
        <v>8</v>
      </c>
      <c r="H22">
        <v>355912</v>
      </c>
      <c r="I22" s="32" t="s">
        <v>140</v>
      </c>
      <c r="J22" s="2" t="s">
        <v>141</v>
      </c>
      <c r="K22" t="s">
        <v>61</v>
      </c>
      <c r="L22" t="s">
        <v>141</v>
      </c>
      <c r="M22" s="2" t="s">
        <v>75</v>
      </c>
      <c r="N22" t="s">
        <v>142</v>
      </c>
      <c r="O22" t="s">
        <v>103</v>
      </c>
      <c r="P22" s="2" t="s">
        <v>149</v>
      </c>
      <c r="Q22" t="s">
        <v>61</v>
      </c>
      <c r="R22" t="s">
        <v>61</v>
      </c>
      <c r="S22" s="67" t="s">
        <v>143</v>
      </c>
      <c r="T22" t="s">
        <v>144</v>
      </c>
      <c r="U22" t="s">
        <v>145</v>
      </c>
      <c r="V22" s="2" t="s">
        <v>146</v>
      </c>
      <c r="W22" s="2" t="s">
        <v>62</v>
      </c>
      <c r="Z22" s="2" t="s">
        <v>93</v>
      </c>
      <c r="AA22" s="2" t="s">
        <v>94</v>
      </c>
      <c r="AB22" s="2" t="s">
        <v>63</v>
      </c>
      <c r="AC22" s="2" t="s">
        <v>64</v>
      </c>
    </row>
    <row r="23" spans="1:29" x14ac:dyDescent="0.35">
      <c r="A23" t="s">
        <v>91</v>
      </c>
      <c r="B23" t="s">
        <v>66</v>
      </c>
      <c r="C23" t="s">
        <v>8</v>
      </c>
      <c r="D23" t="s">
        <v>41</v>
      </c>
      <c r="E23" t="s">
        <v>41</v>
      </c>
      <c r="F23" t="s">
        <v>41</v>
      </c>
      <c r="G23" s="2" t="s">
        <v>8</v>
      </c>
      <c r="H23">
        <v>355912</v>
      </c>
      <c r="I23" s="32" t="s">
        <v>140</v>
      </c>
      <c r="J23" s="2" t="s">
        <v>141</v>
      </c>
      <c r="K23" t="s">
        <v>61</v>
      </c>
      <c r="L23" t="s">
        <v>141</v>
      </c>
      <c r="M23" s="2" t="s">
        <v>75</v>
      </c>
      <c r="N23" t="s">
        <v>142</v>
      </c>
      <c r="O23" t="s">
        <v>104</v>
      </c>
      <c r="P23" s="2" t="s">
        <v>20</v>
      </c>
      <c r="Q23" t="s">
        <v>61</v>
      </c>
      <c r="R23" t="s">
        <v>61</v>
      </c>
      <c r="S23" s="67" t="s">
        <v>143</v>
      </c>
      <c r="T23" t="s">
        <v>144</v>
      </c>
      <c r="U23" t="s">
        <v>145</v>
      </c>
      <c r="V23" s="2" t="s">
        <v>146</v>
      </c>
      <c r="W23" s="2" t="s">
        <v>62</v>
      </c>
      <c r="Z23" s="2" t="s">
        <v>93</v>
      </c>
      <c r="AA23" s="2" t="s">
        <v>94</v>
      </c>
      <c r="AB23" s="2" t="s">
        <v>63</v>
      </c>
      <c r="AC23" s="2" t="s">
        <v>64</v>
      </c>
    </row>
    <row r="24" spans="1:29" x14ac:dyDescent="0.35">
      <c r="A24" t="s">
        <v>91</v>
      </c>
      <c r="B24" t="s">
        <v>66</v>
      </c>
      <c r="C24" t="s">
        <v>8</v>
      </c>
      <c r="D24" t="s">
        <v>41</v>
      </c>
      <c r="E24" t="s">
        <v>41</v>
      </c>
      <c r="F24" t="s">
        <v>41</v>
      </c>
      <c r="G24" s="2" t="s">
        <v>8</v>
      </c>
      <c r="H24">
        <v>355912</v>
      </c>
      <c r="I24" s="32" t="s">
        <v>140</v>
      </c>
      <c r="J24" s="2" t="s">
        <v>141</v>
      </c>
      <c r="K24" t="s">
        <v>61</v>
      </c>
      <c r="L24" t="s">
        <v>141</v>
      </c>
      <c r="M24" s="2" t="s">
        <v>75</v>
      </c>
      <c r="N24" t="s">
        <v>142</v>
      </c>
      <c r="O24" t="s">
        <v>116</v>
      </c>
      <c r="P24" s="2" t="s">
        <v>20</v>
      </c>
      <c r="Q24" t="s">
        <v>61</v>
      </c>
      <c r="R24" t="s">
        <v>61</v>
      </c>
      <c r="S24" s="67" t="s">
        <v>143</v>
      </c>
      <c r="T24" t="s">
        <v>144</v>
      </c>
      <c r="U24" t="s">
        <v>145</v>
      </c>
      <c r="V24" s="2" t="s">
        <v>146</v>
      </c>
      <c r="W24" s="2" t="s">
        <v>62</v>
      </c>
      <c r="Z24" s="2" t="s">
        <v>93</v>
      </c>
      <c r="AA24" s="2" t="s">
        <v>94</v>
      </c>
      <c r="AB24" s="2" t="s">
        <v>63</v>
      </c>
      <c r="AC24" s="2" t="s">
        <v>64</v>
      </c>
    </row>
    <row r="25" spans="1:29" x14ac:dyDescent="0.35">
      <c r="A25" t="s">
        <v>91</v>
      </c>
      <c r="B25" t="s">
        <v>66</v>
      </c>
      <c r="C25" t="s">
        <v>8</v>
      </c>
      <c r="D25" t="s">
        <v>41</v>
      </c>
      <c r="E25" t="s">
        <v>41</v>
      </c>
      <c r="F25" t="s">
        <v>41</v>
      </c>
      <c r="G25" s="2" t="s">
        <v>8</v>
      </c>
      <c r="H25">
        <v>355912</v>
      </c>
      <c r="I25" s="32" t="s">
        <v>140</v>
      </c>
      <c r="J25" s="2" t="s">
        <v>141</v>
      </c>
      <c r="K25" t="s">
        <v>61</v>
      </c>
      <c r="L25" t="s">
        <v>141</v>
      </c>
      <c r="M25" s="2" t="s">
        <v>75</v>
      </c>
      <c r="N25" t="s">
        <v>142</v>
      </c>
      <c r="O25" t="s">
        <v>105</v>
      </c>
      <c r="P25" s="2" t="s">
        <v>20</v>
      </c>
      <c r="Q25" t="s">
        <v>61</v>
      </c>
      <c r="R25" t="s">
        <v>61</v>
      </c>
      <c r="S25" s="67" t="s">
        <v>143</v>
      </c>
      <c r="T25" t="s">
        <v>144</v>
      </c>
      <c r="U25" t="s">
        <v>145</v>
      </c>
      <c r="V25" s="2" t="s">
        <v>146</v>
      </c>
      <c r="W25" s="2" t="s">
        <v>62</v>
      </c>
      <c r="Z25" s="2" t="s">
        <v>93</v>
      </c>
      <c r="AA25" s="2" t="s">
        <v>94</v>
      </c>
      <c r="AB25" s="2" t="s">
        <v>63</v>
      </c>
      <c r="AC25" s="2" t="s">
        <v>64</v>
      </c>
    </row>
    <row r="26" spans="1:29" x14ac:dyDescent="0.35">
      <c r="A26" t="s">
        <v>91</v>
      </c>
      <c r="B26" t="s">
        <v>66</v>
      </c>
      <c r="C26" t="s">
        <v>8</v>
      </c>
      <c r="D26" t="s">
        <v>41</v>
      </c>
      <c r="E26" t="s">
        <v>41</v>
      </c>
      <c r="F26" t="s">
        <v>41</v>
      </c>
      <c r="G26" s="2" t="s">
        <v>8</v>
      </c>
      <c r="H26">
        <v>355912</v>
      </c>
      <c r="I26" s="32" t="s">
        <v>140</v>
      </c>
      <c r="J26" s="2" t="s">
        <v>141</v>
      </c>
      <c r="K26" t="s">
        <v>61</v>
      </c>
      <c r="L26" t="s">
        <v>141</v>
      </c>
      <c r="M26" s="2" t="s">
        <v>75</v>
      </c>
      <c r="N26" t="s">
        <v>142</v>
      </c>
      <c r="O26" t="s">
        <v>106</v>
      </c>
      <c r="P26" s="2" t="s">
        <v>20</v>
      </c>
      <c r="Q26" t="s">
        <v>61</v>
      </c>
      <c r="R26" t="s">
        <v>61</v>
      </c>
      <c r="S26" s="67" t="s">
        <v>143</v>
      </c>
      <c r="T26" t="s">
        <v>144</v>
      </c>
      <c r="U26" t="s">
        <v>145</v>
      </c>
      <c r="V26" s="2" t="s">
        <v>146</v>
      </c>
      <c r="W26" s="2" t="s">
        <v>62</v>
      </c>
      <c r="Z26" s="2" t="s">
        <v>93</v>
      </c>
      <c r="AA26" s="2" t="s">
        <v>94</v>
      </c>
      <c r="AB26" s="2" t="s">
        <v>63</v>
      </c>
      <c r="AC26" s="2" t="s">
        <v>64</v>
      </c>
    </row>
    <row r="27" spans="1:29" x14ac:dyDescent="0.35">
      <c r="A27" t="s">
        <v>91</v>
      </c>
      <c r="B27" t="s">
        <v>66</v>
      </c>
      <c r="C27" t="s">
        <v>8</v>
      </c>
      <c r="D27" t="s">
        <v>41</v>
      </c>
      <c r="E27" t="s">
        <v>41</v>
      </c>
      <c r="F27" t="s">
        <v>41</v>
      </c>
      <c r="G27" s="2" t="s">
        <v>8</v>
      </c>
      <c r="H27">
        <v>355912</v>
      </c>
      <c r="I27" s="32" t="s">
        <v>140</v>
      </c>
      <c r="J27" s="2" t="s">
        <v>141</v>
      </c>
      <c r="K27" t="s">
        <v>61</v>
      </c>
      <c r="L27" t="s">
        <v>141</v>
      </c>
      <c r="M27" s="2" t="s">
        <v>75</v>
      </c>
      <c r="N27" t="s">
        <v>142</v>
      </c>
      <c r="O27" t="s">
        <v>107</v>
      </c>
      <c r="P27" s="2" t="s">
        <v>147</v>
      </c>
      <c r="Q27" t="s">
        <v>61</v>
      </c>
      <c r="R27" t="s">
        <v>61</v>
      </c>
      <c r="S27" s="67" t="s">
        <v>143</v>
      </c>
      <c r="T27" t="s">
        <v>144</v>
      </c>
      <c r="U27" t="s">
        <v>145</v>
      </c>
      <c r="V27" s="2" t="s">
        <v>146</v>
      </c>
      <c r="W27" s="2" t="s">
        <v>62</v>
      </c>
      <c r="Z27" s="2" t="s">
        <v>93</v>
      </c>
      <c r="AA27" s="2" t="s">
        <v>94</v>
      </c>
      <c r="AB27" s="2" t="s">
        <v>63</v>
      </c>
      <c r="AC27" s="2" t="s">
        <v>64</v>
      </c>
    </row>
    <row r="28" spans="1:29" x14ac:dyDescent="0.35">
      <c r="A28" t="s">
        <v>91</v>
      </c>
      <c r="B28" t="s">
        <v>66</v>
      </c>
      <c r="C28" t="s">
        <v>8</v>
      </c>
      <c r="D28" t="s">
        <v>41</v>
      </c>
      <c r="E28" t="s">
        <v>41</v>
      </c>
      <c r="F28" t="s">
        <v>41</v>
      </c>
      <c r="G28" s="2" t="s">
        <v>8</v>
      </c>
      <c r="H28">
        <v>355912</v>
      </c>
      <c r="I28" s="32" t="s">
        <v>140</v>
      </c>
      <c r="J28" s="2" t="s">
        <v>141</v>
      </c>
      <c r="K28" t="s">
        <v>61</v>
      </c>
      <c r="L28" t="s">
        <v>141</v>
      </c>
      <c r="M28" s="2" t="s">
        <v>75</v>
      </c>
      <c r="N28" t="s">
        <v>142</v>
      </c>
      <c r="O28" t="s">
        <v>108</v>
      </c>
      <c r="P28" s="2" t="s">
        <v>150</v>
      </c>
      <c r="Q28" t="s">
        <v>61</v>
      </c>
      <c r="R28" t="s">
        <v>61</v>
      </c>
      <c r="S28" s="67" t="s">
        <v>143</v>
      </c>
      <c r="T28" t="s">
        <v>144</v>
      </c>
      <c r="U28" t="s">
        <v>145</v>
      </c>
      <c r="V28" s="2" t="s">
        <v>146</v>
      </c>
      <c r="W28" s="2" t="s">
        <v>62</v>
      </c>
      <c r="Z28" s="2" t="s">
        <v>93</v>
      </c>
      <c r="AA28" s="2" t="s">
        <v>94</v>
      </c>
      <c r="AB28" s="2" t="s">
        <v>63</v>
      </c>
      <c r="AC28" s="2" t="s">
        <v>64</v>
      </c>
    </row>
    <row r="29" spans="1:29" x14ac:dyDescent="0.35">
      <c r="A29" t="s">
        <v>91</v>
      </c>
      <c r="B29" t="s">
        <v>151</v>
      </c>
      <c r="C29" t="s">
        <v>152</v>
      </c>
      <c r="D29" t="s">
        <v>15</v>
      </c>
      <c r="E29" t="s">
        <v>15</v>
      </c>
      <c r="F29" t="s">
        <v>15</v>
      </c>
      <c r="G29" s="2" t="s">
        <v>151</v>
      </c>
      <c r="H29">
        <v>455609</v>
      </c>
      <c r="I29" s="32" t="s">
        <v>153</v>
      </c>
      <c r="J29" s="2" t="s">
        <v>154</v>
      </c>
      <c r="K29" t="s">
        <v>61</v>
      </c>
      <c r="L29" t="s">
        <v>154</v>
      </c>
      <c r="M29" s="2" t="s">
        <v>75</v>
      </c>
      <c r="N29" t="s">
        <v>142</v>
      </c>
      <c r="O29" t="s">
        <v>99</v>
      </c>
      <c r="P29" s="2" t="s">
        <v>20</v>
      </c>
      <c r="Q29" t="s">
        <v>61</v>
      </c>
      <c r="R29" t="s">
        <v>61</v>
      </c>
      <c r="S29" s="67" t="s">
        <v>155</v>
      </c>
      <c r="T29" t="s">
        <v>156</v>
      </c>
      <c r="U29" t="s">
        <v>157</v>
      </c>
      <c r="V29" s="2" t="s">
        <v>158</v>
      </c>
      <c r="W29" s="2" t="s">
        <v>62</v>
      </c>
      <c r="Z29" s="2" t="s">
        <v>159</v>
      </c>
      <c r="AA29" s="2" t="s">
        <v>160</v>
      </c>
      <c r="AB29" s="2" t="s">
        <v>63</v>
      </c>
      <c r="AC29" s="2" t="s">
        <v>64</v>
      </c>
    </row>
    <row r="30" spans="1:29" x14ac:dyDescent="0.35">
      <c r="A30" t="s">
        <v>91</v>
      </c>
      <c r="B30" t="s">
        <v>151</v>
      </c>
      <c r="C30" t="s">
        <v>152</v>
      </c>
      <c r="D30" t="s">
        <v>15</v>
      </c>
      <c r="E30" t="s">
        <v>15</v>
      </c>
      <c r="F30" t="s">
        <v>15</v>
      </c>
      <c r="G30" s="2" t="s">
        <v>151</v>
      </c>
      <c r="H30">
        <v>455609</v>
      </c>
      <c r="I30" s="32" t="s">
        <v>153</v>
      </c>
      <c r="J30" s="2" t="s">
        <v>154</v>
      </c>
      <c r="K30" t="s">
        <v>61</v>
      </c>
      <c r="L30" t="s">
        <v>154</v>
      </c>
      <c r="M30" s="2" t="s">
        <v>75</v>
      </c>
      <c r="N30" t="s">
        <v>142</v>
      </c>
      <c r="O30" t="s">
        <v>83</v>
      </c>
      <c r="P30" s="2" t="s">
        <v>20</v>
      </c>
      <c r="Q30" t="s">
        <v>61</v>
      </c>
      <c r="R30" t="s">
        <v>61</v>
      </c>
      <c r="S30" s="67" t="s">
        <v>155</v>
      </c>
      <c r="T30" t="s">
        <v>156</v>
      </c>
      <c r="U30" t="s">
        <v>157</v>
      </c>
      <c r="V30" s="2" t="s">
        <v>158</v>
      </c>
      <c r="W30" s="2" t="s">
        <v>62</v>
      </c>
      <c r="Z30" s="2" t="s">
        <v>159</v>
      </c>
      <c r="AA30" s="2" t="s">
        <v>160</v>
      </c>
      <c r="AB30" s="2" t="s">
        <v>63</v>
      </c>
      <c r="AC30" s="2" t="s">
        <v>64</v>
      </c>
    </row>
    <row r="31" spans="1:29" x14ac:dyDescent="0.35">
      <c r="A31" t="s">
        <v>91</v>
      </c>
      <c r="B31" t="s">
        <v>151</v>
      </c>
      <c r="C31" t="s">
        <v>152</v>
      </c>
      <c r="D31" t="s">
        <v>15</v>
      </c>
      <c r="E31" t="s">
        <v>15</v>
      </c>
      <c r="F31" t="s">
        <v>15</v>
      </c>
      <c r="G31" s="2" t="s">
        <v>151</v>
      </c>
      <c r="H31">
        <v>455609</v>
      </c>
      <c r="I31" s="32" t="s">
        <v>153</v>
      </c>
      <c r="J31" s="2" t="s">
        <v>154</v>
      </c>
      <c r="K31" t="s">
        <v>61</v>
      </c>
      <c r="L31" t="s">
        <v>154</v>
      </c>
      <c r="M31" s="2" t="s">
        <v>75</v>
      </c>
      <c r="N31" t="s">
        <v>142</v>
      </c>
      <c r="O31" t="s">
        <v>84</v>
      </c>
      <c r="P31" s="2" t="s">
        <v>20</v>
      </c>
      <c r="Q31" t="s">
        <v>61</v>
      </c>
      <c r="R31" t="s">
        <v>61</v>
      </c>
      <c r="S31" s="67" t="s">
        <v>155</v>
      </c>
      <c r="T31" t="s">
        <v>156</v>
      </c>
      <c r="U31" t="s">
        <v>157</v>
      </c>
      <c r="V31" s="2" t="s">
        <v>158</v>
      </c>
      <c r="W31" s="2" t="s">
        <v>62</v>
      </c>
      <c r="Z31" s="2" t="s">
        <v>159</v>
      </c>
      <c r="AA31" s="2" t="s">
        <v>160</v>
      </c>
      <c r="AB31" s="2" t="s">
        <v>63</v>
      </c>
      <c r="AC31" s="2" t="s">
        <v>64</v>
      </c>
    </row>
    <row r="32" spans="1:29" x14ac:dyDescent="0.35">
      <c r="A32" t="s">
        <v>91</v>
      </c>
      <c r="B32" t="s">
        <v>151</v>
      </c>
      <c r="C32" t="s">
        <v>152</v>
      </c>
      <c r="D32" t="s">
        <v>15</v>
      </c>
      <c r="E32" t="s">
        <v>15</v>
      </c>
      <c r="F32" t="s">
        <v>15</v>
      </c>
      <c r="G32" s="2" t="s">
        <v>151</v>
      </c>
      <c r="H32">
        <v>455609</v>
      </c>
      <c r="I32" s="32" t="s">
        <v>153</v>
      </c>
      <c r="J32" s="2" t="s">
        <v>154</v>
      </c>
      <c r="K32" t="s">
        <v>61</v>
      </c>
      <c r="L32" t="s">
        <v>154</v>
      </c>
      <c r="M32" s="2" t="s">
        <v>75</v>
      </c>
      <c r="N32" t="s">
        <v>142</v>
      </c>
      <c r="O32" t="s">
        <v>100</v>
      </c>
      <c r="P32" s="2" t="s">
        <v>20</v>
      </c>
      <c r="Q32" t="s">
        <v>61</v>
      </c>
      <c r="R32" t="s">
        <v>61</v>
      </c>
      <c r="S32" s="67" t="s">
        <v>155</v>
      </c>
      <c r="T32" t="s">
        <v>156</v>
      </c>
      <c r="U32" t="s">
        <v>157</v>
      </c>
      <c r="V32" s="2" t="s">
        <v>158</v>
      </c>
      <c r="W32" s="2" t="s">
        <v>62</v>
      </c>
      <c r="Z32" s="2" t="s">
        <v>159</v>
      </c>
      <c r="AA32" s="2" t="s">
        <v>160</v>
      </c>
      <c r="AB32" s="2" t="s">
        <v>63</v>
      </c>
      <c r="AC32" s="2" t="s">
        <v>64</v>
      </c>
    </row>
    <row r="33" spans="1:29" x14ac:dyDescent="0.35">
      <c r="A33" t="s">
        <v>91</v>
      </c>
      <c r="B33" t="s">
        <v>151</v>
      </c>
      <c r="C33" t="s">
        <v>152</v>
      </c>
      <c r="D33" t="s">
        <v>15</v>
      </c>
      <c r="E33" t="s">
        <v>15</v>
      </c>
      <c r="F33" t="s">
        <v>15</v>
      </c>
      <c r="G33" s="2" t="s">
        <v>151</v>
      </c>
      <c r="H33">
        <v>455609</v>
      </c>
      <c r="I33" s="32" t="s">
        <v>153</v>
      </c>
      <c r="J33" s="2" t="s">
        <v>154</v>
      </c>
      <c r="K33" t="s">
        <v>61</v>
      </c>
      <c r="L33" t="s">
        <v>154</v>
      </c>
      <c r="M33" s="2" t="s">
        <v>75</v>
      </c>
      <c r="N33" t="s">
        <v>142</v>
      </c>
      <c r="O33" t="s">
        <v>35</v>
      </c>
      <c r="P33" s="2" t="s">
        <v>20</v>
      </c>
      <c r="Q33" t="s">
        <v>61</v>
      </c>
      <c r="R33" t="s">
        <v>61</v>
      </c>
      <c r="S33" s="67" t="s">
        <v>155</v>
      </c>
      <c r="T33" t="s">
        <v>156</v>
      </c>
      <c r="U33" t="s">
        <v>157</v>
      </c>
      <c r="V33" s="2" t="s">
        <v>158</v>
      </c>
      <c r="W33" s="2" t="s">
        <v>62</v>
      </c>
      <c r="Z33" s="2" t="s">
        <v>159</v>
      </c>
      <c r="AA33" s="2" t="s">
        <v>160</v>
      </c>
      <c r="AB33" s="2" t="s">
        <v>63</v>
      </c>
      <c r="AC33" s="2" t="s">
        <v>64</v>
      </c>
    </row>
    <row r="34" spans="1:29" x14ac:dyDescent="0.35">
      <c r="A34" t="s">
        <v>91</v>
      </c>
      <c r="B34" t="s">
        <v>151</v>
      </c>
      <c r="C34" t="s">
        <v>152</v>
      </c>
      <c r="D34" t="s">
        <v>15</v>
      </c>
      <c r="E34" t="s">
        <v>15</v>
      </c>
      <c r="F34" t="s">
        <v>15</v>
      </c>
      <c r="G34" s="2" t="s">
        <v>151</v>
      </c>
      <c r="H34">
        <v>455609</v>
      </c>
      <c r="I34" s="32" t="s">
        <v>153</v>
      </c>
      <c r="J34" s="2" t="s">
        <v>154</v>
      </c>
      <c r="K34" t="s">
        <v>61</v>
      </c>
      <c r="L34" t="s">
        <v>154</v>
      </c>
      <c r="M34" s="2" t="s">
        <v>75</v>
      </c>
      <c r="N34" t="s">
        <v>142</v>
      </c>
      <c r="O34" t="s">
        <v>101</v>
      </c>
      <c r="P34" s="2" t="s">
        <v>147</v>
      </c>
      <c r="Q34" t="s">
        <v>61</v>
      </c>
      <c r="R34" t="s">
        <v>61</v>
      </c>
      <c r="S34" s="67" t="s">
        <v>155</v>
      </c>
      <c r="T34" t="s">
        <v>156</v>
      </c>
      <c r="U34" t="s">
        <v>157</v>
      </c>
      <c r="V34" s="2" t="s">
        <v>158</v>
      </c>
      <c r="W34" s="2" t="s">
        <v>62</v>
      </c>
      <c r="Z34" s="2" t="s">
        <v>159</v>
      </c>
      <c r="AA34" s="2" t="s">
        <v>160</v>
      </c>
      <c r="AB34" s="2" t="s">
        <v>63</v>
      </c>
      <c r="AC34" s="2" t="s">
        <v>64</v>
      </c>
    </row>
    <row r="35" spans="1:29" x14ac:dyDescent="0.35">
      <c r="A35" t="s">
        <v>91</v>
      </c>
      <c r="B35" t="s">
        <v>151</v>
      </c>
      <c r="C35" t="s">
        <v>152</v>
      </c>
      <c r="D35" t="s">
        <v>15</v>
      </c>
      <c r="E35" t="s">
        <v>15</v>
      </c>
      <c r="F35" t="s">
        <v>15</v>
      </c>
      <c r="G35" s="2" t="s">
        <v>151</v>
      </c>
      <c r="H35">
        <v>455609</v>
      </c>
      <c r="I35" s="32" t="s">
        <v>153</v>
      </c>
      <c r="J35" s="2" t="s">
        <v>154</v>
      </c>
      <c r="K35" t="s">
        <v>61</v>
      </c>
      <c r="L35" t="s">
        <v>154</v>
      </c>
      <c r="M35" s="2" t="s">
        <v>75</v>
      </c>
      <c r="N35" t="s">
        <v>142</v>
      </c>
      <c r="O35" t="s">
        <v>85</v>
      </c>
      <c r="P35" s="2" t="s">
        <v>20</v>
      </c>
      <c r="Q35" t="s">
        <v>61</v>
      </c>
      <c r="R35" t="s">
        <v>61</v>
      </c>
      <c r="S35" s="67" t="s">
        <v>155</v>
      </c>
      <c r="T35" t="s">
        <v>156</v>
      </c>
      <c r="U35" t="s">
        <v>157</v>
      </c>
      <c r="V35" s="2" t="s">
        <v>158</v>
      </c>
      <c r="W35" s="2" t="s">
        <v>62</v>
      </c>
      <c r="Z35" s="2" t="s">
        <v>159</v>
      </c>
      <c r="AA35" s="2" t="s">
        <v>160</v>
      </c>
      <c r="AB35" s="2" t="s">
        <v>63</v>
      </c>
      <c r="AC35" s="2" t="s">
        <v>64</v>
      </c>
    </row>
    <row r="36" spans="1:29" x14ac:dyDescent="0.35">
      <c r="A36" t="s">
        <v>91</v>
      </c>
      <c r="B36" t="s">
        <v>151</v>
      </c>
      <c r="C36" t="s">
        <v>152</v>
      </c>
      <c r="D36" t="s">
        <v>15</v>
      </c>
      <c r="E36" t="s">
        <v>15</v>
      </c>
      <c r="F36" t="s">
        <v>15</v>
      </c>
      <c r="G36" s="2" t="s">
        <v>151</v>
      </c>
      <c r="H36">
        <v>455609</v>
      </c>
      <c r="I36" s="32" t="s">
        <v>153</v>
      </c>
      <c r="J36" s="2" t="s">
        <v>154</v>
      </c>
      <c r="K36" t="s">
        <v>61</v>
      </c>
      <c r="L36" t="s">
        <v>154</v>
      </c>
      <c r="M36" s="2" t="s">
        <v>75</v>
      </c>
      <c r="N36" t="s">
        <v>142</v>
      </c>
      <c r="O36" t="s">
        <v>86</v>
      </c>
      <c r="P36" s="2" t="s">
        <v>20</v>
      </c>
      <c r="Q36" t="s">
        <v>61</v>
      </c>
      <c r="R36" t="s">
        <v>61</v>
      </c>
      <c r="S36" s="67" t="s">
        <v>155</v>
      </c>
      <c r="T36" t="s">
        <v>156</v>
      </c>
      <c r="U36" t="s">
        <v>157</v>
      </c>
      <c r="V36" s="2" t="s">
        <v>158</v>
      </c>
      <c r="W36" s="2" t="s">
        <v>62</v>
      </c>
      <c r="Z36" s="2" t="s">
        <v>159</v>
      </c>
      <c r="AA36" s="2" t="s">
        <v>160</v>
      </c>
      <c r="AB36" s="2" t="s">
        <v>63</v>
      </c>
      <c r="AC36" s="2" t="s">
        <v>64</v>
      </c>
    </row>
    <row r="37" spans="1:29" x14ac:dyDescent="0.35">
      <c r="A37" t="s">
        <v>91</v>
      </c>
      <c r="B37" t="s">
        <v>151</v>
      </c>
      <c r="C37" t="s">
        <v>152</v>
      </c>
      <c r="D37" t="s">
        <v>15</v>
      </c>
      <c r="E37" t="s">
        <v>15</v>
      </c>
      <c r="F37" t="s">
        <v>15</v>
      </c>
      <c r="G37" s="2" t="s">
        <v>151</v>
      </c>
      <c r="H37">
        <v>455609</v>
      </c>
      <c r="I37" s="32" t="s">
        <v>153</v>
      </c>
      <c r="J37" s="2" t="s">
        <v>154</v>
      </c>
      <c r="K37" t="s">
        <v>61</v>
      </c>
      <c r="L37" t="s">
        <v>154</v>
      </c>
      <c r="M37" s="2" t="s">
        <v>75</v>
      </c>
      <c r="N37" t="s">
        <v>142</v>
      </c>
      <c r="O37" t="s">
        <v>87</v>
      </c>
      <c r="P37" s="2" t="s">
        <v>147</v>
      </c>
      <c r="Q37" t="s">
        <v>61</v>
      </c>
      <c r="R37" t="s">
        <v>61</v>
      </c>
      <c r="S37" s="67" t="s">
        <v>155</v>
      </c>
      <c r="T37" t="s">
        <v>156</v>
      </c>
      <c r="U37" t="s">
        <v>157</v>
      </c>
      <c r="V37" s="2" t="s">
        <v>158</v>
      </c>
      <c r="W37" s="2" t="s">
        <v>62</v>
      </c>
      <c r="Z37" s="2" t="s">
        <v>159</v>
      </c>
      <c r="AA37" s="2" t="s">
        <v>160</v>
      </c>
      <c r="AB37" s="2" t="s">
        <v>63</v>
      </c>
      <c r="AC37" s="2" t="s">
        <v>64</v>
      </c>
    </row>
    <row r="38" spans="1:29" x14ac:dyDescent="0.35">
      <c r="A38" t="s">
        <v>91</v>
      </c>
      <c r="B38" t="s">
        <v>151</v>
      </c>
      <c r="C38" t="s">
        <v>152</v>
      </c>
      <c r="D38" t="s">
        <v>15</v>
      </c>
      <c r="E38" t="s">
        <v>15</v>
      </c>
      <c r="F38" t="s">
        <v>15</v>
      </c>
      <c r="G38" s="2" t="s">
        <v>151</v>
      </c>
      <c r="H38">
        <v>455609</v>
      </c>
      <c r="I38" s="32" t="s">
        <v>153</v>
      </c>
      <c r="J38" s="2" t="s">
        <v>154</v>
      </c>
      <c r="K38" t="s">
        <v>61</v>
      </c>
      <c r="L38" t="s">
        <v>154</v>
      </c>
      <c r="M38" s="2" t="s">
        <v>75</v>
      </c>
      <c r="N38" t="s">
        <v>142</v>
      </c>
      <c r="O38" t="s">
        <v>88</v>
      </c>
      <c r="P38" s="2" t="s">
        <v>147</v>
      </c>
      <c r="Q38" t="s">
        <v>61</v>
      </c>
      <c r="R38" t="s">
        <v>61</v>
      </c>
      <c r="S38" s="67" t="s">
        <v>155</v>
      </c>
      <c r="T38" t="s">
        <v>156</v>
      </c>
      <c r="U38" t="s">
        <v>157</v>
      </c>
      <c r="V38" s="2" t="s">
        <v>158</v>
      </c>
      <c r="W38" s="2" t="s">
        <v>62</v>
      </c>
      <c r="Z38" s="2" t="s">
        <v>159</v>
      </c>
      <c r="AA38" s="2" t="s">
        <v>160</v>
      </c>
      <c r="AB38" s="2" t="s">
        <v>63</v>
      </c>
      <c r="AC38" s="2" t="s">
        <v>64</v>
      </c>
    </row>
    <row r="39" spans="1:29" x14ac:dyDescent="0.35">
      <c r="A39" t="s">
        <v>91</v>
      </c>
      <c r="B39" t="s">
        <v>151</v>
      </c>
      <c r="C39" t="s">
        <v>152</v>
      </c>
      <c r="D39" t="s">
        <v>15</v>
      </c>
      <c r="E39" t="s">
        <v>15</v>
      </c>
      <c r="F39" t="s">
        <v>15</v>
      </c>
      <c r="G39" s="2" t="s">
        <v>151</v>
      </c>
      <c r="H39">
        <v>455609</v>
      </c>
      <c r="I39" s="32" t="s">
        <v>153</v>
      </c>
      <c r="J39" s="2" t="s">
        <v>154</v>
      </c>
      <c r="K39" t="s">
        <v>61</v>
      </c>
      <c r="L39" t="s">
        <v>154</v>
      </c>
      <c r="M39" s="2" t="s">
        <v>75</v>
      </c>
      <c r="N39" t="s">
        <v>142</v>
      </c>
      <c r="O39" t="s">
        <v>89</v>
      </c>
      <c r="P39" s="2" t="s">
        <v>147</v>
      </c>
      <c r="Q39" t="s">
        <v>61</v>
      </c>
      <c r="R39" t="s">
        <v>61</v>
      </c>
      <c r="S39" s="67" t="s">
        <v>155</v>
      </c>
      <c r="T39" t="s">
        <v>156</v>
      </c>
      <c r="U39" t="s">
        <v>157</v>
      </c>
      <c r="V39" s="2" t="s">
        <v>158</v>
      </c>
      <c r="W39" s="2" t="s">
        <v>62</v>
      </c>
      <c r="Z39" s="2" t="s">
        <v>159</v>
      </c>
      <c r="AA39" s="2" t="s">
        <v>160</v>
      </c>
      <c r="AB39" s="2" t="s">
        <v>63</v>
      </c>
      <c r="AC39" s="2" t="s">
        <v>64</v>
      </c>
    </row>
    <row r="40" spans="1:29" x14ac:dyDescent="0.35">
      <c r="A40" t="s">
        <v>91</v>
      </c>
      <c r="B40" t="s">
        <v>151</v>
      </c>
      <c r="C40" t="s">
        <v>152</v>
      </c>
      <c r="D40" t="s">
        <v>15</v>
      </c>
      <c r="E40" t="s">
        <v>15</v>
      </c>
      <c r="F40" t="s">
        <v>15</v>
      </c>
      <c r="G40" s="2" t="s">
        <v>151</v>
      </c>
      <c r="H40">
        <v>455609</v>
      </c>
      <c r="I40" s="32" t="s">
        <v>153</v>
      </c>
      <c r="J40" s="2" t="s">
        <v>154</v>
      </c>
      <c r="K40" t="s">
        <v>61</v>
      </c>
      <c r="L40" t="s">
        <v>154</v>
      </c>
      <c r="M40" s="2" t="s">
        <v>75</v>
      </c>
      <c r="N40" t="s">
        <v>142</v>
      </c>
      <c r="O40" t="s">
        <v>90</v>
      </c>
      <c r="P40" s="2" t="s">
        <v>147</v>
      </c>
      <c r="Q40" t="s">
        <v>61</v>
      </c>
      <c r="R40" t="s">
        <v>61</v>
      </c>
      <c r="S40" s="67" t="s">
        <v>155</v>
      </c>
      <c r="T40" t="s">
        <v>156</v>
      </c>
      <c r="U40" t="s">
        <v>157</v>
      </c>
      <c r="V40" s="2" t="s">
        <v>158</v>
      </c>
      <c r="W40" s="2" t="s">
        <v>62</v>
      </c>
      <c r="Z40" s="2" t="s">
        <v>159</v>
      </c>
      <c r="AA40" s="2" t="s">
        <v>160</v>
      </c>
      <c r="AB40" s="2" t="s">
        <v>63</v>
      </c>
      <c r="AC40" s="2" t="s">
        <v>64</v>
      </c>
    </row>
    <row r="41" spans="1:29" x14ac:dyDescent="0.35">
      <c r="A41" t="s">
        <v>91</v>
      </c>
      <c r="B41" t="s">
        <v>151</v>
      </c>
      <c r="C41" t="s">
        <v>152</v>
      </c>
      <c r="D41" t="s">
        <v>15</v>
      </c>
      <c r="E41" t="s">
        <v>15</v>
      </c>
      <c r="F41" t="s">
        <v>15</v>
      </c>
      <c r="G41" s="2" t="s">
        <v>151</v>
      </c>
      <c r="H41">
        <v>455609</v>
      </c>
      <c r="I41" s="32" t="s">
        <v>153</v>
      </c>
      <c r="J41" s="2" t="s">
        <v>154</v>
      </c>
      <c r="K41" t="s">
        <v>61</v>
      </c>
      <c r="L41" t="s">
        <v>154</v>
      </c>
      <c r="M41" s="2" t="s">
        <v>75</v>
      </c>
      <c r="N41" t="s">
        <v>142</v>
      </c>
      <c r="O41" t="s">
        <v>117</v>
      </c>
      <c r="P41" s="2" t="s">
        <v>20</v>
      </c>
      <c r="Q41" t="s">
        <v>61</v>
      </c>
      <c r="R41" t="s">
        <v>61</v>
      </c>
      <c r="S41" s="67" t="s">
        <v>155</v>
      </c>
      <c r="T41" t="s">
        <v>156</v>
      </c>
      <c r="U41" t="s">
        <v>157</v>
      </c>
      <c r="V41" s="2" t="s">
        <v>158</v>
      </c>
      <c r="W41" s="2" t="s">
        <v>62</v>
      </c>
      <c r="Z41" s="2" t="s">
        <v>159</v>
      </c>
      <c r="AA41" s="2" t="s">
        <v>160</v>
      </c>
      <c r="AB41" s="2" t="s">
        <v>63</v>
      </c>
      <c r="AC41" s="2" t="s">
        <v>64</v>
      </c>
    </row>
    <row r="42" spans="1:29" x14ac:dyDescent="0.35">
      <c r="A42" t="s">
        <v>91</v>
      </c>
      <c r="B42" t="s">
        <v>151</v>
      </c>
      <c r="C42" t="s">
        <v>152</v>
      </c>
      <c r="D42" t="s">
        <v>15</v>
      </c>
      <c r="E42" t="s">
        <v>15</v>
      </c>
      <c r="F42" t="s">
        <v>15</v>
      </c>
      <c r="G42" s="2" t="s">
        <v>151</v>
      </c>
      <c r="H42">
        <v>455609</v>
      </c>
      <c r="I42" s="32" t="s">
        <v>153</v>
      </c>
      <c r="J42" s="2" t="s">
        <v>154</v>
      </c>
      <c r="K42" t="s">
        <v>61</v>
      </c>
      <c r="L42" t="s">
        <v>154</v>
      </c>
      <c r="M42" s="2" t="s">
        <v>75</v>
      </c>
      <c r="N42" t="s">
        <v>142</v>
      </c>
      <c r="O42" t="s">
        <v>110</v>
      </c>
      <c r="P42" s="2" t="s">
        <v>20</v>
      </c>
      <c r="Q42" t="s">
        <v>61</v>
      </c>
      <c r="R42" t="s">
        <v>61</v>
      </c>
      <c r="S42" s="67" t="s">
        <v>155</v>
      </c>
      <c r="T42" t="s">
        <v>156</v>
      </c>
      <c r="U42" t="s">
        <v>157</v>
      </c>
      <c r="V42" s="2" t="s">
        <v>158</v>
      </c>
      <c r="W42" s="2" t="s">
        <v>62</v>
      </c>
      <c r="Z42" s="2" t="s">
        <v>159</v>
      </c>
      <c r="AA42" s="2" t="s">
        <v>160</v>
      </c>
      <c r="AB42" s="2" t="s">
        <v>63</v>
      </c>
      <c r="AC42" s="2" t="s">
        <v>64</v>
      </c>
    </row>
    <row r="43" spans="1:29" x14ac:dyDescent="0.35">
      <c r="A43" t="s">
        <v>91</v>
      </c>
      <c r="B43" t="s">
        <v>151</v>
      </c>
      <c r="C43" t="s">
        <v>152</v>
      </c>
      <c r="D43" t="s">
        <v>15</v>
      </c>
      <c r="E43" t="s">
        <v>15</v>
      </c>
      <c r="F43" t="s">
        <v>15</v>
      </c>
      <c r="G43" s="2" t="s">
        <v>151</v>
      </c>
      <c r="H43">
        <v>455609</v>
      </c>
      <c r="I43" s="32" t="s">
        <v>153</v>
      </c>
      <c r="J43" s="2" t="s">
        <v>154</v>
      </c>
      <c r="K43" t="s">
        <v>61</v>
      </c>
      <c r="L43" t="s">
        <v>154</v>
      </c>
      <c r="M43" s="2" t="s">
        <v>75</v>
      </c>
      <c r="N43" t="s">
        <v>142</v>
      </c>
      <c r="O43" t="s">
        <v>118</v>
      </c>
      <c r="P43" s="2" t="s">
        <v>20</v>
      </c>
      <c r="Q43" t="s">
        <v>61</v>
      </c>
      <c r="R43" t="s">
        <v>61</v>
      </c>
      <c r="S43" s="67" t="s">
        <v>155</v>
      </c>
      <c r="T43" t="s">
        <v>156</v>
      </c>
      <c r="U43" t="s">
        <v>157</v>
      </c>
      <c r="V43" s="2" t="s">
        <v>158</v>
      </c>
      <c r="W43" s="2" t="s">
        <v>62</v>
      </c>
      <c r="Z43" s="2" t="s">
        <v>159</v>
      </c>
      <c r="AA43" s="2" t="s">
        <v>160</v>
      </c>
      <c r="AB43" s="2" t="s">
        <v>63</v>
      </c>
      <c r="AC43" s="2" t="s">
        <v>64</v>
      </c>
    </row>
    <row r="44" spans="1:29" x14ac:dyDescent="0.35">
      <c r="A44" t="s">
        <v>91</v>
      </c>
      <c r="B44" t="s">
        <v>151</v>
      </c>
      <c r="C44" t="s">
        <v>152</v>
      </c>
      <c r="D44" t="s">
        <v>15</v>
      </c>
      <c r="E44" t="s">
        <v>15</v>
      </c>
      <c r="F44" t="s">
        <v>15</v>
      </c>
      <c r="G44" s="2" t="s">
        <v>151</v>
      </c>
      <c r="H44">
        <v>455609</v>
      </c>
      <c r="I44" s="32" t="s">
        <v>153</v>
      </c>
      <c r="J44" s="2" t="s">
        <v>154</v>
      </c>
      <c r="K44" t="s">
        <v>61</v>
      </c>
      <c r="L44" t="s">
        <v>154</v>
      </c>
      <c r="M44" s="2" t="s">
        <v>75</v>
      </c>
      <c r="N44" t="s">
        <v>142</v>
      </c>
      <c r="O44" t="s">
        <v>119</v>
      </c>
      <c r="P44" s="2" t="s">
        <v>209</v>
      </c>
      <c r="Q44" t="s">
        <v>61</v>
      </c>
      <c r="R44" t="s">
        <v>61</v>
      </c>
      <c r="S44" s="67" t="s">
        <v>155</v>
      </c>
      <c r="T44" t="s">
        <v>156</v>
      </c>
      <c r="U44" t="s">
        <v>157</v>
      </c>
      <c r="V44" s="2" t="s">
        <v>158</v>
      </c>
      <c r="W44" s="2" t="s">
        <v>62</v>
      </c>
      <c r="Z44" s="2" t="s">
        <v>159</v>
      </c>
      <c r="AA44" s="2" t="s">
        <v>160</v>
      </c>
      <c r="AB44" s="2" t="s">
        <v>63</v>
      </c>
      <c r="AC44" s="2" t="s">
        <v>64</v>
      </c>
    </row>
    <row r="45" spans="1:29" x14ac:dyDescent="0.35">
      <c r="A45" t="s">
        <v>91</v>
      </c>
      <c r="B45" t="s">
        <v>151</v>
      </c>
      <c r="C45" t="s">
        <v>152</v>
      </c>
      <c r="D45" t="s">
        <v>15</v>
      </c>
      <c r="E45" t="s">
        <v>15</v>
      </c>
      <c r="F45" t="s">
        <v>15</v>
      </c>
      <c r="G45" s="2" t="s">
        <v>151</v>
      </c>
      <c r="H45">
        <v>455609</v>
      </c>
      <c r="I45" s="32" t="s">
        <v>153</v>
      </c>
      <c r="J45" s="2" t="s">
        <v>154</v>
      </c>
      <c r="K45" t="s">
        <v>61</v>
      </c>
      <c r="L45" t="s">
        <v>154</v>
      </c>
      <c r="M45" s="2" t="s">
        <v>75</v>
      </c>
      <c r="N45" t="s">
        <v>142</v>
      </c>
      <c r="O45" t="s">
        <v>120</v>
      </c>
      <c r="P45" s="2" t="s">
        <v>20</v>
      </c>
      <c r="Q45" t="s">
        <v>61</v>
      </c>
      <c r="R45" t="s">
        <v>61</v>
      </c>
      <c r="S45" s="67" t="s">
        <v>155</v>
      </c>
      <c r="T45" t="s">
        <v>156</v>
      </c>
      <c r="U45" t="s">
        <v>157</v>
      </c>
      <c r="V45" s="2" t="s">
        <v>158</v>
      </c>
      <c r="W45" s="2" t="s">
        <v>62</v>
      </c>
      <c r="Z45" s="2" t="s">
        <v>159</v>
      </c>
      <c r="AA45" s="2" t="s">
        <v>160</v>
      </c>
      <c r="AB45" s="2" t="s">
        <v>63</v>
      </c>
      <c r="AC45" s="2" t="s">
        <v>64</v>
      </c>
    </row>
    <row r="46" spans="1:29" x14ac:dyDescent="0.35">
      <c r="A46" t="s">
        <v>91</v>
      </c>
      <c r="B46" t="s">
        <v>151</v>
      </c>
      <c r="C46" t="s">
        <v>152</v>
      </c>
      <c r="D46" t="s">
        <v>15</v>
      </c>
      <c r="E46" t="s">
        <v>15</v>
      </c>
      <c r="F46" t="s">
        <v>15</v>
      </c>
      <c r="G46" s="2" t="s">
        <v>151</v>
      </c>
      <c r="H46">
        <v>455609</v>
      </c>
      <c r="I46" s="32" t="s">
        <v>153</v>
      </c>
      <c r="J46" s="2" t="s">
        <v>154</v>
      </c>
      <c r="K46" t="s">
        <v>61</v>
      </c>
      <c r="L46" t="s">
        <v>154</v>
      </c>
      <c r="M46" s="2" t="s">
        <v>75</v>
      </c>
      <c r="N46" t="s">
        <v>142</v>
      </c>
      <c r="O46" t="s">
        <v>121</v>
      </c>
      <c r="P46" s="2" t="s">
        <v>20</v>
      </c>
      <c r="Q46" t="s">
        <v>61</v>
      </c>
      <c r="R46" t="s">
        <v>61</v>
      </c>
      <c r="S46" s="67" t="s">
        <v>155</v>
      </c>
      <c r="T46" t="s">
        <v>156</v>
      </c>
      <c r="U46" t="s">
        <v>157</v>
      </c>
      <c r="V46" s="2" t="s">
        <v>158</v>
      </c>
      <c r="W46" s="2" t="s">
        <v>62</v>
      </c>
      <c r="Z46" s="2" t="s">
        <v>159</v>
      </c>
      <c r="AA46" s="2" t="s">
        <v>160</v>
      </c>
      <c r="AB46" s="2" t="s">
        <v>63</v>
      </c>
      <c r="AC46" s="2" t="s">
        <v>64</v>
      </c>
    </row>
    <row r="47" spans="1:29" x14ac:dyDescent="0.35">
      <c r="A47" t="s">
        <v>91</v>
      </c>
      <c r="B47" t="s">
        <v>151</v>
      </c>
      <c r="C47" t="s">
        <v>152</v>
      </c>
      <c r="D47" t="s">
        <v>15</v>
      </c>
      <c r="E47" t="s">
        <v>15</v>
      </c>
      <c r="F47" t="s">
        <v>15</v>
      </c>
      <c r="G47" s="2" t="s">
        <v>151</v>
      </c>
      <c r="H47">
        <v>455609</v>
      </c>
      <c r="I47" s="32" t="s">
        <v>153</v>
      </c>
      <c r="J47" s="2" t="s">
        <v>154</v>
      </c>
      <c r="K47" t="s">
        <v>61</v>
      </c>
      <c r="L47" t="s">
        <v>154</v>
      </c>
      <c r="M47" s="2" t="s">
        <v>75</v>
      </c>
      <c r="N47" t="s">
        <v>142</v>
      </c>
      <c r="O47" t="s">
        <v>128</v>
      </c>
      <c r="P47" s="2" t="s">
        <v>20</v>
      </c>
      <c r="Q47" t="s">
        <v>61</v>
      </c>
      <c r="R47" t="s">
        <v>61</v>
      </c>
      <c r="S47" s="67" t="s">
        <v>155</v>
      </c>
      <c r="T47" t="s">
        <v>156</v>
      </c>
      <c r="U47" t="s">
        <v>157</v>
      </c>
      <c r="V47" s="2" t="s">
        <v>158</v>
      </c>
      <c r="W47" s="2" t="s">
        <v>62</v>
      </c>
      <c r="Z47" s="2" t="s">
        <v>159</v>
      </c>
      <c r="AA47" s="2" t="s">
        <v>160</v>
      </c>
      <c r="AB47" s="2" t="s">
        <v>63</v>
      </c>
      <c r="AC47" s="2" t="s">
        <v>64</v>
      </c>
    </row>
    <row r="48" spans="1:29" x14ac:dyDescent="0.35">
      <c r="A48" t="s">
        <v>91</v>
      </c>
      <c r="B48" t="s">
        <v>151</v>
      </c>
      <c r="C48" t="s">
        <v>152</v>
      </c>
      <c r="D48" t="s">
        <v>15</v>
      </c>
      <c r="E48" t="s">
        <v>15</v>
      </c>
      <c r="F48" t="s">
        <v>15</v>
      </c>
      <c r="G48" s="2" t="s">
        <v>151</v>
      </c>
      <c r="H48">
        <v>455609</v>
      </c>
      <c r="I48" s="32" t="s">
        <v>153</v>
      </c>
      <c r="J48" s="2" t="s">
        <v>154</v>
      </c>
      <c r="K48" t="s">
        <v>61</v>
      </c>
      <c r="L48" t="s">
        <v>154</v>
      </c>
      <c r="M48" s="2" t="s">
        <v>75</v>
      </c>
      <c r="N48" t="s">
        <v>142</v>
      </c>
      <c r="O48" t="s">
        <v>122</v>
      </c>
      <c r="P48" s="2" t="s">
        <v>20</v>
      </c>
      <c r="Q48" t="s">
        <v>61</v>
      </c>
      <c r="R48" t="s">
        <v>61</v>
      </c>
      <c r="S48" s="67" t="s">
        <v>155</v>
      </c>
      <c r="T48" t="s">
        <v>156</v>
      </c>
      <c r="U48" t="s">
        <v>157</v>
      </c>
      <c r="V48" s="2" t="s">
        <v>158</v>
      </c>
      <c r="W48" s="2" t="s">
        <v>62</v>
      </c>
      <c r="Z48" s="2" t="s">
        <v>159</v>
      </c>
      <c r="AA48" s="2" t="s">
        <v>160</v>
      </c>
      <c r="AB48" s="2" t="s">
        <v>63</v>
      </c>
      <c r="AC48" s="2" t="s">
        <v>64</v>
      </c>
    </row>
    <row r="49" spans="1:29" x14ac:dyDescent="0.35">
      <c r="A49" t="s">
        <v>91</v>
      </c>
      <c r="B49" t="s">
        <v>151</v>
      </c>
      <c r="C49" t="s">
        <v>152</v>
      </c>
      <c r="D49" t="s">
        <v>15</v>
      </c>
      <c r="E49" t="s">
        <v>15</v>
      </c>
      <c r="F49" t="s">
        <v>15</v>
      </c>
      <c r="G49" s="2" t="s">
        <v>151</v>
      </c>
      <c r="H49">
        <v>455609</v>
      </c>
      <c r="I49" s="32" t="s">
        <v>153</v>
      </c>
      <c r="J49" s="2" t="s">
        <v>154</v>
      </c>
      <c r="K49" t="s">
        <v>61</v>
      </c>
      <c r="L49" t="s">
        <v>154</v>
      </c>
      <c r="M49" s="2" t="s">
        <v>75</v>
      </c>
      <c r="N49" t="s">
        <v>142</v>
      </c>
      <c r="O49" t="s">
        <v>102</v>
      </c>
      <c r="P49" s="2" t="s">
        <v>15</v>
      </c>
      <c r="Q49" t="s">
        <v>61</v>
      </c>
      <c r="R49" t="s">
        <v>61</v>
      </c>
      <c r="S49" s="67" t="s">
        <v>155</v>
      </c>
      <c r="T49" t="s">
        <v>156</v>
      </c>
      <c r="U49" t="s">
        <v>157</v>
      </c>
      <c r="V49" s="2" t="s">
        <v>158</v>
      </c>
      <c r="W49" s="2" t="s">
        <v>62</v>
      </c>
      <c r="Z49" s="2" t="s">
        <v>159</v>
      </c>
      <c r="AA49" s="2" t="s">
        <v>160</v>
      </c>
      <c r="AB49" s="2" t="s">
        <v>63</v>
      </c>
      <c r="AC49" s="2" t="s">
        <v>64</v>
      </c>
    </row>
    <row r="50" spans="1:29" x14ac:dyDescent="0.35">
      <c r="A50" t="s">
        <v>91</v>
      </c>
      <c r="B50" t="s">
        <v>151</v>
      </c>
      <c r="C50" t="s">
        <v>152</v>
      </c>
      <c r="D50" t="s">
        <v>15</v>
      </c>
      <c r="E50" t="s">
        <v>15</v>
      </c>
      <c r="F50" t="s">
        <v>15</v>
      </c>
      <c r="G50" s="2" t="s">
        <v>151</v>
      </c>
      <c r="H50">
        <v>455609</v>
      </c>
      <c r="I50" s="32" t="s">
        <v>153</v>
      </c>
      <c r="J50" s="2" t="s">
        <v>154</v>
      </c>
      <c r="K50" t="s">
        <v>61</v>
      </c>
      <c r="L50" t="s">
        <v>154</v>
      </c>
      <c r="M50" s="2" t="s">
        <v>75</v>
      </c>
      <c r="N50" t="s">
        <v>142</v>
      </c>
      <c r="O50" t="s">
        <v>161</v>
      </c>
      <c r="P50" s="2" t="s">
        <v>20</v>
      </c>
      <c r="Q50" t="s">
        <v>61</v>
      </c>
      <c r="R50" t="s">
        <v>61</v>
      </c>
      <c r="S50" s="67" t="s">
        <v>155</v>
      </c>
      <c r="T50" t="s">
        <v>156</v>
      </c>
      <c r="U50" t="s">
        <v>157</v>
      </c>
      <c r="V50" s="2" t="s">
        <v>158</v>
      </c>
      <c r="W50" s="2" t="s">
        <v>62</v>
      </c>
      <c r="Z50" s="2" t="s">
        <v>159</v>
      </c>
      <c r="AA50" s="2" t="s">
        <v>160</v>
      </c>
      <c r="AB50" s="2" t="s">
        <v>63</v>
      </c>
      <c r="AC50" s="2" t="s">
        <v>64</v>
      </c>
    </row>
    <row r="51" spans="1:29" x14ac:dyDescent="0.35">
      <c r="A51" t="s">
        <v>91</v>
      </c>
      <c r="B51" t="s">
        <v>151</v>
      </c>
      <c r="C51" t="s">
        <v>152</v>
      </c>
      <c r="D51" t="s">
        <v>15</v>
      </c>
      <c r="E51" t="s">
        <v>15</v>
      </c>
      <c r="F51" t="s">
        <v>15</v>
      </c>
      <c r="G51" s="2" t="s">
        <v>151</v>
      </c>
      <c r="H51">
        <v>455609</v>
      </c>
      <c r="I51" s="32" t="s">
        <v>153</v>
      </c>
      <c r="J51" s="2" t="s">
        <v>154</v>
      </c>
      <c r="K51" t="s">
        <v>61</v>
      </c>
      <c r="L51" t="s">
        <v>154</v>
      </c>
      <c r="M51" s="2" t="s">
        <v>75</v>
      </c>
      <c r="N51" t="s">
        <v>142</v>
      </c>
      <c r="O51" t="s">
        <v>111</v>
      </c>
      <c r="P51" s="2" t="s">
        <v>20</v>
      </c>
      <c r="Q51" t="s">
        <v>61</v>
      </c>
      <c r="R51" t="s">
        <v>61</v>
      </c>
      <c r="S51" s="67" t="s">
        <v>155</v>
      </c>
      <c r="T51" t="s">
        <v>156</v>
      </c>
      <c r="U51" t="s">
        <v>157</v>
      </c>
      <c r="V51" s="2" t="s">
        <v>158</v>
      </c>
      <c r="W51" s="2" t="s">
        <v>62</v>
      </c>
      <c r="Z51" s="2" t="s">
        <v>159</v>
      </c>
      <c r="AA51" s="2" t="s">
        <v>160</v>
      </c>
      <c r="AB51" s="2" t="s">
        <v>63</v>
      </c>
      <c r="AC51" s="2" t="s">
        <v>64</v>
      </c>
    </row>
    <row r="52" spans="1:29" x14ac:dyDescent="0.35">
      <c r="A52" t="s">
        <v>91</v>
      </c>
      <c r="B52" t="s">
        <v>151</v>
      </c>
      <c r="C52" t="s">
        <v>152</v>
      </c>
      <c r="D52" t="s">
        <v>15</v>
      </c>
      <c r="E52" t="s">
        <v>15</v>
      </c>
      <c r="F52" t="s">
        <v>15</v>
      </c>
      <c r="G52" s="2" t="s">
        <v>151</v>
      </c>
      <c r="H52">
        <v>455609</v>
      </c>
      <c r="I52" s="32" t="s">
        <v>153</v>
      </c>
      <c r="J52" s="2" t="s">
        <v>154</v>
      </c>
      <c r="K52" t="s">
        <v>61</v>
      </c>
      <c r="L52" t="s">
        <v>154</v>
      </c>
      <c r="M52" s="2" t="s">
        <v>75</v>
      </c>
      <c r="N52" t="s">
        <v>142</v>
      </c>
      <c r="O52" t="s">
        <v>112</v>
      </c>
      <c r="P52" s="2" t="s">
        <v>20</v>
      </c>
      <c r="Q52" t="s">
        <v>61</v>
      </c>
      <c r="R52" t="s">
        <v>61</v>
      </c>
      <c r="S52" s="67" t="s">
        <v>155</v>
      </c>
      <c r="T52" t="s">
        <v>156</v>
      </c>
      <c r="U52" t="s">
        <v>157</v>
      </c>
      <c r="V52" s="2" t="s">
        <v>158</v>
      </c>
      <c r="W52" s="2" t="s">
        <v>62</v>
      </c>
      <c r="Z52" s="2" t="s">
        <v>159</v>
      </c>
      <c r="AA52" s="2" t="s">
        <v>160</v>
      </c>
      <c r="AB52" s="2" t="s">
        <v>63</v>
      </c>
      <c r="AC52" s="2" t="s">
        <v>64</v>
      </c>
    </row>
    <row r="53" spans="1:29" x14ac:dyDescent="0.35">
      <c r="A53" t="s">
        <v>91</v>
      </c>
      <c r="B53" t="s">
        <v>151</v>
      </c>
      <c r="C53" t="s">
        <v>152</v>
      </c>
      <c r="D53" t="s">
        <v>15</v>
      </c>
      <c r="E53" t="s">
        <v>15</v>
      </c>
      <c r="F53" t="s">
        <v>15</v>
      </c>
      <c r="G53" s="2" t="s">
        <v>151</v>
      </c>
      <c r="H53">
        <v>455609</v>
      </c>
      <c r="I53" s="32" t="s">
        <v>153</v>
      </c>
      <c r="J53" s="2" t="s">
        <v>154</v>
      </c>
      <c r="K53" t="s">
        <v>61</v>
      </c>
      <c r="L53" t="s">
        <v>154</v>
      </c>
      <c r="M53" s="2" t="s">
        <v>75</v>
      </c>
      <c r="N53" t="s">
        <v>142</v>
      </c>
      <c r="O53" t="s">
        <v>103</v>
      </c>
      <c r="P53" s="2" t="s">
        <v>149</v>
      </c>
      <c r="Q53" t="s">
        <v>61</v>
      </c>
      <c r="R53" t="s">
        <v>61</v>
      </c>
      <c r="S53" s="67" t="s">
        <v>155</v>
      </c>
      <c r="T53" t="s">
        <v>156</v>
      </c>
      <c r="U53" t="s">
        <v>157</v>
      </c>
      <c r="V53" s="2" t="s">
        <v>158</v>
      </c>
      <c r="W53" s="2" t="s">
        <v>62</v>
      </c>
      <c r="Z53" s="2" t="s">
        <v>159</v>
      </c>
      <c r="AA53" s="2" t="s">
        <v>160</v>
      </c>
      <c r="AB53" s="2" t="s">
        <v>63</v>
      </c>
      <c r="AC53" s="2" t="s">
        <v>64</v>
      </c>
    </row>
    <row r="54" spans="1:29" x14ac:dyDescent="0.35">
      <c r="A54" t="s">
        <v>91</v>
      </c>
      <c r="B54" t="s">
        <v>151</v>
      </c>
      <c r="C54" t="s">
        <v>152</v>
      </c>
      <c r="D54" t="s">
        <v>15</v>
      </c>
      <c r="E54" t="s">
        <v>15</v>
      </c>
      <c r="F54" t="s">
        <v>15</v>
      </c>
      <c r="G54" s="2" t="s">
        <v>151</v>
      </c>
      <c r="H54">
        <v>455609</v>
      </c>
      <c r="I54" s="32" t="s">
        <v>153</v>
      </c>
      <c r="J54" s="2" t="s">
        <v>154</v>
      </c>
      <c r="K54" t="s">
        <v>61</v>
      </c>
      <c r="L54" t="s">
        <v>154</v>
      </c>
      <c r="M54" s="2" t="s">
        <v>75</v>
      </c>
      <c r="N54" t="s">
        <v>142</v>
      </c>
      <c r="O54" t="s">
        <v>104</v>
      </c>
      <c r="P54" s="2" t="s">
        <v>20</v>
      </c>
      <c r="Q54" t="s">
        <v>61</v>
      </c>
      <c r="R54" t="s">
        <v>61</v>
      </c>
      <c r="S54" s="67" t="s">
        <v>155</v>
      </c>
      <c r="T54" t="s">
        <v>156</v>
      </c>
      <c r="U54" t="s">
        <v>157</v>
      </c>
      <c r="V54" s="2" t="s">
        <v>158</v>
      </c>
      <c r="W54" s="2" t="s">
        <v>62</v>
      </c>
      <c r="Z54" s="2" t="s">
        <v>159</v>
      </c>
      <c r="AA54" s="2" t="s">
        <v>160</v>
      </c>
      <c r="AB54" s="2" t="s">
        <v>63</v>
      </c>
      <c r="AC54" s="2" t="s">
        <v>64</v>
      </c>
    </row>
    <row r="55" spans="1:29" x14ac:dyDescent="0.35">
      <c r="A55" t="s">
        <v>91</v>
      </c>
      <c r="B55" t="s">
        <v>151</v>
      </c>
      <c r="C55" t="s">
        <v>152</v>
      </c>
      <c r="D55" t="s">
        <v>15</v>
      </c>
      <c r="E55" t="s">
        <v>15</v>
      </c>
      <c r="F55" t="s">
        <v>15</v>
      </c>
      <c r="G55" s="2" t="s">
        <v>151</v>
      </c>
      <c r="H55">
        <v>455609</v>
      </c>
      <c r="I55" s="32" t="s">
        <v>153</v>
      </c>
      <c r="J55" s="2" t="s">
        <v>154</v>
      </c>
      <c r="K55" t="s">
        <v>61</v>
      </c>
      <c r="L55" t="s">
        <v>154</v>
      </c>
      <c r="M55" s="2" t="s">
        <v>75</v>
      </c>
      <c r="N55" t="s">
        <v>142</v>
      </c>
      <c r="O55" t="s">
        <v>116</v>
      </c>
      <c r="P55" s="2" t="s">
        <v>20</v>
      </c>
      <c r="Q55" t="s">
        <v>61</v>
      </c>
      <c r="R55" t="s">
        <v>61</v>
      </c>
      <c r="S55" s="67" t="s">
        <v>155</v>
      </c>
      <c r="T55" t="s">
        <v>156</v>
      </c>
      <c r="U55" t="s">
        <v>157</v>
      </c>
      <c r="V55" s="2" t="s">
        <v>158</v>
      </c>
      <c r="W55" s="2" t="s">
        <v>62</v>
      </c>
      <c r="Z55" s="2" t="s">
        <v>159</v>
      </c>
      <c r="AA55" s="2" t="s">
        <v>160</v>
      </c>
      <c r="AB55" s="2" t="s">
        <v>63</v>
      </c>
      <c r="AC55" s="2" t="s">
        <v>64</v>
      </c>
    </row>
    <row r="56" spans="1:29" x14ac:dyDescent="0.35">
      <c r="A56" t="s">
        <v>91</v>
      </c>
      <c r="B56" t="s">
        <v>151</v>
      </c>
      <c r="C56" t="s">
        <v>152</v>
      </c>
      <c r="D56" t="s">
        <v>15</v>
      </c>
      <c r="E56" t="s">
        <v>15</v>
      </c>
      <c r="F56" t="s">
        <v>15</v>
      </c>
      <c r="G56" s="2" t="s">
        <v>151</v>
      </c>
      <c r="H56">
        <v>455609</v>
      </c>
      <c r="I56" s="32" t="s">
        <v>153</v>
      </c>
      <c r="J56" s="2" t="s">
        <v>154</v>
      </c>
      <c r="K56" t="s">
        <v>61</v>
      </c>
      <c r="L56" t="s">
        <v>154</v>
      </c>
      <c r="M56" s="2" t="s">
        <v>75</v>
      </c>
      <c r="N56" t="s">
        <v>142</v>
      </c>
      <c r="O56" t="s">
        <v>105</v>
      </c>
      <c r="P56" s="2" t="s">
        <v>20</v>
      </c>
      <c r="Q56" t="s">
        <v>61</v>
      </c>
      <c r="R56" t="s">
        <v>61</v>
      </c>
      <c r="S56" s="67" t="s">
        <v>155</v>
      </c>
      <c r="T56" t="s">
        <v>156</v>
      </c>
      <c r="U56" t="s">
        <v>157</v>
      </c>
      <c r="V56" s="2" t="s">
        <v>158</v>
      </c>
      <c r="W56" s="2" t="s">
        <v>62</v>
      </c>
      <c r="Z56" s="2" t="s">
        <v>159</v>
      </c>
      <c r="AA56" s="2" t="s">
        <v>160</v>
      </c>
      <c r="AB56" s="2" t="s">
        <v>63</v>
      </c>
      <c r="AC56" s="2" t="s">
        <v>64</v>
      </c>
    </row>
    <row r="57" spans="1:29" x14ac:dyDescent="0.35">
      <c r="A57" t="s">
        <v>91</v>
      </c>
      <c r="B57" t="s">
        <v>151</v>
      </c>
      <c r="C57" t="s">
        <v>152</v>
      </c>
      <c r="D57" t="s">
        <v>15</v>
      </c>
      <c r="E57" t="s">
        <v>15</v>
      </c>
      <c r="F57" t="s">
        <v>15</v>
      </c>
      <c r="G57" s="2" t="s">
        <v>151</v>
      </c>
      <c r="H57">
        <v>455609</v>
      </c>
      <c r="I57" s="32" t="s">
        <v>153</v>
      </c>
      <c r="J57" s="2" t="s">
        <v>154</v>
      </c>
      <c r="K57" t="s">
        <v>61</v>
      </c>
      <c r="L57" t="s">
        <v>154</v>
      </c>
      <c r="M57" s="2" t="s">
        <v>75</v>
      </c>
      <c r="N57" t="s">
        <v>142</v>
      </c>
      <c r="O57" t="s">
        <v>106</v>
      </c>
      <c r="P57" s="2" t="s">
        <v>20</v>
      </c>
      <c r="Q57" t="s">
        <v>61</v>
      </c>
      <c r="R57" t="s">
        <v>61</v>
      </c>
      <c r="S57" s="67" t="s">
        <v>155</v>
      </c>
      <c r="T57" t="s">
        <v>156</v>
      </c>
      <c r="U57" t="s">
        <v>157</v>
      </c>
      <c r="V57" s="2" t="s">
        <v>158</v>
      </c>
      <c r="W57" s="2" t="s">
        <v>62</v>
      </c>
      <c r="Z57" s="2" t="s">
        <v>159</v>
      </c>
      <c r="AA57" s="2" t="s">
        <v>160</v>
      </c>
      <c r="AB57" s="2" t="s">
        <v>63</v>
      </c>
      <c r="AC57" s="2" t="s">
        <v>64</v>
      </c>
    </row>
    <row r="58" spans="1:29" x14ac:dyDescent="0.35">
      <c r="A58" t="s">
        <v>91</v>
      </c>
      <c r="B58" t="s">
        <v>151</v>
      </c>
      <c r="C58" t="s">
        <v>152</v>
      </c>
      <c r="D58" t="s">
        <v>15</v>
      </c>
      <c r="E58" t="s">
        <v>15</v>
      </c>
      <c r="F58" t="s">
        <v>15</v>
      </c>
      <c r="G58" s="2" t="s">
        <v>151</v>
      </c>
      <c r="H58">
        <v>455609</v>
      </c>
      <c r="I58" s="32" t="s">
        <v>153</v>
      </c>
      <c r="J58" s="2" t="s">
        <v>154</v>
      </c>
      <c r="K58" t="s">
        <v>61</v>
      </c>
      <c r="L58" t="s">
        <v>154</v>
      </c>
      <c r="M58" s="2" t="s">
        <v>75</v>
      </c>
      <c r="N58" t="s">
        <v>142</v>
      </c>
      <c r="O58" t="s">
        <v>107</v>
      </c>
      <c r="P58" s="2" t="s">
        <v>147</v>
      </c>
      <c r="Q58" t="s">
        <v>61</v>
      </c>
      <c r="R58" t="s">
        <v>61</v>
      </c>
      <c r="S58" s="67" t="s">
        <v>155</v>
      </c>
      <c r="T58" t="s">
        <v>156</v>
      </c>
      <c r="U58" t="s">
        <v>157</v>
      </c>
      <c r="V58" s="2" t="s">
        <v>158</v>
      </c>
      <c r="W58" s="2" t="s">
        <v>62</v>
      </c>
      <c r="Z58" s="2" t="s">
        <v>159</v>
      </c>
      <c r="AA58" s="2" t="s">
        <v>160</v>
      </c>
      <c r="AB58" s="2" t="s">
        <v>63</v>
      </c>
      <c r="AC58" s="2" t="s">
        <v>64</v>
      </c>
    </row>
    <row r="59" spans="1:29" x14ac:dyDescent="0.35">
      <c r="A59" t="s">
        <v>91</v>
      </c>
      <c r="B59" t="s">
        <v>151</v>
      </c>
      <c r="C59" t="s">
        <v>152</v>
      </c>
      <c r="D59" t="s">
        <v>15</v>
      </c>
      <c r="E59" t="s">
        <v>15</v>
      </c>
      <c r="F59" t="s">
        <v>15</v>
      </c>
      <c r="G59" s="2" t="s">
        <v>151</v>
      </c>
      <c r="H59">
        <v>455609</v>
      </c>
      <c r="I59" s="32" t="s">
        <v>153</v>
      </c>
      <c r="J59" s="2" t="s">
        <v>154</v>
      </c>
      <c r="K59" t="s">
        <v>61</v>
      </c>
      <c r="L59" t="s">
        <v>154</v>
      </c>
      <c r="M59" s="2" t="s">
        <v>75</v>
      </c>
      <c r="N59" t="s">
        <v>142</v>
      </c>
      <c r="O59" t="s">
        <v>108</v>
      </c>
      <c r="P59" s="2" t="s">
        <v>162</v>
      </c>
      <c r="Q59" t="s">
        <v>61</v>
      </c>
      <c r="R59" t="s">
        <v>61</v>
      </c>
      <c r="S59" s="67" t="s">
        <v>155</v>
      </c>
      <c r="T59" t="s">
        <v>156</v>
      </c>
      <c r="U59" t="s">
        <v>157</v>
      </c>
      <c r="V59" s="2" t="s">
        <v>158</v>
      </c>
      <c r="W59" s="2" t="s">
        <v>62</v>
      </c>
      <c r="Z59" s="2" t="s">
        <v>159</v>
      </c>
      <c r="AA59" s="2" t="s">
        <v>160</v>
      </c>
      <c r="AB59" s="2" t="s">
        <v>63</v>
      </c>
      <c r="AC59" s="2" t="s">
        <v>64</v>
      </c>
    </row>
    <row r="60" spans="1:29" x14ac:dyDescent="0.35">
      <c r="A60" t="s">
        <v>91</v>
      </c>
      <c r="B60" t="s">
        <v>130</v>
      </c>
      <c r="C60" t="s">
        <v>131</v>
      </c>
      <c r="D60" t="s">
        <v>14</v>
      </c>
      <c r="E60" t="s">
        <v>14</v>
      </c>
      <c r="F60" t="s">
        <v>14</v>
      </c>
      <c r="G60" s="2" t="s">
        <v>131</v>
      </c>
      <c r="H60">
        <v>424803</v>
      </c>
      <c r="I60" s="32" t="s">
        <v>163</v>
      </c>
      <c r="J60" s="2" t="s">
        <v>164</v>
      </c>
      <c r="K60" t="s">
        <v>92</v>
      </c>
      <c r="L60" t="s">
        <v>132</v>
      </c>
      <c r="M60" s="2" t="s">
        <v>75</v>
      </c>
      <c r="N60" t="s">
        <v>142</v>
      </c>
      <c r="O60" t="s">
        <v>99</v>
      </c>
      <c r="P60" s="2" t="s">
        <v>20</v>
      </c>
      <c r="Q60" t="s">
        <v>61</v>
      </c>
      <c r="R60" t="s">
        <v>61</v>
      </c>
      <c r="S60" s="67" t="s">
        <v>165</v>
      </c>
      <c r="T60" t="s">
        <v>166</v>
      </c>
      <c r="U60" t="s">
        <v>167</v>
      </c>
      <c r="V60" s="2" t="s">
        <v>168</v>
      </c>
      <c r="W60" s="2" t="s">
        <v>62</v>
      </c>
      <c r="Z60" s="2" t="s">
        <v>93</v>
      </c>
      <c r="AA60" s="2" t="s">
        <v>94</v>
      </c>
      <c r="AB60" s="2" t="s">
        <v>63</v>
      </c>
      <c r="AC60" s="2" t="s">
        <v>64</v>
      </c>
    </row>
    <row r="61" spans="1:29" x14ac:dyDescent="0.35">
      <c r="A61" t="s">
        <v>91</v>
      </c>
      <c r="B61" t="s">
        <v>130</v>
      </c>
      <c r="C61" t="s">
        <v>131</v>
      </c>
      <c r="D61" t="s">
        <v>14</v>
      </c>
      <c r="E61" t="s">
        <v>14</v>
      </c>
      <c r="F61" t="s">
        <v>14</v>
      </c>
      <c r="G61" s="2" t="s">
        <v>131</v>
      </c>
      <c r="H61">
        <v>424803</v>
      </c>
      <c r="I61" s="32" t="s">
        <v>163</v>
      </c>
      <c r="J61" s="2" t="s">
        <v>164</v>
      </c>
      <c r="K61" t="s">
        <v>92</v>
      </c>
      <c r="L61" t="s">
        <v>132</v>
      </c>
      <c r="M61" s="2" t="s">
        <v>75</v>
      </c>
      <c r="N61" t="s">
        <v>142</v>
      </c>
      <c r="O61" t="s">
        <v>83</v>
      </c>
      <c r="P61" s="2" t="s">
        <v>20</v>
      </c>
      <c r="Q61" t="s">
        <v>61</v>
      </c>
      <c r="R61" t="s">
        <v>61</v>
      </c>
      <c r="S61" s="67" t="s">
        <v>165</v>
      </c>
      <c r="T61" t="s">
        <v>166</v>
      </c>
      <c r="U61" t="s">
        <v>167</v>
      </c>
      <c r="V61" s="2" t="s">
        <v>168</v>
      </c>
      <c r="W61" s="2" t="s">
        <v>62</v>
      </c>
      <c r="Z61" s="2" t="s">
        <v>93</v>
      </c>
      <c r="AA61" s="2" t="s">
        <v>94</v>
      </c>
      <c r="AB61" s="2" t="s">
        <v>63</v>
      </c>
      <c r="AC61" s="2" t="s">
        <v>64</v>
      </c>
    </row>
    <row r="62" spans="1:29" x14ac:dyDescent="0.35">
      <c r="A62" t="s">
        <v>91</v>
      </c>
      <c r="B62" t="s">
        <v>130</v>
      </c>
      <c r="C62" t="s">
        <v>131</v>
      </c>
      <c r="D62" t="s">
        <v>14</v>
      </c>
      <c r="E62" t="s">
        <v>14</v>
      </c>
      <c r="F62" t="s">
        <v>14</v>
      </c>
      <c r="G62" s="2" t="s">
        <v>131</v>
      </c>
      <c r="H62">
        <v>424803</v>
      </c>
      <c r="I62" s="32" t="s">
        <v>163</v>
      </c>
      <c r="J62" s="2" t="s">
        <v>164</v>
      </c>
      <c r="K62" t="s">
        <v>92</v>
      </c>
      <c r="L62" t="s">
        <v>132</v>
      </c>
      <c r="M62" s="2" t="s">
        <v>75</v>
      </c>
      <c r="N62" t="s">
        <v>142</v>
      </c>
      <c r="O62" t="s">
        <v>84</v>
      </c>
      <c r="P62" s="2" t="s">
        <v>20</v>
      </c>
      <c r="Q62" t="s">
        <v>61</v>
      </c>
      <c r="R62" t="s">
        <v>61</v>
      </c>
      <c r="S62" s="67" t="s">
        <v>165</v>
      </c>
      <c r="T62" t="s">
        <v>166</v>
      </c>
      <c r="U62" t="s">
        <v>167</v>
      </c>
      <c r="V62" s="2" t="s">
        <v>168</v>
      </c>
      <c r="W62" s="2" t="s">
        <v>62</v>
      </c>
      <c r="Z62" s="2" t="s">
        <v>93</v>
      </c>
      <c r="AA62" s="2" t="s">
        <v>94</v>
      </c>
      <c r="AB62" s="2" t="s">
        <v>63</v>
      </c>
      <c r="AC62" s="2" t="s">
        <v>64</v>
      </c>
    </row>
    <row r="63" spans="1:29" x14ac:dyDescent="0.35">
      <c r="A63" t="s">
        <v>91</v>
      </c>
      <c r="B63" t="s">
        <v>130</v>
      </c>
      <c r="C63" t="s">
        <v>131</v>
      </c>
      <c r="D63" t="s">
        <v>14</v>
      </c>
      <c r="E63" t="s">
        <v>14</v>
      </c>
      <c r="F63" t="s">
        <v>14</v>
      </c>
      <c r="G63" s="2" t="s">
        <v>131</v>
      </c>
      <c r="H63">
        <v>424803</v>
      </c>
      <c r="I63" s="32" t="s">
        <v>163</v>
      </c>
      <c r="J63" s="2" t="s">
        <v>164</v>
      </c>
      <c r="K63" t="s">
        <v>92</v>
      </c>
      <c r="L63" t="s">
        <v>132</v>
      </c>
      <c r="M63" s="2" t="s">
        <v>75</v>
      </c>
      <c r="N63" t="s">
        <v>142</v>
      </c>
      <c r="O63" t="s">
        <v>100</v>
      </c>
      <c r="P63" s="2" t="s">
        <v>20</v>
      </c>
      <c r="Q63" t="s">
        <v>61</v>
      </c>
      <c r="R63" t="s">
        <v>61</v>
      </c>
      <c r="S63" s="67" t="s">
        <v>165</v>
      </c>
      <c r="T63" t="s">
        <v>166</v>
      </c>
      <c r="U63" t="s">
        <v>167</v>
      </c>
      <c r="V63" s="2" t="s">
        <v>168</v>
      </c>
      <c r="W63" s="2" t="s">
        <v>62</v>
      </c>
      <c r="Z63" s="2" t="s">
        <v>93</v>
      </c>
      <c r="AA63" s="2" t="s">
        <v>94</v>
      </c>
      <c r="AB63" s="2" t="s">
        <v>63</v>
      </c>
      <c r="AC63" s="2" t="s">
        <v>64</v>
      </c>
    </row>
    <row r="64" spans="1:29" x14ac:dyDescent="0.35">
      <c r="A64" t="s">
        <v>91</v>
      </c>
      <c r="B64" t="s">
        <v>130</v>
      </c>
      <c r="C64" t="s">
        <v>131</v>
      </c>
      <c r="D64" t="s">
        <v>14</v>
      </c>
      <c r="E64" t="s">
        <v>14</v>
      </c>
      <c r="F64" t="s">
        <v>14</v>
      </c>
      <c r="G64" s="2" t="s">
        <v>131</v>
      </c>
      <c r="H64">
        <v>424803</v>
      </c>
      <c r="I64" s="32" t="s">
        <v>163</v>
      </c>
      <c r="J64" s="2" t="s">
        <v>164</v>
      </c>
      <c r="K64" t="s">
        <v>92</v>
      </c>
      <c r="L64" t="s">
        <v>132</v>
      </c>
      <c r="M64" s="2" t="s">
        <v>75</v>
      </c>
      <c r="N64" t="s">
        <v>142</v>
      </c>
      <c r="O64" t="s">
        <v>35</v>
      </c>
      <c r="P64" s="2" t="s">
        <v>20</v>
      </c>
      <c r="Q64" t="s">
        <v>61</v>
      </c>
      <c r="R64" t="s">
        <v>61</v>
      </c>
      <c r="S64" s="67" t="s">
        <v>165</v>
      </c>
      <c r="T64" t="s">
        <v>166</v>
      </c>
      <c r="U64" t="s">
        <v>167</v>
      </c>
      <c r="V64" s="2" t="s">
        <v>168</v>
      </c>
      <c r="W64" s="2" t="s">
        <v>62</v>
      </c>
      <c r="Z64" s="2" t="s">
        <v>93</v>
      </c>
      <c r="AA64" s="2" t="s">
        <v>94</v>
      </c>
      <c r="AB64" s="2" t="s">
        <v>63</v>
      </c>
      <c r="AC64" s="2" t="s">
        <v>64</v>
      </c>
    </row>
    <row r="65" spans="1:29" x14ac:dyDescent="0.35">
      <c r="A65" t="s">
        <v>91</v>
      </c>
      <c r="B65" t="s">
        <v>130</v>
      </c>
      <c r="C65" t="s">
        <v>131</v>
      </c>
      <c r="D65" t="s">
        <v>14</v>
      </c>
      <c r="E65" t="s">
        <v>14</v>
      </c>
      <c r="F65" t="s">
        <v>14</v>
      </c>
      <c r="G65" s="2" t="s">
        <v>131</v>
      </c>
      <c r="H65">
        <v>424803</v>
      </c>
      <c r="I65" s="32" t="s">
        <v>163</v>
      </c>
      <c r="J65" s="2" t="s">
        <v>164</v>
      </c>
      <c r="K65" t="s">
        <v>92</v>
      </c>
      <c r="L65" t="s">
        <v>132</v>
      </c>
      <c r="M65" s="2" t="s">
        <v>75</v>
      </c>
      <c r="N65" t="s">
        <v>142</v>
      </c>
      <c r="O65" t="s">
        <v>101</v>
      </c>
      <c r="P65" s="2" t="s">
        <v>147</v>
      </c>
      <c r="Q65" t="s">
        <v>61</v>
      </c>
      <c r="R65" t="s">
        <v>61</v>
      </c>
      <c r="S65" s="67" t="s">
        <v>165</v>
      </c>
      <c r="T65" t="s">
        <v>166</v>
      </c>
      <c r="U65" t="s">
        <v>167</v>
      </c>
      <c r="V65" s="2" t="s">
        <v>168</v>
      </c>
      <c r="W65" s="2" t="s">
        <v>62</v>
      </c>
      <c r="Z65" s="2" t="s">
        <v>93</v>
      </c>
      <c r="AA65" s="2" t="s">
        <v>94</v>
      </c>
      <c r="AB65" s="2" t="s">
        <v>63</v>
      </c>
      <c r="AC65" s="2" t="s">
        <v>64</v>
      </c>
    </row>
    <row r="66" spans="1:29" x14ac:dyDescent="0.35">
      <c r="A66" t="s">
        <v>91</v>
      </c>
      <c r="B66" t="s">
        <v>130</v>
      </c>
      <c r="C66" t="s">
        <v>131</v>
      </c>
      <c r="D66" t="s">
        <v>14</v>
      </c>
      <c r="E66" t="s">
        <v>14</v>
      </c>
      <c r="F66" t="s">
        <v>14</v>
      </c>
      <c r="G66" s="2" t="s">
        <v>131</v>
      </c>
      <c r="H66">
        <v>424803</v>
      </c>
      <c r="I66" s="32" t="s">
        <v>163</v>
      </c>
      <c r="J66" s="2" t="s">
        <v>164</v>
      </c>
      <c r="K66" t="s">
        <v>92</v>
      </c>
      <c r="L66" t="s">
        <v>132</v>
      </c>
      <c r="M66" s="2" t="s">
        <v>75</v>
      </c>
      <c r="N66" t="s">
        <v>142</v>
      </c>
      <c r="O66" t="s">
        <v>85</v>
      </c>
      <c r="P66" s="2" t="s">
        <v>20</v>
      </c>
      <c r="Q66" t="s">
        <v>61</v>
      </c>
      <c r="R66" t="s">
        <v>61</v>
      </c>
      <c r="S66" s="67" t="s">
        <v>165</v>
      </c>
      <c r="T66" t="s">
        <v>166</v>
      </c>
      <c r="U66" t="s">
        <v>167</v>
      </c>
      <c r="V66" s="2" t="s">
        <v>168</v>
      </c>
      <c r="W66" s="2" t="s">
        <v>62</v>
      </c>
      <c r="Z66" s="2" t="s">
        <v>93</v>
      </c>
      <c r="AA66" s="2" t="s">
        <v>94</v>
      </c>
      <c r="AB66" s="2" t="s">
        <v>63</v>
      </c>
      <c r="AC66" s="2" t="s">
        <v>64</v>
      </c>
    </row>
    <row r="67" spans="1:29" x14ac:dyDescent="0.35">
      <c r="A67" t="s">
        <v>91</v>
      </c>
      <c r="B67" t="s">
        <v>130</v>
      </c>
      <c r="C67" t="s">
        <v>131</v>
      </c>
      <c r="D67" t="s">
        <v>14</v>
      </c>
      <c r="E67" t="s">
        <v>14</v>
      </c>
      <c r="F67" t="s">
        <v>14</v>
      </c>
      <c r="G67" s="2" t="s">
        <v>131</v>
      </c>
      <c r="H67">
        <v>424803</v>
      </c>
      <c r="I67" s="32" t="s">
        <v>163</v>
      </c>
      <c r="J67" s="2" t="s">
        <v>164</v>
      </c>
      <c r="K67" t="s">
        <v>92</v>
      </c>
      <c r="L67" t="s">
        <v>132</v>
      </c>
      <c r="M67" s="2" t="s">
        <v>75</v>
      </c>
      <c r="N67" t="s">
        <v>142</v>
      </c>
      <c r="O67" t="s">
        <v>86</v>
      </c>
      <c r="P67" s="2" t="s">
        <v>20</v>
      </c>
      <c r="Q67" t="s">
        <v>61</v>
      </c>
      <c r="R67" t="s">
        <v>61</v>
      </c>
      <c r="S67" s="67" t="s">
        <v>165</v>
      </c>
      <c r="T67" t="s">
        <v>166</v>
      </c>
      <c r="U67" t="s">
        <v>167</v>
      </c>
      <c r="V67" s="2" t="s">
        <v>168</v>
      </c>
      <c r="W67" s="2" t="s">
        <v>62</v>
      </c>
      <c r="Z67" s="2" t="s">
        <v>93</v>
      </c>
      <c r="AA67" s="2" t="s">
        <v>94</v>
      </c>
      <c r="AB67" s="2" t="s">
        <v>63</v>
      </c>
      <c r="AC67" s="2" t="s">
        <v>64</v>
      </c>
    </row>
    <row r="68" spans="1:29" x14ac:dyDescent="0.35">
      <c r="A68" t="s">
        <v>91</v>
      </c>
      <c r="B68" t="s">
        <v>130</v>
      </c>
      <c r="C68" t="s">
        <v>131</v>
      </c>
      <c r="D68" t="s">
        <v>14</v>
      </c>
      <c r="E68" t="s">
        <v>14</v>
      </c>
      <c r="F68" t="s">
        <v>14</v>
      </c>
      <c r="G68" s="2" t="s">
        <v>131</v>
      </c>
      <c r="H68">
        <v>424803</v>
      </c>
      <c r="I68" s="32" t="s">
        <v>163</v>
      </c>
      <c r="J68" s="2" t="s">
        <v>164</v>
      </c>
      <c r="K68" t="s">
        <v>92</v>
      </c>
      <c r="L68" t="s">
        <v>132</v>
      </c>
      <c r="M68" s="2" t="s">
        <v>75</v>
      </c>
      <c r="N68" t="s">
        <v>142</v>
      </c>
      <c r="O68" t="s">
        <v>87</v>
      </c>
      <c r="P68" s="2" t="s">
        <v>147</v>
      </c>
      <c r="Q68" t="s">
        <v>61</v>
      </c>
      <c r="R68" t="s">
        <v>61</v>
      </c>
      <c r="S68" s="67" t="s">
        <v>165</v>
      </c>
      <c r="T68" t="s">
        <v>166</v>
      </c>
      <c r="U68" t="s">
        <v>167</v>
      </c>
      <c r="V68" s="2" t="s">
        <v>168</v>
      </c>
      <c r="W68" s="2" t="s">
        <v>62</v>
      </c>
      <c r="Z68" s="2" t="s">
        <v>93</v>
      </c>
      <c r="AA68" s="2" t="s">
        <v>94</v>
      </c>
      <c r="AB68" s="2" t="s">
        <v>63</v>
      </c>
      <c r="AC68" s="2" t="s">
        <v>64</v>
      </c>
    </row>
    <row r="69" spans="1:29" x14ac:dyDescent="0.35">
      <c r="A69" t="s">
        <v>91</v>
      </c>
      <c r="B69" t="s">
        <v>130</v>
      </c>
      <c r="C69" t="s">
        <v>131</v>
      </c>
      <c r="D69" t="s">
        <v>14</v>
      </c>
      <c r="E69" t="s">
        <v>14</v>
      </c>
      <c r="F69" t="s">
        <v>14</v>
      </c>
      <c r="G69" s="2" t="s">
        <v>131</v>
      </c>
      <c r="H69">
        <v>424803</v>
      </c>
      <c r="I69" s="32" t="s">
        <v>163</v>
      </c>
      <c r="J69" s="2" t="s">
        <v>164</v>
      </c>
      <c r="K69" t="s">
        <v>92</v>
      </c>
      <c r="L69" t="s">
        <v>132</v>
      </c>
      <c r="M69" s="2" t="s">
        <v>75</v>
      </c>
      <c r="N69" t="s">
        <v>142</v>
      </c>
      <c r="O69" t="s">
        <v>88</v>
      </c>
      <c r="P69" s="2" t="s">
        <v>147</v>
      </c>
      <c r="Q69" t="s">
        <v>61</v>
      </c>
      <c r="R69" t="s">
        <v>61</v>
      </c>
      <c r="S69" s="67" t="s">
        <v>165</v>
      </c>
      <c r="T69" t="s">
        <v>166</v>
      </c>
      <c r="U69" t="s">
        <v>167</v>
      </c>
      <c r="V69" s="2" t="s">
        <v>168</v>
      </c>
      <c r="W69" s="2" t="s">
        <v>62</v>
      </c>
      <c r="Z69" s="2" t="s">
        <v>93</v>
      </c>
      <c r="AA69" s="2" t="s">
        <v>94</v>
      </c>
      <c r="AB69" s="2" t="s">
        <v>63</v>
      </c>
      <c r="AC69" s="2" t="s">
        <v>64</v>
      </c>
    </row>
    <row r="70" spans="1:29" x14ac:dyDescent="0.35">
      <c r="A70" t="s">
        <v>91</v>
      </c>
      <c r="B70" t="s">
        <v>130</v>
      </c>
      <c r="C70" t="s">
        <v>131</v>
      </c>
      <c r="D70" t="s">
        <v>14</v>
      </c>
      <c r="E70" t="s">
        <v>14</v>
      </c>
      <c r="F70" t="s">
        <v>14</v>
      </c>
      <c r="G70" s="2" t="s">
        <v>131</v>
      </c>
      <c r="H70">
        <v>424803</v>
      </c>
      <c r="I70" s="32" t="s">
        <v>163</v>
      </c>
      <c r="J70" s="2" t="s">
        <v>164</v>
      </c>
      <c r="K70" t="s">
        <v>92</v>
      </c>
      <c r="L70" t="s">
        <v>132</v>
      </c>
      <c r="M70" s="2" t="s">
        <v>75</v>
      </c>
      <c r="N70" t="s">
        <v>142</v>
      </c>
      <c r="O70" t="s">
        <v>89</v>
      </c>
      <c r="P70" s="2" t="s">
        <v>147</v>
      </c>
      <c r="Q70" t="s">
        <v>61</v>
      </c>
      <c r="R70" t="s">
        <v>61</v>
      </c>
      <c r="S70" s="67" t="s">
        <v>165</v>
      </c>
      <c r="T70" t="s">
        <v>166</v>
      </c>
      <c r="U70" t="s">
        <v>167</v>
      </c>
      <c r="V70" s="2" t="s">
        <v>168</v>
      </c>
      <c r="W70" s="2" t="s">
        <v>62</v>
      </c>
      <c r="Z70" s="2" t="s">
        <v>93</v>
      </c>
      <c r="AA70" s="2" t="s">
        <v>94</v>
      </c>
      <c r="AB70" s="2" t="s">
        <v>63</v>
      </c>
      <c r="AC70" s="2" t="s">
        <v>64</v>
      </c>
    </row>
    <row r="71" spans="1:29" x14ac:dyDescent="0.35">
      <c r="A71" t="s">
        <v>91</v>
      </c>
      <c r="B71" t="s">
        <v>130</v>
      </c>
      <c r="C71" t="s">
        <v>131</v>
      </c>
      <c r="D71" t="s">
        <v>14</v>
      </c>
      <c r="E71" t="s">
        <v>14</v>
      </c>
      <c r="F71" t="s">
        <v>14</v>
      </c>
      <c r="G71" s="2" t="s">
        <v>131</v>
      </c>
      <c r="H71">
        <v>424803</v>
      </c>
      <c r="I71" s="32" t="s">
        <v>163</v>
      </c>
      <c r="J71" s="2" t="s">
        <v>164</v>
      </c>
      <c r="K71" t="s">
        <v>92</v>
      </c>
      <c r="L71" t="s">
        <v>132</v>
      </c>
      <c r="M71" s="2" t="s">
        <v>75</v>
      </c>
      <c r="N71" t="s">
        <v>142</v>
      </c>
      <c r="O71" t="s">
        <v>90</v>
      </c>
      <c r="P71" s="2" t="s">
        <v>147</v>
      </c>
      <c r="Q71" t="s">
        <v>61</v>
      </c>
      <c r="R71" t="s">
        <v>61</v>
      </c>
      <c r="S71" s="67" t="s">
        <v>165</v>
      </c>
      <c r="T71" t="s">
        <v>166</v>
      </c>
      <c r="U71" t="s">
        <v>167</v>
      </c>
      <c r="V71" s="2" t="s">
        <v>168</v>
      </c>
      <c r="W71" s="2" t="s">
        <v>62</v>
      </c>
      <c r="Z71" s="2" t="s">
        <v>93</v>
      </c>
      <c r="AA71" s="2" t="s">
        <v>94</v>
      </c>
      <c r="AB71" s="2" t="s">
        <v>63</v>
      </c>
      <c r="AC71" s="2" t="s">
        <v>64</v>
      </c>
    </row>
    <row r="72" spans="1:29" x14ac:dyDescent="0.35">
      <c r="A72" t="s">
        <v>91</v>
      </c>
      <c r="B72" t="s">
        <v>130</v>
      </c>
      <c r="C72" t="s">
        <v>131</v>
      </c>
      <c r="D72" t="s">
        <v>14</v>
      </c>
      <c r="E72" t="s">
        <v>14</v>
      </c>
      <c r="F72" t="s">
        <v>14</v>
      </c>
      <c r="G72" s="2" t="s">
        <v>131</v>
      </c>
      <c r="H72">
        <v>424803</v>
      </c>
      <c r="I72" s="32" t="s">
        <v>163</v>
      </c>
      <c r="J72" s="2" t="s">
        <v>164</v>
      </c>
      <c r="K72" t="s">
        <v>92</v>
      </c>
      <c r="L72" t="s">
        <v>132</v>
      </c>
      <c r="M72" s="2" t="s">
        <v>75</v>
      </c>
      <c r="N72" t="s">
        <v>142</v>
      </c>
      <c r="O72" t="s">
        <v>117</v>
      </c>
      <c r="P72" s="2" t="s">
        <v>20</v>
      </c>
      <c r="Q72" t="s">
        <v>61</v>
      </c>
      <c r="R72" t="s">
        <v>61</v>
      </c>
      <c r="S72" s="67" t="s">
        <v>165</v>
      </c>
      <c r="T72" t="s">
        <v>166</v>
      </c>
      <c r="U72" t="s">
        <v>167</v>
      </c>
      <c r="V72" s="2" t="s">
        <v>168</v>
      </c>
      <c r="W72" s="2" t="s">
        <v>62</v>
      </c>
      <c r="Z72" s="2" t="s">
        <v>93</v>
      </c>
      <c r="AA72" s="2" t="s">
        <v>94</v>
      </c>
      <c r="AB72" s="2" t="s">
        <v>63</v>
      </c>
      <c r="AC72" s="2" t="s">
        <v>64</v>
      </c>
    </row>
    <row r="73" spans="1:29" x14ac:dyDescent="0.35">
      <c r="A73" t="s">
        <v>91</v>
      </c>
      <c r="B73" t="s">
        <v>130</v>
      </c>
      <c r="C73" t="s">
        <v>131</v>
      </c>
      <c r="D73" t="s">
        <v>14</v>
      </c>
      <c r="E73" t="s">
        <v>14</v>
      </c>
      <c r="F73" t="s">
        <v>14</v>
      </c>
      <c r="G73" s="2" t="s">
        <v>131</v>
      </c>
      <c r="H73">
        <v>424803</v>
      </c>
      <c r="I73" s="32" t="s">
        <v>163</v>
      </c>
      <c r="J73" s="2" t="s">
        <v>164</v>
      </c>
      <c r="K73" t="s">
        <v>92</v>
      </c>
      <c r="L73" t="s">
        <v>132</v>
      </c>
      <c r="M73" s="2" t="s">
        <v>75</v>
      </c>
      <c r="N73" t="s">
        <v>142</v>
      </c>
      <c r="O73" t="s">
        <v>110</v>
      </c>
      <c r="P73" s="2" t="s">
        <v>20</v>
      </c>
      <c r="Q73" t="s">
        <v>61</v>
      </c>
      <c r="R73" t="s">
        <v>61</v>
      </c>
      <c r="S73" s="67" t="s">
        <v>165</v>
      </c>
      <c r="T73" t="s">
        <v>166</v>
      </c>
      <c r="U73" t="s">
        <v>167</v>
      </c>
      <c r="V73" s="2" t="s">
        <v>168</v>
      </c>
      <c r="W73" s="2" t="s">
        <v>62</v>
      </c>
      <c r="Z73" s="2" t="s">
        <v>93</v>
      </c>
      <c r="AA73" s="2" t="s">
        <v>94</v>
      </c>
      <c r="AB73" s="2" t="s">
        <v>63</v>
      </c>
      <c r="AC73" s="2" t="s">
        <v>64</v>
      </c>
    </row>
    <row r="74" spans="1:29" x14ac:dyDescent="0.35">
      <c r="A74" t="s">
        <v>91</v>
      </c>
      <c r="B74" t="s">
        <v>130</v>
      </c>
      <c r="C74" t="s">
        <v>131</v>
      </c>
      <c r="D74" t="s">
        <v>14</v>
      </c>
      <c r="E74" t="s">
        <v>14</v>
      </c>
      <c r="F74" t="s">
        <v>14</v>
      </c>
      <c r="G74" s="2" t="s">
        <v>131</v>
      </c>
      <c r="H74">
        <v>424803</v>
      </c>
      <c r="I74" s="32" t="s">
        <v>163</v>
      </c>
      <c r="J74" s="2" t="s">
        <v>164</v>
      </c>
      <c r="K74" t="s">
        <v>92</v>
      </c>
      <c r="L74" t="s">
        <v>132</v>
      </c>
      <c r="M74" s="2" t="s">
        <v>75</v>
      </c>
      <c r="N74" t="s">
        <v>142</v>
      </c>
      <c r="O74" t="s">
        <v>118</v>
      </c>
      <c r="P74" s="2" t="s">
        <v>20</v>
      </c>
      <c r="Q74" t="s">
        <v>61</v>
      </c>
      <c r="R74" t="s">
        <v>61</v>
      </c>
      <c r="S74" s="67" t="s">
        <v>165</v>
      </c>
      <c r="T74" t="s">
        <v>166</v>
      </c>
      <c r="U74" t="s">
        <v>167</v>
      </c>
      <c r="V74" s="2" t="s">
        <v>168</v>
      </c>
      <c r="W74" s="2" t="s">
        <v>62</v>
      </c>
      <c r="Z74" s="2" t="s">
        <v>93</v>
      </c>
      <c r="AA74" s="2" t="s">
        <v>94</v>
      </c>
      <c r="AB74" s="2" t="s">
        <v>63</v>
      </c>
      <c r="AC74" s="2" t="s">
        <v>64</v>
      </c>
    </row>
    <row r="75" spans="1:29" x14ac:dyDescent="0.35">
      <c r="A75" t="s">
        <v>91</v>
      </c>
      <c r="B75" t="s">
        <v>130</v>
      </c>
      <c r="C75" t="s">
        <v>131</v>
      </c>
      <c r="D75" t="s">
        <v>14</v>
      </c>
      <c r="E75" t="s">
        <v>14</v>
      </c>
      <c r="F75" t="s">
        <v>14</v>
      </c>
      <c r="G75" s="2" t="s">
        <v>131</v>
      </c>
      <c r="H75">
        <v>424803</v>
      </c>
      <c r="I75" s="32" t="s">
        <v>163</v>
      </c>
      <c r="J75" s="2" t="s">
        <v>164</v>
      </c>
      <c r="K75" t="s">
        <v>92</v>
      </c>
      <c r="L75" t="s">
        <v>132</v>
      </c>
      <c r="M75" s="2" t="s">
        <v>75</v>
      </c>
      <c r="N75" t="s">
        <v>142</v>
      </c>
      <c r="O75" t="s">
        <v>119</v>
      </c>
      <c r="P75" s="2" t="s">
        <v>20</v>
      </c>
      <c r="Q75" t="s">
        <v>61</v>
      </c>
      <c r="R75" t="s">
        <v>61</v>
      </c>
      <c r="S75" s="67" t="s">
        <v>165</v>
      </c>
      <c r="T75" t="s">
        <v>166</v>
      </c>
      <c r="U75" t="s">
        <v>167</v>
      </c>
      <c r="V75" s="2" t="s">
        <v>168</v>
      </c>
      <c r="W75" s="2" t="s">
        <v>62</v>
      </c>
      <c r="Z75" s="2" t="s">
        <v>93</v>
      </c>
      <c r="AA75" s="2" t="s">
        <v>94</v>
      </c>
      <c r="AB75" s="2" t="s">
        <v>63</v>
      </c>
      <c r="AC75" s="2" t="s">
        <v>64</v>
      </c>
    </row>
    <row r="76" spans="1:29" x14ac:dyDescent="0.35">
      <c r="A76" t="s">
        <v>91</v>
      </c>
      <c r="B76" t="s">
        <v>130</v>
      </c>
      <c r="C76" t="s">
        <v>131</v>
      </c>
      <c r="D76" t="s">
        <v>14</v>
      </c>
      <c r="E76" t="s">
        <v>14</v>
      </c>
      <c r="F76" t="s">
        <v>14</v>
      </c>
      <c r="G76" s="2" t="s">
        <v>131</v>
      </c>
      <c r="H76">
        <v>424803</v>
      </c>
      <c r="I76" s="32" t="s">
        <v>163</v>
      </c>
      <c r="J76" s="2" t="s">
        <v>164</v>
      </c>
      <c r="K76" t="s">
        <v>92</v>
      </c>
      <c r="L76" t="s">
        <v>132</v>
      </c>
      <c r="M76" s="2" t="s">
        <v>75</v>
      </c>
      <c r="N76" t="s">
        <v>142</v>
      </c>
      <c r="O76" t="s">
        <v>120</v>
      </c>
      <c r="P76" s="2" t="s">
        <v>20</v>
      </c>
      <c r="Q76" t="s">
        <v>61</v>
      </c>
      <c r="R76" t="s">
        <v>61</v>
      </c>
      <c r="S76" s="67" t="s">
        <v>165</v>
      </c>
      <c r="T76" t="s">
        <v>166</v>
      </c>
      <c r="U76" t="s">
        <v>167</v>
      </c>
      <c r="V76" s="2" t="s">
        <v>168</v>
      </c>
      <c r="W76" s="2" t="s">
        <v>62</v>
      </c>
      <c r="Z76" s="2" t="s">
        <v>93</v>
      </c>
      <c r="AA76" s="2" t="s">
        <v>94</v>
      </c>
      <c r="AB76" s="2" t="s">
        <v>63</v>
      </c>
      <c r="AC76" s="2" t="s">
        <v>64</v>
      </c>
    </row>
    <row r="77" spans="1:29" x14ac:dyDescent="0.35">
      <c r="A77" t="s">
        <v>91</v>
      </c>
      <c r="B77" t="s">
        <v>130</v>
      </c>
      <c r="C77" t="s">
        <v>131</v>
      </c>
      <c r="D77" t="s">
        <v>14</v>
      </c>
      <c r="E77" t="s">
        <v>14</v>
      </c>
      <c r="F77" t="s">
        <v>14</v>
      </c>
      <c r="G77" s="2" t="s">
        <v>131</v>
      </c>
      <c r="H77">
        <v>424803</v>
      </c>
      <c r="I77" s="32" t="s">
        <v>163</v>
      </c>
      <c r="J77" s="2" t="s">
        <v>164</v>
      </c>
      <c r="K77" t="s">
        <v>92</v>
      </c>
      <c r="L77" t="s">
        <v>132</v>
      </c>
      <c r="M77" s="2" t="s">
        <v>75</v>
      </c>
      <c r="N77" t="s">
        <v>142</v>
      </c>
      <c r="O77" t="s">
        <v>121</v>
      </c>
      <c r="P77" s="2" t="s">
        <v>20</v>
      </c>
      <c r="Q77" t="s">
        <v>61</v>
      </c>
      <c r="R77" t="s">
        <v>61</v>
      </c>
      <c r="S77" s="67" t="s">
        <v>165</v>
      </c>
      <c r="T77" t="s">
        <v>166</v>
      </c>
      <c r="U77" t="s">
        <v>167</v>
      </c>
      <c r="V77" s="2" t="s">
        <v>168</v>
      </c>
      <c r="W77" s="2" t="s">
        <v>62</v>
      </c>
      <c r="Z77" s="2" t="s">
        <v>93</v>
      </c>
      <c r="AA77" s="2" t="s">
        <v>94</v>
      </c>
      <c r="AB77" s="2" t="s">
        <v>63</v>
      </c>
      <c r="AC77" s="2" t="s">
        <v>64</v>
      </c>
    </row>
    <row r="78" spans="1:29" x14ac:dyDescent="0.35">
      <c r="A78" t="s">
        <v>91</v>
      </c>
      <c r="B78" t="s">
        <v>130</v>
      </c>
      <c r="C78" t="s">
        <v>131</v>
      </c>
      <c r="D78" t="s">
        <v>14</v>
      </c>
      <c r="E78" t="s">
        <v>14</v>
      </c>
      <c r="F78" t="s">
        <v>14</v>
      </c>
      <c r="G78" s="2" t="s">
        <v>131</v>
      </c>
      <c r="H78">
        <v>424803</v>
      </c>
      <c r="I78" s="32" t="s">
        <v>163</v>
      </c>
      <c r="J78" s="2" t="s">
        <v>164</v>
      </c>
      <c r="K78" t="s">
        <v>92</v>
      </c>
      <c r="L78" t="s">
        <v>132</v>
      </c>
      <c r="M78" s="2" t="s">
        <v>75</v>
      </c>
      <c r="N78" t="s">
        <v>142</v>
      </c>
      <c r="O78" t="s">
        <v>128</v>
      </c>
      <c r="P78" s="2" t="s">
        <v>20</v>
      </c>
      <c r="Q78" t="s">
        <v>61</v>
      </c>
      <c r="R78" t="s">
        <v>61</v>
      </c>
      <c r="S78" s="67" t="s">
        <v>165</v>
      </c>
      <c r="T78" t="s">
        <v>166</v>
      </c>
      <c r="U78" t="s">
        <v>167</v>
      </c>
      <c r="V78" s="2" t="s">
        <v>168</v>
      </c>
      <c r="W78" s="2" t="s">
        <v>62</v>
      </c>
      <c r="Z78" s="2" t="s">
        <v>93</v>
      </c>
      <c r="AA78" s="2" t="s">
        <v>94</v>
      </c>
      <c r="AB78" s="2" t="s">
        <v>63</v>
      </c>
      <c r="AC78" s="2" t="s">
        <v>64</v>
      </c>
    </row>
    <row r="79" spans="1:29" x14ac:dyDescent="0.35">
      <c r="A79" t="s">
        <v>91</v>
      </c>
      <c r="B79" t="s">
        <v>130</v>
      </c>
      <c r="C79" t="s">
        <v>131</v>
      </c>
      <c r="D79" t="s">
        <v>14</v>
      </c>
      <c r="E79" t="s">
        <v>14</v>
      </c>
      <c r="F79" t="s">
        <v>14</v>
      </c>
      <c r="G79" s="2" t="s">
        <v>131</v>
      </c>
      <c r="H79">
        <v>424803</v>
      </c>
      <c r="I79" s="32" t="s">
        <v>163</v>
      </c>
      <c r="J79" s="2" t="s">
        <v>164</v>
      </c>
      <c r="K79" t="s">
        <v>92</v>
      </c>
      <c r="L79" t="s">
        <v>132</v>
      </c>
      <c r="M79" s="2" t="s">
        <v>75</v>
      </c>
      <c r="N79" t="s">
        <v>142</v>
      </c>
      <c r="O79" t="s">
        <v>122</v>
      </c>
      <c r="P79" s="2" t="s">
        <v>20</v>
      </c>
      <c r="Q79" t="s">
        <v>61</v>
      </c>
      <c r="R79" t="s">
        <v>61</v>
      </c>
      <c r="S79" s="67" t="s">
        <v>165</v>
      </c>
      <c r="T79" t="s">
        <v>166</v>
      </c>
      <c r="U79" t="s">
        <v>167</v>
      </c>
      <c r="V79" s="2" t="s">
        <v>168</v>
      </c>
      <c r="W79" s="2" t="s">
        <v>62</v>
      </c>
      <c r="Z79" s="2" t="s">
        <v>93</v>
      </c>
      <c r="AA79" s="2" t="s">
        <v>94</v>
      </c>
      <c r="AB79" s="2" t="s">
        <v>63</v>
      </c>
      <c r="AC79" s="2" t="s">
        <v>64</v>
      </c>
    </row>
    <row r="80" spans="1:29" x14ac:dyDescent="0.35">
      <c r="A80" t="s">
        <v>91</v>
      </c>
      <c r="B80" t="s">
        <v>130</v>
      </c>
      <c r="C80" t="s">
        <v>131</v>
      </c>
      <c r="D80" t="s">
        <v>14</v>
      </c>
      <c r="E80" t="s">
        <v>14</v>
      </c>
      <c r="F80" t="s">
        <v>14</v>
      </c>
      <c r="G80" s="2" t="s">
        <v>131</v>
      </c>
      <c r="H80">
        <v>424803</v>
      </c>
      <c r="I80" s="32" t="s">
        <v>163</v>
      </c>
      <c r="J80" s="2" t="s">
        <v>164</v>
      </c>
      <c r="K80" t="s">
        <v>92</v>
      </c>
      <c r="L80" t="s">
        <v>132</v>
      </c>
      <c r="M80" s="2" t="s">
        <v>75</v>
      </c>
      <c r="N80" t="s">
        <v>142</v>
      </c>
      <c r="O80" t="s">
        <v>102</v>
      </c>
      <c r="P80" s="2" t="s">
        <v>14</v>
      </c>
      <c r="Q80" t="s">
        <v>61</v>
      </c>
      <c r="R80" t="s">
        <v>61</v>
      </c>
      <c r="S80" s="67" t="s">
        <v>165</v>
      </c>
      <c r="T80" t="s">
        <v>166</v>
      </c>
      <c r="U80" t="s">
        <v>167</v>
      </c>
      <c r="V80" s="2" t="s">
        <v>168</v>
      </c>
      <c r="W80" s="2" t="s">
        <v>62</v>
      </c>
      <c r="Z80" s="2" t="s">
        <v>93</v>
      </c>
      <c r="AA80" s="2" t="s">
        <v>94</v>
      </c>
      <c r="AB80" s="2" t="s">
        <v>63</v>
      </c>
      <c r="AC80" s="2" t="s">
        <v>64</v>
      </c>
    </row>
    <row r="81" spans="1:29" x14ac:dyDescent="0.35">
      <c r="A81" t="s">
        <v>91</v>
      </c>
      <c r="B81" t="s">
        <v>130</v>
      </c>
      <c r="C81" t="s">
        <v>131</v>
      </c>
      <c r="D81" t="s">
        <v>14</v>
      </c>
      <c r="E81" t="s">
        <v>14</v>
      </c>
      <c r="F81" t="s">
        <v>14</v>
      </c>
      <c r="G81" s="2" t="s">
        <v>131</v>
      </c>
      <c r="H81">
        <v>424803</v>
      </c>
      <c r="I81" s="32" t="s">
        <v>163</v>
      </c>
      <c r="J81" s="2" t="s">
        <v>164</v>
      </c>
      <c r="K81" t="s">
        <v>92</v>
      </c>
      <c r="L81" t="s">
        <v>132</v>
      </c>
      <c r="M81" s="2" t="s">
        <v>75</v>
      </c>
      <c r="N81" t="s">
        <v>142</v>
      </c>
      <c r="O81" t="s">
        <v>103</v>
      </c>
      <c r="P81" s="2" t="s">
        <v>169</v>
      </c>
      <c r="Q81" t="s">
        <v>61</v>
      </c>
      <c r="R81" t="s">
        <v>61</v>
      </c>
      <c r="S81" s="67" t="s">
        <v>165</v>
      </c>
      <c r="T81" t="s">
        <v>166</v>
      </c>
      <c r="U81" t="s">
        <v>167</v>
      </c>
      <c r="V81" s="2" t="s">
        <v>168</v>
      </c>
      <c r="W81" s="2" t="s">
        <v>62</v>
      </c>
      <c r="Z81" s="2" t="s">
        <v>93</v>
      </c>
      <c r="AA81" s="2" t="s">
        <v>94</v>
      </c>
      <c r="AB81" s="2" t="s">
        <v>63</v>
      </c>
      <c r="AC81" s="2" t="s">
        <v>64</v>
      </c>
    </row>
    <row r="82" spans="1:29" x14ac:dyDescent="0.35">
      <c r="A82" t="s">
        <v>91</v>
      </c>
      <c r="B82" t="s">
        <v>130</v>
      </c>
      <c r="C82" t="s">
        <v>131</v>
      </c>
      <c r="D82" t="s">
        <v>14</v>
      </c>
      <c r="E82" t="s">
        <v>14</v>
      </c>
      <c r="F82" t="s">
        <v>14</v>
      </c>
      <c r="G82" s="2" t="s">
        <v>131</v>
      </c>
      <c r="H82">
        <v>424803</v>
      </c>
      <c r="I82" s="32" t="s">
        <v>163</v>
      </c>
      <c r="J82" s="2" t="s">
        <v>164</v>
      </c>
      <c r="K82" t="s">
        <v>92</v>
      </c>
      <c r="L82" t="s">
        <v>132</v>
      </c>
      <c r="M82" s="2" t="s">
        <v>75</v>
      </c>
      <c r="N82" t="s">
        <v>142</v>
      </c>
      <c r="O82" t="s">
        <v>104</v>
      </c>
      <c r="P82" s="2" t="s">
        <v>20</v>
      </c>
      <c r="Q82" t="s">
        <v>61</v>
      </c>
      <c r="R82" t="s">
        <v>61</v>
      </c>
      <c r="S82" s="67" t="s">
        <v>165</v>
      </c>
      <c r="T82" t="s">
        <v>166</v>
      </c>
      <c r="U82" t="s">
        <v>167</v>
      </c>
      <c r="V82" s="2" t="s">
        <v>168</v>
      </c>
      <c r="W82" s="2" t="s">
        <v>62</v>
      </c>
      <c r="Z82" s="2" t="s">
        <v>93</v>
      </c>
      <c r="AA82" s="2" t="s">
        <v>94</v>
      </c>
      <c r="AB82" s="2" t="s">
        <v>63</v>
      </c>
      <c r="AC82" s="2" t="s">
        <v>64</v>
      </c>
    </row>
    <row r="83" spans="1:29" x14ac:dyDescent="0.35">
      <c r="A83" t="s">
        <v>91</v>
      </c>
      <c r="B83" t="s">
        <v>130</v>
      </c>
      <c r="C83" t="s">
        <v>131</v>
      </c>
      <c r="D83" t="s">
        <v>14</v>
      </c>
      <c r="E83" t="s">
        <v>14</v>
      </c>
      <c r="F83" t="s">
        <v>14</v>
      </c>
      <c r="G83" s="2" t="s">
        <v>131</v>
      </c>
      <c r="H83">
        <v>424803</v>
      </c>
      <c r="I83" s="32" t="s">
        <v>163</v>
      </c>
      <c r="J83" s="2" t="s">
        <v>164</v>
      </c>
      <c r="K83" t="s">
        <v>92</v>
      </c>
      <c r="L83" t="s">
        <v>132</v>
      </c>
      <c r="M83" s="2" t="s">
        <v>75</v>
      </c>
      <c r="N83" t="s">
        <v>142</v>
      </c>
      <c r="O83" t="s">
        <v>116</v>
      </c>
      <c r="P83" s="2" t="s">
        <v>20</v>
      </c>
      <c r="Q83" t="s">
        <v>61</v>
      </c>
      <c r="R83" t="s">
        <v>61</v>
      </c>
      <c r="S83" s="67" t="s">
        <v>165</v>
      </c>
      <c r="T83" t="s">
        <v>166</v>
      </c>
      <c r="U83" t="s">
        <v>167</v>
      </c>
      <c r="V83" s="2" t="s">
        <v>168</v>
      </c>
      <c r="W83" s="2" t="s">
        <v>62</v>
      </c>
      <c r="Z83" s="2" t="s">
        <v>93</v>
      </c>
      <c r="AA83" s="2" t="s">
        <v>94</v>
      </c>
      <c r="AB83" s="2" t="s">
        <v>63</v>
      </c>
      <c r="AC83" s="2" t="s">
        <v>64</v>
      </c>
    </row>
    <row r="84" spans="1:29" x14ac:dyDescent="0.35">
      <c r="A84" t="s">
        <v>91</v>
      </c>
      <c r="B84" t="s">
        <v>130</v>
      </c>
      <c r="C84" t="s">
        <v>131</v>
      </c>
      <c r="D84" t="s">
        <v>14</v>
      </c>
      <c r="E84" t="s">
        <v>14</v>
      </c>
      <c r="F84" t="s">
        <v>14</v>
      </c>
      <c r="G84" s="2" t="s">
        <v>131</v>
      </c>
      <c r="H84">
        <v>424803</v>
      </c>
      <c r="I84" s="32" t="s">
        <v>163</v>
      </c>
      <c r="J84" s="2" t="s">
        <v>164</v>
      </c>
      <c r="K84" t="s">
        <v>92</v>
      </c>
      <c r="L84" t="s">
        <v>132</v>
      </c>
      <c r="M84" s="2" t="s">
        <v>75</v>
      </c>
      <c r="N84" t="s">
        <v>142</v>
      </c>
      <c r="O84" t="s">
        <v>105</v>
      </c>
      <c r="P84" s="2" t="s">
        <v>20</v>
      </c>
      <c r="Q84" t="s">
        <v>61</v>
      </c>
      <c r="R84" t="s">
        <v>61</v>
      </c>
      <c r="S84" s="67" t="s">
        <v>165</v>
      </c>
      <c r="T84" t="s">
        <v>166</v>
      </c>
      <c r="U84" t="s">
        <v>167</v>
      </c>
      <c r="V84" s="2" t="s">
        <v>168</v>
      </c>
      <c r="W84" s="2" t="s">
        <v>62</v>
      </c>
      <c r="Z84" s="2" t="s">
        <v>93</v>
      </c>
      <c r="AA84" s="2" t="s">
        <v>94</v>
      </c>
      <c r="AB84" s="2" t="s">
        <v>63</v>
      </c>
      <c r="AC84" s="2" t="s">
        <v>64</v>
      </c>
    </row>
    <row r="85" spans="1:29" x14ac:dyDescent="0.35">
      <c r="A85" t="s">
        <v>91</v>
      </c>
      <c r="B85" t="s">
        <v>130</v>
      </c>
      <c r="C85" t="s">
        <v>131</v>
      </c>
      <c r="D85" t="s">
        <v>14</v>
      </c>
      <c r="E85" t="s">
        <v>14</v>
      </c>
      <c r="F85" t="s">
        <v>14</v>
      </c>
      <c r="G85" s="2" t="s">
        <v>131</v>
      </c>
      <c r="H85">
        <v>424803</v>
      </c>
      <c r="I85" s="32" t="s">
        <v>163</v>
      </c>
      <c r="J85" s="2" t="s">
        <v>164</v>
      </c>
      <c r="K85" t="s">
        <v>92</v>
      </c>
      <c r="L85" t="s">
        <v>132</v>
      </c>
      <c r="M85" s="2" t="s">
        <v>75</v>
      </c>
      <c r="N85" t="s">
        <v>142</v>
      </c>
      <c r="O85" t="s">
        <v>106</v>
      </c>
      <c r="P85" s="2" t="s">
        <v>20</v>
      </c>
      <c r="Q85" t="s">
        <v>61</v>
      </c>
      <c r="R85" t="s">
        <v>61</v>
      </c>
      <c r="S85" s="67" t="s">
        <v>165</v>
      </c>
      <c r="T85" t="s">
        <v>166</v>
      </c>
      <c r="U85" t="s">
        <v>167</v>
      </c>
      <c r="V85" s="2" t="s">
        <v>168</v>
      </c>
      <c r="W85" s="2" t="s">
        <v>62</v>
      </c>
      <c r="Z85" s="2" t="s">
        <v>93</v>
      </c>
      <c r="AA85" s="2" t="s">
        <v>94</v>
      </c>
      <c r="AB85" s="2" t="s">
        <v>63</v>
      </c>
      <c r="AC85" s="2" t="s">
        <v>64</v>
      </c>
    </row>
    <row r="86" spans="1:29" x14ac:dyDescent="0.35">
      <c r="A86" t="s">
        <v>91</v>
      </c>
      <c r="B86" t="s">
        <v>130</v>
      </c>
      <c r="C86" t="s">
        <v>131</v>
      </c>
      <c r="D86" t="s">
        <v>14</v>
      </c>
      <c r="E86" t="s">
        <v>14</v>
      </c>
      <c r="F86" t="s">
        <v>14</v>
      </c>
      <c r="G86" s="2" t="s">
        <v>131</v>
      </c>
      <c r="H86">
        <v>424803</v>
      </c>
      <c r="I86" s="32" t="s">
        <v>163</v>
      </c>
      <c r="J86" s="2" t="s">
        <v>164</v>
      </c>
      <c r="K86" t="s">
        <v>92</v>
      </c>
      <c r="L86" t="s">
        <v>132</v>
      </c>
      <c r="M86" s="2" t="s">
        <v>75</v>
      </c>
      <c r="N86" t="s">
        <v>142</v>
      </c>
      <c r="O86" t="s">
        <v>107</v>
      </c>
      <c r="P86" s="2" t="s">
        <v>147</v>
      </c>
      <c r="Q86" t="s">
        <v>61</v>
      </c>
      <c r="R86" t="s">
        <v>61</v>
      </c>
      <c r="S86" s="67" t="s">
        <v>165</v>
      </c>
      <c r="T86" t="s">
        <v>166</v>
      </c>
      <c r="U86" t="s">
        <v>167</v>
      </c>
      <c r="V86" s="2" t="s">
        <v>168</v>
      </c>
      <c r="W86" s="2" t="s">
        <v>62</v>
      </c>
      <c r="Z86" s="2" t="s">
        <v>93</v>
      </c>
      <c r="AA86" s="2" t="s">
        <v>94</v>
      </c>
      <c r="AB86" s="2" t="s">
        <v>63</v>
      </c>
      <c r="AC86" s="2" t="s">
        <v>64</v>
      </c>
    </row>
    <row r="87" spans="1:29" x14ac:dyDescent="0.35">
      <c r="A87" t="s">
        <v>91</v>
      </c>
      <c r="B87" t="s">
        <v>130</v>
      </c>
      <c r="C87" t="s">
        <v>131</v>
      </c>
      <c r="D87" t="s">
        <v>14</v>
      </c>
      <c r="E87" t="s">
        <v>14</v>
      </c>
      <c r="F87" t="s">
        <v>14</v>
      </c>
      <c r="G87" s="2" t="s">
        <v>131</v>
      </c>
      <c r="H87">
        <v>424803</v>
      </c>
      <c r="I87" s="32" t="s">
        <v>163</v>
      </c>
      <c r="J87" s="2" t="s">
        <v>164</v>
      </c>
      <c r="K87" t="s">
        <v>92</v>
      </c>
      <c r="L87" t="s">
        <v>132</v>
      </c>
      <c r="M87" s="2" t="s">
        <v>75</v>
      </c>
      <c r="N87" t="s">
        <v>142</v>
      </c>
      <c r="O87" t="s">
        <v>108</v>
      </c>
      <c r="P87" s="2" t="s">
        <v>162</v>
      </c>
      <c r="Q87" t="s">
        <v>61</v>
      </c>
      <c r="R87" t="s">
        <v>61</v>
      </c>
      <c r="S87" s="67" t="s">
        <v>165</v>
      </c>
      <c r="T87" t="s">
        <v>166</v>
      </c>
      <c r="U87" t="s">
        <v>167</v>
      </c>
      <c r="V87" s="2" t="s">
        <v>168</v>
      </c>
      <c r="W87" s="2" t="s">
        <v>62</v>
      </c>
      <c r="Z87" s="2" t="s">
        <v>93</v>
      </c>
      <c r="AA87" s="2" t="s">
        <v>94</v>
      </c>
      <c r="AB87" s="2" t="s">
        <v>63</v>
      </c>
      <c r="AC87" s="2" t="s">
        <v>64</v>
      </c>
    </row>
    <row r="88" spans="1:29" x14ac:dyDescent="0.35">
      <c r="A88" t="s">
        <v>91</v>
      </c>
      <c r="B88" t="s">
        <v>66</v>
      </c>
      <c r="C88" t="s">
        <v>8</v>
      </c>
      <c r="D88" t="s">
        <v>15</v>
      </c>
      <c r="E88" t="s">
        <v>15</v>
      </c>
      <c r="F88" t="s">
        <v>15</v>
      </c>
      <c r="G88" s="2" t="s">
        <v>8</v>
      </c>
      <c r="H88">
        <v>122880</v>
      </c>
      <c r="I88" s="32" t="s">
        <v>170</v>
      </c>
      <c r="J88" s="2" t="s">
        <v>171</v>
      </c>
      <c r="K88" t="s">
        <v>92</v>
      </c>
      <c r="L88" t="s">
        <v>132</v>
      </c>
      <c r="M88" s="2" t="s">
        <v>75</v>
      </c>
      <c r="N88" t="s">
        <v>142</v>
      </c>
      <c r="O88" t="s">
        <v>99</v>
      </c>
      <c r="P88" s="2" t="s">
        <v>147</v>
      </c>
      <c r="Q88" t="s">
        <v>61</v>
      </c>
      <c r="R88" t="s">
        <v>61</v>
      </c>
      <c r="S88" s="67" t="s">
        <v>172</v>
      </c>
      <c r="T88" t="s">
        <v>173</v>
      </c>
      <c r="U88" t="s">
        <v>174</v>
      </c>
      <c r="V88" s="2" t="s">
        <v>175</v>
      </c>
      <c r="W88" s="2" t="s">
        <v>62</v>
      </c>
      <c r="Z88" s="2" t="s">
        <v>93</v>
      </c>
      <c r="AA88" s="2" t="s">
        <v>94</v>
      </c>
      <c r="AB88" s="2" t="s">
        <v>63</v>
      </c>
      <c r="AC88" s="2" t="s">
        <v>64</v>
      </c>
    </row>
    <row r="89" spans="1:29" x14ac:dyDescent="0.35">
      <c r="A89" t="s">
        <v>91</v>
      </c>
      <c r="B89" t="s">
        <v>66</v>
      </c>
      <c r="C89" t="s">
        <v>8</v>
      </c>
      <c r="D89" t="s">
        <v>15</v>
      </c>
      <c r="E89" t="s">
        <v>15</v>
      </c>
      <c r="F89" t="s">
        <v>15</v>
      </c>
      <c r="G89" s="2" t="s">
        <v>8</v>
      </c>
      <c r="H89">
        <v>122880</v>
      </c>
      <c r="I89" s="32" t="s">
        <v>170</v>
      </c>
      <c r="J89" s="2" t="s">
        <v>171</v>
      </c>
      <c r="K89" t="s">
        <v>92</v>
      </c>
      <c r="L89" t="s">
        <v>132</v>
      </c>
      <c r="M89" s="2" t="s">
        <v>75</v>
      </c>
      <c r="N89" t="s">
        <v>142</v>
      </c>
      <c r="O89" t="s">
        <v>107</v>
      </c>
      <c r="P89" s="2" t="s">
        <v>20</v>
      </c>
      <c r="Q89" t="s">
        <v>61</v>
      </c>
      <c r="R89" t="s">
        <v>61</v>
      </c>
      <c r="S89" s="67" t="s">
        <v>172</v>
      </c>
      <c r="T89" t="s">
        <v>173</v>
      </c>
      <c r="U89" t="s">
        <v>174</v>
      </c>
      <c r="V89" s="2" t="s">
        <v>175</v>
      </c>
      <c r="W89" s="2" t="s">
        <v>62</v>
      </c>
      <c r="Z89" s="2" t="s">
        <v>93</v>
      </c>
      <c r="AA89" s="2" t="s">
        <v>94</v>
      </c>
      <c r="AB89" s="2" t="s">
        <v>63</v>
      </c>
      <c r="AC89" s="2" t="s">
        <v>64</v>
      </c>
    </row>
    <row r="90" spans="1:29" x14ac:dyDescent="0.35">
      <c r="A90" t="s">
        <v>91</v>
      </c>
      <c r="B90" t="s">
        <v>66</v>
      </c>
      <c r="C90" t="s">
        <v>8</v>
      </c>
      <c r="D90" t="s">
        <v>15</v>
      </c>
      <c r="E90" t="s">
        <v>15</v>
      </c>
      <c r="F90" t="s">
        <v>15</v>
      </c>
      <c r="G90" s="2" t="s">
        <v>8</v>
      </c>
      <c r="H90">
        <v>122880</v>
      </c>
      <c r="I90" s="32" t="s">
        <v>170</v>
      </c>
      <c r="J90" s="2" t="s">
        <v>171</v>
      </c>
      <c r="K90" t="s">
        <v>92</v>
      </c>
      <c r="L90" t="s">
        <v>132</v>
      </c>
      <c r="M90" s="2" t="s">
        <v>75</v>
      </c>
      <c r="N90" t="s">
        <v>142</v>
      </c>
      <c r="O90" t="s">
        <v>108</v>
      </c>
      <c r="P90" s="2" t="s">
        <v>176</v>
      </c>
      <c r="Q90" t="s">
        <v>61</v>
      </c>
      <c r="R90" t="s">
        <v>61</v>
      </c>
      <c r="S90" s="67" t="s">
        <v>172</v>
      </c>
      <c r="T90" t="s">
        <v>173</v>
      </c>
      <c r="U90" t="s">
        <v>174</v>
      </c>
      <c r="V90" s="2" t="s">
        <v>175</v>
      </c>
      <c r="W90" s="2" t="s">
        <v>62</v>
      </c>
      <c r="Z90" s="2" t="s">
        <v>93</v>
      </c>
      <c r="AA90" s="2" t="s">
        <v>94</v>
      </c>
      <c r="AB90" s="2" t="s">
        <v>63</v>
      </c>
      <c r="AC90" s="2" t="s">
        <v>64</v>
      </c>
    </row>
    <row r="91" spans="1:29" x14ac:dyDescent="0.35">
      <c r="A91" t="s">
        <v>91</v>
      </c>
      <c r="B91" t="s">
        <v>130</v>
      </c>
      <c r="C91" t="s">
        <v>131</v>
      </c>
      <c r="D91" t="s">
        <v>14</v>
      </c>
      <c r="E91" t="s">
        <v>14</v>
      </c>
      <c r="F91" t="s">
        <v>14</v>
      </c>
      <c r="G91" s="2" t="s">
        <v>131</v>
      </c>
      <c r="H91">
        <v>424803</v>
      </c>
      <c r="I91" s="32" t="s">
        <v>163</v>
      </c>
      <c r="J91" s="2" t="s">
        <v>164</v>
      </c>
      <c r="K91" t="s">
        <v>92</v>
      </c>
      <c r="L91" t="s">
        <v>132</v>
      </c>
      <c r="M91" s="2" t="s">
        <v>75</v>
      </c>
      <c r="N91" t="s">
        <v>142</v>
      </c>
      <c r="O91" t="s">
        <v>123</v>
      </c>
      <c r="P91" s="2" t="s">
        <v>20</v>
      </c>
      <c r="S91" s="67" t="s">
        <v>165</v>
      </c>
      <c r="T91" t="s">
        <v>166</v>
      </c>
      <c r="U91" t="s">
        <v>167</v>
      </c>
      <c r="V91" s="2" t="s">
        <v>168</v>
      </c>
      <c r="W91" s="2" t="s">
        <v>62</v>
      </c>
      <c r="Z91" s="2" t="s">
        <v>93</v>
      </c>
      <c r="AA91" s="2" t="s">
        <v>94</v>
      </c>
      <c r="AB91" s="2" t="s">
        <v>63</v>
      </c>
      <c r="AC91" s="2" t="s">
        <v>64</v>
      </c>
    </row>
    <row r="92" spans="1:29" x14ac:dyDescent="0.35">
      <c r="A92" t="s">
        <v>91</v>
      </c>
      <c r="B92" t="s">
        <v>130</v>
      </c>
      <c r="C92" t="s">
        <v>131</v>
      </c>
      <c r="D92" t="s">
        <v>14</v>
      </c>
      <c r="E92" t="s">
        <v>14</v>
      </c>
      <c r="F92" t="s">
        <v>14</v>
      </c>
      <c r="G92" s="2" t="s">
        <v>131</v>
      </c>
      <c r="H92">
        <v>424803</v>
      </c>
      <c r="I92" s="32" t="s">
        <v>163</v>
      </c>
      <c r="J92" s="2" t="s">
        <v>164</v>
      </c>
      <c r="K92" t="s">
        <v>92</v>
      </c>
      <c r="L92" t="s">
        <v>132</v>
      </c>
      <c r="M92" s="2" t="s">
        <v>75</v>
      </c>
      <c r="N92" t="s">
        <v>142</v>
      </c>
      <c r="O92" t="s">
        <v>124</v>
      </c>
      <c r="P92" s="2" t="s">
        <v>20</v>
      </c>
      <c r="S92" s="67" t="s">
        <v>165</v>
      </c>
      <c r="T92" t="s">
        <v>166</v>
      </c>
      <c r="U92" t="s">
        <v>167</v>
      </c>
      <c r="V92" s="2" t="s">
        <v>168</v>
      </c>
      <c r="W92" s="2" t="s">
        <v>62</v>
      </c>
      <c r="Z92" s="2" t="s">
        <v>93</v>
      </c>
      <c r="AA92" s="2" t="s">
        <v>94</v>
      </c>
      <c r="AB92" s="2" t="s">
        <v>63</v>
      </c>
      <c r="AC92" s="2" t="s">
        <v>64</v>
      </c>
    </row>
    <row r="93" spans="1:29" x14ac:dyDescent="0.35">
      <c r="A93" t="s">
        <v>91</v>
      </c>
      <c r="B93" t="s">
        <v>130</v>
      </c>
      <c r="C93" t="s">
        <v>131</v>
      </c>
      <c r="D93" t="s">
        <v>14</v>
      </c>
      <c r="E93" t="s">
        <v>14</v>
      </c>
      <c r="F93" t="s">
        <v>14</v>
      </c>
      <c r="G93" s="2" t="s">
        <v>131</v>
      </c>
      <c r="H93">
        <v>424803</v>
      </c>
      <c r="I93" s="32" t="s">
        <v>163</v>
      </c>
      <c r="J93" s="2" t="s">
        <v>164</v>
      </c>
      <c r="K93" t="s">
        <v>92</v>
      </c>
      <c r="L93" t="s">
        <v>132</v>
      </c>
      <c r="M93" s="2" t="s">
        <v>75</v>
      </c>
      <c r="N93" t="s">
        <v>142</v>
      </c>
      <c r="O93" t="s">
        <v>125</v>
      </c>
      <c r="P93" s="2" t="s">
        <v>20</v>
      </c>
      <c r="S93" s="67" t="s">
        <v>165</v>
      </c>
      <c r="T93" t="s">
        <v>166</v>
      </c>
      <c r="U93" t="s">
        <v>167</v>
      </c>
      <c r="V93" s="2" t="s">
        <v>168</v>
      </c>
      <c r="W93" s="2" t="s">
        <v>62</v>
      </c>
      <c r="Z93" s="2" t="s">
        <v>93</v>
      </c>
      <c r="AA93" s="2" t="s">
        <v>94</v>
      </c>
      <c r="AB93" s="2" t="s">
        <v>63</v>
      </c>
      <c r="AC93" s="2" t="s">
        <v>64</v>
      </c>
    </row>
    <row r="94" spans="1:29" x14ac:dyDescent="0.35">
      <c r="A94" t="s">
        <v>91</v>
      </c>
      <c r="B94" t="s">
        <v>130</v>
      </c>
      <c r="C94" t="s">
        <v>131</v>
      </c>
      <c r="D94" t="s">
        <v>14</v>
      </c>
      <c r="E94" t="s">
        <v>14</v>
      </c>
      <c r="F94" t="s">
        <v>14</v>
      </c>
      <c r="G94" s="2" t="s">
        <v>131</v>
      </c>
      <c r="H94">
        <v>424803</v>
      </c>
      <c r="I94" s="32" t="s">
        <v>163</v>
      </c>
      <c r="J94" s="2" t="s">
        <v>164</v>
      </c>
      <c r="K94" t="s">
        <v>92</v>
      </c>
      <c r="L94" t="s">
        <v>132</v>
      </c>
      <c r="M94" s="2" t="s">
        <v>75</v>
      </c>
      <c r="N94" t="s">
        <v>142</v>
      </c>
      <c r="O94" t="s">
        <v>126</v>
      </c>
      <c r="P94" s="2" t="s">
        <v>20</v>
      </c>
      <c r="S94" s="67" t="s">
        <v>165</v>
      </c>
      <c r="T94" t="s">
        <v>166</v>
      </c>
      <c r="U94" t="s">
        <v>167</v>
      </c>
      <c r="V94" s="2" t="s">
        <v>168</v>
      </c>
      <c r="W94" s="2" t="s">
        <v>62</v>
      </c>
      <c r="Z94" s="2" t="s">
        <v>93</v>
      </c>
      <c r="AA94" s="2" t="s">
        <v>94</v>
      </c>
      <c r="AB94" s="2" t="s">
        <v>63</v>
      </c>
      <c r="AC94" s="2" t="s">
        <v>64</v>
      </c>
    </row>
    <row r="95" spans="1:29" x14ac:dyDescent="0.35">
      <c r="A95" t="s">
        <v>91</v>
      </c>
      <c r="B95" t="s">
        <v>130</v>
      </c>
      <c r="C95" t="s">
        <v>131</v>
      </c>
      <c r="D95" t="s">
        <v>14</v>
      </c>
      <c r="E95" t="s">
        <v>14</v>
      </c>
      <c r="F95" t="s">
        <v>14</v>
      </c>
      <c r="G95" s="2" t="s">
        <v>131</v>
      </c>
      <c r="H95">
        <v>424803</v>
      </c>
      <c r="I95" s="32" t="s">
        <v>163</v>
      </c>
      <c r="J95" s="2" t="s">
        <v>164</v>
      </c>
      <c r="K95" t="s">
        <v>92</v>
      </c>
      <c r="L95" t="s">
        <v>132</v>
      </c>
      <c r="M95" s="2" t="s">
        <v>75</v>
      </c>
      <c r="N95" t="s">
        <v>142</v>
      </c>
      <c r="O95" t="s">
        <v>127</v>
      </c>
      <c r="P95" s="2" t="s">
        <v>20</v>
      </c>
      <c r="S95" s="67" t="s">
        <v>165</v>
      </c>
      <c r="T95" t="s">
        <v>166</v>
      </c>
      <c r="U95" t="s">
        <v>167</v>
      </c>
      <c r="V95" s="2" t="s">
        <v>168</v>
      </c>
      <c r="W95" s="2" t="s">
        <v>62</v>
      </c>
      <c r="Z95" s="2" t="s">
        <v>93</v>
      </c>
      <c r="AA95" s="2" t="s">
        <v>94</v>
      </c>
      <c r="AB95" s="2" t="s">
        <v>63</v>
      </c>
      <c r="AC95" s="2" t="s">
        <v>64</v>
      </c>
    </row>
    <row r="96" spans="1:29" x14ac:dyDescent="0.35">
      <c r="A96" t="s">
        <v>91</v>
      </c>
      <c r="B96" t="s">
        <v>130</v>
      </c>
      <c r="C96" t="s">
        <v>131</v>
      </c>
      <c r="D96" t="s">
        <v>14</v>
      </c>
      <c r="E96" t="s">
        <v>14</v>
      </c>
      <c r="F96" t="s">
        <v>14</v>
      </c>
      <c r="G96" s="2" t="s">
        <v>131</v>
      </c>
      <c r="H96">
        <v>424803</v>
      </c>
      <c r="I96" s="32" t="s">
        <v>163</v>
      </c>
      <c r="J96" s="2" t="s">
        <v>164</v>
      </c>
      <c r="K96" t="s">
        <v>92</v>
      </c>
      <c r="L96" t="s">
        <v>132</v>
      </c>
      <c r="M96" s="2" t="s">
        <v>75</v>
      </c>
      <c r="N96" t="s">
        <v>142</v>
      </c>
      <c r="O96" t="s">
        <v>139</v>
      </c>
      <c r="P96" s="2" t="s">
        <v>147</v>
      </c>
      <c r="S96" s="67" t="s">
        <v>165</v>
      </c>
      <c r="T96" t="s">
        <v>166</v>
      </c>
      <c r="U96" t="s">
        <v>167</v>
      </c>
      <c r="V96" s="2" t="s">
        <v>168</v>
      </c>
      <c r="W96" s="2" t="s">
        <v>62</v>
      </c>
      <c r="Z96" s="2" t="s">
        <v>93</v>
      </c>
      <c r="AA96" s="2" t="s">
        <v>94</v>
      </c>
      <c r="AB96" s="2" t="s">
        <v>63</v>
      </c>
      <c r="AC96" s="2" t="s">
        <v>64</v>
      </c>
    </row>
    <row r="97" spans="1:29" x14ac:dyDescent="0.35">
      <c r="A97" t="s">
        <v>91</v>
      </c>
      <c r="B97" t="s">
        <v>130</v>
      </c>
      <c r="C97" t="s">
        <v>131</v>
      </c>
      <c r="D97" t="s">
        <v>14</v>
      </c>
      <c r="E97" t="s">
        <v>14</v>
      </c>
      <c r="F97" t="s">
        <v>14</v>
      </c>
      <c r="G97" s="2" t="s">
        <v>131</v>
      </c>
      <c r="H97">
        <v>424803</v>
      </c>
      <c r="I97" s="32" t="s">
        <v>163</v>
      </c>
      <c r="J97" s="2" t="s">
        <v>164</v>
      </c>
      <c r="K97" t="s">
        <v>92</v>
      </c>
      <c r="L97" t="s">
        <v>132</v>
      </c>
      <c r="M97" s="2" t="s">
        <v>75</v>
      </c>
      <c r="N97" t="s">
        <v>142</v>
      </c>
      <c r="O97" t="s">
        <v>129</v>
      </c>
      <c r="P97" s="2" t="s">
        <v>147</v>
      </c>
      <c r="S97" s="67" t="s">
        <v>165</v>
      </c>
      <c r="T97" t="s">
        <v>166</v>
      </c>
      <c r="U97" t="s">
        <v>167</v>
      </c>
      <c r="V97" s="2" t="s">
        <v>168</v>
      </c>
      <c r="W97" s="2" t="s">
        <v>62</v>
      </c>
      <c r="Z97" s="2" t="s">
        <v>93</v>
      </c>
      <c r="AA97" s="2" t="s">
        <v>94</v>
      </c>
      <c r="AB97" s="2" t="s">
        <v>63</v>
      </c>
      <c r="AC97" s="2" t="s">
        <v>64</v>
      </c>
    </row>
    <row r="98" spans="1:29" x14ac:dyDescent="0.35">
      <c r="A98" t="s">
        <v>91</v>
      </c>
      <c r="B98" t="s">
        <v>151</v>
      </c>
      <c r="C98" t="s">
        <v>152</v>
      </c>
      <c r="D98" t="s">
        <v>14</v>
      </c>
      <c r="E98" t="s">
        <v>14</v>
      </c>
      <c r="F98" t="s">
        <v>14</v>
      </c>
      <c r="G98" s="2" t="s">
        <v>151</v>
      </c>
      <c r="H98">
        <v>421657</v>
      </c>
      <c r="I98" s="32" t="s">
        <v>193</v>
      </c>
      <c r="J98" s="2" t="s">
        <v>194</v>
      </c>
      <c r="K98" t="s">
        <v>92</v>
      </c>
      <c r="L98" s="2" t="s">
        <v>194</v>
      </c>
      <c r="M98" s="2" t="s">
        <v>75</v>
      </c>
      <c r="N98" t="s">
        <v>142</v>
      </c>
      <c r="O98" t="s">
        <v>99</v>
      </c>
      <c r="P98" s="2" t="s">
        <v>20</v>
      </c>
      <c r="Q98" t="s">
        <v>61</v>
      </c>
      <c r="R98" t="s">
        <v>61</v>
      </c>
      <c r="S98" s="67" t="s">
        <v>187</v>
      </c>
      <c r="T98" t="s">
        <v>195</v>
      </c>
      <c r="U98" t="s">
        <v>196</v>
      </c>
      <c r="V98" s="2" t="s">
        <v>197</v>
      </c>
      <c r="W98" s="2" t="s">
        <v>62</v>
      </c>
      <c r="Z98" s="2" t="s">
        <v>159</v>
      </c>
      <c r="AA98" s="2" t="s">
        <v>160</v>
      </c>
      <c r="AB98" s="2" t="s">
        <v>63</v>
      </c>
      <c r="AC98" s="2" t="s">
        <v>64</v>
      </c>
    </row>
    <row r="99" spans="1:29" x14ac:dyDescent="0.35">
      <c r="A99" t="s">
        <v>91</v>
      </c>
      <c r="B99" t="s">
        <v>151</v>
      </c>
      <c r="C99" t="s">
        <v>152</v>
      </c>
      <c r="D99" t="s">
        <v>14</v>
      </c>
      <c r="E99" t="s">
        <v>14</v>
      </c>
      <c r="F99" t="s">
        <v>14</v>
      </c>
      <c r="G99" s="2" t="s">
        <v>151</v>
      </c>
      <c r="H99">
        <v>421657</v>
      </c>
      <c r="I99" s="32" t="s">
        <v>193</v>
      </c>
      <c r="J99" s="2" t="s">
        <v>194</v>
      </c>
      <c r="K99" t="s">
        <v>92</v>
      </c>
      <c r="L99" s="2" t="s">
        <v>194</v>
      </c>
      <c r="M99" s="2" t="s">
        <v>75</v>
      </c>
      <c r="N99" t="s">
        <v>142</v>
      </c>
      <c r="O99" t="s">
        <v>83</v>
      </c>
      <c r="P99" s="2" t="s">
        <v>20</v>
      </c>
      <c r="Q99" t="s">
        <v>61</v>
      </c>
      <c r="R99" t="s">
        <v>61</v>
      </c>
      <c r="S99" s="67" t="s">
        <v>187</v>
      </c>
      <c r="T99" t="s">
        <v>195</v>
      </c>
      <c r="U99" t="s">
        <v>196</v>
      </c>
      <c r="V99" s="2" t="s">
        <v>197</v>
      </c>
      <c r="W99" s="2" t="s">
        <v>62</v>
      </c>
      <c r="Z99" s="2" t="s">
        <v>159</v>
      </c>
      <c r="AA99" s="2" t="s">
        <v>160</v>
      </c>
      <c r="AB99" s="2" t="s">
        <v>63</v>
      </c>
      <c r="AC99" s="2" t="s">
        <v>64</v>
      </c>
    </row>
    <row r="100" spans="1:29" x14ac:dyDescent="0.35">
      <c r="A100" t="s">
        <v>91</v>
      </c>
      <c r="B100" t="s">
        <v>151</v>
      </c>
      <c r="C100" t="s">
        <v>152</v>
      </c>
      <c r="D100" t="s">
        <v>14</v>
      </c>
      <c r="E100" t="s">
        <v>14</v>
      </c>
      <c r="F100" t="s">
        <v>14</v>
      </c>
      <c r="G100" s="2" t="s">
        <v>151</v>
      </c>
      <c r="H100">
        <v>421657</v>
      </c>
      <c r="I100" s="32" t="s">
        <v>193</v>
      </c>
      <c r="J100" s="2" t="s">
        <v>194</v>
      </c>
      <c r="K100" t="s">
        <v>92</v>
      </c>
      <c r="L100" s="2" t="s">
        <v>194</v>
      </c>
      <c r="M100" s="2" t="s">
        <v>75</v>
      </c>
      <c r="N100" t="s">
        <v>142</v>
      </c>
      <c r="O100" t="s">
        <v>84</v>
      </c>
      <c r="P100" s="2" t="s">
        <v>20</v>
      </c>
      <c r="Q100" t="s">
        <v>61</v>
      </c>
      <c r="R100" t="s">
        <v>61</v>
      </c>
      <c r="S100" s="67" t="s">
        <v>187</v>
      </c>
      <c r="T100" t="s">
        <v>195</v>
      </c>
      <c r="U100" t="s">
        <v>196</v>
      </c>
      <c r="V100" s="2" t="s">
        <v>197</v>
      </c>
      <c r="W100" s="2" t="s">
        <v>62</v>
      </c>
      <c r="Z100" s="2" t="s">
        <v>159</v>
      </c>
      <c r="AA100" s="2" t="s">
        <v>160</v>
      </c>
      <c r="AB100" s="2" t="s">
        <v>63</v>
      </c>
      <c r="AC100" s="2" t="s">
        <v>64</v>
      </c>
    </row>
    <row r="101" spans="1:29" x14ac:dyDescent="0.35">
      <c r="A101" t="s">
        <v>91</v>
      </c>
      <c r="B101" t="s">
        <v>151</v>
      </c>
      <c r="C101" t="s">
        <v>152</v>
      </c>
      <c r="D101" t="s">
        <v>14</v>
      </c>
      <c r="E101" t="s">
        <v>14</v>
      </c>
      <c r="F101" t="s">
        <v>14</v>
      </c>
      <c r="G101" s="2" t="s">
        <v>151</v>
      </c>
      <c r="H101">
        <v>421657</v>
      </c>
      <c r="I101" s="32" t="s">
        <v>193</v>
      </c>
      <c r="J101" s="2" t="s">
        <v>194</v>
      </c>
      <c r="K101" t="s">
        <v>92</v>
      </c>
      <c r="L101" s="2" t="s">
        <v>194</v>
      </c>
      <c r="M101" s="2" t="s">
        <v>75</v>
      </c>
      <c r="N101" t="s">
        <v>142</v>
      </c>
      <c r="O101" t="s">
        <v>100</v>
      </c>
      <c r="P101" s="2" t="s">
        <v>20</v>
      </c>
      <c r="Q101" t="s">
        <v>61</v>
      </c>
      <c r="R101" t="s">
        <v>61</v>
      </c>
      <c r="S101" s="67" t="s">
        <v>187</v>
      </c>
      <c r="T101" t="s">
        <v>195</v>
      </c>
      <c r="U101" t="s">
        <v>196</v>
      </c>
      <c r="V101" s="2" t="s">
        <v>197</v>
      </c>
      <c r="W101" s="2" t="s">
        <v>62</v>
      </c>
      <c r="Z101" s="2" t="s">
        <v>159</v>
      </c>
      <c r="AA101" s="2" t="s">
        <v>160</v>
      </c>
      <c r="AB101" s="2" t="s">
        <v>63</v>
      </c>
      <c r="AC101" s="2" t="s">
        <v>64</v>
      </c>
    </row>
    <row r="102" spans="1:29" x14ac:dyDescent="0.35">
      <c r="A102" t="s">
        <v>91</v>
      </c>
      <c r="B102" t="s">
        <v>151</v>
      </c>
      <c r="C102" t="s">
        <v>152</v>
      </c>
      <c r="D102" t="s">
        <v>14</v>
      </c>
      <c r="E102" t="s">
        <v>14</v>
      </c>
      <c r="F102" t="s">
        <v>14</v>
      </c>
      <c r="G102" s="2" t="s">
        <v>151</v>
      </c>
      <c r="H102">
        <v>421657</v>
      </c>
      <c r="I102" s="32" t="s">
        <v>193</v>
      </c>
      <c r="J102" s="2" t="s">
        <v>194</v>
      </c>
      <c r="K102" t="s">
        <v>92</v>
      </c>
      <c r="L102" s="2" t="s">
        <v>194</v>
      </c>
      <c r="M102" s="2" t="s">
        <v>75</v>
      </c>
      <c r="N102" t="s">
        <v>142</v>
      </c>
      <c r="O102" t="s">
        <v>35</v>
      </c>
      <c r="P102" s="2" t="s">
        <v>20</v>
      </c>
      <c r="Q102" t="s">
        <v>61</v>
      </c>
      <c r="R102" t="s">
        <v>61</v>
      </c>
      <c r="S102" s="67" t="s">
        <v>187</v>
      </c>
      <c r="T102" t="s">
        <v>195</v>
      </c>
      <c r="U102" t="s">
        <v>196</v>
      </c>
      <c r="V102" s="2" t="s">
        <v>197</v>
      </c>
      <c r="W102" s="2" t="s">
        <v>62</v>
      </c>
      <c r="Z102" s="2" t="s">
        <v>159</v>
      </c>
      <c r="AA102" s="2" t="s">
        <v>160</v>
      </c>
      <c r="AB102" s="2" t="s">
        <v>63</v>
      </c>
      <c r="AC102" s="2" t="s">
        <v>64</v>
      </c>
    </row>
    <row r="103" spans="1:29" x14ac:dyDescent="0.35">
      <c r="A103" t="s">
        <v>91</v>
      </c>
      <c r="B103" t="s">
        <v>151</v>
      </c>
      <c r="C103" t="s">
        <v>152</v>
      </c>
      <c r="D103" t="s">
        <v>14</v>
      </c>
      <c r="E103" t="s">
        <v>14</v>
      </c>
      <c r="F103" t="s">
        <v>14</v>
      </c>
      <c r="G103" s="2" t="s">
        <v>151</v>
      </c>
      <c r="H103">
        <v>421657</v>
      </c>
      <c r="I103" s="32" t="s">
        <v>193</v>
      </c>
      <c r="J103" s="2" t="s">
        <v>194</v>
      </c>
      <c r="K103" t="s">
        <v>92</v>
      </c>
      <c r="L103" s="2" t="s">
        <v>194</v>
      </c>
      <c r="M103" s="2" t="s">
        <v>75</v>
      </c>
      <c r="N103" t="s">
        <v>142</v>
      </c>
      <c r="O103" t="s">
        <v>101</v>
      </c>
      <c r="P103" s="2" t="s">
        <v>147</v>
      </c>
      <c r="Q103" t="s">
        <v>61</v>
      </c>
      <c r="R103" t="s">
        <v>61</v>
      </c>
      <c r="S103" s="67" t="s">
        <v>187</v>
      </c>
      <c r="T103" t="s">
        <v>195</v>
      </c>
      <c r="U103" t="s">
        <v>196</v>
      </c>
      <c r="V103" s="2" t="s">
        <v>197</v>
      </c>
      <c r="W103" s="2" t="s">
        <v>62</v>
      </c>
      <c r="Z103" s="2" t="s">
        <v>159</v>
      </c>
      <c r="AA103" s="2" t="s">
        <v>160</v>
      </c>
      <c r="AB103" s="2" t="s">
        <v>63</v>
      </c>
      <c r="AC103" s="2" t="s">
        <v>64</v>
      </c>
    </row>
    <row r="104" spans="1:29" x14ac:dyDescent="0.35">
      <c r="A104" t="s">
        <v>91</v>
      </c>
      <c r="B104" t="s">
        <v>151</v>
      </c>
      <c r="C104" t="s">
        <v>152</v>
      </c>
      <c r="D104" t="s">
        <v>14</v>
      </c>
      <c r="E104" t="s">
        <v>14</v>
      </c>
      <c r="F104" t="s">
        <v>14</v>
      </c>
      <c r="G104" s="2" t="s">
        <v>151</v>
      </c>
      <c r="H104">
        <v>421657</v>
      </c>
      <c r="I104" s="32" t="s">
        <v>193</v>
      </c>
      <c r="J104" s="2" t="s">
        <v>194</v>
      </c>
      <c r="K104" t="s">
        <v>92</v>
      </c>
      <c r="L104" s="2" t="s">
        <v>194</v>
      </c>
      <c r="M104" s="2" t="s">
        <v>75</v>
      </c>
      <c r="N104" t="s">
        <v>142</v>
      </c>
      <c r="O104" t="s">
        <v>85</v>
      </c>
      <c r="P104" s="2" t="s">
        <v>20</v>
      </c>
      <c r="Q104" t="s">
        <v>61</v>
      </c>
      <c r="R104" t="s">
        <v>61</v>
      </c>
      <c r="S104" s="67" t="s">
        <v>187</v>
      </c>
      <c r="T104" t="s">
        <v>195</v>
      </c>
      <c r="U104" t="s">
        <v>196</v>
      </c>
      <c r="V104" s="2" t="s">
        <v>197</v>
      </c>
      <c r="W104" s="2" t="s">
        <v>62</v>
      </c>
      <c r="Z104" s="2" t="s">
        <v>159</v>
      </c>
      <c r="AA104" s="2" t="s">
        <v>160</v>
      </c>
      <c r="AB104" s="2" t="s">
        <v>63</v>
      </c>
      <c r="AC104" s="2" t="s">
        <v>64</v>
      </c>
    </row>
    <row r="105" spans="1:29" x14ac:dyDescent="0.35">
      <c r="A105" t="s">
        <v>91</v>
      </c>
      <c r="B105" t="s">
        <v>151</v>
      </c>
      <c r="C105" t="s">
        <v>152</v>
      </c>
      <c r="D105" t="s">
        <v>14</v>
      </c>
      <c r="E105" t="s">
        <v>14</v>
      </c>
      <c r="F105" t="s">
        <v>14</v>
      </c>
      <c r="G105" s="2" t="s">
        <v>151</v>
      </c>
      <c r="H105">
        <v>421657</v>
      </c>
      <c r="I105" s="32" t="s">
        <v>193</v>
      </c>
      <c r="J105" s="2" t="s">
        <v>194</v>
      </c>
      <c r="K105" t="s">
        <v>92</v>
      </c>
      <c r="L105" s="2" t="s">
        <v>194</v>
      </c>
      <c r="M105" s="2" t="s">
        <v>75</v>
      </c>
      <c r="N105" t="s">
        <v>142</v>
      </c>
      <c r="O105" t="s">
        <v>86</v>
      </c>
      <c r="P105" s="2" t="s">
        <v>20</v>
      </c>
      <c r="Q105" t="s">
        <v>61</v>
      </c>
      <c r="R105" t="s">
        <v>61</v>
      </c>
      <c r="S105" s="67" t="s">
        <v>187</v>
      </c>
      <c r="T105" t="s">
        <v>195</v>
      </c>
      <c r="U105" t="s">
        <v>196</v>
      </c>
      <c r="V105" s="2" t="s">
        <v>197</v>
      </c>
      <c r="W105" s="2" t="s">
        <v>62</v>
      </c>
      <c r="Z105" s="2" t="s">
        <v>159</v>
      </c>
      <c r="AA105" s="2" t="s">
        <v>160</v>
      </c>
      <c r="AB105" s="2" t="s">
        <v>63</v>
      </c>
      <c r="AC105" s="2" t="s">
        <v>64</v>
      </c>
    </row>
    <row r="106" spans="1:29" x14ac:dyDescent="0.35">
      <c r="A106" t="s">
        <v>91</v>
      </c>
      <c r="B106" t="s">
        <v>151</v>
      </c>
      <c r="C106" t="s">
        <v>152</v>
      </c>
      <c r="D106" t="s">
        <v>14</v>
      </c>
      <c r="E106" t="s">
        <v>14</v>
      </c>
      <c r="F106" t="s">
        <v>14</v>
      </c>
      <c r="G106" s="2" t="s">
        <v>151</v>
      </c>
      <c r="H106">
        <v>421657</v>
      </c>
      <c r="I106" s="32" t="s">
        <v>193</v>
      </c>
      <c r="J106" s="2" t="s">
        <v>194</v>
      </c>
      <c r="K106" t="s">
        <v>92</v>
      </c>
      <c r="L106" s="2" t="s">
        <v>194</v>
      </c>
      <c r="M106" s="2" t="s">
        <v>75</v>
      </c>
      <c r="N106" t="s">
        <v>142</v>
      </c>
      <c r="O106" t="s">
        <v>87</v>
      </c>
      <c r="P106" s="2" t="s">
        <v>147</v>
      </c>
      <c r="Q106" t="s">
        <v>61</v>
      </c>
      <c r="R106" t="s">
        <v>61</v>
      </c>
      <c r="S106" s="67" t="s">
        <v>187</v>
      </c>
      <c r="T106" t="s">
        <v>195</v>
      </c>
      <c r="U106" t="s">
        <v>196</v>
      </c>
      <c r="V106" s="2" t="s">
        <v>197</v>
      </c>
      <c r="W106" s="2" t="s">
        <v>62</v>
      </c>
      <c r="Z106" s="2" t="s">
        <v>159</v>
      </c>
      <c r="AA106" s="2" t="s">
        <v>160</v>
      </c>
      <c r="AB106" s="2" t="s">
        <v>63</v>
      </c>
      <c r="AC106" s="2" t="s">
        <v>64</v>
      </c>
    </row>
    <row r="107" spans="1:29" x14ac:dyDescent="0.35">
      <c r="A107" t="s">
        <v>91</v>
      </c>
      <c r="B107" t="s">
        <v>151</v>
      </c>
      <c r="C107" t="s">
        <v>152</v>
      </c>
      <c r="D107" t="s">
        <v>14</v>
      </c>
      <c r="E107" t="s">
        <v>14</v>
      </c>
      <c r="F107" t="s">
        <v>14</v>
      </c>
      <c r="G107" s="2" t="s">
        <v>151</v>
      </c>
      <c r="H107">
        <v>421657</v>
      </c>
      <c r="I107" s="32" t="s">
        <v>193</v>
      </c>
      <c r="J107" s="2" t="s">
        <v>194</v>
      </c>
      <c r="K107" t="s">
        <v>92</v>
      </c>
      <c r="L107" s="2" t="s">
        <v>194</v>
      </c>
      <c r="M107" s="2" t="s">
        <v>75</v>
      </c>
      <c r="N107" t="s">
        <v>142</v>
      </c>
      <c r="O107" t="s">
        <v>88</v>
      </c>
      <c r="P107" s="2" t="s">
        <v>147</v>
      </c>
      <c r="Q107" t="s">
        <v>61</v>
      </c>
      <c r="R107" t="s">
        <v>61</v>
      </c>
      <c r="S107" s="67" t="s">
        <v>187</v>
      </c>
      <c r="T107" t="s">
        <v>195</v>
      </c>
      <c r="U107" t="s">
        <v>196</v>
      </c>
      <c r="V107" s="2" t="s">
        <v>197</v>
      </c>
      <c r="W107" s="2" t="s">
        <v>62</v>
      </c>
      <c r="Z107" s="2" t="s">
        <v>159</v>
      </c>
      <c r="AA107" s="2" t="s">
        <v>160</v>
      </c>
      <c r="AB107" s="2" t="s">
        <v>63</v>
      </c>
      <c r="AC107" s="2" t="s">
        <v>64</v>
      </c>
    </row>
    <row r="108" spans="1:29" x14ac:dyDescent="0.35">
      <c r="A108" t="s">
        <v>91</v>
      </c>
      <c r="B108" t="s">
        <v>151</v>
      </c>
      <c r="C108" t="s">
        <v>152</v>
      </c>
      <c r="D108" t="s">
        <v>14</v>
      </c>
      <c r="E108" t="s">
        <v>14</v>
      </c>
      <c r="F108" t="s">
        <v>14</v>
      </c>
      <c r="G108" s="2" t="s">
        <v>151</v>
      </c>
      <c r="H108">
        <v>421657</v>
      </c>
      <c r="I108" s="32" t="s">
        <v>193</v>
      </c>
      <c r="J108" s="2" t="s">
        <v>194</v>
      </c>
      <c r="K108" t="s">
        <v>92</v>
      </c>
      <c r="L108" s="2" t="s">
        <v>194</v>
      </c>
      <c r="M108" s="2" t="s">
        <v>75</v>
      </c>
      <c r="N108" t="s">
        <v>142</v>
      </c>
      <c r="O108" t="s">
        <v>89</v>
      </c>
      <c r="P108" s="2" t="s">
        <v>147</v>
      </c>
      <c r="Q108" t="s">
        <v>61</v>
      </c>
      <c r="R108" t="s">
        <v>61</v>
      </c>
      <c r="S108" s="67" t="s">
        <v>187</v>
      </c>
      <c r="T108" t="s">
        <v>195</v>
      </c>
      <c r="U108" t="s">
        <v>196</v>
      </c>
      <c r="V108" s="2" t="s">
        <v>197</v>
      </c>
      <c r="W108" s="2" t="s">
        <v>62</v>
      </c>
      <c r="Z108" s="2" t="s">
        <v>159</v>
      </c>
      <c r="AA108" s="2" t="s">
        <v>160</v>
      </c>
      <c r="AB108" s="2" t="s">
        <v>63</v>
      </c>
      <c r="AC108" s="2" t="s">
        <v>64</v>
      </c>
    </row>
    <row r="109" spans="1:29" x14ac:dyDescent="0.35">
      <c r="A109" t="s">
        <v>91</v>
      </c>
      <c r="B109" t="s">
        <v>151</v>
      </c>
      <c r="C109" t="s">
        <v>152</v>
      </c>
      <c r="D109" t="s">
        <v>14</v>
      </c>
      <c r="E109" t="s">
        <v>14</v>
      </c>
      <c r="F109" t="s">
        <v>14</v>
      </c>
      <c r="G109" s="2" t="s">
        <v>151</v>
      </c>
      <c r="H109">
        <v>421657</v>
      </c>
      <c r="I109" s="32" t="s">
        <v>193</v>
      </c>
      <c r="J109" s="2" t="s">
        <v>194</v>
      </c>
      <c r="K109" t="s">
        <v>92</v>
      </c>
      <c r="L109" s="2" t="s">
        <v>194</v>
      </c>
      <c r="M109" s="2" t="s">
        <v>75</v>
      </c>
      <c r="N109" t="s">
        <v>142</v>
      </c>
      <c r="O109" t="s">
        <v>90</v>
      </c>
      <c r="P109" s="2" t="s">
        <v>147</v>
      </c>
      <c r="Q109" t="s">
        <v>61</v>
      </c>
      <c r="R109" t="s">
        <v>61</v>
      </c>
      <c r="S109" s="67" t="s">
        <v>187</v>
      </c>
      <c r="T109" t="s">
        <v>195</v>
      </c>
      <c r="U109" t="s">
        <v>196</v>
      </c>
      <c r="V109" s="2" t="s">
        <v>197</v>
      </c>
      <c r="W109" s="2" t="s">
        <v>62</v>
      </c>
      <c r="Z109" s="2" t="s">
        <v>159</v>
      </c>
      <c r="AA109" s="2" t="s">
        <v>160</v>
      </c>
      <c r="AB109" s="2" t="s">
        <v>63</v>
      </c>
      <c r="AC109" s="2" t="s">
        <v>64</v>
      </c>
    </row>
    <row r="110" spans="1:29" x14ac:dyDescent="0.35">
      <c r="A110" t="s">
        <v>91</v>
      </c>
      <c r="B110" t="s">
        <v>151</v>
      </c>
      <c r="C110" t="s">
        <v>152</v>
      </c>
      <c r="D110" t="s">
        <v>14</v>
      </c>
      <c r="E110" t="s">
        <v>14</v>
      </c>
      <c r="F110" t="s">
        <v>14</v>
      </c>
      <c r="G110" s="2" t="s">
        <v>151</v>
      </c>
      <c r="H110">
        <v>421657</v>
      </c>
      <c r="I110" s="32" t="s">
        <v>193</v>
      </c>
      <c r="J110" s="2" t="s">
        <v>194</v>
      </c>
      <c r="K110" t="s">
        <v>92</v>
      </c>
      <c r="L110" s="2" t="s">
        <v>194</v>
      </c>
      <c r="M110" s="2" t="s">
        <v>75</v>
      </c>
      <c r="N110" t="s">
        <v>142</v>
      </c>
      <c r="O110" t="s">
        <v>117</v>
      </c>
      <c r="P110" s="2" t="s">
        <v>20</v>
      </c>
      <c r="Q110" t="s">
        <v>61</v>
      </c>
      <c r="R110" t="s">
        <v>61</v>
      </c>
      <c r="S110" s="67" t="s">
        <v>187</v>
      </c>
      <c r="T110" t="s">
        <v>195</v>
      </c>
      <c r="U110" t="s">
        <v>196</v>
      </c>
      <c r="V110" s="2" t="s">
        <v>197</v>
      </c>
      <c r="W110" s="2" t="s">
        <v>62</v>
      </c>
      <c r="Z110" s="2" t="s">
        <v>159</v>
      </c>
      <c r="AA110" s="2" t="s">
        <v>160</v>
      </c>
      <c r="AB110" s="2" t="s">
        <v>63</v>
      </c>
      <c r="AC110" s="2" t="s">
        <v>64</v>
      </c>
    </row>
    <row r="111" spans="1:29" x14ac:dyDescent="0.35">
      <c r="A111" t="s">
        <v>91</v>
      </c>
      <c r="B111" t="s">
        <v>151</v>
      </c>
      <c r="C111" t="s">
        <v>152</v>
      </c>
      <c r="D111" t="s">
        <v>14</v>
      </c>
      <c r="E111" t="s">
        <v>14</v>
      </c>
      <c r="F111" t="s">
        <v>14</v>
      </c>
      <c r="G111" s="2" t="s">
        <v>151</v>
      </c>
      <c r="H111">
        <v>421657</v>
      </c>
      <c r="I111" s="32" t="s">
        <v>193</v>
      </c>
      <c r="J111" s="2" t="s">
        <v>194</v>
      </c>
      <c r="K111" t="s">
        <v>92</v>
      </c>
      <c r="L111" s="2" t="s">
        <v>194</v>
      </c>
      <c r="M111" s="2" t="s">
        <v>75</v>
      </c>
      <c r="N111" t="s">
        <v>142</v>
      </c>
      <c r="O111" t="s">
        <v>110</v>
      </c>
      <c r="P111" s="2" t="s">
        <v>20</v>
      </c>
      <c r="Q111" t="s">
        <v>61</v>
      </c>
      <c r="R111" t="s">
        <v>61</v>
      </c>
      <c r="S111" s="67" t="s">
        <v>187</v>
      </c>
      <c r="T111" t="s">
        <v>195</v>
      </c>
      <c r="U111" t="s">
        <v>196</v>
      </c>
      <c r="V111" s="2" t="s">
        <v>197</v>
      </c>
      <c r="W111" s="2" t="s">
        <v>62</v>
      </c>
      <c r="Z111" s="2" t="s">
        <v>159</v>
      </c>
      <c r="AA111" s="2" t="s">
        <v>160</v>
      </c>
      <c r="AB111" s="2" t="s">
        <v>63</v>
      </c>
      <c r="AC111" s="2" t="s">
        <v>64</v>
      </c>
    </row>
    <row r="112" spans="1:29" x14ac:dyDescent="0.35">
      <c r="A112" t="s">
        <v>91</v>
      </c>
      <c r="B112" t="s">
        <v>151</v>
      </c>
      <c r="C112" t="s">
        <v>152</v>
      </c>
      <c r="D112" t="s">
        <v>14</v>
      </c>
      <c r="E112" t="s">
        <v>14</v>
      </c>
      <c r="F112" t="s">
        <v>14</v>
      </c>
      <c r="G112" s="2" t="s">
        <v>151</v>
      </c>
      <c r="H112">
        <v>421657</v>
      </c>
      <c r="I112" s="32" t="s">
        <v>193</v>
      </c>
      <c r="J112" s="2" t="s">
        <v>194</v>
      </c>
      <c r="K112" t="s">
        <v>92</v>
      </c>
      <c r="L112" s="2" t="s">
        <v>194</v>
      </c>
      <c r="M112" s="2" t="s">
        <v>75</v>
      </c>
      <c r="N112" t="s">
        <v>142</v>
      </c>
      <c r="O112" t="s">
        <v>118</v>
      </c>
      <c r="P112" s="2" t="s">
        <v>20</v>
      </c>
      <c r="Q112" t="s">
        <v>61</v>
      </c>
      <c r="R112" t="s">
        <v>61</v>
      </c>
      <c r="S112" s="67" t="s">
        <v>187</v>
      </c>
      <c r="T112" t="s">
        <v>195</v>
      </c>
      <c r="U112" t="s">
        <v>196</v>
      </c>
      <c r="V112" s="2" t="s">
        <v>197</v>
      </c>
      <c r="W112" s="2" t="s">
        <v>62</v>
      </c>
      <c r="Z112" s="2" t="s">
        <v>159</v>
      </c>
      <c r="AA112" s="2" t="s">
        <v>160</v>
      </c>
      <c r="AB112" s="2" t="s">
        <v>63</v>
      </c>
      <c r="AC112" s="2" t="s">
        <v>64</v>
      </c>
    </row>
    <row r="113" spans="1:29" x14ac:dyDescent="0.35">
      <c r="A113" t="s">
        <v>91</v>
      </c>
      <c r="B113" t="s">
        <v>151</v>
      </c>
      <c r="C113" t="s">
        <v>152</v>
      </c>
      <c r="D113" t="s">
        <v>14</v>
      </c>
      <c r="E113" t="s">
        <v>14</v>
      </c>
      <c r="F113" t="s">
        <v>14</v>
      </c>
      <c r="G113" s="2" t="s">
        <v>151</v>
      </c>
      <c r="H113">
        <v>421657</v>
      </c>
      <c r="I113" s="32" t="s">
        <v>193</v>
      </c>
      <c r="J113" s="2" t="s">
        <v>194</v>
      </c>
      <c r="K113" t="s">
        <v>92</v>
      </c>
      <c r="L113" s="2" t="s">
        <v>194</v>
      </c>
      <c r="M113" s="2" t="s">
        <v>75</v>
      </c>
      <c r="N113" t="s">
        <v>142</v>
      </c>
      <c r="O113" t="s">
        <v>119</v>
      </c>
      <c r="P113" s="2" t="s">
        <v>20</v>
      </c>
      <c r="Q113" t="s">
        <v>61</v>
      </c>
      <c r="R113" t="s">
        <v>61</v>
      </c>
      <c r="S113" s="67" t="s">
        <v>187</v>
      </c>
      <c r="T113" t="s">
        <v>195</v>
      </c>
      <c r="U113" t="s">
        <v>196</v>
      </c>
      <c r="V113" s="2" t="s">
        <v>197</v>
      </c>
      <c r="W113" s="2" t="s">
        <v>62</v>
      </c>
      <c r="Z113" s="2" t="s">
        <v>159</v>
      </c>
      <c r="AA113" s="2" t="s">
        <v>160</v>
      </c>
      <c r="AB113" s="2" t="s">
        <v>63</v>
      </c>
      <c r="AC113" s="2" t="s">
        <v>64</v>
      </c>
    </row>
    <row r="114" spans="1:29" x14ac:dyDescent="0.35">
      <c r="A114" t="s">
        <v>91</v>
      </c>
      <c r="B114" t="s">
        <v>151</v>
      </c>
      <c r="C114" t="s">
        <v>152</v>
      </c>
      <c r="D114" t="s">
        <v>14</v>
      </c>
      <c r="E114" t="s">
        <v>14</v>
      </c>
      <c r="F114" t="s">
        <v>14</v>
      </c>
      <c r="G114" s="2" t="s">
        <v>151</v>
      </c>
      <c r="H114">
        <v>421657</v>
      </c>
      <c r="I114" s="32" t="s">
        <v>193</v>
      </c>
      <c r="J114" s="2" t="s">
        <v>194</v>
      </c>
      <c r="K114" t="s">
        <v>92</v>
      </c>
      <c r="L114" s="2" t="s">
        <v>194</v>
      </c>
      <c r="M114" s="2" t="s">
        <v>75</v>
      </c>
      <c r="N114" t="s">
        <v>142</v>
      </c>
      <c r="O114" t="s">
        <v>120</v>
      </c>
      <c r="P114" s="2" t="s">
        <v>20</v>
      </c>
      <c r="Q114" t="s">
        <v>61</v>
      </c>
      <c r="R114" t="s">
        <v>61</v>
      </c>
      <c r="S114" s="67" t="s">
        <v>187</v>
      </c>
      <c r="T114" t="s">
        <v>195</v>
      </c>
      <c r="U114" t="s">
        <v>196</v>
      </c>
      <c r="V114" s="2" t="s">
        <v>197</v>
      </c>
      <c r="W114" s="2" t="s">
        <v>62</v>
      </c>
      <c r="Z114" s="2" t="s">
        <v>159</v>
      </c>
      <c r="AA114" s="2" t="s">
        <v>160</v>
      </c>
      <c r="AB114" s="2" t="s">
        <v>63</v>
      </c>
      <c r="AC114" s="2" t="s">
        <v>64</v>
      </c>
    </row>
    <row r="115" spans="1:29" x14ac:dyDescent="0.35">
      <c r="A115" t="s">
        <v>91</v>
      </c>
      <c r="B115" t="s">
        <v>151</v>
      </c>
      <c r="C115" t="s">
        <v>152</v>
      </c>
      <c r="D115" t="s">
        <v>14</v>
      </c>
      <c r="E115" t="s">
        <v>14</v>
      </c>
      <c r="F115" t="s">
        <v>14</v>
      </c>
      <c r="G115" s="2" t="s">
        <v>151</v>
      </c>
      <c r="H115">
        <v>421657</v>
      </c>
      <c r="I115" s="32" t="s">
        <v>193</v>
      </c>
      <c r="J115" s="2" t="s">
        <v>194</v>
      </c>
      <c r="K115" t="s">
        <v>92</v>
      </c>
      <c r="L115" s="2" t="s">
        <v>194</v>
      </c>
      <c r="M115" s="2" t="s">
        <v>75</v>
      </c>
      <c r="N115" t="s">
        <v>142</v>
      </c>
      <c r="O115" t="s">
        <v>121</v>
      </c>
      <c r="P115" s="2" t="s">
        <v>20</v>
      </c>
      <c r="Q115" t="s">
        <v>61</v>
      </c>
      <c r="R115" t="s">
        <v>61</v>
      </c>
      <c r="S115" s="67" t="s">
        <v>187</v>
      </c>
      <c r="T115" t="s">
        <v>195</v>
      </c>
      <c r="U115" t="s">
        <v>196</v>
      </c>
      <c r="V115" s="2" t="s">
        <v>197</v>
      </c>
      <c r="W115" s="2" t="s">
        <v>62</v>
      </c>
      <c r="Z115" s="2" t="s">
        <v>159</v>
      </c>
      <c r="AA115" s="2" t="s">
        <v>160</v>
      </c>
      <c r="AB115" s="2" t="s">
        <v>63</v>
      </c>
      <c r="AC115" s="2" t="s">
        <v>64</v>
      </c>
    </row>
    <row r="116" spans="1:29" x14ac:dyDescent="0.35">
      <c r="A116" t="s">
        <v>91</v>
      </c>
      <c r="B116" t="s">
        <v>151</v>
      </c>
      <c r="C116" t="s">
        <v>152</v>
      </c>
      <c r="D116" t="s">
        <v>14</v>
      </c>
      <c r="E116" t="s">
        <v>14</v>
      </c>
      <c r="F116" t="s">
        <v>14</v>
      </c>
      <c r="G116" s="2" t="s">
        <v>151</v>
      </c>
      <c r="H116">
        <v>421657</v>
      </c>
      <c r="I116" s="32" t="s">
        <v>193</v>
      </c>
      <c r="J116" s="2" t="s">
        <v>194</v>
      </c>
      <c r="K116" t="s">
        <v>92</v>
      </c>
      <c r="L116" s="2" t="s">
        <v>194</v>
      </c>
      <c r="M116" s="2" t="s">
        <v>75</v>
      </c>
      <c r="N116" t="s">
        <v>142</v>
      </c>
      <c r="O116" t="s">
        <v>128</v>
      </c>
      <c r="P116" s="2" t="s">
        <v>20</v>
      </c>
      <c r="Q116" t="s">
        <v>61</v>
      </c>
      <c r="R116" t="s">
        <v>61</v>
      </c>
      <c r="S116" s="67" t="s">
        <v>187</v>
      </c>
      <c r="T116" t="s">
        <v>195</v>
      </c>
      <c r="U116" t="s">
        <v>196</v>
      </c>
      <c r="V116" s="2" t="s">
        <v>197</v>
      </c>
      <c r="W116" s="2" t="s">
        <v>62</v>
      </c>
      <c r="Z116" s="2" t="s">
        <v>159</v>
      </c>
      <c r="AA116" s="2" t="s">
        <v>160</v>
      </c>
      <c r="AB116" s="2" t="s">
        <v>63</v>
      </c>
      <c r="AC116" s="2" t="s">
        <v>64</v>
      </c>
    </row>
    <row r="117" spans="1:29" x14ac:dyDescent="0.35">
      <c r="A117" t="s">
        <v>91</v>
      </c>
      <c r="B117" t="s">
        <v>151</v>
      </c>
      <c r="C117" t="s">
        <v>152</v>
      </c>
      <c r="D117" t="s">
        <v>14</v>
      </c>
      <c r="E117" t="s">
        <v>14</v>
      </c>
      <c r="F117" t="s">
        <v>14</v>
      </c>
      <c r="G117" s="2" t="s">
        <v>151</v>
      </c>
      <c r="H117">
        <v>421657</v>
      </c>
      <c r="I117" s="32" t="s">
        <v>193</v>
      </c>
      <c r="J117" s="2" t="s">
        <v>194</v>
      </c>
      <c r="K117" t="s">
        <v>92</v>
      </c>
      <c r="L117" s="2" t="s">
        <v>194</v>
      </c>
      <c r="M117" s="2" t="s">
        <v>75</v>
      </c>
      <c r="N117" t="s">
        <v>142</v>
      </c>
      <c r="O117" t="s">
        <v>122</v>
      </c>
      <c r="P117" s="2" t="s">
        <v>20</v>
      </c>
      <c r="Q117" t="s">
        <v>61</v>
      </c>
      <c r="R117" t="s">
        <v>61</v>
      </c>
      <c r="S117" s="67" t="s">
        <v>187</v>
      </c>
      <c r="T117" t="s">
        <v>195</v>
      </c>
      <c r="U117" t="s">
        <v>196</v>
      </c>
      <c r="V117" s="2" t="s">
        <v>197</v>
      </c>
      <c r="W117" s="2" t="s">
        <v>62</v>
      </c>
      <c r="Z117" s="2" t="s">
        <v>159</v>
      </c>
      <c r="AA117" s="2" t="s">
        <v>160</v>
      </c>
      <c r="AB117" s="2" t="s">
        <v>63</v>
      </c>
      <c r="AC117" s="2" t="s">
        <v>64</v>
      </c>
    </row>
    <row r="118" spans="1:29" x14ac:dyDescent="0.35">
      <c r="A118" t="s">
        <v>91</v>
      </c>
      <c r="B118" t="s">
        <v>151</v>
      </c>
      <c r="C118" t="s">
        <v>152</v>
      </c>
      <c r="D118" t="s">
        <v>14</v>
      </c>
      <c r="E118" t="s">
        <v>14</v>
      </c>
      <c r="F118" t="s">
        <v>14</v>
      </c>
      <c r="G118" s="2" t="s">
        <v>151</v>
      </c>
      <c r="H118">
        <v>421657</v>
      </c>
      <c r="I118" s="32" t="s">
        <v>193</v>
      </c>
      <c r="J118" s="2" t="s">
        <v>194</v>
      </c>
      <c r="K118" t="s">
        <v>92</v>
      </c>
      <c r="L118" s="2" t="s">
        <v>194</v>
      </c>
      <c r="M118" s="2" t="s">
        <v>75</v>
      </c>
      <c r="N118" t="s">
        <v>142</v>
      </c>
      <c r="O118" t="s">
        <v>102</v>
      </c>
      <c r="P118" s="2" t="s">
        <v>191</v>
      </c>
      <c r="Q118" t="s">
        <v>61</v>
      </c>
      <c r="R118" t="s">
        <v>61</v>
      </c>
      <c r="S118" s="67" t="s">
        <v>187</v>
      </c>
      <c r="T118" t="s">
        <v>195</v>
      </c>
      <c r="U118" t="s">
        <v>196</v>
      </c>
      <c r="V118" s="2" t="s">
        <v>197</v>
      </c>
      <c r="W118" s="2" t="s">
        <v>62</v>
      </c>
      <c r="Z118" s="2" t="s">
        <v>159</v>
      </c>
      <c r="AA118" s="2" t="s">
        <v>160</v>
      </c>
      <c r="AB118" s="2" t="s">
        <v>63</v>
      </c>
      <c r="AC118" s="2" t="s">
        <v>64</v>
      </c>
    </row>
    <row r="119" spans="1:29" x14ac:dyDescent="0.35">
      <c r="A119" t="s">
        <v>91</v>
      </c>
      <c r="B119" t="s">
        <v>151</v>
      </c>
      <c r="C119" t="s">
        <v>152</v>
      </c>
      <c r="D119" t="s">
        <v>14</v>
      </c>
      <c r="E119" t="s">
        <v>14</v>
      </c>
      <c r="F119" t="s">
        <v>14</v>
      </c>
      <c r="G119" s="2" t="s">
        <v>151</v>
      </c>
      <c r="H119">
        <v>421657</v>
      </c>
      <c r="I119" s="32" t="s">
        <v>193</v>
      </c>
      <c r="J119" s="2" t="s">
        <v>194</v>
      </c>
      <c r="K119" t="s">
        <v>92</v>
      </c>
      <c r="L119" s="2" t="s">
        <v>194</v>
      </c>
      <c r="M119" s="2" t="s">
        <v>75</v>
      </c>
      <c r="N119" t="s">
        <v>142</v>
      </c>
      <c r="O119" t="s">
        <v>123</v>
      </c>
      <c r="P119" s="2" t="s">
        <v>20</v>
      </c>
      <c r="Q119" t="s">
        <v>61</v>
      </c>
      <c r="R119" t="s">
        <v>61</v>
      </c>
      <c r="S119" s="67" t="s">
        <v>187</v>
      </c>
      <c r="T119" t="s">
        <v>195</v>
      </c>
      <c r="U119" t="s">
        <v>196</v>
      </c>
      <c r="V119" s="2" t="s">
        <v>197</v>
      </c>
      <c r="W119" s="2" t="s">
        <v>62</v>
      </c>
      <c r="Z119" s="2" t="s">
        <v>159</v>
      </c>
      <c r="AA119" s="2" t="s">
        <v>160</v>
      </c>
      <c r="AB119" s="2" t="s">
        <v>63</v>
      </c>
      <c r="AC119" s="2" t="s">
        <v>64</v>
      </c>
    </row>
    <row r="120" spans="1:29" x14ac:dyDescent="0.35">
      <c r="A120" t="s">
        <v>91</v>
      </c>
      <c r="B120" t="s">
        <v>151</v>
      </c>
      <c r="C120" t="s">
        <v>152</v>
      </c>
      <c r="D120" t="s">
        <v>14</v>
      </c>
      <c r="E120" t="s">
        <v>14</v>
      </c>
      <c r="F120" t="s">
        <v>14</v>
      </c>
      <c r="G120" s="2" t="s">
        <v>151</v>
      </c>
      <c r="H120">
        <v>421657</v>
      </c>
      <c r="I120" s="32" t="s">
        <v>193</v>
      </c>
      <c r="J120" s="2" t="s">
        <v>194</v>
      </c>
      <c r="K120" t="s">
        <v>92</v>
      </c>
      <c r="L120" s="2" t="s">
        <v>194</v>
      </c>
      <c r="M120" s="2" t="s">
        <v>75</v>
      </c>
      <c r="N120" t="s">
        <v>142</v>
      </c>
      <c r="O120" t="s">
        <v>124</v>
      </c>
      <c r="P120" s="2" t="s">
        <v>20</v>
      </c>
      <c r="Q120" t="s">
        <v>61</v>
      </c>
      <c r="R120" t="s">
        <v>61</v>
      </c>
      <c r="S120" s="67" t="s">
        <v>187</v>
      </c>
      <c r="T120" t="s">
        <v>195</v>
      </c>
      <c r="U120" t="s">
        <v>196</v>
      </c>
      <c r="V120" s="2" t="s">
        <v>197</v>
      </c>
      <c r="W120" s="2" t="s">
        <v>62</v>
      </c>
      <c r="Z120" s="2" t="s">
        <v>159</v>
      </c>
      <c r="AA120" s="2" t="s">
        <v>160</v>
      </c>
      <c r="AB120" s="2" t="s">
        <v>63</v>
      </c>
      <c r="AC120" s="2" t="s">
        <v>64</v>
      </c>
    </row>
    <row r="121" spans="1:29" x14ac:dyDescent="0.35">
      <c r="A121" t="s">
        <v>91</v>
      </c>
      <c r="B121" t="s">
        <v>151</v>
      </c>
      <c r="C121" t="s">
        <v>152</v>
      </c>
      <c r="D121" t="s">
        <v>14</v>
      </c>
      <c r="E121" t="s">
        <v>14</v>
      </c>
      <c r="F121" t="s">
        <v>14</v>
      </c>
      <c r="G121" s="2" t="s">
        <v>151</v>
      </c>
      <c r="H121">
        <v>421657</v>
      </c>
      <c r="I121" s="32" t="s">
        <v>193</v>
      </c>
      <c r="J121" s="2" t="s">
        <v>194</v>
      </c>
      <c r="K121" t="s">
        <v>92</v>
      </c>
      <c r="L121" s="2" t="s">
        <v>194</v>
      </c>
      <c r="M121" s="2" t="s">
        <v>75</v>
      </c>
      <c r="N121" t="s">
        <v>142</v>
      </c>
      <c r="O121" t="s">
        <v>124</v>
      </c>
      <c r="P121" s="2" t="s">
        <v>20</v>
      </c>
      <c r="Q121" t="s">
        <v>61</v>
      </c>
      <c r="R121" t="s">
        <v>61</v>
      </c>
      <c r="S121" s="67" t="s">
        <v>187</v>
      </c>
      <c r="T121" t="s">
        <v>195</v>
      </c>
      <c r="U121" t="s">
        <v>196</v>
      </c>
      <c r="V121" s="2" t="s">
        <v>197</v>
      </c>
      <c r="W121" s="2" t="s">
        <v>62</v>
      </c>
      <c r="Z121" s="2" t="s">
        <v>159</v>
      </c>
      <c r="AA121" s="2" t="s">
        <v>160</v>
      </c>
      <c r="AB121" s="2" t="s">
        <v>63</v>
      </c>
      <c r="AC121" s="2" t="s">
        <v>64</v>
      </c>
    </row>
    <row r="122" spans="1:29" x14ac:dyDescent="0.35">
      <c r="A122" t="s">
        <v>91</v>
      </c>
      <c r="B122" t="s">
        <v>151</v>
      </c>
      <c r="C122" t="s">
        <v>152</v>
      </c>
      <c r="D122" t="s">
        <v>14</v>
      </c>
      <c r="E122" t="s">
        <v>14</v>
      </c>
      <c r="F122" t="s">
        <v>14</v>
      </c>
      <c r="G122" s="2" t="s">
        <v>151</v>
      </c>
      <c r="H122">
        <v>421657</v>
      </c>
      <c r="I122" s="32" t="s">
        <v>193</v>
      </c>
      <c r="J122" s="2" t="s">
        <v>194</v>
      </c>
      <c r="K122" t="s">
        <v>92</v>
      </c>
      <c r="L122" s="2" t="s">
        <v>194</v>
      </c>
      <c r="M122" s="2" t="s">
        <v>75</v>
      </c>
      <c r="N122" t="s">
        <v>142</v>
      </c>
      <c r="O122" t="s">
        <v>125</v>
      </c>
      <c r="P122" s="2" t="s">
        <v>20</v>
      </c>
      <c r="Q122" t="s">
        <v>61</v>
      </c>
      <c r="R122" t="s">
        <v>61</v>
      </c>
      <c r="S122" s="67" t="s">
        <v>187</v>
      </c>
      <c r="T122" t="s">
        <v>195</v>
      </c>
      <c r="U122" t="s">
        <v>196</v>
      </c>
      <c r="V122" s="2" t="s">
        <v>197</v>
      </c>
      <c r="W122" s="2" t="s">
        <v>62</v>
      </c>
      <c r="Z122" s="2" t="s">
        <v>159</v>
      </c>
      <c r="AA122" s="2" t="s">
        <v>160</v>
      </c>
      <c r="AB122" s="2" t="s">
        <v>63</v>
      </c>
      <c r="AC122" s="2" t="s">
        <v>64</v>
      </c>
    </row>
    <row r="123" spans="1:29" x14ac:dyDescent="0.35">
      <c r="A123" t="s">
        <v>91</v>
      </c>
      <c r="B123" t="s">
        <v>151</v>
      </c>
      <c r="C123" t="s">
        <v>152</v>
      </c>
      <c r="D123" t="s">
        <v>14</v>
      </c>
      <c r="E123" t="s">
        <v>14</v>
      </c>
      <c r="F123" t="s">
        <v>14</v>
      </c>
      <c r="G123" s="2" t="s">
        <v>151</v>
      </c>
      <c r="H123">
        <v>421657</v>
      </c>
      <c r="I123" s="32" t="s">
        <v>193</v>
      </c>
      <c r="J123" s="2" t="s">
        <v>194</v>
      </c>
      <c r="K123" t="s">
        <v>92</v>
      </c>
      <c r="L123" s="2" t="s">
        <v>194</v>
      </c>
      <c r="M123" s="2" t="s">
        <v>75</v>
      </c>
      <c r="N123" t="s">
        <v>142</v>
      </c>
      <c r="O123" t="s">
        <v>126</v>
      </c>
      <c r="P123" s="2" t="s">
        <v>20</v>
      </c>
      <c r="Q123" t="s">
        <v>61</v>
      </c>
      <c r="R123" t="s">
        <v>61</v>
      </c>
      <c r="S123" s="67" t="s">
        <v>187</v>
      </c>
      <c r="T123" t="s">
        <v>195</v>
      </c>
      <c r="U123" t="s">
        <v>196</v>
      </c>
      <c r="V123" s="2" t="s">
        <v>197</v>
      </c>
      <c r="W123" s="2" t="s">
        <v>62</v>
      </c>
      <c r="Z123" s="2" t="s">
        <v>159</v>
      </c>
      <c r="AA123" s="2" t="s">
        <v>160</v>
      </c>
      <c r="AB123" s="2" t="s">
        <v>63</v>
      </c>
      <c r="AC123" s="2" t="s">
        <v>64</v>
      </c>
    </row>
    <row r="124" spans="1:29" x14ac:dyDescent="0.35">
      <c r="A124" t="s">
        <v>91</v>
      </c>
      <c r="B124" t="s">
        <v>151</v>
      </c>
      <c r="C124" t="s">
        <v>152</v>
      </c>
      <c r="D124" t="s">
        <v>14</v>
      </c>
      <c r="E124" t="s">
        <v>14</v>
      </c>
      <c r="F124" t="s">
        <v>14</v>
      </c>
      <c r="G124" s="2" t="s">
        <v>151</v>
      </c>
      <c r="H124">
        <v>421657</v>
      </c>
      <c r="I124" s="32" t="s">
        <v>193</v>
      </c>
      <c r="J124" s="2" t="s">
        <v>194</v>
      </c>
      <c r="K124" t="s">
        <v>92</v>
      </c>
      <c r="L124" s="2" t="s">
        <v>194</v>
      </c>
      <c r="M124" s="2" t="s">
        <v>75</v>
      </c>
      <c r="N124" t="s">
        <v>142</v>
      </c>
      <c r="O124" t="s">
        <v>127</v>
      </c>
      <c r="P124" s="2" t="s">
        <v>20</v>
      </c>
      <c r="Q124" t="s">
        <v>61</v>
      </c>
      <c r="R124" t="s">
        <v>61</v>
      </c>
      <c r="S124" s="67" t="s">
        <v>187</v>
      </c>
      <c r="T124" t="s">
        <v>195</v>
      </c>
      <c r="U124" t="s">
        <v>196</v>
      </c>
      <c r="V124" s="2" t="s">
        <v>197</v>
      </c>
      <c r="W124" s="2" t="s">
        <v>62</v>
      </c>
      <c r="Z124" s="2" t="s">
        <v>159</v>
      </c>
      <c r="AA124" s="2" t="s">
        <v>160</v>
      </c>
      <c r="AB124" s="2" t="s">
        <v>63</v>
      </c>
      <c r="AC124" s="2" t="s">
        <v>64</v>
      </c>
    </row>
    <row r="125" spans="1:29" x14ac:dyDescent="0.35">
      <c r="A125" t="s">
        <v>91</v>
      </c>
      <c r="B125" t="s">
        <v>151</v>
      </c>
      <c r="C125" t="s">
        <v>152</v>
      </c>
      <c r="D125" t="s">
        <v>14</v>
      </c>
      <c r="E125" t="s">
        <v>14</v>
      </c>
      <c r="F125" t="s">
        <v>14</v>
      </c>
      <c r="G125" s="2" t="s">
        <v>151</v>
      </c>
      <c r="H125">
        <v>421657</v>
      </c>
      <c r="I125" s="32" t="s">
        <v>193</v>
      </c>
      <c r="J125" s="2" t="s">
        <v>194</v>
      </c>
      <c r="K125" t="s">
        <v>92</v>
      </c>
      <c r="L125" s="2" t="s">
        <v>194</v>
      </c>
      <c r="M125" s="2" t="s">
        <v>75</v>
      </c>
      <c r="N125" t="s">
        <v>142</v>
      </c>
      <c r="O125" t="s">
        <v>139</v>
      </c>
      <c r="P125" s="2" t="s">
        <v>209</v>
      </c>
      <c r="Q125" t="s">
        <v>61</v>
      </c>
      <c r="R125" t="s">
        <v>61</v>
      </c>
      <c r="S125" s="67" t="s">
        <v>187</v>
      </c>
      <c r="T125" t="s">
        <v>195</v>
      </c>
      <c r="U125" t="s">
        <v>196</v>
      </c>
      <c r="V125" s="2" t="s">
        <v>197</v>
      </c>
      <c r="W125" s="2" t="s">
        <v>62</v>
      </c>
      <c r="Z125" s="2" t="s">
        <v>159</v>
      </c>
      <c r="AA125" s="2" t="s">
        <v>160</v>
      </c>
      <c r="AB125" s="2" t="s">
        <v>63</v>
      </c>
      <c r="AC125" s="2" t="s">
        <v>64</v>
      </c>
    </row>
    <row r="126" spans="1:29" x14ac:dyDescent="0.35">
      <c r="A126" t="s">
        <v>91</v>
      </c>
      <c r="B126" t="s">
        <v>151</v>
      </c>
      <c r="C126" t="s">
        <v>152</v>
      </c>
      <c r="D126" t="s">
        <v>14</v>
      </c>
      <c r="E126" t="s">
        <v>14</v>
      </c>
      <c r="F126" t="s">
        <v>14</v>
      </c>
      <c r="G126" s="2" t="s">
        <v>151</v>
      </c>
      <c r="H126">
        <v>421657</v>
      </c>
      <c r="I126" s="32" t="s">
        <v>193</v>
      </c>
      <c r="J126" s="2" t="s">
        <v>194</v>
      </c>
      <c r="K126" t="s">
        <v>92</v>
      </c>
      <c r="L126" s="2" t="s">
        <v>194</v>
      </c>
      <c r="M126" s="2" t="s">
        <v>75</v>
      </c>
      <c r="N126" t="s">
        <v>142</v>
      </c>
      <c r="O126" t="s">
        <v>129</v>
      </c>
      <c r="P126" s="2" t="s">
        <v>20</v>
      </c>
      <c r="Q126" t="s">
        <v>61</v>
      </c>
      <c r="R126" t="s">
        <v>61</v>
      </c>
      <c r="S126" s="67" t="s">
        <v>187</v>
      </c>
      <c r="T126" t="s">
        <v>195</v>
      </c>
      <c r="U126" t="s">
        <v>196</v>
      </c>
      <c r="V126" s="2" t="s">
        <v>197</v>
      </c>
      <c r="W126" s="2" t="s">
        <v>62</v>
      </c>
      <c r="Z126" s="2" t="s">
        <v>159</v>
      </c>
      <c r="AA126" s="2" t="s">
        <v>160</v>
      </c>
      <c r="AB126" s="2" t="s">
        <v>63</v>
      </c>
      <c r="AC126" s="2" t="s">
        <v>64</v>
      </c>
    </row>
    <row r="127" spans="1:29" x14ac:dyDescent="0.35">
      <c r="A127" t="s">
        <v>91</v>
      </c>
      <c r="B127" t="s">
        <v>151</v>
      </c>
      <c r="C127" t="s">
        <v>152</v>
      </c>
      <c r="D127" t="s">
        <v>14</v>
      </c>
      <c r="E127" t="s">
        <v>14</v>
      </c>
      <c r="F127" t="s">
        <v>14</v>
      </c>
      <c r="G127" s="2" t="s">
        <v>151</v>
      </c>
      <c r="H127">
        <v>421657</v>
      </c>
      <c r="I127" s="32" t="s">
        <v>193</v>
      </c>
      <c r="J127" s="2" t="s">
        <v>194</v>
      </c>
      <c r="K127" t="s">
        <v>92</v>
      </c>
      <c r="L127" s="2" t="s">
        <v>194</v>
      </c>
      <c r="M127" s="2" t="s">
        <v>75</v>
      </c>
      <c r="N127" t="s">
        <v>142</v>
      </c>
      <c r="O127" t="s">
        <v>103</v>
      </c>
      <c r="P127" s="2" t="s">
        <v>149</v>
      </c>
      <c r="Q127" t="s">
        <v>61</v>
      </c>
      <c r="R127" t="s">
        <v>61</v>
      </c>
      <c r="S127" s="67" t="s">
        <v>187</v>
      </c>
      <c r="T127" t="s">
        <v>195</v>
      </c>
      <c r="U127" t="s">
        <v>196</v>
      </c>
      <c r="V127" s="2" t="s">
        <v>197</v>
      </c>
      <c r="W127" s="2" t="s">
        <v>62</v>
      </c>
      <c r="Z127" s="2" t="s">
        <v>159</v>
      </c>
      <c r="AA127" s="2" t="s">
        <v>160</v>
      </c>
      <c r="AB127" s="2" t="s">
        <v>63</v>
      </c>
      <c r="AC127" s="2" t="s">
        <v>64</v>
      </c>
    </row>
    <row r="128" spans="1:29" x14ac:dyDescent="0.35">
      <c r="A128" t="s">
        <v>91</v>
      </c>
      <c r="B128" t="s">
        <v>151</v>
      </c>
      <c r="C128" t="s">
        <v>152</v>
      </c>
      <c r="D128" t="s">
        <v>14</v>
      </c>
      <c r="E128" t="s">
        <v>14</v>
      </c>
      <c r="F128" t="s">
        <v>14</v>
      </c>
      <c r="G128" s="2" t="s">
        <v>151</v>
      </c>
      <c r="H128">
        <v>421657</v>
      </c>
      <c r="I128" s="32" t="s">
        <v>193</v>
      </c>
      <c r="J128" s="2" t="s">
        <v>194</v>
      </c>
      <c r="K128" t="s">
        <v>92</v>
      </c>
      <c r="L128" s="2" t="s">
        <v>194</v>
      </c>
      <c r="M128" s="2" t="s">
        <v>75</v>
      </c>
      <c r="N128" t="s">
        <v>142</v>
      </c>
      <c r="O128" t="s">
        <v>104</v>
      </c>
      <c r="P128" s="2" t="s">
        <v>20</v>
      </c>
      <c r="Q128" t="s">
        <v>61</v>
      </c>
      <c r="R128" t="s">
        <v>61</v>
      </c>
      <c r="S128" s="67" t="s">
        <v>187</v>
      </c>
      <c r="T128" t="s">
        <v>195</v>
      </c>
      <c r="U128" t="s">
        <v>196</v>
      </c>
      <c r="V128" s="2" t="s">
        <v>197</v>
      </c>
      <c r="W128" s="2" t="s">
        <v>62</v>
      </c>
      <c r="Z128" s="2" t="s">
        <v>159</v>
      </c>
      <c r="AA128" s="2" t="s">
        <v>160</v>
      </c>
      <c r="AB128" s="2" t="s">
        <v>63</v>
      </c>
      <c r="AC128" s="2" t="s">
        <v>64</v>
      </c>
    </row>
    <row r="129" spans="1:29" x14ac:dyDescent="0.35">
      <c r="A129" t="s">
        <v>91</v>
      </c>
      <c r="B129" t="s">
        <v>151</v>
      </c>
      <c r="C129" t="s">
        <v>152</v>
      </c>
      <c r="D129" t="s">
        <v>14</v>
      </c>
      <c r="E129" t="s">
        <v>14</v>
      </c>
      <c r="F129" t="s">
        <v>14</v>
      </c>
      <c r="G129" s="2" t="s">
        <v>151</v>
      </c>
      <c r="H129">
        <v>421657</v>
      </c>
      <c r="I129" s="32" t="s">
        <v>193</v>
      </c>
      <c r="J129" s="2" t="s">
        <v>194</v>
      </c>
      <c r="K129" t="s">
        <v>92</v>
      </c>
      <c r="L129" s="2" t="s">
        <v>194</v>
      </c>
      <c r="M129" s="2" t="s">
        <v>75</v>
      </c>
      <c r="N129" t="s">
        <v>142</v>
      </c>
      <c r="O129" t="s">
        <v>116</v>
      </c>
      <c r="P129" s="2" t="s">
        <v>20</v>
      </c>
      <c r="Q129" t="s">
        <v>61</v>
      </c>
      <c r="R129" t="s">
        <v>61</v>
      </c>
      <c r="S129" s="67" t="s">
        <v>187</v>
      </c>
      <c r="T129" t="s">
        <v>195</v>
      </c>
      <c r="U129" t="s">
        <v>196</v>
      </c>
      <c r="V129" s="2" t="s">
        <v>197</v>
      </c>
      <c r="W129" s="2" t="s">
        <v>62</v>
      </c>
      <c r="Z129" s="2" t="s">
        <v>159</v>
      </c>
      <c r="AA129" s="2" t="s">
        <v>160</v>
      </c>
      <c r="AB129" s="2" t="s">
        <v>63</v>
      </c>
      <c r="AC129" s="2" t="s">
        <v>64</v>
      </c>
    </row>
    <row r="130" spans="1:29" x14ac:dyDescent="0.35">
      <c r="A130" t="s">
        <v>91</v>
      </c>
      <c r="B130" t="s">
        <v>151</v>
      </c>
      <c r="C130" t="s">
        <v>152</v>
      </c>
      <c r="D130" t="s">
        <v>14</v>
      </c>
      <c r="E130" t="s">
        <v>14</v>
      </c>
      <c r="F130" t="s">
        <v>14</v>
      </c>
      <c r="G130" s="2" t="s">
        <v>151</v>
      </c>
      <c r="H130">
        <v>421657</v>
      </c>
      <c r="I130" s="32" t="s">
        <v>193</v>
      </c>
      <c r="J130" s="2" t="s">
        <v>194</v>
      </c>
      <c r="K130" t="s">
        <v>92</v>
      </c>
      <c r="L130" s="2" t="s">
        <v>194</v>
      </c>
      <c r="M130" s="2" t="s">
        <v>75</v>
      </c>
      <c r="N130" t="s">
        <v>142</v>
      </c>
      <c r="O130" t="s">
        <v>105</v>
      </c>
      <c r="P130" s="2" t="s">
        <v>20</v>
      </c>
      <c r="Q130" t="s">
        <v>61</v>
      </c>
      <c r="R130" t="s">
        <v>61</v>
      </c>
      <c r="S130" s="67" t="s">
        <v>187</v>
      </c>
      <c r="T130" t="s">
        <v>195</v>
      </c>
      <c r="U130" t="s">
        <v>196</v>
      </c>
      <c r="V130" s="2" t="s">
        <v>197</v>
      </c>
      <c r="W130" s="2" t="s">
        <v>62</v>
      </c>
      <c r="Z130" s="2" t="s">
        <v>159</v>
      </c>
      <c r="AA130" s="2" t="s">
        <v>160</v>
      </c>
      <c r="AB130" s="2" t="s">
        <v>63</v>
      </c>
      <c r="AC130" s="2" t="s">
        <v>64</v>
      </c>
    </row>
    <row r="131" spans="1:29" x14ac:dyDescent="0.35">
      <c r="A131" t="s">
        <v>91</v>
      </c>
      <c r="B131" t="s">
        <v>151</v>
      </c>
      <c r="C131" t="s">
        <v>152</v>
      </c>
      <c r="D131" t="s">
        <v>14</v>
      </c>
      <c r="E131" t="s">
        <v>14</v>
      </c>
      <c r="F131" t="s">
        <v>14</v>
      </c>
      <c r="G131" s="2" t="s">
        <v>151</v>
      </c>
      <c r="H131">
        <v>421657</v>
      </c>
      <c r="I131" s="32" t="s">
        <v>193</v>
      </c>
      <c r="J131" s="2" t="s">
        <v>194</v>
      </c>
      <c r="K131" t="s">
        <v>92</v>
      </c>
      <c r="L131" s="2" t="s">
        <v>194</v>
      </c>
      <c r="M131" s="2" t="s">
        <v>75</v>
      </c>
      <c r="N131" t="s">
        <v>142</v>
      </c>
      <c r="O131" t="s">
        <v>106</v>
      </c>
      <c r="P131" s="2" t="s">
        <v>20</v>
      </c>
      <c r="Q131" t="s">
        <v>61</v>
      </c>
      <c r="R131" t="s">
        <v>61</v>
      </c>
      <c r="S131" s="67" t="s">
        <v>187</v>
      </c>
      <c r="T131" t="s">
        <v>195</v>
      </c>
      <c r="U131" t="s">
        <v>196</v>
      </c>
      <c r="V131" s="2" t="s">
        <v>197</v>
      </c>
      <c r="W131" s="2" t="s">
        <v>62</v>
      </c>
      <c r="Z131" s="2" t="s">
        <v>159</v>
      </c>
      <c r="AA131" s="2" t="s">
        <v>160</v>
      </c>
      <c r="AB131" s="2" t="s">
        <v>63</v>
      </c>
      <c r="AC131" s="2" t="s">
        <v>64</v>
      </c>
    </row>
    <row r="132" spans="1:29" x14ac:dyDescent="0.35">
      <c r="A132" t="s">
        <v>91</v>
      </c>
      <c r="B132" t="s">
        <v>151</v>
      </c>
      <c r="C132" t="s">
        <v>152</v>
      </c>
      <c r="D132" t="s">
        <v>14</v>
      </c>
      <c r="E132" t="s">
        <v>14</v>
      </c>
      <c r="F132" t="s">
        <v>14</v>
      </c>
      <c r="G132" s="2" t="s">
        <v>151</v>
      </c>
      <c r="H132">
        <v>421657</v>
      </c>
      <c r="I132" s="32" t="s">
        <v>193</v>
      </c>
      <c r="J132" s="2" t="s">
        <v>194</v>
      </c>
      <c r="K132" t="s">
        <v>92</v>
      </c>
      <c r="L132" s="2" t="s">
        <v>194</v>
      </c>
      <c r="M132" s="2" t="s">
        <v>75</v>
      </c>
      <c r="N132" t="s">
        <v>142</v>
      </c>
      <c r="O132" t="s">
        <v>107</v>
      </c>
      <c r="P132" s="2" t="s">
        <v>147</v>
      </c>
      <c r="Q132" t="s">
        <v>61</v>
      </c>
      <c r="R132" t="s">
        <v>61</v>
      </c>
      <c r="S132" s="67" t="s">
        <v>187</v>
      </c>
      <c r="T132" t="s">
        <v>195</v>
      </c>
      <c r="U132" t="s">
        <v>196</v>
      </c>
      <c r="V132" s="2" t="s">
        <v>197</v>
      </c>
      <c r="W132" s="2" t="s">
        <v>62</v>
      </c>
      <c r="Z132" s="2" t="s">
        <v>159</v>
      </c>
      <c r="AA132" s="2" t="s">
        <v>160</v>
      </c>
      <c r="AB132" s="2" t="s">
        <v>63</v>
      </c>
      <c r="AC132" s="2" t="s">
        <v>64</v>
      </c>
    </row>
    <row r="133" spans="1:29" x14ac:dyDescent="0.35">
      <c r="A133" t="s">
        <v>91</v>
      </c>
      <c r="B133" t="s">
        <v>151</v>
      </c>
      <c r="C133" t="s">
        <v>152</v>
      </c>
      <c r="D133" t="s">
        <v>14</v>
      </c>
      <c r="E133" t="s">
        <v>14</v>
      </c>
      <c r="F133" t="s">
        <v>14</v>
      </c>
      <c r="G133" s="2" t="s">
        <v>151</v>
      </c>
      <c r="H133">
        <v>421657</v>
      </c>
      <c r="I133" s="32" t="s">
        <v>193</v>
      </c>
      <c r="J133" s="2" t="s">
        <v>194</v>
      </c>
      <c r="K133" t="s">
        <v>92</v>
      </c>
      <c r="L133" s="2" t="s">
        <v>194</v>
      </c>
      <c r="M133" s="2" t="s">
        <v>75</v>
      </c>
      <c r="N133" t="s">
        <v>142</v>
      </c>
      <c r="O133" t="s">
        <v>108</v>
      </c>
      <c r="P133" s="2" t="s">
        <v>162</v>
      </c>
      <c r="Q133" t="s">
        <v>61</v>
      </c>
      <c r="R133" t="s">
        <v>61</v>
      </c>
      <c r="S133" s="67" t="s">
        <v>187</v>
      </c>
      <c r="T133" t="s">
        <v>195</v>
      </c>
      <c r="U133" t="s">
        <v>196</v>
      </c>
      <c r="V133" s="2" t="s">
        <v>197</v>
      </c>
      <c r="W133" s="2" t="s">
        <v>62</v>
      </c>
      <c r="Z133" s="2" t="s">
        <v>159</v>
      </c>
      <c r="AA133" s="2" t="s">
        <v>160</v>
      </c>
      <c r="AB133" s="2" t="s">
        <v>63</v>
      </c>
      <c r="AC133" s="2" t="s">
        <v>64</v>
      </c>
    </row>
    <row r="134" spans="1:29" x14ac:dyDescent="0.35">
      <c r="A134" t="s">
        <v>91</v>
      </c>
      <c r="B134" t="s">
        <v>151</v>
      </c>
      <c r="C134" t="s">
        <v>178</v>
      </c>
      <c r="D134" t="s">
        <v>15</v>
      </c>
      <c r="E134" t="s">
        <v>15</v>
      </c>
      <c r="F134" t="s">
        <v>15</v>
      </c>
      <c r="G134" s="2" t="s">
        <v>151</v>
      </c>
      <c r="H134">
        <v>12329</v>
      </c>
      <c r="I134" s="32" t="s">
        <v>198</v>
      </c>
      <c r="J134" s="2" t="s">
        <v>179</v>
      </c>
      <c r="K134" t="s">
        <v>199</v>
      </c>
      <c r="L134" s="2" t="s">
        <v>179</v>
      </c>
      <c r="M134" s="2" t="s">
        <v>75</v>
      </c>
      <c r="N134" t="s">
        <v>142</v>
      </c>
      <c r="O134" t="s">
        <v>99</v>
      </c>
      <c r="P134" s="2" t="s">
        <v>20</v>
      </c>
      <c r="Q134" t="s">
        <v>61</v>
      </c>
      <c r="R134" t="s">
        <v>61</v>
      </c>
      <c r="S134" s="67" t="s">
        <v>200</v>
      </c>
      <c r="T134" t="s">
        <v>201</v>
      </c>
      <c r="U134" t="s">
        <v>202</v>
      </c>
      <c r="V134" s="2" t="s">
        <v>203</v>
      </c>
      <c r="W134" s="2" t="s">
        <v>62</v>
      </c>
      <c r="Z134" s="2" t="s">
        <v>159</v>
      </c>
      <c r="AA134" s="2" t="s">
        <v>160</v>
      </c>
      <c r="AB134" s="2" t="s">
        <v>63</v>
      </c>
      <c r="AC134" s="2" t="s">
        <v>64</v>
      </c>
    </row>
    <row r="135" spans="1:29" x14ac:dyDescent="0.35">
      <c r="A135" t="s">
        <v>91</v>
      </c>
      <c r="B135" t="s">
        <v>151</v>
      </c>
      <c r="C135" t="s">
        <v>178</v>
      </c>
      <c r="D135" t="s">
        <v>15</v>
      </c>
      <c r="E135" t="s">
        <v>15</v>
      </c>
      <c r="F135" t="s">
        <v>15</v>
      </c>
      <c r="G135" s="2" t="s">
        <v>151</v>
      </c>
      <c r="H135">
        <v>12329</v>
      </c>
      <c r="I135" s="32" t="s">
        <v>198</v>
      </c>
      <c r="J135" s="2" t="s">
        <v>179</v>
      </c>
      <c r="K135" t="s">
        <v>199</v>
      </c>
      <c r="L135" s="2" t="s">
        <v>179</v>
      </c>
      <c r="M135" s="2" t="s">
        <v>75</v>
      </c>
      <c r="N135" t="s">
        <v>142</v>
      </c>
      <c r="O135" t="s">
        <v>83</v>
      </c>
      <c r="P135" s="2" t="s">
        <v>20</v>
      </c>
      <c r="Q135" t="s">
        <v>61</v>
      </c>
      <c r="R135" t="s">
        <v>61</v>
      </c>
      <c r="S135" s="67" t="s">
        <v>200</v>
      </c>
      <c r="T135" t="s">
        <v>201</v>
      </c>
      <c r="U135" t="s">
        <v>202</v>
      </c>
      <c r="V135" s="2" t="s">
        <v>203</v>
      </c>
      <c r="W135" s="2" t="s">
        <v>62</v>
      </c>
      <c r="Z135" s="2" t="s">
        <v>159</v>
      </c>
      <c r="AA135" s="2" t="s">
        <v>160</v>
      </c>
      <c r="AB135" s="2" t="s">
        <v>63</v>
      </c>
      <c r="AC135" s="2" t="s">
        <v>64</v>
      </c>
    </row>
    <row r="136" spans="1:29" x14ac:dyDescent="0.35">
      <c r="A136" t="s">
        <v>91</v>
      </c>
      <c r="B136" t="s">
        <v>151</v>
      </c>
      <c r="C136" t="s">
        <v>178</v>
      </c>
      <c r="D136" t="s">
        <v>15</v>
      </c>
      <c r="E136" t="s">
        <v>15</v>
      </c>
      <c r="F136" t="s">
        <v>15</v>
      </c>
      <c r="G136" s="2" t="s">
        <v>151</v>
      </c>
      <c r="H136">
        <v>12329</v>
      </c>
      <c r="I136" s="32" t="s">
        <v>198</v>
      </c>
      <c r="J136" s="2" t="s">
        <v>179</v>
      </c>
      <c r="K136" t="s">
        <v>199</v>
      </c>
      <c r="L136" s="2" t="s">
        <v>179</v>
      </c>
      <c r="M136" s="2" t="s">
        <v>75</v>
      </c>
      <c r="N136" t="s">
        <v>142</v>
      </c>
      <c r="O136" t="s">
        <v>84</v>
      </c>
      <c r="P136" s="2" t="s">
        <v>20</v>
      </c>
      <c r="Q136" t="s">
        <v>61</v>
      </c>
      <c r="R136" t="s">
        <v>61</v>
      </c>
      <c r="S136" s="67" t="s">
        <v>200</v>
      </c>
      <c r="T136" t="s">
        <v>201</v>
      </c>
      <c r="U136" t="s">
        <v>202</v>
      </c>
      <c r="V136" s="2" t="s">
        <v>203</v>
      </c>
      <c r="W136" s="2" t="s">
        <v>62</v>
      </c>
      <c r="Z136" s="2" t="s">
        <v>159</v>
      </c>
      <c r="AA136" s="2" t="s">
        <v>160</v>
      </c>
      <c r="AB136" s="2" t="s">
        <v>63</v>
      </c>
      <c r="AC136" s="2" t="s">
        <v>64</v>
      </c>
    </row>
    <row r="137" spans="1:29" x14ac:dyDescent="0.35">
      <c r="A137" t="s">
        <v>91</v>
      </c>
      <c r="B137" t="s">
        <v>151</v>
      </c>
      <c r="C137" t="s">
        <v>178</v>
      </c>
      <c r="D137" t="s">
        <v>15</v>
      </c>
      <c r="E137" t="s">
        <v>15</v>
      </c>
      <c r="F137" t="s">
        <v>15</v>
      </c>
      <c r="G137" s="2" t="s">
        <v>151</v>
      </c>
      <c r="H137">
        <v>12329</v>
      </c>
      <c r="I137" s="32" t="s">
        <v>198</v>
      </c>
      <c r="J137" s="2" t="s">
        <v>179</v>
      </c>
      <c r="K137" t="s">
        <v>199</v>
      </c>
      <c r="L137" s="2" t="s">
        <v>179</v>
      </c>
      <c r="M137" s="2" t="s">
        <v>75</v>
      </c>
      <c r="N137" t="s">
        <v>142</v>
      </c>
      <c r="O137" t="s">
        <v>100</v>
      </c>
      <c r="P137" s="2" t="s">
        <v>20</v>
      </c>
      <c r="Q137" t="s">
        <v>61</v>
      </c>
      <c r="R137" t="s">
        <v>61</v>
      </c>
      <c r="S137" s="67" t="s">
        <v>200</v>
      </c>
      <c r="T137" t="s">
        <v>201</v>
      </c>
      <c r="U137" t="s">
        <v>202</v>
      </c>
      <c r="V137" s="2" t="s">
        <v>203</v>
      </c>
      <c r="W137" s="2" t="s">
        <v>62</v>
      </c>
      <c r="Z137" s="2" t="s">
        <v>159</v>
      </c>
      <c r="AA137" s="2" t="s">
        <v>160</v>
      </c>
      <c r="AB137" s="2" t="s">
        <v>63</v>
      </c>
      <c r="AC137" s="2" t="s">
        <v>64</v>
      </c>
    </row>
    <row r="138" spans="1:29" x14ac:dyDescent="0.35">
      <c r="A138" t="s">
        <v>91</v>
      </c>
      <c r="B138" t="s">
        <v>151</v>
      </c>
      <c r="C138" t="s">
        <v>178</v>
      </c>
      <c r="D138" t="s">
        <v>15</v>
      </c>
      <c r="E138" t="s">
        <v>15</v>
      </c>
      <c r="F138" t="s">
        <v>15</v>
      </c>
      <c r="G138" s="2" t="s">
        <v>151</v>
      </c>
      <c r="H138">
        <v>12329</v>
      </c>
      <c r="I138" s="32" t="s">
        <v>198</v>
      </c>
      <c r="J138" s="2" t="s">
        <v>179</v>
      </c>
      <c r="K138" t="s">
        <v>199</v>
      </c>
      <c r="L138" s="2" t="s">
        <v>179</v>
      </c>
      <c r="M138" s="2" t="s">
        <v>75</v>
      </c>
      <c r="N138" t="s">
        <v>142</v>
      </c>
      <c r="O138" t="s">
        <v>35</v>
      </c>
      <c r="P138" s="2" t="s">
        <v>20</v>
      </c>
      <c r="Q138" t="s">
        <v>61</v>
      </c>
      <c r="R138" t="s">
        <v>61</v>
      </c>
      <c r="S138" s="67" t="s">
        <v>200</v>
      </c>
      <c r="T138" t="s">
        <v>201</v>
      </c>
      <c r="U138" t="s">
        <v>202</v>
      </c>
      <c r="V138" s="2" t="s">
        <v>203</v>
      </c>
      <c r="W138" s="2" t="s">
        <v>62</v>
      </c>
      <c r="Z138" s="2" t="s">
        <v>159</v>
      </c>
      <c r="AA138" s="2" t="s">
        <v>160</v>
      </c>
      <c r="AB138" s="2" t="s">
        <v>63</v>
      </c>
      <c r="AC138" s="2" t="s">
        <v>64</v>
      </c>
    </row>
    <row r="139" spans="1:29" x14ac:dyDescent="0.35">
      <c r="A139" t="s">
        <v>91</v>
      </c>
      <c r="B139" t="s">
        <v>151</v>
      </c>
      <c r="C139" t="s">
        <v>178</v>
      </c>
      <c r="D139" t="s">
        <v>15</v>
      </c>
      <c r="E139" t="s">
        <v>15</v>
      </c>
      <c r="F139" t="s">
        <v>15</v>
      </c>
      <c r="G139" s="2" t="s">
        <v>151</v>
      </c>
      <c r="H139">
        <v>12329</v>
      </c>
      <c r="I139" s="32" t="s">
        <v>198</v>
      </c>
      <c r="J139" s="2" t="s">
        <v>179</v>
      </c>
      <c r="K139" t="s">
        <v>199</v>
      </c>
      <c r="L139" s="2" t="s">
        <v>179</v>
      </c>
      <c r="M139" s="2" t="s">
        <v>75</v>
      </c>
      <c r="N139" t="s">
        <v>142</v>
      </c>
      <c r="O139" t="s">
        <v>101</v>
      </c>
      <c r="P139" s="2" t="s">
        <v>147</v>
      </c>
      <c r="Q139" t="s">
        <v>61</v>
      </c>
      <c r="R139" t="s">
        <v>61</v>
      </c>
      <c r="S139" s="67" t="s">
        <v>200</v>
      </c>
      <c r="T139" t="s">
        <v>201</v>
      </c>
      <c r="U139" t="s">
        <v>202</v>
      </c>
      <c r="V139" s="2" t="s">
        <v>203</v>
      </c>
      <c r="W139" s="2" t="s">
        <v>62</v>
      </c>
      <c r="Z139" s="2" t="s">
        <v>159</v>
      </c>
      <c r="AA139" s="2" t="s">
        <v>160</v>
      </c>
      <c r="AB139" s="2" t="s">
        <v>63</v>
      </c>
      <c r="AC139" s="2" t="s">
        <v>64</v>
      </c>
    </row>
    <row r="140" spans="1:29" x14ac:dyDescent="0.35">
      <c r="A140" t="s">
        <v>91</v>
      </c>
      <c r="B140" t="s">
        <v>151</v>
      </c>
      <c r="C140" t="s">
        <v>178</v>
      </c>
      <c r="D140" t="s">
        <v>15</v>
      </c>
      <c r="E140" t="s">
        <v>15</v>
      </c>
      <c r="F140" t="s">
        <v>15</v>
      </c>
      <c r="G140" s="2" t="s">
        <v>151</v>
      </c>
      <c r="H140">
        <v>12329</v>
      </c>
      <c r="I140" s="32" t="s">
        <v>198</v>
      </c>
      <c r="J140" s="2" t="s">
        <v>179</v>
      </c>
      <c r="K140" t="s">
        <v>199</v>
      </c>
      <c r="L140" s="2" t="s">
        <v>179</v>
      </c>
      <c r="M140" s="2" t="s">
        <v>75</v>
      </c>
      <c r="N140" t="s">
        <v>142</v>
      </c>
      <c r="O140" t="s">
        <v>85</v>
      </c>
      <c r="P140" s="2" t="s">
        <v>20</v>
      </c>
      <c r="Q140" t="s">
        <v>61</v>
      </c>
      <c r="R140" t="s">
        <v>61</v>
      </c>
      <c r="S140" s="67" t="s">
        <v>200</v>
      </c>
      <c r="T140" t="s">
        <v>201</v>
      </c>
      <c r="U140" t="s">
        <v>202</v>
      </c>
      <c r="V140" s="2" t="s">
        <v>203</v>
      </c>
      <c r="W140" s="2" t="s">
        <v>62</v>
      </c>
      <c r="Z140" s="2" t="s">
        <v>159</v>
      </c>
      <c r="AA140" s="2" t="s">
        <v>160</v>
      </c>
      <c r="AB140" s="2" t="s">
        <v>63</v>
      </c>
      <c r="AC140" s="2" t="s">
        <v>64</v>
      </c>
    </row>
    <row r="141" spans="1:29" x14ac:dyDescent="0.35">
      <c r="A141" t="s">
        <v>91</v>
      </c>
      <c r="B141" t="s">
        <v>151</v>
      </c>
      <c r="C141" t="s">
        <v>178</v>
      </c>
      <c r="D141" t="s">
        <v>15</v>
      </c>
      <c r="E141" t="s">
        <v>15</v>
      </c>
      <c r="F141" t="s">
        <v>15</v>
      </c>
      <c r="G141" s="2" t="s">
        <v>151</v>
      </c>
      <c r="H141">
        <v>12329</v>
      </c>
      <c r="I141" s="32" t="s">
        <v>198</v>
      </c>
      <c r="J141" s="2" t="s">
        <v>179</v>
      </c>
      <c r="K141" t="s">
        <v>199</v>
      </c>
      <c r="L141" s="2" t="s">
        <v>179</v>
      </c>
      <c r="M141" s="2" t="s">
        <v>75</v>
      </c>
      <c r="N141" t="s">
        <v>142</v>
      </c>
      <c r="O141" t="s">
        <v>86</v>
      </c>
      <c r="P141" s="2" t="s">
        <v>20</v>
      </c>
      <c r="Q141" t="s">
        <v>61</v>
      </c>
      <c r="R141" t="s">
        <v>61</v>
      </c>
      <c r="S141" s="67" t="s">
        <v>200</v>
      </c>
      <c r="T141" t="s">
        <v>201</v>
      </c>
      <c r="U141" t="s">
        <v>202</v>
      </c>
      <c r="V141" s="2" t="s">
        <v>203</v>
      </c>
      <c r="W141" s="2" t="s">
        <v>62</v>
      </c>
      <c r="Z141" s="2" t="s">
        <v>159</v>
      </c>
      <c r="AA141" s="2" t="s">
        <v>160</v>
      </c>
      <c r="AB141" s="2" t="s">
        <v>63</v>
      </c>
      <c r="AC141" s="2" t="s">
        <v>64</v>
      </c>
    </row>
    <row r="142" spans="1:29" x14ac:dyDescent="0.35">
      <c r="A142" t="s">
        <v>91</v>
      </c>
      <c r="B142" t="s">
        <v>151</v>
      </c>
      <c r="C142" t="s">
        <v>178</v>
      </c>
      <c r="D142" t="s">
        <v>15</v>
      </c>
      <c r="E142" t="s">
        <v>15</v>
      </c>
      <c r="F142" t="s">
        <v>15</v>
      </c>
      <c r="G142" s="2" t="s">
        <v>151</v>
      </c>
      <c r="H142">
        <v>12329</v>
      </c>
      <c r="I142" s="32" t="s">
        <v>198</v>
      </c>
      <c r="J142" s="2" t="s">
        <v>179</v>
      </c>
      <c r="K142" t="s">
        <v>199</v>
      </c>
      <c r="L142" s="2" t="s">
        <v>179</v>
      </c>
      <c r="M142" s="2" t="s">
        <v>75</v>
      </c>
      <c r="N142" t="s">
        <v>142</v>
      </c>
      <c r="O142" t="s">
        <v>87</v>
      </c>
      <c r="P142" s="2" t="s">
        <v>147</v>
      </c>
      <c r="Q142" t="s">
        <v>61</v>
      </c>
      <c r="R142" t="s">
        <v>61</v>
      </c>
      <c r="S142" s="67" t="s">
        <v>200</v>
      </c>
      <c r="T142" t="s">
        <v>201</v>
      </c>
      <c r="U142" t="s">
        <v>202</v>
      </c>
      <c r="V142" s="2" t="s">
        <v>203</v>
      </c>
      <c r="W142" s="2" t="s">
        <v>62</v>
      </c>
      <c r="Z142" s="2" t="s">
        <v>159</v>
      </c>
      <c r="AA142" s="2" t="s">
        <v>160</v>
      </c>
      <c r="AB142" s="2" t="s">
        <v>63</v>
      </c>
      <c r="AC142" s="2" t="s">
        <v>64</v>
      </c>
    </row>
    <row r="143" spans="1:29" x14ac:dyDescent="0.35">
      <c r="A143" t="s">
        <v>91</v>
      </c>
      <c r="B143" t="s">
        <v>151</v>
      </c>
      <c r="C143" t="s">
        <v>178</v>
      </c>
      <c r="D143" t="s">
        <v>15</v>
      </c>
      <c r="E143" t="s">
        <v>15</v>
      </c>
      <c r="F143" t="s">
        <v>15</v>
      </c>
      <c r="G143" s="2" t="s">
        <v>151</v>
      </c>
      <c r="H143">
        <v>12329</v>
      </c>
      <c r="I143" s="32" t="s">
        <v>198</v>
      </c>
      <c r="J143" s="2" t="s">
        <v>179</v>
      </c>
      <c r="K143" t="s">
        <v>199</v>
      </c>
      <c r="L143" s="2" t="s">
        <v>179</v>
      </c>
      <c r="M143" s="2" t="s">
        <v>75</v>
      </c>
      <c r="N143" t="s">
        <v>142</v>
      </c>
      <c r="O143" t="s">
        <v>88</v>
      </c>
      <c r="P143" s="2" t="s">
        <v>147</v>
      </c>
      <c r="Q143" t="s">
        <v>61</v>
      </c>
      <c r="R143" t="s">
        <v>61</v>
      </c>
      <c r="S143" s="67" t="s">
        <v>200</v>
      </c>
      <c r="T143" t="s">
        <v>201</v>
      </c>
      <c r="U143" t="s">
        <v>202</v>
      </c>
      <c r="V143" s="2" t="s">
        <v>203</v>
      </c>
      <c r="W143" s="2" t="s">
        <v>62</v>
      </c>
      <c r="Z143" s="2" t="s">
        <v>159</v>
      </c>
      <c r="AA143" s="2" t="s">
        <v>160</v>
      </c>
      <c r="AB143" s="2" t="s">
        <v>63</v>
      </c>
      <c r="AC143" s="2" t="s">
        <v>64</v>
      </c>
    </row>
    <row r="144" spans="1:29" x14ac:dyDescent="0.35">
      <c r="A144" t="s">
        <v>91</v>
      </c>
      <c r="B144" t="s">
        <v>151</v>
      </c>
      <c r="C144" t="s">
        <v>178</v>
      </c>
      <c r="D144" t="s">
        <v>15</v>
      </c>
      <c r="E144" t="s">
        <v>15</v>
      </c>
      <c r="F144" t="s">
        <v>15</v>
      </c>
      <c r="G144" s="2" t="s">
        <v>151</v>
      </c>
      <c r="H144">
        <v>12329</v>
      </c>
      <c r="I144" s="32" t="s">
        <v>198</v>
      </c>
      <c r="J144" s="2" t="s">
        <v>179</v>
      </c>
      <c r="K144" t="s">
        <v>199</v>
      </c>
      <c r="L144" s="2" t="s">
        <v>179</v>
      </c>
      <c r="M144" s="2" t="s">
        <v>75</v>
      </c>
      <c r="N144" t="s">
        <v>142</v>
      </c>
      <c r="O144" t="s">
        <v>89</v>
      </c>
      <c r="P144" s="2" t="s">
        <v>147</v>
      </c>
      <c r="Q144" t="s">
        <v>61</v>
      </c>
      <c r="R144" t="s">
        <v>61</v>
      </c>
      <c r="S144" s="67" t="s">
        <v>200</v>
      </c>
      <c r="T144" t="s">
        <v>201</v>
      </c>
      <c r="U144" t="s">
        <v>202</v>
      </c>
      <c r="V144" s="2" t="s">
        <v>203</v>
      </c>
      <c r="W144" s="2" t="s">
        <v>62</v>
      </c>
      <c r="Z144" s="2" t="s">
        <v>159</v>
      </c>
      <c r="AA144" s="2" t="s">
        <v>160</v>
      </c>
      <c r="AB144" s="2" t="s">
        <v>63</v>
      </c>
      <c r="AC144" s="2" t="s">
        <v>64</v>
      </c>
    </row>
    <row r="145" spans="1:29" x14ac:dyDescent="0.35">
      <c r="A145" t="s">
        <v>91</v>
      </c>
      <c r="B145" t="s">
        <v>151</v>
      </c>
      <c r="C145" t="s">
        <v>178</v>
      </c>
      <c r="D145" t="s">
        <v>15</v>
      </c>
      <c r="E145" t="s">
        <v>15</v>
      </c>
      <c r="F145" t="s">
        <v>15</v>
      </c>
      <c r="G145" s="2" t="s">
        <v>151</v>
      </c>
      <c r="H145">
        <v>12329</v>
      </c>
      <c r="I145" s="32" t="s">
        <v>198</v>
      </c>
      <c r="J145" s="2" t="s">
        <v>179</v>
      </c>
      <c r="K145" t="s">
        <v>199</v>
      </c>
      <c r="L145" s="2" t="s">
        <v>179</v>
      </c>
      <c r="M145" s="2" t="s">
        <v>75</v>
      </c>
      <c r="N145" t="s">
        <v>142</v>
      </c>
      <c r="O145" t="s">
        <v>90</v>
      </c>
      <c r="P145" s="2" t="s">
        <v>147</v>
      </c>
      <c r="Q145" t="s">
        <v>61</v>
      </c>
      <c r="R145" t="s">
        <v>61</v>
      </c>
      <c r="S145" s="67" t="s">
        <v>200</v>
      </c>
      <c r="T145" t="s">
        <v>201</v>
      </c>
      <c r="U145" t="s">
        <v>202</v>
      </c>
      <c r="V145" s="2" t="s">
        <v>203</v>
      </c>
      <c r="W145" s="2" t="s">
        <v>62</v>
      </c>
      <c r="Z145" s="2" t="s">
        <v>159</v>
      </c>
      <c r="AA145" s="2" t="s">
        <v>160</v>
      </c>
      <c r="AB145" s="2" t="s">
        <v>63</v>
      </c>
      <c r="AC145" s="2" t="s">
        <v>64</v>
      </c>
    </row>
    <row r="146" spans="1:29" x14ac:dyDescent="0.35">
      <c r="A146" t="s">
        <v>91</v>
      </c>
      <c r="B146" t="s">
        <v>151</v>
      </c>
      <c r="C146" t="s">
        <v>178</v>
      </c>
      <c r="D146" t="s">
        <v>15</v>
      </c>
      <c r="E146" t="s">
        <v>15</v>
      </c>
      <c r="F146" t="s">
        <v>15</v>
      </c>
      <c r="G146" s="2" t="s">
        <v>151</v>
      </c>
      <c r="H146">
        <v>12329</v>
      </c>
      <c r="I146" s="32" t="s">
        <v>198</v>
      </c>
      <c r="J146" s="2" t="s">
        <v>179</v>
      </c>
      <c r="K146" t="s">
        <v>199</v>
      </c>
      <c r="L146" s="2" t="s">
        <v>179</v>
      </c>
      <c r="M146" s="2" t="s">
        <v>75</v>
      </c>
      <c r="N146" t="s">
        <v>142</v>
      </c>
      <c r="O146" t="s">
        <v>117</v>
      </c>
      <c r="P146" s="2" t="s">
        <v>20</v>
      </c>
      <c r="Q146" t="s">
        <v>61</v>
      </c>
      <c r="R146" t="s">
        <v>61</v>
      </c>
      <c r="S146" s="67" t="s">
        <v>200</v>
      </c>
      <c r="T146" t="s">
        <v>201</v>
      </c>
      <c r="U146" t="s">
        <v>202</v>
      </c>
      <c r="V146" s="2" t="s">
        <v>203</v>
      </c>
      <c r="W146" s="2" t="s">
        <v>62</v>
      </c>
      <c r="Z146" s="2" t="s">
        <v>159</v>
      </c>
      <c r="AA146" s="2" t="s">
        <v>160</v>
      </c>
      <c r="AB146" s="2" t="s">
        <v>63</v>
      </c>
      <c r="AC146" s="2" t="s">
        <v>64</v>
      </c>
    </row>
    <row r="147" spans="1:29" x14ac:dyDescent="0.35">
      <c r="A147" t="s">
        <v>91</v>
      </c>
      <c r="B147" t="s">
        <v>151</v>
      </c>
      <c r="C147" t="s">
        <v>178</v>
      </c>
      <c r="D147" t="s">
        <v>15</v>
      </c>
      <c r="E147" t="s">
        <v>15</v>
      </c>
      <c r="F147" t="s">
        <v>15</v>
      </c>
      <c r="G147" s="2" t="s">
        <v>151</v>
      </c>
      <c r="H147">
        <v>12329</v>
      </c>
      <c r="I147" s="32" t="s">
        <v>198</v>
      </c>
      <c r="J147" s="2" t="s">
        <v>179</v>
      </c>
      <c r="K147" t="s">
        <v>199</v>
      </c>
      <c r="L147" s="2" t="s">
        <v>179</v>
      </c>
      <c r="M147" s="2" t="s">
        <v>75</v>
      </c>
      <c r="N147" t="s">
        <v>142</v>
      </c>
      <c r="O147" t="s">
        <v>110</v>
      </c>
      <c r="P147" s="2" t="s">
        <v>20</v>
      </c>
      <c r="Q147" t="s">
        <v>61</v>
      </c>
      <c r="R147" t="s">
        <v>61</v>
      </c>
      <c r="S147" s="67" t="s">
        <v>200</v>
      </c>
      <c r="T147" t="s">
        <v>201</v>
      </c>
      <c r="U147" t="s">
        <v>202</v>
      </c>
      <c r="V147" s="2" t="s">
        <v>203</v>
      </c>
      <c r="W147" s="2" t="s">
        <v>62</v>
      </c>
      <c r="Z147" s="2" t="s">
        <v>159</v>
      </c>
      <c r="AA147" s="2" t="s">
        <v>160</v>
      </c>
      <c r="AB147" s="2" t="s">
        <v>63</v>
      </c>
      <c r="AC147" s="2" t="s">
        <v>64</v>
      </c>
    </row>
    <row r="148" spans="1:29" x14ac:dyDescent="0.35">
      <c r="A148" t="s">
        <v>91</v>
      </c>
      <c r="B148" t="s">
        <v>151</v>
      </c>
      <c r="C148" t="s">
        <v>178</v>
      </c>
      <c r="D148" t="s">
        <v>15</v>
      </c>
      <c r="E148" t="s">
        <v>15</v>
      </c>
      <c r="F148" t="s">
        <v>15</v>
      </c>
      <c r="G148" s="2" t="s">
        <v>151</v>
      </c>
      <c r="H148">
        <v>12329</v>
      </c>
      <c r="I148" s="32" t="s">
        <v>198</v>
      </c>
      <c r="J148" s="2" t="s">
        <v>179</v>
      </c>
      <c r="K148" t="s">
        <v>199</v>
      </c>
      <c r="L148" s="2" t="s">
        <v>179</v>
      </c>
      <c r="M148" s="2" t="s">
        <v>75</v>
      </c>
      <c r="N148" t="s">
        <v>142</v>
      </c>
      <c r="O148" t="s">
        <v>118</v>
      </c>
      <c r="P148" s="2" t="s">
        <v>20</v>
      </c>
      <c r="Q148" t="s">
        <v>61</v>
      </c>
      <c r="R148" t="s">
        <v>61</v>
      </c>
      <c r="S148" s="67" t="s">
        <v>200</v>
      </c>
      <c r="T148" t="s">
        <v>201</v>
      </c>
      <c r="U148" t="s">
        <v>202</v>
      </c>
      <c r="V148" s="2" t="s">
        <v>203</v>
      </c>
      <c r="W148" s="2" t="s">
        <v>62</v>
      </c>
      <c r="Z148" s="2" t="s">
        <v>159</v>
      </c>
      <c r="AA148" s="2" t="s">
        <v>160</v>
      </c>
      <c r="AB148" s="2" t="s">
        <v>63</v>
      </c>
      <c r="AC148" s="2" t="s">
        <v>64</v>
      </c>
    </row>
    <row r="149" spans="1:29" x14ac:dyDescent="0.35">
      <c r="A149" t="s">
        <v>91</v>
      </c>
      <c r="B149" t="s">
        <v>151</v>
      </c>
      <c r="C149" t="s">
        <v>178</v>
      </c>
      <c r="D149" t="s">
        <v>15</v>
      </c>
      <c r="E149" t="s">
        <v>15</v>
      </c>
      <c r="F149" t="s">
        <v>15</v>
      </c>
      <c r="G149" s="2" t="s">
        <v>151</v>
      </c>
      <c r="H149">
        <v>12329</v>
      </c>
      <c r="I149" s="32" t="s">
        <v>198</v>
      </c>
      <c r="J149" s="2" t="s">
        <v>179</v>
      </c>
      <c r="K149" t="s">
        <v>199</v>
      </c>
      <c r="L149" s="2" t="s">
        <v>179</v>
      </c>
      <c r="M149" s="2" t="s">
        <v>75</v>
      </c>
      <c r="N149" t="s">
        <v>142</v>
      </c>
      <c r="O149" t="s">
        <v>119</v>
      </c>
      <c r="P149" s="2" t="s">
        <v>20</v>
      </c>
      <c r="Q149" t="s">
        <v>61</v>
      </c>
      <c r="R149" t="s">
        <v>61</v>
      </c>
      <c r="S149" s="67" t="s">
        <v>200</v>
      </c>
      <c r="T149" t="s">
        <v>201</v>
      </c>
      <c r="U149" t="s">
        <v>202</v>
      </c>
      <c r="V149" s="2" t="s">
        <v>203</v>
      </c>
      <c r="W149" s="2" t="s">
        <v>62</v>
      </c>
      <c r="Z149" s="2" t="s">
        <v>159</v>
      </c>
      <c r="AA149" s="2" t="s">
        <v>160</v>
      </c>
      <c r="AB149" s="2" t="s">
        <v>63</v>
      </c>
      <c r="AC149" s="2" t="s">
        <v>64</v>
      </c>
    </row>
    <row r="150" spans="1:29" x14ac:dyDescent="0.35">
      <c r="A150" t="s">
        <v>91</v>
      </c>
      <c r="B150" t="s">
        <v>151</v>
      </c>
      <c r="C150" t="s">
        <v>178</v>
      </c>
      <c r="D150" t="s">
        <v>15</v>
      </c>
      <c r="E150" t="s">
        <v>15</v>
      </c>
      <c r="F150" t="s">
        <v>15</v>
      </c>
      <c r="G150" s="2" t="s">
        <v>151</v>
      </c>
      <c r="H150">
        <v>12329</v>
      </c>
      <c r="I150" s="32" t="s">
        <v>198</v>
      </c>
      <c r="J150" s="2" t="s">
        <v>179</v>
      </c>
      <c r="K150" t="s">
        <v>199</v>
      </c>
      <c r="L150" s="2" t="s">
        <v>179</v>
      </c>
      <c r="M150" s="2" t="s">
        <v>75</v>
      </c>
      <c r="N150" t="s">
        <v>142</v>
      </c>
      <c r="O150" t="s">
        <v>120</v>
      </c>
      <c r="P150" s="2" t="s">
        <v>20</v>
      </c>
      <c r="Q150" t="s">
        <v>61</v>
      </c>
      <c r="R150" t="s">
        <v>61</v>
      </c>
      <c r="S150" s="67" t="s">
        <v>200</v>
      </c>
      <c r="T150" t="s">
        <v>201</v>
      </c>
      <c r="U150" t="s">
        <v>202</v>
      </c>
      <c r="V150" s="2" t="s">
        <v>203</v>
      </c>
      <c r="W150" s="2" t="s">
        <v>62</v>
      </c>
      <c r="Z150" s="2" t="s">
        <v>159</v>
      </c>
      <c r="AA150" s="2" t="s">
        <v>160</v>
      </c>
      <c r="AB150" s="2" t="s">
        <v>63</v>
      </c>
      <c r="AC150" s="2" t="s">
        <v>64</v>
      </c>
    </row>
    <row r="151" spans="1:29" x14ac:dyDescent="0.35">
      <c r="A151" t="s">
        <v>91</v>
      </c>
      <c r="B151" t="s">
        <v>151</v>
      </c>
      <c r="C151" t="s">
        <v>178</v>
      </c>
      <c r="D151" t="s">
        <v>15</v>
      </c>
      <c r="E151" t="s">
        <v>15</v>
      </c>
      <c r="F151" t="s">
        <v>15</v>
      </c>
      <c r="G151" s="2" t="s">
        <v>151</v>
      </c>
      <c r="H151">
        <v>12329</v>
      </c>
      <c r="I151" s="32" t="s">
        <v>198</v>
      </c>
      <c r="J151" s="2" t="s">
        <v>179</v>
      </c>
      <c r="K151" t="s">
        <v>199</v>
      </c>
      <c r="L151" s="2" t="s">
        <v>179</v>
      </c>
      <c r="M151" s="2" t="s">
        <v>75</v>
      </c>
      <c r="N151" t="s">
        <v>142</v>
      </c>
      <c r="O151" t="s">
        <v>121</v>
      </c>
      <c r="P151" s="2" t="s">
        <v>20</v>
      </c>
      <c r="Q151" t="s">
        <v>61</v>
      </c>
      <c r="R151" t="s">
        <v>61</v>
      </c>
      <c r="S151" s="67" t="s">
        <v>200</v>
      </c>
      <c r="T151" t="s">
        <v>201</v>
      </c>
      <c r="U151" t="s">
        <v>202</v>
      </c>
      <c r="V151" s="2" t="s">
        <v>203</v>
      </c>
      <c r="W151" s="2" t="s">
        <v>62</v>
      </c>
      <c r="Z151" s="2" t="s">
        <v>159</v>
      </c>
      <c r="AA151" s="2" t="s">
        <v>160</v>
      </c>
      <c r="AB151" s="2" t="s">
        <v>63</v>
      </c>
      <c r="AC151" s="2" t="s">
        <v>64</v>
      </c>
    </row>
    <row r="152" spans="1:29" x14ac:dyDescent="0.35">
      <c r="A152" t="s">
        <v>91</v>
      </c>
      <c r="B152" t="s">
        <v>151</v>
      </c>
      <c r="C152" t="s">
        <v>178</v>
      </c>
      <c r="D152" t="s">
        <v>15</v>
      </c>
      <c r="E152" t="s">
        <v>15</v>
      </c>
      <c r="F152" t="s">
        <v>15</v>
      </c>
      <c r="G152" s="2" t="s">
        <v>151</v>
      </c>
      <c r="H152">
        <v>12329</v>
      </c>
      <c r="I152" s="32" t="s">
        <v>198</v>
      </c>
      <c r="J152" s="2" t="s">
        <v>179</v>
      </c>
      <c r="K152" t="s">
        <v>199</v>
      </c>
      <c r="L152" s="2" t="s">
        <v>179</v>
      </c>
      <c r="M152" s="2" t="s">
        <v>75</v>
      </c>
      <c r="N152" t="s">
        <v>142</v>
      </c>
      <c r="O152" t="s">
        <v>128</v>
      </c>
      <c r="P152" s="2" t="s">
        <v>20</v>
      </c>
      <c r="Q152" t="s">
        <v>61</v>
      </c>
      <c r="R152" t="s">
        <v>61</v>
      </c>
      <c r="S152" s="67" t="s">
        <v>200</v>
      </c>
      <c r="T152" t="s">
        <v>201</v>
      </c>
      <c r="U152" t="s">
        <v>202</v>
      </c>
      <c r="V152" s="2" t="s">
        <v>203</v>
      </c>
      <c r="W152" s="2" t="s">
        <v>62</v>
      </c>
      <c r="Z152" s="2" t="s">
        <v>159</v>
      </c>
      <c r="AA152" s="2" t="s">
        <v>160</v>
      </c>
      <c r="AB152" s="2" t="s">
        <v>63</v>
      </c>
      <c r="AC152" s="2" t="s">
        <v>64</v>
      </c>
    </row>
    <row r="153" spans="1:29" x14ac:dyDescent="0.35">
      <c r="A153" t="s">
        <v>91</v>
      </c>
      <c r="B153" t="s">
        <v>151</v>
      </c>
      <c r="C153" t="s">
        <v>178</v>
      </c>
      <c r="D153" t="s">
        <v>15</v>
      </c>
      <c r="E153" t="s">
        <v>15</v>
      </c>
      <c r="F153" t="s">
        <v>15</v>
      </c>
      <c r="G153" s="2" t="s">
        <v>151</v>
      </c>
      <c r="H153">
        <v>12329</v>
      </c>
      <c r="I153" s="32" t="s">
        <v>198</v>
      </c>
      <c r="J153" s="2" t="s">
        <v>179</v>
      </c>
      <c r="K153" t="s">
        <v>199</v>
      </c>
      <c r="L153" s="2" t="s">
        <v>179</v>
      </c>
      <c r="M153" s="2" t="s">
        <v>75</v>
      </c>
      <c r="N153" t="s">
        <v>142</v>
      </c>
      <c r="O153" t="s">
        <v>122</v>
      </c>
      <c r="P153" s="2" t="s">
        <v>20</v>
      </c>
      <c r="Q153" t="s">
        <v>61</v>
      </c>
      <c r="R153" t="s">
        <v>61</v>
      </c>
      <c r="S153" s="67" t="s">
        <v>200</v>
      </c>
      <c r="T153" t="s">
        <v>201</v>
      </c>
      <c r="U153" t="s">
        <v>202</v>
      </c>
      <c r="V153" s="2" t="s">
        <v>203</v>
      </c>
      <c r="W153" s="2" t="s">
        <v>62</v>
      </c>
      <c r="Z153" s="2" t="s">
        <v>159</v>
      </c>
      <c r="AA153" s="2" t="s">
        <v>160</v>
      </c>
      <c r="AB153" s="2" t="s">
        <v>63</v>
      </c>
      <c r="AC153" s="2" t="s">
        <v>64</v>
      </c>
    </row>
    <row r="154" spans="1:29" x14ac:dyDescent="0.35">
      <c r="A154" t="s">
        <v>91</v>
      </c>
      <c r="B154" t="s">
        <v>151</v>
      </c>
      <c r="C154" t="s">
        <v>178</v>
      </c>
      <c r="D154" t="s">
        <v>15</v>
      </c>
      <c r="E154" t="s">
        <v>15</v>
      </c>
      <c r="F154" t="s">
        <v>15</v>
      </c>
      <c r="G154" s="2" t="s">
        <v>151</v>
      </c>
      <c r="H154">
        <v>12329</v>
      </c>
      <c r="I154" s="32" t="s">
        <v>198</v>
      </c>
      <c r="J154" s="2" t="s">
        <v>179</v>
      </c>
      <c r="K154" t="s">
        <v>199</v>
      </c>
      <c r="L154" s="2" t="s">
        <v>179</v>
      </c>
      <c r="M154" s="2" t="s">
        <v>75</v>
      </c>
      <c r="N154" t="s">
        <v>142</v>
      </c>
      <c r="O154" t="s">
        <v>102</v>
      </c>
      <c r="P154" s="2" t="s">
        <v>15</v>
      </c>
      <c r="Q154" t="s">
        <v>61</v>
      </c>
      <c r="R154" t="s">
        <v>61</v>
      </c>
      <c r="S154" s="67" t="s">
        <v>200</v>
      </c>
      <c r="T154" t="s">
        <v>201</v>
      </c>
      <c r="U154" t="s">
        <v>202</v>
      </c>
      <c r="V154" s="2" t="s">
        <v>203</v>
      </c>
      <c r="W154" s="2" t="s">
        <v>62</v>
      </c>
      <c r="Z154" s="2" t="s">
        <v>159</v>
      </c>
      <c r="AA154" s="2" t="s">
        <v>160</v>
      </c>
      <c r="AB154" s="2" t="s">
        <v>63</v>
      </c>
      <c r="AC154" s="2" t="s">
        <v>64</v>
      </c>
    </row>
    <row r="155" spans="1:29" x14ac:dyDescent="0.35">
      <c r="A155" t="s">
        <v>91</v>
      </c>
      <c r="B155" t="s">
        <v>151</v>
      </c>
      <c r="C155" t="s">
        <v>178</v>
      </c>
      <c r="D155" t="s">
        <v>15</v>
      </c>
      <c r="E155" t="s">
        <v>15</v>
      </c>
      <c r="F155" t="s">
        <v>15</v>
      </c>
      <c r="G155" s="2" t="s">
        <v>151</v>
      </c>
      <c r="H155">
        <v>12329</v>
      </c>
      <c r="I155" s="32" t="s">
        <v>198</v>
      </c>
      <c r="J155" s="2" t="s">
        <v>179</v>
      </c>
      <c r="K155" t="s">
        <v>199</v>
      </c>
      <c r="L155" s="2" t="s">
        <v>179</v>
      </c>
      <c r="M155" s="2" t="s">
        <v>75</v>
      </c>
      <c r="N155" t="s">
        <v>142</v>
      </c>
      <c r="O155" t="s">
        <v>161</v>
      </c>
      <c r="P155" s="2" t="s">
        <v>20</v>
      </c>
      <c r="Q155" t="s">
        <v>61</v>
      </c>
      <c r="R155" t="s">
        <v>61</v>
      </c>
      <c r="S155" s="67" t="s">
        <v>200</v>
      </c>
      <c r="T155" t="s">
        <v>201</v>
      </c>
      <c r="U155" t="s">
        <v>202</v>
      </c>
      <c r="V155" s="2" t="s">
        <v>203</v>
      </c>
      <c r="W155" s="2" t="s">
        <v>62</v>
      </c>
      <c r="Z155" s="2" t="s">
        <v>159</v>
      </c>
      <c r="AA155" s="2" t="s">
        <v>160</v>
      </c>
      <c r="AB155" s="2" t="s">
        <v>63</v>
      </c>
      <c r="AC155" s="2" t="s">
        <v>64</v>
      </c>
    </row>
    <row r="156" spans="1:29" x14ac:dyDescent="0.35">
      <c r="A156" t="s">
        <v>91</v>
      </c>
      <c r="B156" t="s">
        <v>151</v>
      </c>
      <c r="C156" t="s">
        <v>178</v>
      </c>
      <c r="D156" t="s">
        <v>15</v>
      </c>
      <c r="E156" t="s">
        <v>15</v>
      </c>
      <c r="F156" t="s">
        <v>15</v>
      </c>
      <c r="G156" s="2" t="s">
        <v>151</v>
      </c>
      <c r="H156">
        <v>12329</v>
      </c>
      <c r="I156" s="32" t="s">
        <v>198</v>
      </c>
      <c r="J156" s="2" t="s">
        <v>179</v>
      </c>
      <c r="K156" t="s">
        <v>199</v>
      </c>
      <c r="L156" s="2" t="s">
        <v>179</v>
      </c>
      <c r="M156" s="2" t="s">
        <v>75</v>
      </c>
      <c r="N156" t="s">
        <v>142</v>
      </c>
      <c r="O156" t="s">
        <v>111</v>
      </c>
      <c r="P156" s="2" t="s">
        <v>20</v>
      </c>
      <c r="Q156" t="s">
        <v>61</v>
      </c>
      <c r="R156" t="s">
        <v>61</v>
      </c>
      <c r="S156" s="67" t="s">
        <v>200</v>
      </c>
      <c r="T156" t="s">
        <v>201</v>
      </c>
      <c r="U156" t="s">
        <v>202</v>
      </c>
      <c r="V156" s="2" t="s">
        <v>203</v>
      </c>
      <c r="W156" s="2" t="s">
        <v>62</v>
      </c>
      <c r="Z156" s="2" t="s">
        <v>159</v>
      </c>
      <c r="AA156" s="2" t="s">
        <v>160</v>
      </c>
      <c r="AB156" s="2" t="s">
        <v>63</v>
      </c>
      <c r="AC156" s="2" t="s">
        <v>64</v>
      </c>
    </row>
    <row r="157" spans="1:29" x14ac:dyDescent="0.35">
      <c r="A157" t="s">
        <v>91</v>
      </c>
      <c r="B157" t="s">
        <v>151</v>
      </c>
      <c r="C157" t="s">
        <v>178</v>
      </c>
      <c r="D157" t="s">
        <v>15</v>
      </c>
      <c r="E157" t="s">
        <v>15</v>
      </c>
      <c r="F157" t="s">
        <v>15</v>
      </c>
      <c r="G157" s="2" t="s">
        <v>151</v>
      </c>
      <c r="H157">
        <v>12329</v>
      </c>
      <c r="I157" s="32" t="s">
        <v>198</v>
      </c>
      <c r="J157" s="2" t="s">
        <v>179</v>
      </c>
      <c r="K157" t="s">
        <v>199</v>
      </c>
      <c r="L157" s="2" t="s">
        <v>179</v>
      </c>
      <c r="M157" s="2" t="s">
        <v>75</v>
      </c>
      <c r="N157" t="s">
        <v>142</v>
      </c>
      <c r="O157" t="s">
        <v>112</v>
      </c>
      <c r="P157" s="2" t="s">
        <v>20</v>
      </c>
      <c r="Q157" t="s">
        <v>61</v>
      </c>
      <c r="R157" t="s">
        <v>61</v>
      </c>
      <c r="S157" s="67" t="s">
        <v>200</v>
      </c>
      <c r="T157" t="s">
        <v>201</v>
      </c>
      <c r="U157" t="s">
        <v>202</v>
      </c>
      <c r="V157" s="2" t="s">
        <v>203</v>
      </c>
      <c r="W157" s="2" t="s">
        <v>62</v>
      </c>
      <c r="Z157" s="2" t="s">
        <v>159</v>
      </c>
      <c r="AA157" s="2" t="s">
        <v>160</v>
      </c>
      <c r="AB157" s="2" t="s">
        <v>63</v>
      </c>
      <c r="AC157" s="2" t="s">
        <v>64</v>
      </c>
    </row>
    <row r="158" spans="1:29" x14ac:dyDescent="0.35">
      <c r="A158" t="s">
        <v>91</v>
      </c>
      <c r="B158" t="s">
        <v>151</v>
      </c>
      <c r="C158" t="s">
        <v>178</v>
      </c>
      <c r="D158" t="s">
        <v>15</v>
      </c>
      <c r="E158" t="s">
        <v>15</v>
      </c>
      <c r="F158" t="s">
        <v>15</v>
      </c>
      <c r="G158" s="2" t="s">
        <v>151</v>
      </c>
      <c r="H158">
        <v>12329</v>
      </c>
      <c r="I158" s="32" t="s">
        <v>198</v>
      </c>
      <c r="J158" s="2" t="s">
        <v>179</v>
      </c>
      <c r="K158" t="s">
        <v>199</v>
      </c>
      <c r="L158" s="2" t="s">
        <v>179</v>
      </c>
      <c r="M158" s="2" t="s">
        <v>75</v>
      </c>
      <c r="N158" t="s">
        <v>142</v>
      </c>
      <c r="O158" t="s">
        <v>103</v>
      </c>
      <c r="P158" s="2" t="s">
        <v>204</v>
      </c>
      <c r="Q158" t="s">
        <v>61</v>
      </c>
      <c r="R158" t="s">
        <v>61</v>
      </c>
      <c r="S158" s="67" t="s">
        <v>200</v>
      </c>
      <c r="T158" t="s">
        <v>201</v>
      </c>
      <c r="U158" t="s">
        <v>202</v>
      </c>
      <c r="V158" s="2" t="s">
        <v>203</v>
      </c>
      <c r="W158" s="2" t="s">
        <v>62</v>
      </c>
      <c r="Z158" s="2" t="s">
        <v>159</v>
      </c>
      <c r="AA158" s="2" t="s">
        <v>160</v>
      </c>
      <c r="AB158" s="2" t="s">
        <v>63</v>
      </c>
      <c r="AC158" s="2" t="s">
        <v>64</v>
      </c>
    </row>
    <row r="159" spans="1:29" x14ac:dyDescent="0.35">
      <c r="A159" t="s">
        <v>91</v>
      </c>
      <c r="B159" t="s">
        <v>151</v>
      </c>
      <c r="C159" t="s">
        <v>178</v>
      </c>
      <c r="D159" t="s">
        <v>15</v>
      </c>
      <c r="E159" t="s">
        <v>15</v>
      </c>
      <c r="F159" t="s">
        <v>15</v>
      </c>
      <c r="G159" s="2" t="s">
        <v>151</v>
      </c>
      <c r="H159">
        <v>12329</v>
      </c>
      <c r="I159" s="32" t="s">
        <v>198</v>
      </c>
      <c r="J159" s="2" t="s">
        <v>179</v>
      </c>
      <c r="K159" t="s">
        <v>199</v>
      </c>
      <c r="L159" s="2" t="s">
        <v>179</v>
      </c>
      <c r="M159" s="2" t="s">
        <v>75</v>
      </c>
      <c r="N159" t="s">
        <v>142</v>
      </c>
      <c r="O159" t="s">
        <v>104</v>
      </c>
      <c r="P159" s="2" t="s">
        <v>20</v>
      </c>
      <c r="Q159" t="s">
        <v>61</v>
      </c>
      <c r="R159" t="s">
        <v>61</v>
      </c>
      <c r="S159" s="67" t="s">
        <v>200</v>
      </c>
      <c r="T159" t="s">
        <v>201</v>
      </c>
      <c r="U159" t="s">
        <v>202</v>
      </c>
      <c r="V159" s="2" t="s">
        <v>203</v>
      </c>
      <c r="W159" s="2" t="s">
        <v>62</v>
      </c>
      <c r="Z159" s="2" t="s">
        <v>159</v>
      </c>
      <c r="AA159" s="2" t="s">
        <v>160</v>
      </c>
      <c r="AB159" s="2" t="s">
        <v>63</v>
      </c>
      <c r="AC159" s="2" t="s">
        <v>64</v>
      </c>
    </row>
    <row r="160" spans="1:29" x14ac:dyDescent="0.35">
      <c r="A160" t="s">
        <v>91</v>
      </c>
      <c r="B160" t="s">
        <v>151</v>
      </c>
      <c r="C160" t="s">
        <v>178</v>
      </c>
      <c r="D160" t="s">
        <v>15</v>
      </c>
      <c r="E160" t="s">
        <v>15</v>
      </c>
      <c r="F160" t="s">
        <v>15</v>
      </c>
      <c r="G160" s="2" t="s">
        <v>151</v>
      </c>
      <c r="H160">
        <v>12329</v>
      </c>
      <c r="I160" s="32" t="s">
        <v>198</v>
      </c>
      <c r="J160" s="2" t="s">
        <v>179</v>
      </c>
      <c r="K160" t="s">
        <v>199</v>
      </c>
      <c r="L160" s="2" t="s">
        <v>179</v>
      </c>
      <c r="M160" s="2" t="s">
        <v>75</v>
      </c>
      <c r="N160" t="s">
        <v>142</v>
      </c>
      <c r="O160" t="s">
        <v>116</v>
      </c>
      <c r="P160" s="2" t="s">
        <v>20</v>
      </c>
      <c r="Q160" t="s">
        <v>61</v>
      </c>
      <c r="R160" t="s">
        <v>61</v>
      </c>
      <c r="S160" s="67" t="s">
        <v>200</v>
      </c>
      <c r="T160" t="s">
        <v>201</v>
      </c>
      <c r="U160" t="s">
        <v>202</v>
      </c>
      <c r="V160" s="2" t="s">
        <v>203</v>
      </c>
      <c r="W160" s="2" t="s">
        <v>62</v>
      </c>
      <c r="Z160" s="2" t="s">
        <v>159</v>
      </c>
      <c r="AA160" s="2" t="s">
        <v>160</v>
      </c>
      <c r="AB160" s="2" t="s">
        <v>63</v>
      </c>
      <c r="AC160" s="2" t="s">
        <v>64</v>
      </c>
    </row>
    <row r="161" spans="1:29" x14ac:dyDescent="0.35">
      <c r="A161" t="s">
        <v>91</v>
      </c>
      <c r="B161" t="s">
        <v>151</v>
      </c>
      <c r="C161" t="s">
        <v>178</v>
      </c>
      <c r="D161" t="s">
        <v>15</v>
      </c>
      <c r="E161" t="s">
        <v>15</v>
      </c>
      <c r="F161" t="s">
        <v>15</v>
      </c>
      <c r="G161" s="2" t="s">
        <v>151</v>
      </c>
      <c r="H161">
        <v>12329</v>
      </c>
      <c r="I161" s="32" t="s">
        <v>198</v>
      </c>
      <c r="J161" s="2" t="s">
        <v>179</v>
      </c>
      <c r="K161" t="s">
        <v>199</v>
      </c>
      <c r="L161" s="2" t="s">
        <v>179</v>
      </c>
      <c r="M161" s="2" t="s">
        <v>75</v>
      </c>
      <c r="N161" t="s">
        <v>142</v>
      </c>
      <c r="O161" t="s">
        <v>105</v>
      </c>
      <c r="P161" s="2" t="s">
        <v>20</v>
      </c>
      <c r="Q161" t="s">
        <v>61</v>
      </c>
      <c r="R161" t="s">
        <v>61</v>
      </c>
      <c r="S161" s="67" t="s">
        <v>200</v>
      </c>
      <c r="T161" t="s">
        <v>201</v>
      </c>
      <c r="U161" t="s">
        <v>202</v>
      </c>
      <c r="V161" s="2" t="s">
        <v>203</v>
      </c>
      <c r="W161" s="2" t="s">
        <v>62</v>
      </c>
      <c r="Z161" s="2" t="s">
        <v>159</v>
      </c>
      <c r="AA161" s="2" t="s">
        <v>160</v>
      </c>
      <c r="AB161" s="2" t="s">
        <v>63</v>
      </c>
      <c r="AC161" s="2" t="s">
        <v>64</v>
      </c>
    </row>
    <row r="162" spans="1:29" x14ac:dyDescent="0.35">
      <c r="A162" t="s">
        <v>91</v>
      </c>
      <c r="B162" t="s">
        <v>151</v>
      </c>
      <c r="C162" t="s">
        <v>178</v>
      </c>
      <c r="D162" t="s">
        <v>15</v>
      </c>
      <c r="E162" t="s">
        <v>15</v>
      </c>
      <c r="F162" t="s">
        <v>15</v>
      </c>
      <c r="G162" s="2" t="s">
        <v>151</v>
      </c>
      <c r="H162">
        <v>12329</v>
      </c>
      <c r="I162" s="32" t="s">
        <v>198</v>
      </c>
      <c r="J162" s="2" t="s">
        <v>179</v>
      </c>
      <c r="K162" t="s">
        <v>199</v>
      </c>
      <c r="L162" s="2" t="s">
        <v>179</v>
      </c>
      <c r="M162" s="2" t="s">
        <v>75</v>
      </c>
      <c r="N162" t="s">
        <v>142</v>
      </c>
      <c r="O162" t="s">
        <v>106</v>
      </c>
      <c r="P162" s="2" t="s">
        <v>20</v>
      </c>
      <c r="Q162" t="s">
        <v>61</v>
      </c>
      <c r="R162" t="s">
        <v>61</v>
      </c>
      <c r="S162" s="67" t="s">
        <v>200</v>
      </c>
      <c r="T162" t="s">
        <v>201</v>
      </c>
      <c r="U162" t="s">
        <v>202</v>
      </c>
      <c r="V162" s="2" t="s">
        <v>203</v>
      </c>
      <c r="W162" s="2" t="s">
        <v>62</v>
      </c>
      <c r="Z162" s="2" t="s">
        <v>159</v>
      </c>
      <c r="AA162" s="2" t="s">
        <v>160</v>
      </c>
      <c r="AB162" s="2" t="s">
        <v>63</v>
      </c>
      <c r="AC162" s="2" t="s">
        <v>64</v>
      </c>
    </row>
    <row r="163" spans="1:29" x14ac:dyDescent="0.35">
      <c r="A163" t="s">
        <v>91</v>
      </c>
      <c r="B163" t="s">
        <v>151</v>
      </c>
      <c r="C163" t="s">
        <v>178</v>
      </c>
      <c r="D163" t="s">
        <v>15</v>
      </c>
      <c r="E163" t="s">
        <v>15</v>
      </c>
      <c r="F163" t="s">
        <v>15</v>
      </c>
      <c r="G163" s="2" t="s">
        <v>151</v>
      </c>
      <c r="H163">
        <v>12329</v>
      </c>
      <c r="I163" s="32" t="s">
        <v>198</v>
      </c>
      <c r="J163" s="2" t="s">
        <v>179</v>
      </c>
      <c r="K163" t="s">
        <v>199</v>
      </c>
      <c r="L163" s="2" t="s">
        <v>179</v>
      </c>
      <c r="M163" s="2" t="s">
        <v>75</v>
      </c>
      <c r="N163" t="s">
        <v>142</v>
      </c>
      <c r="O163" t="s">
        <v>107</v>
      </c>
      <c r="P163" s="2" t="s">
        <v>147</v>
      </c>
      <c r="Q163" t="s">
        <v>61</v>
      </c>
      <c r="R163" t="s">
        <v>61</v>
      </c>
      <c r="S163" s="67" t="s">
        <v>200</v>
      </c>
      <c r="T163" t="s">
        <v>201</v>
      </c>
      <c r="U163" t="s">
        <v>202</v>
      </c>
      <c r="V163" s="2" t="s">
        <v>203</v>
      </c>
      <c r="W163" s="2" t="s">
        <v>62</v>
      </c>
      <c r="Z163" s="2" t="s">
        <v>159</v>
      </c>
      <c r="AA163" s="2" t="s">
        <v>160</v>
      </c>
      <c r="AB163" s="2" t="s">
        <v>63</v>
      </c>
      <c r="AC163" s="2" t="s">
        <v>64</v>
      </c>
    </row>
    <row r="164" spans="1:29" x14ac:dyDescent="0.35">
      <c r="A164" t="s">
        <v>91</v>
      </c>
      <c r="B164" t="s">
        <v>151</v>
      </c>
      <c r="C164" t="s">
        <v>178</v>
      </c>
      <c r="D164" t="s">
        <v>15</v>
      </c>
      <c r="E164" t="s">
        <v>15</v>
      </c>
      <c r="F164" t="s">
        <v>15</v>
      </c>
      <c r="G164" s="2" t="s">
        <v>151</v>
      </c>
      <c r="H164">
        <v>12329</v>
      </c>
      <c r="I164" s="32" t="s">
        <v>198</v>
      </c>
      <c r="J164" s="2" t="s">
        <v>179</v>
      </c>
      <c r="K164" t="s">
        <v>199</v>
      </c>
      <c r="L164" s="2" t="s">
        <v>179</v>
      </c>
      <c r="M164" s="2" t="s">
        <v>75</v>
      </c>
      <c r="N164" t="s">
        <v>142</v>
      </c>
      <c r="O164" t="s">
        <v>108</v>
      </c>
      <c r="P164" s="2" t="s">
        <v>192</v>
      </c>
      <c r="Q164" t="s">
        <v>61</v>
      </c>
      <c r="R164" t="s">
        <v>61</v>
      </c>
      <c r="S164" s="67" t="s">
        <v>200</v>
      </c>
      <c r="T164" t="s">
        <v>201</v>
      </c>
      <c r="U164" t="s">
        <v>202</v>
      </c>
      <c r="V164" s="2" t="s">
        <v>203</v>
      </c>
      <c r="W164" s="2" t="s">
        <v>62</v>
      </c>
      <c r="Z164" s="2" t="s">
        <v>159</v>
      </c>
      <c r="AA164" s="2" t="s">
        <v>160</v>
      </c>
      <c r="AB164" s="2" t="s">
        <v>63</v>
      </c>
      <c r="AC164" s="2" t="s">
        <v>64</v>
      </c>
    </row>
    <row r="165" spans="1:29" x14ac:dyDescent="0.35">
      <c r="A165" t="s">
        <v>91</v>
      </c>
      <c r="B165" t="s">
        <v>151</v>
      </c>
      <c r="C165" t="s">
        <v>178</v>
      </c>
      <c r="D165" t="s">
        <v>14</v>
      </c>
      <c r="E165" t="s">
        <v>14</v>
      </c>
      <c r="F165" t="s">
        <v>14</v>
      </c>
      <c r="G165" s="2" t="s">
        <v>151</v>
      </c>
      <c r="H165">
        <v>426071</v>
      </c>
      <c r="I165" s="32" t="s">
        <v>185</v>
      </c>
      <c r="J165" s="2" t="s">
        <v>186</v>
      </c>
      <c r="K165" t="s">
        <v>92</v>
      </c>
      <c r="L165" t="s">
        <v>186</v>
      </c>
      <c r="M165" s="2" t="s">
        <v>75</v>
      </c>
      <c r="N165" t="s">
        <v>142</v>
      </c>
      <c r="O165" s="83" t="s">
        <v>99</v>
      </c>
      <c r="P165" s="84" t="s">
        <v>20</v>
      </c>
      <c r="Q165" s="83" t="s">
        <v>61</v>
      </c>
      <c r="R165" s="83" t="s">
        <v>61</v>
      </c>
      <c r="S165" s="67" t="s">
        <v>187</v>
      </c>
      <c r="T165" t="s">
        <v>188</v>
      </c>
      <c r="U165" t="s">
        <v>189</v>
      </c>
      <c r="V165" s="2" t="s">
        <v>190</v>
      </c>
      <c r="W165" s="2" t="s">
        <v>62</v>
      </c>
      <c r="Z165" s="2" t="s">
        <v>159</v>
      </c>
      <c r="AA165" s="2" t="s">
        <v>160</v>
      </c>
      <c r="AB165" s="2" t="s">
        <v>63</v>
      </c>
      <c r="AC165" s="2" t="s">
        <v>64</v>
      </c>
    </row>
    <row r="166" spans="1:29" x14ac:dyDescent="0.35">
      <c r="A166" t="s">
        <v>91</v>
      </c>
      <c r="B166" t="s">
        <v>151</v>
      </c>
      <c r="C166" t="s">
        <v>178</v>
      </c>
      <c r="D166" t="s">
        <v>14</v>
      </c>
      <c r="E166" t="s">
        <v>14</v>
      </c>
      <c r="F166" t="s">
        <v>14</v>
      </c>
      <c r="G166" s="2" t="s">
        <v>151</v>
      </c>
      <c r="H166">
        <v>426071</v>
      </c>
      <c r="I166" s="32" t="s">
        <v>185</v>
      </c>
      <c r="J166" s="2" t="s">
        <v>186</v>
      </c>
      <c r="K166" t="s">
        <v>92</v>
      </c>
      <c r="L166" t="s">
        <v>186</v>
      </c>
      <c r="M166" s="2" t="s">
        <v>75</v>
      </c>
      <c r="N166" t="s">
        <v>142</v>
      </c>
      <c r="O166" s="83" t="s">
        <v>83</v>
      </c>
      <c r="P166" s="84" t="s">
        <v>20</v>
      </c>
      <c r="Q166" s="83" t="s">
        <v>61</v>
      </c>
      <c r="R166" s="83" t="s">
        <v>61</v>
      </c>
      <c r="S166" s="67" t="s">
        <v>187</v>
      </c>
      <c r="T166" t="s">
        <v>188</v>
      </c>
      <c r="U166" t="s">
        <v>189</v>
      </c>
      <c r="V166" s="2" t="s">
        <v>190</v>
      </c>
      <c r="W166" s="2" t="s">
        <v>62</v>
      </c>
      <c r="Z166" s="2" t="s">
        <v>159</v>
      </c>
      <c r="AA166" s="2" t="s">
        <v>160</v>
      </c>
      <c r="AB166" s="2" t="s">
        <v>63</v>
      </c>
      <c r="AC166" s="2" t="s">
        <v>64</v>
      </c>
    </row>
    <row r="167" spans="1:29" x14ac:dyDescent="0.35">
      <c r="A167" t="s">
        <v>91</v>
      </c>
      <c r="B167" t="s">
        <v>151</v>
      </c>
      <c r="C167" t="s">
        <v>178</v>
      </c>
      <c r="D167" t="s">
        <v>14</v>
      </c>
      <c r="E167" t="s">
        <v>14</v>
      </c>
      <c r="F167" t="s">
        <v>14</v>
      </c>
      <c r="G167" s="2" t="s">
        <v>151</v>
      </c>
      <c r="H167">
        <v>426071</v>
      </c>
      <c r="I167" s="32" t="s">
        <v>185</v>
      </c>
      <c r="J167" s="2" t="s">
        <v>186</v>
      </c>
      <c r="K167" t="s">
        <v>92</v>
      </c>
      <c r="L167" t="s">
        <v>186</v>
      </c>
      <c r="M167" s="2" t="s">
        <v>75</v>
      </c>
      <c r="N167" t="s">
        <v>142</v>
      </c>
      <c r="O167" s="83" t="s">
        <v>84</v>
      </c>
      <c r="P167" s="84" t="s">
        <v>20</v>
      </c>
      <c r="Q167" s="83" t="s">
        <v>61</v>
      </c>
      <c r="R167" s="83" t="s">
        <v>61</v>
      </c>
      <c r="S167" s="67" t="s">
        <v>187</v>
      </c>
      <c r="T167" t="s">
        <v>188</v>
      </c>
      <c r="U167" t="s">
        <v>189</v>
      </c>
      <c r="V167" s="2" t="s">
        <v>190</v>
      </c>
      <c r="W167" s="2" t="s">
        <v>62</v>
      </c>
      <c r="Z167" s="2" t="s">
        <v>159</v>
      </c>
      <c r="AA167" s="2" t="s">
        <v>160</v>
      </c>
      <c r="AB167" s="2" t="s">
        <v>63</v>
      </c>
      <c r="AC167" s="2" t="s">
        <v>64</v>
      </c>
    </row>
    <row r="168" spans="1:29" x14ac:dyDescent="0.35">
      <c r="A168" t="s">
        <v>91</v>
      </c>
      <c r="B168" t="s">
        <v>151</v>
      </c>
      <c r="C168" t="s">
        <v>178</v>
      </c>
      <c r="D168" t="s">
        <v>14</v>
      </c>
      <c r="E168" t="s">
        <v>14</v>
      </c>
      <c r="F168" t="s">
        <v>14</v>
      </c>
      <c r="G168" s="2" t="s">
        <v>151</v>
      </c>
      <c r="H168">
        <v>426071</v>
      </c>
      <c r="I168" s="32" t="s">
        <v>185</v>
      </c>
      <c r="J168" s="2" t="s">
        <v>186</v>
      </c>
      <c r="K168" t="s">
        <v>92</v>
      </c>
      <c r="L168" t="s">
        <v>186</v>
      </c>
      <c r="M168" s="2" t="s">
        <v>75</v>
      </c>
      <c r="N168" t="s">
        <v>142</v>
      </c>
      <c r="O168" s="83" t="s">
        <v>100</v>
      </c>
      <c r="P168" s="84" t="s">
        <v>20</v>
      </c>
      <c r="Q168" s="83" t="s">
        <v>61</v>
      </c>
      <c r="R168" s="83" t="s">
        <v>61</v>
      </c>
      <c r="S168" s="67" t="s">
        <v>187</v>
      </c>
      <c r="T168" t="s">
        <v>188</v>
      </c>
      <c r="U168" t="s">
        <v>189</v>
      </c>
      <c r="V168" s="2" t="s">
        <v>190</v>
      </c>
      <c r="W168" s="2" t="s">
        <v>62</v>
      </c>
      <c r="Z168" s="2" t="s">
        <v>159</v>
      </c>
      <c r="AA168" s="2" t="s">
        <v>160</v>
      </c>
      <c r="AB168" s="2" t="s">
        <v>63</v>
      </c>
      <c r="AC168" s="2" t="s">
        <v>64</v>
      </c>
    </row>
    <row r="169" spans="1:29" x14ac:dyDescent="0.35">
      <c r="A169" t="s">
        <v>91</v>
      </c>
      <c r="B169" t="s">
        <v>151</v>
      </c>
      <c r="C169" t="s">
        <v>178</v>
      </c>
      <c r="D169" t="s">
        <v>14</v>
      </c>
      <c r="E169" t="s">
        <v>14</v>
      </c>
      <c r="F169" t="s">
        <v>14</v>
      </c>
      <c r="G169" s="2" t="s">
        <v>151</v>
      </c>
      <c r="H169">
        <v>426071</v>
      </c>
      <c r="I169" s="32" t="s">
        <v>185</v>
      </c>
      <c r="J169" s="2" t="s">
        <v>186</v>
      </c>
      <c r="K169" t="s">
        <v>92</v>
      </c>
      <c r="L169" t="s">
        <v>186</v>
      </c>
      <c r="M169" s="2" t="s">
        <v>75</v>
      </c>
      <c r="N169" t="s">
        <v>142</v>
      </c>
      <c r="O169" s="83" t="s">
        <v>35</v>
      </c>
      <c r="P169" s="84" t="s">
        <v>20</v>
      </c>
      <c r="Q169" s="83" t="s">
        <v>61</v>
      </c>
      <c r="R169" s="83" t="s">
        <v>61</v>
      </c>
      <c r="S169" s="67" t="s">
        <v>187</v>
      </c>
      <c r="T169" t="s">
        <v>188</v>
      </c>
      <c r="U169" t="s">
        <v>189</v>
      </c>
      <c r="V169" s="2" t="s">
        <v>190</v>
      </c>
      <c r="W169" s="2" t="s">
        <v>62</v>
      </c>
      <c r="Z169" s="2" t="s">
        <v>159</v>
      </c>
      <c r="AA169" s="2" t="s">
        <v>160</v>
      </c>
      <c r="AB169" s="2" t="s">
        <v>63</v>
      </c>
      <c r="AC169" s="2" t="s">
        <v>64</v>
      </c>
    </row>
    <row r="170" spans="1:29" x14ac:dyDescent="0.35">
      <c r="A170" t="s">
        <v>91</v>
      </c>
      <c r="B170" t="s">
        <v>151</v>
      </c>
      <c r="C170" t="s">
        <v>178</v>
      </c>
      <c r="D170" t="s">
        <v>14</v>
      </c>
      <c r="E170" t="s">
        <v>14</v>
      </c>
      <c r="F170" t="s">
        <v>14</v>
      </c>
      <c r="G170" s="2" t="s">
        <v>151</v>
      </c>
      <c r="H170">
        <v>426071</v>
      </c>
      <c r="I170" s="32" t="s">
        <v>185</v>
      </c>
      <c r="J170" s="2" t="s">
        <v>186</v>
      </c>
      <c r="K170" t="s">
        <v>92</v>
      </c>
      <c r="L170" t="s">
        <v>186</v>
      </c>
      <c r="M170" s="2" t="s">
        <v>75</v>
      </c>
      <c r="N170" t="s">
        <v>142</v>
      </c>
      <c r="O170" s="83" t="s">
        <v>101</v>
      </c>
      <c r="P170" s="84" t="s">
        <v>147</v>
      </c>
      <c r="Q170" s="83" t="s">
        <v>61</v>
      </c>
      <c r="R170" s="83" t="s">
        <v>61</v>
      </c>
      <c r="S170" s="67" t="s">
        <v>187</v>
      </c>
      <c r="T170" t="s">
        <v>188</v>
      </c>
      <c r="U170" t="s">
        <v>189</v>
      </c>
      <c r="V170" s="2" t="s">
        <v>190</v>
      </c>
      <c r="W170" s="2" t="s">
        <v>62</v>
      </c>
      <c r="Z170" s="2" t="s">
        <v>159</v>
      </c>
      <c r="AA170" s="2" t="s">
        <v>160</v>
      </c>
      <c r="AB170" s="2" t="s">
        <v>63</v>
      </c>
      <c r="AC170" s="2" t="s">
        <v>64</v>
      </c>
    </row>
    <row r="171" spans="1:29" x14ac:dyDescent="0.35">
      <c r="A171" t="s">
        <v>91</v>
      </c>
      <c r="B171" t="s">
        <v>151</v>
      </c>
      <c r="C171" t="s">
        <v>178</v>
      </c>
      <c r="D171" t="s">
        <v>14</v>
      </c>
      <c r="E171" t="s">
        <v>14</v>
      </c>
      <c r="F171" t="s">
        <v>14</v>
      </c>
      <c r="G171" s="2" t="s">
        <v>151</v>
      </c>
      <c r="H171">
        <v>426071</v>
      </c>
      <c r="I171" s="32" t="s">
        <v>185</v>
      </c>
      <c r="J171" s="2" t="s">
        <v>186</v>
      </c>
      <c r="K171" t="s">
        <v>92</v>
      </c>
      <c r="L171" t="s">
        <v>186</v>
      </c>
      <c r="M171" s="2" t="s">
        <v>75</v>
      </c>
      <c r="N171" t="s">
        <v>142</v>
      </c>
      <c r="O171" s="83" t="s">
        <v>85</v>
      </c>
      <c r="P171" s="84" t="s">
        <v>20</v>
      </c>
      <c r="Q171" s="83" t="s">
        <v>61</v>
      </c>
      <c r="R171" s="83" t="s">
        <v>61</v>
      </c>
      <c r="S171" s="67" t="s">
        <v>187</v>
      </c>
      <c r="T171" t="s">
        <v>188</v>
      </c>
      <c r="U171" t="s">
        <v>189</v>
      </c>
      <c r="V171" s="2" t="s">
        <v>190</v>
      </c>
      <c r="W171" s="2" t="s">
        <v>62</v>
      </c>
      <c r="Z171" s="2" t="s">
        <v>159</v>
      </c>
      <c r="AA171" s="2" t="s">
        <v>160</v>
      </c>
      <c r="AB171" s="2" t="s">
        <v>63</v>
      </c>
      <c r="AC171" s="2" t="s">
        <v>64</v>
      </c>
    </row>
    <row r="172" spans="1:29" x14ac:dyDescent="0.35">
      <c r="A172" t="s">
        <v>91</v>
      </c>
      <c r="B172" t="s">
        <v>151</v>
      </c>
      <c r="C172" t="s">
        <v>178</v>
      </c>
      <c r="D172" t="s">
        <v>14</v>
      </c>
      <c r="E172" t="s">
        <v>14</v>
      </c>
      <c r="F172" t="s">
        <v>14</v>
      </c>
      <c r="G172" s="2" t="s">
        <v>151</v>
      </c>
      <c r="H172">
        <v>426071</v>
      </c>
      <c r="I172" s="32" t="s">
        <v>185</v>
      </c>
      <c r="J172" s="2" t="s">
        <v>186</v>
      </c>
      <c r="K172" t="s">
        <v>92</v>
      </c>
      <c r="L172" t="s">
        <v>186</v>
      </c>
      <c r="M172" s="2" t="s">
        <v>75</v>
      </c>
      <c r="N172" t="s">
        <v>142</v>
      </c>
      <c r="O172" s="83" t="s">
        <v>86</v>
      </c>
      <c r="P172" s="84" t="s">
        <v>20</v>
      </c>
      <c r="Q172" s="83" t="s">
        <v>61</v>
      </c>
      <c r="R172" s="83" t="s">
        <v>61</v>
      </c>
      <c r="S172" s="67" t="s">
        <v>187</v>
      </c>
      <c r="T172" t="s">
        <v>188</v>
      </c>
      <c r="U172" t="s">
        <v>189</v>
      </c>
      <c r="V172" s="2" t="s">
        <v>190</v>
      </c>
      <c r="W172" s="2" t="s">
        <v>62</v>
      </c>
      <c r="Z172" s="2" t="s">
        <v>159</v>
      </c>
      <c r="AA172" s="2" t="s">
        <v>160</v>
      </c>
      <c r="AB172" s="2" t="s">
        <v>63</v>
      </c>
      <c r="AC172" s="2" t="s">
        <v>64</v>
      </c>
    </row>
    <row r="173" spans="1:29" x14ac:dyDescent="0.35">
      <c r="A173" t="s">
        <v>91</v>
      </c>
      <c r="B173" t="s">
        <v>151</v>
      </c>
      <c r="C173" t="s">
        <v>178</v>
      </c>
      <c r="D173" t="s">
        <v>14</v>
      </c>
      <c r="E173" t="s">
        <v>14</v>
      </c>
      <c r="F173" t="s">
        <v>14</v>
      </c>
      <c r="G173" s="2" t="s">
        <v>151</v>
      </c>
      <c r="H173">
        <v>426071</v>
      </c>
      <c r="I173" s="32" t="s">
        <v>185</v>
      </c>
      <c r="J173" s="2" t="s">
        <v>186</v>
      </c>
      <c r="K173" t="s">
        <v>92</v>
      </c>
      <c r="L173" t="s">
        <v>186</v>
      </c>
      <c r="M173" s="2" t="s">
        <v>75</v>
      </c>
      <c r="N173" t="s">
        <v>142</v>
      </c>
      <c r="O173" s="83" t="s">
        <v>87</v>
      </c>
      <c r="P173" s="84" t="s">
        <v>147</v>
      </c>
      <c r="Q173" s="83" t="s">
        <v>61</v>
      </c>
      <c r="R173" s="83" t="s">
        <v>61</v>
      </c>
      <c r="S173" s="67" t="s">
        <v>187</v>
      </c>
      <c r="T173" t="s">
        <v>188</v>
      </c>
      <c r="U173" t="s">
        <v>189</v>
      </c>
      <c r="V173" s="2" t="s">
        <v>190</v>
      </c>
      <c r="W173" s="2" t="s">
        <v>62</v>
      </c>
      <c r="Z173" s="2" t="s">
        <v>159</v>
      </c>
      <c r="AA173" s="2" t="s">
        <v>160</v>
      </c>
      <c r="AB173" s="2" t="s">
        <v>63</v>
      </c>
      <c r="AC173" s="2" t="s">
        <v>64</v>
      </c>
    </row>
    <row r="174" spans="1:29" x14ac:dyDescent="0.35">
      <c r="A174" t="s">
        <v>91</v>
      </c>
      <c r="B174" t="s">
        <v>151</v>
      </c>
      <c r="C174" t="s">
        <v>178</v>
      </c>
      <c r="D174" t="s">
        <v>14</v>
      </c>
      <c r="E174" t="s">
        <v>14</v>
      </c>
      <c r="F174" t="s">
        <v>14</v>
      </c>
      <c r="G174" s="2" t="s">
        <v>151</v>
      </c>
      <c r="H174">
        <v>426071</v>
      </c>
      <c r="I174" s="32" t="s">
        <v>185</v>
      </c>
      <c r="J174" s="2" t="s">
        <v>186</v>
      </c>
      <c r="K174" t="s">
        <v>92</v>
      </c>
      <c r="L174" t="s">
        <v>186</v>
      </c>
      <c r="M174" s="2" t="s">
        <v>75</v>
      </c>
      <c r="N174" t="s">
        <v>142</v>
      </c>
      <c r="O174" s="83" t="s">
        <v>88</v>
      </c>
      <c r="P174" s="84" t="s">
        <v>147</v>
      </c>
      <c r="Q174" s="83" t="s">
        <v>61</v>
      </c>
      <c r="R174" s="83" t="s">
        <v>61</v>
      </c>
      <c r="S174" s="67" t="s">
        <v>187</v>
      </c>
      <c r="T174" t="s">
        <v>188</v>
      </c>
      <c r="U174" t="s">
        <v>189</v>
      </c>
      <c r="V174" s="2" t="s">
        <v>190</v>
      </c>
      <c r="W174" s="2" t="s">
        <v>62</v>
      </c>
      <c r="Z174" s="2" t="s">
        <v>159</v>
      </c>
      <c r="AA174" s="2" t="s">
        <v>160</v>
      </c>
      <c r="AB174" s="2" t="s">
        <v>63</v>
      </c>
      <c r="AC174" s="2" t="s">
        <v>64</v>
      </c>
    </row>
    <row r="175" spans="1:29" x14ac:dyDescent="0.35">
      <c r="A175" t="s">
        <v>91</v>
      </c>
      <c r="B175" t="s">
        <v>151</v>
      </c>
      <c r="C175" t="s">
        <v>178</v>
      </c>
      <c r="D175" t="s">
        <v>14</v>
      </c>
      <c r="E175" t="s">
        <v>14</v>
      </c>
      <c r="F175" t="s">
        <v>14</v>
      </c>
      <c r="G175" s="2" t="s">
        <v>151</v>
      </c>
      <c r="H175">
        <v>426071</v>
      </c>
      <c r="I175" s="32" t="s">
        <v>185</v>
      </c>
      <c r="J175" s="2" t="s">
        <v>186</v>
      </c>
      <c r="K175" t="s">
        <v>92</v>
      </c>
      <c r="L175" t="s">
        <v>186</v>
      </c>
      <c r="M175" s="2" t="s">
        <v>75</v>
      </c>
      <c r="N175" t="s">
        <v>142</v>
      </c>
      <c r="O175" s="83" t="s">
        <v>89</v>
      </c>
      <c r="P175" s="84" t="s">
        <v>147</v>
      </c>
      <c r="Q175" s="83" t="s">
        <v>61</v>
      </c>
      <c r="R175" s="83" t="s">
        <v>61</v>
      </c>
      <c r="S175" s="67" t="s">
        <v>187</v>
      </c>
      <c r="T175" t="s">
        <v>188</v>
      </c>
      <c r="U175" t="s">
        <v>189</v>
      </c>
      <c r="V175" s="2" t="s">
        <v>190</v>
      </c>
      <c r="W175" s="2" t="s">
        <v>62</v>
      </c>
      <c r="Z175" s="2" t="s">
        <v>159</v>
      </c>
      <c r="AA175" s="2" t="s">
        <v>160</v>
      </c>
      <c r="AB175" s="2" t="s">
        <v>63</v>
      </c>
      <c r="AC175" s="2" t="s">
        <v>64</v>
      </c>
    </row>
    <row r="176" spans="1:29" x14ac:dyDescent="0.35">
      <c r="A176" t="s">
        <v>91</v>
      </c>
      <c r="B176" t="s">
        <v>151</v>
      </c>
      <c r="C176" t="s">
        <v>178</v>
      </c>
      <c r="D176" t="s">
        <v>14</v>
      </c>
      <c r="E176" t="s">
        <v>14</v>
      </c>
      <c r="F176" t="s">
        <v>14</v>
      </c>
      <c r="G176" s="2" t="s">
        <v>151</v>
      </c>
      <c r="H176">
        <v>426071</v>
      </c>
      <c r="I176" s="32" t="s">
        <v>185</v>
      </c>
      <c r="J176" s="2" t="s">
        <v>186</v>
      </c>
      <c r="K176" t="s">
        <v>92</v>
      </c>
      <c r="L176" t="s">
        <v>186</v>
      </c>
      <c r="M176" s="2" t="s">
        <v>75</v>
      </c>
      <c r="N176" t="s">
        <v>142</v>
      </c>
      <c r="O176" s="83" t="s">
        <v>90</v>
      </c>
      <c r="P176" s="84" t="s">
        <v>147</v>
      </c>
      <c r="Q176" s="83" t="s">
        <v>61</v>
      </c>
      <c r="R176" s="83" t="s">
        <v>61</v>
      </c>
      <c r="S176" s="67" t="s">
        <v>187</v>
      </c>
      <c r="T176" t="s">
        <v>188</v>
      </c>
      <c r="U176" t="s">
        <v>189</v>
      </c>
      <c r="V176" s="2" t="s">
        <v>190</v>
      </c>
      <c r="W176" s="2" t="s">
        <v>62</v>
      </c>
      <c r="Z176" s="2" t="s">
        <v>159</v>
      </c>
      <c r="AA176" s="2" t="s">
        <v>160</v>
      </c>
      <c r="AB176" s="2" t="s">
        <v>63</v>
      </c>
      <c r="AC176" s="2" t="s">
        <v>64</v>
      </c>
    </row>
    <row r="177" spans="1:29" x14ac:dyDescent="0.35">
      <c r="A177" t="s">
        <v>91</v>
      </c>
      <c r="B177" t="s">
        <v>151</v>
      </c>
      <c r="C177" t="s">
        <v>178</v>
      </c>
      <c r="D177" t="s">
        <v>14</v>
      </c>
      <c r="E177" t="s">
        <v>14</v>
      </c>
      <c r="F177" t="s">
        <v>14</v>
      </c>
      <c r="G177" s="2" t="s">
        <v>151</v>
      </c>
      <c r="H177">
        <v>426071</v>
      </c>
      <c r="I177" s="32" t="s">
        <v>185</v>
      </c>
      <c r="J177" s="2" t="s">
        <v>186</v>
      </c>
      <c r="K177" t="s">
        <v>92</v>
      </c>
      <c r="L177" t="s">
        <v>186</v>
      </c>
      <c r="M177" s="2" t="s">
        <v>75</v>
      </c>
      <c r="N177" t="s">
        <v>142</v>
      </c>
      <c r="O177" s="83" t="s">
        <v>117</v>
      </c>
      <c r="P177" s="84" t="s">
        <v>20</v>
      </c>
      <c r="Q177" s="83" t="s">
        <v>61</v>
      </c>
      <c r="R177" s="83" t="s">
        <v>61</v>
      </c>
      <c r="S177" s="67" t="s">
        <v>187</v>
      </c>
      <c r="T177" t="s">
        <v>188</v>
      </c>
      <c r="U177" t="s">
        <v>189</v>
      </c>
      <c r="V177" s="2" t="s">
        <v>190</v>
      </c>
      <c r="W177" s="2" t="s">
        <v>62</v>
      </c>
      <c r="Z177" s="2" t="s">
        <v>159</v>
      </c>
      <c r="AA177" s="2" t="s">
        <v>160</v>
      </c>
      <c r="AB177" s="2" t="s">
        <v>63</v>
      </c>
      <c r="AC177" s="2" t="s">
        <v>64</v>
      </c>
    </row>
    <row r="178" spans="1:29" x14ac:dyDescent="0.35">
      <c r="A178" t="s">
        <v>91</v>
      </c>
      <c r="B178" t="s">
        <v>151</v>
      </c>
      <c r="C178" t="s">
        <v>178</v>
      </c>
      <c r="D178" t="s">
        <v>14</v>
      </c>
      <c r="E178" t="s">
        <v>14</v>
      </c>
      <c r="F178" t="s">
        <v>14</v>
      </c>
      <c r="G178" s="2" t="s">
        <v>151</v>
      </c>
      <c r="H178">
        <v>426071</v>
      </c>
      <c r="I178" s="32" t="s">
        <v>185</v>
      </c>
      <c r="J178" s="2" t="s">
        <v>186</v>
      </c>
      <c r="K178" t="s">
        <v>92</v>
      </c>
      <c r="L178" t="s">
        <v>186</v>
      </c>
      <c r="M178" s="2" t="s">
        <v>75</v>
      </c>
      <c r="N178" t="s">
        <v>142</v>
      </c>
      <c r="O178" s="83" t="s">
        <v>110</v>
      </c>
      <c r="P178" s="84" t="s">
        <v>20</v>
      </c>
      <c r="Q178" s="83" t="s">
        <v>61</v>
      </c>
      <c r="R178" s="83" t="s">
        <v>61</v>
      </c>
      <c r="S178" s="67" t="s">
        <v>187</v>
      </c>
      <c r="T178" t="s">
        <v>188</v>
      </c>
      <c r="U178" t="s">
        <v>189</v>
      </c>
      <c r="V178" s="2" t="s">
        <v>190</v>
      </c>
      <c r="W178" s="2" t="s">
        <v>62</v>
      </c>
      <c r="Z178" s="2" t="s">
        <v>159</v>
      </c>
      <c r="AA178" s="2" t="s">
        <v>160</v>
      </c>
      <c r="AB178" s="2" t="s">
        <v>63</v>
      </c>
      <c r="AC178" s="2" t="s">
        <v>64</v>
      </c>
    </row>
    <row r="179" spans="1:29" x14ac:dyDescent="0.35">
      <c r="A179" t="s">
        <v>91</v>
      </c>
      <c r="B179" t="s">
        <v>151</v>
      </c>
      <c r="C179" t="s">
        <v>178</v>
      </c>
      <c r="D179" t="s">
        <v>14</v>
      </c>
      <c r="E179" t="s">
        <v>14</v>
      </c>
      <c r="F179" t="s">
        <v>14</v>
      </c>
      <c r="G179" s="2" t="s">
        <v>151</v>
      </c>
      <c r="H179">
        <v>426071</v>
      </c>
      <c r="I179" s="32" t="s">
        <v>185</v>
      </c>
      <c r="J179" s="2" t="s">
        <v>186</v>
      </c>
      <c r="K179" t="s">
        <v>92</v>
      </c>
      <c r="L179" t="s">
        <v>186</v>
      </c>
      <c r="M179" s="2" t="s">
        <v>75</v>
      </c>
      <c r="N179" t="s">
        <v>142</v>
      </c>
      <c r="O179" s="83" t="s">
        <v>118</v>
      </c>
      <c r="P179" s="84" t="s">
        <v>20</v>
      </c>
      <c r="Q179" s="83" t="s">
        <v>61</v>
      </c>
      <c r="R179" s="83" t="s">
        <v>61</v>
      </c>
      <c r="S179" s="67" t="s">
        <v>187</v>
      </c>
      <c r="T179" t="s">
        <v>188</v>
      </c>
      <c r="U179" t="s">
        <v>189</v>
      </c>
      <c r="V179" s="2" t="s">
        <v>190</v>
      </c>
      <c r="W179" s="2" t="s">
        <v>62</v>
      </c>
      <c r="Z179" s="2" t="s">
        <v>159</v>
      </c>
      <c r="AA179" s="2" t="s">
        <v>160</v>
      </c>
      <c r="AB179" s="2" t="s">
        <v>63</v>
      </c>
      <c r="AC179" s="2" t="s">
        <v>64</v>
      </c>
    </row>
    <row r="180" spans="1:29" x14ac:dyDescent="0.35">
      <c r="A180" t="s">
        <v>91</v>
      </c>
      <c r="B180" t="s">
        <v>151</v>
      </c>
      <c r="C180" t="s">
        <v>178</v>
      </c>
      <c r="D180" t="s">
        <v>14</v>
      </c>
      <c r="E180" t="s">
        <v>14</v>
      </c>
      <c r="F180" t="s">
        <v>14</v>
      </c>
      <c r="G180" s="2" t="s">
        <v>151</v>
      </c>
      <c r="H180">
        <v>426071</v>
      </c>
      <c r="I180" s="32" t="s">
        <v>185</v>
      </c>
      <c r="J180" s="2" t="s">
        <v>186</v>
      </c>
      <c r="K180" t="s">
        <v>92</v>
      </c>
      <c r="L180" t="s">
        <v>186</v>
      </c>
      <c r="M180" s="2" t="s">
        <v>75</v>
      </c>
      <c r="N180" t="s">
        <v>142</v>
      </c>
      <c r="O180" s="83" t="s">
        <v>119</v>
      </c>
      <c r="P180" s="84" t="s">
        <v>20</v>
      </c>
      <c r="Q180" s="83" t="s">
        <v>61</v>
      </c>
      <c r="R180" s="83" t="s">
        <v>61</v>
      </c>
      <c r="S180" s="67" t="s">
        <v>187</v>
      </c>
      <c r="T180" t="s">
        <v>188</v>
      </c>
      <c r="U180" t="s">
        <v>189</v>
      </c>
      <c r="V180" s="2" t="s">
        <v>190</v>
      </c>
      <c r="W180" s="2" t="s">
        <v>62</v>
      </c>
      <c r="Z180" s="2" t="s">
        <v>159</v>
      </c>
      <c r="AA180" s="2" t="s">
        <v>160</v>
      </c>
      <c r="AB180" s="2" t="s">
        <v>63</v>
      </c>
      <c r="AC180" s="2" t="s">
        <v>64</v>
      </c>
    </row>
    <row r="181" spans="1:29" x14ac:dyDescent="0.35">
      <c r="A181" t="s">
        <v>91</v>
      </c>
      <c r="B181" t="s">
        <v>151</v>
      </c>
      <c r="C181" t="s">
        <v>178</v>
      </c>
      <c r="D181" t="s">
        <v>14</v>
      </c>
      <c r="E181" t="s">
        <v>14</v>
      </c>
      <c r="F181" t="s">
        <v>14</v>
      </c>
      <c r="G181" s="2" t="s">
        <v>151</v>
      </c>
      <c r="H181">
        <v>426071</v>
      </c>
      <c r="I181" s="32" t="s">
        <v>185</v>
      </c>
      <c r="J181" s="2" t="s">
        <v>186</v>
      </c>
      <c r="K181" t="s">
        <v>92</v>
      </c>
      <c r="L181" t="s">
        <v>186</v>
      </c>
      <c r="M181" s="2" t="s">
        <v>75</v>
      </c>
      <c r="N181" t="s">
        <v>142</v>
      </c>
      <c r="O181" s="83" t="s">
        <v>120</v>
      </c>
      <c r="P181" s="84" t="s">
        <v>20</v>
      </c>
      <c r="Q181" s="83" t="s">
        <v>61</v>
      </c>
      <c r="R181" s="83" t="s">
        <v>61</v>
      </c>
      <c r="S181" s="67" t="s">
        <v>187</v>
      </c>
      <c r="T181" t="s">
        <v>188</v>
      </c>
      <c r="U181" t="s">
        <v>189</v>
      </c>
      <c r="V181" s="2" t="s">
        <v>190</v>
      </c>
      <c r="W181" s="2" t="s">
        <v>62</v>
      </c>
      <c r="Z181" s="2" t="s">
        <v>159</v>
      </c>
      <c r="AA181" s="2" t="s">
        <v>160</v>
      </c>
      <c r="AB181" s="2" t="s">
        <v>63</v>
      </c>
      <c r="AC181" s="2" t="s">
        <v>64</v>
      </c>
    </row>
    <row r="182" spans="1:29" x14ac:dyDescent="0.35">
      <c r="A182" t="s">
        <v>91</v>
      </c>
      <c r="B182" t="s">
        <v>151</v>
      </c>
      <c r="C182" t="s">
        <v>178</v>
      </c>
      <c r="D182" t="s">
        <v>14</v>
      </c>
      <c r="E182" t="s">
        <v>14</v>
      </c>
      <c r="F182" t="s">
        <v>14</v>
      </c>
      <c r="G182" s="2" t="s">
        <v>151</v>
      </c>
      <c r="H182">
        <v>426071</v>
      </c>
      <c r="I182" s="32" t="s">
        <v>185</v>
      </c>
      <c r="J182" s="2" t="s">
        <v>186</v>
      </c>
      <c r="K182" t="s">
        <v>92</v>
      </c>
      <c r="L182" t="s">
        <v>186</v>
      </c>
      <c r="M182" s="2" t="s">
        <v>75</v>
      </c>
      <c r="N182" t="s">
        <v>142</v>
      </c>
      <c r="O182" s="83" t="s">
        <v>121</v>
      </c>
      <c r="P182" s="84" t="s">
        <v>20</v>
      </c>
      <c r="Q182" s="83" t="s">
        <v>61</v>
      </c>
      <c r="R182" s="83" t="s">
        <v>61</v>
      </c>
      <c r="S182" s="67" t="s">
        <v>187</v>
      </c>
      <c r="T182" t="s">
        <v>188</v>
      </c>
      <c r="U182" t="s">
        <v>189</v>
      </c>
      <c r="V182" s="2" t="s">
        <v>190</v>
      </c>
      <c r="W182" s="2" t="s">
        <v>62</v>
      </c>
      <c r="Z182" s="2" t="s">
        <v>159</v>
      </c>
      <c r="AA182" s="2" t="s">
        <v>160</v>
      </c>
      <c r="AB182" s="2" t="s">
        <v>63</v>
      </c>
      <c r="AC182" s="2" t="s">
        <v>64</v>
      </c>
    </row>
    <row r="183" spans="1:29" x14ac:dyDescent="0.35">
      <c r="A183" t="s">
        <v>91</v>
      </c>
      <c r="B183" t="s">
        <v>151</v>
      </c>
      <c r="C183" t="s">
        <v>178</v>
      </c>
      <c r="D183" t="s">
        <v>14</v>
      </c>
      <c r="E183" t="s">
        <v>14</v>
      </c>
      <c r="F183" t="s">
        <v>14</v>
      </c>
      <c r="G183" s="2" t="s">
        <v>151</v>
      </c>
      <c r="H183">
        <v>426071</v>
      </c>
      <c r="I183" s="32" t="s">
        <v>185</v>
      </c>
      <c r="J183" s="2" t="s">
        <v>186</v>
      </c>
      <c r="K183" t="s">
        <v>92</v>
      </c>
      <c r="L183" t="s">
        <v>186</v>
      </c>
      <c r="M183" s="2" t="s">
        <v>75</v>
      </c>
      <c r="N183" t="s">
        <v>142</v>
      </c>
      <c r="O183" s="83" t="s">
        <v>128</v>
      </c>
      <c r="P183" s="84" t="s">
        <v>20</v>
      </c>
      <c r="Q183" s="83" t="s">
        <v>61</v>
      </c>
      <c r="R183" s="83" t="s">
        <v>61</v>
      </c>
      <c r="S183" s="67" t="s">
        <v>187</v>
      </c>
      <c r="T183" t="s">
        <v>188</v>
      </c>
      <c r="U183" t="s">
        <v>189</v>
      </c>
      <c r="V183" s="2" t="s">
        <v>190</v>
      </c>
      <c r="W183" s="2" t="s">
        <v>62</v>
      </c>
      <c r="Z183" s="2" t="s">
        <v>159</v>
      </c>
      <c r="AA183" s="2" t="s">
        <v>160</v>
      </c>
      <c r="AB183" s="2" t="s">
        <v>63</v>
      </c>
      <c r="AC183" s="2" t="s">
        <v>64</v>
      </c>
    </row>
    <row r="184" spans="1:29" x14ac:dyDescent="0.35">
      <c r="A184" t="s">
        <v>91</v>
      </c>
      <c r="B184" t="s">
        <v>151</v>
      </c>
      <c r="C184" t="s">
        <v>178</v>
      </c>
      <c r="D184" t="s">
        <v>14</v>
      </c>
      <c r="E184" t="s">
        <v>14</v>
      </c>
      <c r="F184" t="s">
        <v>14</v>
      </c>
      <c r="G184" s="2" t="s">
        <v>151</v>
      </c>
      <c r="H184">
        <v>426071</v>
      </c>
      <c r="I184" s="32" t="s">
        <v>185</v>
      </c>
      <c r="J184" s="2" t="s">
        <v>186</v>
      </c>
      <c r="K184" t="s">
        <v>92</v>
      </c>
      <c r="L184" t="s">
        <v>186</v>
      </c>
      <c r="M184" s="2" t="s">
        <v>75</v>
      </c>
      <c r="N184" t="s">
        <v>142</v>
      </c>
      <c r="O184" s="83" t="s">
        <v>122</v>
      </c>
      <c r="P184" s="84" t="s">
        <v>20</v>
      </c>
      <c r="Q184" s="83" t="s">
        <v>61</v>
      </c>
      <c r="R184" s="83" t="s">
        <v>61</v>
      </c>
      <c r="S184" s="67" t="s">
        <v>187</v>
      </c>
      <c r="T184" t="s">
        <v>188</v>
      </c>
      <c r="U184" t="s">
        <v>189</v>
      </c>
      <c r="V184" s="2" t="s">
        <v>190</v>
      </c>
      <c r="W184" s="2" t="s">
        <v>62</v>
      </c>
      <c r="Z184" s="2" t="s">
        <v>159</v>
      </c>
      <c r="AA184" s="2" t="s">
        <v>160</v>
      </c>
      <c r="AB184" s="2" t="s">
        <v>63</v>
      </c>
      <c r="AC184" s="2" t="s">
        <v>64</v>
      </c>
    </row>
    <row r="185" spans="1:29" x14ac:dyDescent="0.35">
      <c r="A185" t="s">
        <v>91</v>
      </c>
      <c r="B185" t="s">
        <v>151</v>
      </c>
      <c r="C185" t="s">
        <v>178</v>
      </c>
      <c r="D185" t="s">
        <v>14</v>
      </c>
      <c r="E185" t="s">
        <v>14</v>
      </c>
      <c r="F185" t="s">
        <v>14</v>
      </c>
      <c r="G185" s="2" t="s">
        <v>151</v>
      </c>
      <c r="H185">
        <v>426071</v>
      </c>
      <c r="I185" s="32" t="s">
        <v>185</v>
      </c>
      <c r="J185" s="2" t="s">
        <v>186</v>
      </c>
      <c r="K185" t="s">
        <v>92</v>
      </c>
      <c r="L185" t="s">
        <v>186</v>
      </c>
      <c r="M185" s="2" t="s">
        <v>75</v>
      </c>
      <c r="N185" t="s">
        <v>142</v>
      </c>
      <c r="O185" s="83" t="s">
        <v>102</v>
      </c>
      <c r="P185" s="84" t="s">
        <v>191</v>
      </c>
      <c r="Q185" s="83" t="s">
        <v>61</v>
      </c>
      <c r="R185" s="83" t="s">
        <v>61</v>
      </c>
      <c r="S185" s="67" t="s">
        <v>187</v>
      </c>
      <c r="T185" t="s">
        <v>188</v>
      </c>
      <c r="U185" t="s">
        <v>189</v>
      </c>
      <c r="V185" s="2" t="s">
        <v>190</v>
      </c>
      <c r="W185" s="2" t="s">
        <v>62</v>
      </c>
      <c r="Z185" s="2" t="s">
        <v>159</v>
      </c>
      <c r="AA185" s="2" t="s">
        <v>160</v>
      </c>
      <c r="AB185" s="2" t="s">
        <v>63</v>
      </c>
      <c r="AC185" s="2" t="s">
        <v>64</v>
      </c>
    </row>
    <row r="186" spans="1:29" x14ac:dyDescent="0.35">
      <c r="A186" t="s">
        <v>91</v>
      </c>
      <c r="B186" t="s">
        <v>151</v>
      </c>
      <c r="C186" t="s">
        <v>178</v>
      </c>
      <c r="D186" t="s">
        <v>14</v>
      </c>
      <c r="E186" t="s">
        <v>14</v>
      </c>
      <c r="F186" t="s">
        <v>14</v>
      </c>
      <c r="G186" s="2" t="s">
        <v>151</v>
      </c>
      <c r="H186">
        <v>426071</v>
      </c>
      <c r="I186" s="32" t="s">
        <v>185</v>
      </c>
      <c r="J186" s="2" t="s">
        <v>186</v>
      </c>
      <c r="K186" t="s">
        <v>92</v>
      </c>
      <c r="L186" t="s">
        <v>186</v>
      </c>
      <c r="M186" s="2" t="s">
        <v>75</v>
      </c>
      <c r="N186" t="s">
        <v>142</v>
      </c>
      <c r="O186" s="83" t="s">
        <v>123</v>
      </c>
      <c r="P186" s="84" t="s">
        <v>20</v>
      </c>
      <c r="Q186" s="83" t="s">
        <v>61</v>
      </c>
      <c r="R186" s="83" t="s">
        <v>61</v>
      </c>
      <c r="S186" s="67" t="s">
        <v>187</v>
      </c>
      <c r="T186" t="s">
        <v>188</v>
      </c>
      <c r="U186" t="s">
        <v>189</v>
      </c>
      <c r="V186" s="2" t="s">
        <v>190</v>
      </c>
      <c r="W186" s="2" t="s">
        <v>62</v>
      </c>
      <c r="Z186" s="2" t="s">
        <v>159</v>
      </c>
      <c r="AA186" s="2" t="s">
        <v>160</v>
      </c>
      <c r="AB186" s="2" t="s">
        <v>63</v>
      </c>
      <c r="AC186" s="2" t="s">
        <v>64</v>
      </c>
    </row>
    <row r="187" spans="1:29" x14ac:dyDescent="0.35">
      <c r="A187" t="s">
        <v>91</v>
      </c>
      <c r="B187" t="s">
        <v>151</v>
      </c>
      <c r="C187" t="s">
        <v>178</v>
      </c>
      <c r="D187" t="s">
        <v>14</v>
      </c>
      <c r="E187" t="s">
        <v>14</v>
      </c>
      <c r="F187" t="s">
        <v>14</v>
      </c>
      <c r="G187" s="2" t="s">
        <v>151</v>
      </c>
      <c r="H187">
        <v>426071</v>
      </c>
      <c r="I187" s="32" t="s">
        <v>185</v>
      </c>
      <c r="J187" s="2" t="s">
        <v>186</v>
      </c>
      <c r="K187" t="s">
        <v>92</v>
      </c>
      <c r="L187" t="s">
        <v>186</v>
      </c>
      <c r="M187" s="2" t="s">
        <v>75</v>
      </c>
      <c r="N187" t="s">
        <v>142</v>
      </c>
      <c r="O187" s="83" t="s">
        <v>124</v>
      </c>
      <c r="P187" s="84" t="s">
        <v>20</v>
      </c>
      <c r="Q187" s="83" t="s">
        <v>61</v>
      </c>
      <c r="R187" s="83" t="s">
        <v>61</v>
      </c>
      <c r="S187" s="67" t="s">
        <v>187</v>
      </c>
      <c r="T187" t="s">
        <v>188</v>
      </c>
      <c r="U187" t="s">
        <v>189</v>
      </c>
      <c r="V187" s="2" t="s">
        <v>190</v>
      </c>
      <c r="W187" s="2" t="s">
        <v>62</v>
      </c>
      <c r="Z187" s="2" t="s">
        <v>159</v>
      </c>
      <c r="AA187" s="2" t="s">
        <v>160</v>
      </c>
      <c r="AB187" s="2" t="s">
        <v>63</v>
      </c>
      <c r="AC187" s="2" t="s">
        <v>64</v>
      </c>
    </row>
    <row r="188" spans="1:29" x14ac:dyDescent="0.35">
      <c r="A188" t="s">
        <v>91</v>
      </c>
      <c r="B188" t="s">
        <v>151</v>
      </c>
      <c r="C188" t="s">
        <v>178</v>
      </c>
      <c r="D188" t="s">
        <v>14</v>
      </c>
      <c r="E188" t="s">
        <v>14</v>
      </c>
      <c r="F188" t="s">
        <v>14</v>
      </c>
      <c r="G188" s="2" t="s">
        <v>151</v>
      </c>
      <c r="H188">
        <v>426071</v>
      </c>
      <c r="I188" s="32" t="s">
        <v>185</v>
      </c>
      <c r="J188" s="2" t="s">
        <v>186</v>
      </c>
      <c r="K188" t="s">
        <v>92</v>
      </c>
      <c r="L188" t="s">
        <v>186</v>
      </c>
      <c r="M188" s="2" t="s">
        <v>75</v>
      </c>
      <c r="N188" t="s">
        <v>142</v>
      </c>
      <c r="O188" s="83" t="s">
        <v>124</v>
      </c>
      <c r="P188" s="84" t="s">
        <v>20</v>
      </c>
      <c r="Q188" s="83" t="s">
        <v>61</v>
      </c>
      <c r="R188" s="83" t="s">
        <v>61</v>
      </c>
      <c r="S188" s="67" t="s">
        <v>187</v>
      </c>
      <c r="T188" t="s">
        <v>188</v>
      </c>
      <c r="U188" t="s">
        <v>189</v>
      </c>
      <c r="V188" s="2" t="s">
        <v>190</v>
      </c>
      <c r="W188" s="2" t="s">
        <v>62</v>
      </c>
      <c r="Z188" s="2" t="s">
        <v>159</v>
      </c>
      <c r="AA188" s="2" t="s">
        <v>160</v>
      </c>
      <c r="AB188" s="2" t="s">
        <v>63</v>
      </c>
      <c r="AC188" s="2" t="s">
        <v>64</v>
      </c>
    </row>
    <row r="189" spans="1:29" x14ac:dyDescent="0.35">
      <c r="A189" t="s">
        <v>91</v>
      </c>
      <c r="B189" t="s">
        <v>151</v>
      </c>
      <c r="C189" t="s">
        <v>178</v>
      </c>
      <c r="D189" t="s">
        <v>14</v>
      </c>
      <c r="E189" t="s">
        <v>14</v>
      </c>
      <c r="F189" t="s">
        <v>14</v>
      </c>
      <c r="G189" s="2" t="s">
        <v>151</v>
      </c>
      <c r="H189">
        <v>426071</v>
      </c>
      <c r="I189" s="32" t="s">
        <v>185</v>
      </c>
      <c r="J189" s="2" t="s">
        <v>186</v>
      </c>
      <c r="K189" t="s">
        <v>92</v>
      </c>
      <c r="L189" t="s">
        <v>186</v>
      </c>
      <c r="M189" s="2" t="s">
        <v>75</v>
      </c>
      <c r="N189" t="s">
        <v>142</v>
      </c>
      <c r="O189" s="83" t="s">
        <v>125</v>
      </c>
      <c r="P189" s="84" t="s">
        <v>20</v>
      </c>
      <c r="Q189" s="83" t="s">
        <v>61</v>
      </c>
      <c r="R189" s="83" t="s">
        <v>61</v>
      </c>
      <c r="S189" s="67" t="s">
        <v>187</v>
      </c>
      <c r="T189" t="s">
        <v>188</v>
      </c>
      <c r="U189" t="s">
        <v>189</v>
      </c>
      <c r="V189" s="2" t="s">
        <v>190</v>
      </c>
      <c r="W189" s="2" t="s">
        <v>62</v>
      </c>
      <c r="Z189" s="2" t="s">
        <v>159</v>
      </c>
      <c r="AA189" s="2" t="s">
        <v>160</v>
      </c>
      <c r="AB189" s="2" t="s">
        <v>63</v>
      </c>
      <c r="AC189" s="2" t="s">
        <v>64</v>
      </c>
    </row>
    <row r="190" spans="1:29" x14ac:dyDescent="0.35">
      <c r="A190" t="s">
        <v>91</v>
      </c>
      <c r="B190" t="s">
        <v>151</v>
      </c>
      <c r="C190" t="s">
        <v>178</v>
      </c>
      <c r="D190" t="s">
        <v>14</v>
      </c>
      <c r="E190" t="s">
        <v>14</v>
      </c>
      <c r="F190" t="s">
        <v>14</v>
      </c>
      <c r="G190" s="2" t="s">
        <v>151</v>
      </c>
      <c r="H190">
        <v>426071</v>
      </c>
      <c r="I190" s="32" t="s">
        <v>185</v>
      </c>
      <c r="J190" s="2" t="s">
        <v>186</v>
      </c>
      <c r="K190" t="s">
        <v>92</v>
      </c>
      <c r="L190" t="s">
        <v>186</v>
      </c>
      <c r="M190" s="2" t="s">
        <v>75</v>
      </c>
      <c r="N190" t="s">
        <v>142</v>
      </c>
      <c r="O190" s="83" t="s">
        <v>126</v>
      </c>
      <c r="P190" s="84" t="s">
        <v>20</v>
      </c>
      <c r="Q190" s="83" t="s">
        <v>61</v>
      </c>
      <c r="R190" s="83" t="s">
        <v>61</v>
      </c>
      <c r="S190" s="67" t="s">
        <v>187</v>
      </c>
      <c r="T190" t="s">
        <v>188</v>
      </c>
      <c r="U190" t="s">
        <v>189</v>
      </c>
      <c r="V190" s="2" t="s">
        <v>190</v>
      </c>
      <c r="W190" s="2" t="s">
        <v>62</v>
      </c>
      <c r="Z190" s="2" t="s">
        <v>159</v>
      </c>
      <c r="AA190" s="2" t="s">
        <v>160</v>
      </c>
      <c r="AB190" s="2" t="s">
        <v>63</v>
      </c>
      <c r="AC190" s="2" t="s">
        <v>64</v>
      </c>
    </row>
    <row r="191" spans="1:29" x14ac:dyDescent="0.35">
      <c r="A191" t="s">
        <v>91</v>
      </c>
      <c r="B191" t="s">
        <v>151</v>
      </c>
      <c r="C191" t="s">
        <v>178</v>
      </c>
      <c r="D191" t="s">
        <v>14</v>
      </c>
      <c r="E191" t="s">
        <v>14</v>
      </c>
      <c r="F191" t="s">
        <v>14</v>
      </c>
      <c r="G191" s="2" t="s">
        <v>151</v>
      </c>
      <c r="H191">
        <v>426071</v>
      </c>
      <c r="I191" s="32" t="s">
        <v>185</v>
      </c>
      <c r="J191" s="2" t="s">
        <v>186</v>
      </c>
      <c r="K191" t="s">
        <v>92</v>
      </c>
      <c r="L191" t="s">
        <v>186</v>
      </c>
      <c r="M191" s="2" t="s">
        <v>75</v>
      </c>
      <c r="N191" t="s">
        <v>142</v>
      </c>
      <c r="O191" s="83" t="s">
        <v>127</v>
      </c>
      <c r="P191" s="84" t="s">
        <v>20</v>
      </c>
      <c r="Q191" s="83" t="s">
        <v>61</v>
      </c>
      <c r="R191" s="83" t="s">
        <v>61</v>
      </c>
      <c r="S191" s="67" t="s">
        <v>187</v>
      </c>
      <c r="T191" t="s">
        <v>188</v>
      </c>
      <c r="U191" t="s">
        <v>189</v>
      </c>
      <c r="V191" s="2" t="s">
        <v>190</v>
      </c>
      <c r="W191" s="2" t="s">
        <v>62</v>
      </c>
      <c r="Z191" s="2" t="s">
        <v>159</v>
      </c>
      <c r="AA191" s="2" t="s">
        <v>160</v>
      </c>
      <c r="AB191" s="2" t="s">
        <v>63</v>
      </c>
      <c r="AC191" s="2" t="s">
        <v>64</v>
      </c>
    </row>
    <row r="192" spans="1:29" x14ac:dyDescent="0.35">
      <c r="A192" t="s">
        <v>91</v>
      </c>
      <c r="B192" t="s">
        <v>151</v>
      </c>
      <c r="C192" t="s">
        <v>178</v>
      </c>
      <c r="D192" t="s">
        <v>14</v>
      </c>
      <c r="E192" t="s">
        <v>14</v>
      </c>
      <c r="F192" t="s">
        <v>14</v>
      </c>
      <c r="G192" s="2" t="s">
        <v>151</v>
      </c>
      <c r="H192">
        <v>426071</v>
      </c>
      <c r="I192" s="32" t="s">
        <v>185</v>
      </c>
      <c r="J192" s="2" t="s">
        <v>186</v>
      </c>
      <c r="K192" t="s">
        <v>92</v>
      </c>
      <c r="L192" t="s">
        <v>186</v>
      </c>
      <c r="M192" s="2" t="s">
        <v>75</v>
      </c>
      <c r="N192" t="s">
        <v>142</v>
      </c>
      <c r="O192" s="83" t="s">
        <v>139</v>
      </c>
      <c r="P192" s="84" t="s">
        <v>209</v>
      </c>
      <c r="Q192" s="83" t="s">
        <v>61</v>
      </c>
      <c r="R192" s="83" t="s">
        <v>61</v>
      </c>
      <c r="S192" s="67" t="s">
        <v>187</v>
      </c>
      <c r="T192" t="s">
        <v>188</v>
      </c>
      <c r="U192" t="s">
        <v>189</v>
      </c>
      <c r="V192" s="2" t="s">
        <v>190</v>
      </c>
      <c r="W192" s="2" t="s">
        <v>62</v>
      </c>
      <c r="Z192" s="2" t="s">
        <v>159</v>
      </c>
      <c r="AA192" s="2" t="s">
        <v>160</v>
      </c>
      <c r="AB192" s="2" t="s">
        <v>63</v>
      </c>
      <c r="AC192" s="2" t="s">
        <v>64</v>
      </c>
    </row>
    <row r="193" spans="1:29" x14ac:dyDescent="0.35">
      <c r="A193" t="s">
        <v>91</v>
      </c>
      <c r="B193" t="s">
        <v>151</v>
      </c>
      <c r="C193" t="s">
        <v>178</v>
      </c>
      <c r="D193" t="s">
        <v>14</v>
      </c>
      <c r="E193" t="s">
        <v>14</v>
      </c>
      <c r="F193" t="s">
        <v>14</v>
      </c>
      <c r="G193" s="2" t="s">
        <v>151</v>
      </c>
      <c r="H193">
        <v>426071</v>
      </c>
      <c r="I193" s="32" t="s">
        <v>185</v>
      </c>
      <c r="J193" s="2" t="s">
        <v>186</v>
      </c>
      <c r="K193" t="s">
        <v>92</v>
      </c>
      <c r="L193" t="s">
        <v>186</v>
      </c>
      <c r="M193" s="2" t="s">
        <v>75</v>
      </c>
      <c r="N193" t="s">
        <v>142</v>
      </c>
      <c r="O193" s="83" t="s">
        <v>129</v>
      </c>
      <c r="P193" s="84" t="s">
        <v>20</v>
      </c>
      <c r="Q193" s="83" t="s">
        <v>61</v>
      </c>
      <c r="R193" s="83" t="s">
        <v>61</v>
      </c>
      <c r="S193" s="67" t="s">
        <v>187</v>
      </c>
      <c r="T193" t="s">
        <v>188</v>
      </c>
      <c r="U193" t="s">
        <v>189</v>
      </c>
      <c r="V193" s="2" t="s">
        <v>190</v>
      </c>
      <c r="W193" s="2" t="s">
        <v>62</v>
      </c>
      <c r="Z193" s="2" t="s">
        <v>159</v>
      </c>
      <c r="AA193" s="2" t="s">
        <v>160</v>
      </c>
      <c r="AB193" s="2" t="s">
        <v>63</v>
      </c>
      <c r="AC193" s="2" t="s">
        <v>64</v>
      </c>
    </row>
    <row r="194" spans="1:29" x14ac:dyDescent="0.35">
      <c r="A194" t="s">
        <v>91</v>
      </c>
      <c r="B194" t="s">
        <v>151</v>
      </c>
      <c r="C194" t="s">
        <v>178</v>
      </c>
      <c r="D194" t="s">
        <v>14</v>
      </c>
      <c r="E194" t="s">
        <v>14</v>
      </c>
      <c r="F194" t="s">
        <v>14</v>
      </c>
      <c r="G194" s="2" t="s">
        <v>151</v>
      </c>
      <c r="H194">
        <v>426071</v>
      </c>
      <c r="I194" s="32" t="s">
        <v>185</v>
      </c>
      <c r="J194" s="2" t="s">
        <v>186</v>
      </c>
      <c r="K194" t="s">
        <v>92</v>
      </c>
      <c r="L194" t="s">
        <v>186</v>
      </c>
      <c r="M194" s="2" t="s">
        <v>75</v>
      </c>
      <c r="N194" t="s">
        <v>142</v>
      </c>
      <c r="O194" s="83" t="s">
        <v>103</v>
      </c>
      <c r="P194" s="84" t="s">
        <v>149</v>
      </c>
      <c r="Q194" s="83" t="s">
        <v>61</v>
      </c>
      <c r="R194" s="83" t="s">
        <v>61</v>
      </c>
      <c r="S194" s="67" t="s">
        <v>187</v>
      </c>
      <c r="T194" t="s">
        <v>188</v>
      </c>
      <c r="U194" t="s">
        <v>189</v>
      </c>
      <c r="V194" s="2" t="s">
        <v>190</v>
      </c>
      <c r="W194" s="2" t="s">
        <v>62</v>
      </c>
      <c r="Z194" s="2" t="s">
        <v>159</v>
      </c>
      <c r="AA194" s="2" t="s">
        <v>160</v>
      </c>
      <c r="AB194" s="2" t="s">
        <v>63</v>
      </c>
      <c r="AC194" s="2" t="s">
        <v>64</v>
      </c>
    </row>
    <row r="195" spans="1:29" x14ac:dyDescent="0.35">
      <c r="A195" t="s">
        <v>91</v>
      </c>
      <c r="B195" t="s">
        <v>151</v>
      </c>
      <c r="C195" t="s">
        <v>178</v>
      </c>
      <c r="D195" t="s">
        <v>14</v>
      </c>
      <c r="E195" t="s">
        <v>14</v>
      </c>
      <c r="F195" t="s">
        <v>14</v>
      </c>
      <c r="G195" s="2" t="s">
        <v>151</v>
      </c>
      <c r="H195">
        <v>426071</v>
      </c>
      <c r="I195" s="32" t="s">
        <v>185</v>
      </c>
      <c r="J195" s="2" t="s">
        <v>186</v>
      </c>
      <c r="K195" t="s">
        <v>92</v>
      </c>
      <c r="L195" t="s">
        <v>186</v>
      </c>
      <c r="M195" s="2" t="s">
        <v>75</v>
      </c>
      <c r="N195" t="s">
        <v>142</v>
      </c>
      <c r="O195" s="83" t="s">
        <v>104</v>
      </c>
      <c r="P195" s="84" t="s">
        <v>20</v>
      </c>
      <c r="Q195" s="83" t="s">
        <v>61</v>
      </c>
      <c r="R195" s="83" t="s">
        <v>61</v>
      </c>
      <c r="S195" s="67" t="s">
        <v>187</v>
      </c>
      <c r="T195" t="s">
        <v>188</v>
      </c>
      <c r="U195" t="s">
        <v>189</v>
      </c>
      <c r="V195" s="2" t="s">
        <v>190</v>
      </c>
      <c r="W195" s="2" t="s">
        <v>62</v>
      </c>
      <c r="Z195" s="2" t="s">
        <v>159</v>
      </c>
      <c r="AA195" s="2" t="s">
        <v>160</v>
      </c>
      <c r="AB195" s="2" t="s">
        <v>63</v>
      </c>
      <c r="AC195" s="2" t="s">
        <v>64</v>
      </c>
    </row>
    <row r="196" spans="1:29" x14ac:dyDescent="0.35">
      <c r="A196" t="s">
        <v>91</v>
      </c>
      <c r="B196" t="s">
        <v>151</v>
      </c>
      <c r="C196" t="s">
        <v>178</v>
      </c>
      <c r="D196" t="s">
        <v>14</v>
      </c>
      <c r="E196" t="s">
        <v>14</v>
      </c>
      <c r="F196" t="s">
        <v>14</v>
      </c>
      <c r="G196" s="2" t="s">
        <v>151</v>
      </c>
      <c r="H196">
        <v>426071</v>
      </c>
      <c r="I196" s="32" t="s">
        <v>185</v>
      </c>
      <c r="J196" s="2" t="s">
        <v>186</v>
      </c>
      <c r="K196" t="s">
        <v>92</v>
      </c>
      <c r="L196" t="s">
        <v>186</v>
      </c>
      <c r="M196" s="2" t="s">
        <v>75</v>
      </c>
      <c r="N196" t="s">
        <v>142</v>
      </c>
      <c r="O196" s="83" t="s">
        <v>116</v>
      </c>
      <c r="P196" s="84" t="s">
        <v>20</v>
      </c>
      <c r="Q196" s="83" t="s">
        <v>61</v>
      </c>
      <c r="R196" s="83" t="s">
        <v>61</v>
      </c>
      <c r="S196" s="67" t="s">
        <v>187</v>
      </c>
      <c r="T196" t="s">
        <v>188</v>
      </c>
      <c r="U196" t="s">
        <v>189</v>
      </c>
      <c r="V196" s="2" t="s">
        <v>190</v>
      </c>
      <c r="W196" s="2" t="s">
        <v>62</v>
      </c>
      <c r="Z196" s="2" t="s">
        <v>159</v>
      </c>
      <c r="AA196" s="2" t="s">
        <v>160</v>
      </c>
      <c r="AB196" s="2" t="s">
        <v>63</v>
      </c>
      <c r="AC196" s="2" t="s">
        <v>64</v>
      </c>
    </row>
    <row r="197" spans="1:29" x14ac:dyDescent="0.35">
      <c r="A197" t="s">
        <v>91</v>
      </c>
      <c r="B197" t="s">
        <v>151</v>
      </c>
      <c r="C197" t="s">
        <v>178</v>
      </c>
      <c r="D197" t="s">
        <v>14</v>
      </c>
      <c r="E197" t="s">
        <v>14</v>
      </c>
      <c r="F197" t="s">
        <v>14</v>
      </c>
      <c r="G197" s="2" t="s">
        <v>151</v>
      </c>
      <c r="H197">
        <v>426071</v>
      </c>
      <c r="I197" s="32" t="s">
        <v>185</v>
      </c>
      <c r="J197" s="2" t="s">
        <v>186</v>
      </c>
      <c r="K197" t="s">
        <v>92</v>
      </c>
      <c r="L197" t="s">
        <v>186</v>
      </c>
      <c r="M197" s="2" t="s">
        <v>75</v>
      </c>
      <c r="N197" t="s">
        <v>142</v>
      </c>
      <c r="O197" s="83" t="s">
        <v>105</v>
      </c>
      <c r="P197" s="84" t="s">
        <v>20</v>
      </c>
      <c r="Q197" s="83" t="s">
        <v>61</v>
      </c>
      <c r="R197" s="83" t="s">
        <v>61</v>
      </c>
      <c r="S197" s="67" t="s">
        <v>187</v>
      </c>
      <c r="T197" t="s">
        <v>188</v>
      </c>
      <c r="U197" t="s">
        <v>189</v>
      </c>
      <c r="V197" s="2" t="s">
        <v>190</v>
      </c>
      <c r="W197" s="2" t="s">
        <v>62</v>
      </c>
      <c r="Z197" s="2" t="s">
        <v>159</v>
      </c>
      <c r="AA197" s="2" t="s">
        <v>160</v>
      </c>
      <c r="AB197" s="2" t="s">
        <v>63</v>
      </c>
      <c r="AC197" s="2" t="s">
        <v>64</v>
      </c>
    </row>
    <row r="198" spans="1:29" x14ac:dyDescent="0.35">
      <c r="A198" t="s">
        <v>91</v>
      </c>
      <c r="B198" t="s">
        <v>151</v>
      </c>
      <c r="C198" t="s">
        <v>178</v>
      </c>
      <c r="D198" t="s">
        <v>14</v>
      </c>
      <c r="E198" t="s">
        <v>14</v>
      </c>
      <c r="F198" t="s">
        <v>14</v>
      </c>
      <c r="G198" s="2" t="s">
        <v>151</v>
      </c>
      <c r="H198">
        <v>426071</v>
      </c>
      <c r="I198" s="32" t="s">
        <v>185</v>
      </c>
      <c r="J198" s="2" t="s">
        <v>186</v>
      </c>
      <c r="K198" t="s">
        <v>92</v>
      </c>
      <c r="L198" t="s">
        <v>186</v>
      </c>
      <c r="M198" s="2" t="s">
        <v>75</v>
      </c>
      <c r="N198" t="s">
        <v>142</v>
      </c>
      <c r="O198" s="83" t="s">
        <v>106</v>
      </c>
      <c r="P198" s="84" t="s">
        <v>20</v>
      </c>
      <c r="Q198" s="83" t="s">
        <v>61</v>
      </c>
      <c r="R198" s="83" t="s">
        <v>61</v>
      </c>
      <c r="S198" s="67" t="s">
        <v>187</v>
      </c>
      <c r="T198" t="s">
        <v>188</v>
      </c>
      <c r="U198" t="s">
        <v>189</v>
      </c>
      <c r="V198" s="2" t="s">
        <v>190</v>
      </c>
      <c r="W198" s="2" t="s">
        <v>62</v>
      </c>
      <c r="Z198" s="2" t="s">
        <v>159</v>
      </c>
      <c r="AA198" s="2" t="s">
        <v>160</v>
      </c>
      <c r="AB198" s="2" t="s">
        <v>63</v>
      </c>
      <c r="AC198" s="2" t="s">
        <v>64</v>
      </c>
    </row>
    <row r="199" spans="1:29" x14ac:dyDescent="0.35">
      <c r="A199" t="s">
        <v>91</v>
      </c>
      <c r="B199" t="s">
        <v>151</v>
      </c>
      <c r="C199" t="s">
        <v>178</v>
      </c>
      <c r="D199" t="s">
        <v>14</v>
      </c>
      <c r="E199" t="s">
        <v>14</v>
      </c>
      <c r="F199" t="s">
        <v>14</v>
      </c>
      <c r="G199" s="2" t="s">
        <v>151</v>
      </c>
      <c r="H199">
        <v>426071</v>
      </c>
      <c r="I199" s="32" t="s">
        <v>185</v>
      </c>
      <c r="J199" s="2" t="s">
        <v>186</v>
      </c>
      <c r="K199" t="s">
        <v>92</v>
      </c>
      <c r="L199" t="s">
        <v>186</v>
      </c>
      <c r="M199" s="2" t="s">
        <v>75</v>
      </c>
      <c r="N199" t="s">
        <v>142</v>
      </c>
      <c r="O199" s="83" t="s">
        <v>107</v>
      </c>
      <c r="P199" s="84" t="s">
        <v>147</v>
      </c>
      <c r="Q199" s="83" t="s">
        <v>61</v>
      </c>
      <c r="R199" s="83" t="s">
        <v>61</v>
      </c>
      <c r="S199" s="67" t="s">
        <v>187</v>
      </c>
      <c r="T199" t="s">
        <v>188</v>
      </c>
      <c r="U199" t="s">
        <v>189</v>
      </c>
      <c r="V199" s="2" t="s">
        <v>190</v>
      </c>
      <c r="W199" s="2" t="s">
        <v>62</v>
      </c>
      <c r="Z199" s="2" t="s">
        <v>159</v>
      </c>
      <c r="AA199" s="2" t="s">
        <v>160</v>
      </c>
      <c r="AB199" s="2" t="s">
        <v>63</v>
      </c>
      <c r="AC199" s="2" t="s">
        <v>64</v>
      </c>
    </row>
    <row r="200" spans="1:29" x14ac:dyDescent="0.35">
      <c r="A200" t="s">
        <v>91</v>
      </c>
      <c r="B200" t="s">
        <v>151</v>
      </c>
      <c r="C200" t="s">
        <v>178</v>
      </c>
      <c r="D200" t="s">
        <v>14</v>
      </c>
      <c r="E200" t="s">
        <v>14</v>
      </c>
      <c r="F200" t="s">
        <v>14</v>
      </c>
      <c r="G200" s="2" t="s">
        <v>151</v>
      </c>
      <c r="H200">
        <v>426071</v>
      </c>
      <c r="I200" s="32" t="s">
        <v>185</v>
      </c>
      <c r="J200" s="2" t="s">
        <v>186</v>
      </c>
      <c r="K200" t="s">
        <v>92</v>
      </c>
      <c r="L200" t="s">
        <v>186</v>
      </c>
      <c r="M200" s="2" t="s">
        <v>75</v>
      </c>
      <c r="N200" t="s">
        <v>142</v>
      </c>
      <c r="O200" s="83" t="s">
        <v>108</v>
      </c>
      <c r="P200" s="84" t="s">
        <v>162</v>
      </c>
      <c r="Q200" s="83" t="s">
        <v>61</v>
      </c>
      <c r="R200" s="83" t="s">
        <v>61</v>
      </c>
      <c r="S200" s="67" t="s">
        <v>187</v>
      </c>
      <c r="T200" t="s">
        <v>188</v>
      </c>
      <c r="U200" t="s">
        <v>189</v>
      </c>
      <c r="V200" s="2" t="s">
        <v>190</v>
      </c>
      <c r="W200" s="2" t="s">
        <v>62</v>
      </c>
      <c r="Z200" s="2" t="s">
        <v>159</v>
      </c>
      <c r="AA200" s="2" t="s">
        <v>160</v>
      </c>
      <c r="AB200" s="2" t="s">
        <v>63</v>
      </c>
      <c r="AC200" s="2" t="s">
        <v>64</v>
      </c>
    </row>
  </sheetData>
  <phoneticPr fontId="3" type="noConversion"/>
  <conditionalFormatting sqref="O1:O1048576">
    <cfRule type="duplicateValues" dxfId="1916" priority="83"/>
  </conditionalFormatting>
  <conditionalFormatting sqref="O134:O164">
    <cfRule type="duplicateValues" dxfId="1915" priority="1"/>
  </conditionalFormatting>
  <conditionalFormatting sqref="O2:O97">
    <cfRule type="duplicateValues" dxfId="1914" priority="234"/>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5E33-EDDE-4B1B-A585-84A321E83FE9}">
  <dimension ref="A1:M43"/>
  <sheetViews>
    <sheetView zoomScale="60" zoomScaleNormal="60" workbookViewId="0">
      <selection activeCell="G15" sqref="G15"/>
    </sheetView>
  </sheetViews>
  <sheetFormatPr baseColWidth="10" defaultColWidth="11.453125" defaultRowHeight="15" customHeight="1" x14ac:dyDescent="0.35"/>
  <cols>
    <col min="1" max="1" width="24" style="57" bestFit="1" customWidth="1"/>
    <col min="2" max="2" width="27.1796875" style="57" bestFit="1" customWidth="1"/>
    <col min="3" max="3" width="20.1796875" style="57" bestFit="1" customWidth="1"/>
    <col min="4" max="4" width="24" customWidth="1"/>
    <col min="5" max="5" width="14.81640625" bestFit="1" customWidth="1"/>
    <col min="6" max="6" width="13.1796875" customWidth="1"/>
    <col min="7" max="7" width="255.6328125" bestFit="1" customWidth="1"/>
    <col min="8" max="8" width="20.6328125" bestFit="1" customWidth="1"/>
    <col min="12" max="12" width="47.7265625" bestFit="1" customWidth="1"/>
    <col min="13" max="13" width="22" bestFit="1" customWidth="1"/>
  </cols>
  <sheetData>
    <row r="1" spans="1:13" ht="15" customHeight="1" x14ac:dyDescent="0.35">
      <c r="A1" s="25" t="s">
        <v>41</v>
      </c>
      <c r="B1" s="25" t="s">
        <v>14</v>
      </c>
      <c r="C1" s="25" t="s">
        <v>15</v>
      </c>
      <c r="D1" s="24" t="s">
        <v>13</v>
      </c>
      <c r="E1" s="43" t="s">
        <v>67</v>
      </c>
      <c r="F1" s="37" t="s">
        <v>68</v>
      </c>
      <c r="G1" s="37" t="s">
        <v>27</v>
      </c>
      <c r="H1" s="38" t="s">
        <v>33</v>
      </c>
      <c r="L1" s="28" t="s">
        <v>13</v>
      </c>
      <c r="M1" s="30" t="s">
        <v>71</v>
      </c>
    </row>
    <row r="2" spans="1:13" ht="15" customHeight="1" x14ac:dyDescent="0.35">
      <c r="A2" s="68">
        <v>20</v>
      </c>
      <c r="B2" s="68">
        <v>20</v>
      </c>
      <c r="C2" s="68">
        <v>20</v>
      </c>
      <c r="D2" s="69" t="s">
        <v>96</v>
      </c>
      <c r="E2" s="68">
        <v>20</v>
      </c>
      <c r="F2" s="69" t="s">
        <v>69</v>
      </c>
      <c r="G2" s="69" t="s">
        <v>117</v>
      </c>
      <c r="H2" s="69" t="s">
        <v>20</v>
      </c>
      <c r="L2" s="26" t="s">
        <v>17</v>
      </c>
      <c r="M2" s="58">
        <v>0.2</v>
      </c>
    </row>
    <row r="3" spans="1:13" ht="15" customHeight="1" x14ac:dyDescent="0.35">
      <c r="A3" s="68">
        <v>20</v>
      </c>
      <c r="B3" s="68">
        <v>20</v>
      </c>
      <c r="C3" s="68">
        <v>20</v>
      </c>
      <c r="D3" s="69" t="s">
        <v>17</v>
      </c>
      <c r="E3" s="68">
        <v>20</v>
      </c>
      <c r="F3" s="69" t="s">
        <v>69</v>
      </c>
      <c r="G3" s="69" t="s">
        <v>83</v>
      </c>
      <c r="H3" s="69" t="s">
        <v>20</v>
      </c>
      <c r="L3" s="26" t="s">
        <v>95</v>
      </c>
      <c r="M3" s="58">
        <v>0.15</v>
      </c>
    </row>
    <row r="4" spans="1:13" ht="15" customHeight="1" x14ac:dyDescent="0.35">
      <c r="A4" s="68">
        <f t="shared" ref="A4:C7" si="0">15/4</f>
        <v>3.75</v>
      </c>
      <c r="B4" s="68">
        <f t="shared" si="0"/>
        <v>3.75</v>
      </c>
      <c r="C4" s="68">
        <f t="shared" si="0"/>
        <v>3.75</v>
      </c>
      <c r="D4" s="69" t="s">
        <v>98</v>
      </c>
      <c r="E4" s="68">
        <f>15/4</f>
        <v>3.75</v>
      </c>
      <c r="F4" s="69" t="s">
        <v>69</v>
      </c>
      <c r="G4" s="69" t="s">
        <v>104</v>
      </c>
      <c r="H4" s="69" t="s">
        <v>20</v>
      </c>
      <c r="L4" s="26" t="s">
        <v>96</v>
      </c>
      <c r="M4" s="58">
        <v>0.2</v>
      </c>
    </row>
    <row r="5" spans="1:13" ht="15" customHeight="1" x14ac:dyDescent="0.35">
      <c r="A5" s="68">
        <f t="shared" si="0"/>
        <v>3.75</v>
      </c>
      <c r="B5" s="68">
        <f t="shared" si="0"/>
        <v>3.75</v>
      </c>
      <c r="C5" s="68">
        <f t="shared" si="0"/>
        <v>3.75</v>
      </c>
      <c r="D5" s="69" t="s">
        <v>98</v>
      </c>
      <c r="E5" s="68">
        <f>15/4</f>
        <v>3.75</v>
      </c>
      <c r="F5" s="69" t="s">
        <v>69</v>
      </c>
      <c r="G5" s="69" t="s">
        <v>116</v>
      </c>
      <c r="H5" s="69" t="s">
        <v>20</v>
      </c>
      <c r="L5" s="26" t="s">
        <v>97</v>
      </c>
      <c r="M5" s="58">
        <v>0.3</v>
      </c>
    </row>
    <row r="6" spans="1:13" ht="15" customHeight="1" x14ac:dyDescent="0.35">
      <c r="A6" s="68">
        <f t="shared" si="0"/>
        <v>3.75</v>
      </c>
      <c r="B6" s="68">
        <f t="shared" si="0"/>
        <v>3.75</v>
      </c>
      <c r="C6" s="68">
        <f t="shared" si="0"/>
        <v>3.75</v>
      </c>
      <c r="D6" s="69" t="s">
        <v>98</v>
      </c>
      <c r="E6" s="68">
        <f>15/4</f>
        <v>3.75</v>
      </c>
      <c r="F6" s="69" t="s">
        <v>69</v>
      </c>
      <c r="G6" s="69" t="s">
        <v>105</v>
      </c>
      <c r="H6" s="69" t="s">
        <v>20</v>
      </c>
      <c r="L6" s="26" t="s">
        <v>98</v>
      </c>
      <c r="M6" s="58">
        <v>0.15</v>
      </c>
    </row>
    <row r="7" spans="1:13" ht="15" customHeight="1" x14ac:dyDescent="0.35">
      <c r="A7" s="68">
        <f t="shared" si="0"/>
        <v>3.75</v>
      </c>
      <c r="B7" s="68">
        <f t="shared" si="0"/>
        <v>3.75</v>
      </c>
      <c r="C7" s="68">
        <f t="shared" si="0"/>
        <v>3.75</v>
      </c>
      <c r="D7" s="69" t="s">
        <v>98</v>
      </c>
      <c r="E7" s="68">
        <f>15/4</f>
        <v>3.75</v>
      </c>
      <c r="F7" s="69" t="s">
        <v>69</v>
      </c>
      <c r="G7" s="69" t="s">
        <v>106</v>
      </c>
      <c r="H7" s="69" t="s">
        <v>20</v>
      </c>
      <c r="L7" s="29" t="s">
        <v>70</v>
      </c>
      <c r="M7" s="31">
        <f>SUM(M2:M6)</f>
        <v>1</v>
      </c>
    </row>
    <row r="8" spans="1:13" ht="15" customHeight="1" x14ac:dyDescent="0.35">
      <c r="A8" s="68">
        <v>0</v>
      </c>
      <c r="B8" s="68">
        <v>0</v>
      </c>
      <c r="C8" s="68">
        <v>0</v>
      </c>
      <c r="D8" s="69" t="s">
        <v>65</v>
      </c>
      <c r="E8" s="68">
        <v>0</v>
      </c>
      <c r="F8" s="69" t="s">
        <v>137</v>
      </c>
      <c r="G8" s="69" t="s">
        <v>103</v>
      </c>
      <c r="H8" s="69"/>
    </row>
    <row r="9" spans="1:13" ht="15" customHeight="1" x14ac:dyDescent="0.35">
      <c r="A9" s="68">
        <v>0</v>
      </c>
      <c r="B9" s="68">
        <v>0</v>
      </c>
      <c r="C9" s="68">
        <v>0</v>
      </c>
      <c r="D9" s="69" t="s">
        <v>65</v>
      </c>
      <c r="E9" s="68">
        <v>0</v>
      </c>
      <c r="F9" s="69" t="s">
        <v>69</v>
      </c>
      <c r="G9" s="69" t="s">
        <v>99</v>
      </c>
      <c r="H9" s="69"/>
    </row>
    <row r="10" spans="1:13" ht="15" customHeight="1" x14ac:dyDescent="0.35">
      <c r="A10" s="68">
        <v>0</v>
      </c>
      <c r="B10" s="68">
        <v>0</v>
      </c>
      <c r="C10" s="68">
        <v>0</v>
      </c>
      <c r="D10" s="69" t="s">
        <v>65</v>
      </c>
      <c r="E10" s="68">
        <v>0</v>
      </c>
      <c r="F10" s="69" t="s">
        <v>69</v>
      </c>
      <c r="G10" s="69" t="s">
        <v>102</v>
      </c>
      <c r="H10" s="69"/>
    </row>
    <row r="11" spans="1:13" ht="15" customHeight="1" x14ac:dyDescent="0.35">
      <c r="A11" s="68">
        <v>0</v>
      </c>
      <c r="B11" s="68">
        <v>0</v>
      </c>
      <c r="C11" s="68">
        <v>0</v>
      </c>
      <c r="D11" s="69" t="s">
        <v>65</v>
      </c>
      <c r="E11" s="68">
        <v>0</v>
      </c>
      <c r="F11" s="69" t="s">
        <v>69</v>
      </c>
      <c r="G11" s="69" t="s">
        <v>107</v>
      </c>
      <c r="H11" s="69"/>
    </row>
    <row r="12" spans="1:13" ht="15" customHeight="1" x14ac:dyDescent="0.35">
      <c r="A12" s="68">
        <v>0</v>
      </c>
      <c r="B12" s="68">
        <v>0</v>
      </c>
      <c r="C12" s="68">
        <v>0</v>
      </c>
      <c r="D12" s="69" t="s">
        <v>65</v>
      </c>
      <c r="E12" s="68">
        <v>0</v>
      </c>
      <c r="F12" s="69" t="s">
        <v>69</v>
      </c>
      <c r="G12" s="69" t="s">
        <v>108</v>
      </c>
      <c r="H12" s="69"/>
    </row>
    <row r="13" spans="1:13" ht="15" customHeight="1" x14ac:dyDescent="0.35">
      <c r="A13" s="80">
        <f>30/10</f>
        <v>3</v>
      </c>
      <c r="B13" s="80">
        <f>30/13</f>
        <v>2.3076923076923075</v>
      </c>
      <c r="C13" s="80">
        <f>30/21</f>
        <v>1.4285714285714286</v>
      </c>
      <c r="D13" s="69" t="s">
        <v>97</v>
      </c>
      <c r="E13" s="68">
        <f>30/21</f>
        <v>1.4285714285714286</v>
      </c>
      <c r="F13" s="69" t="s">
        <v>69</v>
      </c>
      <c r="G13" s="69" t="s">
        <v>110</v>
      </c>
      <c r="H13" s="69" t="s">
        <v>20</v>
      </c>
    </row>
    <row r="14" spans="1:13" ht="15" customHeight="1" x14ac:dyDescent="0.35">
      <c r="A14" s="68">
        <v>0</v>
      </c>
      <c r="B14" s="68">
        <v>0</v>
      </c>
      <c r="C14" s="80">
        <f>30/21</f>
        <v>1.4285714285714286</v>
      </c>
      <c r="D14" s="69" t="s">
        <v>97</v>
      </c>
      <c r="E14" s="68">
        <f t="shared" ref="E14:E33" si="1">30/21</f>
        <v>1.4285714285714286</v>
      </c>
      <c r="F14" s="69" t="s">
        <v>69</v>
      </c>
      <c r="G14" s="69" t="s">
        <v>118</v>
      </c>
      <c r="H14" s="69" t="s">
        <v>20</v>
      </c>
    </row>
    <row r="15" spans="1:13" ht="15" customHeight="1" x14ac:dyDescent="0.35">
      <c r="A15" s="80">
        <f t="shared" ref="A15:A19" si="2">30/10</f>
        <v>3</v>
      </c>
      <c r="B15" s="80">
        <f t="shared" ref="B15:B19" si="3">30/13</f>
        <v>2.3076923076923075</v>
      </c>
      <c r="C15" s="80">
        <f t="shared" ref="A15:C19" si="4">30/21</f>
        <v>1.4285714285714286</v>
      </c>
      <c r="D15" s="69" t="s">
        <v>97</v>
      </c>
      <c r="E15" s="68">
        <f t="shared" si="1"/>
        <v>1.4285714285714286</v>
      </c>
      <c r="F15" s="69" t="s">
        <v>69</v>
      </c>
      <c r="G15" s="69" t="s">
        <v>119</v>
      </c>
      <c r="H15" s="69" t="s">
        <v>20</v>
      </c>
    </row>
    <row r="16" spans="1:13" ht="15" customHeight="1" x14ac:dyDescent="0.35">
      <c r="A16" s="80">
        <f t="shared" si="2"/>
        <v>3</v>
      </c>
      <c r="B16" s="80">
        <f t="shared" si="3"/>
        <v>2.3076923076923075</v>
      </c>
      <c r="C16" s="80">
        <f t="shared" si="4"/>
        <v>1.4285714285714286</v>
      </c>
      <c r="D16" s="69" t="s">
        <v>97</v>
      </c>
      <c r="E16" s="68">
        <f t="shared" si="1"/>
        <v>1.4285714285714286</v>
      </c>
      <c r="F16" s="69" t="s">
        <v>69</v>
      </c>
      <c r="G16" s="69" t="s">
        <v>120</v>
      </c>
      <c r="H16" s="69" t="s">
        <v>20</v>
      </c>
    </row>
    <row r="17" spans="1:8" ht="15" customHeight="1" x14ac:dyDescent="0.35">
      <c r="A17" s="80">
        <f t="shared" si="2"/>
        <v>3</v>
      </c>
      <c r="B17" s="80">
        <f t="shared" si="3"/>
        <v>2.3076923076923075</v>
      </c>
      <c r="C17" s="80">
        <f t="shared" si="4"/>
        <v>1.4285714285714286</v>
      </c>
      <c r="D17" s="69" t="s">
        <v>97</v>
      </c>
      <c r="E17" s="68">
        <f t="shared" si="1"/>
        <v>1.4285714285714286</v>
      </c>
      <c r="F17" s="69" t="s">
        <v>69</v>
      </c>
      <c r="G17" s="69" t="s">
        <v>121</v>
      </c>
      <c r="H17" s="69" t="s">
        <v>20</v>
      </c>
    </row>
    <row r="18" spans="1:8" ht="15" customHeight="1" x14ac:dyDescent="0.35">
      <c r="A18" s="80">
        <f t="shared" si="2"/>
        <v>3</v>
      </c>
      <c r="B18" s="80">
        <f t="shared" si="3"/>
        <v>2.3076923076923075</v>
      </c>
      <c r="C18" s="80">
        <f t="shared" si="4"/>
        <v>1.4285714285714286</v>
      </c>
      <c r="D18" s="69" t="s">
        <v>97</v>
      </c>
      <c r="E18" s="68">
        <f t="shared" si="1"/>
        <v>1.4285714285714286</v>
      </c>
      <c r="F18" s="69" t="s">
        <v>69</v>
      </c>
      <c r="G18" s="69" t="s">
        <v>128</v>
      </c>
      <c r="H18" s="69" t="s">
        <v>20</v>
      </c>
    </row>
    <row r="19" spans="1:8" ht="15" customHeight="1" x14ac:dyDescent="0.35">
      <c r="A19" s="80">
        <f t="shared" si="2"/>
        <v>3</v>
      </c>
      <c r="B19" s="80">
        <f t="shared" si="3"/>
        <v>2.3076923076923075</v>
      </c>
      <c r="C19" s="80">
        <f t="shared" si="4"/>
        <v>1.4285714285714286</v>
      </c>
      <c r="D19" s="69" t="s">
        <v>97</v>
      </c>
      <c r="E19" s="68">
        <f t="shared" si="1"/>
        <v>1.4285714285714286</v>
      </c>
      <c r="F19" s="69" t="s">
        <v>69</v>
      </c>
      <c r="G19" s="69" t="s">
        <v>122</v>
      </c>
      <c r="H19" s="69" t="s">
        <v>20</v>
      </c>
    </row>
    <row r="20" spans="1:8" ht="15" customHeight="1" x14ac:dyDescent="0.35">
      <c r="A20" s="68">
        <v>0</v>
      </c>
      <c r="B20" s="68">
        <v>0</v>
      </c>
      <c r="C20" s="80">
        <f>20/3</f>
        <v>6.666666666666667</v>
      </c>
      <c r="D20" s="69" t="s">
        <v>97</v>
      </c>
      <c r="E20" s="68">
        <f t="shared" si="1"/>
        <v>1.4285714285714286</v>
      </c>
      <c r="F20" s="69" t="s">
        <v>69</v>
      </c>
      <c r="G20" s="77" t="s">
        <v>161</v>
      </c>
      <c r="H20" s="69" t="s">
        <v>20</v>
      </c>
    </row>
    <row r="21" spans="1:8" ht="15" customHeight="1" x14ac:dyDescent="0.35">
      <c r="A21" s="68">
        <v>0</v>
      </c>
      <c r="B21" s="68">
        <v>0</v>
      </c>
      <c r="C21" s="80">
        <f>20/3</f>
        <v>6.666666666666667</v>
      </c>
      <c r="D21" s="69" t="s">
        <v>97</v>
      </c>
      <c r="E21" s="68">
        <f t="shared" si="1"/>
        <v>1.4285714285714286</v>
      </c>
      <c r="F21" s="69" t="s">
        <v>69</v>
      </c>
      <c r="G21" s="69" t="s">
        <v>111</v>
      </c>
      <c r="H21" s="69" t="s">
        <v>20</v>
      </c>
    </row>
    <row r="22" spans="1:8" ht="15" customHeight="1" x14ac:dyDescent="0.35">
      <c r="A22" s="68">
        <v>0</v>
      </c>
      <c r="B22" s="68">
        <v>0</v>
      </c>
      <c r="C22" s="80">
        <f>20/3</f>
        <v>6.666666666666667</v>
      </c>
      <c r="D22" s="69" t="s">
        <v>97</v>
      </c>
      <c r="E22" s="68">
        <f t="shared" si="1"/>
        <v>1.4285714285714286</v>
      </c>
      <c r="F22" s="69" t="s">
        <v>69</v>
      </c>
      <c r="G22" s="69" t="s">
        <v>112</v>
      </c>
      <c r="H22" s="69" t="s">
        <v>20</v>
      </c>
    </row>
    <row r="23" spans="1:8" ht="15" customHeight="1" x14ac:dyDescent="0.35">
      <c r="A23" s="68">
        <v>0</v>
      </c>
      <c r="B23" s="80">
        <f t="shared" ref="B23:B29" si="5">30/13</f>
        <v>2.3076923076923075</v>
      </c>
      <c r="C23" s="68">
        <v>0</v>
      </c>
      <c r="D23" s="69" t="s">
        <v>97</v>
      </c>
      <c r="E23" s="68">
        <f t="shared" si="1"/>
        <v>1.4285714285714286</v>
      </c>
      <c r="F23" s="69" t="s">
        <v>69</v>
      </c>
      <c r="G23" s="69" t="s">
        <v>123</v>
      </c>
      <c r="H23" s="69" t="s">
        <v>20</v>
      </c>
    </row>
    <row r="24" spans="1:8" ht="15" customHeight="1" x14ac:dyDescent="0.35">
      <c r="A24" s="68">
        <v>0</v>
      </c>
      <c r="B24" s="80">
        <f t="shared" si="5"/>
        <v>2.3076923076923075</v>
      </c>
      <c r="C24" s="68">
        <v>0</v>
      </c>
      <c r="D24" s="69" t="s">
        <v>97</v>
      </c>
      <c r="E24" s="68">
        <f t="shared" si="1"/>
        <v>1.4285714285714286</v>
      </c>
      <c r="F24" s="69" t="s">
        <v>69</v>
      </c>
      <c r="G24" s="69" t="s">
        <v>124</v>
      </c>
      <c r="H24" s="69" t="s">
        <v>20</v>
      </c>
    </row>
    <row r="25" spans="1:8" ht="15" customHeight="1" x14ac:dyDescent="0.35">
      <c r="A25" s="68">
        <v>0</v>
      </c>
      <c r="B25" s="80">
        <f t="shared" si="5"/>
        <v>2.3076923076923075</v>
      </c>
      <c r="C25" s="68">
        <v>0</v>
      </c>
      <c r="D25" s="69" t="s">
        <v>97</v>
      </c>
      <c r="E25" s="68">
        <f t="shared" si="1"/>
        <v>1.4285714285714286</v>
      </c>
      <c r="F25" s="69" t="s">
        <v>69</v>
      </c>
      <c r="G25" s="69" t="s">
        <v>125</v>
      </c>
      <c r="H25" s="69" t="s">
        <v>20</v>
      </c>
    </row>
    <row r="26" spans="1:8" ht="15" customHeight="1" x14ac:dyDescent="0.35">
      <c r="A26" s="68">
        <v>0</v>
      </c>
      <c r="B26" s="80">
        <f t="shared" si="5"/>
        <v>2.3076923076923075</v>
      </c>
      <c r="C26" s="68">
        <v>0</v>
      </c>
      <c r="D26" s="69" t="s">
        <v>97</v>
      </c>
      <c r="E26" s="68">
        <f t="shared" si="1"/>
        <v>1.4285714285714286</v>
      </c>
      <c r="F26" s="69" t="s">
        <v>69</v>
      </c>
      <c r="G26" s="69" t="s">
        <v>126</v>
      </c>
      <c r="H26" s="69" t="s">
        <v>20</v>
      </c>
    </row>
    <row r="27" spans="1:8" ht="15" customHeight="1" x14ac:dyDescent="0.35">
      <c r="A27" s="68">
        <v>0</v>
      </c>
      <c r="B27" s="80">
        <f t="shared" si="5"/>
        <v>2.3076923076923075</v>
      </c>
      <c r="C27" s="68">
        <v>0</v>
      </c>
      <c r="D27" s="69" t="s">
        <v>97</v>
      </c>
      <c r="E27" s="68">
        <f t="shared" si="1"/>
        <v>1.4285714285714286</v>
      </c>
      <c r="F27" s="69" t="s">
        <v>69</v>
      </c>
      <c r="G27" s="69" t="s">
        <v>127</v>
      </c>
      <c r="H27" s="69" t="s">
        <v>20</v>
      </c>
    </row>
    <row r="28" spans="1:8" ht="15" customHeight="1" x14ac:dyDescent="0.35">
      <c r="A28" s="68">
        <v>0</v>
      </c>
      <c r="B28" s="80">
        <f t="shared" si="5"/>
        <v>2.3076923076923075</v>
      </c>
      <c r="C28" s="68">
        <v>0</v>
      </c>
      <c r="D28" s="69" t="s">
        <v>97</v>
      </c>
      <c r="E28" s="68">
        <f t="shared" si="1"/>
        <v>1.4285714285714286</v>
      </c>
      <c r="F28" s="69" t="s">
        <v>69</v>
      </c>
      <c r="G28" s="69" t="s">
        <v>139</v>
      </c>
      <c r="H28" s="69" t="s">
        <v>20</v>
      </c>
    </row>
    <row r="29" spans="1:8" ht="15" customHeight="1" x14ac:dyDescent="0.35">
      <c r="A29" s="68">
        <v>0</v>
      </c>
      <c r="B29" s="80">
        <f t="shared" si="5"/>
        <v>2.3076923076923075</v>
      </c>
      <c r="C29" s="68">
        <v>0</v>
      </c>
      <c r="D29" s="69" t="s">
        <v>97</v>
      </c>
      <c r="E29" s="68">
        <f t="shared" si="1"/>
        <v>1.4285714285714286</v>
      </c>
      <c r="F29" s="69" t="s">
        <v>69</v>
      </c>
      <c r="G29" s="69" t="s">
        <v>129</v>
      </c>
      <c r="H29" s="69" t="s">
        <v>20</v>
      </c>
    </row>
    <row r="30" spans="1:8" ht="15" customHeight="1" x14ac:dyDescent="0.35">
      <c r="A30" s="80">
        <f t="shared" ref="A30:A33" si="6">30/10</f>
        <v>3</v>
      </c>
      <c r="B30" s="68">
        <v>0</v>
      </c>
      <c r="C30" s="68">
        <v>0</v>
      </c>
      <c r="D30" s="69" t="s">
        <v>97</v>
      </c>
      <c r="E30" s="68">
        <f t="shared" si="1"/>
        <v>1.4285714285714286</v>
      </c>
      <c r="F30" s="69" t="s">
        <v>69</v>
      </c>
      <c r="G30" s="69" t="s">
        <v>113</v>
      </c>
      <c r="H30" s="69" t="s">
        <v>20</v>
      </c>
    </row>
    <row r="31" spans="1:8" ht="15" customHeight="1" x14ac:dyDescent="0.35">
      <c r="A31" s="80">
        <f t="shared" si="6"/>
        <v>3</v>
      </c>
      <c r="B31" s="68">
        <v>0</v>
      </c>
      <c r="C31" s="68">
        <v>0</v>
      </c>
      <c r="D31" s="69" t="s">
        <v>97</v>
      </c>
      <c r="E31" s="68">
        <f t="shared" si="1"/>
        <v>1.4285714285714286</v>
      </c>
      <c r="F31" s="69" t="s">
        <v>69</v>
      </c>
      <c r="G31" s="69" t="s">
        <v>138</v>
      </c>
      <c r="H31" s="69" t="s">
        <v>20</v>
      </c>
    </row>
    <row r="32" spans="1:8" ht="15" customHeight="1" x14ac:dyDescent="0.35">
      <c r="A32" s="80">
        <f t="shared" si="6"/>
        <v>3</v>
      </c>
      <c r="B32" s="68">
        <v>0</v>
      </c>
      <c r="C32" s="68">
        <v>0</v>
      </c>
      <c r="D32" s="69" t="s">
        <v>97</v>
      </c>
      <c r="E32" s="68">
        <f t="shared" si="1"/>
        <v>1.4285714285714286</v>
      </c>
      <c r="F32" s="69" t="s">
        <v>69</v>
      </c>
      <c r="G32" s="69" t="s">
        <v>114</v>
      </c>
      <c r="H32" s="69" t="s">
        <v>20</v>
      </c>
    </row>
    <row r="33" spans="1:8" ht="15" customHeight="1" x14ac:dyDescent="0.35">
      <c r="A33" s="80">
        <f t="shared" si="6"/>
        <v>3</v>
      </c>
      <c r="B33" s="68">
        <v>0</v>
      </c>
      <c r="C33" s="68">
        <v>0</v>
      </c>
      <c r="D33" s="69" t="s">
        <v>97</v>
      </c>
      <c r="E33" s="68">
        <f t="shared" si="1"/>
        <v>1.4285714285714286</v>
      </c>
      <c r="F33" s="69" t="s">
        <v>69</v>
      </c>
      <c r="G33" s="69" t="s">
        <v>115</v>
      </c>
      <c r="H33" s="69" t="s">
        <v>20</v>
      </c>
    </row>
    <row r="34" spans="1:8" ht="15" customHeight="1" x14ac:dyDescent="0.35">
      <c r="A34" s="68">
        <f t="shared" ref="A34:C43" si="7">15/10</f>
        <v>1.5</v>
      </c>
      <c r="B34" s="68">
        <f t="shared" si="7"/>
        <v>1.5</v>
      </c>
      <c r="C34" s="68">
        <f t="shared" si="7"/>
        <v>1.5</v>
      </c>
      <c r="D34" s="69" t="s">
        <v>95</v>
      </c>
      <c r="E34" s="68">
        <f t="shared" ref="E34:E43" si="8">15/10</f>
        <v>1.5</v>
      </c>
      <c r="F34" s="69" t="s">
        <v>69</v>
      </c>
      <c r="G34" s="69" t="s">
        <v>84</v>
      </c>
      <c r="H34" s="69" t="s">
        <v>20</v>
      </c>
    </row>
    <row r="35" spans="1:8" ht="15" customHeight="1" x14ac:dyDescent="0.35">
      <c r="A35" s="68">
        <f t="shared" si="7"/>
        <v>1.5</v>
      </c>
      <c r="B35" s="68">
        <f t="shared" si="7"/>
        <v>1.5</v>
      </c>
      <c r="C35" s="68">
        <f t="shared" si="7"/>
        <v>1.5</v>
      </c>
      <c r="D35" s="69" t="s">
        <v>95</v>
      </c>
      <c r="E35" s="68">
        <f t="shared" si="8"/>
        <v>1.5</v>
      </c>
      <c r="F35" s="69" t="s">
        <v>69</v>
      </c>
      <c r="G35" s="69" t="s">
        <v>100</v>
      </c>
      <c r="H35" s="69" t="s">
        <v>20</v>
      </c>
    </row>
    <row r="36" spans="1:8" ht="15" customHeight="1" x14ac:dyDescent="0.35">
      <c r="A36" s="68">
        <f t="shared" si="7"/>
        <v>1.5</v>
      </c>
      <c r="B36" s="68">
        <f t="shared" si="7"/>
        <v>1.5</v>
      </c>
      <c r="C36" s="68">
        <f t="shared" si="7"/>
        <v>1.5</v>
      </c>
      <c r="D36" s="69" t="s">
        <v>95</v>
      </c>
      <c r="E36" s="68">
        <f t="shared" si="8"/>
        <v>1.5</v>
      </c>
      <c r="F36" s="69" t="s">
        <v>69</v>
      </c>
      <c r="G36" s="69" t="s">
        <v>35</v>
      </c>
      <c r="H36" s="69" t="s">
        <v>20</v>
      </c>
    </row>
    <row r="37" spans="1:8" ht="15" customHeight="1" x14ac:dyDescent="0.35">
      <c r="A37" s="68">
        <f t="shared" si="7"/>
        <v>1.5</v>
      </c>
      <c r="B37" s="68">
        <f t="shared" si="7"/>
        <v>1.5</v>
      </c>
      <c r="C37" s="68">
        <f t="shared" si="7"/>
        <v>1.5</v>
      </c>
      <c r="D37" s="69" t="s">
        <v>95</v>
      </c>
      <c r="E37" s="68">
        <f t="shared" si="8"/>
        <v>1.5</v>
      </c>
      <c r="F37" s="69" t="s">
        <v>69</v>
      </c>
      <c r="G37" s="69" t="s">
        <v>101</v>
      </c>
      <c r="H37" s="69" t="s">
        <v>147</v>
      </c>
    </row>
    <row r="38" spans="1:8" ht="15" customHeight="1" x14ac:dyDescent="0.35">
      <c r="A38" s="68">
        <f t="shared" si="7"/>
        <v>1.5</v>
      </c>
      <c r="B38" s="68">
        <f t="shared" si="7"/>
        <v>1.5</v>
      </c>
      <c r="C38" s="68">
        <f t="shared" si="7"/>
        <v>1.5</v>
      </c>
      <c r="D38" s="69" t="s">
        <v>95</v>
      </c>
      <c r="E38" s="68">
        <f t="shared" si="8"/>
        <v>1.5</v>
      </c>
      <c r="F38" s="69" t="s">
        <v>69</v>
      </c>
      <c r="G38" s="69" t="s">
        <v>85</v>
      </c>
      <c r="H38" s="69" t="s">
        <v>20</v>
      </c>
    </row>
    <row r="39" spans="1:8" ht="15" customHeight="1" x14ac:dyDescent="0.35">
      <c r="A39" s="68">
        <f t="shared" si="7"/>
        <v>1.5</v>
      </c>
      <c r="B39" s="68">
        <f t="shared" si="7"/>
        <v>1.5</v>
      </c>
      <c r="C39" s="68">
        <f t="shared" si="7"/>
        <v>1.5</v>
      </c>
      <c r="D39" s="69" t="s">
        <v>95</v>
      </c>
      <c r="E39" s="68">
        <f t="shared" si="8"/>
        <v>1.5</v>
      </c>
      <c r="F39" s="69" t="s">
        <v>69</v>
      </c>
      <c r="G39" s="69" t="s">
        <v>86</v>
      </c>
      <c r="H39" s="69" t="s">
        <v>20</v>
      </c>
    </row>
    <row r="40" spans="1:8" ht="15" customHeight="1" x14ac:dyDescent="0.35">
      <c r="A40" s="68">
        <f t="shared" si="7"/>
        <v>1.5</v>
      </c>
      <c r="B40" s="68">
        <f t="shared" si="7"/>
        <v>1.5</v>
      </c>
      <c r="C40" s="68">
        <f t="shared" si="7"/>
        <v>1.5</v>
      </c>
      <c r="D40" s="69" t="s">
        <v>95</v>
      </c>
      <c r="E40" s="68">
        <f t="shared" si="8"/>
        <v>1.5</v>
      </c>
      <c r="F40" s="69" t="s">
        <v>69</v>
      </c>
      <c r="G40" s="69" t="s">
        <v>87</v>
      </c>
      <c r="H40" s="69" t="s">
        <v>147</v>
      </c>
    </row>
    <row r="41" spans="1:8" ht="15" customHeight="1" x14ac:dyDescent="0.35">
      <c r="A41" s="68">
        <f t="shared" si="7"/>
        <v>1.5</v>
      </c>
      <c r="B41" s="68">
        <f t="shared" si="7"/>
        <v>1.5</v>
      </c>
      <c r="C41" s="68">
        <f t="shared" si="7"/>
        <v>1.5</v>
      </c>
      <c r="D41" s="69" t="s">
        <v>95</v>
      </c>
      <c r="E41" s="68">
        <f t="shared" si="8"/>
        <v>1.5</v>
      </c>
      <c r="F41" s="69" t="s">
        <v>69</v>
      </c>
      <c r="G41" s="69" t="s">
        <v>88</v>
      </c>
      <c r="H41" s="69" t="s">
        <v>147</v>
      </c>
    </row>
    <row r="42" spans="1:8" ht="15" customHeight="1" x14ac:dyDescent="0.35">
      <c r="A42" s="68">
        <f t="shared" si="7"/>
        <v>1.5</v>
      </c>
      <c r="B42" s="68">
        <f t="shared" si="7"/>
        <v>1.5</v>
      </c>
      <c r="C42" s="68">
        <f t="shared" si="7"/>
        <v>1.5</v>
      </c>
      <c r="D42" s="69" t="s">
        <v>95</v>
      </c>
      <c r="E42" s="68">
        <f t="shared" si="8"/>
        <v>1.5</v>
      </c>
      <c r="F42" s="69" t="s">
        <v>69</v>
      </c>
      <c r="G42" s="69" t="s">
        <v>89</v>
      </c>
      <c r="H42" s="69" t="s">
        <v>147</v>
      </c>
    </row>
    <row r="43" spans="1:8" ht="15" customHeight="1" x14ac:dyDescent="0.35">
      <c r="A43" s="68">
        <f t="shared" si="7"/>
        <v>1.5</v>
      </c>
      <c r="B43" s="68">
        <f t="shared" si="7"/>
        <v>1.5</v>
      </c>
      <c r="C43" s="68">
        <f t="shared" si="7"/>
        <v>1.5</v>
      </c>
      <c r="D43" s="69" t="s">
        <v>95</v>
      </c>
      <c r="E43" s="68">
        <f t="shared" si="8"/>
        <v>1.5</v>
      </c>
      <c r="F43" s="69" t="s">
        <v>69</v>
      </c>
      <c r="G43" s="69" t="s">
        <v>90</v>
      </c>
      <c r="H43" s="69" t="s">
        <v>147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FA310A980BBAC44A75191F65BAE12E7" ma:contentTypeVersion="17" ma:contentTypeDescription="Crear nuevo documento." ma:contentTypeScope="" ma:versionID="1b66a577699fb63061267e374f5870ae">
  <xsd:schema xmlns:xsd="http://www.w3.org/2001/XMLSchema" xmlns:xs="http://www.w3.org/2001/XMLSchema" xmlns:p="http://schemas.microsoft.com/office/2006/metadata/properties" xmlns:ns3="e523bf45-09fb-4f9b-aa49-e403c0417b10" xmlns:ns4="726c8eaf-14c1-4e89-a6e9-59524033e4a7" targetNamespace="http://schemas.microsoft.com/office/2006/metadata/properties" ma:root="true" ma:fieldsID="1778c55661338f28ad7931875976b49f" ns3:_="" ns4:_="">
    <xsd:import namespace="e523bf45-09fb-4f9b-aa49-e403c0417b10"/>
    <xsd:import namespace="726c8eaf-14c1-4e89-a6e9-59524033e4a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23bf45-09fb-4f9b-aa49-e403c0417b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6c8eaf-14c1-4e89-a6e9-59524033e4a7"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523bf45-09fb-4f9b-aa49-e403c0417b10" xsi:nil="true"/>
  </documentManagement>
</p:properties>
</file>

<file path=customXml/item4.xml>��
</file>

<file path=customXml/itemProps1.xml><?xml version="1.0" encoding="utf-8"?>
<ds:datastoreItem xmlns:ds="http://schemas.openxmlformats.org/officeDocument/2006/customXml" ds:itemID="{462ED4BD-0CE0-4FDF-8FF3-F2F79D1AF8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23bf45-09fb-4f9b-aa49-e403c0417b10"/>
    <ds:schemaRef ds:uri="726c8eaf-14c1-4e89-a6e9-59524033e4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7FF7801-3054-4CCF-A9EE-106F9F9A2BBD}">
  <ds:schemaRefs>
    <ds:schemaRef ds:uri="http://schemas.microsoft.com/sharepoint/v3/contenttype/forms"/>
  </ds:schemaRefs>
</ds:datastoreItem>
</file>

<file path=customXml/itemProps3.xml><?xml version="1.0" encoding="utf-8"?>
<ds:datastoreItem xmlns:ds="http://schemas.openxmlformats.org/officeDocument/2006/customXml" ds:itemID="{9021CB17-80F6-4B1D-9C82-0C36B1D4B169}">
  <ds:schemaRefs>
    <ds:schemaRef ds:uri="http://schemas.microsoft.com/office/2006/metadata/properties"/>
    <ds:schemaRef ds:uri="http://schemas.microsoft.com/office/infopath/2007/PartnerControls"/>
    <ds:schemaRef ds:uri="e523bf45-09fb-4f9b-aa49-e403c0417b10"/>
  </ds:schemaRefs>
</ds:datastoreItem>
</file>

<file path=customXml/itemProps4.xml><?xml version="1.0" encoding="utf-8"?>
<ds:datastoreItem xmlns:ds="http://schemas.openxmlformats.org/officeDocument/2006/customXml" ds:itemID="{3A97DFE0-2812-4F8D-BEA5-EADA0185B0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INFORME</vt:lpstr>
      <vt:lpstr>Videos</vt:lpstr>
      <vt:lpstr>PUNTAJES</vt:lpstr>
      <vt:lpstr>Panel</vt:lpstr>
      <vt:lpstr>DATA INFORME</vt:lpstr>
      <vt:lpstr>Export</vt:lpstr>
      <vt:lpstr>ENCUESTA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Angie Lorena Gomez Romero</dc:creator>
  <cp:keywords/>
  <dc:description/>
  <cp:lastModifiedBy>Camila Buitrago Buitrago</cp:lastModifiedBy>
  <cp:revision/>
  <dcterms:created xsi:type="dcterms:W3CDTF">2024-08-27T21:29:06Z</dcterms:created>
  <dcterms:modified xsi:type="dcterms:W3CDTF">2026-06-03T14:03:24Z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0x0101009FA310A980BBAC44A75191F65BAE12E7</vt:lpwstr>
  </property>
  <property fmtid="{D5CDD505-2E9C-101B-9397-08002B2CF9AE}" pid="3" name="MSIP_Label_b64e5b13-2d98-4ce3-adad-008bcee42cb2_Enabled">
    <vt:lpwstr>true</vt:lpwstr>
  </property>
  <property fmtid="{D5CDD505-2E9C-101B-9397-08002B2CF9AE}" pid="4" name="MSIP_Label_b64e5b13-2d98-4ce3-adad-008bcee42cb2_SetDate">
    <vt:lpwstr>2025-02-18T13:41:51Z</vt:lpwstr>
  </property>
  <property fmtid="{D5CDD505-2E9C-101B-9397-08002B2CF9AE}" pid="5" name="MSIP_Label_b64e5b13-2d98-4ce3-adad-008bcee42cb2_Method">
    <vt:lpwstr>Standard</vt:lpwstr>
  </property>
  <property fmtid="{D5CDD505-2E9C-101B-9397-08002B2CF9AE}" pid="6" name="MSIP_Label_b64e5b13-2d98-4ce3-adad-008bcee42cb2_Name">
    <vt:lpwstr>Información Confidencial</vt:lpwstr>
  </property>
  <property fmtid="{D5CDD505-2E9C-101B-9397-08002B2CF9AE}" pid="7" name="MSIP_Label_b64e5b13-2d98-4ce3-adad-008bcee42cb2_SiteId">
    <vt:lpwstr>d2bc208e-4fff-4078-b5ac-f69a6a266ff3</vt:lpwstr>
  </property>
  <property fmtid="{D5CDD505-2E9C-101B-9397-08002B2CF9AE}" pid="8" name="MSIP_Label_b64e5b13-2d98-4ce3-adad-008bcee42cb2_ActionId">
    <vt:lpwstr>01ccb257-027b-4f45-9af8-536a979f0bdf</vt:lpwstr>
  </property>
  <property fmtid="{D5CDD505-2E9C-101B-9397-08002B2CF9AE}" pid="9" name="MSIP_Label_b64e5b13-2d98-4ce3-adad-008bcee42cb2_ContentBits">
    <vt:lpwstr>0</vt:lpwstr>
  </property>
  <property fmtid="{D5CDD505-2E9C-101B-9397-08002B2CF9AE}" pid="10" name="MSIP_Label_b64e5b13-2d98-4ce3-adad-008bcee42cb2_Tag">
    <vt:lpwstr>10, 3, 0, 2</vt:lpwstr>
  </property>
</Properties>
</file>