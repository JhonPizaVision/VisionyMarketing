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stos-my.sharepoint.com/personal/camilab_buitrago_visionymarketing_com_co/Documents/Desktop/Diego Guerrero/NESTLÉ/PURINA/2026/ABRIL/Informe/"/>
    </mc:Choice>
  </mc:AlternateContent>
  <xr:revisionPtr revIDLastSave="300" documentId="8_{6F96B3A0-569D-4EEC-A58D-40E57DC4AFF5}" xr6:coauthVersionLast="47" xr6:coauthVersionMax="47" xr10:uidLastSave="{76118FE4-20D0-4BAA-99C1-93649637FC55}"/>
  <bookViews>
    <workbookView xWindow="-110" yWindow="-110" windowWidth="19420" windowHeight="1150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ENCUESTA!$A$1:$H$41</definedName>
    <definedName name="_xlnm._FilterDatabase" localSheetId="3" hidden="1">Panel!#REF!</definedName>
    <definedName name="_xlnm._FilterDatabase" localSheetId="1" hidden="1">Videos!$B$1:$D$4</definedName>
    <definedName name="DatosExternos_1" localSheetId="4" hidden="1">'DATA INFORME'!$A$1:$AO$5</definedName>
    <definedName name="DatosExternos_2" localSheetId="2" hidden="1">PUNTAJES!$A$1:$K$76</definedName>
    <definedName name="SegmentaciónDeDatos_CIUDAD">#N/A</definedName>
    <definedName name="SegmentaciónDeDatos_NOMBRE_COMERCIAL">#N/A</definedName>
  </definedNames>
  <calcPr calcId="191028"/>
  <pivotCaches>
    <pivotCache cacheId="269" r:id="rId8"/>
    <pivotCache cacheId="27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5" l="1"/>
  <c r="L53" i="5"/>
  <c r="L54" i="5"/>
  <c r="L55" i="5"/>
  <c r="L2" i="5"/>
  <c r="N2" i="5" s="1"/>
  <c r="L3" i="5"/>
  <c r="N3" i="5" s="1"/>
  <c r="L4" i="5"/>
  <c r="N4" i="5" s="1"/>
  <c r="L5" i="5"/>
  <c r="N5" i="5" s="1"/>
  <c r="L6" i="5"/>
  <c r="N6" i="5" s="1"/>
  <c r="L7" i="5"/>
  <c r="M7" i="5" s="1"/>
  <c r="L8" i="5"/>
  <c r="N8" i="5" s="1"/>
  <c r="L9" i="5"/>
  <c r="M9" i="5" s="1"/>
  <c r="L10" i="5"/>
  <c r="M10" i="5" s="1"/>
  <c r="L11" i="5"/>
  <c r="M11" i="5" s="1"/>
  <c r="L12" i="5"/>
  <c r="L13" i="5"/>
  <c r="L56" i="5"/>
  <c r="L14" i="5"/>
  <c r="L57" i="5"/>
  <c r="N57" i="5" s="1"/>
  <c r="L58" i="5"/>
  <c r="N58" i="5" s="1"/>
  <c r="L59" i="5"/>
  <c r="N59" i="5" s="1"/>
  <c r="L60" i="5"/>
  <c r="N60" i="5" s="1"/>
  <c r="P60" i="5" s="1"/>
  <c r="L61" i="5"/>
  <c r="N61" i="5" s="1"/>
  <c r="L62" i="5"/>
  <c r="M62" i="5" s="1"/>
  <c r="L63" i="5"/>
  <c r="N63" i="5" s="1"/>
  <c r="L64" i="5"/>
  <c r="M64" i="5" s="1"/>
  <c r="L65" i="5"/>
  <c r="M65" i="5" s="1"/>
  <c r="L66" i="5"/>
  <c r="M66" i="5" s="1"/>
  <c r="L67" i="5"/>
  <c r="L68" i="5"/>
  <c r="L69" i="5"/>
  <c r="L70" i="5"/>
  <c r="L71" i="5"/>
  <c r="N71" i="5" s="1"/>
  <c r="L72" i="5"/>
  <c r="N72" i="5" s="1"/>
  <c r="L73" i="5"/>
  <c r="N73" i="5" s="1"/>
  <c r="L74" i="5"/>
  <c r="N74" i="5" s="1"/>
  <c r="L75" i="5"/>
  <c r="N75" i="5" s="1"/>
  <c r="L15" i="5"/>
  <c r="M15" i="5" s="1"/>
  <c r="L16" i="5"/>
  <c r="M16" i="5" s="1"/>
  <c r="L26" i="5"/>
  <c r="M26" i="5" s="1"/>
  <c r="L27" i="5"/>
  <c r="M27" i="5" s="1"/>
  <c r="L28" i="5"/>
  <c r="M28" i="5" s="1"/>
  <c r="L29" i="5"/>
  <c r="L30" i="5"/>
  <c r="L31" i="5"/>
  <c r="L32" i="5"/>
  <c r="L33" i="5"/>
  <c r="N33" i="5" s="1"/>
  <c r="L34" i="5"/>
  <c r="N34" i="5" s="1"/>
  <c r="L35" i="5"/>
  <c r="N35" i="5" s="1"/>
  <c r="L36" i="5"/>
  <c r="N36" i="5" s="1"/>
  <c r="P36" i="5" s="1"/>
  <c r="L37" i="5"/>
  <c r="N37" i="5" s="1"/>
  <c r="L38" i="5"/>
  <c r="M38" i="5" s="1"/>
  <c r="L51" i="5"/>
  <c r="N51" i="5" s="1"/>
  <c r="L52" i="5"/>
  <c r="M52" i="5" s="1"/>
  <c r="L39" i="5"/>
  <c r="M39" i="5" s="1"/>
  <c r="L17" i="5"/>
  <c r="M17" i="5" s="1"/>
  <c r="L40" i="5"/>
  <c r="L41" i="5"/>
  <c r="L18" i="5"/>
  <c r="L19" i="5"/>
  <c r="L20" i="5"/>
  <c r="N20" i="5" s="1"/>
  <c r="L21" i="5"/>
  <c r="N21" i="5" s="1"/>
  <c r="L22" i="5"/>
  <c r="N22" i="5" s="1"/>
  <c r="L23" i="5"/>
  <c r="N23" i="5" s="1"/>
  <c r="P23" i="5" s="1"/>
  <c r="L24" i="5"/>
  <c r="N24" i="5" s="1"/>
  <c r="L25" i="5"/>
  <c r="M25" i="5" s="1"/>
  <c r="L42" i="5"/>
  <c r="N42" i="5" s="1"/>
  <c r="L43" i="5"/>
  <c r="M43" i="5" s="1"/>
  <c r="L44" i="5"/>
  <c r="M44" i="5" s="1"/>
  <c r="L45" i="5"/>
  <c r="M45" i="5" s="1"/>
  <c r="L46" i="5"/>
  <c r="L47" i="5"/>
  <c r="L48" i="5"/>
  <c r="L49" i="5"/>
  <c r="L76" i="5"/>
  <c r="N76" i="5" s="1"/>
  <c r="M50" i="5"/>
  <c r="M53" i="5"/>
  <c r="M54" i="5"/>
  <c r="M55" i="5"/>
  <c r="M2" i="5"/>
  <c r="M3" i="5"/>
  <c r="M4" i="5"/>
  <c r="M5" i="5"/>
  <c r="M12" i="5"/>
  <c r="M13" i="5"/>
  <c r="M56" i="5"/>
  <c r="M14" i="5"/>
  <c r="M58" i="5"/>
  <c r="M59" i="5"/>
  <c r="M67" i="5"/>
  <c r="M68" i="5"/>
  <c r="M69" i="5"/>
  <c r="M70" i="5"/>
  <c r="M71" i="5"/>
  <c r="M72" i="5"/>
  <c r="M73" i="5"/>
  <c r="M29" i="5"/>
  <c r="M30" i="5"/>
  <c r="M31" i="5"/>
  <c r="M32" i="5"/>
  <c r="M33" i="5"/>
  <c r="M34" i="5"/>
  <c r="M35" i="5"/>
  <c r="M36" i="5"/>
  <c r="M40" i="5"/>
  <c r="M41" i="5"/>
  <c r="M18" i="5"/>
  <c r="M19" i="5"/>
  <c r="M20" i="5"/>
  <c r="M46" i="5"/>
  <c r="M47" i="5"/>
  <c r="M48" i="5"/>
  <c r="M49" i="5"/>
  <c r="M76" i="5"/>
  <c r="N50" i="5"/>
  <c r="N53" i="5"/>
  <c r="N54" i="5"/>
  <c r="N55" i="5"/>
  <c r="N12" i="5"/>
  <c r="P12" i="5" s="1"/>
  <c r="N13" i="5"/>
  <c r="N56" i="5"/>
  <c r="N14" i="5"/>
  <c r="N67" i="5"/>
  <c r="N68" i="5"/>
  <c r="N69" i="5"/>
  <c r="N70" i="5"/>
  <c r="N29" i="5"/>
  <c r="N30" i="5"/>
  <c r="N31" i="5"/>
  <c r="N32" i="5"/>
  <c r="N17" i="5"/>
  <c r="P17" i="5" s="1"/>
  <c r="N40" i="5"/>
  <c r="N41" i="5"/>
  <c r="N18" i="5"/>
  <c r="N19" i="5"/>
  <c r="N46" i="5"/>
  <c r="N47" i="5"/>
  <c r="N48" i="5"/>
  <c r="N49" i="5"/>
  <c r="O50" i="5"/>
  <c r="P50" i="5" s="1"/>
  <c r="O53" i="5"/>
  <c r="O54" i="5"/>
  <c r="O55" i="5"/>
  <c r="P55" i="5" s="1"/>
  <c r="O2" i="5"/>
  <c r="P2" i="5" s="1"/>
  <c r="O3" i="5"/>
  <c r="O4" i="5"/>
  <c r="O5" i="5"/>
  <c r="O6" i="5"/>
  <c r="O7" i="5"/>
  <c r="O8" i="5"/>
  <c r="O9" i="5"/>
  <c r="P9" i="5" s="1"/>
  <c r="O10" i="5"/>
  <c r="O11" i="5"/>
  <c r="O12" i="5"/>
  <c r="O13" i="5"/>
  <c r="O56" i="5"/>
  <c r="O14" i="5"/>
  <c r="P14" i="5" s="1"/>
  <c r="O57" i="5"/>
  <c r="O58" i="5"/>
  <c r="O59" i="5"/>
  <c r="O60" i="5"/>
  <c r="O61" i="5"/>
  <c r="O62" i="5"/>
  <c r="O63" i="5"/>
  <c r="O64" i="5"/>
  <c r="P64" i="5" s="1"/>
  <c r="O65" i="5"/>
  <c r="O66" i="5"/>
  <c r="O67" i="5"/>
  <c r="O68" i="5"/>
  <c r="O69" i="5"/>
  <c r="P69" i="5" s="1"/>
  <c r="O70" i="5"/>
  <c r="P70" i="5" s="1"/>
  <c r="O71" i="5"/>
  <c r="P71" i="5" s="1"/>
  <c r="O72" i="5"/>
  <c r="O73" i="5"/>
  <c r="O74" i="5"/>
  <c r="O75" i="5"/>
  <c r="O15" i="5"/>
  <c r="O16" i="5"/>
  <c r="O26" i="5"/>
  <c r="O27" i="5"/>
  <c r="O28" i="5"/>
  <c r="O29" i="5"/>
  <c r="O30" i="5"/>
  <c r="O31" i="5"/>
  <c r="O32" i="5"/>
  <c r="P32" i="5" s="1"/>
  <c r="O33" i="5"/>
  <c r="O34" i="5"/>
  <c r="O35" i="5"/>
  <c r="O36" i="5"/>
  <c r="O37" i="5"/>
  <c r="O38" i="5"/>
  <c r="P38" i="5" s="1"/>
  <c r="O51" i="5"/>
  <c r="P51" i="5" s="1"/>
  <c r="O52" i="5"/>
  <c r="P52" i="5" s="1"/>
  <c r="O39" i="5"/>
  <c r="O17" i="5"/>
  <c r="O40" i="5"/>
  <c r="O41" i="5"/>
  <c r="O18" i="5"/>
  <c r="O19" i="5"/>
  <c r="P19" i="5" s="1"/>
  <c r="O20" i="5"/>
  <c r="O21" i="5"/>
  <c r="O22" i="5"/>
  <c r="O23" i="5"/>
  <c r="O24" i="5"/>
  <c r="O25" i="5"/>
  <c r="P25" i="5" s="1"/>
  <c r="O42" i="5"/>
  <c r="P42" i="5" s="1"/>
  <c r="O43" i="5"/>
  <c r="O44" i="5"/>
  <c r="O45" i="5"/>
  <c r="O46" i="5"/>
  <c r="O47" i="5"/>
  <c r="O48" i="5"/>
  <c r="O49" i="5"/>
  <c r="O76" i="5"/>
  <c r="P76" i="5" s="1"/>
  <c r="P5" i="5"/>
  <c r="P72" i="5"/>
  <c r="P74" i="5"/>
  <c r="P41" i="5"/>
  <c r="P49" i="5"/>
  <c r="Q50" i="5"/>
  <c r="Q53" i="5"/>
  <c r="Q54" i="5"/>
  <c r="Q55" i="5"/>
  <c r="Q2" i="5"/>
  <c r="Q3" i="5"/>
  <c r="Q4" i="5"/>
  <c r="Q5" i="5"/>
  <c r="Q6" i="5"/>
  <c r="Q7" i="5"/>
  <c r="Q8" i="5"/>
  <c r="Q9" i="5"/>
  <c r="Q10" i="5"/>
  <c r="Q11" i="5"/>
  <c r="Q12" i="5"/>
  <c r="Q13" i="5"/>
  <c r="Q56" i="5"/>
  <c r="Q14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15" i="5"/>
  <c r="Q16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51" i="5"/>
  <c r="Q52" i="5"/>
  <c r="Q39" i="5"/>
  <c r="Q17" i="5"/>
  <c r="Q40" i="5"/>
  <c r="Q41" i="5"/>
  <c r="Q18" i="5"/>
  <c r="Q19" i="5"/>
  <c r="Q20" i="5"/>
  <c r="Q21" i="5"/>
  <c r="Q22" i="5"/>
  <c r="Q23" i="5"/>
  <c r="Q24" i="5"/>
  <c r="Q25" i="5"/>
  <c r="Q42" i="5"/>
  <c r="Q43" i="5"/>
  <c r="Q44" i="5"/>
  <c r="Q45" i="5"/>
  <c r="Q46" i="5"/>
  <c r="Q47" i="5"/>
  <c r="Q48" i="5"/>
  <c r="Q49" i="5"/>
  <c r="Q76" i="5"/>
  <c r="P54" i="5" l="1"/>
  <c r="P29" i="5"/>
  <c r="P53" i="5"/>
  <c r="P30" i="5"/>
  <c r="P31" i="5"/>
  <c r="N28" i="5"/>
  <c r="P28" i="5" s="1"/>
  <c r="P47" i="5"/>
  <c r="M60" i="5"/>
  <c r="P22" i="5"/>
  <c r="P35" i="5"/>
  <c r="P73" i="5"/>
  <c r="P59" i="5"/>
  <c r="P4" i="5"/>
  <c r="N11" i="5"/>
  <c r="P11" i="5" s="1"/>
  <c r="P46" i="5"/>
  <c r="P68" i="5"/>
  <c r="P21" i="5"/>
  <c r="P34" i="5"/>
  <c r="P58" i="5"/>
  <c r="P3" i="5"/>
  <c r="N45" i="5"/>
  <c r="P45" i="5" s="1"/>
  <c r="P67" i="5"/>
  <c r="P20" i="5"/>
  <c r="P33" i="5"/>
  <c r="P57" i="5"/>
  <c r="N66" i="5"/>
  <c r="P66" i="5" s="1"/>
  <c r="M57" i="5"/>
  <c r="P18" i="5"/>
  <c r="M23" i="5"/>
  <c r="P48" i="5"/>
  <c r="P56" i="5"/>
  <c r="M22" i="5"/>
  <c r="P40" i="5"/>
  <c r="P13" i="5"/>
  <c r="M21" i="5"/>
  <c r="M74" i="5"/>
  <c r="P63" i="5"/>
  <c r="P61" i="5"/>
  <c r="P43" i="5"/>
  <c r="P26" i="5"/>
  <c r="P16" i="5"/>
  <c r="P8" i="5"/>
  <c r="P24" i="5"/>
  <c r="P37" i="5"/>
  <c r="P75" i="5"/>
  <c r="P6" i="5"/>
  <c r="M24" i="5"/>
  <c r="M37" i="5"/>
  <c r="M75" i="5"/>
  <c r="M61" i="5"/>
  <c r="M6" i="5"/>
  <c r="N44" i="5"/>
  <c r="P44" i="5" s="1"/>
  <c r="N39" i="5"/>
  <c r="P39" i="5" s="1"/>
  <c r="N27" i="5"/>
  <c r="P27" i="5" s="1"/>
  <c r="N65" i="5"/>
  <c r="P65" i="5" s="1"/>
  <c r="N10" i="5"/>
  <c r="P10" i="5" s="1"/>
  <c r="N43" i="5"/>
  <c r="N26" i="5"/>
  <c r="N9" i="5"/>
  <c r="N62" i="5"/>
  <c r="P62" i="5" s="1"/>
  <c r="N52" i="5"/>
  <c r="N64" i="5"/>
  <c r="N38" i="5"/>
  <c r="N16" i="5"/>
  <c r="N25" i="5"/>
  <c r="N7" i="5"/>
  <c r="P7" i="5" s="1"/>
  <c r="M42" i="5"/>
  <c r="M51" i="5"/>
  <c r="M63" i="5"/>
  <c r="M8" i="5"/>
  <c r="N15" i="5"/>
  <c r="P15" i="5" s="1"/>
  <c r="A5" i="15" l="1"/>
  <c r="A6" i="1"/>
  <c r="G6" i="1"/>
  <c r="H6" i="1"/>
  <c r="I6" i="1"/>
  <c r="C20" i="8" l="1"/>
  <c r="C30" i="8"/>
  <c r="B32" i="8"/>
  <c r="A4" i="15" l="1"/>
  <c r="A3" i="15"/>
  <c r="A2" i="15"/>
  <c r="E39" i="8"/>
  <c r="E38" i="8"/>
  <c r="E37" i="8"/>
  <c r="E36" i="8"/>
  <c r="E35" i="8"/>
  <c r="E34" i="8"/>
  <c r="E33" i="8"/>
  <c r="E32" i="8"/>
  <c r="E31" i="8"/>
  <c r="E30" i="8"/>
  <c r="E29" i="8"/>
  <c r="E27" i="8"/>
  <c r="E26" i="8"/>
  <c r="A39" i="8"/>
  <c r="A38" i="8"/>
  <c r="A37" i="8"/>
  <c r="A36" i="8"/>
  <c r="B31" i="8"/>
  <c r="C29" i="8"/>
  <c r="C27" i="8"/>
  <c r="C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E25" i="8"/>
  <c r="E24" i="8"/>
  <c r="E23" i="8"/>
  <c r="E22" i="8"/>
  <c r="E21" i="8"/>
  <c r="E20" i="8"/>
  <c r="E19" i="8"/>
  <c r="E18" i="8"/>
  <c r="E17" i="8"/>
  <c r="E16" i="8"/>
  <c r="E15" i="8"/>
  <c r="A2" i="1"/>
  <c r="G2" i="1" l="1"/>
  <c r="H2" i="1"/>
  <c r="I2" i="1"/>
  <c r="B35" i="8"/>
  <c r="B34" i="8"/>
  <c r="B33" i="8"/>
  <c r="E12" i="1" l="1"/>
  <c r="C14" i="8" l="1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A3" i="1" l="1"/>
  <c r="A5" i="1"/>
  <c r="A4" i="1"/>
  <c r="E14" i="8"/>
  <c r="E13" i="8"/>
  <c r="E12" i="8"/>
  <c r="E11" i="8"/>
  <c r="E10" i="8"/>
  <c r="E9" i="8"/>
  <c r="E8" i="8"/>
  <c r="E7" i="8"/>
  <c r="E6" i="8"/>
  <c r="E5" i="8"/>
  <c r="H5" i="1" l="1"/>
  <c r="H4" i="1"/>
  <c r="H3" i="1"/>
  <c r="G3" i="1"/>
  <c r="I5" i="1"/>
  <c r="I4" i="1"/>
  <c r="G4" i="1"/>
  <c r="I3" i="1" l="1"/>
  <c r="G5" i="1"/>
  <c r="K7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<sst xmlns="http://schemas.openxmlformats.org/spreadsheetml/2006/main" count="3034" uniqueCount="188">
  <si>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</si>
  <si>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</si>
  <si>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</si>
  <si>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</si>
  <si>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</si>
  <si>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</si>
  <si>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</si>
  <si>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</si>
  <si>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</si>
  <si>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</si>
  <si>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</si>
  <si>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</si>
  <si>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</si>
  <si>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</si>
  <si>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</si>
  <si>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</si>
  <si>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</si>
  <si>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</si>
  <si>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</si>
  <si>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</si>
  <si>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</si>
  <si>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</si>
  <si>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</si>
  <si>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</si>
  <si>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</si>
  <si>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</si>
  <si>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</si>
  <si>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</si>
  <si>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</si>
  <si>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</si>
  <si>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</si>
  <si>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</si>
  <si>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</si>
  <si>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</si>
  <si>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</si>
  <si>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</si>
  <si>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</si>
  <si>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</si>
  <si>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</si>
  <si>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</si>
  <si>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</si>
  <si>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</si>
  <si>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</si>
  <si>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</si>
  <si>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</si>
  <si>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</si>
  <si>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</si>
  <si>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</si>
  <si>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</si>
  <si>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</si>
  <si>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</si>
  <si>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</si>
  <si>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</si>
  <si>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</si>
  <si>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</si>
  <si>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</si>
  <si>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</si>
  <si>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</si>
  <si>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</si>
  <si>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</si>
  <si>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</si>
  <si>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</si>
  <si>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</si>
  <si>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</si>
  <si>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</si>
  <si>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</si>
  <si>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</si>
  <si>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</si>
  <si>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</si>
  <si>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</si>
  <si>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</si>
  <si>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</si>
  <si>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</si>
  <si>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</si>
  <si>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</si>
  <si>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</si>
  <si>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</si>
  <si>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</si>
  <si>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</si>
  <si>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</si>
  <si>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</si>
  <si>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</si>
  <si>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</si>
  <si>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</si>
  <si>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</si>
  <si>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</si>
  <si>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</si>
  <si>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</si>
  <si>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</si>
  <si>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</si>
  <si>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</si>
  <si>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</si>
  <si>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</si>
  <si>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</si>
  <si>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</si>
  <si>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</si>
  <si>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</si>
  <si>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</si>
  <si>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</si>
  <si>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</si>
  <si>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</si>
  <si>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</si>
  <si>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</si>
  <si>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</si>
  <si>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</si>
  <si>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</si>
  <si>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</si>
  <si>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</si>
  <si>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</si>
  <si>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</si>
  <si>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</si>
  <si>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>PACIFICO</t>
  </si>
  <si>
    <t>CALI</t>
  </si>
  <si>
    <t>(Todas)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</si>
  <si>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</si>
  <si>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</si>
  <si>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</si>
  <si>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</si>
  <si>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JUMBO</t>
  </si>
  <si>
    <t>JUMBO TITAN</t>
  </si>
  <si>
    <t>CONOCE EL % DE PARTICIPACIÓN QUE TIENE EN EL PUNTO DE VENTA E INFORMA CUAL ES ESE % (REALIZAR EL EJERCICIO DE CONTAR LAS CARAS PARA VALIDAR SI ES CORRECTO)</t>
  </si>
  <si>
    <t>MANEJA MARCA DE PERROS, GATOS O AMBOS, Y HAY PRESENCIA DE LA COMPETENCIA? (EN EL VIDEO DEBE QUEDAR LA VISUAL DE LAS MARCAS DE LA COMPETENCIA PRESENTES EN EL PDV)</t>
  </si>
  <si>
    <t>CE - SE ENCUENTRA LA REFERENCIA PRO PLAN WET DE SALMON Y/URINARIO</t>
  </si>
  <si>
    <t>CT - CONOCE EL PRECIO DE LA PAQUETERIA (DOG CHOW 350G / 475G; CAT CHOW 200G? (Si el mercaderista informa que el PDV no lo permite implementar quedaria como N/A)</t>
  </si>
  <si>
    <t>EL LINEAL SE ENCUENTRA LIMPIO Y ORGANIZADO (EVIDENCIA POLVO O TIERRA EN EL PRODUCTO Y/O LINEAL)</t>
  </si>
  <si>
    <t>LOS PRODUCTOS TIENEN EL PRECIO Y ESTAN ACORDE O CORRESPONDIENTE A CADA REFERENCIA (REVISAR LA FECHA DE IMPRESIÓN DEL PRECIO)</t>
  </si>
  <si>
    <t>CM - TIENE ACTIVIDADES DE PLAN PEGA EN EL PDV?</t>
  </si>
  <si>
    <t>CM - DESCRIBA CUALES ACTIVIDADES DE PLAN PEGA TIENE EL PDV</t>
  </si>
  <si>
    <t xml:space="preserve">User 1 </t>
  </si>
  <si>
    <t>NestleP.1</t>
  </si>
  <si>
    <t>MERCA Z</t>
  </si>
  <si>
    <t>424866</t>
  </si>
  <si>
    <t>424866-GRANERO PAUL</t>
  </si>
  <si>
    <t>SUPERMERCADOS INDEPENDIENTES</t>
  </si>
  <si>
    <t>ADRIANA PAREDES</t>
  </si>
  <si>
    <t>PREMISEUNP 51</t>
  </si>
  <si>
    <t>JUAN CAMILO FIGUEROA</t>
  </si>
  <si>
    <t>JUAN.FIGUEROA</t>
  </si>
  <si>
    <t>CT - CONOCE LAS INNOVACIONES  ALTA PROTEINA? ESTÁ DISPONIBLE EN PDV?</t>
  </si>
  <si>
    <t>CT - CONOCE LAS INNOVACIONES - RISTRAS WET? ESTA DISPONIBLE EN PDV?</t>
  </si>
  <si>
    <t>CE - SE ENCUENTRAN LAS INNOVACIONES (RENOVACIÓN DE POCUHES PRO PLAN, "FANCY 15 MARZO" FELIX TRIPLE DELICIUS Y MEGAMIX, DOG CHOW POUCHES DE ALTA PROTEINA Y MULTIPROTEINA)</t>
  </si>
  <si>
    <t>AUDITORIA ABRIL 2026</t>
  </si>
  <si>
    <t>16/04/2026 00:00:00</t>
  </si>
  <si>
    <t>16/04/2026 22:23:59</t>
  </si>
  <si>
    <t>16/04/2026 22:29:14</t>
  </si>
  <si>
    <t>30894026</t>
  </si>
  <si>
    <t>Se informa en el grupo de purina nestle que no estaba la activadora en el pdv granero paul y informan que la persona es nueva y esta en plancanguro</t>
  </si>
  <si>
    <t>421577-DEGANADO ALAMEDA</t>
  </si>
  <si>
    <t>CONOCE LOS INFALTABLES DE PRO PLAN (GATOS Y PERROS) ALIMENTO SECO</t>
  </si>
  <si>
    <t>EL PDV CUENTA CON EXHIBICIONES ADICIONALES? (REVISAR Y QUE SE VEA EN EL VIDEO)</t>
  </si>
  <si>
    <t>LOS PRECIOS ESTAN EN LINEA CON LOS SUGERIDOS DEL CANAL? (REVISAR Y QUE SE VEA EN EL VIDEO)</t>
  </si>
  <si>
    <t>CE - EL PDV MANEJA SNACKS, ESTAMOS PRESENTES? (REVISAR Y QUE SE VEA EN EL VIDEO)</t>
  </si>
  <si>
    <t>CONOCE EL % DE PARTICIPACIÓN QUE TIENEN LAS MARCAS PURINA DENTRO DEL UNIVERSO?</t>
  </si>
  <si>
    <t>CT - CONOCE LAS INNOVACIONES - NUTRICION REFORZADA DE WET? ESTA DISPONIBLE EN PDV?</t>
  </si>
  <si>
    <t>152046</t>
  </si>
  <si>
    <t>152046 - COORATIENDAS MERCAHERMANOS BOGOTA</t>
  </si>
  <si>
    <t>20/04/2026 13:59:59</t>
  </si>
  <si>
    <t>20/04/2026 14:03:31</t>
  </si>
  <si>
    <t>30923533</t>
  </si>
  <si>
    <t xml:space="preserve"> TRADICIONAL</t>
  </si>
  <si>
    <t>12561</t>
  </si>
  <si>
    <t>12561 - JUMBO HAYUELOS</t>
  </si>
  <si>
    <t>7707185370159</t>
  </si>
  <si>
    <t>22/04/2026 00:00:00</t>
  </si>
  <si>
    <t>22/04/2026 09:43:59</t>
  </si>
  <si>
    <t>22/04/2026 09:52:48</t>
  </si>
  <si>
    <t>30929835</t>
  </si>
  <si>
    <t>Ninguna</t>
  </si>
  <si>
    <t>CM - TIENE MATERIAL POP DE LA PROMO CORPORATIVA?</t>
  </si>
  <si>
    <t>https://drive.google.com/file/d/1I2zKr2bdYl5RkHLJ-w7Wymw5AlFXUA3d/view?usp=sharing</t>
  </si>
  <si>
    <t>https://drive.google.com/file/d/1KMhJ7vw0HVagSIAGF2ZJD5Ku8hmIDjpM/view?usp=sharing</t>
  </si>
  <si>
    <t>https://drive.google.com/file/d/1w4RsvhRtcaGGWk5UKFb40TEHb8tsbzw1/view?usp=sharing</t>
  </si>
  <si>
    <t>INFORME AUDITORIA                   ABRIL</t>
  </si>
  <si>
    <t>f</t>
  </si>
  <si>
    <t>COSTA</t>
  </si>
  <si>
    <t>BARRANQUILLA</t>
  </si>
  <si>
    <t>SUPERETE</t>
  </si>
  <si>
    <t>440039</t>
  </si>
  <si>
    <t>440039 - MARKET LA 16</t>
  </si>
  <si>
    <t>MARKET LA 16</t>
  </si>
  <si>
    <t>29/04/2026 00:00:00</t>
  </si>
  <si>
    <t>04/05/2026 12:59:18</t>
  </si>
  <si>
    <t>04/05/2026 13:04:05</t>
  </si>
  <si>
    <t>31137820</t>
  </si>
  <si>
    <t xml:space="preserve">User 5 </t>
  </si>
  <si>
    <t>NestleP.5</t>
  </si>
  <si>
    <t xml:space="preserve"> NO</t>
  </si>
  <si>
    <t>https://drive.google.com/file/d/17vQMZQthxPKd0_JvujqlyEqQw2bqBwcg/view?usp=sharing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</si>
</sst>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theme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16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9" fontId="9" fillId="17" borderId="0" xfId="0" applyNumberFormat="1" applyFont="1" applyFill="1" applyAlignment="1">
      <alignment horizontal="center" vertical="center"/>
    </xf>
    <xf numFmtId="0" fontId="12" fillId="0" borderId="0" xfId="0" applyFont="1"/>
    <xf numFmtId="0" fontId="17" fillId="0" borderId="1" xfId="1" applyFont="1" applyBorder="1" applyAlignment="1">
      <alignment horizontal="left" vertical="center"/>
    </xf>
    <xf numFmtId="0" fontId="0" fillId="0" borderId="8" xfId="0" applyBorder="1"/>
    <xf numFmtId="14" fontId="0" fillId="0" borderId="7" xfId="0" applyNumberFormat="1" applyBorder="1"/>
    <xf numFmtId="0" fontId="9" fillId="0" borderId="1" xfId="0" applyFont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2" fontId="0" fillId="0" borderId="0" xfId="0" applyNumberFormat="1"/>
    <xf numFmtId="0" fontId="16" fillId="0" borderId="10" xfId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2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/mm/yyyy\ h:mm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12"/>
      <tableStyleElement type="totalRow" dxfId="211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Abril 2026.xlsx]INFORME!TablaDinámica11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66-4488-B68C-61EBC2739B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Abril 2026.xlsx]INFORME!TablaDinámica12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ACTIVIDADES DEL MES</c:v>
                </c:pt>
                <c:pt idx="1">
                  <c:v>EJECUCIÓN DEL PDV</c:v>
                </c:pt>
                <c:pt idx="2">
                  <c:v>HORARIO</c:v>
                </c:pt>
                <c:pt idx="3">
                  <c:v>PRESENTACIÓN PERSONAL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34-4876-8097-FDBD248591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72495</xdr:rowOff>
    </xdr:from>
    <xdr:to>
      <xdr:col>0</xdr:col>
      <xdr:colOff>2301875</xdr:colOff>
      <xdr:row>13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162719</xdr:colOff>
      <xdr:row>14</xdr:row>
      <xdr:rowOff>23619</xdr:rowOff>
    </xdr:from>
    <xdr:to>
      <xdr:col>0</xdr:col>
      <xdr:colOff>2306882</xdr:colOff>
      <xdr:row>22</xdr:row>
      <xdr:rowOff>15875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19" y="2769994"/>
              <a:ext cx="2144163" cy="1341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153.74599236111" createdVersion="8" refreshedVersion="8" minRefreshableVersion="3" recordCount="5" xr:uid="{CF551015-06BD-4229-9B56-77016B602580}">
  <cacheSource type="worksheet">
    <worksheetSource name="Tabla1"/>
  </cacheSource>
  <cacheFields count="11">
    <cacheField name="CANAL" numFmtId="0">
      <sharedItems containsMixedTypes="1" containsNumber="1" containsInteger="1" minValue="0" maxValue="0"/>
    </cacheField>
    <cacheField name="CIUDAD" numFmtId="0">
      <sharedItems containsBlank="1" count="15">
        <s v="BOGOTA"/>
        <s v="CALI"/>
        <s v="BARRANQUILLA"/>
        <s v="CARTAGENA" u="1"/>
        <s v="CHIA" u="1"/>
        <s v="MEDELLIN" u="1"/>
        <s v="PEREIRA" u="1"/>
        <s v="ENVIGADO" u="1"/>
        <m u="1"/>
        <s v="ARMENIA (QUINDIO)" u="1"/>
        <s v="BUCARAMANGA" u="1"/>
        <s v="ITAGUI" u="1"/>
        <s v="PALMIRA" u="1"/>
        <s v="BELLO" u="1"/>
        <s v="SOACHA" u="1"/>
      </sharedItems>
    </cacheField>
    <cacheField name="CODIGO PDV" numFmtId="0">
      <sharedItems containsSemiMixedTypes="0" containsString="0" containsNumber="1" containsInteger="1" minValue="12561" maxValue="440039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0" maxValue="1"/>
    </cacheField>
    <cacheField name="# Visitas" numFmtId="0">
      <sharedItems containsSemiMixedTypes="0" containsString="0" containsNumber="1" containsInteger="1" minValue="0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Raul Guerrero Anaya" refreshedDate="46153.745992708333" createdVersion="8" refreshedVersion="8" minRefreshableVersion="3" recordCount="75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2">
        <s v="BOGOTA"/>
        <s v="CALI"/>
        <s v="BARRANQUILLA"/>
        <s v="CARTAGENA" u="1"/>
        <s v="CHIA" u="1"/>
        <s v="MEDELLIN" u="1"/>
        <s v="PEREIRA" u="1"/>
        <s v="ENVIGADO" u="1"/>
        <s v="ARMENIA (QUINDIO)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3">
        <s v="MODERNO"/>
        <s v="TRADICIONAL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12561" maxValue="440039"/>
    </cacheField>
    <cacheField name="NOMBRE COMERCIAL" numFmtId="0">
      <sharedItems containsBlank="1" count="153">
        <s v="12561 - JUMBO HAYUELOS"/>
        <s v="152046 - COORATIENDAS MERCAHERMANOS BOGOTA"/>
        <s v="424866-GRANERO PAUL"/>
        <s v="440039 - MARKET LA 16"/>
        <s v="421577-DEGANADO ALAMEDA" u="1"/>
        <s v="426071 - MASCOCLINICA" u="1"/>
        <s v="455352-LAIKA CHIA" u="1"/>
        <s v="448564 - ZAPATOCA CASTILLA" u="1"/>
        <s v="355912-MERCADOS ALCOSTO ALMENDROS" u="1"/>
        <s v="426084 - SURTIDOR OLAYA" u="1"/>
        <s v="SUPERTIENDAS COMUNAL CARDIO" u="1"/>
        <s v="421816 - DROGUERIA VETERINARIA CENTRO" u="1"/>
        <s v="447964-MAKRO BARRANQUILLA" u="1"/>
        <s v="355954-MUNDO MASCOTAS FERIAS" u="1"/>
        <s v="424831 - MUNDO MASCOTAS CRESPO" u="1"/>
        <s v="355519 - MY TIENDA FATIMA" u="1"/>
        <s v="152267 - AUTOSERVICIO METROWILFO" u="1"/>
        <s v="111523 - AUTOSERVICIO CRESPO" u="1"/>
        <s v="435253-MERCAYA DE LA 13" u="1"/>
        <s v="ZOOMARPETS" u="1"/>
        <s v="556280-DINASTIA PLAZA DE FLORES" u="1"/>
        <s v="42612-ALKOSTO AVENIDA 68" u="1"/>
        <s v="106585-SUPERMERCADOS GALERIAS PLAZA S.A.S." u="1"/>
        <s v="105398-HOMECENTER SAN JUAN" u="1"/>
        <s v="436935-AUTOSERVICIO EL CAMPANAZO" u="1"/>
        <s v="99639-SUPERMERCADO MERKOPOLIS" u="1"/>
        <s v="365463-MEGAPLAZA VILLA MARIA" u="1"/>
        <s v="426071-MASCOCLINICA" u="1"/>
        <s v="410244-AUTOSERVICIO CHAMPION" u="1"/>
        <s v="453160-DIVERPOOL MULTIPLAZA" u="1"/>
        <s v="442180-CLÍNICA VETERINARIA ENVALLE S.A.S." u="1"/>
        <s v="202264-MIL VARIEDADES CAMPO VALDEZ" u="1"/>
        <s v="363615-LA MONTAÑA AGROMERCADOS LA 14 DE COSMOCENTRO 129" u="1"/>
        <s v="191457-ALMACEN MI CORRAL 84" u="1"/>
        <s v="110508-ALMACEN EL MELAO" u="1"/>
        <s v="129909-MERCADOS LA COMPARCITA" u="1"/>
        <s v="66554-LA CARIÑOSA" u="1"/>
        <s v="DISTRIBUCIONES MILENA" u="1"/>
        <s v="382375-PORVENIR SAN ISIDRO" u="1"/>
        <s v="201118-MERCABOY CLL 163" u="1"/>
        <s v="LA CASA DE LOS TENDEROS" u="1"/>
        <s v="555193-SUPERMERCADO EL POLEO" u="1"/>
        <s v="150269-CEBA 73" u="1"/>
        <s v="185063-TIENDA QUINTA DE OESTE" u="1"/>
        <s v="127057-AHORRAMAX" u="1"/>
        <s v="556181-CAÑAVERAL LUNA COOTRAEMCALI" u="1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30894026" maxValue="31137820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SI"/>
        <s v="NO"/>
        <n v="0" u="1"/>
      </sharedItems>
    </cacheField>
    <cacheField name="CLUSTER" numFmtId="0">
      <sharedItems containsMixedTypes="1" containsNumber="1" containsInteger="1" minValue="0" maxValue="0" count="6">
        <s v="N/A"/>
        <s v="ACTIVIDADES DEL MES"/>
        <s v="EJECUCIÓN DEL PDV"/>
        <s v="PRESENTACIÓN PERSONAL"/>
        <s v="HORARIO"/>
        <n v="0" u="1"/>
      </sharedItems>
    </cacheField>
    <cacheField name="TOTAL PUNTAJE" numFmtId="0">
      <sharedItems containsSemiMixedTypes="0" containsString="0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2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MODERNO"/>
    <x v="0"/>
    <n v="12561"/>
    <s v="12561 - JUMBO HAYUELOS"/>
    <n v="1"/>
    <n v="1"/>
    <n v="1"/>
    <n v="1"/>
    <n v="1"/>
  </r>
  <r>
    <s v="TRADICIONAL"/>
    <x v="0"/>
    <n v="152046"/>
    <s v="152046 - COORATIENDAS MERCAHERMANOS BOGOTA"/>
    <n v="1"/>
    <n v="1"/>
    <n v="1"/>
    <n v="1"/>
    <n v="1"/>
  </r>
  <r>
    <n v="0"/>
    <x v="1"/>
    <n v="421577"/>
    <s v="421577-DEGANADO ALAMEDA"/>
    <n v="1"/>
    <n v="1"/>
    <n v="0"/>
    <n v="0"/>
    <n v="0"/>
  </r>
  <r>
    <s v="TRADICIONAL"/>
    <x v="1"/>
    <n v="424866"/>
    <s v="424866-GRANERO PAUL"/>
    <n v="1"/>
    <n v="1"/>
    <n v="1"/>
    <n v="1"/>
    <n v="0"/>
  </r>
  <r>
    <s v="TRADICIONAL"/>
    <x v="2"/>
    <n v="440039"/>
    <s v="440039 - MARKET LA 16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NESTLE PURINA"/>
    <x v="0"/>
    <x v="0"/>
    <s v="JUMBO"/>
    <n v="12561"/>
    <x v="0"/>
    <s v="DESEA AÑADIR ALGUNA OBSERVACION / NOVEDAD CON LA AUDITORIA REALIZADA?"/>
    <s v="NO"/>
    <m/>
    <n v="30929835"/>
    <s v="NestleP.1"/>
    <x v="0"/>
    <x v="0"/>
    <n v="0"/>
    <n v="0"/>
    <n v="0"/>
    <n v="0"/>
    <m/>
  </r>
  <r>
    <s v="NESTLE PURINA"/>
    <x v="0"/>
    <x v="0"/>
    <s v="JUMBO"/>
    <n v="12561"/>
    <x v="0"/>
    <s v="CM - TIENE IMPLEMENTADAS LAS EXHIBICIONES NEGOCIADAS EN EL PDV?"/>
    <s v="SI"/>
    <m/>
    <n v="30929835"/>
    <s v="NestleP.1"/>
    <x v="0"/>
    <x v="1"/>
    <n v="10"/>
    <s v="SI"/>
    <n v="10"/>
    <n v="0"/>
    <m/>
  </r>
  <r>
    <s v="NESTLE PURINA"/>
    <x v="0"/>
    <x v="0"/>
    <s v="JUMBO"/>
    <n v="12561"/>
    <x v="0"/>
    <s v="CM - TIENE MATERIAL POP DE LA PROMO CORPORATIVA?"/>
    <s v="SI"/>
    <m/>
    <n v="30929835"/>
    <s v="NestleP.1"/>
    <x v="0"/>
    <x v="1"/>
    <n v="10"/>
    <s v="SI"/>
    <n v="10"/>
    <n v="0"/>
    <m/>
  </r>
  <r>
    <s v="NESTLE PURINA"/>
    <x v="0"/>
    <x v="0"/>
    <s v="JUMBO"/>
    <n v="12561"/>
    <x v="0"/>
    <s v="CM - DESCRIBA CUALES ACTIVIDADES DE PLAN PEGA TIENE EL PDV"/>
    <s v="Ninguna"/>
    <m/>
    <n v="30929835"/>
    <s v="NestleP.1"/>
    <x v="0"/>
    <x v="0"/>
    <n v="0"/>
    <n v="0"/>
    <n v="0"/>
    <n v="0"/>
    <m/>
  </r>
  <r>
    <s v="NESTLE PURINA"/>
    <x v="0"/>
    <x v="0"/>
    <s v="JUMBO"/>
    <n v="12561"/>
    <x v="0"/>
    <s v="CM - TIENE ACTIVIDADES DE PLAN PEGA EN EL PDV?"/>
    <s v="SI"/>
    <m/>
    <n v="30929835"/>
    <s v="NestleP.1"/>
    <x v="0"/>
    <x v="1"/>
    <n v="10"/>
    <s v="SI"/>
    <n v="10"/>
    <n v="0"/>
    <m/>
  </r>
  <r>
    <s v="NESTLE PURINA"/>
    <x v="0"/>
    <x v="0"/>
    <s v="JUMBO"/>
    <n v="12561"/>
    <x v="0"/>
    <s v="CM - TIENE IMPLEMENTADO EL MATERIAL POP CORRECPONDIENTE A LAS PROMOCIONES QUE APLICAN EN EL PDV?"/>
    <s v="SI"/>
    <m/>
    <n v="30929835"/>
    <s v="NestleP.1"/>
    <x v="0"/>
    <x v="1"/>
    <n v="10"/>
    <s v="SI"/>
    <n v="10"/>
    <n v="0"/>
    <m/>
  </r>
  <r>
    <s v="NESTLE PURINA"/>
    <x v="0"/>
    <x v="0"/>
    <s v="JUMBO"/>
    <n v="12561"/>
    <x v="0"/>
    <s v="CONOCE EL % DE PARTICIPACIÓN QUE TIENE EN EL PUNTO DE VENTA E INFORMA CUAL ES ESE % (REALIZAR EL EJERCICIO DE CONTAR LAS CARAS PARA VALIDAR SI ES CORRECTO)"/>
    <s v="SI"/>
    <m/>
    <n v="30929835"/>
    <s v="NestleP.1"/>
    <x v="0"/>
    <x v="2"/>
    <n v="2.7272727272727271"/>
    <s v="SI"/>
    <n v="2.7272727272727271"/>
    <n v="0"/>
    <m/>
  </r>
  <r>
    <s v="NESTLE PURINA"/>
    <x v="0"/>
    <x v="0"/>
    <s v="JUMBO"/>
    <n v="12561"/>
    <x v="0"/>
    <s v="SELECCIONE EL CANAL DEL PDV AUDITADO?"/>
    <s v="MODERNO"/>
    <m/>
    <n v="30929835"/>
    <s v="NestleP.1"/>
    <x v="0"/>
    <x v="0"/>
    <n v="0"/>
    <n v="0"/>
    <n v="0"/>
    <n v="0"/>
    <m/>
  </r>
  <r>
    <s v="NESTLE PURINA"/>
    <x v="0"/>
    <x v="0"/>
    <s v="JUMBO"/>
    <n v="12561"/>
    <x v="0"/>
    <s v="CONOCE LOS INFALTABLES DEL PUNTO DE VENTA Y CUENTA CON EL MATERIAL DE APOYO (AYUDAVENTAS INFALTABLES)"/>
    <s v="SI"/>
    <m/>
    <n v="30929835"/>
    <s v="NestleP.1"/>
    <x v="0"/>
    <x v="2"/>
    <n v="2.7272727272727271"/>
    <s v="SI"/>
    <n v="2.7272727272727271"/>
    <n v="0"/>
    <m/>
  </r>
  <r>
    <s v="NESTLE PURINA"/>
    <x v="0"/>
    <x v="0"/>
    <s v="JUMBO"/>
    <n v="12561"/>
    <x v="0"/>
    <s v="LOS PRODUCTOS ESTAN SURTIDOS DE ACUERDO A PEPS O FIFO (REVISAR TANTO PRODUCTO SECO COMO HUMEDO)"/>
    <s v="SI"/>
    <m/>
    <n v="30929835"/>
    <s v="NestleP.1"/>
    <x v="0"/>
    <x v="2"/>
    <n v="2.7272727272727271"/>
    <s v="SI"/>
    <n v="2.7272727272727271"/>
    <n v="0"/>
    <m/>
  </r>
  <r>
    <s v="NESTLE PURINA"/>
    <x v="0"/>
    <x v="0"/>
    <s v="JUMBO"/>
    <n v="12561"/>
    <x v="0"/>
    <s v="LOS PRODUCTOS TIENEN EL PRECIO Y ESTAN ACORDE O CORRESPONDIENTE A CADA REFERENCIA (REVISAR LA FECHA DE IMPRESIÓN DEL PRECIO)"/>
    <s v="SI"/>
    <m/>
    <n v="30929835"/>
    <s v="NestleP.1"/>
    <x v="0"/>
    <x v="2"/>
    <n v="2.7272727272727271"/>
    <s v="SI"/>
    <n v="2.7272727272727271"/>
    <n v="0"/>
    <m/>
  </r>
  <r>
    <s v="NESTLE PURINA"/>
    <x v="0"/>
    <x v="0"/>
    <s v="JUMBO"/>
    <n v="12561"/>
    <x v="0"/>
    <s v="EL LINEAL SE ENCUENTRA LIMPIO Y ORGANIZADO (EVIDENCIA POLVO O TIERRA EN EL PRODUCTO Y/O LINEAL)"/>
    <s v="SI"/>
    <m/>
    <n v="30929835"/>
    <s v="NestleP.1"/>
    <x v="0"/>
    <x v="2"/>
    <n v="2.7272727272727271"/>
    <s v="SI"/>
    <n v="2.7272727272727271"/>
    <n v="0"/>
    <m/>
  </r>
  <r>
    <s v="NESTLE PURINA"/>
    <x v="0"/>
    <x v="0"/>
    <s v="JUMBO"/>
    <n v="12561"/>
    <x v="0"/>
    <s v="USA ACCESORIOS QUE NO CUMPLE CON EL CODIGO DE VESTIMENTA"/>
    <s v="NO"/>
    <m/>
    <n v="30929835"/>
    <s v="NestleP.1"/>
    <x v="0"/>
    <x v="3"/>
    <n v="1"/>
    <s v="NO"/>
    <n v="1"/>
    <n v="0"/>
    <m/>
  </r>
  <r>
    <s v="NESTLE PURINA"/>
    <x v="0"/>
    <x v="0"/>
    <s v="JUMBO"/>
    <n v="12561"/>
    <x v="0"/>
    <s v="TIENE UÑAS LLAMATIVAS Y/O LARGAS QUE NO CUMPLE CON EL CODIGO DE VESTIMENTA"/>
    <s v="NO"/>
    <m/>
    <n v="30929835"/>
    <s v="NestleP.1"/>
    <x v="0"/>
    <x v="3"/>
    <n v="1"/>
    <s v="NO"/>
    <n v="1"/>
    <n v="0"/>
    <m/>
  </r>
  <r>
    <s v="NESTLE PURINA"/>
    <x v="0"/>
    <x v="0"/>
    <s v="JUMBO"/>
    <n v="12561"/>
    <x v="0"/>
    <s v="PRESENTA EXCESO DE MAQUILLAJE QUE NO CUMPLE CON EL CODIGO DE VESTIMENTA"/>
    <s v="NO"/>
    <m/>
    <n v="30929835"/>
    <s v="NestleP.1"/>
    <x v="0"/>
    <x v="3"/>
    <n v="1"/>
    <s v="NO"/>
    <n v="1"/>
    <n v="0"/>
    <m/>
  </r>
  <r>
    <s v="NESTLE PURINA"/>
    <x v="0"/>
    <x v="0"/>
    <s v="JUMBO"/>
    <n v="12561"/>
    <x v="0"/>
    <s v="TIENE TATUAJES O PIERCINGS VISIBLES QUE NO CUMPLE CON EL CODIGO DE VESTIMENTA"/>
    <s v="NO"/>
    <m/>
    <n v="30929835"/>
    <s v="NestleP.1"/>
    <x v="0"/>
    <x v="3"/>
    <n v="1"/>
    <s v="NO"/>
    <n v="1"/>
    <n v="0"/>
    <m/>
  </r>
  <r>
    <s v="NESTLE PURINA"/>
    <x v="0"/>
    <x v="0"/>
    <s v="JUMBO"/>
    <n v="12561"/>
    <x v="0"/>
    <s v="SU CABELLO LUCE LIMPIO, ORGANIZADO O RECOGIDO"/>
    <s v="SI"/>
    <m/>
    <n v="30929835"/>
    <s v="NestleP.1"/>
    <x v="0"/>
    <x v="3"/>
    <n v="1"/>
    <s v="SI"/>
    <n v="1"/>
    <n v="0"/>
    <m/>
  </r>
  <r>
    <s v="NESTLE PURINA"/>
    <x v="0"/>
    <x v="0"/>
    <s v="JUMBO"/>
    <n v="12561"/>
    <x v="0"/>
    <s v="EL UNIFORME Y ZAPATOS SE ENCUENTRAN LIMPIOS Y EN BUEN ESTADO"/>
    <s v="SI"/>
    <m/>
    <n v="30929835"/>
    <s v="NestleP.1"/>
    <x v="0"/>
    <x v="3"/>
    <n v="1"/>
    <s v="SI"/>
    <n v="1"/>
    <n v="0"/>
    <m/>
  </r>
  <r>
    <s v="NESTLE PURINA"/>
    <x v="0"/>
    <x v="0"/>
    <s v="JUMBO"/>
    <n v="12561"/>
    <x v="0"/>
    <s v="POSEE ALGUNA PRENDA ENCIMA DEL UNIFORME NO AUTORIZADA POR LA MARCA (UNICAMENTE ESTA PERMITIDO CHALECO DE SODIMAC Y EASY)"/>
    <s v="NO"/>
    <m/>
    <n v="30929835"/>
    <s v="NestleP.1"/>
    <x v="0"/>
    <x v="3"/>
    <n v="1"/>
    <s v="NO"/>
    <n v="1"/>
    <n v="0"/>
    <m/>
  </r>
  <r>
    <s v="NESTLE PURINA"/>
    <x v="0"/>
    <x v="0"/>
    <s v="JUMBO"/>
    <n v="12561"/>
    <x v="0"/>
    <s v="CUENTA CON CALZADO DE ACUERDO AL UNIFORME"/>
    <s v="SI"/>
    <m/>
    <n v="30929835"/>
    <s v="NestleP.1"/>
    <x v="0"/>
    <x v="3"/>
    <n v="1"/>
    <s v="SI"/>
    <n v="1"/>
    <n v="0"/>
    <m/>
  </r>
  <r>
    <s v="NESTLE PURINA"/>
    <x v="0"/>
    <x v="0"/>
    <s v="JUMBO"/>
    <n v="12561"/>
    <x v="0"/>
    <s v="CUENTA CON CAMISA DEL UNIFORME Y LOGOS SEGÚN EL CARGO (NEGRA / GRIS / ROJA / TURQUESA) (ES PERMITIDO USAR DEBAJO DE LA CAMISA BUSO MANGA LARGA NEGRO)"/>
    <s v="SI"/>
    <m/>
    <n v="30929835"/>
    <s v="NestleP.1"/>
    <x v="0"/>
    <x v="3"/>
    <n v="1"/>
    <s v="SI"/>
    <n v="1"/>
    <n v="0"/>
    <m/>
  </r>
  <r>
    <s v="NESTLE PURINA"/>
    <x v="0"/>
    <x v="0"/>
    <s v="JUMBO"/>
    <n v="12561"/>
    <x v="0"/>
    <s v="CUENTA CON PANTALON DEL UNIFORME SEGÚN EL CARGO (NEGRO / ROJO / TURQUESA / JEAN)"/>
    <s v="SI"/>
    <m/>
    <n v="30929835"/>
    <s v="NestleP.1"/>
    <x v="0"/>
    <x v="3"/>
    <n v="1"/>
    <s v="SI"/>
    <n v="1"/>
    <n v="0"/>
    <m/>
  </r>
  <r>
    <s v="NESTLE PURINA"/>
    <x v="0"/>
    <x v="0"/>
    <s v="JUMBO"/>
    <n v="12561"/>
    <x v="0"/>
    <s v="¿CUMPLE HORARIO DE ENTRADA O SALIDA DE LA TIENDA?"/>
    <s v="SI"/>
    <m/>
    <n v="30929835"/>
    <s v="NestleP.1"/>
    <x v="0"/>
    <x v="4"/>
    <n v="20"/>
    <s v="SI"/>
    <n v="20"/>
    <n v="0"/>
    <m/>
  </r>
  <r>
    <s v="NESTLE PURINA"/>
    <x v="0"/>
    <x v="0"/>
    <s v="JUMBO"/>
    <n v="12561"/>
    <x v="0"/>
    <s v="SE LOGRA REALIZAR LA AUDITORIA?"/>
    <s v="SI"/>
    <m/>
    <n v="30929835"/>
    <s v="NestleP.1"/>
    <x v="0"/>
    <x v="0"/>
    <n v="0"/>
    <n v="0"/>
    <n v="0"/>
    <n v="0"/>
    <m/>
  </r>
  <r>
    <s v="NESTLE PURINA"/>
    <x v="0"/>
    <x v="1"/>
    <s v="JUMBO"/>
    <n v="152046"/>
    <x v="1"/>
    <s v="EL LINEAL SE ENCUENTRA LIMPIO Y ORGANIZADO (EVIDENCIA POLVO O TIERRA EN EL PRODUCTO Y/O LINEAL)"/>
    <s v="SI"/>
    <m/>
    <n v="30923533"/>
    <s v="NestleP.1"/>
    <x v="0"/>
    <x v="2"/>
    <n v="2.7272727272727271"/>
    <s v="SI"/>
    <n v="2.7272727272727271"/>
    <n v="0"/>
    <m/>
  </r>
  <r>
    <s v="NESTLE PURINA"/>
    <x v="0"/>
    <x v="1"/>
    <s v="JUMBO"/>
    <n v="152046"/>
    <x v="1"/>
    <s v="USA ACCESORIOS QUE NO CUMPLE CON EL CODIGO DE VESTIMENTA"/>
    <s v="NO"/>
    <m/>
    <n v="30923533"/>
    <s v="NestleP.1"/>
    <x v="0"/>
    <x v="3"/>
    <n v="1"/>
    <s v="NO"/>
    <n v="1"/>
    <n v="0"/>
    <m/>
  </r>
  <r>
    <s v="NESTLE PURINA"/>
    <x v="0"/>
    <x v="1"/>
    <s v="JUMBO"/>
    <n v="152046"/>
    <x v="1"/>
    <s v="TIENE UÑAS LLAMATIVAS Y/O LARGAS QUE NO CUMPLE CON EL CODIGO DE VESTIMENTA"/>
    <s v="NO"/>
    <m/>
    <n v="30923533"/>
    <s v="NestleP.1"/>
    <x v="0"/>
    <x v="3"/>
    <n v="1"/>
    <s v="NO"/>
    <n v="1"/>
    <n v="0"/>
    <m/>
  </r>
  <r>
    <s v="NESTLE PURINA"/>
    <x v="0"/>
    <x v="1"/>
    <s v="JUMBO"/>
    <n v="152046"/>
    <x v="1"/>
    <s v="TIENE TATUAJES O PIERCINGS VISIBLES QUE NO CUMPLE CON EL CODIGO DE VESTIMENTA"/>
    <s v="NO"/>
    <m/>
    <n v="30923533"/>
    <s v="NestleP.1"/>
    <x v="0"/>
    <x v="3"/>
    <n v="1"/>
    <s v="NO"/>
    <n v="1"/>
    <n v="0"/>
    <m/>
  </r>
  <r>
    <s v="NESTLE PURINA"/>
    <x v="0"/>
    <x v="1"/>
    <s v="JUMBO"/>
    <n v="152046"/>
    <x v="1"/>
    <s v="PRESENTA EXCESO DE MAQUILLAJE QUE NO CUMPLE CON EL CODIGO DE VESTIMENTA"/>
    <s v="NO"/>
    <m/>
    <n v="30923533"/>
    <s v="NestleP.1"/>
    <x v="0"/>
    <x v="3"/>
    <n v="1"/>
    <s v="NO"/>
    <n v="1"/>
    <n v="0"/>
    <m/>
  </r>
  <r>
    <s v="NESTLE PURINA"/>
    <x v="0"/>
    <x v="1"/>
    <s v="JUMBO"/>
    <n v="152046"/>
    <x v="1"/>
    <s v="SU CABELLO LUCE LIMPIO, ORGANIZADO O RECOGIDO"/>
    <s v="SI"/>
    <m/>
    <n v="30923533"/>
    <s v="NestleP.1"/>
    <x v="0"/>
    <x v="3"/>
    <n v="1"/>
    <s v="SI"/>
    <n v="1"/>
    <n v="0"/>
    <m/>
  </r>
  <r>
    <s v="NESTLE PURINA"/>
    <x v="0"/>
    <x v="1"/>
    <s v="JUMBO"/>
    <n v="152046"/>
    <x v="1"/>
    <s v="EL UNIFORME Y ZAPATOS SE ENCUENTRAN LIMPIOS Y EN BUEN ESTADO"/>
    <s v="SI"/>
    <m/>
    <n v="30923533"/>
    <s v="NestleP.1"/>
    <x v="0"/>
    <x v="3"/>
    <n v="1"/>
    <s v="SI"/>
    <n v="1"/>
    <n v="0"/>
    <m/>
  </r>
  <r>
    <s v="NESTLE PURINA"/>
    <x v="0"/>
    <x v="1"/>
    <s v="JUMBO"/>
    <n v="152046"/>
    <x v="1"/>
    <s v="POSEE ALGUNA PRENDA ENCIMA DEL UNIFORME NO AUTORIZADA POR LA MARCA (UNICAMENTE ESTA PERMITIDO CHALECO DE SODIMAC Y EASY)"/>
    <s v="NO"/>
    <m/>
    <n v="30923533"/>
    <s v="NestleP.1"/>
    <x v="0"/>
    <x v="3"/>
    <n v="1"/>
    <s v="NO"/>
    <n v="1"/>
    <n v="0"/>
    <m/>
  </r>
  <r>
    <s v="NESTLE PURINA"/>
    <x v="0"/>
    <x v="1"/>
    <s v="JUMBO"/>
    <n v="152046"/>
    <x v="1"/>
    <s v="CUENTA CON CALZADO DE ACUERDO AL UNIFORME"/>
    <s v="SI"/>
    <m/>
    <n v="30923533"/>
    <s v="NestleP.1"/>
    <x v="0"/>
    <x v="3"/>
    <n v="1"/>
    <s v="SI"/>
    <n v="1"/>
    <n v="0"/>
    <m/>
  </r>
  <r>
    <s v="NESTLE PURINA"/>
    <x v="0"/>
    <x v="1"/>
    <s v="JUMBO"/>
    <n v="152046"/>
    <x v="1"/>
    <s v="CUENTA CON CAMISA DEL UNIFORME Y LOGOS SEGÚN EL CARGO (NEGRA / GRIS / ROJA / TURQUESA) (ES PERMITIDO USAR DEBAJO DE LA CAMISA BUSO MANGA LARGA NEGRO)"/>
    <s v="SI"/>
    <m/>
    <n v="30923533"/>
    <s v="NestleP.1"/>
    <x v="0"/>
    <x v="3"/>
    <n v="1"/>
    <s v="SI"/>
    <n v="1"/>
    <n v="0"/>
    <m/>
  </r>
  <r>
    <s v="NESTLE PURINA"/>
    <x v="0"/>
    <x v="1"/>
    <s v="JUMBO"/>
    <n v="152046"/>
    <x v="1"/>
    <s v="CUENTA CON PANTALON DEL UNIFORME SEGÚN EL CARGO (NEGRO / ROJO / TURQUESA / JEAN)"/>
    <s v="SI"/>
    <m/>
    <n v="30923533"/>
    <s v="NestleP.1"/>
    <x v="0"/>
    <x v="3"/>
    <n v="1"/>
    <s v="SI"/>
    <n v="1"/>
    <n v="0"/>
    <m/>
  </r>
  <r>
    <s v="NESTLE PURINA"/>
    <x v="0"/>
    <x v="1"/>
    <s v="JUMBO"/>
    <n v="152046"/>
    <x v="1"/>
    <s v="¿CUMPLE HORARIO DE ENTRADA O SALIDA DE LA TIENDA?"/>
    <s v="SI"/>
    <m/>
    <n v="30923533"/>
    <s v="NestleP.1"/>
    <x v="0"/>
    <x v="4"/>
    <n v="20"/>
    <s v="SI"/>
    <n v="20"/>
    <n v="0"/>
    <m/>
  </r>
  <r>
    <s v="NESTLE PURINA"/>
    <x v="0"/>
    <x v="1"/>
    <s v="JUMBO"/>
    <n v="152046"/>
    <x v="1"/>
    <s v="SE LOGRA REALIZAR LA AUDITORIA?"/>
    <s v="SI"/>
    <m/>
    <n v="30923533"/>
    <s v="NestleP.1"/>
    <x v="0"/>
    <x v="0"/>
    <n v="0"/>
    <n v="0"/>
    <n v="0"/>
    <n v="0"/>
    <m/>
  </r>
  <r>
    <s v="NESTLE PURINA"/>
    <x v="0"/>
    <x v="1"/>
    <s v="JUMBO"/>
    <n v="152046"/>
    <x v="1"/>
    <s v="LOS PRODUCTOS TIENEN EL PRECIO Y ESTAN ACORDE O CORRESPONDIENTE A CADA REFERENCIA (REVISAR LA FECHA DE IMPRESIÓN DEL PRECIO)"/>
    <s v="SI"/>
    <m/>
    <n v="30923533"/>
    <s v="NestleP.1"/>
    <x v="0"/>
    <x v="2"/>
    <n v="2.7272727272727271"/>
    <s v="SI"/>
    <n v="2.7272727272727271"/>
    <n v="0"/>
    <m/>
  </r>
  <r>
    <s v="NESTLE PURINA"/>
    <x v="0"/>
    <x v="1"/>
    <s v="JUMBO"/>
    <n v="152046"/>
    <x v="1"/>
    <s v="LOS PRODUCTOS ESTAN SURTIDOS DE ACUERDO A PEPS O FIFO (REVISAR TANTO PRODUCTO SECO COMO HUMEDO)"/>
    <s v="SI"/>
    <m/>
    <n v="30923533"/>
    <s v="NestleP.1"/>
    <x v="0"/>
    <x v="2"/>
    <n v="2.7272727272727271"/>
    <s v="SI"/>
    <n v="2.7272727272727271"/>
    <n v="0"/>
    <m/>
  </r>
  <r>
    <s v="NESTLE PURINA"/>
    <x v="0"/>
    <x v="1"/>
    <s v="JUMBO"/>
    <n v="152046"/>
    <x v="1"/>
    <s v="SELECCIONE EL CANAL DEL PDV AUDITADO?"/>
    <s v=" TRADICIONAL"/>
    <m/>
    <n v="30923533"/>
    <s v="NestleP.1"/>
    <x v="0"/>
    <x v="0"/>
    <n v="0"/>
    <n v="0"/>
    <n v="0"/>
    <n v="0"/>
    <m/>
  </r>
  <r>
    <s v="NESTLE PURINA"/>
    <x v="0"/>
    <x v="1"/>
    <s v="JUMBO"/>
    <n v="152046"/>
    <x v="1"/>
    <s v="DESEA AÑADIR ALGUNA OBSERVACION / NOVEDAD CON LA AUDITORIA REALIZADA?"/>
    <s v="NO"/>
    <m/>
    <n v="30923533"/>
    <s v="NestleP.1"/>
    <x v="0"/>
    <x v="0"/>
    <n v="0"/>
    <n v="0"/>
    <n v="0"/>
    <n v="0"/>
    <m/>
  </r>
  <r>
    <s v="NESTLE PURINA"/>
    <x v="0"/>
    <x v="1"/>
    <s v="JUMBO"/>
    <n v="152046"/>
    <x v="1"/>
    <s v="CT - CONOCE LAS INNOVACIONES - NUTRICION REFORZADA DE WET? ESTA DISPONIBLE EN PDV?"/>
    <s v="SI"/>
    <m/>
    <n v="30923533"/>
    <s v="NestleP.1"/>
    <x v="0"/>
    <x v="1"/>
    <n v="10"/>
    <s v="SI"/>
    <n v="10"/>
    <n v="0"/>
    <m/>
  </r>
  <r>
    <s v="NESTLE PURINA"/>
    <x v="0"/>
    <x v="1"/>
    <s v="JUMBO"/>
    <n v="152046"/>
    <x v="1"/>
    <s v="CT - CONOCE LAS INNOVACIONES - RISTRAS WET? ESTA DISPONIBLE EN PDV?"/>
    <s v="SI"/>
    <m/>
    <n v="30923533"/>
    <s v="NestleP.1"/>
    <x v="0"/>
    <x v="1"/>
    <n v="10"/>
    <s v="SI"/>
    <n v="10"/>
    <n v="0"/>
    <m/>
  </r>
  <r>
    <s v="NESTLE PURINA"/>
    <x v="0"/>
    <x v="1"/>
    <s v="JUMBO"/>
    <n v="152046"/>
    <x v="1"/>
    <s v="CT - CONOCE LAS INNOVACIONES  ALTA PROTEINA? ESTÁ DISPONIBLE EN PDV?"/>
    <s v="SI"/>
    <m/>
    <n v="30923533"/>
    <s v="NestleP.1"/>
    <x v="0"/>
    <x v="1"/>
    <n v="10"/>
    <s v="SI"/>
    <n v="10"/>
    <n v="0"/>
    <m/>
  </r>
  <r>
    <s v="NESTLE PURINA"/>
    <x v="0"/>
    <x v="1"/>
    <s v="JUMBO"/>
    <n v="152046"/>
    <x v="1"/>
    <s v="CT - CONOCE EL PRECIO DE LA PAQUETERIA (DOG CHOW 350G / 475G; CAT CHOW 200G? (Si el mercaderista informa que el PDV no lo permite implementar quedaria como N/A)"/>
    <s v="SI"/>
    <m/>
    <n v="30923533"/>
    <s v="NestleP.1"/>
    <x v="0"/>
    <x v="1"/>
    <n v="10"/>
    <s v="SI"/>
    <n v="10"/>
    <n v="0"/>
    <m/>
  </r>
  <r>
    <s v="NESTLE PURINA"/>
    <x v="0"/>
    <x v="1"/>
    <s v="JUMBO"/>
    <n v="152046"/>
    <x v="1"/>
    <s v="CONOCE EL % DE PARTICIPACIÓN QUE TIENEN LAS MARCAS PURINA DENTRO DEL UNIVERSO?"/>
    <s v="SI"/>
    <m/>
    <n v="30923533"/>
    <s v="NestleP.1"/>
    <x v="0"/>
    <x v="2"/>
    <n v="2.7272727272727271"/>
    <s v="SI"/>
    <n v="2.7272727272727271"/>
    <n v="0"/>
    <m/>
  </r>
  <r>
    <s v="NESTLE PURINA"/>
    <x v="0"/>
    <x v="1"/>
    <s v="JUMBO"/>
    <n v="152046"/>
    <x v="1"/>
    <s v="MANEJA MARCA DE PERROS, GATOS O AMBOS, Y HAY PRESENCIA DE LA COMPETENCIA? (EN EL VIDEO DEBE QUEDAR LA VISUAL DE LAS MARCAS DE LA COMPETENCIA PRESENTES EN EL PDV)"/>
    <s v="SI"/>
    <m/>
    <n v="30923533"/>
    <s v="NestleP.1"/>
    <x v="0"/>
    <x v="2"/>
    <n v="2.7272727272727271"/>
    <s v="SI"/>
    <n v="2.7272727272727271"/>
    <n v="0"/>
    <m/>
  </r>
  <r>
    <s v="NESTLE PURINA"/>
    <x v="0"/>
    <x v="1"/>
    <s v="JUMBO"/>
    <n v="152046"/>
    <x v="1"/>
    <s v="CONOCE LOS INFALTABLES DEL PUNTO DE VENTA Y CUENTA CON EL MATERIAL DE APOYO (AYUDAVENTAS INFALTABLES)"/>
    <s v="SI"/>
    <m/>
    <n v="30923533"/>
    <s v="NestleP.1"/>
    <x v="0"/>
    <x v="2"/>
    <n v="2.7272727272727271"/>
    <s v="SI"/>
    <n v="2.7272727272727271"/>
    <n v="0"/>
    <m/>
  </r>
  <r>
    <s v="NESTLE PURINA"/>
    <x v="1"/>
    <x v="1"/>
    <s v="MERCA Z"/>
    <n v="424866"/>
    <x v="2"/>
    <s v="SE LOGRA REALIZAR LA AUDITORIA?"/>
    <s v="NO"/>
    <m/>
    <n v="30894026"/>
    <s v="PREMISEUNP 51"/>
    <x v="1"/>
    <x v="0"/>
    <n v="0"/>
    <n v="0"/>
    <n v="0"/>
    <n v="0"/>
    <m/>
  </r>
  <r>
    <s v="NESTLE PURINA"/>
    <x v="1"/>
    <x v="1"/>
    <s v="MERCA Z"/>
    <n v="424866"/>
    <x v="2"/>
    <s v="INDIQUE OBSERVACIÓN/NOVEDAD"/>
    <s v="Se informa en el grupo de purina nestle que no estaba la activadora en el pdv granero paul y informan que la persona es nueva y esta en plancanguro"/>
    <m/>
    <n v="30894026"/>
    <s v="PREMISEUNP 51"/>
    <x v="1"/>
    <x v="0"/>
    <n v="0"/>
    <n v="0"/>
    <n v="0"/>
    <n v="0"/>
    <m/>
  </r>
  <r>
    <s v="NESTLE PURINA"/>
    <x v="1"/>
    <x v="1"/>
    <s v="MERCA Z"/>
    <n v="424866"/>
    <x v="2"/>
    <s v="DESEA AÑADIR ALGUNA OBSERVACION / NOVEDAD CON LA AUDITORIA REALIZADA?"/>
    <s v="SI"/>
    <m/>
    <n v="30894026"/>
    <s v="PREMISEUNP 51"/>
    <x v="1"/>
    <x v="0"/>
    <n v="0"/>
    <n v="0"/>
    <n v="0"/>
    <n v="0"/>
    <m/>
  </r>
  <r>
    <s v="NESTLE PURINA"/>
    <x v="2"/>
    <x v="1"/>
    <s v="SUPERETE"/>
    <n v="440039"/>
    <x v="3"/>
    <s v="CUENTA CON PANTALON DEL UNIFORME SEGÚN EL CARGO (NEGRO / ROJO / TURQUESA / JEAN)"/>
    <s v="SI"/>
    <m/>
    <n v="31137820"/>
    <s v="NestleP.5"/>
    <x v="0"/>
    <x v="3"/>
    <n v="1"/>
    <s v="SI"/>
    <n v="1"/>
    <n v="0"/>
    <m/>
  </r>
  <r>
    <s v="NESTLE PURINA"/>
    <x v="2"/>
    <x v="1"/>
    <s v="SUPERETE"/>
    <n v="440039"/>
    <x v="3"/>
    <s v="¿CUMPLE HORARIO DE ENTRADA O SALIDA DE LA TIENDA?"/>
    <s v="SI"/>
    <m/>
    <n v="31137820"/>
    <s v="NestleP.5"/>
    <x v="0"/>
    <x v="4"/>
    <n v="20"/>
    <s v="SI"/>
    <n v="20"/>
    <n v="0"/>
    <m/>
  </r>
  <r>
    <s v="NESTLE PURINA"/>
    <x v="2"/>
    <x v="1"/>
    <s v="SUPERETE"/>
    <n v="440039"/>
    <x v="3"/>
    <s v="SE LOGRA REALIZAR LA AUDITORIA?"/>
    <s v="SI"/>
    <m/>
    <n v="31137820"/>
    <s v="NestleP.5"/>
    <x v="0"/>
    <x v="0"/>
    <n v="0"/>
    <n v="0"/>
    <n v="0"/>
    <n v="0"/>
    <m/>
  </r>
  <r>
    <s v="NESTLE PURINA"/>
    <x v="2"/>
    <x v="1"/>
    <s v="SUPERETE"/>
    <n v="440039"/>
    <x v="3"/>
    <s v="CUENTA CON CAMISA DEL UNIFORME Y LOGOS SEGÚN EL CARGO (NEGRA / GRIS / ROJA / TURQUESA) (ES PERMITIDO USAR DEBAJO DE LA CAMISA BUSO MANGA LARGA NEGRO)"/>
    <s v="SI"/>
    <m/>
    <n v="31137820"/>
    <s v="NestleP.5"/>
    <x v="0"/>
    <x v="3"/>
    <n v="1"/>
    <s v="SI"/>
    <n v="1"/>
    <n v="0"/>
    <m/>
  </r>
  <r>
    <s v="NESTLE PURINA"/>
    <x v="2"/>
    <x v="1"/>
    <s v="SUPERETE"/>
    <n v="440039"/>
    <x v="3"/>
    <s v="CUENTA CON CALZADO DE ACUERDO AL UNIFORME"/>
    <s v="SI"/>
    <m/>
    <n v="31137820"/>
    <s v="NestleP.5"/>
    <x v="0"/>
    <x v="3"/>
    <n v="1"/>
    <s v="SI"/>
    <n v="1"/>
    <n v="0"/>
    <m/>
  </r>
  <r>
    <s v="NESTLE PURINA"/>
    <x v="2"/>
    <x v="1"/>
    <s v="SUPERETE"/>
    <n v="440039"/>
    <x v="3"/>
    <s v="EL UNIFORME Y ZAPATOS SE ENCUENTRAN LIMPIOS Y EN BUEN ESTADO"/>
    <s v="SI"/>
    <m/>
    <n v="31137820"/>
    <s v="NestleP.5"/>
    <x v="0"/>
    <x v="3"/>
    <n v="1"/>
    <s v="SI"/>
    <n v="1"/>
    <n v="0"/>
    <m/>
  </r>
  <r>
    <s v="NESTLE PURINA"/>
    <x v="2"/>
    <x v="1"/>
    <s v="SUPERETE"/>
    <n v="440039"/>
    <x v="3"/>
    <s v="CT - CONOCE LAS INNOVACIONES - RISTRAS WET? ESTA DISPONIBLE EN PDV?"/>
    <s v="SI"/>
    <m/>
    <n v="31137820"/>
    <s v="NestleP.5"/>
    <x v="0"/>
    <x v="1"/>
    <n v="10"/>
    <s v="SI"/>
    <n v="10"/>
    <n v="0"/>
    <m/>
  </r>
  <r>
    <s v="NESTLE PURINA"/>
    <x v="2"/>
    <x v="1"/>
    <s v="SUPERETE"/>
    <n v="440039"/>
    <x v="3"/>
    <s v="CT - CONOCE LAS INNOVACIONES  ALTA PROTEINA? ESTÁ DISPONIBLE EN PDV?"/>
    <s v="SI"/>
    <m/>
    <n v="31137820"/>
    <s v="NestleP.5"/>
    <x v="0"/>
    <x v="1"/>
    <n v="10"/>
    <s v="SI"/>
    <n v="10"/>
    <n v="0"/>
    <m/>
  </r>
  <r>
    <s v="NESTLE PURINA"/>
    <x v="2"/>
    <x v="1"/>
    <s v="SUPERETE"/>
    <n v="440039"/>
    <x v="3"/>
    <s v="CT - CONOCE EL PRECIO DE LA PAQUETERIA (DOG CHOW 350G / 475G; CAT CHOW 200G? (Si el mercaderista informa que el PDV no lo permite implementar quedaria como N/A)"/>
    <s v="SI"/>
    <m/>
    <n v="31137820"/>
    <s v="NestleP.5"/>
    <x v="0"/>
    <x v="1"/>
    <n v="10"/>
    <s v="SI"/>
    <n v="10"/>
    <n v="0"/>
    <m/>
  </r>
  <r>
    <s v="NESTLE PURINA"/>
    <x v="2"/>
    <x v="1"/>
    <s v="SUPERETE"/>
    <n v="440039"/>
    <x v="3"/>
    <s v="CONOCE EL % DE PARTICIPACIÓN QUE TIENEN LAS MARCAS PURINA DENTRO DEL UNIVERSO?"/>
    <s v="SI"/>
    <m/>
    <n v="31137820"/>
    <s v="NestleP.5"/>
    <x v="0"/>
    <x v="2"/>
    <n v="2.7272727272727271"/>
    <s v="SI"/>
    <n v="2.7272727272727271"/>
    <n v="0"/>
    <m/>
  </r>
  <r>
    <s v="NESTLE PURINA"/>
    <x v="2"/>
    <x v="1"/>
    <s v="SUPERETE"/>
    <n v="440039"/>
    <x v="3"/>
    <s v="MANEJA MARCA DE PERROS, GATOS O AMBOS, Y HAY PRESENCIA DE LA COMPETENCIA? (EN EL VIDEO DEBE QUEDAR LA VISUAL DE LAS MARCAS DE LA COMPETENCIA PRESENTES EN EL PDV)"/>
    <s v="SI"/>
    <m/>
    <n v="31137820"/>
    <s v="NestleP.5"/>
    <x v="0"/>
    <x v="2"/>
    <n v="2.7272727272727271"/>
    <s v="SI"/>
    <n v="2.7272727272727271"/>
    <n v="0"/>
    <m/>
  </r>
  <r>
    <s v="NESTLE PURINA"/>
    <x v="2"/>
    <x v="1"/>
    <s v="SUPERETE"/>
    <n v="440039"/>
    <x v="3"/>
    <s v="SELECCIONE EL CANAL DEL PDV AUDITADO?"/>
    <s v=" TRADICIONAL"/>
    <m/>
    <n v="31137820"/>
    <s v="NestleP.5"/>
    <x v="0"/>
    <x v="0"/>
    <n v="0"/>
    <n v="0"/>
    <n v="0"/>
    <n v="0"/>
    <m/>
  </r>
  <r>
    <s v="NESTLE PURINA"/>
    <x v="2"/>
    <x v="1"/>
    <s v="SUPERETE"/>
    <n v="440039"/>
    <x v="3"/>
    <s v="CONOCE LOS INFALTABLES DEL PUNTO DE VENTA Y CUENTA CON EL MATERIAL DE APOYO (AYUDAVENTAS INFALTABLES)"/>
    <s v="SI"/>
    <m/>
    <n v="31137820"/>
    <s v="NestleP.5"/>
    <x v="0"/>
    <x v="2"/>
    <n v="2.7272727272727271"/>
    <s v="SI"/>
    <n v="2.7272727272727271"/>
    <n v="0"/>
    <m/>
  </r>
  <r>
    <s v="NESTLE PURINA"/>
    <x v="2"/>
    <x v="1"/>
    <s v="SUPERETE"/>
    <n v="440039"/>
    <x v="3"/>
    <s v="LOS PRODUCTOS ESTAN SURTIDOS DE ACUERDO A PEPS O FIFO (REVISAR TANTO PRODUCTO SECO COMO HUMEDO)"/>
    <s v="SI"/>
    <m/>
    <n v="31137820"/>
    <s v="NestleP.5"/>
    <x v="0"/>
    <x v="2"/>
    <n v="2.7272727272727271"/>
    <s v="SI"/>
    <n v="2.7272727272727271"/>
    <n v="0"/>
    <m/>
  </r>
  <r>
    <s v="NESTLE PURINA"/>
    <x v="2"/>
    <x v="1"/>
    <s v="SUPERETE"/>
    <n v="440039"/>
    <x v="3"/>
    <s v="LOS PRODUCTOS TIENEN EL PRECIO Y ESTAN ACORDE O CORRESPONDIENTE A CADA REFERENCIA (REVISAR LA FECHA DE IMPRESIÓN DEL PRECIO)"/>
    <s v="SI"/>
    <m/>
    <n v="31137820"/>
    <s v="NestleP.5"/>
    <x v="0"/>
    <x v="2"/>
    <n v="2.7272727272727271"/>
    <s v="SI"/>
    <n v="2.7272727272727271"/>
    <n v="0"/>
    <m/>
  </r>
  <r>
    <s v="NESTLE PURINA"/>
    <x v="2"/>
    <x v="1"/>
    <s v="SUPERETE"/>
    <n v="440039"/>
    <x v="3"/>
    <s v="EL LINEAL SE ENCUENTRA LIMPIO Y ORGANIZADO (EVIDENCIA POLVO O TIERRA EN EL PRODUCTO Y/O LINEAL)"/>
    <s v="SI"/>
    <m/>
    <n v="31137820"/>
    <s v="NestleP.5"/>
    <x v="0"/>
    <x v="2"/>
    <n v="2.7272727272727271"/>
    <s v="SI"/>
    <n v="2.7272727272727271"/>
    <n v="0"/>
    <m/>
  </r>
  <r>
    <s v="NESTLE PURINA"/>
    <x v="2"/>
    <x v="1"/>
    <s v="SUPERETE"/>
    <n v="440039"/>
    <x v="3"/>
    <s v="USA ACCESORIOS QUE NO CUMPLE CON EL CODIGO DE VESTIMENTA"/>
    <s v="NO"/>
    <m/>
    <n v="31137820"/>
    <s v="NestleP.5"/>
    <x v="0"/>
    <x v="3"/>
    <n v="1"/>
    <s v="NO"/>
    <n v="1"/>
    <n v="0"/>
    <m/>
  </r>
  <r>
    <s v="NESTLE PURINA"/>
    <x v="2"/>
    <x v="1"/>
    <s v="SUPERETE"/>
    <n v="440039"/>
    <x v="3"/>
    <s v="TIENE UÑAS LLAMATIVAS Y/O LARGAS QUE NO CUMPLE CON EL CODIGO DE VESTIMENTA"/>
    <s v="NO"/>
    <m/>
    <n v="31137820"/>
    <s v="NestleP.5"/>
    <x v="0"/>
    <x v="3"/>
    <n v="1"/>
    <s v="NO"/>
    <n v="1"/>
    <n v="0"/>
    <m/>
  </r>
  <r>
    <s v="NESTLE PURINA"/>
    <x v="2"/>
    <x v="1"/>
    <s v="SUPERETE"/>
    <n v="440039"/>
    <x v="3"/>
    <s v="TIENE TATUAJES O PIERCINGS VISIBLES QUE NO CUMPLE CON EL CODIGO DE VESTIMENTA"/>
    <s v="NO"/>
    <m/>
    <n v="31137820"/>
    <s v="NestleP.5"/>
    <x v="0"/>
    <x v="3"/>
    <n v="1"/>
    <s v="NO"/>
    <n v="1"/>
    <n v="0"/>
    <m/>
  </r>
  <r>
    <s v="NESTLE PURINA"/>
    <x v="2"/>
    <x v="1"/>
    <s v="SUPERETE"/>
    <n v="440039"/>
    <x v="3"/>
    <s v="PRESENTA EXCESO DE MAQUILLAJE QUE NO CUMPLE CON EL CODIGO DE VESTIMENTA"/>
    <s v="NO"/>
    <m/>
    <n v="31137820"/>
    <s v="NestleP.5"/>
    <x v="0"/>
    <x v="3"/>
    <n v="1"/>
    <s v="NO"/>
    <n v="1"/>
    <n v="0"/>
    <m/>
  </r>
  <r>
    <s v="NESTLE PURINA"/>
    <x v="2"/>
    <x v="1"/>
    <s v="SUPERETE"/>
    <n v="440039"/>
    <x v="3"/>
    <s v="SU CABELLO LUCE LIMPIO, ORGANIZADO O RECOGIDO"/>
    <s v="SI"/>
    <m/>
    <n v="31137820"/>
    <s v="NestleP.5"/>
    <x v="0"/>
    <x v="3"/>
    <n v="1"/>
    <s v="SI"/>
    <n v="1"/>
    <n v="0"/>
    <m/>
  </r>
  <r>
    <s v="NESTLE PURINA"/>
    <x v="2"/>
    <x v="1"/>
    <s v="SUPERETE"/>
    <n v="440039"/>
    <x v="3"/>
    <s v="POSEE ALGUNA PRENDA ENCIMA DEL UNIFORME NO AUTORIZADA POR LA MARCA (UNICAMENTE ESTA PERMITIDO CHALECO DE SODIMAC Y EASY)"/>
    <s v="NO"/>
    <m/>
    <n v="31137820"/>
    <s v="NestleP.5"/>
    <x v="0"/>
    <x v="3"/>
    <n v="1"/>
    <s v="NO"/>
    <n v="1"/>
    <n v="0"/>
    <m/>
  </r>
  <r>
    <s v="NESTLE PURINA"/>
    <x v="2"/>
    <x v="1"/>
    <s v="SUPERETE"/>
    <n v="440039"/>
    <x v="3"/>
    <s v="CT - CONOCE LAS INNOVACIONES - NUTRICION REFORZADA DE WET? ESTA DISPONIBLE EN PDV?"/>
    <s v="SI"/>
    <m/>
    <n v="31137820"/>
    <s v="NestleP.5"/>
    <x v="0"/>
    <x v="1"/>
    <n v="10"/>
    <s v="SI"/>
    <n v="10"/>
    <n v="0"/>
    <m/>
  </r>
  <r>
    <s v="NESTLE PURINA"/>
    <x v="2"/>
    <x v="1"/>
    <s v="SUPERETE"/>
    <n v="440039"/>
    <x v="3"/>
    <s v="DESEA AÑADIR ALGUNA OBSERVACION / NOVEDAD CON LA AUDITORIA REALIZADA?"/>
    <s v="NO"/>
    <m/>
    <n v="31137820"/>
    <s v="NestleP.5"/>
    <x v="0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270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G22" firstHeaderRow="1" firstDataRow="2" firstDataCol="1"/>
  <pivotFields count="19">
    <pivotField showAll="0"/>
    <pivotField showAll="0">
      <items count="13">
        <item m="1" x="8"/>
        <item x="2"/>
        <item x="0"/>
        <item m="1" x="9"/>
        <item x="1"/>
        <item m="1" x="3"/>
        <item m="1" x="4"/>
        <item m="1" x="7"/>
        <item m="1" x="11"/>
        <item m="1" x="5"/>
        <item m="1" x="6"/>
        <item m="1" x="10"/>
        <item t="default"/>
      </items>
    </pivotField>
    <pivotField axis="axisCol" showAll="0">
      <items count="4">
        <item h="1" m="1" x="2"/>
        <item x="0"/>
        <item x="1"/>
        <item t="default"/>
      </items>
    </pivotField>
    <pivotField showAll="0"/>
    <pivotField showAll="0"/>
    <pivotField showAll="0">
      <items count="154">
        <item m="1" x="65"/>
        <item m="1" x="57"/>
        <item m="1" x="23"/>
        <item m="1" x="22"/>
        <item m="1" x="34"/>
        <item m="1" x="17"/>
        <item m="1" x="77"/>
        <item m="1" x="70"/>
        <item m="1" x="130"/>
        <item m="1" x="129"/>
        <item m="1" x="63"/>
        <item m="1" x="67"/>
        <item m="1" x="64"/>
        <item m="1" x="120"/>
        <item m="1" x="82"/>
        <item m="1" x="74"/>
        <item x="0"/>
        <item m="1" x="71"/>
        <item m="1" x="76"/>
        <item m="1" x="51"/>
        <item m="1" x="44"/>
        <item m="1" x="35"/>
        <item m="1" x="80"/>
        <item m="1" x="42"/>
        <item x="1"/>
        <item m="1" x="16"/>
        <item m="1" x="50"/>
        <item m="1" x="43"/>
        <item m="1" x="87"/>
        <item m="1" x="86"/>
        <item m="1" x="33"/>
        <item m="1" x="39"/>
        <item m="1" x="31"/>
        <item m="1" x="53"/>
        <item m="1" x="128"/>
        <item m="1" x="52"/>
        <item m="1" x="48"/>
        <item m="1" x="15"/>
        <item m="1" x="8"/>
        <item m="1" x="13"/>
        <item m="1" x="54"/>
        <item m="1" x="32"/>
        <item m="1" x="26"/>
        <item m="1" x="58"/>
        <item m="1" x="38"/>
        <item m="1" x="28"/>
        <item m="1" x="79"/>
        <item m="1" x="127"/>
        <item m="1" x="4"/>
        <item m="1" x="11"/>
        <item m="1" x="123"/>
        <item m="1" x="119"/>
        <item m="1" x="14"/>
        <item x="2"/>
        <item m="1" x="131"/>
        <item m="1" x="132"/>
        <item m="1" x="125"/>
        <item m="1" x="124"/>
        <item m="1" x="5"/>
        <item m="1" x="27"/>
        <item m="1" x="9"/>
        <item m="1" x="21"/>
        <item m="1" x="68"/>
        <item m="1" x="49"/>
        <item m="1" x="83"/>
        <item m="1" x="66"/>
        <item m="1" x="118"/>
        <item m="1" x="18"/>
        <item m="1" x="24"/>
        <item m="1" x="47"/>
        <item m="1" x="117"/>
        <item x="3"/>
        <item m="1" x="30"/>
        <item m="1" x="133"/>
        <item m="1" x="12"/>
        <item m="1" x="7"/>
        <item m="1" x="55"/>
        <item m="1" x="29"/>
        <item m="1" x="6"/>
        <item m="1" x="60"/>
        <item m="1" x="81"/>
        <item m="1" x="62"/>
        <item m="1" x="41"/>
        <item m="1" x="45"/>
        <item m="1" x="20"/>
        <item m="1" x="78"/>
        <item m="1" x="36"/>
        <item m="1" x="25"/>
        <item m="1" x="95"/>
        <item m="1" x="112"/>
        <item m="1" x="110"/>
        <item m="1" x="140"/>
        <item m="1" x="134"/>
        <item m="1" x="137"/>
        <item m="1" x="136"/>
        <item m="1" x="115"/>
        <item m="1" x="146"/>
        <item m="1" x="46"/>
        <item m="1" x="116"/>
        <item m="1" x="135"/>
        <item m="1" x="94"/>
        <item m="1" x="56"/>
        <item m="1" x="106"/>
        <item m="1" x="37"/>
        <item m="1" x="142"/>
        <item m="1" x="126"/>
        <item m="1" x="114"/>
        <item m="1" x="69"/>
        <item m="1" x="89"/>
        <item m="1" x="144"/>
        <item m="1" x="102"/>
        <item m="1" x="72"/>
        <item m="1" x="100"/>
        <item m="1" x="88"/>
        <item m="1" x="90"/>
        <item m="1" x="151"/>
        <item m="1" x="96"/>
        <item m="1" x="103"/>
        <item m="1" x="75"/>
        <item m="1" x="148"/>
        <item m="1" x="84"/>
        <item m="1" x="91"/>
        <item m="1" x="73"/>
        <item m="1" x="147"/>
        <item m="1" x="92"/>
        <item m="1" x="145"/>
        <item m="1" x="122"/>
        <item m="1" x="40"/>
        <item m="1" x="149"/>
        <item m="1" x="108"/>
        <item m="1" x="59"/>
        <item m="1" x="104"/>
        <item m="1" x="111"/>
        <item m="1" x="93"/>
        <item m="1" x="152"/>
        <item m="1" x="150"/>
        <item m="1" x="107"/>
        <item m="1" x="101"/>
        <item m="1" x="85"/>
        <item m="1" x="97"/>
        <item m="1" x="105"/>
        <item m="1" x="98"/>
        <item m="1" x="109"/>
        <item m="1" x="99"/>
        <item m="1" x="143"/>
        <item m="1" x="138"/>
        <item m="1" x="10"/>
        <item m="1" x="141"/>
        <item m="1" x="139"/>
        <item m="1" x="121"/>
        <item m="1" x="61"/>
        <item m="1" x="19"/>
        <item m="1" x="113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5"/>
    </i>
    <i>
      <x v="4"/>
    </i>
    <i>
      <x v="2"/>
    </i>
    <i>
      <x v="3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uma de % MYSTERY" fld="18" baseField="0" baseItem="0" numFmtId="9"/>
  </dataFields>
  <formats count="17">
    <format dxfId="128">
      <pivotArea outline="0" collapsedLevelsAreSubtotals="1" fieldPosition="0"/>
    </format>
    <format dxfId="127">
      <pivotArea dataOnly="0" labelOnly="1" grandCol="1" outline="0" fieldPosition="0"/>
    </format>
    <format dxfId="126">
      <pivotArea dataOnly="0" labelOnly="1" grandCol="1" outline="0" fieldPosition="0"/>
    </format>
    <format dxfId="125">
      <pivotArea grandRow="1" outline="0" collapsedLevelsAreSubtotals="1" fieldPosition="0"/>
    </format>
    <format dxfId="124">
      <pivotArea grandRow="1" outline="0" collapsedLevelsAreSubtotals="1" fieldPosition="0"/>
    </format>
    <format dxfId="123">
      <pivotArea dataOnly="0" labelOnly="1" grandCol="1" outline="0" fieldPosition="0"/>
    </format>
    <format dxfId="122">
      <pivotArea grandRow="1" grandCol="1" outline="0" collapsedLevelsAreSubtotals="1" fieldPosition="0"/>
    </format>
    <format dxfId="121">
      <pivotArea outline="0" collapsedLevelsAreSubtotals="1" fieldPosition="0"/>
    </format>
    <format dxfId="120">
      <pivotArea field="2" type="button" dataOnly="0" labelOnly="1" outline="0" axis="axisCol" fieldPosition="0"/>
    </format>
    <format dxfId="119">
      <pivotArea type="topRight" dataOnly="0" labelOnly="1" outline="0" fieldPosition="0"/>
    </format>
    <format dxfId="118">
      <pivotArea dataOnly="0" labelOnly="1" fieldPosition="0">
        <references count="1">
          <reference field="2" count="0"/>
        </references>
      </pivotArea>
    </format>
    <format dxfId="117">
      <pivotArea dataOnly="0" labelOnly="1" grandCol="1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Col" fieldPosition="0"/>
    </format>
    <format dxfId="114">
      <pivotArea type="topRight" dataOnly="0" labelOnly="1" outline="0" fieldPosition="0"/>
    </format>
    <format dxfId="113">
      <pivotArea dataOnly="0" labelOnly="1" fieldPosition="0">
        <references count="1">
          <reference field="2" count="0"/>
        </references>
      </pivotArea>
    </format>
    <format dxfId="112">
      <pivotArea dataOnly="0" labelOnly="1" grandCol="1" outline="0" fieldPosition="0"/>
    </format>
  </formats>
  <chartFormats count="3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6" id="{F5C99382-1D20-44CA-9003-4F74D34D5C7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2"/>
                  </reference>
                </references>
              </pivotArea>
            </x14:pivotAreas>
          </x14:conditionalFormat>
          <x14:conditionalFormat priority="19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99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26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6">
        <item x="2"/>
        <item x="0"/>
        <item x="1"/>
        <item m="1" x="3"/>
        <item m="1" x="4"/>
        <item m="1" x="7"/>
        <item m="1" x="5"/>
        <item m="1" x="14"/>
        <item m="1" x="13"/>
        <item m="1" x="12"/>
        <item m="1" x="6"/>
        <item m="1" x="10"/>
        <item m="1" x="11"/>
        <item m="1" x="8"/>
        <item m="1" x="9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15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1">
      <pivotArea outline="0" collapsedLevelsAreSubtotals="1" fieldPosition="0"/>
    </format>
    <format dxfId="1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9">
      <pivotArea outline="0" collapsedLevelsAreSubtotals="1" fieldPosition="0"/>
    </format>
    <format dxfId="1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6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4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40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38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37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6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35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34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3">
      <pivotArea field="1" type="button" dataOnly="0" labelOnly="1" outline="0" axis="axisRow" fieldPosition="0"/>
    </format>
    <format dxfId="1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1">
      <pivotArea dataOnly="0" labelOnly="1" grandRow="1" outline="0" fieldPosition="0"/>
    </format>
    <format dxfId="13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29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270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6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m="1" x="3"/>
        <item m="1" x="7"/>
        <item m="1" x="5"/>
        <item x="2"/>
        <item m="1" x="11"/>
        <item m="1" x="10"/>
        <item m="1" x="9"/>
        <item m="1" x="4"/>
        <item m="1" x="8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h="1"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53">
        <item m="1" x="140"/>
        <item m="1" x="146"/>
        <item m="1" x="142"/>
        <item m="1" x="144"/>
        <item m="1" x="90"/>
        <item m="1" x="151"/>
        <item m="1" x="75"/>
        <item m="1" x="148"/>
        <item m="1" x="73"/>
        <item m="1" x="147"/>
        <item m="1" x="145"/>
        <item m="1" x="149"/>
        <item m="1" x="152"/>
        <item m="1" x="150"/>
        <item m="1" x="143"/>
        <item m="1" x="138"/>
        <item m="1" x="141"/>
        <item m="1" x="139"/>
        <item m="1" x="121"/>
        <item m="1" x="72"/>
        <item m="1" x="137"/>
        <item m="1" x="135"/>
        <item m="1" x="136"/>
        <item m="1" x="134"/>
        <item m="1" x="40"/>
        <item m="1" x="126"/>
        <item m="1" x="127"/>
        <item m="1" x="128"/>
        <item m="1" x="129"/>
        <item m="1" x="130"/>
        <item m="1" x="131"/>
        <item m="1" x="132"/>
        <item m="1" x="133"/>
        <item m="1" x="122"/>
        <item m="1" x="114"/>
        <item m="1" x="115"/>
        <item m="1" x="116"/>
        <item m="1" x="117"/>
        <item m="1" x="118"/>
        <item m="1" x="123"/>
        <item m="1" x="119"/>
        <item m="1" x="124"/>
        <item m="1" x="125"/>
        <item m="1" x="120"/>
        <item m="1" x="108"/>
        <item m="1" x="111"/>
        <item m="1" x="110"/>
        <item m="1" x="109"/>
        <item m="1" x="113"/>
        <item m="1" x="112"/>
        <item m="1" x="19"/>
        <item m="1" x="98"/>
        <item m="1" x="97"/>
        <item m="1" x="95"/>
        <item m="1" x="56"/>
        <item m="1" x="101"/>
        <item m="1" x="102"/>
        <item m="1" x="96"/>
        <item m="1" x="94"/>
        <item m="1" x="107"/>
        <item m="1" x="99"/>
        <item m="1" x="100"/>
        <item m="1" x="103"/>
        <item m="1" x="106"/>
        <item m="1" x="104"/>
        <item m="1" x="59"/>
        <item m="1" x="105"/>
        <item m="1" x="91"/>
        <item m="1" x="69"/>
        <item m="1" x="92"/>
        <item m="1" x="89"/>
        <item m="1" x="93"/>
        <item m="1" x="84"/>
        <item m="1" x="85"/>
        <item m="1" x="87"/>
        <item m="1" x="86"/>
        <item m="1" x="88"/>
        <item m="1" x="80"/>
        <item m="1" x="74"/>
        <item m="1" x="77"/>
        <item m="1" x="79"/>
        <item m="1" x="82"/>
        <item m="1" x="81"/>
        <item m="1" x="83"/>
        <item m="1" x="78"/>
        <item m="1" x="76"/>
        <item m="1" x="70"/>
        <item m="1" x="67"/>
        <item m="1" x="68"/>
        <item m="1" x="71"/>
        <item m="1" x="64"/>
        <item m="1" x="60"/>
        <item m="1" x="62"/>
        <item m="1" x="61"/>
        <item m="1" x="66"/>
        <item m="1" x="65"/>
        <item m="1" x="63"/>
        <item m="1" x="46"/>
        <item m="1" x="47"/>
        <item m="1" x="48"/>
        <item m="1" x="49"/>
        <item m="1" x="50"/>
        <item m="1" x="51"/>
        <item m="1" x="52"/>
        <item m="1" x="53"/>
        <item m="1" x="4"/>
        <item m="1" x="54"/>
        <item m="1" x="55"/>
        <item m="1" x="57"/>
        <item m="1" x="58"/>
        <item m="1" x="41"/>
        <item m="1" x="42"/>
        <item m="1" x="43"/>
        <item x="2"/>
        <item m="1" x="28"/>
        <item m="1" x="44"/>
        <item m="1" x="24"/>
        <item m="1" x="12"/>
        <item m="1" x="45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8"/>
        <item m="1" x="22"/>
        <item m="1" x="29"/>
        <item m="1" x="21"/>
        <item m="1" x="27"/>
        <item m="1" x="25"/>
        <item m="1" x="23"/>
        <item m="1" x="26"/>
        <item m="1" x="13"/>
        <item m="1" x="16"/>
        <item m="1" x="15"/>
        <item m="1" x="14"/>
        <item m="1" x="17"/>
        <item m="1" x="20"/>
        <item m="1" x="18"/>
        <item m="1" x="9"/>
        <item m="1" x="10"/>
        <item m="1" x="11"/>
        <item m="1" x="5"/>
        <item m="1" x="6"/>
        <item m="1" x="7"/>
        <item x="0"/>
        <item x="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1"/>
        <item x="2"/>
        <item x="4"/>
        <item h="1"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/>
      <x v="1"/>
      <x v="150"/>
    </i>
    <i r="1">
      <x v="2"/>
      <x v="151"/>
    </i>
    <i>
      <x v="5"/>
      <x v="2"/>
      <x v="152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1">
    <format dxfId="193">
      <pivotArea outline="0" collapsedLevelsAreSubtotals="1" fieldPosition="0"/>
    </format>
    <format dxfId="192">
      <pivotArea outline="0" collapsedLevelsAreSubtotals="1" fieldPosition="0"/>
    </format>
    <format dxfId="191">
      <pivotArea dataOnly="0" labelOnly="1" grandCol="1" outline="0" fieldPosition="0"/>
    </format>
    <format dxfId="190">
      <pivotArea outline="0" collapsedLevelsAreSubtotals="1" fieldPosition="0"/>
    </format>
    <format dxfId="189">
      <pivotArea dataOnly="0" labelOnly="1" grandCol="1" outline="0" fieldPosition="0"/>
    </format>
    <format dxfId="188">
      <pivotArea grandRow="1" outline="0" collapsedLevelsAreSubtotals="1" fieldPosition="0"/>
    </format>
    <format dxfId="187">
      <pivotArea grandRow="1" outline="0" collapsedLevelsAreSubtotals="1" fieldPosition="0"/>
    </format>
    <format dxfId="186">
      <pivotArea dataOnly="0" labelOnly="1" grandCol="1" outline="0" fieldPosition="0"/>
    </format>
    <format dxfId="185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84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83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82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181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180">
      <pivotArea field="1" type="button" dataOnly="0" labelOnly="1" outline="0" axis="axisRow" fieldPosition="0"/>
    </format>
    <format dxfId="179">
      <pivotArea field="5" type="button" dataOnly="0" labelOnly="1" outline="0" axis="axisRow" fieldPosition="2"/>
    </format>
    <format dxfId="178">
      <pivotArea dataOnly="0" labelOnly="1" outline="0" fieldPosition="0">
        <references count="1">
          <reference field="12" count="0"/>
        </references>
      </pivotArea>
    </format>
    <format dxfId="177">
      <pivotArea dataOnly="0" labelOnly="1" grandCol="1" outline="0" fieldPosition="0"/>
    </format>
    <format dxfId="176">
      <pivotArea field="1" type="button" dataOnly="0" labelOnly="1" outline="0" axis="axisRow" fieldPosition="0"/>
    </format>
    <format dxfId="175">
      <pivotArea field="5" type="button" dataOnly="0" labelOnly="1" outline="0" axis="axisRow" fieldPosition="2"/>
    </format>
    <format dxfId="174">
      <pivotArea dataOnly="0" labelOnly="1" outline="0" fieldPosition="0">
        <references count="1">
          <reference field="12" count="0"/>
        </references>
      </pivotArea>
    </format>
    <format dxfId="173">
      <pivotArea dataOnly="0" labelOnly="1" grandCol="1" outline="0" fieldPosition="0"/>
    </format>
    <format dxfId="172">
      <pivotArea field="2" type="button" dataOnly="0" labelOnly="1" outline="0" axis="axisRow" fieldPosition="1"/>
    </format>
    <format dxfId="171">
      <pivotArea field="1" type="button" dataOnly="0" labelOnly="1" outline="0" axis="axisRow" fieldPosition="0"/>
    </format>
    <format dxfId="170">
      <pivotArea field="2" type="button" dataOnly="0" labelOnly="1" outline="0" axis="axisRow" fieldPosition="1"/>
    </format>
    <format dxfId="169">
      <pivotArea field="5" type="button" dataOnly="0" labelOnly="1" outline="0" axis="axisRow" fieldPosition="2"/>
    </format>
    <format dxfId="168">
      <pivotArea dataOnly="0" labelOnly="1" outline="0" fieldPosition="0">
        <references count="1">
          <reference field="12" count="0"/>
        </references>
      </pivotArea>
    </format>
    <format dxfId="167">
      <pivotArea dataOnly="0" labelOnly="1" grandCol="1" outline="0" fieldPosition="0"/>
    </format>
    <format dxfId="166">
      <pivotArea field="1" type="button" dataOnly="0" labelOnly="1" outline="0" axis="axisRow" fieldPosition="0"/>
    </format>
    <format dxfId="165">
      <pivotArea field="2" type="button" dataOnly="0" labelOnly="1" outline="0" axis="axisRow" fieldPosition="1"/>
    </format>
    <format dxfId="164">
      <pivotArea field="5" type="button" dataOnly="0" labelOnly="1" outline="0" axis="axisRow" fieldPosition="2"/>
    </format>
    <format dxfId="163">
      <pivotArea dataOnly="0" labelOnly="1" outline="0" fieldPosition="0">
        <references count="1">
          <reference field="12" count="0"/>
        </references>
      </pivotArea>
    </format>
    <format dxfId="162">
      <pivotArea field="12" grandRow="1" outline="0" axis="axisCol" fieldPosition="0">
        <references count="1">
          <reference field="12" count="0" selected="0"/>
        </references>
      </pivotArea>
    </format>
    <format dxfId="161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60">
      <pivotArea dataOnly="0" labelOnly="1" grandRow="1" outline="0" fieldPosition="0"/>
    </format>
    <format dxfId="159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158">
      <pivotArea dataOnly="0" labelOnly="1" grandRow="1" outline="0" fieldPosition="0"/>
    </format>
    <format dxfId="157">
      <pivotArea field="11" type="button" dataOnly="0" labelOnly="1" outline="0" axis="axisPage" fieldPosition="0"/>
    </format>
    <format dxfId="156">
      <pivotArea field="12" grandRow="1" outline="0" axis="axisCol" fieldPosition="0">
        <references count="1">
          <reference field="12" count="0" selected="0"/>
        </references>
      </pivotArea>
    </format>
    <format dxfId="155">
      <pivotArea field="12" grandRow="1" outline="0" axis="axisCol" fieldPosition="0">
        <references count="1">
          <reference field="12" count="0" selected="0"/>
        </references>
      </pivotArea>
    </format>
    <format dxfId="154">
      <pivotArea field="12" grandRow="1" outline="0" axis="axisCol" fieldPosition="0">
        <references count="1">
          <reference field="12" count="0" selected="0"/>
        </references>
      </pivotArea>
    </format>
    <format dxfId="153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3">
          <x14:conditionalFormat priority="1" id="{1F94881B-21B8-4B25-9F26-6027EC17C078}">
            <x14:pivotAreas count="1">
              <pivotArea type="data" grandRow="1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2" id="{7F6792EB-B305-47AC-B59E-D9E08A358292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3" selected="0">
                    <x v="0"/>
                    <x v="1"/>
                    <x v="2"/>
                  </reference>
                  <reference field="2" count="1" selected="0">
                    <x v="2"/>
                  </reference>
                  <reference field="5" count="3" selected="0">
                    <x v="113"/>
                    <x v="129"/>
                    <x v="144"/>
                  </reference>
                </references>
              </pivotArea>
            </x14:pivotAreas>
          </x14:conditionalFormat>
          <x14:conditionalFormat priority="12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270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G32" firstHeaderRow="1" firstDataRow="2" firstDataCol="1"/>
  <pivotFields count="19">
    <pivotField showAll="0"/>
    <pivotField axis="axisCol" showAll="0">
      <items count="13">
        <item x="0"/>
        <item x="1"/>
        <item m="1" x="3"/>
        <item m="1" x="7"/>
        <item m="1" x="5"/>
        <item x="2"/>
        <item m="1" x="11"/>
        <item m="1" x="10"/>
        <item m="1" x="9"/>
        <item m="1" x="4"/>
        <item m="1" x="8"/>
        <item m="1" x="6"/>
        <item t="default"/>
      </items>
    </pivotField>
    <pivotField showAll="0"/>
    <pivotField showAll="0"/>
    <pivotField showAll="0"/>
    <pivotField showAll="0">
      <items count="154">
        <item m="1" x="65"/>
        <item m="1" x="57"/>
        <item m="1" x="23"/>
        <item m="1" x="22"/>
        <item m="1" x="34"/>
        <item m="1" x="17"/>
        <item m="1" x="77"/>
        <item m="1" x="70"/>
        <item m="1" x="130"/>
        <item m="1" x="129"/>
        <item m="1" x="63"/>
        <item m="1" x="67"/>
        <item m="1" x="64"/>
        <item m="1" x="120"/>
        <item m="1" x="82"/>
        <item m="1" x="74"/>
        <item x="0"/>
        <item m="1" x="71"/>
        <item m="1" x="76"/>
        <item m="1" x="51"/>
        <item m="1" x="44"/>
        <item m="1" x="35"/>
        <item m="1" x="80"/>
        <item m="1" x="42"/>
        <item x="1"/>
        <item m="1" x="16"/>
        <item m="1" x="50"/>
        <item m="1" x="43"/>
        <item m="1" x="87"/>
        <item m="1" x="86"/>
        <item m="1" x="33"/>
        <item m="1" x="39"/>
        <item m="1" x="31"/>
        <item m="1" x="53"/>
        <item m="1" x="128"/>
        <item m="1" x="52"/>
        <item m="1" x="48"/>
        <item m="1" x="15"/>
        <item m="1" x="8"/>
        <item m="1" x="13"/>
        <item m="1" x="54"/>
        <item m="1" x="32"/>
        <item m="1" x="26"/>
        <item m="1" x="58"/>
        <item m="1" x="38"/>
        <item m="1" x="28"/>
        <item m="1" x="79"/>
        <item m="1" x="127"/>
        <item m="1" x="4"/>
        <item m="1" x="11"/>
        <item m="1" x="123"/>
        <item m="1" x="119"/>
        <item m="1" x="14"/>
        <item x="2"/>
        <item m="1" x="131"/>
        <item m="1" x="132"/>
        <item m="1" x="125"/>
        <item m="1" x="124"/>
        <item m="1" x="5"/>
        <item m="1" x="27"/>
        <item m="1" x="9"/>
        <item m="1" x="21"/>
        <item m="1" x="68"/>
        <item m="1" x="49"/>
        <item m="1" x="83"/>
        <item m="1" x="66"/>
        <item m="1" x="118"/>
        <item m="1" x="18"/>
        <item m="1" x="24"/>
        <item m="1" x="47"/>
        <item m="1" x="117"/>
        <item x="3"/>
        <item m="1" x="30"/>
        <item m="1" x="133"/>
        <item m="1" x="12"/>
        <item m="1" x="7"/>
        <item m="1" x="55"/>
        <item m="1" x="29"/>
        <item m="1" x="6"/>
        <item m="1" x="60"/>
        <item m="1" x="81"/>
        <item m="1" x="62"/>
        <item m="1" x="41"/>
        <item m="1" x="45"/>
        <item m="1" x="20"/>
        <item m="1" x="78"/>
        <item m="1" x="36"/>
        <item m="1" x="25"/>
        <item m="1" x="95"/>
        <item m="1" x="112"/>
        <item m="1" x="110"/>
        <item m="1" x="140"/>
        <item m="1" x="134"/>
        <item m="1" x="137"/>
        <item m="1" x="136"/>
        <item m="1" x="115"/>
        <item m="1" x="146"/>
        <item m="1" x="46"/>
        <item m="1" x="116"/>
        <item m="1" x="135"/>
        <item m="1" x="94"/>
        <item m="1" x="56"/>
        <item m="1" x="106"/>
        <item m="1" x="37"/>
        <item m="1" x="142"/>
        <item m="1" x="126"/>
        <item m="1" x="114"/>
        <item m="1" x="69"/>
        <item m="1" x="89"/>
        <item m="1" x="144"/>
        <item m="1" x="102"/>
        <item m="1" x="72"/>
        <item m="1" x="100"/>
        <item m="1" x="88"/>
        <item m="1" x="90"/>
        <item m="1" x="151"/>
        <item m="1" x="96"/>
        <item m="1" x="103"/>
        <item m="1" x="75"/>
        <item m="1" x="148"/>
        <item m="1" x="84"/>
        <item m="1" x="91"/>
        <item m="1" x="73"/>
        <item m="1" x="147"/>
        <item m="1" x="92"/>
        <item m="1" x="145"/>
        <item m="1" x="122"/>
        <item m="1" x="40"/>
        <item m="1" x="149"/>
        <item m="1" x="108"/>
        <item m="1" x="59"/>
        <item m="1" x="104"/>
        <item m="1" x="111"/>
        <item m="1" x="93"/>
        <item m="1" x="152"/>
        <item m="1" x="150"/>
        <item m="1" x="107"/>
        <item m="1" x="101"/>
        <item m="1" x="85"/>
        <item m="1" x="97"/>
        <item m="1" x="105"/>
        <item m="1" x="98"/>
        <item m="1" x="109"/>
        <item m="1" x="99"/>
        <item m="1" x="143"/>
        <item m="1" x="138"/>
        <item m="1" x="10"/>
        <item m="1" x="141"/>
        <item m="1" x="139"/>
        <item m="1" x="121"/>
        <item m="1" x="61"/>
        <item m="1" x="19"/>
        <item m="1" x="113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5"/>
    </i>
    <i>
      <x v="4"/>
    </i>
    <i>
      <x v="2"/>
    </i>
    <i>
      <x v="3"/>
    </i>
    <i t="grand">
      <x/>
    </i>
  </rowItems>
  <colFields count="1">
    <field x="1"/>
  </colFields>
  <colItems count="3">
    <i>
      <x/>
    </i>
    <i>
      <x v="5"/>
    </i>
    <i t="grand">
      <x/>
    </i>
  </colItems>
  <dataFields count="1">
    <dataField name="Suma de % MYSTERY" fld="18" baseField="0" baseItem="0" numFmtId="9"/>
  </dataFields>
  <formats count="17">
    <format dxfId="210">
      <pivotArea outline="0" collapsedLevelsAreSubtotals="1" fieldPosition="0"/>
    </format>
    <format dxfId="209">
      <pivotArea dataOnly="0" labelOnly="1" grandCol="1" outline="0" fieldPosition="0"/>
    </format>
    <format dxfId="208">
      <pivotArea dataOnly="0" labelOnly="1" grandCol="1" outline="0" fieldPosition="0"/>
    </format>
    <format dxfId="207">
      <pivotArea grandRow="1" outline="0" collapsedLevelsAreSubtotals="1" fieldPosition="0"/>
    </format>
    <format dxfId="206">
      <pivotArea grandRow="1" outline="0" collapsedLevelsAreSubtotals="1" fieldPosition="0"/>
    </format>
    <format dxfId="205">
      <pivotArea dataOnly="0" labelOnly="1" grandCol="1" outline="0" fieldPosition="0"/>
    </format>
    <format dxfId="204">
      <pivotArea grandRow="1" grandCol="1" outline="0" collapsedLevelsAreSubtotals="1" fieldPosition="0"/>
    </format>
    <format dxfId="203">
      <pivotArea outline="0" collapsedLevelsAreSubtotals="1" fieldPosition="0"/>
    </format>
    <format dxfId="202">
      <pivotArea field="1" type="button" dataOnly="0" labelOnly="1" outline="0" axis="axisCol" fieldPosition="0"/>
    </format>
    <format dxfId="201">
      <pivotArea type="topRight" dataOnly="0" labelOnly="1" outline="0" fieldPosition="0"/>
    </format>
    <format dxfId="200">
      <pivotArea dataOnly="0" labelOnly="1" fieldPosition="0">
        <references count="1">
          <reference field="1" count="0"/>
        </references>
      </pivotArea>
    </format>
    <format dxfId="199">
      <pivotArea dataOnly="0" labelOnly="1" grandCol="1" outline="0" fieldPosition="0"/>
    </format>
    <format dxfId="198">
      <pivotArea outline="0" collapsedLevelsAreSubtotals="1" fieldPosition="0"/>
    </format>
    <format dxfId="197">
      <pivotArea field="1" type="button" dataOnly="0" labelOnly="1" outline="0" axis="axisCol" fieldPosition="0"/>
    </format>
    <format dxfId="196">
      <pivotArea type="topRight" dataOnly="0" labelOnly="1" outline="0" fieldPosition="0"/>
    </format>
    <format dxfId="195">
      <pivotArea dataOnly="0" labelOnly="1" fieldPosition="0">
        <references count="1">
          <reference field="1" count="0"/>
        </references>
      </pivotArea>
    </format>
    <format dxfId="194">
      <pivotArea dataOnly="0" labelOnly="1" grandCol="1" outline="0" fieldPosition="0"/>
    </format>
  </formats>
  <chartFormats count="11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8">
          <x14:conditionalFormat priority="7" id="{85A1CD4D-F31D-455D-B58C-E6469290DE1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  <x14:conditionalFormat priority="16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17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8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96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89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4" id="{C5BC4589-334D-49C5-AD2B-43ECB2263BB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3" id="{347E788A-5860-4605-A21F-0E523D13A542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307">
    <queryTableFields count="41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74" name="DESEA AÑADIR ALGUNA OBSERVACION / NOVEDAD CON LA AUDITORIA REALIZADA?" tableColumnId="33"/>
      <queryTableField id="229" name="INDIQUE OBSERVACIÓN/NOVEDAD" tableColumnId="43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224" name="EL LINEAL SE ENCUENTRA LIMPIO Y ORGANIZADO (EVIDENCIA POLVO O TIERRA EN EL PRODUCTO Y/O LINEAL)" tableColumnId="23"/>
      <queryTableField id="225" name="LOS PRODUCTOS TIENEN EL PRECIO Y ESTAN ACORDE O CORRESPONDIENTE A CADA REFERENCIA (REVISAR LA FECHA DE IMPRESIÓN DEL PRECIO)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71" name="SELECCIONE EL CANAL DEL PDV AUDITADO?" tableColumnId="30"/>
      <queryTableField id="209" name="MANEJA MARCA DE PERROS, GATOS O AMBOS, Y HAY PRESENCIA DE LA COMPETENCIA? (EN EL VIDEO DEBE QUEDAR LA VISUAL DE LAS MARCAS DE LA COMPETENCIA PRESENTES EN EL PDV)" tableColumnId="31"/>
      <queryTableField id="286" name="CONOCE EL % DE PARTICIPACIÓN QUE TIENEN LAS MARCAS PURINA DENTRO DEL UNIVERSO?" tableColumnId="40"/>
      <queryTableField id="287" name="CT - CONOCE EL PRECIO DE LA PAQUETERIA (DOG CHOW 350G / 475G; CAT CHOW 200G? (Si el mercaderista informa que el PDV no lo permite implementar quedaria como N/A)" tableColumnId="45"/>
      <queryTableField id="288" name="CT - CONOCE LAS INNOVACIONES  ALTA PROTEINA? ESTÁ DISPONIBLE EN PDV?" tableColumnId="47"/>
      <queryTableField id="259" name="CT - CONOCE LAS INNOVACIONES - RISTRAS WET? ESTA DISPONIBLE EN PDV?" tableColumnId="34"/>
      <queryTableField id="289" name="CT - CONOCE LAS INNOVACIONES - NUTRICION REFORZADA DE WET? ESTA DISPONIBLE EN PDV?" tableColumnId="48"/>
      <queryTableField id="208" name="CONOCE EL % DE PARTICIPACIÓN QUE TIENE EN EL PUNTO DE VENTA E INFORMA CUAL ES ESE % (REALIZAR EL EJERCICIO DE CONTAR LAS CARAS PARA VALIDAR SI ES CORRECTO)" tableColumnId="29"/>
      <queryTableField id="267" name="CM - TIENE IMPLEMENTADO EL MATERIAL POP CORRECPONDIENTE A LAS PROMOCIONES QUE APLICAN EN EL PDV?" tableColumnId="41"/>
      <queryTableField id="268" name="CM - TIENE ACTIVIDADES DE PLAN PEGA EN EL PDV?" tableColumnId="42"/>
      <queryTableField id="269" name="CM - DESCRIBA CUALES ACTIVIDADES DE PLAN PEGA TIENE EL PDV" tableColumnId="44"/>
      <queryTableField id="290" name="CM - TIENE MATERIAL POP DE LA PROMO CORPORATIVA?" tableColumnId="49"/>
      <queryTableField id="271" name="CM - TIENE IMPLEMENTADAS LAS EXHIBICIONES NEGOCIADAS EN EL PDV?" tableColumnId="4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2">
        <i x="2" s="1"/>
        <i x="0" s="1"/>
        <i x="8" s="1" nd="1"/>
        <i x="9" s="1" nd="1"/>
        <i x="1" s="1" nd="1"/>
        <i x="3" s="1" nd="1"/>
        <i x="4" s="1" nd="1"/>
        <i x="7" s="1" nd="1"/>
        <i x="11" s="1" nd="1"/>
        <i x="5" s="1" nd="1"/>
        <i x="6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53">
        <i x="0" s="1"/>
        <i x="1" s="1"/>
        <i x="3" s="1"/>
        <i x="65" s="1" nd="1"/>
        <i x="57" s="1" nd="1"/>
        <i x="23" s="1" nd="1"/>
        <i x="22" s="1" nd="1"/>
        <i x="34" s="1" nd="1"/>
        <i x="17" s="1" nd="1"/>
        <i x="77" s="1" nd="1"/>
        <i x="70" s="1" nd="1"/>
        <i x="130" s="1" nd="1"/>
        <i x="129" s="1" nd="1"/>
        <i x="63" s="1" nd="1"/>
        <i x="67" s="1" nd="1"/>
        <i x="64" s="1" nd="1"/>
        <i x="120" s="1" nd="1"/>
        <i x="82" s="1" nd="1"/>
        <i x="74" s="1" nd="1"/>
        <i x="71" s="1" nd="1"/>
        <i x="76" s="1" nd="1"/>
        <i x="51" s="1" nd="1"/>
        <i x="44" s="1" nd="1"/>
        <i x="35" s="1" nd="1"/>
        <i x="80" s="1" nd="1"/>
        <i x="42" s="1" nd="1"/>
        <i x="16" s="1" nd="1"/>
        <i x="50" s="1" nd="1"/>
        <i x="43" s="1" nd="1"/>
        <i x="87" s="1" nd="1"/>
        <i x="86" s="1" nd="1"/>
        <i x="33" s="1" nd="1"/>
        <i x="39" s="1" nd="1"/>
        <i x="31" s="1" nd="1"/>
        <i x="53" s="1" nd="1"/>
        <i x="128" s="1" nd="1"/>
        <i x="52" s="1" nd="1"/>
        <i x="48" s="1" nd="1"/>
        <i x="15" s="1" nd="1"/>
        <i x="8" s="1" nd="1"/>
        <i x="13" s="1" nd="1"/>
        <i x="54" s="1" nd="1"/>
        <i x="32" s="1" nd="1"/>
        <i x="26" s="1" nd="1"/>
        <i x="58" s="1" nd="1"/>
        <i x="38" s="1" nd="1"/>
        <i x="28" s="1" nd="1"/>
        <i x="79" s="1" nd="1"/>
        <i x="127" s="1" nd="1"/>
        <i x="4" s="1" nd="1"/>
        <i x="11" s="1" nd="1"/>
        <i x="123" s="1" nd="1"/>
        <i x="119" s="1" nd="1"/>
        <i x="14" s="1" nd="1"/>
        <i x="2" s="1" nd="1"/>
        <i x="131" s="1" nd="1"/>
        <i x="132" s="1" nd="1"/>
        <i x="125" s="1" nd="1"/>
        <i x="124" s="1" nd="1"/>
        <i x="5" s="1" nd="1"/>
        <i x="27" s="1" nd="1"/>
        <i x="9" s="1" nd="1"/>
        <i x="21" s="1" nd="1"/>
        <i x="68" s="1" nd="1"/>
        <i x="49" s="1" nd="1"/>
        <i x="83" s="1" nd="1"/>
        <i x="66" s="1" nd="1"/>
        <i x="118" s="1" nd="1"/>
        <i x="18" s="1" nd="1"/>
        <i x="24" s="1" nd="1"/>
        <i x="47" s="1" nd="1"/>
        <i x="117" s="1" nd="1"/>
        <i x="30" s="1" nd="1"/>
        <i x="133" s="1" nd="1"/>
        <i x="12" s="1" nd="1"/>
        <i x="7" s="1" nd="1"/>
        <i x="55" s="1" nd="1"/>
        <i x="29" s="1" nd="1"/>
        <i x="6" s="1" nd="1"/>
        <i x="60" s="1" nd="1"/>
        <i x="81" s="1" nd="1"/>
        <i x="62" s="1" nd="1"/>
        <i x="41" s="1" nd="1"/>
        <i x="45" s="1" nd="1"/>
        <i x="20" s="1" nd="1"/>
        <i x="78" s="1" nd="1"/>
        <i x="36" s="1" nd="1"/>
        <i x="25" s="1" nd="1"/>
        <i x="95" s="1" nd="1"/>
        <i x="112" s="1" nd="1"/>
        <i x="110" s="1" nd="1"/>
        <i x="140" s="1" nd="1"/>
        <i x="134" s="1" nd="1"/>
        <i x="137" s="1" nd="1"/>
        <i x="136" s="1" nd="1"/>
        <i x="115" s="1" nd="1"/>
        <i x="146" s="1" nd="1"/>
        <i x="46" s="1" nd="1"/>
        <i x="116" s="1" nd="1"/>
        <i x="135" s="1" nd="1"/>
        <i x="94" s="1" nd="1"/>
        <i x="56" s="1" nd="1"/>
        <i x="106" s="1" nd="1"/>
        <i x="37" s="1" nd="1"/>
        <i x="142" s="1" nd="1"/>
        <i x="126" s="1" nd="1"/>
        <i x="114" s="1" nd="1"/>
        <i x="69" s="1" nd="1"/>
        <i x="89" s="1" nd="1"/>
        <i x="144" s="1" nd="1"/>
        <i x="102" s="1" nd="1"/>
        <i x="72" s="1" nd="1"/>
        <i x="100" s="1" nd="1"/>
        <i x="88" s="1" nd="1"/>
        <i x="90" s="1" nd="1"/>
        <i x="151" s="1" nd="1"/>
        <i x="96" s="1" nd="1"/>
        <i x="103" s="1" nd="1"/>
        <i x="75" s="1" nd="1"/>
        <i x="148" s="1" nd="1"/>
        <i x="84" s="1" nd="1"/>
        <i x="91" s="1" nd="1"/>
        <i x="73" s="1" nd="1"/>
        <i x="147" s="1" nd="1"/>
        <i x="92" s="1" nd="1"/>
        <i x="145" s="1" nd="1"/>
        <i x="122" s="1" nd="1"/>
        <i x="40" s="1" nd="1"/>
        <i x="149" s="1" nd="1"/>
        <i x="108" s="1" nd="1"/>
        <i x="59" s="1" nd="1"/>
        <i x="104" s="1" nd="1"/>
        <i x="111" s="1" nd="1"/>
        <i x="93" s="1" nd="1"/>
        <i x="152" s="1" nd="1"/>
        <i x="150" s="1" nd="1"/>
        <i x="107" s="1" nd="1"/>
        <i x="101" s="1" nd="1"/>
        <i x="85" s="1" nd="1"/>
        <i x="97" s="1" nd="1"/>
        <i x="105" s="1" nd="1"/>
        <i x="98" s="1" nd="1"/>
        <i x="109" s="1" nd="1"/>
        <i x="99" s="1" nd="1"/>
        <i x="143" s="1" nd="1"/>
        <i x="138" s="1" nd="1"/>
        <i x="10" s="1" nd="1"/>
        <i x="141" s="1" nd="1"/>
        <i x="139" s="1" nd="1"/>
        <i x="121" s="1" nd="1"/>
        <i x="61" s="1" nd="1"/>
        <i x="19" s="1" nd="1"/>
        <i x="1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76" tableType="queryTable" totalsRowShown="0" dataDxfId="111">
  <sortState xmlns:xlrd2="http://schemas.microsoft.com/office/spreadsheetml/2017/richdata2" ref="A2:R76">
    <sortCondition ref="F1:F76"/>
  </sortState>
  <tableColumns count="18">
    <tableColumn id="1" xr3:uid="{F8980204-6799-4FD6-9D3F-ACBAADC7880C}" uniqueName="1" name="ACTIVIDAD" queryTableFieldId="1" dataDxfId="110"/>
    <tableColumn id="2" xr3:uid="{1473C919-5D8D-427F-BA10-68EF03B2B653}" uniqueName="2" name="CIUDAD" queryTableFieldId="2" dataDxfId="109"/>
    <tableColumn id="18" xr3:uid="{20FCDFA3-8687-4CA1-9A5B-AEA6FCAD9592}" uniqueName="18" name="CANAL" queryTableFieldId="24" dataDxfId="108"/>
    <tableColumn id="3" xr3:uid="{271FB548-EFFC-45F2-8177-856C35C071DC}" uniqueName="3" name="CADENA" queryTableFieldId="3" dataDxfId="107"/>
    <tableColumn id="4" xr3:uid="{F71A0A19-15B2-4D1D-905C-70CEC9D6AF47}" uniqueName="4" name="CODIGO PDV" queryTableFieldId="4" dataDxfId="106"/>
    <tableColumn id="5" xr3:uid="{E4FEADCA-E2DE-4789-9C78-5F8FB6496823}" uniqueName="5" name="NOMBRE COMERCIAL" queryTableFieldId="5" dataDxfId="105"/>
    <tableColumn id="6" xr3:uid="{5C99D03B-478A-40A2-B3AE-437E7D31990C}" uniqueName="6" name="PREGUNTA" queryTableFieldId="6" dataDxfId="104"/>
    <tableColumn id="7" xr3:uid="{A5EA4B65-C844-4AE4-AE87-CD2AEFA3E4BD}" uniqueName="7" name="RTA" queryTableFieldId="7" dataDxfId="103"/>
    <tableColumn id="8" xr3:uid="{8D71EA04-388B-4C72-AD67-882BB5218CAB}" uniqueName="8" name="FECHA VISITA" queryTableFieldId="8" dataDxfId="102"/>
    <tableColumn id="9" xr3:uid="{11007230-BF6F-4DA6-9C0C-28D77621834B}" uniqueName="9" name="CODIGO RUTA" queryTableFieldId="9" dataDxfId="101"/>
    <tableColumn id="10" xr3:uid="{CF07A078-D8EF-4D63-9B89-6F593201E2E4}" uniqueName="10" name="USUARIO" queryTableFieldId="10" dataDxfId="100"/>
    <tableColumn id="13" xr3:uid="{F212FAAC-215E-43D0-BC9D-3AA543F277F7}" uniqueName="13" name="MYSTERY EFECTIVO" queryTableFieldId="17" dataDxfId="99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98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97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96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95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94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9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6" totalsRowShown="0" headerRowDxfId="92" dataDxfId="90" headerRowBorderDxfId="91" tableBorderDxfId="89" totalsRowBorderDxfId="88" headerRowCellStyle="Normal 2" dataCellStyle="Normal 2">
  <tableColumns count="9">
    <tableColumn id="3" xr3:uid="{CEEFCC7D-2B45-4409-9FEE-36A6008A09E3}" name="CANAL" dataDxfId="87" dataCellStyle="Normal 2"/>
    <tableColumn id="1" xr3:uid="{D5DD6073-7452-4C56-A046-CF25B19FCB4F}" name="CIUDAD" dataDxfId="86" dataCellStyle="Normal 2"/>
    <tableColumn id="2" xr3:uid="{304FB0E8-7EB9-4B2E-BDF0-6B1E9D3DF639}" name="CODIGO PDV" dataDxfId="85"/>
    <tableColumn id="4" xr3:uid="{5FFEE965-7C33-4146-8749-C7E79BD9F083}" name="NOMBRE COMERCIAL" dataDxfId="84" dataCellStyle="Normal 2"/>
    <tableColumn id="9" xr3:uid="{56DA6644-1938-47DF-9205-928EAD17CD86}" name="Objetivo Mystery" dataDxfId="83" dataCellStyle="Normal 2"/>
    <tableColumn id="6" xr3:uid="{8587C1B8-25E9-47DF-96EC-0DE9EA854031}" name="#PDV Objetivos" dataDxfId="82"/>
    <tableColumn id="7" xr3:uid="{254582AE-0341-4027-9F60-A63C456EE6EE}" name="#PDV Ejecutados" dataDxfId="81">
      <calculatedColumnFormula>IF(COUNTIFS(Export!I:I,Tabla1[[#This Row],[CODIGO PDV]])&gt;0,1,0)</calculatedColumnFormula>
    </tableColumn>
    <tableColumn id="11" xr3:uid="{EA4A24E0-6A56-4A45-8F19-78AD6DCA277C}" name="# Visitas" dataDxfId="80" dataCellStyle="Normal 2">
      <calculatedColumnFormula>COUNTIFS('DATA INFORME'!D:D,Tabla1[[#This Row],[CODIGO PDV]])</calculatedColumnFormula>
    </tableColumn>
    <tableColumn id="12" xr3:uid="{F623D095-7356-4242-BFFB-11B8E769EF0F}" name="Mystery Ejecutado" dataDxfId="79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O5" tableType="queryTable" totalsRowShown="0" dataDxfId="78">
  <tableColumns count="41">
    <tableColumn id="1" xr3:uid="{5E36F5EC-EFE4-416F-AE2A-0A34DABD1BE1}" uniqueName="1" name="ACTIVIDAD" queryTableFieldId="1" dataDxfId="77"/>
    <tableColumn id="2" xr3:uid="{2D91E598-A31D-4125-8581-3FD329B9D8A6}" uniqueName="2" name="CIUDAD" queryTableFieldId="2" dataDxfId="76"/>
    <tableColumn id="3" xr3:uid="{BE955660-67C1-4BC9-A7B2-76050F0F9717}" uniqueName="3" name="CADENA" queryTableFieldId="3" dataDxfId="75"/>
    <tableColumn id="4" xr3:uid="{584B1D0E-A845-487E-B24D-3F46D830A3DD}" uniqueName="4" name="CODIGO PDV" queryTableFieldId="4" dataDxfId="74"/>
    <tableColumn id="5" xr3:uid="{5C21200B-0203-45FF-8479-0CBCF5834786}" uniqueName="5" name="NOMBRE COMERCIAL" queryTableFieldId="5" dataDxfId="73"/>
    <tableColumn id="6" xr3:uid="{AF5E9C40-1A6C-47AF-818E-E6BCE6E6B906}" uniqueName="6" name="CONSECUTIVO ENCUESTA" queryTableFieldId="6" dataDxfId="72"/>
    <tableColumn id="7" xr3:uid="{3C3C5756-6C5B-4F83-A4BA-7370A5D3B586}" uniqueName="7" name="NOMBRE ENCUESTA" queryTableFieldId="7" dataDxfId="71"/>
    <tableColumn id="10" xr3:uid="{592470FD-FBDE-42A0-A47E-06AE15D2BD4D}" uniqueName="10" name="FECHA VISITA" queryTableFieldId="10" dataDxfId="70"/>
    <tableColumn id="11" xr3:uid="{2A1045B2-E0F3-426E-AF7C-91A0AAEEA606}" uniqueName="11" name="CODIGO RUTA" queryTableFieldId="11" dataDxfId="69"/>
    <tableColumn id="12" xr3:uid="{7575ACE8-4DCC-44B4-BD89-97F5F6978813}" uniqueName="12" name="USUARIO" queryTableFieldId="12" dataDxfId="68"/>
    <tableColumn id="8" xr3:uid="{1799BF2D-5DA9-4392-984F-66DA565D17B1}" uniqueName="8" name="SE LOGRA REALIZAR LA AUDITORIA?" queryTableFieldId="153" dataDxfId="67"/>
    <tableColumn id="33" xr3:uid="{5353CB55-2C8E-4597-ACE2-53C8819B4ACE}" uniqueName="33" name="DESEA AÑADIR ALGUNA OBSERVACION / NOVEDAD CON LA AUDITORIA REALIZADA?" queryTableFieldId="174" dataDxfId="66"/>
    <tableColumn id="43" xr3:uid="{06914258-B368-4E26-907B-BE15721EA9BD}" uniqueName="43" name="INDIQUE OBSERVACIÓN/NOVEDAD" queryTableFieldId="229" dataDxfId="65"/>
    <tableColumn id="9" xr3:uid="{36AC2E6B-F783-41F9-A395-AD816E6B1B6B}" uniqueName="9" name="¿CUMPLE HORARIO DE ENTRADA O SALIDA DE LA TIENDA?" queryTableFieldId="154" dataDxfId="64"/>
    <tableColumn id="13" xr3:uid="{C51AF687-3DBE-4078-B41B-510ABFCE0684}" uniqueName="13" name="CUENTA CON PANTALON DEL UNIFORME SEGÚN EL CARGO (NEGRO / ROJO / TURQUESA / JEAN)" queryTableFieldId="155" dataDxfId="63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62"/>
    <tableColumn id="16" xr3:uid="{D2371F42-BC07-4548-B6B4-80B991018D4D}" uniqueName="16" name="CUENTA CON CALZADO DE ACUERDO AL UNIFORME" queryTableFieldId="54" dataDxfId="61"/>
    <tableColumn id="15" xr3:uid="{9BB8CF8A-778E-4204-AC89-28DFE270E157}" uniqueName="15" name="POSEE ALGUNA PRENDA ENCIMA DEL UNIFORME NO AUTORIZADA POR LA MARCA (UNICAMENTE ESTA PERMITIDO CHALECO DE SODIMAC Y EASY)" queryTableFieldId="157" dataDxfId="60"/>
    <tableColumn id="17" xr3:uid="{F5E30CB3-007B-4336-B1FC-B61B58699F7A}" uniqueName="17" name="EL UNIFORME Y ZAPATOS SE ENCUENTRAN LIMPIOS Y EN BUEN ESTADO" queryTableFieldId="158" dataDxfId="59"/>
    <tableColumn id="18" xr3:uid="{3D3D39A7-BDA7-4332-84A1-F6CA631ED8B1}" uniqueName="18" name="SU CABELLO LUCE LIMPIO, ORGANIZADO O RECOGIDO" queryTableFieldId="159" dataDxfId="58"/>
    <tableColumn id="19" xr3:uid="{10DB44B2-E41E-4EF2-8742-4966C6A2BC32}" uniqueName="19" name="PRESENTA EXCESO DE MAQUILLAJE QUE NO CUMPLE CON EL CODIGO DE VESTIMENTA" queryTableFieldId="160" dataDxfId="57"/>
    <tableColumn id="20" xr3:uid="{6AAEAE78-D4F5-4752-93C8-5B7CAB0DD784}" uniqueName="20" name="TIENE TATUAJES O PIERCINGS VISIBLES QUE NO CUMPLE CON EL CODIGO DE VESTIMENTA" queryTableFieldId="161" dataDxfId="56"/>
    <tableColumn id="21" xr3:uid="{296B1AC1-D069-4B4E-93B0-CF0ED2A976DD}" uniqueName="21" name="TIENE UÑAS LLAMATIVAS Y/O LARGAS QUE NO CUMPLE CON EL CODIGO DE VESTIMENTA" queryTableFieldId="162" dataDxfId="55"/>
    <tableColumn id="22" xr3:uid="{437C56A5-8D82-4008-AE1E-7ABA17C881D7}" uniqueName="22" name="USA ACCESORIOS QUE NO CUMPLE CON EL CODIGO DE VESTIMENTA" queryTableFieldId="163" dataDxfId="54"/>
    <tableColumn id="23" xr3:uid="{A36C4C98-3812-47CA-915B-31EEEB045E56}" uniqueName="23" name="EL LINEAL SE ENCUENTRA LIMPIO Y ORGANIZADO (EVIDENCIA POLVO O TIERRA EN EL PRODUCTO Y/O LINEAL)" queryTableFieldId="224" dataDxfId="53"/>
    <tableColumn id="24" xr3:uid="{EAE759F8-422F-46A9-B534-E52C16DAC6AD}" uniqueName="24" name="LOS PRODUCTOS TIENEN EL PRECIO Y ESTAN ACORDE O CORRESPONDIENTE A CADA REFERENCIA (REVISAR LA FECHA DE IMPRESIÓN DEL PRECIO)" queryTableFieldId="225" dataDxfId="52"/>
    <tableColumn id="25" xr3:uid="{B4B5D1D5-56F2-4B7A-BCBA-13AA0E0264D8}" uniqueName="25" name="LOS PRODUCTOS ESTAN SURTIDOS DE ACUERDO A PEPS O FIFO (REVISAR TANTO PRODUCTO SECO COMO HUMEDO)" queryTableFieldId="166" dataDxfId="51"/>
    <tableColumn id="26" xr3:uid="{0AA072D5-5A98-4885-9864-1784A7BF8B3A}" uniqueName="26" name="CONOCE LOS INFALTABLES DEL PUNTO DE VENTA Y CUENTA CON EL MATERIAL DE APOYO (AYUDAVENTAS INFALTABLES)" queryTableFieldId="167" dataDxfId="50"/>
    <tableColumn id="30" xr3:uid="{0933B4A0-AFA3-4603-BC08-EC388F0134D0}" uniqueName="30" name="SELECCIONE EL CANAL DEL PDV AUDITADO?" queryTableFieldId="171" dataDxfId="49"/>
    <tableColumn id="31" xr3:uid="{EE5EB200-F174-43B0-A7A4-B3C311191E4F}" uniqueName="31" name="MANEJA MARCA DE PERROS, GATOS O AMBOS, Y HAY PRESENCIA DE LA COMPETENCIA? (EN EL VIDEO DEBE QUEDAR LA VISUAL DE LAS MARCAS DE LA COMPETENCIA PRESENTES EN EL PDV)" queryTableFieldId="209" dataDxfId="48"/>
    <tableColumn id="40" xr3:uid="{D71555D8-038E-4A6D-BA6E-8547170F4BB5}" uniqueName="40" name="CONOCE EL % DE PARTICIPACIÓN QUE TIENEN LAS MARCAS PURINA DENTRO DEL UNIVERSO?" queryTableFieldId="286" dataDxfId="47"/>
    <tableColumn id="45" xr3:uid="{BAE8B31F-ED7C-4014-8B29-A99290820D0A}" uniqueName="45" name="CT - CONOCE EL PRECIO DE LA PAQUETERIA (DOG CHOW 350G / 475G; CAT CHOW 200G? (Si el mercaderista informa que el PDV no lo permite implementar quedaria como N/A)" queryTableFieldId="287" dataDxfId="46"/>
    <tableColumn id="47" xr3:uid="{39058941-FF44-4DA1-AD03-696FCD25640A}" uniqueName="47" name="CT - CONOCE LAS INNOVACIONES  ALTA PROTEINA? ESTÁ DISPONIBLE EN PDV?" queryTableFieldId="288" dataDxfId="45"/>
    <tableColumn id="34" xr3:uid="{BBB822A1-1ABD-401D-B324-D05B16AA68B6}" uniqueName="34" name="CT - CONOCE LAS INNOVACIONES - RISTRAS WET? ESTA DISPONIBLE EN PDV?" queryTableFieldId="259" dataDxfId="44"/>
    <tableColumn id="48" xr3:uid="{A9B1B313-0CF4-47BC-A204-495087722237}" uniqueName="48" name="CT - CONOCE LAS INNOVACIONES - NUTRICION REFORZADA DE WET? ESTA DISPONIBLE EN PDV?" queryTableFieldId="289" dataDxfId="43"/>
    <tableColumn id="29" xr3:uid="{575B9007-B7F5-45EF-9157-72BDBAD6022C}" uniqueName="29" name="CONOCE EL % DE PARTICIPACIÓN QUE TIENE EN EL PUNTO DE VENTA E INFORMA CUAL ES ESE % (REALIZAR EL EJERCICIO DE CONTAR LAS CARAS PARA VALIDAR SI ES CORRECTO)" queryTableFieldId="208" dataDxfId="42"/>
    <tableColumn id="41" xr3:uid="{5ADFEBC8-F97E-4DAE-B4F6-63EA2A010A17}" uniqueName="41" name="CM - TIENE IMPLEMENTADO EL MATERIAL POP CORRECPONDIENTE A LAS PROMOCIONES QUE APLICAN EN EL PDV?" queryTableFieldId="267" dataDxfId="41"/>
    <tableColumn id="42" xr3:uid="{2A4BA4A3-A1A3-4380-A094-C6E8F2AB7F74}" uniqueName="42" name="CM - TIENE ACTIVIDADES DE PLAN PEGA EN EL PDV?" queryTableFieldId="268" dataDxfId="40"/>
    <tableColumn id="44" xr3:uid="{F24C4403-39C5-4A56-BE0D-A0EE1815397B}" uniqueName="44" name="CM - DESCRIBA CUALES ACTIVIDADES DE PLAN PEGA TIENE EL PDV" queryTableFieldId="269" dataDxfId="39"/>
    <tableColumn id="49" xr3:uid="{34FACFDB-A389-4226-A45E-BDEEA54BBD41}" uniqueName="49" name="CM - TIENE MATERIAL POP DE LA PROMO CORPORATIVA?" queryTableFieldId="290" dataDxfId="38"/>
    <tableColumn id="46" xr3:uid="{C25FB1AD-CDD2-4863-ABC9-546D71B25411}" uniqueName="46" name="CM - TIENE IMPLEMENTADAS LAS EXHIBICIONES NEGOCIADAS EN EL PDV?" queryTableFieldId="271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76" totalsRowShown="0" dataDxfId="36">
  <tableColumns count="29">
    <tableColumn id="1" xr3:uid="{EEAB5D40-1395-44AC-989B-7BEBDB594890}" name="ACTIVIDAD" dataDxfId="35"/>
    <tableColumn id="2" xr3:uid="{7135FC02-E21A-4459-956C-B095998917BA}" name="REGIONAL" dataDxfId="34"/>
    <tableColumn id="3" xr3:uid="{A676BE8F-9D25-4608-AFA9-335EE953599F}" name="CIUDAD" dataDxfId="33"/>
    <tableColumn id="4" xr3:uid="{8C438510-9FA2-4A67-81E2-F5A249D8C2D8}" name="CANAL" dataDxfId="32"/>
    <tableColumn id="5" xr3:uid="{55468C83-E61B-4AC3-8AB6-7842CA8A8685}" name="CADENA" dataDxfId="31"/>
    <tableColumn id="6" xr3:uid="{319677CB-3518-4692-9804-576A90B637C6}" name="SUBCADENA" dataDxfId="30"/>
    <tableColumn id="7" xr3:uid="{280B06EB-BEEB-41FF-BD4D-C86267C96B51}" name="ZONA" dataDxfId="29"/>
    <tableColumn id="8" xr3:uid="{38318117-E4E5-4BBD-BCB8-A0CF5740AD2E}" name="RV" dataDxfId="28"/>
    <tableColumn id="9" xr3:uid="{AE249958-DA07-4D5E-8893-DA47B2F89DBB}" name="CODIGO PDV" dataDxfId="27"/>
    <tableColumn id="10" xr3:uid="{5063BA25-7363-4804-9209-6EF1C7FD9552}" name="NOMBRE COMERCIAL" dataDxfId="26"/>
    <tableColumn id="11" xr3:uid="{1CA31434-5FCA-4588-9EF7-31A85DF89C42}" name="CODIGO EAN" dataDxfId="25"/>
    <tableColumn id="12" xr3:uid="{F4C77DD5-927D-43C6-A19F-C551C82B3D0D}" name="TIPO PUNTO VENTA" dataDxfId="24"/>
    <tableColumn id="13" xr3:uid="{EF48160A-97DF-4C9A-9BBF-2ECC73BF528F}" name="CONSECUTIVO ENCUESTA" dataDxfId="23"/>
    <tableColumn id="14" xr3:uid="{6FA0BAC5-63D5-4D95-B588-F0B164135E47}" name="NOMBRE ENCUESTA" dataDxfId="22"/>
    <tableColumn id="15" xr3:uid="{7C6BC3DB-B9BC-4C72-ADB7-0BB7A62378BB}" name="PREGUNTA" dataDxfId="21"/>
    <tableColumn id="16" xr3:uid="{AB325775-AFD1-4793-A618-BF02FE3029AE}" name="RESPUESTA" dataDxfId="20"/>
    <tableColumn id="17" xr3:uid="{85D12482-E7F3-4879-B4F0-D80F64421259}" name="CODIGO FOTO" dataDxfId="19"/>
    <tableColumn id="18" xr3:uid="{01036A0B-7510-4B37-96FC-1C395DEDC179}" name="OBSERVACION" dataDxfId="18"/>
    <tableColumn id="19" xr3:uid="{2F24E07E-80CB-4EA2-9555-9AEB9E02C9EF}" name="FECHA VISITA" dataDxfId="17"/>
    <tableColumn id="20" xr3:uid="{DC9D56CE-D3BF-4EEF-90B5-C3152AB2A8A8}" name="FECHA INICIO VISITA" dataDxfId="16"/>
    <tableColumn id="21" xr3:uid="{8DDE28A9-EDD9-412B-B7A2-DF2644A996E9}" name="FECHA CREACIÓN RESPUESTA" dataDxfId="15"/>
    <tableColumn id="22" xr3:uid="{3A74E72D-F4BF-4E54-8634-EEEC35A8C032}" name="CODIGO RUTA" dataDxfId="14"/>
    <tableColumn id="23" xr3:uid="{0ADFC93D-A4B4-4C17-8A6B-A6D563B99FCD}" name="CLIENTE" dataDxfId="13"/>
    <tableColumn id="24" xr3:uid="{6908F565-FB85-4368-B2F7-297DF2BEFBCD}" name="CODIGO EXHIBICION" dataDxfId="12"/>
    <tableColumn id="25" xr3:uid="{AA5CE162-90D2-43B1-96A0-970F0C412A96}" name="NOMBRE EXHIBICION" dataDxfId="11"/>
    <tableColumn id="26" xr3:uid="{D2023860-446B-430D-8595-9C2C1438BED3}" name="NOMBRE USUARIO" dataDxfId="10"/>
    <tableColumn id="27" xr3:uid="{F11E0B94-0622-411D-9CA7-B259829B8A9F}" name="USUARIO" dataDxfId="9"/>
    <tableColumn id="28" xr3:uid="{E1B013E5-0581-4476-9D6C-3AFBAC21C681}" name="NOMBRE SUPERVISOR " dataDxfId="8"/>
    <tableColumn id="29" xr3:uid="{B64E6504-C110-44E6-B203-6C06A1F0FFB1}" name="USUARIO SUPERVISOR" dataDxfId="7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3R7OqzE4i4N-h6ULSWvUdLG2x23aLifX/view?usp=drive_link" TargetMode="External"/><Relationship Id="rId2" Type="http://schemas.openxmlformats.org/officeDocument/2006/relationships/hyperlink" Target="https://drive.google.com/file/d/1i-EhC7gWFDq6t17o8tZgNN00YeSuEEjt/view?usp=drive_link" TargetMode="External"/><Relationship Id="rId1" Type="http://schemas.openxmlformats.org/officeDocument/2006/relationships/hyperlink" Target="https://drive.google.com/file/d/19OJZWYs6MM66MQoayrtCJ11k_8l2e8tL/view?usp=drive_link" TargetMode="External"/><Relationship Id="rId4" Type="http://schemas.openxmlformats.org/officeDocument/2006/relationships/hyperlink" Target="https://drive.google.com/file/d/17vQMZQthxPKd0_JvujqlyEqQw2bqBwcg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90" zoomScaleNormal="90" workbookViewId="0">
      <selection activeCell="F14" sqref="F14"/>
    </sheetView>
  </sheetViews>
  <sheetFormatPr baseColWidth="10" defaultColWidth="11.453125" defaultRowHeight="14.5" x14ac:dyDescent="0.35"/>
  <cols>
    <col min="1" max="1" width="38.1796875" customWidth="1"/>
    <col min="2" max="2" width="1.81640625" style="45" customWidth="1"/>
    <col min="3" max="3" width="8.54296875" customWidth="1"/>
    <col min="4" max="4" width="26.81640625" customWidth="1"/>
    <col min="5" max="5" width="17" customWidth="1"/>
    <col min="6" max="6" width="16.453125" customWidth="1"/>
    <col min="7" max="7" width="19.26953125" customWidth="1"/>
    <col min="8" max="8" width="10.81640625" customWidth="1"/>
    <col min="9" max="9" width="11.453125" customWidth="1"/>
    <col min="10" max="10" width="16.6328125" customWidth="1"/>
    <col min="11" max="11" width="16.81640625" customWidth="1"/>
    <col min="12" max="12" width="16.453125" customWidth="1"/>
    <col min="13" max="13" width="18.453125" customWidth="1"/>
    <col min="14" max="14" width="11.81640625" customWidth="1"/>
  </cols>
  <sheetData>
    <row r="1" spans="1:10" ht="23.5" customHeight="1" x14ac:dyDescent="0.35">
      <c r="A1" s="78" t="s">
        <v>172</v>
      </c>
    </row>
    <row r="2" spans="1:10" x14ac:dyDescent="0.35">
      <c r="A2" s="79"/>
    </row>
    <row r="3" spans="1:10" ht="20" x14ac:dyDescent="0.4">
      <c r="A3" s="79"/>
      <c r="D3" s="6" t="s">
        <v>0</v>
      </c>
      <c r="E3" s="3"/>
      <c r="F3" s="3"/>
      <c r="G3" s="3"/>
      <c r="H3" s="3"/>
      <c r="I3" s="3"/>
      <c r="J3" s="3"/>
    </row>
    <row r="4" spans="1:10" x14ac:dyDescent="0.3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35">
      <c r="D5" s="2" t="s">
        <v>175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4">
        <v>1</v>
      </c>
    </row>
    <row r="6" spans="1:10" x14ac:dyDescent="0.35">
      <c r="D6" s="2" t="s">
        <v>8</v>
      </c>
      <c r="E6" s="3">
        <v>2</v>
      </c>
      <c r="F6" s="3">
        <v>2</v>
      </c>
      <c r="G6" s="4">
        <v>1</v>
      </c>
      <c r="H6" s="3">
        <v>2</v>
      </c>
      <c r="I6" s="3">
        <v>2</v>
      </c>
      <c r="J6" s="4">
        <v>1</v>
      </c>
    </row>
    <row r="7" spans="1:10" x14ac:dyDescent="0.35">
      <c r="D7" s="2" t="s">
        <v>112</v>
      </c>
      <c r="E7" s="3">
        <v>2</v>
      </c>
      <c r="F7" s="3">
        <v>1</v>
      </c>
      <c r="G7" s="4">
        <v>0.5</v>
      </c>
      <c r="H7" s="3">
        <v>2</v>
      </c>
      <c r="I7" s="3">
        <v>0</v>
      </c>
      <c r="J7" s="4">
        <v>0</v>
      </c>
    </row>
    <row r="8" spans="1:10" x14ac:dyDescent="0.35">
      <c r="D8" s="16" t="s">
        <v>9</v>
      </c>
      <c r="E8" s="77">
        <v>5</v>
      </c>
      <c r="F8" s="77">
        <v>4</v>
      </c>
      <c r="G8" s="12">
        <v>0.8</v>
      </c>
      <c r="H8" s="77">
        <v>5</v>
      </c>
      <c r="I8" s="77">
        <v>3</v>
      </c>
      <c r="J8" s="64">
        <v>0.6</v>
      </c>
    </row>
    <row r="15" spans="1:10" ht="20" x14ac:dyDescent="0.4">
      <c r="D15" s="6" t="s">
        <v>10</v>
      </c>
      <c r="E15" s="3"/>
      <c r="F15" s="3"/>
    </row>
    <row r="16" spans="1:10" hidden="1" x14ac:dyDescent="0.35">
      <c r="D16" s="1" t="s">
        <v>11</v>
      </c>
      <c r="E16" s="25" t="s">
        <v>12</v>
      </c>
      <c r="F16" s="3"/>
      <c r="G16" s="3"/>
    </row>
    <row r="17" spans="4:8" x14ac:dyDescent="0.35">
      <c r="D17" s="1" t="s">
        <v>13</v>
      </c>
      <c r="E17" s="3" t="s">
        <v>15</v>
      </c>
      <c r="F17" s="3" t="s">
        <v>43</v>
      </c>
      <c r="G17" s="5" t="s">
        <v>16</v>
      </c>
    </row>
    <row r="18" spans="4:8" x14ac:dyDescent="0.35">
      <c r="D18" s="2" t="s">
        <v>106</v>
      </c>
      <c r="E18" s="4">
        <v>1</v>
      </c>
      <c r="F18" s="4">
        <v>1</v>
      </c>
      <c r="G18" s="4">
        <v>1</v>
      </c>
    </row>
    <row r="19" spans="4:8" x14ac:dyDescent="0.35">
      <c r="D19" s="2" t="s">
        <v>107</v>
      </c>
      <c r="E19" s="4">
        <v>1</v>
      </c>
      <c r="F19" s="4">
        <v>1</v>
      </c>
      <c r="G19" s="4">
        <v>1</v>
      </c>
    </row>
    <row r="20" spans="4:8" x14ac:dyDescent="0.35">
      <c r="D20" s="2" t="s">
        <v>17</v>
      </c>
      <c r="E20" s="4">
        <v>1</v>
      </c>
      <c r="F20" s="4">
        <v>1</v>
      </c>
      <c r="G20" s="4">
        <v>1</v>
      </c>
    </row>
    <row r="21" spans="4:8" x14ac:dyDescent="0.35">
      <c r="D21" s="2" t="s">
        <v>104</v>
      </c>
      <c r="E21" s="4">
        <v>1</v>
      </c>
      <c r="F21" s="4">
        <v>1</v>
      </c>
      <c r="G21" s="4">
        <v>1</v>
      </c>
    </row>
    <row r="22" spans="4:8" x14ac:dyDescent="0.35">
      <c r="D22" s="2" t="s">
        <v>16</v>
      </c>
      <c r="E22" s="8">
        <v>1</v>
      </c>
      <c r="F22" s="8">
        <v>1</v>
      </c>
      <c r="G22" s="10">
        <v>1</v>
      </c>
    </row>
    <row r="25" spans="4:8" ht="20" x14ac:dyDescent="0.35">
      <c r="D25" s="7" t="s">
        <v>18</v>
      </c>
      <c r="E25" s="3"/>
      <c r="F25" s="3"/>
      <c r="G25" s="3"/>
      <c r="H25" s="3"/>
    </row>
    <row r="26" spans="4:8" hidden="1" x14ac:dyDescent="0.35">
      <c r="D26" s="1" t="s">
        <v>11</v>
      </c>
      <c r="E26" s="25" t="s">
        <v>12</v>
      </c>
      <c r="F26" s="3"/>
      <c r="G26" s="3"/>
    </row>
    <row r="27" spans="4:8" x14ac:dyDescent="0.35">
      <c r="D27" s="1" t="s">
        <v>13</v>
      </c>
      <c r="E27" s="3" t="s">
        <v>8</v>
      </c>
      <c r="F27" s="3" t="s">
        <v>175</v>
      </c>
      <c r="G27" s="5" t="s">
        <v>16</v>
      </c>
    </row>
    <row r="28" spans="4:8" x14ac:dyDescent="0.35">
      <c r="D28" s="2" t="s">
        <v>106</v>
      </c>
      <c r="E28" s="4">
        <v>1</v>
      </c>
      <c r="F28" s="4">
        <v>1</v>
      </c>
      <c r="G28" s="4">
        <v>1</v>
      </c>
    </row>
    <row r="29" spans="4:8" x14ac:dyDescent="0.35">
      <c r="D29" s="2" t="s">
        <v>107</v>
      </c>
      <c r="E29" s="4">
        <v>1</v>
      </c>
      <c r="F29" s="4">
        <v>1</v>
      </c>
      <c r="G29" s="4">
        <v>1</v>
      </c>
    </row>
    <row r="30" spans="4:8" x14ac:dyDescent="0.35">
      <c r="D30" s="2" t="s">
        <v>17</v>
      </c>
      <c r="E30" s="4">
        <v>1</v>
      </c>
      <c r="F30" s="4">
        <v>1</v>
      </c>
      <c r="G30" s="4">
        <v>1</v>
      </c>
    </row>
    <row r="31" spans="4:8" x14ac:dyDescent="0.35">
      <c r="D31" s="2" t="s">
        <v>104</v>
      </c>
      <c r="E31" s="4">
        <v>1</v>
      </c>
      <c r="F31" s="4">
        <v>1</v>
      </c>
      <c r="G31" s="4">
        <v>1</v>
      </c>
    </row>
    <row r="32" spans="4:8" x14ac:dyDescent="0.35">
      <c r="D32" s="2" t="s">
        <v>16</v>
      </c>
      <c r="E32" s="8">
        <v>1</v>
      </c>
      <c r="F32" s="8">
        <v>1</v>
      </c>
      <c r="G32" s="10">
        <v>1</v>
      </c>
    </row>
    <row r="37" spans="4:11" x14ac:dyDescent="0.35">
      <c r="E37" s="3"/>
      <c r="F37" s="3"/>
      <c r="G37" s="3"/>
      <c r="H37" s="3"/>
    </row>
    <row r="38" spans="4:11" x14ac:dyDescent="0.35">
      <c r="F38" s="3"/>
      <c r="G38" s="3"/>
      <c r="H38" s="3"/>
    </row>
    <row r="39" spans="4:11" hidden="1" x14ac:dyDescent="0.35">
      <c r="D39" s="13" t="s">
        <v>19</v>
      </c>
      <c r="E39" t="s">
        <v>113</v>
      </c>
    </row>
    <row r="40" spans="4:11" ht="20" x14ac:dyDescent="0.4">
      <c r="D40" s="6" t="s">
        <v>21</v>
      </c>
    </row>
    <row r="41" spans="4:11" hidden="1" x14ac:dyDescent="0.35">
      <c r="D41" s="1" t="s">
        <v>11</v>
      </c>
      <c r="G41" s="1" t="s">
        <v>13</v>
      </c>
    </row>
    <row r="42" spans="4:11" ht="29" x14ac:dyDescent="0.35">
      <c r="D42" s="18" t="s">
        <v>1</v>
      </c>
      <c r="E42" s="18" t="s">
        <v>22</v>
      </c>
      <c r="F42" s="18" t="s">
        <v>23</v>
      </c>
      <c r="G42" s="32" t="s">
        <v>106</v>
      </c>
      <c r="H42" s="32" t="s">
        <v>107</v>
      </c>
      <c r="I42" s="32" t="s">
        <v>17</v>
      </c>
      <c r="J42" s="32" t="s">
        <v>104</v>
      </c>
      <c r="K42" s="17" t="s">
        <v>16</v>
      </c>
    </row>
    <row r="43" spans="4:11" x14ac:dyDescent="0.35">
      <c r="D43" s="9" t="s">
        <v>8</v>
      </c>
      <c r="E43" t="s">
        <v>15</v>
      </c>
      <c r="F43" t="s">
        <v>161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</row>
    <row r="44" spans="4:11" x14ac:dyDescent="0.35">
      <c r="D44" s="9" t="s">
        <v>8</v>
      </c>
      <c r="E44" t="s">
        <v>43</v>
      </c>
      <c r="F44" t="s">
        <v>155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</row>
    <row r="45" spans="4:11" x14ac:dyDescent="0.35">
      <c r="D45" t="s">
        <v>175</v>
      </c>
      <c r="E45" t="s">
        <v>43</v>
      </c>
      <c r="F45" t="s">
        <v>178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</row>
    <row r="46" spans="4:11" x14ac:dyDescent="0.35">
      <c r="D46" s="9" t="s">
        <v>16</v>
      </c>
      <c r="E46" s="9"/>
      <c r="F46" s="9"/>
      <c r="G46" s="8">
        <v>1</v>
      </c>
      <c r="H46" s="8">
        <v>1</v>
      </c>
      <c r="I46" s="8">
        <v>1</v>
      </c>
      <c r="J46" s="8">
        <v>1</v>
      </c>
      <c r="K46" s="10">
        <v>1</v>
      </c>
    </row>
    <row r="73" spans="21:21" x14ac:dyDescent="0.3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9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G18:G22</xm:sqref>
        </x14:conditionalFormatting>
        <x14:conditionalFormatting xmlns:xm="http://schemas.microsoft.com/office/excel/2006/main" pivot="1">
          <x14:cfRule type="iconSet" priority="96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89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87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9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8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7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6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12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7" id="{85A1CD4D-F31D-455D-B58C-E6469290DE1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6" id="{F5C99382-1D20-44CA-9003-4F74D34D5C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F18:F22</xm:sqref>
        </x14:conditionalFormatting>
        <x14:conditionalFormatting xmlns:xm="http://schemas.microsoft.com/office/excel/2006/main" pivot="1">
          <x14:cfRule type="iconSet" priority="4" id="{C5BC4589-334D-49C5-AD2B-43ECB2263BB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3" id="{347E788A-5860-4605-A21F-0E523D13A5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2" id="{7F6792EB-B305-47AC-B59E-D9E08A3582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" id="{1F94881B-21B8-4B25-9F26-6027EC17C07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K46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H5"/>
  <sheetViews>
    <sheetView showGridLines="0" topLeftCell="B1" workbookViewId="0">
      <selection activeCell="D15" sqref="D15"/>
    </sheetView>
  </sheetViews>
  <sheetFormatPr baseColWidth="10" defaultRowHeight="14.5" x14ac:dyDescent="0.35"/>
  <cols>
    <col min="2" max="2" width="14.26953125" customWidth="1"/>
    <col min="3" max="3" width="50.36328125" customWidth="1"/>
    <col min="4" max="8" width="19.453125" customWidth="1"/>
  </cols>
  <sheetData>
    <row r="1" spans="1:8" x14ac:dyDescent="0.35">
      <c r="A1" s="61" t="s">
        <v>22</v>
      </c>
      <c r="B1" s="61" t="s">
        <v>1</v>
      </c>
      <c r="C1" s="61" t="s">
        <v>23</v>
      </c>
      <c r="D1" s="62" t="s">
        <v>80</v>
      </c>
      <c r="E1" s="62" t="s">
        <v>81</v>
      </c>
      <c r="F1" s="62" t="s">
        <v>82</v>
      </c>
      <c r="G1" s="63" t="s">
        <v>85</v>
      </c>
      <c r="H1" s="63" t="s">
        <v>86</v>
      </c>
    </row>
    <row r="2" spans="1:8" x14ac:dyDescent="0.35">
      <c r="A2" s="40" t="str">
        <f>_xlfn.XLOOKUP(Tabla1[[#This Row],[CODIGO PDV]],Export!H:H,Export!D:D,0)</f>
        <v>MODERNO</v>
      </c>
      <c r="B2" s="55" t="s">
        <v>8</v>
      </c>
      <c r="C2" s="56" t="s">
        <v>161</v>
      </c>
      <c r="D2" s="41" t="s">
        <v>170</v>
      </c>
      <c r="E2" s="19" t="s">
        <v>83</v>
      </c>
      <c r="F2" s="19" t="s">
        <v>83</v>
      </c>
      <c r="G2" s="19" t="s">
        <v>83</v>
      </c>
      <c r="H2" s="19" t="s">
        <v>83</v>
      </c>
    </row>
    <row r="3" spans="1:8" x14ac:dyDescent="0.35">
      <c r="A3" s="40" t="str">
        <f>_xlfn.XLOOKUP(Tabla1[[#This Row],[CODIGO PDV]],Export!H:H,Export!D:D,0)</f>
        <v>TRADICIONAL</v>
      </c>
      <c r="B3" s="40" t="s">
        <v>8</v>
      </c>
      <c r="C3" s="71" t="s">
        <v>155</v>
      </c>
      <c r="D3" s="41" t="s">
        <v>171</v>
      </c>
      <c r="E3" s="19" t="s">
        <v>83</v>
      </c>
      <c r="F3" s="19" t="s">
        <v>83</v>
      </c>
      <c r="G3" s="19" t="s">
        <v>83</v>
      </c>
      <c r="H3" s="19" t="s">
        <v>83</v>
      </c>
    </row>
    <row r="4" spans="1:8" x14ac:dyDescent="0.35">
      <c r="A4" s="40">
        <f>_xlfn.XLOOKUP(Tabla1[[#This Row],[CODIGO PDV]],Export!H:H,Export!D:D,0)</f>
        <v>0</v>
      </c>
      <c r="B4" s="40" t="s">
        <v>112</v>
      </c>
      <c r="C4" s="72" t="s">
        <v>132</v>
      </c>
      <c r="D4" s="41" t="s">
        <v>169</v>
      </c>
      <c r="E4" s="19" t="s">
        <v>83</v>
      </c>
      <c r="F4" s="19" t="s">
        <v>83</v>
      </c>
      <c r="G4" s="19" t="s">
        <v>83</v>
      </c>
      <c r="H4" s="19" t="s">
        <v>83</v>
      </c>
    </row>
    <row r="5" spans="1:8" x14ac:dyDescent="0.35">
      <c r="A5" s="40" t="str">
        <f>_xlfn.XLOOKUP(Tabla1[[#This Row],[CODIGO PDV]],Export!H:H,Export!D:D,0)</f>
        <v>TRADICIONAL</v>
      </c>
      <c r="B5" s="55" t="s">
        <v>175</v>
      </c>
      <c r="C5" s="56" t="s">
        <v>178</v>
      </c>
      <c r="D5" s="41" t="s">
        <v>187</v>
      </c>
      <c r="E5" s="19" t="s">
        <v>83</v>
      </c>
      <c r="F5" s="19" t="s">
        <v>83</v>
      </c>
      <c r="G5" s="19" t="s">
        <v>83</v>
      </c>
      <c r="H5" s="19" t="s">
        <v>83</v>
      </c>
    </row>
  </sheetData>
  <conditionalFormatting sqref="C2">
    <cfRule type="duplicateValues" dxfId="6" priority="2"/>
  </conditionalFormatting>
  <hyperlinks>
    <hyperlink ref="D6" r:id="rId1" display="https://drive.google.com/file/d/19OJZWYs6MM66MQoayrtCJ11k_8l2e8tL/view?usp=drive_link" xr:uid="{CE887CD0-82ED-47FC-A100-EB6C12937B10}"/>
    <hyperlink ref="D7" r:id="rId2" display="https://drive.google.com/file/d/1i-EhC7gWFDq6t17o8tZgNN00YeSuEEjt/view?usp=drive_link" xr:uid="{EF80C185-EF15-4A5B-A8B2-07ED456C9D6A}"/>
    <hyperlink ref="E6" r:id="rId3" display="https://drive.google.com/file/d/13R7OqzE4i4N-h6ULSWvUdLG2x23aLifX/view?usp=drive_link" xr:uid="{1A2A193D-CF82-4160-B6A3-78DE16C47F7F}"/>
    <hyperlink ref="D5" r:id="rId4" xr:uid="{7A50DAFC-B84B-430F-BAC9-F808546477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264"/>
  <sheetViews>
    <sheetView showGridLines="0" topLeftCell="F40" zoomScale="60" zoomScaleNormal="60" workbookViewId="0">
      <selection activeCell="J67" sqref="J67"/>
    </sheetView>
  </sheetViews>
  <sheetFormatPr baseColWidth="10" defaultColWidth="11.453125" defaultRowHeight="14.5" x14ac:dyDescent="0.35"/>
  <cols>
    <col min="1" max="2" width="13.54296875" bestFit="1" customWidth="1"/>
    <col min="3" max="3" width="12" bestFit="1" customWidth="1"/>
    <col min="4" max="4" width="9.453125" bestFit="1" customWidth="1"/>
    <col min="5" max="5" width="11.6328125" bestFit="1" customWidth="1"/>
    <col min="6" max="6" width="45.26953125" bestFit="1" customWidth="1"/>
    <col min="7" max="8" width="80.7265625" bestFit="1" customWidth="1"/>
    <col min="9" max="9" width="12.08984375" bestFit="1" customWidth="1"/>
    <col min="10" max="10" width="12.54296875" bestFit="1" customWidth="1"/>
    <col min="11" max="11" width="14" bestFit="1" customWidth="1"/>
    <col min="12" max="12" width="17.36328125" bestFit="1" customWidth="1"/>
    <col min="13" max="13" width="23.08984375" bestFit="1" customWidth="1"/>
    <col min="14" max="15" width="13.54296875" bestFit="1" customWidth="1"/>
    <col min="16" max="16" width="17.36328125" bestFit="1" customWidth="1"/>
    <col min="17" max="17" width="12.453125" hidden="1" customWidth="1"/>
    <col min="18" max="18" width="9.453125" bestFit="1" customWidth="1" collapsed="1"/>
    <col min="19" max="19" width="12.453125" bestFit="1" customWidth="1"/>
    <col min="22" max="23" width="0" hidden="1" customWidth="1"/>
  </cols>
  <sheetData>
    <row r="1" spans="1:21" x14ac:dyDescent="0.3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35">
      <c r="A2" s="34" t="s">
        <v>109</v>
      </c>
      <c r="B2" s="34" t="s">
        <v>8</v>
      </c>
      <c r="C2" t="s">
        <v>15</v>
      </c>
      <c r="D2" s="34" t="s">
        <v>118</v>
      </c>
      <c r="E2" s="34">
        <v>12561</v>
      </c>
      <c r="F2" s="34" t="s">
        <v>161</v>
      </c>
      <c r="G2" s="34" t="s">
        <v>102</v>
      </c>
      <c r="H2" s="34" t="s">
        <v>108</v>
      </c>
      <c r="I2" s="35"/>
      <c r="J2" s="34">
        <v>30929835</v>
      </c>
      <c r="K2" s="34" t="s">
        <v>129</v>
      </c>
      <c r="L2" s="34" t="str">
        <f>_xlfn.XLOOKUP(Tabla2__2[[#This Row],[CODIGO RUTA]],'DATA INFORME'!I:I,'DATA INFORME'!K:K)</f>
        <v>SI</v>
      </c>
      <c r="M2" s="34" t="str">
        <f>IF(Tabla2__2[[#This Row],[MYSTERY EFECTIVO]]="SI",_xlfn.XLOOKUP(Tabla2__2[[#This Row],[PREGUNTA]],ENCUESTA!G:G,ENCUESTA!D:D),"N/A")</f>
        <v>N/A</v>
      </c>
      <c r="N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4">
        <f>_xlfn.XLOOKUP(Tabla2__2[[#This Row],[PREGUNTA]],ENCUESTA!G:G,ENCUESTA!H:H)</f>
        <v>0</v>
      </c>
      <c r="P2" s="34">
        <f>IF(Tabla2__2[[#This Row],[RTA]]=Tabla2__2[[#This Row],[RTA CORRECTA]],Tabla2__2[[#This Row],[TOTAL PUNTAJE]],0)</f>
        <v>0</v>
      </c>
      <c r="Q2" s="34">
        <f t="shared" ref="Q2:Q33" si="0">IF(OR(H2="Dog Chow húmedo",H2="Cat Chow húmedo",H2="Fancy Feast",H2="Felix",H2="Proplan húmedo",H2="One húmedo",H2="Snack Abrazzos",H2="Snak Dentalife",H2="Arenilla Tidy Cat"),N2,0)</f>
        <v>0</v>
      </c>
      <c r="R2" s="34"/>
    </row>
    <row r="3" spans="1:21" x14ac:dyDescent="0.35">
      <c r="A3" s="34" t="s">
        <v>109</v>
      </c>
      <c r="B3" s="34" t="s">
        <v>8</v>
      </c>
      <c r="C3" t="s">
        <v>15</v>
      </c>
      <c r="D3" s="34" t="s">
        <v>118</v>
      </c>
      <c r="E3" s="34">
        <v>12561</v>
      </c>
      <c r="F3" s="34" t="s">
        <v>161</v>
      </c>
      <c r="G3" s="34" t="s">
        <v>115</v>
      </c>
      <c r="H3" s="34" t="s">
        <v>20</v>
      </c>
      <c r="I3" s="35"/>
      <c r="J3" s="34">
        <v>30929835</v>
      </c>
      <c r="K3" s="34" t="s">
        <v>129</v>
      </c>
      <c r="L3" s="34" t="str">
        <f>_xlfn.XLOOKUP(Tabla2__2[[#This Row],[CODIGO RUTA]],'DATA INFORME'!I:I,'DATA INFORME'!K:K)</f>
        <v>SI</v>
      </c>
      <c r="M3" s="34" t="str">
        <f>IF(Tabla2__2[[#This Row],[MYSTERY EFECTIVO]]="SI",_xlfn.XLOOKUP(Tabla2__2[[#This Row],[PREGUNTA]],ENCUESTA!G:G,ENCUESTA!D:D),"N/A")</f>
        <v>ACTIVIDADES DEL MES</v>
      </c>
      <c r="N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3" s="34" t="str">
        <f>_xlfn.XLOOKUP(Tabla2__2[[#This Row],[PREGUNTA]],ENCUESTA!G:G,ENCUESTA!H:H)</f>
        <v>SI</v>
      </c>
      <c r="P3" s="34">
        <f>IF(Tabla2__2[[#This Row],[RTA]]=Tabla2__2[[#This Row],[RTA CORRECTA]],Tabla2__2[[#This Row],[TOTAL PUNTAJE]],0)</f>
        <v>10</v>
      </c>
      <c r="Q3" s="34">
        <f t="shared" si="0"/>
        <v>0</v>
      </c>
      <c r="R3" s="34"/>
    </row>
    <row r="4" spans="1:21" x14ac:dyDescent="0.35">
      <c r="A4" s="34" t="s">
        <v>109</v>
      </c>
      <c r="B4" s="34" t="s">
        <v>8</v>
      </c>
      <c r="C4" t="s">
        <v>15</v>
      </c>
      <c r="D4" s="34" t="s">
        <v>118</v>
      </c>
      <c r="E4" s="34">
        <v>12561</v>
      </c>
      <c r="F4" s="34" t="s">
        <v>161</v>
      </c>
      <c r="G4" s="34" t="s">
        <v>168</v>
      </c>
      <c r="H4" s="34" t="s">
        <v>20</v>
      </c>
      <c r="I4" s="35"/>
      <c r="J4" s="34">
        <v>30929835</v>
      </c>
      <c r="K4" s="34" t="s">
        <v>129</v>
      </c>
      <c r="L4" s="34" t="str">
        <f>_xlfn.XLOOKUP(Tabla2__2[[#This Row],[CODIGO RUTA]],'DATA INFORME'!I:I,'DATA INFORME'!K:K)</f>
        <v>SI</v>
      </c>
      <c r="M4" s="34" t="str">
        <f>IF(Tabla2__2[[#This Row],[MYSTERY EFECTIVO]]="SI",_xlfn.XLOOKUP(Tabla2__2[[#This Row],[PREGUNTA]],ENCUESTA!G:G,ENCUESTA!D:D),"N/A")</f>
        <v>ACTIVIDADES DEL MES</v>
      </c>
      <c r="N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4" s="34" t="str">
        <f>_xlfn.XLOOKUP(Tabla2__2[[#This Row],[PREGUNTA]],ENCUESTA!G:G,ENCUESTA!H:H)</f>
        <v>SI</v>
      </c>
      <c r="P4" s="34">
        <f>IF(Tabla2__2[[#This Row],[RTA]]=Tabla2__2[[#This Row],[RTA CORRECTA]],Tabla2__2[[#This Row],[TOTAL PUNTAJE]],0)</f>
        <v>10</v>
      </c>
      <c r="Q4" s="34">
        <f t="shared" si="0"/>
        <v>0</v>
      </c>
      <c r="R4" s="34"/>
    </row>
    <row r="5" spans="1:21" x14ac:dyDescent="0.35">
      <c r="A5" s="34" t="s">
        <v>109</v>
      </c>
      <c r="B5" s="34" t="s">
        <v>8</v>
      </c>
      <c r="C5" t="s">
        <v>15</v>
      </c>
      <c r="D5" s="34" t="s">
        <v>118</v>
      </c>
      <c r="E5" s="34">
        <v>12561</v>
      </c>
      <c r="F5" s="34" t="s">
        <v>161</v>
      </c>
      <c r="G5" s="34" t="s">
        <v>127</v>
      </c>
      <c r="H5" s="34" t="s">
        <v>167</v>
      </c>
      <c r="I5" s="35"/>
      <c r="J5" s="34">
        <v>30929835</v>
      </c>
      <c r="K5" s="34" t="s">
        <v>129</v>
      </c>
      <c r="L5" s="34" t="str">
        <f>_xlfn.XLOOKUP(Tabla2__2[[#This Row],[CODIGO RUTA]],'DATA INFORME'!I:I,'DATA INFORME'!K:K)</f>
        <v>SI</v>
      </c>
      <c r="M5" s="34" t="str">
        <f>IF(Tabla2__2[[#This Row],[MYSTERY EFECTIVO]]="SI",_xlfn.XLOOKUP(Tabla2__2[[#This Row],[PREGUNTA]],ENCUESTA!G:G,ENCUESTA!D:D),"N/A")</f>
        <v>N/A</v>
      </c>
      <c r="N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" s="34">
        <f>_xlfn.XLOOKUP(Tabla2__2[[#This Row],[PREGUNTA]],ENCUESTA!G:G,ENCUESTA!H:H)</f>
        <v>0</v>
      </c>
      <c r="P5" s="34">
        <f>IF(Tabla2__2[[#This Row],[RTA]]=Tabla2__2[[#This Row],[RTA CORRECTA]],Tabla2__2[[#This Row],[TOTAL PUNTAJE]],0)</f>
        <v>0</v>
      </c>
      <c r="Q5" s="34">
        <f t="shared" si="0"/>
        <v>0</v>
      </c>
      <c r="R5" s="34"/>
    </row>
    <row r="6" spans="1:21" x14ac:dyDescent="0.35">
      <c r="A6" s="34" t="s">
        <v>109</v>
      </c>
      <c r="B6" s="34" t="s">
        <v>8</v>
      </c>
      <c r="C6" t="s">
        <v>15</v>
      </c>
      <c r="D6" s="34" t="s">
        <v>118</v>
      </c>
      <c r="E6" s="34">
        <v>12561</v>
      </c>
      <c r="F6" s="34" t="s">
        <v>161</v>
      </c>
      <c r="G6" s="34" t="s">
        <v>126</v>
      </c>
      <c r="H6" s="34" t="s">
        <v>20</v>
      </c>
      <c r="I6" s="35"/>
      <c r="J6" s="34">
        <v>30929835</v>
      </c>
      <c r="K6" s="34" t="s">
        <v>129</v>
      </c>
      <c r="L6" s="34" t="str">
        <f>_xlfn.XLOOKUP(Tabla2__2[[#This Row],[CODIGO RUTA]],'DATA INFORME'!I:I,'DATA INFORME'!K:K)</f>
        <v>SI</v>
      </c>
      <c r="M6" s="34" t="str">
        <f>IF(Tabla2__2[[#This Row],[MYSTERY EFECTIVO]]="SI",_xlfn.XLOOKUP(Tabla2__2[[#This Row],[PREGUNTA]],ENCUESTA!G:G,ENCUESTA!D:D),"N/A")</f>
        <v>ACTIVIDADES DEL MES</v>
      </c>
      <c r="N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6" s="34" t="str">
        <f>_xlfn.XLOOKUP(Tabla2__2[[#This Row],[PREGUNTA]],ENCUESTA!G:G,ENCUESTA!H:H)</f>
        <v>SI</v>
      </c>
      <c r="P6" s="34">
        <f>IF(Tabla2__2[[#This Row],[RTA]]=Tabla2__2[[#This Row],[RTA CORRECTA]],Tabla2__2[[#This Row],[TOTAL PUNTAJE]],0)</f>
        <v>10</v>
      </c>
      <c r="Q6" s="34">
        <f t="shared" si="0"/>
        <v>0</v>
      </c>
      <c r="R6" s="34"/>
    </row>
    <row r="7" spans="1:21" x14ac:dyDescent="0.35">
      <c r="A7" s="34" t="s">
        <v>109</v>
      </c>
      <c r="B7" s="34" t="s">
        <v>8</v>
      </c>
      <c r="C7" t="s">
        <v>15</v>
      </c>
      <c r="D7" s="34" t="s">
        <v>118</v>
      </c>
      <c r="E7" s="34">
        <v>12561</v>
      </c>
      <c r="F7" s="34" t="s">
        <v>161</v>
      </c>
      <c r="G7" s="34" t="s">
        <v>114</v>
      </c>
      <c r="H7" s="34" t="s">
        <v>20</v>
      </c>
      <c r="I7" s="35"/>
      <c r="J7" s="34">
        <v>30929835</v>
      </c>
      <c r="K7" s="34" t="s">
        <v>129</v>
      </c>
      <c r="L7" s="34" t="str">
        <f>_xlfn.XLOOKUP(Tabla2__2[[#This Row],[CODIGO RUTA]],'DATA INFORME'!I:I,'DATA INFORME'!K:K)</f>
        <v>SI</v>
      </c>
      <c r="M7" s="34" t="str">
        <f>IF(Tabla2__2[[#This Row],[MYSTERY EFECTIVO]]="SI",_xlfn.XLOOKUP(Tabla2__2[[#This Row],[PREGUNTA]],ENCUESTA!G:G,ENCUESTA!D:D),"N/A")</f>
        <v>ACTIVIDADES DEL MES</v>
      </c>
      <c r="N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7" s="34" t="str">
        <f>_xlfn.XLOOKUP(Tabla2__2[[#This Row],[PREGUNTA]],ENCUESTA!G:G,ENCUESTA!H:H)</f>
        <v>SI</v>
      </c>
      <c r="P7" s="34">
        <f>IF(Tabla2__2[[#This Row],[RTA]]=Tabla2__2[[#This Row],[RTA CORRECTA]],Tabla2__2[[#This Row],[TOTAL PUNTAJE]],0)</f>
        <v>10</v>
      </c>
      <c r="Q7" s="34">
        <f t="shared" si="0"/>
        <v>0</v>
      </c>
      <c r="R7" s="34"/>
    </row>
    <row r="8" spans="1:21" x14ac:dyDescent="0.35">
      <c r="A8" s="34" t="s">
        <v>109</v>
      </c>
      <c r="B8" s="34" t="s">
        <v>8</v>
      </c>
      <c r="C8" t="s">
        <v>15</v>
      </c>
      <c r="D8" s="34" t="s">
        <v>118</v>
      </c>
      <c r="E8" s="34">
        <v>12561</v>
      </c>
      <c r="F8" s="34" t="s">
        <v>161</v>
      </c>
      <c r="G8" s="34" t="s">
        <v>120</v>
      </c>
      <c r="H8" s="34" t="s">
        <v>20</v>
      </c>
      <c r="I8" s="35"/>
      <c r="J8" s="34">
        <v>30929835</v>
      </c>
      <c r="K8" s="34" t="s">
        <v>129</v>
      </c>
      <c r="L8" s="34" t="str">
        <f>_xlfn.XLOOKUP(Tabla2__2[[#This Row],[CODIGO RUTA]],'DATA INFORME'!I:I,'DATA INFORME'!K:K)</f>
        <v>SI</v>
      </c>
      <c r="M8" s="34" t="str">
        <f>IF(Tabla2__2[[#This Row],[MYSTERY EFECTIVO]]="SI",_xlfn.XLOOKUP(Tabla2__2[[#This Row],[PREGUNTA]],ENCUESTA!G:G,ENCUESTA!D:D),"N/A")</f>
        <v>EJECUCIÓN DEL PDV</v>
      </c>
      <c r="N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8" s="34" t="str">
        <f>_xlfn.XLOOKUP(Tabla2__2[[#This Row],[PREGUNTA]],ENCUESTA!G:G,ENCUESTA!H:H)</f>
        <v>SI</v>
      </c>
      <c r="P8" s="34">
        <f>IF(Tabla2__2[[#This Row],[RTA]]=Tabla2__2[[#This Row],[RTA CORRECTA]],Tabla2__2[[#This Row],[TOTAL PUNTAJE]],0)</f>
        <v>2.7272727272727271</v>
      </c>
      <c r="Q8" s="34">
        <f t="shared" si="0"/>
        <v>0</v>
      </c>
      <c r="R8" s="34"/>
    </row>
    <row r="9" spans="1:21" x14ac:dyDescent="0.35">
      <c r="A9" s="34" t="s">
        <v>109</v>
      </c>
      <c r="B9" s="34" t="s">
        <v>8</v>
      </c>
      <c r="C9" t="s">
        <v>15</v>
      </c>
      <c r="D9" s="34" t="s">
        <v>118</v>
      </c>
      <c r="E9" s="34">
        <v>12561</v>
      </c>
      <c r="F9" s="34" t="s">
        <v>161</v>
      </c>
      <c r="G9" s="34" t="s">
        <v>101</v>
      </c>
      <c r="H9" s="34" t="s">
        <v>15</v>
      </c>
      <c r="I9" s="35"/>
      <c r="J9" s="34">
        <v>30929835</v>
      </c>
      <c r="K9" s="34" t="s">
        <v>129</v>
      </c>
      <c r="L9" s="34" t="str">
        <f>_xlfn.XLOOKUP(Tabla2__2[[#This Row],[CODIGO RUTA]],'DATA INFORME'!I:I,'DATA INFORME'!K:K)</f>
        <v>SI</v>
      </c>
      <c r="M9" s="34" t="str">
        <f>IF(Tabla2__2[[#This Row],[MYSTERY EFECTIVO]]="SI",_xlfn.XLOOKUP(Tabla2__2[[#This Row],[PREGUNTA]],ENCUESTA!G:G,ENCUESTA!D:D),"N/A")</f>
        <v>N/A</v>
      </c>
      <c r="N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" s="34">
        <f>_xlfn.XLOOKUP(Tabla2__2[[#This Row],[PREGUNTA]],ENCUESTA!G:G,ENCUESTA!H:H)</f>
        <v>0</v>
      </c>
      <c r="P9" s="34">
        <f>IF(Tabla2__2[[#This Row],[RTA]]=Tabla2__2[[#This Row],[RTA CORRECTA]],Tabla2__2[[#This Row],[TOTAL PUNTAJE]],0)</f>
        <v>0</v>
      </c>
      <c r="Q9" s="34">
        <f t="shared" si="0"/>
        <v>0</v>
      </c>
      <c r="R9" s="34"/>
    </row>
    <row r="10" spans="1:21" x14ac:dyDescent="0.35">
      <c r="A10" s="34" t="s">
        <v>109</v>
      </c>
      <c r="B10" s="34" t="s">
        <v>8</v>
      </c>
      <c r="C10" t="s">
        <v>15</v>
      </c>
      <c r="D10" s="34" t="s">
        <v>118</v>
      </c>
      <c r="E10" s="34">
        <v>12561</v>
      </c>
      <c r="F10" s="34" t="s">
        <v>161</v>
      </c>
      <c r="G10" s="34" t="s">
        <v>99</v>
      </c>
      <c r="H10" s="34" t="s">
        <v>20</v>
      </c>
      <c r="I10" s="35"/>
      <c r="J10" s="34">
        <v>30929835</v>
      </c>
      <c r="K10" s="34" t="s">
        <v>129</v>
      </c>
      <c r="L10" s="34" t="str">
        <f>_xlfn.XLOOKUP(Tabla2__2[[#This Row],[CODIGO RUTA]],'DATA INFORME'!I:I,'DATA INFORME'!K:K)</f>
        <v>SI</v>
      </c>
      <c r="M10" s="34" t="str">
        <f>IF(Tabla2__2[[#This Row],[MYSTERY EFECTIVO]]="SI",_xlfn.XLOOKUP(Tabla2__2[[#This Row],[PREGUNTA]],ENCUESTA!G:G,ENCUESTA!D:D),"N/A")</f>
        <v>EJECUCIÓN DEL PDV</v>
      </c>
      <c r="N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10" s="34" t="str">
        <f>_xlfn.XLOOKUP(Tabla2__2[[#This Row],[PREGUNTA]],ENCUESTA!G:G,ENCUESTA!H:H)</f>
        <v>SI</v>
      </c>
      <c r="P10" s="34">
        <f>IF(Tabla2__2[[#This Row],[RTA]]=Tabla2__2[[#This Row],[RTA CORRECTA]],Tabla2__2[[#This Row],[TOTAL PUNTAJE]],0)</f>
        <v>2.7272727272727271</v>
      </c>
      <c r="Q10" s="34">
        <f t="shared" si="0"/>
        <v>0</v>
      </c>
      <c r="R10" s="34"/>
    </row>
    <row r="11" spans="1:21" x14ac:dyDescent="0.35">
      <c r="A11" s="34" t="s">
        <v>109</v>
      </c>
      <c r="B11" s="34" t="s">
        <v>8</v>
      </c>
      <c r="C11" t="s">
        <v>15</v>
      </c>
      <c r="D11" s="34" t="s">
        <v>118</v>
      </c>
      <c r="E11" s="34">
        <v>12561</v>
      </c>
      <c r="F11" s="34" t="s">
        <v>161</v>
      </c>
      <c r="G11" s="34" t="s">
        <v>98</v>
      </c>
      <c r="H11" s="34" t="s">
        <v>20</v>
      </c>
      <c r="I11" s="35"/>
      <c r="J11" s="34">
        <v>30929835</v>
      </c>
      <c r="K11" s="34" t="s">
        <v>129</v>
      </c>
      <c r="L11" s="34" t="str">
        <f>_xlfn.XLOOKUP(Tabla2__2[[#This Row],[CODIGO RUTA]],'DATA INFORME'!I:I,'DATA INFORME'!K:K)</f>
        <v>SI</v>
      </c>
      <c r="M11" s="34" t="str">
        <f>IF(Tabla2__2[[#This Row],[MYSTERY EFECTIVO]]="SI",_xlfn.XLOOKUP(Tabla2__2[[#This Row],[PREGUNTA]],ENCUESTA!G:G,ENCUESTA!D:D),"N/A")</f>
        <v>EJECUCIÓN DEL PDV</v>
      </c>
      <c r="N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11" s="34" t="str">
        <f>_xlfn.XLOOKUP(Tabla2__2[[#This Row],[PREGUNTA]],ENCUESTA!G:G,ENCUESTA!H:H)</f>
        <v>SI</v>
      </c>
      <c r="P11" s="34">
        <f>IF(Tabla2__2[[#This Row],[RTA]]=Tabla2__2[[#This Row],[RTA CORRECTA]],Tabla2__2[[#This Row],[TOTAL PUNTAJE]],0)</f>
        <v>2.7272727272727271</v>
      </c>
      <c r="Q11" s="34">
        <f t="shared" si="0"/>
        <v>0</v>
      </c>
      <c r="R11" s="34"/>
    </row>
    <row r="12" spans="1:21" x14ac:dyDescent="0.35">
      <c r="A12" s="34" t="s">
        <v>109</v>
      </c>
      <c r="B12" s="34" t="s">
        <v>8</v>
      </c>
      <c r="C12" t="s">
        <v>15</v>
      </c>
      <c r="D12" s="34" t="s">
        <v>118</v>
      </c>
      <c r="E12" s="34">
        <v>12561</v>
      </c>
      <c r="F12" s="34" t="s">
        <v>161</v>
      </c>
      <c r="G12" s="34" t="s">
        <v>125</v>
      </c>
      <c r="H12" s="34" t="s">
        <v>20</v>
      </c>
      <c r="I12" s="35"/>
      <c r="J12" s="34">
        <v>30929835</v>
      </c>
      <c r="K12" s="34" t="s">
        <v>129</v>
      </c>
      <c r="L12" s="34" t="str">
        <f>_xlfn.XLOOKUP(Tabla2__2[[#This Row],[CODIGO RUTA]],'DATA INFORME'!I:I,'DATA INFORME'!K:K)</f>
        <v>SI</v>
      </c>
      <c r="M12" s="34" t="str">
        <f>IF(Tabla2__2[[#This Row],[MYSTERY EFECTIVO]]="SI",_xlfn.XLOOKUP(Tabla2__2[[#This Row],[PREGUNTA]],ENCUESTA!G:G,ENCUESTA!D:D),"N/A")</f>
        <v>EJECUCIÓN DEL PDV</v>
      </c>
      <c r="N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12" s="34" t="str">
        <f>_xlfn.XLOOKUP(Tabla2__2[[#This Row],[PREGUNTA]],ENCUESTA!G:G,ENCUESTA!H:H)</f>
        <v>SI</v>
      </c>
      <c r="P12" s="34">
        <f>IF(Tabla2__2[[#This Row],[RTA]]=Tabla2__2[[#This Row],[RTA CORRECTA]],Tabla2__2[[#This Row],[TOTAL PUNTAJE]],0)</f>
        <v>2.7272727272727271</v>
      </c>
      <c r="Q12" s="34">
        <f t="shared" si="0"/>
        <v>0</v>
      </c>
      <c r="R12" s="34"/>
    </row>
    <row r="13" spans="1:21" x14ac:dyDescent="0.35">
      <c r="A13" s="34" t="s">
        <v>109</v>
      </c>
      <c r="B13" s="34" t="s">
        <v>8</v>
      </c>
      <c r="C13" t="s">
        <v>15</v>
      </c>
      <c r="D13" s="34" t="s">
        <v>118</v>
      </c>
      <c r="E13" s="34">
        <v>12561</v>
      </c>
      <c r="F13" s="34" t="s">
        <v>161</v>
      </c>
      <c r="G13" s="34" t="s">
        <v>124</v>
      </c>
      <c r="H13" s="34" t="s">
        <v>20</v>
      </c>
      <c r="I13" s="35"/>
      <c r="J13" s="34">
        <v>30929835</v>
      </c>
      <c r="K13" s="34" t="s">
        <v>129</v>
      </c>
      <c r="L13" s="34" t="str">
        <f>_xlfn.XLOOKUP(Tabla2__2[[#This Row],[CODIGO RUTA]],'DATA INFORME'!I:I,'DATA INFORME'!K:K)</f>
        <v>SI</v>
      </c>
      <c r="M13" s="34" t="str">
        <f>IF(Tabla2__2[[#This Row],[MYSTERY EFECTIVO]]="SI",_xlfn.XLOOKUP(Tabla2__2[[#This Row],[PREGUNTA]],ENCUESTA!G:G,ENCUESTA!D:D),"N/A")</f>
        <v>EJECUCIÓN DEL PDV</v>
      </c>
      <c r="N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13" s="34" t="str">
        <f>_xlfn.XLOOKUP(Tabla2__2[[#This Row],[PREGUNTA]],ENCUESTA!G:G,ENCUESTA!H:H)</f>
        <v>SI</v>
      </c>
      <c r="P13" s="34">
        <f>IF(Tabla2__2[[#This Row],[RTA]]=Tabla2__2[[#This Row],[RTA CORRECTA]],Tabla2__2[[#This Row],[TOTAL PUNTAJE]],0)</f>
        <v>2.7272727272727271</v>
      </c>
      <c r="Q13" s="34">
        <f t="shared" si="0"/>
        <v>0</v>
      </c>
      <c r="R13" s="34"/>
    </row>
    <row r="14" spans="1:21" x14ac:dyDescent="0.35">
      <c r="A14" s="34" t="s">
        <v>109</v>
      </c>
      <c r="B14" s="34" t="s">
        <v>8</v>
      </c>
      <c r="C14" t="s">
        <v>15</v>
      </c>
      <c r="D14" s="34" t="s">
        <v>118</v>
      </c>
      <c r="E14" s="34">
        <v>12561</v>
      </c>
      <c r="F14" s="34" t="s">
        <v>161</v>
      </c>
      <c r="G14" s="34" t="s">
        <v>97</v>
      </c>
      <c r="H14" s="34" t="s">
        <v>108</v>
      </c>
      <c r="I14" s="35"/>
      <c r="J14" s="34">
        <v>30929835</v>
      </c>
      <c r="K14" s="34" t="s">
        <v>129</v>
      </c>
      <c r="L14" s="34" t="str">
        <f>_xlfn.XLOOKUP(Tabla2__2[[#This Row],[CODIGO RUTA]],'DATA INFORME'!I:I,'DATA INFORME'!K:K)</f>
        <v>SI</v>
      </c>
      <c r="M14" s="34" t="str">
        <f>IF(Tabla2__2[[#This Row],[MYSTERY EFECTIVO]]="SI",_xlfn.XLOOKUP(Tabla2__2[[#This Row],[PREGUNTA]],ENCUESTA!G:G,ENCUESTA!D:D),"N/A")</f>
        <v>PRESENTACIÓN PERSONAL</v>
      </c>
      <c r="N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" s="34" t="str">
        <f>_xlfn.XLOOKUP(Tabla2__2[[#This Row],[PREGUNTA]],ENCUESTA!G:G,ENCUESTA!H:H)</f>
        <v>NO</v>
      </c>
      <c r="P14" s="34">
        <f>IF(Tabla2__2[[#This Row],[RTA]]=Tabla2__2[[#This Row],[RTA CORRECTA]],Tabla2__2[[#This Row],[TOTAL PUNTAJE]],0)</f>
        <v>1</v>
      </c>
      <c r="Q14" s="34">
        <f t="shared" si="0"/>
        <v>0</v>
      </c>
      <c r="R14" s="34"/>
    </row>
    <row r="15" spans="1:21" x14ac:dyDescent="0.35">
      <c r="A15" s="34" t="s">
        <v>109</v>
      </c>
      <c r="B15" s="34" t="s">
        <v>8</v>
      </c>
      <c r="C15" t="s">
        <v>15</v>
      </c>
      <c r="D15" s="34" t="s">
        <v>118</v>
      </c>
      <c r="E15" s="34">
        <v>12561</v>
      </c>
      <c r="F15" s="34" t="s">
        <v>161</v>
      </c>
      <c r="G15" s="34" t="s">
        <v>96</v>
      </c>
      <c r="H15" s="34" t="s">
        <v>108</v>
      </c>
      <c r="I15" s="35"/>
      <c r="J15" s="34">
        <v>30929835</v>
      </c>
      <c r="K15" s="34" t="s">
        <v>129</v>
      </c>
      <c r="L15" s="34" t="str">
        <f>_xlfn.XLOOKUP(Tabla2__2[[#This Row],[CODIGO RUTA]],'DATA INFORME'!I:I,'DATA INFORME'!K:K)</f>
        <v>SI</v>
      </c>
      <c r="M15" s="34" t="str">
        <f>IF(Tabla2__2[[#This Row],[MYSTERY EFECTIVO]]="SI",_xlfn.XLOOKUP(Tabla2__2[[#This Row],[PREGUNTA]],ENCUESTA!G:G,ENCUESTA!D:D),"N/A")</f>
        <v>PRESENTACIÓN PERSONAL</v>
      </c>
      <c r="N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" s="34" t="str">
        <f>_xlfn.XLOOKUP(Tabla2__2[[#This Row],[PREGUNTA]],ENCUESTA!G:G,ENCUESTA!H:H)</f>
        <v>NO</v>
      </c>
      <c r="P15" s="34">
        <f>IF(Tabla2__2[[#This Row],[RTA]]=Tabla2__2[[#This Row],[RTA CORRECTA]],Tabla2__2[[#This Row],[TOTAL PUNTAJE]],0)</f>
        <v>1</v>
      </c>
      <c r="Q15" s="34">
        <f t="shared" si="0"/>
        <v>0</v>
      </c>
      <c r="R15" s="34"/>
    </row>
    <row r="16" spans="1:21" x14ac:dyDescent="0.35">
      <c r="A16" s="34" t="s">
        <v>109</v>
      </c>
      <c r="B16" s="34" t="s">
        <v>8</v>
      </c>
      <c r="C16" t="s">
        <v>15</v>
      </c>
      <c r="D16" s="34" t="s">
        <v>118</v>
      </c>
      <c r="E16" s="34">
        <v>12561</v>
      </c>
      <c r="F16" s="34" t="s">
        <v>161</v>
      </c>
      <c r="G16" s="34" t="s">
        <v>94</v>
      </c>
      <c r="H16" s="34" t="s">
        <v>108</v>
      </c>
      <c r="I16" s="35"/>
      <c r="J16" s="34">
        <v>30929835</v>
      </c>
      <c r="K16" s="34" t="s">
        <v>129</v>
      </c>
      <c r="L16" s="34" t="str">
        <f>_xlfn.XLOOKUP(Tabla2__2[[#This Row],[CODIGO RUTA]],'DATA INFORME'!I:I,'DATA INFORME'!K:K)</f>
        <v>SI</v>
      </c>
      <c r="M16" s="34" t="str">
        <f>IF(Tabla2__2[[#This Row],[MYSTERY EFECTIVO]]="SI",_xlfn.XLOOKUP(Tabla2__2[[#This Row],[PREGUNTA]],ENCUESTA!G:G,ENCUESTA!D:D),"N/A")</f>
        <v>PRESENTACIÓN PERSONAL</v>
      </c>
      <c r="N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" s="34" t="str">
        <f>_xlfn.XLOOKUP(Tabla2__2[[#This Row],[PREGUNTA]],ENCUESTA!G:G,ENCUESTA!H:H)</f>
        <v>NO</v>
      </c>
      <c r="P16" s="34">
        <f>IF(Tabla2__2[[#This Row],[RTA]]=Tabla2__2[[#This Row],[RTA CORRECTA]],Tabla2__2[[#This Row],[TOTAL PUNTAJE]],0)</f>
        <v>1</v>
      </c>
      <c r="Q16" s="34">
        <f t="shared" si="0"/>
        <v>0</v>
      </c>
      <c r="R16" s="34"/>
    </row>
    <row r="17" spans="1:18" x14ac:dyDescent="0.35">
      <c r="A17" s="34" t="s">
        <v>109</v>
      </c>
      <c r="B17" s="34" t="s">
        <v>8</v>
      </c>
      <c r="C17" t="s">
        <v>15</v>
      </c>
      <c r="D17" s="34" t="s">
        <v>118</v>
      </c>
      <c r="E17" s="34">
        <v>12561</v>
      </c>
      <c r="F17" s="34" t="s">
        <v>161</v>
      </c>
      <c r="G17" s="34" t="s">
        <v>95</v>
      </c>
      <c r="H17" s="34" t="s">
        <v>108</v>
      </c>
      <c r="I17" s="35"/>
      <c r="J17" s="34">
        <v>30929835</v>
      </c>
      <c r="K17" s="34" t="s">
        <v>129</v>
      </c>
      <c r="L17" s="34" t="str">
        <f>_xlfn.XLOOKUP(Tabla2__2[[#This Row],[CODIGO RUTA]],'DATA INFORME'!I:I,'DATA INFORME'!K:K)</f>
        <v>SI</v>
      </c>
      <c r="M17" s="34" t="str">
        <f>IF(Tabla2__2[[#This Row],[MYSTERY EFECTIVO]]="SI",_xlfn.XLOOKUP(Tabla2__2[[#This Row],[PREGUNTA]],ENCUESTA!G:G,ENCUESTA!D:D),"N/A")</f>
        <v>PRESENTACIÓN PERSONAL</v>
      </c>
      <c r="N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" s="34" t="str">
        <f>_xlfn.XLOOKUP(Tabla2__2[[#This Row],[PREGUNTA]],ENCUESTA!G:G,ENCUESTA!H:H)</f>
        <v>NO</v>
      </c>
      <c r="P17" s="34">
        <f>IF(Tabla2__2[[#This Row],[RTA]]=Tabla2__2[[#This Row],[RTA CORRECTA]],Tabla2__2[[#This Row],[TOTAL PUNTAJE]],0)</f>
        <v>1</v>
      </c>
      <c r="Q17" s="34">
        <f t="shared" si="0"/>
        <v>0</v>
      </c>
      <c r="R17" s="34"/>
    </row>
    <row r="18" spans="1:18" x14ac:dyDescent="0.35">
      <c r="A18" s="34" t="s">
        <v>109</v>
      </c>
      <c r="B18" s="34" t="s">
        <v>8</v>
      </c>
      <c r="C18" t="s">
        <v>15</v>
      </c>
      <c r="D18" s="34" t="s">
        <v>118</v>
      </c>
      <c r="E18" s="34">
        <v>12561</v>
      </c>
      <c r="F18" s="34" t="s">
        <v>161</v>
      </c>
      <c r="G18" s="34" t="s">
        <v>93</v>
      </c>
      <c r="H18" s="34" t="s">
        <v>20</v>
      </c>
      <c r="I18" s="35"/>
      <c r="J18" s="34">
        <v>30929835</v>
      </c>
      <c r="K18" s="34" t="s">
        <v>129</v>
      </c>
      <c r="L18" s="34" t="str">
        <f>_xlfn.XLOOKUP(Tabla2__2[[#This Row],[CODIGO RUTA]],'DATA INFORME'!I:I,'DATA INFORME'!K:K)</f>
        <v>SI</v>
      </c>
      <c r="M18" s="34" t="str">
        <f>IF(Tabla2__2[[#This Row],[MYSTERY EFECTIVO]]="SI",_xlfn.XLOOKUP(Tabla2__2[[#This Row],[PREGUNTA]],ENCUESTA!G:G,ENCUESTA!D:D),"N/A")</f>
        <v>PRESENTACIÓN PERSONAL</v>
      </c>
      <c r="N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8" s="34" t="str">
        <f>_xlfn.XLOOKUP(Tabla2__2[[#This Row],[PREGUNTA]],ENCUESTA!G:G,ENCUESTA!H:H)</f>
        <v>SI</v>
      </c>
      <c r="P18" s="34">
        <f>IF(Tabla2__2[[#This Row],[RTA]]=Tabla2__2[[#This Row],[RTA CORRECTA]],Tabla2__2[[#This Row],[TOTAL PUNTAJE]],0)</f>
        <v>1</v>
      </c>
      <c r="Q18" s="34">
        <f t="shared" si="0"/>
        <v>0</v>
      </c>
      <c r="R18" s="34"/>
    </row>
    <row r="19" spans="1:18" x14ac:dyDescent="0.35">
      <c r="A19" s="34" t="s">
        <v>109</v>
      </c>
      <c r="B19" s="34" t="s">
        <v>8</v>
      </c>
      <c r="C19" t="s">
        <v>15</v>
      </c>
      <c r="D19" s="34" t="s">
        <v>118</v>
      </c>
      <c r="E19" s="34">
        <v>12561</v>
      </c>
      <c r="F19" s="34" t="s">
        <v>161</v>
      </c>
      <c r="G19" s="34" t="s">
        <v>92</v>
      </c>
      <c r="H19" s="34" t="s">
        <v>20</v>
      </c>
      <c r="I19" s="35"/>
      <c r="J19" s="34">
        <v>30929835</v>
      </c>
      <c r="K19" s="34" t="s">
        <v>129</v>
      </c>
      <c r="L19" s="34" t="str">
        <f>_xlfn.XLOOKUP(Tabla2__2[[#This Row],[CODIGO RUTA]],'DATA INFORME'!I:I,'DATA INFORME'!K:K)</f>
        <v>SI</v>
      </c>
      <c r="M19" s="34" t="str">
        <f>IF(Tabla2__2[[#This Row],[MYSTERY EFECTIVO]]="SI",_xlfn.XLOOKUP(Tabla2__2[[#This Row],[PREGUNTA]],ENCUESTA!G:G,ENCUESTA!D:D),"N/A")</f>
        <v>PRESENTACIÓN PERSONAL</v>
      </c>
      <c r="N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" s="34" t="str">
        <f>_xlfn.XLOOKUP(Tabla2__2[[#This Row],[PREGUNTA]],ENCUESTA!G:G,ENCUESTA!H:H)</f>
        <v>SI</v>
      </c>
      <c r="P19" s="34">
        <f>IF(Tabla2__2[[#This Row],[RTA]]=Tabla2__2[[#This Row],[RTA CORRECTA]],Tabla2__2[[#This Row],[TOTAL PUNTAJE]],0)</f>
        <v>1</v>
      </c>
      <c r="Q19" s="34">
        <f t="shared" si="0"/>
        <v>0</v>
      </c>
      <c r="R19" s="34"/>
    </row>
    <row r="20" spans="1:18" x14ac:dyDescent="0.35">
      <c r="A20" s="34" t="s">
        <v>109</v>
      </c>
      <c r="B20" s="34" t="s">
        <v>8</v>
      </c>
      <c r="C20" t="s">
        <v>15</v>
      </c>
      <c r="D20" s="34" t="s">
        <v>118</v>
      </c>
      <c r="E20" s="34">
        <v>12561</v>
      </c>
      <c r="F20" s="34" t="s">
        <v>161</v>
      </c>
      <c r="G20" s="34" t="s">
        <v>91</v>
      </c>
      <c r="H20" s="34" t="s">
        <v>108</v>
      </c>
      <c r="I20" s="35"/>
      <c r="J20" s="34">
        <v>30929835</v>
      </c>
      <c r="K20" s="34" t="s">
        <v>129</v>
      </c>
      <c r="L20" s="34" t="str">
        <f>_xlfn.XLOOKUP(Tabla2__2[[#This Row],[CODIGO RUTA]],'DATA INFORME'!I:I,'DATA INFORME'!K:K)</f>
        <v>SI</v>
      </c>
      <c r="M20" s="34" t="str">
        <f>IF(Tabla2__2[[#This Row],[MYSTERY EFECTIVO]]="SI",_xlfn.XLOOKUP(Tabla2__2[[#This Row],[PREGUNTA]],ENCUESTA!G:G,ENCUESTA!D:D),"N/A")</f>
        <v>PRESENTACIÓN PERSONAL</v>
      </c>
      <c r="N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0" s="34" t="str">
        <f>_xlfn.XLOOKUP(Tabla2__2[[#This Row],[PREGUNTA]],ENCUESTA!G:G,ENCUESTA!H:H)</f>
        <v>NO</v>
      </c>
      <c r="P20" s="34">
        <f>IF(Tabla2__2[[#This Row],[RTA]]=Tabla2__2[[#This Row],[RTA CORRECTA]],Tabla2__2[[#This Row],[TOTAL PUNTAJE]],0)</f>
        <v>1</v>
      </c>
      <c r="Q20" s="34">
        <f t="shared" si="0"/>
        <v>0</v>
      </c>
      <c r="R20" s="34"/>
    </row>
    <row r="21" spans="1:18" x14ac:dyDescent="0.35">
      <c r="A21" s="34" t="s">
        <v>109</v>
      </c>
      <c r="B21" s="34" t="s">
        <v>8</v>
      </c>
      <c r="C21" t="s">
        <v>15</v>
      </c>
      <c r="D21" s="34" t="s">
        <v>118</v>
      </c>
      <c r="E21" s="34">
        <v>12561</v>
      </c>
      <c r="F21" s="34" t="s">
        <v>161</v>
      </c>
      <c r="G21" s="34" t="s">
        <v>35</v>
      </c>
      <c r="H21" s="34" t="s">
        <v>20</v>
      </c>
      <c r="I21" s="35"/>
      <c r="J21" s="34">
        <v>30929835</v>
      </c>
      <c r="K21" s="34" t="s">
        <v>129</v>
      </c>
      <c r="L21" s="34" t="str">
        <f>_xlfn.XLOOKUP(Tabla2__2[[#This Row],[CODIGO RUTA]],'DATA INFORME'!I:I,'DATA INFORME'!K:K)</f>
        <v>SI</v>
      </c>
      <c r="M21" s="34" t="str">
        <f>IF(Tabla2__2[[#This Row],[MYSTERY EFECTIVO]]="SI",_xlfn.XLOOKUP(Tabla2__2[[#This Row],[PREGUNTA]],ENCUESTA!G:G,ENCUESTA!D:D),"N/A")</f>
        <v>PRESENTACIÓN PERSONAL</v>
      </c>
      <c r="N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" s="34" t="str">
        <f>_xlfn.XLOOKUP(Tabla2__2[[#This Row],[PREGUNTA]],ENCUESTA!G:G,ENCUESTA!H:H)</f>
        <v>SI</v>
      </c>
      <c r="P21" s="34">
        <f>IF(Tabla2__2[[#This Row],[RTA]]=Tabla2__2[[#This Row],[RTA CORRECTA]],Tabla2__2[[#This Row],[TOTAL PUNTAJE]],0)</f>
        <v>1</v>
      </c>
      <c r="Q21" s="34">
        <f t="shared" si="0"/>
        <v>0</v>
      </c>
      <c r="R21" s="34"/>
    </row>
    <row r="22" spans="1:18" x14ac:dyDescent="0.35">
      <c r="A22" s="34" t="s">
        <v>109</v>
      </c>
      <c r="B22" s="34" t="s">
        <v>8</v>
      </c>
      <c r="C22" t="s">
        <v>15</v>
      </c>
      <c r="D22" s="34" t="s">
        <v>118</v>
      </c>
      <c r="E22" s="34">
        <v>12561</v>
      </c>
      <c r="F22" s="34" t="s">
        <v>161</v>
      </c>
      <c r="G22" s="34" t="s">
        <v>90</v>
      </c>
      <c r="H22" s="34" t="s">
        <v>20</v>
      </c>
      <c r="I22" s="35"/>
      <c r="J22" s="34">
        <v>30929835</v>
      </c>
      <c r="K22" s="34" t="s">
        <v>129</v>
      </c>
      <c r="L22" s="34" t="str">
        <f>_xlfn.XLOOKUP(Tabla2__2[[#This Row],[CODIGO RUTA]],'DATA INFORME'!I:I,'DATA INFORME'!K:K)</f>
        <v>SI</v>
      </c>
      <c r="M22" s="34" t="str">
        <f>IF(Tabla2__2[[#This Row],[MYSTERY EFECTIVO]]="SI",_xlfn.XLOOKUP(Tabla2__2[[#This Row],[PREGUNTA]],ENCUESTA!G:G,ENCUESTA!D:D),"N/A")</f>
        <v>PRESENTACIÓN PERSONAL</v>
      </c>
      <c r="N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2" s="34" t="str">
        <f>_xlfn.XLOOKUP(Tabla2__2[[#This Row],[PREGUNTA]],ENCUESTA!G:G,ENCUESTA!H:H)</f>
        <v>SI</v>
      </c>
      <c r="P22" s="34">
        <f>IF(Tabla2__2[[#This Row],[RTA]]=Tabla2__2[[#This Row],[RTA CORRECTA]],Tabla2__2[[#This Row],[TOTAL PUNTAJE]],0)</f>
        <v>1</v>
      </c>
      <c r="Q22" s="34">
        <f t="shared" si="0"/>
        <v>0</v>
      </c>
      <c r="R22" s="34"/>
    </row>
    <row r="23" spans="1:18" x14ac:dyDescent="0.35">
      <c r="A23" s="34" t="s">
        <v>109</v>
      </c>
      <c r="B23" s="34" t="s">
        <v>8</v>
      </c>
      <c r="C23" t="s">
        <v>15</v>
      </c>
      <c r="D23" s="34" t="s">
        <v>118</v>
      </c>
      <c r="E23" s="34">
        <v>12561</v>
      </c>
      <c r="F23" s="34" t="s">
        <v>161</v>
      </c>
      <c r="G23" s="34" t="s">
        <v>89</v>
      </c>
      <c r="H23" s="34" t="s">
        <v>20</v>
      </c>
      <c r="I23" s="35"/>
      <c r="J23" s="34">
        <v>30929835</v>
      </c>
      <c r="K23" s="34" t="s">
        <v>129</v>
      </c>
      <c r="L23" s="34" t="str">
        <f>_xlfn.XLOOKUP(Tabla2__2[[#This Row],[CODIGO RUTA]],'DATA INFORME'!I:I,'DATA INFORME'!K:K)</f>
        <v>SI</v>
      </c>
      <c r="M23" s="34" t="str">
        <f>IF(Tabla2__2[[#This Row],[MYSTERY EFECTIVO]]="SI",_xlfn.XLOOKUP(Tabla2__2[[#This Row],[PREGUNTA]],ENCUESTA!G:G,ENCUESTA!D:D),"N/A")</f>
        <v>PRESENTACIÓN PERSONAL</v>
      </c>
      <c r="N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3" s="34" t="str">
        <f>_xlfn.XLOOKUP(Tabla2__2[[#This Row],[PREGUNTA]],ENCUESTA!G:G,ENCUESTA!H:H)</f>
        <v>SI</v>
      </c>
      <c r="P23" s="34">
        <f>IF(Tabla2__2[[#This Row],[RTA]]=Tabla2__2[[#This Row],[RTA CORRECTA]],Tabla2__2[[#This Row],[TOTAL PUNTAJE]],0)</f>
        <v>1</v>
      </c>
      <c r="Q23" s="34">
        <f t="shared" si="0"/>
        <v>0</v>
      </c>
      <c r="R23" s="34"/>
    </row>
    <row r="24" spans="1:18" x14ac:dyDescent="0.35">
      <c r="A24" s="34" t="s">
        <v>109</v>
      </c>
      <c r="B24" s="34" t="s">
        <v>8</v>
      </c>
      <c r="C24" t="s">
        <v>15</v>
      </c>
      <c r="D24" s="34" t="s">
        <v>118</v>
      </c>
      <c r="E24" s="34">
        <v>12561</v>
      </c>
      <c r="F24" s="34" t="s">
        <v>161</v>
      </c>
      <c r="G24" s="34" t="s">
        <v>88</v>
      </c>
      <c r="H24" s="34" t="s">
        <v>20</v>
      </c>
      <c r="I24" s="35"/>
      <c r="J24" s="34">
        <v>30929835</v>
      </c>
      <c r="K24" s="34" t="s">
        <v>129</v>
      </c>
      <c r="L24" s="34" t="str">
        <f>_xlfn.XLOOKUP(Tabla2__2[[#This Row],[CODIGO RUTA]],'DATA INFORME'!I:I,'DATA INFORME'!K:K)</f>
        <v>SI</v>
      </c>
      <c r="M24" s="34" t="str">
        <f>IF(Tabla2__2[[#This Row],[MYSTERY EFECTIVO]]="SI",_xlfn.XLOOKUP(Tabla2__2[[#This Row],[PREGUNTA]],ENCUESTA!G:G,ENCUESTA!D:D),"N/A")</f>
        <v>HORARIO</v>
      </c>
      <c r="N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4" s="34" t="str">
        <f>_xlfn.XLOOKUP(Tabla2__2[[#This Row],[PREGUNTA]],ENCUESTA!G:G,ENCUESTA!H:H)</f>
        <v>SI</v>
      </c>
      <c r="P24" s="34">
        <f>IF(Tabla2__2[[#This Row],[RTA]]=Tabla2__2[[#This Row],[RTA CORRECTA]],Tabla2__2[[#This Row],[TOTAL PUNTAJE]],0)</f>
        <v>20</v>
      </c>
      <c r="Q24" s="34">
        <f t="shared" si="0"/>
        <v>0</v>
      </c>
      <c r="R24" s="34"/>
    </row>
    <row r="25" spans="1:18" x14ac:dyDescent="0.35">
      <c r="A25" s="34" t="s">
        <v>109</v>
      </c>
      <c r="B25" s="34" t="s">
        <v>8</v>
      </c>
      <c r="C25" t="s">
        <v>15</v>
      </c>
      <c r="D25" s="34" t="s">
        <v>118</v>
      </c>
      <c r="E25" s="34">
        <v>12561</v>
      </c>
      <c r="F25" s="34" t="s">
        <v>161</v>
      </c>
      <c r="G25" s="34" t="s">
        <v>87</v>
      </c>
      <c r="H25" s="34" t="s">
        <v>20</v>
      </c>
      <c r="I25" s="35"/>
      <c r="J25" s="34">
        <v>30929835</v>
      </c>
      <c r="K25" s="34" t="s">
        <v>129</v>
      </c>
      <c r="L25" s="34" t="str">
        <f>_xlfn.XLOOKUP(Tabla2__2[[#This Row],[CODIGO RUTA]],'DATA INFORME'!I:I,'DATA INFORME'!K:K)</f>
        <v>SI</v>
      </c>
      <c r="M25" s="34" t="str">
        <f>IF(Tabla2__2[[#This Row],[MYSTERY EFECTIVO]]="SI",_xlfn.XLOOKUP(Tabla2__2[[#This Row],[PREGUNTA]],ENCUESTA!G:G,ENCUESTA!D:D),"N/A")</f>
        <v>N/A</v>
      </c>
      <c r="N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5" s="34">
        <f>_xlfn.XLOOKUP(Tabla2__2[[#This Row],[PREGUNTA]],ENCUESTA!G:G,ENCUESTA!H:H)</f>
        <v>0</v>
      </c>
      <c r="P25" s="34">
        <f>IF(Tabla2__2[[#This Row],[RTA]]=Tabla2__2[[#This Row],[RTA CORRECTA]],Tabla2__2[[#This Row],[TOTAL PUNTAJE]],0)</f>
        <v>0</v>
      </c>
      <c r="Q25" s="34">
        <f t="shared" si="0"/>
        <v>0</v>
      </c>
      <c r="R25" s="34"/>
    </row>
    <row r="26" spans="1:18" x14ac:dyDescent="0.35">
      <c r="A26" s="34" t="s">
        <v>109</v>
      </c>
      <c r="B26" s="34" t="s">
        <v>8</v>
      </c>
      <c r="C26" t="s">
        <v>43</v>
      </c>
      <c r="D26" s="34" t="s">
        <v>118</v>
      </c>
      <c r="E26" s="34">
        <v>152046</v>
      </c>
      <c r="F26" s="34" t="s">
        <v>155</v>
      </c>
      <c r="G26" s="34" t="s">
        <v>124</v>
      </c>
      <c r="H26" s="34" t="s">
        <v>20</v>
      </c>
      <c r="I26" s="35"/>
      <c r="J26" s="34">
        <v>30923533</v>
      </c>
      <c r="K26" s="34" t="s">
        <v>129</v>
      </c>
      <c r="L26" s="34" t="str">
        <f>_xlfn.XLOOKUP(Tabla2__2[[#This Row],[CODIGO RUTA]],'DATA INFORME'!I:I,'DATA INFORME'!K:K)</f>
        <v>SI</v>
      </c>
      <c r="M26" s="34" t="str">
        <f>IF(Tabla2__2[[#This Row],[MYSTERY EFECTIVO]]="SI",_xlfn.XLOOKUP(Tabla2__2[[#This Row],[PREGUNTA]],ENCUESTA!G:G,ENCUESTA!D:D),"N/A")</f>
        <v>EJECUCIÓN DEL PDV</v>
      </c>
      <c r="N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26" s="34" t="str">
        <f>_xlfn.XLOOKUP(Tabla2__2[[#This Row],[PREGUNTA]],ENCUESTA!G:G,ENCUESTA!H:H)</f>
        <v>SI</v>
      </c>
      <c r="P26" s="34">
        <f>IF(Tabla2__2[[#This Row],[RTA]]=Tabla2__2[[#This Row],[RTA CORRECTA]],Tabla2__2[[#This Row],[TOTAL PUNTAJE]],0)</f>
        <v>2.7272727272727271</v>
      </c>
      <c r="Q26" s="34">
        <f t="shared" si="0"/>
        <v>0</v>
      </c>
      <c r="R26" s="34"/>
    </row>
    <row r="27" spans="1:18" x14ac:dyDescent="0.35">
      <c r="A27" s="34" t="s">
        <v>109</v>
      </c>
      <c r="B27" s="34" t="s">
        <v>8</v>
      </c>
      <c r="C27" t="s">
        <v>43</v>
      </c>
      <c r="D27" s="34" t="s">
        <v>118</v>
      </c>
      <c r="E27" s="34">
        <v>152046</v>
      </c>
      <c r="F27" s="34" t="s">
        <v>155</v>
      </c>
      <c r="G27" s="34" t="s">
        <v>97</v>
      </c>
      <c r="H27" s="34" t="s">
        <v>108</v>
      </c>
      <c r="I27" s="35"/>
      <c r="J27" s="34">
        <v>30923533</v>
      </c>
      <c r="K27" s="34" t="s">
        <v>129</v>
      </c>
      <c r="L27" s="34" t="str">
        <f>_xlfn.XLOOKUP(Tabla2__2[[#This Row],[CODIGO RUTA]],'DATA INFORME'!I:I,'DATA INFORME'!K:K)</f>
        <v>SI</v>
      </c>
      <c r="M27" s="34" t="str">
        <f>IF(Tabla2__2[[#This Row],[MYSTERY EFECTIVO]]="SI",_xlfn.XLOOKUP(Tabla2__2[[#This Row],[PREGUNTA]],ENCUESTA!G:G,ENCUESTA!D:D),"N/A")</f>
        <v>PRESENTACIÓN PERSONAL</v>
      </c>
      <c r="N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7" s="34" t="str">
        <f>_xlfn.XLOOKUP(Tabla2__2[[#This Row],[PREGUNTA]],ENCUESTA!G:G,ENCUESTA!H:H)</f>
        <v>NO</v>
      </c>
      <c r="P27" s="34">
        <f>IF(Tabla2__2[[#This Row],[RTA]]=Tabla2__2[[#This Row],[RTA CORRECTA]],Tabla2__2[[#This Row],[TOTAL PUNTAJE]],0)</f>
        <v>1</v>
      </c>
      <c r="Q27" s="34">
        <f t="shared" si="0"/>
        <v>0</v>
      </c>
      <c r="R27" s="34"/>
    </row>
    <row r="28" spans="1:18" x14ac:dyDescent="0.35">
      <c r="A28" s="34" t="s">
        <v>109</v>
      </c>
      <c r="B28" s="34" t="s">
        <v>8</v>
      </c>
      <c r="C28" t="s">
        <v>43</v>
      </c>
      <c r="D28" s="34" t="s">
        <v>118</v>
      </c>
      <c r="E28" s="34">
        <v>152046</v>
      </c>
      <c r="F28" s="34" t="s">
        <v>155</v>
      </c>
      <c r="G28" s="34" t="s">
        <v>96</v>
      </c>
      <c r="H28" s="34" t="s">
        <v>108</v>
      </c>
      <c r="I28" s="35"/>
      <c r="J28" s="34">
        <v>30923533</v>
      </c>
      <c r="K28" s="34" t="s">
        <v>129</v>
      </c>
      <c r="L28" s="34" t="str">
        <f>_xlfn.XLOOKUP(Tabla2__2[[#This Row],[CODIGO RUTA]],'DATA INFORME'!I:I,'DATA INFORME'!K:K)</f>
        <v>SI</v>
      </c>
      <c r="M28" s="34" t="str">
        <f>IF(Tabla2__2[[#This Row],[MYSTERY EFECTIVO]]="SI",_xlfn.XLOOKUP(Tabla2__2[[#This Row],[PREGUNTA]],ENCUESTA!G:G,ENCUESTA!D:D),"N/A")</f>
        <v>PRESENTACIÓN PERSONAL</v>
      </c>
      <c r="N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8" s="34" t="str">
        <f>_xlfn.XLOOKUP(Tabla2__2[[#This Row],[PREGUNTA]],ENCUESTA!G:G,ENCUESTA!H:H)</f>
        <v>NO</v>
      </c>
      <c r="P28" s="34">
        <f>IF(Tabla2__2[[#This Row],[RTA]]=Tabla2__2[[#This Row],[RTA CORRECTA]],Tabla2__2[[#This Row],[TOTAL PUNTAJE]],0)</f>
        <v>1</v>
      </c>
      <c r="Q28" s="34">
        <f t="shared" si="0"/>
        <v>0</v>
      </c>
      <c r="R28" s="34"/>
    </row>
    <row r="29" spans="1:18" x14ac:dyDescent="0.35">
      <c r="A29" s="34" t="s">
        <v>109</v>
      </c>
      <c r="B29" s="34" t="s">
        <v>8</v>
      </c>
      <c r="C29" t="s">
        <v>43</v>
      </c>
      <c r="D29" s="34" t="s">
        <v>118</v>
      </c>
      <c r="E29" s="34">
        <v>152046</v>
      </c>
      <c r="F29" s="34" t="s">
        <v>155</v>
      </c>
      <c r="G29" s="34" t="s">
        <v>95</v>
      </c>
      <c r="H29" s="34" t="s">
        <v>108</v>
      </c>
      <c r="I29" s="35"/>
      <c r="J29" s="34">
        <v>30923533</v>
      </c>
      <c r="K29" s="34" t="s">
        <v>129</v>
      </c>
      <c r="L29" s="34" t="str">
        <f>_xlfn.XLOOKUP(Tabla2__2[[#This Row],[CODIGO RUTA]],'DATA INFORME'!I:I,'DATA INFORME'!K:K)</f>
        <v>SI</v>
      </c>
      <c r="M29" s="34" t="str">
        <f>IF(Tabla2__2[[#This Row],[MYSTERY EFECTIVO]]="SI",_xlfn.XLOOKUP(Tabla2__2[[#This Row],[PREGUNTA]],ENCUESTA!G:G,ENCUESTA!D:D),"N/A")</f>
        <v>PRESENTACIÓN PERSONAL</v>
      </c>
      <c r="N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9" s="34" t="str">
        <f>_xlfn.XLOOKUP(Tabla2__2[[#This Row],[PREGUNTA]],ENCUESTA!G:G,ENCUESTA!H:H)</f>
        <v>NO</v>
      </c>
      <c r="P29" s="34">
        <f>IF(Tabla2__2[[#This Row],[RTA]]=Tabla2__2[[#This Row],[RTA CORRECTA]],Tabla2__2[[#This Row],[TOTAL PUNTAJE]],0)</f>
        <v>1</v>
      </c>
      <c r="Q29" s="34">
        <f t="shared" si="0"/>
        <v>0</v>
      </c>
      <c r="R29" s="34"/>
    </row>
    <row r="30" spans="1:18" x14ac:dyDescent="0.35">
      <c r="A30" s="34" t="s">
        <v>109</v>
      </c>
      <c r="B30" s="34" t="s">
        <v>8</v>
      </c>
      <c r="C30" t="s">
        <v>43</v>
      </c>
      <c r="D30" s="34" t="s">
        <v>118</v>
      </c>
      <c r="E30" s="34">
        <v>152046</v>
      </c>
      <c r="F30" s="34" t="s">
        <v>155</v>
      </c>
      <c r="G30" s="34" t="s">
        <v>94</v>
      </c>
      <c r="H30" s="34" t="s">
        <v>108</v>
      </c>
      <c r="I30" s="35"/>
      <c r="J30" s="34">
        <v>30923533</v>
      </c>
      <c r="K30" s="34" t="s">
        <v>129</v>
      </c>
      <c r="L30" s="34" t="str">
        <f>_xlfn.XLOOKUP(Tabla2__2[[#This Row],[CODIGO RUTA]],'DATA INFORME'!I:I,'DATA INFORME'!K:K)</f>
        <v>SI</v>
      </c>
      <c r="M30" s="34" t="str">
        <f>IF(Tabla2__2[[#This Row],[MYSTERY EFECTIVO]]="SI",_xlfn.XLOOKUP(Tabla2__2[[#This Row],[PREGUNTA]],ENCUESTA!G:G,ENCUESTA!D:D),"N/A")</f>
        <v>PRESENTACIÓN PERSONAL</v>
      </c>
      <c r="N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0" s="34" t="str">
        <f>_xlfn.XLOOKUP(Tabla2__2[[#This Row],[PREGUNTA]],ENCUESTA!G:G,ENCUESTA!H:H)</f>
        <v>NO</v>
      </c>
      <c r="P30" s="34">
        <f>IF(Tabla2__2[[#This Row],[RTA]]=Tabla2__2[[#This Row],[RTA CORRECTA]],Tabla2__2[[#This Row],[TOTAL PUNTAJE]],0)</f>
        <v>1</v>
      </c>
      <c r="Q30" s="34">
        <f t="shared" si="0"/>
        <v>0</v>
      </c>
      <c r="R30" s="34"/>
    </row>
    <row r="31" spans="1:18" x14ac:dyDescent="0.35">
      <c r="A31" s="34" t="s">
        <v>109</v>
      </c>
      <c r="B31" s="34" t="s">
        <v>8</v>
      </c>
      <c r="C31" t="s">
        <v>43</v>
      </c>
      <c r="D31" s="34" t="s">
        <v>118</v>
      </c>
      <c r="E31" s="34">
        <v>152046</v>
      </c>
      <c r="F31" s="34" t="s">
        <v>155</v>
      </c>
      <c r="G31" s="34" t="s">
        <v>93</v>
      </c>
      <c r="H31" s="34" t="s">
        <v>20</v>
      </c>
      <c r="I31" s="35"/>
      <c r="J31" s="34">
        <v>30923533</v>
      </c>
      <c r="K31" s="34" t="s">
        <v>129</v>
      </c>
      <c r="L31" s="34" t="str">
        <f>_xlfn.XLOOKUP(Tabla2__2[[#This Row],[CODIGO RUTA]],'DATA INFORME'!I:I,'DATA INFORME'!K:K)</f>
        <v>SI</v>
      </c>
      <c r="M31" s="34" t="str">
        <f>IF(Tabla2__2[[#This Row],[MYSTERY EFECTIVO]]="SI",_xlfn.XLOOKUP(Tabla2__2[[#This Row],[PREGUNTA]],ENCUESTA!G:G,ENCUESTA!D:D),"N/A")</f>
        <v>PRESENTACIÓN PERSONAL</v>
      </c>
      <c r="N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1" s="34" t="str">
        <f>_xlfn.XLOOKUP(Tabla2__2[[#This Row],[PREGUNTA]],ENCUESTA!G:G,ENCUESTA!H:H)</f>
        <v>SI</v>
      </c>
      <c r="P31" s="34">
        <f>IF(Tabla2__2[[#This Row],[RTA]]=Tabla2__2[[#This Row],[RTA CORRECTA]],Tabla2__2[[#This Row],[TOTAL PUNTAJE]],0)</f>
        <v>1</v>
      </c>
      <c r="Q31" s="34">
        <f t="shared" si="0"/>
        <v>0</v>
      </c>
      <c r="R31" s="34"/>
    </row>
    <row r="32" spans="1:18" x14ac:dyDescent="0.35">
      <c r="A32" s="34" t="s">
        <v>109</v>
      </c>
      <c r="B32" s="34" t="s">
        <v>8</v>
      </c>
      <c r="C32" t="s">
        <v>43</v>
      </c>
      <c r="D32" s="34" t="s">
        <v>118</v>
      </c>
      <c r="E32" s="34">
        <v>152046</v>
      </c>
      <c r="F32" s="34" t="s">
        <v>155</v>
      </c>
      <c r="G32" s="34" t="s">
        <v>92</v>
      </c>
      <c r="H32" s="34" t="s">
        <v>20</v>
      </c>
      <c r="I32" s="35"/>
      <c r="J32" s="34">
        <v>30923533</v>
      </c>
      <c r="K32" s="34" t="s">
        <v>129</v>
      </c>
      <c r="L32" s="34" t="str">
        <f>_xlfn.XLOOKUP(Tabla2__2[[#This Row],[CODIGO RUTA]],'DATA INFORME'!I:I,'DATA INFORME'!K:K)</f>
        <v>SI</v>
      </c>
      <c r="M32" s="34" t="str">
        <f>IF(Tabla2__2[[#This Row],[MYSTERY EFECTIVO]]="SI",_xlfn.XLOOKUP(Tabla2__2[[#This Row],[PREGUNTA]],ENCUESTA!G:G,ENCUESTA!D:D),"N/A")</f>
        <v>PRESENTACIÓN PERSONAL</v>
      </c>
      <c r="N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2" s="34" t="str">
        <f>_xlfn.XLOOKUP(Tabla2__2[[#This Row],[PREGUNTA]],ENCUESTA!G:G,ENCUESTA!H:H)</f>
        <v>SI</v>
      </c>
      <c r="P32" s="34">
        <f>IF(Tabla2__2[[#This Row],[RTA]]=Tabla2__2[[#This Row],[RTA CORRECTA]],Tabla2__2[[#This Row],[TOTAL PUNTAJE]],0)</f>
        <v>1</v>
      </c>
      <c r="Q32" s="34">
        <f t="shared" si="0"/>
        <v>0</v>
      </c>
      <c r="R32" s="34"/>
    </row>
    <row r="33" spans="1:18" x14ac:dyDescent="0.35">
      <c r="A33" s="34" t="s">
        <v>109</v>
      </c>
      <c r="B33" s="34" t="s">
        <v>8</v>
      </c>
      <c r="C33" t="s">
        <v>43</v>
      </c>
      <c r="D33" s="34" t="s">
        <v>118</v>
      </c>
      <c r="E33" s="34">
        <v>152046</v>
      </c>
      <c r="F33" s="34" t="s">
        <v>155</v>
      </c>
      <c r="G33" s="34" t="s">
        <v>91</v>
      </c>
      <c r="H33" s="34" t="s">
        <v>108</v>
      </c>
      <c r="I33" s="35"/>
      <c r="J33" s="34">
        <v>30923533</v>
      </c>
      <c r="K33" s="34" t="s">
        <v>129</v>
      </c>
      <c r="L33" s="34" t="str">
        <f>_xlfn.XLOOKUP(Tabla2__2[[#This Row],[CODIGO RUTA]],'DATA INFORME'!I:I,'DATA INFORME'!K:K)</f>
        <v>SI</v>
      </c>
      <c r="M33" s="34" t="str">
        <f>IF(Tabla2__2[[#This Row],[MYSTERY EFECTIVO]]="SI",_xlfn.XLOOKUP(Tabla2__2[[#This Row],[PREGUNTA]],ENCUESTA!G:G,ENCUESTA!D:D),"N/A")</f>
        <v>PRESENTACIÓN PERSONAL</v>
      </c>
      <c r="N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3" s="34" t="str">
        <f>_xlfn.XLOOKUP(Tabla2__2[[#This Row],[PREGUNTA]],ENCUESTA!G:G,ENCUESTA!H:H)</f>
        <v>NO</v>
      </c>
      <c r="P33" s="34">
        <f>IF(Tabla2__2[[#This Row],[RTA]]=Tabla2__2[[#This Row],[RTA CORRECTA]],Tabla2__2[[#This Row],[TOTAL PUNTAJE]],0)</f>
        <v>1</v>
      </c>
      <c r="Q33" s="34">
        <f t="shared" si="0"/>
        <v>0</v>
      </c>
      <c r="R33" s="34"/>
    </row>
    <row r="34" spans="1:18" x14ac:dyDescent="0.35">
      <c r="A34" s="34" t="s">
        <v>109</v>
      </c>
      <c r="B34" s="34" t="s">
        <v>8</v>
      </c>
      <c r="C34" t="s">
        <v>43</v>
      </c>
      <c r="D34" s="34" t="s">
        <v>118</v>
      </c>
      <c r="E34" s="34">
        <v>152046</v>
      </c>
      <c r="F34" s="34" t="s">
        <v>155</v>
      </c>
      <c r="G34" s="34" t="s">
        <v>35</v>
      </c>
      <c r="H34" s="34" t="s">
        <v>20</v>
      </c>
      <c r="I34" s="35"/>
      <c r="J34" s="34">
        <v>30923533</v>
      </c>
      <c r="K34" s="34" t="s">
        <v>129</v>
      </c>
      <c r="L34" s="34" t="str">
        <f>_xlfn.XLOOKUP(Tabla2__2[[#This Row],[CODIGO RUTA]],'DATA INFORME'!I:I,'DATA INFORME'!K:K)</f>
        <v>SI</v>
      </c>
      <c r="M34" s="34" t="str">
        <f>IF(Tabla2__2[[#This Row],[MYSTERY EFECTIVO]]="SI",_xlfn.XLOOKUP(Tabla2__2[[#This Row],[PREGUNTA]],ENCUESTA!G:G,ENCUESTA!D:D),"N/A")</f>
        <v>PRESENTACIÓN PERSONAL</v>
      </c>
      <c r="N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4" s="34" t="str">
        <f>_xlfn.XLOOKUP(Tabla2__2[[#This Row],[PREGUNTA]],ENCUESTA!G:G,ENCUESTA!H:H)</f>
        <v>SI</v>
      </c>
      <c r="P34" s="34">
        <f>IF(Tabla2__2[[#This Row],[RTA]]=Tabla2__2[[#This Row],[RTA CORRECTA]],Tabla2__2[[#This Row],[TOTAL PUNTAJE]],0)</f>
        <v>1</v>
      </c>
      <c r="Q34" s="34">
        <f t="shared" ref="Q34:Q65" si="1">IF(OR(H34="Dog Chow húmedo",H34="Cat Chow húmedo",H34="Fancy Feast",H34="Felix",H34="Proplan húmedo",H34="One húmedo",H34="Snack Abrazzos",H34="Snak Dentalife",H34="Arenilla Tidy Cat"),N34,0)</f>
        <v>0</v>
      </c>
      <c r="R34" s="34"/>
    </row>
    <row r="35" spans="1:18" x14ac:dyDescent="0.35">
      <c r="A35" s="34" t="s">
        <v>109</v>
      </c>
      <c r="B35" s="34" t="s">
        <v>8</v>
      </c>
      <c r="C35" t="s">
        <v>43</v>
      </c>
      <c r="D35" s="34" t="s">
        <v>118</v>
      </c>
      <c r="E35" s="34">
        <v>152046</v>
      </c>
      <c r="F35" s="34" t="s">
        <v>155</v>
      </c>
      <c r="G35" s="34" t="s">
        <v>90</v>
      </c>
      <c r="H35" s="34" t="s">
        <v>20</v>
      </c>
      <c r="I35" s="35"/>
      <c r="J35" s="34">
        <v>30923533</v>
      </c>
      <c r="K35" s="34" t="s">
        <v>129</v>
      </c>
      <c r="L35" s="34" t="str">
        <f>_xlfn.XLOOKUP(Tabla2__2[[#This Row],[CODIGO RUTA]],'DATA INFORME'!I:I,'DATA INFORME'!K:K)</f>
        <v>SI</v>
      </c>
      <c r="M35" s="34" t="str">
        <f>IF(Tabla2__2[[#This Row],[MYSTERY EFECTIVO]]="SI",_xlfn.XLOOKUP(Tabla2__2[[#This Row],[PREGUNTA]],ENCUESTA!G:G,ENCUESTA!D:D),"N/A")</f>
        <v>PRESENTACIÓN PERSONAL</v>
      </c>
      <c r="N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5" s="34" t="str">
        <f>_xlfn.XLOOKUP(Tabla2__2[[#This Row],[PREGUNTA]],ENCUESTA!G:G,ENCUESTA!H:H)</f>
        <v>SI</v>
      </c>
      <c r="P35" s="34">
        <f>IF(Tabla2__2[[#This Row],[RTA]]=Tabla2__2[[#This Row],[RTA CORRECTA]],Tabla2__2[[#This Row],[TOTAL PUNTAJE]],0)</f>
        <v>1</v>
      </c>
      <c r="Q35" s="34">
        <f t="shared" si="1"/>
        <v>0</v>
      </c>
      <c r="R35" s="34"/>
    </row>
    <row r="36" spans="1:18" x14ac:dyDescent="0.35">
      <c r="A36" s="34" t="s">
        <v>109</v>
      </c>
      <c r="B36" s="34" t="s">
        <v>8</v>
      </c>
      <c r="C36" t="s">
        <v>43</v>
      </c>
      <c r="D36" s="34" t="s">
        <v>118</v>
      </c>
      <c r="E36" s="34">
        <v>152046</v>
      </c>
      <c r="F36" s="34" t="s">
        <v>155</v>
      </c>
      <c r="G36" s="34" t="s">
        <v>89</v>
      </c>
      <c r="H36" s="34" t="s">
        <v>20</v>
      </c>
      <c r="I36" s="35"/>
      <c r="J36" s="34">
        <v>30923533</v>
      </c>
      <c r="K36" s="34" t="s">
        <v>129</v>
      </c>
      <c r="L36" s="34" t="str">
        <f>_xlfn.XLOOKUP(Tabla2__2[[#This Row],[CODIGO RUTA]],'DATA INFORME'!I:I,'DATA INFORME'!K:K)</f>
        <v>SI</v>
      </c>
      <c r="M36" s="34" t="str">
        <f>IF(Tabla2__2[[#This Row],[MYSTERY EFECTIVO]]="SI",_xlfn.XLOOKUP(Tabla2__2[[#This Row],[PREGUNTA]],ENCUESTA!G:G,ENCUESTA!D:D),"N/A")</f>
        <v>PRESENTACIÓN PERSONAL</v>
      </c>
      <c r="N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6" s="34" t="str">
        <f>_xlfn.XLOOKUP(Tabla2__2[[#This Row],[PREGUNTA]],ENCUESTA!G:G,ENCUESTA!H:H)</f>
        <v>SI</v>
      </c>
      <c r="P36" s="34">
        <f>IF(Tabla2__2[[#This Row],[RTA]]=Tabla2__2[[#This Row],[RTA CORRECTA]],Tabla2__2[[#This Row],[TOTAL PUNTAJE]],0)</f>
        <v>1</v>
      </c>
      <c r="Q36" s="34">
        <f t="shared" si="1"/>
        <v>0</v>
      </c>
      <c r="R36" s="34"/>
    </row>
    <row r="37" spans="1:18" x14ac:dyDescent="0.35">
      <c r="A37" s="34" t="s">
        <v>109</v>
      </c>
      <c r="B37" s="34" t="s">
        <v>8</v>
      </c>
      <c r="C37" t="s">
        <v>43</v>
      </c>
      <c r="D37" s="34" t="s">
        <v>118</v>
      </c>
      <c r="E37" s="34">
        <v>152046</v>
      </c>
      <c r="F37" s="34" t="s">
        <v>155</v>
      </c>
      <c r="G37" s="34" t="s">
        <v>88</v>
      </c>
      <c r="H37" s="34" t="s">
        <v>20</v>
      </c>
      <c r="I37" s="35"/>
      <c r="J37" s="34">
        <v>30923533</v>
      </c>
      <c r="K37" s="34" t="s">
        <v>129</v>
      </c>
      <c r="L37" s="34" t="str">
        <f>_xlfn.XLOOKUP(Tabla2__2[[#This Row],[CODIGO RUTA]],'DATA INFORME'!I:I,'DATA INFORME'!K:K)</f>
        <v>SI</v>
      </c>
      <c r="M37" s="34" t="str">
        <f>IF(Tabla2__2[[#This Row],[MYSTERY EFECTIVO]]="SI",_xlfn.XLOOKUP(Tabla2__2[[#This Row],[PREGUNTA]],ENCUESTA!G:G,ENCUESTA!D:D),"N/A")</f>
        <v>HORARIO</v>
      </c>
      <c r="N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37" s="34" t="str">
        <f>_xlfn.XLOOKUP(Tabla2__2[[#This Row],[PREGUNTA]],ENCUESTA!G:G,ENCUESTA!H:H)</f>
        <v>SI</v>
      </c>
      <c r="P37" s="34">
        <f>IF(Tabla2__2[[#This Row],[RTA]]=Tabla2__2[[#This Row],[RTA CORRECTA]],Tabla2__2[[#This Row],[TOTAL PUNTAJE]],0)</f>
        <v>20</v>
      </c>
      <c r="Q37" s="34">
        <f t="shared" si="1"/>
        <v>0</v>
      </c>
      <c r="R37" s="34"/>
    </row>
    <row r="38" spans="1:18" x14ac:dyDescent="0.35">
      <c r="A38" s="34" t="s">
        <v>109</v>
      </c>
      <c r="B38" s="34" t="s">
        <v>8</v>
      </c>
      <c r="C38" t="s">
        <v>43</v>
      </c>
      <c r="D38" s="34" t="s">
        <v>118</v>
      </c>
      <c r="E38" s="34">
        <v>152046</v>
      </c>
      <c r="F38" s="34" t="s">
        <v>155</v>
      </c>
      <c r="G38" s="34" t="s">
        <v>87</v>
      </c>
      <c r="H38" s="34" t="s">
        <v>20</v>
      </c>
      <c r="I38" s="35"/>
      <c r="J38" s="34">
        <v>30923533</v>
      </c>
      <c r="K38" s="34" t="s">
        <v>129</v>
      </c>
      <c r="L38" s="34" t="str">
        <f>_xlfn.XLOOKUP(Tabla2__2[[#This Row],[CODIGO RUTA]],'DATA INFORME'!I:I,'DATA INFORME'!K:K)</f>
        <v>SI</v>
      </c>
      <c r="M38" s="34" t="str">
        <f>IF(Tabla2__2[[#This Row],[MYSTERY EFECTIVO]]="SI",_xlfn.XLOOKUP(Tabla2__2[[#This Row],[PREGUNTA]],ENCUESTA!G:G,ENCUESTA!D:D),"N/A")</f>
        <v>N/A</v>
      </c>
      <c r="N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38" s="34">
        <f>_xlfn.XLOOKUP(Tabla2__2[[#This Row],[PREGUNTA]],ENCUESTA!G:G,ENCUESTA!H:H)</f>
        <v>0</v>
      </c>
      <c r="P38" s="34">
        <f>IF(Tabla2__2[[#This Row],[RTA]]=Tabla2__2[[#This Row],[RTA CORRECTA]],Tabla2__2[[#This Row],[TOTAL PUNTAJE]],0)</f>
        <v>0</v>
      </c>
      <c r="Q38" s="34">
        <f t="shared" si="1"/>
        <v>0</v>
      </c>
      <c r="R38" s="34"/>
    </row>
    <row r="39" spans="1:18" x14ac:dyDescent="0.35">
      <c r="A39" s="34" t="s">
        <v>109</v>
      </c>
      <c r="B39" s="34" t="s">
        <v>8</v>
      </c>
      <c r="C39" t="s">
        <v>43</v>
      </c>
      <c r="D39" s="34" t="s">
        <v>118</v>
      </c>
      <c r="E39" s="34">
        <v>152046</v>
      </c>
      <c r="F39" s="34" t="s">
        <v>155</v>
      </c>
      <c r="G39" s="34" t="s">
        <v>125</v>
      </c>
      <c r="H39" s="34" t="s">
        <v>20</v>
      </c>
      <c r="I39" s="35"/>
      <c r="J39" s="34">
        <v>30923533</v>
      </c>
      <c r="K39" s="34" t="s">
        <v>129</v>
      </c>
      <c r="L39" s="34" t="str">
        <f>_xlfn.XLOOKUP(Tabla2__2[[#This Row],[CODIGO RUTA]],'DATA INFORME'!I:I,'DATA INFORME'!K:K)</f>
        <v>SI</v>
      </c>
      <c r="M39" s="34" t="str">
        <f>IF(Tabla2__2[[#This Row],[MYSTERY EFECTIVO]]="SI",_xlfn.XLOOKUP(Tabla2__2[[#This Row],[PREGUNTA]],ENCUESTA!G:G,ENCUESTA!D:D),"N/A")</f>
        <v>EJECUCIÓN DEL PDV</v>
      </c>
      <c r="N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39" s="34" t="str">
        <f>_xlfn.XLOOKUP(Tabla2__2[[#This Row],[PREGUNTA]],ENCUESTA!G:G,ENCUESTA!H:H)</f>
        <v>SI</v>
      </c>
      <c r="P39" s="34">
        <f>IF(Tabla2__2[[#This Row],[RTA]]=Tabla2__2[[#This Row],[RTA CORRECTA]],Tabla2__2[[#This Row],[TOTAL PUNTAJE]],0)</f>
        <v>2.7272727272727271</v>
      </c>
      <c r="Q39" s="34">
        <f t="shared" si="1"/>
        <v>0</v>
      </c>
      <c r="R39" s="34"/>
    </row>
    <row r="40" spans="1:18" x14ac:dyDescent="0.35">
      <c r="A40" s="34" t="s">
        <v>109</v>
      </c>
      <c r="B40" s="34" t="s">
        <v>8</v>
      </c>
      <c r="C40" t="s">
        <v>43</v>
      </c>
      <c r="D40" s="34" t="s">
        <v>118</v>
      </c>
      <c r="E40" s="34">
        <v>152046</v>
      </c>
      <c r="F40" s="34" t="s">
        <v>155</v>
      </c>
      <c r="G40" s="34" t="s">
        <v>98</v>
      </c>
      <c r="H40" s="34" t="s">
        <v>20</v>
      </c>
      <c r="I40" s="35"/>
      <c r="J40" s="34">
        <v>30923533</v>
      </c>
      <c r="K40" s="34" t="s">
        <v>129</v>
      </c>
      <c r="L40" s="34" t="str">
        <f>_xlfn.XLOOKUP(Tabla2__2[[#This Row],[CODIGO RUTA]],'DATA INFORME'!I:I,'DATA INFORME'!K:K)</f>
        <v>SI</v>
      </c>
      <c r="M40" s="34" t="str">
        <f>IF(Tabla2__2[[#This Row],[MYSTERY EFECTIVO]]="SI",_xlfn.XLOOKUP(Tabla2__2[[#This Row],[PREGUNTA]],ENCUESTA!G:G,ENCUESTA!D:D),"N/A")</f>
        <v>EJECUCIÓN DEL PDV</v>
      </c>
      <c r="N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0" s="34" t="str">
        <f>_xlfn.XLOOKUP(Tabla2__2[[#This Row],[PREGUNTA]],ENCUESTA!G:G,ENCUESTA!H:H)</f>
        <v>SI</v>
      </c>
      <c r="P40" s="34">
        <f>IF(Tabla2__2[[#This Row],[RTA]]=Tabla2__2[[#This Row],[RTA CORRECTA]],Tabla2__2[[#This Row],[TOTAL PUNTAJE]],0)</f>
        <v>2.7272727272727271</v>
      </c>
      <c r="Q40" s="34">
        <f t="shared" si="1"/>
        <v>0</v>
      </c>
      <c r="R40" s="34"/>
    </row>
    <row r="41" spans="1:18" x14ac:dyDescent="0.35">
      <c r="A41" s="34" t="s">
        <v>109</v>
      </c>
      <c r="B41" s="34" t="s">
        <v>8</v>
      </c>
      <c r="C41" t="s">
        <v>43</v>
      </c>
      <c r="D41" s="34" t="s">
        <v>118</v>
      </c>
      <c r="E41" s="34">
        <v>152046</v>
      </c>
      <c r="F41" s="34" t="s">
        <v>155</v>
      </c>
      <c r="G41" s="34" t="s">
        <v>101</v>
      </c>
      <c r="H41" s="34" t="s">
        <v>159</v>
      </c>
      <c r="I41" s="35"/>
      <c r="J41" s="34">
        <v>30923533</v>
      </c>
      <c r="K41" s="34" t="s">
        <v>129</v>
      </c>
      <c r="L41" s="34" t="str">
        <f>_xlfn.XLOOKUP(Tabla2__2[[#This Row],[CODIGO RUTA]],'DATA INFORME'!I:I,'DATA INFORME'!K:K)</f>
        <v>SI</v>
      </c>
      <c r="M41" s="34" t="str">
        <f>IF(Tabla2__2[[#This Row],[MYSTERY EFECTIVO]]="SI",_xlfn.XLOOKUP(Tabla2__2[[#This Row],[PREGUNTA]],ENCUESTA!G:G,ENCUESTA!D:D),"N/A")</f>
        <v>N/A</v>
      </c>
      <c r="N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1" s="34">
        <f>_xlfn.XLOOKUP(Tabla2__2[[#This Row],[PREGUNTA]],ENCUESTA!G:G,ENCUESTA!H:H)</f>
        <v>0</v>
      </c>
      <c r="P41" s="34">
        <f>IF(Tabla2__2[[#This Row],[RTA]]=Tabla2__2[[#This Row],[RTA CORRECTA]],Tabla2__2[[#This Row],[TOTAL PUNTAJE]],0)</f>
        <v>0</v>
      </c>
      <c r="Q41" s="34">
        <f t="shared" si="1"/>
        <v>0</v>
      </c>
      <c r="R41" s="34"/>
    </row>
    <row r="42" spans="1:18" x14ac:dyDescent="0.35">
      <c r="A42" s="34" t="s">
        <v>109</v>
      </c>
      <c r="B42" s="34" t="s">
        <v>8</v>
      </c>
      <c r="C42" t="s">
        <v>43</v>
      </c>
      <c r="D42" s="34" t="s">
        <v>118</v>
      </c>
      <c r="E42" s="34">
        <v>152046</v>
      </c>
      <c r="F42" s="34" t="s">
        <v>155</v>
      </c>
      <c r="G42" s="34" t="s">
        <v>102</v>
      </c>
      <c r="H42" s="34" t="s">
        <v>108</v>
      </c>
      <c r="I42" s="35"/>
      <c r="J42" s="34">
        <v>30923533</v>
      </c>
      <c r="K42" s="34" t="s">
        <v>129</v>
      </c>
      <c r="L42" s="34" t="str">
        <f>_xlfn.XLOOKUP(Tabla2__2[[#This Row],[CODIGO RUTA]],'DATA INFORME'!I:I,'DATA INFORME'!K:K)</f>
        <v>SI</v>
      </c>
      <c r="M42" s="34" t="str">
        <f>IF(Tabla2__2[[#This Row],[MYSTERY EFECTIVO]]="SI",_xlfn.XLOOKUP(Tabla2__2[[#This Row],[PREGUNTA]],ENCUESTA!G:G,ENCUESTA!D:D),"N/A")</f>
        <v>N/A</v>
      </c>
      <c r="N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42" s="34">
        <f>_xlfn.XLOOKUP(Tabla2__2[[#This Row],[PREGUNTA]],ENCUESTA!G:G,ENCUESTA!H:H)</f>
        <v>0</v>
      </c>
      <c r="P42" s="34">
        <f>IF(Tabla2__2[[#This Row],[RTA]]=Tabla2__2[[#This Row],[RTA CORRECTA]],Tabla2__2[[#This Row],[TOTAL PUNTAJE]],0)</f>
        <v>0</v>
      </c>
      <c r="Q42" s="34">
        <f t="shared" si="1"/>
        <v>0</v>
      </c>
      <c r="R42" s="34"/>
    </row>
    <row r="43" spans="1:18" x14ac:dyDescent="0.35">
      <c r="A43" s="34" t="s">
        <v>109</v>
      </c>
      <c r="B43" s="34" t="s">
        <v>8</v>
      </c>
      <c r="C43" t="s">
        <v>43</v>
      </c>
      <c r="D43" s="34" t="s">
        <v>118</v>
      </c>
      <c r="E43" s="34">
        <v>152046</v>
      </c>
      <c r="F43" s="34" t="s">
        <v>155</v>
      </c>
      <c r="G43" s="34" t="s">
        <v>153</v>
      </c>
      <c r="H43" s="34" t="s">
        <v>20</v>
      </c>
      <c r="I43" s="35"/>
      <c r="J43" s="34">
        <v>30923533</v>
      </c>
      <c r="K43" s="34" t="s">
        <v>129</v>
      </c>
      <c r="L43" s="34" t="str">
        <f>_xlfn.XLOOKUP(Tabla2__2[[#This Row],[CODIGO RUTA]],'DATA INFORME'!I:I,'DATA INFORME'!K:K)</f>
        <v>SI</v>
      </c>
      <c r="M43" s="34" t="str">
        <f>IF(Tabla2__2[[#This Row],[MYSTERY EFECTIVO]]="SI",_xlfn.XLOOKUP(Tabla2__2[[#This Row],[PREGUNTA]],ENCUESTA!G:G,ENCUESTA!D:D),"N/A")</f>
        <v>ACTIVIDADES DEL MES</v>
      </c>
      <c r="N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43" s="34" t="str">
        <f>_xlfn.XLOOKUP(Tabla2__2[[#This Row],[PREGUNTA]],ENCUESTA!G:G,ENCUESTA!H:H)</f>
        <v>SI</v>
      </c>
      <c r="P43" s="34">
        <f>IF(Tabla2__2[[#This Row],[RTA]]=Tabla2__2[[#This Row],[RTA CORRECTA]],Tabla2__2[[#This Row],[TOTAL PUNTAJE]],0)</f>
        <v>10</v>
      </c>
      <c r="Q43" s="34">
        <f t="shared" si="1"/>
        <v>0</v>
      </c>
      <c r="R43" s="34"/>
    </row>
    <row r="44" spans="1:18" x14ac:dyDescent="0.35">
      <c r="A44" s="34" t="s">
        <v>109</v>
      </c>
      <c r="B44" s="34" t="s">
        <v>8</v>
      </c>
      <c r="C44" t="s">
        <v>43</v>
      </c>
      <c r="D44" s="34" t="s">
        <v>118</v>
      </c>
      <c r="E44" s="34">
        <v>152046</v>
      </c>
      <c r="F44" s="34" t="s">
        <v>155</v>
      </c>
      <c r="G44" s="34" t="s">
        <v>139</v>
      </c>
      <c r="H44" s="34" t="s">
        <v>20</v>
      </c>
      <c r="I44" s="35"/>
      <c r="J44" s="34">
        <v>30923533</v>
      </c>
      <c r="K44" s="34" t="s">
        <v>129</v>
      </c>
      <c r="L44" s="34" t="str">
        <f>_xlfn.XLOOKUP(Tabla2__2[[#This Row],[CODIGO RUTA]],'DATA INFORME'!I:I,'DATA INFORME'!K:K)</f>
        <v>SI</v>
      </c>
      <c r="M44" s="34" t="str">
        <f>IF(Tabla2__2[[#This Row],[MYSTERY EFECTIVO]]="SI",_xlfn.XLOOKUP(Tabla2__2[[#This Row],[PREGUNTA]],ENCUESTA!G:G,ENCUESTA!D:D),"N/A")</f>
        <v>ACTIVIDADES DEL MES</v>
      </c>
      <c r="N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44" s="34" t="str">
        <f>_xlfn.XLOOKUP(Tabla2__2[[#This Row],[PREGUNTA]],ENCUESTA!G:G,ENCUESTA!H:H)</f>
        <v>SI</v>
      </c>
      <c r="P44" s="34">
        <f>IF(Tabla2__2[[#This Row],[RTA]]=Tabla2__2[[#This Row],[RTA CORRECTA]],Tabla2__2[[#This Row],[TOTAL PUNTAJE]],0)</f>
        <v>10</v>
      </c>
      <c r="Q44" s="34">
        <f t="shared" si="1"/>
        <v>0</v>
      </c>
      <c r="R44" s="34"/>
    </row>
    <row r="45" spans="1:18" x14ac:dyDescent="0.35">
      <c r="A45" s="34" t="s">
        <v>109</v>
      </c>
      <c r="B45" s="34" t="s">
        <v>8</v>
      </c>
      <c r="C45" t="s">
        <v>43</v>
      </c>
      <c r="D45" s="34" t="s">
        <v>118</v>
      </c>
      <c r="E45" s="34">
        <v>152046</v>
      </c>
      <c r="F45" s="34" t="s">
        <v>155</v>
      </c>
      <c r="G45" s="34" t="s">
        <v>138</v>
      </c>
      <c r="H45" s="34" t="s">
        <v>20</v>
      </c>
      <c r="I45" s="35"/>
      <c r="J45" s="34">
        <v>30923533</v>
      </c>
      <c r="K45" s="34" t="s">
        <v>129</v>
      </c>
      <c r="L45" s="34" t="str">
        <f>_xlfn.XLOOKUP(Tabla2__2[[#This Row],[CODIGO RUTA]],'DATA INFORME'!I:I,'DATA INFORME'!K:K)</f>
        <v>SI</v>
      </c>
      <c r="M45" s="34" t="str">
        <f>IF(Tabla2__2[[#This Row],[MYSTERY EFECTIVO]]="SI",_xlfn.XLOOKUP(Tabla2__2[[#This Row],[PREGUNTA]],ENCUESTA!G:G,ENCUESTA!D:D),"N/A")</f>
        <v>ACTIVIDADES DEL MES</v>
      </c>
      <c r="N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45" s="34" t="str">
        <f>_xlfn.XLOOKUP(Tabla2__2[[#This Row],[PREGUNTA]],ENCUESTA!G:G,ENCUESTA!H:H)</f>
        <v>SI</v>
      </c>
      <c r="P45" s="34">
        <f>IF(Tabla2__2[[#This Row],[RTA]]=Tabla2__2[[#This Row],[RTA CORRECTA]],Tabla2__2[[#This Row],[TOTAL PUNTAJE]],0)</f>
        <v>10</v>
      </c>
      <c r="Q45" s="34">
        <f t="shared" si="1"/>
        <v>0</v>
      </c>
      <c r="R45" s="34"/>
    </row>
    <row r="46" spans="1:18" x14ac:dyDescent="0.35">
      <c r="A46" s="34" t="s">
        <v>109</v>
      </c>
      <c r="B46" s="34" t="s">
        <v>8</v>
      </c>
      <c r="C46" t="s">
        <v>43</v>
      </c>
      <c r="D46" s="34" t="s">
        <v>118</v>
      </c>
      <c r="E46" s="34">
        <v>152046</v>
      </c>
      <c r="F46" s="34" t="s">
        <v>155</v>
      </c>
      <c r="G46" s="34" t="s">
        <v>123</v>
      </c>
      <c r="H46" s="34" t="s">
        <v>20</v>
      </c>
      <c r="I46" s="35"/>
      <c r="J46" s="34">
        <v>30923533</v>
      </c>
      <c r="K46" s="34" t="s">
        <v>129</v>
      </c>
      <c r="L46" s="34" t="str">
        <f>_xlfn.XLOOKUP(Tabla2__2[[#This Row],[CODIGO RUTA]],'DATA INFORME'!I:I,'DATA INFORME'!K:K)</f>
        <v>SI</v>
      </c>
      <c r="M46" s="34" t="str">
        <f>IF(Tabla2__2[[#This Row],[MYSTERY EFECTIVO]]="SI",_xlfn.XLOOKUP(Tabla2__2[[#This Row],[PREGUNTA]],ENCUESTA!G:G,ENCUESTA!D:D),"N/A")</f>
        <v>ACTIVIDADES DEL MES</v>
      </c>
      <c r="N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46" s="34" t="str">
        <f>_xlfn.XLOOKUP(Tabla2__2[[#This Row],[PREGUNTA]],ENCUESTA!G:G,ENCUESTA!H:H)</f>
        <v>SI</v>
      </c>
      <c r="P46" s="34">
        <f>IF(Tabla2__2[[#This Row],[RTA]]=Tabla2__2[[#This Row],[RTA CORRECTA]],Tabla2__2[[#This Row],[TOTAL PUNTAJE]],0)</f>
        <v>10</v>
      </c>
      <c r="Q46" s="34">
        <f t="shared" si="1"/>
        <v>0</v>
      </c>
      <c r="R46" s="34"/>
    </row>
    <row r="47" spans="1:18" x14ac:dyDescent="0.35">
      <c r="A47" s="34" t="s">
        <v>109</v>
      </c>
      <c r="B47" s="34" t="s">
        <v>8</v>
      </c>
      <c r="C47" t="s">
        <v>43</v>
      </c>
      <c r="D47" s="34" t="s">
        <v>118</v>
      </c>
      <c r="E47" s="34">
        <v>152046</v>
      </c>
      <c r="F47" s="34" t="s">
        <v>155</v>
      </c>
      <c r="G47" s="34" t="s">
        <v>152</v>
      </c>
      <c r="H47" s="34" t="s">
        <v>20</v>
      </c>
      <c r="I47" s="35"/>
      <c r="J47" s="34">
        <v>30923533</v>
      </c>
      <c r="K47" s="34" t="s">
        <v>129</v>
      </c>
      <c r="L47" s="34" t="str">
        <f>_xlfn.XLOOKUP(Tabla2__2[[#This Row],[CODIGO RUTA]],'DATA INFORME'!I:I,'DATA INFORME'!K:K)</f>
        <v>SI</v>
      </c>
      <c r="M47" s="34" t="str">
        <f>IF(Tabla2__2[[#This Row],[MYSTERY EFECTIVO]]="SI",_xlfn.XLOOKUP(Tabla2__2[[#This Row],[PREGUNTA]],ENCUESTA!G:G,ENCUESTA!D:D),"N/A")</f>
        <v>EJECUCIÓN DEL PDV</v>
      </c>
      <c r="N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7" s="34" t="str">
        <f>_xlfn.XLOOKUP(Tabla2__2[[#This Row],[PREGUNTA]],ENCUESTA!G:G,ENCUESTA!H:H)</f>
        <v>SI</v>
      </c>
      <c r="P47" s="34">
        <f>IF(Tabla2__2[[#This Row],[RTA]]=Tabla2__2[[#This Row],[RTA CORRECTA]],Tabla2__2[[#This Row],[TOTAL PUNTAJE]],0)</f>
        <v>2.7272727272727271</v>
      </c>
      <c r="Q47" s="34">
        <f t="shared" si="1"/>
        <v>0</v>
      </c>
      <c r="R47" s="34"/>
    </row>
    <row r="48" spans="1:18" x14ac:dyDescent="0.35">
      <c r="A48" s="34" t="s">
        <v>109</v>
      </c>
      <c r="B48" s="34" t="s">
        <v>8</v>
      </c>
      <c r="C48" t="s">
        <v>43</v>
      </c>
      <c r="D48" s="34" t="s">
        <v>118</v>
      </c>
      <c r="E48" s="34">
        <v>152046</v>
      </c>
      <c r="F48" s="34" t="s">
        <v>155</v>
      </c>
      <c r="G48" s="34" t="s">
        <v>121</v>
      </c>
      <c r="H48" s="34" t="s">
        <v>20</v>
      </c>
      <c r="I48" s="35"/>
      <c r="J48" s="34">
        <v>30923533</v>
      </c>
      <c r="K48" s="34" t="s">
        <v>129</v>
      </c>
      <c r="L48" s="34" t="str">
        <f>_xlfn.XLOOKUP(Tabla2__2[[#This Row],[CODIGO RUTA]],'DATA INFORME'!I:I,'DATA INFORME'!K:K)</f>
        <v>SI</v>
      </c>
      <c r="M48" s="34" t="str">
        <f>IF(Tabla2__2[[#This Row],[MYSTERY EFECTIVO]]="SI",_xlfn.XLOOKUP(Tabla2__2[[#This Row],[PREGUNTA]],ENCUESTA!G:G,ENCUESTA!D:D),"N/A")</f>
        <v>EJECUCIÓN DEL PDV</v>
      </c>
      <c r="N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8" s="34" t="str">
        <f>_xlfn.XLOOKUP(Tabla2__2[[#This Row],[PREGUNTA]],ENCUESTA!G:G,ENCUESTA!H:H)</f>
        <v>SI</v>
      </c>
      <c r="P48" s="34">
        <f>IF(Tabla2__2[[#This Row],[RTA]]=Tabla2__2[[#This Row],[RTA CORRECTA]],Tabla2__2[[#This Row],[TOTAL PUNTAJE]],0)</f>
        <v>2.7272727272727271</v>
      </c>
      <c r="Q48" s="34">
        <f t="shared" si="1"/>
        <v>0</v>
      </c>
      <c r="R48" s="34"/>
    </row>
    <row r="49" spans="1:18" x14ac:dyDescent="0.35">
      <c r="A49" s="34" t="s">
        <v>109</v>
      </c>
      <c r="B49" s="34" t="s">
        <v>8</v>
      </c>
      <c r="C49" t="s">
        <v>43</v>
      </c>
      <c r="D49" s="34" t="s">
        <v>118</v>
      </c>
      <c r="E49" s="34">
        <v>152046</v>
      </c>
      <c r="F49" s="34" t="s">
        <v>155</v>
      </c>
      <c r="G49" s="34" t="s">
        <v>99</v>
      </c>
      <c r="H49" s="34" t="s">
        <v>20</v>
      </c>
      <c r="I49" s="35"/>
      <c r="J49" s="34">
        <v>30923533</v>
      </c>
      <c r="K49" s="34" t="s">
        <v>129</v>
      </c>
      <c r="L49" s="34" t="str">
        <f>_xlfn.XLOOKUP(Tabla2__2[[#This Row],[CODIGO RUTA]],'DATA INFORME'!I:I,'DATA INFORME'!K:K)</f>
        <v>SI</v>
      </c>
      <c r="M49" s="34" t="str">
        <f>IF(Tabla2__2[[#This Row],[MYSTERY EFECTIVO]]="SI",_xlfn.XLOOKUP(Tabla2__2[[#This Row],[PREGUNTA]],ENCUESTA!G:G,ENCUESTA!D:D),"N/A")</f>
        <v>EJECUCIÓN DEL PDV</v>
      </c>
      <c r="N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49" s="34" t="str">
        <f>_xlfn.XLOOKUP(Tabla2__2[[#This Row],[PREGUNTA]],ENCUESTA!G:G,ENCUESTA!H:H)</f>
        <v>SI</v>
      </c>
      <c r="P49" s="34">
        <f>IF(Tabla2__2[[#This Row],[RTA]]=Tabla2__2[[#This Row],[RTA CORRECTA]],Tabla2__2[[#This Row],[TOTAL PUNTAJE]],0)</f>
        <v>2.7272727272727271</v>
      </c>
      <c r="Q49" s="34">
        <f t="shared" si="1"/>
        <v>0</v>
      </c>
      <c r="R49" s="34"/>
    </row>
    <row r="50" spans="1:18" x14ac:dyDescent="0.35">
      <c r="A50" s="34" t="s">
        <v>109</v>
      </c>
      <c r="B50" s="34" t="s">
        <v>112</v>
      </c>
      <c r="C50" t="s">
        <v>43</v>
      </c>
      <c r="D50" s="34" t="s">
        <v>130</v>
      </c>
      <c r="E50" s="34">
        <v>424866</v>
      </c>
      <c r="F50" s="34" t="s">
        <v>132</v>
      </c>
      <c r="G50" s="34" t="s">
        <v>87</v>
      </c>
      <c r="H50" s="34" t="s">
        <v>108</v>
      </c>
      <c r="I50" s="35"/>
      <c r="J50" s="34">
        <v>30894026</v>
      </c>
      <c r="K50" s="34" t="s">
        <v>135</v>
      </c>
      <c r="L50" s="34" t="str">
        <f>_xlfn.XLOOKUP(Tabla2__2[[#This Row],[CODIGO RUTA]],'DATA INFORME'!I:I,'DATA INFORME'!K:K)</f>
        <v>NO</v>
      </c>
      <c r="M50" s="34" t="str">
        <f>IF(Tabla2__2[[#This Row],[MYSTERY EFECTIVO]]="SI",_xlfn.XLOOKUP(Tabla2__2[[#This Row],[PREGUNTA]],ENCUESTA!G:G,ENCUESTA!D:D),"N/A")</f>
        <v>N/A</v>
      </c>
      <c r="N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0" s="34">
        <f>_xlfn.XLOOKUP(Tabla2__2[[#This Row],[PREGUNTA]],ENCUESTA!G:G,ENCUESTA!H:H)</f>
        <v>0</v>
      </c>
      <c r="P50" s="34">
        <f>IF(Tabla2__2[[#This Row],[RTA]]=Tabla2__2[[#This Row],[RTA CORRECTA]],Tabla2__2[[#This Row],[TOTAL PUNTAJE]],0)</f>
        <v>0</v>
      </c>
      <c r="Q50" s="34">
        <f t="shared" si="1"/>
        <v>0</v>
      </c>
      <c r="R50" s="34"/>
    </row>
    <row r="51" spans="1:18" x14ac:dyDescent="0.35">
      <c r="A51" s="34" t="s">
        <v>109</v>
      </c>
      <c r="B51" s="34" t="s">
        <v>112</v>
      </c>
      <c r="C51" t="s">
        <v>43</v>
      </c>
      <c r="D51" s="34" t="s">
        <v>130</v>
      </c>
      <c r="E51" s="34">
        <v>424866</v>
      </c>
      <c r="F51" s="34" t="s">
        <v>132</v>
      </c>
      <c r="G51" s="34" t="s">
        <v>103</v>
      </c>
      <c r="H51" s="34" t="s">
        <v>146</v>
      </c>
      <c r="I51" s="35"/>
      <c r="J51" s="34">
        <v>30894026</v>
      </c>
      <c r="K51" s="34" t="s">
        <v>135</v>
      </c>
      <c r="L51" s="34" t="str">
        <f>_xlfn.XLOOKUP(Tabla2__2[[#This Row],[CODIGO RUTA]],'DATA INFORME'!I:I,'DATA INFORME'!K:K)</f>
        <v>NO</v>
      </c>
      <c r="M51" s="34" t="str">
        <f>IF(Tabla2__2[[#This Row],[MYSTERY EFECTIVO]]="SI",_xlfn.XLOOKUP(Tabla2__2[[#This Row],[PREGUNTA]],ENCUESTA!G:G,ENCUESTA!D:D),"N/A")</f>
        <v>N/A</v>
      </c>
      <c r="N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1" s="34">
        <f>_xlfn.XLOOKUP(Tabla2__2[[#This Row],[PREGUNTA]],ENCUESTA!G:G,ENCUESTA!H:H)</f>
        <v>0</v>
      </c>
      <c r="P51" s="34">
        <f>IF(Tabla2__2[[#This Row],[RTA]]=Tabla2__2[[#This Row],[RTA CORRECTA]],Tabla2__2[[#This Row],[TOTAL PUNTAJE]],0)</f>
        <v>0</v>
      </c>
      <c r="Q51" s="34">
        <f t="shared" si="1"/>
        <v>0</v>
      </c>
      <c r="R51" s="34"/>
    </row>
    <row r="52" spans="1:18" x14ac:dyDescent="0.35">
      <c r="A52" s="34" t="s">
        <v>109</v>
      </c>
      <c r="B52" s="34" t="s">
        <v>112</v>
      </c>
      <c r="C52" t="s">
        <v>43</v>
      </c>
      <c r="D52" s="34" t="s">
        <v>130</v>
      </c>
      <c r="E52" s="34">
        <v>424866</v>
      </c>
      <c r="F52" s="34" t="s">
        <v>132</v>
      </c>
      <c r="G52" s="34" t="s">
        <v>102</v>
      </c>
      <c r="H52" s="34" t="s">
        <v>20</v>
      </c>
      <c r="I52" s="35"/>
      <c r="J52" s="34">
        <v>30894026</v>
      </c>
      <c r="K52" s="34" t="s">
        <v>135</v>
      </c>
      <c r="L52" s="34" t="str">
        <f>_xlfn.XLOOKUP(Tabla2__2[[#This Row],[CODIGO RUTA]],'DATA INFORME'!I:I,'DATA INFORME'!K:K)</f>
        <v>NO</v>
      </c>
      <c r="M52" s="34" t="str">
        <f>IF(Tabla2__2[[#This Row],[MYSTERY EFECTIVO]]="SI",_xlfn.XLOOKUP(Tabla2__2[[#This Row],[PREGUNTA]],ENCUESTA!G:G,ENCUESTA!D:D),"N/A")</f>
        <v>N/A</v>
      </c>
      <c r="N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2" s="34">
        <f>_xlfn.XLOOKUP(Tabla2__2[[#This Row],[PREGUNTA]],ENCUESTA!G:G,ENCUESTA!H:H)</f>
        <v>0</v>
      </c>
      <c r="P52" s="34">
        <f>IF(Tabla2__2[[#This Row],[RTA]]=Tabla2__2[[#This Row],[RTA CORRECTA]],Tabla2__2[[#This Row],[TOTAL PUNTAJE]],0)</f>
        <v>0</v>
      </c>
      <c r="Q52" s="34">
        <f t="shared" si="1"/>
        <v>0</v>
      </c>
      <c r="R52" s="34"/>
    </row>
    <row r="53" spans="1:18" x14ac:dyDescent="0.35">
      <c r="A53" s="34" t="s">
        <v>109</v>
      </c>
      <c r="B53" s="34" t="s">
        <v>175</v>
      </c>
      <c r="C53" t="s">
        <v>43</v>
      </c>
      <c r="D53" s="34" t="s">
        <v>176</v>
      </c>
      <c r="E53" s="34">
        <v>440039</v>
      </c>
      <c r="F53" s="34" t="s">
        <v>178</v>
      </c>
      <c r="G53" s="34" t="s">
        <v>89</v>
      </c>
      <c r="H53" s="34" t="s">
        <v>20</v>
      </c>
      <c r="I53" s="35"/>
      <c r="J53" s="34">
        <v>31137820</v>
      </c>
      <c r="K53" s="34" t="s">
        <v>185</v>
      </c>
      <c r="L53" s="34" t="str">
        <f>_xlfn.XLOOKUP(Tabla2__2[[#This Row],[CODIGO RUTA]],'DATA INFORME'!I:I,'DATA INFORME'!K:K)</f>
        <v>SI</v>
      </c>
      <c r="M53" s="34" t="str">
        <f>IF(Tabla2__2[[#This Row],[MYSTERY EFECTIVO]]="SI",_xlfn.XLOOKUP(Tabla2__2[[#This Row],[PREGUNTA]],ENCUESTA!G:G,ENCUESTA!D:D),"N/A")</f>
        <v>PRESENTACIÓN PERSONAL</v>
      </c>
      <c r="N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3" s="34" t="str">
        <f>_xlfn.XLOOKUP(Tabla2__2[[#This Row],[PREGUNTA]],ENCUESTA!G:G,ENCUESTA!H:H)</f>
        <v>SI</v>
      </c>
      <c r="P53" s="34">
        <f>IF(Tabla2__2[[#This Row],[RTA]]=Tabla2__2[[#This Row],[RTA CORRECTA]],Tabla2__2[[#This Row],[TOTAL PUNTAJE]],0)</f>
        <v>1</v>
      </c>
      <c r="Q53" s="34">
        <f t="shared" si="1"/>
        <v>0</v>
      </c>
      <c r="R53" s="34"/>
    </row>
    <row r="54" spans="1:18" x14ac:dyDescent="0.35">
      <c r="A54" s="34" t="s">
        <v>109</v>
      </c>
      <c r="B54" s="34" t="s">
        <v>175</v>
      </c>
      <c r="C54" t="s">
        <v>43</v>
      </c>
      <c r="D54" s="34" t="s">
        <v>176</v>
      </c>
      <c r="E54" s="34">
        <v>440039</v>
      </c>
      <c r="F54" s="34" t="s">
        <v>178</v>
      </c>
      <c r="G54" s="34" t="s">
        <v>88</v>
      </c>
      <c r="H54" s="34" t="s">
        <v>20</v>
      </c>
      <c r="I54" s="35"/>
      <c r="J54" s="34">
        <v>31137820</v>
      </c>
      <c r="K54" s="34" t="s">
        <v>185</v>
      </c>
      <c r="L54" s="34" t="str">
        <f>_xlfn.XLOOKUP(Tabla2__2[[#This Row],[CODIGO RUTA]],'DATA INFORME'!I:I,'DATA INFORME'!K:K)</f>
        <v>SI</v>
      </c>
      <c r="M54" s="34" t="str">
        <f>IF(Tabla2__2[[#This Row],[MYSTERY EFECTIVO]]="SI",_xlfn.XLOOKUP(Tabla2__2[[#This Row],[PREGUNTA]],ENCUESTA!G:G,ENCUESTA!D:D),"N/A")</f>
        <v>HORARIO</v>
      </c>
      <c r="N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54" s="34" t="str">
        <f>_xlfn.XLOOKUP(Tabla2__2[[#This Row],[PREGUNTA]],ENCUESTA!G:G,ENCUESTA!H:H)</f>
        <v>SI</v>
      </c>
      <c r="P54" s="34">
        <f>IF(Tabla2__2[[#This Row],[RTA]]=Tabla2__2[[#This Row],[RTA CORRECTA]],Tabla2__2[[#This Row],[TOTAL PUNTAJE]],0)</f>
        <v>20</v>
      </c>
      <c r="Q54" s="34">
        <f t="shared" si="1"/>
        <v>0</v>
      </c>
      <c r="R54" s="34"/>
    </row>
    <row r="55" spans="1:18" x14ac:dyDescent="0.35">
      <c r="A55" s="34" t="s">
        <v>109</v>
      </c>
      <c r="B55" s="34" t="s">
        <v>175</v>
      </c>
      <c r="C55" t="s">
        <v>43</v>
      </c>
      <c r="D55" s="34" t="s">
        <v>176</v>
      </c>
      <c r="E55" s="34">
        <v>440039</v>
      </c>
      <c r="F55" s="34" t="s">
        <v>178</v>
      </c>
      <c r="G55" s="34" t="s">
        <v>87</v>
      </c>
      <c r="H55" s="34" t="s">
        <v>20</v>
      </c>
      <c r="I55" s="35"/>
      <c r="J55" s="34">
        <v>31137820</v>
      </c>
      <c r="K55" s="34" t="s">
        <v>185</v>
      </c>
      <c r="L55" s="34" t="str">
        <f>_xlfn.XLOOKUP(Tabla2__2[[#This Row],[CODIGO RUTA]],'DATA INFORME'!I:I,'DATA INFORME'!K:K)</f>
        <v>SI</v>
      </c>
      <c r="M55" s="34" t="str">
        <f>IF(Tabla2__2[[#This Row],[MYSTERY EFECTIVO]]="SI",_xlfn.XLOOKUP(Tabla2__2[[#This Row],[PREGUNTA]],ENCUESTA!G:G,ENCUESTA!D:D),"N/A")</f>
        <v>N/A</v>
      </c>
      <c r="N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34">
        <f>_xlfn.XLOOKUP(Tabla2__2[[#This Row],[PREGUNTA]],ENCUESTA!G:G,ENCUESTA!H:H)</f>
        <v>0</v>
      </c>
      <c r="P55" s="34">
        <f>IF(Tabla2__2[[#This Row],[RTA]]=Tabla2__2[[#This Row],[RTA CORRECTA]],Tabla2__2[[#This Row],[TOTAL PUNTAJE]],0)</f>
        <v>0</v>
      </c>
      <c r="Q55" s="34">
        <f t="shared" si="1"/>
        <v>0</v>
      </c>
      <c r="R55" s="34"/>
    </row>
    <row r="56" spans="1:18" x14ac:dyDescent="0.35">
      <c r="A56" s="34" t="s">
        <v>109</v>
      </c>
      <c r="B56" s="34" t="s">
        <v>175</v>
      </c>
      <c r="C56" t="s">
        <v>43</v>
      </c>
      <c r="D56" s="34" t="s">
        <v>176</v>
      </c>
      <c r="E56" s="34">
        <v>440039</v>
      </c>
      <c r="F56" s="34" t="s">
        <v>178</v>
      </c>
      <c r="G56" s="34" t="s">
        <v>90</v>
      </c>
      <c r="H56" s="34" t="s">
        <v>20</v>
      </c>
      <c r="I56" s="35"/>
      <c r="J56" s="34">
        <v>31137820</v>
      </c>
      <c r="K56" s="34" t="s">
        <v>185</v>
      </c>
      <c r="L56" s="34" t="str">
        <f>_xlfn.XLOOKUP(Tabla2__2[[#This Row],[CODIGO RUTA]],'DATA INFORME'!I:I,'DATA INFORME'!K:K)</f>
        <v>SI</v>
      </c>
      <c r="M56" s="34" t="str">
        <f>IF(Tabla2__2[[#This Row],[MYSTERY EFECTIVO]]="SI",_xlfn.XLOOKUP(Tabla2__2[[#This Row],[PREGUNTA]],ENCUESTA!G:G,ENCUESTA!D:D),"N/A")</f>
        <v>PRESENTACIÓN PERSONAL</v>
      </c>
      <c r="N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6" s="34" t="str">
        <f>_xlfn.XLOOKUP(Tabla2__2[[#This Row],[PREGUNTA]],ENCUESTA!G:G,ENCUESTA!H:H)</f>
        <v>SI</v>
      </c>
      <c r="P56" s="34">
        <f>IF(Tabla2__2[[#This Row],[RTA]]=Tabla2__2[[#This Row],[RTA CORRECTA]],Tabla2__2[[#This Row],[TOTAL PUNTAJE]],0)</f>
        <v>1</v>
      </c>
      <c r="Q56" s="34">
        <f t="shared" si="1"/>
        <v>0</v>
      </c>
      <c r="R56" s="34"/>
    </row>
    <row r="57" spans="1:18" x14ac:dyDescent="0.35">
      <c r="A57" s="34" t="s">
        <v>109</v>
      </c>
      <c r="B57" s="34" t="s">
        <v>175</v>
      </c>
      <c r="C57" t="s">
        <v>43</v>
      </c>
      <c r="D57" s="34" t="s">
        <v>176</v>
      </c>
      <c r="E57" s="34">
        <v>440039</v>
      </c>
      <c r="F57" s="34" t="s">
        <v>178</v>
      </c>
      <c r="G57" s="34" t="s">
        <v>35</v>
      </c>
      <c r="H57" s="34" t="s">
        <v>20</v>
      </c>
      <c r="I57" s="35"/>
      <c r="J57" s="34">
        <v>31137820</v>
      </c>
      <c r="K57" s="34" t="s">
        <v>185</v>
      </c>
      <c r="L57" s="34" t="str">
        <f>_xlfn.XLOOKUP(Tabla2__2[[#This Row],[CODIGO RUTA]],'DATA INFORME'!I:I,'DATA INFORME'!K:K)</f>
        <v>SI</v>
      </c>
      <c r="M57" s="34" t="str">
        <f>IF(Tabla2__2[[#This Row],[MYSTERY EFECTIVO]]="SI",_xlfn.XLOOKUP(Tabla2__2[[#This Row],[PREGUNTA]],ENCUESTA!G:G,ENCUESTA!D:D),"N/A")</f>
        <v>PRESENTACIÓN PERSONAL</v>
      </c>
      <c r="N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7" s="34" t="str">
        <f>_xlfn.XLOOKUP(Tabla2__2[[#This Row],[PREGUNTA]],ENCUESTA!G:G,ENCUESTA!H:H)</f>
        <v>SI</v>
      </c>
      <c r="P57" s="34">
        <f>IF(Tabla2__2[[#This Row],[RTA]]=Tabla2__2[[#This Row],[RTA CORRECTA]],Tabla2__2[[#This Row],[TOTAL PUNTAJE]],0)</f>
        <v>1</v>
      </c>
      <c r="Q57" s="34">
        <f t="shared" si="1"/>
        <v>0</v>
      </c>
      <c r="R57" s="34"/>
    </row>
    <row r="58" spans="1:18" x14ac:dyDescent="0.35">
      <c r="A58" s="34" t="s">
        <v>109</v>
      </c>
      <c r="B58" s="34" t="s">
        <v>175</v>
      </c>
      <c r="C58" t="s">
        <v>43</v>
      </c>
      <c r="D58" s="34" t="s">
        <v>176</v>
      </c>
      <c r="E58" s="34">
        <v>440039</v>
      </c>
      <c r="F58" s="34" t="s">
        <v>178</v>
      </c>
      <c r="G58" s="34" t="s">
        <v>92</v>
      </c>
      <c r="H58" s="34" t="s">
        <v>20</v>
      </c>
      <c r="I58" s="35"/>
      <c r="J58" s="34">
        <v>31137820</v>
      </c>
      <c r="K58" s="34" t="s">
        <v>185</v>
      </c>
      <c r="L58" s="34" t="str">
        <f>_xlfn.XLOOKUP(Tabla2__2[[#This Row],[CODIGO RUTA]],'DATA INFORME'!I:I,'DATA INFORME'!K:K)</f>
        <v>SI</v>
      </c>
      <c r="M58" s="34" t="str">
        <f>IF(Tabla2__2[[#This Row],[MYSTERY EFECTIVO]]="SI",_xlfn.XLOOKUP(Tabla2__2[[#This Row],[PREGUNTA]],ENCUESTA!G:G,ENCUESTA!D:D),"N/A")</f>
        <v>PRESENTACIÓN PERSONAL</v>
      </c>
      <c r="N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8" s="34" t="str">
        <f>_xlfn.XLOOKUP(Tabla2__2[[#This Row],[PREGUNTA]],ENCUESTA!G:G,ENCUESTA!H:H)</f>
        <v>SI</v>
      </c>
      <c r="P58" s="34">
        <f>IF(Tabla2__2[[#This Row],[RTA]]=Tabla2__2[[#This Row],[RTA CORRECTA]],Tabla2__2[[#This Row],[TOTAL PUNTAJE]],0)</f>
        <v>1</v>
      </c>
      <c r="Q58" s="34">
        <f t="shared" si="1"/>
        <v>0</v>
      </c>
      <c r="R58" s="34"/>
    </row>
    <row r="59" spans="1:18" x14ac:dyDescent="0.35">
      <c r="A59" s="34" t="s">
        <v>109</v>
      </c>
      <c r="B59" s="34" t="s">
        <v>175</v>
      </c>
      <c r="C59" t="s">
        <v>43</v>
      </c>
      <c r="D59" s="34" t="s">
        <v>176</v>
      </c>
      <c r="E59" s="34">
        <v>440039</v>
      </c>
      <c r="F59" s="34" t="s">
        <v>178</v>
      </c>
      <c r="G59" s="34" t="s">
        <v>139</v>
      </c>
      <c r="H59" s="34" t="s">
        <v>20</v>
      </c>
      <c r="I59" s="35"/>
      <c r="J59" s="34">
        <v>31137820</v>
      </c>
      <c r="K59" s="34" t="s">
        <v>185</v>
      </c>
      <c r="L59" s="34" t="str">
        <f>_xlfn.XLOOKUP(Tabla2__2[[#This Row],[CODIGO RUTA]],'DATA INFORME'!I:I,'DATA INFORME'!K:K)</f>
        <v>SI</v>
      </c>
      <c r="M59" s="34" t="str">
        <f>IF(Tabla2__2[[#This Row],[MYSTERY EFECTIVO]]="SI",_xlfn.XLOOKUP(Tabla2__2[[#This Row],[PREGUNTA]],ENCUESTA!G:G,ENCUESTA!D:D),"N/A")</f>
        <v>ACTIVIDADES DEL MES</v>
      </c>
      <c r="N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59" s="34" t="str">
        <f>_xlfn.XLOOKUP(Tabla2__2[[#This Row],[PREGUNTA]],ENCUESTA!G:G,ENCUESTA!H:H)</f>
        <v>SI</v>
      </c>
      <c r="P59" s="34">
        <f>IF(Tabla2__2[[#This Row],[RTA]]=Tabla2__2[[#This Row],[RTA CORRECTA]],Tabla2__2[[#This Row],[TOTAL PUNTAJE]],0)</f>
        <v>10</v>
      </c>
      <c r="Q59" s="34">
        <f t="shared" si="1"/>
        <v>0</v>
      </c>
      <c r="R59" s="34"/>
    </row>
    <row r="60" spans="1:18" x14ac:dyDescent="0.35">
      <c r="A60" s="34" t="s">
        <v>109</v>
      </c>
      <c r="B60" s="34" t="s">
        <v>175</v>
      </c>
      <c r="C60" t="s">
        <v>43</v>
      </c>
      <c r="D60" s="34" t="s">
        <v>176</v>
      </c>
      <c r="E60" s="34">
        <v>440039</v>
      </c>
      <c r="F60" s="34" t="s">
        <v>178</v>
      </c>
      <c r="G60" s="34" t="s">
        <v>138</v>
      </c>
      <c r="H60" s="34" t="s">
        <v>20</v>
      </c>
      <c r="I60" s="35"/>
      <c r="J60" s="34">
        <v>31137820</v>
      </c>
      <c r="K60" s="34" t="s">
        <v>185</v>
      </c>
      <c r="L60" s="34" t="str">
        <f>_xlfn.XLOOKUP(Tabla2__2[[#This Row],[CODIGO RUTA]],'DATA INFORME'!I:I,'DATA INFORME'!K:K)</f>
        <v>SI</v>
      </c>
      <c r="M60" s="34" t="str">
        <f>IF(Tabla2__2[[#This Row],[MYSTERY EFECTIVO]]="SI",_xlfn.XLOOKUP(Tabla2__2[[#This Row],[PREGUNTA]],ENCUESTA!G:G,ENCUESTA!D:D),"N/A")</f>
        <v>ACTIVIDADES DEL MES</v>
      </c>
      <c r="N6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60" s="34" t="str">
        <f>_xlfn.XLOOKUP(Tabla2__2[[#This Row],[PREGUNTA]],ENCUESTA!G:G,ENCUESTA!H:H)</f>
        <v>SI</v>
      </c>
      <c r="P60" s="34">
        <f>IF(Tabla2__2[[#This Row],[RTA]]=Tabla2__2[[#This Row],[RTA CORRECTA]],Tabla2__2[[#This Row],[TOTAL PUNTAJE]],0)</f>
        <v>10</v>
      </c>
      <c r="Q60" s="34">
        <f t="shared" si="1"/>
        <v>0</v>
      </c>
      <c r="R60" s="34"/>
    </row>
    <row r="61" spans="1:18" x14ac:dyDescent="0.35">
      <c r="A61" s="34" t="s">
        <v>109</v>
      </c>
      <c r="B61" s="34" t="s">
        <v>175</v>
      </c>
      <c r="C61" t="s">
        <v>43</v>
      </c>
      <c r="D61" s="34" t="s">
        <v>176</v>
      </c>
      <c r="E61" s="34">
        <v>440039</v>
      </c>
      <c r="F61" s="34" t="s">
        <v>178</v>
      </c>
      <c r="G61" s="34" t="s">
        <v>123</v>
      </c>
      <c r="H61" s="34" t="s">
        <v>20</v>
      </c>
      <c r="I61" s="35"/>
      <c r="J61" s="34">
        <v>31137820</v>
      </c>
      <c r="K61" s="34" t="s">
        <v>185</v>
      </c>
      <c r="L61" s="34" t="str">
        <f>_xlfn.XLOOKUP(Tabla2__2[[#This Row],[CODIGO RUTA]],'DATA INFORME'!I:I,'DATA INFORME'!K:K)</f>
        <v>SI</v>
      </c>
      <c r="M61" s="34" t="str">
        <f>IF(Tabla2__2[[#This Row],[MYSTERY EFECTIVO]]="SI",_xlfn.XLOOKUP(Tabla2__2[[#This Row],[PREGUNTA]],ENCUESTA!G:G,ENCUESTA!D:D),"N/A")</f>
        <v>ACTIVIDADES DEL MES</v>
      </c>
      <c r="N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61" s="34" t="str">
        <f>_xlfn.XLOOKUP(Tabla2__2[[#This Row],[PREGUNTA]],ENCUESTA!G:G,ENCUESTA!H:H)</f>
        <v>SI</v>
      </c>
      <c r="P61" s="34">
        <f>IF(Tabla2__2[[#This Row],[RTA]]=Tabla2__2[[#This Row],[RTA CORRECTA]],Tabla2__2[[#This Row],[TOTAL PUNTAJE]],0)</f>
        <v>10</v>
      </c>
      <c r="Q61" s="34">
        <f t="shared" si="1"/>
        <v>0</v>
      </c>
      <c r="R61" s="34"/>
    </row>
    <row r="62" spans="1:18" x14ac:dyDescent="0.35">
      <c r="A62" s="34" t="s">
        <v>109</v>
      </c>
      <c r="B62" s="34" t="s">
        <v>175</v>
      </c>
      <c r="C62" t="s">
        <v>43</v>
      </c>
      <c r="D62" s="34" t="s">
        <v>176</v>
      </c>
      <c r="E62" s="34">
        <v>440039</v>
      </c>
      <c r="F62" s="34" t="s">
        <v>178</v>
      </c>
      <c r="G62" s="34" t="s">
        <v>152</v>
      </c>
      <c r="H62" s="34" t="s">
        <v>20</v>
      </c>
      <c r="I62" s="35"/>
      <c r="J62" s="34">
        <v>31137820</v>
      </c>
      <c r="K62" s="34" t="s">
        <v>185</v>
      </c>
      <c r="L62" s="34" t="str">
        <f>_xlfn.XLOOKUP(Tabla2__2[[#This Row],[CODIGO RUTA]],'DATA INFORME'!I:I,'DATA INFORME'!K:K)</f>
        <v>SI</v>
      </c>
      <c r="M62" s="34" t="str">
        <f>IF(Tabla2__2[[#This Row],[MYSTERY EFECTIVO]]="SI",_xlfn.XLOOKUP(Tabla2__2[[#This Row],[PREGUNTA]],ENCUESTA!G:G,ENCUESTA!D:D),"N/A")</f>
        <v>EJECUCIÓN DEL PDV</v>
      </c>
      <c r="N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2" s="34" t="str">
        <f>_xlfn.XLOOKUP(Tabla2__2[[#This Row],[PREGUNTA]],ENCUESTA!G:G,ENCUESTA!H:H)</f>
        <v>SI</v>
      </c>
      <c r="P62" s="34">
        <f>IF(Tabla2__2[[#This Row],[RTA]]=Tabla2__2[[#This Row],[RTA CORRECTA]],Tabla2__2[[#This Row],[TOTAL PUNTAJE]],0)</f>
        <v>2.7272727272727271</v>
      </c>
      <c r="Q62" s="34">
        <f t="shared" si="1"/>
        <v>0</v>
      </c>
      <c r="R62" s="34"/>
    </row>
    <row r="63" spans="1:18" x14ac:dyDescent="0.35">
      <c r="A63" s="34" t="s">
        <v>109</v>
      </c>
      <c r="B63" s="34" t="s">
        <v>175</v>
      </c>
      <c r="C63" t="s">
        <v>43</v>
      </c>
      <c r="D63" s="34" t="s">
        <v>176</v>
      </c>
      <c r="E63" s="34">
        <v>440039</v>
      </c>
      <c r="F63" s="34" t="s">
        <v>178</v>
      </c>
      <c r="G63" s="34" t="s">
        <v>121</v>
      </c>
      <c r="H63" s="34" t="s">
        <v>20</v>
      </c>
      <c r="I63" s="35"/>
      <c r="J63" s="34">
        <v>31137820</v>
      </c>
      <c r="K63" s="34" t="s">
        <v>185</v>
      </c>
      <c r="L63" s="34" t="str">
        <f>_xlfn.XLOOKUP(Tabla2__2[[#This Row],[CODIGO RUTA]],'DATA INFORME'!I:I,'DATA INFORME'!K:K)</f>
        <v>SI</v>
      </c>
      <c r="M63" s="34" t="str">
        <f>IF(Tabla2__2[[#This Row],[MYSTERY EFECTIVO]]="SI",_xlfn.XLOOKUP(Tabla2__2[[#This Row],[PREGUNTA]],ENCUESTA!G:G,ENCUESTA!D:D),"N/A")</f>
        <v>EJECUCIÓN DEL PDV</v>
      </c>
      <c r="N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3" s="34" t="str">
        <f>_xlfn.XLOOKUP(Tabla2__2[[#This Row],[PREGUNTA]],ENCUESTA!G:G,ENCUESTA!H:H)</f>
        <v>SI</v>
      </c>
      <c r="P63" s="34">
        <f>IF(Tabla2__2[[#This Row],[RTA]]=Tabla2__2[[#This Row],[RTA CORRECTA]],Tabla2__2[[#This Row],[TOTAL PUNTAJE]],0)</f>
        <v>2.7272727272727271</v>
      </c>
      <c r="Q63" s="34">
        <f t="shared" si="1"/>
        <v>0</v>
      </c>
      <c r="R63" s="34"/>
    </row>
    <row r="64" spans="1:18" x14ac:dyDescent="0.35">
      <c r="A64" s="34" t="s">
        <v>109</v>
      </c>
      <c r="B64" s="34" t="s">
        <v>175</v>
      </c>
      <c r="C64" t="s">
        <v>43</v>
      </c>
      <c r="D64" s="34" t="s">
        <v>176</v>
      </c>
      <c r="E64" s="34">
        <v>440039</v>
      </c>
      <c r="F64" s="34" t="s">
        <v>178</v>
      </c>
      <c r="G64" s="34" t="s">
        <v>101</v>
      </c>
      <c r="H64" s="34" t="s">
        <v>159</v>
      </c>
      <c r="I64" s="35"/>
      <c r="J64" s="34">
        <v>31137820</v>
      </c>
      <c r="K64" s="34" t="s">
        <v>185</v>
      </c>
      <c r="L64" s="34" t="str">
        <f>_xlfn.XLOOKUP(Tabla2__2[[#This Row],[CODIGO RUTA]],'DATA INFORME'!I:I,'DATA INFORME'!K:K)</f>
        <v>SI</v>
      </c>
      <c r="M64" s="34" t="str">
        <f>IF(Tabla2__2[[#This Row],[MYSTERY EFECTIVO]]="SI",_xlfn.XLOOKUP(Tabla2__2[[#This Row],[PREGUNTA]],ENCUESTA!G:G,ENCUESTA!D:D),"N/A")</f>
        <v>N/A</v>
      </c>
      <c r="N6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64" s="34">
        <f>_xlfn.XLOOKUP(Tabla2__2[[#This Row],[PREGUNTA]],ENCUESTA!G:G,ENCUESTA!H:H)</f>
        <v>0</v>
      </c>
      <c r="P64" s="34">
        <f>IF(Tabla2__2[[#This Row],[RTA]]=Tabla2__2[[#This Row],[RTA CORRECTA]],Tabla2__2[[#This Row],[TOTAL PUNTAJE]],0)</f>
        <v>0</v>
      </c>
      <c r="Q64" s="34">
        <f t="shared" si="1"/>
        <v>0</v>
      </c>
      <c r="R64" s="34"/>
    </row>
    <row r="65" spans="1:18" x14ac:dyDescent="0.35">
      <c r="A65" s="34" t="s">
        <v>109</v>
      </c>
      <c r="B65" s="34" t="s">
        <v>175</v>
      </c>
      <c r="C65" t="s">
        <v>43</v>
      </c>
      <c r="D65" s="34" t="s">
        <v>176</v>
      </c>
      <c r="E65" s="34">
        <v>440039</v>
      </c>
      <c r="F65" s="34" t="s">
        <v>178</v>
      </c>
      <c r="G65" s="34" t="s">
        <v>99</v>
      </c>
      <c r="H65" s="34" t="s">
        <v>20</v>
      </c>
      <c r="I65" s="35"/>
      <c r="J65" s="34">
        <v>31137820</v>
      </c>
      <c r="K65" s="34" t="s">
        <v>185</v>
      </c>
      <c r="L65" s="34" t="str">
        <f>_xlfn.XLOOKUP(Tabla2__2[[#This Row],[CODIGO RUTA]],'DATA INFORME'!I:I,'DATA INFORME'!K:K)</f>
        <v>SI</v>
      </c>
      <c r="M65" s="34" t="str">
        <f>IF(Tabla2__2[[#This Row],[MYSTERY EFECTIVO]]="SI",_xlfn.XLOOKUP(Tabla2__2[[#This Row],[PREGUNTA]],ENCUESTA!G:G,ENCUESTA!D:D),"N/A")</f>
        <v>EJECUCIÓN DEL PDV</v>
      </c>
      <c r="N6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5" s="34" t="str">
        <f>_xlfn.XLOOKUP(Tabla2__2[[#This Row],[PREGUNTA]],ENCUESTA!G:G,ENCUESTA!H:H)</f>
        <v>SI</v>
      </c>
      <c r="P65" s="34">
        <f>IF(Tabla2__2[[#This Row],[RTA]]=Tabla2__2[[#This Row],[RTA CORRECTA]],Tabla2__2[[#This Row],[TOTAL PUNTAJE]],0)</f>
        <v>2.7272727272727271</v>
      </c>
      <c r="Q65" s="34">
        <f t="shared" si="1"/>
        <v>0</v>
      </c>
      <c r="R65" s="34"/>
    </row>
    <row r="66" spans="1:18" x14ac:dyDescent="0.35">
      <c r="A66" s="34" t="s">
        <v>109</v>
      </c>
      <c r="B66" s="34" t="s">
        <v>175</v>
      </c>
      <c r="C66" t="s">
        <v>43</v>
      </c>
      <c r="D66" s="34" t="s">
        <v>176</v>
      </c>
      <c r="E66" s="34">
        <v>440039</v>
      </c>
      <c r="F66" s="34" t="s">
        <v>178</v>
      </c>
      <c r="G66" s="34" t="s">
        <v>98</v>
      </c>
      <c r="H66" s="34" t="s">
        <v>20</v>
      </c>
      <c r="I66" s="35"/>
      <c r="J66" s="34">
        <v>31137820</v>
      </c>
      <c r="K66" s="34" t="s">
        <v>185</v>
      </c>
      <c r="L66" s="34" t="str">
        <f>_xlfn.XLOOKUP(Tabla2__2[[#This Row],[CODIGO RUTA]],'DATA INFORME'!I:I,'DATA INFORME'!K:K)</f>
        <v>SI</v>
      </c>
      <c r="M66" s="34" t="str">
        <f>IF(Tabla2__2[[#This Row],[MYSTERY EFECTIVO]]="SI",_xlfn.XLOOKUP(Tabla2__2[[#This Row],[PREGUNTA]],ENCUESTA!G:G,ENCUESTA!D:D),"N/A")</f>
        <v>EJECUCIÓN DEL PDV</v>
      </c>
      <c r="N6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6" s="34" t="str">
        <f>_xlfn.XLOOKUP(Tabla2__2[[#This Row],[PREGUNTA]],ENCUESTA!G:G,ENCUESTA!H:H)</f>
        <v>SI</v>
      </c>
      <c r="P66" s="34">
        <f>IF(Tabla2__2[[#This Row],[RTA]]=Tabla2__2[[#This Row],[RTA CORRECTA]],Tabla2__2[[#This Row],[TOTAL PUNTAJE]],0)</f>
        <v>2.7272727272727271</v>
      </c>
      <c r="Q66" s="34">
        <f t="shared" ref="Q66:Q76" si="2">IF(OR(H66="Dog Chow húmedo",H66="Cat Chow húmedo",H66="Fancy Feast",H66="Felix",H66="Proplan húmedo",H66="One húmedo",H66="Snack Abrazzos",H66="Snak Dentalife",H66="Arenilla Tidy Cat"),N66,0)</f>
        <v>0</v>
      </c>
      <c r="R66" s="34"/>
    </row>
    <row r="67" spans="1:18" x14ac:dyDescent="0.35">
      <c r="A67" s="34" t="s">
        <v>109</v>
      </c>
      <c r="B67" s="34" t="s">
        <v>175</v>
      </c>
      <c r="C67" t="s">
        <v>43</v>
      </c>
      <c r="D67" s="34" t="s">
        <v>176</v>
      </c>
      <c r="E67" s="34">
        <v>440039</v>
      </c>
      <c r="F67" s="34" t="s">
        <v>178</v>
      </c>
      <c r="G67" s="34" t="s">
        <v>125</v>
      </c>
      <c r="H67" s="34" t="s">
        <v>20</v>
      </c>
      <c r="I67" s="35"/>
      <c r="J67" s="34">
        <v>31137820</v>
      </c>
      <c r="K67" s="34" t="s">
        <v>185</v>
      </c>
      <c r="L67" s="34" t="str">
        <f>_xlfn.XLOOKUP(Tabla2__2[[#This Row],[CODIGO RUTA]],'DATA INFORME'!I:I,'DATA INFORME'!K:K)</f>
        <v>SI</v>
      </c>
      <c r="M67" s="34" t="str">
        <f>IF(Tabla2__2[[#This Row],[MYSTERY EFECTIVO]]="SI",_xlfn.XLOOKUP(Tabla2__2[[#This Row],[PREGUNTA]],ENCUESTA!G:G,ENCUESTA!D:D),"N/A")</f>
        <v>EJECUCIÓN DEL PDV</v>
      </c>
      <c r="N6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7" s="34" t="str">
        <f>_xlfn.XLOOKUP(Tabla2__2[[#This Row],[PREGUNTA]],ENCUESTA!G:G,ENCUESTA!H:H)</f>
        <v>SI</v>
      </c>
      <c r="P67" s="34">
        <f>IF(Tabla2__2[[#This Row],[RTA]]=Tabla2__2[[#This Row],[RTA CORRECTA]],Tabla2__2[[#This Row],[TOTAL PUNTAJE]],0)</f>
        <v>2.7272727272727271</v>
      </c>
      <c r="Q67" s="34">
        <f t="shared" si="2"/>
        <v>0</v>
      </c>
      <c r="R67" s="34"/>
    </row>
    <row r="68" spans="1:18" x14ac:dyDescent="0.35">
      <c r="A68" s="34" t="s">
        <v>109</v>
      </c>
      <c r="B68" s="34" t="s">
        <v>175</v>
      </c>
      <c r="C68" t="s">
        <v>43</v>
      </c>
      <c r="D68" s="34" t="s">
        <v>176</v>
      </c>
      <c r="E68" s="34">
        <v>440039</v>
      </c>
      <c r="F68" s="34" t="s">
        <v>178</v>
      </c>
      <c r="G68" s="34" t="s">
        <v>124</v>
      </c>
      <c r="H68" s="34" t="s">
        <v>20</v>
      </c>
      <c r="I68" s="35"/>
      <c r="J68" s="34">
        <v>31137820</v>
      </c>
      <c r="K68" s="34" t="s">
        <v>185</v>
      </c>
      <c r="L68" s="34" t="str">
        <f>_xlfn.XLOOKUP(Tabla2__2[[#This Row],[CODIGO RUTA]],'DATA INFORME'!I:I,'DATA INFORME'!K:K)</f>
        <v>SI</v>
      </c>
      <c r="M68" s="34" t="str">
        <f>IF(Tabla2__2[[#This Row],[MYSTERY EFECTIVO]]="SI",_xlfn.XLOOKUP(Tabla2__2[[#This Row],[PREGUNTA]],ENCUESTA!G:G,ENCUESTA!D:D),"N/A")</f>
        <v>EJECUCIÓN DEL PDV</v>
      </c>
      <c r="N6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2.7272727272727271</v>
      </c>
      <c r="O68" s="34" t="str">
        <f>_xlfn.XLOOKUP(Tabla2__2[[#This Row],[PREGUNTA]],ENCUESTA!G:G,ENCUESTA!H:H)</f>
        <v>SI</v>
      </c>
      <c r="P68" s="34">
        <f>IF(Tabla2__2[[#This Row],[RTA]]=Tabla2__2[[#This Row],[RTA CORRECTA]],Tabla2__2[[#This Row],[TOTAL PUNTAJE]],0)</f>
        <v>2.7272727272727271</v>
      </c>
      <c r="Q68" s="34">
        <f t="shared" si="2"/>
        <v>0</v>
      </c>
      <c r="R68" s="34"/>
    </row>
    <row r="69" spans="1:18" x14ac:dyDescent="0.35">
      <c r="A69" s="34" t="s">
        <v>109</v>
      </c>
      <c r="B69" s="34" t="s">
        <v>175</v>
      </c>
      <c r="C69" t="s">
        <v>43</v>
      </c>
      <c r="D69" s="34" t="s">
        <v>176</v>
      </c>
      <c r="E69" s="34">
        <v>440039</v>
      </c>
      <c r="F69" s="34" t="s">
        <v>178</v>
      </c>
      <c r="G69" s="34" t="s">
        <v>97</v>
      </c>
      <c r="H69" s="34" t="s">
        <v>186</v>
      </c>
      <c r="I69" s="35"/>
      <c r="J69" s="34">
        <v>31137820</v>
      </c>
      <c r="K69" s="34" t="s">
        <v>185</v>
      </c>
      <c r="L69" s="34" t="str">
        <f>_xlfn.XLOOKUP(Tabla2__2[[#This Row],[CODIGO RUTA]],'DATA INFORME'!I:I,'DATA INFORME'!K:K)</f>
        <v>SI</v>
      </c>
      <c r="M69" s="34" t="str">
        <f>IF(Tabla2__2[[#This Row],[MYSTERY EFECTIVO]]="SI",_xlfn.XLOOKUP(Tabla2__2[[#This Row],[PREGUNTA]],ENCUESTA!G:G,ENCUESTA!D:D),"N/A")</f>
        <v>PRESENTACIÓN PERSONAL</v>
      </c>
      <c r="N6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9" s="34" t="str">
        <f>_xlfn.XLOOKUP(Tabla2__2[[#This Row],[PREGUNTA]],ENCUESTA!G:G,ENCUESTA!H:H)</f>
        <v>NO</v>
      </c>
      <c r="P69" s="34">
        <f>IF(Tabla2__2[[#This Row],[RTA]]=Tabla2__2[[#This Row],[RTA CORRECTA]],Tabla2__2[[#This Row],[TOTAL PUNTAJE]],0)</f>
        <v>0</v>
      </c>
      <c r="Q69" s="34">
        <f t="shared" si="2"/>
        <v>0</v>
      </c>
      <c r="R69" s="34"/>
    </row>
    <row r="70" spans="1:18" x14ac:dyDescent="0.35">
      <c r="A70" s="34" t="s">
        <v>109</v>
      </c>
      <c r="B70" s="34" t="s">
        <v>175</v>
      </c>
      <c r="C70" t="s">
        <v>43</v>
      </c>
      <c r="D70" s="34" t="s">
        <v>176</v>
      </c>
      <c r="E70" s="34">
        <v>440039</v>
      </c>
      <c r="F70" s="34" t="s">
        <v>178</v>
      </c>
      <c r="G70" s="34" t="s">
        <v>96</v>
      </c>
      <c r="H70" s="34" t="s">
        <v>186</v>
      </c>
      <c r="I70" s="35"/>
      <c r="J70" s="34">
        <v>31137820</v>
      </c>
      <c r="K70" s="34" t="s">
        <v>185</v>
      </c>
      <c r="L70" s="34" t="str">
        <f>_xlfn.XLOOKUP(Tabla2__2[[#This Row],[CODIGO RUTA]],'DATA INFORME'!I:I,'DATA INFORME'!K:K)</f>
        <v>SI</v>
      </c>
      <c r="M70" s="34" t="str">
        <f>IF(Tabla2__2[[#This Row],[MYSTERY EFECTIVO]]="SI",_xlfn.XLOOKUP(Tabla2__2[[#This Row],[PREGUNTA]],ENCUESTA!G:G,ENCUESTA!D:D),"N/A")</f>
        <v>PRESENTACIÓN PERSONAL</v>
      </c>
      <c r="N7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0" s="34" t="str">
        <f>_xlfn.XLOOKUP(Tabla2__2[[#This Row],[PREGUNTA]],ENCUESTA!G:G,ENCUESTA!H:H)</f>
        <v>NO</v>
      </c>
      <c r="P70" s="34">
        <f>IF(Tabla2__2[[#This Row],[RTA]]=Tabla2__2[[#This Row],[RTA CORRECTA]],Tabla2__2[[#This Row],[TOTAL PUNTAJE]],0)</f>
        <v>0</v>
      </c>
      <c r="Q70" s="34">
        <f t="shared" si="2"/>
        <v>0</v>
      </c>
      <c r="R70" s="34"/>
    </row>
    <row r="71" spans="1:18" x14ac:dyDescent="0.35">
      <c r="A71" s="34" t="s">
        <v>109</v>
      </c>
      <c r="B71" s="34" t="s">
        <v>175</v>
      </c>
      <c r="C71" t="s">
        <v>43</v>
      </c>
      <c r="D71" s="34" t="s">
        <v>176</v>
      </c>
      <c r="E71" s="34">
        <v>440039</v>
      </c>
      <c r="F71" s="34" t="s">
        <v>178</v>
      </c>
      <c r="G71" s="34" t="s">
        <v>95</v>
      </c>
      <c r="H71" s="34" t="s">
        <v>186</v>
      </c>
      <c r="I71" s="35"/>
      <c r="J71" s="34">
        <v>31137820</v>
      </c>
      <c r="K71" s="34" t="s">
        <v>185</v>
      </c>
      <c r="L71" s="34" t="str">
        <f>_xlfn.XLOOKUP(Tabla2__2[[#This Row],[CODIGO RUTA]],'DATA INFORME'!I:I,'DATA INFORME'!K:K)</f>
        <v>SI</v>
      </c>
      <c r="M71" s="34" t="str">
        <f>IF(Tabla2__2[[#This Row],[MYSTERY EFECTIVO]]="SI",_xlfn.XLOOKUP(Tabla2__2[[#This Row],[PREGUNTA]],ENCUESTA!G:G,ENCUESTA!D:D),"N/A")</f>
        <v>PRESENTACIÓN PERSONAL</v>
      </c>
      <c r="N7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1" s="34" t="str">
        <f>_xlfn.XLOOKUP(Tabla2__2[[#This Row],[PREGUNTA]],ENCUESTA!G:G,ENCUESTA!H:H)</f>
        <v>NO</v>
      </c>
      <c r="P71" s="34">
        <f>IF(Tabla2__2[[#This Row],[RTA]]=Tabla2__2[[#This Row],[RTA CORRECTA]],Tabla2__2[[#This Row],[TOTAL PUNTAJE]],0)</f>
        <v>0</v>
      </c>
      <c r="Q71" s="34">
        <f t="shared" si="2"/>
        <v>0</v>
      </c>
      <c r="R71" s="34"/>
    </row>
    <row r="72" spans="1:18" x14ac:dyDescent="0.35">
      <c r="A72" s="34" t="s">
        <v>109</v>
      </c>
      <c r="B72" s="34" t="s">
        <v>175</v>
      </c>
      <c r="C72" t="s">
        <v>43</v>
      </c>
      <c r="D72" s="34" t="s">
        <v>176</v>
      </c>
      <c r="E72" s="34">
        <v>440039</v>
      </c>
      <c r="F72" s="34" t="s">
        <v>178</v>
      </c>
      <c r="G72" s="34" t="s">
        <v>94</v>
      </c>
      <c r="H72" s="34" t="s">
        <v>186</v>
      </c>
      <c r="I72" s="35"/>
      <c r="J72" s="34">
        <v>31137820</v>
      </c>
      <c r="K72" s="34" t="s">
        <v>185</v>
      </c>
      <c r="L72" s="34" t="str">
        <f>_xlfn.XLOOKUP(Tabla2__2[[#This Row],[CODIGO RUTA]],'DATA INFORME'!I:I,'DATA INFORME'!K:K)</f>
        <v>SI</v>
      </c>
      <c r="M72" s="34" t="str">
        <f>IF(Tabla2__2[[#This Row],[MYSTERY EFECTIVO]]="SI",_xlfn.XLOOKUP(Tabla2__2[[#This Row],[PREGUNTA]],ENCUESTA!G:G,ENCUESTA!D:D),"N/A")</f>
        <v>PRESENTACIÓN PERSONAL</v>
      </c>
      <c r="N7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2" s="34" t="str">
        <f>_xlfn.XLOOKUP(Tabla2__2[[#This Row],[PREGUNTA]],ENCUESTA!G:G,ENCUESTA!H:H)</f>
        <v>NO</v>
      </c>
      <c r="P72" s="34">
        <f>IF(Tabla2__2[[#This Row],[RTA]]=Tabla2__2[[#This Row],[RTA CORRECTA]],Tabla2__2[[#This Row],[TOTAL PUNTAJE]],0)</f>
        <v>0</v>
      </c>
      <c r="Q72" s="34">
        <f t="shared" si="2"/>
        <v>0</v>
      </c>
      <c r="R72" s="34"/>
    </row>
    <row r="73" spans="1:18" x14ac:dyDescent="0.35">
      <c r="A73" s="34" t="s">
        <v>109</v>
      </c>
      <c r="B73" s="34" t="s">
        <v>175</v>
      </c>
      <c r="C73" t="s">
        <v>43</v>
      </c>
      <c r="D73" s="34" t="s">
        <v>176</v>
      </c>
      <c r="E73" s="34">
        <v>440039</v>
      </c>
      <c r="F73" s="34" t="s">
        <v>178</v>
      </c>
      <c r="G73" s="34" t="s">
        <v>93</v>
      </c>
      <c r="H73" s="34" t="s">
        <v>20</v>
      </c>
      <c r="I73" s="35"/>
      <c r="J73" s="34">
        <v>31137820</v>
      </c>
      <c r="K73" s="34" t="s">
        <v>185</v>
      </c>
      <c r="L73" s="34" t="str">
        <f>_xlfn.XLOOKUP(Tabla2__2[[#This Row],[CODIGO RUTA]],'DATA INFORME'!I:I,'DATA INFORME'!K:K)</f>
        <v>SI</v>
      </c>
      <c r="M73" s="34" t="str">
        <f>IF(Tabla2__2[[#This Row],[MYSTERY EFECTIVO]]="SI",_xlfn.XLOOKUP(Tabla2__2[[#This Row],[PREGUNTA]],ENCUESTA!G:G,ENCUESTA!D:D),"N/A")</f>
        <v>PRESENTACIÓN PERSONAL</v>
      </c>
      <c r="N7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3" s="34" t="str">
        <f>_xlfn.XLOOKUP(Tabla2__2[[#This Row],[PREGUNTA]],ENCUESTA!G:G,ENCUESTA!H:H)</f>
        <v>SI</v>
      </c>
      <c r="P73" s="34">
        <f>IF(Tabla2__2[[#This Row],[RTA]]=Tabla2__2[[#This Row],[RTA CORRECTA]],Tabla2__2[[#This Row],[TOTAL PUNTAJE]],0)</f>
        <v>1</v>
      </c>
      <c r="Q73" s="34">
        <f t="shared" si="2"/>
        <v>0</v>
      </c>
      <c r="R73" s="34"/>
    </row>
    <row r="74" spans="1:18" x14ac:dyDescent="0.35">
      <c r="A74" s="34" t="s">
        <v>109</v>
      </c>
      <c r="B74" s="34" t="s">
        <v>175</v>
      </c>
      <c r="C74" t="s">
        <v>43</v>
      </c>
      <c r="D74" s="34" t="s">
        <v>176</v>
      </c>
      <c r="E74" s="34">
        <v>440039</v>
      </c>
      <c r="F74" s="34" t="s">
        <v>178</v>
      </c>
      <c r="G74" s="34" t="s">
        <v>91</v>
      </c>
      <c r="H74" s="34" t="s">
        <v>186</v>
      </c>
      <c r="I74" s="35"/>
      <c r="J74" s="34">
        <v>31137820</v>
      </c>
      <c r="K74" s="34" t="s">
        <v>185</v>
      </c>
      <c r="L74" s="34" t="str">
        <f>_xlfn.XLOOKUP(Tabla2__2[[#This Row],[CODIGO RUTA]],'DATA INFORME'!I:I,'DATA INFORME'!K:K)</f>
        <v>SI</v>
      </c>
      <c r="M74" s="34" t="str">
        <f>IF(Tabla2__2[[#This Row],[MYSTERY EFECTIVO]]="SI",_xlfn.XLOOKUP(Tabla2__2[[#This Row],[PREGUNTA]],ENCUESTA!G:G,ENCUESTA!D:D),"N/A")</f>
        <v>PRESENTACIÓN PERSONAL</v>
      </c>
      <c r="N7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74" s="34" t="str">
        <f>_xlfn.XLOOKUP(Tabla2__2[[#This Row],[PREGUNTA]],ENCUESTA!G:G,ENCUESTA!H:H)</f>
        <v>NO</v>
      </c>
      <c r="P74" s="34">
        <f>IF(Tabla2__2[[#This Row],[RTA]]=Tabla2__2[[#This Row],[RTA CORRECTA]],Tabla2__2[[#This Row],[TOTAL PUNTAJE]],0)</f>
        <v>0</v>
      </c>
      <c r="Q74" s="34">
        <f t="shared" si="2"/>
        <v>0</v>
      </c>
      <c r="R74" s="34"/>
    </row>
    <row r="75" spans="1:18" x14ac:dyDescent="0.35">
      <c r="A75" s="34" t="s">
        <v>109</v>
      </c>
      <c r="B75" s="34" t="s">
        <v>175</v>
      </c>
      <c r="C75" t="s">
        <v>43</v>
      </c>
      <c r="D75" s="34" t="s">
        <v>176</v>
      </c>
      <c r="E75" s="34">
        <v>440039</v>
      </c>
      <c r="F75" s="34" t="s">
        <v>178</v>
      </c>
      <c r="G75" s="34" t="s">
        <v>153</v>
      </c>
      <c r="H75" s="34" t="s">
        <v>20</v>
      </c>
      <c r="I75" s="35"/>
      <c r="J75" s="34">
        <v>31137820</v>
      </c>
      <c r="K75" s="34" t="s">
        <v>185</v>
      </c>
      <c r="L75" s="34" t="str">
        <f>_xlfn.XLOOKUP(Tabla2__2[[#This Row],[CODIGO RUTA]],'DATA INFORME'!I:I,'DATA INFORME'!K:K)</f>
        <v>SI</v>
      </c>
      <c r="M75" s="34" t="str">
        <f>IF(Tabla2__2[[#This Row],[MYSTERY EFECTIVO]]="SI",_xlfn.XLOOKUP(Tabla2__2[[#This Row],[PREGUNTA]],ENCUESTA!G:G,ENCUESTA!D:D),"N/A")</f>
        <v>ACTIVIDADES DEL MES</v>
      </c>
      <c r="N7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10</v>
      </c>
      <c r="O75" s="34" t="str">
        <f>_xlfn.XLOOKUP(Tabla2__2[[#This Row],[PREGUNTA]],ENCUESTA!G:G,ENCUESTA!H:H)</f>
        <v>SI</v>
      </c>
      <c r="P75" s="34">
        <f>IF(Tabla2__2[[#This Row],[RTA]]=Tabla2__2[[#This Row],[RTA CORRECTA]],Tabla2__2[[#This Row],[TOTAL PUNTAJE]],0)</f>
        <v>10</v>
      </c>
      <c r="Q75" s="34">
        <f t="shared" si="2"/>
        <v>0</v>
      </c>
      <c r="R75" s="34"/>
    </row>
    <row r="76" spans="1:18" x14ac:dyDescent="0.35">
      <c r="A76" s="34" t="s">
        <v>109</v>
      </c>
      <c r="B76" s="34" t="s">
        <v>175</v>
      </c>
      <c r="C76" t="s">
        <v>43</v>
      </c>
      <c r="D76" s="34" t="s">
        <v>176</v>
      </c>
      <c r="E76" s="34">
        <v>440039</v>
      </c>
      <c r="F76" s="34" t="s">
        <v>178</v>
      </c>
      <c r="G76" s="34" t="s">
        <v>102</v>
      </c>
      <c r="H76" s="34" t="s">
        <v>186</v>
      </c>
      <c r="I76" s="35"/>
      <c r="J76" s="34">
        <v>31137820</v>
      </c>
      <c r="K76" s="34" t="s">
        <v>185</v>
      </c>
      <c r="L76" s="34" t="str">
        <f>_xlfn.XLOOKUP(Tabla2__2[[#This Row],[CODIGO RUTA]],'DATA INFORME'!I:I,'DATA INFORME'!K:K)</f>
        <v>SI</v>
      </c>
      <c r="M76" s="34" t="str">
        <f>IF(Tabla2__2[[#This Row],[MYSTERY EFECTIVO]]="SI",_xlfn.XLOOKUP(Tabla2__2[[#This Row],[PREGUNTA]],ENCUESTA!G:G,ENCUESTA!D:D),"N/A")</f>
        <v>N/A</v>
      </c>
      <c r="N7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6" s="34">
        <f>_xlfn.XLOOKUP(Tabla2__2[[#This Row],[PREGUNTA]],ENCUESTA!G:G,ENCUESTA!H:H)</f>
        <v>0</v>
      </c>
      <c r="P76" s="34">
        <f>IF(Tabla2__2[[#This Row],[RTA]]=Tabla2__2[[#This Row],[RTA CORRECTA]],Tabla2__2[[#This Row],[TOTAL PUNTAJE]],0)</f>
        <v>0</v>
      </c>
      <c r="Q76" s="34">
        <f t="shared" si="2"/>
        <v>0</v>
      </c>
      <c r="R76" s="34"/>
    </row>
    <row r="77" spans="1:18" x14ac:dyDescent="0.35">
      <c r="A77" s="34"/>
      <c r="B77" s="34"/>
      <c r="C77" s="34"/>
      <c r="D77" s="34"/>
      <c r="E77" s="34"/>
      <c r="F77" s="34"/>
      <c r="G77" s="34"/>
      <c r="H77" s="35"/>
      <c r="I77" s="34"/>
      <c r="J77" s="34"/>
      <c r="K77" s="34"/>
      <c r="L77" s="34"/>
      <c r="M77" s="34"/>
      <c r="N77" s="34"/>
      <c r="O77" s="34"/>
      <c r="P77" s="34"/>
      <c r="Q77" s="34"/>
    </row>
    <row r="264" spans="18:18" x14ac:dyDescent="0.35">
      <c r="R264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12"/>
  <sheetViews>
    <sheetView showGridLines="0" zoomScaleNormal="100" workbookViewId="0">
      <selection activeCell="D13" sqref="D13"/>
    </sheetView>
  </sheetViews>
  <sheetFormatPr baseColWidth="10" defaultColWidth="21.453125" defaultRowHeight="14.5" x14ac:dyDescent="0.35"/>
  <cols>
    <col min="1" max="1" width="14.26953125" style="65" customWidth="1"/>
    <col min="2" max="2" width="18.26953125" style="65" customWidth="1"/>
    <col min="3" max="3" width="16.81640625" style="59" customWidth="1"/>
    <col min="4" max="4" width="40.453125" style="60" customWidth="1"/>
    <col min="5" max="5" width="21.453125" style="65"/>
  </cols>
  <sheetData>
    <row r="1" spans="1:9" x14ac:dyDescent="0.35">
      <c r="A1" s="46" t="s">
        <v>22</v>
      </c>
      <c r="B1" s="46" t="s">
        <v>1</v>
      </c>
      <c r="C1" s="46" t="s">
        <v>26</v>
      </c>
      <c r="D1" s="46" t="s">
        <v>23</v>
      </c>
      <c r="E1" s="47" t="s">
        <v>38</v>
      </c>
      <c r="F1" s="48" t="s">
        <v>39</v>
      </c>
      <c r="G1" s="48" t="s">
        <v>40</v>
      </c>
      <c r="H1" s="48" t="s">
        <v>41</v>
      </c>
      <c r="I1" s="49" t="s">
        <v>42</v>
      </c>
    </row>
    <row r="2" spans="1:9" x14ac:dyDescent="0.35">
      <c r="A2" s="40" t="str">
        <f>_xlfn.XLOOKUP(Tabla1[[#This Row],[CODIGO PDV]],Export!H:H,Export!D:D,0)</f>
        <v>MODERNO</v>
      </c>
      <c r="B2" s="55" t="s">
        <v>8</v>
      </c>
      <c r="C2" s="40">
        <v>12561</v>
      </c>
      <c r="D2" s="56" t="s">
        <v>161</v>
      </c>
      <c r="E2" s="50">
        <v>1</v>
      </c>
      <c r="F2" s="51">
        <v>1</v>
      </c>
      <c r="G2" s="51">
        <f>IF(COUNTIFS(Export!I:I,Tabla1[[#This Row],[CODIGO PDV]])&gt;0,1,0)</f>
        <v>1</v>
      </c>
      <c r="H2" s="52">
        <f>COUNTIFS('DATA INFORME'!D:D,Tabla1[[#This Row],[CODIGO PDV]])</f>
        <v>1</v>
      </c>
      <c r="I2" s="53">
        <f>COUNTIFS('DATA INFORME'!D:D,Tabla1[[#This Row],[CODIGO PDV]],'DATA INFORME'!K:K,"SI")</f>
        <v>1</v>
      </c>
    </row>
    <row r="3" spans="1:9" s="54" customFormat="1" x14ac:dyDescent="0.35">
      <c r="A3" s="40" t="str">
        <f>_xlfn.XLOOKUP(Tabla1[[#This Row],[CODIGO PDV]],Export!H:H,Export!D:D,0)</f>
        <v>TRADICIONAL</v>
      </c>
      <c r="B3" s="40" t="s">
        <v>8</v>
      </c>
      <c r="C3" s="40">
        <v>152046</v>
      </c>
      <c r="D3" s="3" t="s">
        <v>155</v>
      </c>
      <c r="E3" s="50">
        <v>1</v>
      </c>
      <c r="F3" s="51">
        <v>1</v>
      </c>
      <c r="G3" s="51">
        <f>IF(COUNTIFS(Export!I:I,Tabla1[[#This Row],[CODIGO PDV]])&gt;0,1,0)</f>
        <v>1</v>
      </c>
      <c r="H3" s="52">
        <f>COUNTIFS('DATA INFORME'!D:D,Tabla1[[#This Row],[CODIGO PDV]])</f>
        <v>1</v>
      </c>
      <c r="I3" s="53">
        <f>COUNTIFS('DATA INFORME'!D:D,Tabla1[[#This Row],[CODIGO PDV]],'DATA INFORME'!K:K,"SI")</f>
        <v>1</v>
      </c>
    </row>
    <row r="4" spans="1:9" x14ac:dyDescent="0.35">
      <c r="A4" s="40">
        <f>_xlfn.XLOOKUP(Tabla1[[#This Row],[CODIGO PDV]],Export!H:H,Export!D:D,0)</f>
        <v>0</v>
      </c>
      <c r="B4" s="40" t="s">
        <v>112</v>
      </c>
      <c r="C4" s="40">
        <v>421577</v>
      </c>
      <c r="D4" s="3" t="s">
        <v>147</v>
      </c>
      <c r="E4" s="52">
        <v>1</v>
      </c>
      <c r="F4" s="51">
        <v>1</v>
      </c>
      <c r="G4" s="51">
        <f>IF(COUNTIFS(Export!I:I,Tabla1[[#This Row],[CODIGO PDV]])&gt;0,1,0)</f>
        <v>0</v>
      </c>
      <c r="H4" s="52">
        <f>COUNTIFS('DATA INFORME'!D:D,Tabla1[[#This Row],[CODIGO PDV]])</f>
        <v>0</v>
      </c>
      <c r="I4" s="53">
        <f>COUNTIFS('DATA INFORME'!D:D,Tabla1[[#This Row],[CODIGO PDV]],'DATA INFORME'!K:K,"SI")</f>
        <v>0</v>
      </c>
    </row>
    <row r="5" spans="1:9" x14ac:dyDescent="0.35">
      <c r="A5" s="40" t="str">
        <f>_xlfn.XLOOKUP(Tabla1[[#This Row],[CODIGO PDV]],Export!H:H,Export!D:D,0)</f>
        <v>TRADICIONAL</v>
      </c>
      <c r="B5" s="40" t="s">
        <v>112</v>
      </c>
      <c r="C5" s="40">
        <v>424866</v>
      </c>
      <c r="D5" s="3" t="s">
        <v>132</v>
      </c>
      <c r="E5" s="50">
        <v>1</v>
      </c>
      <c r="F5" s="51">
        <v>1</v>
      </c>
      <c r="G5" s="51">
        <f>IF(COUNTIFS(Export!I:I,Tabla1[[#This Row],[CODIGO PDV]])&gt;0,1,0)</f>
        <v>1</v>
      </c>
      <c r="H5" s="52">
        <f>COUNTIFS('DATA INFORME'!D:D,Tabla1[[#This Row],[CODIGO PDV]])</f>
        <v>1</v>
      </c>
      <c r="I5" s="53">
        <f>COUNTIFS('DATA INFORME'!D:D,Tabla1[[#This Row],[CODIGO PDV]],'DATA INFORME'!K:K,"SI")</f>
        <v>0</v>
      </c>
    </row>
    <row r="6" spans="1:9" x14ac:dyDescent="0.35">
      <c r="A6" s="40" t="str">
        <f>_xlfn.XLOOKUP(Tabla1[[#This Row],[CODIGO PDV]],Export!H:H,Export!D:D,0)</f>
        <v>TRADICIONAL</v>
      </c>
      <c r="B6" s="74" t="s">
        <v>175</v>
      </c>
      <c r="C6" s="75">
        <v>440039</v>
      </c>
      <c r="D6" s="76" t="s">
        <v>178</v>
      </c>
      <c r="E6" s="50">
        <v>1</v>
      </c>
      <c r="F6" s="51">
        <v>1</v>
      </c>
      <c r="G6" s="51">
        <f>IF(COUNTIFS(Export!I:I,Tabla1[[#This Row],[CODIGO PDV]])&gt;0,1,0)</f>
        <v>1</v>
      </c>
      <c r="H6" s="52">
        <f>COUNTIFS('DATA INFORME'!D:D,Tabla1[[#This Row],[CODIGO PDV]])</f>
        <v>1</v>
      </c>
      <c r="I6" s="53">
        <f>COUNTIFS('DATA INFORME'!D:D,Tabla1[[#This Row],[CODIGO PDV]],'DATA INFORME'!K:K,"SI")</f>
        <v>1</v>
      </c>
    </row>
    <row r="7" spans="1:9" x14ac:dyDescent="0.35">
      <c r="A7" s="57"/>
      <c r="B7" s="57"/>
      <c r="C7" s="57"/>
      <c r="D7" s="57"/>
      <c r="E7" s="57"/>
      <c r="F7" s="3"/>
      <c r="G7" s="3"/>
      <c r="H7" s="3"/>
      <c r="I7" s="3"/>
    </row>
    <row r="8" spans="1:9" x14ac:dyDescent="0.35">
      <c r="A8" s="46" t="s">
        <v>22</v>
      </c>
      <c r="B8" s="46" t="s">
        <v>1</v>
      </c>
      <c r="C8" s="46" t="s">
        <v>36</v>
      </c>
      <c r="D8" s="46" t="s">
        <v>37</v>
      </c>
      <c r="E8" s="58" t="s">
        <v>44</v>
      </c>
      <c r="F8" s="3"/>
      <c r="G8" s="3"/>
      <c r="H8" s="3"/>
      <c r="I8" s="3"/>
    </row>
    <row r="9" spans="1:9" x14ac:dyDescent="0.35">
      <c r="A9" s="40" t="s">
        <v>43</v>
      </c>
      <c r="B9" s="40" t="s">
        <v>112</v>
      </c>
      <c r="C9" s="40">
        <v>424866</v>
      </c>
      <c r="D9" s="40" t="s">
        <v>132</v>
      </c>
      <c r="E9" s="66" t="s">
        <v>146</v>
      </c>
      <c r="F9" s="3"/>
      <c r="G9" s="3"/>
      <c r="H9" s="3"/>
      <c r="I9" s="3"/>
    </row>
    <row r="12" spans="1:9" x14ac:dyDescent="0.35">
      <c r="E12" s="65" t="str">
        <f>UPPER(E11)</f>
        <v/>
      </c>
    </row>
  </sheetData>
  <phoneticPr fontId="3" type="noConversion"/>
  <conditionalFormatting sqref="C2:C6">
    <cfRule type="duplicateValues" dxfId="5" priority="117"/>
  </conditionalFormatting>
  <conditionalFormatting sqref="C9">
    <cfRule type="duplicateValues" dxfId="4" priority="118"/>
  </conditionalFormatting>
  <conditionalFormatting sqref="D1:D2">
    <cfRule type="duplicateValues" dxfId="3" priority="37"/>
  </conditionalFormatting>
  <conditionalFormatting sqref="D8">
    <cfRule type="duplicateValues" dxfId="2" priority="10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O5"/>
  <sheetViews>
    <sheetView zoomScale="80" zoomScaleNormal="80" workbookViewId="0">
      <selection activeCell="C25" sqref="C25"/>
    </sheetView>
  </sheetViews>
  <sheetFormatPr baseColWidth="10" defaultRowHeight="14.5" x14ac:dyDescent="0.35"/>
  <cols>
    <col min="1" max="2" width="14.08984375" bestFit="1" customWidth="1"/>
    <col min="3" max="3" width="9.54296875" bestFit="1" customWidth="1"/>
    <col min="4" max="4" width="12" bestFit="1" customWidth="1"/>
    <col min="5" max="5" width="46.453125" bestFit="1" customWidth="1"/>
    <col min="6" max="6" width="23.26953125" bestFit="1" customWidth="1"/>
    <col min="7" max="7" width="19.7265625" bestFit="1" customWidth="1"/>
    <col min="8" max="8" width="14.54296875" bestFit="1" customWidth="1"/>
    <col min="9" max="9" width="12.90625" bestFit="1" customWidth="1"/>
    <col min="10" max="10" width="14.453125" bestFit="1" customWidth="1"/>
    <col min="11" max="11" width="31.08984375" bestFit="1" customWidth="1"/>
    <col min="12" max="12" width="72" bestFit="1" customWidth="1"/>
    <col min="13" max="13" width="80.7265625" bestFit="1" customWidth="1"/>
    <col min="14" max="14" width="49.7265625" bestFit="1" customWidth="1"/>
    <col min="15" max="16" width="80.7265625" bestFit="1" customWidth="1"/>
    <col min="17" max="17" width="44.6328125" bestFit="1" customWidth="1"/>
    <col min="18" max="18" width="80.7265625" bestFit="1" customWidth="1"/>
    <col min="19" max="19" width="61.54296875" bestFit="1" customWidth="1"/>
    <col min="20" max="20" width="47.26953125" bestFit="1" customWidth="1"/>
    <col min="21" max="21" width="74.08984375" bestFit="1" customWidth="1"/>
    <col min="22" max="22" width="77.453125" bestFit="1" customWidth="1"/>
    <col min="23" max="23" width="76" bestFit="1" customWidth="1"/>
    <col min="24" max="24" width="59.453125" bestFit="1" customWidth="1"/>
    <col min="25" max="28" width="80.7265625" bestFit="1" customWidth="1"/>
    <col min="29" max="29" width="38.36328125" bestFit="1" customWidth="1"/>
    <col min="30" max="30" width="80.7265625" bestFit="1" customWidth="1"/>
    <col min="31" max="31" width="80.54296875" bestFit="1" customWidth="1"/>
    <col min="32" max="32" width="80.7265625" bestFit="1" customWidth="1"/>
    <col min="33" max="33" width="68.26953125" bestFit="1" customWidth="1"/>
    <col min="34" max="34" width="67" bestFit="1" customWidth="1"/>
    <col min="35" max="37" width="80.7265625" bestFit="1" customWidth="1"/>
    <col min="38" max="38" width="44.6328125" bestFit="1" customWidth="1"/>
    <col min="39" max="39" width="57.26953125" bestFit="1" customWidth="1"/>
    <col min="40" max="40" width="48.7265625" bestFit="1" customWidth="1"/>
    <col min="41" max="41" width="64.08984375" bestFit="1" customWidth="1"/>
    <col min="42" max="42" width="67" bestFit="1" customWidth="1"/>
    <col min="43" max="45" width="80.7265625" customWidth="1"/>
    <col min="46" max="46" width="44.6328125" bestFit="1" customWidth="1"/>
    <col min="47" max="47" width="57.26953125" bestFit="1" customWidth="1"/>
    <col min="48" max="48" width="48.7265625" bestFit="1" customWidth="1"/>
    <col min="49" max="49" width="64.08984375" bestFit="1" customWidth="1"/>
    <col min="50" max="50" width="71.90625" bestFit="1" customWidth="1"/>
    <col min="51" max="51" width="68.81640625" bestFit="1" customWidth="1"/>
    <col min="52" max="52" width="80.7265625" bestFit="1" customWidth="1"/>
    <col min="53" max="53" width="70" bestFit="1" customWidth="1"/>
    <col min="54" max="54" width="68.81640625" bestFit="1" customWidth="1"/>
    <col min="55" max="56" width="80.7265625" bestFit="1" customWidth="1"/>
    <col min="57" max="57" width="75" bestFit="1" customWidth="1"/>
    <col min="58" max="59" width="80.7265625" bestFit="1" customWidth="1"/>
    <col min="60" max="60" width="71.90625" bestFit="1" customWidth="1"/>
    <col min="61" max="61" width="68.81640625" bestFit="1" customWidth="1"/>
    <col min="62" max="64" width="80.7265625" bestFit="1" customWidth="1"/>
    <col min="65" max="65" width="47.90625" bestFit="1" customWidth="1"/>
    <col min="66" max="67" width="81.1796875" customWidth="1"/>
    <col min="68" max="69" width="71.7265625" bestFit="1" customWidth="1"/>
    <col min="70" max="73" width="81.1796875" bestFit="1" customWidth="1"/>
    <col min="74" max="74" width="69" bestFit="1" customWidth="1"/>
    <col min="75" max="75" width="81.1796875" bestFit="1" customWidth="1"/>
    <col min="76" max="76" width="71.7265625" bestFit="1" customWidth="1"/>
    <col min="77" max="77" width="81.1796875" bestFit="1" customWidth="1"/>
    <col min="78" max="78" width="77.54296875" bestFit="1" customWidth="1"/>
    <col min="79" max="79" width="81.1796875" bestFit="1" customWidth="1"/>
    <col min="80" max="80" width="69" bestFit="1" customWidth="1"/>
    <col min="81" max="82" width="81.1796875" bestFit="1" customWidth="1"/>
    <col min="83" max="83" width="60.1796875" bestFit="1" customWidth="1"/>
    <col min="84" max="84" width="54.81640625" bestFit="1" customWidth="1"/>
    <col min="85" max="85" width="57.54296875" bestFit="1" customWidth="1"/>
    <col min="86" max="86" width="50.81640625" bestFit="1" customWidth="1"/>
    <col min="87" max="87" width="50.453125" bestFit="1" customWidth="1"/>
    <col min="88" max="88" width="41.54296875" bestFit="1" customWidth="1"/>
    <col min="89" max="89" width="78.54296875" bestFit="1" customWidth="1"/>
    <col min="90" max="90" width="81.1796875" bestFit="1" customWidth="1"/>
    <col min="91" max="91" width="78.26953125" bestFit="1" customWidth="1"/>
    <col min="92" max="92" width="70.453125" bestFit="1" customWidth="1"/>
    <col min="93" max="93" width="81.1796875" bestFit="1" customWidth="1"/>
    <col min="94" max="94" width="46.54296875" bestFit="1" customWidth="1"/>
    <col min="95" max="95" width="50.453125" bestFit="1" customWidth="1"/>
    <col min="96" max="96" width="25" bestFit="1" customWidth="1"/>
    <col min="97" max="97" width="38.54296875" bestFit="1" customWidth="1"/>
    <col min="98" max="98" width="37.7265625" bestFit="1" customWidth="1"/>
    <col min="99" max="99" width="33" bestFit="1" customWidth="1"/>
    <col min="100" max="100" width="24.54296875" bestFit="1" customWidth="1"/>
    <col min="101" max="101" width="38" bestFit="1" customWidth="1"/>
    <col min="102" max="102" width="81.1796875" bestFit="1" customWidth="1"/>
    <col min="103" max="103" width="62.81640625" bestFit="1" customWidth="1"/>
    <col min="104" max="104" width="36.453125" bestFit="1" customWidth="1"/>
    <col min="105" max="106" width="17.54296875" bestFit="1" customWidth="1"/>
    <col min="107" max="107" width="42.453125" bestFit="1" customWidth="1"/>
    <col min="108" max="109" width="81.1796875" bestFit="1" customWidth="1"/>
    <col min="110" max="110" width="50.81640625" bestFit="1" customWidth="1"/>
    <col min="111" max="111" width="81.1796875" bestFit="1" customWidth="1"/>
    <col min="112" max="112" width="68.54296875" bestFit="1" customWidth="1"/>
    <col min="113" max="113" width="53.26953125" bestFit="1" customWidth="1"/>
    <col min="114" max="116" width="81.1796875" bestFit="1" customWidth="1"/>
    <col min="117" max="117" width="66.7265625" bestFit="1" customWidth="1"/>
    <col min="118" max="118" width="55.81640625" bestFit="1" customWidth="1"/>
    <col min="119" max="120" width="81.1796875" bestFit="1" customWidth="1"/>
    <col min="121" max="121" width="27.453125" bestFit="1" customWidth="1"/>
    <col min="122" max="122" width="81.1796875" bestFit="1" customWidth="1"/>
    <col min="123" max="123" width="77.1796875" bestFit="1" customWidth="1"/>
    <col min="124" max="127" width="81.1796875" bestFit="1" customWidth="1"/>
    <col min="128" max="128" width="77.26953125" bestFit="1" customWidth="1"/>
    <col min="129" max="129" width="70" bestFit="1" customWidth="1"/>
    <col min="130" max="130" width="32.1796875" bestFit="1" customWidth="1"/>
    <col min="131" max="131" width="30.26953125" bestFit="1" customWidth="1"/>
    <col min="132" max="132" width="46.54296875" bestFit="1" customWidth="1"/>
    <col min="133" max="133" width="51" bestFit="1" customWidth="1"/>
    <col min="134" max="134" width="81.1796875" bestFit="1" customWidth="1"/>
    <col min="135" max="135" width="81.1796875" customWidth="1"/>
    <col min="136" max="136" width="73.1796875" bestFit="1" customWidth="1"/>
    <col min="137" max="137" width="81.1796875" bestFit="1" customWidth="1"/>
    <col min="138" max="142" width="81.1796875" customWidth="1"/>
    <col min="143" max="143" width="31.7265625" bestFit="1" customWidth="1"/>
    <col min="144" max="144" width="81.1796875" bestFit="1" customWidth="1"/>
    <col min="145" max="145" width="81.1796875" customWidth="1"/>
    <col min="146" max="146" width="10.453125" bestFit="1" customWidth="1"/>
    <col min="147" max="147" width="12.26953125" bestFit="1" customWidth="1"/>
    <col min="148" max="148" width="12.54296875" bestFit="1" customWidth="1"/>
    <col min="149" max="149" width="67.54296875" customWidth="1"/>
    <col min="150" max="154" width="80.7265625" customWidth="1"/>
    <col min="155" max="155" width="29.1796875" customWidth="1"/>
    <col min="156" max="156" width="27.26953125" customWidth="1"/>
    <col min="157" max="157" width="9.7265625" customWidth="1"/>
    <col min="158" max="158" width="11.453125" bestFit="1" customWidth="1"/>
    <col min="159" max="159" width="11.7265625" bestFit="1" customWidth="1"/>
    <col min="160" max="160" width="11.453125" bestFit="1" customWidth="1"/>
    <col min="161" max="161" width="56" bestFit="1" customWidth="1"/>
    <col min="162" max="162" width="46.1796875" bestFit="1" customWidth="1"/>
    <col min="163" max="164" width="56" bestFit="1" customWidth="1"/>
    <col min="165" max="165" width="48.26953125" bestFit="1" customWidth="1"/>
    <col min="166" max="169" width="56" bestFit="1" customWidth="1"/>
    <col min="170" max="170" width="48.81640625" bestFit="1" customWidth="1"/>
    <col min="171" max="172" width="56" bestFit="1" customWidth="1"/>
    <col min="173" max="173" width="25.26953125" bestFit="1" customWidth="1"/>
    <col min="174" max="178" width="56" bestFit="1" customWidth="1"/>
    <col min="179" max="179" width="42.453125" bestFit="1" customWidth="1"/>
    <col min="180" max="180" width="46.1796875" bestFit="1" customWidth="1"/>
    <col min="181" max="181" width="25.1796875" bestFit="1" customWidth="1"/>
    <col min="182" max="189" width="56" bestFit="1" customWidth="1"/>
    <col min="190" max="190" width="29.1796875" bestFit="1" customWidth="1"/>
    <col min="191" max="191" width="9.81640625" bestFit="1" customWidth="1"/>
    <col min="192" max="192" width="11.453125" bestFit="1" customWidth="1"/>
  </cols>
  <sheetData>
    <row r="1" spans="1:41" x14ac:dyDescent="0.3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102</v>
      </c>
      <c r="M1" t="s">
        <v>103</v>
      </c>
      <c r="N1" t="s">
        <v>88</v>
      </c>
      <c r="O1" t="s">
        <v>89</v>
      </c>
      <c r="P1" t="s">
        <v>90</v>
      </c>
      <c r="Q1" t="s">
        <v>35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124</v>
      </c>
      <c r="Z1" t="s">
        <v>125</v>
      </c>
      <c r="AA1" t="s">
        <v>98</v>
      </c>
      <c r="AB1" t="s">
        <v>99</v>
      </c>
      <c r="AC1" t="s">
        <v>101</v>
      </c>
      <c r="AD1" t="s">
        <v>121</v>
      </c>
      <c r="AE1" t="s">
        <v>152</v>
      </c>
      <c r="AF1" t="s">
        <v>123</v>
      </c>
      <c r="AG1" t="s">
        <v>138</v>
      </c>
      <c r="AH1" t="s">
        <v>139</v>
      </c>
      <c r="AI1" t="s">
        <v>153</v>
      </c>
      <c r="AJ1" t="s">
        <v>120</v>
      </c>
      <c r="AK1" t="s">
        <v>114</v>
      </c>
      <c r="AL1" t="s">
        <v>126</v>
      </c>
      <c r="AM1" t="s">
        <v>127</v>
      </c>
      <c r="AN1" t="s">
        <v>168</v>
      </c>
      <c r="AO1" t="s">
        <v>115</v>
      </c>
    </row>
    <row r="2" spans="1:41" x14ac:dyDescent="0.35">
      <c r="A2" t="s">
        <v>109</v>
      </c>
      <c r="B2" t="s">
        <v>175</v>
      </c>
      <c r="C2" t="s">
        <v>176</v>
      </c>
      <c r="D2">
        <v>440039</v>
      </c>
      <c r="E2" t="s">
        <v>178</v>
      </c>
      <c r="F2">
        <v>1</v>
      </c>
      <c r="G2" t="s">
        <v>141</v>
      </c>
      <c r="H2" s="73">
        <v>46141</v>
      </c>
      <c r="I2">
        <v>31137820</v>
      </c>
      <c r="J2" t="s">
        <v>185</v>
      </c>
      <c r="K2" t="s">
        <v>20</v>
      </c>
      <c r="L2" t="s">
        <v>186</v>
      </c>
      <c r="N2" t="s">
        <v>20</v>
      </c>
      <c r="O2" t="s">
        <v>20</v>
      </c>
      <c r="P2" t="s">
        <v>20</v>
      </c>
      <c r="Q2" t="s">
        <v>20</v>
      </c>
      <c r="R2" t="s">
        <v>186</v>
      </c>
      <c r="S2" t="s">
        <v>20</v>
      </c>
      <c r="T2" t="s">
        <v>20</v>
      </c>
      <c r="U2" t="s">
        <v>186</v>
      </c>
      <c r="V2" t="s">
        <v>186</v>
      </c>
      <c r="W2" t="s">
        <v>186</v>
      </c>
      <c r="X2" t="s">
        <v>186</v>
      </c>
      <c r="Y2" t="s">
        <v>20</v>
      </c>
      <c r="Z2" t="s">
        <v>20</v>
      </c>
      <c r="AA2" t="s">
        <v>20</v>
      </c>
      <c r="AB2" t="s">
        <v>20</v>
      </c>
      <c r="AC2" t="s">
        <v>159</v>
      </c>
      <c r="AD2" t="s">
        <v>20</v>
      </c>
      <c r="AE2" t="s">
        <v>20</v>
      </c>
      <c r="AF2" t="s">
        <v>20</v>
      </c>
      <c r="AG2" t="s">
        <v>20</v>
      </c>
      <c r="AH2" t="s">
        <v>20</v>
      </c>
      <c r="AI2" t="s">
        <v>20</v>
      </c>
    </row>
    <row r="3" spans="1:41" x14ac:dyDescent="0.35">
      <c r="A3" t="s">
        <v>109</v>
      </c>
      <c r="B3" t="s">
        <v>8</v>
      </c>
      <c r="C3" t="s">
        <v>118</v>
      </c>
      <c r="D3">
        <v>12561</v>
      </c>
      <c r="E3" t="s">
        <v>161</v>
      </c>
      <c r="F3">
        <v>1</v>
      </c>
      <c r="G3" t="s">
        <v>141</v>
      </c>
      <c r="H3" s="73">
        <v>46134</v>
      </c>
      <c r="I3">
        <v>30929835</v>
      </c>
      <c r="J3" t="s">
        <v>129</v>
      </c>
      <c r="K3" t="s">
        <v>20</v>
      </c>
      <c r="L3" t="s">
        <v>108</v>
      </c>
      <c r="N3" t="s">
        <v>20</v>
      </c>
      <c r="O3" t="s">
        <v>20</v>
      </c>
      <c r="P3" t="s">
        <v>20</v>
      </c>
      <c r="Q3" t="s">
        <v>20</v>
      </c>
      <c r="R3" t="s">
        <v>108</v>
      </c>
      <c r="S3" t="s">
        <v>20</v>
      </c>
      <c r="T3" t="s">
        <v>20</v>
      </c>
      <c r="U3" t="s">
        <v>108</v>
      </c>
      <c r="V3" t="s">
        <v>108</v>
      </c>
      <c r="W3" t="s">
        <v>108</v>
      </c>
      <c r="X3" t="s">
        <v>108</v>
      </c>
      <c r="Y3" t="s">
        <v>20</v>
      </c>
      <c r="Z3" t="s">
        <v>20</v>
      </c>
      <c r="AA3" t="s">
        <v>20</v>
      </c>
      <c r="AB3" t="s">
        <v>20</v>
      </c>
      <c r="AC3" t="s">
        <v>15</v>
      </c>
      <c r="AJ3" t="s">
        <v>20</v>
      </c>
      <c r="AK3" t="s">
        <v>20</v>
      </c>
      <c r="AL3" t="s">
        <v>20</v>
      </c>
      <c r="AM3" t="s">
        <v>167</v>
      </c>
      <c r="AN3" t="s">
        <v>20</v>
      </c>
      <c r="AO3" t="s">
        <v>20</v>
      </c>
    </row>
    <row r="4" spans="1:41" x14ac:dyDescent="0.35">
      <c r="A4" t="s">
        <v>109</v>
      </c>
      <c r="B4" t="s">
        <v>8</v>
      </c>
      <c r="C4" t="s">
        <v>118</v>
      </c>
      <c r="D4">
        <v>152046</v>
      </c>
      <c r="E4" t="s">
        <v>155</v>
      </c>
      <c r="F4">
        <v>1</v>
      </c>
      <c r="G4" t="s">
        <v>141</v>
      </c>
      <c r="H4" s="73">
        <v>46128</v>
      </c>
      <c r="I4">
        <v>30923533</v>
      </c>
      <c r="J4" t="s">
        <v>129</v>
      </c>
      <c r="K4" t="s">
        <v>20</v>
      </c>
      <c r="L4" t="s">
        <v>108</v>
      </c>
      <c r="N4" t="s">
        <v>20</v>
      </c>
      <c r="O4" t="s">
        <v>20</v>
      </c>
      <c r="P4" t="s">
        <v>20</v>
      </c>
      <c r="Q4" t="s">
        <v>20</v>
      </c>
      <c r="R4" t="s">
        <v>108</v>
      </c>
      <c r="S4" t="s">
        <v>20</v>
      </c>
      <c r="T4" t="s">
        <v>20</v>
      </c>
      <c r="U4" t="s">
        <v>108</v>
      </c>
      <c r="V4" t="s">
        <v>108</v>
      </c>
      <c r="W4" t="s">
        <v>108</v>
      </c>
      <c r="X4" t="s">
        <v>108</v>
      </c>
      <c r="Y4" t="s">
        <v>20</v>
      </c>
      <c r="Z4" t="s">
        <v>20</v>
      </c>
      <c r="AA4" t="s">
        <v>20</v>
      </c>
      <c r="AB4" t="s">
        <v>20</v>
      </c>
      <c r="AC4" t="s">
        <v>159</v>
      </c>
      <c r="AD4" t="s">
        <v>20</v>
      </c>
      <c r="AE4" t="s">
        <v>20</v>
      </c>
      <c r="AF4" t="s">
        <v>20</v>
      </c>
      <c r="AG4" t="s">
        <v>20</v>
      </c>
      <c r="AH4" t="s">
        <v>20</v>
      </c>
      <c r="AI4" t="s">
        <v>20</v>
      </c>
    </row>
    <row r="5" spans="1:41" x14ac:dyDescent="0.35">
      <c r="A5" t="s">
        <v>109</v>
      </c>
      <c r="B5" t="s">
        <v>112</v>
      </c>
      <c r="C5" t="s">
        <v>130</v>
      </c>
      <c r="D5">
        <v>424866</v>
      </c>
      <c r="E5" t="s">
        <v>132</v>
      </c>
      <c r="F5">
        <v>1</v>
      </c>
      <c r="G5" t="s">
        <v>141</v>
      </c>
      <c r="H5" s="73">
        <v>46128</v>
      </c>
      <c r="I5">
        <v>30894026</v>
      </c>
      <c r="J5" t="s">
        <v>135</v>
      </c>
      <c r="K5" t="s">
        <v>108</v>
      </c>
      <c r="L5" t="s">
        <v>20</v>
      </c>
      <c r="M5" t="s">
        <v>146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76"/>
  <sheetViews>
    <sheetView topLeftCell="H19" zoomScale="60" zoomScaleNormal="60" workbookViewId="0">
      <selection activeCell="P50" sqref="P50"/>
    </sheetView>
  </sheetViews>
  <sheetFormatPr baseColWidth="10" defaultColWidth="11.453125" defaultRowHeight="14.5" x14ac:dyDescent="0.35"/>
  <cols>
    <col min="1" max="1" width="11.81640625" customWidth="1"/>
    <col min="2" max="2" width="11.453125" customWidth="1"/>
    <col min="4" max="5" width="11.453125" customWidth="1"/>
    <col min="6" max="6" width="13.1796875" customWidth="1"/>
    <col min="7" max="7" width="11.453125" style="2" customWidth="1"/>
    <col min="8" max="8" width="11.453125" customWidth="1"/>
    <col min="9" max="9" width="13.54296875" style="31" customWidth="1"/>
    <col min="10" max="10" width="32.453125" style="2" customWidth="1"/>
    <col min="11" max="11" width="13.453125" customWidth="1"/>
    <col min="12" max="12" width="18.54296875" customWidth="1"/>
    <col min="13" max="13" width="9.1796875" style="2" customWidth="1"/>
    <col min="14" max="14" width="32.1796875" customWidth="1"/>
    <col min="15" max="15" width="98.90625" customWidth="1"/>
    <col min="16" max="16" width="30.26953125" customWidth="1"/>
    <col min="17" max="17" width="14.54296875" customWidth="1"/>
    <col min="18" max="18" width="15" customWidth="1"/>
    <col min="19" max="19" width="18.7265625" style="33" customWidth="1"/>
    <col min="20" max="20" width="18.26953125" style="2" customWidth="1"/>
    <col min="21" max="21" width="24.453125" style="2" customWidth="1"/>
    <col min="22" max="22" width="14.54296875" style="2" customWidth="1"/>
    <col min="23" max="23" width="11.453125" style="2"/>
    <col min="24" max="24" width="20" style="2" customWidth="1"/>
    <col min="25" max="25" width="20.453125" style="2" customWidth="1"/>
    <col min="26" max="26" width="18.1796875" style="2" customWidth="1"/>
    <col min="27" max="27" width="11.453125" style="2"/>
    <col min="28" max="28" width="21.54296875" style="2" customWidth="1"/>
    <col min="29" max="29" width="21.81640625" style="2" customWidth="1"/>
  </cols>
  <sheetData>
    <row r="1" spans="1:29" x14ac:dyDescent="0.3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35">
      <c r="A2" t="s">
        <v>109</v>
      </c>
      <c r="B2" t="s">
        <v>111</v>
      </c>
      <c r="C2" t="s">
        <v>112</v>
      </c>
      <c r="D2" t="s">
        <v>43</v>
      </c>
      <c r="E2" t="s">
        <v>130</v>
      </c>
      <c r="F2" t="s">
        <v>130</v>
      </c>
      <c r="G2" s="2" t="s">
        <v>112</v>
      </c>
      <c r="H2" s="31">
        <v>424866</v>
      </c>
      <c r="I2" s="31" t="s">
        <v>131</v>
      </c>
      <c r="J2" s="2" t="s">
        <v>132</v>
      </c>
      <c r="K2" t="s">
        <v>110</v>
      </c>
      <c r="L2" t="s">
        <v>133</v>
      </c>
      <c r="M2" s="2" t="s">
        <v>78</v>
      </c>
      <c r="N2" t="s">
        <v>141</v>
      </c>
      <c r="O2" t="s">
        <v>87</v>
      </c>
      <c r="P2" s="2" t="s">
        <v>108</v>
      </c>
      <c r="Q2" t="s">
        <v>64</v>
      </c>
      <c r="R2" t="s">
        <v>64</v>
      </c>
      <c r="S2" s="68" t="s">
        <v>142</v>
      </c>
      <c r="T2" t="s">
        <v>143</v>
      </c>
      <c r="U2" t="s">
        <v>144</v>
      </c>
      <c r="V2" s="2" t="s">
        <v>145</v>
      </c>
      <c r="W2" s="2" t="s">
        <v>65</v>
      </c>
      <c r="Z2" s="2" t="s">
        <v>134</v>
      </c>
      <c r="AA2" s="2" t="s">
        <v>135</v>
      </c>
      <c r="AB2" s="2" t="s">
        <v>136</v>
      </c>
      <c r="AC2" s="2" t="s">
        <v>137</v>
      </c>
    </row>
    <row r="3" spans="1:29" x14ac:dyDescent="0.35">
      <c r="A3" t="s">
        <v>109</v>
      </c>
      <c r="B3" t="s">
        <v>111</v>
      </c>
      <c r="C3" t="s">
        <v>112</v>
      </c>
      <c r="D3" t="s">
        <v>43</v>
      </c>
      <c r="E3" t="s">
        <v>130</v>
      </c>
      <c r="F3" t="s">
        <v>130</v>
      </c>
      <c r="G3" s="2" t="s">
        <v>112</v>
      </c>
      <c r="H3" s="31">
        <v>424866</v>
      </c>
      <c r="I3" s="31" t="s">
        <v>131</v>
      </c>
      <c r="J3" s="2" t="s">
        <v>132</v>
      </c>
      <c r="K3" t="s">
        <v>110</v>
      </c>
      <c r="L3" t="s">
        <v>133</v>
      </c>
      <c r="M3" s="2" t="s">
        <v>78</v>
      </c>
      <c r="N3" t="s">
        <v>141</v>
      </c>
      <c r="O3" t="s">
        <v>102</v>
      </c>
      <c r="P3" s="2" t="s">
        <v>20</v>
      </c>
      <c r="Q3" t="s">
        <v>64</v>
      </c>
      <c r="R3" t="s">
        <v>64</v>
      </c>
      <c r="S3" s="68" t="s">
        <v>142</v>
      </c>
      <c r="T3" t="s">
        <v>143</v>
      </c>
      <c r="U3" t="s">
        <v>144</v>
      </c>
      <c r="V3" s="2" t="s">
        <v>145</v>
      </c>
      <c r="W3" s="2" t="s">
        <v>65</v>
      </c>
      <c r="Z3" s="2" t="s">
        <v>134</v>
      </c>
      <c r="AA3" s="2" t="s">
        <v>135</v>
      </c>
      <c r="AB3" s="2" t="s">
        <v>136</v>
      </c>
      <c r="AC3" s="2" t="s">
        <v>137</v>
      </c>
    </row>
    <row r="4" spans="1:29" x14ac:dyDescent="0.35">
      <c r="A4" t="s">
        <v>109</v>
      </c>
      <c r="B4" t="s">
        <v>111</v>
      </c>
      <c r="C4" t="s">
        <v>112</v>
      </c>
      <c r="D4" t="s">
        <v>43</v>
      </c>
      <c r="E4" t="s">
        <v>130</v>
      </c>
      <c r="F4" t="s">
        <v>130</v>
      </c>
      <c r="G4" s="2" t="s">
        <v>112</v>
      </c>
      <c r="H4" s="31">
        <v>424866</v>
      </c>
      <c r="I4" s="31" t="s">
        <v>131</v>
      </c>
      <c r="J4" s="2" t="s">
        <v>132</v>
      </c>
      <c r="K4" t="s">
        <v>110</v>
      </c>
      <c r="L4" t="s">
        <v>133</v>
      </c>
      <c r="M4" s="2" t="s">
        <v>78</v>
      </c>
      <c r="N4" t="s">
        <v>141</v>
      </c>
      <c r="O4" t="s">
        <v>103</v>
      </c>
      <c r="P4" s="2" t="s">
        <v>146</v>
      </c>
      <c r="Q4" t="s">
        <v>64</v>
      </c>
      <c r="R4" t="s">
        <v>64</v>
      </c>
      <c r="S4" s="68" t="s">
        <v>142</v>
      </c>
      <c r="T4" t="s">
        <v>143</v>
      </c>
      <c r="U4" t="s">
        <v>144</v>
      </c>
      <c r="V4" s="2" t="s">
        <v>145</v>
      </c>
      <c r="W4" s="2" t="s">
        <v>65</v>
      </c>
      <c r="Z4" s="2" t="s">
        <v>134</v>
      </c>
      <c r="AA4" s="2" t="s">
        <v>135</v>
      </c>
      <c r="AB4" s="2" t="s">
        <v>136</v>
      </c>
      <c r="AC4" s="2" t="s">
        <v>137</v>
      </c>
    </row>
    <row r="5" spans="1:29" x14ac:dyDescent="0.35">
      <c r="A5" t="s">
        <v>109</v>
      </c>
      <c r="B5" t="s">
        <v>69</v>
      </c>
      <c r="C5" t="s">
        <v>8</v>
      </c>
      <c r="D5" t="s">
        <v>43</v>
      </c>
      <c r="E5" t="s">
        <v>118</v>
      </c>
      <c r="F5" t="s">
        <v>119</v>
      </c>
      <c r="G5" s="2" t="s">
        <v>8</v>
      </c>
      <c r="H5" s="31">
        <v>152046</v>
      </c>
      <c r="I5" s="31" t="s">
        <v>154</v>
      </c>
      <c r="J5" s="2" t="s">
        <v>155</v>
      </c>
      <c r="K5" t="s">
        <v>64</v>
      </c>
      <c r="L5" t="s">
        <v>119</v>
      </c>
      <c r="M5" s="2" t="s">
        <v>78</v>
      </c>
      <c r="N5" t="s">
        <v>141</v>
      </c>
      <c r="O5" t="s">
        <v>87</v>
      </c>
      <c r="P5" s="2" t="s">
        <v>20</v>
      </c>
      <c r="Q5" t="s">
        <v>64</v>
      </c>
      <c r="R5" t="s">
        <v>64</v>
      </c>
      <c r="S5" s="68" t="s">
        <v>142</v>
      </c>
      <c r="T5" t="s">
        <v>156</v>
      </c>
      <c r="U5" t="s">
        <v>157</v>
      </c>
      <c r="V5" s="2" t="s">
        <v>158</v>
      </c>
      <c r="W5" s="2" t="s">
        <v>65</v>
      </c>
      <c r="Z5" s="2" t="s">
        <v>128</v>
      </c>
      <c r="AA5" s="2" t="s">
        <v>129</v>
      </c>
      <c r="AB5" s="2" t="s">
        <v>66</v>
      </c>
      <c r="AC5" s="2" t="s">
        <v>67</v>
      </c>
    </row>
    <row r="6" spans="1:29" x14ac:dyDescent="0.35">
      <c r="A6" t="s">
        <v>109</v>
      </c>
      <c r="B6" t="s">
        <v>69</v>
      </c>
      <c r="C6" t="s">
        <v>8</v>
      </c>
      <c r="D6" t="s">
        <v>43</v>
      </c>
      <c r="E6" t="s">
        <v>118</v>
      </c>
      <c r="F6" t="s">
        <v>119</v>
      </c>
      <c r="G6" s="2" t="s">
        <v>8</v>
      </c>
      <c r="H6" s="31">
        <v>152046</v>
      </c>
      <c r="I6" s="31" t="s">
        <v>154</v>
      </c>
      <c r="J6" s="2" t="s">
        <v>155</v>
      </c>
      <c r="K6" t="s">
        <v>64</v>
      </c>
      <c r="L6" t="s">
        <v>119</v>
      </c>
      <c r="M6" s="2" t="s">
        <v>78</v>
      </c>
      <c r="N6" t="s">
        <v>141</v>
      </c>
      <c r="O6" t="s">
        <v>88</v>
      </c>
      <c r="P6" s="2" t="s">
        <v>20</v>
      </c>
      <c r="Q6" t="s">
        <v>64</v>
      </c>
      <c r="R6" t="s">
        <v>64</v>
      </c>
      <c r="S6" s="68" t="s">
        <v>142</v>
      </c>
      <c r="T6" t="s">
        <v>156</v>
      </c>
      <c r="U6" t="s">
        <v>157</v>
      </c>
      <c r="V6" s="2" t="s">
        <v>158</v>
      </c>
      <c r="W6" s="2" t="s">
        <v>65</v>
      </c>
      <c r="Z6" s="2" t="s">
        <v>128</v>
      </c>
      <c r="AA6" s="2" t="s">
        <v>129</v>
      </c>
      <c r="AB6" s="2" t="s">
        <v>66</v>
      </c>
      <c r="AC6" s="2" t="s">
        <v>67</v>
      </c>
    </row>
    <row r="7" spans="1:29" x14ac:dyDescent="0.35">
      <c r="A7" t="s">
        <v>109</v>
      </c>
      <c r="B7" t="s">
        <v>69</v>
      </c>
      <c r="C7" t="s">
        <v>8</v>
      </c>
      <c r="D7" t="s">
        <v>43</v>
      </c>
      <c r="E7" t="s">
        <v>118</v>
      </c>
      <c r="F7" t="s">
        <v>119</v>
      </c>
      <c r="G7" s="2" t="s">
        <v>8</v>
      </c>
      <c r="H7" s="31">
        <v>152046</v>
      </c>
      <c r="I7" s="31" t="s">
        <v>154</v>
      </c>
      <c r="J7" s="2" t="s">
        <v>155</v>
      </c>
      <c r="K7" t="s">
        <v>64</v>
      </c>
      <c r="L7" t="s">
        <v>119</v>
      </c>
      <c r="M7" s="2" t="s">
        <v>78</v>
      </c>
      <c r="N7" t="s">
        <v>141</v>
      </c>
      <c r="O7" t="s">
        <v>89</v>
      </c>
      <c r="P7" s="2" t="s">
        <v>20</v>
      </c>
      <c r="Q7" t="s">
        <v>64</v>
      </c>
      <c r="R7" t="s">
        <v>64</v>
      </c>
      <c r="S7" s="68" t="s">
        <v>142</v>
      </c>
      <c r="T7" t="s">
        <v>156</v>
      </c>
      <c r="U7" t="s">
        <v>157</v>
      </c>
      <c r="V7" s="2" t="s">
        <v>158</v>
      </c>
      <c r="W7" s="2" t="s">
        <v>65</v>
      </c>
      <c r="Z7" s="2" t="s">
        <v>128</v>
      </c>
      <c r="AA7" s="2" t="s">
        <v>129</v>
      </c>
      <c r="AB7" s="2" t="s">
        <v>66</v>
      </c>
      <c r="AC7" s="2" t="s">
        <v>67</v>
      </c>
    </row>
    <row r="8" spans="1:29" x14ac:dyDescent="0.35">
      <c r="A8" t="s">
        <v>109</v>
      </c>
      <c r="B8" t="s">
        <v>69</v>
      </c>
      <c r="C8" t="s">
        <v>8</v>
      </c>
      <c r="D8" t="s">
        <v>43</v>
      </c>
      <c r="E8" t="s">
        <v>118</v>
      </c>
      <c r="F8" t="s">
        <v>119</v>
      </c>
      <c r="G8" s="2" t="s">
        <v>8</v>
      </c>
      <c r="H8" s="31">
        <v>152046</v>
      </c>
      <c r="I8" s="31" t="s">
        <v>154</v>
      </c>
      <c r="J8" s="2" t="s">
        <v>155</v>
      </c>
      <c r="K8" t="s">
        <v>64</v>
      </c>
      <c r="L8" t="s">
        <v>119</v>
      </c>
      <c r="M8" s="2" t="s">
        <v>78</v>
      </c>
      <c r="N8" t="s">
        <v>141</v>
      </c>
      <c r="O8" t="s">
        <v>90</v>
      </c>
      <c r="P8" s="2" t="s">
        <v>20</v>
      </c>
      <c r="Q8" t="s">
        <v>64</v>
      </c>
      <c r="R8" t="s">
        <v>64</v>
      </c>
      <c r="S8" s="68" t="s">
        <v>142</v>
      </c>
      <c r="T8" t="s">
        <v>156</v>
      </c>
      <c r="U8" t="s">
        <v>157</v>
      </c>
      <c r="V8" s="2" t="s">
        <v>158</v>
      </c>
      <c r="W8" s="2" t="s">
        <v>65</v>
      </c>
      <c r="Z8" s="2" t="s">
        <v>128</v>
      </c>
      <c r="AA8" s="2" t="s">
        <v>129</v>
      </c>
      <c r="AB8" s="2" t="s">
        <v>66</v>
      </c>
      <c r="AC8" s="2" t="s">
        <v>67</v>
      </c>
    </row>
    <row r="9" spans="1:29" x14ac:dyDescent="0.35">
      <c r="A9" t="s">
        <v>109</v>
      </c>
      <c r="B9" t="s">
        <v>69</v>
      </c>
      <c r="C9" t="s">
        <v>8</v>
      </c>
      <c r="D9" t="s">
        <v>43</v>
      </c>
      <c r="E9" t="s">
        <v>118</v>
      </c>
      <c r="F9" t="s">
        <v>119</v>
      </c>
      <c r="G9" s="2" t="s">
        <v>8</v>
      </c>
      <c r="H9" s="31">
        <v>152046</v>
      </c>
      <c r="I9" s="31" t="s">
        <v>154</v>
      </c>
      <c r="J9" s="2" t="s">
        <v>155</v>
      </c>
      <c r="K9" t="s">
        <v>64</v>
      </c>
      <c r="L9" t="s">
        <v>119</v>
      </c>
      <c r="M9" s="2" t="s">
        <v>78</v>
      </c>
      <c r="N9" t="s">
        <v>141</v>
      </c>
      <c r="O9" t="s">
        <v>35</v>
      </c>
      <c r="P9" s="2" t="s">
        <v>20</v>
      </c>
      <c r="Q9" t="s">
        <v>64</v>
      </c>
      <c r="R9" t="s">
        <v>64</v>
      </c>
      <c r="S9" s="68" t="s">
        <v>142</v>
      </c>
      <c r="T9" t="s">
        <v>156</v>
      </c>
      <c r="U9" t="s">
        <v>157</v>
      </c>
      <c r="V9" s="2" t="s">
        <v>158</v>
      </c>
      <c r="W9" s="2" t="s">
        <v>65</v>
      </c>
      <c r="Z9" s="2" t="s">
        <v>128</v>
      </c>
      <c r="AA9" s="2" t="s">
        <v>129</v>
      </c>
      <c r="AB9" s="2" t="s">
        <v>66</v>
      </c>
      <c r="AC9" s="2" t="s">
        <v>67</v>
      </c>
    </row>
    <row r="10" spans="1:29" x14ac:dyDescent="0.35">
      <c r="A10" t="s">
        <v>109</v>
      </c>
      <c r="B10" t="s">
        <v>69</v>
      </c>
      <c r="C10" t="s">
        <v>8</v>
      </c>
      <c r="D10" t="s">
        <v>43</v>
      </c>
      <c r="E10" t="s">
        <v>118</v>
      </c>
      <c r="F10" t="s">
        <v>119</v>
      </c>
      <c r="G10" s="2" t="s">
        <v>8</v>
      </c>
      <c r="H10" s="31">
        <v>152046</v>
      </c>
      <c r="I10" s="31" t="s">
        <v>154</v>
      </c>
      <c r="J10" s="2" t="s">
        <v>155</v>
      </c>
      <c r="K10" t="s">
        <v>64</v>
      </c>
      <c r="L10" t="s">
        <v>119</v>
      </c>
      <c r="M10" s="2" t="s">
        <v>78</v>
      </c>
      <c r="N10" t="s">
        <v>141</v>
      </c>
      <c r="O10" t="s">
        <v>91</v>
      </c>
      <c r="P10" s="2" t="s">
        <v>108</v>
      </c>
      <c r="Q10" t="s">
        <v>64</v>
      </c>
      <c r="R10" t="s">
        <v>64</v>
      </c>
      <c r="S10" s="68" t="s">
        <v>142</v>
      </c>
      <c r="T10" t="s">
        <v>156</v>
      </c>
      <c r="U10" t="s">
        <v>157</v>
      </c>
      <c r="V10" s="2" t="s">
        <v>158</v>
      </c>
      <c r="W10" s="2" t="s">
        <v>65</v>
      </c>
      <c r="Z10" s="2" t="s">
        <v>128</v>
      </c>
      <c r="AA10" s="2" t="s">
        <v>129</v>
      </c>
      <c r="AB10" s="2" t="s">
        <v>66</v>
      </c>
      <c r="AC10" s="2" t="s">
        <v>67</v>
      </c>
    </row>
    <row r="11" spans="1:29" x14ac:dyDescent="0.35">
      <c r="A11" t="s">
        <v>109</v>
      </c>
      <c r="B11" t="s">
        <v>69</v>
      </c>
      <c r="C11" t="s">
        <v>8</v>
      </c>
      <c r="D11" t="s">
        <v>43</v>
      </c>
      <c r="E11" t="s">
        <v>118</v>
      </c>
      <c r="F11" t="s">
        <v>119</v>
      </c>
      <c r="G11" s="2" t="s">
        <v>8</v>
      </c>
      <c r="H11" s="31">
        <v>152046</v>
      </c>
      <c r="I11" s="31" t="s">
        <v>154</v>
      </c>
      <c r="J11" s="2" t="s">
        <v>155</v>
      </c>
      <c r="K11" t="s">
        <v>64</v>
      </c>
      <c r="L11" t="s">
        <v>119</v>
      </c>
      <c r="M11" s="2" t="s">
        <v>78</v>
      </c>
      <c r="N11" t="s">
        <v>141</v>
      </c>
      <c r="O11" t="s">
        <v>92</v>
      </c>
      <c r="P11" s="2" t="s">
        <v>20</v>
      </c>
      <c r="Q11" t="s">
        <v>64</v>
      </c>
      <c r="R11" t="s">
        <v>64</v>
      </c>
      <c r="S11" s="68" t="s">
        <v>142</v>
      </c>
      <c r="T11" t="s">
        <v>156</v>
      </c>
      <c r="U11" t="s">
        <v>157</v>
      </c>
      <c r="V11" s="2" t="s">
        <v>158</v>
      </c>
      <c r="W11" s="2" t="s">
        <v>65</v>
      </c>
      <c r="Z11" s="2" t="s">
        <v>128</v>
      </c>
      <c r="AA11" s="2" t="s">
        <v>129</v>
      </c>
      <c r="AB11" s="2" t="s">
        <v>66</v>
      </c>
      <c r="AC11" s="2" t="s">
        <v>67</v>
      </c>
    </row>
    <row r="12" spans="1:29" x14ac:dyDescent="0.35">
      <c r="A12" t="s">
        <v>109</v>
      </c>
      <c r="B12" t="s">
        <v>69</v>
      </c>
      <c r="C12" t="s">
        <v>8</v>
      </c>
      <c r="D12" t="s">
        <v>43</v>
      </c>
      <c r="E12" t="s">
        <v>118</v>
      </c>
      <c r="F12" t="s">
        <v>119</v>
      </c>
      <c r="G12" s="2" t="s">
        <v>8</v>
      </c>
      <c r="H12" s="31">
        <v>152046</v>
      </c>
      <c r="I12" s="31" t="s">
        <v>154</v>
      </c>
      <c r="J12" s="2" t="s">
        <v>155</v>
      </c>
      <c r="K12" t="s">
        <v>64</v>
      </c>
      <c r="L12" t="s">
        <v>119</v>
      </c>
      <c r="M12" s="2" t="s">
        <v>78</v>
      </c>
      <c r="N12" t="s">
        <v>141</v>
      </c>
      <c r="O12" t="s">
        <v>93</v>
      </c>
      <c r="P12" s="2" t="s">
        <v>20</v>
      </c>
      <c r="Q12" t="s">
        <v>64</v>
      </c>
      <c r="R12" t="s">
        <v>64</v>
      </c>
      <c r="S12" s="68" t="s">
        <v>142</v>
      </c>
      <c r="T12" t="s">
        <v>156</v>
      </c>
      <c r="U12" t="s">
        <v>157</v>
      </c>
      <c r="V12" s="2" t="s">
        <v>158</v>
      </c>
      <c r="W12" s="2" t="s">
        <v>65</v>
      </c>
      <c r="Z12" s="2" t="s">
        <v>128</v>
      </c>
      <c r="AA12" s="2" t="s">
        <v>129</v>
      </c>
      <c r="AB12" s="2" t="s">
        <v>66</v>
      </c>
      <c r="AC12" s="2" t="s">
        <v>67</v>
      </c>
    </row>
    <row r="13" spans="1:29" x14ac:dyDescent="0.35">
      <c r="A13" t="s">
        <v>109</v>
      </c>
      <c r="B13" t="s">
        <v>69</v>
      </c>
      <c r="C13" t="s">
        <v>8</v>
      </c>
      <c r="D13" t="s">
        <v>43</v>
      </c>
      <c r="E13" t="s">
        <v>118</v>
      </c>
      <c r="F13" t="s">
        <v>119</v>
      </c>
      <c r="G13" s="2" t="s">
        <v>8</v>
      </c>
      <c r="H13" s="31">
        <v>152046</v>
      </c>
      <c r="I13" s="31" t="s">
        <v>154</v>
      </c>
      <c r="J13" s="2" t="s">
        <v>155</v>
      </c>
      <c r="K13" t="s">
        <v>64</v>
      </c>
      <c r="L13" t="s">
        <v>119</v>
      </c>
      <c r="M13" s="2" t="s">
        <v>78</v>
      </c>
      <c r="N13" t="s">
        <v>141</v>
      </c>
      <c r="O13" t="s">
        <v>94</v>
      </c>
      <c r="P13" s="2" t="s">
        <v>108</v>
      </c>
      <c r="Q13" t="s">
        <v>64</v>
      </c>
      <c r="R13" t="s">
        <v>64</v>
      </c>
      <c r="S13" s="68" t="s">
        <v>142</v>
      </c>
      <c r="T13" t="s">
        <v>156</v>
      </c>
      <c r="U13" t="s">
        <v>157</v>
      </c>
      <c r="V13" s="2" t="s">
        <v>158</v>
      </c>
      <c r="W13" s="2" t="s">
        <v>65</v>
      </c>
      <c r="Z13" s="2" t="s">
        <v>128</v>
      </c>
      <c r="AA13" s="2" t="s">
        <v>129</v>
      </c>
      <c r="AB13" s="2" t="s">
        <v>66</v>
      </c>
      <c r="AC13" s="2" t="s">
        <v>67</v>
      </c>
    </row>
    <row r="14" spans="1:29" x14ac:dyDescent="0.35">
      <c r="A14" t="s">
        <v>109</v>
      </c>
      <c r="B14" t="s">
        <v>69</v>
      </c>
      <c r="C14" t="s">
        <v>8</v>
      </c>
      <c r="D14" t="s">
        <v>43</v>
      </c>
      <c r="E14" t="s">
        <v>118</v>
      </c>
      <c r="F14" t="s">
        <v>119</v>
      </c>
      <c r="G14" s="2" t="s">
        <v>8</v>
      </c>
      <c r="H14" s="31">
        <v>152046</v>
      </c>
      <c r="I14" s="31" t="s">
        <v>154</v>
      </c>
      <c r="J14" s="2" t="s">
        <v>155</v>
      </c>
      <c r="K14" t="s">
        <v>64</v>
      </c>
      <c r="L14" t="s">
        <v>119</v>
      </c>
      <c r="M14" s="2" t="s">
        <v>78</v>
      </c>
      <c r="N14" t="s">
        <v>141</v>
      </c>
      <c r="O14" t="s">
        <v>95</v>
      </c>
      <c r="P14" s="2" t="s">
        <v>108</v>
      </c>
      <c r="Q14" t="s">
        <v>64</v>
      </c>
      <c r="R14" t="s">
        <v>64</v>
      </c>
      <c r="S14" s="68" t="s">
        <v>142</v>
      </c>
      <c r="T14" t="s">
        <v>156</v>
      </c>
      <c r="U14" t="s">
        <v>157</v>
      </c>
      <c r="V14" s="2" t="s">
        <v>158</v>
      </c>
      <c r="W14" s="2" t="s">
        <v>65</v>
      </c>
      <c r="Z14" s="2" t="s">
        <v>128</v>
      </c>
      <c r="AA14" s="2" t="s">
        <v>129</v>
      </c>
      <c r="AB14" s="2" t="s">
        <v>66</v>
      </c>
      <c r="AC14" s="2" t="s">
        <v>67</v>
      </c>
    </row>
    <row r="15" spans="1:29" x14ac:dyDescent="0.35">
      <c r="A15" t="s">
        <v>109</v>
      </c>
      <c r="B15" t="s">
        <v>69</v>
      </c>
      <c r="C15" t="s">
        <v>8</v>
      </c>
      <c r="D15" t="s">
        <v>43</v>
      </c>
      <c r="E15" t="s">
        <v>118</v>
      </c>
      <c r="F15" t="s">
        <v>119</v>
      </c>
      <c r="G15" s="2" t="s">
        <v>8</v>
      </c>
      <c r="H15" s="31">
        <v>152046</v>
      </c>
      <c r="I15" s="31" t="s">
        <v>154</v>
      </c>
      <c r="J15" s="2" t="s">
        <v>155</v>
      </c>
      <c r="K15" t="s">
        <v>64</v>
      </c>
      <c r="L15" t="s">
        <v>119</v>
      </c>
      <c r="M15" s="2" t="s">
        <v>78</v>
      </c>
      <c r="N15" t="s">
        <v>141</v>
      </c>
      <c r="O15" t="s">
        <v>96</v>
      </c>
      <c r="P15" s="2" t="s">
        <v>108</v>
      </c>
      <c r="Q15" t="s">
        <v>64</v>
      </c>
      <c r="R15" t="s">
        <v>64</v>
      </c>
      <c r="S15" s="68" t="s">
        <v>142</v>
      </c>
      <c r="T15" t="s">
        <v>156</v>
      </c>
      <c r="U15" t="s">
        <v>157</v>
      </c>
      <c r="V15" s="2" t="s">
        <v>158</v>
      </c>
      <c r="W15" s="2" t="s">
        <v>65</v>
      </c>
      <c r="Z15" s="2" t="s">
        <v>128</v>
      </c>
      <c r="AA15" s="2" t="s">
        <v>129</v>
      </c>
      <c r="AB15" s="2" t="s">
        <v>66</v>
      </c>
      <c r="AC15" s="2" t="s">
        <v>67</v>
      </c>
    </row>
    <row r="16" spans="1:29" x14ac:dyDescent="0.35">
      <c r="A16" t="s">
        <v>109</v>
      </c>
      <c r="B16" t="s">
        <v>69</v>
      </c>
      <c r="C16" t="s">
        <v>8</v>
      </c>
      <c r="D16" t="s">
        <v>43</v>
      </c>
      <c r="E16" t="s">
        <v>118</v>
      </c>
      <c r="F16" t="s">
        <v>119</v>
      </c>
      <c r="G16" s="2" t="s">
        <v>8</v>
      </c>
      <c r="H16" s="31">
        <v>152046</v>
      </c>
      <c r="I16" s="31" t="s">
        <v>154</v>
      </c>
      <c r="J16" s="2" t="s">
        <v>155</v>
      </c>
      <c r="K16" t="s">
        <v>64</v>
      </c>
      <c r="L16" t="s">
        <v>119</v>
      </c>
      <c r="M16" s="2" t="s">
        <v>78</v>
      </c>
      <c r="N16" t="s">
        <v>141</v>
      </c>
      <c r="O16" t="s">
        <v>97</v>
      </c>
      <c r="P16" s="2" t="s">
        <v>108</v>
      </c>
      <c r="Q16" t="s">
        <v>64</v>
      </c>
      <c r="R16" t="s">
        <v>64</v>
      </c>
      <c r="S16" s="68" t="s">
        <v>142</v>
      </c>
      <c r="T16" t="s">
        <v>156</v>
      </c>
      <c r="U16" t="s">
        <v>157</v>
      </c>
      <c r="V16" s="2" t="s">
        <v>158</v>
      </c>
      <c r="W16" s="2" t="s">
        <v>65</v>
      </c>
      <c r="Z16" s="2" t="s">
        <v>128</v>
      </c>
      <c r="AA16" s="2" t="s">
        <v>129</v>
      </c>
      <c r="AB16" s="2" t="s">
        <v>66</v>
      </c>
      <c r="AC16" s="2" t="s">
        <v>67</v>
      </c>
    </row>
    <row r="17" spans="1:29" x14ac:dyDescent="0.35">
      <c r="A17" t="s">
        <v>109</v>
      </c>
      <c r="B17" t="s">
        <v>69</v>
      </c>
      <c r="C17" t="s">
        <v>8</v>
      </c>
      <c r="D17" t="s">
        <v>43</v>
      </c>
      <c r="E17" t="s">
        <v>118</v>
      </c>
      <c r="F17" t="s">
        <v>119</v>
      </c>
      <c r="G17" s="2" t="s">
        <v>8</v>
      </c>
      <c r="H17" s="31">
        <v>152046</v>
      </c>
      <c r="I17" s="31" t="s">
        <v>154</v>
      </c>
      <c r="J17" s="2" t="s">
        <v>155</v>
      </c>
      <c r="K17" t="s">
        <v>64</v>
      </c>
      <c r="L17" t="s">
        <v>119</v>
      </c>
      <c r="M17" s="2" t="s">
        <v>78</v>
      </c>
      <c r="N17" t="s">
        <v>141</v>
      </c>
      <c r="O17" t="s">
        <v>124</v>
      </c>
      <c r="P17" s="2" t="s">
        <v>20</v>
      </c>
      <c r="Q17" t="s">
        <v>64</v>
      </c>
      <c r="R17" t="s">
        <v>64</v>
      </c>
      <c r="S17" s="68" t="s">
        <v>142</v>
      </c>
      <c r="T17" t="s">
        <v>156</v>
      </c>
      <c r="U17" t="s">
        <v>157</v>
      </c>
      <c r="V17" s="2" t="s">
        <v>158</v>
      </c>
      <c r="W17" s="2" t="s">
        <v>65</v>
      </c>
      <c r="Z17" s="2" t="s">
        <v>128</v>
      </c>
      <c r="AA17" s="2" t="s">
        <v>129</v>
      </c>
      <c r="AB17" s="2" t="s">
        <v>66</v>
      </c>
      <c r="AC17" s="2" t="s">
        <v>67</v>
      </c>
    </row>
    <row r="18" spans="1:29" x14ac:dyDescent="0.35">
      <c r="A18" t="s">
        <v>109</v>
      </c>
      <c r="B18" t="s">
        <v>69</v>
      </c>
      <c r="C18" t="s">
        <v>8</v>
      </c>
      <c r="D18" t="s">
        <v>43</v>
      </c>
      <c r="E18" t="s">
        <v>118</v>
      </c>
      <c r="F18" t="s">
        <v>119</v>
      </c>
      <c r="G18" s="2" t="s">
        <v>8</v>
      </c>
      <c r="H18" s="31">
        <v>152046</v>
      </c>
      <c r="I18" s="31" t="s">
        <v>154</v>
      </c>
      <c r="J18" s="2" t="s">
        <v>155</v>
      </c>
      <c r="K18" t="s">
        <v>64</v>
      </c>
      <c r="L18" t="s">
        <v>119</v>
      </c>
      <c r="M18" s="2" t="s">
        <v>78</v>
      </c>
      <c r="N18" t="s">
        <v>141</v>
      </c>
      <c r="O18" t="s">
        <v>125</v>
      </c>
      <c r="P18" s="2" t="s">
        <v>20</v>
      </c>
      <c r="Q18" t="s">
        <v>64</v>
      </c>
      <c r="R18" t="s">
        <v>64</v>
      </c>
      <c r="S18" s="68" t="s">
        <v>142</v>
      </c>
      <c r="T18" t="s">
        <v>156</v>
      </c>
      <c r="U18" t="s">
        <v>157</v>
      </c>
      <c r="V18" s="2" t="s">
        <v>158</v>
      </c>
      <c r="W18" s="2" t="s">
        <v>65</v>
      </c>
      <c r="Z18" s="2" t="s">
        <v>128</v>
      </c>
      <c r="AA18" s="2" t="s">
        <v>129</v>
      </c>
      <c r="AB18" s="2" t="s">
        <v>66</v>
      </c>
      <c r="AC18" s="2" t="s">
        <v>67</v>
      </c>
    </row>
    <row r="19" spans="1:29" x14ac:dyDescent="0.35">
      <c r="A19" t="s">
        <v>109</v>
      </c>
      <c r="B19" t="s">
        <v>69</v>
      </c>
      <c r="C19" t="s">
        <v>8</v>
      </c>
      <c r="D19" t="s">
        <v>43</v>
      </c>
      <c r="E19" t="s">
        <v>118</v>
      </c>
      <c r="F19" t="s">
        <v>119</v>
      </c>
      <c r="G19" s="2" t="s">
        <v>8</v>
      </c>
      <c r="H19" s="31">
        <v>152046</v>
      </c>
      <c r="I19" s="31" t="s">
        <v>154</v>
      </c>
      <c r="J19" s="2" t="s">
        <v>155</v>
      </c>
      <c r="K19" t="s">
        <v>64</v>
      </c>
      <c r="L19" t="s">
        <v>119</v>
      </c>
      <c r="M19" s="2" t="s">
        <v>78</v>
      </c>
      <c r="N19" t="s">
        <v>141</v>
      </c>
      <c r="O19" t="s">
        <v>98</v>
      </c>
      <c r="P19" s="2" t="s">
        <v>20</v>
      </c>
      <c r="Q19" t="s">
        <v>64</v>
      </c>
      <c r="R19" t="s">
        <v>64</v>
      </c>
      <c r="S19" s="68" t="s">
        <v>142</v>
      </c>
      <c r="T19" t="s">
        <v>156</v>
      </c>
      <c r="U19" t="s">
        <v>157</v>
      </c>
      <c r="V19" s="2" t="s">
        <v>158</v>
      </c>
      <c r="W19" s="2" t="s">
        <v>65</v>
      </c>
      <c r="Z19" s="2" t="s">
        <v>128</v>
      </c>
      <c r="AA19" s="2" t="s">
        <v>129</v>
      </c>
      <c r="AB19" s="2" t="s">
        <v>66</v>
      </c>
      <c r="AC19" s="2" t="s">
        <v>67</v>
      </c>
    </row>
    <row r="20" spans="1:29" x14ac:dyDescent="0.35">
      <c r="A20" t="s">
        <v>109</v>
      </c>
      <c r="B20" t="s">
        <v>69</v>
      </c>
      <c r="C20" t="s">
        <v>8</v>
      </c>
      <c r="D20" t="s">
        <v>43</v>
      </c>
      <c r="E20" t="s">
        <v>118</v>
      </c>
      <c r="F20" t="s">
        <v>119</v>
      </c>
      <c r="G20" s="2" t="s">
        <v>8</v>
      </c>
      <c r="H20" s="31">
        <v>152046</v>
      </c>
      <c r="I20" s="31" t="s">
        <v>154</v>
      </c>
      <c r="J20" s="2" t="s">
        <v>155</v>
      </c>
      <c r="K20" t="s">
        <v>64</v>
      </c>
      <c r="L20" t="s">
        <v>119</v>
      </c>
      <c r="M20" s="2" t="s">
        <v>78</v>
      </c>
      <c r="N20" t="s">
        <v>141</v>
      </c>
      <c r="O20" t="s">
        <v>99</v>
      </c>
      <c r="P20" s="2" t="s">
        <v>20</v>
      </c>
      <c r="Q20" t="s">
        <v>64</v>
      </c>
      <c r="R20" t="s">
        <v>64</v>
      </c>
      <c r="S20" s="68" t="s">
        <v>142</v>
      </c>
      <c r="T20" t="s">
        <v>156</v>
      </c>
      <c r="U20" t="s">
        <v>157</v>
      </c>
      <c r="V20" s="2" t="s">
        <v>158</v>
      </c>
      <c r="W20" s="2" t="s">
        <v>65</v>
      </c>
      <c r="Z20" s="2" t="s">
        <v>128</v>
      </c>
      <c r="AA20" s="2" t="s">
        <v>129</v>
      </c>
      <c r="AB20" s="2" t="s">
        <v>66</v>
      </c>
      <c r="AC20" s="2" t="s">
        <v>67</v>
      </c>
    </row>
    <row r="21" spans="1:29" x14ac:dyDescent="0.35">
      <c r="A21" t="s">
        <v>109</v>
      </c>
      <c r="B21" t="s">
        <v>69</v>
      </c>
      <c r="C21" t="s">
        <v>8</v>
      </c>
      <c r="D21" t="s">
        <v>43</v>
      </c>
      <c r="E21" t="s">
        <v>118</v>
      </c>
      <c r="F21" t="s">
        <v>119</v>
      </c>
      <c r="G21" s="2" t="s">
        <v>8</v>
      </c>
      <c r="H21" s="31">
        <v>152046</v>
      </c>
      <c r="I21" s="31" t="s">
        <v>154</v>
      </c>
      <c r="J21" s="2" t="s">
        <v>155</v>
      </c>
      <c r="K21" t="s">
        <v>64</v>
      </c>
      <c r="L21" t="s">
        <v>119</v>
      </c>
      <c r="M21" s="2" t="s">
        <v>78</v>
      </c>
      <c r="N21" t="s">
        <v>141</v>
      </c>
      <c r="O21" t="s">
        <v>101</v>
      </c>
      <c r="P21" s="2" t="s">
        <v>159</v>
      </c>
      <c r="Q21" t="s">
        <v>64</v>
      </c>
      <c r="R21" t="s">
        <v>64</v>
      </c>
      <c r="S21" s="68" t="s">
        <v>142</v>
      </c>
      <c r="T21" t="s">
        <v>156</v>
      </c>
      <c r="U21" t="s">
        <v>157</v>
      </c>
      <c r="V21" s="2" t="s">
        <v>158</v>
      </c>
      <c r="W21" s="2" t="s">
        <v>65</v>
      </c>
      <c r="Z21" s="2" t="s">
        <v>128</v>
      </c>
      <c r="AA21" s="2" t="s">
        <v>129</v>
      </c>
      <c r="AB21" s="2" t="s">
        <v>66</v>
      </c>
      <c r="AC21" s="2" t="s">
        <v>67</v>
      </c>
    </row>
    <row r="22" spans="1:29" x14ac:dyDescent="0.35">
      <c r="A22" t="s">
        <v>109</v>
      </c>
      <c r="B22" t="s">
        <v>69</v>
      </c>
      <c r="C22" t="s">
        <v>8</v>
      </c>
      <c r="D22" t="s">
        <v>43</v>
      </c>
      <c r="E22" t="s">
        <v>118</v>
      </c>
      <c r="F22" t="s">
        <v>119</v>
      </c>
      <c r="G22" s="2" t="s">
        <v>8</v>
      </c>
      <c r="H22" s="31">
        <v>152046</v>
      </c>
      <c r="I22" s="31" t="s">
        <v>154</v>
      </c>
      <c r="J22" s="2" t="s">
        <v>155</v>
      </c>
      <c r="K22" t="s">
        <v>64</v>
      </c>
      <c r="L22" t="s">
        <v>119</v>
      </c>
      <c r="M22" s="2" t="s">
        <v>78</v>
      </c>
      <c r="N22" t="s">
        <v>141</v>
      </c>
      <c r="O22" t="s">
        <v>121</v>
      </c>
      <c r="P22" s="2" t="s">
        <v>20</v>
      </c>
      <c r="Q22" t="s">
        <v>64</v>
      </c>
      <c r="R22" t="s">
        <v>64</v>
      </c>
      <c r="S22" s="68" t="s">
        <v>142</v>
      </c>
      <c r="T22" t="s">
        <v>156</v>
      </c>
      <c r="U22" t="s">
        <v>157</v>
      </c>
      <c r="V22" s="2" t="s">
        <v>158</v>
      </c>
      <c r="W22" s="2" t="s">
        <v>65</v>
      </c>
      <c r="Z22" s="2" t="s">
        <v>128</v>
      </c>
      <c r="AA22" s="2" t="s">
        <v>129</v>
      </c>
      <c r="AB22" s="2" t="s">
        <v>66</v>
      </c>
      <c r="AC22" s="2" t="s">
        <v>67</v>
      </c>
    </row>
    <row r="23" spans="1:29" x14ac:dyDescent="0.35">
      <c r="A23" t="s">
        <v>109</v>
      </c>
      <c r="B23" t="s">
        <v>69</v>
      </c>
      <c r="C23" t="s">
        <v>8</v>
      </c>
      <c r="D23" t="s">
        <v>43</v>
      </c>
      <c r="E23" t="s">
        <v>118</v>
      </c>
      <c r="F23" t="s">
        <v>119</v>
      </c>
      <c r="G23" s="2" t="s">
        <v>8</v>
      </c>
      <c r="H23" s="31">
        <v>152046</v>
      </c>
      <c r="I23" s="31" t="s">
        <v>154</v>
      </c>
      <c r="J23" s="2" t="s">
        <v>155</v>
      </c>
      <c r="K23" t="s">
        <v>64</v>
      </c>
      <c r="L23" t="s">
        <v>119</v>
      </c>
      <c r="M23" s="2" t="s">
        <v>78</v>
      </c>
      <c r="N23" t="s">
        <v>141</v>
      </c>
      <c r="O23" t="s">
        <v>152</v>
      </c>
      <c r="P23" s="2" t="s">
        <v>20</v>
      </c>
      <c r="Q23" t="s">
        <v>64</v>
      </c>
      <c r="R23" t="s">
        <v>64</v>
      </c>
      <c r="S23" s="68" t="s">
        <v>142</v>
      </c>
      <c r="T23" t="s">
        <v>156</v>
      </c>
      <c r="U23" t="s">
        <v>157</v>
      </c>
      <c r="V23" s="2" t="s">
        <v>158</v>
      </c>
      <c r="W23" s="2" t="s">
        <v>65</v>
      </c>
      <c r="Z23" s="2" t="s">
        <v>128</v>
      </c>
      <c r="AA23" s="2" t="s">
        <v>129</v>
      </c>
      <c r="AB23" s="2" t="s">
        <v>66</v>
      </c>
      <c r="AC23" s="2" t="s">
        <v>67</v>
      </c>
    </row>
    <row r="24" spans="1:29" x14ac:dyDescent="0.35">
      <c r="A24" t="s">
        <v>109</v>
      </c>
      <c r="B24" t="s">
        <v>69</v>
      </c>
      <c r="C24" t="s">
        <v>8</v>
      </c>
      <c r="D24" t="s">
        <v>43</v>
      </c>
      <c r="E24" t="s">
        <v>118</v>
      </c>
      <c r="F24" t="s">
        <v>119</v>
      </c>
      <c r="G24" s="2" t="s">
        <v>8</v>
      </c>
      <c r="H24" s="31">
        <v>152046</v>
      </c>
      <c r="I24" s="31" t="s">
        <v>154</v>
      </c>
      <c r="J24" s="2" t="s">
        <v>155</v>
      </c>
      <c r="K24" t="s">
        <v>64</v>
      </c>
      <c r="L24" t="s">
        <v>119</v>
      </c>
      <c r="M24" s="2" t="s">
        <v>78</v>
      </c>
      <c r="N24" t="s">
        <v>141</v>
      </c>
      <c r="O24" t="s">
        <v>123</v>
      </c>
      <c r="P24" s="2" t="s">
        <v>20</v>
      </c>
      <c r="Q24" t="s">
        <v>64</v>
      </c>
      <c r="R24" t="s">
        <v>64</v>
      </c>
      <c r="S24" s="68" t="s">
        <v>142</v>
      </c>
      <c r="T24" t="s">
        <v>156</v>
      </c>
      <c r="U24" t="s">
        <v>157</v>
      </c>
      <c r="V24" s="2" t="s">
        <v>158</v>
      </c>
      <c r="W24" s="2" t="s">
        <v>65</v>
      </c>
      <c r="Z24" s="2" t="s">
        <v>128</v>
      </c>
      <c r="AA24" s="2" t="s">
        <v>129</v>
      </c>
      <c r="AB24" s="2" t="s">
        <v>66</v>
      </c>
      <c r="AC24" s="2" t="s">
        <v>67</v>
      </c>
    </row>
    <row r="25" spans="1:29" x14ac:dyDescent="0.35">
      <c r="A25" t="s">
        <v>109</v>
      </c>
      <c r="B25" t="s">
        <v>69</v>
      </c>
      <c r="C25" t="s">
        <v>8</v>
      </c>
      <c r="D25" t="s">
        <v>43</v>
      </c>
      <c r="E25" t="s">
        <v>118</v>
      </c>
      <c r="F25" t="s">
        <v>119</v>
      </c>
      <c r="G25" s="2" t="s">
        <v>8</v>
      </c>
      <c r="H25" s="31">
        <v>152046</v>
      </c>
      <c r="I25" s="31" t="s">
        <v>154</v>
      </c>
      <c r="J25" s="2" t="s">
        <v>155</v>
      </c>
      <c r="K25" t="s">
        <v>64</v>
      </c>
      <c r="L25" t="s">
        <v>119</v>
      </c>
      <c r="M25" s="2" t="s">
        <v>78</v>
      </c>
      <c r="N25" t="s">
        <v>141</v>
      </c>
      <c r="O25" t="s">
        <v>138</v>
      </c>
      <c r="P25" s="2" t="s">
        <v>20</v>
      </c>
      <c r="Q25" t="s">
        <v>64</v>
      </c>
      <c r="R25" t="s">
        <v>64</v>
      </c>
      <c r="S25" s="68" t="s">
        <v>142</v>
      </c>
      <c r="T25" t="s">
        <v>156</v>
      </c>
      <c r="U25" t="s">
        <v>157</v>
      </c>
      <c r="V25" s="2" t="s">
        <v>158</v>
      </c>
      <c r="W25" s="2" t="s">
        <v>65</v>
      </c>
      <c r="Z25" s="2" t="s">
        <v>128</v>
      </c>
      <c r="AA25" s="2" t="s">
        <v>129</v>
      </c>
      <c r="AB25" s="2" t="s">
        <v>66</v>
      </c>
      <c r="AC25" s="2" t="s">
        <v>67</v>
      </c>
    </row>
    <row r="26" spans="1:29" x14ac:dyDescent="0.35">
      <c r="A26" t="s">
        <v>109</v>
      </c>
      <c r="B26" t="s">
        <v>69</v>
      </c>
      <c r="C26" t="s">
        <v>8</v>
      </c>
      <c r="D26" t="s">
        <v>43</v>
      </c>
      <c r="E26" t="s">
        <v>118</v>
      </c>
      <c r="F26" t="s">
        <v>119</v>
      </c>
      <c r="G26" s="2" t="s">
        <v>8</v>
      </c>
      <c r="H26" s="31">
        <v>152046</v>
      </c>
      <c r="I26" s="31" t="s">
        <v>154</v>
      </c>
      <c r="J26" s="2" t="s">
        <v>155</v>
      </c>
      <c r="K26" t="s">
        <v>64</v>
      </c>
      <c r="L26" t="s">
        <v>119</v>
      </c>
      <c r="M26" s="2" t="s">
        <v>78</v>
      </c>
      <c r="N26" t="s">
        <v>141</v>
      </c>
      <c r="O26" t="s">
        <v>139</v>
      </c>
      <c r="P26" s="2" t="s">
        <v>20</v>
      </c>
      <c r="Q26" t="s">
        <v>64</v>
      </c>
      <c r="R26" t="s">
        <v>64</v>
      </c>
      <c r="S26" s="68" t="s">
        <v>142</v>
      </c>
      <c r="T26" t="s">
        <v>156</v>
      </c>
      <c r="U26" t="s">
        <v>157</v>
      </c>
      <c r="V26" s="2" t="s">
        <v>158</v>
      </c>
      <c r="W26" s="2" t="s">
        <v>65</v>
      </c>
      <c r="Z26" s="2" t="s">
        <v>128</v>
      </c>
      <c r="AA26" s="2" t="s">
        <v>129</v>
      </c>
      <c r="AB26" s="2" t="s">
        <v>66</v>
      </c>
      <c r="AC26" s="2" t="s">
        <v>67</v>
      </c>
    </row>
    <row r="27" spans="1:29" x14ac:dyDescent="0.35">
      <c r="A27" t="s">
        <v>109</v>
      </c>
      <c r="B27" t="s">
        <v>69</v>
      </c>
      <c r="C27" t="s">
        <v>8</v>
      </c>
      <c r="D27" t="s">
        <v>43</v>
      </c>
      <c r="E27" t="s">
        <v>118</v>
      </c>
      <c r="F27" t="s">
        <v>119</v>
      </c>
      <c r="G27" s="2" t="s">
        <v>8</v>
      </c>
      <c r="H27" s="31">
        <v>152046</v>
      </c>
      <c r="I27" s="31" t="s">
        <v>154</v>
      </c>
      <c r="J27" s="2" t="s">
        <v>155</v>
      </c>
      <c r="K27" t="s">
        <v>64</v>
      </c>
      <c r="L27" t="s">
        <v>119</v>
      </c>
      <c r="M27" s="2" t="s">
        <v>78</v>
      </c>
      <c r="N27" t="s">
        <v>141</v>
      </c>
      <c r="O27" t="s">
        <v>153</v>
      </c>
      <c r="P27" s="2" t="s">
        <v>20</v>
      </c>
      <c r="Q27" t="s">
        <v>64</v>
      </c>
      <c r="R27" t="s">
        <v>64</v>
      </c>
      <c r="S27" s="68" t="s">
        <v>142</v>
      </c>
      <c r="T27" t="s">
        <v>156</v>
      </c>
      <c r="U27" t="s">
        <v>157</v>
      </c>
      <c r="V27" s="2" t="s">
        <v>158</v>
      </c>
      <c r="W27" s="2" t="s">
        <v>65</v>
      </c>
      <c r="Z27" s="2" t="s">
        <v>128</v>
      </c>
      <c r="AA27" s="2" t="s">
        <v>129</v>
      </c>
      <c r="AB27" s="2" t="s">
        <v>66</v>
      </c>
      <c r="AC27" s="2" t="s">
        <v>67</v>
      </c>
    </row>
    <row r="28" spans="1:29" x14ac:dyDescent="0.35">
      <c r="A28" t="s">
        <v>109</v>
      </c>
      <c r="B28" t="s">
        <v>69</v>
      </c>
      <c r="C28" t="s">
        <v>8</v>
      </c>
      <c r="D28" t="s">
        <v>43</v>
      </c>
      <c r="E28" t="s">
        <v>118</v>
      </c>
      <c r="F28" t="s">
        <v>119</v>
      </c>
      <c r="G28" s="2" t="s">
        <v>8</v>
      </c>
      <c r="H28" s="31">
        <v>152046</v>
      </c>
      <c r="I28" s="31" t="s">
        <v>154</v>
      </c>
      <c r="J28" s="2" t="s">
        <v>155</v>
      </c>
      <c r="K28" t="s">
        <v>64</v>
      </c>
      <c r="L28" t="s">
        <v>119</v>
      </c>
      <c r="M28" s="2" t="s">
        <v>78</v>
      </c>
      <c r="N28" t="s">
        <v>141</v>
      </c>
      <c r="O28" t="s">
        <v>102</v>
      </c>
      <c r="P28" s="2" t="s">
        <v>108</v>
      </c>
      <c r="Q28" t="s">
        <v>64</v>
      </c>
      <c r="R28" t="s">
        <v>64</v>
      </c>
      <c r="S28" s="68" t="s">
        <v>142</v>
      </c>
      <c r="T28" t="s">
        <v>156</v>
      </c>
      <c r="U28" t="s">
        <v>157</v>
      </c>
      <c r="V28" s="2" t="s">
        <v>158</v>
      </c>
      <c r="W28" s="2" t="s">
        <v>65</v>
      </c>
      <c r="Z28" s="2" t="s">
        <v>128</v>
      </c>
      <c r="AA28" s="2" t="s">
        <v>129</v>
      </c>
      <c r="AB28" s="2" t="s">
        <v>66</v>
      </c>
      <c r="AC28" s="2" t="s">
        <v>67</v>
      </c>
    </row>
    <row r="29" spans="1:29" x14ac:dyDescent="0.35">
      <c r="A29" t="s">
        <v>109</v>
      </c>
      <c r="B29" t="s">
        <v>69</v>
      </c>
      <c r="C29" t="s">
        <v>8</v>
      </c>
      <c r="D29" t="s">
        <v>15</v>
      </c>
      <c r="E29" t="s">
        <v>118</v>
      </c>
      <c r="F29" t="s">
        <v>119</v>
      </c>
      <c r="G29" s="2" t="s">
        <v>8</v>
      </c>
      <c r="H29" s="31">
        <v>12561</v>
      </c>
      <c r="I29" s="31" t="s">
        <v>160</v>
      </c>
      <c r="J29" s="2" t="s">
        <v>161</v>
      </c>
      <c r="K29" t="s">
        <v>162</v>
      </c>
      <c r="L29" t="s">
        <v>119</v>
      </c>
      <c r="M29" s="2" t="s">
        <v>78</v>
      </c>
      <c r="N29" t="s">
        <v>141</v>
      </c>
      <c r="O29" t="s">
        <v>87</v>
      </c>
      <c r="P29" s="2" t="s">
        <v>20</v>
      </c>
      <c r="Q29" t="s">
        <v>64</v>
      </c>
      <c r="R29" t="s">
        <v>64</v>
      </c>
      <c r="S29" s="68" t="s">
        <v>163</v>
      </c>
      <c r="T29" t="s">
        <v>164</v>
      </c>
      <c r="U29" t="s">
        <v>165</v>
      </c>
      <c r="V29" s="2" t="s">
        <v>166</v>
      </c>
      <c r="W29" s="2" t="s">
        <v>65</v>
      </c>
      <c r="Z29" s="2" t="s">
        <v>128</v>
      </c>
      <c r="AA29" s="2" t="s">
        <v>129</v>
      </c>
      <c r="AB29" s="2" t="s">
        <v>66</v>
      </c>
      <c r="AC29" s="2" t="s">
        <v>67</v>
      </c>
    </row>
    <row r="30" spans="1:29" x14ac:dyDescent="0.35">
      <c r="A30" t="s">
        <v>109</v>
      </c>
      <c r="B30" t="s">
        <v>69</v>
      </c>
      <c r="C30" t="s">
        <v>8</v>
      </c>
      <c r="D30" t="s">
        <v>15</v>
      </c>
      <c r="E30" t="s">
        <v>118</v>
      </c>
      <c r="F30" t="s">
        <v>119</v>
      </c>
      <c r="G30" s="2" t="s">
        <v>8</v>
      </c>
      <c r="H30" s="31">
        <v>12561</v>
      </c>
      <c r="I30" s="31" t="s">
        <v>160</v>
      </c>
      <c r="J30" s="2" t="s">
        <v>161</v>
      </c>
      <c r="K30" t="s">
        <v>162</v>
      </c>
      <c r="L30" t="s">
        <v>119</v>
      </c>
      <c r="M30" s="2" t="s">
        <v>78</v>
      </c>
      <c r="N30" t="s">
        <v>141</v>
      </c>
      <c r="O30" t="s">
        <v>88</v>
      </c>
      <c r="P30" s="2" t="s">
        <v>20</v>
      </c>
      <c r="Q30" t="s">
        <v>64</v>
      </c>
      <c r="R30" t="s">
        <v>64</v>
      </c>
      <c r="S30" s="68" t="s">
        <v>163</v>
      </c>
      <c r="T30" t="s">
        <v>164</v>
      </c>
      <c r="U30" t="s">
        <v>165</v>
      </c>
      <c r="V30" s="2" t="s">
        <v>166</v>
      </c>
      <c r="W30" s="2" t="s">
        <v>65</v>
      </c>
      <c r="Z30" s="2" t="s">
        <v>128</v>
      </c>
      <c r="AA30" s="2" t="s">
        <v>129</v>
      </c>
      <c r="AB30" s="2" t="s">
        <v>66</v>
      </c>
      <c r="AC30" s="2" t="s">
        <v>67</v>
      </c>
    </row>
    <row r="31" spans="1:29" x14ac:dyDescent="0.35">
      <c r="A31" t="s">
        <v>109</v>
      </c>
      <c r="B31" t="s">
        <v>69</v>
      </c>
      <c r="C31" t="s">
        <v>8</v>
      </c>
      <c r="D31" t="s">
        <v>15</v>
      </c>
      <c r="E31" t="s">
        <v>118</v>
      </c>
      <c r="F31" t="s">
        <v>119</v>
      </c>
      <c r="G31" s="2" t="s">
        <v>8</v>
      </c>
      <c r="H31" s="31">
        <v>12561</v>
      </c>
      <c r="I31" s="31" t="s">
        <v>160</v>
      </c>
      <c r="J31" s="2" t="s">
        <v>161</v>
      </c>
      <c r="K31" t="s">
        <v>162</v>
      </c>
      <c r="L31" t="s">
        <v>119</v>
      </c>
      <c r="M31" s="2" t="s">
        <v>78</v>
      </c>
      <c r="N31" t="s">
        <v>141</v>
      </c>
      <c r="O31" t="s">
        <v>89</v>
      </c>
      <c r="P31" s="2" t="s">
        <v>20</v>
      </c>
      <c r="Q31" t="s">
        <v>64</v>
      </c>
      <c r="R31" t="s">
        <v>64</v>
      </c>
      <c r="S31" s="68" t="s">
        <v>163</v>
      </c>
      <c r="T31" t="s">
        <v>164</v>
      </c>
      <c r="U31" t="s">
        <v>165</v>
      </c>
      <c r="V31" s="2" t="s">
        <v>166</v>
      </c>
      <c r="W31" s="2" t="s">
        <v>65</v>
      </c>
      <c r="Z31" s="2" t="s">
        <v>128</v>
      </c>
      <c r="AA31" s="2" t="s">
        <v>129</v>
      </c>
      <c r="AB31" s="2" t="s">
        <v>66</v>
      </c>
      <c r="AC31" s="2" t="s">
        <v>67</v>
      </c>
    </row>
    <row r="32" spans="1:29" x14ac:dyDescent="0.35">
      <c r="A32" t="s">
        <v>109</v>
      </c>
      <c r="B32" t="s">
        <v>69</v>
      </c>
      <c r="C32" t="s">
        <v>8</v>
      </c>
      <c r="D32" t="s">
        <v>15</v>
      </c>
      <c r="E32" t="s">
        <v>118</v>
      </c>
      <c r="F32" t="s">
        <v>119</v>
      </c>
      <c r="G32" s="2" t="s">
        <v>8</v>
      </c>
      <c r="H32" s="31">
        <v>12561</v>
      </c>
      <c r="I32" s="31" t="s">
        <v>160</v>
      </c>
      <c r="J32" s="2" t="s">
        <v>161</v>
      </c>
      <c r="K32" t="s">
        <v>162</v>
      </c>
      <c r="L32" t="s">
        <v>119</v>
      </c>
      <c r="M32" s="2" t="s">
        <v>78</v>
      </c>
      <c r="N32" t="s">
        <v>141</v>
      </c>
      <c r="O32" t="s">
        <v>90</v>
      </c>
      <c r="P32" s="2" t="s">
        <v>20</v>
      </c>
      <c r="Q32" t="s">
        <v>64</v>
      </c>
      <c r="R32" t="s">
        <v>64</v>
      </c>
      <c r="S32" s="68" t="s">
        <v>163</v>
      </c>
      <c r="T32" t="s">
        <v>164</v>
      </c>
      <c r="U32" t="s">
        <v>165</v>
      </c>
      <c r="V32" s="2" t="s">
        <v>166</v>
      </c>
      <c r="W32" s="2" t="s">
        <v>65</v>
      </c>
      <c r="Z32" s="2" t="s">
        <v>128</v>
      </c>
      <c r="AA32" s="2" t="s">
        <v>129</v>
      </c>
      <c r="AB32" s="2" t="s">
        <v>66</v>
      </c>
      <c r="AC32" s="2" t="s">
        <v>67</v>
      </c>
    </row>
    <row r="33" spans="1:29" x14ac:dyDescent="0.35">
      <c r="A33" t="s">
        <v>109</v>
      </c>
      <c r="B33" t="s">
        <v>69</v>
      </c>
      <c r="C33" t="s">
        <v>8</v>
      </c>
      <c r="D33" t="s">
        <v>15</v>
      </c>
      <c r="E33" t="s">
        <v>118</v>
      </c>
      <c r="F33" t="s">
        <v>119</v>
      </c>
      <c r="G33" s="2" t="s">
        <v>8</v>
      </c>
      <c r="H33" s="31">
        <v>12561</v>
      </c>
      <c r="I33" s="31" t="s">
        <v>160</v>
      </c>
      <c r="J33" s="2" t="s">
        <v>161</v>
      </c>
      <c r="K33" t="s">
        <v>162</v>
      </c>
      <c r="L33" t="s">
        <v>119</v>
      </c>
      <c r="M33" s="2" t="s">
        <v>78</v>
      </c>
      <c r="N33" t="s">
        <v>141</v>
      </c>
      <c r="O33" t="s">
        <v>35</v>
      </c>
      <c r="P33" s="2" t="s">
        <v>20</v>
      </c>
      <c r="Q33" t="s">
        <v>64</v>
      </c>
      <c r="R33" t="s">
        <v>64</v>
      </c>
      <c r="S33" s="68" t="s">
        <v>163</v>
      </c>
      <c r="T33" t="s">
        <v>164</v>
      </c>
      <c r="U33" t="s">
        <v>165</v>
      </c>
      <c r="V33" s="2" t="s">
        <v>166</v>
      </c>
      <c r="W33" s="2" t="s">
        <v>65</v>
      </c>
      <c r="Z33" s="2" t="s">
        <v>128</v>
      </c>
      <c r="AA33" s="2" t="s">
        <v>129</v>
      </c>
      <c r="AB33" s="2" t="s">
        <v>66</v>
      </c>
      <c r="AC33" s="2" t="s">
        <v>67</v>
      </c>
    </row>
    <row r="34" spans="1:29" x14ac:dyDescent="0.35">
      <c r="A34" t="s">
        <v>109</v>
      </c>
      <c r="B34" t="s">
        <v>69</v>
      </c>
      <c r="C34" t="s">
        <v>8</v>
      </c>
      <c r="D34" t="s">
        <v>15</v>
      </c>
      <c r="E34" t="s">
        <v>118</v>
      </c>
      <c r="F34" t="s">
        <v>119</v>
      </c>
      <c r="G34" s="2" t="s">
        <v>8</v>
      </c>
      <c r="H34" s="31">
        <v>12561</v>
      </c>
      <c r="I34" s="31" t="s">
        <v>160</v>
      </c>
      <c r="J34" s="2" t="s">
        <v>161</v>
      </c>
      <c r="K34" t="s">
        <v>162</v>
      </c>
      <c r="L34" t="s">
        <v>119</v>
      </c>
      <c r="M34" s="2" t="s">
        <v>78</v>
      </c>
      <c r="N34" t="s">
        <v>141</v>
      </c>
      <c r="O34" t="s">
        <v>91</v>
      </c>
      <c r="P34" s="2" t="s">
        <v>108</v>
      </c>
      <c r="Q34" t="s">
        <v>64</v>
      </c>
      <c r="R34" t="s">
        <v>64</v>
      </c>
      <c r="S34" s="68" t="s">
        <v>163</v>
      </c>
      <c r="T34" t="s">
        <v>164</v>
      </c>
      <c r="U34" t="s">
        <v>165</v>
      </c>
      <c r="V34" s="2" t="s">
        <v>166</v>
      </c>
      <c r="W34" s="2" t="s">
        <v>65</v>
      </c>
      <c r="Z34" s="2" t="s">
        <v>128</v>
      </c>
      <c r="AA34" s="2" t="s">
        <v>129</v>
      </c>
      <c r="AB34" s="2" t="s">
        <v>66</v>
      </c>
      <c r="AC34" s="2" t="s">
        <v>67</v>
      </c>
    </row>
    <row r="35" spans="1:29" x14ac:dyDescent="0.35">
      <c r="A35" t="s">
        <v>109</v>
      </c>
      <c r="B35" t="s">
        <v>69</v>
      </c>
      <c r="C35" t="s">
        <v>8</v>
      </c>
      <c r="D35" t="s">
        <v>15</v>
      </c>
      <c r="E35" t="s">
        <v>118</v>
      </c>
      <c r="F35" t="s">
        <v>119</v>
      </c>
      <c r="G35" s="2" t="s">
        <v>8</v>
      </c>
      <c r="H35" s="31">
        <v>12561</v>
      </c>
      <c r="I35" s="31" t="s">
        <v>160</v>
      </c>
      <c r="J35" s="2" t="s">
        <v>161</v>
      </c>
      <c r="K35" t="s">
        <v>162</v>
      </c>
      <c r="L35" t="s">
        <v>119</v>
      </c>
      <c r="M35" s="2" t="s">
        <v>78</v>
      </c>
      <c r="N35" t="s">
        <v>141</v>
      </c>
      <c r="O35" t="s">
        <v>92</v>
      </c>
      <c r="P35" s="2" t="s">
        <v>20</v>
      </c>
      <c r="Q35" t="s">
        <v>64</v>
      </c>
      <c r="R35" t="s">
        <v>64</v>
      </c>
      <c r="S35" s="68" t="s">
        <v>163</v>
      </c>
      <c r="T35" t="s">
        <v>164</v>
      </c>
      <c r="U35" t="s">
        <v>165</v>
      </c>
      <c r="V35" s="2" t="s">
        <v>166</v>
      </c>
      <c r="W35" s="2" t="s">
        <v>65</v>
      </c>
      <c r="Z35" s="2" t="s">
        <v>128</v>
      </c>
      <c r="AA35" s="2" t="s">
        <v>129</v>
      </c>
      <c r="AB35" s="2" t="s">
        <v>66</v>
      </c>
      <c r="AC35" s="2" t="s">
        <v>67</v>
      </c>
    </row>
    <row r="36" spans="1:29" x14ac:dyDescent="0.35">
      <c r="A36" t="s">
        <v>109</v>
      </c>
      <c r="B36" t="s">
        <v>69</v>
      </c>
      <c r="C36" t="s">
        <v>8</v>
      </c>
      <c r="D36" t="s">
        <v>15</v>
      </c>
      <c r="E36" t="s">
        <v>118</v>
      </c>
      <c r="F36" t="s">
        <v>119</v>
      </c>
      <c r="G36" s="2" t="s">
        <v>8</v>
      </c>
      <c r="H36" s="31">
        <v>12561</v>
      </c>
      <c r="I36" s="31" t="s">
        <v>160</v>
      </c>
      <c r="J36" s="2" t="s">
        <v>161</v>
      </c>
      <c r="K36" t="s">
        <v>162</v>
      </c>
      <c r="L36" t="s">
        <v>119</v>
      </c>
      <c r="M36" s="2" t="s">
        <v>78</v>
      </c>
      <c r="N36" t="s">
        <v>141</v>
      </c>
      <c r="O36" t="s">
        <v>93</v>
      </c>
      <c r="P36" s="2" t="s">
        <v>20</v>
      </c>
      <c r="Q36" t="s">
        <v>64</v>
      </c>
      <c r="R36" t="s">
        <v>64</v>
      </c>
      <c r="S36" s="68" t="s">
        <v>163</v>
      </c>
      <c r="T36" t="s">
        <v>164</v>
      </c>
      <c r="U36" t="s">
        <v>165</v>
      </c>
      <c r="V36" s="2" t="s">
        <v>166</v>
      </c>
      <c r="W36" s="2" t="s">
        <v>65</v>
      </c>
      <c r="Z36" s="2" t="s">
        <v>128</v>
      </c>
      <c r="AA36" s="2" t="s">
        <v>129</v>
      </c>
      <c r="AB36" s="2" t="s">
        <v>66</v>
      </c>
      <c r="AC36" s="2" t="s">
        <v>67</v>
      </c>
    </row>
    <row r="37" spans="1:29" x14ac:dyDescent="0.35">
      <c r="A37" t="s">
        <v>109</v>
      </c>
      <c r="B37" t="s">
        <v>69</v>
      </c>
      <c r="C37" t="s">
        <v>8</v>
      </c>
      <c r="D37" t="s">
        <v>15</v>
      </c>
      <c r="E37" t="s">
        <v>118</v>
      </c>
      <c r="F37" t="s">
        <v>119</v>
      </c>
      <c r="G37" s="2" t="s">
        <v>8</v>
      </c>
      <c r="H37" s="31">
        <v>12561</v>
      </c>
      <c r="I37" s="31" t="s">
        <v>160</v>
      </c>
      <c r="J37" s="2" t="s">
        <v>161</v>
      </c>
      <c r="K37" t="s">
        <v>162</v>
      </c>
      <c r="L37" t="s">
        <v>119</v>
      </c>
      <c r="M37" s="2" t="s">
        <v>78</v>
      </c>
      <c r="N37" t="s">
        <v>141</v>
      </c>
      <c r="O37" t="s">
        <v>94</v>
      </c>
      <c r="P37" s="2" t="s">
        <v>108</v>
      </c>
      <c r="Q37" t="s">
        <v>64</v>
      </c>
      <c r="R37" t="s">
        <v>64</v>
      </c>
      <c r="S37" s="68" t="s">
        <v>163</v>
      </c>
      <c r="T37" t="s">
        <v>164</v>
      </c>
      <c r="U37" t="s">
        <v>165</v>
      </c>
      <c r="V37" s="2" t="s">
        <v>166</v>
      </c>
      <c r="W37" s="2" t="s">
        <v>65</v>
      </c>
      <c r="Z37" s="2" t="s">
        <v>128</v>
      </c>
      <c r="AA37" s="2" t="s">
        <v>129</v>
      </c>
      <c r="AB37" s="2" t="s">
        <v>66</v>
      </c>
      <c r="AC37" s="2" t="s">
        <v>67</v>
      </c>
    </row>
    <row r="38" spans="1:29" x14ac:dyDescent="0.35">
      <c r="A38" t="s">
        <v>109</v>
      </c>
      <c r="B38" t="s">
        <v>69</v>
      </c>
      <c r="C38" t="s">
        <v>8</v>
      </c>
      <c r="D38" t="s">
        <v>15</v>
      </c>
      <c r="E38" t="s">
        <v>118</v>
      </c>
      <c r="F38" t="s">
        <v>119</v>
      </c>
      <c r="G38" s="2" t="s">
        <v>8</v>
      </c>
      <c r="H38" s="31">
        <v>12561</v>
      </c>
      <c r="I38" s="31" t="s">
        <v>160</v>
      </c>
      <c r="J38" s="2" t="s">
        <v>161</v>
      </c>
      <c r="K38" t="s">
        <v>162</v>
      </c>
      <c r="L38" t="s">
        <v>119</v>
      </c>
      <c r="M38" s="2" t="s">
        <v>78</v>
      </c>
      <c r="N38" t="s">
        <v>141</v>
      </c>
      <c r="O38" t="s">
        <v>95</v>
      </c>
      <c r="P38" s="2" t="s">
        <v>108</v>
      </c>
      <c r="Q38" t="s">
        <v>64</v>
      </c>
      <c r="R38" t="s">
        <v>64</v>
      </c>
      <c r="S38" s="68" t="s">
        <v>163</v>
      </c>
      <c r="T38" t="s">
        <v>164</v>
      </c>
      <c r="U38" t="s">
        <v>165</v>
      </c>
      <c r="V38" s="2" t="s">
        <v>166</v>
      </c>
      <c r="W38" s="2" t="s">
        <v>65</v>
      </c>
      <c r="Z38" s="2" t="s">
        <v>128</v>
      </c>
      <c r="AA38" s="2" t="s">
        <v>129</v>
      </c>
      <c r="AB38" s="2" t="s">
        <v>66</v>
      </c>
      <c r="AC38" s="2" t="s">
        <v>67</v>
      </c>
    </row>
    <row r="39" spans="1:29" x14ac:dyDescent="0.35">
      <c r="A39" t="s">
        <v>109</v>
      </c>
      <c r="B39" t="s">
        <v>69</v>
      </c>
      <c r="C39" t="s">
        <v>8</v>
      </c>
      <c r="D39" t="s">
        <v>15</v>
      </c>
      <c r="E39" t="s">
        <v>118</v>
      </c>
      <c r="F39" t="s">
        <v>119</v>
      </c>
      <c r="G39" s="2" t="s">
        <v>8</v>
      </c>
      <c r="H39" s="31">
        <v>12561</v>
      </c>
      <c r="I39" s="31" t="s">
        <v>160</v>
      </c>
      <c r="J39" s="2" t="s">
        <v>161</v>
      </c>
      <c r="K39" t="s">
        <v>162</v>
      </c>
      <c r="L39" t="s">
        <v>119</v>
      </c>
      <c r="M39" s="2" t="s">
        <v>78</v>
      </c>
      <c r="N39" t="s">
        <v>141</v>
      </c>
      <c r="O39" t="s">
        <v>96</v>
      </c>
      <c r="P39" s="2" t="s">
        <v>108</v>
      </c>
      <c r="Q39" t="s">
        <v>64</v>
      </c>
      <c r="R39" t="s">
        <v>64</v>
      </c>
      <c r="S39" s="68" t="s">
        <v>163</v>
      </c>
      <c r="T39" t="s">
        <v>164</v>
      </c>
      <c r="U39" t="s">
        <v>165</v>
      </c>
      <c r="V39" s="2" t="s">
        <v>166</v>
      </c>
      <c r="W39" s="2" t="s">
        <v>65</v>
      </c>
      <c r="Z39" s="2" t="s">
        <v>128</v>
      </c>
      <c r="AA39" s="2" t="s">
        <v>129</v>
      </c>
      <c r="AB39" s="2" t="s">
        <v>66</v>
      </c>
      <c r="AC39" s="2" t="s">
        <v>67</v>
      </c>
    </row>
    <row r="40" spans="1:29" x14ac:dyDescent="0.35">
      <c r="A40" t="s">
        <v>109</v>
      </c>
      <c r="B40" t="s">
        <v>69</v>
      </c>
      <c r="C40" t="s">
        <v>8</v>
      </c>
      <c r="D40" t="s">
        <v>15</v>
      </c>
      <c r="E40" t="s">
        <v>118</v>
      </c>
      <c r="F40" t="s">
        <v>119</v>
      </c>
      <c r="G40" s="2" t="s">
        <v>8</v>
      </c>
      <c r="H40" s="31">
        <v>12561</v>
      </c>
      <c r="I40" s="31" t="s">
        <v>160</v>
      </c>
      <c r="J40" s="2" t="s">
        <v>161</v>
      </c>
      <c r="K40" t="s">
        <v>162</v>
      </c>
      <c r="L40" t="s">
        <v>119</v>
      </c>
      <c r="M40" s="2" t="s">
        <v>78</v>
      </c>
      <c r="N40" t="s">
        <v>141</v>
      </c>
      <c r="O40" t="s">
        <v>97</v>
      </c>
      <c r="P40" s="2" t="s">
        <v>108</v>
      </c>
      <c r="Q40" t="s">
        <v>64</v>
      </c>
      <c r="R40" t="s">
        <v>64</v>
      </c>
      <c r="S40" s="68" t="s">
        <v>163</v>
      </c>
      <c r="T40" t="s">
        <v>164</v>
      </c>
      <c r="U40" t="s">
        <v>165</v>
      </c>
      <c r="V40" s="2" t="s">
        <v>166</v>
      </c>
      <c r="W40" s="2" t="s">
        <v>65</v>
      </c>
      <c r="Z40" s="2" t="s">
        <v>128</v>
      </c>
      <c r="AA40" s="2" t="s">
        <v>129</v>
      </c>
      <c r="AB40" s="2" t="s">
        <v>66</v>
      </c>
      <c r="AC40" s="2" t="s">
        <v>67</v>
      </c>
    </row>
    <row r="41" spans="1:29" x14ac:dyDescent="0.35">
      <c r="A41" t="s">
        <v>109</v>
      </c>
      <c r="B41" t="s">
        <v>69</v>
      </c>
      <c r="C41" t="s">
        <v>8</v>
      </c>
      <c r="D41" t="s">
        <v>15</v>
      </c>
      <c r="E41" t="s">
        <v>118</v>
      </c>
      <c r="F41" t="s">
        <v>119</v>
      </c>
      <c r="G41" s="2" t="s">
        <v>8</v>
      </c>
      <c r="H41" s="31">
        <v>12561</v>
      </c>
      <c r="I41" s="31" t="s">
        <v>160</v>
      </c>
      <c r="J41" s="2" t="s">
        <v>161</v>
      </c>
      <c r="K41" t="s">
        <v>162</v>
      </c>
      <c r="L41" t="s">
        <v>119</v>
      </c>
      <c r="M41" s="2" t="s">
        <v>78</v>
      </c>
      <c r="N41" t="s">
        <v>141</v>
      </c>
      <c r="O41" t="s">
        <v>124</v>
      </c>
      <c r="P41" s="2" t="s">
        <v>20</v>
      </c>
      <c r="Q41" t="s">
        <v>64</v>
      </c>
      <c r="R41" t="s">
        <v>64</v>
      </c>
      <c r="S41" s="68" t="s">
        <v>163</v>
      </c>
      <c r="T41" t="s">
        <v>164</v>
      </c>
      <c r="U41" t="s">
        <v>165</v>
      </c>
      <c r="V41" s="2" t="s">
        <v>166</v>
      </c>
      <c r="W41" s="2" t="s">
        <v>65</v>
      </c>
      <c r="Z41" s="2" t="s">
        <v>128</v>
      </c>
      <c r="AA41" s="2" t="s">
        <v>129</v>
      </c>
      <c r="AB41" s="2" t="s">
        <v>66</v>
      </c>
      <c r="AC41" s="2" t="s">
        <v>67</v>
      </c>
    </row>
    <row r="42" spans="1:29" x14ac:dyDescent="0.35">
      <c r="A42" t="s">
        <v>109</v>
      </c>
      <c r="B42" t="s">
        <v>69</v>
      </c>
      <c r="C42" t="s">
        <v>8</v>
      </c>
      <c r="D42" t="s">
        <v>15</v>
      </c>
      <c r="E42" t="s">
        <v>118</v>
      </c>
      <c r="F42" t="s">
        <v>119</v>
      </c>
      <c r="G42" s="2" t="s">
        <v>8</v>
      </c>
      <c r="H42" s="31">
        <v>12561</v>
      </c>
      <c r="I42" s="31" t="s">
        <v>160</v>
      </c>
      <c r="J42" s="2" t="s">
        <v>161</v>
      </c>
      <c r="K42" t="s">
        <v>162</v>
      </c>
      <c r="L42" t="s">
        <v>119</v>
      </c>
      <c r="M42" s="2" t="s">
        <v>78</v>
      </c>
      <c r="N42" t="s">
        <v>141</v>
      </c>
      <c r="O42" t="s">
        <v>125</v>
      </c>
      <c r="P42" s="2" t="s">
        <v>20</v>
      </c>
      <c r="Q42" t="s">
        <v>64</v>
      </c>
      <c r="R42" t="s">
        <v>64</v>
      </c>
      <c r="S42" s="68" t="s">
        <v>163</v>
      </c>
      <c r="T42" t="s">
        <v>164</v>
      </c>
      <c r="U42" t="s">
        <v>165</v>
      </c>
      <c r="V42" s="2" t="s">
        <v>166</v>
      </c>
      <c r="W42" s="2" t="s">
        <v>65</v>
      </c>
      <c r="Z42" s="2" t="s">
        <v>128</v>
      </c>
      <c r="AA42" s="2" t="s">
        <v>129</v>
      </c>
      <c r="AB42" s="2" t="s">
        <v>66</v>
      </c>
      <c r="AC42" s="2" t="s">
        <v>67</v>
      </c>
    </row>
    <row r="43" spans="1:29" x14ac:dyDescent="0.35">
      <c r="A43" t="s">
        <v>109</v>
      </c>
      <c r="B43" t="s">
        <v>69</v>
      </c>
      <c r="C43" t="s">
        <v>8</v>
      </c>
      <c r="D43" t="s">
        <v>15</v>
      </c>
      <c r="E43" t="s">
        <v>118</v>
      </c>
      <c r="F43" t="s">
        <v>119</v>
      </c>
      <c r="G43" s="2" t="s">
        <v>8</v>
      </c>
      <c r="H43" s="31">
        <v>12561</v>
      </c>
      <c r="I43" s="31" t="s">
        <v>160</v>
      </c>
      <c r="J43" s="2" t="s">
        <v>161</v>
      </c>
      <c r="K43" t="s">
        <v>162</v>
      </c>
      <c r="L43" t="s">
        <v>119</v>
      </c>
      <c r="M43" s="2" t="s">
        <v>78</v>
      </c>
      <c r="N43" t="s">
        <v>141</v>
      </c>
      <c r="O43" t="s">
        <v>98</v>
      </c>
      <c r="P43" s="2" t="s">
        <v>20</v>
      </c>
      <c r="Q43" t="s">
        <v>64</v>
      </c>
      <c r="R43" t="s">
        <v>64</v>
      </c>
      <c r="S43" s="68" t="s">
        <v>163</v>
      </c>
      <c r="T43" t="s">
        <v>164</v>
      </c>
      <c r="U43" t="s">
        <v>165</v>
      </c>
      <c r="V43" s="2" t="s">
        <v>166</v>
      </c>
      <c r="W43" s="2" t="s">
        <v>65</v>
      </c>
      <c r="Z43" s="2" t="s">
        <v>128</v>
      </c>
      <c r="AA43" s="2" t="s">
        <v>129</v>
      </c>
      <c r="AB43" s="2" t="s">
        <v>66</v>
      </c>
      <c r="AC43" s="2" t="s">
        <v>67</v>
      </c>
    </row>
    <row r="44" spans="1:29" x14ac:dyDescent="0.35">
      <c r="A44" t="s">
        <v>109</v>
      </c>
      <c r="B44" t="s">
        <v>69</v>
      </c>
      <c r="C44" t="s">
        <v>8</v>
      </c>
      <c r="D44" t="s">
        <v>15</v>
      </c>
      <c r="E44" t="s">
        <v>118</v>
      </c>
      <c r="F44" t="s">
        <v>119</v>
      </c>
      <c r="G44" s="2" t="s">
        <v>8</v>
      </c>
      <c r="H44" s="31">
        <v>12561</v>
      </c>
      <c r="I44" s="31" t="s">
        <v>160</v>
      </c>
      <c r="J44" s="2" t="s">
        <v>161</v>
      </c>
      <c r="K44" t="s">
        <v>162</v>
      </c>
      <c r="L44" t="s">
        <v>119</v>
      </c>
      <c r="M44" s="2" t="s">
        <v>78</v>
      </c>
      <c r="N44" t="s">
        <v>141</v>
      </c>
      <c r="O44" t="s">
        <v>99</v>
      </c>
      <c r="P44" s="2" t="s">
        <v>20</v>
      </c>
      <c r="Q44" t="s">
        <v>64</v>
      </c>
      <c r="R44" t="s">
        <v>64</v>
      </c>
      <c r="S44" s="68" t="s">
        <v>163</v>
      </c>
      <c r="T44" t="s">
        <v>164</v>
      </c>
      <c r="U44" t="s">
        <v>165</v>
      </c>
      <c r="V44" s="2" t="s">
        <v>166</v>
      </c>
      <c r="W44" s="2" t="s">
        <v>65</v>
      </c>
      <c r="Z44" s="2" t="s">
        <v>128</v>
      </c>
      <c r="AA44" s="2" t="s">
        <v>129</v>
      </c>
      <c r="AB44" s="2" t="s">
        <v>66</v>
      </c>
      <c r="AC44" s="2" t="s">
        <v>67</v>
      </c>
    </row>
    <row r="45" spans="1:29" x14ac:dyDescent="0.35">
      <c r="A45" t="s">
        <v>109</v>
      </c>
      <c r="B45" t="s">
        <v>69</v>
      </c>
      <c r="C45" t="s">
        <v>8</v>
      </c>
      <c r="D45" t="s">
        <v>15</v>
      </c>
      <c r="E45" t="s">
        <v>118</v>
      </c>
      <c r="F45" t="s">
        <v>119</v>
      </c>
      <c r="G45" s="2" t="s">
        <v>8</v>
      </c>
      <c r="H45" s="31">
        <v>12561</v>
      </c>
      <c r="I45" s="31" t="s">
        <v>160</v>
      </c>
      <c r="J45" s="2" t="s">
        <v>161</v>
      </c>
      <c r="K45" t="s">
        <v>162</v>
      </c>
      <c r="L45" t="s">
        <v>119</v>
      </c>
      <c r="M45" s="2" t="s">
        <v>78</v>
      </c>
      <c r="N45" t="s">
        <v>141</v>
      </c>
      <c r="O45" t="s">
        <v>101</v>
      </c>
      <c r="P45" s="2" t="s">
        <v>15</v>
      </c>
      <c r="Q45" t="s">
        <v>64</v>
      </c>
      <c r="R45" t="s">
        <v>64</v>
      </c>
      <c r="S45" s="68" t="s">
        <v>163</v>
      </c>
      <c r="T45" t="s">
        <v>164</v>
      </c>
      <c r="U45" t="s">
        <v>165</v>
      </c>
      <c r="V45" s="2" t="s">
        <v>166</v>
      </c>
      <c r="W45" s="2" t="s">
        <v>65</v>
      </c>
      <c r="Z45" s="2" t="s">
        <v>128</v>
      </c>
      <c r="AA45" s="2" t="s">
        <v>129</v>
      </c>
      <c r="AB45" s="2" t="s">
        <v>66</v>
      </c>
      <c r="AC45" s="2" t="s">
        <v>67</v>
      </c>
    </row>
    <row r="46" spans="1:29" x14ac:dyDescent="0.35">
      <c r="A46" t="s">
        <v>109</v>
      </c>
      <c r="B46" t="s">
        <v>69</v>
      </c>
      <c r="C46" t="s">
        <v>8</v>
      </c>
      <c r="D46" t="s">
        <v>15</v>
      </c>
      <c r="E46" t="s">
        <v>118</v>
      </c>
      <c r="F46" t="s">
        <v>119</v>
      </c>
      <c r="G46" s="2" t="s">
        <v>8</v>
      </c>
      <c r="H46" s="31">
        <v>12561</v>
      </c>
      <c r="I46" s="31" t="s">
        <v>160</v>
      </c>
      <c r="J46" s="2" t="s">
        <v>161</v>
      </c>
      <c r="K46" t="s">
        <v>162</v>
      </c>
      <c r="L46" t="s">
        <v>119</v>
      </c>
      <c r="M46" s="2" t="s">
        <v>78</v>
      </c>
      <c r="N46" t="s">
        <v>141</v>
      </c>
      <c r="O46" t="s">
        <v>120</v>
      </c>
      <c r="P46" s="2" t="s">
        <v>20</v>
      </c>
      <c r="Q46" t="s">
        <v>64</v>
      </c>
      <c r="R46" t="s">
        <v>64</v>
      </c>
      <c r="S46" s="68" t="s">
        <v>163</v>
      </c>
      <c r="T46" t="s">
        <v>164</v>
      </c>
      <c r="U46" t="s">
        <v>165</v>
      </c>
      <c r="V46" s="2" t="s">
        <v>166</v>
      </c>
      <c r="W46" s="2" t="s">
        <v>65</v>
      </c>
      <c r="Z46" s="2" t="s">
        <v>128</v>
      </c>
      <c r="AA46" s="2" t="s">
        <v>129</v>
      </c>
      <c r="AB46" s="2" t="s">
        <v>66</v>
      </c>
      <c r="AC46" s="2" t="s">
        <v>67</v>
      </c>
    </row>
    <row r="47" spans="1:29" x14ac:dyDescent="0.35">
      <c r="A47" t="s">
        <v>109</v>
      </c>
      <c r="B47" t="s">
        <v>69</v>
      </c>
      <c r="C47" t="s">
        <v>8</v>
      </c>
      <c r="D47" t="s">
        <v>15</v>
      </c>
      <c r="E47" t="s">
        <v>118</v>
      </c>
      <c r="F47" t="s">
        <v>119</v>
      </c>
      <c r="G47" s="2" t="s">
        <v>8</v>
      </c>
      <c r="H47" s="31">
        <v>12561</v>
      </c>
      <c r="I47" s="31" t="s">
        <v>160</v>
      </c>
      <c r="J47" s="2" t="s">
        <v>161</v>
      </c>
      <c r="K47" t="s">
        <v>162</v>
      </c>
      <c r="L47" t="s">
        <v>119</v>
      </c>
      <c r="M47" s="2" t="s">
        <v>78</v>
      </c>
      <c r="N47" t="s">
        <v>141</v>
      </c>
      <c r="O47" t="s">
        <v>114</v>
      </c>
      <c r="P47" s="2" t="s">
        <v>20</v>
      </c>
      <c r="Q47" t="s">
        <v>64</v>
      </c>
      <c r="R47" t="s">
        <v>64</v>
      </c>
      <c r="S47" s="68" t="s">
        <v>163</v>
      </c>
      <c r="T47" t="s">
        <v>164</v>
      </c>
      <c r="U47" t="s">
        <v>165</v>
      </c>
      <c r="V47" s="2" t="s">
        <v>166</v>
      </c>
      <c r="W47" s="2" t="s">
        <v>65</v>
      </c>
      <c r="Z47" s="2" t="s">
        <v>128</v>
      </c>
      <c r="AA47" s="2" t="s">
        <v>129</v>
      </c>
      <c r="AB47" s="2" t="s">
        <v>66</v>
      </c>
      <c r="AC47" s="2" t="s">
        <v>67</v>
      </c>
    </row>
    <row r="48" spans="1:29" x14ac:dyDescent="0.35">
      <c r="A48" t="s">
        <v>109</v>
      </c>
      <c r="B48" t="s">
        <v>69</v>
      </c>
      <c r="C48" t="s">
        <v>8</v>
      </c>
      <c r="D48" t="s">
        <v>15</v>
      </c>
      <c r="E48" t="s">
        <v>118</v>
      </c>
      <c r="F48" t="s">
        <v>119</v>
      </c>
      <c r="G48" s="2" t="s">
        <v>8</v>
      </c>
      <c r="H48" s="31">
        <v>12561</v>
      </c>
      <c r="I48" s="31" t="s">
        <v>160</v>
      </c>
      <c r="J48" s="2" t="s">
        <v>161</v>
      </c>
      <c r="K48" t="s">
        <v>162</v>
      </c>
      <c r="L48" t="s">
        <v>119</v>
      </c>
      <c r="M48" s="2" t="s">
        <v>78</v>
      </c>
      <c r="N48" t="s">
        <v>141</v>
      </c>
      <c r="O48" t="s">
        <v>126</v>
      </c>
      <c r="P48" s="2" t="s">
        <v>20</v>
      </c>
      <c r="Q48" t="s">
        <v>64</v>
      </c>
      <c r="R48" t="s">
        <v>64</v>
      </c>
      <c r="S48" s="68" t="s">
        <v>163</v>
      </c>
      <c r="T48" t="s">
        <v>164</v>
      </c>
      <c r="U48" t="s">
        <v>165</v>
      </c>
      <c r="V48" s="2" t="s">
        <v>166</v>
      </c>
      <c r="W48" s="2" t="s">
        <v>65</v>
      </c>
      <c r="Z48" s="2" t="s">
        <v>128</v>
      </c>
      <c r="AA48" s="2" t="s">
        <v>129</v>
      </c>
      <c r="AB48" s="2" t="s">
        <v>66</v>
      </c>
      <c r="AC48" s="2" t="s">
        <v>67</v>
      </c>
    </row>
    <row r="49" spans="1:29" x14ac:dyDescent="0.35">
      <c r="A49" t="s">
        <v>109</v>
      </c>
      <c r="B49" t="s">
        <v>69</v>
      </c>
      <c r="C49" t="s">
        <v>8</v>
      </c>
      <c r="D49" t="s">
        <v>15</v>
      </c>
      <c r="E49" t="s">
        <v>118</v>
      </c>
      <c r="F49" t="s">
        <v>119</v>
      </c>
      <c r="G49" s="2" t="s">
        <v>8</v>
      </c>
      <c r="H49" s="31">
        <v>12561</v>
      </c>
      <c r="I49" s="31" t="s">
        <v>160</v>
      </c>
      <c r="J49" s="2" t="s">
        <v>161</v>
      </c>
      <c r="K49" t="s">
        <v>162</v>
      </c>
      <c r="L49" t="s">
        <v>119</v>
      </c>
      <c r="M49" s="2" t="s">
        <v>78</v>
      </c>
      <c r="N49" t="s">
        <v>141</v>
      </c>
      <c r="O49" t="s">
        <v>127</v>
      </c>
      <c r="P49" s="2" t="s">
        <v>167</v>
      </c>
      <c r="Q49" t="s">
        <v>64</v>
      </c>
      <c r="R49" t="s">
        <v>64</v>
      </c>
      <c r="S49" s="68" t="s">
        <v>163</v>
      </c>
      <c r="T49" t="s">
        <v>164</v>
      </c>
      <c r="U49" t="s">
        <v>165</v>
      </c>
      <c r="V49" s="2" t="s">
        <v>166</v>
      </c>
      <c r="W49" s="2" t="s">
        <v>65</v>
      </c>
      <c r="Z49" s="2" t="s">
        <v>128</v>
      </c>
      <c r="AA49" s="2" t="s">
        <v>129</v>
      </c>
      <c r="AB49" s="2" t="s">
        <v>66</v>
      </c>
      <c r="AC49" s="2" t="s">
        <v>67</v>
      </c>
    </row>
    <row r="50" spans="1:29" x14ac:dyDescent="0.35">
      <c r="A50" t="s">
        <v>109</v>
      </c>
      <c r="B50" t="s">
        <v>69</v>
      </c>
      <c r="C50" t="s">
        <v>8</v>
      </c>
      <c r="D50" t="s">
        <v>15</v>
      </c>
      <c r="E50" t="s">
        <v>118</v>
      </c>
      <c r="F50" t="s">
        <v>119</v>
      </c>
      <c r="G50" s="2" t="s">
        <v>8</v>
      </c>
      <c r="H50" s="31">
        <v>12561</v>
      </c>
      <c r="I50" s="31" t="s">
        <v>160</v>
      </c>
      <c r="J50" s="2" t="s">
        <v>161</v>
      </c>
      <c r="K50" t="s">
        <v>162</v>
      </c>
      <c r="L50" t="s">
        <v>119</v>
      </c>
      <c r="M50" s="2" t="s">
        <v>78</v>
      </c>
      <c r="N50" t="s">
        <v>141</v>
      </c>
      <c r="O50" t="s">
        <v>168</v>
      </c>
      <c r="P50" s="2" t="s">
        <v>20</v>
      </c>
      <c r="Q50" t="s">
        <v>64</v>
      </c>
      <c r="R50" t="s">
        <v>64</v>
      </c>
      <c r="S50" s="68" t="s">
        <v>163</v>
      </c>
      <c r="T50" t="s">
        <v>164</v>
      </c>
      <c r="U50" t="s">
        <v>165</v>
      </c>
      <c r="V50" s="2" t="s">
        <v>166</v>
      </c>
      <c r="W50" s="2" t="s">
        <v>65</v>
      </c>
      <c r="Z50" s="2" t="s">
        <v>128</v>
      </c>
      <c r="AA50" s="2" t="s">
        <v>129</v>
      </c>
      <c r="AB50" s="2" t="s">
        <v>66</v>
      </c>
      <c r="AC50" s="2" t="s">
        <v>67</v>
      </c>
    </row>
    <row r="51" spans="1:29" x14ac:dyDescent="0.35">
      <c r="A51" t="s">
        <v>109</v>
      </c>
      <c r="B51" t="s">
        <v>69</v>
      </c>
      <c r="C51" t="s">
        <v>8</v>
      </c>
      <c r="D51" t="s">
        <v>15</v>
      </c>
      <c r="E51" t="s">
        <v>118</v>
      </c>
      <c r="F51" t="s">
        <v>119</v>
      </c>
      <c r="G51" s="2" t="s">
        <v>8</v>
      </c>
      <c r="H51" s="31">
        <v>12561</v>
      </c>
      <c r="I51" s="31" t="s">
        <v>160</v>
      </c>
      <c r="J51" s="2" t="s">
        <v>161</v>
      </c>
      <c r="K51" t="s">
        <v>162</v>
      </c>
      <c r="L51" t="s">
        <v>119</v>
      </c>
      <c r="M51" s="2" t="s">
        <v>78</v>
      </c>
      <c r="N51" t="s">
        <v>141</v>
      </c>
      <c r="O51" t="s">
        <v>115</v>
      </c>
      <c r="P51" s="2" t="s">
        <v>20</v>
      </c>
      <c r="Q51" t="s">
        <v>64</v>
      </c>
      <c r="R51" t="s">
        <v>64</v>
      </c>
      <c r="S51" s="68" t="s">
        <v>163</v>
      </c>
      <c r="T51" t="s">
        <v>164</v>
      </c>
      <c r="U51" t="s">
        <v>165</v>
      </c>
      <c r="V51" s="2" t="s">
        <v>166</v>
      </c>
      <c r="W51" s="2" t="s">
        <v>65</v>
      </c>
      <c r="Z51" s="2" t="s">
        <v>128</v>
      </c>
      <c r="AA51" s="2" t="s">
        <v>129</v>
      </c>
      <c r="AB51" s="2" t="s">
        <v>66</v>
      </c>
      <c r="AC51" s="2" t="s">
        <v>67</v>
      </c>
    </row>
    <row r="52" spans="1:29" x14ac:dyDescent="0.35">
      <c r="A52" t="s">
        <v>109</v>
      </c>
      <c r="B52" t="s">
        <v>69</v>
      </c>
      <c r="C52" t="s">
        <v>8</v>
      </c>
      <c r="D52" t="s">
        <v>15</v>
      </c>
      <c r="E52" t="s">
        <v>118</v>
      </c>
      <c r="F52" t="s">
        <v>119</v>
      </c>
      <c r="G52" s="2" t="s">
        <v>8</v>
      </c>
      <c r="H52" s="31">
        <v>12561</v>
      </c>
      <c r="I52" s="31" t="s">
        <v>160</v>
      </c>
      <c r="J52" s="2" t="s">
        <v>161</v>
      </c>
      <c r="K52" t="s">
        <v>162</v>
      </c>
      <c r="L52" t="s">
        <v>119</v>
      </c>
      <c r="M52" s="2" t="s">
        <v>78</v>
      </c>
      <c r="N52" t="s">
        <v>141</v>
      </c>
      <c r="O52" t="s">
        <v>102</v>
      </c>
      <c r="P52" s="2" t="s">
        <v>108</v>
      </c>
      <c r="Q52" t="s">
        <v>64</v>
      </c>
      <c r="R52" t="s">
        <v>64</v>
      </c>
      <c r="S52" s="68" t="s">
        <v>163</v>
      </c>
      <c r="T52" t="s">
        <v>164</v>
      </c>
      <c r="U52" t="s">
        <v>165</v>
      </c>
      <c r="V52" s="2" t="s">
        <v>166</v>
      </c>
      <c r="W52" s="2" t="s">
        <v>65</v>
      </c>
      <c r="Z52" s="2" t="s">
        <v>128</v>
      </c>
      <c r="AA52" s="2" t="s">
        <v>129</v>
      </c>
      <c r="AB52" s="2" t="s">
        <v>66</v>
      </c>
      <c r="AC52" s="2" t="s">
        <v>67</v>
      </c>
    </row>
    <row r="53" spans="1:29" x14ac:dyDescent="0.35">
      <c r="A53" t="s">
        <v>109</v>
      </c>
      <c r="B53" t="s">
        <v>174</v>
      </c>
      <c r="C53" t="s">
        <v>175</v>
      </c>
      <c r="D53" t="s">
        <v>43</v>
      </c>
      <c r="E53" t="s">
        <v>176</v>
      </c>
      <c r="F53" t="s">
        <v>15</v>
      </c>
      <c r="G53" s="2" t="s">
        <v>174</v>
      </c>
      <c r="H53">
        <v>440039</v>
      </c>
      <c r="I53" s="31" t="s">
        <v>177</v>
      </c>
      <c r="J53" s="2" t="s">
        <v>178</v>
      </c>
      <c r="K53" t="s">
        <v>110</v>
      </c>
      <c r="L53" t="s">
        <v>179</v>
      </c>
      <c r="M53" s="2" t="s">
        <v>78</v>
      </c>
      <c r="N53" t="s">
        <v>141</v>
      </c>
      <c r="O53" t="s">
        <v>87</v>
      </c>
      <c r="P53" s="2" t="s">
        <v>20</v>
      </c>
      <c r="Q53" t="s">
        <v>64</v>
      </c>
      <c r="R53" t="s">
        <v>64</v>
      </c>
      <c r="S53" s="68" t="s">
        <v>180</v>
      </c>
      <c r="T53" t="s">
        <v>181</v>
      </c>
      <c r="U53" t="s">
        <v>182</v>
      </c>
      <c r="V53" s="2" t="s">
        <v>183</v>
      </c>
      <c r="W53" s="2" t="s">
        <v>65</v>
      </c>
      <c r="Z53" s="2" t="s">
        <v>184</v>
      </c>
      <c r="AA53" s="2" t="s">
        <v>185</v>
      </c>
      <c r="AB53" s="2" t="s">
        <v>66</v>
      </c>
      <c r="AC53" s="2" t="s">
        <v>67</v>
      </c>
    </row>
    <row r="54" spans="1:29" x14ac:dyDescent="0.35">
      <c r="A54" t="s">
        <v>109</v>
      </c>
      <c r="B54" t="s">
        <v>174</v>
      </c>
      <c r="C54" t="s">
        <v>175</v>
      </c>
      <c r="D54" t="s">
        <v>43</v>
      </c>
      <c r="E54" t="s">
        <v>176</v>
      </c>
      <c r="F54" t="s">
        <v>15</v>
      </c>
      <c r="G54" s="2" t="s">
        <v>174</v>
      </c>
      <c r="H54">
        <v>440039</v>
      </c>
      <c r="I54" s="31" t="s">
        <v>177</v>
      </c>
      <c r="J54" s="2" t="s">
        <v>178</v>
      </c>
      <c r="K54" t="s">
        <v>110</v>
      </c>
      <c r="L54" t="s">
        <v>179</v>
      </c>
      <c r="M54" s="2" t="s">
        <v>78</v>
      </c>
      <c r="N54" t="s">
        <v>141</v>
      </c>
      <c r="O54" t="s">
        <v>88</v>
      </c>
      <c r="P54" s="2" t="s">
        <v>20</v>
      </c>
      <c r="Q54" t="s">
        <v>64</v>
      </c>
      <c r="R54" t="s">
        <v>64</v>
      </c>
      <c r="S54" s="68" t="s">
        <v>180</v>
      </c>
      <c r="T54" t="s">
        <v>181</v>
      </c>
      <c r="U54" t="s">
        <v>182</v>
      </c>
      <c r="V54" s="2" t="s">
        <v>183</v>
      </c>
      <c r="W54" s="2" t="s">
        <v>65</v>
      </c>
      <c r="Z54" s="2" t="s">
        <v>184</v>
      </c>
      <c r="AA54" s="2" t="s">
        <v>185</v>
      </c>
      <c r="AB54" s="2" t="s">
        <v>66</v>
      </c>
      <c r="AC54" s="2" t="s">
        <v>67</v>
      </c>
    </row>
    <row r="55" spans="1:29" x14ac:dyDescent="0.35">
      <c r="A55" t="s">
        <v>109</v>
      </c>
      <c r="B55" t="s">
        <v>174</v>
      </c>
      <c r="C55" t="s">
        <v>175</v>
      </c>
      <c r="D55" t="s">
        <v>43</v>
      </c>
      <c r="E55" t="s">
        <v>176</v>
      </c>
      <c r="F55" t="s">
        <v>15</v>
      </c>
      <c r="G55" s="2" t="s">
        <v>174</v>
      </c>
      <c r="H55">
        <v>440039</v>
      </c>
      <c r="I55" s="31" t="s">
        <v>177</v>
      </c>
      <c r="J55" s="2" t="s">
        <v>178</v>
      </c>
      <c r="K55" t="s">
        <v>110</v>
      </c>
      <c r="L55" t="s">
        <v>179</v>
      </c>
      <c r="M55" s="2" t="s">
        <v>78</v>
      </c>
      <c r="N55" t="s">
        <v>141</v>
      </c>
      <c r="O55" t="s">
        <v>89</v>
      </c>
      <c r="P55" s="2" t="s">
        <v>20</v>
      </c>
      <c r="Q55" t="s">
        <v>64</v>
      </c>
      <c r="R55" t="s">
        <v>64</v>
      </c>
      <c r="S55" s="68" t="s">
        <v>180</v>
      </c>
      <c r="T55" t="s">
        <v>181</v>
      </c>
      <c r="U55" t="s">
        <v>182</v>
      </c>
      <c r="V55" s="2" t="s">
        <v>183</v>
      </c>
      <c r="W55" s="2" t="s">
        <v>65</v>
      </c>
      <c r="Z55" s="2" t="s">
        <v>184</v>
      </c>
      <c r="AA55" s="2" t="s">
        <v>185</v>
      </c>
      <c r="AB55" s="2" t="s">
        <v>66</v>
      </c>
      <c r="AC55" s="2" t="s">
        <v>67</v>
      </c>
    </row>
    <row r="56" spans="1:29" x14ac:dyDescent="0.35">
      <c r="A56" t="s">
        <v>109</v>
      </c>
      <c r="B56" t="s">
        <v>174</v>
      </c>
      <c r="C56" t="s">
        <v>175</v>
      </c>
      <c r="D56" t="s">
        <v>43</v>
      </c>
      <c r="E56" t="s">
        <v>176</v>
      </c>
      <c r="F56" t="s">
        <v>15</v>
      </c>
      <c r="G56" s="2" t="s">
        <v>174</v>
      </c>
      <c r="H56">
        <v>440039</v>
      </c>
      <c r="I56" s="31" t="s">
        <v>177</v>
      </c>
      <c r="J56" s="2" t="s">
        <v>178</v>
      </c>
      <c r="K56" t="s">
        <v>110</v>
      </c>
      <c r="L56" t="s">
        <v>179</v>
      </c>
      <c r="M56" s="2" t="s">
        <v>78</v>
      </c>
      <c r="N56" t="s">
        <v>141</v>
      </c>
      <c r="O56" t="s">
        <v>90</v>
      </c>
      <c r="P56" s="2" t="s">
        <v>20</v>
      </c>
      <c r="Q56" t="s">
        <v>64</v>
      </c>
      <c r="R56" t="s">
        <v>64</v>
      </c>
      <c r="S56" s="68" t="s">
        <v>180</v>
      </c>
      <c r="T56" t="s">
        <v>181</v>
      </c>
      <c r="U56" t="s">
        <v>182</v>
      </c>
      <c r="V56" s="2" t="s">
        <v>183</v>
      </c>
      <c r="W56" s="2" t="s">
        <v>65</v>
      </c>
      <c r="Z56" s="2" t="s">
        <v>184</v>
      </c>
      <c r="AA56" s="2" t="s">
        <v>185</v>
      </c>
      <c r="AB56" s="2" t="s">
        <v>66</v>
      </c>
      <c r="AC56" s="2" t="s">
        <v>67</v>
      </c>
    </row>
    <row r="57" spans="1:29" x14ac:dyDescent="0.35">
      <c r="A57" t="s">
        <v>109</v>
      </c>
      <c r="B57" t="s">
        <v>174</v>
      </c>
      <c r="C57" t="s">
        <v>175</v>
      </c>
      <c r="D57" t="s">
        <v>43</v>
      </c>
      <c r="E57" t="s">
        <v>176</v>
      </c>
      <c r="F57" t="s">
        <v>15</v>
      </c>
      <c r="G57" s="2" t="s">
        <v>174</v>
      </c>
      <c r="H57">
        <v>440039</v>
      </c>
      <c r="I57" s="31" t="s">
        <v>177</v>
      </c>
      <c r="J57" s="2" t="s">
        <v>178</v>
      </c>
      <c r="K57" t="s">
        <v>110</v>
      </c>
      <c r="L57" t="s">
        <v>179</v>
      </c>
      <c r="M57" s="2" t="s">
        <v>78</v>
      </c>
      <c r="N57" t="s">
        <v>141</v>
      </c>
      <c r="O57" t="s">
        <v>35</v>
      </c>
      <c r="P57" s="2" t="s">
        <v>20</v>
      </c>
      <c r="Q57" t="s">
        <v>64</v>
      </c>
      <c r="R57" t="s">
        <v>64</v>
      </c>
      <c r="S57" s="68" t="s">
        <v>180</v>
      </c>
      <c r="T57" t="s">
        <v>181</v>
      </c>
      <c r="U57" t="s">
        <v>182</v>
      </c>
      <c r="V57" s="2" t="s">
        <v>183</v>
      </c>
      <c r="W57" s="2" t="s">
        <v>65</v>
      </c>
      <c r="Z57" s="2" t="s">
        <v>184</v>
      </c>
      <c r="AA57" s="2" t="s">
        <v>185</v>
      </c>
      <c r="AB57" s="2" t="s">
        <v>66</v>
      </c>
      <c r="AC57" s="2" t="s">
        <v>67</v>
      </c>
    </row>
    <row r="58" spans="1:29" x14ac:dyDescent="0.35">
      <c r="A58" t="s">
        <v>109</v>
      </c>
      <c r="B58" t="s">
        <v>174</v>
      </c>
      <c r="C58" t="s">
        <v>175</v>
      </c>
      <c r="D58" t="s">
        <v>43</v>
      </c>
      <c r="E58" t="s">
        <v>176</v>
      </c>
      <c r="F58" t="s">
        <v>15</v>
      </c>
      <c r="G58" s="2" t="s">
        <v>174</v>
      </c>
      <c r="H58">
        <v>440039</v>
      </c>
      <c r="I58" s="31" t="s">
        <v>177</v>
      </c>
      <c r="J58" s="2" t="s">
        <v>178</v>
      </c>
      <c r="K58" t="s">
        <v>110</v>
      </c>
      <c r="L58" t="s">
        <v>179</v>
      </c>
      <c r="M58" s="2" t="s">
        <v>78</v>
      </c>
      <c r="N58" t="s">
        <v>141</v>
      </c>
      <c r="O58" t="s">
        <v>91</v>
      </c>
      <c r="P58" s="2" t="s">
        <v>186</v>
      </c>
      <c r="Q58" t="s">
        <v>64</v>
      </c>
      <c r="R58" t="s">
        <v>64</v>
      </c>
      <c r="S58" s="68" t="s">
        <v>180</v>
      </c>
      <c r="T58" t="s">
        <v>181</v>
      </c>
      <c r="U58" t="s">
        <v>182</v>
      </c>
      <c r="V58" s="2" t="s">
        <v>183</v>
      </c>
      <c r="W58" s="2" t="s">
        <v>65</v>
      </c>
      <c r="Z58" s="2" t="s">
        <v>184</v>
      </c>
      <c r="AA58" s="2" t="s">
        <v>185</v>
      </c>
      <c r="AB58" s="2" t="s">
        <v>66</v>
      </c>
      <c r="AC58" s="2" t="s">
        <v>67</v>
      </c>
    </row>
    <row r="59" spans="1:29" x14ac:dyDescent="0.35">
      <c r="A59" t="s">
        <v>109</v>
      </c>
      <c r="B59" t="s">
        <v>174</v>
      </c>
      <c r="C59" t="s">
        <v>175</v>
      </c>
      <c r="D59" t="s">
        <v>43</v>
      </c>
      <c r="E59" t="s">
        <v>176</v>
      </c>
      <c r="F59" t="s">
        <v>15</v>
      </c>
      <c r="G59" s="2" t="s">
        <v>174</v>
      </c>
      <c r="H59">
        <v>440039</v>
      </c>
      <c r="I59" s="31" t="s">
        <v>177</v>
      </c>
      <c r="J59" s="2" t="s">
        <v>178</v>
      </c>
      <c r="K59" t="s">
        <v>110</v>
      </c>
      <c r="L59" t="s">
        <v>179</v>
      </c>
      <c r="M59" s="2" t="s">
        <v>78</v>
      </c>
      <c r="N59" t="s">
        <v>141</v>
      </c>
      <c r="O59" t="s">
        <v>92</v>
      </c>
      <c r="P59" s="2" t="s">
        <v>20</v>
      </c>
      <c r="Q59" t="s">
        <v>64</v>
      </c>
      <c r="R59" t="s">
        <v>64</v>
      </c>
      <c r="S59" s="68" t="s">
        <v>180</v>
      </c>
      <c r="T59" t="s">
        <v>181</v>
      </c>
      <c r="U59" t="s">
        <v>182</v>
      </c>
      <c r="V59" s="2" t="s">
        <v>183</v>
      </c>
      <c r="W59" s="2" t="s">
        <v>65</v>
      </c>
      <c r="Z59" s="2" t="s">
        <v>184</v>
      </c>
      <c r="AA59" s="2" t="s">
        <v>185</v>
      </c>
      <c r="AB59" s="2" t="s">
        <v>66</v>
      </c>
      <c r="AC59" s="2" t="s">
        <v>67</v>
      </c>
    </row>
    <row r="60" spans="1:29" x14ac:dyDescent="0.35">
      <c r="A60" t="s">
        <v>109</v>
      </c>
      <c r="B60" t="s">
        <v>174</v>
      </c>
      <c r="C60" t="s">
        <v>175</v>
      </c>
      <c r="D60" t="s">
        <v>43</v>
      </c>
      <c r="E60" t="s">
        <v>176</v>
      </c>
      <c r="F60" t="s">
        <v>15</v>
      </c>
      <c r="G60" s="2" t="s">
        <v>174</v>
      </c>
      <c r="H60">
        <v>440039</v>
      </c>
      <c r="I60" s="31" t="s">
        <v>177</v>
      </c>
      <c r="J60" s="2" t="s">
        <v>178</v>
      </c>
      <c r="K60" t="s">
        <v>110</v>
      </c>
      <c r="L60" t="s">
        <v>179</v>
      </c>
      <c r="M60" s="2" t="s">
        <v>78</v>
      </c>
      <c r="N60" t="s">
        <v>141</v>
      </c>
      <c r="O60" t="s">
        <v>93</v>
      </c>
      <c r="P60" s="2" t="s">
        <v>20</v>
      </c>
      <c r="Q60" t="s">
        <v>64</v>
      </c>
      <c r="R60" t="s">
        <v>64</v>
      </c>
      <c r="S60" s="68" t="s">
        <v>180</v>
      </c>
      <c r="T60" t="s">
        <v>181</v>
      </c>
      <c r="U60" t="s">
        <v>182</v>
      </c>
      <c r="V60" s="2" t="s">
        <v>183</v>
      </c>
      <c r="W60" s="2" t="s">
        <v>65</v>
      </c>
      <c r="Z60" s="2" t="s">
        <v>184</v>
      </c>
      <c r="AA60" s="2" t="s">
        <v>185</v>
      </c>
      <c r="AB60" s="2" t="s">
        <v>66</v>
      </c>
      <c r="AC60" s="2" t="s">
        <v>67</v>
      </c>
    </row>
    <row r="61" spans="1:29" x14ac:dyDescent="0.35">
      <c r="A61" t="s">
        <v>109</v>
      </c>
      <c r="B61" t="s">
        <v>174</v>
      </c>
      <c r="C61" t="s">
        <v>175</v>
      </c>
      <c r="D61" t="s">
        <v>43</v>
      </c>
      <c r="E61" t="s">
        <v>176</v>
      </c>
      <c r="F61" t="s">
        <v>15</v>
      </c>
      <c r="G61" s="2" t="s">
        <v>174</v>
      </c>
      <c r="H61">
        <v>440039</v>
      </c>
      <c r="I61" s="31" t="s">
        <v>177</v>
      </c>
      <c r="J61" s="2" t="s">
        <v>178</v>
      </c>
      <c r="K61" t="s">
        <v>110</v>
      </c>
      <c r="L61" t="s">
        <v>179</v>
      </c>
      <c r="M61" s="2" t="s">
        <v>78</v>
      </c>
      <c r="N61" t="s">
        <v>141</v>
      </c>
      <c r="O61" t="s">
        <v>94</v>
      </c>
      <c r="P61" s="2" t="s">
        <v>186</v>
      </c>
      <c r="Q61" t="s">
        <v>64</v>
      </c>
      <c r="R61" t="s">
        <v>64</v>
      </c>
      <c r="S61" s="68" t="s">
        <v>180</v>
      </c>
      <c r="T61" t="s">
        <v>181</v>
      </c>
      <c r="U61" t="s">
        <v>182</v>
      </c>
      <c r="V61" s="2" t="s">
        <v>183</v>
      </c>
      <c r="W61" s="2" t="s">
        <v>65</v>
      </c>
      <c r="Z61" s="2" t="s">
        <v>184</v>
      </c>
      <c r="AA61" s="2" t="s">
        <v>185</v>
      </c>
      <c r="AB61" s="2" t="s">
        <v>66</v>
      </c>
      <c r="AC61" s="2" t="s">
        <v>67</v>
      </c>
    </row>
    <row r="62" spans="1:29" x14ac:dyDescent="0.35">
      <c r="A62" t="s">
        <v>109</v>
      </c>
      <c r="B62" t="s">
        <v>174</v>
      </c>
      <c r="C62" t="s">
        <v>175</v>
      </c>
      <c r="D62" t="s">
        <v>43</v>
      </c>
      <c r="E62" t="s">
        <v>176</v>
      </c>
      <c r="F62" t="s">
        <v>15</v>
      </c>
      <c r="G62" s="2" t="s">
        <v>174</v>
      </c>
      <c r="H62">
        <v>440039</v>
      </c>
      <c r="I62" s="31" t="s">
        <v>177</v>
      </c>
      <c r="J62" s="2" t="s">
        <v>178</v>
      </c>
      <c r="K62" t="s">
        <v>110</v>
      </c>
      <c r="L62" t="s">
        <v>179</v>
      </c>
      <c r="M62" s="2" t="s">
        <v>78</v>
      </c>
      <c r="N62" t="s">
        <v>141</v>
      </c>
      <c r="O62" t="s">
        <v>95</v>
      </c>
      <c r="P62" s="2" t="s">
        <v>186</v>
      </c>
      <c r="Q62" t="s">
        <v>64</v>
      </c>
      <c r="R62" t="s">
        <v>64</v>
      </c>
      <c r="S62" s="68" t="s">
        <v>180</v>
      </c>
      <c r="T62" t="s">
        <v>181</v>
      </c>
      <c r="U62" t="s">
        <v>182</v>
      </c>
      <c r="V62" s="2" t="s">
        <v>183</v>
      </c>
      <c r="W62" s="2" t="s">
        <v>65</v>
      </c>
      <c r="Z62" s="2" t="s">
        <v>184</v>
      </c>
      <c r="AA62" s="2" t="s">
        <v>185</v>
      </c>
      <c r="AB62" s="2" t="s">
        <v>66</v>
      </c>
      <c r="AC62" s="2" t="s">
        <v>67</v>
      </c>
    </row>
    <row r="63" spans="1:29" x14ac:dyDescent="0.35">
      <c r="A63" t="s">
        <v>109</v>
      </c>
      <c r="B63" t="s">
        <v>174</v>
      </c>
      <c r="C63" t="s">
        <v>175</v>
      </c>
      <c r="D63" t="s">
        <v>43</v>
      </c>
      <c r="E63" t="s">
        <v>176</v>
      </c>
      <c r="F63" t="s">
        <v>15</v>
      </c>
      <c r="G63" s="2" t="s">
        <v>174</v>
      </c>
      <c r="H63">
        <v>440039</v>
      </c>
      <c r="I63" s="31" t="s">
        <v>177</v>
      </c>
      <c r="J63" s="2" t="s">
        <v>178</v>
      </c>
      <c r="K63" t="s">
        <v>110</v>
      </c>
      <c r="L63" t="s">
        <v>179</v>
      </c>
      <c r="M63" s="2" t="s">
        <v>78</v>
      </c>
      <c r="N63" t="s">
        <v>141</v>
      </c>
      <c r="O63" t="s">
        <v>96</v>
      </c>
      <c r="P63" s="2" t="s">
        <v>186</v>
      </c>
      <c r="Q63" t="s">
        <v>64</v>
      </c>
      <c r="R63" t="s">
        <v>64</v>
      </c>
      <c r="S63" s="68" t="s">
        <v>180</v>
      </c>
      <c r="T63" t="s">
        <v>181</v>
      </c>
      <c r="U63" t="s">
        <v>182</v>
      </c>
      <c r="V63" s="2" t="s">
        <v>183</v>
      </c>
      <c r="W63" s="2" t="s">
        <v>65</v>
      </c>
      <c r="Z63" s="2" t="s">
        <v>184</v>
      </c>
      <c r="AA63" s="2" t="s">
        <v>185</v>
      </c>
      <c r="AB63" s="2" t="s">
        <v>66</v>
      </c>
      <c r="AC63" s="2" t="s">
        <v>67</v>
      </c>
    </row>
    <row r="64" spans="1:29" x14ac:dyDescent="0.35">
      <c r="A64" t="s">
        <v>109</v>
      </c>
      <c r="B64" t="s">
        <v>174</v>
      </c>
      <c r="C64" t="s">
        <v>175</v>
      </c>
      <c r="D64" t="s">
        <v>43</v>
      </c>
      <c r="E64" t="s">
        <v>176</v>
      </c>
      <c r="F64" t="s">
        <v>15</v>
      </c>
      <c r="G64" s="2" t="s">
        <v>174</v>
      </c>
      <c r="H64">
        <v>440039</v>
      </c>
      <c r="I64" s="31" t="s">
        <v>177</v>
      </c>
      <c r="J64" s="2" t="s">
        <v>178</v>
      </c>
      <c r="K64" t="s">
        <v>110</v>
      </c>
      <c r="L64" t="s">
        <v>179</v>
      </c>
      <c r="M64" s="2" t="s">
        <v>78</v>
      </c>
      <c r="N64" t="s">
        <v>141</v>
      </c>
      <c r="O64" t="s">
        <v>97</v>
      </c>
      <c r="P64" s="2" t="s">
        <v>186</v>
      </c>
      <c r="Q64" t="s">
        <v>64</v>
      </c>
      <c r="R64" t="s">
        <v>64</v>
      </c>
      <c r="S64" s="68" t="s">
        <v>180</v>
      </c>
      <c r="T64" t="s">
        <v>181</v>
      </c>
      <c r="U64" t="s">
        <v>182</v>
      </c>
      <c r="V64" s="2" t="s">
        <v>183</v>
      </c>
      <c r="W64" s="2" t="s">
        <v>65</v>
      </c>
      <c r="Z64" s="2" t="s">
        <v>184</v>
      </c>
      <c r="AA64" s="2" t="s">
        <v>185</v>
      </c>
      <c r="AB64" s="2" t="s">
        <v>66</v>
      </c>
      <c r="AC64" s="2" t="s">
        <v>67</v>
      </c>
    </row>
    <row r="65" spans="1:29" x14ac:dyDescent="0.35">
      <c r="A65" t="s">
        <v>109</v>
      </c>
      <c r="B65" t="s">
        <v>174</v>
      </c>
      <c r="C65" t="s">
        <v>175</v>
      </c>
      <c r="D65" t="s">
        <v>43</v>
      </c>
      <c r="E65" t="s">
        <v>176</v>
      </c>
      <c r="F65" t="s">
        <v>15</v>
      </c>
      <c r="G65" s="2" t="s">
        <v>174</v>
      </c>
      <c r="H65">
        <v>440039</v>
      </c>
      <c r="I65" s="31" t="s">
        <v>177</v>
      </c>
      <c r="J65" s="2" t="s">
        <v>178</v>
      </c>
      <c r="K65" t="s">
        <v>110</v>
      </c>
      <c r="L65" t="s">
        <v>179</v>
      </c>
      <c r="M65" s="2" t="s">
        <v>78</v>
      </c>
      <c r="N65" t="s">
        <v>141</v>
      </c>
      <c r="O65" t="s">
        <v>124</v>
      </c>
      <c r="P65" s="2" t="s">
        <v>20</v>
      </c>
      <c r="Q65" t="s">
        <v>64</v>
      </c>
      <c r="R65" t="s">
        <v>64</v>
      </c>
      <c r="S65" s="68" t="s">
        <v>180</v>
      </c>
      <c r="T65" t="s">
        <v>181</v>
      </c>
      <c r="U65" t="s">
        <v>182</v>
      </c>
      <c r="V65" s="2" t="s">
        <v>183</v>
      </c>
      <c r="W65" s="2" t="s">
        <v>65</v>
      </c>
      <c r="Z65" s="2" t="s">
        <v>184</v>
      </c>
      <c r="AA65" s="2" t="s">
        <v>185</v>
      </c>
      <c r="AB65" s="2" t="s">
        <v>66</v>
      </c>
      <c r="AC65" s="2" t="s">
        <v>67</v>
      </c>
    </row>
    <row r="66" spans="1:29" x14ac:dyDescent="0.35">
      <c r="A66" t="s">
        <v>109</v>
      </c>
      <c r="B66" t="s">
        <v>174</v>
      </c>
      <c r="C66" t="s">
        <v>175</v>
      </c>
      <c r="D66" t="s">
        <v>43</v>
      </c>
      <c r="E66" t="s">
        <v>176</v>
      </c>
      <c r="F66" t="s">
        <v>15</v>
      </c>
      <c r="G66" s="2" t="s">
        <v>174</v>
      </c>
      <c r="H66">
        <v>440039</v>
      </c>
      <c r="I66" s="31" t="s">
        <v>177</v>
      </c>
      <c r="J66" s="2" t="s">
        <v>178</v>
      </c>
      <c r="K66" t="s">
        <v>110</v>
      </c>
      <c r="L66" t="s">
        <v>179</v>
      </c>
      <c r="M66" s="2" t="s">
        <v>78</v>
      </c>
      <c r="N66" t="s">
        <v>141</v>
      </c>
      <c r="O66" t="s">
        <v>125</v>
      </c>
      <c r="P66" s="2" t="s">
        <v>20</v>
      </c>
      <c r="Q66" t="s">
        <v>64</v>
      </c>
      <c r="R66" t="s">
        <v>64</v>
      </c>
      <c r="S66" s="68" t="s">
        <v>180</v>
      </c>
      <c r="T66" t="s">
        <v>181</v>
      </c>
      <c r="U66" t="s">
        <v>182</v>
      </c>
      <c r="V66" s="2" t="s">
        <v>183</v>
      </c>
      <c r="W66" s="2" t="s">
        <v>65</v>
      </c>
      <c r="Z66" s="2" t="s">
        <v>184</v>
      </c>
      <c r="AA66" s="2" t="s">
        <v>185</v>
      </c>
      <c r="AB66" s="2" t="s">
        <v>66</v>
      </c>
      <c r="AC66" s="2" t="s">
        <v>67</v>
      </c>
    </row>
    <row r="67" spans="1:29" x14ac:dyDescent="0.35">
      <c r="A67" t="s">
        <v>109</v>
      </c>
      <c r="B67" t="s">
        <v>174</v>
      </c>
      <c r="C67" t="s">
        <v>175</v>
      </c>
      <c r="D67" t="s">
        <v>43</v>
      </c>
      <c r="E67" t="s">
        <v>176</v>
      </c>
      <c r="F67" t="s">
        <v>15</v>
      </c>
      <c r="G67" s="2" t="s">
        <v>174</v>
      </c>
      <c r="H67">
        <v>440039</v>
      </c>
      <c r="I67" s="31" t="s">
        <v>177</v>
      </c>
      <c r="J67" s="2" t="s">
        <v>178</v>
      </c>
      <c r="K67" t="s">
        <v>110</v>
      </c>
      <c r="L67" t="s">
        <v>179</v>
      </c>
      <c r="M67" s="2" t="s">
        <v>78</v>
      </c>
      <c r="N67" t="s">
        <v>141</v>
      </c>
      <c r="O67" t="s">
        <v>98</v>
      </c>
      <c r="P67" s="2" t="s">
        <v>20</v>
      </c>
      <c r="Q67" t="s">
        <v>64</v>
      </c>
      <c r="R67" t="s">
        <v>64</v>
      </c>
      <c r="S67" s="68" t="s">
        <v>180</v>
      </c>
      <c r="T67" t="s">
        <v>181</v>
      </c>
      <c r="U67" t="s">
        <v>182</v>
      </c>
      <c r="V67" s="2" t="s">
        <v>183</v>
      </c>
      <c r="W67" s="2" t="s">
        <v>65</v>
      </c>
      <c r="Z67" s="2" t="s">
        <v>184</v>
      </c>
      <c r="AA67" s="2" t="s">
        <v>185</v>
      </c>
      <c r="AB67" s="2" t="s">
        <v>66</v>
      </c>
      <c r="AC67" s="2" t="s">
        <v>67</v>
      </c>
    </row>
    <row r="68" spans="1:29" x14ac:dyDescent="0.35">
      <c r="A68" t="s">
        <v>109</v>
      </c>
      <c r="B68" t="s">
        <v>174</v>
      </c>
      <c r="C68" t="s">
        <v>175</v>
      </c>
      <c r="D68" t="s">
        <v>43</v>
      </c>
      <c r="E68" t="s">
        <v>176</v>
      </c>
      <c r="F68" t="s">
        <v>15</v>
      </c>
      <c r="G68" s="2" t="s">
        <v>174</v>
      </c>
      <c r="H68">
        <v>440039</v>
      </c>
      <c r="I68" s="31" t="s">
        <v>177</v>
      </c>
      <c r="J68" s="2" t="s">
        <v>178</v>
      </c>
      <c r="K68" t="s">
        <v>110</v>
      </c>
      <c r="L68" t="s">
        <v>179</v>
      </c>
      <c r="M68" s="2" t="s">
        <v>78</v>
      </c>
      <c r="N68" t="s">
        <v>141</v>
      </c>
      <c r="O68" t="s">
        <v>99</v>
      </c>
      <c r="P68" s="2" t="s">
        <v>20</v>
      </c>
      <c r="Q68" t="s">
        <v>64</v>
      </c>
      <c r="R68" t="s">
        <v>64</v>
      </c>
      <c r="S68" s="68" t="s">
        <v>180</v>
      </c>
      <c r="T68" t="s">
        <v>181</v>
      </c>
      <c r="U68" t="s">
        <v>182</v>
      </c>
      <c r="V68" s="2" t="s">
        <v>183</v>
      </c>
      <c r="W68" s="2" t="s">
        <v>65</v>
      </c>
      <c r="Z68" s="2" t="s">
        <v>184</v>
      </c>
      <c r="AA68" s="2" t="s">
        <v>185</v>
      </c>
      <c r="AB68" s="2" t="s">
        <v>66</v>
      </c>
      <c r="AC68" s="2" t="s">
        <v>67</v>
      </c>
    </row>
    <row r="69" spans="1:29" x14ac:dyDescent="0.35">
      <c r="A69" t="s">
        <v>109</v>
      </c>
      <c r="B69" t="s">
        <v>174</v>
      </c>
      <c r="C69" t="s">
        <v>175</v>
      </c>
      <c r="D69" t="s">
        <v>43</v>
      </c>
      <c r="E69" t="s">
        <v>176</v>
      </c>
      <c r="F69" t="s">
        <v>15</v>
      </c>
      <c r="G69" s="2" t="s">
        <v>174</v>
      </c>
      <c r="H69">
        <v>440039</v>
      </c>
      <c r="I69" s="31" t="s">
        <v>177</v>
      </c>
      <c r="J69" s="2" t="s">
        <v>178</v>
      </c>
      <c r="K69" t="s">
        <v>110</v>
      </c>
      <c r="L69" t="s">
        <v>179</v>
      </c>
      <c r="M69" s="2" t="s">
        <v>78</v>
      </c>
      <c r="N69" t="s">
        <v>141</v>
      </c>
      <c r="O69" t="s">
        <v>101</v>
      </c>
      <c r="P69" s="2" t="s">
        <v>159</v>
      </c>
      <c r="Q69" t="s">
        <v>64</v>
      </c>
      <c r="R69" t="s">
        <v>64</v>
      </c>
      <c r="S69" s="68" t="s">
        <v>180</v>
      </c>
      <c r="T69" t="s">
        <v>181</v>
      </c>
      <c r="U69" t="s">
        <v>182</v>
      </c>
      <c r="V69" s="2" t="s">
        <v>183</v>
      </c>
      <c r="W69" s="2" t="s">
        <v>65</v>
      </c>
      <c r="Z69" s="2" t="s">
        <v>184</v>
      </c>
      <c r="AA69" s="2" t="s">
        <v>185</v>
      </c>
      <c r="AB69" s="2" t="s">
        <v>66</v>
      </c>
      <c r="AC69" s="2" t="s">
        <v>67</v>
      </c>
    </row>
    <row r="70" spans="1:29" x14ac:dyDescent="0.35">
      <c r="A70" t="s">
        <v>109</v>
      </c>
      <c r="B70" t="s">
        <v>174</v>
      </c>
      <c r="C70" t="s">
        <v>175</v>
      </c>
      <c r="D70" t="s">
        <v>43</v>
      </c>
      <c r="E70" t="s">
        <v>176</v>
      </c>
      <c r="F70" t="s">
        <v>15</v>
      </c>
      <c r="G70" s="2" t="s">
        <v>174</v>
      </c>
      <c r="H70">
        <v>440039</v>
      </c>
      <c r="I70" s="31" t="s">
        <v>177</v>
      </c>
      <c r="J70" s="2" t="s">
        <v>178</v>
      </c>
      <c r="K70" t="s">
        <v>110</v>
      </c>
      <c r="L70" t="s">
        <v>179</v>
      </c>
      <c r="M70" s="2" t="s">
        <v>78</v>
      </c>
      <c r="N70" t="s">
        <v>141</v>
      </c>
      <c r="O70" t="s">
        <v>121</v>
      </c>
      <c r="P70" s="2" t="s">
        <v>20</v>
      </c>
      <c r="Q70" t="s">
        <v>64</v>
      </c>
      <c r="R70" t="s">
        <v>64</v>
      </c>
      <c r="S70" s="68" t="s">
        <v>180</v>
      </c>
      <c r="T70" t="s">
        <v>181</v>
      </c>
      <c r="U70" t="s">
        <v>182</v>
      </c>
      <c r="V70" s="2" t="s">
        <v>183</v>
      </c>
      <c r="W70" s="2" t="s">
        <v>65</v>
      </c>
      <c r="Z70" s="2" t="s">
        <v>184</v>
      </c>
      <c r="AA70" s="2" t="s">
        <v>185</v>
      </c>
      <c r="AB70" s="2" t="s">
        <v>66</v>
      </c>
      <c r="AC70" s="2" t="s">
        <v>67</v>
      </c>
    </row>
    <row r="71" spans="1:29" x14ac:dyDescent="0.35">
      <c r="A71" t="s">
        <v>109</v>
      </c>
      <c r="B71" t="s">
        <v>174</v>
      </c>
      <c r="C71" t="s">
        <v>175</v>
      </c>
      <c r="D71" t="s">
        <v>43</v>
      </c>
      <c r="E71" t="s">
        <v>176</v>
      </c>
      <c r="F71" t="s">
        <v>15</v>
      </c>
      <c r="G71" s="2" t="s">
        <v>174</v>
      </c>
      <c r="H71">
        <v>440039</v>
      </c>
      <c r="I71" s="31" t="s">
        <v>177</v>
      </c>
      <c r="J71" s="2" t="s">
        <v>178</v>
      </c>
      <c r="K71" t="s">
        <v>110</v>
      </c>
      <c r="L71" t="s">
        <v>179</v>
      </c>
      <c r="M71" s="2" t="s">
        <v>78</v>
      </c>
      <c r="N71" t="s">
        <v>141</v>
      </c>
      <c r="O71" t="s">
        <v>152</v>
      </c>
      <c r="P71" s="2" t="s">
        <v>20</v>
      </c>
      <c r="Q71" t="s">
        <v>64</v>
      </c>
      <c r="R71" t="s">
        <v>64</v>
      </c>
      <c r="S71" s="68" t="s">
        <v>180</v>
      </c>
      <c r="T71" t="s">
        <v>181</v>
      </c>
      <c r="U71" t="s">
        <v>182</v>
      </c>
      <c r="V71" s="2" t="s">
        <v>183</v>
      </c>
      <c r="W71" s="2" t="s">
        <v>65</v>
      </c>
      <c r="Z71" s="2" t="s">
        <v>184</v>
      </c>
      <c r="AA71" s="2" t="s">
        <v>185</v>
      </c>
      <c r="AB71" s="2" t="s">
        <v>66</v>
      </c>
      <c r="AC71" s="2" t="s">
        <v>67</v>
      </c>
    </row>
    <row r="72" spans="1:29" x14ac:dyDescent="0.35">
      <c r="A72" t="s">
        <v>109</v>
      </c>
      <c r="B72" t="s">
        <v>174</v>
      </c>
      <c r="C72" t="s">
        <v>175</v>
      </c>
      <c r="D72" t="s">
        <v>43</v>
      </c>
      <c r="E72" t="s">
        <v>176</v>
      </c>
      <c r="F72" t="s">
        <v>15</v>
      </c>
      <c r="G72" s="2" t="s">
        <v>174</v>
      </c>
      <c r="H72">
        <v>440039</v>
      </c>
      <c r="I72" s="31" t="s">
        <v>177</v>
      </c>
      <c r="J72" s="2" t="s">
        <v>178</v>
      </c>
      <c r="K72" t="s">
        <v>110</v>
      </c>
      <c r="L72" t="s">
        <v>179</v>
      </c>
      <c r="M72" s="2" t="s">
        <v>78</v>
      </c>
      <c r="N72" t="s">
        <v>141</v>
      </c>
      <c r="O72" t="s">
        <v>123</v>
      </c>
      <c r="P72" s="2" t="s">
        <v>20</v>
      </c>
      <c r="Q72" t="s">
        <v>64</v>
      </c>
      <c r="R72" t="s">
        <v>64</v>
      </c>
      <c r="S72" s="68" t="s">
        <v>180</v>
      </c>
      <c r="T72" t="s">
        <v>181</v>
      </c>
      <c r="U72" t="s">
        <v>182</v>
      </c>
      <c r="V72" s="2" t="s">
        <v>183</v>
      </c>
      <c r="W72" s="2" t="s">
        <v>65</v>
      </c>
      <c r="Z72" s="2" t="s">
        <v>184</v>
      </c>
      <c r="AA72" s="2" t="s">
        <v>185</v>
      </c>
      <c r="AB72" s="2" t="s">
        <v>66</v>
      </c>
      <c r="AC72" s="2" t="s">
        <v>67</v>
      </c>
    </row>
    <row r="73" spans="1:29" x14ac:dyDescent="0.35">
      <c r="A73" t="s">
        <v>109</v>
      </c>
      <c r="B73" t="s">
        <v>174</v>
      </c>
      <c r="C73" t="s">
        <v>175</v>
      </c>
      <c r="D73" t="s">
        <v>43</v>
      </c>
      <c r="E73" t="s">
        <v>176</v>
      </c>
      <c r="F73" t="s">
        <v>15</v>
      </c>
      <c r="G73" s="2" t="s">
        <v>174</v>
      </c>
      <c r="H73">
        <v>440039</v>
      </c>
      <c r="I73" s="31" t="s">
        <v>177</v>
      </c>
      <c r="J73" s="2" t="s">
        <v>178</v>
      </c>
      <c r="K73" t="s">
        <v>110</v>
      </c>
      <c r="L73" t="s">
        <v>179</v>
      </c>
      <c r="M73" s="2" t="s">
        <v>78</v>
      </c>
      <c r="N73" t="s">
        <v>141</v>
      </c>
      <c r="O73" t="s">
        <v>138</v>
      </c>
      <c r="P73" s="2" t="s">
        <v>20</v>
      </c>
      <c r="Q73" t="s">
        <v>64</v>
      </c>
      <c r="R73" t="s">
        <v>64</v>
      </c>
      <c r="S73" s="68" t="s">
        <v>180</v>
      </c>
      <c r="T73" t="s">
        <v>181</v>
      </c>
      <c r="U73" t="s">
        <v>182</v>
      </c>
      <c r="V73" s="2" t="s">
        <v>183</v>
      </c>
      <c r="W73" s="2" t="s">
        <v>65</v>
      </c>
      <c r="Z73" s="2" t="s">
        <v>184</v>
      </c>
      <c r="AA73" s="2" t="s">
        <v>185</v>
      </c>
      <c r="AB73" s="2" t="s">
        <v>66</v>
      </c>
      <c r="AC73" s="2" t="s">
        <v>67</v>
      </c>
    </row>
    <row r="74" spans="1:29" x14ac:dyDescent="0.35">
      <c r="A74" t="s">
        <v>109</v>
      </c>
      <c r="B74" t="s">
        <v>174</v>
      </c>
      <c r="C74" t="s">
        <v>175</v>
      </c>
      <c r="D74" t="s">
        <v>43</v>
      </c>
      <c r="E74" t="s">
        <v>176</v>
      </c>
      <c r="F74" t="s">
        <v>15</v>
      </c>
      <c r="G74" s="2" t="s">
        <v>174</v>
      </c>
      <c r="H74">
        <v>440039</v>
      </c>
      <c r="I74" s="31" t="s">
        <v>177</v>
      </c>
      <c r="J74" s="2" t="s">
        <v>178</v>
      </c>
      <c r="K74" t="s">
        <v>110</v>
      </c>
      <c r="L74" t="s">
        <v>179</v>
      </c>
      <c r="M74" s="2" t="s">
        <v>78</v>
      </c>
      <c r="N74" t="s">
        <v>141</v>
      </c>
      <c r="O74" t="s">
        <v>139</v>
      </c>
      <c r="P74" s="2" t="s">
        <v>20</v>
      </c>
      <c r="Q74" t="s">
        <v>64</v>
      </c>
      <c r="R74" t="s">
        <v>64</v>
      </c>
      <c r="S74" s="68" t="s">
        <v>180</v>
      </c>
      <c r="T74" t="s">
        <v>181</v>
      </c>
      <c r="U74" t="s">
        <v>182</v>
      </c>
      <c r="V74" s="2" t="s">
        <v>183</v>
      </c>
      <c r="W74" s="2" t="s">
        <v>65</v>
      </c>
      <c r="Z74" s="2" t="s">
        <v>184</v>
      </c>
      <c r="AA74" s="2" t="s">
        <v>185</v>
      </c>
      <c r="AB74" s="2" t="s">
        <v>66</v>
      </c>
      <c r="AC74" s="2" t="s">
        <v>67</v>
      </c>
    </row>
    <row r="75" spans="1:29" x14ac:dyDescent="0.35">
      <c r="A75" t="s">
        <v>109</v>
      </c>
      <c r="B75" t="s">
        <v>174</v>
      </c>
      <c r="C75" t="s">
        <v>175</v>
      </c>
      <c r="D75" t="s">
        <v>43</v>
      </c>
      <c r="E75" t="s">
        <v>176</v>
      </c>
      <c r="F75" t="s">
        <v>15</v>
      </c>
      <c r="G75" s="2" t="s">
        <v>174</v>
      </c>
      <c r="H75">
        <v>440039</v>
      </c>
      <c r="I75" s="31" t="s">
        <v>177</v>
      </c>
      <c r="J75" s="2" t="s">
        <v>178</v>
      </c>
      <c r="K75" t="s">
        <v>110</v>
      </c>
      <c r="L75" t="s">
        <v>179</v>
      </c>
      <c r="M75" s="2" t="s">
        <v>78</v>
      </c>
      <c r="N75" t="s">
        <v>141</v>
      </c>
      <c r="O75" t="s">
        <v>153</v>
      </c>
      <c r="P75" s="2" t="s">
        <v>20</v>
      </c>
      <c r="Q75" t="s">
        <v>64</v>
      </c>
      <c r="R75" t="s">
        <v>64</v>
      </c>
      <c r="S75" s="68" t="s">
        <v>180</v>
      </c>
      <c r="T75" t="s">
        <v>181</v>
      </c>
      <c r="U75" t="s">
        <v>182</v>
      </c>
      <c r="V75" s="2" t="s">
        <v>183</v>
      </c>
      <c r="W75" s="2" t="s">
        <v>65</v>
      </c>
      <c r="Z75" s="2" t="s">
        <v>184</v>
      </c>
      <c r="AA75" s="2" t="s">
        <v>185</v>
      </c>
      <c r="AB75" s="2" t="s">
        <v>66</v>
      </c>
      <c r="AC75" s="2" t="s">
        <v>67</v>
      </c>
    </row>
    <row r="76" spans="1:29" x14ac:dyDescent="0.35">
      <c r="A76" t="s">
        <v>109</v>
      </c>
      <c r="B76" t="s">
        <v>174</v>
      </c>
      <c r="C76" t="s">
        <v>175</v>
      </c>
      <c r="D76" t="s">
        <v>43</v>
      </c>
      <c r="E76" t="s">
        <v>176</v>
      </c>
      <c r="F76" t="s">
        <v>15</v>
      </c>
      <c r="G76" s="2" t="s">
        <v>174</v>
      </c>
      <c r="H76">
        <v>440039</v>
      </c>
      <c r="I76" s="31" t="s">
        <v>177</v>
      </c>
      <c r="J76" s="2" t="s">
        <v>178</v>
      </c>
      <c r="K76" t="s">
        <v>110</v>
      </c>
      <c r="L76" t="s">
        <v>179</v>
      </c>
      <c r="M76" s="2" t="s">
        <v>78</v>
      </c>
      <c r="N76" t="s">
        <v>141</v>
      </c>
      <c r="O76" t="s">
        <v>102</v>
      </c>
      <c r="P76" s="2" t="s">
        <v>186</v>
      </c>
      <c r="Q76" t="s">
        <v>64</v>
      </c>
      <c r="R76" t="s">
        <v>64</v>
      </c>
      <c r="S76" s="68" t="s">
        <v>180</v>
      </c>
      <c r="T76" t="s">
        <v>181</v>
      </c>
      <c r="U76" t="s">
        <v>182</v>
      </c>
      <c r="V76" s="2" t="s">
        <v>183</v>
      </c>
      <c r="W76" s="2" t="s">
        <v>65</v>
      </c>
      <c r="Z76" s="2" t="s">
        <v>184</v>
      </c>
      <c r="AA76" s="2" t="s">
        <v>185</v>
      </c>
      <c r="AB76" s="2" t="s">
        <v>66</v>
      </c>
      <c r="AC76" s="2" t="s">
        <v>67</v>
      </c>
    </row>
  </sheetData>
  <phoneticPr fontId="3" type="noConversion"/>
  <conditionalFormatting sqref="O1:O1048576">
    <cfRule type="duplicateValues" dxfId="1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L44"/>
  <sheetViews>
    <sheetView showGridLines="0" topLeftCell="C1" zoomScale="60" zoomScaleNormal="60" workbookViewId="0">
      <selection activeCell="G19" sqref="G19"/>
    </sheetView>
  </sheetViews>
  <sheetFormatPr baseColWidth="10" defaultColWidth="11.453125" defaultRowHeight="15" customHeight="1" x14ac:dyDescent="0.35"/>
  <cols>
    <col min="1" max="1" width="24" style="44" bestFit="1" customWidth="1"/>
    <col min="2" max="2" width="27.1796875" style="44" bestFit="1" customWidth="1"/>
    <col min="3" max="3" width="20.1796875" style="44" bestFit="1" customWidth="1"/>
    <col min="4" max="4" width="31.1796875" customWidth="1"/>
    <col min="5" max="5" width="14.81640625" bestFit="1" customWidth="1"/>
    <col min="6" max="6" width="13.1796875" customWidth="1"/>
    <col min="7" max="7" width="75.453125" bestFit="1" customWidth="1"/>
    <col min="8" max="8" width="41" customWidth="1"/>
    <col min="9" max="9" width="11.453125" customWidth="1"/>
    <col min="10" max="10" width="29.1796875" bestFit="1" customWidth="1"/>
    <col min="11" max="11" width="19.7265625" style="29" bestFit="1" customWidth="1"/>
  </cols>
  <sheetData>
    <row r="1" spans="1:12" ht="15" customHeight="1" x14ac:dyDescent="0.3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2" ht="15" customHeight="1" x14ac:dyDescent="0.3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70" t="s">
        <v>101</v>
      </c>
      <c r="H2" s="19"/>
      <c r="I2" s="11"/>
      <c r="J2" s="26"/>
      <c r="K2" s="28"/>
    </row>
    <row r="3" spans="1:12" ht="15" customHeight="1" x14ac:dyDescent="0.35">
      <c r="A3" s="39">
        <v>0</v>
      </c>
      <c r="B3" s="39">
        <v>0</v>
      </c>
      <c r="C3" s="39">
        <v>0</v>
      </c>
      <c r="D3" s="24" t="s">
        <v>68</v>
      </c>
      <c r="E3" s="39">
        <v>0</v>
      </c>
      <c r="F3" s="19" t="s">
        <v>72</v>
      </c>
      <c r="G3" s="19" t="s">
        <v>87</v>
      </c>
      <c r="H3" s="19"/>
      <c r="J3" s="43" t="s">
        <v>104</v>
      </c>
      <c r="K3" s="42">
        <v>0.1</v>
      </c>
    </row>
    <row r="4" spans="1:12" ht="15" customHeight="1" x14ac:dyDescent="0.35">
      <c r="A4" s="39">
        <v>20</v>
      </c>
      <c r="B4" s="39">
        <v>20</v>
      </c>
      <c r="C4" s="39">
        <v>20</v>
      </c>
      <c r="D4" s="24" t="s">
        <v>17</v>
      </c>
      <c r="E4" s="39">
        <v>20</v>
      </c>
      <c r="F4" s="19" t="s">
        <v>72</v>
      </c>
      <c r="G4" s="19" t="s">
        <v>88</v>
      </c>
      <c r="H4" s="19" t="s">
        <v>20</v>
      </c>
      <c r="J4" s="43" t="s">
        <v>17</v>
      </c>
      <c r="K4" s="42">
        <v>0.2</v>
      </c>
    </row>
    <row r="5" spans="1:12" ht="15" customHeight="1" x14ac:dyDescent="0.35">
      <c r="A5" s="39">
        <f t="shared" ref="A5:C5" si="0">10/10</f>
        <v>1</v>
      </c>
      <c r="B5" s="39">
        <f t="shared" si="0"/>
        <v>1</v>
      </c>
      <c r="C5" s="39">
        <f t="shared" si="0"/>
        <v>1</v>
      </c>
      <c r="D5" s="24" t="s">
        <v>104</v>
      </c>
      <c r="E5" s="39">
        <f>10/10</f>
        <v>1</v>
      </c>
      <c r="F5" s="19" t="s">
        <v>72</v>
      </c>
      <c r="G5" s="19" t="s">
        <v>89</v>
      </c>
      <c r="H5" s="19" t="s">
        <v>20</v>
      </c>
      <c r="J5" s="43" t="s">
        <v>105</v>
      </c>
      <c r="K5" s="42">
        <v>0.3</v>
      </c>
      <c r="L5" t="s">
        <v>173</v>
      </c>
    </row>
    <row r="6" spans="1:12" ht="15" customHeight="1" x14ac:dyDescent="0.35">
      <c r="A6" s="39">
        <f t="shared" ref="A6:E14" si="1">10/10</f>
        <v>1</v>
      </c>
      <c r="B6" s="39">
        <f t="shared" si="1"/>
        <v>1</v>
      </c>
      <c r="C6" s="39">
        <f t="shared" si="1"/>
        <v>1</v>
      </c>
      <c r="D6" s="24" t="s">
        <v>104</v>
      </c>
      <c r="E6" s="39">
        <f t="shared" si="1"/>
        <v>1</v>
      </c>
      <c r="F6" s="19" t="s">
        <v>72</v>
      </c>
      <c r="G6" s="19" t="s">
        <v>90</v>
      </c>
      <c r="H6" s="19" t="s">
        <v>20</v>
      </c>
      <c r="J6" s="43" t="s">
        <v>106</v>
      </c>
      <c r="K6" s="42">
        <v>0.4</v>
      </c>
    </row>
    <row r="7" spans="1:12" ht="15" customHeight="1" x14ac:dyDescent="0.3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104</v>
      </c>
      <c r="E7" s="39">
        <f t="shared" si="1"/>
        <v>1</v>
      </c>
      <c r="F7" s="19" t="s">
        <v>72</v>
      </c>
      <c r="G7" s="19" t="s">
        <v>35</v>
      </c>
      <c r="H7" s="19" t="s">
        <v>20</v>
      </c>
      <c r="J7" s="27" t="s">
        <v>73</v>
      </c>
      <c r="K7" s="30">
        <f ca="1">SUM(K3:K7)</f>
        <v>1</v>
      </c>
    </row>
    <row r="8" spans="1:12" ht="15" customHeight="1" x14ac:dyDescent="0.3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104</v>
      </c>
      <c r="E8" s="39">
        <f t="shared" si="1"/>
        <v>1</v>
      </c>
      <c r="F8" s="19" t="s">
        <v>72</v>
      </c>
      <c r="G8" s="19" t="s">
        <v>91</v>
      </c>
      <c r="H8" s="19" t="s">
        <v>108</v>
      </c>
    </row>
    <row r="9" spans="1:12" ht="15" customHeight="1" x14ac:dyDescent="0.3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104</v>
      </c>
      <c r="E9" s="39">
        <f t="shared" si="1"/>
        <v>1</v>
      </c>
      <c r="F9" s="19" t="s">
        <v>72</v>
      </c>
      <c r="G9" s="19" t="s">
        <v>92</v>
      </c>
      <c r="H9" s="19" t="s">
        <v>20</v>
      </c>
    </row>
    <row r="10" spans="1:12" ht="15" customHeight="1" x14ac:dyDescent="0.3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104</v>
      </c>
      <c r="E10" s="39">
        <f t="shared" si="1"/>
        <v>1</v>
      </c>
      <c r="F10" s="19" t="s">
        <v>72</v>
      </c>
      <c r="G10" s="19" t="s">
        <v>93</v>
      </c>
      <c r="H10" s="19" t="s">
        <v>20</v>
      </c>
    </row>
    <row r="11" spans="1:12" ht="15" customHeight="1" x14ac:dyDescent="0.3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104</v>
      </c>
      <c r="E11" s="39">
        <f t="shared" si="1"/>
        <v>1</v>
      </c>
      <c r="F11" s="19" t="s">
        <v>72</v>
      </c>
      <c r="G11" s="19" t="s">
        <v>94</v>
      </c>
      <c r="H11" s="19" t="s">
        <v>108</v>
      </c>
      <c r="K11"/>
    </row>
    <row r="12" spans="1:12" ht="15" customHeight="1" x14ac:dyDescent="0.3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104</v>
      </c>
      <c r="E12" s="39">
        <f t="shared" si="1"/>
        <v>1</v>
      </c>
      <c r="F12" s="19" t="s">
        <v>72</v>
      </c>
      <c r="G12" s="19" t="s">
        <v>95</v>
      </c>
      <c r="H12" s="19" t="s">
        <v>108</v>
      </c>
      <c r="K12"/>
    </row>
    <row r="13" spans="1:12" ht="15" customHeight="1" x14ac:dyDescent="0.3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104</v>
      </c>
      <c r="E13" s="39">
        <f t="shared" si="1"/>
        <v>1</v>
      </c>
      <c r="F13" s="19" t="s">
        <v>72</v>
      </c>
      <c r="G13" s="19" t="s">
        <v>96</v>
      </c>
      <c r="H13" s="19" t="s">
        <v>108</v>
      </c>
      <c r="K13"/>
    </row>
    <row r="14" spans="1:12" ht="15" customHeight="1" x14ac:dyDescent="0.35">
      <c r="A14" s="39">
        <f t="shared" si="1"/>
        <v>1</v>
      </c>
      <c r="B14" s="39">
        <f t="shared" si="1"/>
        <v>1</v>
      </c>
      <c r="C14" s="39">
        <f t="shared" si="1"/>
        <v>1</v>
      </c>
      <c r="D14" s="24" t="s">
        <v>104</v>
      </c>
      <c r="E14" s="39">
        <f t="shared" si="1"/>
        <v>1</v>
      </c>
      <c r="F14" s="19" t="s">
        <v>72</v>
      </c>
      <c r="G14" s="19" t="s">
        <v>97</v>
      </c>
      <c r="H14" s="19" t="s">
        <v>108</v>
      </c>
      <c r="K14"/>
    </row>
    <row r="15" spans="1:12" ht="15" customHeight="1" x14ac:dyDescent="0.35">
      <c r="A15" s="39">
        <f>30/11</f>
        <v>2.7272727272727271</v>
      </c>
      <c r="B15" s="39">
        <f t="shared" ref="B15:C25" si="2">30/11</f>
        <v>2.7272727272727271</v>
      </c>
      <c r="C15" s="39">
        <f t="shared" si="2"/>
        <v>2.7272727272727271</v>
      </c>
      <c r="D15" s="24" t="s">
        <v>107</v>
      </c>
      <c r="E15" s="39">
        <f>30/11</f>
        <v>2.7272727272727271</v>
      </c>
      <c r="F15" s="19" t="s">
        <v>72</v>
      </c>
      <c r="G15" s="19" t="s">
        <v>124</v>
      </c>
      <c r="H15" s="19" t="s">
        <v>20</v>
      </c>
      <c r="K15"/>
    </row>
    <row r="16" spans="1:12" ht="15" customHeight="1" x14ac:dyDescent="0.35">
      <c r="A16" s="39">
        <f t="shared" ref="A16:A25" si="3">30/11</f>
        <v>2.7272727272727271</v>
      </c>
      <c r="B16" s="39">
        <f t="shared" si="2"/>
        <v>2.7272727272727271</v>
      </c>
      <c r="C16" s="39">
        <f t="shared" si="2"/>
        <v>2.7272727272727271</v>
      </c>
      <c r="D16" s="24" t="s">
        <v>107</v>
      </c>
      <c r="E16" s="39">
        <f t="shared" ref="E16:E25" si="4">30/11</f>
        <v>2.7272727272727271</v>
      </c>
      <c r="F16" s="19" t="s">
        <v>72</v>
      </c>
      <c r="G16" s="19" t="s">
        <v>125</v>
      </c>
      <c r="H16" s="19" t="s">
        <v>20</v>
      </c>
      <c r="K16"/>
    </row>
    <row r="17" spans="1:8" ht="15" customHeight="1" x14ac:dyDescent="0.35">
      <c r="A17" s="39">
        <f t="shared" si="3"/>
        <v>2.7272727272727271</v>
      </c>
      <c r="B17" s="39">
        <f t="shared" si="2"/>
        <v>2.7272727272727271</v>
      </c>
      <c r="C17" s="39">
        <f t="shared" si="2"/>
        <v>2.7272727272727271</v>
      </c>
      <c r="D17" s="24" t="s">
        <v>107</v>
      </c>
      <c r="E17" s="39">
        <f t="shared" si="4"/>
        <v>2.7272727272727271</v>
      </c>
      <c r="F17" s="19" t="s">
        <v>72</v>
      </c>
      <c r="G17" s="69" t="s">
        <v>98</v>
      </c>
      <c r="H17" s="19" t="s">
        <v>20</v>
      </c>
    </row>
    <row r="18" spans="1:8" ht="15" customHeight="1" x14ac:dyDescent="0.35">
      <c r="A18" s="39">
        <f t="shared" si="3"/>
        <v>2.7272727272727271</v>
      </c>
      <c r="B18" s="39">
        <f t="shared" si="2"/>
        <v>2.7272727272727271</v>
      </c>
      <c r="C18" s="39">
        <f t="shared" si="2"/>
        <v>2.7272727272727271</v>
      </c>
      <c r="D18" s="24" t="s">
        <v>107</v>
      </c>
      <c r="E18" s="39">
        <f t="shared" si="4"/>
        <v>2.7272727272727271</v>
      </c>
      <c r="F18" s="19" t="s">
        <v>72</v>
      </c>
      <c r="G18" s="69" t="s">
        <v>99</v>
      </c>
      <c r="H18" s="19" t="s">
        <v>20</v>
      </c>
    </row>
    <row r="19" spans="1:8" ht="15" customHeight="1" x14ac:dyDescent="0.35">
      <c r="A19" s="39">
        <f t="shared" si="3"/>
        <v>2.7272727272727271</v>
      </c>
      <c r="B19" s="39">
        <f t="shared" si="2"/>
        <v>2.7272727272727271</v>
      </c>
      <c r="C19" s="39">
        <f t="shared" si="2"/>
        <v>2.7272727272727271</v>
      </c>
      <c r="D19" s="24" t="s">
        <v>107</v>
      </c>
      <c r="E19" s="39">
        <f t="shared" si="4"/>
        <v>2.7272727272727271</v>
      </c>
      <c r="F19" s="19" t="s">
        <v>72</v>
      </c>
      <c r="G19" s="69" t="s">
        <v>100</v>
      </c>
      <c r="H19" s="19" t="s">
        <v>20</v>
      </c>
    </row>
    <row r="20" spans="1:8" ht="15" customHeight="1" x14ac:dyDescent="0.35">
      <c r="A20" s="39">
        <f t="shared" si="3"/>
        <v>2.7272727272727271</v>
      </c>
      <c r="B20" s="39">
        <f t="shared" si="2"/>
        <v>2.7272727272727271</v>
      </c>
      <c r="C20" s="39">
        <f>30/11</f>
        <v>2.7272727272727271</v>
      </c>
      <c r="D20" s="24" t="s">
        <v>107</v>
      </c>
      <c r="E20" s="39">
        <f t="shared" si="4"/>
        <v>2.7272727272727271</v>
      </c>
      <c r="F20" s="19" t="s">
        <v>72</v>
      </c>
      <c r="G20" s="19" t="s">
        <v>120</v>
      </c>
      <c r="H20" s="19" t="s">
        <v>20</v>
      </c>
    </row>
    <row r="21" spans="1:8" ht="15" customHeight="1" x14ac:dyDescent="0.35">
      <c r="A21" s="39">
        <f t="shared" si="3"/>
        <v>2.7272727272727271</v>
      </c>
      <c r="B21" s="39">
        <f t="shared" si="2"/>
        <v>2.7272727272727271</v>
      </c>
      <c r="C21" s="39">
        <f t="shared" si="2"/>
        <v>2.7272727272727271</v>
      </c>
      <c r="D21" s="24" t="s">
        <v>107</v>
      </c>
      <c r="E21" s="39">
        <f t="shared" si="4"/>
        <v>2.7272727272727271</v>
      </c>
      <c r="F21" s="19" t="s">
        <v>72</v>
      </c>
      <c r="G21" s="19" t="s">
        <v>121</v>
      </c>
      <c r="H21" s="19" t="s">
        <v>20</v>
      </c>
    </row>
    <row r="22" spans="1:8" ht="15" customHeight="1" x14ac:dyDescent="0.35">
      <c r="A22" s="39">
        <f t="shared" si="3"/>
        <v>2.7272727272727271</v>
      </c>
      <c r="B22" s="39">
        <f t="shared" si="2"/>
        <v>2.7272727272727271</v>
      </c>
      <c r="C22" s="39">
        <f t="shared" si="2"/>
        <v>2.7272727272727271</v>
      </c>
      <c r="D22" s="24" t="s">
        <v>107</v>
      </c>
      <c r="E22" s="39">
        <f t="shared" si="4"/>
        <v>2.7272727272727271</v>
      </c>
      <c r="F22" s="19" t="s">
        <v>72</v>
      </c>
      <c r="G22" t="s">
        <v>152</v>
      </c>
      <c r="H22" s="19" t="s">
        <v>20</v>
      </c>
    </row>
    <row r="23" spans="1:8" ht="15" customHeight="1" x14ac:dyDescent="0.35">
      <c r="A23" s="39">
        <f t="shared" si="3"/>
        <v>2.7272727272727271</v>
      </c>
      <c r="B23" s="39">
        <f t="shared" si="2"/>
        <v>2.7272727272727271</v>
      </c>
      <c r="C23" s="39">
        <f t="shared" si="2"/>
        <v>2.7272727272727271</v>
      </c>
      <c r="D23" s="24" t="s">
        <v>107</v>
      </c>
      <c r="E23" s="39">
        <f t="shared" si="4"/>
        <v>2.7272727272727271</v>
      </c>
      <c r="F23" s="19" t="s">
        <v>72</v>
      </c>
      <c r="G23" s="19" t="s">
        <v>148</v>
      </c>
      <c r="H23" s="19" t="s">
        <v>20</v>
      </c>
    </row>
    <row r="24" spans="1:8" ht="15" customHeight="1" x14ac:dyDescent="0.35">
      <c r="A24" s="39">
        <f t="shared" si="3"/>
        <v>2.7272727272727271</v>
      </c>
      <c r="B24" s="39">
        <f t="shared" si="2"/>
        <v>2.7272727272727271</v>
      </c>
      <c r="C24" s="39">
        <f t="shared" si="2"/>
        <v>2.7272727272727271</v>
      </c>
      <c r="D24" s="24" t="s">
        <v>107</v>
      </c>
      <c r="E24" s="39">
        <f t="shared" si="4"/>
        <v>2.7272727272727271</v>
      </c>
      <c r="F24" s="19" t="s">
        <v>72</v>
      </c>
      <c r="G24" s="67" t="s">
        <v>149</v>
      </c>
      <c r="H24" s="19" t="s">
        <v>20</v>
      </c>
    </row>
    <row r="25" spans="1:8" ht="15" customHeight="1" x14ac:dyDescent="0.35">
      <c r="A25" s="39">
        <f t="shared" si="3"/>
        <v>2.7272727272727271</v>
      </c>
      <c r="B25" s="39">
        <f t="shared" si="2"/>
        <v>2.7272727272727271</v>
      </c>
      <c r="C25" s="39">
        <f t="shared" si="2"/>
        <v>2.7272727272727271</v>
      </c>
      <c r="D25" s="24" t="s">
        <v>107</v>
      </c>
      <c r="E25" s="39">
        <f t="shared" si="4"/>
        <v>2.7272727272727271</v>
      </c>
      <c r="F25" s="19" t="s">
        <v>72</v>
      </c>
      <c r="G25" s="19" t="s">
        <v>150</v>
      </c>
      <c r="H25" s="19" t="s">
        <v>20</v>
      </c>
    </row>
    <row r="26" spans="1:8" ht="15" customHeight="1" x14ac:dyDescent="0.35">
      <c r="A26" s="39">
        <v>0</v>
      </c>
      <c r="B26" s="39">
        <v>0</v>
      </c>
      <c r="C26" s="39">
        <f>40/4</f>
        <v>10</v>
      </c>
      <c r="D26" s="19" t="s">
        <v>106</v>
      </c>
      <c r="E26" s="39">
        <f>40/13</f>
        <v>3.0769230769230771</v>
      </c>
      <c r="F26" s="19" t="s">
        <v>72</v>
      </c>
      <c r="G26" s="19" t="s">
        <v>114</v>
      </c>
      <c r="H26" s="19" t="s">
        <v>20</v>
      </c>
    </row>
    <row r="27" spans="1:8" ht="15" customHeight="1" x14ac:dyDescent="0.35">
      <c r="A27" s="39">
        <v>0</v>
      </c>
      <c r="B27" s="39">
        <v>0</v>
      </c>
      <c r="C27" s="39">
        <f t="shared" ref="C27:C29" si="5">40/4</f>
        <v>10</v>
      </c>
      <c r="D27" s="19" t="s">
        <v>106</v>
      </c>
      <c r="E27" s="39">
        <f t="shared" ref="E27:E39" si="6">40/13</f>
        <v>3.0769230769230771</v>
      </c>
      <c r="F27" s="19" t="s">
        <v>72</v>
      </c>
      <c r="G27" s="19" t="s">
        <v>126</v>
      </c>
      <c r="H27" s="19" t="s">
        <v>20</v>
      </c>
    </row>
    <row r="28" spans="1:8" ht="15" customHeight="1" x14ac:dyDescent="0.35">
      <c r="A28" s="39">
        <v>0</v>
      </c>
      <c r="B28" s="39">
        <v>0</v>
      </c>
      <c r="C28" s="39">
        <v>0</v>
      </c>
      <c r="D28" s="24" t="s">
        <v>68</v>
      </c>
      <c r="E28" s="39">
        <v>0</v>
      </c>
      <c r="F28" s="19" t="s">
        <v>72</v>
      </c>
      <c r="G28" s="19" t="s">
        <v>127</v>
      </c>
      <c r="H28" s="19"/>
    </row>
    <row r="29" spans="1:8" ht="15" customHeight="1" x14ac:dyDescent="0.35">
      <c r="A29" s="39">
        <v>0</v>
      </c>
      <c r="B29" s="39">
        <v>0</v>
      </c>
      <c r="C29" s="39">
        <f t="shared" si="5"/>
        <v>10</v>
      </c>
      <c r="D29" s="19" t="s">
        <v>106</v>
      </c>
      <c r="E29" s="39">
        <f t="shared" si="6"/>
        <v>3.0769230769230771</v>
      </c>
      <c r="F29" s="19" t="s">
        <v>72</v>
      </c>
      <c r="G29" s="19" t="s">
        <v>168</v>
      </c>
      <c r="H29" s="19" t="s">
        <v>20</v>
      </c>
    </row>
    <row r="30" spans="1:8" ht="15" customHeight="1" x14ac:dyDescent="0.35">
      <c r="A30" s="39">
        <v>0</v>
      </c>
      <c r="B30" s="39">
        <v>0</v>
      </c>
      <c r="C30" s="39">
        <f>40/4</f>
        <v>10</v>
      </c>
      <c r="D30" s="19" t="s">
        <v>106</v>
      </c>
      <c r="E30" s="39">
        <f t="shared" si="6"/>
        <v>3.0769230769230771</v>
      </c>
      <c r="F30" s="19" t="s">
        <v>72</v>
      </c>
      <c r="G30" s="19" t="s">
        <v>115</v>
      </c>
      <c r="H30" s="19" t="s">
        <v>20</v>
      </c>
    </row>
    <row r="31" spans="1:8" ht="15" customHeight="1" x14ac:dyDescent="0.35">
      <c r="A31" s="39">
        <v>0</v>
      </c>
      <c r="B31" s="39">
        <f>40/5</f>
        <v>8</v>
      </c>
      <c r="C31" s="39">
        <v>0</v>
      </c>
      <c r="D31" s="19" t="s">
        <v>106</v>
      </c>
      <c r="E31" s="39">
        <f t="shared" si="6"/>
        <v>3.0769230769230771</v>
      </c>
      <c r="F31" s="19" t="s">
        <v>72</v>
      </c>
      <c r="G31" s="19" t="s">
        <v>140</v>
      </c>
      <c r="H31" s="19" t="s">
        <v>20</v>
      </c>
    </row>
    <row r="32" spans="1:8" ht="15" customHeight="1" x14ac:dyDescent="0.35">
      <c r="A32" s="39">
        <v>0</v>
      </c>
      <c r="B32" s="39">
        <f>40/5</f>
        <v>8</v>
      </c>
      <c r="C32" s="39">
        <v>0</v>
      </c>
      <c r="D32" s="19" t="s">
        <v>106</v>
      </c>
      <c r="E32" s="39">
        <f t="shared" si="6"/>
        <v>3.0769230769230771</v>
      </c>
      <c r="F32" s="19" t="s">
        <v>72</v>
      </c>
      <c r="G32" s="19" t="s">
        <v>116</v>
      </c>
      <c r="H32" s="19" t="s">
        <v>20</v>
      </c>
    </row>
    <row r="33" spans="1:11" ht="15" customHeight="1" x14ac:dyDescent="0.35">
      <c r="A33" s="39">
        <v>0</v>
      </c>
      <c r="B33" s="39">
        <f t="shared" ref="B33:B35" si="7">40/5</f>
        <v>8</v>
      </c>
      <c r="C33" s="39">
        <v>0</v>
      </c>
      <c r="D33" s="19" t="s">
        <v>106</v>
      </c>
      <c r="E33" s="39">
        <f t="shared" si="6"/>
        <v>3.0769230769230771</v>
      </c>
      <c r="F33" s="19" t="s">
        <v>72</v>
      </c>
      <c r="G33" s="19" t="s">
        <v>117</v>
      </c>
      <c r="H33" s="19" t="s">
        <v>20</v>
      </c>
    </row>
    <row r="34" spans="1:11" ht="15" customHeight="1" x14ac:dyDescent="0.35">
      <c r="A34" s="39">
        <v>0</v>
      </c>
      <c r="B34" s="39">
        <f t="shared" si="7"/>
        <v>8</v>
      </c>
      <c r="C34" s="39">
        <v>0</v>
      </c>
      <c r="D34" s="19" t="s">
        <v>106</v>
      </c>
      <c r="E34" s="39">
        <f t="shared" si="6"/>
        <v>3.0769230769230771</v>
      </c>
      <c r="F34" s="19" t="s">
        <v>72</v>
      </c>
      <c r="G34" s="19" t="s">
        <v>122</v>
      </c>
      <c r="H34" s="19" t="s">
        <v>20</v>
      </c>
    </row>
    <row r="35" spans="1:11" ht="15" customHeight="1" x14ac:dyDescent="0.35">
      <c r="A35" s="39">
        <v>0</v>
      </c>
      <c r="B35" s="39">
        <f t="shared" si="7"/>
        <v>8</v>
      </c>
      <c r="C35" s="39">
        <v>0</v>
      </c>
      <c r="D35" s="19" t="s">
        <v>106</v>
      </c>
      <c r="E35" s="39">
        <f t="shared" si="6"/>
        <v>3.0769230769230771</v>
      </c>
      <c r="F35" s="19" t="s">
        <v>72</v>
      </c>
      <c r="G35" s="70" t="s">
        <v>151</v>
      </c>
      <c r="H35" s="19" t="s">
        <v>20</v>
      </c>
    </row>
    <row r="36" spans="1:11" ht="15" customHeight="1" x14ac:dyDescent="0.35">
      <c r="A36" s="39">
        <f>40/4</f>
        <v>10</v>
      </c>
      <c r="B36" s="39">
        <v>0</v>
      </c>
      <c r="C36" s="39">
        <v>0</v>
      </c>
      <c r="D36" s="19" t="s">
        <v>106</v>
      </c>
      <c r="E36" s="39">
        <f t="shared" si="6"/>
        <v>3.0769230769230771</v>
      </c>
      <c r="F36" s="19" t="s">
        <v>72</v>
      </c>
      <c r="G36" s="19" t="s">
        <v>123</v>
      </c>
      <c r="H36" s="19" t="s">
        <v>20</v>
      </c>
    </row>
    <row r="37" spans="1:11" ht="15" customHeight="1" x14ac:dyDescent="0.35">
      <c r="A37" s="39">
        <f t="shared" ref="A37:A39" si="8">40/4</f>
        <v>10</v>
      </c>
      <c r="B37" s="39">
        <v>0</v>
      </c>
      <c r="C37" s="39">
        <v>0</v>
      </c>
      <c r="D37" s="19" t="s">
        <v>106</v>
      </c>
      <c r="E37" s="39">
        <f t="shared" si="6"/>
        <v>3.0769230769230771</v>
      </c>
      <c r="F37" s="19" t="s">
        <v>72</v>
      </c>
      <c r="G37" s="19" t="s">
        <v>138</v>
      </c>
      <c r="H37" s="19" t="s">
        <v>20</v>
      </c>
    </row>
    <row r="38" spans="1:11" ht="15" customHeight="1" x14ac:dyDescent="0.35">
      <c r="A38" s="39">
        <f t="shared" si="8"/>
        <v>10</v>
      </c>
      <c r="B38" s="39">
        <v>0</v>
      </c>
      <c r="C38" s="39">
        <v>0</v>
      </c>
      <c r="D38" s="19" t="s">
        <v>106</v>
      </c>
      <c r="E38" s="39">
        <f t="shared" si="6"/>
        <v>3.0769230769230771</v>
      </c>
      <c r="F38" s="19" t="s">
        <v>72</v>
      </c>
      <c r="G38" s="19" t="s">
        <v>139</v>
      </c>
      <c r="H38" s="19" t="s">
        <v>20</v>
      </c>
    </row>
    <row r="39" spans="1:11" ht="15" customHeight="1" x14ac:dyDescent="0.35">
      <c r="A39" s="39">
        <f t="shared" si="8"/>
        <v>10</v>
      </c>
      <c r="B39" s="39">
        <v>0</v>
      </c>
      <c r="C39" s="39">
        <v>0</v>
      </c>
      <c r="D39" s="19" t="s">
        <v>106</v>
      </c>
      <c r="E39" s="39">
        <f t="shared" si="6"/>
        <v>3.0769230769230771</v>
      </c>
      <c r="F39" s="19" t="s">
        <v>72</v>
      </c>
      <c r="G39" s="70" t="s">
        <v>153</v>
      </c>
      <c r="H39" s="19" t="s">
        <v>20</v>
      </c>
    </row>
    <row r="40" spans="1:11" ht="15" customHeight="1" x14ac:dyDescent="0.35">
      <c r="A40" s="39">
        <v>0</v>
      </c>
      <c r="B40" s="39">
        <v>0</v>
      </c>
      <c r="C40" s="39">
        <v>0</v>
      </c>
      <c r="D40" s="24" t="s">
        <v>68</v>
      </c>
      <c r="E40" s="39">
        <v>0</v>
      </c>
      <c r="F40" s="19" t="s">
        <v>72</v>
      </c>
      <c r="G40" s="19" t="s">
        <v>102</v>
      </c>
      <c r="H40" s="19"/>
    </row>
    <row r="41" spans="1:11" ht="15" customHeight="1" x14ac:dyDescent="0.35">
      <c r="A41" s="39">
        <v>0</v>
      </c>
      <c r="B41" s="39">
        <v>0</v>
      </c>
      <c r="C41" s="39">
        <v>0</v>
      </c>
      <c r="D41" s="24" t="s">
        <v>68</v>
      </c>
      <c r="E41" s="39">
        <v>0</v>
      </c>
      <c r="F41" s="19" t="s">
        <v>79</v>
      </c>
      <c r="G41" s="19" t="s">
        <v>103</v>
      </c>
      <c r="H41" s="19"/>
    </row>
    <row r="44" spans="1:11" ht="15" customHeight="1" x14ac:dyDescent="0.35">
      <c r="J44" s="29"/>
      <c r="K44"/>
    </row>
  </sheetData>
  <conditionalFormatting sqref="G2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3bf45-09fb-4f9b-aa49-e403c0417b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A310A980BBAC44A75191F65BAE12E7" ma:contentTypeVersion="17" ma:contentTypeDescription="Crear nuevo documento." ma:contentTypeScope="" ma:versionID="1b66a577699fb63061267e374f5870ae">
  <xsd:schema xmlns:xsd="http://www.w3.org/2001/XMLSchema" xmlns:xs="http://www.w3.org/2001/XMLSchema" xmlns:p="http://schemas.microsoft.com/office/2006/metadata/properties" xmlns:ns3="e523bf45-09fb-4f9b-aa49-e403c0417b10" xmlns:ns4="726c8eaf-14c1-4e89-a6e9-59524033e4a7" targetNamespace="http://schemas.microsoft.com/office/2006/metadata/properties" ma:root="true" ma:fieldsID="1778c55661338f28ad7931875976b49f" ns3:_="" ns4:_="">
    <xsd:import namespace="e523bf45-09fb-4f9b-aa49-e403c0417b10"/>
    <xsd:import namespace="726c8eaf-14c1-4e89-a6e9-59524033e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3bf45-09fb-4f9b-aa49-e403c0417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8eaf-14c1-4e89-a6e9-59524033e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2.xml><?xml version="1.0" encoding="utf-8"?>
<ds:datastoreItem xmlns:ds="http://schemas.openxmlformats.org/officeDocument/2006/customXml" ds:itemID="{462ED4BD-0CE0-4FDF-8FF3-F2F79D1A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3bf45-09fb-4f9b-aa49-e403c0417b10"/>
    <ds:schemaRef ds:uri="726c8eaf-14c1-4e89-a6e9-59524033e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Camila Buitrago Buitrago</cp:lastModifiedBy>
  <cp:revision/>
  <dcterms:created xsi:type="dcterms:W3CDTF">2024-08-27T21:29:06Z</dcterms:created>
  <dcterms:modified xsi:type="dcterms:W3CDTF">2026-05-11T23:31:52Z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0x0101009FA310A980BBAC44A75191F65BAE12E7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